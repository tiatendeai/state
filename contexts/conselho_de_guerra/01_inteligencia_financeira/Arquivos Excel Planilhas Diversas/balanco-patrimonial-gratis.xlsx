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9435" windowHeight="6525" tabRatio="63" firstSheet="1" activeTab="1"/>
  </bookViews>
  <sheets>
    <sheet name="Apresentação" sheetId="9" r:id="rId1"/>
    <sheet name="BP" sheetId="17" r:id="rId2"/>
    <sheet name="Indicadores" sheetId="19" r:id="rId3"/>
    <sheet name="Auxiliar" sheetId="21" state="hidden" r:id="rId4"/>
    <sheet name="Dashboard" sheetId="20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20" l="1"/>
  <c r="D10" i="20"/>
  <c r="N23" i="19"/>
  <c r="M23" i="19"/>
  <c r="P10" i="20" l="1"/>
  <c r="J10" i="20"/>
  <c r="X9" i="20" l="1"/>
  <c r="E42" i="17" l="1"/>
  <c r="X7" i="20" s="1"/>
  <c r="C42" i="17"/>
  <c r="E33" i="17"/>
  <c r="C33" i="17"/>
  <c r="C24" i="17"/>
  <c r="C23" i="19" l="1"/>
  <c r="C44" i="17"/>
  <c r="X5" i="20" s="1"/>
  <c r="D5" i="20" s="1"/>
  <c r="X10" i="20" l="1"/>
  <c r="X11" i="20" l="1"/>
  <c r="E24" i="17"/>
  <c r="C17" i="19" s="1"/>
  <c r="C19" i="19" l="1"/>
  <c r="C18" i="19"/>
  <c r="X6" i="20"/>
  <c r="J5" i="20" s="1"/>
  <c r="C15" i="19"/>
  <c r="J20" i="20" s="1"/>
  <c r="C16" i="19"/>
  <c r="E44" i="17"/>
  <c r="C22" i="19"/>
  <c r="N22" i="19" s="1"/>
  <c r="O22" i="19" s="1"/>
</calcChain>
</file>

<file path=xl/sharedStrings.xml><?xml version="1.0" encoding="utf-8"?>
<sst xmlns="http://schemas.openxmlformats.org/spreadsheetml/2006/main" count="103" uniqueCount="86">
  <si>
    <t>Digite Aqui o Nome Empresa</t>
  </si>
  <si>
    <t>Balanço Patrimonial em 31 de Dezembro de 20xx (em milhares de Reais)</t>
  </si>
  <si>
    <t>ATIVO</t>
  </si>
  <si>
    <t>PASSIVO</t>
  </si>
  <si>
    <t>Circulante</t>
  </si>
  <si>
    <t>Disponiblidades</t>
  </si>
  <si>
    <t>Fornecedores</t>
  </si>
  <si>
    <t>Contas a Receber</t>
  </si>
  <si>
    <t>Financiamentos</t>
  </si>
  <si>
    <t>Estoques</t>
  </si>
  <si>
    <t>Debentures</t>
  </si>
  <si>
    <t>Impostos a Recuperar</t>
  </si>
  <si>
    <t>Salários e Contribuições Sociais</t>
  </si>
  <si>
    <t>IR e Contr Social diferidos</t>
  </si>
  <si>
    <t>Prov p/IR e Contr Social</t>
  </si>
  <si>
    <t>Acordos Comerciais</t>
  </si>
  <si>
    <t>Financiamentos Compra Imóveis</t>
  </si>
  <si>
    <t>Fundos de Recebíveis</t>
  </si>
  <si>
    <t>Alugueis a pagar</t>
  </si>
  <si>
    <t>Desp Antecipadas</t>
  </si>
  <si>
    <t>Dividendos e Jrs s/ Cap Próprio</t>
  </si>
  <si>
    <t>Outros</t>
  </si>
  <si>
    <t>Outras Obrigações</t>
  </si>
  <si>
    <t>TOTAL ATIVO CIRCULANTE</t>
  </si>
  <si>
    <t>TOTAL PASSIVO CIRCULANTE</t>
  </si>
  <si>
    <t>Realizavel a Longo Prazo</t>
  </si>
  <si>
    <t>Exigível a Longo Prazo</t>
  </si>
  <si>
    <t>Quotas do fundo (FIDC)</t>
  </si>
  <si>
    <t>Partes Relacionadas</t>
  </si>
  <si>
    <t>Imp e Contr Recolher</t>
  </si>
  <si>
    <t xml:space="preserve">Depositos Judiciais </t>
  </si>
  <si>
    <t>Prov p/Contingencias</t>
  </si>
  <si>
    <t>TOTAL DO REAL LP</t>
  </si>
  <si>
    <t>TOTAL EXIG LP</t>
  </si>
  <si>
    <t>Permanente</t>
  </si>
  <si>
    <t>Patrimônio Líquido</t>
  </si>
  <si>
    <t>Investimentos</t>
  </si>
  <si>
    <t>Capital Social</t>
  </si>
  <si>
    <t>Ágio na aquisição de Investimentos</t>
  </si>
  <si>
    <t>Reservas de Capital</t>
  </si>
  <si>
    <t>Reservas de Lucros</t>
  </si>
  <si>
    <t>Imobilizado</t>
  </si>
  <si>
    <t>Lucros Acumulados</t>
  </si>
  <si>
    <t>Intangível</t>
  </si>
  <si>
    <t>TOTAL DO AT PERMANENTE</t>
  </si>
  <si>
    <t>TOTAL PL</t>
  </si>
  <si>
    <t>BALANÇO PATRIMONIAL</t>
  </si>
  <si>
    <t>PL</t>
  </si>
  <si>
    <t>TOTAL DO ATIVO</t>
  </si>
  <si>
    <t>TOTAL PASSIVO+PL</t>
  </si>
  <si>
    <t>Indicadores Financeiros</t>
  </si>
  <si>
    <t>ANÁLISE DA LIQUIDEZ</t>
  </si>
  <si>
    <t>valor</t>
  </si>
  <si>
    <t>Ativo Circulante - Passivo Circulante</t>
  </si>
  <si>
    <t>LIQUIDEZ GERAL</t>
  </si>
  <si>
    <t>vezes</t>
  </si>
  <si>
    <t>Total do Ativo / Passivo Circulante</t>
  </si>
  <si>
    <t>LIQUIDEZ CORRENTE</t>
  </si>
  <si>
    <t>Ativo Circulante / Passivo Circulante</t>
  </si>
  <si>
    <t>LIQUIDEZ SECA</t>
  </si>
  <si>
    <t>Ativo Circulante - Estoques / Passivo Circulante</t>
  </si>
  <si>
    <t>LIQUIDEZ IMEDIATA</t>
  </si>
  <si>
    <t>Disponibilidades / Passivo Circulante</t>
  </si>
  <si>
    <t>ANÁLISE DO ENDIVIDAMENTO</t>
  </si>
  <si>
    <t>particip</t>
  </si>
  <si>
    <t>Obrigações / Total dos Ativos</t>
  </si>
  <si>
    <t>% EXIGIVEL LP S/ PL</t>
  </si>
  <si>
    <t>Exigivel a LP / PL</t>
  </si>
  <si>
    <t>Não Circulante</t>
  </si>
  <si>
    <t>TOTAL PASSIVO</t>
  </si>
  <si>
    <t>TOTAL RECEITAS</t>
  </si>
  <si>
    <t>TOTAL DESPESAS</t>
  </si>
  <si>
    <t>TOTAL ATIVO</t>
  </si>
  <si>
    <t>LUCRO</t>
  </si>
  <si>
    <t>INDICE</t>
  </si>
  <si>
    <t xml:space="preserve">  PATRIMÔNIO LIQUIDO</t>
  </si>
  <si>
    <t>CAPITAL CIRCULANTE LÍQUIDO</t>
  </si>
  <si>
    <t>% ENDIVIDAMENTO</t>
  </si>
  <si>
    <t>Balanço Patrimonial + Indicadores Financeiros + Dashboard</t>
  </si>
  <si>
    <t>Nesta tela você lança diretamente os valores apurados nas respectivas contas no Balanço Patrimonial</t>
  </si>
  <si>
    <t>KPI's</t>
  </si>
  <si>
    <t>Nesta tela será apurados os Indicadores Financeiros automaticamente</t>
  </si>
  <si>
    <t>DASHABOARD DE ANÁLISE</t>
  </si>
  <si>
    <t>Nesta tela com base nos dados lançados e apurados anteriormente, será gerado um Dashboard de Análise do Balanço com os Indicadores Financeiros</t>
  </si>
  <si>
    <t>DASHBOARD DE ANÁLISE DE BALANÇO PATRIMONIAL E INDICADORES FINANCEIROS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</si>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</sst>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#,##0_ ;[Red]\-#,##0\ "/>
    <numFmt numFmtId="165" formatCode="_-* #,##0_-;\-* #,##0_-;_-* &quot;-&quot;??_-;_-@_-"/>
    <numFmt numFmtId="166" formatCode="_-* #,##0.0_-;\-* #,##0.0_-;_-* &quot;-&quot;??_-;_-@_-"/>
    <numFmt numFmtId="167" formatCode="_-&quot;R$&quot;\ * #,##0_-;\-&quot;R$&quot;\ * #,##0_-;_-&quot;R$&quot;\ * &quot;-&quot;??_-;_-@_-"/>
    <numFmt numFmtId="168" formatCode="[&lt;999950]&quot;R$&quot;\ #,#00&quot;K&quot;;[&lt;999950000]&quot;R$&quot;\ #,#00&quot;M&quot;;&quot;R$&quot;\ #,#00&quot;B&quot;"/>
    <numFmt numFmtId="169" formatCode="[&lt;999950]&quot;R$&quot;\ #,#00\ &quot;K&quot;;[&lt;999950000]&quot;R$&quot;\ #,#00\ &quot;M&quot;;&quot;R$&quot;\ #,#00\ &quot;B&quot;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 tint="0.249977111117893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 tint="0.249977111117893"/>
      <name val="Arial"/>
      <family val="2"/>
    </font>
    <font>
      <sz val="11"/>
      <color theme="1" tint="0.249977111117893"/>
      <name val="Arial"/>
      <family val="2"/>
    </font>
    <font>
      <b/>
      <sz val="11"/>
      <color theme="0"/>
      <name val="Arial"/>
      <family val="2"/>
    </font>
    <font>
      <b/>
      <sz val="11"/>
      <color theme="1" tint="0.1499984740745262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7"/>
      <name val="Calibri"/>
      <family val="2"/>
      <scheme val="minor"/>
    </font>
    <font>
      <b/>
      <sz val="15"/>
      <name val="Calibri"/>
      <family val="2"/>
      <scheme val="minor"/>
    </font>
    <font>
      <b/>
      <sz val="30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2"/>
      <color indexed="56"/>
      <name val="Arial"/>
      <family val="2"/>
    </font>
    <font>
      <sz val="12"/>
      <color indexed="56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sz val="10"/>
      <color theme="0"/>
      <name val="Arial"/>
      <family val="2"/>
    </font>
    <font>
      <b/>
      <sz val="14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3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D7E7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0"/>
      </left>
      <right/>
      <top/>
      <bottom/>
      <diagonal/>
    </border>
    <border>
      <left/>
      <right/>
      <top/>
      <bottom style="thick">
        <color theme="6"/>
      </bottom>
      <diagonal/>
    </border>
    <border>
      <left/>
      <right/>
      <top/>
      <bottom style="thick">
        <color theme="7"/>
      </bottom>
      <diagonal/>
    </border>
    <border>
      <left/>
      <right/>
      <top/>
      <bottom style="thick">
        <color theme="4"/>
      </bottom>
      <diagonal/>
    </border>
    <border>
      <left/>
      <right style="thick">
        <color theme="4"/>
      </right>
      <top/>
      <bottom/>
      <diagonal/>
    </border>
    <border>
      <left/>
      <right style="thick">
        <color theme="6"/>
      </right>
      <top/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/>
      <right/>
      <top style="thick">
        <color theme="6"/>
      </top>
      <bottom/>
      <diagonal/>
    </border>
    <border>
      <left/>
      <right style="thick">
        <color theme="6"/>
      </right>
      <top style="thick">
        <color theme="6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/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ck">
        <color theme="7"/>
      </bottom>
      <diagonal/>
    </border>
    <border>
      <left/>
      <right style="thin">
        <color theme="2" tint="-9.9948118533890809E-2"/>
      </right>
      <top/>
      <bottom style="thick">
        <color theme="7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/>
      <right style="thick">
        <color theme="6"/>
      </right>
      <top/>
      <bottom style="thick">
        <color theme="6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Protection="1"/>
    <xf numFmtId="0" fontId="0" fillId="0" borderId="0" xfId="0" applyFill="1" applyProtection="1"/>
    <xf numFmtId="2" fontId="7" fillId="0" borderId="9" xfId="1" applyNumberFormat="1" applyFont="1" applyBorder="1" applyAlignment="1" applyProtection="1">
      <alignment vertical="center"/>
    </xf>
    <xf numFmtId="0" fontId="0" fillId="0" borderId="0" xfId="0" applyProtection="1">
      <protection locked="0"/>
    </xf>
    <xf numFmtId="0" fontId="1" fillId="0" borderId="0" xfId="1" applyProtection="1"/>
    <xf numFmtId="0" fontId="1" fillId="0" borderId="0" xfId="1" applyAlignment="1" applyProtection="1">
      <alignment vertical="center"/>
    </xf>
    <xf numFmtId="0" fontId="17" fillId="0" borderId="0" xfId="1" applyFont="1" applyAlignment="1" applyProtection="1">
      <alignment vertical="center"/>
    </xf>
    <xf numFmtId="0" fontId="14" fillId="0" borderId="0" xfId="1" applyFont="1" applyAlignment="1" applyProtection="1">
      <alignment vertical="center"/>
    </xf>
    <xf numFmtId="0" fontId="1" fillId="0" borderId="0" xfId="1" applyFill="1" applyAlignment="1" applyProtection="1">
      <alignment vertical="center"/>
    </xf>
    <xf numFmtId="0" fontId="18" fillId="0" borderId="0" xfId="0" applyFont="1" applyProtection="1"/>
    <xf numFmtId="0" fontId="10" fillId="0" borderId="0" xfId="1" applyFont="1" applyFill="1" applyAlignment="1" applyProtection="1">
      <alignment vertical="center"/>
    </xf>
    <xf numFmtId="0" fontId="10" fillId="0" borderId="0" xfId="1" applyFont="1" applyAlignment="1" applyProtection="1">
      <alignment vertical="center"/>
    </xf>
    <xf numFmtId="0" fontId="11" fillId="0" borderId="0" xfId="1" applyFont="1" applyBorder="1" applyAlignment="1" applyProtection="1">
      <alignment vertical="center"/>
    </xf>
    <xf numFmtId="0" fontId="1" fillId="0" borderId="0" xfId="1" applyBorder="1" applyAlignment="1" applyProtection="1">
      <alignment vertical="center"/>
    </xf>
    <xf numFmtId="0" fontId="12" fillId="0" borderId="0" xfId="1" applyFont="1" applyAlignment="1" applyProtection="1">
      <alignment vertical="center"/>
    </xf>
    <xf numFmtId="0" fontId="13" fillId="0" borderId="0" xfId="0" applyFont="1" applyProtection="1"/>
    <xf numFmtId="0" fontId="12" fillId="0" borderId="0" xfId="1" applyFont="1" applyProtection="1"/>
    <xf numFmtId="0" fontId="0" fillId="0" borderId="0" xfId="0" applyFill="1" applyProtection="1">
      <protection locked="0"/>
    </xf>
    <xf numFmtId="0" fontId="1" fillId="0" borderId="0" xfId="1" applyFill="1" applyProtection="1">
      <protection locked="0"/>
    </xf>
    <xf numFmtId="0" fontId="20" fillId="0" borderId="0" xfId="1" applyFont="1" applyProtection="1">
      <protection locked="0"/>
    </xf>
    <xf numFmtId="0" fontId="4" fillId="0" borderId="0" xfId="1" applyFont="1" applyProtection="1">
      <protection locked="0"/>
    </xf>
    <xf numFmtId="0" fontId="20" fillId="0" borderId="0" xfId="1" applyFont="1" applyFill="1" applyProtection="1">
      <protection locked="0"/>
    </xf>
    <xf numFmtId="2" fontId="7" fillId="0" borderId="9" xfId="1" applyNumberFormat="1" applyFont="1" applyBorder="1" applyAlignment="1" applyProtection="1">
      <alignment vertical="center"/>
      <protection locked="0"/>
    </xf>
    <xf numFmtId="165" fontId="7" fillId="0" borderId="9" xfId="3" applyNumberFormat="1" applyFont="1" applyBorder="1" applyAlignment="1" applyProtection="1">
      <alignment vertical="center"/>
      <protection locked="0"/>
    </xf>
    <xf numFmtId="2" fontId="4" fillId="0" borderId="10" xfId="1" applyNumberFormat="1" applyFont="1" applyBorder="1" applyAlignment="1" applyProtection="1">
      <alignment vertical="center"/>
      <protection locked="0"/>
    </xf>
    <xf numFmtId="164" fontId="4" fillId="0" borderId="10" xfId="2" applyNumberFormat="1" applyFont="1" applyBorder="1" applyAlignment="1" applyProtection="1">
      <alignment vertical="center"/>
      <protection locked="0"/>
    </xf>
    <xf numFmtId="2" fontId="4" fillId="0" borderId="9" xfId="1" applyNumberFormat="1" applyFont="1" applyBorder="1" applyAlignment="1" applyProtection="1">
      <alignment vertical="center"/>
      <protection locked="0"/>
    </xf>
    <xf numFmtId="164" fontId="4" fillId="0" borderId="9" xfId="2" applyNumberFormat="1" applyFont="1" applyBorder="1" applyAlignment="1" applyProtection="1">
      <alignment vertical="center"/>
      <protection locked="0"/>
    </xf>
    <xf numFmtId="164" fontId="20" fillId="0" borderId="0" xfId="1" applyNumberFormat="1" applyFont="1" applyProtection="1">
      <protection locked="0"/>
    </xf>
    <xf numFmtId="0" fontId="1" fillId="0" borderId="0" xfId="1"/>
    <xf numFmtId="0" fontId="0" fillId="5" borderId="0" xfId="0" applyFill="1"/>
    <xf numFmtId="0" fontId="4" fillId="0" borderId="0" xfId="1" applyFont="1"/>
    <xf numFmtId="0" fontId="21" fillId="0" borderId="0" xfId="1" applyFont="1"/>
    <xf numFmtId="165" fontId="7" fillId="0" borderId="9" xfId="3" applyNumberFormat="1" applyFont="1" applyBorder="1" applyAlignment="1" applyProtection="1">
      <alignment vertical="center"/>
    </xf>
    <xf numFmtId="2" fontId="7" fillId="0" borderId="9" xfId="1" applyNumberFormat="1" applyFont="1" applyBorder="1" applyAlignment="1" applyProtection="1">
      <alignment horizontal="center" vertical="center"/>
    </xf>
    <xf numFmtId="0" fontId="22" fillId="0" borderId="0" xfId="1" applyFont="1"/>
    <xf numFmtId="166" fontId="7" fillId="0" borderId="9" xfId="3" applyNumberFormat="1" applyFont="1" applyBorder="1" applyAlignment="1" applyProtection="1">
      <alignment vertical="center"/>
    </xf>
    <xf numFmtId="9" fontId="7" fillId="0" borderId="9" xfId="4" applyFont="1" applyBorder="1" applyAlignment="1" applyProtection="1">
      <alignment vertical="center"/>
    </xf>
    <xf numFmtId="0" fontId="0" fillId="4" borderId="0" xfId="0" applyFill="1"/>
    <xf numFmtId="0" fontId="23" fillId="0" borderId="0" xfId="1" applyFont="1" applyProtection="1"/>
    <xf numFmtId="0" fontId="23" fillId="0" borderId="0" xfId="1" applyFont="1" applyFill="1" applyProtection="1">
      <protection locked="0"/>
    </xf>
    <xf numFmtId="0" fontId="23" fillId="0" borderId="0" xfId="1" applyFont="1" applyProtection="1">
      <protection locked="0"/>
    </xf>
    <xf numFmtId="0" fontId="24" fillId="0" borderId="0" xfId="0" applyFont="1" applyProtection="1">
      <protection locked="0"/>
    </xf>
    <xf numFmtId="0" fontId="25" fillId="4" borderId="0" xfId="0" applyFont="1" applyFill="1"/>
    <xf numFmtId="167" fontId="25" fillId="4" borderId="0" xfId="0" applyNumberFormat="1" applyFont="1" applyFill="1"/>
    <xf numFmtId="0" fontId="0" fillId="0" borderId="0" xfId="0" applyFill="1" applyAlignment="1"/>
    <xf numFmtId="168" fontId="0" fillId="0" borderId="0" xfId="0" applyNumberFormat="1" applyFill="1" applyAlignment="1"/>
    <xf numFmtId="0" fontId="0" fillId="0" borderId="15" xfId="0" applyFill="1" applyBorder="1" applyAlignment="1"/>
    <xf numFmtId="0" fontId="0" fillId="0" borderId="0" xfId="0" applyFill="1" applyBorder="1" applyAlignment="1"/>
    <xf numFmtId="0" fontId="0" fillId="0" borderId="16" xfId="0" applyFill="1" applyBorder="1" applyAlignment="1"/>
    <xf numFmtId="0" fontId="0" fillId="0" borderId="17" xfId="0" applyFill="1" applyBorder="1" applyAlignment="1"/>
    <xf numFmtId="0" fontId="0" fillId="0" borderId="18" xfId="0" applyFill="1" applyBorder="1" applyAlignment="1"/>
    <xf numFmtId="0" fontId="0" fillId="0" borderId="19" xfId="0" applyFill="1" applyBorder="1" applyAlignment="1"/>
    <xf numFmtId="0" fontId="0" fillId="0" borderId="20" xfId="0" applyFill="1" applyBorder="1" applyAlignment="1"/>
    <xf numFmtId="2" fontId="29" fillId="0" borderId="0" xfId="0" applyNumberFormat="1" applyFont="1" applyFill="1" applyBorder="1" applyAlignment="1">
      <alignment horizontal="centerContinuous" vertical="center"/>
    </xf>
    <xf numFmtId="0" fontId="29" fillId="0" borderId="0" xfId="0" applyFont="1" applyFill="1" applyBorder="1" applyAlignment="1">
      <alignment horizontal="centerContinuous" vertical="center"/>
    </xf>
    <xf numFmtId="0" fontId="29" fillId="0" borderId="15" xfId="0" applyFont="1" applyFill="1" applyBorder="1" applyAlignment="1">
      <alignment horizontal="centerContinuous" vertical="center"/>
    </xf>
    <xf numFmtId="0" fontId="29" fillId="0" borderId="0" xfId="0" applyFont="1" applyFill="1" applyAlignment="1">
      <alignment horizontal="centerContinuous" vertical="center"/>
    </xf>
    <xf numFmtId="0" fontId="0" fillId="0" borderId="26" xfId="0" applyFill="1" applyBorder="1" applyAlignment="1"/>
    <xf numFmtId="0" fontId="0" fillId="0" borderId="0" xfId="0" applyFill="1" applyAlignment="1">
      <alignment horizontal="centerContinuous"/>
    </xf>
    <xf numFmtId="0" fontId="0" fillId="4" borderId="0" xfId="0" applyFill="1" applyAlignment="1"/>
    <xf numFmtId="0" fontId="0" fillId="0" borderId="14" xfId="0" applyFill="1" applyBorder="1" applyAlignment="1"/>
    <xf numFmtId="0" fontId="0" fillId="0" borderId="31" xfId="0" applyFill="1" applyBorder="1" applyAlignment="1"/>
    <xf numFmtId="0" fontId="0" fillId="0" borderId="12" xfId="0" applyFill="1" applyBorder="1" applyAlignment="1"/>
    <xf numFmtId="0" fontId="0" fillId="0" borderId="32" xfId="0" applyFill="1" applyBorder="1" applyAlignment="1"/>
    <xf numFmtId="0" fontId="0" fillId="4" borderId="0" xfId="0" applyFill="1" applyProtection="1"/>
    <xf numFmtId="2" fontId="8" fillId="8" borderId="9" xfId="1" applyNumberFormat="1" applyFont="1" applyFill="1" applyBorder="1" applyAlignment="1" applyProtection="1">
      <alignment vertical="center"/>
    </xf>
    <xf numFmtId="165" fontId="8" fillId="8" borderId="9" xfId="3" applyNumberFormat="1" applyFont="1" applyFill="1" applyBorder="1" applyAlignment="1" applyProtection="1">
      <alignment vertical="center"/>
    </xf>
    <xf numFmtId="2" fontId="3" fillId="8" borderId="9" xfId="1" applyNumberFormat="1" applyFont="1" applyFill="1" applyBorder="1" applyAlignment="1" applyProtection="1">
      <alignment vertical="center"/>
    </xf>
    <xf numFmtId="164" fontId="3" fillId="8" borderId="9" xfId="1" applyNumberFormat="1" applyFont="1" applyFill="1" applyBorder="1" applyAlignment="1" applyProtection="1">
      <alignment vertical="center"/>
    </xf>
    <xf numFmtId="0" fontId="30" fillId="0" borderId="0" xfId="1" applyFont="1"/>
    <xf numFmtId="9" fontId="30" fillId="0" borderId="0" xfId="1" applyNumberFormat="1" applyFont="1"/>
    <xf numFmtId="0" fontId="26" fillId="0" borderId="0" xfId="0" applyFont="1"/>
    <xf numFmtId="0" fontId="11" fillId="0" borderId="0" xfId="1" applyFont="1" applyFill="1" applyAlignment="1" applyProtection="1">
      <alignment vertical="center" wrapText="1"/>
    </xf>
    <xf numFmtId="0" fontId="15" fillId="0" borderId="0" xfId="1" applyFont="1" applyFill="1" applyAlignment="1" applyProtection="1">
      <alignment vertical="center"/>
    </xf>
    <xf numFmtId="0" fontId="16" fillId="0" borderId="0" xfId="1" applyFont="1" applyFill="1" applyBorder="1" applyAlignment="1" applyProtection="1">
      <alignment horizontal="left" vertical="center"/>
    </xf>
    <xf numFmtId="0" fontId="1" fillId="0" borderId="0" xfId="1" applyFill="1" applyBorder="1" applyAlignment="1" applyProtection="1">
      <alignment vertical="center"/>
    </xf>
    <xf numFmtId="0" fontId="0" fillId="0" borderId="0" xfId="0" applyBorder="1" applyProtection="1"/>
    <xf numFmtId="0" fontId="1" fillId="0" borderId="0" xfId="1" applyFont="1" applyFill="1" applyAlignment="1" applyProtection="1">
      <alignment vertical="center"/>
    </xf>
    <xf numFmtId="0" fontId="31" fillId="0" borderId="14" xfId="1" applyFont="1" applyBorder="1" applyAlignment="1" applyProtection="1">
      <alignment vertical="center"/>
    </xf>
    <xf numFmtId="0" fontId="0" fillId="4" borderId="0" xfId="0" applyFill="1" applyBorder="1"/>
    <xf numFmtId="0" fontId="34" fillId="0" borderId="0" xfId="0" applyFont="1" applyProtection="1"/>
    <xf numFmtId="2" fontId="9" fillId="0" borderId="6" xfId="1" applyNumberFormat="1" applyFont="1" applyBorder="1" applyAlignment="1" applyProtection="1">
      <alignment horizontal="center" vertical="center"/>
      <protection locked="0"/>
    </xf>
    <xf numFmtId="2" fontId="9" fillId="0" borderId="8" xfId="1" applyNumberFormat="1" applyFont="1" applyBorder="1" applyAlignment="1" applyProtection="1">
      <alignment horizontal="center" vertical="center"/>
      <protection locked="0"/>
    </xf>
    <xf numFmtId="2" fontId="5" fillId="3" borderId="3" xfId="1" applyNumberFormat="1" applyFont="1" applyFill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3" fillId="7" borderId="4" xfId="1" applyFont="1" applyFill="1" applyBorder="1" applyAlignment="1" applyProtection="1">
      <alignment horizontal="center" vertical="center"/>
      <protection locked="0"/>
    </xf>
    <xf numFmtId="2" fontId="3" fillId="8" borderId="5" xfId="1" applyNumberFormat="1" applyFont="1" applyFill="1" applyBorder="1" applyAlignment="1" applyProtection="1">
      <alignment horizontal="center" vertical="center"/>
    </xf>
    <xf numFmtId="2" fontId="3" fillId="8" borderId="2" xfId="1" applyNumberFormat="1" applyFont="1" applyFill="1" applyBorder="1" applyAlignment="1" applyProtection="1">
      <alignment horizontal="center" vertical="center"/>
    </xf>
    <xf numFmtId="2" fontId="6" fillId="3" borderId="6" xfId="1" applyNumberFormat="1" applyFont="1" applyFill="1" applyBorder="1" applyAlignment="1" applyProtection="1">
      <alignment horizontal="center" vertical="center"/>
    </xf>
    <xf numFmtId="2" fontId="6" fillId="3" borderId="7" xfId="1" applyNumberFormat="1" applyFont="1" applyFill="1" applyBorder="1" applyAlignment="1" applyProtection="1">
      <alignment horizontal="center" vertical="center"/>
    </xf>
    <xf numFmtId="2" fontId="6" fillId="3" borderId="8" xfId="1" applyNumberFormat="1" applyFont="1" applyFill="1" applyBorder="1" applyAlignment="1" applyProtection="1">
      <alignment horizontal="center" vertical="center"/>
    </xf>
    <xf numFmtId="0" fontId="3" fillId="2" borderId="11" xfId="1" applyFont="1" applyFill="1" applyBorder="1" applyAlignment="1" applyProtection="1">
      <alignment horizontal="center" vertical="center"/>
    </xf>
    <xf numFmtId="0" fontId="3" fillId="2" borderId="0" xfId="1" applyFont="1" applyFill="1" applyBorder="1" applyAlignment="1" applyProtection="1">
      <alignment horizontal="center" vertical="center"/>
    </xf>
    <xf numFmtId="2" fontId="8" fillId="8" borderId="6" xfId="1" applyNumberFormat="1" applyFont="1" applyFill="1" applyBorder="1" applyAlignment="1" applyProtection="1">
      <alignment horizontal="center" vertical="center"/>
    </xf>
    <xf numFmtId="2" fontId="8" fillId="8" borderId="7" xfId="1" applyNumberFormat="1" applyFont="1" applyFill="1" applyBorder="1" applyAlignment="1" applyProtection="1">
      <alignment horizontal="center" vertical="center"/>
    </xf>
    <xf numFmtId="2" fontId="8" fillId="8" borderId="8" xfId="1" applyNumberFormat="1" applyFont="1" applyFill="1" applyBorder="1" applyAlignment="1" applyProtection="1">
      <alignment horizontal="center" vertical="center"/>
    </xf>
    <xf numFmtId="0" fontId="0" fillId="4" borderId="0" xfId="0" applyFill="1" applyAlignment="1">
      <alignment horizontal="center"/>
    </xf>
    <xf numFmtId="168" fontId="28" fillId="0" borderId="21" xfId="0" applyNumberFormat="1" applyFont="1" applyFill="1" applyBorder="1" applyAlignment="1">
      <alignment horizontal="center" vertical="center"/>
    </xf>
    <xf numFmtId="168" fontId="28" fillId="0" borderId="22" xfId="0" applyNumberFormat="1" applyFont="1" applyFill="1" applyBorder="1" applyAlignment="1">
      <alignment horizontal="center" vertical="center"/>
    </xf>
    <xf numFmtId="168" fontId="28" fillId="0" borderId="23" xfId="0" applyNumberFormat="1" applyFont="1" applyFill="1" applyBorder="1" applyAlignment="1">
      <alignment horizontal="center" vertical="center"/>
    </xf>
    <xf numFmtId="168" fontId="28" fillId="0" borderId="24" xfId="0" applyNumberFormat="1" applyFont="1" applyFill="1" applyBorder="1" applyAlignment="1">
      <alignment horizontal="center" vertical="center"/>
    </xf>
    <xf numFmtId="168" fontId="28" fillId="0" borderId="0" xfId="0" applyNumberFormat="1" applyFont="1" applyFill="1" applyBorder="1" applyAlignment="1">
      <alignment horizontal="center" vertical="center"/>
    </xf>
    <xf numFmtId="168" fontId="28" fillId="0" borderId="25" xfId="0" applyNumberFormat="1" applyFont="1" applyFill="1" applyBorder="1" applyAlignment="1">
      <alignment horizontal="center" vertical="center"/>
    </xf>
    <xf numFmtId="168" fontId="28" fillId="0" borderId="29" xfId="0" applyNumberFormat="1" applyFont="1" applyFill="1" applyBorder="1" applyAlignment="1">
      <alignment horizontal="center" vertical="center"/>
    </xf>
    <xf numFmtId="168" fontId="28" fillId="0" borderId="13" xfId="0" applyNumberFormat="1" applyFont="1" applyFill="1" applyBorder="1" applyAlignment="1">
      <alignment horizontal="center" vertical="center"/>
    </xf>
    <xf numFmtId="168" fontId="28" fillId="0" borderId="30" xfId="0" applyNumberFormat="1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27" fillId="6" borderId="0" xfId="0" applyFont="1" applyFill="1" applyAlignment="1">
      <alignment horizontal="center" vertical="center"/>
    </xf>
    <xf numFmtId="169" fontId="33" fillId="0" borderId="0" xfId="0" applyNumberFormat="1" applyFont="1" applyFill="1" applyBorder="1" applyAlignment="1">
      <alignment horizontal="center" vertical="center"/>
    </xf>
    <xf numFmtId="169" fontId="33" fillId="0" borderId="14" xfId="0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69" fontId="33" fillId="0" borderId="13" xfId="0" applyNumberFormat="1" applyFont="1" applyFill="1" applyBorder="1" applyAlignment="1">
      <alignment horizontal="center" vertical="center"/>
    </xf>
    <xf numFmtId="169" fontId="33" fillId="0" borderId="12" xfId="0" applyNumberFormat="1" applyFont="1" applyFill="1" applyBorder="1" applyAlignment="1">
      <alignment horizontal="center" vertical="center"/>
    </xf>
  </cellXfs>
  <cellStyles count="7">
    <cellStyle name="Normal" xfId="0" builtinId="0"/>
    <cellStyle name="Normal 2" xfId="1"/>
    <cellStyle name="Porcentagem" xfId="4" builtinId="5"/>
    <cellStyle name="Separador de milhares 2" xfId="2"/>
    <cellStyle name="Separador de milhares 2 2" xfId="5"/>
    <cellStyle name="Vírgula" xfId="3" builtinId="3"/>
    <cellStyle name="Vírgula 2" xfId="6"/>
  </cellStyles>
  <dxfs count="0"/>
  <tableStyles count="0" defaultTableStyle="TableStyleMedium2" defaultPivotStyle="PivotStyleLight16"/>
  <colors>
    <mruColors>
      <color rgb="FF0D7E77"/>
      <color rgb="FF5C9CD6"/>
      <color rgb="FF6DD9FF"/>
      <color rgb="FF14CABD"/>
      <color rgb="FF11A79C"/>
      <color rgb="FF0F93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Dashboard!$J$18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2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2"/>
                </a:solidFill>
              </a:ln>
              <a:effectLst/>
            </c:spPr>
          </c:dPt>
          <c:cat>
            <c:numRef>
              <c:f>Indicadores!$M$23:$N$23</c:f>
              <c:numCache>
                <c:formatCode>0%</c:formatCode>
                <c:ptCount val="2"/>
                <c:pt idx="0">
                  <c:v>0.85811962644777096</c:v>
                </c:pt>
                <c:pt idx="1">
                  <c:v>0.14188037355222904</c:v>
                </c:pt>
              </c:numCache>
            </c:numRef>
          </c:cat>
          <c:val>
            <c:numRef>
              <c:f>Indicadores!$M$23:$N$23</c:f>
              <c:numCache>
                <c:formatCode>0%</c:formatCode>
                <c:ptCount val="2"/>
                <c:pt idx="0">
                  <c:v>0.85811962644777096</c:v>
                </c:pt>
                <c:pt idx="1">
                  <c:v>0.14188037355222904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3"/>
            </a:solidFill>
            <a:ln>
              <a:solidFill>
                <a:schemeClr val="bg2">
                  <a:alpha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bg2">
                    <a:alpha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85000"/>
                    <a:alpha val="50000"/>
                  </a:schemeClr>
                </a:solidFill>
              </a:ln>
              <a:effectLst/>
            </c:spPr>
          </c:dPt>
          <c:val>
            <c:numRef>
              <c:f>Indicadores!$N$22:$O$22</c:f>
              <c:numCache>
                <c:formatCode>0%</c:formatCode>
                <c:ptCount val="2"/>
                <c:pt idx="0">
                  <c:v>0.56295367783548556</c:v>
                </c:pt>
                <c:pt idx="1">
                  <c:v>0.43704632216451444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Indicadores!A1"/><Relationship Id="rId1" Type="http://schemas.openxmlformats.org/officeDocument/2006/relationships/hyperlink" Target="#BP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Indicadores!A1"/><Relationship Id="rId1" Type="http://schemas.openxmlformats.org/officeDocument/2006/relationships/hyperlink" Target="#Apresenta&#231;&#227;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Apresenta&#231;&#227;o!A1"/><Relationship Id="rId1" Type="http://schemas.openxmlformats.org/officeDocument/2006/relationships/hyperlink" Target="#BP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Indicadores!A1"/><Relationship Id="rId3" Type="http://schemas.openxmlformats.org/officeDocument/2006/relationships/chart" Target="../charts/chart2.xml"/><Relationship Id="rId7" Type="http://schemas.openxmlformats.org/officeDocument/2006/relationships/hyperlink" Target="#BP!A1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hyperlink" Target="#Apresenta&#231;&#227;o!A1"/><Relationship Id="rId11" Type="http://schemas.openxmlformats.org/officeDocument/2006/relationships/image" Target="../media/image5.png"/><Relationship Id="rId5" Type="http://schemas.openxmlformats.org/officeDocument/2006/relationships/image" Target="../media/image3.png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142875</xdr:rowOff>
    </xdr:from>
    <xdr:to>
      <xdr:col>7</xdr:col>
      <xdr:colOff>62753</xdr:colOff>
      <xdr:row>4</xdr:row>
      <xdr:rowOff>210111</xdr:rowOff>
    </xdr:to>
    <xdr:grpSp>
      <xdr:nvGrpSpPr>
        <xdr:cNvPr id="3" name="Grupo 2"/>
        <xdr:cNvGrpSpPr/>
      </xdr:nvGrpSpPr>
      <xdr:grpSpPr>
        <a:xfrm>
          <a:off x="200025" y="857250"/>
          <a:ext cx="6301628" cy="305361"/>
          <a:chOff x="200025" y="857250"/>
          <a:chExt cx="7863728" cy="305361"/>
        </a:xfrm>
      </xdr:grpSpPr>
      <xdr:sp macro="" textlink="">
        <xdr:nvSpPr>
          <xdr:cNvPr id="4" name="Retângulo 3">
            <a:hlinkClick xmlns:r="http://schemas.openxmlformats.org/officeDocument/2006/relationships" r:id="rId1"/>
          </xdr:cNvPr>
          <xdr:cNvSpPr/>
        </xdr:nvSpPr>
        <xdr:spPr>
          <a:xfrm>
            <a:off x="1777253" y="857250"/>
            <a:ext cx="1489822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100" b="1" kern="0" cap="none">
                <a:latin typeface="+mn-lt"/>
                <a:cs typeface="Arial" panose="020B0604020202020204" pitchFamily="34" charset="0"/>
              </a:rPr>
              <a:t>Balanço Patrimonial</a:t>
            </a:r>
          </a:p>
        </xdr:txBody>
      </xdr:sp>
      <xdr:sp macro="" textlink="">
        <xdr:nvSpPr>
          <xdr:cNvPr id="5" name="Retângulo 4"/>
          <xdr:cNvSpPr/>
        </xdr:nvSpPr>
        <xdr:spPr>
          <a:xfrm>
            <a:off x="200025" y="857250"/>
            <a:ext cx="1472453" cy="305361"/>
          </a:xfrm>
          <a:prstGeom prst="rect">
            <a:avLst/>
          </a:prstGeom>
          <a:solidFill>
            <a:schemeClr val="bg1"/>
          </a:solidFill>
          <a:ln w="28575">
            <a:solidFill>
              <a:schemeClr val="accent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200" b="1" kern="0" cap="none">
                <a:solidFill>
                  <a:schemeClr val="accent5"/>
                </a:solidFill>
                <a:latin typeface="+mn-lt"/>
                <a:cs typeface="Arial" panose="020B0604020202020204" pitchFamily="34" charset="0"/>
              </a:rPr>
              <a:t>Inicio</a:t>
            </a:r>
          </a:p>
        </xdr:txBody>
      </xdr:sp>
      <xdr:sp macro="" textlink="">
        <xdr:nvSpPr>
          <xdr:cNvPr id="7" name="Retângulo 6">
            <a:hlinkClick xmlns:r="http://schemas.openxmlformats.org/officeDocument/2006/relationships" r:id="rId2"/>
          </xdr:cNvPr>
          <xdr:cNvSpPr/>
        </xdr:nvSpPr>
        <xdr:spPr>
          <a:xfrm>
            <a:off x="3356722" y="857250"/>
            <a:ext cx="1590114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100" b="1" kern="0" cap="none">
                <a:solidFill>
                  <a:schemeClr val="lt1"/>
                </a:solidFill>
                <a:latin typeface="+mn-lt"/>
                <a:ea typeface="+mn-ea"/>
                <a:cs typeface="Arial" panose="020B0604020202020204" pitchFamily="34" charset="0"/>
              </a:rPr>
              <a:t>KPI's</a:t>
            </a:r>
            <a:endParaRPr lang="pt-BR" sz="1100" b="1" kern="0" cap="none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12" name="Retângulo 11">
            <a:hlinkClick xmlns:r="http://schemas.openxmlformats.org/officeDocument/2006/relationships" r:id="rId3"/>
          </xdr:cNvPr>
          <xdr:cNvSpPr/>
        </xdr:nvSpPr>
        <xdr:spPr>
          <a:xfrm>
            <a:off x="5029200" y="857250"/>
            <a:ext cx="1472453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200" b="1" kern="0" cap="none">
                <a:latin typeface="+mn-lt"/>
                <a:cs typeface="Arial" panose="020B0604020202020204" pitchFamily="34" charset="0"/>
              </a:rPr>
              <a:t>Dashboard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142875</xdr:rowOff>
    </xdr:from>
    <xdr:to>
      <xdr:col>3</xdr:col>
      <xdr:colOff>2152650</xdr:colOff>
      <xdr:row>4</xdr:row>
      <xdr:rowOff>222811</xdr:rowOff>
    </xdr:to>
    <xdr:grpSp>
      <xdr:nvGrpSpPr>
        <xdr:cNvPr id="8" name="Grupo 7"/>
        <xdr:cNvGrpSpPr/>
      </xdr:nvGrpSpPr>
      <xdr:grpSpPr>
        <a:xfrm>
          <a:off x="200025" y="857250"/>
          <a:ext cx="6324600" cy="318061"/>
          <a:chOff x="200025" y="857250"/>
          <a:chExt cx="7924800" cy="305361"/>
        </a:xfrm>
      </xdr:grpSpPr>
      <xdr:sp macro="" textlink="">
        <xdr:nvSpPr>
          <xdr:cNvPr id="3" name="Retângulo 2"/>
          <xdr:cNvSpPr/>
        </xdr:nvSpPr>
        <xdr:spPr>
          <a:xfrm>
            <a:off x="1769783" y="863600"/>
            <a:ext cx="1489822" cy="305361"/>
          </a:xfrm>
          <a:prstGeom prst="rect">
            <a:avLst/>
          </a:prstGeom>
          <a:solidFill>
            <a:schemeClr val="bg1"/>
          </a:solidFill>
          <a:ln w="28575">
            <a:solidFill>
              <a:schemeClr val="accent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100" b="1" kern="0" cap="none">
                <a:solidFill>
                  <a:schemeClr val="accent5"/>
                </a:solidFill>
                <a:latin typeface="+mn-lt"/>
                <a:cs typeface="Arial" panose="020B0604020202020204" pitchFamily="34" charset="0"/>
              </a:rPr>
              <a:t>Balanço Patrimonial</a:t>
            </a:r>
          </a:p>
        </xdr:txBody>
      </xdr:sp>
      <xdr:sp macro="" textlink="">
        <xdr:nvSpPr>
          <xdr:cNvPr id="4" name="Retângulo 3">
            <a:hlinkClick xmlns:r="http://schemas.openxmlformats.org/officeDocument/2006/relationships" r:id="rId1"/>
          </xdr:cNvPr>
          <xdr:cNvSpPr/>
        </xdr:nvSpPr>
        <xdr:spPr>
          <a:xfrm>
            <a:off x="200025" y="857250"/>
            <a:ext cx="1472453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200" b="1" kern="0" cap="none">
                <a:latin typeface="+mn-lt"/>
                <a:cs typeface="Arial" panose="020B0604020202020204" pitchFamily="34" charset="0"/>
              </a:rPr>
              <a:t>Inicio</a:t>
            </a:r>
          </a:p>
        </xdr:txBody>
      </xdr:sp>
      <xdr:sp macro="" textlink="">
        <xdr:nvSpPr>
          <xdr:cNvPr id="6" name="Retângulo 5">
            <a:hlinkClick xmlns:r="http://schemas.openxmlformats.org/officeDocument/2006/relationships" r:id="rId2"/>
          </xdr:cNvPr>
          <xdr:cNvSpPr/>
        </xdr:nvSpPr>
        <xdr:spPr>
          <a:xfrm>
            <a:off x="3356910" y="869950"/>
            <a:ext cx="1590114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100" b="1" kern="0" cap="none">
                <a:latin typeface="+mn-lt"/>
                <a:cs typeface="Arial" panose="020B0604020202020204" pitchFamily="34" charset="0"/>
              </a:rPr>
              <a:t>KPI's</a:t>
            </a:r>
          </a:p>
        </xdr:txBody>
      </xdr:sp>
      <xdr:sp macro="" textlink="">
        <xdr:nvSpPr>
          <xdr:cNvPr id="7" name="Retângulo 6">
            <a:hlinkClick xmlns:r="http://schemas.openxmlformats.org/officeDocument/2006/relationships" r:id="rId3"/>
          </xdr:cNvPr>
          <xdr:cNvSpPr/>
        </xdr:nvSpPr>
        <xdr:spPr>
          <a:xfrm>
            <a:off x="5034803" y="866775"/>
            <a:ext cx="1489822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100" b="1" kern="0" cap="none">
                <a:latin typeface="+mn-lt"/>
                <a:cs typeface="Arial" panose="020B0604020202020204" pitchFamily="34" charset="0"/>
              </a:rPr>
              <a:t>Dashboard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1577228</xdr:colOff>
      <xdr:row>3</xdr:row>
      <xdr:rowOff>142875</xdr:rowOff>
    </xdr:from>
    <xdr:to>
      <xdr:col>2</xdr:col>
      <xdr:colOff>552450</xdr:colOff>
      <xdr:row>4</xdr:row>
      <xdr:rowOff>210111</xdr:rowOff>
    </xdr:to>
    <xdr:sp macro="" textlink="">
      <xdr:nvSpPr>
        <xdr:cNvPr id="3" name="Retângulo 2">
          <a:hlinkClick xmlns:r="http://schemas.openxmlformats.org/officeDocument/2006/relationships" r:id="rId1"/>
        </xdr:cNvPr>
        <xdr:cNvSpPr/>
      </xdr:nvSpPr>
      <xdr:spPr>
        <a:xfrm>
          <a:off x="1777253" y="857250"/>
          <a:ext cx="1489822" cy="305361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 kern="0" cap="none">
              <a:latin typeface="+mn-lt"/>
              <a:cs typeface="Arial" panose="020B0604020202020204" pitchFamily="34" charset="0"/>
            </a:rPr>
            <a:t>Balanço Patrimonial</a:t>
          </a:r>
        </a:p>
      </xdr:txBody>
    </xdr:sp>
    <xdr:clientData/>
  </xdr:twoCellAnchor>
  <xdr:twoCellAnchor>
    <xdr:from>
      <xdr:col>1</xdr:col>
      <xdr:colOff>0</xdr:colOff>
      <xdr:row>3</xdr:row>
      <xdr:rowOff>142875</xdr:rowOff>
    </xdr:from>
    <xdr:to>
      <xdr:col>1</xdr:col>
      <xdr:colOff>1472453</xdr:colOff>
      <xdr:row>4</xdr:row>
      <xdr:rowOff>210111</xdr:rowOff>
    </xdr:to>
    <xdr:sp macro="" textlink="">
      <xdr:nvSpPr>
        <xdr:cNvPr id="4" name="Retângulo 3">
          <a:hlinkClick xmlns:r="http://schemas.openxmlformats.org/officeDocument/2006/relationships" r:id="rId2"/>
        </xdr:cNvPr>
        <xdr:cNvSpPr/>
      </xdr:nvSpPr>
      <xdr:spPr>
        <a:xfrm>
          <a:off x="200025" y="857250"/>
          <a:ext cx="1472453" cy="305361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200" b="1" kern="0" cap="none">
              <a:latin typeface="+mn-lt"/>
              <a:cs typeface="Arial" panose="020B0604020202020204" pitchFamily="34" charset="0"/>
            </a:rPr>
            <a:t>Inicio</a:t>
          </a:r>
        </a:p>
      </xdr:txBody>
    </xdr:sp>
    <xdr:clientData/>
  </xdr:twoCellAnchor>
  <xdr:twoCellAnchor>
    <xdr:from>
      <xdr:col>2</xdr:col>
      <xdr:colOff>680197</xdr:colOff>
      <xdr:row>3</xdr:row>
      <xdr:rowOff>142875</xdr:rowOff>
    </xdr:from>
    <xdr:to>
      <xdr:col>5</xdr:col>
      <xdr:colOff>603436</xdr:colOff>
      <xdr:row>4</xdr:row>
      <xdr:rowOff>210111</xdr:rowOff>
    </xdr:to>
    <xdr:sp macro="" textlink="">
      <xdr:nvSpPr>
        <xdr:cNvPr id="6" name="Retângulo 5"/>
        <xdr:cNvSpPr/>
      </xdr:nvSpPr>
      <xdr:spPr>
        <a:xfrm>
          <a:off x="3394822" y="857250"/>
          <a:ext cx="1590114" cy="305361"/>
        </a:xfrm>
        <a:prstGeom prst="rect">
          <a:avLst/>
        </a:prstGeom>
        <a:solidFill>
          <a:sysClr val="window" lastClr="FFFFFF"/>
        </a:solidFill>
        <a:ln w="28575"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 kern="0" cap="none">
              <a:solidFill>
                <a:schemeClr val="accent5"/>
              </a:solidFill>
              <a:latin typeface="+mn-lt"/>
              <a:cs typeface="Arial" panose="020B0604020202020204" pitchFamily="34" charset="0"/>
            </a:rPr>
            <a:t>Indicadores </a:t>
          </a:r>
          <a:r>
            <a:rPr lang="pt-BR" sz="1100" b="1" kern="0" cap="none" baseline="0">
              <a:solidFill>
                <a:schemeClr val="accent5"/>
              </a:solidFill>
              <a:latin typeface="+mn-lt"/>
              <a:cs typeface="Arial" panose="020B0604020202020204" pitchFamily="34" charset="0"/>
            </a:rPr>
            <a:t>Financeiros</a:t>
          </a:r>
          <a:endParaRPr lang="pt-BR" sz="1100" b="1" kern="0" cap="none">
            <a:solidFill>
              <a:schemeClr val="accent5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123825</xdr:colOff>
      <xdr:row>3</xdr:row>
      <xdr:rowOff>142875</xdr:rowOff>
    </xdr:from>
    <xdr:to>
      <xdr:col>8</xdr:col>
      <xdr:colOff>380439</xdr:colOff>
      <xdr:row>4</xdr:row>
      <xdr:rowOff>210111</xdr:rowOff>
    </xdr:to>
    <xdr:sp macro="" textlink="">
      <xdr:nvSpPr>
        <xdr:cNvPr id="11" name="Retângulo 10">
          <a:hlinkClick xmlns:r="http://schemas.openxmlformats.org/officeDocument/2006/relationships" r:id="rId3"/>
        </xdr:cNvPr>
        <xdr:cNvSpPr/>
      </xdr:nvSpPr>
      <xdr:spPr>
        <a:xfrm>
          <a:off x="5114925" y="857250"/>
          <a:ext cx="1475814" cy="305361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200" b="1" kern="0" cap="none">
              <a:latin typeface="+mn-lt"/>
              <a:cs typeface="Arial" panose="020B0604020202020204" pitchFamily="34" charset="0"/>
            </a:rPr>
            <a:t>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95249</xdr:colOff>
      <xdr:row>4</xdr:row>
      <xdr:rowOff>79831</xdr:rowOff>
    </xdr:from>
    <xdr:to>
      <xdr:col>3</xdr:col>
      <xdr:colOff>561974</xdr:colOff>
      <xdr:row>5</xdr:row>
      <xdr:rowOff>217050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124" y="622756"/>
          <a:ext cx="466725" cy="432494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11</xdr:row>
      <xdr:rowOff>228599</xdr:rowOff>
    </xdr:from>
    <xdr:to>
      <xdr:col>7</xdr:col>
      <xdr:colOff>790575</xdr:colOff>
      <xdr:row>22</xdr:row>
      <xdr:rowOff>285749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161925</xdr:colOff>
      <xdr:row>11</xdr:row>
      <xdr:rowOff>257174</xdr:rowOff>
    </xdr:from>
    <xdr:to>
      <xdr:col>19</xdr:col>
      <xdr:colOff>819150</xdr:colOff>
      <xdr:row>23</xdr:row>
      <xdr:rowOff>19049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504825</xdr:colOff>
      <xdr:row>16</xdr:row>
      <xdr:rowOff>190500</xdr:rowOff>
    </xdr:from>
    <xdr:to>
      <xdr:col>18</xdr:col>
      <xdr:colOff>600075</xdr:colOff>
      <xdr:row>18</xdr:row>
      <xdr:rowOff>95250</xdr:rowOff>
    </xdr:to>
    <xdr:sp macro="" textlink="Indicadores!C22">
      <xdr:nvSpPr>
        <xdr:cNvPr id="18" name="CaixaDeTexto 17"/>
        <xdr:cNvSpPr txBox="1"/>
      </xdr:nvSpPr>
      <xdr:spPr>
        <a:xfrm>
          <a:off x="10563225" y="3695700"/>
          <a:ext cx="11715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2757066-DB8A-4CC7-9FAE-F3AFAE05D56B}" type="TxLink">
            <a:rPr lang="en-US" sz="3200" b="1" i="0" u="none" strike="noStrike">
              <a:solidFill>
                <a:srgbClr val="404040"/>
              </a:solidFill>
              <a:latin typeface="Arial"/>
              <a:cs typeface="Arial"/>
            </a:rPr>
            <a:pPr algn="ctr"/>
            <a:t>56%</a:t>
          </a:fld>
          <a:endParaRPr lang="pt-BR" sz="3200" b="1"/>
        </a:p>
      </xdr:txBody>
    </xdr:sp>
    <xdr:clientData/>
  </xdr:twoCellAnchor>
  <xdr:twoCellAnchor>
    <xdr:from>
      <xdr:col>4</xdr:col>
      <xdr:colOff>466725</xdr:colOff>
      <xdr:row>16</xdr:row>
      <xdr:rowOff>180975</xdr:rowOff>
    </xdr:from>
    <xdr:to>
      <xdr:col>6</xdr:col>
      <xdr:colOff>561975</xdr:colOff>
      <xdr:row>18</xdr:row>
      <xdr:rowOff>85725</xdr:rowOff>
    </xdr:to>
    <xdr:sp macro="" textlink="Indicadores!#REF!">
      <xdr:nvSpPr>
        <xdr:cNvPr id="19" name="CaixaDeTexto 18"/>
        <xdr:cNvSpPr txBox="1"/>
      </xdr:nvSpPr>
      <xdr:spPr>
        <a:xfrm>
          <a:off x="2447925" y="3686175"/>
          <a:ext cx="11715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DFB340A-2140-40FA-B34E-D4C34986AA60}" type="TxLink">
            <a:rPr lang="en-US" sz="3200" b="1" i="0" u="none" strike="noStrike">
              <a:solidFill>
                <a:srgbClr val="404040"/>
              </a:solidFill>
              <a:latin typeface="Arial"/>
              <a:ea typeface="+mn-ea"/>
              <a:cs typeface="Arial"/>
            </a:rPr>
            <a:pPr marL="0" indent="0" algn="ctr"/>
            <a:t> </a:t>
          </a:fld>
          <a:endParaRPr lang="pt-BR" sz="3200" b="1" i="0" u="none" strike="noStrike">
            <a:solidFill>
              <a:srgbClr val="40404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 editAs="oneCell">
    <xdr:from>
      <xdr:col>9</xdr:col>
      <xdr:colOff>857250</xdr:colOff>
      <xdr:row>11</xdr:row>
      <xdr:rowOff>142875</xdr:rowOff>
    </xdr:from>
    <xdr:to>
      <xdr:col>13</xdr:col>
      <xdr:colOff>113689</xdr:colOff>
      <xdr:row>18</xdr:row>
      <xdr:rowOff>294664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075" y="2562225"/>
          <a:ext cx="2218714" cy="2218714"/>
        </a:xfrm>
        <a:prstGeom prst="rect">
          <a:avLst/>
        </a:prstGeom>
      </xdr:spPr>
    </xdr:pic>
    <xdr:clientData/>
  </xdr:twoCellAnchor>
  <xdr:twoCellAnchor editAs="absolute">
    <xdr:from>
      <xdr:col>1</xdr:col>
      <xdr:colOff>125474</xdr:colOff>
      <xdr:row>1</xdr:row>
      <xdr:rowOff>190499</xdr:rowOff>
    </xdr:from>
    <xdr:to>
      <xdr:col>1</xdr:col>
      <xdr:colOff>990947</xdr:colOff>
      <xdr:row>6</xdr:row>
      <xdr:rowOff>124223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24" y="285749"/>
          <a:ext cx="865473" cy="990999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8</xdr:row>
      <xdr:rowOff>152400</xdr:rowOff>
    </xdr:from>
    <xdr:to>
      <xdr:col>1</xdr:col>
      <xdr:colOff>1028699</xdr:colOff>
      <xdr:row>14</xdr:row>
      <xdr:rowOff>124386</xdr:rowOff>
    </xdr:to>
    <xdr:grpSp>
      <xdr:nvGrpSpPr>
        <xdr:cNvPr id="9" name="Grupo 8"/>
        <xdr:cNvGrpSpPr/>
      </xdr:nvGrpSpPr>
      <xdr:grpSpPr>
        <a:xfrm>
          <a:off x="171449" y="1724025"/>
          <a:ext cx="952500" cy="1743636"/>
          <a:chOff x="161924" y="1657350"/>
          <a:chExt cx="942975" cy="1857936"/>
        </a:xfrm>
      </xdr:grpSpPr>
      <xdr:sp macro="" textlink="">
        <xdr:nvSpPr>
          <xdr:cNvPr id="23" name="Retângulo 22">
            <a:hlinkClick xmlns:r="http://schemas.openxmlformats.org/officeDocument/2006/relationships" r:id="rId6"/>
          </xdr:cNvPr>
          <xdr:cNvSpPr/>
        </xdr:nvSpPr>
        <xdr:spPr>
          <a:xfrm>
            <a:off x="180974" y="1724025"/>
            <a:ext cx="942975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200" b="1" kern="0" cap="none">
                <a:latin typeface="+mn-lt"/>
                <a:cs typeface="Arial" panose="020B0604020202020204" pitchFamily="34" charset="0"/>
              </a:rPr>
              <a:t>Inicio</a:t>
            </a:r>
          </a:p>
        </xdr:txBody>
      </xdr:sp>
      <xdr:sp macro="" textlink="">
        <xdr:nvSpPr>
          <xdr:cNvPr id="26" name="Retângulo 25">
            <a:hlinkClick xmlns:r="http://schemas.openxmlformats.org/officeDocument/2006/relationships" r:id="rId7"/>
          </xdr:cNvPr>
          <xdr:cNvSpPr/>
        </xdr:nvSpPr>
        <xdr:spPr>
          <a:xfrm>
            <a:off x="180974" y="2200275"/>
            <a:ext cx="942975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pt-BR" sz="1200" b="1" kern="0" cap="none">
                <a:latin typeface="+mn-lt"/>
                <a:cs typeface="Arial" panose="020B0604020202020204" pitchFamily="34" charset="0"/>
              </a:rPr>
              <a:t>BP</a:t>
            </a:r>
          </a:p>
        </xdr:txBody>
      </xdr:sp>
      <xdr:sp macro="" textlink="">
        <xdr:nvSpPr>
          <xdr:cNvPr id="28" name="Retângulo 27">
            <a:hlinkClick xmlns:r="http://schemas.openxmlformats.org/officeDocument/2006/relationships" r:id="rId8"/>
          </xdr:cNvPr>
          <xdr:cNvSpPr/>
        </xdr:nvSpPr>
        <xdr:spPr>
          <a:xfrm>
            <a:off x="180974" y="2676525"/>
            <a:ext cx="942975" cy="305361"/>
          </a:xfrm>
          <a:prstGeom prst="rect">
            <a:avLst/>
          </a:prstGeom>
          <a:solidFill>
            <a:schemeClr val="accent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r>
              <a:rPr lang="pt-BR" sz="1200" b="1" kern="0" cap="none">
                <a:solidFill>
                  <a:schemeClr val="lt1"/>
                </a:solidFill>
                <a:latin typeface="+mn-lt"/>
                <a:ea typeface="+mn-ea"/>
                <a:cs typeface="Arial" panose="020B0604020202020204" pitchFamily="34" charset="0"/>
              </a:rPr>
              <a:t>KPI's</a:t>
            </a:r>
          </a:p>
        </xdr:txBody>
      </xdr:sp>
      <xdr:sp macro="" textlink="">
        <xdr:nvSpPr>
          <xdr:cNvPr id="29" name="Retângulo 28">
            <a:hlinkClick xmlns:r="http://schemas.openxmlformats.org/officeDocument/2006/relationships" r:id="rId9"/>
          </xdr:cNvPr>
          <xdr:cNvSpPr/>
        </xdr:nvSpPr>
        <xdr:spPr>
          <a:xfrm>
            <a:off x="171449" y="3162300"/>
            <a:ext cx="942975" cy="305361"/>
          </a:xfrm>
          <a:prstGeom prst="rect">
            <a:avLst/>
          </a:prstGeom>
          <a:noFill/>
          <a:ln w="28575">
            <a:solidFill>
              <a:schemeClr val="accent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marL="0" indent="0" algn="ctr"/>
            <a:r>
              <a:rPr lang="pt-BR" sz="1200" b="1" kern="0" cap="none">
                <a:solidFill>
                  <a:schemeClr val="accent5"/>
                </a:solidFill>
                <a:latin typeface="+mn-lt"/>
                <a:ea typeface="+mn-ea"/>
                <a:cs typeface="Arial" panose="020B0604020202020204" pitchFamily="34" charset="0"/>
              </a:rPr>
              <a:t>DASH</a:t>
            </a:r>
          </a:p>
        </xdr:txBody>
      </xdr:sp>
    </xdr:grpSp>
    <xdr:clientData/>
  </xdr:twoCellAnchor>
  <xdr:twoCellAnchor>
    <xdr:from>
      <xdr:col>4</xdr:col>
      <xdr:colOff>438150</xdr:colOff>
      <xdr:row>16</xdr:row>
      <xdr:rowOff>152400</xdr:rowOff>
    </xdr:from>
    <xdr:to>
      <xdr:col>6</xdr:col>
      <xdr:colOff>533400</xdr:colOff>
      <xdr:row>18</xdr:row>
      <xdr:rowOff>57150</xdr:rowOff>
    </xdr:to>
    <xdr:sp macro="" textlink="Indicadores!C23">
      <xdr:nvSpPr>
        <xdr:cNvPr id="22" name="CaixaDeTexto 21"/>
        <xdr:cNvSpPr txBox="1"/>
      </xdr:nvSpPr>
      <xdr:spPr>
        <a:xfrm>
          <a:off x="2667000" y="4086225"/>
          <a:ext cx="11715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8C917CF-4BB9-4492-BB1E-775A219CF39E}" type="TxLink">
            <a:rPr lang="en-US" sz="3200" b="1" i="0" u="none" strike="noStrike">
              <a:solidFill>
                <a:srgbClr val="404040"/>
              </a:solidFill>
              <a:latin typeface="Arial"/>
              <a:ea typeface="+mn-ea"/>
              <a:cs typeface="Arial"/>
            </a:rPr>
            <a:pPr marL="0" indent="0" algn="ctr"/>
            <a:t>86%</a:t>
          </a:fld>
          <a:endParaRPr lang="pt-BR" sz="3200" b="1" i="0" u="none" strike="noStrike">
            <a:solidFill>
              <a:srgbClr val="404040"/>
            </a:solidFill>
            <a:latin typeface="Arial"/>
            <a:ea typeface="+mn-ea"/>
            <a:cs typeface="Arial"/>
          </a:endParaRPr>
        </a:p>
      </xdr:txBody>
    </xdr:sp>
    <xdr:clientData/>
  </xdr:twoCellAnchor>
  <xdr:oneCellAnchor>
    <xdr:from>
      <xdr:col>15</xdr:col>
      <xdr:colOff>142874</xdr:colOff>
      <xdr:row>4</xdr:row>
      <xdr:rowOff>112736</xdr:rowOff>
    </xdr:from>
    <xdr:ext cx="438151" cy="406017"/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0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49" y="655661"/>
          <a:ext cx="438151" cy="406017"/>
        </a:xfrm>
        <a:prstGeom prst="rect">
          <a:avLst/>
        </a:prstGeom>
      </xdr:spPr>
    </xdr:pic>
    <xdr:clientData/>
  </xdr:oneCellAnchor>
  <xdr:oneCellAnchor>
    <xdr:from>
      <xdr:col>9</xdr:col>
      <xdr:colOff>95249</xdr:colOff>
      <xdr:row>4</xdr:row>
      <xdr:rowOff>77605</xdr:rowOff>
    </xdr:from>
    <xdr:ext cx="476251" cy="441324"/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4" y="620530"/>
          <a:ext cx="476251" cy="4413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Personalizada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C2B6"/>
      </a:accent1>
      <a:accent2>
        <a:srgbClr val="546164"/>
      </a:accent2>
      <a:accent3>
        <a:srgbClr val="FD7975"/>
      </a:accent3>
      <a:accent4>
        <a:srgbClr val="F2C80F"/>
      </a:accent4>
      <a:accent5>
        <a:srgbClr val="768082"/>
      </a:accent5>
      <a:accent6>
        <a:srgbClr val="168980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82"/>
  <sheetViews>
    <sheetView showGridLines="0" showRowColHeaders="0" zoomScaleNormal="10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1" width="3" style="1" customWidth="1"/>
    <col min="2" max="2" width="47.85546875" style="1" customWidth="1"/>
    <col min="3" max="15" width="9.140625" style="1" customWidth="1"/>
    <col min="16" max="63" width="9.140625" style="1" hidden="1" customWidth="1"/>
    <col min="64" max="67" width="6.7109375" style="1" hidden="1" customWidth="1"/>
    <col min="68" max="85" width="9.140625" style="1" hidden="1" customWidth="1"/>
    <col min="86" max="121" width="0" style="1" hidden="1" customWidth="1"/>
    <col min="122" max="16384" width="9.140625" style="1" hidden="1"/>
  </cols>
  <sheetData>
    <row r="1" spans="1:85" s="5" customFormat="1" ht="18.95" customHeight="1" x14ac:dyDescent="0.25"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s="5" customFormat="1" ht="18.95" customHeight="1" x14ac:dyDescent="0.25"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s="5" customFormat="1" ht="18.95" customHeight="1" x14ac:dyDescent="0.25"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 s="5" customFormat="1" ht="18.95" customHeight="1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 s="5" customFormat="1" ht="18.95" customHeigh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 s="5" customFormat="1" ht="9" customHeight="1" x14ac:dyDescent="0.25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 s="5" customFormat="1" ht="18.95" customHeight="1" x14ac:dyDescent="0.25"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 s="6" customFormat="1" ht="30" customHeight="1" x14ac:dyDescent="0.25">
      <c r="B8" s="7" t="s">
        <v>78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s="6" customFormat="1" ht="18.95" customHeight="1" x14ac:dyDescent="0.25"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 s="5" customFormat="1" ht="18.95" customHeight="1" thickBot="1" x14ac:dyDescent="0.3">
      <c r="B10" s="80" t="s">
        <v>46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s="8" customFormat="1" ht="6" customHeight="1" thickTop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s="8" customFormat="1" ht="18.95" customHeight="1" x14ac:dyDescent="0.25">
      <c r="B12" s="1" t="s">
        <v>79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s="8" customFormat="1" ht="18.95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s="8" customFormat="1" ht="18.95" customHeight="1" thickBot="1" x14ac:dyDescent="0.3">
      <c r="B14" s="80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s="8" customFormat="1" ht="9.75" customHeight="1" thickTop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 s="8" customFormat="1" ht="18.95" customHeight="1" x14ac:dyDescent="0.25">
      <c r="B16" s="1" t="s">
        <v>81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2:85" s="6" customFormat="1" ht="18.95" customHeight="1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2:85" s="6" customFormat="1" ht="18.95" customHeight="1" thickBot="1" x14ac:dyDescent="0.3">
      <c r="B18" s="80" t="s">
        <v>82</v>
      </c>
      <c r="C18" s="9"/>
      <c r="D18" s="9"/>
      <c r="E18" s="9"/>
      <c r="F18" s="9"/>
      <c r="G18" s="9"/>
      <c r="H18" s="11"/>
      <c r="I18" s="2"/>
      <c r="J18" s="9"/>
      <c r="K18" s="9"/>
      <c r="L18" s="9"/>
      <c r="M18" s="9"/>
      <c r="N18" s="9"/>
      <c r="O18" s="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2:85" s="6" customFormat="1" ht="7.5" customHeight="1" thickTop="1" x14ac:dyDescent="0.3">
      <c r="B19" s="10"/>
      <c r="C19" s="9"/>
      <c r="D19" s="9"/>
      <c r="E19" s="9"/>
      <c r="F19" s="9"/>
      <c r="G19" s="9"/>
      <c r="H19" s="11"/>
      <c r="I19" s="2"/>
      <c r="J19" s="9"/>
      <c r="K19" s="9"/>
      <c r="L19" s="9"/>
      <c r="M19" s="9"/>
      <c r="N19" s="9"/>
      <c r="O19" s="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2:85" s="8" customFormat="1" ht="18.95" customHeight="1" x14ac:dyDescent="0.25">
      <c r="B20" s="1" t="s">
        <v>83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2:85" s="6" customFormat="1" ht="18.95" customHeight="1" x14ac:dyDescent="0.3">
      <c r="B21" s="10"/>
      <c r="C21" s="9"/>
      <c r="D21" s="9"/>
      <c r="E21" s="9"/>
      <c r="F21" s="9"/>
      <c r="G21" s="9"/>
      <c r="H21" s="11"/>
      <c r="I21" s="2"/>
      <c r="J21" s="9"/>
      <c r="K21" s="9"/>
      <c r="L21" s="9"/>
      <c r="M21" s="9"/>
      <c r="N21" s="9"/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2:85" s="6" customFormat="1" ht="18.95" customHeight="1" x14ac:dyDescent="0.3">
      <c r="B22" s="82" t="s">
        <v>85</v>
      </c>
      <c r="C22" s="9"/>
      <c r="D22" s="9"/>
      <c r="E22" s="9"/>
      <c r="F22" s="9"/>
      <c r="G22" s="9"/>
      <c r="H22" s="11"/>
      <c r="I22" s="2"/>
      <c r="J22" s="9"/>
      <c r="K22" s="9"/>
      <c r="L22" s="9"/>
      <c r="M22" s="9"/>
      <c r="N22" s="9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2:85" s="6" customFormat="1" ht="30" customHeight="1" x14ac:dyDescent="0.25">
      <c r="F23" s="1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2:85" s="6" customFormat="1" ht="30" customHeight="1" x14ac:dyDescent="0.25">
      <c r="B24" s="75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2:85" ht="30" customHeight="1" x14ac:dyDescent="0.25"/>
    <row r="26" spans="2:85" s="14" customFormat="1" ht="18.95" customHeight="1" x14ac:dyDescent="0.25">
      <c r="B26" s="76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</row>
    <row r="27" spans="2:85" s="6" customFormat="1" ht="18.95" customHeight="1" x14ac:dyDescent="0.25">
      <c r="B27" s="13"/>
      <c r="C27" s="14"/>
      <c r="D27" s="14"/>
      <c r="E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2:85" s="6" customFormat="1" ht="18.95" customHeight="1" x14ac:dyDescent="0.25">
      <c r="B28" s="1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2:85" s="6" customFormat="1" ht="18.95" customHeight="1" x14ac:dyDescent="0.25">
      <c r="B29" s="1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2:85" s="6" customFormat="1" ht="18.95" customHeight="1" x14ac:dyDescent="0.25">
      <c r="B30" s="1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2:85" s="14" customFormat="1" ht="18.95" customHeight="1" x14ac:dyDescent="0.25">
      <c r="B31" s="76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</row>
    <row r="32" spans="2:85" s="6" customFormat="1" ht="18.95" customHeight="1" x14ac:dyDescent="0.25">
      <c r="B32" s="13"/>
      <c r="C32" s="14"/>
      <c r="D32" s="14"/>
      <c r="E32" s="1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2:85" s="6" customFormat="1" ht="18.95" customHeight="1" x14ac:dyDescent="0.25">
      <c r="B33" s="1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2:85" s="6" customFormat="1" ht="18.95" customHeight="1" x14ac:dyDescent="0.25">
      <c r="B34" s="1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2:85" s="6" customFormat="1" ht="18.95" customHeight="1" x14ac:dyDescent="0.25">
      <c r="B35" s="1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2:85" s="6" customFormat="1" ht="18.95" customHeight="1" x14ac:dyDescent="0.25">
      <c r="B36" s="76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2:85" s="6" customFormat="1" ht="18.95" customHeight="1" x14ac:dyDescent="0.25">
      <c r="B37" s="13"/>
      <c r="C37" s="14"/>
      <c r="D37" s="14"/>
      <c r="E37" s="1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2:85" s="6" customFormat="1" ht="18.95" customHeight="1" x14ac:dyDescent="0.25">
      <c r="B38" s="1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2:85" s="6" customFormat="1" ht="18.95" customHeight="1" x14ac:dyDescent="0.25">
      <c r="B39" s="1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2:85" s="6" customFormat="1" ht="18.95" customHeight="1" x14ac:dyDescent="0.25">
      <c r="B40" s="1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2:85" s="6" customFormat="1" ht="18.95" customHeight="1" x14ac:dyDescent="0.25">
      <c r="B41" s="17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2:85" s="6" customFormat="1" ht="18.95" customHeight="1" x14ac:dyDescent="0.25">
      <c r="B42" s="1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2:85" s="6" customFormat="1" ht="18.95" customHeight="1" x14ac:dyDescent="0.25">
      <c r="B43" s="1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2:85" s="6" customFormat="1" ht="18.95" customHeight="1" x14ac:dyDescent="0.25">
      <c r="B44" s="1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2:85" s="6" customFormat="1" ht="18.95" customHeight="1" x14ac:dyDescent="0.25">
      <c r="B45" s="1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2:85" s="6" customFormat="1" ht="18.95" customHeight="1" x14ac:dyDescent="0.25">
      <c r="B46" s="1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2:85" s="6" customFormat="1" ht="18.95" customHeight="1" x14ac:dyDescent="0.25">
      <c r="B47" s="1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2:85" s="6" customFormat="1" ht="18.95" customHeight="1" x14ac:dyDescent="0.25">
      <c r="B48" s="1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2:85" s="6" customFormat="1" ht="18.95" customHeight="1" x14ac:dyDescent="0.25">
      <c r="B49" s="1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2:85" s="6" customFormat="1" ht="18.95" customHeight="1" x14ac:dyDescent="0.25">
      <c r="B50" s="1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2:85" s="6" customFormat="1" ht="18.95" customHeight="1" x14ac:dyDescent="0.25">
      <c r="B51" s="1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2:85" s="6" customFormat="1" ht="18.95" customHeight="1" x14ac:dyDescent="0.25">
      <c r="B52" s="1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2:85" s="6" customFormat="1" ht="18.95" customHeight="1" x14ac:dyDescent="0.25">
      <c r="B53" s="1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2:85" s="6" customFormat="1" ht="18.95" customHeight="1" x14ac:dyDescent="0.25">
      <c r="B54" s="1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2:85" s="6" customFormat="1" ht="18.95" customHeight="1" x14ac:dyDescent="0.25">
      <c r="B55" s="1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2:85" s="6" customFormat="1" ht="18.95" customHeight="1" x14ac:dyDescent="0.25">
      <c r="B56" s="1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2:85" s="6" customFormat="1" ht="18.95" customHeight="1" x14ac:dyDescent="0.25">
      <c r="B57" s="1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2:85" s="6" customFormat="1" ht="18.95" customHeight="1" x14ac:dyDescent="0.25">
      <c r="B58" s="1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2:85" s="6" customFormat="1" ht="18.95" customHeight="1" x14ac:dyDescent="0.25">
      <c r="B59" s="1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2:85" s="6" customFormat="1" ht="18.95" customHeight="1" x14ac:dyDescent="0.25">
      <c r="B60" s="1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2:85" s="6" customFormat="1" ht="18.95" customHeight="1" x14ac:dyDescent="0.25">
      <c r="B61" s="1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2:85" s="14" customFormat="1" ht="18.95" customHeight="1" x14ac:dyDescent="0.25">
      <c r="B62" s="76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</row>
    <row r="63" spans="2:85" s="6" customFormat="1" ht="49.5" customHeight="1" x14ac:dyDescent="0.25"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2:85" s="5" customFormat="1" ht="18.95" customHeight="1" x14ac:dyDescent="0.25">
      <c r="B64" s="17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ht="18.95" hidden="1" customHeight="1" x14ac:dyDescent="0.25"/>
    <row r="66" ht="18.95" hidden="1" customHeight="1" x14ac:dyDescent="0.25"/>
    <row r="67" ht="18.95" hidden="1" customHeight="1" x14ac:dyDescent="0.25"/>
    <row r="68" ht="18.95" hidden="1" customHeight="1" x14ac:dyDescent="0.25"/>
    <row r="69" ht="18.95" hidden="1" customHeight="1" x14ac:dyDescent="0.25"/>
    <row r="70" ht="18.95" hidden="1" customHeight="1" x14ac:dyDescent="0.25"/>
    <row r="71" ht="18.95" hidden="1" customHeight="1" x14ac:dyDescent="0.25"/>
    <row r="72" ht="18.95" hidden="1" customHeight="1" x14ac:dyDescent="0.25"/>
    <row r="73" ht="18.95" hidden="1" customHeight="1" x14ac:dyDescent="0.25"/>
    <row r="74" ht="18.95" hidden="1" customHeight="1" x14ac:dyDescent="0.25"/>
    <row r="75" ht="18.95" hidden="1" customHeight="1" x14ac:dyDescent="0.25"/>
    <row r="76" ht="18.95" hidden="1" customHeight="1" x14ac:dyDescent="0.25"/>
    <row r="77" ht="18.95" hidden="1" customHeight="1" x14ac:dyDescent="0.25"/>
    <row r="78" ht="18.95" hidden="1" customHeight="1" x14ac:dyDescent="0.25"/>
    <row r="79" ht="18.95" hidden="1" customHeight="1" x14ac:dyDescent="0.25"/>
    <row r="80" ht="18.95" hidden="1" customHeight="1" x14ac:dyDescent="0.25"/>
    <row r="81" ht="18.95" hidden="1" customHeight="1" x14ac:dyDescent="0.25"/>
    <row r="82" ht="13.5" hidden="1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showGridLines="0" showRowColHeaders="0" tabSelected="1" zoomScaleNormal="100" workbookViewId="0">
      <pane ySplit="6" topLeftCell="A34" activePane="bottomLeft" state="frozen"/>
      <selection activeCell="H2" sqref="H2"/>
      <selection pane="bottomLeft"/>
    </sheetView>
  </sheetViews>
  <sheetFormatPr defaultColWidth="9.140625" defaultRowHeight="18" x14ac:dyDescent="0.25"/>
  <cols>
    <col min="1" max="1" width="3" style="20" customWidth="1"/>
    <col min="2" max="2" width="45.140625" style="20" bestFit="1" customWidth="1"/>
    <col min="3" max="3" width="17.42578125" style="20" bestFit="1" customWidth="1"/>
    <col min="4" max="4" width="43" style="20" bestFit="1" customWidth="1"/>
    <col min="5" max="5" width="18.140625" style="20" bestFit="1" customWidth="1"/>
    <col min="6" max="8" width="9.140625" style="20" customWidth="1"/>
    <col min="9" max="11" width="9.140625" style="42" customWidth="1"/>
    <col min="12" max="35" width="9.140625" style="20" customWidth="1"/>
    <col min="36" max="16384" width="9.140625" style="20"/>
  </cols>
  <sheetData>
    <row r="1" spans="1:11" s="5" customFormat="1" ht="18.95" customHeight="1" x14ac:dyDescent="0.2">
      <c r="I1" s="40"/>
      <c r="J1" s="40"/>
      <c r="K1" s="40"/>
    </row>
    <row r="2" spans="1:11" s="5" customFormat="1" ht="18.95" customHeight="1" x14ac:dyDescent="0.2">
      <c r="I2" s="40"/>
      <c r="J2" s="40"/>
      <c r="K2" s="40"/>
    </row>
    <row r="3" spans="1:11" s="5" customFormat="1" ht="18.95" customHeight="1" x14ac:dyDescent="0.2">
      <c r="I3" s="40"/>
      <c r="J3" s="40"/>
      <c r="K3" s="40"/>
    </row>
    <row r="4" spans="1:11" s="5" customFormat="1" ht="18.95" customHeight="1" x14ac:dyDescent="0.25">
      <c r="A4" s="66"/>
      <c r="B4" s="66"/>
      <c r="C4" s="66"/>
      <c r="D4" s="66"/>
      <c r="E4" s="66"/>
      <c r="I4" s="40"/>
      <c r="J4" s="40"/>
      <c r="K4" s="40"/>
    </row>
    <row r="5" spans="1:11" s="5" customFormat="1" ht="18.95" customHeight="1" x14ac:dyDescent="0.25">
      <c r="A5" s="66"/>
      <c r="B5" s="66"/>
      <c r="C5" s="66"/>
      <c r="D5" s="66"/>
      <c r="E5" s="66"/>
      <c r="I5" s="40"/>
      <c r="J5" s="40"/>
      <c r="K5" s="40"/>
    </row>
    <row r="6" spans="1:11" s="5" customFormat="1" ht="9" customHeight="1" x14ac:dyDescent="0.25">
      <c r="A6" s="66"/>
      <c r="B6" s="66"/>
      <c r="C6" s="66"/>
      <c r="D6" s="66"/>
      <c r="E6" s="66"/>
      <c r="I6" s="40"/>
      <c r="J6" s="40"/>
      <c r="K6" s="40"/>
    </row>
    <row r="7" spans="1:11" s="19" customFormat="1" ht="18.95" customHeight="1" thickBot="1" x14ac:dyDescent="0.3">
      <c r="A7" s="18"/>
      <c r="B7" s="18"/>
      <c r="C7" s="18"/>
      <c r="D7" s="18"/>
      <c r="E7" s="18"/>
      <c r="I7" s="41"/>
      <c r="J7" s="41"/>
      <c r="K7" s="41"/>
    </row>
    <row r="8" spans="1:11" ht="18.95" customHeight="1" thickBot="1" x14ac:dyDescent="0.3">
      <c r="B8" s="86" t="s">
        <v>0</v>
      </c>
      <c r="C8" s="86"/>
      <c r="D8" s="86"/>
      <c r="E8" s="86"/>
    </row>
    <row r="9" spans="1:11" ht="18.95" customHeight="1" x14ac:dyDescent="0.25"/>
    <row r="10" spans="1:11" ht="18.95" customHeight="1" x14ac:dyDescent="0.25">
      <c r="B10" s="4"/>
      <c r="C10" s="4"/>
      <c r="D10" s="4"/>
      <c r="E10" s="4"/>
    </row>
    <row r="11" spans="1:11" ht="35.1" customHeight="1" thickBot="1" x14ac:dyDescent="0.3">
      <c r="B11" s="87" t="s">
        <v>1</v>
      </c>
      <c r="C11" s="87"/>
      <c r="D11" s="87"/>
      <c r="E11" s="87"/>
    </row>
    <row r="12" spans="1:11" ht="5.0999999999999996" customHeight="1" thickBot="1" x14ac:dyDescent="0.3">
      <c r="B12" s="21"/>
      <c r="C12" s="21"/>
      <c r="D12" s="21"/>
      <c r="E12" s="21"/>
    </row>
    <row r="13" spans="1:11" ht="24.95" customHeight="1" thickBot="1" x14ac:dyDescent="0.3">
      <c r="B13" s="88" t="s">
        <v>2</v>
      </c>
      <c r="C13" s="89"/>
      <c r="D13" s="88" t="s">
        <v>3</v>
      </c>
      <c r="E13" s="89"/>
    </row>
    <row r="14" spans="1:11" s="22" customFormat="1" ht="24.95" customHeight="1" x14ac:dyDescent="0.25">
      <c r="B14" s="90" t="s">
        <v>4</v>
      </c>
      <c r="C14" s="91"/>
      <c r="D14" s="91"/>
      <c r="E14" s="92"/>
      <c r="I14" s="41"/>
      <c r="J14" s="41"/>
      <c r="K14" s="41"/>
    </row>
    <row r="15" spans="1:11" ht="18.95" customHeight="1" x14ac:dyDescent="0.25">
      <c r="B15" s="23" t="s">
        <v>5</v>
      </c>
      <c r="C15" s="24">
        <v>104016</v>
      </c>
      <c r="D15" s="23" t="s">
        <v>6</v>
      </c>
      <c r="E15" s="24">
        <v>127040</v>
      </c>
    </row>
    <row r="16" spans="1:11" ht="18.95" customHeight="1" x14ac:dyDescent="0.25">
      <c r="B16" s="23" t="s">
        <v>7</v>
      </c>
      <c r="C16" s="24">
        <v>45164</v>
      </c>
      <c r="D16" s="23" t="s">
        <v>8</v>
      </c>
      <c r="E16" s="24">
        <v>28103.858254679202</v>
      </c>
    </row>
    <row r="17" spans="2:11" ht="18.95" customHeight="1" x14ac:dyDescent="0.25">
      <c r="B17" s="23" t="s">
        <v>9</v>
      </c>
      <c r="C17" s="24">
        <v>135687</v>
      </c>
      <c r="D17" s="23" t="s">
        <v>10</v>
      </c>
      <c r="E17" s="24">
        <v>1400</v>
      </c>
    </row>
    <row r="18" spans="2:11" ht="18.95" customHeight="1" x14ac:dyDescent="0.25">
      <c r="B18" s="23" t="s">
        <v>11</v>
      </c>
      <c r="C18" s="24">
        <v>25450</v>
      </c>
      <c r="D18" s="23" t="s">
        <v>12</v>
      </c>
      <c r="E18" s="24">
        <v>20953.353338373719</v>
      </c>
    </row>
    <row r="19" spans="2:11" ht="18.95" customHeight="1" x14ac:dyDescent="0.25">
      <c r="B19" s="23" t="s">
        <v>13</v>
      </c>
      <c r="C19" s="24">
        <v>8822.3563017999204</v>
      </c>
      <c r="D19" s="23" t="s">
        <v>14</v>
      </c>
      <c r="E19" s="24">
        <v>10306.74266699816</v>
      </c>
    </row>
    <row r="20" spans="2:11" ht="18.95" customHeight="1" x14ac:dyDescent="0.25">
      <c r="B20" s="23" t="s">
        <v>15</v>
      </c>
      <c r="C20" s="24">
        <v>33375.505523676882</v>
      </c>
      <c r="D20" s="23" t="s">
        <v>16</v>
      </c>
      <c r="E20" s="24">
        <v>4277.2879219402803</v>
      </c>
    </row>
    <row r="21" spans="2:11" ht="18.95" customHeight="1" x14ac:dyDescent="0.25">
      <c r="B21" s="23" t="s">
        <v>17</v>
      </c>
      <c r="C21" s="24">
        <v>91953.883174985487</v>
      </c>
      <c r="D21" s="23" t="s">
        <v>18</v>
      </c>
      <c r="E21" s="24">
        <v>4590</v>
      </c>
    </row>
    <row r="22" spans="2:11" ht="18.95" customHeight="1" x14ac:dyDescent="0.25">
      <c r="B22" s="23" t="s">
        <v>19</v>
      </c>
      <c r="C22" s="24">
        <v>15179.24371572428</v>
      </c>
      <c r="D22" s="23" t="s">
        <v>20</v>
      </c>
      <c r="E22" s="24">
        <v>6357.3549077405605</v>
      </c>
    </row>
    <row r="23" spans="2:11" ht="18.95" customHeight="1" x14ac:dyDescent="0.25">
      <c r="B23" s="23" t="s">
        <v>21</v>
      </c>
      <c r="C23" s="24">
        <v>0</v>
      </c>
      <c r="D23" s="23" t="s">
        <v>22</v>
      </c>
      <c r="E23" s="24">
        <v>22000</v>
      </c>
    </row>
    <row r="24" spans="2:11" ht="18.95" customHeight="1" x14ac:dyDescent="0.25">
      <c r="B24" s="67" t="s">
        <v>23</v>
      </c>
      <c r="C24" s="68">
        <f>SUM(C15:C23)</f>
        <v>459647.98871618655</v>
      </c>
      <c r="D24" s="67" t="s">
        <v>24</v>
      </c>
      <c r="E24" s="68">
        <f>SUM(E15:E23)</f>
        <v>225028.59708973186</v>
      </c>
    </row>
    <row r="25" spans="2:11" s="4" customFormat="1" ht="18.95" customHeight="1" x14ac:dyDescent="0.25">
      <c r="I25" s="43"/>
      <c r="J25" s="43"/>
      <c r="K25" s="43"/>
    </row>
    <row r="26" spans="2:11" s="22" customFormat="1" ht="24.95" customHeight="1" x14ac:dyDescent="0.25">
      <c r="B26" s="90" t="s">
        <v>68</v>
      </c>
      <c r="C26" s="91"/>
      <c r="D26" s="91"/>
      <c r="E26" s="92"/>
      <c r="I26" s="41"/>
      <c r="J26" s="41"/>
      <c r="K26" s="41"/>
    </row>
    <row r="27" spans="2:11" ht="18.95" customHeight="1" x14ac:dyDescent="0.25">
      <c r="B27" s="83" t="s">
        <v>25</v>
      </c>
      <c r="C27" s="84"/>
      <c r="D27" s="83" t="s">
        <v>26</v>
      </c>
      <c r="E27" s="84"/>
    </row>
    <row r="28" spans="2:11" ht="18.95" customHeight="1" x14ac:dyDescent="0.25">
      <c r="B28" s="23" t="s">
        <v>7</v>
      </c>
      <c r="C28" s="24">
        <v>35026.319687442323</v>
      </c>
      <c r="D28" s="23" t="s">
        <v>8</v>
      </c>
      <c r="E28" s="24">
        <v>135987</v>
      </c>
    </row>
    <row r="29" spans="2:11" ht="18.95" customHeight="1" x14ac:dyDescent="0.25">
      <c r="B29" s="23" t="s">
        <v>13</v>
      </c>
      <c r="C29" s="24">
        <v>96838.165067879847</v>
      </c>
      <c r="D29" s="23" t="s">
        <v>27</v>
      </c>
      <c r="E29" s="24">
        <v>87033.230263190766</v>
      </c>
    </row>
    <row r="30" spans="2:11" ht="18.95" customHeight="1" x14ac:dyDescent="0.25">
      <c r="B30" s="23" t="s">
        <v>11</v>
      </c>
      <c r="C30" s="24">
        <v>26540.652432069641</v>
      </c>
      <c r="D30" s="23" t="s">
        <v>10</v>
      </c>
      <c r="E30" s="24">
        <v>72729.695963972321</v>
      </c>
    </row>
    <row r="31" spans="2:11" ht="18.95" customHeight="1" x14ac:dyDescent="0.25">
      <c r="B31" s="23" t="s">
        <v>28</v>
      </c>
      <c r="C31" s="24">
        <v>25849.790070489282</v>
      </c>
      <c r="D31" s="23" t="s">
        <v>29</v>
      </c>
      <c r="E31" s="24">
        <v>18777.076125199481</v>
      </c>
    </row>
    <row r="32" spans="2:11" ht="18.95" customHeight="1" x14ac:dyDescent="0.25">
      <c r="B32" s="23" t="s">
        <v>30</v>
      </c>
      <c r="C32" s="24">
        <v>26906.606591391002</v>
      </c>
      <c r="D32" s="23" t="s">
        <v>31</v>
      </c>
      <c r="E32" s="24">
        <v>134579.96933610149</v>
      </c>
    </row>
    <row r="33" spans="2:11" ht="18.95" customHeight="1" x14ac:dyDescent="0.25">
      <c r="B33" s="67" t="s">
        <v>32</v>
      </c>
      <c r="C33" s="68">
        <f>SUM(C28:C32)</f>
        <v>211161.53384927209</v>
      </c>
      <c r="D33" s="67" t="s">
        <v>33</v>
      </c>
      <c r="E33" s="68">
        <f>SUM(E28:E32)</f>
        <v>449106.97168846405</v>
      </c>
    </row>
    <row r="34" spans="2:11" s="4" customFormat="1" ht="18.95" customHeight="1" thickBot="1" x14ac:dyDescent="0.3">
      <c r="I34" s="43"/>
      <c r="J34" s="43"/>
      <c r="K34" s="43"/>
    </row>
    <row r="35" spans="2:11" ht="18.95" customHeight="1" thickBot="1" x14ac:dyDescent="0.3">
      <c r="B35" s="85" t="s">
        <v>34</v>
      </c>
      <c r="C35" s="85"/>
      <c r="D35" s="85" t="s">
        <v>35</v>
      </c>
      <c r="E35" s="85"/>
    </row>
    <row r="36" spans="2:11" ht="18.95" customHeight="1" x14ac:dyDescent="0.25">
      <c r="B36" s="25" t="s">
        <v>36</v>
      </c>
      <c r="C36" s="26">
        <v>10650.35062190516</v>
      </c>
      <c r="D36" s="25" t="s">
        <v>47</v>
      </c>
      <c r="E36" s="26"/>
    </row>
    <row r="37" spans="2:11" ht="18.95" customHeight="1" x14ac:dyDescent="0.25">
      <c r="B37" s="27" t="s">
        <v>38</v>
      </c>
      <c r="C37" s="28">
        <v>0</v>
      </c>
      <c r="D37" s="27" t="s">
        <v>37</v>
      </c>
      <c r="E37" s="28">
        <v>416137.28302134899</v>
      </c>
    </row>
    <row r="38" spans="2:11" ht="18.95" customHeight="1" x14ac:dyDescent="0.25">
      <c r="B38" s="27" t="s">
        <v>21</v>
      </c>
      <c r="C38" s="28">
        <v>0</v>
      </c>
      <c r="D38" s="27" t="s">
        <v>39</v>
      </c>
      <c r="E38" s="28">
        <v>53726.446330495281</v>
      </c>
    </row>
    <row r="39" spans="2:11" ht="18.95" customHeight="1" x14ac:dyDescent="0.25">
      <c r="B39" s="27" t="s">
        <v>41</v>
      </c>
      <c r="C39" s="28">
        <v>462017.96763208619</v>
      </c>
      <c r="D39" s="27" t="s">
        <v>40</v>
      </c>
      <c r="E39" s="28">
        <v>53498</v>
      </c>
    </row>
    <row r="40" spans="2:11" ht="18.95" customHeight="1" x14ac:dyDescent="0.25">
      <c r="B40" s="27" t="s">
        <v>43</v>
      </c>
      <c r="C40" s="28">
        <v>54019.56495325268</v>
      </c>
      <c r="D40" s="27" t="s">
        <v>42</v>
      </c>
      <c r="E40" s="28">
        <v>0</v>
      </c>
    </row>
    <row r="41" spans="2:11" ht="18.95" customHeight="1" x14ac:dyDescent="0.25">
      <c r="B41" s="27" t="s">
        <v>21</v>
      </c>
      <c r="C41" s="28">
        <v>0</v>
      </c>
      <c r="D41" s="27"/>
      <c r="E41" s="28"/>
    </row>
    <row r="42" spans="2:11" ht="18.95" customHeight="1" x14ac:dyDescent="0.25">
      <c r="B42" s="69" t="s">
        <v>44</v>
      </c>
      <c r="C42" s="70">
        <f>SUM(C36:C41)</f>
        <v>526687.8832072441</v>
      </c>
      <c r="D42" s="69" t="s">
        <v>45</v>
      </c>
      <c r="E42" s="70">
        <f>SUM(E36:E41)</f>
        <v>523361.72935184429</v>
      </c>
    </row>
    <row r="43" spans="2:11" s="4" customFormat="1" ht="18.95" customHeight="1" x14ac:dyDescent="0.25">
      <c r="B43" s="1"/>
      <c r="C43" s="1"/>
      <c r="D43" s="1"/>
      <c r="E43" s="1"/>
      <c r="I43" s="43"/>
      <c r="J43" s="43"/>
      <c r="K43" s="43"/>
    </row>
    <row r="44" spans="2:11" x14ac:dyDescent="0.25">
      <c r="B44" s="69" t="s">
        <v>48</v>
      </c>
      <c r="C44" s="70">
        <f>C24+C33+C42</f>
        <v>1197497.4057727028</v>
      </c>
      <c r="D44" s="69" t="s">
        <v>49</v>
      </c>
      <c r="E44" s="70">
        <f>E24+E33+E42</f>
        <v>1197497.2981300401</v>
      </c>
    </row>
    <row r="45" spans="2:11" x14ac:dyDescent="0.25">
      <c r="C45" s="29"/>
      <c r="E45" s="29"/>
    </row>
    <row r="46" spans="2:11" x14ac:dyDescent="0.25">
      <c r="E46" s="29"/>
    </row>
  </sheetData>
  <sheetProtection formatCells="0" formatColumns="0" formatRows="0" insertColumns="0" insertRows="0" insertHyperlinks="0" deleteColumns="0" deleteRows="0" sort="0" autoFilter="0" pivotTables="0"/>
  <mergeCells count="10">
    <mergeCell ref="B27:C27"/>
    <mergeCell ref="D27:E27"/>
    <mergeCell ref="B35:C35"/>
    <mergeCell ref="D35:E35"/>
    <mergeCell ref="B8:E8"/>
    <mergeCell ref="B11:E11"/>
    <mergeCell ref="B13:C13"/>
    <mergeCell ref="D13:E13"/>
    <mergeCell ref="B14:E14"/>
    <mergeCell ref="B26:E26"/>
  </mergeCell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showRowColHeaders="0" zoomScaleNormal="100" workbookViewId="0">
      <pane ySplit="6" topLeftCell="A7" activePane="bottomLeft" state="frozen"/>
      <selection activeCell="H2" sqref="H2"/>
      <selection pane="bottomLeft"/>
    </sheetView>
  </sheetViews>
  <sheetFormatPr defaultColWidth="9.140625" defaultRowHeight="16.5" customHeight="1" x14ac:dyDescent="0.2"/>
  <cols>
    <col min="1" max="1" width="3" style="30" customWidth="1"/>
    <col min="2" max="2" width="37.7109375" style="30" customWidth="1"/>
    <col min="3" max="3" width="12.7109375" style="30" bestFit="1" customWidth="1"/>
    <col min="4" max="4" width="9.140625" style="30" customWidth="1"/>
    <col min="5" max="5" width="3.140625" style="30" customWidth="1"/>
    <col min="6" max="9" width="9.140625" style="30" customWidth="1"/>
    <col min="10" max="10" width="22.42578125" style="30" customWidth="1"/>
    <col min="11" max="16384" width="9.140625" style="30"/>
  </cols>
  <sheetData>
    <row r="1" spans="1:10" ht="18.95" customHeight="1" x14ac:dyDescent="0.2"/>
    <row r="2" spans="1:10" ht="18.95" customHeight="1" x14ac:dyDescent="0.2"/>
    <row r="3" spans="1:10" ht="18.95" customHeight="1" x14ac:dyDescent="0.2"/>
    <row r="4" spans="1:10" ht="18.95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ht="18.9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0" ht="9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0" customFormat="1" ht="18.95" customHeight="1" thickBot="1" x14ac:dyDescent="0.3"/>
    <row r="8" spans="1:10" customFormat="1" ht="18.95" customHeight="1" thickBot="1" x14ac:dyDescent="0.3">
      <c r="B8" s="86" t="s">
        <v>0</v>
      </c>
      <c r="C8" s="86"/>
      <c r="D8" s="86"/>
      <c r="E8" s="86"/>
      <c r="F8" s="86"/>
      <c r="G8" s="86"/>
      <c r="H8" s="86"/>
      <c r="I8" s="86"/>
      <c r="J8" s="86"/>
    </row>
    <row r="9" spans="1:10" customFormat="1" ht="18.95" customHeight="1" x14ac:dyDescent="0.25"/>
    <row r="10" spans="1:10" ht="18.95" customHeight="1" x14ac:dyDescent="0.2"/>
    <row r="11" spans="1:10" ht="35.1" customHeight="1" x14ac:dyDescent="0.2">
      <c r="B11" s="93" t="s">
        <v>50</v>
      </c>
      <c r="C11" s="94"/>
      <c r="D11" s="94"/>
      <c r="E11" s="94"/>
      <c r="F11" s="94"/>
      <c r="G11" s="94"/>
      <c r="H11" s="94"/>
      <c r="I11" s="94"/>
      <c r="J11" s="94"/>
    </row>
    <row r="12" spans="1:10" ht="18.95" customHeight="1" x14ac:dyDescent="0.2"/>
    <row r="13" spans="1:10" ht="18.95" customHeight="1" x14ac:dyDescent="0.2"/>
    <row r="14" spans="1:10" ht="18.95" customHeight="1" x14ac:dyDescent="0.25">
      <c r="B14" s="95" t="s">
        <v>51</v>
      </c>
      <c r="C14" s="96"/>
      <c r="D14" s="97"/>
      <c r="E14" s="32"/>
      <c r="F14" s="33"/>
      <c r="G14" s="33"/>
      <c r="H14" s="33"/>
      <c r="I14" s="33"/>
      <c r="J14" s="33"/>
    </row>
    <row r="15" spans="1:10" ht="18.95" customHeight="1" x14ac:dyDescent="0.25">
      <c r="B15" s="3" t="s">
        <v>76</v>
      </c>
      <c r="C15" s="34">
        <f>IFERROR(BP!C24-BP!E24,"")</f>
        <v>234619.39162645469</v>
      </c>
      <c r="D15" s="35" t="s">
        <v>52</v>
      </c>
      <c r="E15" s="32"/>
      <c r="F15" s="36" t="s">
        <v>53</v>
      </c>
      <c r="G15" s="33"/>
      <c r="H15" s="33"/>
      <c r="I15" s="33"/>
      <c r="J15" s="33"/>
    </row>
    <row r="16" spans="1:10" ht="18.95" customHeight="1" x14ac:dyDescent="0.25">
      <c r="B16" s="3" t="s">
        <v>54</v>
      </c>
      <c r="C16" s="37">
        <f>IFERROR(BP!C44/BP!E24,"")</f>
        <v>5.3215343350125028</v>
      </c>
      <c r="D16" s="35" t="s">
        <v>55</v>
      </c>
      <c r="E16" s="32"/>
      <c r="F16" s="36" t="s">
        <v>56</v>
      </c>
      <c r="G16" s="33"/>
      <c r="H16" s="33"/>
      <c r="I16" s="33"/>
      <c r="J16" s="33"/>
    </row>
    <row r="17" spans="2:16" ht="18.95" customHeight="1" x14ac:dyDescent="0.25">
      <c r="B17" s="3" t="s">
        <v>57</v>
      </c>
      <c r="C17" s="37">
        <f>IFERROR(BP!C24/BP!E24,"")</f>
        <v>2.0426203365294877</v>
      </c>
      <c r="D17" s="35" t="s">
        <v>55</v>
      </c>
      <c r="E17" s="32"/>
      <c r="F17" s="36" t="s">
        <v>58</v>
      </c>
      <c r="G17" s="33"/>
      <c r="H17" s="33"/>
      <c r="I17" s="33"/>
      <c r="J17" s="33"/>
    </row>
    <row r="18" spans="2:16" ht="18.95" customHeight="1" x14ac:dyDescent="0.25">
      <c r="B18" s="3" t="s">
        <v>59</v>
      </c>
      <c r="C18" s="37">
        <f>IFERROR((BP!C24-BP!C17)/BP!E24,"")</f>
        <v>1.4396436404347517</v>
      </c>
      <c r="D18" s="35" t="s">
        <v>55</v>
      </c>
      <c r="E18" s="32"/>
      <c r="F18" s="36" t="s">
        <v>60</v>
      </c>
      <c r="G18" s="33"/>
      <c r="H18" s="33"/>
      <c r="I18" s="33"/>
      <c r="J18" s="33"/>
    </row>
    <row r="19" spans="2:16" ht="18.95" customHeight="1" x14ac:dyDescent="0.25">
      <c r="B19" s="3" t="s">
        <v>61</v>
      </c>
      <c r="C19" s="37">
        <f>IFERROR(BP!C15/BP!E24,"")</f>
        <v>0.46223458416053154</v>
      </c>
      <c r="D19" s="35" t="s">
        <v>55</v>
      </c>
      <c r="E19" s="32"/>
      <c r="F19" s="36" t="s">
        <v>62</v>
      </c>
      <c r="G19" s="33"/>
      <c r="H19" s="33"/>
      <c r="I19" s="33"/>
      <c r="J19" s="33"/>
    </row>
    <row r="20" spans="2:16" customFormat="1" ht="18.95" customHeight="1" x14ac:dyDescent="0.25"/>
    <row r="21" spans="2:16" ht="18.95" customHeight="1" x14ac:dyDescent="0.25">
      <c r="B21" s="95" t="s">
        <v>63</v>
      </c>
      <c r="C21" s="96"/>
      <c r="D21" s="97"/>
      <c r="E21" s="32"/>
      <c r="F21" s="36"/>
      <c r="G21" s="33"/>
      <c r="H21" s="33"/>
      <c r="I21" s="33"/>
      <c r="J21" s="33"/>
      <c r="N21" s="71"/>
      <c r="O21" s="71"/>
      <c r="P21" s="71"/>
    </row>
    <row r="22" spans="2:16" ht="18.95" customHeight="1" x14ac:dyDescent="0.25">
      <c r="B22" s="3" t="s">
        <v>77</v>
      </c>
      <c r="C22" s="38">
        <f>IFERROR((BP!E24+BP!E33)/BP!C44,"")</f>
        <v>0.56295367783548556</v>
      </c>
      <c r="D22" s="35" t="s">
        <v>64</v>
      </c>
      <c r="E22" s="32"/>
      <c r="F22" s="36" t="s">
        <v>65</v>
      </c>
      <c r="G22" s="33"/>
      <c r="H22" s="33"/>
      <c r="I22" s="33"/>
      <c r="J22" s="33"/>
      <c r="N22" s="72">
        <f>C22</f>
        <v>0.56295367783548556</v>
      </c>
      <c r="O22" s="72">
        <f>100%-N22</f>
        <v>0.43704632216451444</v>
      </c>
      <c r="P22" s="71"/>
    </row>
    <row r="23" spans="2:16" ht="18.95" customHeight="1" x14ac:dyDescent="0.25">
      <c r="B23" s="3" t="s">
        <v>66</v>
      </c>
      <c r="C23" s="38">
        <f>IFERROR(BP!E33/BP!E42,"")</f>
        <v>0.85811962644777096</v>
      </c>
      <c r="D23" s="35" t="s">
        <v>64</v>
      </c>
      <c r="E23" s="32"/>
      <c r="F23" s="36" t="s">
        <v>67</v>
      </c>
      <c r="G23" s="33"/>
      <c r="H23" s="33"/>
      <c r="I23" s="33"/>
      <c r="J23" s="33"/>
      <c r="M23" s="72">
        <f>C23</f>
        <v>0.85811962644777096</v>
      </c>
      <c r="N23" s="72">
        <f>100%-M23</f>
        <v>0.14188037355222904</v>
      </c>
      <c r="O23" s="71"/>
      <c r="P23" s="71"/>
    </row>
    <row r="24" spans="2:16" customFormat="1" ht="18.95" customHeight="1" x14ac:dyDescent="0.25">
      <c r="N24" s="73"/>
      <c r="O24" s="73"/>
      <c r="P24" s="73"/>
    </row>
  </sheetData>
  <sheetProtection formatCells="0" formatColumns="0"/>
  <mergeCells count="4">
    <mergeCell ref="B8:J8"/>
    <mergeCell ref="B11:J11"/>
    <mergeCell ref="B14:D14"/>
    <mergeCell ref="B21:D21"/>
  </mergeCells>
  <pageMargins left="0.78740157499999996" right="0.78740157499999996" top="0.984251969" bottom="0.984251969" header="0.49212598499999999" footer="0.49212598499999999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0" sqref="I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5"/>
  <sheetViews>
    <sheetView showGridLines="0" showRowColHeaders="0" workbookViewId="0">
      <selection activeCell="B21" sqref="B21"/>
    </sheetView>
  </sheetViews>
  <sheetFormatPr defaultColWidth="14.140625" defaultRowHeight="23.25" customHeight="1" x14ac:dyDescent="0.25"/>
  <cols>
    <col min="1" max="1" width="1.42578125" style="39" customWidth="1"/>
    <col min="2" max="2" width="16.42578125" style="39" customWidth="1"/>
    <col min="3" max="3" width="1.42578125" style="39" customWidth="1"/>
    <col min="4" max="5" width="14.140625" style="39"/>
    <col min="6" max="6" width="2" style="39" customWidth="1"/>
    <col min="7" max="8" width="14.140625" style="39"/>
    <col min="9" max="9" width="2" style="39" customWidth="1"/>
    <col min="10" max="11" width="14.140625" style="39"/>
    <col min="12" max="12" width="2" style="39" customWidth="1"/>
    <col min="13" max="14" width="14.140625" style="39"/>
    <col min="15" max="15" width="2" style="39" customWidth="1"/>
    <col min="16" max="17" width="14.140625" style="39"/>
    <col min="18" max="18" width="2" style="39" customWidth="1"/>
    <col min="19" max="20" width="14.140625" style="39"/>
    <col min="21" max="21" width="2" style="39" customWidth="1"/>
    <col min="22" max="23" width="14.140625" style="39"/>
    <col min="24" max="24" width="20" style="39" bestFit="1" customWidth="1"/>
    <col min="25" max="16384" width="14.140625" style="39"/>
  </cols>
  <sheetData>
    <row r="1" spans="2:24" ht="6.6" customHeight="1" x14ac:dyDescent="0.25"/>
    <row r="2" spans="2:24" ht="23.25" customHeight="1" x14ac:dyDescent="0.25">
      <c r="B2" s="98"/>
      <c r="D2" s="111" t="s">
        <v>84</v>
      </c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</row>
    <row r="3" spans="2:24" ht="7.5" customHeight="1" x14ac:dyDescent="0.25">
      <c r="B3" s="98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</row>
    <row r="4" spans="2:24" ht="6.6" customHeight="1" x14ac:dyDescent="0.25">
      <c r="B4" s="98"/>
    </row>
    <row r="5" spans="2:24" ht="23.25" customHeight="1" x14ac:dyDescent="0.25">
      <c r="B5" s="98"/>
      <c r="D5" s="112">
        <f>X5</f>
        <v>1197497.4057727028</v>
      </c>
      <c r="E5" s="112"/>
      <c r="F5" s="112"/>
      <c r="G5" s="112"/>
      <c r="H5" s="112"/>
      <c r="J5" s="112">
        <f>X6</f>
        <v>674135.56877819588</v>
      </c>
      <c r="K5" s="112"/>
      <c r="L5" s="112"/>
      <c r="M5" s="112"/>
      <c r="N5" s="112"/>
      <c r="O5" s="81"/>
      <c r="P5" s="112">
        <f>X7</f>
        <v>523361.72935184429</v>
      </c>
      <c r="Q5" s="112"/>
      <c r="R5" s="112"/>
      <c r="S5" s="112"/>
      <c r="T5" s="112"/>
      <c r="V5" s="44"/>
      <c r="W5" s="44" t="s">
        <v>72</v>
      </c>
      <c r="X5" s="45">
        <f>BP!C44</f>
        <v>1197497.4057727028</v>
      </c>
    </row>
    <row r="6" spans="2:24" ht="23.25" customHeight="1" thickBot="1" x14ac:dyDescent="0.3">
      <c r="B6" s="98"/>
      <c r="D6" s="113"/>
      <c r="E6" s="113"/>
      <c r="F6" s="113"/>
      <c r="G6" s="113"/>
      <c r="H6" s="113"/>
      <c r="J6" s="116"/>
      <c r="K6" s="116"/>
      <c r="L6" s="116"/>
      <c r="M6" s="116"/>
      <c r="N6" s="116"/>
      <c r="O6" s="81"/>
      <c r="P6" s="115"/>
      <c r="Q6" s="115"/>
      <c r="R6" s="115"/>
      <c r="S6" s="115"/>
      <c r="T6" s="115"/>
      <c r="V6" s="44"/>
      <c r="W6" s="44" t="s">
        <v>69</v>
      </c>
      <c r="X6" s="45">
        <f>BP!E24+BP!E33</f>
        <v>674135.56877819588</v>
      </c>
    </row>
    <row r="7" spans="2:24" ht="28.5" customHeight="1" thickTop="1" x14ac:dyDescent="0.25">
      <c r="B7" s="98"/>
      <c r="D7" s="114" t="s">
        <v>48</v>
      </c>
      <c r="E7" s="114"/>
      <c r="F7" s="114"/>
      <c r="G7" s="114"/>
      <c r="H7" s="114"/>
      <c r="J7" s="114" t="s">
        <v>69</v>
      </c>
      <c r="K7" s="114"/>
      <c r="L7" s="114"/>
      <c r="M7" s="114"/>
      <c r="N7" s="114"/>
      <c r="O7" s="81"/>
      <c r="P7" s="114" t="s">
        <v>75</v>
      </c>
      <c r="Q7" s="114"/>
      <c r="R7" s="114"/>
      <c r="S7" s="114"/>
      <c r="T7" s="114"/>
      <c r="V7" s="44"/>
      <c r="W7" s="44" t="s">
        <v>45</v>
      </c>
      <c r="X7" s="45">
        <f>BP!E42</f>
        <v>523361.72935184429</v>
      </c>
    </row>
    <row r="8" spans="2:24" ht="6.6" customHeight="1" thickBot="1" x14ac:dyDescent="0.3">
      <c r="B8" s="61"/>
      <c r="V8" s="44"/>
      <c r="W8" s="44"/>
      <c r="X8" s="44"/>
    </row>
    <row r="9" spans="2:24" ht="23.25" customHeight="1" thickTop="1" x14ac:dyDescent="0.25">
      <c r="B9" s="46"/>
      <c r="D9" s="49"/>
      <c r="E9" s="49"/>
      <c r="F9" s="49"/>
      <c r="G9" s="51"/>
      <c r="H9" s="52"/>
      <c r="I9" s="51"/>
      <c r="J9" s="51"/>
      <c r="K9" s="51"/>
      <c r="L9" s="46"/>
      <c r="M9" s="53"/>
      <c r="N9" s="53"/>
      <c r="O9" s="54"/>
      <c r="P9" s="53"/>
      <c r="Q9" s="53"/>
      <c r="R9" s="46"/>
      <c r="S9" s="46"/>
      <c r="T9" s="46"/>
      <c r="V9" s="44"/>
      <c r="W9" s="44" t="s">
        <v>70</v>
      </c>
      <c r="X9" s="45" t="e">
        <f>#REF!</f>
        <v>#REF!</v>
      </c>
    </row>
    <row r="10" spans="2:24" ht="23.25" customHeight="1" x14ac:dyDescent="0.25">
      <c r="B10" s="46"/>
      <c r="D10" s="55" t="str">
        <f>Indicadores!B23</f>
        <v>% EXIGIVEL LP S/ PL</v>
      </c>
      <c r="E10" s="56"/>
      <c r="F10" s="56"/>
      <c r="G10" s="56"/>
      <c r="H10" s="57"/>
      <c r="I10" s="46"/>
      <c r="J10" s="58" t="str">
        <f>Indicadores!B15</f>
        <v>CAPITAL CIRCULANTE LÍQUIDO</v>
      </c>
      <c r="K10" s="58"/>
      <c r="L10" s="58"/>
      <c r="M10" s="58"/>
      <c r="N10" s="58"/>
      <c r="O10" s="50"/>
      <c r="P10" s="58" t="str">
        <f>Indicadores!B22</f>
        <v>% ENDIVIDAMENTO</v>
      </c>
      <c r="Q10" s="58"/>
      <c r="R10" s="60"/>
      <c r="S10" s="60"/>
      <c r="T10" s="60"/>
      <c r="V10" s="44"/>
      <c r="W10" s="44" t="s">
        <v>71</v>
      </c>
      <c r="X10" s="45" t="e">
        <f>SUM(#REF!-#REF!)</f>
        <v>#REF!</v>
      </c>
    </row>
    <row r="11" spans="2:24" ht="23.25" customHeight="1" x14ac:dyDescent="0.25">
      <c r="B11" s="46"/>
      <c r="D11" s="49"/>
      <c r="E11" s="49"/>
      <c r="F11" s="49"/>
      <c r="G11" s="49"/>
      <c r="H11" s="48"/>
      <c r="I11" s="46"/>
      <c r="J11" s="46"/>
      <c r="K11" s="46"/>
      <c r="L11" s="46"/>
      <c r="M11" s="46"/>
      <c r="N11" s="46"/>
      <c r="O11" s="50"/>
      <c r="P11" s="47"/>
      <c r="Q11" s="46"/>
      <c r="R11" s="46"/>
      <c r="S11" s="46"/>
      <c r="T11" s="46"/>
      <c r="V11" s="44"/>
      <c r="W11" s="44" t="s">
        <v>73</v>
      </c>
      <c r="X11" s="45" t="e">
        <f>X9-X10</f>
        <v>#REF!</v>
      </c>
    </row>
    <row r="12" spans="2:24" ht="23.25" customHeight="1" x14ac:dyDescent="0.25">
      <c r="B12" s="46"/>
      <c r="D12" s="49"/>
      <c r="E12" s="49"/>
      <c r="F12" s="49"/>
      <c r="G12" s="49"/>
      <c r="H12" s="48"/>
      <c r="I12" s="46"/>
      <c r="J12" s="46"/>
      <c r="K12" s="46"/>
      <c r="L12" s="46"/>
      <c r="M12" s="46"/>
      <c r="N12" s="46"/>
      <c r="O12" s="50"/>
      <c r="P12" s="46"/>
      <c r="Q12" s="46"/>
      <c r="R12" s="46"/>
      <c r="S12" s="46"/>
      <c r="T12" s="46"/>
      <c r="V12" s="44"/>
      <c r="W12" s="44" t="s">
        <v>74</v>
      </c>
      <c r="X12" s="44"/>
    </row>
    <row r="13" spans="2:24" ht="23.25" customHeight="1" x14ac:dyDescent="0.25">
      <c r="B13" s="46"/>
      <c r="D13" s="49"/>
      <c r="E13" s="49"/>
      <c r="F13" s="49"/>
      <c r="G13" s="49"/>
      <c r="H13" s="48"/>
      <c r="I13" s="46"/>
      <c r="J13" s="46"/>
      <c r="K13" s="46"/>
      <c r="L13" s="46"/>
      <c r="M13" s="46"/>
      <c r="N13" s="46"/>
      <c r="O13" s="50"/>
      <c r="P13" s="46"/>
      <c r="Q13" s="46"/>
      <c r="R13" s="46"/>
      <c r="S13" s="46"/>
      <c r="T13" s="46"/>
      <c r="V13" s="44"/>
      <c r="W13" s="44" t="s">
        <v>74</v>
      </c>
      <c r="X13" s="44"/>
    </row>
    <row r="14" spans="2:24" ht="23.25" customHeight="1" x14ac:dyDescent="0.25">
      <c r="B14" s="46"/>
      <c r="D14" s="49"/>
      <c r="E14" s="49"/>
      <c r="F14" s="49"/>
      <c r="G14" s="49"/>
      <c r="H14" s="48"/>
      <c r="I14" s="46"/>
      <c r="J14" s="46"/>
      <c r="K14" s="46"/>
      <c r="L14" s="46"/>
      <c r="M14" s="46"/>
      <c r="N14" s="46"/>
      <c r="O14" s="50"/>
      <c r="P14" s="46"/>
      <c r="Q14" s="46"/>
      <c r="R14" s="46"/>
      <c r="S14" s="46"/>
      <c r="T14" s="46"/>
      <c r="V14" s="44"/>
      <c r="W14" s="44" t="s">
        <v>74</v>
      </c>
      <c r="X14" s="44"/>
    </row>
    <row r="15" spans="2:24" ht="23.25" customHeight="1" x14ac:dyDescent="0.25">
      <c r="B15" s="46"/>
      <c r="D15" s="49"/>
      <c r="E15" s="49"/>
      <c r="F15" s="49"/>
      <c r="G15" s="49"/>
      <c r="H15" s="48"/>
      <c r="I15" s="46"/>
      <c r="J15" s="46"/>
      <c r="K15" s="46"/>
      <c r="L15" s="46"/>
      <c r="M15" s="46"/>
      <c r="N15" s="46"/>
      <c r="O15" s="50"/>
      <c r="P15" s="46"/>
      <c r="Q15" s="46"/>
      <c r="R15" s="46"/>
      <c r="S15" s="46"/>
      <c r="T15" s="46"/>
    </row>
    <row r="16" spans="2:24" ht="23.25" customHeight="1" x14ac:dyDescent="0.25">
      <c r="B16" s="61"/>
      <c r="D16" s="49"/>
      <c r="E16" s="49"/>
      <c r="F16" s="49"/>
      <c r="G16" s="49"/>
      <c r="H16" s="48"/>
      <c r="I16" s="46"/>
      <c r="J16" s="46"/>
      <c r="K16" s="46"/>
      <c r="L16" s="46"/>
      <c r="M16" s="46"/>
      <c r="N16" s="46"/>
      <c r="O16" s="50"/>
      <c r="P16" s="46"/>
      <c r="Q16" s="46"/>
      <c r="R16" s="46"/>
      <c r="S16" s="46"/>
      <c r="T16" s="46"/>
    </row>
    <row r="17" spans="2:20" ht="23.25" customHeight="1" x14ac:dyDescent="0.25">
      <c r="B17" s="61"/>
      <c r="D17" s="49"/>
      <c r="E17" s="49"/>
      <c r="F17" s="49"/>
      <c r="G17" s="49"/>
      <c r="H17" s="48"/>
      <c r="I17" s="46"/>
      <c r="J17" s="46"/>
      <c r="K17" s="46"/>
      <c r="L17" s="46"/>
      <c r="M17" s="46"/>
      <c r="N17" s="46"/>
      <c r="O17" s="50"/>
      <c r="P17" s="46"/>
      <c r="Q17" s="46"/>
      <c r="R17" s="46"/>
      <c r="S17" s="46"/>
      <c r="T17" s="46"/>
    </row>
    <row r="18" spans="2:20" ht="23.25" customHeight="1" x14ac:dyDescent="0.25">
      <c r="B18" s="61"/>
      <c r="D18" s="49"/>
      <c r="E18" s="49"/>
      <c r="F18" s="49"/>
      <c r="G18" s="49"/>
      <c r="H18" s="48"/>
      <c r="I18" s="46"/>
      <c r="J18" s="46"/>
      <c r="K18" s="46"/>
      <c r="L18" s="46"/>
      <c r="M18" s="46"/>
      <c r="N18" s="46"/>
      <c r="O18" s="50"/>
      <c r="P18" s="46"/>
      <c r="Q18" s="46"/>
      <c r="R18" s="46"/>
      <c r="S18" s="46"/>
      <c r="T18" s="46"/>
    </row>
    <row r="19" spans="2:20" ht="23.25" customHeight="1" x14ac:dyDescent="0.25">
      <c r="B19" s="61"/>
      <c r="D19" s="49"/>
      <c r="E19" s="49"/>
      <c r="F19" s="49"/>
      <c r="G19" s="49"/>
      <c r="H19" s="48"/>
      <c r="I19" s="46"/>
      <c r="J19" s="59"/>
      <c r="K19" s="59"/>
      <c r="L19" s="59"/>
      <c r="M19" s="59"/>
      <c r="N19" s="59"/>
      <c r="O19" s="50"/>
      <c r="P19" s="46"/>
      <c r="Q19" s="46"/>
      <c r="R19" s="46"/>
      <c r="S19" s="46"/>
      <c r="T19" s="46"/>
    </row>
    <row r="20" spans="2:20" ht="23.25" customHeight="1" x14ac:dyDescent="0.25">
      <c r="B20" s="61"/>
      <c r="D20" s="49"/>
      <c r="E20" s="49"/>
      <c r="F20" s="49"/>
      <c r="G20" s="49"/>
      <c r="H20" s="48"/>
      <c r="I20" s="46"/>
      <c r="J20" s="99">
        <f>Indicadores!C15</f>
        <v>234619.39162645469</v>
      </c>
      <c r="K20" s="100"/>
      <c r="L20" s="100"/>
      <c r="M20" s="100"/>
      <c r="N20" s="101"/>
      <c r="O20" s="50"/>
      <c r="P20" s="46"/>
      <c r="Q20" s="46"/>
      <c r="R20" s="46"/>
      <c r="S20" s="46"/>
      <c r="T20" s="46"/>
    </row>
    <row r="21" spans="2:20" ht="23.25" customHeight="1" x14ac:dyDescent="0.25">
      <c r="B21" s="61"/>
      <c r="D21" s="49"/>
      <c r="E21" s="49"/>
      <c r="F21" s="49"/>
      <c r="G21" s="49"/>
      <c r="H21" s="48"/>
      <c r="I21" s="46"/>
      <c r="J21" s="102"/>
      <c r="K21" s="103"/>
      <c r="L21" s="103"/>
      <c r="M21" s="103"/>
      <c r="N21" s="104"/>
      <c r="O21" s="50"/>
      <c r="P21" s="46"/>
      <c r="Q21" s="46"/>
      <c r="R21" s="46"/>
      <c r="S21" s="46"/>
      <c r="T21" s="46"/>
    </row>
    <row r="22" spans="2:20" ht="23.25" customHeight="1" thickBot="1" x14ac:dyDescent="0.3">
      <c r="B22" s="61"/>
      <c r="D22" s="49"/>
      <c r="E22" s="49"/>
      <c r="F22" s="49"/>
      <c r="G22" s="49"/>
      <c r="H22" s="48"/>
      <c r="I22" s="46"/>
      <c r="J22" s="105"/>
      <c r="K22" s="106"/>
      <c r="L22" s="106"/>
      <c r="M22" s="106"/>
      <c r="N22" s="107"/>
      <c r="O22" s="50"/>
      <c r="P22" s="46"/>
      <c r="Q22" s="46"/>
      <c r="R22" s="46"/>
      <c r="S22" s="46"/>
      <c r="T22" s="46"/>
    </row>
    <row r="23" spans="2:20" ht="23.25" customHeight="1" thickTop="1" x14ac:dyDescent="0.25">
      <c r="B23" s="61"/>
      <c r="D23" s="49"/>
      <c r="E23" s="49"/>
      <c r="F23" s="49"/>
      <c r="G23" s="49"/>
      <c r="H23" s="48"/>
      <c r="I23" s="46"/>
      <c r="J23" s="108"/>
      <c r="K23" s="109"/>
      <c r="L23" s="109"/>
      <c r="M23" s="109"/>
      <c r="N23" s="110"/>
      <c r="O23" s="50"/>
      <c r="P23" s="46"/>
      <c r="Q23" s="46"/>
      <c r="R23" s="46"/>
      <c r="S23" s="46"/>
      <c r="T23" s="46"/>
    </row>
    <row r="24" spans="2:20" ht="23.25" customHeight="1" thickBot="1" x14ac:dyDescent="0.3">
      <c r="B24" s="61"/>
      <c r="D24" s="49"/>
      <c r="E24" s="49"/>
      <c r="F24" s="49"/>
      <c r="G24" s="62"/>
      <c r="H24" s="63"/>
      <c r="I24" s="62"/>
      <c r="J24" s="62"/>
      <c r="K24" s="62"/>
      <c r="L24" s="46"/>
      <c r="M24" s="64"/>
      <c r="N24" s="64"/>
      <c r="O24" s="65"/>
      <c r="P24" s="64"/>
      <c r="Q24" s="64"/>
      <c r="R24" s="46"/>
      <c r="S24" s="46"/>
      <c r="T24" s="46"/>
    </row>
    <row r="25" spans="2:20" ht="7.5" customHeight="1" thickTop="1" x14ac:dyDescent="0.25"/>
  </sheetData>
  <mergeCells count="10">
    <mergeCell ref="B2:B7"/>
    <mergeCell ref="J20:N22"/>
    <mergeCell ref="J23:N23"/>
    <mergeCell ref="D2:T3"/>
    <mergeCell ref="D5:H6"/>
    <mergeCell ref="D7:H7"/>
    <mergeCell ref="P5:T6"/>
    <mergeCell ref="P7:T7"/>
    <mergeCell ref="J5:N6"/>
    <mergeCell ref="J7:N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Apresentação</vt:lpstr>
      <vt:lpstr>BP</vt:lpstr>
      <vt:lpstr>Indicadores</vt:lpstr>
      <vt:lpstr>Auxiliar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2016-09-04T19:52:40Z</cp:lastPrinted>
  <dcterms:created xsi:type="dcterms:W3CDTF">2016-08-21T01:34:51Z</dcterms:created>
  <dcterms:modified xsi:type="dcterms:W3CDTF">2019-09-08T19:45:39Z</dcterms:modified>
</cp:coreProperties>
</file>