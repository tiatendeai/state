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0" yWindow="0" windowWidth="20490" windowHeight="7155" tabRatio="766" activeTab="1"/>
  </bookViews>
  <sheets>
    <sheet name="Proposta" sheetId="5" r:id="rId1"/>
    <sheet name="Informações Cliente e Sistema" sheetId="2" r:id="rId2"/>
    <sheet name="Sistema de Geracao de Orcamento" sheetId="1" r:id="rId3"/>
    <sheet name="Tabelas e Parametros" sheetId="3" r:id="rId4"/>
    <sheet name="Concessionarias e tarifas" sheetId="4" state="hidden" r:id="rId5"/>
  </sheets>
  <definedNames>
    <definedName name="_xlnm._FilterDatabase" localSheetId="4" hidden="1">'Concessionarias e tarifas'!$B$2:$H$67</definedName>
    <definedName name="_xlnm.Print_Area" localSheetId="0">Proposta!$B$2:$H$65</definedName>
    <definedName name="espacokit">'Tabelas e Parametros'!$K$6:$L$12</definedName>
    <definedName name="fatorconversao">'Tabelas e Parametros'!$B$5:$C$32</definedName>
    <definedName name="fretesp">'Tabelas e Parametros'!$B$38:$C$65</definedName>
    <definedName name="IMPOSTO">'Tabelas e Parametros'!$K$20</definedName>
    <definedName name="kitsolar">'Tabelas e Parametros'!$F$5:$I$20</definedName>
    <definedName name="kitsolarbifasico">'Tabelas e Parametros'!$F$22:$I$37</definedName>
    <definedName name="kitsolarmonofasico">'Tabelas e Parametros'!$F$5:$I$20</definedName>
    <definedName name="kitsolartrifasico">'Tabelas e Parametros'!$F$39:$I$55</definedName>
    <definedName name="peso">'Tabelas e Parametros'!$K$25</definedName>
    <definedName name="precokit">'Tabelas e Parametros'!$B:$O+'Tabelas e Parametros'!$F$5:$I$55</definedName>
    <definedName name="tarifamedia">'Tabelas e Parametros'!$K$16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E16" i="1"/>
  <c r="D16"/>
  <c r="E17"/>
  <c r="D17"/>
  <c r="D5"/>
  <c r="D15"/>
  <c r="D18"/>
  <c r="E19"/>
  <c r="D21"/>
  <c r="D25"/>
  <c r="H16" i="5"/>
  <c r="D14" i="1"/>
  <c r="H12" i="2"/>
  <c r="H4" l="1"/>
  <c r="D19" i="1"/>
  <c r="D9"/>
  <c r="C38" i="3"/>
  <c r="B50" i="2"/>
  <c r="C39" i="3"/>
  <c r="B52" i="2"/>
  <c r="C40" i="3"/>
  <c r="B54" i="2"/>
  <c r="C41" i="3"/>
  <c r="B56" i="2"/>
  <c r="C42" i="3"/>
  <c r="B58" i="2"/>
  <c r="C43" i="3"/>
  <c r="B60" i="2"/>
  <c r="C44" i="3"/>
  <c r="B62" i="2"/>
  <c r="C45" i="3"/>
  <c r="B64" i="2"/>
  <c r="C46" i="3"/>
  <c r="B66" i="2"/>
  <c r="C47" i="3"/>
  <c r="B68" i="2"/>
  <c r="C48" i="3"/>
  <c r="B70" i="2"/>
  <c r="C49" i="3"/>
  <c r="C50"/>
  <c r="B58"/>
  <c r="C58"/>
  <c r="D8" i="1"/>
  <c r="F12" i="2"/>
  <c r="D4" i="1"/>
  <c r="D6"/>
  <c r="K38" i="3"/>
  <c r="K31"/>
  <c r="K30"/>
  <c r="K36"/>
  <c r="D10" i="1"/>
  <c r="L46" i="3"/>
  <c r="F21"/>
  <c r="E21"/>
  <c r="D13" i="1"/>
  <c r="H58" i="3"/>
  <c r="H22"/>
  <c r="F5"/>
  <c r="E5"/>
  <c r="F6"/>
  <c r="E6"/>
  <c r="F7"/>
  <c r="E7"/>
  <c r="F8"/>
  <c r="E8"/>
  <c r="H5"/>
  <c r="H6"/>
  <c r="H7"/>
  <c r="H8"/>
  <c r="F9"/>
  <c r="E9"/>
  <c r="H9"/>
  <c r="F10"/>
  <c r="E10"/>
  <c r="H10"/>
  <c r="F11"/>
  <c r="E11"/>
  <c r="H11"/>
  <c r="F12"/>
  <c r="E12"/>
  <c r="H12"/>
  <c r="F13"/>
  <c r="E13"/>
  <c r="H13"/>
  <c r="F14"/>
  <c r="E14"/>
  <c r="H14"/>
  <c r="L40"/>
  <c r="F15"/>
  <c r="E15"/>
  <c r="H15"/>
  <c r="L41"/>
  <c r="F16"/>
  <c r="E16"/>
  <c r="H16"/>
  <c r="L42"/>
  <c r="F17"/>
  <c r="E17"/>
  <c r="H17"/>
  <c r="L43"/>
  <c r="F18"/>
  <c r="E18"/>
  <c r="H18"/>
  <c r="L44"/>
  <c r="F19"/>
  <c r="E19"/>
  <c r="H19"/>
  <c r="L45"/>
  <c r="F20"/>
  <c r="E20"/>
  <c r="H20"/>
  <c r="H21"/>
  <c r="F22"/>
  <c r="E22"/>
  <c r="F23"/>
  <c r="E23"/>
  <c r="H23"/>
  <c r="F24"/>
  <c r="E24"/>
  <c r="H24"/>
  <c r="F25"/>
  <c r="E25"/>
  <c r="H25"/>
  <c r="F26"/>
  <c r="E26"/>
  <c r="H26"/>
  <c r="F27"/>
  <c r="E27"/>
  <c r="H27"/>
  <c r="F28"/>
  <c r="E28"/>
  <c r="H28"/>
  <c r="F29"/>
  <c r="E29"/>
  <c r="H29"/>
  <c r="F30"/>
  <c r="E30"/>
  <c r="H30"/>
  <c r="F31"/>
  <c r="E31"/>
  <c r="H31"/>
  <c r="F32"/>
  <c r="E32"/>
  <c r="H32"/>
  <c r="F33"/>
  <c r="E33"/>
  <c r="H33"/>
  <c r="F34"/>
  <c r="E34"/>
  <c r="H34"/>
  <c r="F35"/>
  <c r="E35"/>
  <c r="H35"/>
  <c r="F36"/>
  <c r="E36"/>
  <c r="H36"/>
  <c r="F37"/>
  <c r="E37"/>
  <c r="H37"/>
  <c r="F38"/>
  <c r="E38"/>
  <c r="H38"/>
  <c r="F39"/>
  <c r="E39"/>
  <c r="H39"/>
  <c r="F40"/>
  <c r="E40"/>
  <c r="H40"/>
  <c r="F41"/>
  <c r="E41"/>
  <c r="H41"/>
  <c r="F42"/>
  <c r="E42"/>
  <c r="H42"/>
  <c r="F43"/>
  <c r="E43"/>
  <c r="H43"/>
  <c r="F44"/>
  <c r="E44"/>
  <c r="H44"/>
  <c r="F45"/>
  <c r="E45"/>
  <c r="H45"/>
  <c r="F46"/>
  <c r="E46"/>
  <c r="H46"/>
  <c r="F47"/>
  <c r="E47"/>
  <c r="H47"/>
  <c r="F48"/>
  <c r="E48"/>
  <c r="H48"/>
  <c r="F49"/>
  <c r="E49"/>
  <c r="H49"/>
  <c r="F50"/>
  <c r="E50"/>
  <c r="H50"/>
  <c r="F51"/>
  <c r="E51"/>
  <c r="H51"/>
  <c r="F52"/>
  <c r="E52"/>
  <c r="H52"/>
  <c r="F53"/>
  <c r="E53"/>
  <c r="H53"/>
  <c r="F54"/>
  <c r="E54"/>
  <c r="H54"/>
  <c r="F55"/>
  <c r="E55"/>
  <c r="H55"/>
  <c r="D20" i="1"/>
  <c r="H20" i="2"/>
  <c r="H8"/>
  <c r="H14" i="5"/>
  <c r="J36" i="2"/>
  <c r="L36"/>
  <c r="H26"/>
  <c r="H27"/>
  <c r="H32" i="5"/>
  <c r="K39" i="3"/>
  <c r="K40"/>
  <c r="K36" i="2"/>
  <c r="C12"/>
  <c r="C18" i="5"/>
  <c r="C4" i="2"/>
  <c r="C10" i="5"/>
  <c r="C8" i="2"/>
  <c r="C14" i="5"/>
  <c r="C6" i="2"/>
  <c r="C12" i="5"/>
  <c r="H6" i="2"/>
  <c r="H12" i="5"/>
  <c r="H10"/>
  <c r="H7"/>
  <c r="F18"/>
  <c r="E10" i="2"/>
  <c r="E16" i="5"/>
  <c r="C10" i="2"/>
  <c r="C16" i="5"/>
  <c r="B49" i="3"/>
  <c r="B48"/>
  <c r="B47"/>
  <c r="B46"/>
  <c r="B45"/>
  <c r="B44"/>
  <c r="B43"/>
  <c r="B42"/>
  <c r="B41"/>
  <c r="B40"/>
  <c r="B39"/>
  <c r="B38"/>
  <c r="D3" i="1"/>
  <c r="E73" i="3"/>
  <c r="E74"/>
  <c r="E75"/>
  <c r="E76"/>
  <c r="E77"/>
  <c r="E78"/>
  <c r="E79"/>
  <c r="E80"/>
  <c r="E81"/>
  <c r="E82"/>
  <c r="E83"/>
  <c r="E84"/>
  <c r="E85"/>
  <c r="E86"/>
  <c r="E87"/>
  <c r="E88"/>
  <c r="E89"/>
  <c r="E90"/>
  <c r="E91"/>
  <c r="E92"/>
  <c r="E93"/>
  <c r="E94"/>
  <c r="E95"/>
  <c r="E96"/>
  <c r="E97"/>
  <c r="E98"/>
  <c r="E99"/>
  <c r="F73"/>
  <c r="F74"/>
  <c r="F75"/>
  <c r="F76"/>
  <c r="F77"/>
  <c r="F78"/>
  <c r="F79"/>
  <c r="F80"/>
  <c r="F81"/>
  <c r="F82"/>
  <c r="F83"/>
  <c r="F84"/>
  <c r="F85"/>
  <c r="F86"/>
  <c r="F87"/>
  <c r="F88"/>
  <c r="F89"/>
  <c r="F90"/>
  <c r="F91"/>
  <c r="F92"/>
  <c r="F93"/>
  <c r="F94"/>
  <c r="F95"/>
  <c r="F96"/>
  <c r="F97"/>
  <c r="F98"/>
  <c r="F99"/>
  <c r="C73"/>
  <c r="C74"/>
  <c r="C75"/>
  <c r="C76"/>
  <c r="C77"/>
  <c r="C78"/>
  <c r="C79"/>
  <c r="C80"/>
  <c r="C81"/>
  <c r="C82"/>
  <c r="C83"/>
  <c r="C84"/>
  <c r="C85"/>
  <c r="C86"/>
  <c r="C87"/>
  <c r="C88"/>
  <c r="C89"/>
  <c r="C90"/>
  <c r="C91"/>
  <c r="C92"/>
  <c r="C93"/>
  <c r="C94"/>
  <c r="C95"/>
  <c r="C96"/>
  <c r="C97"/>
  <c r="C98"/>
  <c r="C99"/>
  <c r="F49" i="4"/>
  <c r="J1"/>
  <c r="B37"/>
  <c r="B38"/>
  <c r="B39"/>
  <c r="B40"/>
  <c r="B41"/>
  <c r="B42"/>
  <c r="B43"/>
  <c r="B44"/>
  <c r="B45"/>
  <c r="B47"/>
  <c r="B48"/>
  <c r="B49"/>
  <c r="B50"/>
  <c r="B51"/>
  <c r="B52"/>
  <c r="B53"/>
  <c r="B54"/>
  <c r="B55"/>
  <c r="B56"/>
  <c r="B57"/>
  <c r="B58"/>
  <c r="B59"/>
  <c r="B60"/>
  <c r="B61"/>
  <c r="B63"/>
  <c r="B64"/>
  <c r="B65"/>
  <c r="B66"/>
  <c r="B67"/>
  <c r="B5"/>
  <c r="B6"/>
  <c r="B7"/>
  <c r="B8"/>
  <c r="B9"/>
  <c r="B10"/>
  <c r="B11"/>
  <c r="B12"/>
  <c r="B13"/>
  <c r="B14"/>
  <c r="B15"/>
  <c r="B16"/>
  <c r="B17"/>
  <c r="B18"/>
  <c r="B19"/>
  <c r="B20"/>
  <c r="B21"/>
  <c r="B22"/>
  <c r="B23"/>
  <c r="B24"/>
  <c r="B25"/>
  <c r="B26"/>
  <c r="B27"/>
  <c r="B28"/>
  <c r="B29"/>
  <c r="B30"/>
  <c r="B31"/>
  <c r="B32"/>
  <c r="C27" i="2"/>
  <c r="C32" i="5"/>
  <c r="D27" i="2"/>
  <c r="D32" i="5"/>
  <c r="C26" i="2"/>
  <c r="C31" i="5"/>
  <c r="E27" i="2"/>
  <c r="E32" i="5"/>
  <c r="H31"/>
  <c r="K41" i="3"/>
  <c r="H18" i="5"/>
  <c r="K37" i="3"/>
  <c r="K32"/>
  <c r="K42"/>
  <c r="K43"/>
  <c r="K44"/>
  <c r="K46"/>
  <c r="D23" i="1"/>
  <c r="D11"/>
  <c r="C18" i="2"/>
  <c r="C23" i="5"/>
  <c r="H18" i="2"/>
  <c r="H23" i="5"/>
  <c r="H17" i="2"/>
  <c r="H22" i="5"/>
  <c r="D24" i="1"/>
  <c r="D20" i="2"/>
  <c r="F17"/>
  <c r="F22" i="5"/>
  <c r="D27" i="1"/>
  <c r="D22" i="2"/>
  <c r="D27" i="5"/>
  <c r="K45" i="3"/>
  <c r="D12" i="1"/>
  <c r="F18" i="2"/>
  <c r="F23" i="5"/>
  <c r="C17" i="2"/>
  <c r="C22" i="5"/>
  <c r="BD8" i="2"/>
  <c r="BC6"/>
  <c r="D72" i="3"/>
  <c r="D25" i="5"/>
  <c r="BC8" i="2"/>
  <c r="D73" i="3"/>
  <c r="L40" i="2"/>
  <c r="M40"/>
  <c r="D26" i="1"/>
  <c r="D24" i="2"/>
  <c r="D29" i="5"/>
  <c r="E20" i="1"/>
  <c r="D74" i="3"/>
  <c r="D29" i="2"/>
  <c r="K33"/>
  <c r="C29"/>
  <c r="H25" i="5"/>
  <c r="E29" i="2"/>
  <c r="K39"/>
  <c r="B72" i="3"/>
  <c r="B73"/>
  <c r="D75"/>
  <c r="B74"/>
  <c r="D76"/>
  <c r="B75"/>
  <c r="B76"/>
  <c r="D77"/>
  <c r="D78"/>
  <c r="B77"/>
  <c r="D79"/>
  <c r="B78"/>
  <c r="D80"/>
  <c r="B79"/>
  <c r="B80"/>
  <c r="D81"/>
  <c r="D82"/>
  <c r="B81"/>
  <c r="D83"/>
  <c r="B82"/>
  <c r="D84"/>
  <c r="B83"/>
  <c r="B84"/>
  <c r="D85"/>
  <c r="B85"/>
  <c r="D86"/>
  <c r="B86"/>
  <c r="D87"/>
  <c r="B87"/>
  <c r="D88"/>
  <c r="D89"/>
  <c r="B88"/>
  <c r="D90"/>
  <c r="B89"/>
  <c r="B90"/>
  <c r="D91"/>
  <c r="B91"/>
  <c r="D92"/>
  <c r="B92"/>
  <c r="D93"/>
  <c r="D94"/>
  <c r="B93"/>
  <c r="B94"/>
  <c r="D95"/>
  <c r="B95"/>
  <c r="D96"/>
  <c r="B96"/>
  <c r="D97"/>
  <c r="D98"/>
  <c r="B97"/>
  <c r="B98"/>
  <c r="D99"/>
  <c r="B99"/>
  <c r="K34" i="2"/>
  <c r="H24"/>
  <c r="H29" i="5"/>
  <c r="D68" i="3"/>
</calcChain>
</file>

<file path=xl/sharedStrings.xml><?xml version="1.0" encoding="utf-8"?>
<sst xmlns="http://schemas.openxmlformats.org/spreadsheetml/2006/main" count="529" uniqueCount="352">
  <si>
    <t>SIMULADOR RÁPIDO</t>
  </si>
  <si>
    <t>Local</t>
  </si>
  <si>
    <t>SP-Int</t>
  </si>
  <si>
    <t>Estado</t>
  </si>
  <si>
    <t>Fator do Local</t>
  </si>
  <si>
    <t>Produção Requerida (kWh)</t>
  </si>
  <si>
    <t>RO</t>
  </si>
  <si>
    <t>AC</t>
  </si>
  <si>
    <t>AM</t>
  </si>
  <si>
    <t>RR</t>
  </si>
  <si>
    <t>Quantidade Módulos</t>
  </si>
  <si>
    <t>AP</t>
  </si>
  <si>
    <t>Espaço necessário (m2)</t>
  </si>
  <si>
    <t>PA</t>
  </si>
  <si>
    <t>Peso médio / m2</t>
  </si>
  <si>
    <t>TO</t>
  </si>
  <si>
    <t>Tarifa Média da conta (R$/kWh)</t>
  </si>
  <si>
    <t>MA</t>
  </si>
  <si>
    <t>Custo do Sistema s/ I&amp;F (R$)</t>
  </si>
  <si>
    <t>PI</t>
  </si>
  <si>
    <t>Custo Instalação (R$)</t>
  </si>
  <si>
    <t>CE</t>
  </si>
  <si>
    <t>Custo Frete (R$)</t>
  </si>
  <si>
    <t>RN</t>
  </si>
  <si>
    <t>Custo Total Previsto c/ I&amp;F (R$)</t>
  </si>
  <si>
    <t>PB</t>
  </si>
  <si>
    <t>Impostos (%)</t>
  </si>
  <si>
    <t>PE</t>
  </si>
  <si>
    <t>Preço Final c/ Impostos (R$)</t>
  </si>
  <si>
    <t>AL</t>
  </si>
  <si>
    <t>SE</t>
  </si>
  <si>
    <t>Produção Anual (kWh)</t>
  </si>
  <si>
    <t>BA</t>
  </si>
  <si>
    <t>Economia Anual (R$)</t>
  </si>
  <si>
    <t>Payback (anos)</t>
  </si>
  <si>
    <t>RJ</t>
  </si>
  <si>
    <t>Tarifa média em 25 anos (R$)</t>
  </si>
  <si>
    <t>SP-Cap</t>
  </si>
  <si>
    <t>ES</t>
  </si>
  <si>
    <t>MG</t>
  </si>
  <si>
    <t>GO</t>
  </si>
  <si>
    <t>MT</t>
  </si>
  <si>
    <t>MS</t>
  </si>
  <si>
    <t>DF</t>
  </si>
  <si>
    <t>SC</t>
  </si>
  <si>
    <t>PR</t>
  </si>
  <si>
    <t>RS</t>
  </si>
  <si>
    <t>1- FATOR DE CONVERSÃO KWP PARA KWH</t>
  </si>
  <si>
    <t>2-KIT SOLAR</t>
  </si>
  <si>
    <t>Módulos</t>
  </si>
  <si>
    <t>A</t>
  </si>
  <si>
    <t>B</t>
  </si>
  <si>
    <t>C</t>
  </si>
  <si>
    <t>D</t>
  </si>
  <si>
    <t>E</t>
  </si>
  <si>
    <t>F</t>
  </si>
  <si>
    <t>G</t>
  </si>
  <si>
    <t>H</t>
  </si>
  <si>
    <t>I</t>
  </si>
  <si>
    <t>J</t>
  </si>
  <si>
    <t>K</t>
  </si>
  <si>
    <t>L</t>
  </si>
  <si>
    <t>M</t>
  </si>
  <si>
    <t>N</t>
  </si>
  <si>
    <t>O</t>
  </si>
  <si>
    <t>P</t>
  </si>
  <si>
    <t>R</t>
  </si>
  <si>
    <t>S</t>
  </si>
  <si>
    <t>T</t>
  </si>
  <si>
    <t>U</t>
  </si>
  <si>
    <t>DEFINIÇÃO DOS ATRIBUTOS</t>
  </si>
  <si>
    <t>X</t>
  </si>
  <si>
    <t>V</t>
  </si>
  <si>
    <t>Estado onde será instalado o sistema</t>
  </si>
  <si>
    <t>Se informado será a base de cáculo de todo o sistema. Representa a quantidade esperada de energia gerada por mês em kWh.</t>
  </si>
  <si>
    <t>Representa a potência de 1 módulo que será utilizado no sistema expresso em W.</t>
  </si>
  <si>
    <t>Resultado da divisão de C por E, arredondado para cima. Com base neste resultado se definie o tamanho do kit.</t>
  </si>
  <si>
    <t>Potência W</t>
  </si>
  <si>
    <t>Espaço (m2)</t>
  </si>
  <si>
    <t>3-ESPAÇO OCUPADO POR 1 MÓDULO</t>
  </si>
  <si>
    <t>É a capacidade do sistema em kWpico, requerida inicialmente. Resultado da divisão de B por D</t>
  </si>
  <si>
    <t>Capacidade Final do Sistema (kWp)</t>
  </si>
  <si>
    <t>Peso médio do sistema por m2, resultado da divisão do peso total (2-KIT SOLAR) por G.</t>
  </si>
  <si>
    <t>É o fator de conversão (1-FATOR DE CONVERSÃO KWP PARA KWH) de kWpico para kWh. Reflete o nível de irradiação da capital do Estado onde será feita a instalação. Exceção de SP - Int que é a média do interior do estado.</t>
  </si>
  <si>
    <t>Produção prevista do sistema solar em kWp resultado do produto de E com F</t>
  </si>
  <si>
    <t xml:space="preserve">Tarifa média de energia informada. Capturada da conta de luz, resultado da divisão do valor total da conta pelo consumo médio em kWh. </t>
  </si>
  <si>
    <t>Custo do sistema sem considerar instalação e frete. Resultado do Preço por W (2-KIT SOLAR) por I</t>
  </si>
  <si>
    <t>Preço final do Sistema sem impostos. Resultado de K+L+M</t>
  </si>
  <si>
    <t>Preço Final com impostos. Resultado da soma de N + O</t>
  </si>
  <si>
    <t>Produção Anual Prevista em (kWh)</t>
  </si>
  <si>
    <t>Economia annual proporcionada pelo sistema. Resultado do valor da produção anual (R) com a valor médio da tarifa por kWh</t>
  </si>
  <si>
    <t>Tempo estimado do retorno do investimento. Resultado da divisão do Preço Final do sistema (P) pela economia anual (S).</t>
  </si>
  <si>
    <t xml:space="preserve">Tarifa média em 25 anos do sistema solar. Resultado da divisão do Preço Final do sistema (P) pela produção anual (R) em 25 anos </t>
  </si>
  <si>
    <t>Custo de mão de obra de instação varia conforme tamanho do sistema. Capturado da tabela (2-KIT SOLAR)</t>
  </si>
  <si>
    <t>NOME</t>
  </si>
  <si>
    <t>EMAIL</t>
  </si>
  <si>
    <t>TELEFONE</t>
  </si>
  <si>
    <t>CIDADE</t>
  </si>
  <si>
    <t>ESTADO</t>
  </si>
  <si>
    <t>TIPO DE IMÓVEL</t>
  </si>
  <si>
    <t>TIPO DE SISTEMA</t>
  </si>
  <si>
    <t>TIPO DE FASE</t>
  </si>
  <si>
    <t>INFORMAÇÕES DO CLIENTE E LOCAL DE INSTALAÇÃO</t>
  </si>
  <si>
    <t>Trifásico</t>
  </si>
  <si>
    <t>CAPACIDADE (KWP)</t>
  </si>
  <si>
    <t>ORÇAMENTO DO SISTEMA SOLAR FOTOVOLTAICO</t>
  </si>
  <si>
    <t>ÁREA NECESSÁRIA (M2)</t>
  </si>
  <si>
    <t>PESO ESTIMADO POR M2 (KG)</t>
  </si>
  <si>
    <t>Tarifa Média</t>
  </si>
  <si>
    <t>4-TARIFA MÉDIA DAS CONCESSIONÁRIAS</t>
  </si>
  <si>
    <t>ECONOMIA ANUAL</t>
  </si>
  <si>
    <t>Fator de Independência</t>
  </si>
  <si>
    <t>É o percentual que o usuário vai deixar de consumir de energia da rede pública. Resultado da divisão da produção mensal em kWh (R/12) pela Produção Requerida (B)</t>
  </si>
  <si>
    <t>FATOR DE INDEPENDÊNCIA</t>
  </si>
  <si>
    <t>PRODUÇÃO ANUAL (KWH)</t>
  </si>
  <si>
    <t>Custo Instalação sobre o valor do kit</t>
  </si>
  <si>
    <t>Atributo</t>
  </si>
  <si>
    <t>SIM/NÃO</t>
  </si>
  <si>
    <t>Custo do transporte do depósito de SP até o local de instalação. Busca na tabela 5- ESTIMATIVA DE FRETE A PARTIR DE SP</t>
  </si>
  <si>
    <t>QUANTIDADE DE PAINÉIS</t>
  </si>
  <si>
    <t>PRODUÇÃO MENSAL (KWH)</t>
  </si>
  <si>
    <t>INSTALAÇÃO INCLUÍDA?</t>
  </si>
  <si>
    <t>FRETE INCLUÍDO?</t>
  </si>
  <si>
    <t>Dado informado direto no simulador</t>
  </si>
  <si>
    <t>6-IMPOSTO</t>
  </si>
  <si>
    <t>Valor fixo da alíquota dos impostos a serem aplicados sobre o Preço do sistema (N). Capturado da tabela de (6-IMPOSTOS)</t>
  </si>
  <si>
    <t>Fase da instalação</t>
  </si>
  <si>
    <t>Potência de 1 módulo (w)</t>
  </si>
  <si>
    <t>Fase</t>
  </si>
  <si>
    <t>Monofásico</t>
  </si>
  <si>
    <t>Bifásico</t>
  </si>
  <si>
    <t>VALOR DA TARIFA GERADA PELO SISTEMA FOTOVOLTAICO</t>
  </si>
  <si>
    <t>CONDIÇÃO DE PAGAMENTO</t>
  </si>
  <si>
    <t>PRAZO DE INSTALAÇÃO</t>
  </si>
  <si>
    <t>Instalação?</t>
  </si>
  <si>
    <t>Frete?</t>
  </si>
  <si>
    <t>ENTRADA DE DADOS ADICIONAIS</t>
  </si>
  <si>
    <t>Potência Painel (W)</t>
  </si>
  <si>
    <t>CONSUMO MÉDIO ANUAL (kWh)</t>
  </si>
  <si>
    <t>TARIFA MÉDIA ÚLTIMA CONTA/KWH (R$)</t>
  </si>
  <si>
    <t>CONTA DE LUZ PELO CONSUMO MÉDIO (R$)</t>
  </si>
  <si>
    <t>7-PESO</t>
  </si>
  <si>
    <t>Peso Unitário / m2</t>
  </si>
  <si>
    <t>Espaço necessário para o sistema. Resultado do produto da quantidade de módulos com o espaço (3-ESPAÇO OCUPADO POR 1 MÖDULO) em m2 de 1 módulo</t>
  </si>
  <si>
    <t>8-CAPACIDADES</t>
  </si>
  <si>
    <t>CHAVE</t>
  </si>
  <si>
    <t>POTÊNCIA (w)</t>
  </si>
  <si>
    <t>&lt;&lt;&lt;&lt; verificar valores de consumo e conta de luz</t>
  </si>
  <si>
    <t>FATOR DE INDEPÊNCIA MUITO ALTO - VERIFICAR</t>
  </si>
  <si>
    <t>Fator de ajuste indep.</t>
  </si>
  <si>
    <t>Preço w (R$)</t>
  </si>
  <si>
    <t>INFORMAÇÕES ADICIONAIS</t>
  </si>
  <si>
    <t>PAYBACK (anos)</t>
  </si>
  <si>
    <t>Imposto Serviço</t>
  </si>
  <si>
    <t>#</t>
  </si>
  <si>
    <t xml:space="preserve">Sigla    </t>
  </si>
  <si>
    <t>Concessionária</t>
  </si>
  <si>
    <t xml:space="preserve">B1 - Residencial (R$/kWh)   </t>
  </si>
  <si>
    <t xml:space="preserve">Vigência  </t>
  </si>
  <si>
    <t>De</t>
  </si>
  <si>
    <t>Até</t>
  </si>
  <si>
    <t>AES-SUL</t>
  </si>
  <si>
    <t xml:space="preserve"> AES SUL Distribuidora Gaúcha de Energia S/A.</t>
  </si>
  <si>
    <t>AmE</t>
  </si>
  <si>
    <t xml:space="preserve"> Amazonas Distribuidora de Energia S/A</t>
  </si>
  <si>
    <t>AMPLA</t>
  </si>
  <si>
    <t xml:space="preserve"> Ampla Energia e Serviços S/A</t>
  </si>
  <si>
    <t>BANDEIRANTE</t>
  </si>
  <si>
    <t xml:space="preserve"> Bandeirante Energia S/A.</t>
  </si>
  <si>
    <t>Boa Vista</t>
  </si>
  <si>
    <t xml:space="preserve"> Boa Vista Energia S/A</t>
  </si>
  <si>
    <t>CEA</t>
  </si>
  <si>
    <t xml:space="preserve"> Companhia de Eletricidade do Amapá</t>
  </si>
  <si>
    <t>CEAL</t>
  </si>
  <si>
    <t xml:space="preserve"> Companhia Energética de Alagoas</t>
  </si>
  <si>
    <t>CEB-DIS</t>
  </si>
  <si>
    <t xml:space="preserve"> CEB Distribuição S/A</t>
  </si>
  <si>
    <t>CEEE-D</t>
  </si>
  <si>
    <t xml:space="preserve"> Companhia Estadual de Distribuição de Energia Elétrica</t>
  </si>
  <si>
    <t>CELESC-DIS</t>
  </si>
  <si>
    <t xml:space="preserve"> Celesc Distribuição S.A.</t>
  </si>
  <si>
    <t>CELG-D</t>
  </si>
  <si>
    <t xml:space="preserve"> Celg Distribuição S.A.</t>
  </si>
  <si>
    <t>CELPA</t>
  </si>
  <si>
    <t xml:space="preserve"> Centrais Elétricas do Pará S/A.</t>
  </si>
  <si>
    <t>CELPE</t>
  </si>
  <si>
    <t xml:space="preserve"> Companhia Energética de Pernambuco</t>
  </si>
  <si>
    <t>CEMAR</t>
  </si>
  <si>
    <t xml:space="preserve"> Companhia Energética do Maranhão</t>
  </si>
  <si>
    <t>CEMAT</t>
  </si>
  <si>
    <t xml:space="preserve"> Centrais Elétricas Matogrossenses S/A.</t>
  </si>
  <si>
    <t>CEMIG-D</t>
  </si>
  <si>
    <t xml:space="preserve"> CEMIG Distribuição S.A</t>
  </si>
  <si>
    <t>CEPISA</t>
  </si>
  <si>
    <t xml:space="preserve"> Companhia Energética do Piauí</t>
  </si>
  <si>
    <t>CERON</t>
  </si>
  <si>
    <t xml:space="preserve"> Centrais Elétricas de Rondônia S/A.</t>
  </si>
  <si>
    <t>RD</t>
  </si>
  <si>
    <t>CERR</t>
  </si>
  <si>
    <t xml:space="preserve"> Companhia Energética de Roraima</t>
  </si>
  <si>
    <t>CFLO</t>
  </si>
  <si>
    <t xml:space="preserve"> Companhia Força e Luz do Oeste</t>
  </si>
  <si>
    <t>CHESP</t>
  </si>
  <si>
    <t xml:space="preserve"> Companhia Hidroelétrica São Patrício</t>
  </si>
  <si>
    <t>COCEL</t>
  </si>
  <si>
    <t xml:space="preserve"> Companhia Campolarguense de Energia</t>
  </si>
  <si>
    <t>COELBA</t>
  </si>
  <si>
    <t xml:space="preserve"> Companhia de Eletricidade do Estado da Bahia</t>
  </si>
  <si>
    <t>COELCE</t>
  </si>
  <si>
    <t xml:space="preserve"> Companhia Energética do Ceará</t>
  </si>
  <si>
    <t>COOPERALIANÇA</t>
  </si>
  <si>
    <t xml:space="preserve"> Cooperativa Aliança</t>
  </si>
  <si>
    <t>COPEL-DIS</t>
  </si>
  <si>
    <t xml:space="preserve"> Copel Distribuição S/A</t>
  </si>
  <si>
    <t>COSERN</t>
  </si>
  <si>
    <t xml:space="preserve"> Companhia Energética do Rio Grande do Norte</t>
  </si>
  <si>
    <t>CPFL Jaguari</t>
  </si>
  <si>
    <t xml:space="preserve"> Companhia Jaguari de Energia</t>
  </si>
  <si>
    <t>CPFL Leste Paulista</t>
  </si>
  <si>
    <t xml:space="preserve"> Companhia Leste Paulista de Energia</t>
  </si>
  <si>
    <t>CPFL Mococa</t>
  </si>
  <si>
    <t xml:space="preserve"> Companhia Luz e Força de Mococa</t>
  </si>
  <si>
    <t>CPFL Santa Cruz</t>
  </si>
  <si>
    <t xml:space="preserve"> Companhia Luz e Força Santa Cruz</t>
  </si>
  <si>
    <t>CPFL Sul Paulista</t>
  </si>
  <si>
    <t xml:space="preserve"> Companhia Sul Paulista de Energia</t>
  </si>
  <si>
    <t>CPFL- Piratininga</t>
  </si>
  <si>
    <t xml:space="preserve"> Companhia Piratininga de Força e Luz</t>
  </si>
  <si>
    <t>CPFL-Paulista</t>
  </si>
  <si>
    <t xml:space="preserve"> Companhia Paulista de Força e Luz</t>
  </si>
  <si>
    <t>DEMEI</t>
  </si>
  <si>
    <t xml:space="preserve"> Departamento Municipal de Energia de Ijuí</t>
  </si>
  <si>
    <t>DMED</t>
  </si>
  <si>
    <t xml:space="preserve"> DME Distribuição S.A</t>
  </si>
  <si>
    <t>EBO</t>
  </si>
  <si>
    <t xml:space="preserve"> Energisa Borborema - Distribuidora de Energia S.A.</t>
  </si>
  <si>
    <t>EFLJC</t>
  </si>
  <si>
    <t xml:space="preserve"> Empresa Força e Luz João Cesa Ltda</t>
  </si>
  <si>
    <t>EFLUL</t>
  </si>
  <si>
    <t xml:space="preserve"> Empresa Força e Luz Urussanga Ltda</t>
  </si>
  <si>
    <t>ELEKTRO</t>
  </si>
  <si>
    <t xml:space="preserve"> Elektro Eletricidade e Serviços S/A.</t>
  </si>
  <si>
    <t>ELETROACRE</t>
  </si>
  <si>
    <t xml:space="preserve"> Companhia de Eletricidade do Acre</t>
  </si>
  <si>
    <t>ELETROCAR</t>
  </si>
  <si>
    <t xml:space="preserve"> Centrais Elétricas de Carazinho S/A.</t>
  </si>
  <si>
    <t>ELETROPAULO</t>
  </si>
  <si>
    <t xml:space="preserve"> Eletropaulo Metropolitana Eletricidade de São Paulo S/A</t>
  </si>
  <si>
    <t>ELFSM</t>
  </si>
  <si>
    <t xml:space="preserve"> Empresa Luz e Força Santa Maria S/A.</t>
  </si>
  <si>
    <t>ENERGISA MG</t>
  </si>
  <si>
    <t xml:space="preserve"> Energisa Minas Gerais - Distribuidora de Energia S.A.</t>
  </si>
  <si>
    <t>ENERGISA MS</t>
  </si>
  <si>
    <t xml:space="preserve"> ENERGISA MATO GROSSO DO SUL - DISTRIBUIDORA DE ENERGIA S.A</t>
  </si>
  <si>
    <t>ENERGISA NF</t>
  </si>
  <si>
    <t xml:space="preserve"> Energisa Nova Friburgo - Distribuidora de Energia S.A.</t>
  </si>
  <si>
    <t>ENERGISA PB</t>
  </si>
  <si>
    <t xml:space="preserve"> Energisa Paraíba - Distribuidora de Energia</t>
  </si>
  <si>
    <t>ESCELSA</t>
  </si>
  <si>
    <t xml:space="preserve"> Espírito Santo Centrais Elétricas S/A.</t>
  </si>
  <si>
    <t>ENERGISA SE</t>
  </si>
  <si>
    <t xml:space="preserve"> Energisa Sergipe - Distribuidora de Energia S.A.</t>
  </si>
  <si>
    <t>ENERGISA TO</t>
  </si>
  <si>
    <t xml:space="preserve"> ENERGISA TOCANTINS - DISTRIBUIDORA DE ENERGIA S.A.</t>
  </si>
  <si>
    <t>FORCEL</t>
  </si>
  <si>
    <t xml:space="preserve"> Força e Luz Coronel Vivida Ltda</t>
  </si>
  <si>
    <t>HIDROPAN</t>
  </si>
  <si>
    <t xml:space="preserve"> Hidroelétrica Panambi S/A.</t>
  </si>
  <si>
    <t>IGUAÇU</t>
  </si>
  <si>
    <t xml:space="preserve"> Iguaçu Distribuidora de Energia Elétrica Ltda</t>
  </si>
  <si>
    <t>JARI</t>
  </si>
  <si>
    <t xml:space="preserve"> Jari Celulose, Papel e Embalagens S.A.</t>
  </si>
  <si>
    <t>LIGHT</t>
  </si>
  <si>
    <t xml:space="preserve"> Light Serviços de Eletricidade S/A.</t>
  </si>
  <si>
    <t>MUXENERGIA</t>
  </si>
  <si>
    <t xml:space="preserve"> Muxfeldt Marin &amp; Cia. Ltda</t>
  </si>
  <si>
    <t>RGE</t>
  </si>
  <si>
    <t xml:space="preserve"> Rio Grande Energia S/A.</t>
  </si>
  <si>
    <t>SULGIPE</t>
  </si>
  <si>
    <t xml:space="preserve"> Companhia Sul Sergipana de Eletricidade</t>
  </si>
  <si>
    <t>UHENPAL</t>
  </si>
  <si>
    <t xml:space="preserve"> Usina Hidroelétrica Nova Palma Ltda.</t>
  </si>
  <si>
    <t>KM</t>
  </si>
  <si>
    <t>Nome</t>
  </si>
  <si>
    <t>email</t>
  </si>
  <si>
    <t>telefone</t>
  </si>
  <si>
    <t>Cidade</t>
  </si>
  <si>
    <t>Tipo Imóvel</t>
  </si>
  <si>
    <t>Tipo Conexão</t>
  </si>
  <si>
    <t>Tipo de Fase</t>
  </si>
  <si>
    <t>Custo Médio (R$)</t>
  </si>
  <si>
    <t>Consumo Médio (kWh)</t>
  </si>
  <si>
    <t>RETORNO DO INVESTIMENTO (ANOS)</t>
  </si>
  <si>
    <t>9-PAYBACK</t>
  </si>
  <si>
    <t>ANO</t>
  </si>
  <si>
    <t>AJUSTE ANUAL</t>
  </si>
  <si>
    <t>PERDA EFICIÊNCIA</t>
  </si>
  <si>
    <t>CÁLCULO</t>
  </si>
  <si>
    <t>10-FRETE</t>
  </si>
  <si>
    <t>FRETE POR KM</t>
  </si>
  <si>
    <t>VALOR DO SISTEMA FOTOVOLTAICO
(com impostos)</t>
  </si>
  <si>
    <t>NÚMERO DO  ORÇAMENTO SEQUENCIAL &gt;&gt;&gt;</t>
  </si>
  <si>
    <t>Desconto</t>
  </si>
  <si>
    <t>Jan Avg GHI:</t>
  </si>
  <si>
    <t>Feb Avg GHI:</t>
  </si>
  <si>
    <t>Mar Avg GHI:</t>
  </si>
  <si>
    <t>Apr Avg GHI:</t>
  </si>
  <si>
    <t>May Avg GHI:</t>
  </si>
  <si>
    <t>Jun Avg GHI:</t>
  </si>
  <si>
    <t>Jul Avg GHI:</t>
  </si>
  <si>
    <t>Aug Avg GHI:</t>
  </si>
  <si>
    <t>Sep Avg GHI:</t>
  </si>
  <si>
    <t>Oct Avg GHI:</t>
  </si>
  <si>
    <t>Nov Avg GHI:</t>
  </si>
  <si>
    <t>Dec Avg GHI:</t>
  </si>
  <si>
    <t>Mes</t>
  </si>
  <si>
    <t>kWh/m2/dia</t>
  </si>
  <si>
    <t>Média Anual</t>
  </si>
  <si>
    <t>11-TABELA IRRADIAÇÃO SWERA</t>
  </si>
  <si>
    <t>13-CONVERSÃO KW PICO PARA KWH</t>
  </si>
  <si>
    <t>ENTRADA SWERA</t>
  </si>
  <si>
    <t>Perdas diversas</t>
  </si>
  <si>
    <t>14-PERDA DO PAINEL</t>
  </si>
  <si>
    <t>EFICIÊNCIA</t>
  </si>
  <si>
    <t>kWh/m2/mês</t>
  </si>
  <si>
    <t>kWh/mês/módulo</t>
  </si>
  <si>
    <t>D'</t>
  </si>
  <si>
    <t>Fator de Conversão (kWpico para kWh)</t>
  </si>
  <si>
    <t>kWh por mês gerado por um módulo para a região informada</t>
  </si>
  <si>
    <t>Taxa Referência</t>
  </si>
  <si>
    <t>PARCELA CLIENTE</t>
  </si>
  <si>
    <t>N'</t>
  </si>
  <si>
    <t>Margem Operacional</t>
  </si>
  <si>
    <t>Custo/w</t>
  </si>
  <si>
    <t>sem Instalação e Frete</t>
  </si>
  <si>
    <t>Indústria</t>
  </si>
  <si>
    <t>Residencial</t>
  </si>
  <si>
    <t xml:space="preserve">Comercial </t>
  </si>
  <si>
    <t>Conectado à rede</t>
  </si>
  <si>
    <t>São Paulo</t>
  </si>
  <si>
    <t>SP</t>
  </si>
  <si>
    <t>Comercial</t>
  </si>
  <si>
    <t>Capacidade Inicial Requerida (kWp)</t>
  </si>
  <si>
    <t>11 123456789</t>
  </si>
  <si>
    <t>Orçamento MODELO de Sistema Solar Fotovoltaico</t>
  </si>
  <si>
    <t>12-PERDA EFICIÊNCIA DO SISTEMA</t>
  </si>
  <si>
    <t>Custo Padrão por kW</t>
  </si>
  <si>
    <t>Margem Liquida</t>
  </si>
  <si>
    <t xml:space="preserve">CONDIÇÕES GERAIS DESTE ORÇAMENTO
• Valores consideram impostos da cidade de São Paulo; 
• Não estão considerados custos de deslocamento, passagens, hotéis, etc, necessários para instalação fora da cidade de São Paulo;
• Após a aprovação deste orçamento o cliente deverá autorizar uma visita técnica para que se confirmem as condições do local da instalação;
• Obras civis e elétricas no local de instalação do sistema não estão incluídas neste orçamento;
• A contagem do prazo de entrega será de 60/90 dias a contar da data de aprovação do pedido;
• Os prazos de entrega dos produtos deverão ser confirmados após a fase de apresentação da proposta final.
ESTAMOS INCLUINDO NO ESCOPO DE FORNECIMENTO OS SEGUINTES EQUIPAMENTOS E SERVIÇOS
• Módulos Fotovoltaicos de 250 Wp;
• Inversor para conversão corrente DC/AC; 
• Estrutura de suporte em alumínio; 
• Cabeamento solar especial com condutores e conectores; 
• Sistema de proteção elétrica contra surto (StringBox); 
• Sistema de monitoramento com acesso pelo Aplicativo de Celular; 
• Projeto do sistema, diagrama unifilar, parecer de acesso junto a concessionária local; 
• Seguro contra perdas e danos; 
GARANTIA
A garantia dos produtos e serviços se dará conforme segue:
• Garantia dos módulos: 10 anos pelo fabricante
• Garantia dos inversores: 5 anos pelo fabricante
• Garantia da instalação: 90 dias 
Este orçamento tem validade de 10 dias a contar da data de emissão. 
Os preços poderão sofrer variações após este período, em função de variações cambiais ou alterações de taxas ou tributos fiscais. Qualquer alteração nos valores serão apresentados e discutidos previamente.
Agradecemos o contato e ficamos a disposição para esclarecer eventuais dúvidas sobre este orçamento.
Atenciosamente.
</t>
  </si>
  <si>
    <t>bifásico</t>
  </si>
  <si>
    <t>NÃO</t>
  </si>
  <si>
    <t>Para mudar (São Paulo) no código substitua, apenas São Paulo,  pelo desejado.</t>
  </si>
</sst>
</file>

<file path=xl/styles.xml><?xml version="1.0" encoding="utf-8"?>
<styleSheet xmlns="http://schemas.openxmlformats.org/spreadsheetml/2006/main">
  <numFmts count="10">
    <numFmt numFmtId="8" formatCode="&quot;R$&quot;#,##0.00;[Red]\-&quot;R$&quot;#,##0.00"/>
    <numFmt numFmtId="44" formatCode="_-&quot;R$&quot;* #,##0.00_-;\-&quot;R$&quot;* #,##0.00_-;_-&quot;R$&quot;* &quot;-&quot;??_-;_-@_-"/>
    <numFmt numFmtId="43" formatCode="_-* #,##0.00_-;\-* #,##0.00_-;_-* &quot;-&quot;??_-;_-@_-"/>
    <numFmt numFmtId="164" formatCode="_-* #,##0_-;\-* #,##0_-;_-* &quot;-&quot;??_-;_-@_-"/>
    <numFmt numFmtId="165" formatCode="_-* #,##0.0_-;\-* #,##0.0_-;_-* &quot;-&quot;??_-;_-@_-"/>
    <numFmt numFmtId="166" formatCode="_-* #,##0.0_-;\-* #,##0.0_-;_-* &quot;-&quot;?_-;_-@_-"/>
    <numFmt numFmtId="167" formatCode="0.0"/>
    <numFmt numFmtId="168" formatCode="0.000"/>
    <numFmt numFmtId="169" formatCode="0.0%"/>
    <numFmt numFmtId="170" formatCode="_-* #,##0.0000_-;\-* #,##0.0000_-;_-* &quot;-&quot;??_-;_-@_-"/>
  </numFmts>
  <fonts count="33">
    <font>
      <sz val="12"/>
      <color theme="1"/>
      <name val="Calibri"/>
      <family val="2"/>
      <scheme val="minor"/>
    </font>
    <font>
      <sz val="12"/>
      <color theme="1"/>
      <name val="Calibri"/>
      <family val="2"/>
      <scheme val="minor"/>
    </font>
    <font>
      <b/>
      <sz val="12"/>
      <color theme="1"/>
      <name val="Calibri"/>
      <family val="2"/>
      <scheme val="minor"/>
    </font>
    <font>
      <b/>
      <sz val="14"/>
      <color theme="1"/>
      <name val="Calibri"/>
      <scheme val="minor"/>
    </font>
    <font>
      <u/>
      <sz val="12"/>
      <color theme="10"/>
      <name val="Calibri"/>
      <family val="2"/>
      <scheme val="minor"/>
    </font>
    <font>
      <u/>
      <sz val="12"/>
      <color theme="11"/>
      <name val="Calibri"/>
      <family val="2"/>
      <scheme val="minor"/>
    </font>
    <font>
      <b/>
      <sz val="18"/>
      <color theme="1"/>
      <name val="Calibri"/>
      <scheme val="minor"/>
    </font>
    <font>
      <b/>
      <sz val="15"/>
      <name val="Calibri"/>
      <scheme val="minor"/>
    </font>
    <font>
      <sz val="36"/>
      <color theme="0"/>
      <name val="Calibri"/>
      <scheme val="minor"/>
    </font>
    <font>
      <sz val="12"/>
      <color theme="0"/>
      <name val="Calibri"/>
      <family val="2"/>
      <scheme val="minor"/>
    </font>
    <font>
      <b/>
      <sz val="12"/>
      <name val="Calibri"/>
      <family val="2"/>
      <scheme val="minor"/>
    </font>
    <font>
      <b/>
      <sz val="18"/>
      <name val="Calibri"/>
      <scheme val="minor"/>
    </font>
    <font>
      <sz val="16"/>
      <name val="Calibri"/>
      <scheme val="minor"/>
    </font>
    <font>
      <sz val="18"/>
      <name val="Calibri"/>
      <scheme val="minor"/>
    </font>
    <font>
      <sz val="15"/>
      <name val="Calibri"/>
      <scheme val="minor"/>
    </font>
    <font>
      <sz val="12"/>
      <name val="Calibri"/>
      <scheme val="minor"/>
    </font>
    <font>
      <sz val="14"/>
      <name val="Calibri"/>
      <scheme val="minor"/>
    </font>
    <font>
      <b/>
      <sz val="16"/>
      <name val="Calibri"/>
      <scheme val="minor"/>
    </font>
    <font>
      <b/>
      <sz val="14"/>
      <name val="Calibri"/>
      <scheme val="minor"/>
    </font>
    <font>
      <u/>
      <sz val="16"/>
      <color theme="10"/>
      <name val="Calibri"/>
      <scheme val="minor"/>
    </font>
    <font>
      <i/>
      <sz val="16"/>
      <name val="Calibri"/>
      <scheme val="minor"/>
    </font>
    <font>
      <sz val="16"/>
      <color theme="1"/>
      <name val="Calibri"/>
      <scheme val="minor"/>
    </font>
    <font>
      <b/>
      <sz val="17"/>
      <name val="Calibri"/>
      <scheme val="minor"/>
    </font>
    <font>
      <sz val="11"/>
      <color theme="1"/>
      <name val="Calibri"/>
      <scheme val="minor"/>
    </font>
    <font>
      <sz val="24"/>
      <color rgb="FF1F497D"/>
      <name val="Calibri"/>
      <scheme val="minor"/>
    </font>
    <font>
      <sz val="14"/>
      <color theme="1"/>
      <name val="Calibri"/>
      <scheme val="minor"/>
    </font>
    <font>
      <i/>
      <sz val="14"/>
      <name val="Calibri"/>
      <scheme val="minor"/>
    </font>
    <font>
      <u/>
      <sz val="14"/>
      <color theme="10"/>
      <name val="Calibri"/>
      <scheme val="minor"/>
    </font>
    <font>
      <sz val="8"/>
      <name val="Calibri"/>
      <family val="2"/>
      <scheme val="minor"/>
    </font>
    <font>
      <sz val="12"/>
      <color rgb="FFFF0000"/>
      <name val="Calibri"/>
      <family val="2"/>
      <scheme val="minor"/>
    </font>
    <font>
      <sz val="14"/>
      <color theme="1"/>
      <name val="Calibri"/>
      <family val="2"/>
      <scheme val="minor"/>
    </font>
    <font>
      <sz val="12"/>
      <color theme="1"/>
      <name val="Calibri"/>
      <family val="2"/>
    </font>
    <font>
      <u/>
      <sz val="14"/>
      <color theme="10"/>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4" tint="0.39997558519241921"/>
        <bgColor indexed="64"/>
      </patternFill>
    </fill>
  </fills>
  <borders count="36">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medium">
        <color auto="1"/>
      </left>
      <right style="thin">
        <color auto="1"/>
      </right>
      <top/>
      <bottom style="medium">
        <color auto="1"/>
      </bottom>
      <diagonal/>
    </border>
    <border>
      <left/>
      <right style="thin">
        <color auto="1"/>
      </right>
      <top/>
      <bottom/>
      <diagonal/>
    </border>
    <border>
      <left/>
      <right style="thin">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diagonal/>
    </border>
    <border>
      <left style="medium">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thin">
        <color auto="1"/>
      </left>
      <right/>
      <top style="medium">
        <color auto="1"/>
      </top>
      <bottom style="medium">
        <color auto="1"/>
      </bottom>
      <diagonal/>
    </border>
  </borders>
  <cellStyleXfs count="48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287">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0" fillId="2" borderId="3" xfId="0" applyFill="1" applyBorder="1" applyAlignment="1">
      <alignment vertical="center"/>
    </xf>
    <xf numFmtId="0" fontId="2" fillId="4" borderId="3" xfId="0" applyFont="1" applyFill="1" applyBorder="1" applyAlignment="1">
      <alignment horizontal="center" vertical="center" wrapText="1"/>
    </xf>
    <xf numFmtId="0" fontId="0" fillId="0" borderId="3" xfId="0" applyBorder="1" applyAlignment="1">
      <alignment horizontal="center"/>
    </xf>
    <xf numFmtId="0" fontId="3" fillId="0" borderId="3" xfId="0" applyFont="1" applyBorder="1"/>
    <xf numFmtId="0" fontId="0" fillId="0" borderId="3" xfId="0" applyBorder="1"/>
    <xf numFmtId="164" fontId="3" fillId="0" borderId="3" xfId="1" applyNumberFormat="1" applyFont="1" applyBorder="1"/>
    <xf numFmtId="164" fontId="0" fillId="0" borderId="3" xfId="1" applyNumberFormat="1" applyFont="1" applyFill="1" applyBorder="1"/>
    <xf numFmtId="164" fontId="0" fillId="3" borderId="3" xfId="1" applyNumberFormat="1" applyFont="1" applyFill="1" applyBorder="1"/>
    <xf numFmtId="164" fontId="0" fillId="0" borderId="3" xfId="1" applyNumberFormat="1" applyFont="1" applyBorder="1"/>
    <xf numFmtId="164" fontId="0" fillId="0" borderId="3" xfId="0" applyNumberFormat="1" applyBorder="1"/>
    <xf numFmtId="165" fontId="3" fillId="0" borderId="3" xfId="1" applyNumberFormat="1" applyFont="1" applyBorder="1"/>
    <xf numFmtId="43" fontId="3" fillId="0" borderId="3" xfId="1" applyNumberFormat="1" applyFont="1" applyBorder="1"/>
    <xf numFmtId="164" fontId="0" fillId="0" borderId="0" xfId="0" applyNumberFormat="1"/>
    <xf numFmtId="165" fontId="0" fillId="0" borderId="0" xfId="0" applyNumberFormat="1"/>
    <xf numFmtId="165" fontId="0" fillId="0" borderId="3" xfId="1" applyNumberFormat="1" applyFont="1" applyBorder="1"/>
    <xf numFmtId="0" fontId="0" fillId="0" borderId="3" xfId="0" applyFont="1" applyBorder="1"/>
    <xf numFmtId="0" fontId="0" fillId="3" borderId="7" xfId="0" applyFill="1" applyBorder="1" applyAlignment="1">
      <alignment horizontal="center"/>
    </xf>
    <xf numFmtId="0" fontId="0" fillId="0" borderId="0" xfId="0" applyBorder="1"/>
    <xf numFmtId="0" fontId="0" fillId="0" borderId="8" xfId="0" applyBorder="1"/>
    <xf numFmtId="0" fontId="0" fillId="0" borderId="7" xfId="0" applyBorder="1" applyAlignment="1">
      <alignment horizontal="center"/>
    </xf>
    <xf numFmtId="0" fontId="0" fillId="0" borderId="0" xfId="0" applyBorder="1" applyAlignment="1">
      <alignment vertical="center" wrapText="1"/>
    </xf>
    <xf numFmtId="43" fontId="0" fillId="0" borderId="0" xfId="0" applyNumberFormat="1" applyBorder="1" applyAlignment="1">
      <alignment vertical="center" wrapText="1"/>
    </xf>
    <xf numFmtId="43" fontId="0" fillId="0" borderId="0" xfId="1" applyFont="1" applyBorder="1" applyAlignment="1">
      <alignment vertical="center" wrapText="1"/>
    </xf>
    <xf numFmtId="0" fontId="0" fillId="0" borderId="7" xfId="0" applyFill="1" applyBorder="1" applyAlignment="1">
      <alignment horizontal="center"/>
    </xf>
    <xf numFmtId="0" fontId="0" fillId="0" borderId="0" xfId="0" applyBorder="1" applyAlignment="1">
      <alignment horizontal="center" vertical="center" wrapText="1"/>
    </xf>
    <xf numFmtId="0" fontId="0" fillId="0" borderId="8" xfId="0" applyBorder="1" applyAlignment="1">
      <alignment horizontal="center" vertical="center" wrapText="1"/>
    </xf>
    <xf numFmtId="0" fontId="0" fillId="0" borderId="9" xfId="0" applyFill="1" applyBorder="1" applyAlignment="1">
      <alignment horizontal="center"/>
    </xf>
    <xf numFmtId="0" fontId="0" fillId="0" borderId="10" xfId="0" applyBorder="1"/>
    <xf numFmtId="0" fontId="0" fillId="0" borderId="10" xfId="0" applyBorder="1" applyAlignment="1">
      <alignment vertical="center" wrapText="1"/>
    </xf>
    <xf numFmtId="0" fontId="0" fillId="0" borderId="11" xfId="0" applyBorder="1"/>
    <xf numFmtId="0" fontId="0" fillId="0" borderId="3" xfId="0" applyFont="1" applyBorder="1" applyAlignment="1">
      <alignment horizontal="center"/>
    </xf>
    <xf numFmtId="0" fontId="2" fillId="0" borderId="3" xfId="0" applyFont="1" applyBorder="1" applyAlignment="1">
      <alignment horizontal="center"/>
    </xf>
    <xf numFmtId="0" fontId="0" fillId="0" borderId="3" xfId="0" applyFill="1" applyBorder="1" applyAlignment="1">
      <alignment horizontal="center"/>
    </xf>
    <xf numFmtId="0" fontId="2" fillId="2" borderId="3" xfId="0" applyFont="1" applyFill="1" applyBorder="1" applyAlignment="1">
      <alignment horizontal="center"/>
    </xf>
    <xf numFmtId="0" fontId="0" fillId="3" borderId="0" xfId="0" applyFill="1"/>
    <xf numFmtId="0" fontId="0" fillId="0" borderId="0" xfId="0" applyFont="1" applyFill="1" applyBorder="1"/>
    <xf numFmtId="10" fontId="0" fillId="0" borderId="3" xfId="3" applyNumberFormat="1" applyFont="1" applyFill="1" applyBorder="1"/>
    <xf numFmtId="166" fontId="0" fillId="0" borderId="0" xfId="0" applyNumberFormat="1"/>
    <xf numFmtId="0" fontId="0" fillId="3" borderId="3" xfId="0" applyFill="1" applyBorder="1" applyAlignment="1">
      <alignment horizontal="center"/>
    </xf>
    <xf numFmtId="9" fontId="0" fillId="0" borderId="0" xfId="0" applyNumberFormat="1"/>
    <xf numFmtId="0" fontId="0" fillId="3" borderId="3" xfId="0" applyFill="1" applyBorder="1" applyAlignment="1">
      <alignment horizontal="center" vertical="center"/>
    </xf>
    <xf numFmtId="164" fontId="3" fillId="3" borderId="3" xfId="1" applyNumberFormat="1" applyFont="1" applyFill="1" applyBorder="1"/>
    <xf numFmtId="164" fontId="0" fillId="3" borderId="3" xfId="1" applyNumberFormat="1" applyFont="1" applyFill="1" applyBorder="1" applyAlignment="1">
      <alignment horizontal="right"/>
    </xf>
    <xf numFmtId="167" fontId="0" fillId="0" borderId="0" xfId="0" applyNumberFormat="1"/>
    <xf numFmtId="0" fontId="0" fillId="0" borderId="0" xfId="0" applyAlignment="1">
      <alignment horizontal="center"/>
    </xf>
    <xf numFmtId="43" fontId="0" fillId="3" borderId="3" xfId="1" applyNumberFormat="1" applyFont="1" applyFill="1" applyBorder="1"/>
    <xf numFmtId="2" fontId="0" fillId="0" borderId="0" xfId="0" applyNumberFormat="1"/>
    <xf numFmtId="0" fontId="13" fillId="0" borderId="3" xfId="0" applyFont="1" applyFill="1" applyBorder="1" applyAlignment="1" applyProtection="1">
      <alignment vertical="center"/>
      <protection locked="0"/>
    </xf>
    <xf numFmtId="44" fontId="13" fillId="0" borderId="3" xfId="2" applyFont="1" applyFill="1" applyBorder="1" applyAlignment="1" applyProtection="1">
      <alignment vertical="center"/>
      <protection locked="0"/>
    </xf>
    <xf numFmtId="3" fontId="13" fillId="0" borderId="3" xfId="1" applyNumberFormat="1" applyFont="1" applyFill="1" applyBorder="1" applyAlignment="1" applyProtection="1">
      <alignment horizontal="center" vertical="center"/>
      <protection locked="0"/>
    </xf>
    <xf numFmtId="44" fontId="13" fillId="0" borderId="3" xfId="2" applyFont="1" applyBorder="1" applyAlignment="1" applyProtection="1">
      <alignment vertical="center"/>
      <protection locked="0"/>
    </xf>
    <xf numFmtId="0" fontId="0" fillId="0" borderId="0" xfId="0" applyAlignment="1" applyProtection="1">
      <alignment vertical="center"/>
    </xf>
    <xf numFmtId="0" fontId="17" fillId="0" borderId="3" xfId="0" applyFont="1" applyFill="1" applyBorder="1" applyAlignment="1" applyProtection="1">
      <alignment vertical="center"/>
    </xf>
    <xf numFmtId="0" fontId="17" fillId="0" borderId="0" xfId="0" applyFont="1" applyFill="1" applyAlignment="1" applyProtection="1">
      <alignment vertical="center"/>
    </xf>
    <xf numFmtId="0" fontId="13" fillId="0" borderId="0" xfId="0" applyFont="1" applyFill="1" applyAlignment="1" applyProtection="1">
      <alignment vertical="center"/>
    </xf>
    <xf numFmtId="0" fontId="12" fillId="0" borderId="0" xfId="0" applyFont="1" applyFill="1" applyAlignment="1" applyProtection="1">
      <alignment vertical="center"/>
    </xf>
    <xf numFmtId="0" fontId="17" fillId="0" borderId="2" xfId="0" applyFont="1" applyFill="1" applyBorder="1" applyAlignment="1" applyProtection="1">
      <alignment vertical="center"/>
    </xf>
    <xf numFmtId="43" fontId="0" fillId="0" borderId="0" xfId="0" applyNumberFormat="1" applyAlignment="1" applyProtection="1">
      <alignment vertical="center"/>
    </xf>
    <xf numFmtId="0" fontId="7" fillId="0" borderId="3" xfId="0" applyFont="1" applyFill="1" applyBorder="1" applyAlignment="1" applyProtection="1">
      <alignment vertical="center"/>
    </xf>
    <xf numFmtId="3" fontId="14" fillId="0" borderId="2" xfId="0" applyNumberFormat="1" applyFont="1" applyFill="1" applyBorder="1" applyAlignment="1" applyProtection="1">
      <alignment horizontal="center" vertical="center"/>
    </xf>
    <xf numFmtId="3" fontId="14" fillId="0" borderId="3" xfId="0" applyNumberFormat="1" applyFont="1" applyFill="1" applyBorder="1" applyAlignment="1" applyProtection="1">
      <alignment horizontal="center" vertical="center"/>
    </xf>
    <xf numFmtId="167" fontId="12" fillId="0" borderId="3" xfId="0" applyNumberFormat="1" applyFont="1" applyFill="1" applyBorder="1" applyAlignment="1" applyProtection="1">
      <alignment horizontal="center" vertical="center"/>
    </xf>
    <xf numFmtId="44" fontId="0" fillId="0" borderId="0" xfId="0" applyNumberFormat="1" applyAlignment="1" applyProtection="1">
      <alignment vertical="center"/>
    </xf>
    <xf numFmtId="0" fontId="15" fillId="0" borderId="0" xfId="0" applyFont="1" applyAlignment="1" applyProtection="1">
      <alignment vertical="center"/>
    </xf>
    <xf numFmtId="0" fontId="15" fillId="0" borderId="0" xfId="0" applyFont="1" applyAlignment="1" applyProtection="1">
      <alignment horizontal="left" vertical="center"/>
    </xf>
    <xf numFmtId="0" fontId="10" fillId="0" borderId="0" xfId="0" applyFont="1" applyAlignment="1" applyProtection="1">
      <alignment horizontal="left" vertical="center"/>
    </xf>
    <xf numFmtId="0" fontId="2" fillId="2" borderId="16" xfId="0" applyFont="1" applyFill="1" applyBorder="1" applyAlignment="1" applyProtection="1">
      <alignment vertical="center"/>
    </xf>
    <xf numFmtId="0" fontId="18" fillId="0" borderId="3" xfId="0" applyFont="1" applyBorder="1" applyAlignment="1" applyProtection="1">
      <alignment vertical="center"/>
    </xf>
    <xf numFmtId="44" fontId="12" fillId="0" borderId="3" xfId="2" applyFont="1" applyFill="1" applyBorder="1" applyAlignment="1" applyProtection="1">
      <alignment horizontal="center" vertical="center"/>
    </xf>
    <xf numFmtId="0" fontId="2" fillId="2" borderId="18" xfId="0" applyFont="1" applyFill="1" applyBorder="1" applyAlignment="1" applyProtection="1">
      <alignment vertical="center"/>
    </xf>
    <xf numFmtId="0" fontId="16" fillId="0" borderId="3" xfId="0" applyFont="1" applyBorder="1" applyAlignment="1" applyProtection="1">
      <alignment horizontal="center" vertical="center"/>
    </xf>
    <xf numFmtId="0" fontId="2" fillId="2" borderId="15" xfId="0" applyFont="1" applyFill="1" applyBorder="1" applyAlignment="1" applyProtection="1">
      <alignment vertical="center"/>
    </xf>
    <xf numFmtId="43" fontId="0" fillId="0" borderId="17" xfId="1" applyFont="1" applyBorder="1" applyAlignment="1" applyProtection="1">
      <alignment horizontal="center" vertical="center"/>
    </xf>
    <xf numFmtId="43" fontId="0" fillId="0" borderId="0" xfId="1" applyFont="1" applyAlignment="1" applyProtection="1">
      <alignment vertical="center"/>
    </xf>
    <xf numFmtId="164" fontId="0" fillId="0" borderId="0" xfId="1" applyNumberFormat="1" applyFont="1" applyAlignment="1" applyProtection="1">
      <alignment vertical="center"/>
    </xf>
    <xf numFmtId="10" fontId="9" fillId="0" borderId="0" xfId="3" applyNumberFormat="1" applyFont="1" applyBorder="1" applyAlignment="1" applyProtection="1">
      <alignment horizontal="center" vertical="center"/>
    </xf>
    <xf numFmtId="168" fontId="0" fillId="0" borderId="0" xfId="0" applyNumberFormat="1"/>
    <xf numFmtId="0" fontId="2" fillId="2" borderId="22" xfId="0" applyFont="1" applyFill="1" applyBorder="1" applyAlignment="1" applyProtection="1">
      <alignment vertical="center"/>
    </xf>
    <xf numFmtId="43" fontId="9" fillId="0" borderId="0" xfId="1" applyFont="1" applyAlignment="1" applyProtection="1">
      <alignment vertical="center"/>
    </xf>
    <xf numFmtId="0" fontId="9" fillId="0" borderId="0" xfId="0" applyFont="1" applyAlignment="1" applyProtection="1">
      <alignment vertical="center"/>
    </xf>
    <xf numFmtId="2" fontId="14" fillId="0" borderId="2" xfId="0" applyNumberFormat="1" applyFont="1" applyFill="1" applyBorder="1" applyAlignment="1" applyProtection="1">
      <alignment horizontal="center" vertical="center"/>
    </xf>
    <xf numFmtId="0" fontId="20" fillId="2" borderId="3" xfId="0" applyFont="1" applyFill="1" applyBorder="1" applyAlignment="1" applyProtection="1">
      <alignment horizontal="center" vertical="center"/>
      <protection locked="0"/>
    </xf>
    <xf numFmtId="10" fontId="0" fillId="0" borderId="0" xfId="0" applyNumberFormat="1" applyAlignment="1" applyProtection="1">
      <alignment vertical="center"/>
    </xf>
    <xf numFmtId="9" fontId="0" fillId="0" borderId="0" xfId="3" applyFont="1" applyAlignment="1" applyProtection="1">
      <alignment vertical="center"/>
    </xf>
    <xf numFmtId="0" fontId="2" fillId="4" borderId="3" xfId="0" applyFont="1" applyFill="1" applyBorder="1" applyAlignment="1">
      <alignment vertical="center" wrapText="1"/>
    </xf>
    <xf numFmtId="0" fontId="2" fillId="4" borderId="3" xfId="0" applyFont="1" applyFill="1" applyBorder="1" applyAlignment="1">
      <alignment horizontal="right" vertical="center" wrapText="1"/>
    </xf>
    <xf numFmtId="164" fontId="2" fillId="4" borderId="3" xfId="1" applyNumberFormat="1" applyFont="1" applyFill="1" applyBorder="1" applyAlignment="1">
      <alignment horizontal="center" vertical="center" wrapText="1"/>
    </xf>
    <xf numFmtId="0" fontId="0" fillId="0" borderId="0" xfId="0" applyProtection="1"/>
    <xf numFmtId="0" fontId="0" fillId="0" borderId="0" xfId="0" applyAlignment="1" applyProtection="1">
      <alignment vertical="center" wrapText="1"/>
    </xf>
    <xf numFmtId="0" fontId="2" fillId="4" borderId="4" xfId="0" applyFont="1" applyFill="1" applyBorder="1" applyAlignment="1" applyProtection="1">
      <alignment horizontal="center" vertical="center" wrapText="1"/>
    </xf>
    <xf numFmtId="0" fontId="2" fillId="4" borderId="3" xfId="0" applyFont="1" applyFill="1" applyBorder="1" applyAlignment="1" applyProtection="1">
      <alignment horizontal="center" vertical="center" wrapText="1"/>
    </xf>
    <xf numFmtId="0" fontId="2" fillId="4" borderId="3" xfId="0" applyFont="1" applyFill="1" applyBorder="1" applyAlignment="1" applyProtection="1">
      <alignment horizontal="center"/>
    </xf>
    <xf numFmtId="0" fontId="2" fillId="0" borderId="0" xfId="0" applyFont="1" applyProtection="1"/>
    <xf numFmtId="0" fontId="0" fillId="0" borderId="3" xfId="0" applyBorder="1" applyAlignment="1" applyProtection="1">
      <alignment horizontal="center"/>
    </xf>
    <xf numFmtId="43" fontId="0" fillId="0" borderId="0" xfId="1" applyFont="1" applyAlignment="1" applyProtection="1">
      <alignment vertical="center" wrapText="1"/>
    </xf>
    <xf numFmtId="43" fontId="0" fillId="0" borderId="3" xfId="0" applyNumberFormat="1" applyBorder="1" applyProtection="1"/>
    <xf numFmtId="43" fontId="0" fillId="0" borderId="3" xfId="1" applyFont="1" applyBorder="1" applyAlignment="1" applyProtection="1">
      <alignment horizontal="center" vertical="center" wrapText="1"/>
    </xf>
    <xf numFmtId="164" fontId="0" fillId="0" borderId="0" xfId="1" applyNumberFormat="1" applyFont="1" applyProtection="1"/>
    <xf numFmtId="0" fontId="0" fillId="0" borderId="3" xfId="0" applyBorder="1" applyAlignment="1" applyProtection="1">
      <alignment horizontal="center" vertical="center" wrapText="1"/>
    </xf>
    <xf numFmtId="0" fontId="2" fillId="0" borderId="0" xfId="0" applyFont="1" applyAlignment="1" applyProtection="1">
      <alignment vertical="center"/>
    </xf>
    <xf numFmtId="10" fontId="0" fillId="0" borderId="3" xfId="0" applyNumberFormat="1" applyBorder="1" applyAlignment="1" applyProtection="1">
      <alignment horizontal="center"/>
    </xf>
    <xf numFmtId="43" fontId="0" fillId="0" borderId="0" xfId="0" applyNumberFormat="1" applyProtection="1"/>
    <xf numFmtId="43" fontId="0" fillId="0" borderId="0" xfId="1" applyFont="1" applyProtection="1"/>
    <xf numFmtId="43" fontId="0" fillId="0" borderId="3" xfId="1" applyFont="1" applyBorder="1" applyAlignment="1" applyProtection="1">
      <alignment horizontal="center"/>
    </xf>
    <xf numFmtId="0" fontId="0" fillId="0" borderId="0" xfId="0" applyAlignment="1" applyProtection="1">
      <alignment horizontal="center"/>
    </xf>
    <xf numFmtId="44" fontId="0" fillId="0" borderId="0" xfId="2" applyFont="1" applyProtection="1"/>
    <xf numFmtId="0" fontId="2" fillId="7" borderId="3" xfId="0" applyFont="1" applyFill="1" applyBorder="1" applyAlignment="1" applyProtection="1">
      <alignment horizontal="center"/>
    </xf>
    <xf numFmtId="0" fontId="0" fillId="0" borderId="3" xfId="0" applyBorder="1" applyProtection="1"/>
    <xf numFmtId="14" fontId="0" fillId="0" borderId="3" xfId="0" applyNumberFormat="1" applyBorder="1" applyProtection="1"/>
    <xf numFmtId="9" fontId="0" fillId="0" borderId="3" xfId="1" applyNumberFormat="1" applyFont="1" applyBorder="1" applyAlignment="1" applyProtection="1">
      <alignment horizontal="center"/>
    </xf>
    <xf numFmtId="169" fontId="0" fillId="0" borderId="3" xfId="1" applyNumberFormat="1" applyFont="1" applyBorder="1" applyAlignment="1" applyProtection="1">
      <alignment horizontal="center"/>
    </xf>
    <xf numFmtId="44" fontId="0" fillId="0" borderId="3" xfId="0" applyNumberFormat="1" applyBorder="1" applyAlignment="1" applyProtection="1">
      <alignment horizontal="center"/>
    </xf>
    <xf numFmtId="1" fontId="0" fillId="0" borderId="0" xfId="0" applyNumberFormat="1" applyProtection="1"/>
    <xf numFmtId="169" fontId="0" fillId="0" borderId="3" xfId="3" applyNumberFormat="1" applyFont="1" applyBorder="1" applyAlignment="1" applyProtection="1">
      <alignment horizontal="center"/>
    </xf>
    <xf numFmtId="0" fontId="22" fillId="0" borderId="0" xfId="0" applyFont="1" applyAlignment="1" applyProtection="1">
      <alignment vertical="center" wrapText="1"/>
    </xf>
    <xf numFmtId="0" fontId="13" fillId="0" borderId="7" xfId="0" applyFont="1" applyBorder="1" applyAlignment="1" applyProtection="1">
      <alignment vertical="center"/>
    </xf>
    <xf numFmtId="0" fontId="13" fillId="0" borderId="0" xfId="0" applyFont="1" applyBorder="1" applyAlignment="1" applyProtection="1">
      <alignment vertical="center"/>
    </xf>
    <xf numFmtId="0" fontId="13" fillId="0" borderId="8" xfId="0" applyFont="1" applyBorder="1" applyAlignment="1" applyProtection="1">
      <alignment vertical="center"/>
    </xf>
    <xf numFmtId="3" fontId="11" fillId="0" borderId="33" xfId="0" applyNumberFormat="1" applyFont="1" applyFill="1" applyBorder="1" applyAlignment="1" applyProtection="1">
      <alignment horizontal="center" vertical="center"/>
    </xf>
    <xf numFmtId="0" fontId="21" fillId="2" borderId="3" xfId="0" applyFont="1" applyFill="1" applyBorder="1" applyAlignment="1" applyProtection="1">
      <alignment horizontal="center" vertical="center"/>
      <protection locked="0"/>
    </xf>
    <xf numFmtId="0" fontId="0" fillId="0" borderId="0" xfId="0" applyFill="1" applyBorder="1" applyAlignment="1" applyProtection="1">
      <alignment horizontal="center"/>
    </xf>
    <xf numFmtId="0" fontId="13" fillId="0" borderId="3" xfId="0" applyFont="1" applyFill="1" applyBorder="1" applyAlignment="1" applyProtection="1">
      <alignment vertical="center"/>
    </xf>
    <xf numFmtId="9" fontId="0" fillId="0" borderId="0" xfId="3" applyFont="1" applyFill="1" applyProtection="1"/>
    <xf numFmtId="164" fontId="0" fillId="0" borderId="3" xfId="1" applyNumberFormat="1" applyFont="1" applyBorder="1" applyAlignment="1" applyProtection="1">
      <alignment horizontal="center"/>
    </xf>
    <xf numFmtId="9" fontId="0" fillId="0" borderId="3" xfId="0" applyNumberFormat="1" applyBorder="1" applyAlignment="1" applyProtection="1">
      <alignment horizontal="center"/>
    </xf>
    <xf numFmtId="0" fontId="2" fillId="2" borderId="3" xfId="0" applyFont="1" applyFill="1" applyBorder="1" applyAlignment="1" applyProtection="1">
      <alignment vertical="center"/>
    </xf>
    <xf numFmtId="164" fontId="0" fillId="0" borderId="0" xfId="0" applyNumberFormat="1" applyProtection="1"/>
    <xf numFmtId="0" fontId="0" fillId="0" borderId="0" xfId="0" applyFill="1" applyBorder="1"/>
    <xf numFmtId="43" fontId="0" fillId="0" borderId="0" xfId="1" applyFont="1"/>
    <xf numFmtId="10" fontId="0" fillId="0" borderId="0" xfId="3" applyNumberFormat="1" applyFont="1" applyAlignment="1" applyProtection="1">
      <alignment vertical="center"/>
    </xf>
    <xf numFmtId="0" fontId="23" fillId="0" borderId="0" xfId="0" applyFont="1" applyAlignment="1">
      <alignment horizontal="center" vertical="center"/>
    </xf>
    <xf numFmtId="0" fontId="25" fillId="0" borderId="0" xfId="0" applyFont="1" applyAlignment="1">
      <alignment horizontal="right" vertical="center"/>
    </xf>
    <xf numFmtId="0" fontId="18" fillId="0" borderId="3" xfId="0" applyFont="1" applyFill="1" applyBorder="1" applyAlignment="1" applyProtection="1">
      <alignment vertical="center"/>
    </xf>
    <xf numFmtId="0" fontId="26" fillId="2" borderId="3" xfId="0" applyFont="1" applyFill="1" applyBorder="1" applyAlignment="1" applyProtection="1">
      <alignment horizontal="center" vertical="center"/>
      <protection locked="0"/>
    </xf>
    <xf numFmtId="0" fontId="18" fillId="0" borderId="0" xfId="0" applyFont="1" applyFill="1" applyAlignment="1" applyProtection="1">
      <alignment vertical="center"/>
    </xf>
    <xf numFmtId="0" fontId="16" fillId="0" borderId="0" xfId="0" applyFont="1" applyFill="1" applyAlignment="1" applyProtection="1">
      <alignment vertical="center"/>
    </xf>
    <xf numFmtId="0" fontId="16" fillId="0" borderId="3" xfId="0" applyFont="1" applyFill="1" applyBorder="1" applyAlignment="1" applyProtection="1">
      <alignment vertical="center"/>
      <protection locked="0"/>
    </xf>
    <xf numFmtId="0" fontId="16" fillId="0" borderId="3" xfId="0" applyFont="1" applyFill="1" applyBorder="1" applyAlignment="1" applyProtection="1">
      <alignment vertical="center"/>
    </xf>
    <xf numFmtId="44" fontId="16" fillId="0" borderId="3" xfId="2" applyFont="1" applyFill="1" applyBorder="1" applyAlignment="1" applyProtection="1">
      <alignment vertical="center"/>
      <protection locked="0"/>
    </xf>
    <xf numFmtId="3" fontId="16" fillId="0" borderId="3" xfId="1" applyNumberFormat="1" applyFont="1" applyFill="1" applyBorder="1" applyAlignment="1" applyProtection="1">
      <alignment horizontal="center" vertical="center"/>
      <protection locked="0"/>
    </xf>
    <xf numFmtId="0" fontId="18" fillId="0" borderId="2" xfId="0" applyFont="1" applyFill="1" applyBorder="1" applyAlignment="1" applyProtection="1">
      <alignment vertical="center"/>
    </xf>
    <xf numFmtId="44" fontId="16" fillId="0" borderId="3" xfId="2" applyFont="1" applyBorder="1" applyAlignment="1" applyProtection="1">
      <alignment vertical="center"/>
      <protection locked="0"/>
    </xf>
    <xf numFmtId="0" fontId="25" fillId="0" borderId="0" xfId="0" applyFont="1" applyAlignment="1" applyProtection="1">
      <alignment vertical="center"/>
    </xf>
    <xf numFmtId="44" fontId="25" fillId="0" borderId="0" xfId="0" applyNumberFormat="1" applyFont="1" applyAlignment="1" applyProtection="1">
      <alignment vertical="center"/>
    </xf>
    <xf numFmtId="43" fontId="25" fillId="0" borderId="0" xfId="0" applyNumberFormat="1" applyFont="1" applyAlignment="1" applyProtection="1">
      <alignment vertical="center"/>
    </xf>
    <xf numFmtId="164" fontId="16" fillId="0" borderId="2" xfId="1" applyNumberFormat="1" applyFont="1" applyFill="1" applyBorder="1" applyAlignment="1" applyProtection="1">
      <alignment horizontal="center" vertical="center"/>
    </xf>
    <xf numFmtId="0" fontId="16" fillId="0" borderId="0" xfId="0" applyFont="1" applyAlignment="1" applyProtection="1">
      <alignment vertical="center"/>
    </xf>
    <xf numFmtId="0" fontId="18" fillId="0" borderId="0" xfId="0" applyFont="1" applyAlignment="1" applyProtection="1">
      <alignment vertical="center" wrapText="1"/>
    </xf>
    <xf numFmtId="0" fontId="16" fillId="0" borderId="0" xfId="0" applyFont="1" applyAlignment="1" applyProtection="1">
      <alignment horizontal="left" vertical="center"/>
    </xf>
    <xf numFmtId="0" fontId="18" fillId="0" borderId="0" xfId="0" applyFont="1" applyAlignment="1" applyProtection="1">
      <alignment horizontal="left" vertical="center"/>
    </xf>
    <xf numFmtId="44" fontId="16" fillId="0" borderId="3" xfId="2" applyFont="1" applyFill="1" applyBorder="1" applyAlignment="1" applyProtection="1">
      <alignment horizontal="center" vertical="center"/>
    </xf>
    <xf numFmtId="0" fontId="24" fillId="0" borderId="0" xfId="0" applyFont="1" applyAlignment="1">
      <alignment horizontal="center" vertical="center"/>
    </xf>
    <xf numFmtId="0" fontId="24" fillId="0" borderId="0" xfId="0" applyFont="1" applyAlignment="1">
      <alignment vertical="center"/>
    </xf>
    <xf numFmtId="0" fontId="12" fillId="2" borderId="7" xfId="0" applyFont="1" applyFill="1" applyBorder="1" applyAlignment="1" applyProtection="1">
      <alignment vertical="center"/>
    </xf>
    <xf numFmtId="0" fontId="12" fillId="2" borderId="0" xfId="0" applyFont="1" applyFill="1" applyBorder="1" applyAlignment="1" applyProtection="1">
      <alignment vertical="center"/>
    </xf>
    <xf numFmtId="0" fontId="12" fillId="2" borderId="8" xfId="0" applyFont="1" applyFill="1" applyBorder="1" applyAlignment="1" applyProtection="1">
      <alignment vertical="center"/>
    </xf>
    <xf numFmtId="3" fontId="17" fillId="2" borderId="33" xfId="0" applyNumberFormat="1" applyFont="1" applyFill="1" applyBorder="1" applyAlignment="1" applyProtection="1">
      <alignment horizontal="center" vertical="center"/>
    </xf>
    <xf numFmtId="164" fontId="0" fillId="2" borderId="0" xfId="0" applyNumberFormat="1" applyFill="1" applyProtection="1"/>
    <xf numFmtId="10" fontId="0" fillId="0" borderId="17" xfId="3" applyNumberFormat="1" applyFont="1" applyBorder="1" applyAlignment="1" applyProtection="1">
      <alignment horizontal="center" vertical="center"/>
    </xf>
    <xf numFmtId="4" fontId="14" fillId="0" borderId="2" xfId="0" applyNumberFormat="1" applyFont="1" applyFill="1" applyBorder="1" applyAlignment="1" applyProtection="1">
      <alignment horizontal="center" vertical="center"/>
    </xf>
    <xf numFmtId="8" fontId="0" fillId="0" borderId="0" xfId="0" applyNumberFormat="1" applyAlignment="1" applyProtection="1">
      <alignment vertical="center"/>
    </xf>
    <xf numFmtId="43" fontId="0" fillId="0" borderId="35" xfId="1" applyFont="1" applyBorder="1" applyAlignment="1" applyProtection="1">
      <alignment horizontal="center" vertical="center"/>
    </xf>
    <xf numFmtId="0" fontId="0" fillId="0" borderId="0" xfId="0" applyFont="1" applyAlignment="1" applyProtection="1">
      <alignment vertical="center"/>
    </xf>
    <xf numFmtId="164" fontId="0" fillId="0" borderId="0" xfId="0" applyNumberFormat="1" applyAlignment="1" applyProtection="1">
      <alignment vertical="center"/>
    </xf>
    <xf numFmtId="0" fontId="29" fillId="0" borderId="0" xfId="0" applyFont="1" applyAlignment="1" applyProtection="1">
      <alignment vertical="center"/>
    </xf>
    <xf numFmtId="43" fontId="29" fillId="0" borderId="0" xfId="1" applyFont="1" applyAlignment="1" applyProtection="1">
      <alignment vertical="center"/>
    </xf>
    <xf numFmtId="10" fontId="29" fillId="0" borderId="0" xfId="3" applyNumberFormat="1" applyFont="1" applyBorder="1" applyAlignment="1" applyProtection="1">
      <alignment horizontal="center" vertical="center"/>
    </xf>
    <xf numFmtId="164" fontId="0" fillId="0" borderId="0" xfId="1" applyNumberFormat="1" applyFont="1"/>
    <xf numFmtId="170" fontId="0" fillId="0" borderId="0" xfId="1" applyNumberFormat="1" applyFont="1" applyProtection="1"/>
    <xf numFmtId="10" fontId="0" fillId="0" borderId="3" xfId="0" applyNumberFormat="1" applyBorder="1"/>
    <xf numFmtId="43" fontId="0" fillId="0" borderId="3" xfId="0" applyNumberFormat="1" applyBorder="1"/>
    <xf numFmtId="10" fontId="0" fillId="3" borderId="17" xfId="3" applyNumberFormat="1" applyFont="1" applyFill="1" applyBorder="1" applyAlignment="1" applyProtection="1">
      <alignment horizontal="center" vertical="center"/>
    </xf>
    <xf numFmtId="0" fontId="0" fillId="3" borderId="19" xfId="0" applyFill="1" applyBorder="1" applyAlignment="1" applyProtection="1">
      <alignment horizontal="center"/>
      <protection locked="0"/>
    </xf>
    <xf numFmtId="0" fontId="0" fillId="3" borderId="30" xfId="0" applyFill="1" applyBorder="1" applyAlignment="1" applyProtection="1">
      <alignment horizontal="center"/>
      <protection locked="0"/>
    </xf>
    <xf numFmtId="164" fontId="0" fillId="3" borderId="14" xfId="1" applyNumberFormat="1" applyFont="1" applyFill="1" applyBorder="1" applyAlignment="1" applyProtection="1">
      <alignment horizontal="center" vertical="center"/>
      <protection locked="0"/>
    </xf>
    <xf numFmtId="0" fontId="0" fillId="3" borderId="17" xfId="0" applyFill="1" applyBorder="1" applyAlignment="1" applyProtection="1">
      <alignment horizontal="center" vertical="center"/>
      <protection locked="0"/>
    </xf>
    <xf numFmtId="9" fontId="0" fillId="3" borderId="17" xfId="3" applyFont="1" applyFill="1" applyBorder="1" applyAlignment="1" applyProtection="1">
      <alignment horizontal="center" vertical="center"/>
    </xf>
    <xf numFmtId="0" fontId="0" fillId="3" borderId="3" xfId="0" applyFill="1" applyBorder="1" applyAlignment="1" applyProtection="1">
      <alignment vertical="center"/>
      <protection locked="0"/>
    </xf>
    <xf numFmtId="0" fontId="0" fillId="3" borderId="4" xfId="0" applyFill="1" applyBorder="1" applyProtection="1">
      <protection locked="0"/>
    </xf>
    <xf numFmtId="3" fontId="0" fillId="3" borderId="34" xfId="0" applyNumberFormat="1" applyFill="1" applyBorder="1" applyProtection="1">
      <protection locked="0"/>
    </xf>
    <xf numFmtId="0" fontId="0" fillId="3" borderId="34" xfId="0" applyFill="1" applyBorder="1" applyProtection="1">
      <protection locked="0"/>
    </xf>
    <xf numFmtId="0" fontId="31" fillId="3" borderId="3" xfId="0" applyFont="1" applyFill="1" applyBorder="1" applyAlignment="1">
      <alignment vertical="center" wrapText="1"/>
    </xf>
    <xf numFmtId="0" fontId="31" fillId="3" borderId="3" xfId="0" applyFont="1" applyFill="1" applyBorder="1" applyAlignment="1">
      <alignment horizontal="center" vertical="center" wrapText="1"/>
    </xf>
    <xf numFmtId="43" fontId="31" fillId="3" borderId="3" xfId="1" applyFont="1" applyFill="1" applyBorder="1" applyAlignment="1">
      <alignment horizontal="center" vertical="center" wrapText="1"/>
    </xf>
    <xf numFmtId="164" fontId="31" fillId="3" borderId="3" xfId="1" applyNumberFormat="1" applyFont="1" applyFill="1" applyBorder="1" applyAlignment="1">
      <alignment horizontal="center" vertical="center" wrapText="1"/>
    </xf>
    <xf numFmtId="0" fontId="25" fillId="0" borderId="0" xfId="0" applyFont="1" applyAlignment="1" applyProtection="1">
      <alignment vertical="top" wrapText="1"/>
    </xf>
    <xf numFmtId="0" fontId="32" fillId="0" borderId="0" xfId="106" applyFont="1" applyAlignment="1" applyProtection="1">
      <alignment vertical="top" wrapText="1"/>
    </xf>
    <xf numFmtId="0" fontId="4" fillId="3" borderId="3" xfId="106" applyFill="1" applyBorder="1" applyAlignment="1">
      <alignment vertical="center" wrapText="1"/>
    </xf>
    <xf numFmtId="9" fontId="0" fillId="3" borderId="14" xfId="3" applyFont="1" applyFill="1" applyBorder="1" applyAlignment="1" applyProtection="1">
      <alignment horizontal="center" vertical="center"/>
      <protection locked="0"/>
    </xf>
    <xf numFmtId="0" fontId="30" fillId="0" borderId="0" xfId="0" applyFont="1" applyAlignment="1" applyProtection="1">
      <alignment horizontal="left" vertical="top" wrapText="1"/>
    </xf>
    <xf numFmtId="0" fontId="25" fillId="0" borderId="0" xfId="0" applyFont="1" applyAlignment="1" applyProtection="1">
      <alignment horizontal="left" vertical="top" wrapText="1"/>
    </xf>
    <xf numFmtId="0" fontId="24" fillId="0" borderId="0" xfId="0" applyFont="1" applyAlignment="1">
      <alignment horizontal="center" vertical="center"/>
    </xf>
    <xf numFmtId="44" fontId="17" fillId="2" borderId="27" xfId="2" applyFont="1" applyFill="1" applyBorder="1" applyAlignment="1" applyProtection="1">
      <alignment horizontal="center" vertical="center"/>
    </xf>
    <xf numFmtId="44" fontId="17" fillId="2" borderId="28" xfId="2" applyFont="1" applyFill="1" applyBorder="1" applyAlignment="1" applyProtection="1">
      <alignment horizontal="center" vertical="center"/>
    </xf>
    <xf numFmtId="44" fontId="17" fillId="2" borderId="30" xfId="2" applyFont="1" applyFill="1" applyBorder="1" applyAlignment="1" applyProtection="1">
      <alignment horizontal="center" vertical="center"/>
    </xf>
    <xf numFmtId="0" fontId="18" fillId="0" borderId="1" xfId="0" applyFont="1" applyFill="1" applyBorder="1" applyAlignment="1" applyProtection="1">
      <alignment horizontal="left" vertical="center"/>
    </xf>
    <xf numFmtId="0" fontId="18" fillId="0" borderId="2" xfId="0" applyFont="1" applyFill="1" applyBorder="1" applyAlignment="1" applyProtection="1">
      <alignment horizontal="left" vertical="center"/>
    </xf>
    <xf numFmtId="9" fontId="16" fillId="0" borderId="1" xfId="3" applyFont="1" applyFill="1" applyBorder="1" applyAlignment="1" applyProtection="1">
      <alignment horizontal="center" vertical="center"/>
    </xf>
    <xf numFmtId="9" fontId="16" fillId="0" borderId="6" xfId="3" applyFont="1" applyFill="1" applyBorder="1" applyAlignment="1" applyProtection="1">
      <alignment horizontal="center" vertical="center"/>
    </xf>
    <xf numFmtId="44" fontId="16" fillId="0" borderId="3" xfId="2" applyFont="1" applyFill="1" applyBorder="1" applyAlignment="1" applyProtection="1">
      <alignment horizontal="center" vertical="center"/>
    </xf>
    <xf numFmtId="44" fontId="16" fillId="0" borderId="1" xfId="2" applyFont="1" applyFill="1" applyBorder="1" applyAlignment="1" applyProtection="1">
      <alignment horizontal="center" vertical="center"/>
    </xf>
    <xf numFmtId="0" fontId="17" fillId="2" borderId="31" xfId="0" applyFont="1" applyFill="1" applyBorder="1" applyAlignment="1" applyProtection="1">
      <alignment horizontal="center" vertical="center"/>
    </xf>
    <xf numFmtId="0" fontId="17" fillId="2" borderId="32" xfId="0" applyFont="1" applyFill="1" applyBorder="1" applyAlignment="1" applyProtection="1">
      <alignment horizontal="center" vertical="center"/>
    </xf>
    <xf numFmtId="0" fontId="16" fillId="0" borderId="1" xfId="0" applyFont="1" applyBorder="1" applyAlignment="1" applyProtection="1">
      <alignment horizontal="center" vertical="center"/>
    </xf>
    <xf numFmtId="0" fontId="16" fillId="0" borderId="6" xfId="0" applyFont="1" applyBorder="1" applyAlignment="1" applyProtection="1">
      <alignment horizontal="center" vertical="center"/>
    </xf>
    <xf numFmtId="0" fontId="16" fillId="0" borderId="2" xfId="0" applyFont="1" applyBorder="1" applyAlignment="1" applyProtection="1">
      <alignment horizontal="center" vertical="center"/>
    </xf>
    <xf numFmtId="0" fontId="18" fillId="0" borderId="1" xfId="0" applyFont="1" applyFill="1" applyBorder="1" applyAlignment="1" applyProtection="1">
      <alignment horizontal="center" vertical="center"/>
    </xf>
    <xf numFmtId="0" fontId="18" fillId="0" borderId="2" xfId="0" applyFont="1" applyFill="1" applyBorder="1" applyAlignment="1" applyProtection="1">
      <alignment horizontal="center" vertical="center"/>
    </xf>
    <xf numFmtId="0" fontId="18" fillId="8" borderId="1" xfId="0" applyFont="1" applyFill="1" applyBorder="1" applyAlignment="1" applyProtection="1">
      <alignment horizontal="center" vertical="center"/>
    </xf>
    <xf numFmtId="0" fontId="18" fillId="8" borderId="6" xfId="0" applyFont="1" applyFill="1" applyBorder="1" applyAlignment="1" applyProtection="1">
      <alignment horizontal="center" vertical="center"/>
    </xf>
    <xf numFmtId="0" fontId="18" fillId="8" borderId="2" xfId="0" applyFont="1" applyFill="1" applyBorder="1" applyAlignment="1" applyProtection="1">
      <alignment horizontal="center" vertical="center"/>
    </xf>
    <xf numFmtId="0" fontId="16" fillId="0" borderId="1" xfId="0" applyFont="1" applyFill="1" applyBorder="1" applyAlignment="1" applyProtection="1">
      <alignment horizontal="left" vertical="center"/>
      <protection locked="0"/>
    </xf>
    <xf numFmtId="0" fontId="16" fillId="0" borderId="6" xfId="0" applyFont="1" applyFill="1" applyBorder="1" applyAlignment="1" applyProtection="1">
      <alignment horizontal="left" vertical="center"/>
      <protection locked="0"/>
    </xf>
    <xf numFmtId="0" fontId="16" fillId="0" borderId="2" xfId="0" applyFont="1" applyFill="1" applyBorder="1" applyAlignment="1" applyProtection="1">
      <alignment horizontal="left" vertical="center"/>
      <protection locked="0"/>
    </xf>
    <xf numFmtId="0" fontId="27" fillId="0" borderId="1" xfId="106" applyFont="1" applyFill="1" applyBorder="1" applyAlignment="1" applyProtection="1">
      <alignment horizontal="left" vertical="center"/>
      <protection locked="0"/>
    </xf>
    <xf numFmtId="0" fontId="16" fillId="0" borderId="1" xfId="0" applyFont="1" applyFill="1" applyBorder="1" applyAlignment="1" applyProtection="1">
      <alignment horizontal="left" vertical="center"/>
    </xf>
    <xf numFmtId="0" fontId="16" fillId="0" borderId="2" xfId="0" applyFont="1" applyFill="1" applyBorder="1" applyAlignment="1" applyProtection="1">
      <alignment horizontal="left" vertical="center"/>
    </xf>
    <xf numFmtId="0" fontId="18" fillId="0" borderId="3" xfId="0" applyFont="1" applyFill="1" applyBorder="1" applyAlignment="1" applyProtection="1">
      <alignment horizontal="center" vertical="center"/>
    </xf>
    <xf numFmtId="0" fontId="3" fillId="8" borderId="1" xfId="0" applyFont="1" applyFill="1" applyBorder="1" applyAlignment="1" applyProtection="1">
      <alignment horizontal="center" vertical="center"/>
    </xf>
    <xf numFmtId="0" fontId="3" fillId="8" borderId="6" xfId="0" applyFont="1" applyFill="1" applyBorder="1" applyAlignment="1" applyProtection="1">
      <alignment horizontal="center" vertical="center"/>
    </xf>
    <xf numFmtId="0" fontId="3" fillId="8" borderId="2" xfId="0" applyFont="1" applyFill="1" applyBorder="1" applyAlignment="1" applyProtection="1">
      <alignment horizontal="center" vertical="center"/>
    </xf>
    <xf numFmtId="0" fontId="18" fillId="0" borderId="3" xfId="0" applyFont="1" applyFill="1" applyBorder="1" applyAlignment="1" applyProtection="1">
      <alignment horizontal="left" vertical="center"/>
    </xf>
    <xf numFmtId="0" fontId="17" fillId="2" borderId="25" xfId="0" applyFont="1" applyFill="1" applyBorder="1" applyAlignment="1" applyProtection="1">
      <alignment horizontal="center" vertical="center" wrapText="1"/>
    </xf>
    <xf numFmtId="0" fontId="17" fillId="2" borderId="26"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wrapText="1"/>
    </xf>
    <xf numFmtId="0" fontId="17" fillId="2" borderId="23" xfId="0" applyFont="1" applyFill="1" applyBorder="1" applyAlignment="1" applyProtection="1">
      <alignment horizontal="center" vertical="center" wrapText="1"/>
    </xf>
    <xf numFmtId="0" fontId="17" fillId="2" borderId="29" xfId="0" applyFont="1" applyFill="1" applyBorder="1" applyAlignment="1" applyProtection="1">
      <alignment horizontal="center" vertical="center" wrapText="1"/>
    </xf>
    <xf numFmtId="0" fontId="17" fillId="2" borderId="24" xfId="0" applyFont="1" applyFill="1" applyBorder="1" applyAlignment="1" applyProtection="1">
      <alignment horizontal="center" vertical="center" wrapText="1"/>
    </xf>
    <xf numFmtId="0" fontId="11" fillId="0" borderId="31" xfId="0" applyFont="1" applyFill="1" applyBorder="1" applyAlignment="1" applyProtection="1">
      <alignment horizontal="center" vertical="center"/>
    </xf>
    <xf numFmtId="0" fontId="11" fillId="0" borderId="32" xfId="0" applyFont="1" applyFill="1" applyBorder="1" applyAlignment="1" applyProtection="1">
      <alignment horizontal="center" vertical="center"/>
    </xf>
    <xf numFmtId="44" fontId="12" fillId="0" borderId="3" xfId="2" applyFont="1" applyFill="1" applyBorder="1" applyAlignment="1" applyProtection="1">
      <alignment horizontal="center" vertical="center"/>
    </xf>
    <xf numFmtId="44" fontId="12" fillId="0" borderId="1" xfId="2" applyFont="1" applyFill="1" applyBorder="1" applyAlignment="1" applyProtection="1">
      <alignment horizontal="center" vertical="center"/>
    </xf>
    <xf numFmtId="0" fontId="9" fillId="0" borderId="20" xfId="0" applyFont="1" applyBorder="1" applyAlignment="1" applyProtection="1">
      <alignment horizontal="center" vertical="center"/>
    </xf>
    <xf numFmtId="0" fontId="9" fillId="0" borderId="0" xfId="0" applyFont="1" applyAlignment="1" applyProtection="1">
      <alignment horizontal="center" vertical="center"/>
    </xf>
    <xf numFmtId="0" fontId="8" fillId="0" borderId="0" xfId="0" applyFont="1" applyFill="1" applyBorder="1" applyAlignment="1" applyProtection="1">
      <alignment horizontal="center" vertical="center"/>
    </xf>
    <xf numFmtId="0" fontId="2" fillId="6" borderId="12" xfId="0" applyFont="1" applyFill="1" applyBorder="1" applyAlignment="1" applyProtection="1">
      <alignment horizontal="center" vertical="center"/>
    </xf>
    <xf numFmtId="0" fontId="2" fillId="6" borderId="14" xfId="0" applyFont="1" applyFill="1" applyBorder="1" applyAlignment="1" applyProtection="1">
      <alignment horizontal="center" vertical="center"/>
    </xf>
    <xf numFmtId="0" fontId="7" fillId="0" borderId="3" xfId="0" applyFont="1" applyFill="1" applyBorder="1" applyAlignment="1" applyProtection="1">
      <alignment horizontal="center" vertical="center"/>
    </xf>
    <xf numFmtId="0" fontId="7" fillId="0" borderId="1" xfId="0" applyFont="1" applyFill="1" applyBorder="1" applyAlignment="1" applyProtection="1">
      <alignment horizontal="center" vertical="center"/>
    </xf>
    <xf numFmtId="0" fontId="7" fillId="0" borderId="2" xfId="0" applyFont="1" applyFill="1" applyBorder="1" applyAlignment="1" applyProtection="1">
      <alignment horizontal="center" vertical="center"/>
    </xf>
    <xf numFmtId="44" fontId="11" fillId="0" borderId="27" xfId="2" applyFont="1" applyBorder="1" applyAlignment="1" applyProtection="1">
      <alignment horizontal="center" vertical="center"/>
    </xf>
    <xf numFmtId="44" fontId="11" fillId="0" borderId="28" xfId="2" applyFont="1" applyBorder="1" applyAlignment="1" applyProtection="1">
      <alignment horizontal="center" vertical="center"/>
    </xf>
    <xf numFmtId="44" fontId="11" fillId="0" borderId="30" xfId="2" applyFont="1" applyBorder="1" applyAlignment="1" applyProtection="1">
      <alignment horizontal="center" vertical="center"/>
    </xf>
    <xf numFmtId="0" fontId="11" fillId="0" borderId="25" xfId="0" applyFont="1" applyFill="1" applyBorder="1" applyAlignment="1" applyProtection="1">
      <alignment horizontal="center" vertical="center" wrapText="1"/>
    </xf>
    <xf numFmtId="0" fontId="11" fillId="0" borderId="26" xfId="0" applyFont="1" applyFill="1" applyBorder="1" applyAlignment="1" applyProtection="1">
      <alignment horizontal="center" vertical="center" wrapText="1"/>
    </xf>
    <xf numFmtId="0" fontId="11" fillId="0" borderId="7" xfId="0" applyFont="1" applyFill="1" applyBorder="1" applyAlignment="1" applyProtection="1">
      <alignment horizontal="center" vertical="center" wrapText="1"/>
    </xf>
    <xf numFmtId="0" fontId="11" fillId="0" borderId="23" xfId="0" applyFont="1" applyFill="1" applyBorder="1" applyAlignment="1" applyProtection="1">
      <alignment horizontal="center" vertical="center" wrapText="1"/>
    </xf>
    <xf numFmtId="0" fontId="11" fillId="0" borderId="29" xfId="0" applyFont="1" applyFill="1" applyBorder="1" applyAlignment="1" applyProtection="1">
      <alignment horizontal="center" vertical="center" wrapText="1"/>
    </xf>
    <xf numFmtId="0" fontId="11" fillId="0" borderId="24" xfId="0" applyFont="1" applyFill="1" applyBorder="1" applyAlignment="1" applyProtection="1">
      <alignment horizontal="center" vertical="center" wrapText="1"/>
    </xf>
    <xf numFmtId="0" fontId="11" fillId="8" borderId="1" xfId="0" applyFont="1" applyFill="1" applyBorder="1" applyAlignment="1" applyProtection="1">
      <alignment horizontal="center" vertical="center"/>
    </xf>
    <xf numFmtId="0" fontId="11" fillId="8" borderId="6" xfId="0" applyFont="1" applyFill="1" applyBorder="1" applyAlignment="1" applyProtection="1">
      <alignment horizontal="center" vertical="center"/>
    </xf>
    <xf numFmtId="0" fontId="11" fillId="8" borderId="2" xfId="0" applyFont="1" applyFill="1" applyBorder="1" applyAlignment="1" applyProtection="1">
      <alignment horizontal="center" vertical="center"/>
    </xf>
    <xf numFmtId="0" fontId="6" fillId="8" borderId="1" xfId="0" applyFont="1" applyFill="1" applyBorder="1" applyAlignment="1" applyProtection="1">
      <alignment horizontal="center" vertical="center"/>
    </xf>
    <xf numFmtId="0" fontId="6" fillId="8" borderId="6" xfId="0" applyFont="1" applyFill="1" applyBorder="1" applyAlignment="1" applyProtection="1">
      <alignment horizontal="center" vertical="center"/>
    </xf>
    <xf numFmtId="0" fontId="6" fillId="8" borderId="2" xfId="0" applyFont="1" applyFill="1" applyBorder="1" applyAlignment="1" applyProtection="1">
      <alignment horizontal="center" vertical="center"/>
    </xf>
    <xf numFmtId="0" fontId="7" fillId="0" borderId="3" xfId="0" applyFont="1" applyFill="1" applyBorder="1" applyAlignment="1" applyProtection="1">
      <alignment horizontal="left" vertical="center"/>
    </xf>
    <xf numFmtId="0" fontId="2" fillId="5" borderId="12" xfId="0" applyFont="1" applyFill="1" applyBorder="1" applyAlignment="1" applyProtection="1">
      <alignment horizontal="center" vertical="center"/>
    </xf>
    <xf numFmtId="0" fontId="2" fillId="5" borderId="14" xfId="0" applyFont="1" applyFill="1" applyBorder="1" applyAlignment="1" applyProtection="1">
      <alignment horizontal="center" vertical="center"/>
    </xf>
    <xf numFmtId="0" fontId="19" fillId="0" borderId="1" xfId="106" applyFont="1" applyFill="1" applyBorder="1" applyAlignment="1" applyProtection="1">
      <alignment horizontal="left" vertical="center"/>
      <protection locked="0"/>
    </xf>
    <xf numFmtId="0" fontId="12" fillId="0" borderId="6" xfId="0" applyFont="1" applyFill="1" applyBorder="1" applyAlignment="1" applyProtection="1">
      <alignment horizontal="left" vertical="center"/>
      <protection locked="0"/>
    </xf>
    <xf numFmtId="0" fontId="12" fillId="0" borderId="2" xfId="0" applyFont="1" applyFill="1" applyBorder="1" applyAlignment="1" applyProtection="1">
      <alignment horizontal="left" vertical="center"/>
      <protection locked="0"/>
    </xf>
    <xf numFmtId="0" fontId="13" fillId="0" borderId="1" xfId="0" applyFont="1" applyFill="1" applyBorder="1" applyAlignment="1" applyProtection="1">
      <alignment horizontal="left" vertical="center"/>
      <protection locked="0"/>
    </xf>
    <xf numFmtId="0" fontId="13" fillId="0" borderId="6" xfId="0" applyFont="1" applyFill="1" applyBorder="1" applyAlignment="1" applyProtection="1">
      <alignment horizontal="left" vertical="center"/>
      <protection locked="0"/>
    </xf>
    <xf numFmtId="0" fontId="13" fillId="0" borderId="2" xfId="0" applyFont="1" applyFill="1" applyBorder="1" applyAlignment="1" applyProtection="1">
      <alignment horizontal="left" vertical="center"/>
      <protection locked="0"/>
    </xf>
    <xf numFmtId="0" fontId="13" fillId="0" borderId="3" xfId="0" applyFont="1" applyFill="1" applyBorder="1" applyAlignment="1" applyProtection="1">
      <alignment horizontal="left" vertical="center"/>
    </xf>
    <xf numFmtId="0" fontId="7" fillId="0" borderId="1" xfId="0" applyFont="1" applyFill="1" applyBorder="1" applyAlignment="1" applyProtection="1">
      <alignment horizontal="left" vertical="center"/>
    </xf>
    <xf numFmtId="0" fontId="7" fillId="0" borderId="2" xfId="0" applyFont="1" applyFill="1" applyBorder="1" applyAlignment="1" applyProtection="1">
      <alignment horizontal="left" vertical="center"/>
    </xf>
    <xf numFmtId="0" fontId="17" fillId="0" borderId="1" xfId="0" applyFont="1" applyFill="1" applyBorder="1" applyAlignment="1" applyProtection="1">
      <alignment horizontal="left" vertical="center"/>
    </xf>
    <xf numFmtId="0" fontId="17" fillId="0" borderId="2" xfId="0" applyFont="1" applyFill="1" applyBorder="1" applyAlignment="1" applyProtection="1">
      <alignment horizontal="left" vertical="center"/>
    </xf>
    <xf numFmtId="9" fontId="12" fillId="0" borderId="1" xfId="3" applyFont="1" applyFill="1" applyBorder="1" applyAlignment="1" applyProtection="1">
      <alignment horizontal="center" vertical="center"/>
    </xf>
    <xf numFmtId="9" fontId="12" fillId="0" borderId="6" xfId="3" applyFont="1" applyFill="1" applyBorder="1" applyAlignment="1" applyProtection="1">
      <alignment horizontal="center" vertical="center"/>
    </xf>
    <xf numFmtId="0" fontId="3" fillId="0" borderId="1" xfId="0" applyFont="1" applyBorder="1" applyAlignment="1">
      <alignment horizontal="center"/>
    </xf>
    <xf numFmtId="0" fontId="3" fillId="0" borderId="2" xfId="0" applyFont="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3" fillId="2" borderId="14" xfId="0" applyFont="1" applyFill="1" applyBorder="1" applyAlignment="1">
      <alignment horizontal="center"/>
    </xf>
    <xf numFmtId="0" fontId="2" fillId="0" borderId="5" xfId="0" applyFont="1" applyBorder="1" applyAlignment="1" applyProtection="1">
      <alignment horizontal="left"/>
    </xf>
    <xf numFmtId="0" fontId="2" fillId="7" borderId="3" xfId="0" applyFont="1" applyFill="1" applyBorder="1" applyAlignment="1" applyProtection="1">
      <alignment horizontal="left" vertical="center"/>
    </xf>
    <xf numFmtId="0" fontId="2" fillId="7" borderId="3" xfId="0" applyFont="1" applyFill="1" applyBorder="1" applyAlignment="1" applyProtection="1">
      <alignment horizontal="center" vertical="center"/>
    </xf>
    <xf numFmtId="0" fontId="2" fillId="7" borderId="3" xfId="0" applyFont="1" applyFill="1" applyBorder="1" applyAlignment="1" applyProtection="1">
      <alignment horizontal="center"/>
    </xf>
    <xf numFmtId="0" fontId="0" fillId="0" borderId="4" xfId="0" applyBorder="1" applyAlignment="1" applyProtection="1">
      <alignment horizontal="center" vertical="center"/>
    </xf>
    <xf numFmtId="0" fontId="0" fillId="0" borderId="21" xfId="0" applyBorder="1" applyAlignment="1" applyProtection="1">
      <alignment horizontal="center" vertical="center"/>
    </xf>
    <xf numFmtId="0" fontId="0" fillId="0" borderId="0" xfId="0" applyAlignment="1" applyProtection="1">
      <alignment horizontal="center" vertical="center" wrapText="1"/>
    </xf>
    <xf numFmtId="0" fontId="0" fillId="0" borderId="5" xfId="0" applyBorder="1" applyAlignment="1" applyProtection="1">
      <alignment horizontal="center" vertical="center" wrapText="1"/>
    </xf>
  </cellXfs>
  <cellStyles count="480">
    <cellStyle name="Hyperlink" xfId="50" builtinId="8" hidden="1"/>
    <cellStyle name="Hyperlink" xfId="56" builtinId="8" hidden="1"/>
    <cellStyle name="Hyperlink" xfId="62" builtinId="8" hidden="1"/>
    <cellStyle name="Hyperlink" xfId="52" builtinId="8" hidden="1"/>
    <cellStyle name="Hyperlink" xfId="36" builtinId="8" hidden="1"/>
    <cellStyle name="Hyperlink" xfId="12" builtinId="8" hidden="1"/>
    <cellStyle name="Hyperlink" xfId="16" builtinId="8" hidden="1"/>
    <cellStyle name="Hyperlink" xfId="22" builtinId="8" hidden="1"/>
    <cellStyle name="Hyperlink" xfId="8" builtinId="8" hidden="1"/>
    <cellStyle name="Hyperlink" xfId="6" builtinId="8" hidden="1"/>
    <cellStyle name="Hyperlink" xfId="4" builtinId="8" hidden="1"/>
    <cellStyle name="Hyperlink" xfId="10" builtinId="8" hidden="1"/>
    <cellStyle name="Hyperlink" xfId="20" builtinId="8" hidden="1"/>
    <cellStyle name="Hyperlink" xfId="18" builtinId="8" hidden="1"/>
    <cellStyle name="Hyperlink" xfId="14" builtinId="8" hidden="1"/>
    <cellStyle name="Hyperlink" xfId="28" builtinId="8" hidden="1"/>
    <cellStyle name="Hyperlink" xfId="44" builtinId="8" hidden="1"/>
    <cellStyle name="Hyperlink" xfId="60" builtinId="8" hidden="1"/>
    <cellStyle name="Hyperlink" xfId="58" builtinId="8" hidden="1"/>
    <cellStyle name="Hyperlink" xfId="54" builtinId="8" hidden="1"/>
    <cellStyle name="Hyperlink" xfId="48" builtinId="8" hidden="1"/>
    <cellStyle name="Hyperlink" xfId="104" builtinId="8" hidden="1"/>
    <cellStyle name="Hyperlink" xfId="100" builtinId="8" hidden="1"/>
    <cellStyle name="Hyperlink" xfId="92" builtinId="8" hidden="1"/>
    <cellStyle name="Hyperlink" xfId="88" builtinId="8" hidden="1"/>
    <cellStyle name="Hyperlink" xfId="84" builtinId="8" hidden="1"/>
    <cellStyle name="Hyperlink" xfId="76" builtinId="8" hidden="1"/>
    <cellStyle name="Hyperlink" xfId="72" builtinId="8" hidden="1"/>
    <cellStyle name="Hyperlink" xfId="68" builtinId="8" hidden="1"/>
    <cellStyle name="Hyperlink" xfId="24" builtinId="8" hidden="1"/>
    <cellStyle name="Hyperlink" xfId="26" builtinId="8" hidden="1"/>
    <cellStyle name="Hyperlink" xfId="30" builtinId="8" hidden="1"/>
    <cellStyle name="Hyperlink" xfId="34" builtinId="8" hidden="1"/>
    <cellStyle name="Hyperlink" xfId="38" builtinId="8" hidden="1"/>
    <cellStyle name="Hyperlink" xfId="40" builtinId="8" hidden="1"/>
    <cellStyle name="Hyperlink" xfId="46" builtinId="8" hidden="1"/>
    <cellStyle name="Hyperlink" xfId="42" builtinId="8" hidden="1"/>
    <cellStyle name="Hyperlink" xfId="32" builtinId="8" hidden="1"/>
    <cellStyle name="Hyperlink" xfId="64" builtinId="8" hidden="1"/>
    <cellStyle name="Hyperlink" xfId="80" builtinId="8" hidden="1"/>
    <cellStyle name="Hyperlink" xfId="96" builtinId="8" hidden="1"/>
    <cellStyle name="Hyperlink" xfId="82" builtinId="8" hidden="1"/>
    <cellStyle name="Hyperlink" xfId="86" builtinId="8" hidden="1"/>
    <cellStyle name="Hyperlink" xfId="90" builtinId="8" hidden="1"/>
    <cellStyle name="Hyperlink" xfId="94" builtinId="8" hidden="1"/>
    <cellStyle name="Hyperlink" xfId="102" builtinId="8" hidden="1"/>
    <cellStyle name="Hyperlink" xfId="98" builtinId="8" hidden="1"/>
    <cellStyle name="Hyperlink" xfId="74" builtinId="8" hidden="1"/>
    <cellStyle name="Hyperlink" xfId="78" builtinId="8" hidden="1"/>
    <cellStyle name="Hyperlink" xfId="70" builtinId="8" hidden="1"/>
    <cellStyle name="Hyperlink" xfId="66" builtinId="8" hidden="1"/>
    <cellStyle name="Hyperlink" xfId="106" builtinId="8"/>
    <cellStyle name="Hyperlink seguido" xfId="305" builtinId="9" hidden="1"/>
    <cellStyle name="Hyperlink seguido" xfId="309" builtinId="9" hidden="1"/>
    <cellStyle name="Hyperlink seguido" xfId="313" builtinId="9" hidden="1"/>
    <cellStyle name="Hyperlink seguido" xfId="317" builtinId="9" hidden="1"/>
    <cellStyle name="Hyperlink seguido" xfId="321" builtinId="9" hidden="1"/>
    <cellStyle name="Hyperlink seguido" xfId="325" builtinId="9" hidden="1"/>
    <cellStyle name="Hyperlink seguido" xfId="329" builtinId="9" hidden="1"/>
    <cellStyle name="Hyperlink seguido" xfId="333" builtinId="9" hidden="1"/>
    <cellStyle name="Hyperlink seguido" xfId="337" builtinId="9" hidden="1"/>
    <cellStyle name="Hyperlink seguido" xfId="341" builtinId="9" hidden="1"/>
    <cellStyle name="Hyperlink seguido" xfId="345" builtinId="9" hidden="1"/>
    <cellStyle name="Hyperlink seguido" xfId="349" builtinId="9" hidden="1"/>
    <cellStyle name="Hyperlink seguido" xfId="353" builtinId="9" hidden="1"/>
    <cellStyle name="Hyperlink seguido" xfId="357" builtinId="9" hidden="1"/>
    <cellStyle name="Hyperlink seguido" xfId="361" builtinId="9" hidden="1"/>
    <cellStyle name="Hyperlink seguido" xfId="365" builtinId="9" hidden="1"/>
    <cellStyle name="Hyperlink seguido" xfId="369" builtinId="9" hidden="1"/>
    <cellStyle name="Hyperlink seguido" xfId="373" builtinId="9" hidden="1"/>
    <cellStyle name="Hyperlink seguido" xfId="377" builtinId="9" hidden="1"/>
    <cellStyle name="Hyperlink seguido" xfId="381" builtinId="9" hidden="1"/>
    <cellStyle name="Hyperlink seguido" xfId="385" builtinId="9" hidden="1"/>
    <cellStyle name="Hyperlink seguido" xfId="389" builtinId="9" hidden="1"/>
    <cellStyle name="Hyperlink seguido" xfId="393" builtinId="9" hidden="1"/>
    <cellStyle name="Hyperlink seguido" xfId="397" builtinId="9" hidden="1"/>
    <cellStyle name="Hyperlink seguido" xfId="401" builtinId="9" hidden="1"/>
    <cellStyle name="Hyperlink seguido" xfId="405" builtinId="9" hidden="1"/>
    <cellStyle name="Hyperlink seguido" xfId="409" builtinId="9" hidden="1"/>
    <cellStyle name="Hyperlink seguido" xfId="413" builtinId="9" hidden="1"/>
    <cellStyle name="Hyperlink seguido" xfId="417" builtinId="9" hidden="1"/>
    <cellStyle name="Hyperlink seguido" xfId="421" builtinId="9" hidden="1"/>
    <cellStyle name="Hyperlink seguido" xfId="425" builtinId="9" hidden="1"/>
    <cellStyle name="Hyperlink seguido" xfId="429" builtinId="9" hidden="1"/>
    <cellStyle name="Hyperlink seguido" xfId="433" builtinId="9" hidden="1"/>
    <cellStyle name="Hyperlink seguido" xfId="437" builtinId="9" hidden="1"/>
    <cellStyle name="Hyperlink seguido" xfId="441" builtinId="9" hidden="1"/>
    <cellStyle name="Hyperlink seguido" xfId="445" builtinId="9" hidden="1"/>
    <cellStyle name="Hyperlink seguido" xfId="449" builtinId="9" hidden="1"/>
    <cellStyle name="Hyperlink seguido" xfId="453" builtinId="9" hidden="1"/>
    <cellStyle name="Hyperlink seguido" xfId="457" builtinId="9" hidden="1"/>
    <cellStyle name="Hyperlink seguido" xfId="461" builtinId="9" hidden="1"/>
    <cellStyle name="Hyperlink seguido" xfId="465" builtinId="9" hidden="1"/>
    <cellStyle name="Hyperlink seguido" xfId="469" builtinId="9" hidden="1"/>
    <cellStyle name="Hyperlink seguido" xfId="473" builtinId="9" hidden="1"/>
    <cellStyle name="Hyperlink seguido" xfId="477" builtinId="9" hidden="1"/>
    <cellStyle name="Hyperlink seguido" xfId="478" builtinId="9" hidden="1"/>
    <cellStyle name="Hyperlink seguido" xfId="474" builtinId="9" hidden="1"/>
    <cellStyle name="Hyperlink seguido" xfId="470" builtinId="9" hidden="1"/>
    <cellStyle name="Hyperlink seguido" xfId="466" builtinId="9" hidden="1"/>
    <cellStyle name="Hyperlink seguido" xfId="462" builtinId="9" hidden="1"/>
    <cellStyle name="Hyperlink seguido" xfId="458" builtinId="9" hidden="1"/>
    <cellStyle name="Hyperlink seguido" xfId="454" builtinId="9" hidden="1"/>
    <cellStyle name="Hyperlink seguido" xfId="450" builtinId="9" hidden="1"/>
    <cellStyle name="Hyperlink seguido" xfId="446" builtinId="9" hidden="1"/>
    <cellStyle name="Hyperlink seguido" xfId="442" builtinId="9" hidden="1"/>
    <cellStyle name="Hyperlink seguido" xfId="438" builtinId="9" hidden="1"/>
    <cellStyle name="Hyperlink seguido" xfId="434" builtinId="9" hidden="1"/>
    <cellStyle name="Hyperlink seguido" xfId="430" builtinId="9" hidden="1"/>
    <cellStyle name="Hyperlink seguido" xfId="426" builtinId="9" hidden="1"/>
    <cellStyle name="Hyperlink seguido" xfId="422" builtinId="9" hidden="1"/>
    <cellStyle name="Hyperlink seguido" xfId="418" builtinId="9" hidden="1"/>
    <cellStyle name="Hyperlink seguido" xfId="414" builtinId="9" hidden="1"/>
    <cellStyle name="Hyperlink seguido" xfId="410" builtinId="9" hidden="1"/>
    <cellStyle name="Hyperlink seguido" xfId="406" builtinId="9" hidden="1"/>
    <cellStyle name="Hyperlink seguido" xfId="402" builtinId="9" hidden="1"/>
    <cellStyle name="Hyperlink seguido" xfId="398" builtinId="9" hidden="1"/>
    <cellStyle name="Hyperlink seguido" xfId="394" builtinId="9" hidden="1"/>
    <cellStyle name="Hyperlink seguido" xfId="390" builtinId="9" hidden="1"/>
    <cellStyle name="Hyperlink seguido" xfId="386" builtinId="9" hidden="1"/>
    <cellStyle name="Hyperlink seguido" xfId="382" builtinId="9" hidden="1"/>
    <cellStyle name="Hyperlink seguido" xfId="378" builtinId="9" hidden="1"/>
    <cellStyle name="Hyperlink seguido" xfId="374" builtinId="9" hidden="1"/>
    <cellStyle name="Hyperlink seguido" xfId="370" builtinId="9" hidden="1"/>
    <cellStyle name="Hyperlink seguido" xfId="366" builtinId="9" hidden="1"/>
    <cellStyle name="Hyperlink seguido" xfId="362" builtinId="9" hidden="1"/>
    <cellStyle name="Hyperlink seguido" xfId="358" builtinId="9" hidden="1"/>
    <cellStyle name="Hyperlink seguido" xfId="354" builtinId="9" hidden="1"/>
    <cellStyle name="Hyperlink seguido" xfId="350" builtinId="9" hidden="1"/>
    <cellStyle name="Hyperlink seguido" xfId="346" builtinId="9" hidden="1"/>
    <cellStyle name="Hyperlink seguido" xfId="342" builtinId="9" hidden="1"/>
    <cellStyle name="Hyperlink seguido" xfId="338" builtinId="9" hidden="1"/>
    <cellStyle name="Hyperlink seguido" xfId="334" builtinId="9" hidden="1"/>
    <cellStyle name="Hyperlink seguido" xfId="330" builtinId="9" hidden="1"/>
    <cellStyle name="Hyperlink seguido" xfId="326" builtinId="9" hidden="1"/>
    <cellStyle name="Hyperlink seguido" xfId="322" builtinId="9" hidden="1"/>
    <cellStyle name="Hyperlink seguido" xfId="318" builtinId="9" hidden="1"/>
    <cellStyle name="Hyperlink seguido" xfId="314" builtinId="9" hidden="1"/>
    <cellStyle name="Hyperlink seguido" xfId="310" builtinId="9" hidden="1"/>
    <cellStyle name="Hyperlink seguido" xfId="306" builtinId="9" hidden="1"/>
    <cellStyle name="Hyperlink seguido" xfId="302" builtinId="9" hidden="1"/>
    <cellStyle name="Hyperlink seguido" xfId="298" builtinId="9" hidden="1"/>
    <cellStyle name="Hyperlink seguido" xfId="294" builtinId="9" hidden="1"/>
    <cellStyle name="Hyperlink seguido" xfId="290" builtinId="9" hidden="1"/>
    <cellStyle name="Hyperlink seguido" xfId="286" builtinId="9" hidden="1"/>
    <cellStyle name="Hyperlink seguido" xfId="282" builtinId="9" hidden="1"/>
    <cellStyle name="Hyperlink seguido" xfId="278" builtinId="9" hidden="1"/>
    <cellStyle name="Hyperlink seguido" xfId="274" builtinId="9" hidden="1"/>
    <cellStyle name="Hyperlink seguido" xfId="270" builtinId="9" hidden="1"/>
    <cellStyle name="Hyperlink seguido" xfId="266" builtinId="9" hidden="1"/>
    <cellStyle name="Hyperlink seguido" xfId="262" builtinId="9" hidden="1"/>
    <cellStyle name="Hyperlink seguido" xfId="258" builtinId="9" hidden="1"/>
    <cellStyle name="Hyperlink seguido" xfId="254" builtinId="9" hidden="1"/>
    <cellStyle name="Hyperlink seguido" xfId="250" builtinId="9" hidden="1"/>
    <cellStyle name="Hyperlink seguido" xfId="246" builtinId="9" hidden="1"/>
    <cellStyle name="Hyperlink seguido" xfId="242" builtinId="9" hidden="1"/>
    <cellStyle name="Hyperlink seguido" xfId="238" builtinId="9" hidden="1"/>
    <cellStyle name="Hyperlink seguido" xfId="234" builtinId="9" hidden="1"/>
    <cellStyle name="Hyperlink seguido" xfId="230" builtinId="9" hidden="1"/>
    <cellStyle name="Hyperlink seguido" xfId="226" builtinId="9" hidden="1"/>
    <cellStyle name="Hyperlink seguido" xfId="222" builtinId="9" hidden="1"/>
    <cellStyle name="Hyperlink seguido" xfId="218" builtinId="9" hidden="1"/>
    <cellStyle name="Hyperlink seguido" xfId="214" builtinId="9" hidden="1"/>
    <cellStyle name="Hyperlink seguido" xfId="210" builtinId="9" hidden="1"/>
    <cellStyle name="Hyperlink seguido" xfId="206" builtinId="9" hidden="1"/>
    <cellStyle name="Hyperlink seguido" xfId="202" builtinId="9" hidden="1"/>
    <cellStyle name="Hyperlink seguido" xfId="198" builtinId="9" hidden="1"/>
    <cellStyle name="Hyperlink seguido" xfId="194" builtinId="9" hidden="1"/>
    <cellStyle name="Hyperlink seguido" xfId="190" builtinId="9" hidden="1"/>
    <cellStyle name="Hyperlink seguido" xfId="186" builtinId="9" hidden="1"/>
    <cellStyle name="Hyperlink seguido" xfId="182" builtinId="9" hidden="1"/>
    <cellStyle name="Hyperlink seguido" xfId="178" builtinId="9" hidden="1"/>
    <cellStyle name="Hyperlink seguido" xfId="174" builtinId="9" hidden="1"/>
    <cellStyle name="Hyperlink seguido" xfId="170" builtinId="9" hidden="1"/>
    <cellStyle name="Hyperlink seguido" xfId="166" builtinId="9" hidden="1"/>
    <cellStyle name="Hyperlink seguido" xfId="162" builtinId="9" hidden="1"/>
    <cellStyle name="Hyperlink seguido" xfId="158" builtinId="9" hidden="1"/>
    <cellStyle name="Hyperlink seguido" xfId="154" builtinId="9" hidden="1"/>
    <cellStyle name="Hyperlink seguido" xfId="150" builtinId="9" hidden="1"/>
    <cellStyle name="Hyperlink seguido" xfId="146" builtinId="9" hidden="1"/>
    <cellStyle name="Hyperlink seguido" xfId="142" builtinId="9" hidden="1"/>
    <cellStyle name="Hyperlink seguido" xfId="138" builtinId="9" hidden="1"/>
    <cellStyle name="Hyperlink seguido" xfId="63" builtinId="9" hidden="1"/>
    <cellStyle name="Hyperlink seguido" xfId="67" builtinId="9" hidden="1"/>
    <cellStyle name="Hyperlink seguido" xfId="73" builtinId="9" hidden="1"/>
    <cellStyle name="Hyperlink seguido" xfId="79" builtinId="9" hidden="1"/>
    <cellStyle name="Hyperlink seguido" xfId="83" builtinId="9" hidden="1"/>
    <cellStyle name="Hyperlink seguido" xfId="89" builtinId="9" hidden="1"/>
    <cellStyle name="Hyperlink seguido" xfId="95" builtinId="9" hidden="1"/>
    <cellStyle name="Hyperlink seguido" xfId="99" builtinId="9" hidden="1"/>
    <cellStyle name="Hyperlink seguido" xfId="105" builtinId="9" hidden="1"/>
    <cellStyle name="Hyperlink seguido" xfId="109" builtinId="9" hidden="1"/>
    <cellStyle name="Hyperlink seguido" xfId="111" builtinId="9" hidden="1"/>
    <cellStyle name="Hyperlink seguido" xfId="114" builtinId="9" hidden="1"/>
    <cellStyle name="Hyperlink seguido" xfId="117" builtinId="9" hidden="1"/>
    <cellStyle name="Hyperlink seguido" xfId="119" builtinId="9" hidden="1"/>
    <cellStyle name="Hyperlink seguido" xfId="122" builtinId="9" hidden="1"/>
    <cellStyle name="Hyperlink seguido" xfId="125" builtinId="9" hidden="1"/>
    <cellStyle name="Hyperlink seguido" xfId="127" builtinId="9" hidden="1"/>
    <cellStyle name="Hyperlink seguido" xfId="130" builtinId="9" hidden="1"/>
    <cellStyle name="Hyperlink seguido" xfId="133" builtinId="9" hidden="1"/>
    <cellStyle name="Hyperlink seguido" xfId="135" builtinId="9" hidden="1"/>
    <cellStyle name="Hyperlink seguido" xfId="136" builtinId="9" hidden="1"/>
    <cellStyle name="Hyperlink seguido" xfId="128" builtinId="9" hidden="1"/>
    <cellStyle name="Hyperlink seguido" xfId="120" builtinId="9" hidden="1"/>
    <cellStyle name="Hyperlink seguido" xfId="112" builtinId="9" hidden="1"/>
    <cellStyle name="Hyperlink seguido" xfId="101" builtinId="9" hidden="1"/>
    <cellStyle name="Hyperlink seguido" xfId="85" builtinId="9" hidden="1"/>
    <cellStyle name="Hyperlink seguido" xfId="69" builtinId="9" hidden="1"/>
    <cellStyle name="Hyperlink seguido" xfId="27" builtinId="9" hidden="1"/>
    <cellStyle name="Hyperlink seguido" xfId="33" builtinId="9" hidden="1"/>
    <cellStyle name="Hyperlink seguido" xfId="37" builtinId="9" hidden="1"/>
    <cellStyle name="Hyperlink seguido" xfId="41" builtinId="9" hidden="1"/>
    <cellStyle name="Hyperlink seguido" xfId="47" builtinId="9" hidden="1"/>
    <cellStyle name="Hyperlink seguido" xfId="51" builtinId="9" hidden="1"/>
    <cellStyle name="Hyperlink seguido" xfId="55" builtinId="9" hidden="1"/>
    <cellStyle name="Hyperlink seguido" xfId="45" builtinId="9" hidden="1"/>
    <cellStyle name="Hyperlink seguido" xfId="15" builtinId="9" hidden="1"/>
    <cellStyle name="Hyperlink seguido" xfId="19" builtinId="9" hidden="1"/>
    <cellStyle name="Hyperlink seguido" xfId="23" builtinId="9" hidden="1"/>
    <cellStyle name="Hyperlink seguido" xfId="9" builtinId="9" hidden="1"/>
    <cellStyle name="Hyperlink seguido" xfId="13" builtinId="9" hidden="1"/>
    <cellStyle name="Hyperlink seguido" xfId="5" builtinId="9" hidden="1"/>
    <cellStyle name="Hyperlink seguido" xfId="7" builtinId="9" hidden="1"/>
    <cellStyle name="Hyperlink seguido" xfId="11" builtinId="9" hidden="1"/>
    <cellStyle name="Hyperlink seguido" xfId="25" builtinId="9" hidden="1"/>
    <cellStyle name="Hyperlink seguido" xfId="21" builtinId="9" hidden="1"/>
    <cellStyle name="Hyperlink seguido" xfId="17" builtinId="9" hidden="1"/>
    <cellStyle name="Hyperlink seguido" xfId="29" builtinId="9" hidden="1"/>
    <cellStyle name="Hyperlink seguido" xfId="57" builtinId="9" hidden="1"/>
    <cellStyle name="Hyperlink seguido" xfId="53" builtinId="9" hidden="1"/>
    <cellStyle name="Hyperlink seguido" xfId="49" builtinId="9" hidden="1"/>
    <cellStyle name="Hyperlink seguido" xfId="43" builtinId="9" hidden="1"/>
    <cellStyle name="Hyperlink seguido" xfId="39" builtinId="9" hidden="1"/>
    <cellStyle name="Hyperlink seguido" xfId="35" builtinId="9" hidden="1"/>
    <cellStyle name="Hyperlink seguido" xfId="31" builtinId="9" hidden="1"/>
    <cellStyle name="Hyperlink seguido" xfId="61" builtinId="9" hidden="1"/>
    <cellStyle name="Hyperlink seguido" xfId="77" builtinId="9" hidden="1"/>
    <cellStyle name="Hyperlink seguido" xfId="93" builtinId="9" hidden="1"/>
    <cellStyle name="Hyperlink seguido" xfId="108" builtinId="9" hidden="1"/>
    <cellStyle name="Hyperlink seguido" xfId="116" builtinId="9" hidden="1"/>
    <cellStyle name="Hyperlink seguido" xfId="124" builtinId="9" hidden="1"/>
    <cellStyle name="Hyperlink seguido" xfId="132" builtinId="9" hidden="1"/>
    <cellStyle name="Hyperlink seguido" xfId="137" builtinId="9" hidden="1"/>
    <cellStyle name="Hyperlink seguido" xfId="134" builtinId="9" hidden="1"/>
    <cellStyle name="Hyperlink seguido" xfId="131" builtinId="9" hidden="1"/>
    <cellStyle name="Hyperlink seguido" xfId="129" builtinId="9" hidden="1"/>
    <cellStyle name="Hyperlink seguido" xfId="126" builtinId="9" hidden="1"/>
    <cellStyle name="Hyperlink seguido" xfId="123" builtinId="9" hidden="1"/>
    <cellStyle name="Hyperlink seguido" xfId="121" builtinId="9" hidden="1"/>
    <cellStyle name="Hyperlink seguido" xfId="118" builtinId="9" hidden="1"/>
    <cellStyle name="Hyperlink seguido" xfId="115" builtinId="9" hidden="1"/>
    <cellStyle name="Hyperlink seguido" xfId="113" builtinId="9" hidden="1"/>
    <cellStyle name="Hyperlink seguido" xfId="110" builtinId="9" hidden="1"/>
    <cellStyle name="Hyperlink seguido" xfId="107" builtinId="9" hidden="1"/>
    <cellStyle name="Hyperlink seguido" xfId="103" builtinId="9" hidden="1"/>
    <cellStyle name="Hyperlink seguido" xfId="97" builtinId="9" hidden="1"/>
    <cellStyle name="Hyperlink seguido" xfId="91" builtinId="9" hidden="1"/>
    <cellStyle name="Hyperlink seguido" xfId="87" builtinId="9" hidden="1"/>
    <cellStyle name="Hyperlink seguido" xfId="81" builtinId="9" hidden="1"/>
    <cellStyle name="Hyperlink seguido" xfId="75" builtinId="9" hidden="1"/>
    <cellStyle name="Hyperlink seguido" xfId="71" builtinId="9" hidden="1"/>
    <cellStyle name="Hyperlink seguido" xfId="65" builtinId="9" hidden="1"/>
    <cellStyle name="Hyperlink seguido" xfId="59" builtinId="9" hidden="1"/>
    <cellStyle name="Hyperlink seguido" xfId="140" builtinId="9" hidden="1"/>
    <cellStyle name="Hyperlink seguido" xfId="144" builtinId="9" hidden="1"/>
    <cellStyle name="Hyperlink seguido" xfId="148" builtinId="9" hidden="1"/>
    <cellStyle name="Hyperlink seguido" xfId="152" builtinId="9" hidden="1"/>
    <cellStyle name="Hyperlink seguido" xfId="156" builtinId="9" hidden="1"/>
    <cellStyle name="Hyperlink seguido" xfId="160" builtinId="9" hidden="1"/>
    <cellStyle name="Hyperlink seguido" xfId="164" builtinId="9" hidden="1"/>
    <cellStyle name="Hyperlink seguido" xfId="168" builtinId="9" hidden="1"/>
    <cellStyle name="Hyperlink seguido" xfId="172" builtinId="9" hidden="1"/>
    <cellStyle name="Hyperlink seguido" xfId="176" builtinId="9" hidden="1"/>
    <cellStyle name="Hyperlink seguido" xfId="180" builtinId="9" hidden="1"/>
    <cellStyle name="Hyperlink seguido" xfId="184" builtinId="9" hidden="1"/>
    <cellStyle name="Hyperlink seguido" xfId="188" builtinId="9" hidden="1"/>
    <cellStyle name="Hyperlink seguido" xfId="192" builtinId="9" hidden="1"/>
    <cellStyle name="Hyperlink seguido" xfId="196" builtinId="9" hidden="1"/>
    <cellStyle name="Hyperlink seguido" xfId="200" builtinId="9" hidden="1"/>
    <cellStyle name="Hyperlink seguido" xfId="204" builtinId="9" hidden="1"/>
    <cellStyle name="Hyperlink seguido" xfId="208" builtinId="9" hidden="1"/>
    <cellStyle name="Hyperlink seguido" xfId="212" builtinId="9" hidden="1"/>
    <cellStyle name="Hyperlink seguido" xfId="216" builtinId="9" hidden="1"/>
    <cellStyle name="Hyperlink seguido" xfId="220" builtinId="9" hidden="1"/>
    <cellStyle name="Hyperlink seguido" xfId="224" builtinId="9" hidden="1"/>
    <cellStyle name="Hyperlink seguido" xfId="228" builtinId="9" hidden="1"/>
    <cellStyle name="Hyperlink seguido" xfId="232" builtinId="9" hidden="1"/>
    <cellStyle name="Hyperlink seguido" xfId="236" builtinId="9" hidden="1"/>
    <cellStyle name="Hyperlink seguido" xfId="240" builtinId="9" hidden="1"/>
    <cellStyle name="Hyperlink seguido" xfId="244" builtinId="9" hidden="1"/>
    <cellStyle name="Hyperlink seguido" xfId="248" builtinId="9" hidden="1"/>
    <cellStyle name="Hyperlink seguido" xfId="252" builtinId="9" hidden="1"/>
    <cellStyle name="Hyperlink seguido" xfId="256" builtinId="9" hidden="1"/>
    <cellStyle name="Hyperlink seguido" xfId="260" builtinId="9" hidden="1"/>
    <cellStyle name="Hyperlink seguido" xfId="264" builtinId="9" hidden="1"/>
    <cellStyle name="Hyperlink seguido" xfId="268" builtinId="9" hidden="1"/>
    <cellStyle name="Hyperlink seguido" xfId="272" builtinId="9" hidden="1"/>
    <cellStyle name="Hyperlink seguido" xfId="276" builtinId="9" hidden="1"/>
    <cellStyle name="Hyperlink seguido" xfId="280" builtinId="9" hidden="1"/>
    <cellStyle name="Hyperlink seguido" xfId="284" builtinId="9" hidden="1"/>
    <cellStyle name="Hyperlink seguido" xfId="288" builtinId="9" hidden="1"/>
    <cellStyle name="Hyperlink seguido" xfId="292" builtinId="9" hidden="1"/>
    <cellStyle name="Hyperlink seguido" xfId="296" builtinId="9" hidden="1"/>
    <cellStyle name="Hyperlink seguido" xfId="300" builtinId="9" hidden="1"/>
    <cellStyle name="Hyperlink seguido" xfId="304" builtinId="9" hidden="1"/>
    <cellStyle name="Hyperlink seguido" xfId="308" builtinId="9" hidden="1"/>
    <cellStyle name="Hyperlink seguido" xfId="312" builtinId="9" hidden="1"/>
    <cellStyle name="Hyperlink seguido" xfId="316" builtinId="9" hidden="1"/>
    <cellStyle name="Hyperlink seguido" xfId="320" builtinId="9" hidden="1"/>
    <cellStyle name="Hyperlink seguido" xfId="324" builtinId="9" hidden="1"/>
    <cellStyle name="Hyperlink seguido" xfId="328" builtinId="9" hidden="1"/>
    <cellStyle name="Hyperlink seguido" xfId="332" builtinId="9" hidden="1"/>
    <cellStyle name="Hyperlink seguido" xfId="336" builtinId="9" hidden="1"/>
    <cellStyle name="Hyperlink seguido" xfId="340" builtinId="9" hidden="1"/>
    <cellStyle name="Hyperlink seguido" xfId="344" builtinId="9" hidden="1"/>
    <cellStyle name="Hyperlink seguido" xfId="348" builtinId="9" hidden="1"/>
    <cellStyle name="Hyperlink seguido" xfId="352" builtinId="9" hidden="1"/>
    <cellStyle name="Hyperlink seguido" xfId="356" builtinId="9" hidden="1"/>
    <cellStyle name="Hyperlink seguido" xfId="360" builtinId="9" hidden="1"/>
    <cellStyle name="Hyperlink seguido" xfId="364" builtinId="9" hidden="1"/>
    <cellStyle name="Hyperlink seguido" xfId="368" builtinId="9" hidden="1"/>
    <cellStyle name="Hyperlink seguido" xfId="372" builtinId="9" hidden="1"/>
    <cellStyle name="Hyperlink seguido" xfId="376" builtinId="9" hidden="1"/>
    <cellStyle name="Hyperlink seguido" xfId="380" builtinId="9" hidden="1"/>
    <cellStyle name="Hyperlink seguido" xfId="384" builtinId="9" hidden="1"/>
    <cellStyle name="Hyperlink seguido" xfId="388" builtinId="9" hidden="1"/>
    <cellStyle name="Hyperlink seguido" xfId="392" builtinId="9" hidden="1"/>
    <cellStyle name="Hyperlink seguido" xfId="396" builtinId="9" hidden="1"/>
    <cellStyle name="Hyperlink seguido" xfId="400" builtinId="9" hidden="1"/>
    <cellStyle name="Hyperlink seguido" xfId="404" builtinId="9" hidden="1"/>
    <cellStyle name="Hyperlink seguido" xfId="408" builtinId="9" hidden="1"/>
    <cellStyle name="Hyperlink seguido" xfId="412" builtinId="9" hidden="1"/>
    <cellStyle name="Hyperlink seguido" xfId="416" builtinId="9" hidden="1"/>
    <cellStyle name="Hyperlink seguido" xfId="420" builtinId="9" hidden="1"/>
    <cellStyle name="Hyperlink seguido" xfId="424" builtinId="9" hidden="1"/>
    <cellStyle name="Hyperlink seguido" xfId="428" builtinId="9" hidden="1"/>
    <cellStyle name="Hyperlink seguido" xfId="432" builtinId="9" hidden="1"/>
    <cellStyle name="Hyperlink seguido" xfId="436" builtinId="9" hidden="1"/>
    <cellStyle name="Hyperlink seguido" xfId="440" builtinId="9" hidden="1"/>
    <cellStyle name="Hyperlink seguido" xfId="444" builtinId="9" hidden="1"/>
    <cellStyle name="Hyperlink seguido" xfId="448" builtinId="9" hidden="1"/>
    <cellStyle name="Hyperlink seguido" xfId="452" builtinId="9" hidden="1"/>
    <cellStyle name="Hyperlink seguido" xfId="456" builtinId="9" hidden="1"/>
    <cellStyle name="Hyperlink seguido" xfId="460" builtinId="9" hidden="1"/>
    <cellStyle name="Hyperlink seguido" xfId="464" builtinId="9" hidden="1"/>
    <cellStyle name="Hyperlink seguido" xfId="468" builtinId="9" hidden="1"/>
    <cellStyle name="Hyperlink seguido" xfId="472" builtinId="9" hidden="1"/>
    <cellStyle name="Hyperlink seguido" xfId="476" builtinId="9" hidden="1"/>
    <cellStyle name="Hyperlink seguido" xfId="479" builtinId="9" hidden="1"/>
    <cellStyle name="Hyperlink seguido" xfId="475" builtinId="9" hidden="1"/>
    <cellStyle name="Hyperlink seguido" xfId="471" builtinId="9" hidden="1"/>
    <cellStyle name="Hyperlink seguido" xfId="467" builtinId="9" hidden="1"/>
    <cellStyle name="Hyperlink seguido" xfId="463" builtinId="9" hidden="1"/>
    <cellStyle name="Hyperlink seguido" xfId="459" builtinId="9" hidden="1"/>
    <cellStyle name="Hyperlink seguido" xfId="455" builtinId="9" hidden="1"/>
    <cellStyle name="Hyperlink seguido" xfId="451" builtinId="9" hidden="1"/>
    <cellStyle name="Hyperlink seguido" xfId="447" builtinId="9" hidden="1"/>
    <cellStyle name="Hyperlink seguido" xfId="443" builtinId="9" hidden="1"/>
    <cellStyle name="Hyperlink seguido" xfId="439" builtinId="9" hidden="1"/>
    <cellStyle name="Hyperlink seguido" xfId="435" builtinId="9" hidden="1"/>
    <cellStyle name="Hyperlink seguido" xfId="431" builtinId="9" hidden="1"/>
    <cellStyle name="Hyperlink seguido" xfId="427" builtinId="9" hidden="1"/>
    <cellStyle name="Hyperlink seguido" xfId="423" builtinId="9" hidden="1"/>
    <cellStyle name="Hyperlink seguido" xfId="419" builtinId="9" hidden="1"/>
    <cellStyle name="Hyperlink seguido" xfId="415" builtinId="9" hidden="1"/>
    <cellStyle name="Hyperlink seguido" xfId="411" builtinId="9" hidden="1"/>
    <cellStyle name="Hyperlink seguido" xfId="407" builtinId="9" hidden="1"/>
    <cellStyle name="Hyperlink seguido" xfId="403" builtinId="9" hidden="1"/>
    <cellStyle name="Hyperlink seguido" xfId="399" builtinId="9" hidden="1"/>
    <cellStyle name="Hyperlink seguido" xfId="395" builtinId="9" hidden="1"/>
    <cellStyle name="Hyperlink seguido" xfId="391" builtinId="9" hidden="1"/>
    <cellStyle name="Hyperlink seguido" xfId="387" builtinId="9" hidden="1"/>
    <cellStyle name="Hyperlink seguido" xfId="383" builtinId="9" hidden="1"/>
    <cellStyle name="Hyperlink seguido" xfId="379" builtinId="9" hidden="1"/>
    <cellStyle name="Hyperlink seguido" xfId="375" builtinId="9" hidden="1"/>
    <cellStyle name="Hyperlink seguido" xfId="371" builtinId="9" hidden="1"/>
    <cellStyle name="Hyperlink seguido" xfId="367" builtinId="9" hidden="1"/>
    <cellStyle name="Hyperlink seguido" xfId="363" builtinId="9" hidden="1"/>
    <cellStyle name="Hyperlink seguido" xfId="359" builtinId="9" hidden="1"/>
    <cellStyle name="Hyperlink seguido" xfId="355" builtinId="9" hidden="1"/>
    <cellStyle name="Hyperlink seguido" xfId="351" builtinId="9" hidden="1"/>
    <cellStyle name="Hyperlink seguido" xfId="347" builtinId="9" hidden="1"/>
    <cellStyle name="Hyperlink seguido" xfId="343" builtinId="9" hidden="1"/>
    <cellStyle name="Hyperlink seguido" xfId="339" builtinId="9" hidden="1"/>
    <cellStyle name="Hyperlink seguido" xfId="335" builtinId="9" hidden="1"/>
    <cellStyle name="Hyperlink seguido" xfId="331" builtinId="9" hidden="1"/>
    <cellStyle name="Hyperlink seguido" xfId="327" builtinId="9" hidden="1"/>
    <cellStyle name="Hyperlink seguido" xfId="323" builtinId="9" hidden="1"/>
    <cellStyle name="Hyperlink seguido" xfId="319" builtinId="9" hidden="1"/>
    <cellStyle name="Hyperlink seguido" xfId="315" builtinId="9" hidden="1"/>
    <cellStyle name="Hyperlink seguido" xfId="311" builtinId="9" hidden="1"/>
    <cellStyle name="Hyperlink seguido" xfId="307" builtinId="9" hidden="1"/>
    <cellStyle name="Hyperlink seguido" xfId="303" builtinId="9" hidden="1"/>
    <cellStyle name="Hyperlink seguido" xfId="193" builtinId="9" hidden="1"/>
    <cellStyle name="Hyperlink seguido" xfId="197" builtinId="9" hidden="1"/>
    <cellStyle name="Hyperlink seguido" xfId="199" builtinId="9" hidden="1"/>
    <cellStyle name="Hyperlink seguido" xfId="201" builtinId="9" hidden="1"/>
    <cellStyle name="Hyperlink seguido" xfId="205" builtinId="9" hidden="1"/>
    <cellStyle name="Hyperlink seguido" xfId="207" builtinId="9" hidden="1"/>
    <cellStyle name="Hyperlink seguido" xfId="209" builtinId="9" hidden="1"/>
    <cellStyle name="Hyperlink seguido" xfId="213" builtinId="9" hidden="1"/>
    <cellStyle name="Hyperlink seguido" xfId="215" builtinId="9" hidden="1"/>
    <cellStyle name="Hyperlink seguido" xfId="217" builtinId="9" hidden="1"/>
    <cellStyle name="Hyperlink seguido" xfId="221" builtinId="9" hidden="1"/>
    <cellStyle name="Hyperlink seguido" xfId="223" builtinId="9" hidden="1"/>
    <cellStyle name="Hyperlink seguido" xfId="225" builtinId="9" hidden="1"/>
    <cellStyle name="Hyperlink seguido" xfId="229" builtinId="9" hidden="1"/>
    <cellStyle name="Hyperlink seguido" xfId="231" builtinId="9" hidden="1"/>
    <cellStyle name="Hyperlink seguido" xfId="233" builtinId="9" hidden="1"/>
    <cellStyle name="Hyperlink seguido" xfId="237" builtinId="9" hidden="1"/>
    <cellStyle name="Hyperlink seguido" xfId="239" builtinId="9" hidden="1"/>
    <cellStyle name="Hyperlink seguido" xfId="241" builtinId="9" hidden="1"/>
    <cellStyle name="Hyperlink seguido" xfId="245" builtinId="9" hidden="1"/>
    <cellStyle name="Hyperlink seguido" xfId="247" builtinId="9" hidden="1"/>
    <cellStyle name="Hyperlink seguido" xfId="249" builtinId="9" hidden="1"/>
    <cellStyle name="Hyperlink seguido" xfId="253" builtinId="9" hidden="1"/>
    <cellStyle name="Hyperlink seguido" xfId="255" builtinId="9" hidden="1"/>
    <cellStyle name="Hyperlink seguido" xfId="257" builtinId="9" hidden="1"/>
    <cellStyle name="Hyperlink seguido" xfId="261" builtinId="9" hidden="1"/>
    <cellStyle name="Hyperlink seguido" xfId="263" builtinId="9" hidden="1"/>
    <cellStyle name="Hyperlink seguido" xfId="265" builtinId="9" hidden="1"/>
    <cellStyle name="Hyperlink seguido" xfId="269" builtinId="9" hidden="1"/>
    <cellStyle name="Hyperlink seguido" xfId="271" builtinId="9" hidden="1"/>
    <cellStyle name="Hyperlink seguido" xfId="273" builtinId="9" hidden="1"/>
    <cellStyle name="Hyperlink seguido" xfId="277" builtinId="9" hidden="1"/>
    <cellStyle name="Hyperlink seguido" xfId="279" builtinId="9" hidden="1"/>
    <cellStyle name="Hyperlink seguido" xfId="281" builtinId="9" hidden="1"/>
    <cellStyle name="Hyperlink seguido" xfId="285" builtinId="9" hidden="1"/>
    <cellStyle name="Hyperlink seguido" xfId="287" builtinId="9" hidden="1"/>
    <cellStyle name="Hyperlink seguido" xfId="289" builtinId="9" hidden="1"/>
    <cellStyle name="Hyperlink seguido" xfId="293" builtinId="9" hidden="1"/>
    <cellStyle name="Hyperlink seguido" xfId="295" builtinId="9" hidden="1"/>
    <cellStyle name="Hyperlink seguido" xfId="297" builtinId="9" hidden="1"/>
    <cellStyle name="Hyperlink seguido" xfId="301" builtinId="9" hidden="1"/>
    <cellStyle name="Hyperlink seguido" xfId="299" builtinId="9" hidden="1"/>
    <cellStyle name="Hyperlink seguido" xfId="291" builtinId="9" hidden="1"/>
    <cellStyle name="Hyperlink seguido" xfId="283" builtinId="9" hidden="1"/>
    <cellStyle name="Hyperlink seguido" xfId="275" builtinId="9" hidden="1"/>
    <cellStyle name="Hyperlink seguido" xfId="267" builtinId="9" hidden="1"/>
    <cellStyle name="Hyperlink seguido" xfId="259" builtinId="9" hidden="1"/>
    <cellStyle name="Hyperlink seguido" xfId="251" builtinId="9" hidden="1"/>
    <cellStyle name="Hyperlink seguido" xfId="243" builtinId="9" hidden="1"/>
    <cellStyle name="Hyperlink seguido" xfId="235" builtinId="9" hidden="1"/>
    <cellStyle name="Hyperlink seguido" xfId="227" builtinId="9" hidden="1"/>
    <cellStyle name="Hyperlink seguido" xfId="219" builtinId="9" hidden="1"/>
    <cellStyle name="Hyperlink seguido" xfId="211" builtinId="9" hidden="1"/>
    <cellStyle name="Hyperlink seguido" xfId="203" builtinId="9" hidden="1"/>
    <cellStyle name="Hyperlink seguido" xfId="195" builtinId="9" hidden="1"/>
    <cellStyle name="Hyperlink seguido" xfId="161" builtinId="9" hidden="1"/>
    <cellStyle name="Hyperlink seguido" xfId="165" builtinId="9" hidden="1"/>
    <cellStyle name="Hyperlink seguido" xfId="167" builtinId="9" hidden="1"/>
    <cellStyle name="Hyperlink seguido" xfId="169" builtinId="9" hidden="1"/>
    <cellStyle name="Hyperlink seguido" xfId="171" builtinId="9" hidden="1"/>
    <cellStyle name="Hyperlink seguido" xfId="173" builtinId="9" hidden="1"/>
    <cellStyle name="Hyperlink seguido" xfId="175" builtinId="9" hidden="1"/>
    <cellStyle name="Hyperlink seguido" xfId="177" builtinId="9" hidden="1"/>
    <cellStyle name="Hyperlink seguido" xfId="181" builtinId="9" hidden="1"/>
    <cellStyle name="Hyperlink seguido" xfId="183" builtinId="9" hidden="1"/>
    <cellStyle name="Hyperlink seguido" xfId="185" builtinId="9" hidden="1"/>
    <cellStyle name="Hyperlink seguido" xfId="187" builtinId="9" hidden="1"/>
    <cellStyle name="Hyperlink seguido" xfId="189" builtinId="9" hidden="1"/>
    <cellStyle name="Hyperlink seguido" xfId="191" builtinId="9" hidden="1"/>
    <cellStyle name="Hyperlink seguido" xfId="179" builtinId="9" hidden="1"/>
    <cellStyle name="Hyperlink seguido" xfId="163" builtinId="9" hidden="1"/>
    <cellStyle name="Hyperlink seguido" xfId="149" builtinId="9" hidden="1"/>
    <cellStyle name="Hyperlink seguido" xfId="151" builtinId="9" hidden="1"/>
    <cellStyle name="Hyperlink seguido" xfId="153" builtinId="9" hidden="1"/>
    <cellStyle name="Hyperlink seguido" xfId="155" builtinId="9" hidden="1"/>
    <cellStyle name="Hyperlink seguido" xfId="157" builtinId="9" hidden="1"/>
    <cellStyle name="Hyperlink seguido" xfId="159" builtinId="9" hidden="1"/>
    <cellStyle name="Hyperlink seguido" xfId="143" builtinId="9" hidden="1"/>
    <cellStyle name="Hyperlink seguido" xfId="145" builtinId="9" hidden="1"/>
    <cellStyle name="Hyperlink seguido" xfId="147" builtinId="9" hidden="1"/>
    <cellStyle name="Hyperlink seguido" xfId="141" builtinId="9" hidden="1"/>
    <cellStyle name="Hyperlink seguido" xfId="139" builtinId="9" hidden="1"/>
    <cellStyle name="Moeda" xfId="2" builtinId="4"/>
    <cellStyle name="Normal" xfId="0" builtinId="0"/>
    <cellStyle name="Porcentagem" xfId="3" builtinId="5"/>
    <cellStyle name="Separador de milhares" xfId="1" builtinId="3"/>
  </cellStyles>
  <dxfs count="4">
    <dxf>
      <font>
        <color rgb="FFFF0000"/>
      </font>
      <fill>
        <patternFill patternType="solid">
          <fgColor indexed="64"/>
          <bgColor rgb="FFFF0000"/>
        </patternFill>
      </fill>
    </dxf>
    <dxf>
      <font>
        <color rgb="FFFF6600"/>
      </font>
      <fill>
        <patternFill>
          <bgColor rgb="FFFFC7CE"/>
        </patternFill>
      </fill>
    </dxf>
    <dxf>
      <font>
        <color rgb="FFFF6600"/>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47625</xdr:colOff>
      <xdr:row>3</xdr:row>
      <xdr:rowOff>236219</xdr:rowOff>
    </xdr:from>
    <xdr:to>
      <xdr:col>7</xdr:col>
      <xdr:colOff>1714500</xdr:colOff>
      <xdr:row>4</xdr:row>
      <xdr:rowOff>0</xdr:rowOff>
    </xdr:to>
    <xdr:grpSp>
      <xdr:nvGrpSpPr>
        <xdr:cNvPr id="5" name="Group 4">
          <a:extLst>
            <a:ext uri="{FF2B5EF4-FFF2-40B4-BE49-F238E27FC236}">
              <a16:creationId xmlns:a16="http://schemas.microsoft.com/office/drawing/2014/main" xmlns="" id="{00000000-0008-0000-0000-000005000000}"/>
            </a:ext>
          </a:extLst>
        </xdr:cNvPr>
        <xdr:cNvGrpSpPr>
          <a:grpSpLocks/>
        </xdr:cNvGrpSpPr>
      </xdr:nvGrpSpPr>
      <xdr:grpSpPr bwMode="auto">
        <a:xfrm>
          <a:off x="873125" y="1236344"/>
          <a:ext cx="17526000" cy="160656"/>
          <a:chOff x="1008" y="1752"/>
          <a:chExt cx="9869" cy="2"/>
        </a:xfrm>
      </xdr:grpSpPr>
      <xdr:grpSp>
        <xdr:nvGrpSpPr>
          <xdr:cNvPr id="6" name="Group 5">
            <a:extLst>
              <a:ext uri="{FF2B5EF4-FFF2-40B4-BE49-F238E27FC236}">
                <a16:creationId xmlns:a16="http://schemas.microsoft.com/office/drawing/2014/main" xmlns="" id="{00000000-0008-0000-0000-000006000000}"/>
              </a:ext>
            </a:extLst>
          </xdr:cNvPr>
          <xdr:cNvGrpSpPr>
            <a:grpSpLocks/>
          </xdr:cNvGrpSpPr>
        </xdr:nvGrpSpPr>
        <xdr:grpSpPr bwMode="auto">
          <a:xfrm>
            <a:off x="1008" y="1752"/>
            <a:ext cx="4704" cy="2"/>
            <a:chOff x="1008" y="1752"/>
            <a:chExt cx="4704" cy="2"/>
          </a:xfrm>
        </xdr:grpSpPr>
        <xdr:sp macro="" textlink="">
          <xdr:nvSpPr>
            <xdr:cNvPr id="15" name="Freeform 14">
              <a:extLst>
                <a:ext uri="{FF2B5EF4-FFF2-40B4-BE49-F238E27FC236}">
                  <a16:creationId xmlns:a16="http://schemas.microsoft.com/office/drawing/2014/main" xmlns="" id="{00000000-0008-0000-0000-00000F000000}"/>
                </a:ext>
              </a:extLst>
            </xdr:cNvPr>
            <xdr:cNvSpPr>
              <a:spLocks/>
            </xdr:cNvSpPr>
          </xdr:nvSpPr>
          <xdr:spPr bwMode="auto">
            <a:xfrm>
              <a:off x="1008" y="1752"/>
              <a:ext cx="4704" cy="2"/>
            </a:xfrm>
            <a:custGeom>
              <a:avLst/>
              <a:gdLst>
                <a:gd name="T0" fmla="+- 0 1008 1008"/>
                <a:gd name="T1" fmla="*/ T0 w 4704"/>
                <a:gd name="T2" fmla="+- 0 5712 1008"/>
                <a:gd name="T3" fmla="*/ T2 w 4704"/>
              </a:gdLst>
              <a:ahLst/>
              <a:cxnLst>
                <a:cxn ang="0">
                  <a:pos x="T1" y="0"/>
                </a:cxn>
                <a:cxn ang="0">
                  <a:pos x="T3" y="0"/>
                </a:cxn>
              </a:cxnLst>
              <a:rect l="0" t="0" r="r" b="b"/>
              <a:pathLst>
                <a:path w="4704">
                  <a:moveTo>
                    <a:pt x="0" y="0"/>
                  </a:moveTo>
                  <a:lnTo>
                    <a:pt x="4704" y="0"/>
                  </a:lnTo>
                </a:path>
              </a:pathLst>
            </a:custGeom>
            <a:noFill/>
            <a:ln w="6096">
              <a:solidFill>
                <a:srgbClr val="808080"/>
              </a:solidFill>
              <a:round/>
              <a:headEnd/>
              <a:tailEnd/>
            </a:ln>
            <a:extLst>
              <a:ext uri="{909E8E84-426E-40DD-AFC4-6F175D3DCCD1}">
                <a14:hiddenFill xmlns:a14="http://schemas.microsoft.com/office/drawing/2010/main" xmlns="">
                  <a:solidFill>
                    <a:srgbClr val="FFFFFF"/>
                  </a:solidFill>
                </a14:hiddenFill>
              </a:ext>
            </a:extLst>
          </xdr:spPr>
          <xdr:txBody>
            <a:bodyPr rot="0" vert="horz" wrap="square" lIns="91440" tIns="45720" rIns="91440" bIns="45720" anchor="t" anchorCtr="0" upright="1">
              <a:noAutofit/>
            </a:bodyPr>
            <a:lstStyle/>
            <a:p>
              <a:endParaRPr lang="en-US"/>
            </a:p>
          </xdr:txBody>
        </xdr:sp>
      </xdr:grpSp>
      <xdr:grpSp>
        <xdr:nvGrpSpPr>
          <xdr:cNvPr id="7" name="Group 6">
            <a:extLst>
              <a:ext uri="{FF2B5EF4-FFF2-40B4-BE49-F238E27FC236}">
                <a16:creationId xmlns:a16="http://schemas.microsoft.com/office/drawing/2014/main" xmlns="" id="{00000000-0008-0000-0000-000007000000}"/>
              </a:ext>
            </a:extLst>
          </xdr:cNvPr>
          <xdr:cNvGrpSpPr>
            <a:grpSpLocks/>
          </xdr:cNvGrpSpPr>
        </xdr:nvGrpSpPr>
        <xdr:grpSpPr bwMode="auto">
          <a:xfrm>
            <a:off x="5698" y="1752"/>
            <a:ext cx="10" cy="2"/>
            <a:chOff x="5698" y="1752"/>
            <a:chExt cx="10" cy="2"/>
          </a:xfrm>
        </xdr:grpSpPr>
        <xdr:sp macro="" textlink="">
          <xdr:nvSpPr>
            <xdr:cNvPr id="14" name="Freeform 13">
              <a:extLst>
                <a:ext uri="{FF2B5EF4-FFF2-40B4-BE49-F238E27FC236}">
                  <a16:creationId xmlns:a16="http://schemas.microsoft.com/office/drawing/2014/main" xmlns="" id="{00000000-0008-0000-0000-00000E000000}"/>
                </a:ext>
              </a:extLst>
            </xdr:cNvPr>
            <xdr:cNvSpPr>
              <a:spLocks/>
            </xdr:cNvSpPr>
          </xdr:nvSpPr>
          <xdr:spPr bwMode="auto">
            <a:xfrm>
              <a:off x="5698" y="1752"/>
              <a:ext cx="10" cy="2"/>
            </a:xfrm>
            <a:custGeom>
              <a:avLst/>
              <a:gdLst>
                <a:gd name="T0" fmla="+- 0 5698 5698"/>
                <a:gd name="T1" fmla="*/ T0 w 10"/>
                <a:gd name="T2" fmla="+- 0 5707 5698"/>
                <a:gd name="T3" fmla="*/ T2 w 10"/>
              </a:gdLst>
              <a:ahLst/>
              <a:cxnLst>
                <a:cxn ang="0">
                  <a:pos x="T1" y="0"/>
                </a:cxn>
                <a:cxn ang="0">
                  <a:pos x="T3" y="0"/>
                </a:cxn>
              </a:cxnLst>
              <a:rect l="0" t="0" r="r" b="b"/>
              <a:pathLst>
                <a:path w="10">
                  <a:moveTo>
                    <a:pt x="0" y="0"/>
                  </a:moveTo>
                  <a:lnTo>
                    <a:pt x="9" y="0"/>
                  </a:lnTo>
                </a:path>
              </a:pathLst>
            </a:custGeom>
            <a:noFill/>
            <a:ln w="6096">
              <a:solidFill>
                <a:srgbClr val="808080"/>
              </a:solidFill>
              <a:round/>
              <a:headEnd/>
              <a:tailEnd/>
            </a:ln>
            <a:extLst>
              <a:ext uri="{909E8E84-426E-40DD-AFC4-6F175D3DCCD1}">
                <a14:hiddenFill xmlns:a14="http://schemas.microsoft.com/office/drawing/2010/main" xmlns="">
                  <a:solidFill>
                    <a:srgbClr val="FFFFFF"/>
                  </a:solidFill>
                </a14:hiddenFill>
              </a:ext>
            </a:extLst>
          </xdr:spPr>
          <xdr:txBody>
            <a:bodyPr rot="0" vert="horz" wrap="square" lIns="91440" tIns="45720" rIns="91440" bIns="45720" anchor="t" anchorCtr="0" upright="1">
              <a:noAutofit/>
            </a:bodyPr>
            <a:lstStyle/>
            <a:p>
              <a:endParaRPr lang="en-US"/>
            </a:p>
          </xdr:txBody>
        </xdr:sp>
      </xdr:grpSp>
      <xdr:grpSp>
        <xdr:nvGrpSpPr>
          <xdr:cNvPr id="8" name="Group 7">
            <a:extLst>
              <a:ext uri="{FF2B5EF4-FFF2-40B4-BE49-F238E27FC236}">
                <a16:creationId xmlns:a16="http://schemas.microsoft.com/office/drawing/2014/main" xmlns="" id="{00000000-0008-0000-0000-000008000000}"/>
              </a:ext>
            </a:extLst>
          </xdr:cNvPr>
          <xdr:cNvGrpSpPr>
            <a:grpSpLocks/>
          </xdr:cNvGrpSpPr>
        </xdr:nvGrpSpPr>
        <xdr:grpSpPr bwMode="auto">
          <a:xfrm>
            <a:off x="5707" y="1752"/>
            <a:ext cx="3624" cy="2"/>
            <a:chOff x="5707" y="1752"/>
            <a:chExt cx="3624" cy="2"/>
          </a:xfrm>
        </xdr:grpSpPr>
        <xdr:sp macro="" textlink="">
          <xdr:nvSpPr>
            <xdr:cNvPr id="13" name="Freeform 12">
              <a:extLst>
                <a:ext uri="{FF2B5EF4-FFF2-40B4-BE49-F238E27FC236}">
                  <a16:creationId xmlns:a16="http://schemas.microsoft.com/office/drawing/2014/main" xmlns="" id="{00000000-0008-0000-0000-00000D000000}"/>
                </a:ext>
              </a:extLst>
            </xdr:cNvPr>
            <xdr:cNvSpPr>
              <a:spLocks/>
            </xdr:cNvSpPr>
          </xdr:nvSpPr>
          <xdr:spPr bwMode="auto">
            <a:xfrm>
              <a:off x="5707" y="1752"/>
              <a:ext cx="3624" cy="2"/>
            </a:xfrm>
            <a:custGeom>
              <a:avLst/>
              <a:gdLst>
                <a:gd name="T0" fmla="+- 0 5707 5707"/>
                <a:gd name="T1" fmla="*/ T0 w 3624"/>
                <a:gd name="T2" fmla="+- 0 9331 5707"/>
                <a:gd name="T3" fmla="*/ T2 w 3624"/>
              </a:gdLst>
              <a:ahLst/>
              <a:cxnLst>
                <a:cxn ang="0">
                  <a:pos x="T1" y="0"/>
                </a:cxn>
                <a:cxn ang="0">
                  <a:pos x="T3" y="0"/>
                </a:cxn>
              </a:cxnLst>
              <a:rect l="0" t="0" r="r" b="b"/>
              <a:pathLst>
                <a:path w="3624">
                  <a:moveTo>
                    <a:pt x="0" y="0"/>
                  </a:moveTo>
                  <a:lnTo>
                    <a:pt x="3624" y="0"/>
                  </a:lnTo>
                </a:path>
              </a:pathLst>
            </a:custGeom>
            <a:noFill/>
            <a:ln w="6096">
              <a:solidFill>
                <a:srgbClr val="808080"/>
              </a:solidFill>
              <a:round/>
              <a:headEnd/>
              <a:tailEnd/>
            </a:ln>
            <a:extLst>
              <a:ext uri="{909E8E84-426E-40DD-AFC4-6F175D3DCCD1}">
                <a14:hiddenFill xmlns:a14="http://schemas.microsoft.com/office/drawing/2010/main" xmlns="">
                  <a:solidFill>
                    <a:srgbClr val="FFFFFF"/>
                  </a:solidFill>
                </a14:hiddenFill>
              </a:ext>
            </a:extLst>
          </xdr:spPr>
          <xdr:txBody>
            <a:bodyPr rot="0" vert="horz" wrap="square" lIns="91440" tIns="45720" rIns="91440" bIns="45720" anchor="t" anchorCtr="0" upright="1">
              <a:noAutofit/>
            </a:bodyPr>
            <a:lstStyle/>
            <a:p>
              <a:endParaRPr lang="en-US"/>
            </a:p>
          </xdr:txBody>
        </xdr:sp>
      </xdr:grpSp>
      <xdr:grpSp>
        <xdr:nvGrpSpPr>
          <xdr:cNvPr id="9" name="Group 8">
            <a:extLst>
              <a:ext uri="{FF2B5EF4-FFF2-40B4-BE49-F238E27FC236}">
                <a16:creationId xmlns:a16="http://schemas.microsoft.com/office/drawing/2014/main" xmlns="" id="{00000000-0008-0000-0000-000009000000}"/>
              </a:ext>
            </a:extLst>
          </xdr:cNvPr>
          <xdr:cNvGrpSpPr>
            <a:grpSpLocks/>
          </xdr:cNvGrpSpPr>
        </xdr:nvGrpSpPr>
        <xdr:grpSpPr bwMode="auto">
          <a:xfrm>
            <a:off x="9317" y="1752"/>
            <a:ext cx="10" cy="2"/>
            <a:chOff x="9317" y="1752"/>
            <a:chExt cx="10" cy="2"/>
          </a:xfrm>
        </xdr:grpSpPr>
        <xdr:sp macro="" textlink="">
          <xdr:nvSpPr>
            <xdr:cNvPr id="12" name="Freeform 11">
              <a:extLst>
                <a:ext uri="{FF2B5EF4-FFF2-40B4-BE49-F238E27FC236}">
                  <a16:creationId xmlns:a16="http://schemas.microsoft.com/office/drawing/2014/main" xmlns="" id="{00000000-0008-0000-0000-00000C000000}"/>
                </a:ext>
              </a:extLst>
            </xdr:cNvPr>
            <xdr:cNvSpPr>
              <a:spLocks/>
            </xdr:cNvSpPr>
          </xdr:nvSpPr>
          <xdr:spPr bwMode="auto">
            <a:xfrm>
              <a:off x="9317" y="1752"/>
              <a:ext cx="10" cy="2"/>
            </a:xfrm>
            <a:custGeom>
              <a:avLst/>
              <a:gdLst>
                <a:gd name="T0" fmla="+- 0 9317 9317"/>
                <a:gd name="T1" fmla="*/ T0 w 10"/>
                <a:gd name="T2" fmla="+- 0 9326 9317"/>
                <a:gd name="T3" fmla="*/ T2 w 10"/>
              </a:gdLst>
              <a:ahLst/>
              <a:cxnLst>
                <a:cxn ang="0">
                  <a:pos x="T1" y="0"/>
                </a:cxn>
                <a:cxn ang="0">
                  <a:pos x="T3" y="0"/>
                </a:cxn>
              </a:cxnLst>
              <a:rect l="0" t="0" r="r" b="b"/>
              <a:pathLst>
                <a:path w="10">
                  <a:moveTo>
                    <a:pt x="0" y="0"/>
                  </a:moveTo>
                  <a:lnTo>
                    <a:pt x="9" y="0"/>
                  </a:lnTo>
                </a:path>
              </a:pathLst>
            </a:custGeom>
            <a:noFill/>
            <a:ln w="6096">
              <a:solidFill>
                <a:srgbClr val="808080"/>
              </a:solidFill>
              <a:round/>
              <a:headEnd/>
              <a:tailEnd/>
            </a:ln>
            <a:extLst>
              <a:ext uri="{909E8E84-426E-40DD-AFC4-6F175D3DCCD1}">
                <a14:hiddenFill xmlns:a14="http://schemas.microsoft.com/office/drawing/2010/main" xmlns="">
                  <a:solidFill>
                    <a:srgbClr val="FFFFFF"/>
                  </a:solidFill>
                </a14:hiddenFill>
              </a:ext>
            </a:extLst>
          </xdr:spPr>
          <xdr:txBody>
            <a:bodyPr rot="0" vert="horz" wrap="square" lIns="91440" tIns="45720" rIns="91440" bIns="45720" anchor="t" anchorCtr="0" upright="1">
              <a:noAutofit/>
            </a:bodyPr>
            <a:lstStyle/>
            <a:p>
              <a:endParaRPr lang="en-US"/>
            </a:p>
          </xdr:txBody>
        </xdr:sp>
      </xdr:grpSp>
      <xdr:grpSp>
        <xdr:nvGrpSpPr>
          <xdr:cNvPr id="10" name="Group 9">
            <a:extLst>
              <a:ext uri="{FF2B5EF4-FFF2-40B4-BE49-F238E27FC236}">
                <a16:creationId xmlns:a16="http://schemas.microsoft.com/office/drawing/2014/main" xmlns="" id="{00000000-0008-0000-0000-00000A000000}"/>
              </a:ext>
            </a:extLst>
          </xdr:cNvPr>
          <xdr:cNvGrpSpPr>
            <a:grpSpLocks/>
          </xdr:cNvGrpSpPr>
        </xdr:nvGrpSpPr>
        <xdr:grpSpPr bwMode="auto">
          <a:xfrm>
            <a:off x="9326" y="1752"/>
            <a:ext cx="1551" cy="2"/>
            <a:chOff x="9326" y="1752"/>
            <a:chExt cx="1551" cy="2"/>
          </a:xfrm>
        </xdr:grpSpPr>
        <xdr:sp macro="" textlink="">
          <xdr:nvSpPr>
            <xdr:cNvPr id="11" name="Freeform 10">
              <a:extLst>
                <a:ext uri="{FF2B5EF4-FFF2-40B4-BE49-F238E27FC236}">
                  <a16:creationId xmlns:a16="http://schemas.microsoft.com/office/drawing/2014/main" xmlns="" id="{00000000-0008-0000-0000-00000B000000}"/>
                </a:ext>
              </a:extLst>
            </xdr:cNvPr>
            <xdr:cNvSpPr>
              <a:spLocks/>
            </xdr:cNvSpPr>
          </xdr:nvSpPr>
          <xdr:spPr bwMode="auto">
            <a:xfrm>
              <a:off x="9326" y="1752"/>
              <a:ext cx="1551" cy="2"/>
            </a:xfrm>
            <a:custGeom>
              <a:avLst/>
              <a:gdLst>
                <a:gd name="T0" fmla="+- 0 9326 9326"/>
                <a:gd name="T1" fmla="*/ T0 w 1551"/>
                <a:gd name="T2" fmla="+- 0 10877 9326"/>
                <a:gd name="T3" fmla="*/ T2 w 1551"/>
              </a:gdLst>
              <a:ahLst/>
              <a:cxnLst>
                <a:cxn ang="0">
                  <a:pos x="T1" y="0"/>
                </a:cxn>
                <a:cxn ang="0">
                  <a:pos x="T3" y="0"/>
                </a:cxn>
              </a:cxnLst>
              <a:rect l="0" t="0" r="r" b="b"/>
              <a:pathLst>
                <a:path w="1551">
                  <a:moveTo>
                    <a:pt x="0" y="0"/>
                  </a:moveTo>
                  <a:lnTo>
                    <a:pt x="1551" y="0"/>
                  </a:lnTo>
                </a:path>
              </a:pathLst>
            </a:custGeom>
            <a:noFill/>
            <a:ln w="6096">
              <a:solidFill>
                <a:srgbClr val="808080"/>
              </a:solidFill>
              <a:round/>
              <a:headEnd/>
              <a:tailEnd/>
            </a:ln>
            <a:extLst>
              <a:ext uri="{909E8E84-426E-40DD-AFC4-6F175D3DCCD1}">
                <a14:hiddenFill xmlns:a14="http://schemas.microsoft.com/office/drawing/2010/main" xmlns="">
                  <a:solidFill>
                    <a:srgbClr val="FFFFFF"/>
                  </a:solidFill>
                </a14:hiddenFill>
              </a:ext>
            </a:extLst>
          </xdr:spPr>
          <xdr:txBody>
            <a:bodyPr rot="0" vert="horz" wrap="square" lIns="91440" tIns="45720" rIns="91440" bIns="45720" anchor="t" anchorCtr="0" upright="1">
              <a:noAutofit/>
            </a:bodyPr>
            <a:lstStyle/>
            <a:p>
              <a:endParaRPr lang="en-US"/>
            </a:p>
          </xdr:txBody>
        </xdr:sp>
      </xdr:grp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aiorhcp@ig.com.br"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caiorhcp@ig.com.br" TargetMode="External"/></Relationships>
</file>

<file path=xl/worksheets/sheet1.xml><?xml version="1.0" encoding="utf-8"?>
<worksheet xmlns="http://schemas.openxmlformats.org/spreadsheetml/2006/main" xmlns:r="http://schemas.openxmlformats.org/officeDocument/2006/relationships">
  <sheetPr codeName="Sheet1">
    <pageSetUpPr fitToPage="1"/>
  </sheetPr>
  <dimension ref="A2:BD91"/>
  <sheetViews>
    <sheetView showGridLines="0" view="pageBreakPreview" zoomScale="60" zoomScaleNormal="70" zoomScalePageLayoutView="80" workbookViewId="0">
      <selection activeCell="H7" sqref="H7"/>
    </sheetView>
  </sheetViews>
  <sheetFormatPr defaultColWidth="11" defaultRowHeight="15.75"/>
  <cols>
    <col min="1" max="1" width="10.875" style="54"/>
    <col min="2" max="2" width="51.5" style="54" customWidth="1"/>
    <col min="3" max="3" width="19" style="54" customWidth="1"/>
    <col min="4" max="4" width="24" style="54" bestFit="1" customWidth="1"/>
    <col min="5" max="5" width="51.5" style="54" customWidth="1"/>
    <col min="6" max="6" width="14.875" style="54" customWidth="1"/>
    <col min="7" max="7" width="47.5" style="54" customWidth="1"/>
    <col min="8" max="8" width="23" style="54" bestFit="1" customWidth="1"/>
    <col min="9" max="9" width="4.875" customWidth="1"/>
  </cols>
  <sheetData>
    <row r="2" spans="2:56" ht="31.5">
      <c r="B2" s="155"/>
      <c r="C2" s="155"/>
      <c r="D2" s="155"/>
      <c r="E2" s="155"/>
      <c r="F2" s="155"/>
      <c r="G2" s="155"/>
      <c r="H2" s="155"/>
    </row>
    <row r="3" spans="2:56" ht="31.5">
      <c r="B3" s="154"/>
      <c r="C3" s="154"/>
      <c r="D3" s="154"/>
      <c r="E3" s="154"/>
      <c r="F3" s="154"/>
      <c r="G3" s="154"/>
      <c r="H3" s="154"/>
    </row>
    <row r="4" spans="2:56" ht="31.5">
      <c r="B4" s="154"/>
      <c r="C4" s="154"/>
      <c r="D4" s="154"/>
      <c r="E4" s="154"/>
      <c r="F4" s="154"/>
      <c r="G4" s="154"/>
      <c r="H4" s="154"/>
    </row>
    <row r="5" spans="2:56" ht="31.5">
      <c r="B5" s="194" t="s">
        <v>344</v>
      </c>
      <c r="C5" s="194"/>
      <c r="D5" s="194"/>
      <c r="E5" s="194"/>
      <c r="F5" s="194"/>
      <c r="G5" s="194"/>
      <c r="H5" s="194"/>
    </row>
    <row r="6" spans="2:56">
      <c r="B6" s="133"/>
    </row>
    <row r="7" spans="2:56" ht="18.75">
      <c r="G7" s="285" t="s">
        <v>351</v>
      </c>
      <c r="H7" s="134" t="str">
        <f ca="1">"São Paulo, "&amp;DAY(TODAY())&amp;"/"&amp;MONTH(TODAY())&amp;"/"&amp;YEAR(TODAY())</f>
        <v>São Paulo, 4/10/2017</v>
      </c>
    </row>
    <row r="8" spans="2:56">
      <c r="G8" s="286"/>
    </row>
    <row r="9" spans="2:56" s="54" customFormat="1" ht="29.1" customHeight="1">
      <c r="B9" s="211" t="s">
        <v>102</v>
      </c>
      <c r="C9" s="212"/>
      <c r="D9" s="212"/>
      <c r="E9" s="212"/>
      <c r="F9" s="212"/>
      <c r="G9" s="212"/>
      <c r="H9" s="213"/>
      <c r="K9"/>
      <c r="L9"/>
      <c r="M9"/>
      <c r="N9"/>
      <c r="O9"/>
      <c r="P9"/>
    </row>
    <row r="10" spans="2:56" s="54" customFormat="1" ht="18.75">
      <c r="B10" s="135" t="s">
        <v>94</v>
      </c>
      <c r="C10" s="214">
        <f>'Informações Cliente e Sistema'!C4</f>
        <v>0</v>
      </c>
      <c r="D10" s="215"/>
      <c r="E10" s="215"/>
      <c r="F10" s="215"/>
      <c r="G10" s="216"/>
      <c r="H10" s="136" t="str">
        <f>'Informações Cliente e Sistema'!H4</f>
        <v>SC20151</v>
      </c>
    </row>
    <row r="11" spans="2:56" s="54" customFormat="1" ht="5.0999999999999996" customHeight="1">
      <c r="B11" s="137"/>
      <c r="C11" s="138"/>
      <c r="D11" s="138"/>
      <c r="E11" s="138"/>
      <c r="F11" s="138"/>
      <c r="G11" s="138"/>
      <c r="H11" s="138"/>
    </row>
    <row r="12" spans="2:56" s="54" customFormat="1" ht="18.75">
      <c r="B12" s="135" t="s">
        <v>95</v>
      </c>
      <c r="C12" s="217">
        <f>'Informações Cliente e Sistema'!C6:F6</f>
        <v>0</v>
      </c>
      <c r="D12" s="215"/>
      <c r="E12" s="215"/>
      <c r="F12" s="216"/>
      <c r="G12" s="135" t="s">
        <v>96</v>
      </c>
      <c r="H12" s="139" t="str">
        <f>'Informações Cliente e Sistema'!H6</f>
        <v>11 123456789</v>
      </c>
      <c r="BC12" s="81"/>
      <c r="BD12" s="82"/>
    </row>
    <row r="13" spans="2:56" s="54" customFormat="1" ht="6" customHeight="1">
      <c r="B13" s="137"/>
      <c r="C13" s="138"/>
      <c r="D13" s="138"/>
      <c r="E13" s="138"/>
      <c r="F13" s="138"/>
      <c r="G13" s="138"/>
      <c r="H13" s="138"/>
      <c r="BC13" s="82"/>
      <c r="BD13" s="82"/>
    </row>
    <row r="14" spans="2:56" s="54" customFormat="1" ht="18.75">
      <c r="B14" s="135" t="s">
        <v>97</v>
      </c>
      <c r="C14" s="214" t="str">
        <f>'Informações Cliente e Sistema'!C8:F8</f>
        <v>São Paulo</v>
      </c>
      <c r="D14" s="215"/>
      <c r="E14" s="215"/>
      <c r="F14" s="216"/>
      <c r="G14" s="135" t="s">
        <v>98</v>
      </c>
      <c r="H14" s="139" t="str">
        <f>'Informações Cliente e Sistema'!H8</f>
        <v>SP</v>
      </c>
      <c r="BC14" s="78"/>
      <c r="BD14" s="81"/>
    </row>
    <row r="15" spans="2:56" s="54" customFormat="1" ht="9" customHeight="1">
      <c r="B15" s="137"/>
      <c r="C15" s="138"/>
      <c r="D15" s="138"/>
      <c r="E15" s="138"/>
      <c r="F15" s="138"/>
      <c r="G15" s="138"/>
      <c r="H15" s="138"/>
    </row>
    <row r="16" spans="2:56" s="54" customFormat="1" ht="18.75">
      <c r="B16" s="135" t="s">
        <v>99</v>
      </c>
      <c r="C16" s="140" t="str">
        <f>'Informações Cliente e Sistema'!C10</f>
        <v>Comercial</v>
      </c>
      <c r="D16" s="135" t="s">
        <v>100</v>
      </c>
      <c r="E16" s="218" t="str">
        <f>'Informações Cliente e Sistema'!E10:F10</f>
        <v>Conectado à rede</v>
      </c>
      <c r="F16" s="219"/>
      <c r="G16" s="135" t="s">
        <v>101</v>
      </c>
      <c r="H16" s="140" t="str">
        <f>'Informações Cliente e Sistema'!H10</f>
        <v>Bifásico</v>
      </c>
    </row>
    <row r="17" spans="2:11" s="54" customFormat="1" ht="3.95" customHeight="1">
      <c r="B17" s="137"/>
      <c r="C17" s="138"/>
      <c r="D17" s="138"/>
      <c r="E17" s="138"/>
      <c r="F17" s="138"/>
      <c r="G17" s="138"/>
      <c r="H17" s="138"/>
    </row>
    <row r="18" spans="2:11" s="54" customFormat="1" ht="18.75">
      <c r="B18" s="135" t="s">
        <v>140</v>
      </c>
      <c r="C18" s="141">
        <f>'Informações Cliente e Sistema'!C12</f>
        <v>450</v>
      </c>
      <c r="D18" s="198" t="s">
        <v>138</v>
      </c>
      <c r="E18" s="199"/>
      <c r="F18" s="142">
        <f>'Informações Cliente e Sistema'!F12</f>
        <v>450</v>
      </c>
      <c r="G18" s="143" t="s">
        <v>139</v>
      </c>
      <c r="H18" s="144">
        <f>'Informações Cliente e Sistema'!H12</f>
        <v>1</v>
      </c>
    </row>
    <row r="19" spans="2:11" s="54" customFormat="1" ht="18.75">
      <c r="B19" s="145"/>
      <c r="C19" s="146"/>
      <c r="D19" s="145"/>
      <c r="E19" s="145"/>
      <c r="F19" s="147"/>
      <c r="G19" s="145"/>
      <c r="H19" s="145"/>
    </row>
    <row r="20" spans="2:11" s="54" customFormat="1" ht="18.75">
      <c r="B20" s="145"/>
      <c r="C20" s="145"/>
      <c r="D20" s="145"/>
      <c r="E20" s="145"/>
      <c r="F20" s="145"/>
      <c r="G20" s="145"/>
      <c r="H20" s="145"/>
    </row>
    <row r="21" spans="2:11" s="54" customFormat="1" ht="28.5" customHeight="1">
      <c r="B21" s="221" t="s">
        <v>105</v>
      </c>
      <c r="C21" s="222"/>
      <c r="D21" s="222"/>
      <c r="E21" s="222"/>
      <c r="F21" s="222"/>
      <c r="G21" s="222"/>
      <c r="H21" s="223"/>
    </row>
    <row r="22" spans="2:11" s="54" customFormat="1" ht="23.1" customHeight="1">
      <c r="B22" s="135" t="s">
        <v>104</v>
      </c>
      <c r="C22" s="148">
        <f>'Informações Cliente e Sistema'!C17</f>
        <v>2.75</v>
      </c>
      <c r="D22" s="224" t="s">
        <v>120</v>
      </c>
      <c r="E22" s="224"/>
      <c r="F22" s="148">
        <f>'Informações Cliente e Sistema'!F17</f>
        <v>421.85088000000013</v>
      </c>
      <c r="G22" s="135" t="s">
        <v>114</v>
      </c>
      <c r="H22" s="148">
        <f>'Informações Cliente e Sistema'!H17</f>
        <v>5062.2105600000014</v>
      </c>
    </row>
    <row r="23" spans="2:11" s="54" customFormat="1" ht="20.100000000000001" customHeight="1">
      <c r="B23" s="135" t="s">
        <v>106</v>
      </c>
      <c r="C23" s="148">
        <f>'Informações Cliente e Sistema'!C18</f>
        <v>17.600000000000001</v>
      </c>
      <c r="D23" s="224" t="s">
        <v>107</v>
      </c>
      <c r="E23" s="224"/>
      <c r="F23" s="148">
        <f>'Informações Cliente e Sistema'!F18</f>
        <v>11.562499999999998</v>
      </c>
      <c r="G23" s="135" t="s">
        <v>119</v>
      </c>
      <c r="H23" s="148">
        <f>'Informações Cliente e Sistema'!H18</f>
        <v>11</v>
      </c>
      <c r="I23" s="65"/>
      <c r="K23" s="65"/>
    </row>
    <row r="24" spans="2:11" s="54" customFormat="1" ht="5.0999999999999996" customHeight="1" thickBot="1">
      <c r="B24" s="149"/>
      <c r="C24" s="149"/>
      <c r="D24" s="149"/>
      <c r="E24" s="149"/>
      <c r="F24" s="150"/>
      <c r="G24" s="151"/>
      <c r="H24" s="149"/>
    </row>
    <row r="25" spans="2:11" s="54" customFormat="1" ht="20.100000000000001" customHeight="1">
      <c r="B25" s="198" t="s">
        <v>110</v>
      </c>
      <c r="C25" s="199"/>
      <c r="D25" s="202">
        <f>'Informações Cliente e Sistema'!D20:E20</f>
        <v>5062.2105600000014</v>
      </c>
      <c r="E25" s="203"/>
      <c r="F25" s="225" t="s">
        <v>300</v>
      </c>
      <c r="G25" s="226"/>
      <c r="H25" s="195">
        <f>'Informações Cliente e Sistema'!H20</f>
        <v>25905.797101449272</v>
      </c>
    </row>
    <row r="26" spans="2:11" s="54" customFormat="1" ht="5.0999999999999996" customHeight="1">
      <c r="B26" s="152"/>
      <c r="C26" s="152"/>
      <c r="D26" s="149"/>
      <c r="E26" s="149"/>
      <c r="F26" s="227"/>
      <c r="G26" s="228"/>
      <c r="H26" s="196"/>
    </row>
    <row r="27" spans="2:11" s="54" customFormat="1" ht="21" customHeight="1">
      <c r="B27" s="198" t="s">
        <v>113</v>
      </c>
      <c r="C27" s="199"/>
      <c r="D27" s="200">
        <f>'Informações Cliente e Sistema'!D22:E22</f>
        <v>0.93744640000000035</v>
      </c>
      <c r="E27" s="201"/>
      <c r="F27" s="229"/>
      <c r="G27" s="230"/>
      <c r="H27" s="197"/>
    </row>
    <row r="28" spans="2:11" s="54" customFormat="1" ht="5.0999999999999996" customHeight="1">
      <c r="B28" s="151"/>
      <c r="C28" s="151"/>
      <c r="D28" s="149"/>
      <c r="E28" s="149"/>
      <c r="F28" s="156"/>
      <c r="G28" s="157"/>
      <c r="H28" s="158"/>
    </row>
    <row r="29" spans="2:11" s="54" customFormat="1" ht="21.75" thickBot="1">
      <c r="B29" s="135" t="s">
        <v>131</v>
      </c>
      <c r="C29" s="135"/>
      <c r="D29" s="202">
        <f>'Informações Cliente e Sistema'!D24:E24</f>
        <v>0.2046994829187766</v>
      </c>
      <c r="E29" s="203"/>
      <c r="F29" s="204" t="s">
        <v>292</v>
      </c>
      <c r="G29" s="205"/>
      <c r="H29" s="159">
        <f>'Informações Cliente e Sistema'!H24</f>
        <v>4</v>
      </c>
    </row>
    <row r="30" spans="2:11" s="54" customFormat="1" ht="6.95" customHeight="1">
      <c r="B30" s="149"/>
      <c r="C30" s="149"/>
      <c r="D30" s="149"/>
      <c r="E30" s="149"/>
      <c r="F30" s="149"/>
      <c r="G30" s="149"/>
      <c r="H30" s="149"/>
    </row>
    <row r="31" spans="2:11" s="54" customFormat="1" ht="18.75">
      <c r="B31" s="70" t="s">
        <v>133</v>
      </c>
      <c r="C31" s="206" t="str">
        <f>'Informações Cliente e Sistema'!C26:E26</f>
        <v>NÃO SE APLICA</v>
      </c>
      <c r="D31" s="207"/>
      <c r="E31" s="208"/>
      <c r="F31" s="209" t="s">
        <v>121</v>
      </c>
      <c r="G31" s="210"/>
      <c r="H31" s="153" t="str">
        <f>'Informações Cliente e Sistema'!H26</f>
        <v>NÃO</v>
      </c>
    </row>
    <row r="32" spans="2:11" s="54" customFormat="1" ht="18.75">
      <c r="B32" s="70" t="s">
        <v>132</v>
      </c>
      <c r="C32" s="73" t="str">
        <f>'Informações Cliente e Sistema'!C27</f>
        <v>50% - PEDIDO</v>
      </c>
      <c r="D32" s="73" t="str">
        <f>'Informações Cliente e Sistema'!D27</f>
        <v>50% - NA ENTREGA</v>
      </c>
      <c r="E32" s="73" t="str">
        <f>'Informações Cliente e Sistema'!E27</f>
        <v>------</v>
      </c>
      <c r="F32" s="220" t="s">
        <v>122</v>
      </c>
      <c r="G32" s="220"/>
      <c r="H32" s="153" t="str">
        <f>'Informações Cliente e Sistema'!H27</f>
        <v>NÃO</v>
      </c>
    </row>
    <row r="33" spans="2:11">
      <c r="I33" s="54"/>
      <c r="J33" s="54"/>
      <c r="K33" s="54"/>
    </row>
    <row r="34" spans="2:11">
      <c r="I34" s="54"/>
      <c r="J34" s="54"/>
      <c r="K34" s="54"/>
    </row>
    <row r="35" spans="2:11" ht="15" customHeight="1">
      <c r="B35" s="192" t="s">
        <v>348</v>
      </c>
      <c r="C35" s="193"/>
      <c r="D35" s="193"/>
      <c r="E35" s="193"/>
      <c r="F35" s="193"/>
      <c r="G35" s="193"/>
      <c r="H35" s="193"/>
      <c r="I35" s="54"/>
      <c r="J35" s="54"/>
      <c r="K35" s="54"/>
    </row>
    <row r="36" spans="2:11" ht="15" customHeight="1">
      <c r="B36" s="193"/>
      <c r="C36" s="193"/>
      <c r="D36" s="193"/>
      <c r="E36" s="193"/>
      <c r="F36" s="193"/>
      <c r="G36" s="193"/>
      <c r="H36" s="193"/>
      <c r="I36" s="54"/>
      <c r="J36" s="54"/>
      <c r="K36" s="54"/>
    </row>
    <row r="37" spans="2:11" ht="15" customHeight="1">
      <c r="B37" s="193"/>
      <c r="C37" s="193"/>
      <c r="D37" s="193"/>
      <c r="E37" s="193"/>
      <c r="F37" s="193"/>
      <c r="G37" s="193"/>
      <c r="H37" s="193"/>
      <c r="I37" s="54"/>
      <c r="J37" s="54"/>
      <c r="K37" s="54"/>
    </row>
    <row r="38" spans="2:11" ht="15" customHeight="1">
      <c r="B38" s="193"/>
      <c r="C38" s="193"/>
      <c r="D38" s="193"/>
      <c r="E38" s="193"/>
      <c r="F38" s="193"/>
      <c r="G38" s="193"/>
      <c r="H38" s="193"/>
      <c r="I38" s="54"/>
      <c r="J38" s="54"/>
      <c r="K38" s="54"/>
    </row>
    <row r="39" spans="2:11" ht="15" customHeight="1">
      <c r="B39" s="193"/>
      <c r="C39" s="193"/>
      <c r="D39" s="193"/>
      <c r="E39" s="193"/>
      <c r="F39" s="193"/>
      <c r="G39" s="193"/>
      <c r="H39" s="193"/>
      <c r="I39" s="54"/>
      <c r="J39" s="54"/>
      <c r="K39" s="54"/>
    </row>
    <row r="40" spans="2:11" ht="15" customHeight="1">
      <c r="B40" s="193"/>
      <c r="C40" s="193"/>
      <c r="D40" s="193"/>
      <c r="E40" s="193"/>
      <c r="F40" s="193"/>
      <c r="G40" s="193"/>
      <c r="H40" s="193"/>
      <c r="I40" s="54"/>
      <c r="J40" s="54"/>
      <c r="K40" s="54"/>
    </row>
    <row r="41" spans="2:11" ht="15" customHeight="1">
      <c r="B41" s="193"/>
      <c r="C41" s="193"/>
      <c r="D41" s="193"/>
      <c r="E41" s="193"/>
      <c r="F41" s="193"/>
      <c r="G41" s="193"/>
      <c r="H41" s="193"/>
      <c r="I41" s="54"/>
      <c r="J41" s="54"/>
      <c r="K41" s="54"/>
    </row>
    <row r="42" spans="2:11" ht="15" customHeight="1">
      <c r="B42" s="193"/>
      <c r="C42" s="193"/>
      <c r="D42" s="193"/>
      <c r="E42" s="193"/>
      <c r="F42" s="193"/>
      <c r="G42" s="193"/>
      <c r="H42" s="193"/>
      <c r="I42" s="54"/>
      <c r="J42" s="54"/>
      <c r="K42" s="54"/>
    </row>
    <row r="43" spans="2:11" ht="15" customHeight="1">
      <c r="B43" s="193"/>
      <c r="C43" s="193"/>
      <c r="D43" s="193"/>
      <c r="E43" s="193"/>
      <c r="F43" s="193"/>
      <c r="G43" s="193"/>
      <c r="H43" s="193"/>
      <c r="I43" s="54"/>
      <c r="J43" s="54"/>
      <c r="K43" s="54"/>
    </row>
    <row r="44" spans="2:11" ht="15" customHeight="1">
      <c r="B44" s="193"/>
      <c r="C44" s="193"/>
      <c r="D44" s="193"/>
      <c r="E44" s="193"/>
      <c r="F44" s="193"/>
      <c r="G44" s="193"/>
      <c r="H44" s="193"/>
      <c r="I44" s="54"/>
      <c r="J44" s="54"/>
      <c r="K44" s="54"/>
    </row>
    <row r="45" spans="2:11" ht="15" customHeight="1">
      <c r="B45" s="193"/>
      <c r="C45" s="193"/>
      <c r="D45" s="193"/>
      <c r="E45" s="193"/>
      <c r="F45" s="193"/>
      <c r="G45" s="193"/>
      <c r="H45" s="193"/>
      <c r="I45" s="54"/>
      <c r="J45" s="54"/>
      <c r="K45" s="54"/>
    </row>
    <row r="46" spans="2:11" ht="15" customHeight="1">
      <c r="B46" s="193"/>
      <c r="C46" s="193"/>
      <c r="D46" s="193"/>
      <c r="E46" s="193"/>
      <c r="F46" s="193"/>
      <c r="G46" s="193"/>
      <c r="H46" s="193"/>
      <c r="I46" s="54"/>
      <c r="J46" s="54"/>
      <c r="K46" s="54"/>
    </row>
    <row r="47" spans="2:11" ht="15" customHeight="1">
      <c r="B47" s="193"/>
      <c r="C47" s="193"/>
      <c r="D47" s="193"/>
      <c r="E47" s="193"/>
      <c r="F47" s="193"/>
      <c r="G47" s="193"/>
      <c r="H47" s="193"/>
      <c r="I47" s="54"/>
      <c r="J47" s="54"/>
      <c r="K47" s="54"/>
    </row>
    <row r="48" spans="2:11" ht="15" customHeight="1">
      <c r="B48" s="193"/>
      <c r="C48" s="193"/>
      <c r="D48" s="193"/>
      <c r="E48" s="193"/>
      <c r="F48" s="193"/>
      <c r="G48" s="193"/>
      <c r="H48" s="193"/>
      <c r="I48" s="54"/>
      <c r="J48" s="54"/>
      <c r="K48" s="54"/>
    </row>
    <row r="49" spans="2:11" ht="15" customHeight="1">
      <c r="B49" s="193"/>
      <c r="C49" s="193"/>
      <c r="D49" s="193"/>
      <c r="E49" s="193"/>
      <c r="F49" s="193"/>
      <c r="G49" s="193"/>
      <c r="H49" s="193"/>
      <c r="I49" s="54"/>
      <c r="J49" s="54"/>
      <c r="K49" s="54"/>
    </row>
    <row r="50" spans="2:11" ht="15" customHeight="1">
      <c r="B50" s="193"/>
      <c r="C50" s="193"/>
      <c r="D50" s="193"/>
      <c r="E50" s="193"/>
      <c r="F50" s="193"/>
      <c r="G50" s="193"/>
      <c r="H50" s="193"/>
      <c r="I50" s="54"/>
      <c r="J50" s="54"/>
      <c r="K50" s="54"/>
    </row>
    <row r="51" spans="2:11" ht="15" customHeight="1">
      <c r="B51" s="193"/>
      <c r="C51" s="193"/>
      <c r="D51" s="193"/>
      <c r="E51" s="193"/>
      <c r="F51" s="193"/>
      <c r="G51" s="193"/>
      <c r="H51" s="193"/>
      <c r="I51" s="54"/>
      <c r="J51" s="54"/>
      <c r="K51" s="54"/>
    </row>
    <row r="52" spans="2:11" ht="15" customHeight="1">
      <c r="B52" s="193"/>
      <c r="C52" s="193"/>
      <c r="D52" s="193"/>
      <c r="E52" s="193"/>
      <c r="F52" s="193"/>
      <c r="G52" s="193"/>
      <c r="H52" s="193"/>
      <c r="I52" s="54"/>
      <c r="J52" s="54"/>
      <c r="K52" s="54"/>
    </row>
    <row r="53" spans="2:11" ht="15" customHeight="1">
      <c r="B53" s="193"/>
      <c r="C53" s="193"/>
      <c r="D53" s="193"/>
      <c r="E53" s="193"/>
      <c r="F53" s="193"/>
      <c r="G53" s="193"/>
      <c r="H53" s="193"/>
      <c r="I53" s="54"/>
      <c r="J53" s="54"/>
      <c r="K53" s="54"/>
    </row>
    <row r="54" spans="2:11" ht="15" customHeight="1">
      <c r="B54" s="193"/>
      <c r="C54" s="193"/>
      <c r="D54" s="193"/>
      <c r="E54" s="193"/>
      <c r="F54" s="193"/>
      <c r="G54" s="193"/>
      <c r="H54" s="193"/>
      <c r="I54" s="54"/>
      <c r="J54" s="54"/>
      <c r="K54" s="54"/>
    </row>
    <row r="55" spans="2:11" ht="15" customHeight="1">
      <c r="B55" s="193"/>
      <c r="C55" s="193"/>
      <c r="D55" s="193"/>
      <c r="E55" s="193"/>
      <c r="F55" s="193"/>
      <c r="G55" s="193"/>
      <c r="H55" s="193"/>
      <c r="I55" s="54"/>
      <c r="J55" s="54"/>
      <c r="K55" s="54"/>
    </row>
    <row r="56" spans="2:11" ht="15" customHeight="1">
      <c r="B56" s="193"/>
      <c r="C56" s="193"/>
      <c r="D56" s="193"/>
      <c r="E56" s="193"/>
      <c r="F56" s="193"/>
      <c r="G56" s="193"/>
      <c r="H56" s="193"/>
      <c r="I56" s="54"/>
      <c r="J56" s="54"/>
      <c r="K56" s="54"/>
    </row>
    <row r="57" spans="2:11" ht="15" customHeight="1">
      <c r="B57" s="193"/>
      <c r="C57" s="193"/>
      <c r="D57" s="193"/>
      <c r="E57" s="193"/>
      <c r="F57" s="193"/>
      <c r="G57" s="193"/>
      <c r="H57" s="193"/>
      <c r="I57" s="54"/>
      <c r="J57" s="54"/>
      <c r="K57" s="54"/>
    </row>
    <row r="58" spans="2:11" ht="15" customHeight="1">
      <c r="B58" s="193"/>
      <c r="C58" s="193"/>
      <c r="D58" s="193"/>
      <c r="E58" s="193"/>
      <c r="F58" s="193"/>
      <c r="G58" s="193"/>
      <c r="H58" s="193"/>
      <c r="I58" s="54"/>
      <c r="J58" s="54"/>
      <c r="K58" s="54"/>
    </row>
    <row r="59" spans="2:11" ht="15" customHeight="1">
      <c r="B59" s="193"/>
      <c r="C59" s="193"/>
      <c r="D59" s="193"/>
      <c r="E59" s="193"/>
      <c r="F59" s="193"/>
      <c r="G59" s="193"/>
      <c r="H59" s="193"/>
      <c r="I59" s="54"/>
      <c r="J59" s="54"/>
      <c r="K59" s="54"/>
    </row>
    <row r="60" spans="2:11" ht="15" customHeight="1">
      <c r="B60" s="193"/>
      <c r="C60" s="193"/>
      <c r="D60" s="193"/>
      <c r="E60" s="193"/>
      <c r="F60" s="193"/>
      <c r="G60" s="193"/>
      <c r="H60" s="193"/>
      <c r="I60" s="54"/>
      <c r="J60" s="54"/>
      <c r="K60" s="54"/>
    </row>
    <row r="61" spans="2:11" ht="15" customHeight="1">
      <c r="B61" s="193"/>
      <c r="C61" s="193"/>
      <c r="D61" s="193"/>
      <c r="E61" s="193"/>
      <c r="F61" s="193"/>
      <c r="G61" s="193"/>
      <c r="H61" s="193"/>
      <c r="I61" s="54"/>
      <c r="J61" s="54"/>
      <c r="K61" s="54"/>
    </row>
    <row r="62" spans="2:11" ht="197.25" customHeight="1">
      <c r="B62" s="193"/>
      <c r="C62" s="193"/>
      <c r="D62" s="193"/>
      <c r="E62" s="193"/>
      <c r="F62" s="193"/>
      <c r="G62" s="193"/>
      <c r="H62" s="193"/>
      <c r="I62" s="54"/>
      <c r="J62" s="54"/>
      <c r="K62" s="54"/>
    </row>
    <row r="63" spans="2:11" ht="18.75">
      <c r="B63" s="188"/>
      <c r="E63" s="188"/>
      <c r="I63" s="54"/>
      <c r="J63" s="54"/>
      <c r="K63" s="54"/>
    </row>
    <row r="64" spans="2:11" ht="18.75">
      <c r="B64" s="188"/>
      <c r="C64" s="188"/>
      <c r="D64" s="188"/>
      <c r="E64" s="188"/>
      <c r="F64" s="188"/>
      <c r="G64" s="188"/>
      <c r="H64" s="188"/>
      <c r="I64" s="54"/>
      <c r="J64" s="54"/>
      <c r="K64" s="54"/>
    </row>
    <row r="65" spans="2:11" ht="29.25" customHeight="1">
      <c r="B65" s="189"/>
      <c r="C65" s="188"/>
      <c r="D65" s="188"/>
      <c r="E65" s="189"/>
      <c r="F65" s="188"/>
      <c r="G65" s="188"/>
      <c r="H65" s="188"/>
      <c r="I65" s="54"/>
      <c r="J65" s="54"/>
      <c r="K65" s="54"/>
    </row>
    <row r="66" spans="2:11" ht="15.75" customHeight="1">
      <c r="B66" s="188"/>
      <c r="C66" s="188"/>
      <c r="D66" s="188"/>
      <c r="E66" s="188"/>
      <c r="F66" s="188"/>
      <c r="G66" s="188"/>
      <c r="H66" s="188"/>
      <c r="I66" s="54"/>
      <c r="J66" s="54"/>
      <c r="K66" s="54"/>
    </row>
    <row r="67" spans="2:11" ht="15.75" customHeight="1">
      <c r="B67" s="188"/>
      <c r="C67" s="188"/>
      <c r="D67" s="188"/>
      <c r="E67" s="188"/>
      <c r="F67" s="188"/>
      <c r="G67" s="188"/>
      <c r="H67" s="188"/>
      <c r="I67" s="54"/>
      <c r="J67" s="54"/>
      <c r="K67" s="54"/>
    </row>
    <row r="68" spans="2:11" ht="15.75" customHeight="1">
      <c r="B68" s="188"/>
      <c r="C68" s="188"/>
      <c r="D68" s="188"/>
      <c r="E68" s="188"/>
      <c r="F68" s="188"/>
      <c r="G68" s="188"/>
      <c r="H68" s="188"/>
      <c r="I68" s="54"/>
      <c r="J68" s="54"/>
      <c r="K68" s="54"/>
    </row>
    <row r="69" spans="2:11" ht="15.75" customHeight="1">
      <c r="B69" s="188"/>
      <c r="C69" s="188"/>
      <c r="D69" s="188"/>
      <c r="E69" s="188"/>
      <c r="F69" s="188"/>
      <c r="G69" s="188"/>
      <c r="H69" s="188"/>
      <c r="I69" s="54"/>
      <c r="J69" s="54"/>
      <c r="K69" s="54"/>
    </row>
    <row r="70" spans="2:11" ht="15.75" customHeight="1">
      <c r="B70" s="188"/>
      <c r="C70" s="188"/>
      <c r="D70" s="188"/>
      <c r="E70" s="188"/>
      <c r="F70" s="188"/>
      <c r="G70" s="188"/>
      <c r="H70" s="188"/>
      <c r="I70" s="54"/>
      <c r="J70" s="54"/>
      <c r="K70" s="54"/>
    </row>
    <row r="71" spans="2:11" ht="15.75" customHeight="1">
      <c r="B71" s="188"/>
      <c r="C71" s="188"/>
      <c r="D71" s="188"/>
      <c r="E71" s="188"/>
      <c r="F71" s="188"/>
      <c r="G71" s="188"/>
      <c r="H71" s="188"/>
      <c r="I71" s="54"/>
      <c r="J71" s="54"/>
      <c r="K71" s="54"/>
    </row>
    <row r="72" spans="2:11" ht="15.75" customHeight="1">
      <c r="B72" s="188"/>
      <c r="C72" s="188"/>
      <c r="D72" s="188"/>
      <c r="E72" s="188"/>
      <c r="F72" s="188"/>
      <c r="G72" s="188"/>
      <c r="H72" s="188"/>
      <c r="I72" s="54"/>
      <c r="J72" s="54"/>
      <c r="K72" s="54"/>
    </row>
    <row r="73" spans="2:11" ht="15.75" customHeight="1">
      <c r="B73" s="188"/>
      <c r="C73" s="188"/>
      <c r="D73" s="188"/>
      <c r="E73" s="188"/>
      <c r="F73" s="188"/>
      <c r="G73" s="188"/>
      <c r="H73" s="188"/>
      <c r="I73" s="54"/>
      <c r="J73" s="54"/>
      <c r="K73" s="54"/>
    </row>
    <row r="74" spans="2:11" ht="15.75" customHeight="1">
      <c r="B74" s="188"/>
      <c r="C74" s="188"/>
      <c r="D74" s="188"/>
      <c r="E74" s="188"/>
      <c r="F74" s="188"/>
      <c r="G74" s="188"/>
      <c r="H74" s="188"/>
      <c r="I74" s="54"/>
      <c r="J74" s="54"/>
      <c r="K74" s="54"/>
    </row>
    <row r="75" spans="2:11" ht="15.75" customHeight="1">
      <c r="B75" s="188"/>
      <c r="C75" s="188"/>
      <c r="D75" s="188"/>
      <c r="E75" s="188"/>
      <c r="F75" s="188"/>
      <c r="G75" s="188"/>
      <c r="H75" s="188"/>
      <c r="I75" s="54"/>
      <c r="J75" s="54"/>
      <c r="K75" s="54"/>
    </row>
    <row r="76" spans="2:11" ht="15.75" customHeight="1">
      <c r="B76" s="188"/>
      <c r="C76" s="188"/>
      <c r="D76" s="188"/>
      <c r="E76" s="188"/>
      <c r="F76" s="188"/>
      <c r="G76" s="188"/>
      <c r="H76" s="188"/>
      <c r="I76" s="54"/>
      <c r="J76" s="54"/>
      <c r="K76" s="54"/>
    </row>
    <row r="77" spans="2:11" ht="15.75" customHeight="1">
      <c r="B77" s="188"/>
      <c r="C77" s="188"/>
      <c r="D77" s="188"/>
      <c r="E77" s="188"/>
      <c r="F77" s="188"/>
      <c r="G77" s="188"/>
      <c r="H77" s="188"/>
      <c r="I77" s="54"/>
      <c r="J77" s="54"/>
      <c r="K77" s="54"/>
    </row>
    <row r="78" spans="2:11" ht="15.75" customHeight="1">
      <c r="B78" s="188"/>
      <c r="C78" s="188"/>
      <c r="D78" s="188"/>
      <c r="E78" s="188"/>
      <c r="F78" s="188"/>
      <c r="G78" s="188"/>
      <c r="H78" s="188"/>
      <c r="I78" s="54"/>
      <c r="J78" s="54"/>
      <c r="K78" s="54"/>
    </row>
    <row r="79" spans="2:11" ht="15.75" customHeight="1">
      <c r="B79" s="188"/>
      <c r="C79" s="188"/>
      <c r="D79" s="188"/>
      <c r="E79" s="188"/>
      <c r="F79" s="188"/>
      <c r="G79" s="188"/>
      <c r="H79" s="188"/>
      <c r="I79" s="54"/>
      <c r="J79" s="54"/>
      <c r="K79" s="54"/>
    </row>
    <row r="80" spans="2:11" ht="15.75" customHeight="1">
      <c r="B80" s="188"/>
      <c r="C80" s="188"/>
      <c r="D80" s="188"/>
      <c r="E80" s="188"/>
      <c r="F80" s="188"/>
      <c r="G80" s="188"/>
      <c r="H80" s="188"/>
      <c r="I80" s="54"/>
      <c r="J80" s="54"/>
      <c r="K80" s="54"/>
    </row>
    <row r="81" spans="2:11" ht="15.75" customHeight="1">
      <c r="B81" s="188"/>
      <c r="C81" s="188"/>
      <c r="D81" s="188"/>
      <c r="E81" s="188"/>
      <c r="F81" s="188"/>
      <c r="G81" s="188"/>
      <c r="H81" s="188"/>
      <c r="I81" s="54"/>
      <c r="J81" s="54"/>
      <c r="K81" s="54"/>
    </row>
    <row r="82" spans="2:11" ht="15.75" customHeight="1">
      <c r="B82" s="188"/>
      <c r="C82" s="188"/>
      <c r="D82" s="188"/>
      <c r="E82" s="188"/>
      <c r="F82" s="188"/>
      <c r="G82" s="188"/>
      <c r="H82" s="188"/>
    </row>
    <row r="83" spans="2:11" ht="15.75" customHeight="1">
      <c r="B83" s="188"/>
      <c r="C83" s="188"/>
      <c r="D83" s="188"/>
      <c r="E83" s="188"/>
      <c r="F83" s="188"/>
      <c r="G83" s="188"/>
      <c r="H83" s="188"/>
    </row>
    <row r="84" spans="2:11" ht="15.75" customHeight="1">
      <c r="B84" s="188"/>
      <c r="C84" s="188"/>
      <c r="D84" s="188"/>
      <c r="E84" s="188"/>
      <c r="F84" s="188"/>
      <c r="G84" s="188"/>
      <c r="H84" s="188"/>
    </row>
    <row r="85" spans="2:11" ht="15.75" customHeight="1">
      <c r="B85" s="188"/>
      <c r="C85" s="188"/>
      <c r="D85" s="188"/>
      <c r="E85" s="188"/>
      <c r="F85" s="188"/>
      <c r="G85" s="188"/>
      <c r="H85" s="188"/>
    </row>
    <row r="86" spans="2:11" ht="15.75" customHeight="1">
      <c r="B86" s="188"/>
      <c r="C86" s="188"/>
      <c r="D86" s="188"/>
      <c r="E86" s="188"/>
      <c r="F86" s="188"/>
      <c r="G86" s="188"/>
      <c r="H86" s="188"/>
    </row>
    <row r="87" spans="2:11" ht="15.75" customHeight="1">
      <c r="B87" s="188"/>
      <c r="C87" s="188"/>
      <c r="D87" s="188"/>
      <c r="E87" s="188"/>
      <c r="F87" s="188"/>
      <c r="G87" s="188"/>
      <c r="H87" s="188"/>
    </row>
    <row r="88" spans="2:11" ht="15.75" customHeight="1">
      <c r="B88" s="188"/>
      <c r="C88" s="188"/>
      <c r="D88" s="188"/>
      <c r="E88" s="188"/>
      <c r="F88" s="188"/>
      <c r="G88" s="188"/>
      <c r="H88" s="188"/>
    </row>
    <row r="89" spans="2:11" ht="15.75" customHeight="1">
      <c r="B89" s="188"/>
      <c r="C89" s="188"/>
      <c r="D89" s="188"/>
      <c r="E89" s="188"/>
      <c r="F89" s="188"/>
      <c r="G89" s="188"/>
      <c r="H89" s="188"/>
    </row>
    <row r="90" spans="2:11" ht="15.75" customHeight="1">
      <c r="B90" s="188"/>
      <c r="C90" s="188"/>
      <c r="D90" s="188"/>
      <c r="E90" s="188"/>
      <c r="F90" s="188"/>
      <c r="G90" s="188"/>
      <c r="H90" s="188"/>
    </row>
    <row r="91" spans="2:11" ht="15.75" customHeight="1">
      <c r="B91" s="188"/>
      <c r="C91" s="188"/>
      <c r="D91" s="188"/>
      <c r="E91" s="188"/>
      <c r="F91" s="188"/>
      <c r="G91" s="188"/>
      <c r="H91" s="188"/>
    </row>
  </sheetData>
  <mergeCells count="23">
    <mergeCell ref="G7:G8"/>
    <mergeCell ref="B21:H21"/>
    <mergeCell ref="D22:E22"/>
    <mergeCell ref="D23:E23"/>
    <mergeCell ref="B25:C25"/>
    <mergeCell ref="D25:E25"/>
    <mergeCell ref="F25:G27"/>
    <mergeCell ref="B35:H62"/>
    <mergeCell ref="B5:H5"/>
    <mergeCell ref="H25:H27"/>
    <mergeCell ref="B27:C27"/>
    <mergeCell ref="D27:E27"/>
    <mergeCell ref="D29:E29"/>
    <mergeCell ref="F29:G29"/>
    <mergeCell ref="C31:E31"/>
    <mergeCell ref="F31:G31"/>
    <mergeCell ref="B9:H9"/>
    <mergeCell ref="C10:G10"/>
    <mergeCell ref="C12:F12"/>
    <mergeCell ref="C14:F14"/>
    <mergeCell ref="E16:F16"/>
    <mergeCell ref="D18:E18"/>
    <mergeCell ref="F32:G32"/>
  </mergeCells>
  <phoneticPr fontId="28" type="noConversion"/>
  <hyperlinks>
    <hyperlink ref="C12" r:id="rId1" display="caiorhcp@ig.com.br"/>
  </hyperlinks>
  <pageMargins left="0.75" right="0.75" top="1" bottom="1" header="0.5" footer="0.5"/>
  <pageSetup paperSize="9" scale="34" orientation="portrait" horizontalDpi="4294967292" verticalDpi="4294967292"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'Tabelas e Parametros'!$B$5:$B$32</xm:f>
          </x14:formula1>
          <xm:sqref>H14</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2"/>
  <dimension ref="A3:BE70"/>
  <sheetViews>
    <sheetView showGridLines="0" tabSelected="1" zoomScale="60" zoomScaleNormal="60" zoomScalePageLayoutView="90" workbookViewId="0">
      <selection activeCell="L40" sqref="L40"/>
    </sheetView>
  </sheetViews>
  <sheetFormatPr defaultColWidth="10.875" defaultRowHeight="15.75"/>
  <cols>
    <col min="1" max="1" width="3.875" style="54" customWidth="1"/>
    <col min="2" max="2" width="51.5" style="54" customWidth="1"/>
    <col min="3" max="3" width="20.375" style="54" bestFit="1" customWidth="1"/>
    <col min="4" max="4" width="24" style="54" bestFit="1" customWidth="1"/>
    <col min="5" max="5" width="20.125" style="54" customWidth="1"/>
    <col min="6" max="6" width="14.875" style="54" customWidth="1"/>
    <col min="7" max="7" width="47.5" style="54" customWidth="1"/>
    <col min="8" max="8" width="28.125" style="54" bestFit="1" customWidth="1"/>
    <col min="9" max="9" width="11.625" style="54" bestFit="1" customWidth="1"/>
    <col min="10" max="10" width="19" style="54" customWidth="1"/>
    <col min="11" max="11" width="26" style="54" customWidth="1"/>
    <col min="12" max="12" width="17.5" style="54" bestFit="1" customWidth="1"/>
    <col min="13" max="13" width="14.875" style="54" customWidth="1"/>
    <col min="14" max="14" width="13.125" style="54" bestFit="1" customWidth="1"/>
    <col min="15" max="54" width="10.875" style="54"/>
    <col min="55" max="55" width="13.125" style="54" bestFit="1" customWidth="1"/>
    <col min="56" max="56" width="11.625" style="54" bestFit="1" customWidth="1"/>
    <col min="57" max="16384" width="10.875" style="54"/>
  </cols>
  <sheetData>
    <row r="3" spans="2:57" ht="29.1" customHeight="1">
      <c r="B3" s="252" t="s">
        <v>102</v>
      </c>
      <c r="C3" s="253"/>
      <c r="D3" s="253"/>
      <c r="E3" s="253"/>
      <c r="F3" s="253"/>
      <c r="G3" s="253"/>
      <c r="H3" s="254"/>
      <c r="BA3" s="167"/>
      <c r="BB3" s="167"/>
      <c r="BC3" s="167"/>
      <c r="BD3" s="167"/>
      <c r="BE3" s="167"/>
    </row>
    <row r="4" spans="2:57" ht="23.25">
      <c r="B4" s="55" t="s">
        <v>94</v>
      </c>
      <c r="C4" s="264">
        <f>B43</f>
        <v>0</v>
      </c>
      <c r="D4" s="265"/>
      <c r="E4" s="265"/>
      <c r="F4" s="265"/>
      <c r="G4" s="266"/>
      <c r="H4" s="84" t="str">
        <f>"SC2015"&amp;C40</f>
        <v>SC20151</v>
      </c>
      <c r="BA4" s="167"/>
      <c r="BB4" s="167"/>
      <c r="BC4" s="167"/>
      <c r="BD4" s="167"/>
      <c r="BE4" s="167"/>
    </row>
    <row r="5" spans="2:57" ht="5.0999999999999996" customHeight="1">
      <c r="B5" s="56"/>
      <c r="C5" s="57"/>
      <c r="D5" s="57"/>
      <c r="E5" s="57"/>
      <c r="F5" s="57"/>
      <c r="G5" s="57"/>
      <c r="H5" s="57"/>
      <c r="BA5" s="167"/>
      <c r="BB5" s="167"/>
      <c r="BC5" s="167"/>
      <c r="BD5" s="167"/>
      <c r="BE5" s="167"/>
    </row>
    <row r="6" spans="2:57" ht="23.25">
      <c r="B6" s="55" t="s">
        <v>95</v>
      </c>
      <c r="C6" s="261">
        <f>C43</f>
        <v>0</v>
      </c>
      <c r="D6" s="262"/>
      <c r="E6" s="262"/>
      <c r="F6" s="263"/>
      <c r="G6" s="55" t="s">
        <v>96</v>
      </c>
      <c r="H6" s="50" t="str">
        <f>D43</f>
        <v>11 123456789</v>
      </c>
      <c r="BA6" s="167"/>
      <c r="BB6" s="167"/>
      <c r="BC6" s="168">
        <f>'Sistema de Geracao de Orcamento'!D15</f>
        <v>17875</v>
      </c>
      <c r="BD6" s="167"/>
      <c r="BE6" s="167"/>
    </row>
    <row r="7" spans="2:57" ht="6" customHeight="1">
      <c r="B7" s="56"/>
      <c r="C7" s="57"/>
      <c r="D7" s="57"/>
      <c r="E7" s="57"/>
      <c r="F7" s="57"/>
      <c r="G7" s="58"/>
      <c r="H7" s="57"/>
      <c r="BA7" s="167"/>
      <c r="BB7" s="167"/>
      <c r="BC7" s="167"/>
      <c r="BD7" s="167"/>
      <c r="BE7" s="167"/>
    </row>
    <row r="8" spans="2:57" ht="23.25">
      <c r="B8" s="55" t="s">
        <v>97</v>
      </c>
      <c r="C8" s="264" t="str">
        <f>E43</f>
        <v>São Paulo</v>
      </c>
      <c r="D8" s="265"/>
      <c r="E8" s="265"/>
      <c r="F8" s="266"/>
      <c r="G8" s="55" t="s">
        <v>98</v>
      </c>
      <c r="H8" s="50" t="str">
        <f>F43</f>
        <v>SP</v>
      </c>
      <c r="BA8" s="167"/>
      <c r="BB8" s="167"/>
      <c r="BC8" s="169">
        <f>('Sistema de Geracao de Orcamento'!D15-(C17*'Tabelas e Parametros'!H59)-('Sistema de Geracao de Orcamento'!D21-'Sistema de Geracao de Orcamento'!D18))/('Sistema de Geracao de Orcamento'!D15)</f>
        <v>-0.44927536231884041</v>
      </c>
      <c r="BD8" s="168">
        <f>('Sistema de Geracao de Orcamento'!D15-(C17*'Tabelas e Parametros'!H59)-('Sistema de Geracao de Orcamento'!D21-'Sistema de Geracao de Orcamento'!D18))</f>
        <v>-8030.7971014492723</v>
      </c>
      <c r="BE8" s="167"/>
    </row>
    <row r="9" spans="2:57" ht="9" customHeight="1">
      <c r="B9" s="56"/>
      <c r="C9" s="57"/>
      <c r="D9" s="57"/>
      <c r="E9" s="57"/>
      <c r="F9" s="57"/>
      <c r="G9" s="58"/>
      <c r="H9" s="57"/>
      <c r="BA9" s="167"/>
      <c r="BB9" s="167"/>
      <c r="BC9" s="167"/>
      <c r="BD9" s="167"/>
      <c r="BE9" s="167"/>
    </row>
    <row r="10" spans="2:57" ht="23.25">
      <c r="B10" s="55" t="s">
        <v>99</v>
      </c>
      <c r="C10" s="124" t="str">
        <f>G43</f>
        <v>Comercial</v>
      </c>
      <c r="D10" s="55" t="s">
        <v>100</v>
      </c>
      <c r="E10" s="267" t="str">
        <f>H43</f>
        <v>Conectado à rede</v>
      </c>
      <c r="F10" s="267"/>
      <c r="G10" s="55" t="s">
        <v>101</v>
      </c>
      <c r="H10" s="124" t="s">
        <v>130</v>
      </c>
      <c r="BA10" s="167"/>
      <c r="BB10" s="167"/>
      <c r="BC10" s="167"/>
      <c r="BD10" s="167"/>
      <c r="BE10" s="167"/>
    </row>
    <row r="11" spans="2:57" ht="3.95" customHeight="1">
      <c r="B11" s="56"/>
      <c r="C11" s="57"/>
      <c r="D11" s="57"/>
      <c r="E11" s="57"/>
      <c r="F11" s="57"/>
      <c r="G11" s="58"/>
      <c r="H11" s="57"/>
      <c r="BA11" s="167"/>
      <c r="BB11" s="167"/>
      <c r="BC11" s="167"/>
      <c r="BD11" s="167"/>
      <c r="BE11" s="167"/>
    </row>
    <row r="12" spans="2:57" ht="23.25">
      <c r="B12" s="55" t="s">
        <v>140</v>
      </c>
      <c r="C12" s="51">
        <f>J43</f>
        <v>450</v>
      </c>
      <c r="D12" s="270" t="s">
        <v>138</v>
      </c>
      <c r="E12" s="271"/>
      <c r="F12" s="52">
        <f>K43</f>
        <v>450</v>
      </c>
      <c r="G12" s="59" t="s">
        <v>139</v>
      </c>
      <c r="H12" s="53">
        <f>IF(AND(C12&lt;&gt;0,F12&lt;&gt;0),C12/F12,'Sistema de Geracao de Orcamento'!D14)</f>
        <v>1</v>
      </c>
      <c r="I12" s="235" t="s">
        <v>147</v>
      </c>
      <c r="J12" s="236"/>
      <c r="K12" s="236"/>
      <c r="BA12" s="167"/>
      <c r="BB12" s="167"/>
      <c r="BC12" s="167"/>
      <c r="BD12" s="167"/>
      <c r="BE12" s="167"/>
    </row>
    <row r="13" spans="2:57">
      <c r="C13" s="65"/>
      <c r="F13" s="60"/>
      <c r="BA13" s="167"/>
      <c r="BB13" s="167"/>
      <c r="BC13" s="167"/>
      <c r="BD13" s="167"/>
      <c r="BE13" s="167"/>
    </row>
    <row r="16" spans="2:57" ht="23.25">
      <c r="B16" s="255" t="s">
        <v>105</v>
      </c>
      <c r="C16" s="256"/>
      <c r="D16" s="256"/>
      <c r="E16" s="256"/>
      <c r="F16" s="256"/>
      <c r="G16" s="256"/>
      <c r="H16" s="257"/>
    </row>
    <row r="17" spans="2:14" ht="23.1" customHeight="1">
      <c r="B17" s="61" t="s">
        <v>104</v>
      </c>
      <c r="C17" s="83">
        <f>'Sistema de Geracao de Orcamento'!D13</f>
        <v>2.75</v>
      </c>
      <c r="D17" s="258" t="s">
        <v>120</v>
      </c>
      <c r="E17" s="258"/>
      <c r="F17" s="62">
        <f>'Sistema de Geracao de Orcamento'!D23/12</f>
        <v>421.85088000000013</v>
      </c>
      <c r="G17" s="61" t="s">
        <v>114</v>
      </c>
      <c r="H17" s="63">
        <f>'Sistema de Geracao de Orcamento'!D23</f>
        <v>5062.2105600000014</v>
      </c>
    </row>
    <row r="18" spans="2:14" ht="20.100000000000001" customHeight="1">
      <c r="B18" s="61" t="s">
        <v>106</v>
      </c>
      <c r="C18" s="162">
        <f>'Sistema de Geracao de Orcamento'!D11</f>
        <v>17.600000000000001</v>
      </c>
      <c r="D18" s="258" t="s">
        <v>107</v>
      </c>
      <c r="E18" s="258"/>
      <c r="F18" s="64">
        <f>'Sistema de Geracao de Orcamento'!D12</f>
        <v>11.562499999999998</v>
      </c>
      <c r="G18" s="61" t="s">
        <v>119</v>
      </c>
      <c r="H18" s="63">
        <f>'Sistema de Geracao de Orcamento'!D10</f>
        <v>11</v>
      </c>
      <c r="I18" s="65"/>
      <c r="K18" s="65"/>
    </row>
    <row r="19" spans="2:14" ht="5.0999999999999996" customHeight="1" thickBot="1">
      <c r="B19" s="66"/>
      <c r="C19" s="66"/>
      <c r="D19" s="66"/>
      <c r="E19" s="66"/>
      <c r="F19" s="117"/>
      <c r="G19" s="67"/>
      <c r="H19" s="66"/>
    </row>
    <row r="20" spans="2:14" ht="20.100000000000001" customHeight="1">
      <c r="B20" s="268" t="s">
        <v>110</v>
      </c>
      <c r="C20" s="269"/>
      <c r="D20" s="233">
        <f>'Sistema de Geracao de Orcamento'!D24</f>
        <v>5062.2105600000014</v>
      </c>
      <c r="E20" s="234"/>
      <c r="F20" s="246" t="s">
        <v>300</v>
      </c>
      <c r="G20" s="247"/>
      <c r="H20" s="243">
        <f>'Sistema de Geracao de Orcamento'!D21-K38</f>
        <v>25905.797101449272</v>
      </c>
    </row>
    <row r="21" spans="2:14" ht="5.0999999999999996" customHeight="1" thickBot="1">
      <c r="B21" s="68"/>
      <c r="C21" s="68"/>
      <c r="D21" s="66"/>
      <c r="E21" s="66"/>
      <c r="F21" s="248"/>
      <c r="G21" s="249"/>
      <c r="H21" s="244"/>
    </row>
    <row r="22" spans="2:14" ht="21" customHeight="1" thickBot="1">
      <c r="B22" s="268" t="s">
        <v>113</v>
      </c>
      <c r="C22" s="269"/>
      <c r="D22" s="272">
        <f>'Sistema de Geracao de Orcamento'!D27</f>
        <v>0.93744640000000035</v>
      </c>
      <c r="E22" s="273"/>
      <c r="F22" s="250"/>
      <c r="G22" s="251"/>
      <c r="H22" s="245"/>
      <c r="J22" s="259" t="s">
        <v>136</v>
      </c>
      <c r="K22" s="260"/>
    </row>
    <row r="23" spans="2:14" ht="5.0999999999999996" customHeight="1" thickBot="1">
      <c r="B23" s="67"/>
      <c r="C23" s="67"/>
      <c r="D23" s="66"/>
      <c r="E23" s="66"/>
      <c r="F23" s="118"/>
      <c r="G23" s="119"/>
      <c r="H23" s="120"/>
    </row>
    <row r="24" spans="2:14" ht="24" thickBot="1">
      <c r="B24" s="61" t="s">
        <v>131</v>
      </c>
      <c r="C24" s="61"/>
      <c r="D24" s="233">
        <f>'Sistema de Geracao de Orcamento'!D26</f>
        <v>0.2046994829187766</v>
      </c>
      <c r="E24" s="234"/>
      <c r="F24" s="231" t="s">
        <v>292</v>
      </c>
      <c r="G24" s="232"/>
      <c r="H24" s="121">
        <f>K34</f>
        <v>4</v>
      </c>
      <c r="J24" s="69" t="s">
        <v>137</v>
      </c>
      <c r="K24" s="178">
        <v>250</v>
      </c>
    </row>
    <row r="25" spans="2:14" ht="6.95" customHeight="1" thickBot="1">
      <c r="B25" s="66"/>
      <c r="C25" s="66"/>
      <c r="D25" s="66"/>
      <c r="E25" s="66"/>
      <c r="F25" s="66"/>
      <c r="G25" s="66"/>
      <c r="H25" s="66"/>
    </row>
    <row r="26" spans="2:14" ht="21">
      <c r="B26" s="70" t="s">
        <v>133</v>
      </c>
      <c r="C26" s="206" t="str">
        <f>IF(H26="SIM","60 A 90 DIAS A PARTIR DA ENTRADA DO PEDIDO","NÃO SE APLICA")</f>
        <v>NÃO SE APLICA</v>
      </c>
      <c r="D26" s="207"/>
      <c r="E26" s="208"/>
      <c r="F26" s="241" t="s">
        <v>121</v>
      </c>
      <c r="G26" s="242"/>
      <c r="H26" s="71" t="str">
        <f>'Sistema de Geracao de Orcamento'!E16</f>
        <v>NÃO</v>
      </c>
      <c r="J26" s="72" t="s">
        <v>134</v>
      </c>
      <c r="K26" s="175" t="s">
        <v>350</v>
      </c>
    </row>
    <row r="27" spans="2:14" ht="21.75" thickBot="1">
      <c r="B27" s="70" t="s">
        <v>132</v>
      </c>
      <c r="C27" s="73" t="str">
        <f>IF(H26="SIM","30% - PEDIDO","50% - PEDIDO")</f>
        <v>50% - PEDIDO</v>
      </c>
      <c r="D27" s="73" t="str">
        <f>IF(H26="SIM","20% - ENTREGA","50% - NA ENTREGA")</f>
        <v>50% - NA ENTREGA</v>
      </c>
      <c r="E27" s="73" t="str">
        <f>IF(H26="SIM","50% - INSTALAÇÃO","------")</f>
        <v>------</v>
      </c>
      <c r="F27" s="240" t="s">
        <v>122</v>
      </c>
      <c r="G27" s="240"/>
      <c r="H27" s="71" t="str">
        <f>'Sistema de Geracao de Orcamento'!E17</f>
        <v>NÃO</v>
      </c>
      <c r="J27" s="74" t="s">
        <v>135</v>
      </c>
      <c r="K27" s="176" t="s">
        <v>350</v>
      </c>
    </row>
    <row r="28" spans="2:14" ht="16.5" thickBot="1">
      <c r="J28" s="80" t="s">
        <v>282</v>
      </c>
      <c r="K28" s="177">
        <v>20</v>
      </c>
    </row>
    <row r="29" spans="2:14" ht="16.5" thickBot="1">
      <c r="C29" s="65">
        <f>30%*H20</f>
        <v>7771.7391304347811</v>
      </c>
      <c r="D29" s="65">
        <f>20%*H20</f>
        <v>5181.159420289855</v>
      </c>
      <c r="E29" s="65">
        <f>50%*H20</f>
        <v>12952.898550724636</v>
      </c>
      <c r="J29" s="69" t="s">
        <v>149</v>
      </c>
      <c r="K29" s="191"/>
    </row>
    <row r="31" spans="2:14" ht="47.25" thickBot="1">
      <c r="B31" s="237"/>
      <c r="C31" s="237"/>
      <c r="D31" s="237"/>
      <c r="E31" s="237"/>
      <c r="F31" s="237"/>
      <c r="G31" s="237"/>
      <c r="H31" s="237"/>
      <c r="K31" s="65"/>
    </row>
    <row r="32" spans="2:14" ht="16.5" thickBot="1">
      <c r="J32" s="238" t="s">
        <v>151</v>
      </c>
      <c r="K32" s="239"/>
      <c r="L32" s="85"/>
      <c r="N32" s="77"/>
    </row>
    <row r="33" spans="1:14" ht="16.5" thickBot="1">
      <c r="H33" s="65"/>
      <c r="J33" s="69" t="s">
        <v>150</v>
      </c>
      <c r="K33" s="75">
        <f>(H20+K38)/C17/1000</f>
        <v>9.420289855072463</v>
      </c>
      <c r="L33" s="166"/>
      <c r="N33" s="65"/>
    </row>
    <row r="34" spans="1:14" ht="16.5" thickBot="1">
      <c r="H34" s="76"/>
      <c r="J34" s="69" t="s">
        <v>152</v>
      </c>
      <c r="K34" s="75">
        <f>VLOOKUP(0,'Tabelas e Parametros'!B71:C99,2,TRUE)</f>
        <v>4</v>
      </c>
      <c r="L34" s="60"/>
      <c r="N34" s="77"/>
    </row>
    <row r="35" spans="1:14" ht="47.25" thickBot="1">
      <c r="B35" s="237" t="s">
        <v>148</v>
      </c>
      <c r="C35" s="237"/>
      <c r="D35" s="237"/>
      <c r="E35" s="237"/>
      <c r="F35" s="237"/>
      <c r="G35" s="237"/>
      <c r="H35" s="237"/>
      <c r="J35" s="77"/>
      <c r="K35" s="77"/>
      <c r="L35" s="132"/>
      <c r="N35" s="77"/>
    </row>
    <row r="36" spans="1:14" ht="16.5" thickBot="1">
      <c r="J36" s="69" t="str">
        <f>'Tabelas e Parametros'!G59</f>
        <v>Custo Padrão por kW</v>
      </c>
      <c r="K36" s="75">
        <f>'Tabelas e Parametros'!H59</f>
        <v>6500</v>
      </c>
      <c r="L36" s="54" t="str">
        <f>'Tabelas e Parametros'!I59</f>
        <v>sem Instalação e Frete</v>
      </c>
      <c r="N36" s="166"/>
    </row>
    <row r="37" spans="1:14" ht="16.5" thickBot="1">
      <c r="J37" s="69" t="s">
        <v>302</v>
      </c>
      <c r="K37" s="179"/>
    </row>
    <row r="38" spans="1:14" ht="16.5" thickBot="1">
      <c r="A38" s="165"/>
      <c r="D38" s="76"/>
      <c r="E38" s="76"/>
      <c r="F38" s="60"/>
      <c r="G38" s="76"/>
      <c r="H38" s="60"/>
      <c r="J38" s="69" t="s">
        <v>330</v>
      </c>
      <c r="K38" s="164"/>
    </row>
    <row r="39" spans="1:14" ht="16.5" thickBot="1">
      <c r="E39" s="132"/>
      <c r="F39" s="60"/>
      <c r="G39" s="76"/>
      <c r="H39" s="86"/>
      <c r="J39" s="69" t="s">
        <v>329</v>
      </c>
      <c r="K39" s="161">
        <f>(D20/12)/H20</f>
        <v>1.6284033969230775E-2</v>
      </c>
      <c r="L39" s="163"/>
    </row>
    <row r="40" spans="1:14" ht="21.75" thickBot="1">
      <c r="B40" s="122" t="s">
        <v>301</v>
      </c>
      <c r="C40" s="180">
        <v>1</v>
      </c>
      <c r="F40" s="60"/>
      <c r="G40" s="76"/>
      <c r="H40" s="65"/>
      <c r="J40" s="69" t="s">
        <v>347</v>
      </c>
      <c r="K40" s="174">
        <v>0.25</v>
      </c>
      <c r="L40" s="75">
        <f>'Sistema de Geracao de Orcamento'!D21-'Sistema de Geracao de Orcamento'!D20*'Sistema de Geracao de Orcamento'!D21-'Sistema de Geracao de Orcamento'!D18</f>
        <v>5958.3333333333285</v>
      </c>
      <c r="M40" s="54" t="b">
        <f>K40=L40/('Sistema de Geracao de Orcamento'!D21-'Sistema de Geracao de Orcamento'!D20*'Sistema de Geracao de Orcamento'!D21)</f>
        <v>1</v>
      </c>
    </row>
    <row r="42" spans="1:14">
      <c r="B42" s="87" t="s">
        <v>283</v>
      </c>
      <c r="C42" s="87" t="s">
        <v>284</v>
      </c>
      <c r="D42" s="87" t="s">
        <v>285</v>
      </c>
      <c r="E42" s="87" t="s">
        <v>286</v>
      </c>
      <c r="F42" s="4" t="s">
        <v>3</v>
      </c>
      <c r="G42" s="4" t="s">
        <v>287</v>
      </c>
      <c r="H42" s="4" t="s">
        <v>288</v>
      </c>
      <c r="I42" s="4" t="s">
        <v>289</v>
      </c>
      <c r="J42" s="88" t="s">
        <v>290</v>
      </c>
      <c r="K42" s="89" t="s">
        <v>291</v>
      </c>
    </row>
    <row r="43" spans="1:14">
      <c r="B43" s="184"/>
      <c r="C43" s="190"/>
      <c r="D43" s="184" t="s">
        <v>343</v>
      </c>
      <c r="E43" s="184" t="s">
        <v>339</v>
      </c>
      <c r="F43" s="184" t="s">
        <v>340</v>
      </c>
      <c r="G43" s="184" t="s">
        <v>341</v>
      </c>
      <c r="H43" s="185" t="s">
        <v>338</v>
      </c>
      <c r="I43" s="185" t="s">
        <v>349</v>
      </c>
      <c r="J43" s="186">
        <v>450</v>
      </c>
      <c r="K43" s="187">
        <v>450</v>
      </c>
    </row>
    <row r="46" spans="1:14">
      <c r="B46" s="128" t="s">
        <v>320</v>
      </c>
      <c r="G46" s="54" t="s">
        <v>336</v>
      </c>
    </row>
    <row r="47" spans="1:14">
      <c r="B47" s="181" t="s">
        <v>303</v>
      </c>
      <c r="G47" s="54" t="s">
        <v>337</v>
      </c>
    </row>
    <row r="48" spans="1:14">
      <c r="B48" s="182">
        <v>6658</v>
      </c>
      <c r="G48" s="54" t="s">
        <v>335</v>
      </c>
    </row>
    <row r="49" spans="2:2">
      <c r="B49" s="183" t="s">
        <v>304</v>
      </c>
    </row>
    <row r="50" spans="2:2">
      <c r="B50" s="182">
        <f>$B$48</f>
        <v>6658</v>
      </c>
    </row>
    <row r="51" spans="2:2">
      <c r="B51" s="183" t="s">
        <v>305</v>
      </c>
    </row>
    <row r="52" spans="2:2">
      <c r="B52" s="182">
        <f>$B$48</f>
        <v>6658</v>
      </c>
    </row>
    <row r="53" spans="2:2">
      <c r="B53" s="183" t="s">
        <v>306</v>
      </c>
    </row>
    <row r="54" spans="2:2">
      <c r="B54" s="182">
        <f>$B$48</f>
        <v>6658</v>
      </c>
    </row>
    <row r="55" spans="2:2">
      <c r="B55" s="183" t="s">
        <v>307</v>
      </c>
    </row>
    <row r="56" spans="2:2">
      <c r="B56" s="182">
        <f>$B$48</f>
        <v>6658</v>
      </c>
    </row>
    <row r="57" spans="2:2">
      <c r="B57" s="183" t="s">
        <v>308</v>
      </c>
    </row>
    <row r="58" spans="2:2">
      <c r="B58" s="182">
        <f>$B$48</f>
        <v>6658</v>
      </c>
    </row>
    <row r="59" spans="2:2">
      <c r="B59" s="183" t="s">
        <v>309</v>
      </c>
    </row>
    <row r="60" spans="2:2">
      <c r="B60" s="182">
        <f>$B$48</f>
        <v>6658</v>
      </c>
    </row>
    <row r="61" spans="2:2">
      <c r="B61" s="183" t="s">
        <v>310</v>
      </c>
    </row>
    <row r="62" spans="2:2">
      <c r="B62" s="182">
        <f>$B$48</f>
        <v>6658</v>
      </c>
    </row>
    <row r="63" spans="2:2">
      <c r="B63" s="183" t="s">
        <v>311</v>
      </c>
    </row>
    <row r="64" spans="2:2">
      <c r="B64" s="182">
        <f>$B$48</f>
        <v>6658</v>
      </c>
    </row>
    <row r="65" spans="2:2">
      <c r="B65" s="183" t="s">
        <v>312</v>
      </c>
    </row>
    <row r="66" spans="2:2">
      <c r="B66" s="182">
        <f>$B$48</f>
        <v>6658</v>
      </c>
    </row>
    <row r="67" spans="2:2">
      <c r="B67" s="183" t="s">
        <v>313</v>
      </c>
    </row>
    <row r="68" spans="2:2">
      <c r="B68" s="182">
        <f>$B$48</f>
        <v>6658</v>
      </c>
    </row>
    <row r="69" spans="2:2">
      <c r="B69" s="183" t="s">
        <v>314</v>
      </c>
    </row>
    <row r="70" spans="2:2">
      <c r="B70" s="182">
        <f>$B$48</f>
        <v>6658</v>
      </c>
    </row>
  </sheetData>
  <mergeCells count="25">
    <mergeCell ref="B3:H3"/>
    <mergeCell ref="B16:H16"/>
    <mergeCell ref="D17:E17"/>
    <mergeCell ref="D18:E18"/>
    <mergeCell ref="J22:K22"/>
    <mergeCell ref="C6:F6"/>
    <mergeCell ref="C8:F8"/>
    <mergeCell ref="E10:F10"/>
    <mergeCell ref="B20:C20"/>
    <mergeCell ref="D20:E20"/>
    <mergeCell ref="D12:E12"/>
    <mergeCell ref="C4:G4"/>
    <mergeCell ref="D22:E22"/>
    <mergeCell ref="B22:C22"/>
    <mergeCell ref="F24:G24"/>
    <mergeCell ref="D24:E24"/>
    <mergeCell ref="I12:K12"/>
    <mergeCell ref="B35:H35"/>
    <mergeCell ref="J32:K32"/>
    <mergeCell ref="B31:H31"/>
    <mergeCell ref="C26:E26"/>
    <mergeCell ref="F27:G27"/>
    <mergeCell ref="F26:G26"/>
    <mergeCell ref="H20:H22"/>
    <mergeCell ref="F20:G22"/>
  </mergeCells>
  <conditionalFormatting sqref="I12">
    <cfRule type="expression" dxfId="3" priority="3">
      <formula>OR($H$12&lt;0.35,$H$12&gt;0.65)</formula>
    </cfRule>
  </conditionalFormatting>
  <conditionalFormatting sqref="B35:H35">
    <cfRule type="expression" dxfId="2" priority="2">
      <formula>$D$22&gt;80%</formula>
    </cfRule>
  </conditionalFormatting>
  <conditionalFormatting sqref="B31:H31">
    <cfRule type="expression" dxfId="1" priority="5">
      <formula>OR($F$12&gt;350,$BC$8&gt;20%,$BC$8&lt;15%)</formula>
    </cfRule>
  </conditionalFormatting>
  <conditionalFormatting sqref="K28">
    <cfRule type="expression" dxfId="0" priority="1">
      <formula>AND($K$27="SIM",$K$28=0)</formula>
    </cfRule>
  </conditionalFormatting>
  <dataValidations count="4">
    <dataValidation type="list" allowBlank="1" showInputMessage="1" showErrorMessage="1" sqref="C10">
      <formula1>"Residencial, Comercial, Industrial"</formula1>
    </dataValidation>
    <dataValidation type="list" allowBlank="1" showInputMessage="1" showErrorMessage="1" sqref="E10">
      <formula1>"Conectado à Rede, Isolado"</formula1>
    </dataValidation>
    <dataValidation type="list" allowBlank="1" showInputMessage="1" showErrorMessage="1" sqref="H10">
      <formula1>"Monofásico, Bifásico, Trifásico"</formula1>
    </dataValidation>
    <dataValidation type="list" allowBlank="1" showInputMessage="1" showErrorMessage="1" sqref="K26:K27">
      <formula1>"SIM, NÃO"</formula1>
    </dataValidation>
  </dataValidations>
  <hyperlinks>
    <hyperlink ref="C6" r:id="rId1" display="caiorhcp@ig.com.br"/>
  </hyperlinks>
  <pageMargins left="0.75" right="0.75" top="1" bottom="1" header="0.5" footer="0.5"/>
  <pageSetup paperSize="9" orientation="portrait" horizontalDpi="4294967292" verticalDpi="4294967292"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'Tabelas e Parametros'!$B$5:$B$32</xm:f>
          </x14:formula1>
          <xm:sqref>H8</xm:sqref>
        </x14:dataValidation>
        <x14:dataValidation type="list" allowBlank="1" showInputMessage="1" showErrorMessage="1">
          <x14:formula1>
            <xm:f>'Tabelas e Parametros'!$K$6:$K$12</xm:f>
          </x14:formula1>
          <xm:sqref>K24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3"/>
  <dimension ref="B2:N53"/>
  <sheetViews>
    <sheetView showGridLines="0" workbookViewId="0">
      <selection activeCell="J23" sqref="J23"/>
    </sheetView>
  </sheetViews>
  <sheetFormatPr defaultColWidth="11" defaultRowHeight="15.75"/>
  <cols>
    <col min="1" max="1" width="3.375" customWidth="1"/>
    <col min="3" max="3" width="35.5" customWidth="1"/>
    <col min="4" max="4" width="12.125" bestFit="1" customWidth="1"/>
    <col min="5" max="5" width="11.5" bestFit="1" customWidth="1"/>
    <col min="6" max="6" width="12.875" bestFit="1" customWidth="1"/>
    <col min="7" max="7" width="18.125" customWidth="1"/>
    <col min="8" max="8" width="23" customWidth="1"/>
    <col min="9" max="9" width="8.5" style="1" customWidth="1"/>
    <col min="10" max="10" width="15.875" customWidth="1"/>
    <col min="11" max="11" width="16.5" customWidth="1"/>
    <col min="12" max="12" width="11.875" customWidth="1"/>
    <col min="13" max="13" width="20.125" customWidth="1"/>
    <col min="14" max="14" width="13.875" customWidth="1"/>
    <col min="15" max="15" width="19.5" customWidth="1"/>
    <col min="16" max="16" width="17.375" customWidth="1"/>
  </cols>
  <sheetData>
    <row r="2" spans="2:14" ht="18.75">
      <c r="B2" s="34" t="s">
        <v>116</v>
      </c>
      <c r="C2" s="274" t="s">
        <v>0</v>
      </c>
      <c r="D2" s="275"/>
      <c r="N2" s="40"/>
    </row>
    <row r="3" spans="2:14">
      <c r="B3" s="5" t="s">
        <v>50</v>
      </c>
      <c r="C3" s="3" t="s">
        <v>1</v>
      </c>
      <c r="D3" s="43" t="str">
        <f>'Informações Cliente e Sistema'!H8</f>
        <v>SP</v>
      </c>
    </row>
    <row r="4" spans="2:14" ht="18.75">
      <c r="B4" s="5" t="s">
        <v>51</v>
      </c>
      <c r="C4" s="6" t="s">
        <v>5</v>
      </c>
      <c r="D4" s="44">
        <f>'Informações Cliente e Sistema'!F12*(1-'Informações Cliente e Sistema'!K29)</f>
        <v>450</v>
      </c>
      <c r="E4" s="16"/>
      <c r="K4" s="47"/>
    </row>
    <row r="5" spans="2:14">
      <c r="B5" s="5" t="s">
        <v>71</v>
      </c>
      <c r="C5" s="18" t="s">
        <v>126</v>
      </c>
      <c r="D5" s="45" t="str">
        <f>'Informações Cliente e Sistema'!H10</f>
        <v>Bifásico</v>
      </c>
      <c r="E5" s="16"/>
      <c r="F5" s="40"/>
      <c r="I5"/>
      <c r="K5" s="15"/>
    </row>
    <row r="6" spans="2:14">
      <c r="B6" s="5" t="s">
        <v>52</v>
      </c>
      <c r="C6" s="18" t="s">
        <v>342</v>
      </c>
      <c r="D6" s="17">
        <f>IF((D4/D8*D9)/1000&lt;D9/1000*'Tabelas e Parametros'!L30,D9*'Tabelas e Parametros'!L30/1000,(D4/D8*D9)/1000)</f>
        <v>2.9335010513667763</v>
      </c>
      <c r="E6" s="16"/>
      <c r="G6" s="15"/>
      <c r="I6"/>
      <c r="K6" s="15"/>
    </row>
    <row r="7" spans="2:14">
      <c r="B7" s="5" t="s">
        <v>53</v>
      </c>
      <c r="C7" s="7" t="s">
        <v>327</v>
      </c>
      <c r="D7" s="40"/>
      <c r="E7" s="40"/>
      <c r="I7"/>
      <c r="K7" s="15"/>
    </row>
    <row r="8" spans="2:14">
      <c r="B8" s="5" t="s">
        <v>326</v>
      </c>
      <c r="C8" s="7" t="s">
        <v>325</v>
      </c>
      <c r="D8" s="9">
        <f>VLOOKUP(D9,espacokit,2,FALSE)*'Tabelas e Parametros'!C58</f>
        <v>38.350080000000005</v>
      </c>
      <c r="E8" s="40"/>
      <c r="I8"/>
      <c r="K8" s="15"/>
    </row>
    <row r="9" spans="2:14">
      <c r="B9" s="5" t="s">
        <v>54</v>
      </c>
      <c r="C9" s="7" t="s">
        <v>127</v>
      </c>
      <c r="D9" s="10">
        <f>'Informações Cliente e Sistema'!K24</f>
        <v>250</v>
      </c>
      <c r="E9" s="16"/>
      <c r="I9"/>
      <c r="K9" s="15"/>
    </row>
    <row r="10" spans="2:14">
      <c r="B10" s="5" t="s">
        <v>55</v>
      </c>
      <c r="C10" s="7" t="s">
        <v>10</v>
      </c>
      <c r="D10" s="11">
        <f>IF(VLOOKUP(D6*1000,'Tabelas e Parametros'!K30:L46,2,TRUE)&lt;8,8,VLOOKUP(D6*1000,'Tabelas e Parametros'!K30:L46,2,TRUE))</f>
        <v>11</v>
      </c>
      <c r="E10" s="42"/>
      <c r="F10" s="49"/>
      <c r="G10" s="46"/>
      <c r="I10"/>
      <c r="K10" s="15"/>
    </row>
    <row r="11" spans="2:14" ht="18.75">
      <c r="B11" s="5" t="s">
        <v>56</v>
      </c>
      <c r="C11" s="6" t="s">
        <v>12</v>
      </c>
      <c r="D11" s="8">
        <f>D10*VLOOKUP(D9,'Tabelas e Parametros'!$K$5:$L$12,2,FALSE)</f>
        <v>17.600000000000001</v>
      </c>
      <c r="G11" s="40"/>
      <c r="I11"/>
      <c r="K11" s="15"/>
    </row>
    <row r="12" spans="2:14" ht="18.75">
      <c r="B12" s="5" t="s">
        <v>57</v>
      </c>
      <c r="C12" s="6" t="s">
        <v>14</v>
      </c>
      <c r="D12" s="8">
        <f>(D10*peso)/D11</f>
        <v>11.562499999999998</v>
      </c>
      <c r="K12" s="15"/>
    </row>
    <row r="13" spans="2:14" ht="18.75">
      <c r="B13" s="33" t="s">
        <v>58</v>
      </c>
      <c r="C13" s="6" t="s">
        <v>81</v>
      </c>
      <c r="D13" s="13">
        <f>D10*D9/1000</f>
        <v>2.75</v>
      </c>
      <c r="E13" s="40"/>
      <c r="F13" s="15"/>
      <c r="G13" s="131"/>
      <c r="K13" s="15"/>
    </row>
    <row r="14" spans="2:14">
      <c r="B14" s="5" t="s">
        <v>59</v>
      </c>
      <c r="C14" s="7" t="s">
        <v>16</v>
      </c>
      <c r="D14" s="48">
        <f>IF(AND('Informações Cliente e Sistema'!F12&lt;&gt;0,'Informações Cliente e Sistema'!C12&lt;&gt;0),'Informações Cliente e Sistema'!C12/'Informações Cliente e Sistema'!F12,SUMIF('Concessionarias e tarifas'!$E$4:$E$67,'Sistema de Geracao de Orcamento'!D3,'Concessionarias e tarifas'!$F$4:$F$67)/COUNTIF('Concessionarias e tarifas'!$E$4:$E$67,'Sistema de Geracao de Orcamento'!D3))</f>
        <v>1</v>
      </c>
      <c r="G14" s="79"/>
      <c r="K14" s="15"/>
    </row>
    <row r="15" spans="2:14">
      <c r="B15" s="5" t="s">
        <v>60</v>
      </c>
      <c r="C15" s="7" t="s">
        <v>18</v>
      </c>
      <c r="D15" s="11">
        <f>VLOOKUP(D5&amp;D10,'Tabelas e Parametros'!$E$5:$I$55,4,FALSE)*D13</f>
        <v>17875</v>
      </c>
      <c r="E15" s="36" t="s">
        <v>117</v>
      </c>
      <c r="K15" s="15"/>
    </row>
    <row r="16" spans="2:14">
      <c r="B16" s="5" t="s">
        <v>61</v>
      </c>
      <c r="C16" s="7" t="s">
        <v>20</v>
      </c>
      <c r="D16" s="11">
        <f>IF(E16="SIM",VLOOKUP(D5&amp;D10,'Tabelas e Parametros'!E5:I55,5,TRUE)*D13*1000,0)</f>
        <v>0</v>
      </c>
      <c r="E16" s="41" t="str">
        <f>'Informações Cliente e Sistema'!K26</f>
        <v>NÃO</v>
      </c>
      <c r="F16" s="15"/>
      <c r="K16" s="15"/>
    </row>
    <row r="17" spans="2:14">
      <c r="B17" s="5" t="s">
        <v>62</v>
      </c>
      <c r="C17" s="7" t="s">
        <v>22</v>
      </c>
      <c r="D17" s="11">
        <f>IF(E17="SIM",'Informações Cliente e Sistema'!K28*'Tabelas e Parametros'!K52,0)</f>
        <v>0</v>
      </c>
      <c r="E17" s="41" t="str">
        <f>'Informações Cliente e Sistema'!K27</f>
        <v>NÃO</v>
      </c>
      <c r="K17" s="15"/>
    </row>
    <row r="18" spans="2:14">
      <c r="B18" s="5" t="s">
        <v>63</v>
      </c>
      <c r="C18" s="7" t="s">
        <v>24</v>
      </c>
      <c r="D18" s="12">
        <f>SUM(D15:D17)</f>
        <v>17875</v>
      </c>
      <c r="K18" s="15"/>
    </row>
    <row r="19" spans="2:14">
      <c r="B19" s="5" t="s">
        <v>331</v>
      </c>
      <c r="C19" s="7" t="s">
        <v>332</v>
      </c>
      <c r="D19" s="172">
        <f>'Informações Cliente e Sistema'!K40</f>
        <v>0.25</v>
      </c>
      <c r="E19" s="11">
        <f>D18/(1-D19)</f>
        <v>23833.333333333332</v>
      </c>
      <c r="K19" s="15"/>
    </row>
    <row r="20" spans="2:14">
      <c r="B20" s="5" t="s">
        <v>64</v>
      </c>
      <c r="C20" s="7" t="s">
        <v>26</v>
      </c>
      <c r="D20" s="39">
        <f>IMPOSTO</f>
        <v>0.08</v>
      </c>
      <c r="E20" s="173">
        <f>D20*D21</f>
        <v>2072.463768115942</v>
      </c>
      <c r="F20" s="15"/>
      <c r="K20" s="15"/>
    </row>
    <row r="21" spans="2:14" ht="18.75">
      <c r="B21" s="5" t="s">
        <v>65</v>
      </c>
      <c r="C21" s="6" t="s">
        <v>28</v>
      </c>
      <c r="D21" s="8">
        <f>E19/(1-D20)</f>
        <v>25905.797101449272</v>
      </c>
      <c r="E21" s="15"/>
      <c r="F21" s="15"/>
      <c r="H21" s="170"/>
      <c r="K21" s="15"/>
    </row>
    <row r="22" spans="2:14" ht="8.1" customHeight="1">
      <c r="K22" s="15"/>
    </row>
    <row r="23" spans="2:14" ht="18.75">
      <c r="B23" s="5" t="s">
        <v>66</v>
      </c>
      <c r="C23" s="6" t="s">
        <v>31</v>
      </c>
      <c r="D23" s="8">
        <f>D10*D8*12</f>
        <v>5062.2105600000014</v>
      </c>
      <c r="E23" s="15"/>
      <c r="F23" s="40"/>
      <c r="K23" s="15"/>
    </row>
    <row r="24" spans="2:14" ht="18.75">
      <c r="B24" s="5" t="s">
        <v>67</v>
      </c>
      <c r="C24" s="6" t="s">
        <v>33</v>
      </c>
      <c r="D24" s="8">
        <f>D23*D14</f>
        <v>5062.2105600000014</v>
      </c>
      <c r="K24" s="15"/>
    </row>
    <row r="25" spans="2:14" ht="18.75">
      <c r="B25" s="5" t="s">
        <v>68</v>
      </c>
      <c r="C25" s="6" t="s">
        <v>34</v>
      </c>
      <c r="D25" s="13">
        <f>D21/D24</f>
        <v>5.1174870729694151</v>
      </c>
    </row>
    <row r="26" spans="2:14" ht="18.75">
      <c r="B26" s="5" t="s">
        <v>69</v>
      </c>
      <c r="C26" s="6" t="s">
        <v>36</v>
      </c>
      <c r="D26" s="14">
        <f>D21/(D23*25)</f>
        <v>0.2046994829187766</v>
      </c>
    </row>
    <row r="27" spans="2:14" ht="18.75">
      <c r="B27" s="35" t="s">
        <v>72</v>
      </c>
      <c r="C27" s="6" t="s">
        <v>111</v>
      </c>
      <c r="D27" s="14">
        <f>D23/12/'Informações Cliente e Sistema'!F12</f>
        <v>0.93744640000000035</v>
      </c>
    </row>
    <row r="29" spans="2:14">
      <c r="B29" s="37"/>
      <c r="C29" s="38" t="s">
        <v>123</v>
      </c>
    </row>
    <row r="30" spans="2:14" ht="16.5" thickBot="1">
      <c r="I30"/>
    </row>
    <row r="31" spans="2:14" ht="19.5" thickBot="1">
      <c r="B31" s="276" t="s">
        <v>70</v>
      </c>
      <c r="C31" s="277"/>
      <c r="D31" s="277"/>
      <c r="E31" s="277"/>
      <c r="F31" s="277"/>
      <c r="G31" s="277"/>
      <c r="H31" s="277"/>
      <c r="I31" s="277"/>
      <c r="J31" s="277"/>
      <c r="K31" s="277"/>
      <c r="L31" s="277"/>
      <c r="M31" s="277"/>
      <c r="N31" s="278"/>
    </row>
    <row r="32" spans="2:14">
      <c r="B32" s="26" t="s">
        <v>50</v>
      </c>
      <c r="C32" s="20" t="s">
        <v>73</v>
      </c>
      <c r="D32" s="20"/>
      <c r="E32" s="20"/>
      <c r="F32" s="20"/>
      <c r="G32" s="20"/>
      <c r="H32" s="20"/>
      <c r="I32" s="20"/>
      <c r="J32" s="20"/>
      <c r="K32" s="20"/>
      <c r="L32" s="20"/>
      <c r="M32" s="20"/>
      <c r="N32" s="21"/>
    </row>
    <row r="33" spans="2:14">
      <c r="B33" s="26" t="s">
        <v>51</v>
      </c>
      <c r="C33" s="20" t="s">
        <v>74</v>
      </c>
      <c r="D33" s="20"/>
      <c r="E33" s="20"/>
      <c r="F33" s="20"/>
      <c r="G33" s="20"/>
      <c r="H33" s="20"/>
      <c r="I33" s="20"/>
      <c r="J33" s="20"/>
      <c r="K33" s="20"/>
      <c r="L33" s="20"/>
      <c r="M33" s="20"/>
      <c r="N33" s="21"/>
    </row>
    <row r="34" spans="2:14">
      <c r="B34" s="22" t="s">
        <v>52</v>
      </c>
      <c r="C34" s="20" t="s">
        <v>80</v>
      </c>
      <c r="D34" s="20"/>
      <c r="E34" s="20"/>
      <c r="F34" s="20"/>
      <c r="G34" s="20"/>
      <c r="H34" s="20"/>
      <c r="I34" s="20"/>
      <c r="J34" s="20"/>
      <c r="K34" s="20"/>
      <c r="L34" s="20"/>
      <c r="M34" s="20"/>
      <c r="N34" s="21"/>
    </row>
    <row r="35" spans="2:14">
      <c r="B35" s="22" t="s">
        <v>53</v>
      </c>
      <c r="C35" s="20" t="s">
        <v>83</v>
      </c>
      <c r="D35" s="20"/>
      <c r="E35" s="20"/>
      <c r="F35" s="20"/>
      <c r="G35" s="20"/>
      <c r="H35" s="20"/>
      <c r="I35" s="20"/>
      <c r="J35" s="20"/>
      <c r="K35" s="20"/>
      <c r="L35" s="20"/>
      <c r="M35" s="20"/>
      <c r="N35" s="21"/>
    </row>
    <row r="36" spans="2:14">
      <c r="B36" s="22" t="s">
        <v>326</v>
      </c>
      <c r="C36" s="130" t="s">
        <v>328</v>
      </c>
      <c r="D36" s="20"/>
      <c r="E36" s="20"/>
      <c r="F36" s="20"/>
      <c r="G36" s="20"/>
      <c r="H36" s="20"/>
      <c r="I36" s="20"/>
      <c r="J36" s="20"/>
      <c r="K36" s="20"/>
      <c r="L36" s="20"/>
      <c r="M36" s="20"/>
      <c r="N36" s="21"/>
    </row>
    <row r="37" spans="2:14">
      <c r="B37" s="19" t="s">
        <v>54</v>
      </c>
      <c r="C37" s="20" t="s">
        <v>75</v>
      </c>
      <c r="D37" s="20"/>
      <c r="E37" s="20"/>
      <c r="F37" s="20"/>
      <c r="G37" s="20"/>
      <c r="H37" s="20"/>
      <c r="I37" s="20"/>
      <c r="J37" s="20"/>
      <c r="K37" s="20"/>
      <c r="L37" s="20"/>
      <c r="M37" s="20"/>
      <c r="N37" s="21"/>
    </row>
    <row r="38" spans="2:14">
      <c r="B38" s="22" t="s">
        <v>55</v>
      </c>
      <c r="C38" s="20" t="s">
        <v>76</v>
      </c>
      <c r="D38" s="20"/>
      <c r="E38" s="20"/>
      <c r="F38" s="20"/>
      <c r="G38" s="20"/>
      <c r="H38" s="20"/>
      <c r="I38" s="20"/>
      <c r="J38" s="20"/>
      <c r="K38" s="20"/>
      <c r="L38" s="20"/>
      <c r="M38" s="20"/>
      <c r="N38" s="21"/>
    </row>
    <row r="39" spans="2:14">
      <c r="B39" s="22" t="s">
        <v>56</v>
      </c>
      <c r="C39" s="20" t="s">
        <v>143</v>
      </c>
      <c r="D39" s="20"/>
      <c r="E39" s="20"/>
      <c r="F39" s="20"/>
      <c r="G39" s="20"/>
      <c r="H39" s="20"/>
      <c r="I39" s="20"/>
      <c r="J39" s="20"/>
      <c r="K39" s="20"/>
      <c r="L39" s="20"/>
      <c r="M39" s="20"/>
      <c r="N39" s="21"/>
    </row>
    <row r="40" spans="2:14">
      <c r="B40" s="22" t="s">
        <v>57</v>
      </c>
      <c r="C40" s="20" t="s">
        <v>82</v>
      </c>
      <c r="D40" s="20"/>
      <c r="E40" s="20"/>
      <c r="F40" s="20"/>
      <c r="G40" s="20"/>
      <c r="H40" s="20"/>
      <c r="I40" s="20"/>
      <c r="J40" s="20"/>
      <c r="K40" s="20"/>
      <c r="L40" s="20"/>
      <c r="M40" s="20"/>
      <c r="N40" s="21"/>
    </row>
    <row r="41" spans="2:14">
      <c r="B41" s="22" t="s">
        <v>58</v>
      </c>
      <c r="C41" s="20" t="s">
        <v>84</v>
      </c>
      <c r="D41" s="20"/>
      <c r="E41" s="20"/>
      <c r="F41" s="20"/>
      <c r="G41" s="20"/>
      <c r="H41" s="20"/>
      <c r="I41" s="20"/>
      <c r="J41" s="20"/>
      <c r="K41" s="20"/>
      <c r="L41" s="20"/>
      <c r="M41" s="20"/>
      <c r="N41" s="21"/>
    </row>
    <row r="42" spans="2:14">
      <c r="B42" s="26" t="s">
        <v>59</v>
      </c>
      <c r="C42" s="20" t="s">
        <v>85</v>
      </c>
      <c r="D42" s="20"/>
      <c r="E42" s="20"/>
      <c r="F42" s="20"/>
      <c r="G42" s="20"/>
      <c r="H42" s="20"/>
      <c r="I42" s="20"/>
      <c r="J42" s="20"/>
      <c r="K42" s="20"/>
      <c r="L42" s="20"/>
      <c r="M42" s="20"/>
      <c r="N42" s="21"/>
    </row>
    <row r="43" spans="2:14">
      <c r="B43" s="22" t="s">
        <v>60</v>
      </c>
      <c r="C43" s="20" t="s">
        <v>86</v>
      </c>
      <c r="D43" s="20"/>
      <c r="E43" s="20"/>
      <c r="F43" s="20"/>
      <c r="G43" s="20"/>
      <c r="H43" s="20"/>
      <c r="I43" s="23"/>
      <c r="J43" s="20"/>
      <c r="K43" s="20"/>
      <c r="L43" s="20"/>
      <c r="M43" s="20"/>
      <c r="N43" s="21"/>
    </row>
    <row r="44" spans="2:14">
      <c r="B44" s="22" t="s">
        <v>61</v>
      </c>
      <c r="C44" s="20" t="s">
        <v>93</v>
      </c>
      <c r="D44" s="20"/>
      <c r="E44" s="20"/>
      <c r="F44" s="20"/>
      <c r="G44" s="20"/>
      <c r="H44" s="20"/>
      <c r="I44" s="24"/>
      <c r="J44" s="20"/>
      <c r="K44" s="20"/>
      <c r="L44" s="20"/>
      <c r="M44" s="20"/>
      <c r="N44" s="21"/>
    </row>
    <row r="45" spans="2:14">
      <c r="B45" s="22" t="s">
        <v>62</v>
      </c>
      <c r="C45" s="20" t="s">
        <v>118</v>
      </c>
      <c r="D45" s="20"/>
      <c r="E45" s="20"/>
      <c r="F45" s="20"/>
      <c r="G45" s="20"/>
      <c r="H45" s="20"/>
      <c r="I45" s="25"/>
      <c r="J45" s="20"/>
      <c r="K45" s="20"/>
      <c r="L45" s="20"/>
      <c r="M45" s="20"/>
      <c r="N45" s="21"/>
    </row>
    <row r="46" spans="2:14">
      <c r="B46" s="26" t="s">
        <v>63</v>
      </c>
      <c r="C46" s="20" t="s">
        <v>87</v>
      </c>
      <c r="D46" s="20"/>
      <c r="E46" s="20"/>
      <c r="F46" s="20"/>
      <c r="G46" s="20"/>
      <c r="H46" s="20"/>
      <c r="I46" s="25"/>
      <c r="J46" s="20"/>
      <c r="K46" s="20"/>
      <c r="L46" s="20"/>
      <c r="M46" s="20"/>
      <c r="N46" s="21"/>
    </row>
    <row r="47" spans="2:14" s="2" customFormat="1">
      <c r="B47" s="26" t="s">
        <v>64</v>
      </c>
      <c r="C47" s="20" t="s">
        <v>125</v>
      </c>
      <c r="D47" s="20"/>
      <c r="E47" s="20"/>
      <c r="F47" s="20"/>
      <c r="G47" s="20"/>
      <c r="H47" s="20"/>
      <c r="I47" s="25"/>
      <c r="J47" s="27"/>
      <c r="K47" s="27"/>
      <c r="L47" s="27"/>
      <c r="M47" s="27"/>
      <c r="N47" s="28"/>
    </row>
    <row r="48" spans="2:14">
      <c r="B48" s="26" t="s">
        <v>65</v>
      </c>
      <c r="C48" s="20" t="s">
        <v>88</v>
      </c>
      <c r="D48" s="20"/>
      <c r="E48" s="20"/>
      <c r="F48" s="20"/>
      <c r="G48" s="20"/>
      <c r="H48" s="20"/>
      <c r="I48" s="23"/>
      <c r="J48" s="20"/>
      <c r="K48" s="20"/>
      <c r="L48" s="20"/>
      <c r="M48" s="20"/>
      <c r="N48" s="21"/>
    </row>
    <row r="49" spans="2:14">
      <c r="B49" s="26" t="s">
        <v>66</v>
      </c>
      <c r="C49" s="20" t="s">
        <v>89</v>
      </c>
      <c r="D49" s="20"/>
      <c r="E49" s="20"/>
      <c r="F49" s="20"/>
      <c r="G49" s="20"/>
      <c r="H49" s="20"/>
      <c r="I49" s="23"/>
      <c r="J49" s="20"/>
      <c r="K49" s="20"/>
      <c r="L49" s="20"/>
      <c r="M49" s="20"/>
      <c r="N49" s="21"/>
    </row>
    <row r="50" spans="2:14">
      <c r="B50" s="26" t="s">
        <v>67</v>
      </c>
      <c r="C50" s="20" t="s">
        <v>90</v>
      </c>
      <c r="D50" s="20"/>
      <c r="E50" s="20"/>
      <c r="F50" s="20"/>
      <c r="G50" s="20"/>
      <c r="H50" s="20"/>
      <c r="I50" s="23"/>
      <c r="J50" s="20"/>
      <c r="K50" s="20"/>
      <c r="L50" s="20"/>
      <c r="M50" s="20"/>
      <c r="N50" s="21"/>
    </row>
    <row r="51" spans="2:14">
      <c r="B51" s="26" t="s">
        <v>68</v>
      </c>
      <c r="C51" s="20" t="s">
        <v>91</v>
      </c>
      <c r="D51" s="20"/>
      <c r="E51" s="20"/>
      <c r="F51" s="20"/>
      <c r="G51" s="20"/>
      <c r="H51" s="20"/>
      <c r="I51" s="23"/>
      <c r="J51" s="20"/>
      <c r="K51" s="20"/>
      <c r="L51" s="20"/>
      <c r="M51" s="20"/>
      <c r="N51" s="21"/>
    </row>
    <row r="52" spans="2:14">
      <c r="B52" s="26" t="s">
        <v>69</v>
      </c>
      <c r="C52" s="20" t="s">
        <v>92</v>
      </c>
      <c r="D52" s="20"/>
      <c r="E52" s="20"/>
      <c r="F52" s="20"/>
      <c r="G52" s="20"/>
      <c r="H52" s="20"/>
      <c r="I52" s="23"/>
      <c r="J52" s="20"/>
      <c r="K52" s="20"/>
      <c r="L52" s="20"/>
      <c r="M52" s="20"/>
      <c r="N52" s="21"/>
    </row>
    <row r="53" spans="2:14" ht="16.5" thickBot="1">
      <c r="B53" s="29" t="s">
        <v>72</v>
      </c>
      <c r="C53" s="30" t="s">
        <v>112</v>
      </c>
      <c r="D53" s="30"/>
      <c r="E53" s="30"/>
      <c r="F53" s="30"/>
      <c r="G53" s="30"/>
      <c r="H53" s="30"/>
      <c r="I53" s="31"/>
      <c r="J53" s="30"/>
      <c r="K53" s="30"/>
      <c r="L53" s="30"/>
      <c r="M53" s="30"/>
      <c r="N53" s="32"/>
    </row>
  </sheetData>
  <sortState ref="G4:H31">
    <sortCondition ref="G4"/>
  </sortState>
  <mergeCells count="2">
    <mergeCell ref="C2:D2"/>
    <mergeCell ref="B31:N31"/>
  </mergeCells>
  <dataValidations count="2">
    <dataValidation type="list" allowBlank="1" showInputMessage="1" showErrorMessage="1" sqref="D3">
      <formula1>#REF!</formula1>
    </dataValidation>
    <dataValidation type="list" allowBlank="1" showInputMessage="1" showErrorMessage="1" sqref="E16:E17">
      <formula1>"SIM, NÃO"</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4"/>
  <dimension ref="B3:M99"/>
  <sheetViews>
    <sheetView showGridLines="0" topLeftCell="E1" workbookViewId="0">
      <selection activeCell="H59" sqref="H59"/>
    </sheetView>
  </sheetViews>
  <sheetFormatPr defaultColWidth="10.875" defaultRowHeight="15.75"/>
  <cols>
    <col min="1" max="1" width="10.875" style="90"/>
    <col min="2" max="2" width="20" style="90" customWidth="1"/>
    <col min="3" max="3" width="19" style="90" customWidth="1"/>
    <col min="4" max="4" width="19.125" style="90" customWidth="1"/>
    <col min="5" max="5" width="13.875" style="90" bestFit="1" customWidth="1"/>
    <col min="6" max="7" width="18.625" style="90" customWidth="1"/>
    <col min="8" max="8" width="12" style="90" bestFit="1" customWidth="1"/>
    <col min="9" max="9" width="32.5" style="90" customWidth="1"/>
    <col min="10" max="10" width="10.875" style="90"/>
    <col min="11" max="13" width="19.5" style="90" customWidth="1"/>
    <col min="14" max="16384" width="10.875" style="90"/>
  </cols>
  <sheetData>
    <row r="3" spans="2:12">
      <c r="B3" s="279" t="s">
        <v>47</v>
      </c>
      <c r="C3" s="279"/>
      <c r="D3" s="91"/>
      <c r="E3" s="279" t="s">
        <v>48</v>
      </c>
      <c r="F3" s="279"/>
      <c r="G3" s="279"/>
    </row>
    <row r="4" spans="2:12">
      <c r="B4" s="92" t="s">
        <v>3</v>
      </c>
      <c r="C4" s="93" t="s">
        <v>4</v>
      </c>
      <c r="D4" s="91"/>
      <c r="E4" s="94" t="s">
        <v>145</v>
      </c>
      <c r="F4" s="94" t="s">
        <v>49</v>
      </c>
      <c r="G4" s="94" t="s">
        <v>128</v>
      </c>
      <c r="H4" s="94" t="s">
        <v>333</v>
      </c>
      <c r="I4" s="94" t="s">
        <v>115</v>
      </c>
      <c r="K4" s="95" t="s">
        <v>79</v>
      </c>
    </row>
    <row r="5" spans="2:12">
      <c r="B5" s="96" t="s">
        <v>7</v>
      </c>
      <c r="C5" s="96">
        <v>107</v>
      </c>
      <c r="D5" s="97"/>
      <c r="E5" s="96" t="str">
        <f>G5&amp;F5</f>
        <v>Monofásico8</v>
      </c>
      <c r="F5" s="96">
        <f t="shared" ref="F5:F19" si="0">L30</f>
        <v>8</v>
      </c>
      <c r="G5" s="96" t="s">
        <v>129</v>
      </c>
      <c r="H5" s="98">
        <f t="shared" ref="H5:H40" si="1">$H$59*(1-$H$58)</f>
        <v>6500</v>
      </c>
      <c r="I5" s="99">
        <v>0.8</v>
      </c>
      <c r="J5" s="100"/>
      <c r="K5" s="94" t="s">
        <v>77</v>
      </c>
      <c r="L5" s="94" t="s">
        <v>78</v>
      </c>
    </row>
    <row r="6" spans="2:12">
      <c r="B6" s="96" t="s">
        <v>29</v>
      </c>
      <c r="C6" s="96">
        <v>107</v>
      </c>
      <c r="D6" s="91"/>
      <c r="E6" s="96" t="str">
        <f t="shared" ref="E6:E55" si="2">G6&amp;F6</f>
        <v>Monofásico9</v>
      </c>
      <c r="F6" s="96">
        <f t="shared" si="0"/>
        <v>9</v>
      </c>
      <c r="G6" s="96" t="s">
        <v>129</v>
      </c>
      <c r="H6" s="98">
        <f t="shared" si="1"/>
        <v>6500</v>
      </c>
      <c r="I6" s="99">
        <v>0.8</v>
      </c>
      <c r="J6" s="100"/>
      <c r="K6" s="96">
        <v>245</v>
      </c>
      <c r="L6" s="96">
        <v>1.6</v>
      </c>
    </row>
    <row r="7" spans="2:12">
      <c r="B7" s="96" t="s">
        <v>8</v>
      </c>
      <c r="C7" s="96">
        <v>104</v>
      </c>
      <c r="D7" s="91"/>
      <c r="E7" s="96" t="str">
        <f t="shared" si="2"/>
        <v>Monofásico11</v>
      </c>
      <c r="F7" s="96">
        <f t="shared" si="0"/>
        <v>11</v>
      </c>
      <c r="G7" s="96" t="s">
        <v>129</v>
      </c>
      <c r="H7" s="98">
        <f t="shared" si="1"/>
        <v>6500</v>
      </c>
      <c r="I7" s="99">
        <v>0.8</v>
      </c>
      <c r="J7" s="100"/>
      <c r="K7" s="96">
        <v>250</v>
      </c>
      <c r="L7" s="96">
        <v>1.6</v>
      </c>
    </row>
    <row r="8" spans="2:12">
      <c r="B8" s="96" t="s">
        <v>11</v>
      </c>
      <c r="C8" s="96">
        <v>107</v>
      </c>
      <c r="D8" s="91"/>
      <c r="E8" s="96" t="str">
        <f t="shared" si="2"/>
        <v>Monofásico12</v>
      </c>
      <c r="F8" s="96">
        <f t="shared" si="0"/>
        <v>12</v>
      </c>
      <c r="G8" s="96" t="s">
        <v>129</v>
      </c>
      <c r="H8" s="98">
        <f t="shared" si="1"/>
        <v>6500</v>
      </c>
      <c r="I8" s="99">
        <v>0.8</v>
      </c>
      <c r="J8" s="100"/>
      <c r="K8" s="96">
        <v>255</v>
      </c>
      <c r="L8" s="96">
        <v>1.6</v>
      </c>
    </row>
    <row r="9" spans="2:12">
      <c r="B9" s="96" t="s">
        <v>32</v>
      </c>
      <c r="C9" s="96">
        <v>110</v>
      </c>
      <c r="E9" s="96" t="str">
        <f t="shared" si="2"/>
        <v>Monofásico14</v>
      </c>
      <c r="F9" s="96">
        <f t="shared" si="0"/>
        <v>14</v>
      </c>
      <c r="G9" s="96" t="s">
        <v>129</v>
      </c>
      <c r="H9" s="98">
        <f t="shared" si="1"/>
        <v>6500</v>
      </c>
      <c r="I9" s="99">
        <v>0.8</v>
      </c>
      <c r="J9" s="100"/>
      <c r="K9" s="96">
        <v>260</v>
      </c>
      <c r="L9" s="96">
        <v>1.6</v>
      </c>
    </row>
    <row r="10" spans="2:12">
      <c r="B10" s="96" t="s">
        <v>21</v>
      </c>
      <c r="C10" s="96">
        <v>113</v>
      </c>
      <c r="E10" s="96" t="str">
        <f t="shared" si="2"/>
        <v>Monofásico15</v>
      </c>
      <c r="F10" s="96">
        <f t="shared" si="0"/>
        <v>15</v>
      </c>
      <c r="G10" s="96" t="s">
        <v>129</v>
      </c>
      <c r="H10" s="98">
        <f t="shared" si="1"/>
        <v>6500</v>
      </c>
      <c r="I10" s="99">
        <v>0.8</v>
      </c>
      <c r="J10" s="100"/>
      <c r="K10" s="96">
        <v>270</v>
      </c>
      <c r="L10" s="96">
        <v>1.6</v>
      </c>
    </row>
    <row r="11" spans="2:12">
      <c r="B11" s="101" t="s">
        <v>43</v>
      </c>
      <c r="C11" s="96">
        <v>116</v>
      </c>
      <c r="E11" s="96" t="str">
        <f t="shared" si="2"/>
        <v>Monofásico20</v>
      </c>
      <c r="F11" s="96">
        <f t="shared" si="0"/>
        <v>20</v>
      </c>
      <c r="G11" s="96" t="s">
        <v>129</v>
      </c>
      <c r="H11" s="98">
        <f t="shared" si="1"/>
        <v>6500</v>
      </c>
      <c r="I11" s="99">
        <v>0.8</v>
      </c>
      <c r="J11" s="100"/>
      <c r="K11" s="96">
        <v>300</v>
      </c>
      <c r="L11" s="96">
        <v>1.6</v>
      </c>
    </row>
    <row r="12" spans="2:12">
      <c r="B12" s="96" t="s">
        <v>38</v>
      </c>
      <c r="C12" s="96">
        <v>102</v>
      </c>
      <c r="E12" s="96" t="str">
        <f t="shared" si="2"/>
        <v>Monofásico24</v>
      </c>
      <c r="F12" s="96">
        <f t="shared" si="0"/>
        <v>24</v>
      </c>
      <c r="G12" s="96" t="s">
        <v>129</v>
      </c>
      <c r="H12" s="98">
        <f t="shared" si="1"/>
        <v>6500</v>
      </c>
      <c r="I12" s="99">
        <v>0.8</v>
      </c>
      <c r="J12" s="100"/>
      <c r="K12" s="96">
        <v>305</v>
      </c>
      <c r="L12" s="96">
        <v>1.6</v>
      </c>
    </row>
    <row r="13" spans="2:12">
      <c r="B13" s="96" t="s">
        <v>40</v>
      </c>
      <c r="C13" s="96">
        <v>118</v>
      </c>
      <c r="E13" s="96" t="str">
        <f t="shared" si="2"/>
        <v>Monofásico28</v>
      </c>
      <c r="F13" s="96">
        <f t="shared" si="0"/>
        <v>28</v>
      </c>
      <c r="G13" s="96" t="s">
        <v>129</v>
      </c>
      <c r="H13" s="98">
        <f t="shared" si="1"/>
        <v>6500</v>
      </c>
      <c r="I13" s="99">
        <v>0.8</v>
      </c>
      <c r="J13" s="100"/>
    </row>
    <row r="14" spans="2:12">
      <c r="B14" s="96" t="s">
        <v>17</v>
      </c>
      <c r="C14" s="96">
        <v>109</v>
      </c>
      <c r="E14" s="96" t="str">
        <f t="shared" si="2"/>
        <v>Monofásico32</v>
      </c>
      <c r="F14" s="96">
        <f t="shared" si="0"/>
        <v>32</v>
      </c>
      <c r="G14" s="96" t="s">
        <v>129</v>
      </c>
      <c r="H14" s="98">
        <f t="shared" si="1"/>
        <v>6500</v>
      </c>
      <c r="I14" s="99">
        <v>0.8</v>
      </c>
      <c r="J14" s="100"/>
      <c r="K14" s="102" t="s">
        <v>109</v>
      </c>
    </row>
    <row r="15" spans="2:12">
      <c r="B15" s="96" t="s">
        <v>39</v>
      </c>
      <c r="C15" s="96">
        <v>111</v>
      </c>
      <c r="E15" s="96" t="str">
        <f t="shared" si="2"/>
        <v>Monofásico36</v>
      </c>
      <c r="F15" s="96">
        <f t="shared" si="0"/>
        <v>36</v>
      </c>
      <c r="G15" s="96" t="s">
        <v>129</v>
      </c>
      <c r="H15" s="98">
        <f t="shared" si="1"/>
        <v>6500</v>
      </c>
      <c r="I15" s="99">
        <v>0.8</v>
      </c>
      <c r="J15" s="100"/>
      <c r="K15" s="94" t="s">
        <v>108</v>
      </c>
    </row>
    <row r="16" spans="2:12">
      <c r="B16" s="101" t="s">
        <v>42</v>
      </c>
      <c r="C16" s="96">
        <v>116</v>
      </c>
      <c r="E16" s="96" t="str">
        <f t="shared" si="2"/>
        <v>Monofásico40</v>
      </c>
      <c r="F16" s="96">
        <f t="shared" si="0"/>
        <v>40</v>
      </c>
      <c r="G16" s="96" t="s">
        <v>129</v>
      </c>
      <c r="H16" s="98">
        <f t="shared" si="1"/>
        <v>6500</v>
      </c>
      <c r="I16" s="99">
        <v>0.8</v>
      </c>
      <c r="J16" s="100"/>
      <c r="K16" s="96">
        <v>0.55000000000000004</v>
      </c>
    </row>
    <row r="17" spans="2:13">
      <c r="B17" s="96" t="s">
        <v>41</v>
      </c>
      <c r="C17" s="96">
        <v>114</v>
      </c>
      <c r="E17" s="96" t="str">
        <f t="shared" si="2"/>
        <v>Monofásico44</v>
      </c>
      <c r="F17" s="96">
        <f t="shared" si="0"/>
        <v>44</v>
      </c>
      <c r="G17" s="96" t="s">
        <v>129</v>
      </c>
      <c r="H17" s="98">
        <f t="shared" si="1"/>
        <v>6500</v>
      </c>
      <c r="I17" s="99">
        <v>0.8</v>
      </c>
      <c r="J17" s="100"/>
    </row>
    <row r="18" spans="2:13">
      <c r="B18" s="96" t="s">
        <v>13</v>
      </c>
      <c r="C18" s="96">
        <v>106</v>
      </c>
      <c r="E18" s="96" t="str">
        <f t="shared" si="2"/>
        <v>Monofásico48</v>
      </c>
      <c r="F18" s="96">
        <f t="shared" si="0"/>
        <v>48</v>
      </c>
      <c r="G18" s="96" t="s">
        <v>129</v>
      </c>
      <c r="H18" s="98">
        <f t="shared" si="1"/>
        <v>6500</v>
      </c>
      <c r="I18" s="99">
        <v>0.8</v>
      </c>
      <c r="J18" s="100"/>
      <c r="K18" s="102" t="s">
        <v>124</v>
      </c>
    </row>
    <row r="19" spans="2:13">
      <c r="B19" s="96" t="s">
        <v>25</v>
      </c>
      <c r="C19" s="96">
        <v>106</v>
      </c>
      <c r="E19" s="96" t="str">
        <f t="shared" si="2"/>
        <v>Monofásico52</v>
      </c>
      <c r="F19" s="96">
        <f t="shared" si="0"/>
        <v>52</v>
      </c>
      <c r="G19" s="96" t="s">
        <v>129</v>
      </c>
      <c r="H19" s="98">
        <f t="shared" si="1"/>
        <v>6500</v>
      </c>
      <c r="I19" s="99">
        <v>0.8</v>
      </c>
      <c r="J19" s="100"/>
      <c r="K19" s="94" t="s">
        <v>153</v>
      </c>
    </row>
    <row r="20" spans="2:13">
      <c r="B20" s="96" t="s">
        <v>27</v>
      </c>
      <c r="C20" s="96">
        <v>105</v>
      </c>
      <c r="E20" s="96" t="str">
        <f t="shared" si="2"/>
        <v>Monofásico56</v>
      </c>
      <c r="F20" s="96">
        <f>L45</f>
        <v>56</v>
      </c>
      <c r="G20" s="96" t="s">
        <v>129</v>
      </c>
      <c r="H20" s="98">
        <f t="shared" si="1"/>
        <v>6500</v>
      </c>
      <c r="I20" s="99">
        <v>0.8</v>
      </c>
      <c r="J20" s="100"/>
      <c r="K20" s="103">
        <v>0.08</v>
      </c>
    </row>
    <row r="21" spans="2:13">
      <c r="B21" s="96" t="s">
        <v>19</v>
      </c>
      <c r="C21" s="96">
        <v>115</v>
      </c>
      <c r="E21" s="96" t="str">
        <f t="shared" ref="E21" si="3">G21&amp;F21</f>
        <v>Monofásico11</v>
      </c>
      <c r="F21" s="96">
        <f>L46</f>
        <v>11</v>
      </c>
      <c r="G21" s="96" t="s">
        <v>129</v>
      </c>
      <c r="H21" s="98">
        <f t="shared" si="1"/>
        <v>6500</v>
      </c>
      <c r="I21" s="99">
        <v>0.8</v>
      </c>
      <c r="M21" s="104"/>
    </row>
    <row r="22" spans="2:13">
      <c r="B22" s="101" t="s">
        <v>45</v>
      </c>
      <c r="C22" s="96">
        <v>100</v>
      </c>
      <c r="E22" s="96" t="str">
        <f t="shared" si="2"/>
        <v>Bifásico8</v>
      </c>
      <c r="F22" s="96">
        <f t="shared" ref="F22:F36" si="4">L30</f>
        <v>8</v>
      </c>
      <c r="G22" s="96" t="s">
        <v>130</v>
      </c>
      <c r="H22" s="98">
        <f t="shared" si="1"/>
        <v>6500</v>
      </c>
      <c r="I22" s="99">
        <v>0.8</v>
      </c>
    </row>
    <row r="23" spans="2:13">
      <c r="B23" s="96" t="s">
        <v>35</v>
      </c>
      <c r="C23" s="96">
        <v>104</v>
      </c>
      <c r="E23" s="96" t="str">
        <f t="shared" si="2"/>
        <v>Bifásico9</v>
      </c>
      <c r="F23" s="96">
        <f t="shared" si="4"/>
        <v>9</v>
      </c>
      <c r="G23" s="96" t="s">
        <v>130</v>
      </c>
      <c r="H23" s="98">
        <f t="shared" si="1"/>
        <v>6500</v>
      </c>
      <c r="I23" s="99">
        <v>0.8</v>
      </c>
      <c r="K23" s="102" t="s">
        <v>141</v>
      </c>
    </row>
    <row r="24" spans="2:13" ht="15" customHeight="1">
      <c r="B24" s="96" t="s">
        <v>23</v>
      </c>
      <c r="C24" s="96">
        <v>109</v>
      </c>
      <c r="E24" s="96" t="str">
        <f t="shared" si="2"/>
        <v>Bifásico11</v>
      </c>
      <c r="F24" s="96">
        <f t="shared" si="4"/>
        <v>11</v>
      </c>
      <c r="G24" s="96" t="s">
        <v>130</v>
      </c>
      <c r="H24" s="98">
        <f t="shared" si="1"/>
        <v>6500</v>
      </c>
      <c r="I24" s="99">
        <v>0.8</v>
      </c>
      <c r="K24" s="94" t="s">
        <v>142</v>
      </c>
      <c r="M24" s="105"/>
    </row>
    <row r="25" spans="2:13">
      <c r="B25" s="96" t="s">
        <v>6</v>
      </c>
      <c r="C25" s="96">
        <v>106</v>
      </c>
      <c r="E25" s="96" t="str">
        <f t="shared" si="2"/>
        <v>Bifásico12</v>
      </c>
      <c r="F25" s="96">
        <f t="shared" si="4"/>
        <v>12</v>
      </c>
      <c r="G25" s="96" t="s">
        <v>130</v>
      </c>
      <c r="H25" s="98">
        <f t="shared" si="1"/>
        <v>6500</v>
      </c>
      <c r="I25" s="99">
        <v>0.8</v>
      </c>
      <c r="K25" s="96">
        <v>18.5</v>
      </c>
    </row>
    <row r="26" spans="2:13">
      <c r="B26" s="96" t="s">
        <v>9</v>
      </c>
      <c r="C26" s="96">
        <v>107</v>
      </c>
      <c r="E26" s="96" t="str">
        <f t="shared" si="2"/>
        <v>Bifásico14</v>
      </c>
      <c r="F26" s="96">
        <f t="shared" si="4"/>
        <v>14</v>
      </c>
      <c r="G26" s="96" t="s">
        <v>130</v>
      </c>
      <c r="H26" s="98">
        <f t="shared" si="1"/>
        <v>6500</v>
      </c>
      <c r="I26" s="99">
        <v>0.8</v>
      </c>
    </row>
    <row r="27" spans="2:13">
      <c r="B27" s="101" t="s">
        <v>46</v>
      </c>
      <c r="C27" s="96">
        <v>103</v>
      </c>
      <c r="E27" s="96" t="str">
        <f t="shared" si="2"/>
        <v>Bifásico15</v>
      </c>
      <c r="F27" s="96">
        <f t="shared" si="4"/>
        <v>15</v>
      </c>
      <c r="G27" s="96" t="s">
        <v>130</v>
      </c>
      <c r="H27" s="98">
        <f t="shared" si="1"/>
        <v>6500</v>
      </c>
      <c r="I27" s="99">
        <v>0.8</v>
      </c>
    </row>
    <row r="28" spans="2:13">
      <c r="B28" s="96" t="s">
        <v>44</v>
      </c>
      <c r="C28" s="96">
        <v>96</v>
      </c>
      <c r="E28" s="96" t="str">
        <f t="shared" si="2"/>
        <v>Bifásico20</v>
      </c>
      <c r="F28" s="96">
        <f t="shared" si="4"/>
        <v>20</v>
      </c>
      <c r="G28" s="96" t="s">
        <v>130</v>
      </c>
      <c r="H28" s="98">
        <f t="shared" si="1"/>
        <v>6500</v>
      </c>
      <c r="I28" s="99">
        <v>0.8</v>
      </c>
      <c r="K28" s="95" t="s">
        <v>144</v>
      </c>
    </row>
    <row r="29" spans="2:13">
      <c r="B29" s="96" t="s">
        <v>30</v>
      </c>
      <c r="C29" s="96">
        <v>109</v>
      </c>
      <c r="E29" s="96" t="str">
        <f t="shared" si="2"/>
        <v>Bifásico24</v>
      </c>
      <c r="F29" s="96">
        <f t="shared" si="4"/>
        <v>24</v>
      </c>
      <c r="G29" s="96" t="s">
        <v>130</v>
      </c>
      <c r="H29" s="98">
        <f t="shared" si="1"/>
        <v>6500</v>
      </c>
      <c r="I29" s="99">
        <v>0.8</v>
      </c>
      <c r="K29" s="94" t="s">
        <v>146</v>
      </c>
      <c r="L29" s="94" t="s">
        <v>49</v>
      </c>
    </row>
    <row r="30" spans="2:13">
      <c r="B30" s="96" t="s">
        <v>37</v>
      </c>
      <c r="C30" s="96">
        <v>105</v>
      </c>
      <c r="E30" s="96" t="str">
        <f t="shared" si="2"/>
        <v>Bifásico28</v>
      </c>
      <c r="F30" s="96">
        <f t="shared" si="4"/>
        <v>28</v>
      </c>
      <c r="G30" s="96" t="s">
        <v>130</v>
      </c>
      <c r="H30" s="98">
        <f t="shared" si="1"/>
        <v>6500</v>
      </c>
      <c r="I30" s="99">
        <v>0.8</v>
      </c>
      <c r="K30" s="96">
        <f>L30*'Sistema de Geracao de Orcamento'!$D$9</f>
        <v>2000</v>
      </c>
      <c r="L30" s="96">
        <v>8</v>
      </c>
    </row>
    <row r="31" spans="2:13">
      <c r="B31" s="96" t="s">
        <v>2</v>
      </c>
      <c r="C31" s="96">
        <v>115</v>
      </c>
      <c r="E31" s="96" t="str">
        <f t="shared" si="2"/>
        <v>Bifásico32</v>
      </c>
      <c r="F31" s="96">
        <f t="shared" si="4"/>
        <v>32</v>
      </c>
      <c r="G31" s="96" t="s">
        <v>130</v>
      </c>
      <c r="H31" s="98">
        <f t="shared" si="1"/>
        <v>6500</v>
      </c>
      <c r="I31" s="99">
        <v>0.8</v>
      </c>
      <c r="K31" s="96">
        <f>L31*'Sistema de Geracao de Orcamento'!$D$9</f>
        <v>2250</v>
      </c>
      <c r="L31" s="96">
        <v>9</v>
      </c>
    </row>
    <row r="32" spans="2:13">
      <c r="B32" s="96" t="s">
        <v>15</v>
      </c>
      <c r="C32" s="96">
        <v>112</v>
      </c>
      <c r="E32" s="96" t="str">
        <f t="shared" si="2"/>
        <v>Bifásico36</v>
      </c>
      <c r="F32" s="96">
        <f t="shared" si="4"/>
        <v>36</v>
      </c>
      <c r="G32" s="96" t="s">
        <v>130</v>
      </c>
      <c r="H32" s="98">
        <f t="shared" si="1"/>
        <v>6500</v>
      </c>
      <c r="I32" s="99">
        <v>0.8</v>
      </c>
      <c r="K32" s="96">
        <f>L32*'Sistema de Geracao de Orcamento'!$D$9</f>
        <v>2750</v>
      </c>
      <c r="L32" s="96">
        <v>11</v>
      </c>
    </row>
    <row r="33" spans="2:13">
      <c r="E33" s="96" t="str">
        <f t="shared" si="2"/>
        <v>Bifásico40</v>
      </c>
      <c r="F33" s="96">
        <f t="shared" si="4"/>
        <v>40</v>
      </c>
      <c r="G33" s="96" t="s">
        <v>130</v>
      </c>
      <c r="H33" s="98">
        <f t="shared" si="1"/>
        <v>6500</v>
      </c>
      <c r="I33" s="99">
        <v>0.8</v>
      </c>
      <c r="K33" s="96">
        <v>3000</v>
      </c>
      <c r="L33" s="96">
        <v>12</v>
      </c>
    </row>
    <row r="34" spans="2:13">
      <c r="E34" s="96" t="str">
        <f t="shared" si="2"/>
        <v>Bifásico44</v>
      </c>
      <c r="F34" s="96">
        <f t="shared" si="4"/>
        <v>44</v>
      </c>
      <c r="G34" s="96" t="s">
        <v>130</v>
      </c>
      <c r="H34" s="98">
        <f t="shared" si="1"/>
        <v>6500</v>
      </c>
      <c r="I34" s="99">
        <v>0.8</v>
      </c>
      <c r="K34" s="96">
        <v>3500</v>
      </c>
      <c r="L34" s="96">
        <v>14</v>
      </c>
    </row>
    <row r="35" spans="2:13">
      <c r="E35" s="96" t="str">
        <f t="shared" si="2"/>
        <v>Bifásico48</v>
      </c>
      <c r="F35" s="96">
        <f t="shared" si="4"/>
        <v>48</v>
      </c>
      <c r="G35" s="96" t="s">
        <v>130</v>
      </c>
      <c r="H35" s="98">
        <f t="shared" si="1"/>
        <v>6500</v>
      </c>
      <c r="I35" s="99">
        <v>0.8</v>
      </c>
      <c r="K35" s="96">
        <v>3750</v>
      </c>
      <c r="L35" s="96">
        <v>15</v>
      </c>
    </row>
    <row r="36" spans="2:13">
      <c r="B36" s="279" t="s">
        <v>318</v>
      </c>
      <c r="C36" s="279"/>
      <c r="E36" s="96" t="str">
        <f t="shared" si="2"/>
        <v>Bifásico52</v>
      </c>
      <c r="F36" s="96">
        <f t="shared" si="4"/>
        <v>52</v>
      </c>
      <c r="G36" s="96" t="s">
        <v>130</v>
      </c>
      <c r="H36" s="98">
        <f t="shared" si="1"/>
        <v>6500</v>
      </c>
      <c r="I36" s="99">
        <v>0.8</v>
      </c>
      <c r="K36" s="96">
        <f>L36*'Sistema de Geracao de Orcamento'!$D$9</f>
        <v>5000</v>
      </c>
      <c r="L36" s="96">
        <v>20</v>
      </c>
    </row>
    <row r="37" spans="2:13">
      <c r="B37" s="92" t="s">
        <v>315</v>
      </c>
      <c r="C37" s="93" t="s">
        <v>316</v>
      </c>
      <c r="E37" s="96" t="str">
        <f t="shared" si="2"/>
        <v>Bifásico56</v>
      </c>
      <c r="F37" s="96">
        <f>L45</f>
        <v>56</v>
      </c>
      <c r="G37" s="96" t="s">
        <v>130</v>
      </c>
      <c r="H37" s="98">
        <f t="shared" si="1"/>
        <v>6500</v>
      </c>
      <c r="I37" s="99">
        <v>0.8</v>
      </c>
      <c r="K37" s="96">
        <f>L37*'Sistema de Geracao de Orcamento'!$D$9</f>
        <v>6000</v>
      </c>
      <c r="L37" s="96">
        <v>24</v>
      </c>
    </row>
    <row r="38" spans="2:13">
      <c r="B38" s="96" t="str">
        <f>LEFT('Informações Cliente e Sistema'!B47,3)</f>
        <v>Jan</v>
      </c>
      <c r="C38" s="126">
        <f>'Informações Cliente e Sistema'!B48</f>
        <v>6658</v>
      </c>
      <c r="E38" s="96" t="str">
        <f t="shared" ref="E38" si="5">G38&amp;F38</f>
        <v>Bifásico11</v>
      </c>
      <c r="F38" s="96">
        <f>L46</f>
        <v>11</v>
      </c>
      <c r="G38" s="96" t="s">
        <v>130</v>
      </c>
      <c r="H38" s="98">
        <f t="shared" si="1"/>
        <v>6500</v>
      </c>
      <c r="I38" s="99">
        <v>0.8</v>
      </c>
      <c r="K38" s="96">
        <f>L38*'Sistema de Geracao de Orcamento'!$D$9</f>
        <v>7000</v>
      </c>
      <c r="L38" s="96">
        <v>28</v>
      </c>
    </row>
    <row r="39" spans="2:13">
      <c r="B39" s="96" t="str">
        <f>LEFT('Informações Cliente e Sistema'!B49,3)</f>
        <v>Feb</v>
      </c>
      <c r="C39" s="126">
        <f>'Informações Cliente e Sistema'!B50</f>
        <v>6658</v>
      </c>
      <c r="E39" s="96" t="str">
        <f t="shared" si="2"/>
        <v>Trifásico8</v>
      </c>
      <c r="F39" s="96">
        <f t="shared" ref="F39:F53" si="6">L30</f>
        <v>8</v>
      </c>
      <c r="G39" s="96" t="s">
        <v>103</v>
      </c>
      <c r="H39" s="98">
        <f t="shared" si="1"/>
        <v>6500</v>
      </c>
      <c r="I39" s="99">
        <v>0.8</v>
      </c>
      <c r="K39" s="96">
        <f>L39*'Sistema de Geracao de Orcamento'!$D$9</f>
        <v>8000</v>
      </c>
      <c r="L39" s="96">
        <v>32</v>
      </c>
    </row>
    <row r="40" spans="2:13">
      <c r="B40" s="96" t="str">
        <f>LEFT('Informações Cliente e Sistema'!B51,3)</f>
        <v>Mar</v>
      </c>
      <c r="C40" s="126">
        <f>'Informações Cliente e Sistema'!B52</f>
        <v>6658</v>
      </c>
      <c r="E40" s="96" t="str">
        <f t="shared" si="2"/>
        <v>Trifásico9</v>
      </c>
      <c r="F40" s="96">
        <f t="shared" si="6"/>
        <v>9</v>
      </c>
      <c r="G40" s="96" t="s">
        <v>103</v>
      </c>
      <c r="H40" s="98">
        <f t="shared" si="1"/>
        <v>6500</v>
      </c>
      <c r="I40" s="99">
        <v>0.8</v>
      </c>
      <c r="K40" s="96">
        <f>L40*'Sistema de Geracao de Orcamento'!$D$9</f>
        <v>9000</v>
      </c>
      <c r="L40" s="96">
        <f>L39+4</f>
        <v>36</v>
      </c>
    </row>
    <row r="41" spans="2:13">
      <c r="B41" s="96" t="str">
        <f>LEFT('Informações Cliente e Sistema'!B53,3)</f>
        <v>Apr</v>
      </c>
      <c r="C41" s="126">
        <f>'Informações Cliente e Sistema'!B54</f>
        <v>6658</v>
      </c>
      <c r="E41" s="96" t="str">
        <f t="shared" si="2"/>
        <v>Trifásico11</v>
      </c>
      <c r="F41" s="96">
        <f t="shared" si="6"/>
        <v>11</v>
      </c>
      <c r="G41" s="96" t="s">
        <v>103</v>
      </c>
      <c r="H41" s="98">
        <f t="shared" ref="H41:H55" si="7">$H$59*(1-$H$58)</f>
        <v>6500</v>
      </c>
      <c r="I41" s="99">
        <v>0.8</v>
      </c>
      <c r="K41" s="96">
        <f>L41*'Sistema de Geracao de Orcamento'!$D$9</f>
        <v>10000</v>
      </c>
      <c r="L41" s="96">
        <f t="shared" ref="L41:L45" si="8">L40+4</f>
        <v>40</v>
      </c>
    </row>
    <row r="42" spans="2:13">
      <c r="B42" s="96" t="str">
        <f>LEFT('Informações Cliente e Sistema'!B55,3)</f>
        <v>May</v>
      </c>
      <c r="C42" s="126">
        <f>'Informações Cliente e Sistema'!B56</f>
        <v>6658</v>
      </c>
      <c r="E42" s="96" t="str">
        <f t="shared" si="2"/>
        <v>Trifásico12</v>
      </c>
      <c r="F42" s="96">
        <f t="shared" si="6"/>
        <v>12</v>
      </c>
      <c r="G42" s="96" t="s">
        <v>103</v>
      </c>
      <c r="H42" s="98">
        <f t="shared" si="7"/>
        <v>6500</v>
      </c>
      <c r="I42" s="99">
        <v>0.8</v>
      </c>
      <c r="K42" s="96">
        <f>L42*'Sistema de Geracao de Orcamento'!$D$9</f>
        <v>11000</v>
      </c>
      <c r="L42" s="96">
        <f t="shared" si="8"/>
        <v>44</v>
      </c>
    </row>
    <row r="43" spans="2:13">
      <c r="B43" s="96" t="str">
        <f>LEFT('Informações Cliente e Sistema'!B57,3)</f>
        <v>Jun</v>
      </c>
      <c r="C43" s="126">
        <f>'Informações Cliente e Sistema'!B58</f>
        <v>6658</v>
      </c>
      <c r="E43" s="96" t="str">
        <f t="shared" si="2"/>
        <v>Trifásico14</v>
      </c>
      <c r="F43" s="96">
        <f t="shared" si="6"/>
        <v>14</v>
      </c>
      <c r="G43" s="96" t="s">
        <v>103</v>
      </c>
      <c r="H43" s="98">
        <f t="shared" si="7"/>
        <v>6500</v>
      </c>
      <c r="I43" s="99">
        <v>0.8</v>
      </c>
      <c r="K43" s="96">
        <f>L43*'Sistema de Geracao de Orcamento'!$D$9</f>
        <v>12000</v>
      </c>
      <c r="L43" s="96">
        <f t="shared" si="8"/>
        <v>48</v>
      </c>
    </row>
    <row r="44" spans="2:13">
      <c r="B44" s="96" t="str">
        <f>LEFT('Informações Cliente e Sistema'!B59,3)</f>
        <v>Jul</v>
      </c>
      <c r="C44" s="126">
        <f>'Informações Cliente e Sistema'!B60</f>
        <v>6658</v>
      </c>
      <c r="E44" s="96" t="str">
        <f t="shared" si="2"/>
        <v>Trifásico15</v>
      </c>
      <c r="F44" s="96">
        <f t="shared" si="6"/>
        <v>15</v>
      </c>
      <c r="G44" s="96" t="s">
        <v>103</v>
      </c>
      <c r="H44" s="98">
        <f t="shared" si="7"/>
        <v>6500</v>
      </c>
      <c r="I44" s="99">
        <v>0.8</v>
      </c>
      <c r="K44" s="96">
        <f>L44*'Sistema de Geracao de Orcamento'!$D$9</f>
        <v>13000</v>
      </c>
      <c r="L44" s="96">
        <f t="shared" si="8"/>
        <v>52</v>
      </c>
    </row>
    <row r="45" spans="2:13">
      <c r="B45" s="96" t="str">
        <f>LEFT('Informações Cliente e Sistema'!B61,3)</f>
        <v>Aug</v>
      </c>
      <c r="C45" s="126">
        <f>'Informações Cliente e Sistema'!B62</f>
        <v>6658</v>
      </c>
      <c r="E45" s="96" t="str">
        <f t="shared" si="2"/>
        <v>Trifásico20</v>
      </c>
      <c r="F45" s="96">
        <f t="shared" si="6"/>
        <v>20</v>
      </c>
      <c r="G45" s="96" t="s">
        <v>103</v>
      </c>
      <c r="H45" s="98">
        <f t="shared" si="7"/>
        <v>6500</v>
      </c>
      <c r="I45" s="99">
        <v>0.8</v>
      </c>
      <c r="K45" s="96">
        <f>L45*'Sistema de Geracao de Orcamento'!$D$9</f>
        <v>14000</v>
      </c>
      <c r="L45" s="96">
        <f t="shared" si="8"/>
        <v>56</v>
      </c>
    </row>
    <row r="46" spans="2:13">
      <c r="B46" s="96" t="str">
        <f>LEFT('Informações Cliente e Sistema'!B63,3)</f>
        <v>Sep</v>
      </c>
      <c r="C46" s="126">
        <f>'Informações Cliente e Sistema'!B64</f>
        <v>6658</v>
      </c>
      <c r="E46" s="96" t="str">
        <f t="shared" si="2"/>
        <v>Trifásico24</v>
      </c>
      <c r="F46" s="96">
        <f t="shared" si="6"/>
        <v>24</v>
      </c>
      <c r="G46" s="96" t="s">
        <v>103</v>
      </c>
      <c r="H46" s="98">
        <f t="shared" si="7"/>
        <v>6500</v>
      </c>
      <c r="I46" s="99">
        <v>0.8</v>
      </c>
      <c r="K46" s="96">
        <f>L46*'Sistema de Geracao de Orcamento'!$D$9</f>
        <v>2750</v>
      </c>
      <c r="L46" s="96">
        <f>ROUNDDOWN(('Sistema de Geracao de Orcamento'!D6*1000/'Sistema de Geracao de Orcamento'!D9)/M46,0)*M46</f>
        <v>11</v>
      </c>
      <c r="M46" s="90">
        <v>1</v>
      </c>
    </row>
    <row r="47" spans="2:13">
      <c r="B47" s="96" t="str">
        <f>LEFT('Informações Cliente e Sistema'!B65,3)</f>
        <v>Oct</v>
      </c>
      <c r="C47" s="126">
        <f>'Informações Cliente e Sistema'!B66</f>
        <v>6658</v>
      </c>
      <c r="E47" s="96" t="str">
        <f t="shared" si="2"/>
        <v>Trifásico28</v>
      </c>
      <c r="F47" s="96">
        <f t="shared" si="6"/>
        <v>28</v>
      </c>
      <c r="G47" s="96" t="s">
        <v>103</v>
      </c>
      <c r="H47" s="98">
        <f t="shared" si="7"/>
        <v>6500</v>
      </c>
      <c r="I47" s="99">
        <v>0.8</v>
      </c>
    </row>
    <row r="48" spans="2:13">
      <c r="B48" s="96" t="str">
        <f>LEFT('Informações Cliente e Sistema'!B67,3)</f>
        <v>Nov</v>
      </c>
      <c r="C48" s="126">
        <f>'Informações Cliente e Sistema'!B68</f>
        <v>6658</v>
      </c>
      <c r="E48" s="96" t="str">
        <f t="shared" si="2"/>
        <v>Trifásico32</v>
      </c>
      <c r="F48" s="96">
        <f t="shared" si="6"/>
        <v>32</v>
      </c>
      <c r="G48" s="96" t="s">
        <v>103</v>
      </c>
      <c r="H48" s="98">
        <f t="shared" si="7"/>
        <v>6500</v>
      </c>
      <c r="I48" s="99">
        <v>0.8</v>
      </c>
    </row>
    <row r="49" spans="2:11">
      <c r="B49" s="96" t="str">
        <f>LEFT('Informações Cliente e Sistema'!B69,3)</f>
        <v>Dec</v>
      </c>
      <c r="C49" s="126">
        <f>'Informações Cliente e Sistema'!B70</f>
        <v>6658</v>
      </c>
      <c r="E49" s="96" t="str">
        <f t="shared" si="2"/>
        <v>Trifásico36</v>
      </c>
      <c r="F49" s="96">
        <f t="shared" si="6"/>
        <v>36</v>
      </c>
      <c r="G49" s="96" t="s">
        <v>103</v>
      </c>
      <c r="H49" s="98">
        <f t="shared" si="7"/>
        <v>6500</v>
      </c>
      <c r="I49" s="99">
        <v>0.8</v>
      </c>
    </row>
    <row r="50" spans="2:11">
      <c r="B50" s="96" t="s">
        <v>317</v>
      </c>
      <c r="C50" s="126">
        <f>AVERAGE(C38:C49)</f>
        <v>6658</v>
      </c>
      <c r="E50" s="96" t="str">
        <f t="shared" si="2"/>
        <v>Trifásico40</v>
      </c>
      <c r="F50" s="96">
        <f t="shared" si="6"/>
        <v>40</v>
      </c>
      <c r="G50" s="96" t="s">
        <v>103</v>
      </c>
      <c r="H50" s="98">
        <f t="shared" si="7"/>
        <v>6500</v>
      </c>
      <c r="I50" s="99">
        <v>0.8</v>
      </c>
      <c r="K50" s="102" t="s">
        <v>298</v>
      </c>
    </row>
    <row r="51" spans="2:11">
      <c r="E51" s="96" t="str">
        <f t="shared" si="2"/>
        <v>Trifásico44</v>
      </c>
      <c r="F51" s="96">
        <f t="shared" si="6"/>
        <v>44</v>
      </c>
      <c r="G51" s="96" t="s">
        <v>103</v>
      </c>
      <c r="H51" s="98">
        <f t="shared" si="7"/>
        <v>6500</v>
      </c>
      <c r="I51" s="99">
        <v>0.8</v>
      </c>
      <c r="K51" s="94" t="s">
        <v>299</v>
      </c>
    </row>
    <row r="52" spans="2:11">
      <c r="B52" s="102" t="s">
        <v>345</v>
      </c>
      <c r="E52" s="96" t="str">
        <f t="shared" si="2"/>
        <v>Trifásico48</v>
      </c>
      <c r="F52" s="96">
        <f t="shared" si="6"/>
        <v>48</v>
      </c>
      <c r="G52" s="96" t="s">
        <v>103</v>
      </c>
      <c r="H52" s="98">
        <f t="shared" si="7"/>
        <v>6500</v>
      </c>
      <c r="I52" s="99">
        <v>0.8</v>
      </c>
      <c r="K52" s="96">
        <v>6</v>
      </c>
    </row>
    <row r="53" spans="2:11">
      <c r="B53" s="94" t="s">
        <v>321</v>
      </c>
      <c r="E53" s="96" t="str">
        <f t="shared" si="2"/>
        <v>Trifásico52</v>
      </c>
      <c r="F53" s="96">
        <f t="shared" si="6"/>
        <v>52</v>
      </c>
      <c r="G53" s="96" t="s">
        <v>103</v>
      </c>
      <c r="H53" s="98">
        <f t="shared" si="7"/>
        <v>6500</v>
      </c>
      <c r="I53" s="99">
        <v>0.8</v>
      </c>
    </row>
    <row r="54" spans="2:11">
      <c r="B54" s="127">
        <v>0.8</v>
      </c>
      <c r="E54" s="96" t="str">
        <f t="shared" ref="E54" si="9">G54&amp;F54</f>
        <v>Trifásico52</v>
      </c>
      <c r="F54" s="96">
        <f>L44</f>
        <v>52</v>
      </c>
      <c r="G54" s="96" t="s">
        <v>103</v>
      </c>
      <c r="H54" s="98">
        <f t="shared" si="7"/>
        <v>6500</v>
      </c>
      <c r="I54" s="99">
        <v>0.8</v>
      </c>
    </row>
    <row r="55" spans="2:11">
      <c r="E55" s="96" t="str">
        <f t="shared" si="2"/>
        <v>Trifásico11</v>
      </c>
      <c r="F55" s="96">
        <f>L46</f>
        <v>11</v>
      </c>
      <c r="G55" s="96" t="s">
        <v>103</v>
      </c>
      <c r="H55" s="98">
        <f t="shared" si="7"/>
        <v>6500</v>
      </c>
      <c r="I55" s="99">
        <v>0.8</v>
      </c>
    </row>
    <row r="56" spans="2:11">
      <c r="B56" s="102" t="s">
        <v>319</v>
      </c>
    </row>
    <row r="57" spans="2:11">
      <c r="B57" s="94" t="s">
        <v>316</v>
      </c>
      <c r="C57" s="94" t="s">
        <v>324</v>
      </c>
    </row>
    <row r="58" spans="2:11">
      <c r="B58" s="106">
        <f>C50*B54*B62/1000</f>
        <v>0.79896</v>
      </c>
      <c r="C58" s="106">
        <f>B58*30</f>
        <v>23.968800000000002</v>
      </c>
      <c r="D58" s="104"/>
      <c r="G58" s="123" t="s">
        <v>302</v>
      </c>
      <c r="H58" s="125">
        <f>'Informações Cliente e Sistema'!K37</f>
        <v>0</v>
      </c>
    </row>
    <row r="59" spans="2:11">
      <c r="D59" s="105"/>
      <c r="F59" s="100"/>
      <c r="G59" s="129" t="s">
        <v>346</v>
      </c>
      <c r="H59" s="160">
        <v>6500</v>
      </c>
      <c r="I59" s="90" t="s">
        <v>334</v>
      </c>
    </row>
    <row r="60" spans="2:11">
      <c r="B60" s="102" t="s">
        <v>322</v>
      </c>
      <c r="D60" s="100"/>
      <c r="F60" s="100"/>
    </row>
    <row r="61" spans="2:11">
      <c r="B61" s="94" t="s">
        <v>323</v>
      </c>
      <c r="D61" s="100"/>
      <c r="F61" s="129"/>
    </row>
    <row r="62" spans="2:11">
      <c r="B62" s="112">
        <v>0.15</v>
      </c>
      <c r="D62" s="100"/>
      <c r="F62" s="100"/>
      <c r="G62" s="100"/>
      <c r="H62" s="171"/>
    </row>
    <row r="63" spans="2:11">
      <c r="F63" s="100"/>
      <c r="G63" s="100"/>
      <c r="H63" s="100"/>
    </row>
    <row r="64" spans="2:11">
      <c r="F64" s="129"/>
    </row>
    <row r="66" spans="2:8">
      <c r="H66" s="129"/>
    </row>
    <row r="67" spans="2:8">
      <c r="H67" s="105"/>
    </row>
    <row r="68" spans="2:8">
      <c r="D68" s="115">
        <f>VLOOKUP(0,$B$72:$C$99,2,TRUE)</f>
        <v>4</v>
      </c>
      <c r="H68" s="104"/>
    </row>
    <row r="69" spans="2:8">
      <c r="H69" s="104"/>
    </row>
    <row r="70" spans="2:8">
      <c r="B70" s="279" t="s">
        <v>293</v>
      </c>
      <c r="C70" s="279"/>
    </row>
    <row r="71" spans="2:8">
      <c r="B71" s="92" t="s">
        <v>297</v>
      </c>
      <c r="C71" s="92" t="s">
        <v>294</v>
      </c>
      <c r="D71" s="93" t="s">
        <v>110</v>
      </c>
      <c r="E71" s="93" t="s">
        <v>295</v>
      </c>
      <c r="F71" s="93" t="s">
        <v>296</v>
      </c>
    </row>
    <row r="72" spans="2:8">
      <c r="B72" s="114">
        <f>'Tabelas e Parametros'!D72-('Informações Cliente e Sistema'!H20:H20+'Informações Cliente e Sistema'!K38)</f>
        <v>-20372.80095936927</v>
      </c>
      <c r="C72" s="96">
        <v>1</v>
      </c>
      <c r="D72" s="106">
        <f>('Informações Cliente e Sistema'!D20:D20)*(1+E72-F72)</f>
        <v>5532.9961420800028</v>
      </c>
      <c r="E72" s="112">
        <v>0.1</v>
      </c>
      <c r="F72" s="113">
        <v>7.0000000000000001E-3</v>
      </c>
    </row>
    <row r="73" spans="2:8">
      <c r="B73" s="114">
        <f>D73+B72</f>
        <v>-14325.236176075825</v>
      </c>
      <c r="C73" s="96">
        <f>C72+1</f>
        <v>2</v>
      </c>
      <c r="D73" s="106">
        <f>D72*(1+E73-F73)</f>
        <v>6047.5647832934437</v>
      </c>
      <c r="E73" s="112">
        <f>E72</f>
        <v>0.1</v>
      </c>
      <c r="F73" s="116">
        <f>F72</f>
        <v>7.0000000000000001E-3</v>
      </c>
    </row>
    <row r="74" spans="2:8">
      <c r="B74" s="114">
        <f t="shared" ref="B74:B99" si="10">D74+B73</f>
        <v>-7715.2478679360902</v>
      </c>
      <c r="C74" s="96">
        <f t="shared" ref="C74:C99" si="11">C73+1</f>
        <v>3</v>
      </c>
      <c r="D74" s="106">
        <f t="shared" ref="D74:D99" si="12">D73*(1+E74-F74)</f>
        <v>6609.9883081397347</v>
      </c>
      <c r="E74" s="112">
        <f t="shared" ref="E74:F99" si="13">E73</f>
        <v>0.1</v>
      </c>
      <c r="F74" s="116">
        <f t="shared" si="13"/>
        <v>7.0000000000000001E-3</v>
      </c>
    </row>
    <row r="75" spans="2:8">
      <c r="B75" s="114">
        <f t="shared" si="10"/>
        <v>-490.53064713935873</v>
      </c>
      <c r="C75" s="96">
        <f t="shared" si="11"/>
        <v>4</v>
      </c>
      <c r="D75" s="106">
        <f t="shared" si="12"/>
        <v>7224.7172207967315</v>
      </c>
      <c r="E75" s="112">
        <f t="shared" si="13"/>
        <v>0.1</v>
      </c>
      <c r="F75" s="116">
        <f t="shared" si="13"/>
        <v>7.0000000000000001E-3</v>
      </c>
    </row>
    <row r="76" spans="2:8">
      <c r="B76" s="114">
        <f t="shared" si="10"/>
        <v>7406.0852751914699</v>
      </c>
      <c r="C76" s="96">
        <f t="shared" si="11"/>
        <v>5</v>
      </c>
      <c r="D76" s="106">
        <f t="shared" si="12"/>
        <v>7896.6159223308287</v>
      </c>
      <c r="E76" s="112">
        <f t="shared" si="13"/>
        <v>0.1</v>
      </c>
      <c r="F76" s="116">
        <f t="shared" si="13"/>
        <v>7.0000000000000001E-3</v>
      </c>
    </row>
    <row r="77" spans="2:8">
      <c r="B77" s="114">
        <f t="shared" si="10"/>
        <v>16037.086478299067</v>
      </c>
      <c r="C77" s="96">
        <f t="shared" si="11"/>
        <v>6</v>
      </c>
      <c r="D77" s="106">
        <f t="shared" si="12"/>
        <v>8631.0012031075967</v>
      </c>
      <c r="E77" s="112">
        <f t="shared" si="13"/>
        <v>0.1</v>
      </c>
      <c r="F77" s="116">
        <f t="shared" si="13"/>
        <v>7.0000000000000001E-3</v>
      </c>
    </row>
    <row r="78" spans="2:8">
      <c r="B78" s="114">
        <f t="shared" si="10"/>
        <v>25470.770793295669</v>
      </c>
      <c r="C78" s="96">
        <f t="shared" si="11"/>
        <v>7</v>
      </c>
      <c r="D78" s="106">
        <f t="shared" si="12"/>
        <v>9433.6843149966044</v>
      </c>
      <c r="E78" s="112">
        <f t="shared" si="13"/>
        <v>0.1</v>
      </c>
      <c r="F78" s="116">
        <f t="shared" si="13"/>
        <v>7.0000000000000001E-3</v>
      </c>
    </row>
    <row r="79" spans="2:8">
      <c r="B79" s="114">
        <f t="shared" si="10"/>
        <v>35781.787749586962</v>
      </c>
      <c r="C79" s="96">
        <f t="shared" si="11"/>
        <v>8</v>
      </c>
      <c r="D79" s="106">
        <f t="shared" si="12"/>
        <v>10311.016956291291</v>
      </c>
      <c r="E79" s="112">
        <f t="shared" si="13"/>
        <v>0.1</v>
      </c>
      <c r="F79" s="116">
        <f t="shared" si="13"/>
        <v>7.0000000000000001E-3</v>
      </c>
    </row>
    <row r="80" spans="2:8">
      <c r="B80" s="114">
        <f t="shared" si="10"/>
        <v>47051.729282813343</v>
      </c>
      <c r="C80" s="96">
        <f t="shared" si="11"/>
        <v>9</v>
      </c>
      <c r="D80" s="106">
        <f t="shared" si="12"/>
        <v>11269.941533226383</v>
      </c>
      <c r="E80" s="112">
        <f t="shared" si="13"/>
        <v>0.1</v>
      </c>
      <c r="F80" s="116">
        <f t="shared" si="13"/>
        <v>7.0000000000000001E-3</v>
      </c>
    </row>
    <row r="81" spans="2:6">
      <c r="B81" s="114">
        <f t="shared" si="10"/>
        <v>59369.775378629784</v>
      </c>
      <c r="C81" s="96">
        <f t="shared" si="11"/>
        <v>10</v>
      </c>
      <c r="D81" s="106">
        <f t="shared" si="12"/>
        <v>12318.046095816439</v>
      </c>
      <c r="E81" s="112">
        <f t="shared" si="13"/>
        <v>0.1</v>
      </c>
      <c r="F81" s="116">
        <f t="shared" si="13"/>
        <v>7.0000000000000001E-3</v>
      </c>
    </row>
    <row r="82" spans="2:6">
      <c r="B82" s="114">
        <f t="shared" si="10"/>
        <v>72833.399761357156</v>
      </c>
      <c r="C82" s="96">
        <f t="shared" si="11"/>
        <v>11</v>
      </c>
      <c r="D82" s="106">
        <f t="shared" si="12"/>
        <v>13463.62438272737</v>
      </c>
      <c r="E82" s="112">
        <f t="shared" si="13"/>
        <v>0.1</v>
      </c>
      <c r="F82" s="116">
        <f t="shared" si="13"/>
        <v>7.0000000000000001E-3</v>
      </c>
    </row>
    <row r="83" spans="2:6">
      <c r="B83" s="114">
        <f t="shared" si="10"/>
        <v>87549.141211678172</v>
      </c>
      <c r="C83" s="96">
        <f t="shared" si="11"/>
        <v>12</v>
      </c>
      <c r="D83" s="106">
        <f t="shared" si="12"/>
        <v>14715.741450321018</v>
      </c>
      <c r="E83" s="112">
        <f t="shared" si="13"/>
        <v>0.1</v>
      </c>
      <c r="F83" s="116">
        <f t="shared" si="13"/>
        <v>7.0000000000000001E-3</v>
      </c>
    </row>
    <row r="84" spans="2:6">
      <c r="B84" s="114">
        <f t="shared" si="10"/>
        <v>103633.44661687905</v>
      </c>
      <c r="C84" s="96">
        <f t="shared" si="11"/>
        <v>13</v>
      </c>
      <c r="D84" s="106">
        <f t="shared" si="12"/>
        <v>16084.305405200876</v>
      </c>
      <c r="E84" s="112">
        <f t="shared" si="13"/>
        <v>0.1</v>
      </c>
      <c r="F84" s="116">
        <f t="shared" si="13"/>
        <v>7.0000000000000001E-3</v>
      </c>
    </row>
    <row r="85" spans="2:6">
      <c r="B85" s="114">
        <f t="shared" si="10"/>
        <v>121213.59242476361</v>
      </c>
      <c r="C85" s="96">
        <f t="shared" si="11"/>
        <v>14</v>
      </c>
      <c r="D85" s="106">
        <f t="shared" si="12"/>
        <v>17580.145807884561</v>
      </c>
      <c r="E85" s="112">
        <f t="shared" si="13"/>
        <v>0.1</v>
      </c>
      <c r="F85" s="116">
        <f t="shared" si="13"/>
        <v>7.0000000000000001E-3</v>
      </c>
    </row>
    <row r="86" spans="2:6">
      <c r="B86" s="114">
        <f t="shared" si="10"/>
        <v>140428.69179278144</v>
      </c>
      <c r="C86" s="96">
        <f t="shared" si="11"/>
        <v>15</v>
      </c>
      <c r="D86" s="106">
        <f t="shared" si="12"/>
        <v>19215.099368017829</v>
      </c>
      <c r="E86" s="112">
        <f t="shared" si="13"/>
        <v>0.1</v>
      </c>
      <c r="F86" s="116">
        <f t="shared" si="13"/>
        <v>7.0000000000000001E-3</v>
      </c>
    </row>
    <row r="87" spans="2:6">
      <c r="B87" s="114">
        <f t="shared" si="10"/>
        <v>161430.79540202493</v>
      </c>
      <c r="C87" s="96">
        <f t="shared" si="11"/>
        <v>16</v>
      </c>
      <c r="D87" s="106">
        <f t="shared" si="12"/>
        <v>21002.103609243492</v>
      </c>
      <c r="E87" s="112">
        <f t="shared" si="13"/>
        <v>0.1</v>
      </c>
      <c r="F87" s="116">
        <f t="shared" si="13"/>
        <v>7.0000000000000001E-3</v>
      </c>
    </row>
    <row r="88" spans="2:6">
      <c r="B88" s="114">
        <f t="shared" si="10"/>
        <v>184386.09464692808</v>
      </c>
      <c r="C88" s="96">
        <f t="shared" si="11"/>
        <v>17</v>
      </c>
      <c r="D88" s="106">
        <f t="shared" si="12"/>
        <v>22955.299244903141</v>
      </c>
      <c r="E88" s="112">
        <f t="shared" si="13"/>
        <v>0.1</v>
      </c>
      <c r="F88" s="116">
        <f t="shared" si="13"/>
        <v>7.0000000000000001E-3</v>
      </c>
    </row>
    <row r="89" spans="2:6">
      <c r="B89" s="114">
        <f t="shared" si="10"/>
        <v>209476.23672160722</v>
      </c>
      <c r="C89" s="96">
        <f t="shared" si="11"/>
        <v>18</v>
      </c>
      <c r="D89" s="106">
        <f t="shared" si="12"/>
        <v>25090.142074679137</v>
      </c>
      <c r="E89" s="112">
        <f t="shared" si="13"/>
        <v>0.1</v>
      </c>
      <c r="F89" s="116">
        <f t="shared" si="13"/>
        <v>7.0000000000000001E-3</v>
      </c>
    </row>
    <row r="90" spans="2:6">
      <c r="B90" s="114">
        <f t="shared" si="10"/>
        <v>236899.76200923152</v>
      </c>
      <c r="C90" s="96">
        <f t="shared" si="11"/>
        <v>19</v>
      </c>
      <c r="D90" s="106">
        <f t="shared" si="12"/>
        <v>27423.525287624303</v>
      </c>
      <c r="E90" s="112">
        <f t="shared" si="13"/>
        <v>0.1</v>
      </c>
      <c r="F90" s="116">
        <f t="shared" si="13"/>
        <v>7.0000000000000001E-3</v>
      </c>
    </row>
    <row r="91" spans="2:6">
      <c r="B91" s="114">
        <f t="shared" si="10"/>
        <v>266873.6751486049</v>
      </c>
      <c r="C91" s="96">
        <f t="shared" si="11"/>
        <v>20</v>
      </c>
      <c r="D91" s="106">
        <f t="shared" si="12"/>
        <v>29973.91313937337</v>
      </c>
      <c r="E91" s="112">
        <f t="shared" si="13"/>
        <v>0.1</v>
      </c>
      <c r="F91" s="116">
        <f t="shared" si="13"/>
        <v>7.0000000000000001E-3</v>
      </c>
    </row>
    <row r="92" spans="2:6">
      <c r="B92" s="114">
        <f t="shared" si="10"/>
        <v>299635.16220994003</v>
      </c>
      <c r="C92" s="96">
        <f t="shared" si="11"/>
        <v>21</v>
      </c>
      <c r="D92" s="106">
        <f t="shared" si="12"/>
        <v>32761.487061335098</v>
      </c>
      <c r="E92" s="112">
        <f t="shared" si="13"/>
        <v>0.1</v>
      </c>
      <c r="F92" s="116">
        <f t="shared" si="13"/>
        <v>7.0000000000000001E-3</v>
      </c>
    </row>
    <row r="93" spans="2:6">
      <c r="B93" s="114">
        <f t="shared" si="10"/>
        <v>335443.4675679793</v>
      </c>
      <c r="C93" s="96">
        <f t="shared" si="11"/>
        <v>22</v>
      </c>
      <c r="D93" s="106">
        <f t="shared" si="12"/>
        <v>35808.305358039266</v>
      </c>
      <c r="E93" s="112">
        <f t="shared" si="13"/>
        <v>0.1</v>
      </c>
      <c r="F93" s="116">
        <f t="shared" si="13"/>
        <v>7.0000000000000001E-3</v>
      </c>
    </row>
    <row r="94" spans="2:6">
      <c r="B94" s="114">
        <f t="shared" si="10"/>
        <v>374581.94532431621</v>
      </c>
      <c r="C94" s="96">
        <f t="shared" si="11"/>
        <v>23</v>
      </c>
      <c r="D94" s="106">
        <f t="shared" si="12"/>
        <v>39138.477756336928</v>
      </c>
      <c r="E94" s="112">
        <f t="shared" si="13"/>
        <v>0.1</v>
      </c>
      <c r="F94" s="116">
        <f t="shared" si="13"/>
        <v>7.0000000000000001E-3</v>
      </c>
    </row>
    <row r="95" spans="2:6">
      <c r="B95" s="114">
        <f t="shared" si="10"/>
        <v>417360.30151199247</v>
      </c>
      <c r="C95" s="96">
        <f t="shared" si="11"/>
        <v>24</v>
      </c>
      <c r="D95" s="106">
        <f t="shared" si="12"/>
        <v>42778.356187676269</v>
      </c>
      <c r="E95" s="112">
        <f t="shared" si="13"/>
        <v>0.1</v>
      </c>
      <c r="F95" s="116">
        <f t="shared" si="13"/>
        <v>7.0000000000000001E-3</v>
      </c>
    </row>
    <row r="96" spans="2:6">
      <c r="B96" s="114">
        <f t="shared" si="10"/>
        <v>464117.04482512263</v>
      </c>
      <c r="C96" s="96">
        <f t="shared" si="11"/>
        <v>25</v>
      </c>
      <c r="D96" s="106">
        <f t="shared" si="12"/>
        <v>46756.743313130173</v>
      </c>
      <c r="E96" s="112">
        <f t="shared" si="13"/>
        <v>0.1</v>
      </c>
      <c r="F96" s="116">
        <f t="shared" si="13"/>
        <v>7.0000000000000001E-3</v>
      </c>
    </row>
    <row r="97" spans="2:6">
      <c r="B97" s="114">
        <f t="shared" si="10"/>
        <v>515222.16526637389</v>
      </c>
      <c r="C97" s="96">
        <f t="shared" si="11"/>
        <v>26</v>
      </c>
      <c r="D97" s="106">
        <f t="shared" si="12"/>
        <v>51105.120441251289</v>
      </c>
      <c r="E97" s="112">
        <f t="shared" si="13"/>
        <v>0.1</v>
      </c>
      <c r="F97" s="116">
        <f t="shared" si="13"/>
        <v>7.0000000000000001E-3</v>
      </c>
    </row>
    <row r="98" spans="2:6">
      <c r="B98" s="114">
        <f t="shared" si="10"/>
        <v>571080.06190866162</v>
      </c>
      <c r="C98" s="96">
        <f t="shared" si="11"/>
        <v>27</v>
      </c>
      <c r="D98" s="106">
        <f t="shared" si="12"/>
        <v>55857.896642287669</v>
      </c>
      <c r="E98" s="112">
        <f t="shared" si="13"/>
        <v>0.1</v>
      </c>
      <c r="F98" s="116">
        <f t="shared" si="13"/>
        <v>7.0000000000000001E-3</v>
      </c>
    </row>
    <row r="99" spans="2:6">
      <c r="B99" s="114">
        <f t="shared" si="10"/>
        <v>632132.74293868209</v>
      </c>
      <c r="C99" s="96">
        <f t="shared" si="11"/>
        <v>28</v>
      </c>
      <c r="D99" s="106">
        <f t="shared" si="12"/>
        <v>61052.681030020431</v>
      </c>
      <c r="E99" s="112">
        <f t="shared" si="13"/>
        <v>0.1</v>
      </c>
      <c r="F99" s="116">
        <f t="shared" si="13"/>
        <v>7.0000000000000001E-3</v>
      </c>
    </row>
  </sheetData>
  <sortState ref="L29:L55">
    <sortCondition ref="L29"/>
  </sortState>
  <mergeCells count="4">
    <mergeCell ref="B3:C3"/>
    <mergeCell ref="E3:G3"/>
    <mergeCell ref="B36:C36"/>
    <mergeCell ref="B70:C7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5"/>
  <dimension ref="B1:J67"/>
  <sheetViews>
    <sheetView showGridLines="0" workbookViewId="0">
      <selection activeCell="F63" sqref="F63"/>
    </sheetView>
  </sheetViews>
  <sheetFormatPr defaultColWidth="10.875" defaultRowHeight="15.75"/>
  <cols>
    <col min="1" max="1" width="10.875" style="90"/>
    <col min="2" max="2" width="3.125" style="107" bestFit="1" customWidth="1"/>
    <col min="3" max="3" width="17.125" style="90" customWidth="1"/>
    <col min="4" max="4" width="57.125" style="90" bestFit="1" customWidth="1"/>
    <col min="5" max="5" width="8" style="107" bestFit="1" customWidth="1"/>
    <col min="6" max="6" width="24.375" style="107" customWidth="1"/>
    <col min="7" max="7" width="9" style="90" bestFit="1" customWidth="1"/>
    <col min="8" max="16384" width="10.875" style="90"/>
  </cols>
  <sheetData>
    <row r="1" spans="2:10">
      <c r="J1" s="108">
        <f>SUBTOTAL(1,F4:F67)</f>
        <v>0.44301239062499997</v>
      </c>
    </row>
    <row r="2" spans="2:10">
      <c r="B2" s="281" t="s">
        <v>154</v>
      </c>
      <c r="C2" s="280" t="s">
        <v>155</v>
      </c>
      <c r="D2" s="280" t="s">
        <v>156</v>
      </c>
      <c r="E2" s="281" t="s">
        <v>98</v>
      </c>
      <c r="F2" s="281" t="s">
        <v>157</v>
      </c>
      <c r="G2" s="282" t="s">
        <v>158</v>
      </c>
      <c r="H2" s="282"/>
    </row>
    <row r="3" spans="2:10">
      <c r="B3" s="281"/>
      <c r="C3" s="280"/>
      <c r="D3" s="280"/>
      <c r="E3" s="281"/>
      <c r="F3" s="281"/>
      <c r="G3" s="109" t="s">
        <v>159</v>
      </c>
      <c r="H3" s="109" t="s">
        <v>160</v>
      </c>
    </row>
    <row r="4" spans="2:10">
      <c r="B4" s="96">
        <v>1</v>
      </c>
      <c r="C4" s="110" t="s">
        <v>161</v>
      </c>
      <c r="D4" s="110" t="s">
        <v>162</v>
      </c>
      <c r="E4" s="96" t="s">
        <v>46</v>
      </c>
      <c r="F4" s="96">
        <v>0.48035</v>
      </c>
      <c r="G4" s="111">
        <v>42113</v>
      </c>
      <c r="H4" s="111">
        <v>42478</v>
      </c>
    </row>
    <row r="5" spans="2:10">
      <c r="B5" s="96">
        <f>B4+1</f>
        <v>2</v>
      </c>
      <c r="C5" s="110" t="s">
        <v>163</v>
      </c>
      <c r="D5" s="110" t="s">
        <v>164</v>
      </c>
      <c r="E5" s="96" t="s">
        <v>8</v>
      </c>
      <c r="F5" s="96">
        <v>0.32080999999999998</v>
      </c>
      <c r="G5" s="111">
        <v>41944</v>
      </c>
      <c r="H5" s="111">
        <v>42308</v>
      </c>
    </row>
    <row r="6" spans="2:10">
      <c r="B6" s="96">
        <f t="shared" ref="B6:B67" si="0">B5+1</f>
        <v>3</v>
      </c>
      <c r="C6" s="110" t="s">
        <v>165</v>
      </c>
      <c r="D6" s="110" t="s">
        <v>166</v>
      </c>
      <c r="E6" s="96" t="s">
        <v>35</v>
      </c>
      <c r="F6" s="96">
        <v>0.50692000000000004</v>
      </c>
      <c r="G6" s="111">
        <v>42078</v>
      </c>
      <c r="H6" s="111">
        <v>42443</v>
      </c>
    </row>
    <row r="7" spans="2:10">
      <c r="B7" s="96">
        <f t="shared" si="0"/>
        <v>4</v>
      </c>
      <c r="C7" s="110" t="s">
        <v>167</v>
      </c>
      <c r="D7" s="110" t="s">
        <v>168</v>
      </c>
      <c r="E7" s="96" t="s">
        <v>2</v>
      </c>
      <c r="F7" s="96">
        <v>0.43341000000000002</v>
      </c>
      <c r="G7" s="111">
        <v>42037</v>
      </c>
      <c r="H7" s="111">
        <v>42299</v>
      </c>
    </row>
    <row r="8" spans="2:10">
      <c r="B8" s="96">
        <f t="shared" si="0"/>
        <v>5</v>
      </c>
      <c r="C8" s="110" t="s">
        <v>169</v>
      </c>
      <c r="D8" s="110" t="s">
        <v>170</v>
      </c>
      <c r="E8" s="96" t="s">
        <v>9</v>
      </c>
      <c r="F8" s="96">
        <v>0.28977999999999998</v>
      </c>
      <c r="G8" s="111">
        <v>41944</v>
      </c>
      <c r="H8" s="111">
        <v>42308</v>
      </c>
    </row>
    <row r="9" spans="2:10">
      <c r="B9" s="96">
        <f t="shared" si="0"/>
        <v>6</v>
      </c>
      <c r="C9" s="110" t="s">
        <v>171</v>
      </c>
      <c r="D9" s="110" t="s">
        <v>172</v>
      </c>
      <c r="E9" s="96" t="s">
        <v>11</v>
      </c>
      <c r="F9" s="96">
        <v>0.30110999999999999</v>
      </c>
      <c r="G9" s="111">
        <v>41973</v>
      </c>
      <c r="H9" s="111">
        <v>42337</v>
      </c>
    </row>
    <row r="10" spans="2:10">
      <c r="B10" s="96">
        <f t="shared" si="0"/>
        <v>7</v>
      </c>
      <c r="C10" s="110" t="s">
        <v>173</v>
      </c>
      <c r="D10" s="110" t="s">
        <v>174</v>
      </c>
      <c r="E10" s="96" t="s">
        <v>29</v>
      </c>
      <c r="F10" s="96">
        <v>0.41402</v>
      </c>
      <c r="G10" s="111">
        <v>42065</v>
      </c>
      <c r="H10" s="111">
        <v>42299</v>
      </c>
    </row>
    <row r="11" spans="2:10">
      <c r="B11" s="96">
        <f t="shared" si="0"/>
        <v>8</v>
      </c>
      <c r="C11" s="110" t="s">
        <v>175</v>
      </c>
      <c r="D11" s="110" t="s">
        <v>176</v>
      </c>
      <c r="E11" s="96" t="s">
        <v>43</v>
      </c>
      <c r="F11" s="96">
        <v>0.36931000000000003</v>
      </c>
      <c r="G11" s="111">
        <v>42065</v>
      </c>
      <c r="H11" s="111">
        <v>42241</v>
      </c>
    </row>
    <row r="12" spans="2:10">
      <c r="B12" s="96">
        <f t="shared" si="0"/>
        <v>9</v>
      </c>
      <c r="C12" s="110" t="s">
        <v>177</v>
      </c>
      <c r="D12" s="110" t="s">
        <v>178</v>
      </c>
      <c r="E12" s="96" t="s">
        <v>46</v>
      </c>
      <c r="F12" s="96">
        <v>0.45662000000000003</v>
      </c>
      <c r="G12" s="111">
        <v>42065</v>
      </c>
      <c r="H12" s="111">
        <v>42301</v>
      </c>
    </row>
    <row r="13" spans="2:10">
      <c r="B13" s="96">
        <f t="shared" si="0"/>
        <v>10</v>
      </c>
      <c r="C13" s="110" t="s">
        <v>179</v>
      </c>
      <c r="D13" s="110" t="s">
        <v>180</v>
      </c>
      <c r="E13" s="96" t="s">
        <v>44</v>
      </c>
      <c r="F13" s="96">
        <v>0.42881000000000002</v>
      </c>
      <c r="G13" s="111">
        <v>42065</v>
      </c>
      <c r="H13" s="111">
        <v>42222</v>
      </c>
    </row>
    <row r="14" spans="2:10">
      <c r="B14" s="96">
        <f t="shared" si="0"/>
        <v>11</v>
      </c>
      <c r="C14" s="110" t="s">
        <v>181</v>
      </c>
      <c r="D14" s="110" t="s">
        <v>182</v>
      </c>
      <c r="E14" s="96" t="s">
        <v>40</v>
      </c>
      <c r="F14" s="96">
        <v>0.43830999999999998</v>
      </c>
      <c r="G14" s="111">
        <v>42065</v>
      </c>
      <c r="H14" s="111">
        <v>42258</v>
      </c>
    </row>
    <row r="15" spans="2:10">
      <c r="B15" s="96">
        <f t="shared" si="0"/>
        <v>12</v>
      </c>
      <c r="C15" s="110" t="s">
        <v>183</v>
      </c>
      <c r="D15" s="110" t="s">
        <v>184</v>
      </c>
      <c r="E15" s="96" t="s">
        <v>13</v>
      </c>
      <c r="F15" s="96">
        <v>0.49425000000000002</v>
      </c>
      <c r="G15" s="111">
        <v>42065</v>
      </c>
      <c r="H15" s="111">
        <v>42222</v>
      </c>
    </row>
    <row r="16" spans="2:10">
      <c r="B16" s="96">
        <f t="shared" si="0"/>
        <v>13</v>
      </c>
      <c r="C16" s="110" t="s">
        <v>185</v>
      </c>
      <c r="D16" s="110" t="s">
        <v>186</v>
      </c>
      <c r="E16" s="96" t="s">
        <v>27</v>
      </c>
      <c r="F16" s="96">
        <v>0.39523999999999998</v>
      </c>
      <c r="G16" s="111">
        <v>42123</v>
      </c>
      <c r="H16" s="111">
        <v>42488</v>
      </c>
    </row>
    <row r="17" spans="2:8">
      <c r="B17" s="96">
        <f t="shared" si="0"/>
        <v>14</v>
      </c>
      <c r="C17" s="110" t="s">
        <v>187</v>
      </c>
      <c r="D17" s="110" t="s">
        <v>188</v>
      </c>
      <c r="E17" s="96" t="s">
        <v>17</v>
      </c>
      <c r="F17" s="96">
        <v>0.43103999999999998</v>
      </c>
      <c r="G17" s="111">
        <v>42065</v>
      </c>
      <c r="H17" s="111">
        <v>42243</v>
      </c>
    </row>
    <row r="18" spans="2:8">
      <c r="B18" s="96">
        <f t="shared" si="0"/>
        <v>15</v>
      </c>
      <c r="C18" s="110" t="s">
        <v>189</v>
      </c>
      <c r="D18" s="110" t="s">
        <v>190</v>
      </c>
      <c r="E18" s="96" t="s">
        <v>41</v>
      </c>
      <c r="F18" s="96">
        <v>0.4652</v>
      </c>
      <c r="G18" s="111">
        <v>42102</v>
      </c>
      <c r="H18" s="111">
        <v>42467</v>
      </c>
    </row>
    <row r="19" spans="2:8">
      <c r="B19" s="96">
        <f t="shared" si="0"/>
        <v>16</v>
      </c>
      <c r="C19" s="110" t="s">
        <v>191</v>
      </c>
      <c r="D19" s="110" t="s">
        <v>192</v>
      </c>
      <c r="E19" s="96" t="s">
        <v>39</v>
      </c>
      <c r="F19" s="96">
        <v>0.50973999999999997</v>
      </c>
      <c r="G19" s="111">
        <v>42102</v>
      </c>
      <c r="H19" s="111">
        <v>42467</v>
      </c>
    </row>
    <row r="20" spans="2:8">
      <c r="B20" s="96">
        <f t="shared" si="0"/>
        <v>17</v>
      </c>
      <c r="C20" s="110" t="s">
        <v>193</v>
      </c>
      <c r="D20" s="110" t="s">
        <v>194</v>
      </c>
      <c r="E20" s="96" t="s">
        <v>19</v>
      </c>
      <c r="F20" s="96">
        <v>0.41803000000000001</v>
      </c>
      <c r="G20" s="111">
        <v>42065</v>
      </c>
      <c r="H20" s="111">
        <v>42243</v>
      </c>
    </row>
    <row r="21" spans="2:8">
      <c r="B21" s="96">
        <f t="shared" si="0"/>
        <v>18</v>
      </c>
      <c r="C21" s="110" t="s">
        <v>195</v>
      </c>
      <c r="D21" s="110" t="s">
        <v>196</v>
      </c>
      <c r="E21" s="96" t="s">
        <v>197</v>
      </c>
      <c r="F21" s="96">
        <v>0.43731999999999999</v>
      </c>
      <c r="G21" s="111">
        <v>42065</v>
      </c>
      <c r="H21" s="111">
        <v>42337</v>
      </c>
    </row>
    <row r="22" spans="2:8">
      <c r="B22" s="96">
        <f t="shared" si="0"/>
        <v>19</v>
      </c>
      <c r="C22" s="110" t="s">
        <v>198</v>
      </c>
      <c r="D22" s="110" t="s">
        <v>199</v>
      </c>
      <c r="E22" s="96" t="s">
        <v>9</v>
      </c>
      <c r="F22" s="96">
        <v>0.35264000000000001</v>
      </c>
      <c r="G22" s="111">
        <v>41944</v>
      </c>
      <c r="H22" s="111">
        <v>42308</v>
      </c>
    </row>
    <row r="23" spans="2:8">
      <c r="B23" s="96">
        <f t="shared" si="0"/>
        <v>20</v>
      </c>
      <c r="C23" s="110" t="s">
        <v>200</v>
      </c>
      <c r="D23" s="110" t="s">
        <v>201</v>
      </c>
      <c r="E23" s="96" t="s">
        <v>45</v>
      </c>
      <c r="F23" s="96">
        <v>0.48453000000000002</v>
      </c>
      <c r="G23" s="111">
        <v>42065</v>
      </c>
      <c r="H23" s="111">
        <v>42183</v>
      </c>
    </row>
    <row r="24" spans="2:8">
      <c r="B24" s="96">
        <f t="shared" si="0"/>
        <v>21</v>
      </c>
      <c r="C24" s="110" t="s">
        <v>202</v>
      </c>
      <c r="D24" s="110" t="s">
        <v>203</v>
      </c>
      <c r="E24" s="96" t="s">
        <v>40</v>
      </c>
      <c r="F24" s="96">
        <v>0.56166000000000005</v>
      </c>
      <c r="G24" s="111">
        <v>42065</v>
      </c>
      <c r="H24" s="111">
        <v>42258</v>
      </c>
    </row>
    <row r="25" spans="2:8">
      <c r="B25" s="96">
        <f t="shared" si="0"/>
        <v>22</v>
      </c>
      <c r="C25" s="110" t="s">
        <v>204</v>
      </c>
      <c r="D25" s="110" t="s">
        <v>205</v>
      </c>
      <c r="E25" s="96" t="s">
        <v>45</v>
      </c>
      <c r="F25" s="96">
        <v>0.34573999999999999</v>
      </c>
      <c r="G25" s="111">
        <v>41814</v>
      </c>
      <c r="H25" s="111">
        <v>42208</v>
      </c>
    </row>
    <row r="26" spans="2:8">
      <c r="B26" s="96">
        <f t="shared" si="0"/>
        <v>23</v>
      </c>
      <c r="C26" s="110" t="s">
        <v>206</v>
      </c>
      <c r="D26" s="110" t="s">
        <v>207</v>
      </c>
      <c r="E26" s="96" t="s">
        <v>32</v>
      </c>
      <c r="F26" s="96">
        <v>0.38835999999999998</v>
      </c>
      <c r="G26" s="111">
        <v>42116</v>
      </c>
      <c r="H26" s="111">
        <v>42481</v>
      </c>
    </row>
    <row r="27" spans="2:8">
      <c r="B27" s="96">
        <f t="shared" si="0"/>
        <v>24</v>
      </c>
      <c r="C27" s="110" t="s">
        <v>208</v>
      </c>
      <c r="D27" s="110" t="s">
        <v>209</v>
      </c>
      <c r="E27" s="96" t="s">
        <v>21</v>
      </c>
      <c r="F27" s="96">
        <v>0.41796</v>
      </c>
      <c r="G27" s="111">
        <v>42116</v>
      </c>
      <c r="H27" s="111">
        <v>42481</v>
      </c>
    </row>
    <row r="28" spans="2:8">
      <c r="B28" s="96">
        <f t="shared" si="0"/>
        <v>25</v>
      </c>
      <c r="C28" s="110" t="s">
        <v>210</v>
      </c>
      <c r="D28" s="110" t="s">
        <v>211</v>
      </c>
      <c r="E28" s="96" t="s">
        <v>44</v>
      </c>
      <c r="F28" s="96">
        <v>0.52441000000000004</v>
      </c>
      <c r="G28" s="111">
        <v>42065</v>
      </c>
      <c r="H28" s="111">
        <v>42229</v>
      </c>
    </row>
    <row r="29" spans="2:8">
      <c r="B29" s="96">
        <f t="shared" si="0"/>
        <v>26</v>
      </c>
      <c r="C29" s="110" t="s">
        <v>212</v>
      </c>
      <c r="D29" s="110" t="s">
        <v>213</v>
      </c>
      <c r="E29" s="96" t="s">
        <v>45</v>
      </c>
      <c r="F29" s="96">
        <v>0.43036999999999997</v>
      </c>
      <c r="G29" s="111">
        <v>42065</v>
      </c>
      <c r="H29" s="111">
        <v>42178</v>
      </c>
    </row>
    <row r="30" spans="2:8">
      <c r="B30" s="96">
        <f t="shared" si="0"/>
        <v>27</v>
      </c>
      <c r="C30" s="110" t="s">
        <v>214</v>
      </c>
      <c r="D30" s="110" t="s">
        <v>215</v>
      </c>
      <c r="E30" s="96" t="s">
        <v>23</v>
      </c>
      <c r="F30" s="96">
        <v>0.37590000000000001</v>
      </c>
      <c r="G30" s="111">
        <v>42116</v>
      </c>
      <c r="H30" s="111">
        <v>42481</v>
      </c>
    </row>
    <row r="31" spans="2:8">
      <c r="B31" s="96">
        <f t="shared" si="0"/>
        <v>28</v>
      </c>
      <c r="C31" s="110" t="s">
        <v>216</v>
      </c>
      <c r="D31" s="110" t="s">
        <v>217</v>
      </c>
      <c r="E31" s="96" t="s">
        <v>2</v>
      </c>
      <c r="F31" s="96">
        <v>0.39496999999999999</v>
      </c>
      <c r="G31" s="111">
        <v>42065</v>
      </c>
      <c r="H31" s="111">
        <v>42402</v>
      </c>
    </row>
    <row r="32" spans="2:8">
      <c r="B32" s="96">
        <f t="shared" si="0"/>
        <v>29</v>
      </c>
      <c r="C32" s="110" t="s">
        <v>218</v>
      </c>
      <c r="D32" s="110" t="s">
        <v>219</v>
      </c>
      <c r="E32" s="96" t="s">
        <v>2</v>
      </c>
      <c r="F32" s="96">
        <v>0.42560999999999999</v>
      </c>
      <c r="G32" s="111">
        <v>42065</v>
      </c>
      <c r="H32" s="111">
        <v>42402</v>
      </c>
    </row>
    <row r="33" spans="2:8">
      <c r="B33" s="283">
        <v>30</v>
      </c>
      <c r="C33" s="110" t="s">
        <v>220</v>
      </c>
      <c r="D33" s="110" t="s">
        <v>221</v>
      </c>
      <c r="E33" s="96" t="s">
        <v>39</v>
      </c>
      <c r="F33" s="96">
        <v>0.47219</v>
      </c>
      <c r="G33" s="111">
        <v>42065</v>
      </c>
      <c r="H33" s="111">
        <v>42402</v>
      </c>
    </row>
    <row r="34" spans="2:8">
      <c r="B34" s="284"/>
      <c r="C34" s="110" t="s">
        <v>220</v>
      </c>
      <c r="D34" s="110" t="s">
        <v>221</v>
      </c>
      <c r="E34" s="96" t="s">
        <v>2</v>
      </c>
      <c r="F34" s="96">
        <v>0.47219</v>
      </c>
      <c r="G34" s="111">
        <v>42065</v>
      </c>
      <c r="H34" s="111">
        <v>42402</v>
      </c>
    </row>
    <row r="35" spans="2:8">
      <c r="B35" s="283">
        <v>31</v>
      </c>
      <c r="C35" s="110" t="s">
        <v>222</v>
      </c>
      <c r="D35" s="110" t="s">
        <v>223</v>
      </c>
      <c r="E35" s="96" t="s">
        <v>2</v>
      </c>
      <c r="F35" s="96">
        <v>0.48138999999999998</v>
      </c>
      <c r="G35" s="111">
        <v>42065</v>
      </c>
      <c r="H35" s="111">
        <v>42402</v>
      </c>
    </row>
    <row r="36" spans="2:8">
      <c r="B36" s="284"/>
      <c r="C36" s="110" t="s">
        <v>222</v>
      </c>
      <c r="D36" s="110" t="s">
        <v>223</v>
      </c>
      <c r="E36" s="96" t="s">
        <v>45</v>
      </c>
      <c r="F36" s="96">
        <v>0.48138999999999998</v>
      </c>
      <c r="G36" s="111">
        <v>42065</v>
      </c>
      <c r="H36" s="111">
        <v>42402</v>
      </c>
    </row>
    <row r="37" spans="2:8">
      <c r="B37" s="96">
        <f>B35+1</f>
        <v>32</v>
      </c>
      <c r="C37" s="110" t="s">
        <v>224</v>
      </c>
      <c r="D37" s="110" t="s">
        <v>225</v>
      </c>
      <c r="E37" s="96" t="s">
        <v>2</v>
      </c>
      <c r="F37" s="96">
        <v>0.43346000000000001</v>
      </c>
      <c r="G37" s="111">
        <v>42065</v>
      </c>
      <c r="H37" s="111">
        <v>42402</v>
      </c>
    </row>
    <row r="38" spans="2:8">
      <c r="B38" s="96">
        <f t="shared" si="0"/>
        <v>33</v>
      </c>
      <c r="C38" s="110" t="s">
        <v>226</v>
      </c>
      <c r="D38" s="110" t="s">
        <v>227</v>
      </c>
      <c r="E38" s="96" t="s">
        <v>2</v>
      </c>
      <c r="F38" s="96">
        <v>0.36232999999999999</v>
      </c>
      <c r="G38" s="111">
        <v>42065</v>
      </c>
      <c r="H38" s="111">
        <v>42299</v>
      </c>
    </row>
    <row r="39" spans="2:8">
      <c r="B39" s="96">
        <f t="shared" si="0"/>
        <v>34</v>
      </c>
      <c r="C39" s="110" t="s">
        <v>228</v>
      </c>
      <c r="D39" s="110" t="s">
        <v>229</v>
      </c>
      <c r="E39" s="96" t="s">
        <v>2</v>
      </c>
      <c r="F39" s="96">
        <v>0.41964000000000001</v>
      </c>
      <c r="G39" s="111">
        <v>42102</v>
      </c>
      <c r="H39" s="111">
        <v>42467</v>
      </c>
    </row>
    <row r="40" spans="2:8">
      <c r="B40" s="96">
        <f t="shared" si="0"/>
        <v>35</v>
      </c>
      <c r="C40" s="110" t="s">
        <v>230</v>
      </c>
      <c r="D40" s="110" t="s">
        <v>231</v>
      </c>
      <c r="E40" s="96" t="s">
        <v>46</v>
      </c>
      <c r="F40" s="96">
        <v>0.50358999999999998</v>
      </c>
      <c r="G40" s="111">
        <v>42065</v>
      </c>
      <c r="H40" s="111">
        <v>42183</v>
      </c>
    </row>
    <row r="41" spans="2:8">
      <c r="B41" s="96">
        <f t="shared" si="0"/>
        <v>36</v>
      </c>
      <c r="C41" s="110" t="s">
        <v>232</v>
      </c>
      <c r="D41" s="110" t="s">
        <v>233</v>
      </c>
      <c r="E41" s="96" t="s">
        <v>39</v>
      </c>
      <c r="F41" s="96">
        <v>0.41055000000000003</v>
      </c>
      <c r="G41" s="111">
        <v>42065</v>
      </c>
      <c r="H41" s="111">
        <v>42304</v>
      </c>
    </row>
    <row r="42" spans="2:8">
      <c r="B42" s="96">
        <f t="shared" si="0"/>
        <v>37</v>
      </c>
      <c r="C42" s="110" t="s">
        <v>234</v>
      </c>
      <c r="D42" s="110" t="s">
        <v>235</v>
      </c>
      <c r="E42" s="96" t="s">
        <v>25</v>
      </c>
      <c r="F42" s="96">
        <v>0.42520000000000002</v>
      </c>
      <c r="G42" s="111">
        <v>42065</v>
      </c>
      <c r="H42" s="111">
        <v>42403</v>
      </c>
    </row>
    <row r="43" spans="2:8">
      <c r="B43" s="96">
        <f t="shared" si="0"/>
        <v>38</v>
      </c>
      <c r="C43" s="110" t="s">
        <v>236</v>
      </c>
      <c r="D43" s="110" t="s">
        <v>237</v>
      </c>
      <c r="E43" s="96" t="s">
        <v>44</v>
      </c>
      <c r="F43" s="96">
        <v>0.49046000000000001</v>
      </c>
      <c r="G43" s="111">
        <v>42065</v>
      </c>
      <c r="H43" s="111">
        <v>42229</v>
      </c>
    </row>
    <row r="44" spans="2:8">
      <c r="B44" s="96">
        <f t="shared" si="0"/>
        <v>39</v>
      </c>
      <c r="C44" s="110" t="s">
        <v>238</v>
      </c>
      <c r="D44" s="110" t="s">
        <v>239</v>
      </c>
      <c r="E44" s="96" t="s">
        <v>44</v>
      </c>
      <c r="F44" s="96">
        <v>0.48102</v>
      </c>
      <c r="G44" s="111">
        <v>42065</v>
      </c>
      <c r="H44" s="111">
        <v>42229</v>
      </c>
    </row>
    <row r="45" spans="2:8">
      <c r="B45" s="283">
        <f t="shared" si="0"/>
        <v>40</v>
      </c>
      <c r="C45" s="110" t="s">
        <v>240</v>
      </c>
      <c r="D45" s="110" t="s">
        <v>241</v>
      </c>
      <c r="E45" s="96" t="s">
        <v>2</v>
      </c>
      <c r="F45" s="96">
        <v>0.50616000000000005</v>
      </c>
      <c r="G45" s="111">
        <v>42065</v>
      </c>
      <c r="H45" s="111">
        <v>42242</v>
      </c>
    </row>
    <row r="46" spans="2:8">
      <c r="B46" s="284"/>
      <c r="C46" s="110" t="s">
        <v>240</v>
      </c>
      <c r="D46" s="110" t="s">
        <v>241</v>
      </c>
      <c r="E46" s="96" t="s">
        <v>42</v>
      </c>
      <c r="F46" s="96">
        <v>0.50616000000000005</v>
      </c>
      <c r="G46" s="111">
        <v>42065</v>
      </c>
      <c r="H46" s="111">
        <v>42242</v>
      </c>
    </row>
    <row r="47" spans="2:8">
      <c r="B47" s="96">
        <f>B45+1</f>
        <v>41</v>
      </c>
      <c r="C47" s="110" t="s">
        <v>242</v>
      </c>
      <c r="D47" s="110" t="s">
        <v>243</v>
      </c>
      <c r="E47" s="96" t="s">
        <v>7</v>
      </c>
      <c r="F47" s="96">
        <v>0.42514000000000002</v>
      </c>
      <c r="G47" s="111">
        <v>42065</v>
      </c>
      <c r="H47" s="111">
        <v>42337</v>
      </c>
    </row>
    <row r="48" spans="2:8">
      <c r="B48" s="96">
        <f t="shared" si="0"/>
        <v>42</v>
      </c>
      <c r="C48" s="110" t="s">
        <v>244</v>
      </c>
      <c r="D48" s="110" t="s">
        <v>245</v>
      </c>
      <c r="E48" s="96" t="s">
        <v>46</v>
      </c>
      <c r="F48" s="96">
        <v>0.54651000000000005</v>
      </c>
      <c r="G48" s="111">
        <v>42065</v>
      </c>
      <c r="H48" s="111">
        <v>42183</v>
      </c>
    </row>
    <row r="49" spans="2:8">
      <c r="B49" s="96">
        <f t="shared" si="0"/>
        <v>43</v>
      </c>
      <c r="C49" s="110" t="s">
        <v>246</v>
      </c>
      <c r="D49" s="110" t="s">
        <v>247</v>
      </c>
      <c r="E49" s="96" t="s">
        <v>37</v>
      </c>
      <c r="F49" s="96">
        <f>0.37182*1.15</f>
        <v>0.42759299999999995</v>
      </c>
      <c r="G49" s="111">
        <v>42065</v>
      </c>
      <c r="H49" s="111">
        <v>42188</v>
      </c>
    </row>
    <row r="50" spans="2:8">
      <c r="B50" s="96">
        <f t="shared" si="0"/>
        <v>44</v>
      </c>
      <c r="C50" s="110" t="s">
        <v>248</v>
      </c>
      <c r="D50" s="110" t="s">
        <v>249</v>
      </c>
      <c r="E50" s="96" t="s">
        <v>38</v>
      </c>
      <c r="F50" s="96">
        <v>0.50333000000000006</v>
      </c>
      <c r="G50" s="111">
        <v>42065</v>
      </c>
      <c r="H50" s="111">
        <v>42230</v>
      </c>
    </row>
    <row r="51" spans="2:8">
      <c r="B51" s="96">
        <f t="shared" si="0"/>
        <v>45</v>
      </c>
      <c r="C51" s="110" t="s">
        <v>250</v>
      </c>
      <c r="D51" s="110" t="s">
        <v>251</v>
      </c>
      <c r="E51" s="96" t="s">
        <v>39</v>
      </c>
      <c r="F51" s="96">
        <v>0.48898999999999998</v>
      </c>
      <c r="G51" s="111">
        <v>42065</v>
      </c>
      <c r="H51" s="111">
        <v>42172</v>
      </c>
    </row>
    <row r="52" spans="2:8">
      <c r="B52" s="96">
        <f t="shared" si="0"/>
        <v>46</v>
      </c>
      <c r="C52" s="110" t="s">
        <v>252</v>
      </c>
      <c r="D52" s="110" t="s">
        <v>253</v>
      </c>
      <c r="E52" s="96" t="s">
        <v>42</v>
      </c>
      <c r="F52" s="96">
        <v>0.4647</v>
      </c>
      <c r="G52" s="111">
        <v>42102</v>
      </c>
      <c r="H52" s="111">
        <v>42467</v>
      </c>
    </row>
    <row r="53" spans="2:8">
      <c r="B53" s="96">
        <f t="shared" si="0"/>
        <v>47</v>
      </c>
      <c r="C53" s="110" t="s">
        <v>254</v>
      </c>
      <c r="D53" s="110" t="s">
        <v>255</v>
      </c>
      <c r="E53" s="96" t="s">
        <v>35</v>
      </c>
      <c r="F53" s="96">
        <v>0.45944000000000002</v>
      </c>
      <c r="G53" s="111">
        <v>42065</v>
      </c>
      <c r="H53" s="111">
        <v>42172</v>
      </c>
    </row>
    <row r="54" spans="2:8">
      <c r="B54" s="96">
        <f t="shared" si="0"/>
        <v>48</v>
      </c>
      <c r="C54" s="110" t="s">
        <v>256</v>
      </c>
      <c r="D54" s="110" t="s">
        <v>257</v>
      </c>
      <c r="E54" s="96" t="s">
        <v>25</v>
      </c>
      <c r="F54" s="96">
        <v>0.37956000000000001</v>
      </c>
      <c r="G54" s="111">
        <v>42065</v>
      </c>
      <c r="H54" s="111">
        <v>42243</v>
      </c>
    </row>
    <row r="55" spans="2:8">
      <c r="B55" s="96">
        <f t="shared" si="0"/>
        <v>49</v>
      </c>
      <c r="C55" s="110" t="s">
        <v>258</v>
      </c>
      <c r="D55" s="110" t="s">
        <v>259</v>
      </c>
      <c r="E55" s="96" t="s">
        <v>38</v>
      </c>
      <c r="F55" s="96">
        <v>0.45312000000000002</v>
      </c>
      <c r="G55" s="111">
        <v>42065</v>
      </c>
      <c r="H55" s="111">
        <v>42222</v>
      </c>
    </row>
    <row r="56" spans="2:8">
      <c r="B56" s="96">
        <f t="shared" si="0"/>
        <v>50</v>
      </c>
      <c r="C56" s="110" t="s">
        <v>260</v>
      </c>
      <c r="D56" s="110" t="s">
        <v>261</v>
      </c>
      <c r="E56" s="96" t="s">
        <v>30</v>
      </c>
      <c r="F56" s="96">
        <v>0.40934999999999999</v>
      </c>
      <c r="G56" s="111">
        <v>42116</v>
      </c>
      <c r="H56" s="111">
        <v>42481</v>
      </c>
    </row>
    <row r="57" spans="2:8">
      <c r="B57" s="96">
        <f t="shared" si="0"/>
        <v>51</v>
      </c>
      <c r="C57" s="110" t="s">
        <v>262</v>
      </c>
      <c r="D57" s="110" t="s">
        <v>263</v>
      </c>
      <c r="E57" s="96" t="s">
        <v>15</v>
      </c>
      <c r="F57" s="96">
        <v>0.43728</v>
      </c>
      <c r="G57" s="111">
        <v>42065</v>
      </c>
      <c r="H57" s="111">
        <v>42188</v>
      </c>
    </row>
    <row r="58" spans="2:8">
      <c r="B58" s="96">
        <f t="shared" si="0"/>
        <v>52</v>
      </c>
      <c r="C58" s="110" t="s">
        <v>264</v>
      </c>
      <c r="D58" s="110" t="s">
        <v>265</v>
      </c>
      <c r="E58" s="96" t="s">
        <v>45</v>
      </c>
      <c r="F58" s="96">
        <v>0.47498000000000001</v>
      </c>
      <c r="G58" s="111">
        <v>42065</v>
      </c>
      <c r="H58" s="111">
        <v>42241</v>
      </c>
    </row>
    <row r="59" spans="2:8">
      <c r="B59" s="96">
        <f t="shared" si="0"/>
        <v>53</v>
      </c>
      <c r="C59" s="110" t="s">
        <v>266</v>
      </c>
      <c r="D59" s="110" t="s">
        <v>267</v>
      </c>
      <c r="E59" s="96" t="s">
        <v>46</v>
      </c>
      <c r="F59" s="96">
        <v>0.53739000000000003</v>
      </c>
      <c r="G59" s="111">
        <v>42065</v>
      </c>
      <c r="H59" s="111">
        <v>42183</v>
      </c>
    </row>
    <row r="60" spans="2:8">
      <c r="B60" s="96">
        <f t="shared" si="0"/>
        <v>54</v>
      </c>
      <c r="C60" s="110" t="s">
        <v>268</v>
      </c>
      <c r="D60" s="110" t="s">
        <v>269</v>
      </c>
      <c r="E60" s="96" t="s">
        <v>44</v>
      </c>
      <c r="F60" s="96">
        <v>0.39351999999999998</v>
      </c>
      <c r="G60" s="111">
        <v>42065</v>
      </c>
      <c r="H60" s="111">
        <v>42222</v>
      </c>
    </row>
    <row r="61" spans="2:8">
      <c r="B61" s="283">
        <f t="shared" si="0"/>
        <v>55</v>
      </c>
      <c r="C61" s="110" t="s">
        <v>270</v>
      </c>
      <c r="D61" s="110" t="s">
        <v>271</v>
      </c>
      <c r="E61" s="96" t="s">
        <v>11</v>
      </c>
      <c r="F61" s="96">
        <v>0.37079000000000001</v>
      </c>
      <c r="G61" s="111">
        <v>41858</v>
      </c>
      <c r="H61" s="111">
        <v>42222</v>
      </c>
    </row>
    <row r="62" spans="2:8">
      <c r="B62" s="284"/>
      <c r="C62" s="110" t="s">
        <v>270</v>
      </c>
      <c r="D62" s="110" t="s">
        <v>271</v>
      </c>
      <c r="E62" s="96" t="s">
        <v>13</v>
      </c>
      <c r="F62" s="96">
        <v>0.37079000000000001</v>
      </c>
      <c r="G62" s="111">
        <v>41858</v>
      </c>
      <c r="H62" s="111">
        <v>42222</v>
      </c>
    </row>
    <row r="63" spans="2:8">
      <c r="B63" s="96">
        <f>B61+1</f>
        <v>56</v>
      </c>
      <c r="C63" s="110" t="s">
        <v>272</v>
      </c>
      <c r="D63" s="110" t="s">
        <v>273</v>
      </c>
      <c r="E63" s="96" t="s">
        <v>35</v>
      </c>
      <c r="F63" s="96">
        <v>0.46858</v>
      </c>
      <c r="G63" s="111">
        <v>42065</v>
      </c>
      <c r="H63" s="111">
        <v>42314</v>
      </c>
    </row>
    <row r="64" spans="2:8">
      <c r="B64" s="96">
        <f t="shared" si="0"/>
        <v>57</v>
      </c>
      <c r="C64" s="110" t="s">
        <v>274</v>
      </c>
      <c r="D64" s="110" t="s">
        <v>275</v>
      </c>
      <c r="E64" s="96" t="s">
        <v>46</v>
      </c>
      <c r="F64" s="96">
        <v>0.49026999999999998</v>
      </c>
      <c r="G64" s="111">
        <v>42065</v>
      </c>
      <c r="H64" s="111">
        <v>42183</v>
      </c>
    </row>
    <row r="65" spans="2:8">
      <c r="B65" s="96">
        <f t="shared" si="0"/>
        <v>58</v>
      </c>
      <c r="C65" s="110" t="s">
        <v>276</v>
      </c>
      <c r="D65" s="110" t="s">
        <v>277</v>
      </c>
      <c r="E65" s="96" t="s">
        <v>46</v>
      </c>
      <c r="F65" s="96">
        <v>0.46649000000000002</v>
      </c>
      <c r="G65" s="111">
        <v>42065</v>
      </c>
      <c r="H65" s="111">
        <v>42173</v>
      </c>
    </row>
    <row r="66" spans="2:8">
      <c r="B66" s="96">
        <f t="shared" si="0"/>
        <v>59</v>
      </c>
      <c r="C66" s="110" t="s">
        <v>278</v>
      </c>
      <c r="D66" s="110" t="s">
        <v>279</v>
      </c>
      <c r="E66" s="96" t="s">
        <v>30</v>
      </c>
      <c r="F66" s="96">
        <v>0.45773999999999998</v>
      </c>
      <c r="G66" s="111">
        <v>42065</v>
      </c>
      <c r="H66" s="111">
        <v>42351</v>
      </c>
    </row>
    <row r="67" spans="2:8">
      <c r="B67" s="96">
        <f t="shared" si="0"/>
        <v>60</v>
      </c>
      <c r="C67" s="110" t="s">
        <v>280</v>
      </c>
      <c r="D67" s="110" t="s">
        <v>281</v>
      </c>
      <c r="E67" s="96" t="s">
        <v>15</v>
      </c>
      <c r="F67" s="96">
        <v>0.58908000000000005</v>
      </c>
      <c r="G67" s="111">
        <v>42113</v>
      </c>
      <c r="H67" s="111">
        <v>42478</v>
      </c>
    </row>
  </sheetData>
  <sheetProtection password="EA42" sheet="1" objects="1" scenarios="1"/>
  <autoFilter ref="B2:H67">
    <filterColumn colId="5" showButton="0"/>
  </autoFilter>
  <mergeCells count="10">
    <mergeCell ref="B33:B34"/>
    <mergeCell ref="B35:B36"/>
    <mergeCell ref="B45:B46"/>
    <mergeCell ref="B61:B62"/>
    <mergeCell ref="B2:B3"/>
    <mergeCell ref="C2:C3"/>
    <mergeCell ref="D2:D3"/>
    <mergeCell ref="E2:E3"/>
    <mergeCell ref="F2:F3"/>
    <mergeCell ref="G2:H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Planilhas</vt:lpstr>
      </vt:variant>
      <vt:variant>
        <vt:i4>5</vt:i4>
      </vt:variant>
      <vt:variant>
        <vt:lpstr>Intervalos nomeados</vt:lpstr>
      </vt:variant>
      <vt:variant>
        <vt:i4>11</vt:i4>
      </vt:variant>
    </vt:vector>
  </HeadingPairs>
  <TitlesOfParts>
    <vt:vector size="16" baseType="lpstr">
      <vt:lpstr>Proposta</vt:lpstr>
      <vt:lpstr>Informações Cliente e Sistema</vt:lpstr>
      <vt:lpstr>Sistema de Geracao de Orcamento</vt:lpstr>
      <vt:lpstr>Tabelas e Parametros</vt:lpstr>
      <vt:lpstr>Concessionarias e tarifas</vt:lpstr>
      <vt:lpstr>Proposta!Area_de_impressao</vt:lpstr>
      <vt:lpstr>espacokit</vt:lpstr>
      <vt:lpstr>fatorconversao</vt:lpstr>
      <vt:lpstr>fretesp</vt:lpstr>
      <vt:lpstr>IMPOSTO</vt:lpstr>
      <vt:lpstr>kitsolar</vt:lpstr>
      <vt:lpstr>kitsolarbifasico</vt:lpstr>
      <vt:lpstr>kitsolarmonofasico</vt:lpstr>
      <vt:lpstr>kitsolartrifasico</vt:lpstr>
      <vt:lpstr>peso</vt:lpstr>
      <vt:lpstr>tarifamedia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2015-07-23T14:49:48Z</cp:lastPrinted>
  <dcterms:created xsi:type="dcterms:W3CDTF">2015-05-29T18:36:02Z</dcterms:created>
  <dcterms:modified xsi:type="dcterms:W3CDTF">2017-10-04T23:12:21Z</dcterms:modified>
</cp:coreProperties>
</file>