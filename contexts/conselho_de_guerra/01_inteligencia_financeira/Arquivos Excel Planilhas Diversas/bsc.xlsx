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toluci\Desktop\"/>
    </mc:Choice>
  </mc:AlternateContent>
  <bookViews>
    <workbookView xWindow="360" yWindow="105" windowWidth="10380" windowHeight="6030"/>
  </bookViews>
  <sheets>
    <sheet name="Plan1" sheetId="1" r:id="rId1"/>
  </sheets>
  <definedNames>
    <definedName name="_xlnm.Print_Area" localSheetId="0">Plan1!$A$1:$S$124</definedName>
  </definedNames>
  <calcPr calcId="162913"/>
</workbook>
</file>

<file path=xl/calcChain.xml><?xml version="1.0" encoding="utf-8"?>
<calcChain xmlns="http://schemas.openxmlformats.org/spreadsheetml/2006/main">
  <c r="S42" i="1" l="1"/>
  <c r="S31" i="1"/>
  <c r="S30" i="1"/>
  <c r="S29" i="1"/>
  <c r="S16" i="1"/>
  <c r="S38" i="1"/>
  <c r="S40" i="1"/>
  <c r="S41" i="1"/>
  <c r="S39" i="1"/>
  <c r="S33" i="1"/>
  <c r="S34" i="1"/>
  <c r="S32" i="1"/>
  <c r="S20" i="1"/>
  <c r="S6" i="1"/>
  <c r="S7" i="1"/>
  <c r="S8" i="1"/>
  <c r="S9" i="1"/>
  <c r="S10" i="1"/>
  <c r="S11" i="1"/>
  <c r="S12" i="1"/>
  <c r="S13" i="1"/>
  <c r="S14" i="1"/>
  <c r="S15" i="1"/>
  <c r="S24" i="1"/>
  <c r="S25" i="1"/>
  <c r="S27" i="1"/>
  <c r="S28" i="1"/>
  <c r="S5" i="1"/>
</calcChain>
</file>

<file path=xl/sharedStrings.xml><?xml version="1.0" encoding="utf-8"?>
<sst xmlns="http://schemas.openxmlformats.org/spreadsheetml/2006/main" count="466" uniqueCount="210">
  <si>
    <t>INDICADORES</t>
  </si>
  <si>
    <t xml:space="preserve">JAN </t>
  </si>
  <si>
    <t>FEV</t>
  </si>
  <si>
    <t>PERSPECTIVAS</t>
  </si>
  <si>
    <t>Garantir a satisfação do cilente médico</t>
  </si>
  <si>
    <t>Garantir a satisfação do cliente paciente</t>
  </si>
  <si>
    <t>Ser referência no atendimento de alta complexidade na região</t>
  </si>
  <si>
    <t>Número de internações/mês</t>
  </si>
  <si>
    <t>Aumentar a receita</t>
  </si>
  <si>
    <t>CLIENTES</t>
  </si>
  <si>
    <t>Porcentagem de satisfação do cliente paciente</t>
  </si>
  <si>
    <t>Número de cirurgias cardíacas</t>
  </si>
  <si>
    <t>Número de cirurgias neurológicas</t>
  </si>
  <si>
    <t>Número de cirurgias de órtese e prótese(ortopedia)</t>
  </si>
  <si>
    <t>Número de cirurgias plásticas</t>
  </si>
  <si>
    <t>Média de permanência do paciente cirúrgico</t>
  </si>
  <si>
    <t>Média de permanência do paciente clínico</t>
  </si>
  <si>
    <t>Média de permanência na Unidade de Terapia Intensiva Neonatal</t>
  </si>
  <si>
    <t>Taxa de Ocupação UTI Neonatal</t>
  </si>
  <si>
    <t>Porcentagem de adesão ao protocolo de Sepse</t>
  </si>
  <si>
    <t>Porcentagem de adesão ao protocolo de IAM</t>
  </si>
  <si>
    <t>Porcentagem de adesão ao protocolo de PCR</t>
  </si>
  <si>
    <t>Taxa de Mortalidade Hospitalar</t>
  </si>
  <si>
    <t>Taxa Global de Infecção Hospitalar</t>
  </si>
  <si>
    <t>Índice de efetivação</t>
  </si>
  <si>
    <t>Porcentagem de satisfação da pesquisa de clima organizacional</t>
  </si>
  <si>
    <t>Número de trabalhos publicados em revista nacional</t>
  </si>
  <si>
    <t>Número de trabalhos publicados em revista internacional</t>
  </si>
  <si>
    <t>Média de resultado da avaliação de desempenho Gestor</t>
  </si>
  <si>
    <t>Média de resultado da avaliação de desempenho Administrativo</t>
  </si>
  <si>
    <t>Média de resultado da avaliação de desempenho SADT</t>
  </si>
  <si>
    <t>Média de resultado da avaliação de desempenho Apoio</t>
  </si>
  <si>
    <t>Média de resultado da avaliação de desempenho Enfermeiros</t>
  </si>
  <si>
    <t>Média de resultado da avaliação de desempenho Auxiliares/Técnicos de enfermagem</t>
  </si>
  <si>
    <t>Promoção à Saude da comunidade</t>
  </si>
  <si>
    <t>Número de exames de SADT convênio Secretaria Municipal de Saúde</t>
  </si>
  <si>
    <t>Número de campanhas de orientação e prevenção à comunidade</t>
  </si>
  <si>
    <t>Número de vagas abertas X reaproveitamento interno</t>
  </si>
  <si>
    <t>Porcentagem de sinistralidade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</si>
  <si>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</si>
  <si>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</si>
  <si>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</si>
  <si>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</si>
  <si>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</si>
  <si>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</si>
  <si>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</si>
  <si>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</si>
  <si>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</si>
  <si>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</si>
  <si>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SUSTENTABILIDADE</t>
  </si>
  <si>
    <t>Volume em reais de compra medicamentos</t>
  </si>
  <si>
    <t>Número de participação (trabalhos apresentados) em congressos nacionais</t>
  </si>
  <si>
    <t>Número de participação (trabalhos apresentados) em congressos internacionais</t>
  </si>
  <si>
    <t>PROCESSOS</t>
  </si>
  <si>
    <t>APRENDIZADO E CRESCIMENTO</t>
  </si>
  <si>
    <t>Taxa de Ocupação Clínica Médica e Cirúrgica ( 2º;3º,5º CD)</t>
  </si>
  <si>
    <t>Taxa de Ocupação UCO</t>
  </si>
  <si>
    <t>Média de permanência na Unidade Coronariana</t>
  </si>
  <si>
    <t>Porcentagem do lucro líquido/faturamento</t>
  </si>
  <si>
    <t>Número de cirurgias/mês</t>
  </si>
  <si>
    <t>não realizada</t>
  </si>
  <si>
    <t>Número de consultas ambulatoriais que geram procedimentos cirurgicos</t>
  </si>
  <si>
    <t>Aumentar quantidade de resíduo reciclavel.</t>
  </si>
  <si>
    <t>Taxa de Ocupação UTI Adulto -1 andar</t>
  </si>
  <si>
    <t>Taxa de ocupação UTI -5 andar</t>
  </si>
  <si>
    <t>Média de permanência na Unidade de Terapia Intensiva Adulto -5 andar</t>
  </si>
  <si>
    <t>Média de permanência na Unidade de Terapia Intensiva Adulto -1 andar</t>
  </si>
  <si>
    <t>Número de exames de SADT -CT</t>
  </si>
  <si>
    <t>Número de exames de SADT -RS</t>
  </si>
  <si>
    <t>Número de exames de SADT -Mamografia)</t>
  </si>
  <si>
    <t>Taxa de Mortalidade Hospitalar Obtida versus Esperada-UTI Adulto -1 andar</t>
  </si>
  <si>
    <t>Taxa de Mortalidade Hospitalar Obtida versus Esperada-UTI Adulto -5 andar</t>
  </si>
  <si>
    <t>Taxa Global de Infecção na UTI Adulto/1000 pacientes-dia -1 andar</t>
  </si>
  <si>
    <t>Taxa Global de Infecção na UTI Adulto/1000 pacientes-dia - 5 andar</t>
  </si>
  <si>
    <t>Número de eventos sentinela com dano temporário ou permanente ao paciente</t>
  </si>
  <si>
    <t>Otimizar os resultados</t>
  </si>
  <si>
    <t>Atividades Sócio- Educativas (palestras, grupos de reflexões, grupo de adolescentes, tardes culturais)</t>
  </si>
  <si>
    <t>Giro de Estoque medicamento</t>
  </si>
  <si>
    <t>Giro de Estoque materiais</t>
  </si>
  <si>
    <t>Volume em reais de compra materiais  desc - estoque</t>
  </si>
  <si>
    <t>Volume em reais de compra materiais  OPME</t>
  </si>
  <si>
    <t>MÉDIA  ANO 2010</t>
  </si>
  <si>
    <t>Número de partos/cesáreas/mês</t>
  </si>
  <si>
    <t>Porcentagem de glosas /faturamento</t>
  </si>
  <si>
    <t>Volume em reais de compra materiais  consig - Farmácia</t>
  </si>
  <si>
    <t>Consumo médio de água/m3</t>
  </si>
  <si>
    <t>Consumo médio de energia elétrica/kwh</t>
  </si>
  <si>
    <t>Porcentagem de satisfação (ótimo/bom) do cliente médico cirurgião</t>
  </si>
  <si>
    <t>Kg roupa/paciente/dia área não crítica</t>
  </si>
  <si>
    <t>Kg roupa/paciente/dia área crítica</t>
  </si>
  <si>
    <t>novo indicador semestral</t>
  </si>
  <si>
    <t>9,76/30</t>
  </si>
  <si>
    <t>9,16/31,7</t>
  </si>
  <si>
    <t>2,94/40</t>
  </si>
  <si>
    <t>6,66/40</t>
  </si>
  <si>
    <t>2,32/25</t>
  </si>
  <si>
    <t>7,93/40</t>
  </si>
  <si>
    <t>Reduzir em 10%</t>
  </si>
  <si>
    <t>Reduzir em 30%</t>
  </si>
  <si>
    <t>Reduzir 5%</t>
  </si>
  <si>
    <t>Número de acidentes de trabalho</t>
  </si>
  <si>
    <t>Reduzir em 20%</t>
  </si>
  <si>
    <t>Reduzir em 6%</t>
  </si>
  <si>
    <t>Responsável pelo preenchimento</t>
  </si>
  <si>
    <t>SAME</t>
  </si>
  <si>
    <t>ROUPARIA</t>
  </si>
  <si>
    <t>FINANCEIRO</t>
  </si>
  <si>
    <t>CUSTOS</t>
  </si>
  <si>
    <t>SUP. ENFERMAGEM</t>
  </si>
  <si>
    <t>ENC.IMAGEM</t>
  </si>
  <si>
    <t>MARKETING</t>
  </si>
  <si>
    <t>SUP. CC</t>
  </si>
  <si>
    <t>CHEFE COMPRAS</t>
  </si>
  <si>
    <t>COORD. MÉDICO EMG</t>
  </si>
  <si>
    <t>COORD. MÉDICO UTI</t>
  </si>
  <si>
    <t>SCIH</t>
  </si>
  <si>
    <t>QUALIDADE</t>
  </si>
  <si>
    <t>RH</t>
  </si>
  <si>
    <t>CENTRO DE ESTUDOS</t>
  </si>
  <si>
    <t>SOCIAL</t>
  </si>
  <si>
    <t>ENGENHARIA</t>
  </si>
  <si>
    <t>HIGIENE</t>
  </si>
  <si>
    <t>Reduzir 10%</t>
  </si>
  <si>
    <t>Aumentar 10%</t>
  </si>
  <si>
    <t xml:space="preserve">Aumentar 10% </t>
  </si>
  <si>
    <t>indicador anual</t>
  </si>
  <si>
    <t>Excelência Operacional</t>
  </si>
  <si>
    <t>Excelência na Assistência</t>
  </si>
  <si>
    <t>Clima Organizacional</t>
  </si>
  <si>
    <t>Desenvolvimento</t>
  </si>
  <si>
    <t>Divulgação da cultura da sustentabilidade ambiental</t>
  </si>
  <si>
    <t>Número de consultas realizadas na EMG Adulto</t>
  </si>
  <si>
    <t>30 min</t>
  </si>
  <si>
    <t>Média de resultado da avaliação de desempenho setor EMG</t>
  </si>
  <si>
    <t>Média de resultado da avaliação de desempenho UTI 1o Andar</t>
  </si>
  <si>
    <t>Média de resultado da avaliação de desempenho UTI 5º Andar</t>
  </si>
  <si>
    <t>Média de resultado da avaliação de desempenho Centro Cirúrgico</t>
  </si>
  <si>
    <t>Média de resultado da avaliação de desempenho UCO</t>
  </si>
  <si>
    <t>Média de resultado da avaliação de desempenho Unidade de Internação</t>
  </si>
  <si>
    <t>Índice de absenteísmo institucional</t>
  </si>
  <si>
    <t>Índice de absenteísmo EMG</t>
  </si>
  <si>
    <t>Índice de absenteísmo UTI 1º Andar</t>
  </si>
  <si>
    <t>Índice de absenteísmo UTI 5º Andar</t>
  </si>
  <si>
    <t>Índice de absenteísmo UCO</t>
  </si>
  <si>
    <t>Índice de absenteísmo Unidades de Internação</t>
  </si>
  <si>
    <t>Índice de absenteísmo Centro Cirúrgico</t>
  </si>
  <si>
    <t>Índice de turn over institucional</t>
  </si>
  <si>
    <t>Índice de turn over EMG</t>
  </si>
  <si>
    <t>Índice de turn over UTI 1º Andar</t>
  </si>
  <si>
    <t>Índice de turn over UTI 5º andar</t>
  </si>
  <si>
    <t>Índice de turn over UCO</t>
  </si>
  <si>
    <t>Índice de turn over Unidades de Internação</t>
  </si>
  <si>
    <t>Índice de turn over Centro Cirúrgico</t>
  </si>
  <si>
    <t>CC</t>
  </si>
  <si>
    <t>% Adesão ao check list de segurança cirúrgica</t>
  </si>
  <si>
    <t>% de pacientes internados na UCO de característica cirúrgica</t>
  </si>
  <si>
    <t>Porcentagem de aderência ao Plano de Alta pacientes UCO-Unidades de Internação</t>
  </si>
  <si>
    <t>Porcentagem de aderência ao Plano de Alta pacientes- UTI 1º AndarUnidades de Internação</t>
  </si>
  <si>
    <t>Porcentagem de aderência ao Plano de Alta pacientes UTI 5º Andar-Unidades de Internação</t>
  </si>
  <si>
    <t>% de aderência ao Plano de Alta Hospitalar Multidisciplinar para Cirurgia Cardíaca</t>
  </si>
  <si>
    <t>SUP. ENF</t>
  </si>
  <si>
    <t>% de lesão de pele em pacientes de alto risco- Unidade de Internação</t>
  </si>
  <si>
    <t>novo indicador</t>
  </si>
  <si>
    <t>Incidência de perda de SNE unidade de internação</t>
  </si>
  <si>
    <t>CHEFIA UTI</t>
  </si>
  <si>
    <t>78.63%</t>
  </si>
  <si>
    <t>97.56%</t>
  </si>
  <si>
    <t>91.07%</t>
  </si>
  <si>
    <t>CHEFIA UCO</t>
  </si>
  <si>
    <t>COORD. MED EMG</t>
  </si>
  <si>
    <t xml:space="preserve">Índice de substituição de leito </t>
  </si>
  <si>
    <t>% de cirurgias agendadas e suspensas (internos e externos)</t>
  </si>
  <si>
    <t>% de cirurgias realizadas de alta complexidade( soma cardíaca,ortese protese, neurologia e plastica)</t>
  </si>
  <si>
    <t>indicador novo</t>
  </si>
  <si>
    <t>Aumentar em 10%</t>
  </si>
  <si>
    <t>Aumentar 20%</t>
  </si>
  <si>
    <t>Reduzir 50%</t>
  </si>
  <si>
    <t>Reduzir 30%</t>
  </si>
  <si>
    <t>Reduzir 20%</t>
  </si>
  <si>
    <t>SUP ENF</t>
  </si>
  <si>
    <t>XXXX</t>
  </si>
  <si>
    <t>Taxa de Infecção Cirúrgica X Cirurgia Limpa</t>
  </si>
  <si>
    <t>% de internações da emergência em UTI e UCO</t>
  </si>
  <si>
    <t>Tempo médio para atendimento ao paciente amarelo na EMG</t>
  </si>
  <si>
    <t>COORD ENF</t>
  </si>
  <si>
    <t>%  de reinternação de pacientes pós alta em menos de 7 dias</t>
  </si>
  <si>
    <t xml:space="preserve">%Atendimento do paciente classificado como "verde" em até 90 minutos </t>
  </si>
  <si>
    <t>Porcentagem de adesão ao protocolo de TVP e TEP clinico e cirurgico</t>
  </si>
  <si>
    <t xml:space="preserve">Taxa Global de Infecção na UCO/1000 pacientes-dia </t>
  </si>
  <si>
    <t>%  de internacões da emergência  que geram atendimento cirurgico</t>
  </si>
  <si>
    <t>RESPONSABILIDADE SOCIAL E AMBIENTAL</t>
  </si>
  <si>
    <t xml:space="preserve">% DE MORTALIDADE RELACIONADA AO IAM  DOS  PACIENTES COM ADESÃO AO PROTOCOLO            </t>
  </si>
  <si>
    <t>% DE MORTALIDADE RELACIONDA A SEPSE DOS PACIENTES COM ADESÃO AO PROTOCOLO</t>
  </si>
  <si>
    <t>% DE MORTALIDADE RELACIONDA A TEP/TEV DOS PACIENTES COM ADESÃO AO PROTOCOLO</t>
  </si>
  <si>
    <t xml:space="preserve">Aumentar    2 A 3% </t>
  </si>
  <si>
    <t>% de reinternação de pacientes UCO</t>
  </si>
  <si>
    <t>% de reinternação de pacientes  UTI 5 ANDAR</t>
  </si>
  <si>
    <t>% de reinternação de pacientes  UTI 1 ANDAR</t>
  </si>
  <si>
    <t xml:space="preserve">Taxa de Mortalidade Hospitalar Obtida versus Esperada-UCO GRACE IAM SEM SUPRA </t>
  </si>
  <si>
    <t xml:space="preserve">Taxa de Mortalidade Hospitalar Obtida versus Esperada-UCO GRACE IAM COM SUPRA </t>
  </si>
  <si>
    <t>9,71/8,14</t>
  </si>
  <si>
    <t>1/5,74</t>
  </si>
  <si>
    <t>indicador semestral</t>
  </si>
  <si>
    <t>OBJETIVOS ESTRATÉGICOS</t>
  </si>
  <si>
    <t>PAINEL DE INDICADORES 07-04</t>
  </si>
  <si>
    <t>Taxa de ocupação da Maternidade  4ºUND1,RJ CD</t>
  </si>
  <si>
    <t>Número de atendimentos em consultas pediátricas na Unidade Comunitária UND1</t>
  </si>
  <si>
    <t>Tratamentos odontológicos na Unidade Comunitária UND1</t>
  </si>
  <si>
    <t>MÉDIA 2010</t>
  </si>
  <si>
    <t>META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</si>
</sst>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.0%"/>
    <numFmt numFmtId="179" formatCode="0.0"/>
  </numFmts>
  <fonts count="10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9.5"/>
      <name val="Arial"/>
      <family val="2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/>
    <xf numFmtId="0" fontId="0" fillId="0" borderId="0" xfId="0" applyAlignment="1">
      <alignment vertical="center"/>
    </xf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Border="1"/>
    <xf numFmtId="0" fontId="3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/>
    </xf>
    <xf numFmtId="10" fontId="4" fillId="9" borderId="1" xfId="0" applyNumberFormat="1" applyFont="1" applyFill="1" applyBorder="1" applyAlignment="1">
      <alignment horizontal="center" vertical="center" wrapText="1"/>
    </xf>
    <xf numFmtId="10" fontId="4" fillId="9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0" fontId="4" fillId="9" borderId="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10" fontId="4" fillId="8" borderId="1" xfId="0" applyNumberFormat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10" fontId="4" fillId="5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0" fontId="4" fillId="6" borderId="1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/>
    </xf>
    <xf numFmtId="178" fontId="4" fillId="8" borderId="1" xfId="0" applyNumberFormat="1" applyFont="1" applyFill="1" applyBorder="1" applyAlignment="1">
      <alignment horizontal="center" vertical="center" wrapText="1"/>
    </xf>
    <xf numFmtId="178" fontId="4" fillId="8" borderId="1" xfId="0" applyNumberFormat="1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/>
    </xf>
    <xf numFmtId="178" fontId="4" fillId="9" borderId="1" xfId="0" applyNumberFormat="1" applyFont="1" applyFill="1" applyBorder="1" applyAlignment="1">
      <alignment horizontal="center" vertical="center" wrapText="1"/>
    </xf>
    <xf numFmtId="178" fontId="4" fillId="9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0" fontId="8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10" borderId="0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3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9" fontId="8" fillId="1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 wrapText="1"/>
    </xf>
    <xf numFmtId="2" fontId="3" fillId="10" borderId="1" xfId="0" applyNumberFormat="1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8" fillId="10" borderId="1" xfId="0" applyNumberFormat="1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8" fillId="10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10" borderId="1" xfId="0" applyNumberFormat="1" applyFont="1" applyFill="1" applyBorder="1" applyAlignment="1">
      <alignment horizontal="center" vertical="center" wrapText="1"/>
    </xf>
    <xf numFmtId="178" fontId="8" fillId="10" borderId="1" xfId="0" applyNumberFormat="1" applyFont="1" applyFill="1" applyBorder="1" applyAlignment="1">
      <alignment horizontal="center" vertical="center" wrapText="1"/>
    </xf>
    <xf numFmtId="179" fontId="8" fillId="1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8" fontId="8" fillId="10" borderId="3" xfId="0" applyNumberFormat="1" applyFont="1" applyFill="1" applyBorder="1" applyAlignment="1">
      <alignment horizontal="center" vertical="center" wrapText="1"/>
    </xf>
    <xf numFmtId="0" fontId="4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distributed" wrapText="1"/>
    </xf>
    <xf numFmtId="0" fontId="7" fillId="6" borderId="3" xfId="0" applyFont="1" applyFill="1" applyBorder="1" applyAlignment="1">
      <alignment horizontal="center" vertical="center" wrapText="1"/>
    </xf>
    <xf numFmtId="2" fontId="4" fillId="6" borderId="3" xfId="0" applyNumberFormat="1" applyFont="1" applyFill="1" applyBorder="1" applyAlignment="1">
      <alignment horizontal="center" vertical="center" wrapText="1"/>
    </xf>
    <xf numFmtId="9" fontId="8" fillId="1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10" fontId="3" fillId="9" borderId="3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10" fontId="4" fillId="7" borderId="2" xfId="0" applyNumberFormat="1" applyFont="1" applyFill="1" applyBorder="1" applyAlignment="1">
      <alignment horizontal="center" vertical="center" wrapText="1"/>
    </xf>
    <xf numFmtId="10" fontId="8" fillId="10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178" fontId="4" fillId="0" borderId="8" xfId="0" applyNumberFormat="1" applyFont="1" applyBorder="1" applyAlignment="1">
      <alignment horizontal="center" vertical="center"/>
    </xf>
    <xf numFmtId="178" fontId="4" fillId="3" borderId="9" xfId="0" applyNumberFormat="1" applyFont="1" applyFill="1" applyBorder="1" applyAlignment="1">
      <alignment horizontal="center" vertical="center"/>
    </xf>
    <xf numFmtId="178" fontId="4" fillId="4" borderId="9" xfId="0" applyNumberFormat="1" applyFont="1" applyFill="1" applyBorder="1" applyAlignment="1">
      <alignment horizontal="center" vertical="center"/>
    </xf>
    <xf numFmtId="178" fontId="4" fillId="5" borderId="9" xfId="0" applyNumberFormat="1" applyFont="1" applyFill="1" applyBorder="1" applyAlignment="1">
      <alignment horizontal="center" vertical="center"/>
    </xf>
    <xf numFmtId="178" fontId="4" fillId="8" borderId="9" xfId="0" applyNumberFormat="1" applyFont="1" applyFill="1" applyBorder="1" applyAlignment="1">
      <alignment horizontal="center" vertical="center"/>
    </xf>
    <xf numFmtId="178" fontId="4" fillId="6" borderId="9" xfId="0" applyNumberFormat="1" applyFont="1" applyFill="1" applyBorder="1" applyAlignment="1">
      <alignment horizontal="center" vertical="center"/>
    </xf>
    <xf numFmtId="178" fontId="4" fillId="9" borderId="9" xfId="0" applyNumberFormat="1" applyFont="1" applyFill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79" fontId="4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10" fontId="8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/>
    </xf>
    <xf numFmtId="179" fontId="4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0" fontId="4" fillId="8" borderId="9" xfId="0" applyNumberFormat="1" applyFont="1" applyFill="1" applyBorder="1" applyAlignment="1">
      <alignment horizontal="center"/>
    </xf>
    <xf numFmtId="10" fontId="4" fillId="5" borderId="9" xfId="0" applyNumberFormat="1" applyFont="1" applyFill="1" applyBorder="1" applyAlignment="1">
      <alignment horizontal="center"/>
    </xf>
    <xf numFmtId="10" fontId="4" fillId="6" borderId="9" xfId="0" applyNumberFormat="1" applyFont="1" applyFill="1" applyBorder="1" applyAlignment="1">
      <alignment horizontal="center"/>
    </xf>
    <xf numFmtId="10" fontId="4" fillId="3" borderId="9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10" fontId="4" fillId="4" borderId="9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 wrapText="1"/>
    </xf>
    <xf numFmtId="10" fontId="4" fillId="6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0" fontId="4" fillId="9" borderId="9" xfId="0" applyNumberFormat="1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textRotation="90" wrapText="1"/>
    </xf>
    <xf numFmtId="0" fontId="9" fillId="0" borderId="14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textRotation="90" wrapText="1"/>
    </xf>
    <xf numFmtId="0" fontId="9" fillId="0" borderId="16" xfId="0" applyFont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1"/>
  <sheetViews>
    <sheetView tabSelected="1" view="pageBreakPreview" zoomScale="80" zoomScaleNormal="75" zoomScaleSheetLayoutView="75" workbookViewId="0">
      <selection sqref="A1:S3"/>
    </sheetView>
  </sheetViews>
  <sheetFormatPr defaultRowHeight="12.75" x14ac:dyDescent="0.2"/>
  <cols>
    <col min="1" max="1" width="15.5703125" customWidth="1"/>
    <col min="2" max="2" width="20.7109375" style="14" customWidth="1"/>
    <col min="3" max="3" width="52.5703125" style="177" customWidth="1"/>
    <col min="4" max="4" width="16.140625" style="46" customWidth="1"/>
    <col min="5" max="5" width="11.28515625" style="5" customWidth="1"/>
    <col min="6" max="6" width="20.28515625" style="122" bestFit="1" customWidth="1"/>
    <col min="7" max="7" width="14.42578125" style="5" bestFit="1" customWidth="1"/>
    <col min="8" max="8" width="10.85546875" style="5" bestFit="1" customWidth="1"/>
    <col min="9" max="19" width="8.7109375" style="5" customWidth="1"/>
  </cols>
  <sheetData>
    <row r="1" spans="1:19" ht="12.75" customHeight="1" x14ac:dyDescent="0.2">
      <c r="A1" s="251" t="s">
        <v>204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3"/>
    </row>
    <row r="2" spans="1:19" s="1" customFormat="1" ht="12.75" customHeight="1" x14ac:dyDescent="0.2">
      <c r="A2" s="254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6"/>
    </row>
    <row r="3" spans="1:19" s="1" customFormat="1" ht="30" customHeight="1" thickBot="1" x14ac:dyDescent="0.25">
      <c r="A3" s="257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9"/>
    </row>
    <row r="4" spans="1:19" ht="45" customHeight="1" thickBot="1" x14ac:dyDescent="0.25">
      <c r="A4" s="141" t="s">
        <v>3</v>
      </c>
      <c r="B4" s="142" t="s">
        <v>203</v>
      </c>
      <c r="C4" s="142" t="s">
        <v>0</v>
      </c>
      <c r="D4" s="142" t="s">
        <v>103</v>
      </c>
      <c r="E4" s="142" t="s">
        <v>208</v>
      </c>
      <c r="F4" s="142" t="s">
        <v>209</v>
      </c>
      <c r="G4" s="142" t="s">
        <v>1</v>
      </c>
      <c r="H4" s="142" t="s">
        <v>2</v>
      </c>
      <c r="I4" s="142" t="s">
        <v>39</v>
      </c>
      <c r="J4" s="142" t="s">
        <v>40</v>
      </c>
      <c r="K4" s="142" t="s">
        <v>41</v>
      </c>
      <c r="L4" s="142" t="s">
        <v>42</v>
      </c>
      <c r="M4" s="142" t="s">
        <v>43</v>
      </c>
      <c r="N4" s="142" t="s">
        <v>44</v>
      </c>
      <c r="O4" s="142" t="s">
        <v>45</v>
      </c>
      <c r="P4" s="142" t="s">
        <v>46</v>
      </c>
      <c r="Q4" s="142" t="s">
        <v>47</v>
      </c>
      <c r="R4" s="142" t="s">
        <v>48</v>
      </c>
      <c r="S4" s="144" t="s">
        <v>81</v>
      </c>
    </row>
    <row r="5" spans="1:19" ht="24" customHeight="1" x14ac:dyDescent="0.2">
      <c r="A5" s="260" t="s">
        <v>49</v>
      </c>
      <c r="B5" s="268" t="s">
        <v>75</v>
      </c>
      <c r="C5" s="129" t="s">
        <v>55</v>
      </c>
      <c r="D5" s="180" t="s">
        <v>104</v>
      </c>
      <c r="E5" s="181">
        <v>82.754999999999995</v>
      </c>
      <c r="F5" s="182">
        <v>0.85</v>
      </c>
      <c r="G5" s="130">
        <v>80.930000000000007</v>
      </c>
      <c r="H5" s="130">
        <v>78.62</v>
      </c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243">
        <f>MEDIAN(G5:R5)</f>
        <v>79.775000000000006</v>
      </c>
    </row>
    <row r="6" spans="1:19" ht="24" customHeight="1" x14ac:dyDescent="0.2">
      <c r="A6" s="260"/>
      <c r="B6" s="269"/>
      <c r="C6" s="2" t="s">
        <v>205</v>
      </c>
      <c r="D6" s="45" t="s">
        <v>104</v>
      </c>
      <c r="E6" s="147">
        <v>64.669999999999987</v>
      </c>
      <c r="F6" s="146">
        <v>0.65</v>
      </c>
      <c r="G6" s="47">
        <v>69.67</v>
      </c>
      <c r="H6" s="47">
        <v>74.709999999999994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208">
        <f t="shared" ref="S6:S31" si="0">MEDIAN(G6:R6)</f>
        <v>72.19</v>
      </c>
    </row>
    <row r="7" spans="1:19" ht="24" customHeight="1" x14ac:dyDescent="0.2">
      <c r="A7" s="260"/>
      <c r="B7" s="269"/>
      <c r="C7" s="11" t="s">
        <v>18</v>
      </c>
      <c r="D7" s="131" t="s">
        <v>104</v>
      </c>
      <c r="E7" s="148">
        <v>64.02</v>
      </c>
      <c r="F7" s="146">
        <v>0.7</v>
      </c>
      <c r="G7" s="48">
        <v>0.55100000000000005</v>
      </c>
      <c r="H7" s="48">
        <v>0.46189999999999998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208">
        <f t="shared" si="0"/>
        <v>0.50645000000000007</v>
      </c>
    </row>
    <row r="8" spans="1:19" ht="24" customHeight="1" x14ac:dyDescent="0.2">
      <c r="A8" s="260"/>
      <c r="B8" s="269"/>
      <c r="C8" s="31" t="s">
        <v>56</v>
      </c>
      <c r="D8" s="42" t="s">
        <v>104</v>
      </c>
      <c r="E8" s="149">
        <v>80.53</v>
      </c>
      <c r="F8" s="146">
        <v>0.8</v>
      </c>
      <c r="G8" s="49">
        <v>60.67</v>
      </c>
      <c r="H8" s="49">
        <v>74.44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212">
        <f t="shared" si="0"/>
        <v>67.555000000000007</v>
      </c>
    </row>
    <row r="9" spans="1:19" ht="24" customHeight="1" x14ac:dyDescent="0.2">
      <c r="A9" s="260"/>
      <c r="B9" s="269"/>
      <c r="C9" s="24" t="s">
        <v>64</v>
      </c>
      <c r="D9" s="44" t="s">
        <v>104</v>
      </c>
      <c r="E9" s="150">
        <v>86.32</v>
      </c>
      <c r="F9" s="146">
        <v>0.85</v>
      </c>
      <c r="G9" s="50">
        <v>80.61</v>
      </c>
      <c r="H9" s="50">
        <v>88.22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211">
        <f t="shared" si="0"/>
        <v>84.414999999999992</v>
      </c>
    </row>
    <row r="10" spans="1:19" ht="24" customHeight="1" x14ac:dyDescent="0.2">
      <c r="A10" s="260"/>
      <c r="B10" s="269"/>
      <c r="C10" s="20" t="s">
        <v>63</v>
      </c>
      <c r="D10" s="43" t="s">
        <v>104</v>
      </c>
      <c r="E10" s="151">
        <v>81.180000000000007</v>
      </c>
      <c r="F10" s="146">
        <v>0.85</v>
      </c>
      <c r="G10" s="51">
        <v>82.22</v>
      </c>
      <c r="H10" s="51">
        <v>78.7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210">
        <f t="shared" si="0"/>
        <v>80.460000000000008</v>
      </c>
    </row>
    <row r="11" spans="1:19" ht="24" customHeight="1" x14ac:dyDescent="0.2">
      <c r="A11" s="260"/>
      <c r="B11" s="269"/>
      <c r="C11" s="26" t="s">
        <v>15</v>
      </c>
      <c r="D11" s="127" t="s">
        <v>104</v>
      </c>
      <c r="E11" s="145">
        <v>2.5</v>
      </c>
      <c r="F11" s="119">
        <v>2.2999999999999998</v>
      </c>
      <c r="G11" s="52">
        <v>2.52</v>
      </c>
      <c r="H11" s="52">
        <v>2.4500000000000002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214">
        <f t="shared" si="0"/>
        <v>2.4850000000000003</v>
      </c>
    </row>
    <row r="12" spans="1:19" ht="24" customHeight="1" x14ac:dyDescent="0.2">
      <c r="A12" s="260"/>
      <c r="B12" s="269"/>
      <c r="C12" s="26" t="s">
        <v>16</v>
      </c>
      <c r="D12" s="127" t="s">
        <v>104</v>
      </c>
      <c r="E12" s="145">
        <v>5.4749999999999996</v>
      </c>
      <c r="F12" s="119">
        <v>5</v>
      </c>
      <c r="G12" s="52">
        <v>5.62</v>
      </c>
      <c r="H12" s="52">
        <v>4.92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214">
        <f t="shared" si="0"/>
        <v>5.27</v>
      </c>
    </row>
    <row r="13" spans="1:19" ht="24" customHeight="1" x14ac:dyDescent="0.2">
      <c r="A13" s="260"/>
      <c r="B13" s="269"/>
      <c r="C13" s="31" t="s">
        <v>57</v>
      </c>
      <c r="D13" s="42" t="s">
        <v>104</v>
      </c>
      <c r="E13" s="149">
        <v>4.1349999999999998</v>
      </c>
      <c r="F13" s="119">
        <v>4</v>
      </c>
      <c r="G13" s="49">
        <v>4.04</v>
      </c>
      <c r="H13" s="49">
        <v>4.57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212">
        <f t="shared" si="0"/>
        <v>4.3049999999999997</v>
      </c>
    </row>
    <row r="14" spans="1:19" ht="30" customHeight="1" x14ac:dyDescent="0.2">
      <c r="A14" s="260"/>
      <c r="B14" s="269"/>
      <c r="C14" s="24" t="s">
        <v>65</v>
      </c>
      <c r="D14" s="44" t="s">
        <v>104</v>
      </c>
      <c r="E14" s="150">
        <v>6.67</v>
      </c>
      <c r="F14" s="119">
        <v>6</v>
      </c>
      <c r="G14" s="50">
        <v>7.82</v>
      </c>
      <c r="H14" s="50">
        <v>8.73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211">
        <f t="shared" si="0"/>
        <v>8.2750000000000004</v>
      </c>
    </row>
    <row r="15" spans="1:19" ht="30" customHeight="1" x14ac:dyDescent="0.2">
      <c r="A15" s="260"/>
      <c r="B15" s="269"/>
      <c r="C15" s="20" t="s">
        <v>66</v>
      </c>
      <c r="D15" s="43" t="s">
        <v>104</v>
      </c>
      <c r="E15" s="151">
        <v>6.69</v>
      </c>
      <c r="F15" s="119">
        <v>6</v>
      </c>
      <c r="G15" s="51">
        <v>6.88</v>
      </c>
      <c r="H15" s="51">
        <v>4.05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210">
        <f t="shared" si="0"/>
        <v>5.4649999999999999</v>
      </c>
    </row>
    <row r="16" spans="1:19" ht="30" customHeight="1" x14ac:dyDescent="0.2">
      <c r="A16" s="260"/>
      <c r="B16" s="269"/>
      <c r="C16" s="11" t="s">
        <v>17</v>
      </c>
      <c r="D16" s="131" t="s">
        <v>104</v>
      </c>
      <c r="E16" s="148">
        <v>10.77</v>
      </c>
      <c r="F16" s="119">
        <v>10</v>
      </c>
      <c r="G16" s="53">
        <v>8.26</v>
      </c>
      <c r="H16" s="53">
        <v>6.63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208">
        <f t="shared" si="0"/>
        <v>7.4450000000000003</v>
      </c>
    </row>
    <row r="17" spans="1:19" ht="24" customHeight="1" x14ac:dyDescent="0.2">
      <c r="A17" s="260"/>
      <c r="B17" s="269"/>
      <c r="C17" s="17" t="s">
        <v>131</v>
      </c>
      <c r="D17" s="152" t="s">
        <v>104</v>
      </c>
      <c r="E17" s="153">
        <v>17960</v>
      </c>
      <c r="F17" s="119" t="s">
        <v>194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209"/>
    </row>
    <row r="18" spans="1:19" ht="24" customHeight="1" x14ac:dyDescent="0.2">
      <c r="A18" s="260"/>
      <c r="B18" s="269"/>
      <c r="C18" s="10" t="s">
        <v>89</v>
      </c>
      <c r="D18" s="154" t="s">
        <v>105</v>
      </c>
      <c r="E18" s="155">
        <v>18.37</v>
      </c>
      <c r="F18" s="119" t="s">
        <v>178</v>
      </c>
      <c r="G18" s="55">
        <v>17.579999999999998</v>
      </c>
      <c r="H18" s="55">
        <v>16.71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208"/>
    </row>
    <row r="19" spans="1:19" ht="24" customHeight="1" x14ac:dyDescent="0.2">
      <c r="A19" s="260"/>
      <c r="B19" s="270"/>
      <c r="C19" s="10" t="s">
        <v>88</v>
      </c>
      <c r="D19" s="154" t="s">
        <v>105</v>
      </c>
      <c r="E19" s="155">
        <v>8.2200000000000006</v>
      </c>
      <c r="F19" s="119" t="s">
        <v>178</v>
      </c>
      <c r="G19" s="55">
        <v>8.3699999999999992</v>
      </c>
      <c r="H19" s="55">
        <v>7.27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208"/>
    </row>
    <row r="20" spans="1:19" ht="24" customHeight="1" x14ac:dyDescent="0.2">
      <c r="A20" s="260"/>
      <c r="B20" s="262" t="s">
        <v>8</v>
      </c>
      <c r="C20" s="2" t="s">
        <v>7</v>
      </c>
      <c r="D20" s="45" t="s">
        <v>104</v>
      </c>
      <c r="E20" s="147">
        <v>1256.5</v>
      </c>
      <c r="F20" s="119">
        <v>1310</v>
      </c>
      <c r="G20" s="56">
        <v>1257</v>
      </c>
      <c r="H20" s="56">
        <v>1144</v>
      </c>
      <c r="I20" s="56"/>
      <c r="J20" s="56"/>
      <c r="K20" s="47"/>
      <c r="L20" s="47"/>
      <c r="M20" s="47"/>
      <c r="N20" s="47"/>
      <c r="O20" s="47"/>
      <c r="P20" s="47"/>
      <c r="Q20" s="47"/>
      <c r="R20" s="47"/>
      <c r="S20" s="208">
        <f>MEDIAN(G20:R20)</f>
        <v>1200.5</v>
      </c>
    </row>
    <row r="21" spans="1:19" ht="24" customHeight="1" x14ac:dyDescent="0.2">
      <c r="A21" s="260"/>
      <c r="B21" s="262"/>
      <c r="C21" s="35" t="s">
        <v>59</v>
      </c>
      <c r="D21" s="156" t="s">
        <v>104</v>
      </c>
      <c r="E21" s="249">
        <v>678</v>
      </c>
      <c r="F21" s="119">
        <v>730</v>
      </c>
      <c r="G21" s="57">
        <v>648</v>
      </c>
      <c r="H21" s="57">
        <v>596</v>
      </c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213"/>
    </row>
    <row r="22" spans="1:19" ht="30" customHeight="1" x14ac:dyDescent="0.2">
      <c r="A22" s="260"/>
      <c r="B22" s="262"/>
      <c r="C22" s="35" t="s">
        <v>172</v>
      </c>
      <c r="D22" s="156" t="s">
        <v>153</v>
      </c>
      <c r="E22" s="157">
        <v>168</v>
      </c>
      <c r="F22" s="119" t="s">
        <v>123</v>
      </c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213"/>
    </row>
    <row r="23" spans="1:19" ht="30" customHeight="1" x14ac:dyDescent="0.2">
      <c r="A23" s="260"/>
      <c r="B23" s="262"/>
      <c r="C23" s="35" t="s">
        <v>171</v>
      </c>
      <c r="D23" s="156" t="s">
        <v>153</v>
      </c>
      <c r="E23" s="59">
        <v>0.13</v>
      </c>
      <c r="F23" s="118" t="s">
        <v>177</v>
      </c>
      <c r="G23" s="59">
        <v>0.14000000000000001</v>
      </c>
      <c r="H23" s="59">
        <v>0.12</v>
      </c>
      <c r="I23" s="59"/>
      <c r="J23" s="59"/>
      <c r="K23" s="60"/>
      <c r="L23" s="60"/>
      <c r="M23" s="60"/>
      <c r="N23" s="60"/>
      <c r="O23" s="60"/>
      <c r="P23" s="60"/>
      <c r="Q23" s="60"/>
      <c r="R23" s="60"/>
      <c r="S23" s="244"/>
    </row>
    <row r="24" spans="1:19" ht="24" customHeight="1" x14ac:dyDescent="0.2">
      <c r="A24" s="260"/>
      <c r="B24" s="262"/>
      <c r="C24" s="123" t="s">
        <v>82</v>
      </c>
      <c r="D24" s="158" t="s">
        <v>104</v>
      </c>
      <c r="E24" s="159">
        <v>192.1</v>
      </c>
      <c r="F24" s="119">
        <v>200</v>
      </c>
      <c r="G24" s="124">
        <v>241</v>
      </c>
      <c r="H24" s="124">
        <v>209</v>
      </c>
      <c r="I24" s="124"/>
      <c r="J24" s="124"/>
      <c r="K24" s="125"/>
      <c r="L24" s="125"/>
      <c r="M24" s="125"/>
      <c r="N24" s="125"/>
      <c r="O24" s="125"/>
      <c r="P24" s="125"/>
      <c r="Q24" s="125"/>
      <c r="R24" s="125"/>
      <c r="S24" s="245">
        <f t="shared" si="0"/>
        <v>225</v>
      </c>
    </row>
    <row r="25" spans="1:19" ht="24" customHeight="1" x14ac:dyDescent="0.2">
      <c r="A25" s="260"/>
      <c r="B25" s="262"/>
      <c r="C25" s="17" t="s">
        <v>182</v>
      </c>
      <c r="D25" s="152" t="s">
        <v>107</v>
      </c>
      <c r="E25" s="40">
        <v>0.32600000000000001</v>
      </c>
      <c r="F25" s="146">
        <v>0.37</v>
      </c>
      <c r="G25" s="61">
        <v>77</v>
      </c>
      <c r="H25" s="61">
        <v>72</v>
      </c>
      <c r="I25" s="61"/>
      <c r="J25" s="61"/>
      <c r="K25" s="54"/>
      <c r="L25" s="61"/>
      <c r="M25" s="54"/>
      <c r="N25" s="54"/>
      <c r="O25" s="54"/>
      <c r="P25" s="54"/>
      <c r="Q25" s="54"/>
      <c r="R25" s="54"/>
      <c r="S25" s="209">
        <f>MEDIAN(H25:R25)</f>
        <v>72</v>
      </c>
    </row>
    <row r="26" spans="1:19" ht="30" customHeight="1" x14ac:dyDescent="0.2">
      <c r="A26" s="260"/>
      <c r="B26" s="262"/>
      <c r="C26" s="32" t="s">
        <v>155</v>
      </c>
      <c r="D26" s="42" t="s">
        <v>168</v>
      </c>
      <c r="E26" s="119" t="s">
        <v>162</v>
      </c>
      <c r="F26" s="119" t="s">
        <v>162</v>
      </c>
      <c r="G26" s="62"/>
      <c r="H26" s="62"/>
      <c r="I26" s="62"/>
      <c r="J26" s="62"/>
      <c r="K26" s="49"/>
      <c r="L26" s="49"/>
      <c r="M26" s="49"/>
      <c r="N26" s="49"/>
      <c r="O26" s="49"/>
      <c r="P26" s="49"/>
      <c r="Q26" s="49"/>
      <c r="R26" s="49"/>
      <c r="S26" s="212"/>
    </row>
    <row r="27" spans="1:19" ht="30" customHeight="1" x14ac:dyDescent="0.2">
      <c r="A27" s="260"/>
      <c r="B27" s="262"/>
      <c r="C27" s="18" t="s">
        <v>189</v>
      </c>
      <c r="D27" s="152" t="s">
        <v>107</v>
      </c>
      <c r="E27" s="119" t="s">
        <v>162</v>
      </c>
      <c r="F27" s="119" t="s">
        <v>162</v>
      </c>
      <c r="G27" s="61"/>
      <c r="H27" s="61"/>
      <c r="I27" s="61"/>
      <c r="J27" s="61"/>
      <c r="K27" s="54"/>
      <c r="L27" s="54"/>
      <c r="M27" s="54"/>
      <c r="N27" s="54"/>
      <c r="O27" s="54"/>
      <c r="P27" s="54"/>
      <c r="Q27" s="54"/>
      <c r="R27" s="54"/>
      <c r="S27" s="209" t="e">
        <f t="shared" si="0"/>
        <v>#NUM!</v>
      </c>
    </row>
    <row r="28" spans="1:19" ht="30" customHeight="1" x14ac:dyDescent="0.2">
      <c r="A28" s="260"/>
      <c r="B28" s="262"/>
      <c r="C28" s="2" t="s">
        <v>61</v>
      </c>
      <c r="D28" s="45" t="s">
        <v>107</v>
      </c>
      <c r="E28" s="147">
        <v>215</v>
      </c>
      <c r="F28" s="119">
        <v>235</v>
      </c>
      <c r="G28" s="56">
        <v>210</v>
      </c>
      <c r="H28" s="56">
        <v>189</v>
      </c>
      <c r="I28" s="56"/>
      <c r="J28" s="56"/>
      <c r="K28" s="47"/>
      <c r="L28" s="47"/>
      <c r="M28" s="47"/>
      <c r="N28" s="47"/>
      <c r="O28" s="47"/>
      <c r="P28" s="47"/>
      <c r="Q28" s="47"/>
      <c r="R28" s="47"/>
      <c r="S28" s="208">
        <f t="shared" si="0"/>
        <v>199.5</v>
      </c>
    </row>
    <row r="29" spans="1:19" ht="24" customHeight="1" x14ac:dyDescent="0.2">
      <c r="A29" s="260"/>
      <c r="B29" s="262"/>
      <c r="C29" s="11" t="s">
        <v>58</v>
      </c>
      <c r="D29" s="131" t="s">
        <v>106</v>
      </c>
      <c r="E29" s="63">
        <v>0.1004</v>
      </c>
      <c r="F29" s="146">
        <v>0.11</v>
      </c>
      <c r="G29" s="63">
        <v>0.112</v>
      </c>
      <c r="H29" s="63">
        <v>0.10299999999999999</v>
      </c>
      <c r="I29" s="56"/>
      <c r="J29" s="56"/>
      <c r="K29" s="47"/>
      <c r="L29" s="47"/>
      <c r="M29" s="47"/>
      <c r="N29" s="47"/>
      <c r="O29" s="47"/>
      <c r="P29" s="47"/>
      <c r="Q29" s="47"/>
      <c r="R29" s="47"/>
      <c r="S29" s="208">
        <f t="shared" si="0"/>
        <v>0.1075</v>
      </c>
    </row>
    <row r="30" spans="1:19" ht="24" customHeight="1" x14ac:dyDescent="0.2">
      <c r="A30" s="260"/>
      <c r="B30" s="262"/>
      <c r="C30" s="126" t="s">
        <v>170</v>
      </c>
      <c r="D30" s="158" t="s">
        <v>108</v>
      </c>
      <c r="E30" s="160">
        <v>1.1200000000000001</v>
      </c>
      <c r="F30" s="119">
        <v>1</v>
      </c>
      <c r="G30" s="124">
        <v>1.18</v>
      </c>
      <c r="H30" s="124">
        <v>1.1100000000000001</v>
      </c>
      <c r="I30" s="124"/>
      <c r="J30" s="124"/>
      <c r="K30" s="125"/>
      <c r="L30" s="125"/>
      <c r="M30" s="125"/>
      <c r="N30" s="125"/>
      <c r="O30" s="125"/>
      <c r="P30" s="125"/>
      <c r="Q30" s="125"/>
      <c r="R30" s="125"/>
      <c r="S30" s="245">
        <f t="shared" si="0"/>
        <v>1.145</v>
      </c>
    </row>
    <row r="31" spans="1:19" ht="24" customHeight="1" x14ac:dyDescent="0.2">
      <c r="A31" s="260"/>
      <c r="B31" s="262"/>
      <c r="C31" s="12" t="s">
        <v>83</v>
      </c>
      <c r="D31" s="131" t="s">
        <v>106</v>
      </c>
      <c r="E31" s="148">
        <v>1.2999999999999999E-2</v>
      </c>
      <c r="F31" s="118">
        <v>1.2E-2</v>
      </c>
      <c r="G31" s="63">
        <v>1.52E-2</v>
      </c>
      <c r="H31" s="63">
        <v>1.35E-2</v>
      </c>
      <c r="I31" s="56"/>
      <c r="J31" s="56"/>
      <c r="K31" s="47"/>
      <c r="L31" s="47"/>
      <c r="M31" s="47"/>
      <c r="N31" s="47"/>
      <c r="O31" s="47"/>
      <c r="P31" s="47"/>
      <c r="Q31" s="47"/>
      <c r="R31" s="47"/>
      <c r="S31" s="208">
        <f t="shared" si="0"/>
        <v>1.435E-2</v>
      </c>
    </row>
    <row r="32" spans="1:19" ht="24" customHeight="1" x14ac:dyDescent="0.2">
      <c r="A32" s="260"/>
      <c r="B32" s="262"/>
      <c r="C32" s="2" t="s">
        <v>67</v>
      </c>
      <c r="D32" s="45" t="s">
        <v>109</v>
      </c>
      <c r="E32" s="147">
        <v>1348.5</v>
      </c>
      <c r="F32" s="119">
        <v>1485</v>
      </c>
      <c r="G32" s="56">
        <v>1143</v>
      </c>
      <c r="H32" s="56">
        <v>1171</v>
      </c>
      <c r="I32" s="56"/>
      <c r="J32" s="56"/>
      <c r="K32" s="47"/>
      <c r="L32" s="47"/>
      <c r="M32" s="47"/>
      <c r="N32" s="47"/>
      <c r="O32" s="47"/>
      <c r="P32" s="47"/>
      <c r="Q32" s="47"/>
      <c r="R32" s="47"/>
      <c r="S32" s="208">
        <f>MEDIAN(G32:R32)</f>
        <v>1157</v>
      </c>
    </row>
    <row r="33" spans="1:19" ht="24" customHeight="1" x14ac:dyDescent="0.2">
      <c r="A33" s="260"/>
      <c r="B33" s="262"/>
      <c r="C33" s="2" t="s">
        <v>68</v>
      </c>
      <c r="D33" s="45" t="s">
        <v>109</v>
      </c>
      <c r="E33" s="147">
        <v>610.5</v>
      </c>
      <c r="F33" s="119">
        <v>630</v>
      </c>
      <c r="G33" s="56">
        <v>586</v>
      </c>
      <c r="H33" s="56">
        <v>533</v>
      </c>
      <c r="I33" s="56"/>
      <c r="J33" s="56"/>
      <c r="K33" s="47"/>
      <c r="L33" s="47"/>
      <c r="M33" s="47"/>
      <c r="N33" s="47"/>
      <c r="O33" s="47"/>
      <c r="P33" s="47"/>
      <c r="Q33" s="47"/>
      <c r="R33" s="47"/>
      <c r="S33" s="208">
        <f>MEDIAN(G33:R33)</f>
        <v>559.5</v>
      </c>
    </row>
    <row r="34" spans="1:19" ht="24" customHeight="1" thickBot="1" x14ac:dyDescent="0.25">
      <c r="A34" s="261"/>
      <c r="B34" s="263"/>
      <c r="C34" s="3" t="s">
        <v>69</v>
      </c>
      <c r="D34" s="217" t="s">
        <v>109</v>
      </c>
      <c r="E34" s="246">
        <v>283</v>
      </c>
      <c r="F34" s="233">
        <v>295</v>
      </c>
      <c r="G34" s="86">
        <v>258</v>
      </c>
      <c r="H34" s="86">
        <v>238</v>
      </c>
      <c r="I34" s="86"/>
      <c r="J34" s="86"/>
      <c r="K34" s="87"/>
      <c r="L34" s="87"/>
      <c r="M34" s="87"/>
      <c r="N34" s="87"/>
      <c r="O34" s="87"/>
      <c r="P34" s="87"/>
      <c r="Q34" s="87"/>
      <c r="R34" s="87"/>
      <c r="S34" s="234">
        <f>MEDIAN(G34:R34)</f>
        <v>248</v>
      </c>
    </row>
    <row r="35" spans="1:19" ht="45" customHeight="1" thickBot="1" x14ac:dyDescent="0.25">
      <c r="A35" s="141" t="s">
        <v>3</v>
      </c>
      <c r="B35" s="142" t="s">
        <v>203</v>
      </c>
      <c r="C35" s="143" t="s">
        <v>0</v>
      </c>
      <c r="D35" s="142" t="s">
        <v>103</v>
      </c>
      <c r="E35" s="142" t="s">
        <v>208</v>
      </c>
      <c r="F35" s="142" t="s">
        <v>209</v>
      </c>
      <c r="G35" s="143" t="s">
        <v>1</v>
      </c>
      <c r="H35" s="143" t="s">
        <v>2</v>
      </c>
      <c r="I35" s="143" t="s">
        <v>39</v>
      </c>
      <c r="J35" s="143" t="s">
        <v>40</v>
      </c>
      <c r="K35" s="143" t="s">
        <v>41</v>
      </c>
      <c r="L35" s="143" t="s">
        <v>42</v>
      </c>
      <c r="M35" s="143" t="s">
        <v>43</v>
      </c>
      <c r="N35" s="143" t="s">
        <v>44</v>
      </c>
      <c r="O35" s="143" t="s">
        <v>45</v>
      </c>
      <c r="P35" s="143" t="s">
        <v>46</v>
      </c>
      <c r="Q35" s="143" t="s">
        <v>47</v>
      </c>
      <c r="R35" s="143" t="s">
        <v>48</v>
      </c>
      <c r="S35" s="144" t="s">
        <v>81</v>
      </c>
    </row>
    <row r="36" spans="1:19" ht="45" customHeight="1" x14ac:dyDescent="0.2">
      <c r="A36" s="260" t="s">
        <v>9</v>
      </c>
      <c r="B36" s="183" t="s">
        <v>4</v>
      </c>
      <c r="C36" s="36" t="s">
        <v>87</v>
      </c>
      <c r="D36" s="184" t="s">
        <v>110</v>
      </c>
      <c r="E36" s="185" t="s">
        <v>90</v>
      </c>
      <c r="F36" s="182">
        <v>0.85</v>
      </c>
      <c r="G36" s="186" t="s">
        <v>180</v>
      </c>
      <c r="H36" s="65">
        <v>0.58699999999999997</v>
      </c>
      <c r="I36" s="66"/>
      <c r="J36" s="67"/>
      <c r="K36" s="67"/>
      <c r="L36" s="67"/>
      <c r="M36" s="67"/>
      <c r="N36" s="67"/>
      <c r="O36" s="67"/>
      <c r="P36" s="67"/>
      <c r="Q36" s="67"/>
      <c r="R36" s="67"/>
      <c r="S36" s="235"/>
    </row>
    <row r="37" spans="1:19" ht="45" customHeight="1" x14ac:dyDescent="0.2">
      <c r="A37" s="260"/>
      <c r="B37" s="178" t="s">
        <v>5</v>
      </c>
      <c r="C37" s="30" t="s">
        <v>10</v>
      </c>
      <c r="D37" s="133" t="s">
        <v>110</v>
      </c>
      <c r="E37" s="134">
        <v>0.95379999999999998</v>
      </c>
      <c r="F37" s="146">
        <v>0.95</v>
      </c>
      <c r="G37" s="134">
        <v>0.94399999999999995</v>
      </c>
      <c r="H37" s="68"/>
      <c r="I37" s="68"/>
      <c r="J37" s="69"/>
      <c r="K37" s="69"/>
      <c r="L37" s="69"/>
      <c r="M37" s="69"/>
      <c r="N37" s="69"/>
      <c r="O37" s="69"/>
      <c r="P37" s="69"/>
      <c r="Q37" s="69"/>
      <c r="R37" s="69"/>
      <c r="S37" s="190"/>
    </row>
    <row r="38" spans="1:19" ht="24" customHeight="1" x14ac:dyDescent="0.2">
      <c r="A38" s="260"/>
      <c r="B38" s="262" t="s">
        <v>6</v>
      </c>
      <c r="C38" s="34" t="s">
        <v>13</v>
      </c>
      <c r="D38" s="156" t="s">
        <v>111</v>
      </c>
      <c r="E38" s="161">
        <v>97</v>
      </c>
      <c r="F38" s="162">
        <v>110</v>
      </c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213" t="e">
        <f>MEDIAN(G38:R38)</f>
        <v>#NUM!</v>
      </c>
    </row>
    <row r="39" spans="1:19" ht="24" customHeight="1" x14ac:dyDescent="0.2">
      <c r="A39" s="260"/>
      <c r="B39" s="262"/>
      <c r="C39" s="34" t="s">
        <v>11</v>
      </c>
      <c r="D39" s="156" t="s">
        <v>111</v>
      </c>
      <c r="E39" s="157">
        <v>7.3</v>
      </c>
      <c r="F39" s="119">
        <v>8</v>
      </c>
      <c r="G39" s="57">
        <v>7</v>
      </c>
      <c r="H39" s="57">
        <v>4</v>
      </c>
      <c r="I39" s="57"/>
      <c r="J39" s="57"/>
      <c r="K39" s="57"/>
      <c r="L39" s="57"/>
      <c r="M39" s="57"/>
      <c r="N39" s="57"/>
      <c r="O39" s="57"/>
      <c r="P39" s="58"/>
      <c r="Q39" s="58"/>
      <c r="R39" s="58"/>
      <c r="S39" s="213">
        <f>MEDIAN(G39:R39)</f>
        <v>5.5</v>
      </c>
    </row>
    <row r="40" spans="1:19" ht="24" customHeight="1" x14ac:dyDescent="0.2">
      <c r="A40" s="260"/>
      <c r="B40" s="262"/>
      <c r="C40" s="34" t="s">
        <v>12</v>
      </c>
      <c r="D40" s="156" t="s">
        <v>111</v>
      </c>
      <c r="E40" s="157">
        <v>13.9</v>
      </c>
      <c r="F40" s="119">
        <v>15</v>
      </c>
      <c r="G40" s="57">
        <v>14</v>
      </c>
      <c r="H40" s="57">
        <v>8</v>
      </c>
      <c r="I40" s="57"/>
      <c r="J40" s="57"/>
      <c r="K40" s="57"/>
      <c r="L40" s="57"/>
      <c r="M40" s="57"/>
      <c r="N40" s="57"/>
      <c r="O40" s="57"/>
      <c r="P40" s="58"/>
      <c r="Q40" s="58"/>
      <c r="R40" s="58"/>
      <c r="S40" s="213">
        <f>MEDIAN(G40:R40)</f>
        <v>11</v>
      </c>
    </row>
    <row r="41" spans="1:19" ht="24" customHeight="1" x14ac:dyDescent="0.2">
      <c r="A41" s="260"/>
      <c r="B41" s="262"/>
      <c r="C41" s="34" t="s">
        <v>14</v>
      </c>
      <c r="D41" s="156" t="s">
        <v>111</v>
      </c>
      <c r="E41" s="157">
        <v>48.8</v>
      </c>
      <c r="F41" s="119">
        <v>50</v>
      </c>
      <c r="G41" s="57">
        <v>30</v>
      </c>
      <c r="H41" s="57">
        <v>45</v>
      </c>
      <c r="I41" s="57"/>
      <c r="J41" s="57"/>
      <c r="K41" s="57"/>
      <c r="L41" s="57"/>
      <c r="M41" s="57"/>
      <c r="N41" s="57"/>
      <c r="O41" s="57"/>
      <c r="P41" s="58"/>
      <c r="Q41" s="58"/>
      <c r="R41" s="58"/>
      <c r="S41" s="213">
        <f>MEDIAN(G41:R41)</f>
        <v>37.5</v>
      </c>
    </row>
    <row r="42" spans="1:19" ht="24" customHeight="1" x14ac:dyDescent="0.2">
      <c r="A42" s="260"/>
      <c r="B42" s="262"/>
      <c r="C42" s="32" t="s">
        <v>195</v>
      </c>
      <c r="D42" s="42" t="s">
        <v>168</v>
      </c>
      <c r="E42" s="37">
        <v>7.7000000000000002E-3</v>
      </c>
      <c r="F42" s="118" t="s">
        <v>176</v>
      </c>
      <c r="G42" s="37">
        <v>0</v>
      </c>
      <c r="H42" s="37">
        <v>0</v>
      </c>
      <c r="I42" s="37"/>
      <c r="J42" s="37"/>
      <c r="K42" s="37"/>
      <c r="L42" s="37"/>
      <c r="M42" s="37"/>
      <c r="N42" s="37"/>
      <c r="O42" s="37"/>
      <c r="P42" s="70"/>
      <c r="Q42" s="70"/>
      <c r="R42" s="70"/>
      <c r="S42" s="227">
        <f>MEDIAN(G42:R42)</f>
        <v>0</v>
      </c>
    </row>
    <row r="43" spans="1:19" ht="24" customHeight="1" x14ac:dyDescent="0.2">
      <c r="A43" s="260"/>
      <c r="B43" s="262"/>
      <c r="C43" s="23" t="s">
        <v>196</v>
      </c>
      <c r="D43" s="44" t="s">
        <v>164</v>
      </c>
      <c r="E43" s="39">
        <v>2.7000000000000001E-3</v>
      </c>
      <c r="F43" s="118" t="s">
        <v>176</v>
      </c>
      <c r="G43" s="39">
        <v>0</v>
      </c>
      <c r="H43" s="39">
        <v>0</v>
      </c>
      <c r="I43" s="39"/>
      <c r="J43" s="39"/>
      <c r="K43" s="39"/>
      <c r="L43" s="39"/>
      <c r="M43" s="39"/>
      <c r="N43" s="39"/>
      <c r="O43" s="39"/>
      <c r="P43" s="72"/>
      <c r="Q43" s="72"/>
      <c r="R43" s="72"/>
      <c r="S43" s="228"/>
    </row>
    <row r="44" spans="1:19" ht="24" customHeight="1" x14ac:dyDescent="0.2">
      <c r="A44" s="260"/>
      <c r="B44" s="262"/>
      <c r="C44" s="21" t="s">
        <v>197</v>
      </c>
      <c r="D44" s="43" t="s">
        <v>164</v>
      </c>
      <c r="E44" s="38">
        <v>1.3599999999999999E-2</v>
      </c>
      <c r="F44" s="118" t="s">
        <v>176</v>
      </c>
      <c r="G44" s="38">
        <v>0</v>
      </c>
      <c r="H44" s="38">
        <v>0</v>
      </c>
      <c r="I44" s="38"/>
      <c r="J44" s="38"/>
      <c r="K44" s="38"/>
      <c r="L44" s="38"/>
      <c r="M44" s="38"/>
      <c r="N44" s="38"/>
      <c r="O44" s="38"/>
      <c r="P44" s="71"/>
      <c r="Q44" s="71"/>
      <c r="R44" s="71"/>
      <c r="S44" s="236"/>
    </row>
    <row r="45" spans="1:19" ht="33.75" customHeight="1" thickBot="1" x14ac:dyDescent="0.25">
      <c r="A45" s="261"/>
      <c r="B45" s="263"/>
      <c r="C45" s="237" t="s">
        <v>185</v>
      </c>
      <c r="D45" s="238" t="s">
        <v>184</v>
      </c>
      <c r="E45" s="239" t="s">
        <v>162</v>
      </c>
      <c r="F45" s="118" t="s">
        <v>176</v>
      </c>
      <c r="G45" s="239" t="s">
        <v>162</v>
      </c>
      <c r="H45" s="239" t="s">
        <v>162</v>
      </c>
      <c r="I45" s="240"/>
      <c r="J45" s="240"/>
      <c r="K45" s="240"/>
      <c r="L45" s="240"/>
      <c r="M45" s="240"/>
      <c r="N45" s="240"/>
      <c r="O45" s="240"/>
      <c r="P45" s="241"/>
      <c r="Q45" s="241"/>
      <c r="R45" s="241"/>
      <c r="S45" s="242"/>
    </row>
    <row r="46" spans="1:19" ht="45" customHeight="1" thickBot="1" x14ac:dyDescent="0.25">
      <c r="A46" s="141" t="s">
        <v>3</v>
      </c>
      <c r="B46" s="142" t="s">
        <v>203</v>
      </c>
      <c r="C46" s="143" t="s">
        <v>0</v>
      </c>
      <c r="D46" s="142" t="s">
        <v>103</v>
      </c>
      <c r="E46" s="142" t="s">
        <v>208</v>
      </c>
      <c r="F46" s="142" t="s">
        <v>209</v>
      </c>
      <c r="G46" s="143" t="s">
        <v>1</v>
      </c>
      <c r="H46" s="143" t="s">
        <v>2</v>
      </c>
      <c r="I46" s="143" t="s">
        <v>39</v>
      </c>
      <c r="J46" s="143" t="s">
        <v>40</v>
      </c>
      <c r="K46" s="143" t="s">
        <v>41</v>
      </c>
      <c r="L46" s="143" t="s">
        <v>42</v>
      </c>
      <c r="M46" s="143" t="s">
        <v>43</v>
      </c>
      <c r="N46" s="143" t="s">
        <v>44</v>
      </c>
      <c r="O46" s="143" t="s">
        <v>45</v>
      </c>
      <c r="P46" s="143" t="s">
        <v>46</v>
      </c>
      <c r="Q46" s="143" t="s">
        <v>47</v>
      </c>
      <c r="R46" s="143" t="s">
        <v>48</v>
      </c>
      <c r="S46" s="144" t="s">
        <v>81</v>
      </c>
    </row>
    <row r="47" spans="1:19" ht="24" customHeight="1" x14ac:dyDescent="0.2">
      <c r="A47" s="260" t="s">
        <v>53</v>
      </c>
      <c r="B47" s="267" t="s">
        <v>126</v>
      </c>
      <c r="C47" s="7" t="s">
        <v>77</v>
      </c>
      <c r="D47" s="175" t="s">
        <v>112</v>
      </c>
      <c r="E47" s="74">
        <v>1.04</v>
      </c>
      <c r="F47" s="187">
        <v>1</v>
      </c>
      <c r="G47" s="74">
        <v>1.1200000000000001</v>
      </c>
      <c r="H47" s="73">
        <v>1.3</v>
      </c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225"/>
    </row>
    <row r="48" spans="1:19" ht="24" customHeight="1" x14ac:dyDescent="0.2">
      <c r="A48" s="260"/>
      <c r="B48" s="262"/>
      <c r="C48" s="4" t="s">
        <v>78</v>
      </c>
      <c r="D48" s="45" t="s">
        <v>112</v>
      </c>
      <c r="E48" s="47">
        <v>1.01</v>
      </c>
      <c r="F48" s="162">
        <v>0.9</v>
      </c>
      <c r="G48" s="47">
        <v>0.85</v>
      </c>
      <c r="H48" s="53">
        <v>0.95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208"/>
    </row>
    <row r="49" spans="1:19" ht="24" customHeight="1" x14ac:dyDescent="0.2">
      <c r="A49" s="260"/>
      <c r="B49" s="262"/>
      <c r="C49" s="4" t="s">
        <v>50</v>
      </c>
      <c r="D49" s="45" t="s">
        <v>112</v>
      </c>
      <c r="E49" s="163">
        <v>806660</v>
      </c>
      <c r="F49" s="164">
        <v>815000</v>
      </c>
      <c r="G49" s="165">
        <v>506594</v>
      </c>
      <c r="H49" s="75">
        <v>825215.07</v>
      </c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226"/>
    </row>
    <row r="50" spans="1:19" ht="24" customHeight="1" x14ac:dyDescent="0.2">
      <c r="A50" s="260"/>
      <c r="B50" s="262"/>
      <c r="C50" s="4" t="s">
        <v>79</v>
      </c>
      <c r="D50" s="45" t="s">
        <v>112</v>
      </c>
      <c r="E50" s="163">
        <v>802113</v>
      </c>
      <c r="F50" s="164">
        <v>810000</v>
      </c>
      <c r="G50" s="165">
        <v>527421</v>
      </c>
      <c r="H50" s="75">
        <v>762453.46</v>
      </c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226"/>
    </row>
    <row r="51" spans="1:19" ht="24" customHeight="1" x14ac:dyDescent="0.2">
      <c r="A51" s="260"/>
      <c r="B51" s="262"/>
      <c r="C51" s="4" t="s">
        <v>80</v>
      </c>
      <c r="D51" s="45" t="s">
        <v>112</v>
      </c>
      <c r="E51" s="163">
        <v>914814</v>
      </c>
      <c r="F51" s="164" t="s">
        <v>122</v>
      </c>
      <c r="G51" s="165">
        <v>588076</v>
      </c>
      <c r="H51" s="75">
        <v>723421.06</v>
      </c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226"/>
    </row>
    <row r="52" spans="1:19" ht="24" customHeight="1" x14ac:dyDescent="0.2">
      <c r="A52" s="260"/>
      <c r="B52" s="262"/>
      <c r="C52" s="9" t="s">
        <v>84</v>
      </c>
      <c r="D52" s="45" t="s">
        <v>112</v>
      </c>
      <c r="E52" s="163">
        <v>444136</v>
      </c>
      <c r="F52" s="164" t="s">
        <v>122</v>
      </c>
      <c r="G52" s="165">
        <v>540117</v>
      </c>
      <c r="H52" s="75">
        <v>306757.46999999997</v>
      </c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226"/>
    </row>
    <row r="53" spans="1:19" ht="30" customHeight="1" x14ac:dyDescent="0.2">
      <c r="A53" s="260"/>
      <c r="B53" s="262"/>
      <c r="C53" s="33" t="s">
        <v>156</v>
      </c>
      <c r="D53" s="42" t="s">
        <v>168</v>
      </c>
      <c r="E53" s="70">
        <v>0.76119999999999999</v>
      </c>
      <c r="F53" s="166" t="s">
        <v>175</v>
      </c>
      <c r="G53" s="70">
        <v>1</v>
      </c>
      <c r="H53" s="70">
        <v>0.95</v>
      </c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227"/>
    </row>
    <row r="54" spans="1:19" ht="30" customHeight="1" x14ac:dyDescent="0.2">
      <c r="A54" s="260"/>
      <c r="B54" s="262"/>
      <c r="C54" s="22" t="s">
        <v>157</v>
      </c>
      <c r="D54" s="43" t="s">
        <v>164</v>
      </c>
      <c r="E54" s="77" t="s">
        <v>165</v>
      </c>
      <c r="F54" s="166" t="s">
        <v>175</v>
      </c>
      <c r="G54" s="77" t="s">
        <v>166</v>
      </c>
      <c r="H54" s="77" t="s">
        <v>167</v>
      </c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10"/>
    </row>
    <row r="55" spans="1:19" ht="30" customHeight="1" x14ac:dyDescent="0.2">
      <c r="A55" s="260"/>
      <c r="B55" s="262"/>
      <c r="C55" s="25" t="s">
        <v>158</v>
      </c>
      <c r="D55" s="44" t="s">
        <v>164</v>
      </c>
      <c r="E55" s="72">
        <v>0.75860000000000005</v>
      </c>
      <c r="F55" s="166" t="s">
        <v>175</v>
      </c>
      <c r="G55" s="72">
        <v>0.87870000000000004</v>
      </c>
      <c r="H55" s="72">
        <v>1</v>
      </c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228"/>
    </row>
    <row r="56" spans="1:19" ht="30" customHeight="1" x14ac:dyDescent="0.2">
      <c r="A56" s="260"/>
      <c r="B56" s="262"/>
      <c r="C56" s="28" t="s">
        <v>159</v>
      </c>
      <c r="D56" s="127" t="s">
        <v>179</v>
      </c>
      <c r="E56" s="128" t="s">
        <v>162</v>
      </c>
      <c r="F56" s="118">
        <v>0.9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229"/>
    </row>
    <row r="57" spans="1:19" ht="30" customHeight="1" x14ac:dyDescent="0.2">
      <c r="A57" s="260"/>
      <c r="B57" s="262"/>
      <c r="C57" s="17" t="s">
        <v>186</v>
      </c>
      <c r="D57" s="152" t="s">
        <v>169</v>
      </c>
      <c r="E57" s="40">
        <v>0.75</v>
      </c>
      <c r="F57" s="118" t="s">
        <v>162</v>
      </c>
      <c r="G57" s="167"/>
      <c r="H57" s="40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230"/>
    </row>
    <row r="58" spans="1:19" ht="29.25" customHeight="1" x14ac:dyDescent="0.2">
      <c r="A58" s="260"/>
      <c r="B58" s="262" t="s">
        <v>127</v>
      </c>
      <c r="C58" s="26" t="s">
        <v>187</v>
      </c>
      <c r="D58" s="127" t="s">
        <v>113</v>
      </c>
      <c r="E58" s="168">
        <v>0.72</v>
      </c>
      <c r="F58" s="146">
        <v>0.85</v>
      </c>
      <c r="G58" s="127" t="s">
        <v>202</v>
      </c>
      <c r="H58" s="64"/>
      <c r="I58" s="64"/>
      <c r="J58" s="52"/>
      <c r="K58" s="52"/>
      <c r="L58" s="52"/>
      <c r="M58" s="52"/>
      <c r="N58" s="52"/>
      <c r="O58" s="52"/>
      <c r="P58" s="52"/>
      <c r="Q58" s="52"/>
      <c r="R58" s="52"/>
      <c r="S58" s="214"/>
    </row>
    <row r="59" spans="1:19" ht="30" customHeight="1" x14ac:dyDescent="0.2">
      <c r="A59" s="260"/>
      <c r="B59" s="262"/>
      <c r="C59" s="26" t="s">
        <v>193</v>
      </c>
      <c r="D59" s="127" t="s">
        <v>113</v>
      </c>
      <c r="E59" s="168" t="s">
        <v>162</v>
      </c>
      <c r="F59" s="118" t="s">
        <v>162</v>
      </c>
      <c r="G59" s="127" t="s">
        <v>202</v>
      </c>
      <c r="H59" s="64"/>
      <c r="I59" s="64"/>
      <c r="J59" s="52"/>
      <c r="K59" s="52"/>
      <c r="L59" s="52"/>
      <c r="M59" s="52"/>
      <c r="N59" s="52"/>
      <c r="O59" s="52"/>
      <c r="P59" s="52"/>
      <c r="Q59" s="52"/>
      <c r="R59" s="52"/>
      <c r="S59" s="214"/>
    </row>
    <row r="60" spans="1:19" ht="24" customHeight="1" x14ac:dyDescent="0.2">
      <c r="A60" s="260"/>
      <c r="B60" s="262"/>
      <c r="C60" s="18" t="s">
        <v>19</v>
      </c>
      <c r="D60" s="152" t="s">
        <v>113</v>
      </c>
      <c r="E60" s="169">
        <v>0.76</v>
      </c>
      <c r="F60" s="146">
        <v>0.85</v>
      </c>
      <c r="G60" s="152" t="s">
        <v>202</v>
      </c>
      <c r="H60" s="61"/>
      <c r="I60" s="61"/>
      <c r="J60" s="54"/>
      <c r="K60" s="54"/>
      <c r="L60" s="54"/>
      <c r="M60" s="54"/>
      <c r="N60" s="54"/>
      <c r="O60" s="54"/>
      <c r="P60" s="54"/>
      <c r="Q60" s="54"/>
      <c r="R60" s="54"/>
      <c r="S60" s="209"/>
    </row>
    <row r="61" spans="1:19" ht="36" customHeight="1" x14ac:dyDescent="0.2">
      <c r="A61" s="260"/>
      <c r="B61" s="262"/>
      <c r="C61" s="18" t="s">
        <v>192</v>
      </c>
      <c r="D61" s="152" t="s">
        <v>113</v>
      </c>
      <c r="E61" s="247" t="s">
        <v>162</v>
      </c>
      <c r="F61" s="118" t="s">
        <v>162</v>
      </c>
      <c r="G61" s="152" t="s">
        <v>202</v>
      </c>
      <c r="H61" s="61"/>
      <c r="I61" s="61"/>
      <c r="J61" s="54"/>
      <c r="K61" s="54"/>
      <c r="L61" s="54"/>
      <c r="M61" s="54"/>
      <c r="N61" s="54"/>
      <c r="O61" s="54"/>
      <c r="P61" s="54"/>
      <c r="Q61" s="54"/>
      <c r="R61" s="54"/>
      <c r="S61" s="209"/>
    </row>
    <row r="62" spans="1:19" ht="24" customHeight="1" x14ac:dyDescent="0.2">
      <c r="A62" s="260"/>
      <c r="B62" s="262"/>
      <c r="C62" s="18" t="s">
        <v>20</v>
      </c>
      <c r="D62" s="152" t="s">
        <v>113</v>
      </c>
      <c r="E62" s="169">
        <v>0.85</v>
      </c>
      <c r="F62" s="146">
        <v>0.9</v>
      </c>
      <c r="G62" s="152" t="s">
        <v>202</v>
      </c>
      <c r="H62" s="61"/>
      <c r="I62" s="61"/>
      <c r="J62" s="54"/>
      <c r="K62" s="54"/>
      <c r="L62" s="54"/>
      <c r="M62" s="54"/>
      <c r="N62" s="54"/>
      <c r="O62" s="54"/>
      <c r="P62" s="54"/>
      <c r="Q62" s="54"/>
      <c r="R62" s="54"/>
      <c r="S62" s="209"/>
    </row>
    <row r="63" spans="1:19" ht="41.25" customHeight="1" x14ac:dyDescent="0.2">
      <c r="A63" s="260"/>
      <c r="B63" s="262"/>
      <c r="C63" s="18" t="s">
        <v>191</v>
      </c>
      <c r="D63" s="152" t="s">
        <v>113</v>
      </c>
      <c r="E63" s="247" t="s">
        <v>162</v>
      </c>
      <c r="F63" s="118" t="s">
        <v>162</v>
      </c>
      <c r="G63" s="152" t="s">
        <v>202</v>
      </c>
      <c r="H63" s="61"/>
      <c r="I63" s="61"/>
      <c r="J63" s="54"/>
      <c r="K63" s="54"/>
      <c r="L63" s="54"/>
      <c r="M63" s="54"/>
      <c r="N63" s="54"/>
      <c r="O63" s="54"/>
      <c r="P63" s="54"/>
      <c r="Q63" s="54"/>
      <c r="R63" s="54"/>
      <c r="S63" s="209"/>
    </row>
    <row r="64" spans="1:19" ht="24" customHeight="1" x14ac:dyDescent="0.2">
      <c r="A64" s="260"/>
      <c r="B64" s="262"/>
      <c r="C64" s="2" t="s">
        <v>21</v>
      </c>
      <c r="D64" s="131" t="s">
        <v>113</v>
      </c>
      <c r="E64" s="106">
        <v>0.69</v>
      </c>
      <c r="F64" s="146" t="s">
        <v>123</v>
      </c>
      <c r="G64" s="131" t="s">
        <v>202</v>
      </c>
      <c r="H64" s="80"/>
      <c r="I64" s="56"/>
      <c r="J64" s="47"/>
      <c r="K64" s="47"/>
      <c r="L64" s="47"/>
      <c r="M64" s="47"/>
      <c r="N64" s="47"/>
      <c r="O64" s="47"/>
      <c r="P64" s="47"/>
      <c r="Q64" s="47"/>
      <c r="R64" s="47"/>
      <c r="S64" s="208"/>
    </row>
    <row r="65" spans="1:19" ht="24" customHeight="1" x14ac:dyDescent="0.2">
      <c r="A65" s="260"/>
      <c r="B65" s="262"/>
      <c r="C65" s="17" t="s">
        <v>183</v>
      </c>
      <c r="D65" s="152" t="s">
        <v>113</v>
      </c>
      <c r="E65" s="169"/>
      <c r="F65" s="146" t="s">
        <v>132</v>
      </c>
      <c r="G65" s="170"/>
      <c r="H65" s="61"/>
      <c r="I65" s="61"/>
      <c r="J65" s="54"/>
      <c r="K65" s="54"/>
      <c r="L65" s="54"/>
      <c r="M65" s="54"/>
      <c r="N65" s="54"/>
      <c r="O65" s="54"/>
      <c r="P65" s="54"/>
      <c r="Q65" s="54"/>
      <c r="R65" s="54"/>
      <c r="S65" s="209"/>
    </row>
    <row r="66" spans="1:19" ht="24" customHeight="1" x14ac:dyDescent="0.2">
      <c r="A66" s="260"/>
      <c r="B66" s="262"/>
      <c r="C66" s="11" t="s">
        <v>22</v>
      </c>
      <c r="D66" s="131" t="s">
        <v>104</v>
      </c>
      <c r="E66" s="80">
        <v>1.24</v>
      </c>
      <c r="F66" s="119" t="s">
        <v>97</v>
      </c>
      <c r="G66" s="80">
        <v>0.91</v>
      </c>
      <c r="H66" s="80">
        <v>1.1499999999999999</v>
      </c>
      <c r="I66" s="56"/>
      <c r="J66" s="47"/>
      <c r="K66" s="47"/>
      <c r="L66" s="47"/>
      <c r="M66" s="47"/>
      <c r="N66" s="47"/>
      <c r="O66" s="47"/>
      <c r="P66" s="47"/>
      <c r="Q66" s="47"/>
      <c r="R66" s="47"/>
      <c r="S66" s="208"/>
    </row>
    <row r="67" spans="1:19" ht="24" customHeight="1" x14ac:dyDescent="0.2">
      <c r="A67" s="260"/>
      <c r="B67" s="262"/>
      <c r="C67" s="32" t="s">
        <v>199</v>
      </c>
      <c r="D67" s="42" t="s">
        <v>114</v>
      </c>
      <c r="E67" s="248" t="s">
        <v>200</v>
      </c>
      <c r="F67" s="119" t="s">
        <v>97</v>
      </c>
      <c r="G67" s="62"/>
      <c r="H67" s="62"/>
      <c r="I67" s="56"/>
      <c r="J67" s="47"/>
      <c r="K67" s="47"/>
      <c r="L67" s="47"/>
      <c r="M67" s="47"/>
      <c r="N67" s="47"/>
      <c r="O67" s="47"/>
      <c r="P67" s="47"/>
      <c r="Q67" s="47"/>
      <c r="R67" s="47"/>
      <c r="S67" s="208"/>
    </row>
    <row r="68" spans="1:19" ht="30" customHeight="1" x14ac:dyDescent="0.2">
      <c r="A68" s="260"/>
      <c r="B68" s="262"/>
      <c r="C68" s="32" t="s">
        <v>198</v>
      </c>
      <c r="D68" s="42" t="s">
        <v>114</v>
      </c>
      <c r="E68" s="248" t="s">
        <v>201</v>
      </c>
      <c r="F68" s="119" t="s">
        <v>97</v>
      </c>
      <c r="G68" s="62"/>
      <c r="H68" s="62"/>
      <c r="I68" s="62"/>
      <c r="J68" s="49"/>
      <c r="K68" s="49"/>
      <c r="L68" s="49"/>
      <c r="M68" s="49"/>
      <c r="N68" s="49"/>
      <c r="O68" s="49"/>
      <c r="P68" s="49"/>
      <c r="Q68" s="49"/>
      <c r="R68" s="49"/>
      <c r="S68" s="212"/>
    </row>
    <row r="69" spans="1:19" ht="30" customHeight="1" x14ac:dyDescent="0.2">
      <c r="A69" s="260"/>
      <c r="B69" s="262"/>
      <c r="C69" s="23" t="s">
        <v>71</v>
      </c>
      <c r="D69" s="44" t="s">
        <v>114</v>
      </c>
      <c r="E69" s="81" t="s">
        <v>91</v>
      </c>
      <c r="F69" s="119" t="s">
        <v>97</v>
      </c>
      <c r="G69" s="81" t="s">
        <v>93</v>
      </c>
      <c r="H69" s="81" t="s">
        <v>94</v>
      </c>
      <c r="I69" s="82"/>
      <c r="J69" s="50"/>
      <c r="K69" s="50"/>
      <c r="L69" s="50"/>
      <c r="M69" s="50"/>
      <c r="N69" s="50"/>
      <c r="O69" s="50"/>
      <c r="P69" s="50"/>
      <c r="Q69" s="50"/>
      <c r="R69" s="50"/>
      <c r="S69" s="211"/>
    </row>
    <row r="70" spans="1:19" ht="30" customHeight="1" x14ac:dyDescent="0.2">
      <c r="A70" s="260"/>
      <c r="B70" s="262"/>
      <c r="C70" s="20" t="s">
        <v>70</v>
      </c>
      <c r="D70" s="43" t="s">
        <v>114</v>
      </c>
      <c r="E70" s="83" t="s">
        <v>92</v>
      </c>
      <c r="F70" s="119" t="s">
        <v>97</v>
      </c>
      <c r="G70" s="83" t="s">
        <v>95</v>
      </c>
      <c r="H70" s="83" t="s">
        <v>96</v>
      </c>
      <c r="I70" s="84"/>
      <c r="J70" s="51"/>
      <c r="K70" s="51"/>
      <c r="L70" s="51"/>
      <c r="M70" s="51"/>
      <c r="N70" s="51"/>
      <c r="O70" s="51"/>
      <c r="P70" s="51"/>
      <c r="Q70" s="51"/>
      <c r="R70" s="51"/>
      <c r="S70" s="210"/>
    </row>
    <row r="71" spans="1:19" ht="24" customHeight="1" x14ac:dyDescent="0.2">
      <c r="A71" s="260"/>
      <c r="B71" s="262"/>
      <c r="C71" s="2" t="s">
        <v>23</v>
      </c>
      <c r="D71" s="45" t="s">
        <v>115</v>
      </c>
      <c r="E71" s="16">
        <v>2.8000000000000001E-2</v>
      </c>
      <c r="F71" s="118" t="s">
        <v>97</v>
      </c>
      <c r="G71" s="16">
        <v>2.7199999999999998E-2</v>
      </c>
      <c r="H71" s="80"/>
      <c r="I71" s="56"/>
      <c r="J71" s="47"/>
      <c r="K71" s="47"/>
      <c r="L71" s="47"/>
      <c r="M71" s="47"/>
      <c r="N71" s="47"/>
      <c r="O71" s="47"/>
      <c r="P71" s="47"/>
      <c r="Q71" s="47"/>
      <c r="R71" s="47"/>
      <c r="S71" s="208"/>
    </row>
    <row r="72" spans="1:19" ht="24" customHeight="1" x14ac:dyDescent="0.2">
      <c r="A72" s="260"/>
      <c r="B72" s="262"/>
      <c r="C72" s="34" t="s">
        <v>181</v>
      </c>
      <c r="D72" s="156" t="s">
        <v>115</v>
      </c>
      <c r="E72" s="59">
        <v>8.6E-3</v>
      </c>
      <c r="F72" s="118" t="s">
        <v>97</v>
      </c>
      <c r="G72" s="59">
        <v>3.5000000000000001E-3</v>
      </c>
      <c r="H72" s="57"/>
      <c r="I72" s="57"/>
      <c r="J72" s="58"/>
      <c r="K72" s="58"/>
      <c r="L72" s="58"/>
      <c r="M72" s="58"/>
      <c r="N72" s="58"/>
      <c r="O72" s="58"/>
      <c r="P72" s="58"/>
      <c r="Q72" s="58"/>
      <c r="R72" s="58"/>
      <c r="S72" s="213"/>
    </row>
    <row r="73" spans="1:19" ht="24" customHeight="1" x14ac:dyDescent="0.2">
      <c r="A73" s="260"/>
      <c r="B73" s="262"/>
      <c r="C73" s="35" t="s">
        <v>154</v>
      </c>
      <c r="D73" s="156" t="s">
        <v>153</v>
      </c>
      <c r="E73" s="59" t="s">
        <v>173</v>
      </c>
      <c r="F73" s="118" t="s">
        <v>162</v>
      </c>
      <c r="G73" s="59"/>
      <c r="H73" s="57"/>
      <c r="I73" s="57"/>
      <c r="J73" s="58"/>
      <c r="K73" s="58"/>
      <c r="L73" s="58"/>
      <c r="M73" s="58"/>
      <c r="N73" s="58"/>
      <c r="O73" s="58"/>
      <c r="P73" s="58"/>
      <c r="Q73" s="58"/>
      <c r="R73" s="58"/>
      <c r="S73" s="213"/>
    </row>
    <row r="74" spans="1:19" ht="30" customHeight="1" x14ac:dyDescent="0.2">
      <c r="A74" s="260"/>
      <c r="B74" s="262"/>
      <c r="C74" s="21" t="s">
        <v>72</v>
      </c>
      <c r="D74" s="43" t="s">
        <v>115</v>
      </c>
      <c r="E74" s="84">
        <v>25.86</v>
      </c>
      <c r="F74" s="171" t="s">
        <v>97</v>
      </c>
      <c r="G74" s="84">
        <v>23.18</v>
      </c>
      <c r="H74" s="84"/>
      <c r="I74" s="84"/>
      <c r="J74" s="51"/>
      <c r="K74" s="51"/>
      <c r="L74" s="51"/>
      <c r="M74" s="51"/>
      <c r="N74" s="51"/>
      <c r="O74" s="51"/>
      <c r="P74" s="51"/>
      <c r="Q74" s="51"/>
      <c r="R74" s="51"/>
      <c r="S74" s="210"/>
    </row>
    <row r="75" spans="1:19" ht="30" customHeight="1" x14ac:dyDescent="0.2">
      <c r="A75" s="260"/>
      <c r="B75" s="262"/>
      <c r="C75" s="24" t="s">
        <v>73</v>
      </c>
      <c r="D75" s="44" t="s">
        <v>115</v>
      </c>
      <c r="E75" s="82">
        <v>26.24</v>
      </c>
      <c r="F75" s="119" t="s">
        <v>97</v>
      </c>
      <c r="G75" s="82">
        <v>25.27</v>
      </c>
      <c r="H75" s="82"/>
      <c r="I75" s="82"/>
      <c r="J75" s="50"/>
      <c r="K75" s="50"/>
      <c r="L75" s="50"/>
      <c r="M75" s="50"/>
      <c r="N75" s="50"/>
      <c r="O75" s="50"/>
      <c r="P75" s="50"/>
      <c r="Q75" s="50"/>
      <c r="R75" s="50"/>
      <c r="S75" s="211"/>
    </row>
    <row r="76" spans="1:19" ht="24" customHeight="1" x14ac:dyDescent="0.2">
      <c r="A76" s="260"/>
      <c r="B76" s="262"/>
      <c r="C76" s="31" t="s">
        <v>188</v>
      </c>
      <c r="D76" s="42" t="s">
        <v>115</v>
      </c>
      <c r="E76" s="62">
        <v>15.62</v>
      </c>
      <c r="F76" s="119" t="s">
        <v>97</v>
      </c>
      <c r="G76" s="62">
        <v>10.26</v>
      </c>
      <c r="H76" s="62"/>
      <c r="I76" s="62"/>
      <c r="J76" s="49"/>
      <c r="K76" s="49"/>
      <c r="L76" s="49"/>
      <c r="M76" s="49"/>
      <c r="N76" s="49"/>
      <c r="O76" s="49"/>
      <c r="P76" s="49"/>
      <c r="Q76" s="49"/>
      <c r="R76" s="49"/>
      <c r="S76" s="212"/>
    </row>
    <row r="77" spans="1:19" ht="30" customHeight="1" x14ac:dyDescent="0.2">
      <c r="A77" s="260"/>
      <c r="B77" s="262"/>
      <c r="C77" s="27" t="s">
        <v>161</v>
      </c>
      <c r="D77" s="127" t="s">
        <v>160</v>
      </c>
      <c r="E77" s="128">
        <v>7.1000000000000004E-3</v>
      </c>
      <c r="F77" s="119" t="s">
        <v>97</v>
      </c>
      <c r="G77" s="128">
        <v>6.4999999999999997E-3</v>
      </c>
      <c r="H77" s="128">
        <v>1.23E-2</v>
      </c>
      <c r="I77" s="128"/>
      <c r="J77" s="78"/>
      <c r="K77" s="78"/>
      <c r="L77" s="78"/>
      <c r="M77" s="78"/>
      <c r="N77" s="78"/>
      <c r="O77" s="78"/>
      <c r="P77" s="78"/>
      <c r="Q77" s="78"/>
      <c r="R77" s="78"/>
      <c r="S77" s="229"/>
    </row>
    <row r="78" spans="1:19" ht="24" customHeight="1" x14ac:dyDescent="0.2">
      <c r="A78" s="260"/>
      <c r="B78" s="262"/>
      <c r="C78" s="27" t="s">
        <v>163</v>
      </c>
      <c r="D78" s="127" t="s">
        <v>160</v>
      </c>
      <c r="E78" s="64">
        <v>1.73</v>
      </c>
      <c r="F78" s="119" t="s">
        <v>97</v>
      </c>
      <c r="G78" s="64">
        <v>2.8</v>
      </c>
      <c r="H78" s="64">
        <v>2.17</v>
      </c>
      <c r="I78" s="64"/>
      <c r="J78" s="52"/>
      <c r="K78" s="52"/>
      <c r="L78" s="52"/>
      <c r="M78" s="52"/>
      <c r="N78" s="52"/>
      <c r="O78" s="52"/>
      <c r="P78" s="52"/>
      <c r="Q78" s="52"/>
      <c r="R78" s="52"/>
      <c r="S78" s="214"/>
    </row>
    <row r="79" spans="1:19" s="14" customFormat="1" ht="30" customHeight="1" thickBot="1" x14ac:dyDescent="0.25">
      <c r="A79" s="261"/>
      <c r="B79" s="263"/>
      <c r="C79" s="13" t="s">
        <v>74</v>
      </c>
      <c r="D79" s="231" t="s">
        <v>116</v>
      </c>
      <c r="E79" s="232">
        <v>1.6</v>
      </c>
      <c r="F79" s="233" t="s">
        <v>98</v>
      </c>
      <c r="G79" s="85">
        <v>0</v>
      </c>
      <c r="H79" s="85">
        <v>1</v>
      </c>
      <c r="I79" s="86"/>
      <c r="J79" s="87"/>
      <c r="K79" s="87"/>
      <c r="L79" s="87"/>
      <c r="M79" s="87"/>
      <c r="N79" s="87"/>
      <c r="O79" s="87"/>
      <c r="P79" s="87"/>
      <c r="Q79" s="87"/>
      <c r="R79" s="87"/>
      <c r="S79" s="234"/>
    </row>
    <row r="80" spans="1:19" s="14" customFormat="1" ht="45" customHeight="1" thickBot="1" x14ac:dyDescent="0.25">
      <c r="A80" s="141" t="s">
        <v>3</v>
      </c>
      <c r="B80" s="142" t="s">
        <v>203</v>
      </c>
      <c r="C80" s="143" t="s">
        <v>0</v>
      </c>
      <c r="D80" s="142" t="s">
        <v>103</v>
      </c>
      <c r="E80" s="142" t="s">
        <v>208</v>
      </c>
      <c r="F80" s="142" t="s">
        <v>209</v>
      </c>
      <c r="G80" s="143" t="s">
        <v>1</v>
      </c>
      <c r="H80" s="143" t="s">
        <v>2</v>
      </c>
      <c r="I80" s="143" t="s">
        <v>39</v>
      </c>
      <c r="J80" s="143" t="s">
        <v>40</v>
      </c>
      <c r="K80" s="143" t="s">
        <v>41</v>
      </c>
      <c r="L80" s="143" t="s">
        <v>42</v>
      </c>
      <c r="M80" s="143" t="s">
        <v>43</v>
      </c>
      <c r="N80" s="143" t="s">
        <v>44</v>
      </c>
      <c r="O80" s="143" t="s">
        <v>45</v>
      </c>
      <c r="P80" s="143" t="s">
        <v>46</v>
      </c>
      <c r="Q80" s="143" t="s">
        <v>47</v>
      </c>
      <c r="R80" s="143" t="s">
        <v>48</v>
      </c>
      <c r="S80" s="144" t="s">
        <v>81</v>
      </c>
    </row>
    <row r="81" spans="1:19" ht="24" customHeight="1" x14ac:dyDescent="0.2">
      <c r="A81" s="260" t="s">
        <v>54</v>
      </c>
      <c r="B81" s="267" t="s">
        <v>128</v>
      </c>
      <c r="C81" s="19" t="s">
        <v>139</v>
      </c>
      <c r="D81" s="175" t="s">
        <v>117</v>
      </c>
      <c r="E81" s="89">
        <v>1.9E-2</v>
      </c>
      <c r="F81" s="176" t="s">
        <v>97</v>
      </c>
      <c r="G81" s="88">
        <v>2.1000000000000001E-2</v>
      </c>
      <c r="H81" s="88">
        <v>1.9E-2</v>
      </c>
      <c r="I81" s="89"/>
      <c r="J81" s="89"/>
      <c r="K81" s="90"/>
      <c r="L81" s="90"/>
      <c r="M81" s="90"/>
      <c r="N81" s="90"/>
      <c r="O81" s="90"/>
      <c r="P81" s="90"/>
      <c r="Q81" s="90"/>
      <c r="R81" s="90"/>
      <c r="S81" s="198"/>
    </row>
    <row r="82" spans="1:19" ht="24" customHeight="1" x14ac:dyDescent="0.2">
      <c r="A82" s="260"/>
      <c r="B82" s="262"/>
      <c r="C82" s="17" t="s">
        <v>140</v>
      </c>
      <c r="D82" s="152" t="s">
        <v>117</v>
      </c>
      <c r="E82" s="94">
        <v>0.03</v>
      </c>
      <c r="F82" s="172" t="s">
        <v>97</v>
      </c>
      <c r="G82" s="94">
        <v>3.7999999999999999E-2</v>
      </c>
      <c r="H82" s="94">
        <v>3.2000000000000001E-2</v>
      </c>
      <c r="I82" s="94"/>
      <c r="J82" s="94"/>
      <c r="K82" s="95"/>
      <c r="L82" s="95"/>
      <c r="M82" s="95"/>
      <c r="N82" s="95"/>
      <c r="O82" s="95"/>
      <c r="P82" s="95"/>
      <c r="Q82" s="95"/>
      <c r="R82" s="95"/>
      <c r="S82" s="199"/>
    </row>
    <row r="83" spans="1:19" ht="24" customHeight="1" x14ac:dyDescent="0.2">
      <c r="A83" s="260"/>
      <c r="B83" s="262"/>
      <c r="C83" s="21" t="s">
        <v>141</v>
      </c>
      <c r="D83" s="43" t="s">
        <v>117</v>
      </c>
      <c r="E83" s="96">
        <v>2.1000000000000001E-2</v>
      </c>
      <c r="F83" s="172" t="s">
        <v>97</v>
      </c>
      <c r="G83" s="96">
        <v>1.4E-2</v>
      </c>
      <c r="H83" s="96">
        <v>0.01</v>
      </c>
      <c r="I83" s="96"/>
      <c r="J83" s="96"/>
      <c r="K83" s="97"/>
      <c r="L83" s="97"/>
      <c r="M83" s="97"/>
      <c r="N83" s="97"/>
      <c r="O83" s="97"/>
      <c r="P83" s="97"/>
      <c r="Q83" s="97"/>
      <c r="R83" s="97"/>
      <c r="S83" s="200"/>
    </row>
    <row r="84" spans="1:19" ht="24" customHeight="1" x14ac:dyDescent="0.2">
      <c r="A84" s="260"/>
      <c r="B84" s="262"/>
      <c r="C84" s="23" t="s">
        <v>142</v>
      </c>
      <c r="D84" s="44" t="s">
        <v>117</v>
      </c>
      <c r="E84" s="98">
        <v>2.1000000000000001E-2</v>
      </c>
      <c r="F84" s="172" t="s">
        <v>97</v>
      </c>
      <c r="G84" s="98">
        <v>1.4E-2</v>
      </c>
      <c r="H84" s="98">
        <v>0.01</v>
      </c>
      <c r="I84" s="98"/>
      <c r="J84" s="98"/>
      <c r="K84" s="99"/>
      <c r="L84" s="99"/>
      <c r="M84" s="99"/>
      <c r="N84" s="99"/>
      <c r="O84" s="99"/>
      <c r="P84" s="99"/>
      <c r="Q84" s="99"/>
      <c r="R84" s="99"/>
      <c r="S84" s="201"/>
    </row>
    <row r="85" spans="1:19" ht="24" customHeight="1" x14ac:dyDescent="0.2">
      <c r="A85" s="260"/>
      <c r="B85" s="262"/>
      <c r="C85" s="32" t="s">
        <v>143</v>
      </c>
      <c r="D85" s="42" t="s">
        <v>117</v>
      </c>
      <c r="E85" s="100">
        <v>3.4</v>
      </c>
      <c r="F85" s="172" t="s">
        <v>97</v>
      </c>
      <c r="G85" s="100">
        <v>3.4000000000000002E-2</v>
      </c>
      <c r="H85" s="100">
        <v>1.0999999999999999E-2</v>
      </c>
      <c r="I85" s="100"/>
      <c r="J85" s="100"/>
      <c r="K85" s="101"/>
      <c r="L85" s="101"/>
      <c r="M85" s="101"/>
      <c r="N85" s="101"/>
      <c r="O85" s="101"/>
      <c r="P85" s="101"/>
      <c r="Q85" s="101"/>
      <c r="R85" s="101"/>
      <c r="S85" s="202"/>
    </row>
    <row r="86" spans="1:19" ht="24" customHeight="1" x14ac:dyDescent="0.2">
      <c r="A86" s="260"/>
      <c r="B86" s="262"/>
      <c r="C86" s="27" t="s">
        <v>144</v>
      </c>
      <c r="D86" s="127" t="s">
        <v>117</v>
      </c>
      <c r="E86" s="102">
        <v>1.9E-2</v>
      </c>
      <c r="F86" s="172" t="s">
        <v>97</v>
      </c>
      <c r="G86" s="102">
        <v>0.02</v>
      </c>
      <c r="H86" s="102">
        <v>2.1000000000000001E-2</v>
      </c>
      <c r="I86" s="102"/>
      <c r="J86" s="102"/>
      <c r="K86" s="103"/>
      <c r="L86" s="103"/>
      <c r="M86" s="103"/>
      <c r="N86" s="103"/>
      <c r="O86" s="103"/>
      <c r="P86" s="103"/>
      <c r="Q86" s="103"/>
      <c r="R86" s="103"/>
      <c r="S86" s="203"/>
    </row>
    <row r="87" spans="1:19" ht="24" customHeight="1" x14ac:dyDescent="0.2">
      <c r="A87" s="260"/>
      <c r="B87" s="262"/>
      <c r="C87" s="35" t="s">
        <v>145</v>
      </c>
      <c r="D87" s="156" t="s">
        <v>117</v>
      </c>
      <c r="E87" s="104">
        <v>0.03</v>
      </c>
      <c r="F87" s="172" t="s">
        <v>97</v>
      </c>
      <c r="G87" s="104">
        <v>2.1000000000000001E-2</v>
      </c>
      <c r="H87" s="104">
        <v>0.02</v>
      </c>
      <c r="I87" s="104"/>
      <c r="J87" s="104"/>
      <c r="K87" s="105"/>
      <c r="L87" s="105"/>
      <c r="M87" s="105"/>
      <c r="N87" s="105"/>
      <c r="O87" s="105"/>
      <c r="P87" s="105"/>
      <c r="Q87" s="105"/>
      <c r="R87" s="105"/>
      <c r="S87" s="204"/>
    </row>
    <row r="88" spans="1:19" ht="24" customHeight="1" x14ac:dyDescent="0.2">
      <c r="A88" s="260"/>
      <c r="B88" s="262"/>
      <c r="C88" s="15" t="s">
        <v>146</v>
      </c>
      <c r="D88" s="45" t="s">
        <v>117</v>
      </c>
      <c r="E88" s="92">
        <v>1.6E-2</v>
      </c>
      <c r="F88" s="172" t="s">
        <v>97</v>
      </c>
      <c r="G88" s="91">
        <v>2.1000000000000001E-2</v>
      </c>
      <c r="H88" s="91">
        <v>2.1000000000000001E-2</v>
      </c>
      <c r="I88" s="92"/>
      <c r="J88" s="92"/>
      <c r="K88" s="93"/>
      <c r="L88" s="93"/>
      <c r="M88" s="93"/>
      <c r="N88" s="93"/>
      <c r="O88" s="93"/>
      <c r="P88" s="93"/>
      <c r="Q88" s="93"/>
      <c r="R88" s="93"/>
      <c r="S88" s="205"/>
    </row>
    <row r="89" spans="1:19" ht="24" customHeight="1" x14ac:dyDescent="0.2">
      <c r="A89" s="260"/>
      <c r="B89" s="262"/>
      <c r="C89" s="17" t="s">
        <v>147</v>
      </c>
      <c r="D89" s="152" t="s">
        <v>117</v>
      </c>
      <c r="E89" s="94"/>
      <c r="F89" s="172" t="s">
        <v>97</v>
      </c>
      <c r="G89" s="94"/>
      <c r="H89" s="94"/>
      <c r="I89" s="94"/>
      <c r="J89" s="94"/>
      <c r="K89" s="95"/>
      <c r="L89" s="95"/>
      <c r="M89" s="95"/>
      <c r="N89" s="95"/>
      <c r="O89" s="95"/>
      <c r="P89" s="95"/>
      <c r="Q89" s="95"/>
      <c r="R89" s="95"/>
      <c r="S89" s="199"/>
    </row>
    <row r="90" spans="1:19" ht="24" customHeight="1" x14ac:dyDescent="0.2">
      <c r="A90" s="260"/>
      <c r="B90" s="262"/>
      <c r="C90" s="21" t="s">
        <v>148</v>
      </c>
      <c r="D90" s="43" t="s">
        <v>117</v>
      </c>
      <c r="E90" s="96"/>
      <c r="F90" s="172" t="s">
        <v>97</v>
      </c>
      <c r="G90" s="96"/>
      <c r="H90" s="96"/>
      <c r="I90" s="96"/>
      <c r="J90" s="96"/>
      <c r="K90" s="97"/>
      <c r="L90" s="97"/>
      <c r="M90" s="97"/>
      <c r="N90" s="97"/>
      <c r="O90" s="97"/>
      <c r="P90" s="97"/>
      <c r="Q90" s="97"/>
      <c r="R90" s="97"/>
      <c r="S90" s="200"/>
    </row>
    <row r="91" spans="1:19" ht="24" customHeight="1" x14ac:dyDescent="0.2">
      <c r="A91" s="260"/>
      <c r="B91" s="262"/>
      <c r="C91" s="23" t="s">
        <v>149</v>
      </c>
      <c r="D91" s="44" t="s">
        <v>117</v>
      </c>
      <c r="E91" s="98"/>
      <c r="F91" s="172" t="s">
        <v>97</v>
      </c>
      <c r="G91" s="98"/>
      <c r="H91" s="98"/>
      <c r="I91" s="98"/>
      <c r="J91" s="98"/>
      <c r="K91" s="99"/>
      <c r="L91" s="99"/>
      <c r="M91" s="99"/>
      <c r="N91" s="99"/>
      <c r="O91" s="99"/>
      <c r="P91" s="99"/>
      <c r="Q91" s="99"/>
      <c r="R91" s="99"/>
      <c r="S91" s="201"/>
    </row>
    <row r="92" spans="1:19" ht="24" customHeight="1" x14ac:dyDescent="0.2">
      <c r="A92" s="260"/>
      <c r="B92" s="262"/>
      <c r="C92" s="32" t="s">
        <v>150</v>
      </c>
      <c r="D92" s="42" t="s">
        <v>117</v>
      </c>
      <c r="E92" s="100"/>
      <c r="F92" s="172" t="s">
        <v>97</v>
      </c>
      <c r="G92" s="100"/>
      <c r="H92" s="100"/>
      <c r="I92" s="100"/>
      <c r="J92" s="100"/>
      <c r="K92" s="101"/>
      <c r="L92" s="101"/>
      <c r="M92" s="101"/>
      <c r="N92" s="101"/>
      <c r="O92" s="101"/>
      <c r="P92" s="101"/>
      <c r="Q92" s="101"/>
      <c r="R92" s="101"/>
      <c r="S92" s="202"/>
    </row>
    <row r="93" spans="1:19" ht="24" customHeight="1" x14ac:dyDescent="0.2">
      <c r="A93" s="260"/>
      <c r="B93" s="262"/>
      <c r="C93" s="27" t="s">
        <v>151</v>
      </c>
      <c r="D93" s="127" t="s">
        <v>117</v>
      </c>
      <c r="E93" s="102"/>
      <c r="F93" s="172" t="s">
        <v>97</v>
      </c>
      <c r="G93" s="102"/>
      <c r="H93" s="102"/>
      <c r="I93" s="102"/>
      <c r="J93" s="102"/>
      <c r="K93" s="103"/>
      <c r="L93" s="103"/>
      <c r="M93" s="103"/>
      <c r="N93" s="103"/>
      <c r="O93" s="103"/>
      <c r="P93" s="103"/>
      <c r="Q93" s="103"/>
      <c r="R93" s="103"/>
      <c r="S93" s="203"/>
    </row>
    <row r="94" spans="1:19" ht="24" customHeight="1" x14ac:dyDescent="0.2">
      <c r="A94" s="260"/>
      <c r="B94" s="262"/>
      <c r="C94" s="35" t="s">
        <v>152</v>
      </c>
      <c r="D94" s="156" t="s">
        <v>117</v>
      </c>
      <c r="E94" s="104"/>
      <c r="F94" s="172" t="s">
        <v>97</v>
      </c>
      <c r="G94" s="104"/>
      <c r="H94" s="104"/>
      <c r="I94" s="104"/>
      <c r="J94" s="104"/>
      <c r="K94" s="105"/>
      <c r="L94" s="105"/>
      <c r="M94" s="105"/>
      <c r="N94" s="105"/>
      <c r="O94" s="105"/>
      <c r="P94" s="105"/>
      <c r="Q94" s="105"/>
      <c r="R94" s="105"/>
      <c r="S94" s="204"/>
    </row>
    <row r="95" spans="1:19" ht="24" customHeight="1" x14ac:dyDescent="0.2">
      <c r="A95" s="260"/>
      <c r="B95" s="262"/>
      <c r="C95" s="2" t="s">
        <v>24</v>
      </c>
      <c r="D95" s="45" t="s">
        <v>117</v>
      </c>
      <c r="E95" s="107">
        <v>0.84</v>
      </c>
      <c r="F95" s="146">
        <v>0.9</v>
      </c>
      <c r="G95" s="106">
        <v>0.72</v>
      </c>
      <c r="H95" s="106">
        <v>0.96</v>
      </c>
      <c r="I95" s="107"/>
      <c r="J95" s="107"/>
      <c r="K95" s="108"/>
      <c r="L95" s="108"/>
      <c r="M95" s="108"/>
      <c r="N95" s="108"/>
      <c r="O95" s="108"/>
      <c r="P95" s="108"/>
      <c r="Q95" s="108"/>
      <c r="R95" s="108"/>
      <c r="S95" s="206"/>
    </row>
    <row r="96" spans="1:19" s="8" customFormat="1" ht="24" customHeight="1" x14ac:dyDescent="0.2">
      <c r="A96" s="260"/>
      <c r="B96" s="262"/>
      <c r="C96" s="15" t="s">
        <v>100</v>
      </c>
      <c r="D96" s="45" t="s">
        <v>117</v>
      </c>
      <c r="E96" s="56">
        <v>5</v>
      </c>
      <c r="F96" s="119" t="s">
        <v>101</v>
      </c>
      <c r="G96" s="80">
        <v>8</v>
      </c>
      <c r="H96" s="80">
        <v>5</v>
      </c>
      <c r="I96" s="56"/>
      <c r="J96" s="56"/>
      <c r="K96" s="109"/>
      <c r="L96" s="109"/>
      <c r="M96" s="109"/>
      <c r="N96" s="109"/>
      <c r="O96" s="109"/>
      <c r="P96" s="109"/>
      <c r="Q96" s="109"/>
      <c r="R96" s="109"/>
      <c r="S96" s="207"/>
    </row>
    <row r="97" spans="1:19" ht="24" customHeight="1" x14ac:dyDescent="0.2">
      <c r="A97" s="260"/>
      <c r="B97" s="262"/>
      <c r="C97" s="2" t="s">
        <v>38</v>
      </c>
      <c r="D97" s="45" t="s">
        <v>117</v>
      </c>
      <c r="E97" s="16">
        <v>0.81</v>
      </c>
      <c r="F97" s="118" t="s">
        <v>102</v>
      </c>
      <c r="G97" s="63">
        <v>0.66820000000000002</v>
      </c>
      <c r="H97" s="63">
        <v>0.54900000000000004</v>
      </c>
      <c r="I97" s="16"/>
      <c r="J97" s="16"/>
      <c r="K97" s="110"/>
      <c r="L97" s="110"/>
      <c r="M97" s="110"/>
      <c r="N97" s="110"/>
      <c r="O97" s="110"/>
      <c r="P97" s="110"/>
      <c r="Q97" s="110"/>
      <c r="R97" s="110"/>
      <c r="S97" s="205"/>
    </row>
    <row r="98" spans="1:19" ht="24" customHeight="1" x14ac:dyDescent="0.2">
      <c r="A98" s="260"/>
      <c r="B98" s="262"/>
      <c r="C98" s="2" t="s">
        <v>37</v>
      </c>
      <c r="D98" s="45" t="s">
        <v>117</v>
      </c>
      <c r="E98" s="107">
        <v>0.183</v>
      </c>
      <c r="F98" s="146">
        <v>0.25</v>
      </c>
      <c r="G98" s="111"/>
      <c r="H98" s="111"/>
      <c r="I98" s="107"/>
      <c r="J98" s="107"/>
      <c r="K98" s="108"/>
      <c r="L98" s="108"/>
      <c r="M98" s="108"/>
      <c r="N98" s="108"/>
      <c r="O98" s="108"/>
      <c r="P98" s="108"/>
      <c r="Q98" s="108"/>
      <c r="R98" s="108"/>
      <c r="S98" s="205"/>
    </row>
    <row r="99" spans="1:19" ht="30" customHeight="1" x14ac:dyDescent="0.2">
      <c r="A99" s="260"/>
      <c r="B99" s="262"/>
      <c r="C99" s="2" t="s">
        <v>25</v>
      </c>
      <c r="D99" s="45" t="s">
        <v>117</v>
      </c>
      <c r="E99" s="56" t="s">
        <v>60</v>
      </c>
      <c r="F99" s="118" t="s">
        <v>162</v>
      </c>
      <c r="G99" s="112"/>
      <c r="H99" s="112"/>
      <c r="I99" s="56"/>
      <c r="J99" s="56"/>
      <c r="K99" s="47"/>
      <c r="L99" s="47"/>
      <c r="M99" s="47"/>
      <c r="N99" s="47"/>
      <c r="O99" s="47"/>
      <c r="P99" s="47"/>
      <c r="Q99" s="47"/>
      <c r="R99" s="47"/>
      <c r="S99" s="208"/>
    </row>
    <row r="100" spans="1:19" ht="24" customHeight="1" x14ac:dyDescent="0.2">
      <c r="A100" s="260"/>
      <c r="B100" s="262" t="s">
        <v>129</v>
      </c>
      <c r="C100" s="17" t="s">
        <v>133</v>
      </c>
      <c r="D100" s="152" t="s">
        <v>117</v>
      </c>
      <c r="E100" s="40">
        <v>0.82699999999999996</v>
      </c>
      <c r="F100" s="119" t="s">
        <v>174</v>
      </c>
      <c r="G100" s="250" t="s">
        <v>125</v>
      </c>
      <c r="H100" s="61"/>
      <c r="I100" s="61"/>
      <c r="J100" s="61"/>
      <c r="K100" s="54"/>
      <c r="L100" s="54"/>
      <c r="M100" s="54"/>
      <c r="N100" s="54"/>
      <c r="O100" s="54"/>
      <c r="P100" s="54"/>
      <c r="Q100" s="54"/>
      <c r="R100" s="54"/>
      <c r="S100" s="209"/>
    </row>
    <row r="101" spans="1:19" ht="30" customHeight="1" x14ac:dyDescent="0.2">
      <c r="A101" s="260"/>
      <c r="B101" s="262"/>
      <c r="C101" s="21" t="s">
        <v>134</v>
      </c>
      <c r="D101" s="43" t="s">
        <v>117</v>
      </c>
      <c r="E101" s="38">
        <v>0.74399999999999999</v>
      </c>
      <c r="F101" s="119" t="s">
        <v>174</v>
      </c>
      <c r="G101" s="250" t="s">
        <v>125</v>
      </c>
      <c r="H101" s="84"/>
      <c r="I101" s="84"/>
      <c r="J101" s="84"/>
      <c r="K101" s="51"/>
      <c r="L101" s="51"/>
      <c r="M101" s="51"/>
      <c r="N101" s="51"/>
      <c r="O101" s="51"/>
      <c r="P101" s="51"/>
      <c r="Q101" s="51"/>
      <c r="R101" s="51"/>
      <c r="S101" s="210"/>
    </row>
    <row r="102" spans="1:19" ht="30" customHeight="1" x14ac:dyDescent="0.2">
      <c r="A102" s="260"/>
      <c r="B102" s="262"/>
      <c r="C102" s="23" t="s">
        <v>135</v>
      </c>
      <c r="D102" s="44" t="s">
        <v>117</v>
      </c>
      <c r="E102" s="39">
        <v>0.74399999999999999</v>
      </c>
      <c r="F102" s="119" t="s">
        <v>174</v>
      </c>
      <c r="G102" s="250" t="s">
        <v>125</v>
      </c>
      <c r="H102" s="82"/>
      <c r="I102" s="82"/>
      <c r="J102" s="82"/>
      <c r="K102" s="50"/>
      <c r="L102" s="50"/>
      <c r="M102" s="50"/>
      <c r="N102" s="50"/>
      <c r="O102" s="50"/>
      <c r="P102" s="50"/>
      <c r="Q102" s="50"/>
      <c r="R102" s="50"/>
      <c r="S102" s="211"/>
    </row>
    <row r="103" spans="1:19" ht="24" customHeight="1" x14ac:dyDescent="0.2">
      <c r="A103" s="260"/>
      <c r="B103" s="262"/>
      <c r="C103" s="32" t="s">
        <v>137</v>
      </c>
      <c r="D103" s="42" t="s">
        <v>117</v>
      </c>
      <c r="E103" s="37">
        <v>0.74650000000000005</v>
      </c>
      <c r="F103" s="119" t="s">
        <v>174</v>
      </c>
      <c r="G103" s="250" t="s">
        <v>125</v>
      </c>
      <c r="H103" s="62"/>
      <c r="I103" s="62"/>
      <c r="J103" s="62"/>
      <c r="K103" s="49"/>
      <c r="L103" s="49"/>
      <c r="M103" s="49"/>
      <c r="N103" s="49"/>
      <c r="O103" s="49"/>
      <c r="P103" s="49"/>
      <c r="Q103" s="49"/>
      <c r="R103" s="49"/>
      <c r="S103" s="212"/>
    </row>
    <row r="104" spans="1:19" ht="30" customHeight="1" x14ac:dyDescent="0.2">
      <c r="A104" s="260"/>
      <c r="B104" s="262"/>
      <c r="C104" s="35" t="s">
        <v>136</v>
      </c>
      <c r="D104" s="156" t="s">
        <v>117</v>
      </c>
      <c r="E104" s="59">
        <v>0.75749999999999995</v>
      </c>
      <c r="F104" s="119" t="s">
        <v>174</v>
      </c>
      <c r="G104" s="250" t="s">
        <v>125</v>
      </c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213"/>
    </row>
    <row r="105" spans="1:19" ht="30" customHeight="1" x14ac:dyDescent="0.2">
      <c r="A105" s="260"/>
      <c r="B105" s="262"/>
      <c r="C105" s="27" t="s">
        <v>138</v>
      </c>
      <c r="D105" s="127" t="s">
        <v>117</v>
      </c>
      <c r="E105" s="128">
        <v>0.77300000000000002</v>
      </c>
      <c r="F105" s="119" t="s">
        <v>174</v>
      </c>
      <c r="G105" s="250" t="s">
        <v>125</v>
      </c>
      <c r="H105" s="64"/>
      <c r="I105" s="64"/>
      <c r="J105" s="64"/>
      <c r="K105" s="52"/>
      <c r="L105" s="52"/>
      <c r="M105" s="52"/>
      <c r="N105" s="52"/>
      <c r="O105" s="52"/>
      <c r="P105" s="52"/>
      <c r="Q105" s="52"/>
      <c r="R105" s="52"/>
      <c r="S105" s="214"/>
    </row>
    <row r="106" spans="1:19" ht="24" customHeight="1" x14ac:dyDescent="0.2">
      <c r="A106" s="260"/>
      <c r="B106" s="262"/>
      <c r="C106" s="15" t="s">
        <v>28</v>
      </c>
      <c r="D106" s="45" t="s">
        <v>117</v>
      </c>
      <c r="E106" s="16">
        <v>0.83499999999999996</v>
      </c>
      <c r="F106" s="173" t="s">
        <v>124</v>
      </c>
      <c r="G106" s="174" t="s">
        <v>125</v>
      </c>
      <c r="H106" s="113"/>
      <c r="I106" s="114"/>
      <c r="J106" s="114"/>
      <c r="K106" s="114"/>
      <c r="L106" s="115"/>
      <c r="M106" s="115"/>
      <c r="N106" s="115"/>
      <c r="O106" s="115"/>
      <c r="P106" s="115"/>
      <c r="Q106" s="115"/>
      <c r="R106" s="115"/>
      <c r="S106" s="215"/>
    </row>
    <row r="107" spans="1:19" ht="30" customHeight="1" x14ac:dyDescent="0.2">
      <c r="A107" s="260"/>
      <c r="B107" s="262"/>
      <c r="C107" s="2" t="s">
        <v>29</v>
      </c>
      <c r="D107" s="45" t="s">
        <v>117</v>
      </c>
      <c r="E107" s="16">
        <v>0.69699999999999995</v>
      </c>
      <c r="F107" s="173" t="s">
        <v>124</v>
      </c>
      <c r="G107" s="174" t="s">
        <v>125</v>
      </c>
      <c r="H107" s="113"/>
      <c r="I107" s="114"/>
      <c r="J107" s="114"/>
      <c r="K107" s="114"/>
      <c r="L107" s="115"/>
      <c r="M107" s="115"/>
      <c r="N107" s="115"/>
      <c r="O107" s="115"/>
      <c r="P107" s="115"/>
      <c r="Q107" s="115"/>
      <c r="R107" s="115"/>
      <c r="S107" s="215"/>
    </row>
    <row r="108" spans="1:19" ht="24" customHeight="1" x14ac:dyDescent="0.2">
      <c r="A108" s="260"/>
      <c r="B108" s="262"/>
      <c r="C108" s="2" t="s">
        <v>30</v>
      </c>
      <c r="D108" s="45" t="s">
        <v>117</v>
      </c>
      <c r="E108" s="16">
        <v>0.70699999999999996</v>
      </c>
      <c r="F108" s="173" t="s">
        <v>124</v>
      </c>
      <c r="G108" s="174" t="s">
        <v>125</v>
      </c>
      <c r="H108" s="113"/>
      <c r="I108" s="114"/>
      <c r="J108" s="114"/>
      <c r="K108" s="114"/>
      <c r="L108" s="115"/>
      <c r="M108" s="115"/>
      <c r="N108" s="115"/>
      <c r="O108" s="115"/>
      <c r="P108" s="115"/>
      <c r="Q108" s="115"/>
      <c r="R108" s="115"/>
      <c r="S108" s="215"/>
    </row>
    <row r="109" spans="1:19" ht="24" customHeight="1" x14ac:dyDescent="0.2">
      <c r="A109" s="260"/>
      <c r="B109" s="262"/>
      <c r="C109" s="2" t="s">
        <v>31</v>
      </c>
      <c r="D109" s="45" t="s">
        <v>117</v>
      </c>
      <c r="E109" s="16">
        <v>0.79400000000000004</v>
      </c>
      <c r="F109" s="173" t="s">
        <v>124</v>
      </c>
      <c r="G109" s="174" t="s">
        <v>125</v>
      </c>
      <c r="H109" s="116"/>
      <c r="I109" s="114"/>
      <c r="J109" s="114"/>
      <c r="K109" s="114"/>
      <c r="L109" s="115"/>
      <c r="M109" s="115"/>
      <c r="N109" s="115"/>
      <c r="O109" s="115"/>
      <c r="P109" s="115"/>
      <c r="Q109" s="115"/>
      <c r="R109" s="115"/>
      <c r="S109" s="215"/>
    </row>
    <row r="110" spans="1:19" ht="30" customHeight="1" x14ac:dyDescent="0.2">
      <c r="A110" s="260"/>
      <c r="B110" s="262"/>
      <c r="C110" s="2" t="s">
        <v>32</v>
      </c>
      <c r="D110" s="45" t="s">
        <v>117</v>
      </c>
      <c r="E110" s="16">
        <v>0.76700000000000002</v>
      </c>
      <c r="F110" s="173" t="s">
        <v>124</v>
      </c>
      <c r="G110" s="174" t="s">
        <v>125</v>
      </c>
      <c r="H110" s="113"/>
      <c r="I110" s="114"/>
      <c r="J110" s="114"/>
      <c r="K110" s="114"/>
      <c r="L110" s="115"/>
      <c r="M110" s="115"/>
      <c r="N110" s="115"/>
      <c r="O110" s="115"/>
      <c r="P110" s="115"/>
      <c r="Q110" s="115"/>
      <c r="R110" s="115"/>
      <c r="S110" s="215"/>
    </row>
    <row r="111" spans="1:19" ht="30" customHeight="1" x14ac:dyDescent="0.2">
      <c r="A111" s="260"/>
      <c r="B111" s="262"/>
      <c r="C111" s="2" t="s">
        <v>33</v>
      </c>
      <c r="D111" s="45" t="s">
        <v>117</v>
      </c>
      <c r="E111" s="16">
        <v>0.78</v>
      </c>
      <c r="F111" s="173" t="s">
        <v>124</v>
      </c>
      <c r="G111" s="174" t="s">
        <v>125</v>
      </c>
      <c r="H111" s="113"/>
      <c r="I111" s="114"/>
      <c r="J111" s="114"/>
      <c r="K111" s="114"/>
      <c r="L111" s="115"/>
      <c r="M111" s="115"/>
      <c r="N111" s="115"/>
      <c r="O111" s="115"/>
      <c r="P111" s="115"/>
      <c r="Q111" s="115"/>
      <c r="R111" s="115"/>
      <c r="S111" s="215"/>
    </row>
    <row r="112" spans="1:19" ht="24" customHeight="1" x14ac:dyDescent="0.2">
      <c r="A112" s="260"/>
      <c r="B112" s="262"/>
      <c r="C112" s="15" t="s">
        <v>26</v>
      </c>
      <c r="D112" s="45" t="s">
        <v>118</v>
      </c>
      <c r="E112" s="16" t="s">
        <v>162</v>
      </c>
      <c r="F112" s="120" t="s">
        <v>162</v>
      </c>
      <c r="G112" s="41" t="s">
        <v>162</v>
      </c>
      <c r="H112" s="113"/>
      <c r="I112" s="114"/>
      <c r="J112" s="114"/>
      <c r="K112" s="114"/>
      <c r="L112" s="115"/>
      <c r="M112" s="115"/>
      <c r="N112" s="115"/>
      <c r="O112" s="115"/>
      <c r="P112" s="115"/>
      <c r="Q112" s="115"/>
      <c r="R112" s="115"/>
      <c r="S112" s="215"/>
    </row>
    <row r="113" spans="1:19" ht="24" customHeight="1" x14ac:dyDescent="0.2">
      <c r="A113" s="260"/>
      <c r="B113" s="262"/>
      <c r="C113" s="15" t="s">
        <v>27</v>
      </c>
      <c r="D113" s="45" t="s">
        <v>118</v>
      </c>
      <c r="E113" s="16" t="s">
        <v>162</v>
      </c>
      <c r="F113" s="120" t="s">
        <v>162</v>
      </c>
      <c r="G113" s="41" t="s">
        <v>162</v>
      </c>
      <c r="H113" s="113"/>
      <c r="I113" s="114"/>
      <c r="J113" s="114"/>
      <c r="K113" s="114"/>
      <c r="L113" s="115"/>
      <c r="M113" s="115"/>
      <c r="N113" s="115"/>
      <c r="O113" s="115"/>
      <c r="P113" s="115"/>
      <c r="Q113" s="115"/>
      <c r="R113" s="115"/>
      <c r="S113" s="215"/>
    </row>
    <row r="114" spans="1:19" ht="30" customHeight="1" x14ac:dyDescent="0.2">
      <c r="A114" s="260"/>
      <c r="B114" s="262"/>
      <c r="C114" s="15" t="s">
        <v>51</v>
      </c>
      <c r="D114" s="45" t="s">
        <v>118</v>
      </c>
      <c r="E114" s="16" t="s">
        <v>162</v>
      </c>
      <c r="F114" s="120" t="s">
        <v>162</v>
      </c>
      <c r="G114" s="41" t="s">
        <v>162</v>
      </c>
      <c r="H114" s="113"/>
      <c r="I114" s="114"/>
      <c r="J114" s="114"/>
      <c r="K114" s="114"/>
      <c r="L114" s="115"/>
      <c r="M114" s="115"/>
      <c r="N114" s="115"/>
      <c r="O114" s="115"/>
      <c r="P114" s="115"/>
      <c r="Q114" s="115"/>
      <c r="R114" s="115"/>
      <c r="S114" s="215"/>
    </row>
    <row r="115" spans="1:19" ht="30" customHeight="1" thickBot="1" x14ac:dyDescent="0.25">
      <c r="A115" s="261"/>
      <c r="B115" s="263"/>
      <c r="C115" s="216" t="s">
        <v>52</v>
      </c>
      <c r="D115" s="217" t="s">
        <v>118</v>
      </c>
      <c r="E115" s="218" t="s">
        <v>162</v>
      </c>
      <c r="F115" s="219" t="s">
        <v>162</v>
      </c>
      <c r="G115" s="220" t="s">
        <v>162</v>
      </c>
      <c r="H115" s="221"/>
      <c r="I115" s="222"/>
      <c r="J115" s="222"/>
      <c r="K115" s="222"/>
      <c r="L115" s="223"/>
      <c r="M115" s="223"/>
      <c r="N115" s="223"/>
      <c r="O115" s="223"/>
      <c r="P115" s="223"/>
      <c r="Q115" s="223"/>
      <c r="R115" s="223"/>
      <c r="S115" s="224"/>
    </row>
    <row r="116" spans="1:19" ht="45" customHeight="1" thickBot="1" x14ac:dyDescent="0.25">
      <c r="A116" s="141" t="s">
        <v>3</v>
      </c>
      <c r="B116" s="142" t="s">
        <v>203</v>
      </c>
      <c r="C116" s="143" t="s">
        <v>0</v>
      </c>
      <c r="D116" s="142" t="s">
        <v>103</v>
      </c>
      <c r="E116" s="142" t="s">
        <v>208</v>
      </c>
      <c r="F116" s="142" t="s">
        <v>209</v>
      </c>
      <c r="G116" s="143" t="s">
        <v>1</v>
      </c>
      <c r="H116" s="143" t="s">
        <v>2</v>
      </c>
      <c r="I116" s="143" t="s">
        <v>39</v>
      </c>
      <c r="J116" s="143" t="s">
        <v>40</v>
      </c>
      <c r="K116" s="143" t="s">
        <v>41</v>
      </c>
      <c r="L116" s="143" t="s">
        <v>42</v>
      </c>
      <c r="M116" s="143" t="s">
        <v>43</v>
      </c>
      <c r="N116" s="143" t="s">
        <v>44</v>
      </c>
      <c r="O116" s="143" t="s">
        <v>45</v>
      </c>
      <c r="P116" s="143" t="s">
        <v>46</v>
      </c>
      <c r="Q116" s="143" t="s">
        <v>47</v>
      </c>
      <c r="R116" s="143" t="s">
        <v>48</v>
      </c>
      <c r="S116" s="144" t="s">
        <v>81</v>
      </c>
    </row>
    <row r="117" spans="1:19" ht="30" customHeight="1" x14ac:dyDescent="0.2">
      <c r="A117" s="264" t="s">
        <v>190</v>
      </c>
      <c r="B117" s="267" t="s">
        <v>34</v>
      </c>
      <c r="C117" s="135" t="s">
        <v>206</v>
      </c>
      <c r="D117" s="136" t="s">
        <v>119</v>
      </c>
      <c r="E117" s="137">
        <v>902</v>
      </c>
      <c r="F117" s="138">
        <v>950</v>
      </c>
      <c r="G117" s="137">
        <v>897</v>
      </c>
      <c r="H117" s="137">
        <v>893</v>
      </c>
      <c r="I117" s="139"/>
      <c r="J117" s="139"/>
      <c r="K117" s="140"/>
      <c r="L117" s="140"/>
      <c r="M117" s="140"/>
      <c r="N117" s="140"/>
      <c r="O117" s="140"/>
      <c r="P117" s="140"/>
      <c r="Q117" s="140"/>
      <c r="R117" s="140"/>
      <c r="S117" s="188"/>
    </row>
    <row r="118" spans="1:19" ht="30" customHeight="1" x14ac:dyDescent="0.2">
      <c r="A118" s="265"/>
      <c r="B118" s="262"/>
      <c r="C118" s="11" t="s">
        <v>35</v>
      </c>
      <c r="D118" s="131" t="s">
        <v>119</v>
      </c>
      <c r="E118" s="80">
        <v>140</v>
      </c>
      <c r="F118" s="119">
        <v>150</v>
      </c>
      <c r="G118" s="80">
        <v>98</v>
      </c>
      <c r="H118" s="80">
        <v>122</v>
      </c>
      <c r="I118" s="56"/>
      <c r="J118" s="56"/>
      <c r="K118" s="109"/>
      <c r="L118" s="109"/>
      <c r="M118" s="109"/>
      <c r="N118" s="109"/>
      <c r="O118" s="109"/>
      <c r="P118" s="109"/>
      <c r="Q118" s="109"/>
      <c r="R118" s="109"/>
      <c r="S118" s="189"/>
    </row>
    <row r="119" spans="1:19" ht="30" customHeight="1" x14ac:dyDescent="0.2">
      <c r="A119" s="265"/>
      <c r="B119" s="262"/>
      <c r="C119" s="11" t="s">
        <v>36</v>
      </c>
      <c r="D119" s="131" t="s">
        <v>119</v>
      </c>
      <c r="E119" s="80">
        <v>478</v>
      </c>
      <c r="F119" s="119">
        <v>490</v>
      </c>
      <c r="G119" s="80">
        <v>0</v>
      </c>
      <c r="H119" s="80">
        <v>234</v>
      </c>
      <c r="I119" s="56"/>
      <c r="J119" s="56"/>
      <c r="K119" s="109"/>
      <c r="L119" s="109"/>
      <c r="M119" s="109"/>
      <c r="N119" s="109"/>
      <c r="O119" s="109"/>
      <c r="P119" s="109"/>
      <c r="Q119" s="109"/>
      <c r="R119" s="109"/>
      <c r="S119" s="189"/>
    </row>
    <row r="120" spans="1:19" ht="30" customHeight="1" x14ac:dyDescent="0.2">
      <c r="A120" s="265"/>
      <c r="B120" s="262"/>
      <c r="C120" s="179" t="s">
        <v>207</v>
      </c>
      <c r="D120" s="131" t="s">
        <v>119</v>
      </c>
      <c r="E120" s="117">
        <v>329</v>
      </c>
      <c r="F120" s="132">
        <v>350</v>
      </c>
      <c r="G120" s="117">
        <v>219</v>
      </c>
      <c r="H120" s="117">
        <v>249</v>
      </c>
      <c r="I120" s="56"/>
      <c r="J120" s="56"/>
      <c r="K120" s="109"/>
      <c r="L120" s="109"/>
      <c r="M120" s="109"/>
      <c r="N120" s="109"/>
      <c r="O120" s="109"/>
      <c r="P120" s="109"/>
      <c r="Q120" s="109"/>
      <c r="R120" s="109"/>
      <c r="S120" s="189"/>
    </row>
    <row r="121" spans="1:19" ht="30" customHeight="1" x14ac:dyDescent="0.2">
      <c r="A121" s="265"/>
      <c r="B121" s="262"/>
      <c r="C121" s="12" t="s">
        <v>76</v>
      </c>
      <c r="D121" s="131" t="s">
        <v>119</v>
      </c>
      <c r="E121" s="80">
        <v>332</v>
      </c>
      <c r="F121" s="119">
        <v>350</v>
      </c>
      <c r="G121" s="80">
        <v>166</v>
      </c>
      <c r="H121" s="80">
        <v>535</v>
      </c>
      <c r="I121" s="56"/>
      <c r="J121" s="56"/>
      <c r="K121" s="109"/>
      <c r="L121" s="109"/>
      <c r="M121" s="109"/>
      <c r="N121" s="109"/>
      <c r="O121" s="109"/>
      <c r="P121" s="109"/>
      <c r="Q121" s="109"/>
      <c r="R121" s="109"/>
      <c r="S121" s="189"/>
    </row>
    <row r="122" spans="1:19" ht="30" customHeight="1" x14ac:dyDescent="0.2">
      <c r="A122" s="265"/>
      <c r="B122" s="262" t="s">
        <v>130</v>
      </c>
      <c r="C122" s="29" t="s">
        <v>86</v>
      </c>
      <c r="D122" s="133" t="s">
        <v>120</v>
      </c>
      <c r="E122" s="68">
        <v>296534.40000000002</v>
      </c>
      <c r="F122" s="119" t="s">
        <v>99</v>
      </c>
      <c r="G122" s="68">
        <v>363083.1</v>
      </c>
      <c r="H122" s="68">
        <v>398135.4</v>
      </c>
      <c r="I122" s="68"/>
      <c r="J122" s="68"/>
      <c r="K122" s="69"/>
      <c r="L122" s="69"/>
      <c r="M122" s="69"/>
      <c r="N122" s="69"/>
      <c r="O122" s="69"/>
      <c r="P122" s="69"/>
      <c r="Q122" s="69"/>
      <c r="R122" s="69"/>
      <c r="S122" s="190"/>
    </row>
    <row r="123" spans="1:19" ht="24" customHeight="1" x14ac:dyDescent="0.2">
      <c r="A123" s="265"/>
      <c r="B123" s="262"/>
      <c r="C123" s="29" t="s">
        <v>85</v>
      </c>
      <c r="D123" s="133" t="s">
        <v>120</v>
      </c>
      <c r="E123" s="68">
        <v>5531</v>
      </c>
      <c r="F123" s="119" t="s">
        <v>99</v>
      </c>
      <c r="G123" s="68">
        <v>6227</v>
      </c>
      <c r="H123" s="68">
        <v>6147</v>
      </c>
      <c r="I123" s="68"/>
      <c r="J123" s="68"/>
      <c r="K123" s="69"/>
      <c r="L123" s="69"/>
      <c r="M123" s="69"/>
      <c r="N123" s="69"/>
      <c r="O123" s="69"/>
      <c r="P123" s="69"/>
      <c r="Q123" s="69"/>
      <c r="R123" s="69"/>
      <c r="S123" s="190"/>
    </row>
    <row r="124" spans="1:19" ht="24" customHeight="1" thickBot="1" x14ac:dyDescent="0.25">
      <c r="A124" s="266"/>
      <c r="B124" s="263"/>
      <c r="C124" s="191" t="s">
        <v>62</v>
      </c>
      <c r="D124" s="192" t="s">
        <v>121</v>
      </c>
      <c r="E124" s="193">
        <v>8.6999999999999994E-2</v>
      </c>
      <c r="F124" s="194">
        <v>0.1</v>
      </c>
      <c r="G124" s="195">
        <v>6.76</v>
      </c>
      <c r="H124" s="195">
        <v>8.07</v>
      </c>
      <c r="I124" s="195"/>
      <c r="J124" s="195"/>
      <c r="K124" s="196"/>
      <c r="L124" s="196"/>
      <c r="M124" s="196"/>
      <c r="N124" s="196"/>
      <c r="O124" s="196"/>
      <c r="P124" s="196"/>
      <c r="Q124" s="196"/>
      <c r="R124" s="196"/>
      <c r="S124" s="197"/>
    </row>
    <row r="125" spans="1:19" x14ac:dyDescent="0.2">
      <c r="F125" s="121"/>
    </row>
    <row r="126" spans="1:19" x14ac:dyDescent="0.2">
      <c r="E126" s="6"/>
      <c r="F126" s="121"/>
      <c r="G126" s="6"/>
    </row>
    <row r="127" spans="1:19" x14ac:dyDescent="0.2">
      <c r="E127" s="6"/>
      <c r="F127" s="121"/>
      <c r="G127" s="6"/>
    </row>
    <row r="128" spans="1:19" x14ac:dyDescent="0.2">
      <c r="E128" s="6"/>
      <c r="F128" s="121"/>
      <c r="G128" s="6"/>
    </row>
    <row r="129" spans="5:7" x14ac:dyDescent="0.2">
      <c r="E129" s="6"/>
      <c r="F129" s="121"/>
      <c r="G129" s="6"/>
    </row>
    <row r="130" spans="5:7" x14ac:dyDescent="0.2">
      <c r="E130" s="6"/>
      <c r="F130" s="121"/>
      <c r="G130" s="6"/>
    </row>
    <row r="131" spans="5:7" x14ac:dyDescent="0.2">
      <c r="E131" s="6"/>
      <c r="F131" s="121"/>
      <c r="G131" s="6"/>
    </row>
    <row r="132" spans="5:7" x14ac:dyDescent="0.2">
      <c r="E132" s="6"/>
      <c r="F132" s="121"/>
      <c r="G132" s="6"/>
    </row>
    <row r="133" spans="5:7" x14ac:dyDescent="0.2">
      <c r="E133" s="6"/>
      <c r="F133" s="121"/>
      <c r="G133" s="6"/>
    </row>
    <row r="134" spans="5:7" x14ac:dyDescent="0.2">
      <c r="E134" s="6"/>
      <c r="F134" s="121"/>
      <c r="G134" s="6"/>
    </row>
    <row r="135" spans="5:7" x14ac:dyDescent="0.2">
      <c r="E135" s="6"/>
      <c r="F135" s="121"/>
      <c r="G135" s="6"/>
    </row>
    <row r="136" spans="5:7" x14ac:dyDescent="0.2">
      <c r="E136" s="6"/>
      <c r="F136" s="121"/>
      <c r="G136" s="6"/>
    </row>
    <row r="137" spans="5:7" x14ac:dyDescent="0.2">
      <c r="E137" s="6"/>
      <c r="F137" s="121"/>
      <c r="G137" s="6"/>
    </row>
    <row r="138" spans="5:7" x14ac:dyDescent="0.2">
      <c r="E138" s="6"/>
      <c r="F138" s="121"/>
      <c r="G138" s="6"/>
    </row>
    <row r="139" spans="5:7" x14ac:dyDescent="0.2">
      <c r="E139" s="6"/>
      <c r="F139" s="121"/>
      <c r="G139" s="6"/>
    </row>
    <row r="140" spans="5:7" x14ac:dyDescent="0.2">
      <c r="E140" s="6"/>
      <c r="F140" s="121"/>
      <c r="G140" s="6"/>
    </row>
    <row r="141" spans="5:7" x14ac:dyDescent="0.2">
      <c r="E141" s="6"/>
      <c r="F141" s="121"/>
      <c r="G141" s="6"/>
    </row>
    <row r="142" spans="5:7" x14ac:dyDescent="0.2">
      <c r="E142" s="6"/>
      <c r="F142" s="121"/>
      <c r="G142" s="6"/>
    </row>
    <row r="143" spans="5:7" x14ac:dyDescent="0.2">
      <c r="E143" s="6"/>
      <c r="F143" s="121"/>
      <c r="G143" s="6"/>
    </row>
    <row r="144" spans="5:7" x14ac:dyDescent="0.2">
      <c r="E144" s="6"/>
      <c r="F144" s="121"/>
      <c r="G144" s="6"/>
    </row>
    <row r="145" spans="5:7" x14ac:dyDescent="0.2">
      <c r="E145" s="6"/>
      <c r="F145" s="121"/>
      <c r="G145" s="6"/>
    </row>
    <row r="146" spans="5:7" x14ac:dyDescent="0.2">
      <c r="E146" s="6"/>
      <c r="F146" s="121"/>
      <c r="G146" s="6"/>
    </row>
    <row r="147" spans="5:7" x14ac:dyDescent="0.2">
      <c r="E147" s="6"/>
      <c r="F147" s="121"/>
      <c r="G147" s="6"/>
    </row>
    <row r="148" spans="5:7" x14ac:dyDescent="0.2">
      <c r="E148" s="6"/>
      <c r="F148" s="121"/>
      <c r="G148" s="6"/>
    </row>
    <row r="149" spans="5:7" x14ac:dyDescent="0.2">
      <c r="E149" s="6"/>
      <c r="F149" s="121"/>
      <c r="G149" s="6"/>
    </row>
    <row r="150" spans="5:7" x14ac:dyDescent="0.2">
      <c r="E150" s="6"/>
      <c r="F150" s="121"/>
      <c r="G150" s="6"/>
    </row>
    <row r="151" spans="5:7" x14ac:dyDescent="0.2">
      <c r="E151" s="6"/>
      <c r="F151" s="121"/>
      <c r="G151" s="6"/>
    </row>
    <row r="152" spans="5:7" x14ac:dyDescent="0.2">
      <c r="E152" s="6"/>
      <c r="F152" s="121"/>
      <c r="G152" s="6"/>
    </row>
    <row r="153" spans="5:7" x14ac:dyDescent="0.2">
      <c r="E153" s="6"/>
      <c r="F153" s="121"/>
      <c r="G153" s="6"/>
    </row>
    <row r="154" spans="5:7" x14ac:dyDescent="0.2">
      <c r="E154" s="6"/>
      <c r="F154" s="121"/>
      <c r="G154" s="6"/>
    </row>
    <row r="155" spans="5:7" x14ac:dyDescent="0.2">
      <c r="E155" s="6"/>
      <c r="F155" s="121"/>
      <c r="G155" s="6"/>
    </row>
    <row r="156" spans="5:7" x14ac:dyDescent="0.2">
      <c r="E156" s="6"/>
      <c r="F156" s="121"/>
      <c r="G156" s="6"/>
    </row>
    <row r="157" spans="5:7" x14ac:dyDescent="0.2">
      <c r="E157" s="6"/>
      <c r="F157" s="121"/>
      <c r="G157" s="6"/>
    </row>
    <row r="158" spans="5:7" x14ac:dyDescent="0.2">
      <c r="E158" s="6"/>
      <c r="F158" s="121"/>
      <c r="G158" s="6"/>
    </row>
    <row r="159" spans="5:7" x14ac:dyDescent="0.2">
      <c r="E159" s="6"/>
      <c r="F159" s="121"/>
      <c r="G159" s="6"/>
    </row>
    <row r="160" spans="5:7" x14ac:dyDescent="0.2">
      <c r="E160" s="6"/>
      <c r="F160" s="121"/>
      <c r="G160" s="6"/>
    </row>
    <row r="161" spans="5:7" x14ac:dyDescent="0.2">
      <c r="E161" s="6"/>
      <c r="F161" s="121"/>
      <c r="G161" s="6"/>
    </row>
    <row r="162" spans="5:7" x14ac:dyDescent="0.2">
      <c r="E162" s="6"/>
      <c r="F162" s="121"/>
      <c r="G162" s="6"/>
    </row>
    <row r="163" spans="5:7" x14ac:dyDescent="0.2">
      <c r="E163" s="6"/>
      <c r="F163" s="121"/>
      <c r="G163" s="6"/>
    </row>
    <row r="164" spans="5:7" x14ac:dyDescent="0.2">
      <c r="E164" s="6"/>
      <c r="F164" s="121"/>
      <c r="G164" s="6"/>
    </row>
    <row r="165" spans="5:7" x14ac:dyDescent="0.2">
      <c r="E165" s="6"/>
      <c r="F165" s="121"/>
      <c r="G165" s="6"/>
    </row>
    <row r="166" spans="5:7" x14ac:dyDescent="0.2">
      <c r="E166" s="6"/>
      <c r="F166" s="121"/>
      <c r="G166" s="6"/>
    </row>
    <row r="167" spans="5:7" x14ac:dyDescent="0.2">
      <c r="E167" s="6"/>
      <c r="F167" s="121"/>
      <c r="G167" s="6"/>
    </row>
    <row r="168" spans="5:7" x14ac:dyDescent="0.2">
      <c r="E168" s="6"/>
      <c r="F168" s="121"/>
      <c r="G168" s="6"/>
    </row>
    <row r="169" spans="5:7" x14ac:dyDescent="0.2">
      <c r="E169" s="6"/>
      <c r="F169" s="121"/>
      <c r="G169" s="6"/>
    </row>
    <row r="170" spans="5:7" x14ac:dyDescent="0.2">
      <c r="E170" s="6"/>
      <c r="F170" s="121"/>
      <c r="G170" s="6"/>
    </row>
    <row r="171" spans="5:7" x14ac:dyDescent="0.2">
      <c r="E171" s="6"/>
      <c r="F171" s="121"/>
      <c r="G171" s="6"/>
    </row>
    <row r="172" spans="5:7" x14ac:dyDescent="0.2">
      <c r="E172" s="6"/>
      <c r="F172" s="121"/>
      <c r="G172" s="6"/>
    </row>
    <row r="173" spans="5:7" x14ac:dyDescent="0.2">
      <c r="E173" s="6"/>
      <c r="F173" s="121"/>
      <c r="G173" s="6"/>
    </row>
    <row r="174" spans="5:7" x14ac:dyDescent="0.2">
      <c r="E174" s="6"/>
      <c r="F174" s="121"/>
      <c r="G174" s="6"/>
    </row>
    <row r="175" spans="5:7" x14ac:dyDescent="0.2">
      <c r="E175" s="6"/>
      <c r="F175" s="121"/>
      <c r="G175" s="6"/>
    </row>
    <row r="176" spans="5:7" x14ac:dyDescent="0.2">
      <c r="E176" s="6"/>
      <c r="F176" s="121"/>
      <c r="G176" s="6"/>
    </row>
    <row r="177" spans="5:7" x14ac:dyDescent="0.2">
      <c r="E177" s="6"/>
      <c r="F177" s="121"/>
      <c r="G177" s="6"/>
    </row>
    <row r="178" spans="5:7" x14ac:dyDescent="0.2">
      <c r="E178" s="6"/>
      <c r="F178" s="121"/>
      <c r="G178" s="6"/>
    </row>
    <row r="179" spans="5:7" x14ac:dyDescent="0.2">
      <c r="E179" s="6"/>
      <c r="F179" s="121"/>
      <c r="G179" s="6"/>
    </row>
    <row r="180" spans="5:7" x14ac:dyDescent="0.2">
      <c r="E180" s="6"/>
      <c r="F180" s="121"/>
      <c r="G180" s="6"/>
    </row>
    <row r="181" spans="5:7" x14ac:dyDescent="0.2">
      <c r="E181" s="6"/>
      <c r="F181" s="121"/>
      <c r="G181" s="6"/>
    </row>
    <row r="182" spans="5:7" x14ac:dyDescent="0.2">
      <c r="E182" s="6"/>
      <c r="F182" s="121"/>
      <c r="G182" s="6"/>
    </row>
    <row r="183" spans="5:7" x14ac:dyDescent="0.2">
      <c r="E183" s="6"/>
      <c r="F183" s="121"/>
      <c r="G183" s="6"/>
    </row>
    <row r="184" spans="5:7" x14ac:dyDescent="0.2">
      <c r="E184" s="6"/>
      <c r="F184" s="121"/>
      <c r="G184" s="6"/>
    </row>
    <row r="185" spans="5:7" x14ac:dyDescent="0.2">
      <c r="E185" s="6"/>
      <c r="F185" s="121"/>
      <c r="G185" s="6"/>
    </row>
    <row r="186" spans="5:7" x14ac:dyDescent="0.2">
      <c r="E186" s="6"/>
      <c r="F186" s="121"/>
      <c r="G186" s="6"/>
    </row>
    <row r="187" spans="5:7" x14ac:dyDescent="0.2">
      <c r="E187" s="6"/>
      <c r="F187" s="121"/>
      <c r="G187" s="6"/>
    </row>
    <row r="188" spans="5:7" x14ac:dyDescent="0.2">
      <c r="E188" s="6"/>
      <c r="F188" s="121"/>
      <c r="G188" s="6"/>
    </row>
    <row r="189" spans="5:7" x14ac:dyDescent="0.2">
      <c r="E189" s="6"/>
      <c r="F189" s="121"/>
      <c r="G189" s="6"/>
    </row>
    <row r="190" spans="5:7" x14ac:dyDescent="0.2">
      <c r="E190" s="6"/>
      <c r="F190" s="121"/>
      <c r="G190" s="6"/>
    </row>
    <row r="191" spans="5:7" x14ac:dyDescent="0.2">
      <c r="E191" s="6"/>
      <c r="F191" s="121"/>
      <c r="G191" s="6"/>
    </row>
    <row r="192" spans="5:7" x14ac:dyDescent="0.2">
      <c r="E192" s="6"/>
      <c r="F192" s="121"/>
      <c r="G192" s="6"/>
    </row>
    <row r="193" spans="5:7" x14ac:dyDescent="0.2">
      <c r="E193" s="6"/>
      <c r="F193" s="121"/>
      <c r="G193" s="6"/>
    </row>
    <row r="194" spans="5:7" x14ac:dyDescent="0.2">
      <c r="E194" s="6"/>
      <c r="F194" s="121"/>
      <c r="G194" s="6"/>
    </row>
    <row r="195" spans="5:7" x14ac:dyDescent="0.2">
      <c r="E195" s="6"/>
      <c r="F195" s="121"/>
      <c r="G195" s="6"/>
    </row>
    <row r="196" spans="5:7" x14ac:dyDescent="0.2">
      <c r="E196" s="6"/>
      <c r="F196" s="121"/>
      <c r="G196" s="6"/>
    </row>
    <row r="197" spans="5:7" x14ac:dyDescent="0.2">
      <c r="E197" s="6"/>
      <c r="F197" s="121"/>
      <c r="G197" s="6"/>
    </row>
    <row r="198" spans="5:7" x14ac:dyDescent="0.2">
      <c r="E198" s="6"/>
      <c r="F198" s="121"/>
      <c r="G198" s="6"/>
    </row>
    <row r="199" spans="5:7" x14ac:dyDescent="0.2">
      <c r="E199" s="6"/>
      <c r="F199" s="121"/>
      <c r="G199" s="6"/>
    </row>
    <row r="200" spans="5:7" x14ac:dyDescent="0.2">
      <c r="E200" s="6"/>
      <c r="F200" s="121"/>
      <c r="G200" s="6"/>
    </row>
    <row r="201" spans="5:7" x14ac:dyDescent="0.2">
      <c r="E201" s="6"/>
      <c r="F201" s="121"/>
      <c r="G201" s="6"/>
    </row>
    <row r="202" spans="5:7" x14ac:dyDescent="0.2">
      <c r="E202" s="6"/>
      <c r="F202" s="121"/>
      <c r="G202" s="6"/>
    </row>
    <row r="203" spans="5:7" x14ac:dyDescent="0.2">
      <c r="E203" s="6"/>
      <c r="F203" s="121"/>
      <c r="G203" s="6"/>
    </row>
    <row r="204" spans="5:7" x14ac:dyDescent="0.2">
      <c r="E204" s="6"/>
      <c r="F204" s="121"/>
      <c r="G204" s="6"/>
    </row>
    <row r="205" spans="5:7" x14ac:dyDescent="0.2">
      <c r="E205" s="6"/>
      <c r="F205" s="121"/>
      <c r="G205" s="6"/>
    </row>
    <row r="206" spans="5:7" x14ac:dyDescent="0.2">
      <c r="E206" s="6"/>
      <c r="F206" s="121"/>
      <c r="G206" s="6"/>
    </row>
    <row r="207" spans="5:7" x14ac:dyDescent="0.2">
      <c r="E207" s="6"/>
      <c r="F207" s="121"/>
      <c r="G207" s="6"/>
    </row>
    <row r="208" spans="5:7" x14ac:dyDescent="0.2">
      <c r="E208" s="6"/>
      <c r="F208" s="121"/>
      <c r="G208" s="6"/>
    </row>
    <row r="209" spans="5:7" x14ac:dyDescent="0.2">
      <c r="E209" s="6"/>
      <c r="F209" s="121"/>
      <c r="G209" s="6"/>
    </row>
    <row r="210" spans="5:7" x14ac:dyDescent="0.2">
      <c r="E210" s="6"/>
      <c r="F210" s="121"/>
      <c r="G210" s="6"/>
    </row>
    <row r="211" spans="5:7" x14ac:dyDescent="0.2">
      <c r="E211" s="6"/>
      <c r="F211" s="121"/>
      <c r="G211" s="6"/>
    </row>
    <row r="212" spans="5:7" x14ac:dyDescent="0.2">
      <c r="E212" s="6"/>
      <c r="F212" s="121"/>
      <c r="G212" s="6"/>
    </row>
    <row r="213" spans="5:7" x14ac:dyDescent="0.2">
      <c r="E213" s="6"/>
      <c r="F213" s="121"/>
      <c r="G213" s="6"/>
    </row>
    <row r="214" spans="5:7" x14ac:dyDescent="0.2">
      <c r="E214" s="6"/>
      <c r="F214" s="121"/>
      <c r="G214" s="6"/>
    </row>
    <row r="215" spans="5:7" x14ac:dyDescent="0.2">
      <c r="E215" s="6"/>
      <c r="F215" s="121"/>
      <c r="G215" s="6"/>
    </row>
    <row r="216" spans="5:7" x14ac:dyDescent="0.2">
      <c r="E216" s="6"/>
      <c r="F216" s="121"/>
      <c r="G216" s="6"/>
    </row>
    <row r="217" spans="5:7" x14ac:dyDescent="0.2">
      <c r="E217" s="6"/>
      <c r="F217" s="121"/>
      <c r="G217" s="6"/>
    </row>
    <row r="218" spans="5:7" x14ac:dyDescent="0.2">
      <c r="E218" s="6"/>
      <c r="F218" s="121"/>
      <c r="G218" s="6"/>
    </row>
    <row r="219" spans="5:7" x14ac:dyDescent="0.2">
      <c r="E219" s="6"/>
      <c r="F219" s="121"/>
      <c r="G219" s="6"/>
    </row>
    <row r="220" spans="5:7" x14ac:dyDescent="0.2">
      <c r="E220" s="6"/>
      <c r="F220" s="121"/>
      <c r="G220" s="6"/>
    </row>
    <row r="221" spans="5:7" x14ac:dyDescent="0.2">
      <c r="E221" s="6"/>
      <c r="F221" s="121"/>
      <c r="G221" s="6"/>
    </row>
    <row r="222" spans="5:7" x14ac:dyDescent="0.2">
      <c r="E222" s="6"/>
      <c r="F222" s="121"/>
      <c r="G222" s="6"/>
    </row>
    <row r="223" spans="5:7" x14ac:dyDescent="0.2">
      <c r="E223" s="6"/>
      <c r="F223" s="121"/>
      <c r="G223" s="6"/>
    </row>
    <row r="224" spans="5:7" x14ac:dyDescent="0.2">
      <c r="E224" s="6"/>
      <c r="F224" s="121"/>
      <c r="G224" s="6"/>
    </row>
    <row r="225" spans="5:7" x14ac:dyDescent="0.2">
      <c r="E225" s="6"/>
      <c r="F225" s="121"/>
      <c r="G225" s="6"/>
    </row>
    <row r="226" spans="5:7" x14ac:dyDescent="0.2">
      <c r="E226" s="6"/>
      <c r="F226" s="121"/>
      <c r="G226" s="6"/>
    </row>
    <row r="227" spans="5:7" x14ac:dyDescent="0.2">
      <c r="E227" s="6"/>
      <c r="F227" s="121"/>
      <c r="G227" s="6"/>
    </row>
    <row r="228" spans="5:7" x14ac:dyDescent="0.2">
      <c r="E228" s="6"/>
      <c r="F228" s="121"/>
      <c r="G228" s="6"/>
    </row>
    <row r="229" spans="5:7" x14ac:dyDescent="0.2">
      <c r="E229" s="6"/>
      <c r="F229" s="121"/>
      <c r="G229" s="6"/>
    </row>
    <row r="230" spans="5:7" x14ac:dyDescent="0.2">
      <c r="E230" s="6"/>
      <c r="F230" s="121"/>
      <c r="G230" s="6"/>
    </row>
    <row r="231" spans="5:7" x14ac:dyDescent="0.2">
      <c r="E231" s="6"/>
      <c r="F231" s="121"/>
      <c r="G231" s="6"/>
    </row>
    <row r="232" spans="5:7" x14ac:dyDescent="0.2">
      <c r="E232" s="6"/>
      <c r="F232" s="121"/>
      <c r="G232" s="6"/>
    </row>
    <row r="233" spans="5:7" x14ac:dyDescent="0.2">
      <c r="E233" s="6"/>
      <c r="F233" s="121"/>
      <c r="G233" s="6"/>
    </row>
    <row r="234" spans="5:7" x14ac:dyDescent="0.2">
      <c r="E234" s="6"/>
      <c r="F234" s="121"/>
      <c r="G234" s="6"/>
    </row>
    <row r="235" spans="5:7" x14ac:dyDescent="0.2">
      <c r="E235" s="6"/>
      <c r="F235" s="121"/>
      <c r="G235" s="6"/>
    </row>
    <row r="236" spans="5:7" x14ac:dyDescent="0.2">
      <c r="E236" s="6"/>
      <c r="F236" s="121"/>
      <c r="G236" s="6"/>
    </row>
    <row r="237" spans="5:7" x14ac:dyDescent="0.2">
      <c r="E237" s="6"/>
      <c r="F237" s="121"/>
      <c r="G237" s="6"/>
    </row>
    <row r="238" spans="5:7" x14ac:dyDescent="0.2">
      <c r="E238" s="6"/>
      <c r="F238" s="121"/>
      <c r="G238" s="6"/>
    </row>
    <row r="239" spans="5:7" x14ac:dyDescent="0.2">
      <c r="E239" s="6"/>
      <c r="F239" s="121"/>
      <c r="G239" s="6"/>
    </row>
    <row r="240" spans="5:7" x14ac:dyDescent="0.2">
      <c r="E240" s="6"/>
      <c r="F240" s="121"/>
      <c r="G240" s="6"/>
    </row>
    <row r="241" spans="5:7" x14ac:dyDescent="0.2">
      <c r="E241" s="6"/>
      <c r="F241" s="121"/>
      <c r="G241" s="6"/>
    </row>
    <row r="242" spans="5:7" x14ac:dyDescent="0.2">
      <c r="E242" s="6"/>
      <c r="F242" s="121"/>
      <c r="G242" s="6"/>
    </row>
    <row r="243" spans="5:7" x14ac:dyDescent="0.2">
      <c r="E243" s="6"/>
      <c r="F243" s="121"/>
      <c r="G243" s="6"/>
    </row>
    <row r="244" spans="5:7" x14ac:dyDescent="0.2">
      <c r="E244" s="6"/>
      <c r="F244" s="121"/>
      <c r="G244" s="6"/>
    </row>
    <row r="245" spans="5:7" x14ac:dyDescent="0.2">
      <c r="E245" s="6"/>
      <c r="F245" s="121"/>
      <c r="G245" s="6"/>
    </row>
    <row r="246" spans="5:7" x14ac:dyDescent="0.2">
      <c r="E246" s="6"/>
      <c r="F246" s="121"/>
      <c r="G246" s="6"/>
    </row>
    <row r="247" spans="5:7" x14ac:dyDescent="0.2">
      <c r="E247" s="6"/>
      <c r="F247" s="121"/>
      <c r="G247" s="6"/>
    </row>
    <row r="248" spans="5:7" x14ac:dyDescent="0.2">
      <c r="E248" s="6"/>
      <c r="F248" s="121"/>
      <c r="G248" s="6"/>
    </row>
    <row r="249" spans="5:7" x14ac:dyDescent="0.2">
      <c r="E249" s="6"/>
      <c r="F249" s="121"/>
      <c r="G249" s="6"/>
    </row>
    <row r="250" spans="5:7" x14ac:dyDescent="0.2">
      <c r="E250" s="6"/>
      <c r="F250" s="121"/>
      <c r="G250" s="6"/>
    </row>
    <row r="251" spans="5:7" x14ac:dyDescent="0.2">
      <c r="E251" s="6"/>
      <c r="F251" s="121"/>
      <c r="G251" s="6"/>
    </row>
    <row r="252" spans="5:7" x14ac:dyDescent="0.2">
      <c r="E252" s="6"/>
      <c r="F252" s="121"/>
      <c r="G252" s="6"/>
    </row>
    <row r="253" spans="5:7" x14ac:dyDescent="0.2">
      <c r="E253" s="6"/>
      <c r="F253" s="121"/>
      <c r="G253" s="6"/>
    </row>
    <row r="254" spans="5:7" x14ac:dyDescent="0.2">
      <c r="E254" s="6"/>
      <c r="F254" s="121"/>
      <c r="G254" s="6"/>
    </row>
    <row r="255" spans="5:7" x14ac:dyDescent="0.2">
      <c r="E255" s="6"/>
      <c r="F255" s="121"/>
      <c r="G255" s="6"/>
    </row>
    <row r="256" spans="5:7" x14ac:dyDescent="0.2">
      <c r="E256" s="6"/>
      <c r="F256" s="121"/>
      <c r="G256" s="6"/>
    </row>
    <row r="257" spans="5:7" x14ac:dyDescent="0.2">
      <c r="E257" s="6"/>
      <c r="F257" s="121"/>
      <c r="G257" s="6"/>
    </row>
    <row r="258" spans="5:7" x14ac:dyDescent="0.2">
      <c r="E258" s="6"/>
      <c r="F258" s="121"/>
      <c r="G258" s="6"/>
    </row>
    <row r="259" spans="5:7" x14ac:dyDescent="0.2">
      <c r="E259" s="6"/>
      <c r="F259" s="121"/>
      <c r="G259" s="6"/>
    </row>
    <row r="260" spans="5:7" x14ac:dyDescent="0.2">
      <c r="E260" s="6"/>
      <c r="F260" s="121"/>
      <c r="G260" s="6"/>
    </row>
    <row r="261" spans="5:7" x14ac:dyDescent="0.2">
      <c r="E261" s="6"/>
      <c r="F261" s="121"/>
      <c r="G261" s="6"/>
    </row>
    <row r="262" spans="5:7" x14ac:dyDescent="0.2">
      <c r="E262" s="6"/>
      <c r="F262" s="121"/>
      <c r="G262" s="6"/>
    </row>
    <row r="263" spans="5:7" x14ac:dyDescent="0.2">
      <c r="E263" s="6"/>
      <c r="F263" s="121"/>
      <c r="G263" s="6"/>
    </row>
    <row r="264" spans="5:7" x14ac:dyDescent="0.2">
      <c r="E264" s="6"/>
      <c r="F264" s="121"/>
      <c r="G264" s="6"/>
    </row>
    <row r="265" spans="5:7" x14ac:dyDescent="0.2">
      <c r="E265" s="6"/>
      <c r="F265" s="121"/>
      <c r="G265" s="6"/>
    </row>
    <row r="266" spans="5:7" x14ac:dyDescent="0.2">
      <c r="E266" s="6"/>
      <c r="F266" s="121"/>
      <c r="G266" s="6"/>
    </row>
    <row r="267" spans="5:7" x14ac:dyDescent="0.2">
      <c r="E267" s="6"/>
      <c r="F267" s="121"/>
      <c r="G267" s="6"/>
    </row>
    <row r="268" spans="5:7" x14ac:dyDescent="0.2">
      <c r="E268" s="6"/>
      <c r="F268" s="121"/>
      <c r="G268" s="6"/>
    </row>
    <row r="269" spans="5:7" x14ac:dyDescent="0.2">
      <c r="E269" s="6"/>
      <c r="F269" s="121"/>
      <c r="G269" s="6"/>
    </row>
    <row r="270" spans="5:7" x14ac:dyDescent="0.2">
      <c r="E270" s="6"/>
      <c r="F270" s="121"/>
      <c r="G270" s="6"/>
    </row>
    <row r="271" spans="5:7" x14ac:dyDescent="0.2">
      <c r="E271" s="6"/>
      <c r="F271" s="121"/>
      <c r="G271" s="6"/>
    </row>
    <row r="272" spans="5:7" x14ac:dyDescent="0.2">
      <c r="E272" s="6"/>
      <c r="F272" s="121"/>
      <c r="G272" s="6"/>
    </row>
    <row r="273" spans="5:7" x14ac:dyDescent="0.2">
      <c r="E273" s="6"/>
      <c r="F273" s="121"/>
      <c r="G273" s="6"/>
    </row>
    <row r="274" spans="5:7" x14ac:dyDescent="0.2">
      <c r="E274" s="6"/>
      <c r="F274" s="121"/>
      <c r="G274" s="6"/>
    </row>
    <row r="275" spans="5:7" x14ac:dyDescent="0.2">
      <c r="E275" s="6"/>
      <c r="F275" s="121"/>
      <c r="G275" s="6"/>
    </row>
    <row r="276" spans="5:7" x14ac:dyDescent="0.2">
      <c r="E276" s="6"/>
      <c r="F276" s="121"/>
      <c r="G276" s="6"/>
    </row>
    <row r="277" spans="5:7" x14ac:dyDescent="0.2">
      <c r="E277" s="6"/>
      <c r="F277" s="121"/>
      <c r="G277" s="6"/>
    </row>
    <row r="278" spans="5:7" x14ac:dyDescent="0.2">
      <c r="E278" s="6"/>
      <c r="F278" s="121"/>
      <c r="G278" s="6"/>
    </row>
    <row r="279" spans="5:7" x14ac:dyDescent="0.2">
      <c r="E279" s="6"/>
      <c r="F279" s="121"/>
      <c r="G279" s="6"/>
    </row>
    <row r="280" spans="5:7" x14ac:dyDescent="0.2">
      <c r="E280" s="6"/>
      <c r="F280" s="121"/>
      <c r="G280" s="6"/>
    </row>
    <row r="281" spans="5:7" x14ac:dyDescent="0.2">
      <c r="E281" s="6"/>
      <c r="F281" s="121"/>
      <c r="G281" s="6"/>
    </row>
    <row r="282" spans="5:7" x14ac:dyDescent="0.2">
      <c r="E282" s="6"/>
      <c r="F282" s="121"/>
      <c r="G282" s="6"/>
    </row>
    <row r="283" spans="5:7" x14ac:dyDescent="0.2">
      <c r="E283" s="6"/>
      <c r="F283" s="121"/>
      <c r="G283" s="6"/>
    </row>
    <row r="284" spans="5:7" x14ac:dyDescent="0.2">
      <c r="E284" s="6"/>
      <c r="F284" s="121"/>
      <c r="G284" s="6"/>
    </row>
    <row r="285" spans="5:7" x14ac:dyDescent="0.2">
      <c r="E285" s="6"/>
      <c r="F285" s="121"/>
      <c r="G285" s="6"/>
    </row>
    <row r="286" spans="5:7" x14ac:dyDescent="0.2">
      <c r="E286" s="6"/>
      <c r="F286" s="121"/>
      <c r="G286" s="6"/>
    </row>
    <row r="287" spans="5:7" x14ac:dyDescent="0.2">
      <c r="E287" s="6"/>
      <c r="F287" s="121"/>
      <c r="G287" s="6"/>
    </row>
    <row r="288" spans="5:7" x14ac:dyDescent="0.2">
      <c r="E288" s="6"/>
      <c r="F288" s="121"/>
      <c r="G288" s="6"/>
    </row>
    <row r="289" spans="5:7" x14ac:dyDescent="0.2">
      <c r="E289" s="6"/>
      <c r="F289" s="121"/>
      <c r="G289" s="6"/>
    </row>
    <row r="290" spans="5:7" x14ac:dyDescent="0.2">
      <c r="E290" s="6"/>
      <c r="F290" s="121"/>
      <c r="G290" s="6"/>
    </row>
    <row r="291" spans="5:7" x14ac:dyDescent="0.2">
      <c r="E291" s="6"/>
      <c r="F291" s="121"/>
      <c r="G291" s="6"/>
    </row>
    <row r="292" spans="5:7" x14ac:dyDescent="0.2">
      <c r="E292" s="6"/>
      <c r="F292" s="121"/>
      <c r="G292" s="6"/>
    </row>
    <row r="293" spans="5:7" x14ac:dyDescent="0.2">
      <c r="E293" s="6"/>
      <c r="F293" s="121"/>
      <c r="G293" s="6"/>
    </row>
    <row r="294" spans="5:7" x14ac:dyDescent="0.2">
      <c r="E294" s="6"/>
      <c r="F294" s="121"/>
      <c r="G294" s="6"/>
    </row>
    <row r="295" spans="5:7" x14ac:dyDescent="0.2">
      <c r="E295" s="6"/>
      <c r="F295" s="121"/>
      <c r="G295" s="6"/>
    </row>
    <row r="296" spans="5:7" x14ac:dyDescent="0.2">
      <c r="E296" s="6"/>
      <c r="F296" s="121"/>
      <c r="G296" s="6"/>
    </row>
    <row r="297" spans="5:7" x14ac:dyDescent="0.2">
      <c r="E297" s="6"/>
      <c r="F297" s="121"/>
      <c r="G297" s="6"/>
    </row>
    <row r="298" spans="5:7" x14ac:dyDescent="0.2">
      <c r="E298" s="6"/>
      <c r="F298" s="121"/>
      <c r="G298" s="6"/>
    </row>
    <row r="299" spans="5:7" x14ac:dyDescent="0.2">
      <c r="E299" s="6"/>
      <c r="F299" s="121"/>
      <c r="G299" s="6"/>
    </row>
    <row r="300" spans="5:7" x14ac:dyDescent="0.2">
      <c r="E300" s="6"/>
      <c r="F300" s="121"/>
      <c r="G300" s="6"/>
    </row>
    <row r="301" spans="5:7" x14ac:dyDescent="0.2">
      <c r="E301" s="6"/>
      <c r="F301" s="121"/>
      <c r="G301" s="6"/>
    </row>
    <row r="302" spans="5:7" x14ac:dyDescent="0.2">
      <c r="E302" s="6"/>
      <c r="F302" s="121"/>
      <c r="G302" s="6"/>
    </row>
    <row r="303" spans="5:7" x14ac:dyDescent="0.2">
      <c r="E303" s="6"/>
      <c r="F303" s="121"/>
      <c r="G303" s="6"/>
    </row>
    <row r="304" spans="5:7" x14ac:dyDescent="0.2">
      <c r="E304" s="6"/>
      <c r="F304" s="121"/>
      <c r="G304" s="6"/>
    </row>
    <row r="305" spans="5:7" x14ac:dyDescent="0.2">
      <c r="E305" s="6"/>
      <c r="F305" s="121"/>
      <c r="G305" s="6"/>
    </row>
    <row r="306" spans="5:7" x14ac:dyDescent="0.2">
      <c r="E306" s="6"/>
      <c r="F306" s="121"/>
      <c r="G306" s="6"/>
    </row>
    <row r="307" spans="5:7" x14ac:dyDescent="0.2">
      <c r="E307" s="6"/>
      <c r="F307" s="121"/>
      <c r="G307" s="6"/>
    </row>
    <row r="308" spans="5:7" x14ac:dyDescent="0.2">
      <c r="E308" s="6"/>
      <c r="F308" s="121"/>
      <c r="G308" s="6"/>
    </row>
    <row r="309" spans="5:7" x14ac:dyDescent="0.2">
      <c r="E309" s="6"/>
      <c r="F309" s="121"/>
      <c r="G309" s="6"/>
    </row>
    <row r="310" spans="5:7" x14ac:dyDescent="0.2">
      <c r="E310" s="6"/>
      <c r="F310" s="121"/>
      <c r="G310" s="6"/>
    </row>
    <row r="311" spans="5:7" x14ac:dyDescent="0.2">
      <c r="E311" s="6"/>
      <c r="F311" s="121"/>
      <c r="G311" s="6"/>
    </row>
    <row r="312" spans="5:7" x14ac:dyDescent="0.2">
      <c r="E312" s="6"/>
      <c r="F312" s="121"/>
      <c r="G312" s="6"/>
    </row>
    <row r="313" spans="5:7" x14ac:dyDescent="0.2">
      <c r="E313" s="6"/>
      <c r="F313" s="121"/>
      <c r="G313" s="6"/>
    </row>
    <row r="314" spans="5:7" x14ac:dyDescent="0.2">
      <c r="E314" s="6"/>
      <c r="F314" s="121"/>
      <c r="G314" s="6"/>
    </row>
    <row r="315" spans="5:7" x14ac:dyDescent="0.2">
      <c r="E315" s="6"/>
      <c r="F315" s="121"/>
      <c r="G315" s="6"/>
    </row>
    <row r="316" spans="5:7" x14ac:dyDescent="0.2">
      <c r="E316" s="6"/>
      <c r="F316" s="121"/>
      <c r="G316" s="6"/>
    </row>
    <row r="317" spans="5:7" x14ac:dyDescent="0.2">
      <c r="E317" s="6"/>
      <c r="F317" s="121"/>
      <c r="G317" s="6"/>
    </row>
    <row r="318" spans="5:7" x14ac:dyDescent="0.2">
      <c r="E318" s="6"/>
      <c r="F318" s="121"/>
      <c r="G318" s="6"/>
    </row>
    <row r="319" spans="5:7" x14ac:dyDescent="0.2">
      <c r="E319" s="6"/>
      <c r="F319" s="121"/>
      <c r="G319" s="6"/>
    </row>
    <row r="320" spans="5:7" x14ac:dyDescent="0.2">
      <c r="E320" s="6"/>
      <c r="F320" s="121"/>
      <c r="G320" s="6"/>
    </row>
    <row r="321" spans="5:7" x14ac:dyDescent="0.2">
      <c r="E321" s="6"/>
      <c r="F321" s="121"/>
      <c r="G321" s="6"/>
    </row>
    <row r="322" spans="5:7" x14ac:dyDescent="0.2">
      <c r="E322" s="6"/>
      <c r="F322" s="121"/>
      <c r="G322" s="6"/>
    </row>
    <row r="323" spans="5:7" x14ac:dyDescent="0.2">
      <c r="E323" s="6"/>
      <c r="F323" s="121"/>
      <c r="G323" s="6"/>
    </row>
    <row r="324" spans="5:7" x14ac:dyDescent="0.2">
      <c r="E324" s="6"/>
      <c r="F324" s="121"/>
      <c r="G324" s="6"/>
    </row>
    <row r="325" spans="5:7" x14ac:dyDescent="0.2">
      <c r="E325" s="6"/>
      <c r="F325" s="121"/>
      <c r="G325" s="6"/>
    </row>
    <row r="326" spans="5:7" x14ac:dyDescent="0.2">
      <c r="E326" s="6"/>
      <c r="F326" s="121"/>
      <c r="G326" s="6"/>
    </row>
    <row r="327" spans="5:7" x14ac:dyDescent="0.2">
      <c r="E327" s="6"/>
      <c r="F327" s="121"/>
      <c r="G327" s="6"/>
    </row>
    <row r="328" spans="5:7" x14ac:dyDescent="0.2">
      <c r="E328" s="6"/>
      <c r="F328" s="121"/>
      <c r="G328" s="6"/>
    </row>
    <row r="329" spans="5:7" x14ac:dyDescent="0.2">
      <c r="E329" s="6"/>
      <c r="F329" s="121"/>
      <c r="G329" s="6"/>
    </row>
    <row r="330" spans="5:7" x14ac:dyDescent="0.2">
      <c r="E330" s="6"/>
      <c r="F330" s="121"/>
      <c r="G330" s="6"/>
    </row>
    <row r="331" spans="5:7" x14ac:dyDescent="0.2">
      <c r="E331" s="6"/>
      <c r="F331" s="121"/>
      <c r="G331" s="6"/>
    </row>
    <row r="332" spans="5:7" x14ac:dyDescent="0.2">
      <c r="E332" s="6"/>
      <c r="F332" s="121"/>
      <c r="G332" s="6"/>
    </row>
    <row r="333" spans="5:7" x14ac:dyDescent="0.2">
      <c r="E333" s="6"/>
      <c r="F333" s="121"/>
      <c r="G333" s="6"/>
    </row>
    <row r="334" spans="5:7" x14ac:dyDescent="0.2">
      <c r="E334" s="6"/>
      <c r="F334" s="121"/>
      <c r="G334" s="6"/>
    </row>
    <row r="335" spans="5:7" x14ac:dyDescent="0.2">
      <c r="E335" s="6"/>
      <c r="F335" s="121"/>
      <c r="G335" s="6"/>
    </row>
    <row r="336" spans="5:7" x14ac:dyDescent="0.2">
      <c r="E336" s="6"/>
      <c r="F336" s="121"/>
      <c r="G336" s="6"/>
    </row>
    <row r="337" spans="5:7" x14ac:dyDescent="0.2">
      <c r="E337" s="6"/>
      <c r="F337" s="121"/>
      <c r="G337" s="6"/>
    </row>
    <row r="338" spans="5:7" x14ac:dyDescent="0.2">
      <c r="E338" s="6"/>
      <c r="F338" s="121"/>
      <c r="G338" s="6"/>
    </row>
    <row r="339" spans="5:7" x14ac:dyDescent="0.2">
      <c r="E339" s="6"/>
      <c r="F339" s="121"/>
      <c r="G339" s="6"/>
    </row>
    <row r="340" spans="5:7" x14ac:dyDescent="0.2">
      <c r="E340" s="6"/>
      <c r="F340" s="121"/>
      <c r="G340" s="6"/>
    </row>
    <row r="341" spans="5:7" x14ac:dyDescent="0.2">
      <c r="E341" s="6"/>
      <c r="F341" s="121"/>
      <c r="G341" s="6"/>
    </row>
    <row r="342" spans="5:7" x14ac:dyDescent="0.2">
      <c r="E342" s="6"/>
      <c r="F342" s="121"/>
      <c r="G342" s="6"/>
    </row>
    <row r="343" spans="5:7" x14ac:dyDescent="0.2">
      <c r="E343" s="6"/>
      <c r="F343" s="121"/>
      <c r="G343" s="6"/>
    </row>
    <row r="344" spans="5:7" x14ac:dyDescent="0.2">
      <c r="E344" s="6"/>
      <c r="F344" s="121"/>
      <c r="G344" s="6"/>
    </row>
    <row r="345" spans="5:7" x14ac:dyDescent="0.2">
      <c r="E345" s="6"/>
      <c r="F345" s="121"/>
      <c r="G345" s="6"/>
    </row>
    <row r="346" spans="5:7" x14ac:dyDescent="0.2">
      <c r="E346" s="6"/>
      <c r="F346" s="121"/>
      <c r="G346" s="6"/>
    </row>
    <row r="347" spans="5:7" x14ac:dyDescent="0.2">
      <c r="E347" s="6"/>
      <c r="F347" s="121"/>
      <c r="G347" s="6"/>
    </row>
    <row r="348" spans="5:7" x14ac:dyDescent="0.2">
      <c r="E348" s="6"/>
      <c r="F348" s="121"/>
      <c r="G348" s="6"/>
    </row>
    <row r="349" spans="5:7" x14ac:dyDescent="0.2">
      <c r="E349" s="6"/>
      <c r="F349" s="121"/>
      <c r="G349" s="6"/>
    </row>
    <row r="350" spans="5:7" x14ac:dyDescent="0.2">
      <c r="E350" s="6"/>
      <c r="F350" s="121"/>
      <c r="G350" s="6"/>
    </row>
    <row r="351" spans="5:7" x14ac:dyDescent="0.2">
      <c r="E351" s="6"/>
      <c r="F351" s="121"/>
      <c r="G351" s="6"/>
    </row>
    <row r="352" spans="5:7" x14ac:dyDescent="0.2">
      <c r="E352" s="6"/>
      <c r="F352" s="121"/>
      <c r="G352" s="6"/>
    </row>
    <row r="353" spans="5:7" x14ac:dyDescent="0.2">
      <c r="E353" s="6"/>
      <c r="F353" s="121"/>
      <c r="G353" s="6"/>
    </row>
    <row r="354" spans="5:7" x14ac:dyDescent="0.2">
      <c r="E354" s="6"/>
      <c r="F354" s="121"/>
      <c r="G354" s="6"/>
    </row>
    <row r="355" spans="5:7" x14ac:dyDescent="0.2">
      <c r="E355" s="6"/>
      <c r="F355" s="121"/>
      <c r="G355" s="6"/>
    </row>
    <row r="356" spans="5:7" x14ac:dyDescent="0.2">
      <c r="E356" s="6"/>
      <c r="F356" s="121"/>
      <c r="G356" s="6"/>
    </row>
    <row r="357" spans="5:7" x14ac:dyDescent="0.2">
      <c r="E357" s="6"/>
      <c r="F357" s="121"/>
      <c r="G357" s="6"/>
    </row>
    <row r="358" spans="5:7" x14ac:dyDescent="0.2">
      <c r="E358" s="6"/>
      <c r="F358" s="121"/>
      <c r="G358" s="6"/>
    </row>
    <row r="359" spans="5:7" x14ac:dyDescent="0.2">
      <c r="E359" s="6"/>
      <c r="F359" s="121"/>
      <c r="G359" s="6"/>
    </row>
    <row r="360" spans="5:7" x14ac:dyDescent="0.2">
      <c r="E360" s="6"/>
      <c r="F360" s="121"/>
      <c r="G360" s="6"/>
    </row>
    <row r="361" spans="5:7" x14ac:dyDescent="0.2">
      <c r="E361" s="6"/>
      <c r="F361" s="121"/>
      <c r="G361" s="6"/>
    </row>
    <row r="362" spans="5:7" x14ac:dyDescent="0.2">
      <c r="E362" s="6"/>
      <c r="F362" s="121"/>
      <c r="G362" s="6"/>
    </row>
    <row r="363" spans="5:7" x14ac:dyDescent="0.2">
      <c r="E363" s="6"/>
      <c r="F363" s="121"/>
      <c r="G363" s="6"/>
    </row>
    <row r="364" spans="5:7" x14ac:dyDescent="0.2">
      <c r="E364" s="6"/>
      <c r="F364" s="121"/>
      <c r="G364" s="6"/>
    </row>
    <row r="365" spans="5:7" x14ac:dyDescent="0.2">
      <c r="E365" s="6"/>
      <c r="F365" s="121"/>
      <c r="G365" s="6"/>
    </row>
    <row r="366" spans="5:7" x14ac:dyDescent="0.2">
      <c r="E366" s="6"/>
      <c r="F366" s="121"/>
      <c r="G366" s="6"/>
    </row>
    <row r="367" spans="5:7" x14ac:dyDescent="0.2">
      <c r="E367" s="6"/>
      <c r="F367" s="121"/>
      <c r="G367" s="6"/>
    </row>
    <row r="368" spans="5:7" x14ac:dyDescent="0.2">
      <c r="E368" s="6"/>
      <c r="F368" s="121"/>
      <c r="G368" s="6"/>
    </row>
    <row r="369" spans="5:7" x14ac:dyDescent="0.2">
      <c r="E369" s="6"/>
      <c r="F369" s="121"/>
      <c r="G369" s="6"/>
    </row>
    <row r="370" spans="5:7" x14ac:dyDescent="0.2">
      <c r="E370" s="6"/>
      <c r="F370" s="121"/>
      <c r="G370" s="6"/>
    </row>
    <row r="371" spans="5:7" x14ac:dyDescent="0.2">
      <c r="E371" s="6"/>
      <c r="F371" s="121"/>
      <c r="G371" s="6"/>
    </row>
    <row r="372" spans="5:7" x14ac:dyDescent="0.2">
      <c r="E372" s="6"/>
      <c r="F372" s="121"/>
      <c r="G372" s="6"/>
    </row>
    <row r="373" spans="5:7" x14ac:dyDescent="0.2">
      <c r="E373" s="6"/>
      <c r="F373" s="121"/>
      <c r="G373" s="6"/>
    </row>
    <row r="374" spans="5:7" x14ac:dyDescent="0.2">
      <c r="E374" s="6"/>
      <c r="F374" s="121"/>
      <c r="G374" s="6"/>
    </row>
    <row r="375" spans="5:7" x14ac:dyDescent="0.2">
      <c r="E375" s="6"/>
      <c r="F375" s="121"/>
      <c r="G375" s="6"/>
    </row>
    <row r="376" spans="5:7" x14ac:dyDescent="0.2">
      <c r="E376" s="6"/>
      <c r="F376" s="121"/>
      <c r="G376" s="6"/>
    </row>
    <row r="377" spans="5:7" x14ac:dyDescent="0.2">
      <c r="E377" s="6"/>
      <c r="F377" s="121"/>
      <c r="G377" s="6"/>
    </row>
    <row r="378" spans="5:7" x14ac:dyDescent="0.2">
      <c r="E378" s="6"/>
      <c r="F378" s="121"/>
      <c r="G378" s="6"/>
    </row>
    <row r="379" spans="5:7" x14ac:dyDescent="0.2">
      <c r="E379" s="6"/>
      <c r="F379" s="121"/>
      <c r="G379" s="6"/>
    </row>
    <row r="380" spans="5:7" x14ac:dyDescent="0.2">
      <c r="E380" s="6"/>
      <c r="F380" s="121"/>
      <c r="G380" s="6"/>
    </row>
    <row r="381" spans="5:7" x14ac:dyDescent="0.2">
      <c r="E381" s="6"/>
      <c r="F381" s="121"/>
      <c r="G381" s="6"/>
    </row>
    <row r="382" spans="5:7" x14ac:dyDescent="0.2">
      <c r="E382" s="6"/>
      <c r="F382" s="121"/>
      <c r="G382" s="6"/>
    </row>
    <row r="383" spans="5:7" x14ac:dyDescent="0.2">
      <c r="E383" s="6"/>
      <c r="F383" s="121"/>
      <c r="G383" s="6"/>
    </row>
    <row r="384" spans="5:7" x14ac:dyDescent="0.2">
      <c r="E384" s="6"/>
      <c r="F384" s="121"/>
      <c r="G384" s="6"/>
    </row>
    <row r="385" spans="5:7" x14ac:dyDescent="0.2">
      <c r="E385" s="6"/>
      <c r="F385" s="121"/>
      <c r="G385" s="6"/>
    </row>
    <row r="386" spans="5:7" x14ac:dyDescent="0.2">
      <c r="E386" s="6"/>
      <c r="F386" s="121"/>
      <c r="G386" s="6"/>
    </row>
    <row r="387" spans="5:7" x14ac:dyDescent="0.2">
      <c r="E387" s="6"/>
      <c r="F387" s="121"/>
      <c r="G387" s="6"/>
    </row>
    <row r="388" spans="5:7" x14ac:dyDescent="0.2">
      <c r="E388" s="6"/>
      <c r="F388" s="121"/>
      <c r="G388" s="6"/>
    </row>
    <row r="389" spans="5:7" x14ac:dyDescent="0.2">
      <c r="E389" s="6"/>
      <c r="F389" s="121"/>
      <c r="G389" s="6"/>
    </row>
    <row r="390" spans="5:7" x14ac:dyDescent="0.2">
      <c r="E390" s="6"/>
      <c r="F390" s="121"/>
      <c r="G390" s="6"/>
    </row>
    <row r="391" spans="5:7" x14ac:dyDescent="0.2">
      <c r="E391" s="6"/>
      <c r="F391" s="121"/>
      <c r="G391" s="6"/>
    </row>
    <row r="392" spans="5:7" x14ac:dyDescent="0.2">
      <c r="E392" s="6"/>
      <c r="F392" s="121"/>
      <c r="G392" s="6"/>
    </row>
    <row r="393" spans="5:7" x14ac:dyDescent="0.2">
      <c r="E393" s="6"/>
      <c r="F393" s="121"/>
      <c r="G393" s="6"/>
    </row>
    <row r="394" spans="5:7" x14ac:dyDescent="0.2">
      <c r="E394" s="6"/>
      <c r="F394" s="121"/>
      <c r="G394" s="6"/>
    </row>
    <row r="395" spans="5:7" x14ac:dyDescent="0.2">
      <c r="E395" s="6"/>
      <c r="F395" s="121"/>
      <c r="G395" s="6"/>
    </row>
    <row r="396" spans="5:7" x14ac:dyDescent="0.2">
      <c r="E396" s="6"/>
      <c r="F396" s="121"/>
      <c r="G396" s="6"/>
    </row>
    <row r="397" spans="5:7" x14ac:dyDescent="0.2">
      <c r="E397" s="6"/>
      <c r="F397" s="121"/>
      <c r="G397" s="6"/>
    </row>
    <row r="398" spans="5:7" x14ac:dyDescent="0.2">
      <c r="E398" s="6"/>
      <c r="F398" s="121"/>
      <c r="G398" s="6"/>
    </row>
    <row r="399" spans="5:7" x14ac:dyDescent="0.2">
      <c r="E399" s="6"/>
      <c r="F399" s="121"/>
      <c r="G399" s="6"/>
    </row>
    <row r="400" spans="5:7" x14ac:dyDescent="0.2">
      <c r="E400" s="6"/>
      <c r="F400" s="121"/>
      <c r="G400" s="6"/>
    </row>
    <row r="401" spans="5:7" x14ac:dyDescent="0.2">
      <c r="E401" s="6"/>
      <c r="F401" s="121"/>
      <c r="G401" s="6"/>
    </row>
    <row r="402" spans="5:7" x14ac:dyDescent="0.2">
      <c r="E402" s="6"/>
      <c r="F402" s="121"/>
      <c r="G402" s="6"/>
    </row>
    <row r="403" spans="5:7" x14ac:dyDescent="0.2">
      <c r="E403" s="6"/>
      <c r="F403" s="121"/>
      <c r="G403" s="6"/>
    </row>
    <row r="404" spans="5:7" x14ac:dyDescent="0.2">
      <c r="E404" s="6"/>
      <c r="F404" s="121"/>
      <c r="G404" s="6"/>
    </row>
    <row r="405" spans="5:7" x14ac:dyDescent="0.2">
      <c r="E405" s="6"/>
      <c r="F405" s="121"/>
      <c r="G405" s="6"/>
    </row>
    <row r="406" spans="5:7" x14ac:dyDescent="0.2">
      <c r="E406" s="6"/>
      <c r="F406" s="121"/>
      <c r="G406" s="6"/>
    </row>
    <row r="407" spans="5:7" x14ac:dyDescent="0.2">
      <c r="E407" s="6"/>
      <c r="F407" s="121"/>
      <c r="G407" s="6"/>
    </row>
    <row r="408" spans="5:7" x14ac:dyDescent="0.2">
      <c r="E408" s="6"/>
      <c r="F408" s="121"/>
      <c r="G408" s="6"/>
    </row>
    <row r="409" spans="5:7" x14ac:dyDescent="0.2">
      <c r="E409" s="6"/>
      <c r="F409" s="121"/>
      <c r="G409" s="6"/>
    </row>
    <row r="410" spans="5:7" x14ac:dyDescent="0.2">
      <c r="E410" s="6"/>
      <c r="F410" s="121"/>
      <c r="G410" s="6"/>
    </row>
    <row r="411" spans="5:7" x14ac:dyDescent="0.2">
      <c r="E411" s="6"/>
      <c r="F411" s="121"/>
      <c r="G411" s="6"/>
    </row>
    <row r="412" spans="5:7" x14ac:dyDescent="0.2">
      <c r="E412" s="6"/>
      <c r="F412" s="121"/>
      <c r="G412" s="6"/>
    </row>
    <row r="413" spans="5:7" x14ac:dyDescent="0.2">
      <c r="E413" s="6"/>
      <c r="F413" s="121"/>
      <c r="G413" s="6"/>
    </row>
    <row r="414" spans="5:7" x14ac:dyDescent="0.2">
      <c r="E414" s="6"/>
      <c r="F414" s="121"/>
      <c r="G414" s="6"/>
    </row>
    <row r="415" spans="5:7" x14ac:dyDescent="0.2">
      <c r="E415" s="6"/>
      <c r="F415" s="121"/>
      <c r="G415" s="6"/>
    </row>
    <row r="416" spans="5:7" x14ac:dyDescent="0.2">
      <c r="E416" s="6"/>
      <c r="F416" s="121"/>
      <c r="G416" s="6"/>
    </row>
    <row r="417" spans="5:7" x14ac:dyDescent="0.2">
      <c r="E417" s="6"/>
      <c r="F417" s="121"/>
      <c r="G417" s="6"/>
    </row>
    <row r="418" spans="5:7" x14ac:dyDescent="0.2">
      <c r="E418" s="6"/>
      <c r="F418" s="121"/>
      <c r="G418" s="6"/>
    </row>
    <row r="419" spans="5:7" x14ac:dyDescent="0.2">
      <c r="E419" s="6"/>
      <c r="F419" s="121"/>
      <c r="G419" s="6"/>
    </row>
    <row r="420" spans="5:7" x14ac:dyDescent="0.2">
      <c r="E420" s="6"/>
      <c r="F420" s="121"/>
      <c r="G420" s="6"/>
    </row>
    <row r="421" spans="5:7" x14ac:dyDescent="0.2">
      <c r="E421" s="6"/>
      <c r="F421" s="121"/>
      <c r="G421" s="6"/>
    </row>
    <row r="422" spans="5:7" x14ac:dyDescent="0.2">
      <c r="E422" s="6"/>
      <c r="F422" s="121"/>
      <c r="G422" s="6"/>
    </row>
    <row r="423" spans="5:7" x14ac:dyDescent="0.2">
      <c r="E423" s="6"/>
      <c r="F423" s="121"/>
      <c r="G423" s="6"/>
    </row>
    <row r="424" spans="5:7" x14ac:dyDescent="0.2">
      <c r="E424" s="6"/>
      <c r="F424" s="121"/>
      <c r="G424" s="6"/>
    </row>
    <row r="425" spans="5:7" x14ac:dyDescent="0.2">
      <c r="E425" s="6"/>
      <c r="F425" s="121"/>
      <c r="G425" s="6"/>
    </row>
    <row r="426" spans="5:7" x14ac:dyDescent="0.2">
      <c r="E426" s="6"/>
      <c r="F426" s="121"/>
      <c r="G426" s="6"/>
    </row>
    <row r="427" spans="5:7" x14ac:dyDescent="0.2">
      <c r="E427" s="6"/>
      <c r="F427" s="121"/>
      <c r="G427" s="6"/>
    </row>
    <row r="428" spans="5:7" x14ac:dyDescent="0.2">
      <c r="E428" s="6"/>
      <c r="F428" s="121"/>
      <c r="G428" s="6"/>
    </row>
    <row r="429" spans="5:7" x14ac:dyDescent="0.2">
      <c r="E429" s="6"/>
      <c r="F429" s="121"/>
      <c r="G429" s="6"/>
    </row>
    <row r="430" spans="5:7" x14ac:dyDescent="0.2">
      <c r="E430" s="6"/>
      <c r="F430" s="121"/>
      <c r="G430" s="6"/>
    </row>
    <row r="431" spans="5:7" x14ac:dyDescent="0.2">
      <c r="E431" s="6"/>
      <c r="F431" s="121"/>
      <c r="G431" s="6"/>
    </row>
    <row r="432" spans="5:7" x14ac:dyDescent="0.2">
      <c r="E432" s="6"/>
      <c r="F432" s="121"/>
      <c r="G432" s="6"/>
    </row>
    <row r="433" spans="5:7" x14ac:dyDescent="0.2">
      <c r="E433" s="6"/>
      <c r="F433" s="121"/>
      <c r="G433" s="6"/>
    </row>
    <row r="434" spans="5:7" x14ac:dyDescent="0.2">
      <c r="E434" s="6"/>
      <c r="F434" s="121"/>
      <c r="G434" s="6"/>
    </row>
    <row r="435" spans="5:7" x14ac:dyDescent="0.2">
      <c r="E435" s="6"/>
      <c r="F435" s="121"/>
      <c r="G435" s="6"/>
    </row>
    <row r="436" spans="5:7" x14ac:dyDescent="0.2">
      <c r="E436" s="6"/>
      <c r="F436" s="121"/>
      <c r="G436" s="6"/>
    </row>
    <row r="437" spans="5:7" x14ac:dyDescent="0.2">
      <c r="E437" s="6"/>
      <c r="F437" s="121"/>
      <c r="G437" s="6"/>
    </row>
    <row r="438" spans="5:7" x14ac:dyDescent="0.2">
      <c r="E438" s="6"/>
      <c r="F438" s="121"/>
      <c r="G438" s="6"/>
    </row>
    <row r="439" spans="5:7" x14ac:dyDescent="0.2">
      <c r="E439" s="6"/>
      <c r="F439" s="121"/>
      <c r="G439" s="6"/>
    </row>
    <row r="440" spans="5:7" x14ac:dyDescent="0.2">
      <c r="E440" s="6"/>
      <c r="F440" s="121"/>
      <c r="G440" s="6"/>
    </row>
    <row r="441" spans="5:7" x14ac:dyDescent="0.2">
      <c r="E441" s="6"/>
      <c r="F441" s="121"/>
      <c r="G441" s="6"/>
    </row>
    <row r="442" spans="5:7" x14ac:dyDescent="0.2">
      <c r="E442" s="6"/>
      <c r="F442" s="121"/>
      <c r="G442" s="6"/>
    </row>
    <row r="443" spans="5:7" x14ac:dyDescent="0.2">
      <c r="E443" s="6"/>
      <c r="F443" s="121"/>
      <c r="G443" s="6"/>
    </row>
    <row r="444" spans="5:7" x14ac:dyDescent="0.2">
      <c r="E444" s="6"/>
      <c r="F444" s="121"/>
      <c r="G444" s="6"/>
    </row>
    <row r="445" spans="5:7" x14ac:dyDescent="0.2">
      <c r="E445" s="6"/>
      <c r="F445" s="121"/>
      <c r="G445" s="6"/>
    </row>
    <row r="446" spans="5:7" x14ac:dyDescent="0.2">
      <c r="E446" s="6"/>
      <c r="F446" s="121"/>
      <c r="G446" s="6"/>
    </row>
    <row r="447" spans="5:7" x14ac:dyDescent="0.2">
      <c r="E447" s="6"/>
      <c r="F447" s="121"/>
      <c r="G447" s="6"/>
    </row>
    <row r="448" spans="5:7" x14ac:dyDescent="0.2">
      <c r="E448" s="6"/>
      <c r="F448" s="121"/>
      <c r="G448" s="6"/>
    </row>
    <row r="449" spans="5:7" x14ac:dyDescent="0.2">
      <c r="E449" s="6"/>
      <c r="F449" s="121"/>
      <c r="G449" s="6"/>
    </row>
    <row r="450" spans="5:7" x14ac:dyDescent="0.2">
      <c r="E450" s="6"/>
      <c r="F450" s="121"/>
      <c r="G450" s="6"/>
    </row>
    <row r="451" spans="5:7" x14ac:dyDescent="0.2">
      <c r="E451" s="6"/>
      <c r="F451" s="121"/>
      <c r="G451" s="6"/>
    </row>
    <row r="452" spans="5:7" x14ac:dyDescent="0.2">
      <c r="E452" s="6"/>
      <c r="F452" s="121"/>
      <c r="G452" s="6"/>
    </row>
    <row r="453" spans="5:7" x14ac:dyDescent="0.2">
      <c r="E453" s="6"/>
      <c r="F453" s="121"/>
      <c r="G453" s="6"/>
    </row>
    <row r="454" spans="5:7" x14ac:dyDescent="0.2">
      <c r="E454" s="6"/>
      <c r="F454" s="121"/>
      <c r="G454" s="6"/>
    </row>
    <row r="455" spans="5:7" x14ac:dyDescent="0.2">
      <c r="E455" s="6"/>
      <c r="F455" s="121"/>
      <c r="G455" s="6"/>
    </row>
    <row r="456" spans="5:7" x14ac:dyDescent="0.2">
      <c r="E456" s="6"/>
      <c r="F456" s="121"/>
      <c r="G456" s="6"/>
    </row>
    <row r="457" spans="5:7" x14ac:dyDescent="0.2">
      <c r="E457" s="6"/>
      <c r="F457" s="121"/>
      <c r="G457" s="6"/>
    </row>
    <row r="458" spans="5:7" x14ac:dyDescent="0.2">
      <c r="E458" s="6"/>
      <c r="F458" s="121"/>
      <c r="G458" s="6"/>
    </row>
    <row r="459" spans="5:7" x14ac:dyDescent="0.2">
      <c r="E459" s="6"/>
      <c r="F459" s="121"/>
      <c r="G459" s="6"/>
    </row>
    <row r="460" spans="5:7" x14ac:dyDescent="0.2">
      <c r="E460" s="6"/>
      <c r="F460" s="121"/>
      <c r="G460" s="6"/>
    </row>
    <row r="461" spans="5:7" x14ac:dyDescent="0.2">
      <c r="E461" s="6"/>
      <c r="F461" s="121"/>
      <c r="G461" s="6"/>
    </row>
    <row r="462" spans="5:7" x14ac:dyDescent="0.2">
      <c r="E462" s="6"/>
      <c r="F462" s="121"/>
      <c r="G462" s="6"/>
    </row>
    <row r="463" spans="5:7" x14ac:dyDescent="0.2">
      <c r="E463" s="6"/>
      <c r="F463" s="121"/>
      <c r="G463" s="6"/>
    </row>
    <row r="464" spans="5:7" x14ac:dyDescent="0.2">
      <c r="E464" s="6"/>
      <c r="F464" s="121"/>
      <c r="G464" s="6"/>
    </row>
    <row r="465" spans="5:7" x14ac:dyDescent="0.2">
      <c r="E465" s="6"/>
      <c r="F465" s="121"/>
      <c r="G465" s="6"/>
    </row>
    <row r="466" spans="5:7" x14ac:dyDescent="0.2">
      <c r="E466" s="6"/>
      <c r="F466" s="121"/>
      <c r="G466" s="6"/>
    </row>
    <row r="467" spans="5:7" x14ac:dyDescent="0.2">
      <c r="E467" s="6"/>
      <c r="F467" s="121"/>
      <c r="G467" s="6"/>
    </row>
    <row r="468" spans="5:7" x14ac:dyDescent="0.2">
      <c r="E468" s="6"/>
      <c r="F468" s="121"/>
      <c r="G468" s="6"/>
    </row>
    <row r="469" spans="5:7" x14ac:dyDescent="0.2">
      <c r="E469" s="6"/>
      <c r="F469" s="121"/>
      <c r="G469" s="6"/>
    </row>
    <row r="470" spans="5:7" x14ac:dyDescent="0.2">
      <c r="E470" s="6"/>
      <c r="F470" s="121"/>
      <c r="G470" s="6"/>
    </row>
    <row r="471" spans="5:7" x14ac:dyDescent="0.2">
      <c r="E471" s="6"/>
      <c r="F471" s="121"/>
      <c r="G471" s="6"/>
    </row>
    <row r="472" spans="5:7" x14ac:dyDescent="0.2">
      <c r="E472" s="6"/>
      <c r="F472" s="121"/>
      <c r="G472" s="6"/>
    </row>
    <row r="473" spans="5:7" x14ac:dyDescent="0.2">
      <c r="E473" s="6"/>
      <c r="F473" s="121"/>
      <c r="G473" s="6"/>
    </row>
    <row r="474" spans="5:7" x14ac:dyDescent="0.2">
      <c r="E474" s="6"/>
      <c r="F474" s="121"/>
      <c r="G474" s="6"/>
    </row>
    <row r="475" spans="5:7" x14ac:dyDescent="0.2">
      <c r="E475" s="6"/>
      <c r="F475" s="121"/>
      <c r="G475" s="6"/>
    </row>
    <row r="476" spans="5:7" x14ac:dyDescent="0.2">
      <c r="E476" s="6"/>
      <c r="F476" s="121"/>
      <c r="G476" s="6"/>
    </row>
    <row r="477" spans="5:7" x14ac:dyDescent="0.2">
      <c r="E477" s="6"/>
      <c r="F477" s="121"/>
      <c r="G477" s="6"/>
    </row>
    <row r="478" spans="5:7" x14ac:dyDescent="0.2">
      <c r="E478" s="6"/>
      <c r="F478" s="121"/>
      <c r="G478" s="6"/>
    </row>
    <row r="479" spans="5:7" x14ac:dyDescent="0.2">
      <c r="E479" s="6"/>
      <c r="F479" s="121"/>
      <c r="G479" s="6"/>
    </row>
    <row r="480" spans="5:7" x14ac:dyDescent="0.2">
      <c r="E480" s="6"/>
      <c r="F480" s="121"/>
      <c r="G480" s="6"/>
    </row>
    <row r="481" spans="5:7" x14ac:dyDescent="0.2">
      <c r="E481" s="6"/>
      <c r="F481" s="121"/>
      <c r="G481" s="6"/>
    </row>
    <row r="482" spans="5:7" x14ac:dyDescent="0.2">
      <c r="E482" s="6"/>
      <c r="F482" s="121"/>
      <c r="G482" s="6"/>
    </row>
    <row r="483" spans="5:7" x14ac:dyDescent="0.2">
      <c r="E483" s="6"/>
      <c r="F483" s="121"/>
      <c r="G483" s="6"/>
    </row>
    <row r="484" spans="5:7" x14ac:dyDescent="0.2">
      <c r="E484" s="6"/>
      <c r="F484" s="121"/>
      <c r="G484" s="6"/>
    </row>
    <row r="485" spans="5:7" x14ac:dyDescent="0.2">
      <c r="E485" s="6"/>
      <c r="F485" s="121"/>
      <c r="G485" s="6"/>
    </row>
    <row r="486" spans="5:7" x14ac:dyDescent="0.2">
      <c r="E486" s="6"/>
      <c r="F486" s="121"/>
      <c r="G486" s="6"/>
    </row>
    <row r="487" spans="5:7" x14ac:dyDescent="0.2">
      <c r="E487" s="6"/>
      <c r="F487" s="121"/>
      <c r="G487" s="6"/>
    </row>
    <row r="488" spans="5:7" x14ac:dyDescent="0.2">
      <c r="E488" s="6"/>
      <c r="F488" s="121"/>
      <c r="G488" s="6"/>
    </row>
    <row r="489" spans="5:7" x14ac:dyDescent="0.2">
      <c r="E489" s="6"/>
      <c r="F489" s="121"/>
      <c r="G489" s="6"/>
    </row>
    <row r="490" spans="5:7" x14ac:dyDescent="0.2">
      <c r="E490" s="6"/>
      <c r="F490" s="121"/>
      <c r="G490" s="6"/>
    </row>
    <row r="491" spans="5:7" x14ac:dyDescent="0.2">
      <c r="E491" s="6"/>
      <c r="F491" s="121"/>
      <c r="G491" s="6"/>
    </row>
    <row r="492" spans="5:7" x14ac:dyDescent="0.2">
      <c r="E492" s="6"/>
      <c r="F492" s="121"/>
      <c r="G492" s="6"/>
    </row>
    <row r="493" spans="5:7" x14ac:dyDescent="0.2">
      <c r="E493" s="6"/>
      <c r="F493" s="121"/>
      <c r="G493" s="6"/>
    </row>
    <row r="494" spans="5:7" x14ac:dyDescent="0.2">
      <c r="E494" s="6"/>
      <c r="F494" s="121"/>
      <c r="G494" s="6"/>
    </row>
    <row r="495" spans="5:7" x14ac:dyDescent="0.2">
      <c r="E495" s="6"/>
      <c r="F495" s="121"/>
      <c r="G495" s="6"/>
    </row>
    <row r="496" spans="5:7" x14ac:dyDescent="0.2">
      <c r="E496" s="6"/>
      <c r="F496" s="121"/>
      <c r="G496" s="6"/>
    </row>
    <row r="497" spans="5:7" x14ac:dyDescent="0.2">
      <c r="E497" s="6"/>
      <c r="F497" s="121"/>
      <c r="G497" s="6"/>
    </row>
    <row r="498" spans="5:7" x14ac:dyDescent="0.2">
      <c r="E498" s="6"/>
      <c r="F498" s="121"/>
      <c r="G498" s="6"/>
    </row>
    <row r="499" spans="5:7" x14ac:dyDescent="0.2">
      <c r="E499" s="6"/>
      <c r="F499" s="121"/>
      <c r="G499" s="6"/>
    </row>
    <row r="500" spans="5:7" x14ac:dyDescent="0.2">
      <c r="E500" s="6"/>
      <c r="F500" s="121"/>
      <c r="G500" s="6"/>
    </row>
    <row r="501" spans="5:7" x14ac:dyDescent="0.2">
      <c r="E501" s="6"/>
      <c r="F501" s="121"/>
      <c r="G501" s="6"/>
    </row>
    <row r="502" spans="5:7" x14ac:dyDescent="0.2">
      <c r="E502" s="6"/>
      <c r="F502" s="121"/>
      <c r="G502" s="6"/>
    </row>
    <row r="503" spans="5:7" x14ac:dyDescent="0.2">
      <c r="E503" s="6"/>
      <c r="F503" s="121"/>
      <c r="G503" s="6"/>
    </row>
    <row r="504" spans="5:7" x14ac:dyDescent="0.2">
      <c r="E504" s="6"/>
      <c r="F504" s="121"/>
      <c r="G504" s="6"/>
    </row>
    <row r="505" spans="5:7" x14ac:dyDescent="0.2">
      <c r="E505" s="6"/>
      <c r="F505" s="121"/>
      <c r="G505" s="6"/>
    </row>
    <row r="506" spans="5:7" x14ac:dyDescent="0.2">
      <c r="E506" s="6"/>
      <c r="F506" s="121"/>
      <c r="G506" s="6"/>
    </row>
    <row r="507" spans="5:7" x14ac:dyDescent="0.2">
      <c r="E507" s="6"/>
      <c r="F507" s="121"/>
      <c r="G507" s="6"/>
    </row>
    <row r="508" spans="5:7" x14ac:dyDescent="0.2">
      <c r="E508" s="6"/>
      <c r="F508" s="121"/>
      <c r="G508" s="6"/>
    </row>
    <row r="509" spans="5:7" x14ac:dyDescent="0.2">
      <c r="E509" s="6"/>
      <c r="F509" s="121"/>
      <c r="G509" s="6"/>
    </row>
    <row r="510" spans="5:7" x14ac:dyDescent="0.2">
      <c r="E510" s="6"/>
      <c r="F510" s="121"/>
      <c r="G510" s="6"/>
    </row>
    <row r="511" spans="5:7" x14ac:dyDescent="0.2">
      <c r="E511" s="6"/>
      <c r="F511" s="121"/>
      <c r="G511" s="6"/>
    </row>
    <row r="512" spans="5:7" x14ac:dyDescent="0.2">
      <c r="E512" s="6"/>
      <c r="F512" s="121"/>
      <c r="G512" s="6"/>
    </row>
    <row r="513" spans="5:7" x14ac:dyDescent="0.2">
      <c r="E513" s="6"/>
      <c r="F513" s="121"/>
      <c r="G513" s="6"/>
    </row>
    <row r="514" spans="5:7" x14ac:dyDescent="0.2">
      <c r="E514" s="6"/>
      <c r="F514" s="121"/>
      <c r="G514" s="6"/>
    </row>
    <row r="515" spans="5:7" x14ac:dyDescent="0.2">
      <c r="E515" s="6"/>
      <c r="F515" s="121"/>
      <c r="G515" s="6"/>
    </row>
    <row r="516" spans="5:7" x14ac:dyDescent="0.2">
      <c r="E516" s="6"/>
      <c r="F516" s="121"/>
      <c r="G516" s="6"/>
    </row>
    <row r="517" spans="5:7" x14ac:dyDescent="0.2">
      <c r="E517" s="6"/>
      <c r="F517" s="121"/>
      <c r="G517" s="6"/>
    </row>
    <row r="518" spans="5:7" x14ac:dyDescent="0.2">
      <c r="E518" s="6"/>
      <c r="F518" s="121"/>
      <c r="G518" s="6"/>
    </row>
    <row r="519" spans="5:7" x14ac:dyDescent="0.2">
      <c r="E519" s="6"/>
      <c r="F519" s="121"/>
      <c r="G519" s="6"/>
    </row>
    <row r="520" spans="5:7" x14ac:dyDescent="0.2">
      <c r="E520" s="6"/>
      <c r="F520" s="121"/>
      <c r="G520" s="6"/>
    </row>
    <row r="521" spans="5:7" x14ac:dyDescent="0.2">
      <c r="E521" s="6"/>
      <c r="F521" s="121"/>
      <c r="G521" s="6"/>
    </row>
    <row r="522" spans="5:7" x14ac:dyDescent="0.2">
      <c r="E522" s="6"/>
      <c r="F522" s="121"/>
      <c r="G522" s="6"/>
    </row>
    <row r="523" spans="5:7" x14ac:dyDescent="0.2">
      <c r="E523" s="6"/>
      <c r="F523" s="121"/>
      <c r="G523" s="6"/>
    </row>
    <row r="524" spans="5:7" x14ac:dyDescent="0.2">
      <c r="E524" s="6"/>
      <c r="F524" s="121"/>
      <c r="G524" s="6"/>
    </row>
    <row r="525" spans="5:7" x14ac:dyDescent="0.2">
      <c r="E525" s="6"/>
      <c r="F525" s="121"/>
      <c r="G525" s="6"/>
    </row>
    <row r="526" spans="5:7" x14ac:dyDescent="0.2">
      <c r="E526" s="6"/>
      <c r="F526" s="121"/>
      <c r="G526" s="6"/>
    </row>
    <row r="527" spans="5:7" x14ac:dyDescent="0.2">
      <c r="E527" s="6"/>
      <c r="F527" s="121"/>
      <c r="G527" s="6"/>
    </row>
    <row r="528" spans="5:7" x14ac:dyDescent="0.2">
      <c r="E528" s="6"/>
      <c r="F528" s="121"/>
      <c r="G528" s="6"/>
    </row>
    <row r="529" spans="5:7" x14ac:dyDescent="0.2">
      <c r="E529" s="6"/>
      <c r="F529" s="121"/>
      <c r="G529" s="6"/>
    </row>
    <row r="530" spans="5:7" x14ac:dyDescent="0.2">
      <c r="E530" s="6"/>
      <c r="F530" s="121"/>
      <c r="G530" s="6"/>
    </row>
    <row r="531" spans="5:7" x14ac:dyDescent="0.2">
      <c r="E531" s="6"/>
      <c r="F531" s="121"/>
      <c r="G531" s="6"/>
    </row>
    <row r="532" spans="5:7" x14ac:dyDescent="0.2">
      <c r="E532" s="6"/>
      <c r="F532" s="121"/>
      <c r="G532" s="6"/>
    </row>
    <row r="533" spans="5:7" x14ac:dyDescent="0.2">
      <c r="E533" s="6"/>
      <c r="F533" s="121"/>
      <c r="G533" s="6"/>
    </row>
    <row r="534" spans="5:7" x14ac:dyDescent="0.2">
      <c r="E534" s="6"/>
      <c r="F534" s="121"/>
      <c r="G534" s="6"/>
    </row>
    <row r="535" spans="5:7" x14ac:dyDescent="0.2">
      <c r="E535" s="6"/>
      <c r="F535" s="121"/>
      <c r="G535" s="6"/>
    </row>
    <row r="536" spans="5:7" x14ac:dyDescent="0.2">
      <c r="E536" s="6"/>
      <c r="F536" s="121"/>
      <c r="G536" s="6"/>
    </row>
    <row r="537" spans="5:7" x14ac:dyDescent="0.2">
      <c r="E537" s="6"/>
      <c r="F537" s="121"/>
      <c r="G537" s="6"/>
    </row>
    <row r="538" spans="5:7" x14ac:dyDescent="0.2">
      <c r="E538" s="6"/>
      <c r="F538" s="121"/>
      <c r="G538" s="6"/>
    </row>
    <row r="539" spans="5:7" x14ac:dyDescent="0.2">
      <c r="E539" s="6"/>
      <c r="F539" s="121"/>
      <c r="G539" s="6"/>
    </row>
    <row r="540" spans="5:7" x14ac:dyDescent="0.2">
      <c r="E540" s="6"/>
      <c r="F540" s="121"/>
      <c r="G540" s="6"/>
    </row>
    <row r="541" spans="5:7" x14ac:dyDescent="0.2">
      <c r="E541" s="6"/>
      <c r="F541" s="121"/>
      <c r="G541" s="6"/>
    </row>
    <row r="542" spans="5:7" x14ac:dyDescent="0.2">
      <c r="E542" s="6"/>
      <c r="F542" s="121"/>
      <c r="G542" s="6"/>
    </row>
    <row r="543" spans="5:7" x14ac:dyDescent="0.2">
      <c r="E543" s="6"/>
      <c r="F543" s="121"/>
      <c r="G543" s="6"/>
    </row>
    <row r="544" spans="5:7" x14ac:dyDescent="0.2">
      <c r="E544" s="6"/>
      <c r="F544" s="121"/>
      <c r="G544" s="6"/>
    </row>
    <row r="545" spans="5:7" x14ac:dyDescent="0.2">
      <c r="E545" s="6"/>
      <c r="F545" s="121"/>
      <c r="G545" s="6"/>
    </row>
    <row r="546" spans="5:7" x14ac:dyDescent="0.2">
      <c r="E546" s="6"/>
      <c r="F546" s="121"/>
      <c r="G546" s="6"/>
    </row>
    <row r="547" spans="5:7" x14ac:dyDescent="0.2">
      <c r="E547" s="6"/>
      <c r="F547" s="121"/>
      <c r="G547" s="6"/>
    </row>
    <row r="548" spans="5:7" x14ac:dyDescent="0.2">
      <c r="E548" s="6"/>
      <c r="F548" s="121"/>
      <c r="G548" s="6"/>
    </row>
    <row r="549" spans="5:7" x14ac:dyDescent="0.2">
      <c r="E549" s="6"/>
      <c r="F549" s="121"/>
      <c r="G549" s="6"/>
    </row>
    <row r="550" spans="5:7" x14ac:dyDescent="0.2">
      <c r="E550" s="6"/>
      <c r="F550" s="121"/>
      <c r="G550" s="6"/>
    </row>
    <row r="551" spans="5:7" x14ac:dyDescent="0.2">
      <c r="E551" s="6"/>
      <c r="F551" s="121"/>
      <c r="G551" s="6"/>
    </row>
    <row r="552" spans="5:7" x14ac:dyDescent="0.2">
      <c r="E552" s="6"/>
      <c r="F552" s="121"/>
      <c r="G552" s="6"/>
    </row>
    <row r="553" spans="5:7" x14ac:dyDescent="0.2">
      <c r="E553" s="6"/>
      <c r="F553" s="121"/>
      <c r="G553" s="6"/>
    </row>
    <row r="554" spans="5:7" x14ac:dyDescent="0.2">
      <c r="E554" s="6"/>
      <c r="F554" s="121"/>
      <c r="G554" s="6"/>
    </row>
    <row r="555" spans="5:7" x14ac:dyDescent="0.2">
      <c r="E555" s="6"/>
      <c r="F555" s="121"/>
      <c r="G555" s="6"/>
    </row>
    <row r="556" spans="5:7" x14ac:dyDescent="0.2">
      <c r="E556" s="6"/>
      <c r="F556" s="121"/>
      <c r="G556" s="6"/>
    </row>
    <row r="557" spans="5:7" x14ac:dyDescent="0.2">
      <c r="E557" s="6"/>
      <c r="F557" s="121"/>
      <c r="G557" s="6"/>
    </row>
    <row r="558" spans="5:7" x14ac:dyDescent="0.2">
      <c r="E558" s="6"/>
      <c r="F558" s="121"/>
      <c r="G558" s="6"/>
    </row>
    <row r="559" spans="5:7" x14ac:dyDescent="0.2">
      <c r="E559" s="6"/>
      <c r="F559" s="121"/>
      <c r="G559" s="6"/>
    </row>
    <row r="560" spans="5:7" x14ac:dyDescent="0.2">
      <c r="E560" s="6"/>
      <c r="F560" s="121"/>
      <c r="G560" s="6"/>
    </row>
    <row r="561" spans="5:7" x14ac:dyDescent="0.2">
      <c r="E561" s="6"/>
      <c r="F561" s="121"/>
      <c r="G561" s="6"/>
    </row>
    <row r="562" spans="5:7" x14ac:dyDescent="0.2">
      <c r="E562" s="6"/>
      <c r="F562" s="121"/>
      <c r="G562" s="6"/>
    </row>
    <row r="563" spans="5:7" x14ac:dyDescent="0.2">
      <c r="E563" s="6"/>
      <c r="F563" s="121"/>
      <c r="G563" s="6"/>
    </row>
    <row r="564" spans="5:7" x14ac:dyDescent="0.2">
      <c r="E564" s="6"/>
      <c r="F564" s="121"/>
      <c r="G564" s="6"/>
    </row>
    <row r="565" spans="5:7" x14ac:dyDescent="0.2">
      <c r="E565" s="6"/>
      <c r="F565" s="121"/>
      <c r="G565" s="6"/>
    </row>
    <row r="566" spans="5:7" x14ac:dyDescent="0.2">
      <c r="E566" s="6"/>
      <c r="F566" s="121"/>
      <c r="G566" s="6"/>
    </row>
    <row r="567" spans="5:7" x14ac:dyDescent="0.2">
      <c r="E567" s="6"/>
      <c r="F567" s="121"/>
      <c r="G567" s="6"/>
    </row>
    <row r="568" spans="5:7" x14ac:dyDescent="0.2">
      <c r="E568" s="6"/>
      <c r="F568" s="121"/>
      <c r="G568" s="6"/>
    </row>
    <row r="569" spans="5:7" x14ac:dyDescent="0.2">
      <c r="E569" s="6"/>
      <c r="F569" s="121"/>
      <c r="G569" s="6"/>
    </row>
    <row r="570" spans="5:7" x14ac:dyDescent="0.2">
      <c r="E570" s="6"/>
      <c r="F570" s="121"/>
      <c r="G570" s="6"/>
    </row>
    <row r="571" spans="5:7" x14ac:dyDescent="0.2">
      <c r="E571" s="6"/>
      <c r="F571" s="121"/>
      <c r="G571" s="6"/>
    </row>
  </sheetData>
  <mergeCells count="15">
    <mergeCell ref="A117:A124"/>
    <mergeCell ref="B81:B99"/>
    <mergeCell ref="B117:B121"/>
    <mergeCell ref="B122:B124"/>
    <mergeCell ref="B5:B19"/>
    <mergeCell ref="B20:B34"/>
    <mergeCell ref="B47:B57"/>
    <mergeCell ref="B38:B45"/>
    <mergeCell ref="A1:S3"/>
    <mergeCell ref="A5:A34"/>
    <mergeCell ref="A81:A115"/>
    <mergeCell ref="A36:A45"/>
    <mergeCell ref="B100:B115"/>
    <mergeCell ref="A47:A79"/>
    <mergeCell ref="B58:B79"/>
  </mergeCells>
  <phoneticPr fontId="0" type="noConversion"/>
  <printOptions horizontalCentered="1" verticalCentered="1"/>
  <pageMargins left="0" right="0" top="0.19685039370078741" bottom="0.19685039370078741" header="0" footer="0"/>
  <pageSetup paperSize="9" scale="60" orientation="landscape" horizontalDpi="4294967294" r:id="rId1"/>
  <headerFooter alignWithMargins="0">
    <oddHeader xml:space="preserve">&amp;LHospital Nipo Brasileiro </oddHeader>
    <oddFooter>&amp;CGestão da Qualidade</oddFooter>
  </headerFooter>
  <rowBreaks count="5" manualBreakCount="5">
    <brk id="34" max="16383" man="1"/>
    <brk id="45" max="16383" man="1"/>
    <brk id="79" max="16383" man="1"/>
    <brk id="115" max="16383" man="1"/>
    <brk id="1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iqg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iqg</dc:creator>
  <cp:lastModifiedBy>Bertoluci</cp:lastModifiedBy>
  <cp:lastPrinted>2010-03-29T13:41:30Z</cp:lastPrinted>
  <dcterms:created xsi:type="dcterms:W3CDTF">2008-09-18T11:14:49Z</dcterms:created>
  <dcterms:modified xsi:type="dcterms:W3CDTF">2017-05-24T17:47:28Z</dcterms:modified>
</cp:coreProperties>
</file>