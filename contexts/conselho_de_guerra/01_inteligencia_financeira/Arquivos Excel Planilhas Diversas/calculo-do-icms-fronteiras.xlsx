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35" windowWidth="7635" windowHeight="8955" activeTab="2"/>
  </bookViews>
  <sheets>
    <sheet name="COMÉRCIO E INDUSTRIA" sheetId="3" r:id="rId1"/>
    <sheet name="ATIVO FIXO OU USO E CONSUMO" sheetId="1" r:id="rId2"/>
    <sheet name="SIMPLES NACIONAL" sheetId="2" r:id="rId3"/>
  </sheets>
  <calcPr calcId="125725"/>
</workbook>
</file>

<file path=xl/calcChain.xml><?xml version="1.0" encoding="utf-8"?>
<calcChain xmlns="http://schemas.openxmlformats.org/spreadsheetml/2006/main">
  <c r="D11" i="1"/>
  <c r="C23" i="3"/>
  <c r="C19"/>
  <c r="C21" s="1"/>
  <c r="C18"/>
  <c r="G18"/>
  <c r="C16" l="1"/>
  <c r="C15"/>
  <c r="C12"/>
  <c r="G14" i="1"/>
  <c r="G13"/>
  <c r="H10"/>
  <c r="D12"/>
  <c r="D14" s="1"/>
  <c r="D15" s="1"/>
  <c r="D18" s="1"/>
  <c r="D20" s="1"/>
  <c r="C20"/>
  <c r="D16" l="1"/>
  <c r="F13" i="3"/>
  <c r="H11" i="1"/>
  <c r="F16" i="3"/>
  <c r="F15"/>
  <c r="G11"/>
  <c r="F18" l="1"/>
  <c r="B21"/>
  <c r="B22"/>
  <c r="C22" s="1"/>
  <c r="C13" i="2"/>
  <c r="C11" i="3" l="1"/>
  <c r="G10"/>
  <c r="G15" s="1"/>
  <c r="C14" l="1"/>
  <c r="G12"/>
  <c r="G13" s="1"/>
  <c r="C14" i="2"/>
  <c r="C16" s="1"/>
  <c r="C20" s="1"/>
  <c r="G16" i="1"/>
  <c r="H13"/>
  <c r="G16" i="3" l="1"/>
  <c r="H12" i="1"/>
  <c r="H14" s="1"/>
  <c r="H16" l="1"/>
  <c r="H18" l="1"/>
  <c r="H20" s="1"/>
  <c r="G20" i="3"/>
  <c r="G22" s="1"/>
  <c r="G28" i="2"/>
  <c r="K20"/>
  <c r="C28"/>
  <c r="G29"/>
  <c r="K15"/>
  <c r="G22"/>
  <c r="K22"/>
  <c r="K29"/>
  <c r="C29"/>
  <c r="G27"/>
  <c r="G20"/>
  <c r="K28"/>
  <c r="G21"/>
  <c r="G14"/>
  <c r="K27"/>
  <c r="K13"/>
  <c r="G13"/>
  <c r="G15"/>
  <c r="K14"/>
  <c r="K21"/>
  <c r="C27"/>
  <c r="C17"/>
</calcChain>
</file>

<file path=xl/sharedStrings.xml><?xml version="1.0" encoding="utf-8"?>
<sst xmlns="http://schemas.openxmlformats.org/spreadsheetml/2006/main" count="84" uniqueCount="33">
  <si>
    <t>Valor da Mercadoria</t>
  </si>
  <si>
    <t>ICMS da Origem</t>
  </si>
  <si>
    <t>Valor sem ICMS</t>
  </si>
  <si>
    <t>Demais custos</t>
  </si>
  <si>
    <t>Base sem o ICMS</t>
  </si>
  <si>
    <t>ICMS Destino</t>
  </si>
  <si>
    <t>Nova Base de Cálculo</t>
  </si>
  <si>
    <t>DIFAL</t>
  </si>
  <si>
    <t>Base com MVA sem ICMS</t>
  </si>
  <si>
    <t>Valor da Operação</t>
  </si>
  <si>
    <t>MODELO NOVO</t>
  </si>
  <si>
    <t>MODELO ANTIGO</t>
  </si>
  <si>
    <t>Alíquota de Origem</t>
  </si>
  <si>
    <t>Alíquota de Destino</t>
  </si>
  <si>
    <t>Pago a maior</t>
  </si>
  <si>
    <t>Percentual</t>
  </si>
  <si>
    <t>ICMS INTERNO</t>
  </si>
  <si>
    <t>CRÉDITO FISCAL</t>
  </si>
  <si>
    <t>I - Mesorregião do Agreste PE do Anexo 1:</t>
  </si>
  <si>
    <t>Aliq. Aplicável</t>
  </si>
  <si>
    <t>Valor do DIFAL</t>
  </si>
  <si>
    <t>II – ME e MEI fora do inciso I</t>
  </si>
  <si>
    <t>Alíq. Interestadual</t>
  </si>
  <si>
    <t>a) Aliquota Interna 18%</t>
  </si>
  <si>
    <t>b) Aliquota Interna 25%</t>
  </si>
  <si>
    <t>c) Aliquota Interna 27%</t>
  </si>
  <si>
    <t>III – Demais Hipóteses</t>
  </si>
  <si>
    <t>Tributação da Base</t>
  </si>
  <si>
    <t>Antecipação parcial</t>
  </si>
  <si>
    <t>CÁLCULO DO ICMS FRONTEIRA ATIVO FIXO OU USO E CONSUMO</t>
  </si>
  <si>
    <t>CÁLCULO DO ICMS FRONTEIRA PARA EMPRESAS DO SIMPLES NACIONAL</t>
  </si>
  <si>
    <t>CÁLCULO DO ICMS FRONTEIRA - COMERCIALIZAÇÃO OU INDUSTRIALIZAÇÃO</t>
  </si>
  <si>
    <t>CARRIER – RS</t>
  </si>
</sst>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Verdana"/>
      <family val="2"/>
    </font>
    <font>
      <b/>
      <sz val="9"/>
      <color theme="0"/>
      <name val="Verdana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Fill="1" applyAlignment="1">
      <alignment horizontal="center"/>
    </xf>
    <xf numFmtId="164" fontId="0" fillId="0" borderId="0" xfId="1" applyFont="1" applyFill="1"/>
    <xf numFmtId="9" fontId="0" fillId="0" borderId="0" xfId="2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 applyBorder="1"/>
    <xf numFmtId="9" fontId="3" fillId="0" borderId="0" xfId="0" applyNumberFormat="1" applyFont="1" applyBorder="1" applyAlignment="1">
      <alignment horizontal="center"/>
    </xf>
    <xf numFmtId="164" fontId="3" fillId="0" borderId="0" xfId="0" applyNumberFormat="1" applyFont="1" applyBorder="1"/>
    <xf numFmtId="0" fontId="2" fillId="2" borderId="4" xfId="0" applyFont="1" applyFill="1" applyBorder="1"/>
    <xf numFmtId="9" fontId="2" fillId="2" borderId="4" xfId="0" applyNumberFormat="1" applyFont="1" applyFill="1" applyBorder="1" applyAlignment="1">
      <alignment horizontal="center"/>
    </xf>
    <xf numFmtId="164" fontId="2" fillId="2" borderId="4" xfId="0" applyNumberFormat="1" applyFont="1" applyFill="1" applyBorder="1"/>
    <xf numFmtId="0" fontId="2" fillId="2" borderId="4" xfId="0" applyFont="1" applyFill="1" applyBorder="1" applyAlignment="1">
      <alignment horizontal="center"/>
    </xf>
    <xf numFmtId="10" fontId="2" fillId="2" borderId="4" xfId="2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4" fontId="4" fillId="0" borderId="0" xfId="1" applyFont="1" applyFill="1"/>
    <xf numFmtId="9" fontId="4" fillId="0" borderId="0" xfId="2" applyFont="1" applyFill="1" applyAlignment="1">
      <alignment horizontal="center"/>
    </xf>
    <xf numFmtId="164" fontId="0" fillId="0" borderId="0" xfId="0" applyNumberFormat="1" applyFill="1"/>
    <xf numFmtId="9" fontId="4" fillId="0" borderId="0" xfId="0" applyNumberFormat="1" applyFont="1" applyFill="1" applyAlignment="1">
      <alignment horizontal="center"/>
    </xf>
    <xf numFmtId="0" fontId="2" fillId="2" borderId="0" xfId="0" applyFont="1" applyFill="1" applyBorder="1"/>
    <xf numFmtId="9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9" fontId="5" fillId="0" borderId="0" xfId="0" applyNumberFormat="1" applyFont="1" applyAlignment="1">
      <alignment horizontal="center" vertical="center" wrapText="1"/>
    </xf>
    <xf numFmtId="10" fontId="0" fillId="0" borderId="0" xfId="2" applyNumberFormat="1" applyFont="1" applyAlignment="1">
      <alignment horizontal="center"/>
    </xf>
    <xf numFmtId="0" fontId="2" fillId="2" borderId="6" xfId="0" applyFont="1" applyFill="1" applyBorder="1"/>
    <xf numFmtId="0" fontId="2" fillId="2" borderId="6" xfId="0" applyFont="1" applyFill="1" applyBorder="1" applyAlignment="1">
      <alignment horizontal="center"/>
    </xf>
    <xf numFmtId="164" fontId="2" fillId="2" borderId="6" xfId="0" applyNumberFormat="1" applyFont="1" applyFill="1" applyBorder="1"/>
    <xf numFmtId="0" fontId="2" fillId="0" borderId="0" xfId="0" applyFont="1" applyFill="1" applyBorder="1"/>
    <xf numFmtId="10" fontId="4" fillId="0" borderId="0" xfId="2" applyNumberFormat="1" applyFont="1" applyFill="1" applyAlignment="1">
      <alignment horizontal="center"/>
    </xf>
    <xf numFmtId="10" fontId="2" fillId="2" borderId="4" xfId="0" applyNumberFormat="1" applyFont="1" applyFill="1" applyBorder="1" applyAlignment="1">
      <alignment horizontal="center"/>
    </xf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164" fontId="2" fillId="3" borderId="4" xfId="0" applyNumberFormat="1" applyFont="1" applyFill="1" applyBorder="1"/>
    <xf numFmtId="9" fontId="2" fillId="3" borderId="4" xfId="0" applyNumberFormat="1" applyFont="1" applyFill="1" applyBorder="1" applyAlignment="1">
      <alignment horizontal="center"/>
    </xf>
    <xf numFmtId="10" fontId="2" fillId="3" borderId="4" xfId="2" applyNumberFormat="1" applyFont="1" applyFill="1" applyBorder="1" applyAlignment="1">
      <alignment horizontal="center"/>
    </xf>
    <xf numFmtId="0" fontId="2" fillId="4" borderId="4" xfId="0" applyFont="1" applyFill="1" applyBorder="1"/>
    <xf numFmtId="0" fontId="2" fillId="4" borderId="4" xfId="0" applyFont="1" applyFill="1" applyBorder="1" applyAlignment="1">
      <alignment horizontal="center"/>
    </xf>
    <xf numFmtId="164" fontId="2" fillId="4" borderId="4" xfId="0" applyNumberFormat="1" applyFont="1" applyFill="1" applyBorder="1"/>
    <xf numFmtId="0" fontId="6" fillId="4" borderId="5" xfId="0" applyFont="1" applyFill="1" applyBorder="1" applyAlignment="1">
      <alignment horizontal="center" vertical="center" wrapText="1"/>
    </xf>
    <xf numFmtId="9" fontId="7" fillId="0" borderId="0" xfId="2" applyFont="1" applyFill="1" applyAlignment="1">
      <alignment horizontal="center"/>
    </xf>
    <xf numFmtId="0" fontId="8" fillId="5" borderId="0" xfId="0" applyFont="1" applyFill="1"/>
    <xf numFmtId="164" fontId="9" fillId="3" borderId="4" xfId="0" applyNumberFormat="1" applyFont="1" applyFill="1" applyBorder="1"/>
    <xf numFmtId="164" fontId="4" fillId="6" borderId="0" xfId="1" applyFont="1" applyFill="1" applyProtection="1">
      <protection locked="0"/>
    </xf>
    <xf numFmtId="9" fontId="4" fillId="6" borderId="0" xfId="2" applyFont="1" applyFill="1" applyAlignment="1" applyProtection="1">
      <alignment horizontal="center"/>
      <protection locked="0"/>
    </xf>
    <xf numFmtId="9" fontId="4" fillId="6" borderId="0" xfId="0" applyNumberFormat="1" applyFont="1" applyFill="1" applyAlignment="1" applyProtection="1">
      <alignment horizontal="center"/>
      <protection locked="0"/>
    </xf>
    <xf numFmtId="0" fontId="0" fillId="0" borderId="0" xfId="0" applyProtection="1"/>
    <xf numFmtId="9" fontId="4" fillId="6" borderId="0" xfId="2" applyFont="1" applyFill="1" applyAlignment="1" applyProtection="1">
      <alignment horizontal="center"/>
    </xf>
    <xf numFmtId="9" fontId="4" fillId="6" borderId="0" xfId="0" applyNumberFormat="1" applyFont="1" applyFill="1" applyAlignment="1" applyProtection="1">
      <alignment horizontal="center"/>
    </xf>
    <xf numFmtId="0" fontId="9" fillId="3" borderId="4" xfId="0" applyFont="1" applyFill="1" applyBorder="1"/>
    <xf numFmtId="0" fontId="9" fillId="3" borderId="4" xfId="0" applyFont="1" applyFill="1" applyBorder="1" applyAlignment="1">
      <alignment horizontal="center"/>
    </xf>
    <xf numFmtId="4" fontId="0" fillId="0" borderId="0" xfId="0" applyNumberFormat="1"/>
    <xf numFmtId="164" fontId="9" fillId="2" borderId="4" xfId="0" applyNumberFormat="1" applyFont="1" applyFill="1" applyBorder="1"/>
    <xf numFmtId="164" fontId="9" fillId="2" borderId="0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I25"/>
  <sheetViews>
    <sheetView showGridLines="0" zoomScale="120" zoomScaleNormal="120" workbookViewId="0">
      <selection activeCell="C10" sqref="C10"/>
    </sheetView>
  </sheetViews>
  <sheetFormatPr defaultRowHeight="15"/>
  <cols>
    <col min="1" max="1" width="25.28515625" customWidth="1"/>
    <col min="2" max="2" width="8.7109375" customWidth="1"/>
    <col min="3" max="3" width="14.28515625" customWidth="1"/>
    <col min="5" max="5" width="22.7109375" customWidth="1"/>
    <col min="6" max="6" width="5" customWidth="1"/>
    <col min="7" max="7" width="13.5703125" customWidth="1"/>
    <col min="9" max="9" width="12.7109375" bestFit="1" customWidth="1"/>
  </cols>
  <sheetData>
    <row r="6" spans="1:9">
      <c r="A6" s="56" t="s">
        <v>31</v>
      </c>
      <c r="B6" s="57"/>
      <c r="C6" s="57"/>
      <c r="D6" s="57"/>
      <c r="E6" s="57"/>
      <c r="F6" s="57"/>
      <c r="G6" s="57"/>
    </row>
    <row r="7" spans="1:9" ht="15.75" thickBot="1"/>
    <row r="8" spans="1:9" ht="15.75" thickBot="1">
      <c r="A8" s="58" t="s">
        <v>10</v>
      </c>
      <c r="B8" s="59"/>
      <c r="C8" s="59"/>
      <c r="E8" s="58" t="s">
        <v>11</v>
      </c>
      <c r="F8" s="59"/>
      <c r="G8" s="59"/>
    </row>
    <row r="10" spans="1:9">
      <c r="A10" t="s">
        <v>0</v>
      </c>
      <c r="B10" s="6"/>
      <c r="C10" s="18">
        <v>1284.8499999999999</v>
      </c>
      <c r="E10" t="s">
        <v>0</v>
      </c>
      <c r="G10" s="4">
        <f>C10</f>
        <v>1284.8499999999999</v>
      </c>
    </row>
    <row r="11" spans="1:9">
      <c r="A11" t="s">
        <v>1</v>
      </c>
      <c r="B11" s="31">
        <v>7.0000000000000007E-2</v>
      </c>
      <c r="C11" s="20">
        <f>C10*B11</f>
        <v>89.939499999999995</v>
      </c>
      <c r="E11" t="s">
        <v>3</v>
      </c>
      <c r="G11" s="4">
        <f>C13</f>
        <v>0</v>
      </c>
    </row>
    <row r="12" spans="1:9">
      <c r="A12" t="s">
        <v>2</v>
      </c>
      <c r="B12" s="7"/>
      <c r="C12" s="20">
        <f>C10-C11</f>
        <v>1194.9105</v>
      </c>
      <c r="E12" t="s">
        <v>9</v>
      </c>
      <c r="G12" s="4">
        <f>G10+G11</f>
        <v>1284.8499999999999</v>
      </c>
    </row>
    <row r="13" spans="1:9">
      <c r="A13" t="s">
        <v>3</v>
      </c>
      <c r="B13" s="7"/>
      <c r="C13" s="18">
        <v>0</v>
      </c>
      <c r="E13" t="s">
        <v>8</v>
      </c>
      <c r="F13" s="42">
        <f>B15</f>
        <v>0.3</v>
      </c>
      <c r="G13" s="20">
        <f>G12+(G12*F13)</f>
        <v>1670.3049999999998</v>
      </c>
      <c r="I13" s="1"/>
    </row>
    <row r="14" spans="1:9">
      <c r="A14" t="s">
        <v>4</v>
      </c>
      <c r="B14" s="7"/>
      <c r="C14" s="20">
        <f>C12+C13</f>
        <v>1194.9105</v>
      </c>
      <c r="I14" s="1"/>
    </row>
    <row r="15" spans="1:9">
      <c r="A15" t="s">
        <v>8</v>
      </c>
      <c r="B15" s="19">
        <v>0.3</v>
      </c>
      <c r="C15" s="20">
        <f>C14+(C14*B15)</f>
        <v>1553.38365</v>
      </c>
      <c r="E15" t="s">
        <v>12</v>
      </c>
      <c r="F15" s="5">
        <f>B11</f>
        <v>7.0000000000000007E-2</v>
      </c>
      <c r="G15" s="1">
        <f>G10*F15</f>
        <v>89.939499999999995</v>
      </c>
      <c r="I15" s="1"/>
    </row>
    <row r="16" spans="1:9">
      <c r="A16" t="s">
        <v>5</v>
      </c>
      <c r="B16" s="21">
        <v>0.18</v>
      </c>
      <c r="C16" s="20">
        <f>C18*B16</f>
        <v>340.98665487804874</v>
      </c>
      <c r="E16" t="s">
        <v>13</v>
      </c>
      <c r="F16" s="8">
        <f>B16</f>
        <v>0.18</v>
      </c>
      <c r="G16" s="1">
        <f>G13*F16</f>
        <v>300.65489999999994</v>
      </c>
      <c r="I16" s="1"/>
    </row>
    <row r="17" spans="1:7">
      <c r="B17" s="19"/>
      <c r="C17" s="20"/>
      <c r="E17" s="6"/>
      <c r="F17" s="7"/>
      <c r="G17" s="4"/>
    </row>
    <row r="18" spans="1:7" ht="15.75" thickBot="1">
      <c r="A18" s="27" t="s">
        <v>6</v>
      </c>
      <c r="B18" s="28"/>
      <c r="C18" s="29">
        <f>-(C15/(B16-1))</f>
        <v>1894.3703048780487</v>
      </c>
      <c r="E18" s="22" t="s">
        <v>28</v>
      </c>
      <c r="F18" s="13">
        <f>F16-F15</f>
        <v>0.10999999999999999</v>
      </c>
      <c r="G18" s="14">
        <f>G16-G15</f>
        <v>210.71539999999993</v>
      </c>
    </row>
    <row r="19" spans="1:7" ht="16.5" thickTop="1" thickBot="1">
      <c r="A19" s="12" t="s">
        <v>27</v>
      </c>
      <c r="B19" s="32">
        <v>1</v>
      </c>
      <c r="C19" s="14">
        <f>C18*B19</f>
        <v>1894.3703048780487</v>
      </c>
      <c r="F19" s="5"/>
      <c r="G19" s="1"/>
    </row>
    <row r="20" spans="1:7" ht="16.5" thickTop="1" thickBot="1">
      <c r="A20" s="30"/>
      <c r="B20" s="30"/>
      <c r="C20" s="24"/>
      <c r="E20" s="12" t="s">
        <v>14</v>
      </c>
      <c r="F20" s="15"/>
      <c r="G20" s="54">
        <f>C23-G18</f>
        <v>40.331754878048798</v>
      </c>
    </row>
    <row r="21" spans="1:7" ht="16.5" thickTop="1" thickBot="1">
      <c r="A21" s="12" t="s">
        <v>16</v>
      </c>
      <c r="B21" s="13">
        <f>B16</f>
        <v>0.18</v>
      </c>
      <c r="C21" s="14">
        <f>C19*B21</f>
        <v>340.98665487804874</v>
      </c>
      <c r="F21" s="3"/>
      <c r="G21" s="1"/>
    </row>
    <row r="22" spans="1:7" ht="16.5" thickTop="1" thickBot="1">
      <c r="A22" s="12" t="s">
        <v>17</v>
      </c>
      <c r="B22" s="32">
        <f>B11*B19</f>
        <v>7.0000000000000007E-2</v>
      </c>
      <c r="C22" s="14">
        <f>C10*B22</f>
        <v>89.939499999999995</v>
      </c>
      <c r="E22" s="12" t="s">
        <v>15</v>
      </c>
      <c r="F22" s="15"/>
      <c r="G22" s="16">
        <f>G20/G18</f>
        <v>0.19140392623438443</v>
      </c>
    </row>
    <row r="23" spans="1:7" ht="15.75" thickTop="1">
      <c r="A23" s="22" t="s">
        <v>28</v>
      </c>
      <c r="B23" s="22"/>
      <c r="C23" s="55">
        <f>C21-C22</f>
        <v>251.04715487804873</v>
      </c>
      <c r="E23" s="1"/>
      <c r="G23" s="1"/>
    </row>
    <row r="24" spans="1:7">
      <c r="G24" s="1"/>
    </row>
    <row r="25" spans="1:7">
      <c r="G25" s="1"/>
    </row>
  </sheetData>
  <mergeCells count="3">
    <mergeCell ref="A6:G6"/>
    <mergeCell ref="A8:C8"/>
    <mergeCell ref="E8:G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5:H25"/>
  <sheetViews>
    <sheetView showGridLines="0" topLeftCell="A4" zoomScale="115" zoomScaleNormal="115" workbookViewId="0">
      <selection activeCell="D11" sqref="D11"/>
    </sheetView>
  </sheetViews>
  <sheetFormatPr defaultRowHeight="15"/>
  <cols>
    <col min="2" max="2" width="25.28515625" customWidth="1"/>
    <col min="3" max="3" width="6.140625" customWidth="1"/>
    <col min="4" max="4" width="15.42578125" bestFit="1" customWidth="1"/>
    <col min="5" max="5" width="12.42578125" style="53" customWidth="1"/>
    <col min="6" max="6" width="22.7109375" customWidth="1"/>
    <col min="7" max="7" width="5" customWidth="1"/>
    <col min="8" max="8" width="19.7109375" customWidth="1"/>
  </cols>
  <sheetData>
    <row r="5" spans="2:8" ht="15.75" thickBot="1"/>
    <row r="6" spans="2:8" ht="15.75" thickBot="1">
      <c r="B6" s="62" t="s">
        <v>29</v>
      </c>
      <c r="C6" s="63"/>
      <c r="D6" s="63"/>
      <c r="E6" s="63"/>
      <c r="F6" s="63"/>
      <c r="G6" s="63"/>
      <c r="H6" s="64"/>
    </row>
    <row r="7" spans="2:8" ht="15.75" thickBot="1">
      <c r="B7" s="43" t="s">
        <v>32</v>
      </c>
    </row>
    <row r="8" spans="2:8" ht="15.75" thickBot="1">
      <c r="B8" s="60" t="s">
        <v>10</v>
      </c>
      <c r="C8" s="61"/>
      <c r="D8" s="61"/>
      <c r="F8" s="60" t="s">
        <v>11</v>
      </c>
      <c r="G8" s="61"/>
      <c r="H8" s="61"/>
    </row>
    <row r="10" spans="2:8">
      <c r="B10" t="s">
        <v>0</v>
      </c>
      <c r="C10" s="6"/>
      <c r="D10" s="45">
        <v>12294.33</v>
      </c>
      <c r="F10" t="s">
        <v>0</v>
      </c>
      <c r="H10" s="4">
        <f>D10</f>
        <v>12294.33</v>
      </c>
    </row>
    <row r="11" spans="2:8">
      <c r="B11" t="s">
        <v>1</v>
      </c>
      <c r="C11" s="46">
        <v>7.0000000000000007E-2</v>
      </c>
      <c r="D11" s="20">
        <f>(D10+D13)*C11</f>
        <v>860.60310000000004</v>
      </c>
      <c r="F11" t="s">
        <v>3</v>
      </c>
      <c r="H11" s="4">
        <f>D13</f>
        <v>0</v>
      </c>
    </row>
    <row r="12" spans="2:8">
      <c r="B12" t="s">
        <v>2</v>
      </c>
      <c r="C12" s="7"/>
      <c r="D12" s="20">
        <f>D10-D11</f>
        <v>11433.7269</v>
      </c>
      <c r="F12" t="s">
        <v>9</v>
      </c>
      <c r="G12" s="48"/>
      <c r="H12" s="4">
        <f>H10+H11</f>
        <v>12294.33</v>
      </c>
    </row>
    <row r="13" spans="2:8">
      <c r="B13" t="s">
        <v>3</v>
      </c>
      <c r="C13" s="7"/>
      <c r="D13" s="18"/>
      <c r="F13" t="s">
        <v>12</v>
      </c>
      <c r="G13" s="49">
        <f>C11</f>
        <v>7.0000000000000007E-2</v>
      </c>
      <c r="H13" s="1">
        <f>H10*G13</f>
        <v>860.60310000000004</v>
      </c>
    </row>
    <row r="14" spans="2:8">
      <c r="B14" t="s">
        <v>4</v>
      </c>
      <c r="C14" s="7"/>
      <c r="D14" s="20">
        <f>D12+D13</f>
        <v>11433.7269</v>
      </c>
      <c r="F14" t="s">
        <v>13</v>
      </c>
      <c r="G14" s="50">
        <f>C16</f>
        <v>0.18</v>
      </c>
      <c r="H14" s="1">
        <f>H12*G14</f>
        <v>2212.9793999999997</v>
      </c>
    </row>
    <row r="15" spans="2:8">
      <c r="B15" t="s">
        <v>8</v>
      </c>
      <c r="C15" s="46">
        <v>0</v>
      </c>
      <c r="D15" s="20">
        <f>D14+(D14*C15)</f>
        <v>11433.7269</v>
      </c>
      <c r="F15" s="6"/>
      <c r="G15" s="7"/>
      <c r="H15" s="4"/>
    </row>
    <row r="16" spans="2:8" ht="15.75" thickBot="1">
      <c r="B16" t="s">
        <v>5</v>
      </c>
      <c r="C16" s="47">
        <v>0.18</v>
      </c>
      <c r="D16" s="20">
        <f>D18*C16</f>
        <v>2509.8424902439024</v>
      </c>
      <c r="F16" s="33" t="s">
        <v>7</v>
      </c>
      <c r="G16" s="36">
        <f>G14-G13</f>
        <v>0.10999999999999999</v>
      </c>
      <c r="H16" s="35">
        <f>H14-H13</f>
        <v>1352.3762999999997</v>
      </c>
    </row>
    <row r="17" spans="2:8" ht="15.75" thickTop="1">
      <c r="C17" s="3"/>
      <c r="D17" s="1"/>
      <c r="G17" s="5"/>
      <c r="H17" s="1"/>
    </row>
    <row r="18" spans="2:8" ht="15.75" thickBot="1">
      <c r="B18" s="51" t="s">
        <v>6</v>
      </c>
      <c r="C18" s="52"/>
      <c r="D18" s="44">
        <f>-(D15/(C16-1))</f>
        <v>13943.569390243902</v>
      </c>
      <c r="F18" s="33" t="s">
        <v>14</v>
      </c>
      <c r="G18" s="34"/>
      <c r="H18" s="35">
        <f>D20-H16</f>
        <v>181.41633292682923</v>
      </c>
    </row>
    <row r="19" spans="2:8" ht="15.75" thickTop="1">
      <c r="C19" s="2"/>
      <c r="D19" s="1"/>
      <c r="G19" s="3"/>
      <c r="H19" s="1"/>
    </row>
    <row r="20" spans="2:8" ht="15.75" thickBot="1">
      <c r="B20" s="33" t="s">
        <v>7</v>
      </c>
      <c r="C20" s="36">
        <f>C16-C11</f>
        <v>0.10999999999999999</v>
      </c>
      <c r="D20" s="44">
        <f>D18*C20</f>
        <v>1533.7926329268289</v>
      </c>
      <c r="F20" s="33" t="s">
        <v>15</v>
      </c>
      <c r="G20" s="34"/>
      <c r="H20" s="37">
        <f>H18/H16</f>
        <v>0.13414634146341464</v>
      </c>
    </row>
    <row r="21" spans="2:8" ht="9.75" customHeight="1" thickTop="1">
      <c r="G21" s="2"/>
      <c r="H21" s="1"/>
    </row>
    <row r="22" spans="2:8">
      <c r="F22" s="9"/>
      <c r="G22" s="10"/>
      <c r="H22" s="11"/>
    </row>
    <row r="23" spans="2:8">
      <c r="H23" s="1"/>
    </row>
    <row r="24" spans="2:8">
      <c r="H24" s="1"/>
    </row>
    <row r="25" spans="2:8">
      <c r="H25" s="1"/>
    </row>
  </sheetData>
  <sheetProtection selectLockedCells="1"/>
  <mergeCells count="3">
    <mergeCell ref="B8:D8"/>
    <mergeCell ref="F8:H8"/>
    <mergeCell ref="B6:H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5:K29"/>
  <sheetViews>
    <sheetView tabSelected="1" zoomScaleNormal="100" workbookViewId="0">
      <selection activeCell="B18" sqref="B18"/>
    </sheetView>
  </sheetViews>
  <sheetFormatPr defaultRowHeight="15"/>
  <cols>
    <col min="1" max="1" width="23.42578125" customWidth="1"/>
    <col min="2" max="2" width="11.42578125" customWidth="1"/>
    <col min="3" max="3" width="12.140625" bestFit="1" customWidth="1"/>
    <col min="4" max="4" width="4.5703125" customWidth="1"/>
    <col min="5" max="5" width="13.85546875" customWidth="1"/>
    <col min="6" max="6" width="9.7109375" customWidth="1"/>
    <col min="7" max="7" width="10.5703125" bestFit="1" customWidth="1"/>
    <col min="8" max="8" width="4.42578125" customWidth="1"/>
    <col min="9" max="9" width="14.140625" customWidth="1"/>
    <col min="10" max="10" width="9.85546875" bestFit="1" customWidth="1"/>
    <col min="11" max="12" width="10.5703125" bestFit="1" customWidth="1"/>
  </cols>
  <sheetData>
    <row r="5" spans="1:11" ht="6.75" customHeight="1"/>
    <row r="6" spans="1:11">
      <c r="A6" s="67" t="s">
        <v>30</v>
      </c>
      <c r="B6" s="68"/>
      <c r="C6" s="68"/>
      <c r="D6" s="68"/>
      <c r="E6" s="68"/>
      <c r="F6" s="68"/>
      <c r="G6" s="68"/>
      <c r="H6" s="68"/>
      <c r="I6" s="68"/>
      <c r="J6" s="68"/>
      <c r="K6" s="68"/>
    </row>
    <row r="7" spans="1:11" ht="15.75" thickBot="1"/>
    <row r="8" spans="1:11" ht="15.75" thickBot="1">
      <c r="A8" s="65" t="s">
        <v>10</v>
      </c>
      <c r="B8" s="66"/>
      <c r="C8" s="66"/>
      <c r="E8" t="s">
        <v>21</v>
      </c>
      <c r="I8" t="s">
        <v>26</v>
      </c>
    </row>
    <row r="10" spans="1:11">
      <c r="E10" t="s">
        <v>23</v>
      </c>
      <c r="I10" t="s">
        <v>23</v>
      </c>
    </row>
    <row r="11" spans="1:11" ht="15.75" thickBot="1">
      <c r="A11" t="s">
        <v>0</v>
      </c>
      <c r="C11" s="18">
        <v>0</v>
      </c>
    </row>
    <row r="12" spans="1:11" ht="34.5" thickBot="1">
      <c r="C12" s="4"/>
      <c r="E12" s="41" t="s">
        <v>22</v>
      </c>
      <c r="F12" s="41" t="s">
        <v>19</v>
      </c>
      <c r="G12" s="41" t="s">
        <v>20</v>
      </c>
      <c r="I12" s="41" t="s">
        <v>22</v>
      </c>
      <c r="J12" s="41" t="s">
        <v>19</v>
      </c>
      <c r="K12" s="41" t="s">
        <v>20</v>
      </c>
    </row>
    <row r="13" spans="1:11">
      <c r="A13" t="s">
        <v>1</v>
      </c>
      <c r="B13" s="31">
        <v>0</v>
      </c>
      <c r="C13" s="1">
        <f>C11*B13</f>
        <v>0</v>
      </c>
      <c r="E13" s="25">
        <v>0.04</v>
      </c>
      <c r="F13" s="26">
        <v>4.2700000000000002E-2</v>
      </c>
      <c r="G13" s="1">
        <f>$C$20*F13</f>
        <v>0</v>
      </c>
      <c r="I13" s="25">
        <v>0.04</v>
      </c>
      <c r="J13" s="26">
        <v>0.1196</v>
      </c>
      <c r="K13" s="1">
        <f>$C$20*J13</f>
        <v>0</v>
      </c>
    </row>
    <row r="14" spans="1:11">
      <c r="A14" t="s">
        <v>2</v>
      </c>
      <c r="B14" s="2"/>
      <c r="C14" s="1">
        <f>C11-C13</f>
        <v>0</v>
      </c>
      <c r="E14" s="25">
        <v>7.0000000000000007E-2</v>
      </c>
      <c r="F14" s="26">
        <v>4.41E-2</v>
      </c>
      <c r="G14" s="1">
        <f t="shared" ref="G14:G15" si="0">$C$20*F14</f>
        <v>0</v>
      </c>
      <c r="I14" s="25">
        <v>7.0000000000000007E-2</v>
      </c>
      <c r="J14" s="26">
        <v>9.7000000000000003E-2</v>
      </c>
      <c r="K14" s="1">
        <f t="shared" ref="K14:K15" si="1">$C$20*J14</f>
        <v>0</v>
      </c>
    </row>
    <row r="15" spans="1:11">
      <c r="A15" t="s">
        <v>3</v>
      </c>
      <c r="B15" s="2"/>
      <c r="C15" s="18">
        <v>0</v>
      </c>
      <c r="E15" s="8">
        <v>0.12</v>
      </c>
      <c r="F15" s="26">
        <v>4.6600000000000003E-2</v>
      </c>
      <c r="G15" s="1">
        <f t="shared" si="0"/>
        <v>0</v>
      </c>
      <c r="I15" s="8">
        <v>0.12</v>
      </c>
      <c r="J15" s="26">
        <v>5.5899999999999998E-2</v>
      </c>
      <c r="K15" s="1">
        <f t="shared" si="1"/>
        <v>0</v>
      </c>
    </row>
    <row r="16" spans="1:11">
      <c r="A16" t="s">
        <v>4</v>
      </c>
      <c r="B16" s="2"/>
      <c r="C16" s="1">
        <f>C14+C15</f>
        <v>0</v>
      </c>
    </row>
    <row r="17" spans="1:11">
      <c r="A17" t="s">
        <v>5</v>
      </c>
      <c r="B17" s="21">
        <v>0</v>
      </c>
      <c r="C17" s="1">
        <f>C20*B17</f>
        <v>0</v>
      </c>
      <c r="E17" t="s">
        <v>24</v>
      </c>
      <c r="I17" t="s">
        <v>24</v>
      </c>
    </row>
    <row r="18" spans="1:11" ht="15.75" thickBot="1">
      <c r="B18" s="3"/>
      <c r="C18" s="1"/>
    </row>
    <row r="19" spans="1:11" ht="34.5" thickBot="1">
      <c r="B19" s="3"/>
      <c r="C19" s="1"/>
      <c r="E19" s="41" t="s">
        <v>22</v>
      </c>
      <c r="F19" s="41" t="s">
        <v>19</v>
      </c>
      <c r="G19" s="41" t="s">
        <v>20</v>
      </c>
      <c r="I19" s="41" t="s">
        <v>22</v>
      </c>
      <c r="J19" s="41" t="s">
        <v>19</v>
      </c>
      <c r="K19" s="41" t="s">
        <v>20</v>
      </c>
    </row>
    <row r="20" spans="1:11" ht="15.75" thickBot="1">
      <c r="A20" s="38" t="s">
        <v>6</v>
      </c>
      <c r="B20" s="39"/>
      <c r="C20" s="40">
        <f>-(C16/(B17-1))</f>
        <v>0</v>
      </c>
      <c r="E20" s="25">
        <v>0.04</v>
      </c>
      <c r="F20" s="26">
        <v>3.9100000000000003E-2</v>
      </c>
      <c r="G20" s="1">
        <f>$C$20*F20</f>
        <v>0</v>
      </c>
      <c r="I20" s="25">
        <v>0.04</v>
      </c>
      <c r="J20" s="26">
        <v>0.1641</v>
      </c>
      <c r="K20" s="1">
        <f>$C$20*J20</f>
        <v>0</v>
      </c>
    </row>
    <row r="21" spans="1:11" ht="15.75" thickTop="1">
      <c r="B21" s="2"/>
      <c r="C21" s="1"/>
      <c r="E21" s="25">
        <v>7.0000000000000007E-2</v>
      </c>
      <c r="F21" s="26">
        <v>4.0300000000000002E-2</v>
      </c>
      <c r="G21" s="1">
        <f t="shared" ref="G21:G22" si="2">$C$20*F21</f>
        <v>0</v>
      </c>
      <c r="I21" s="25">
        <v>7.0000000000000007E-2</v>
      </c>
      <c r="J21" s="26">
        <v>0.1452</v>
      </c>
      <c r="K21" s="1">
        <f t="shared" ref="K21:K22" si="3">$C$20*J21</f>
        <v>0</v>
      </c>
    </row>
    <row r="22" spans="1:11">
      <c r="E22" s="8">
        <v>0.12</v>
      </c>
      <c r="F22" s="26">
        <v>4.2599999999999999E-2</v>
      </c>
      <c r="G22" s="1">
        <f t="shared" si="2"/>
        <v>0</v>
      </c>
      <c r="I22" s="8">
        <v>0.12</v>
      </c>
      <c r="J22" s="26">
        <v>0.1108</v>
      </c>
      <c r="K22" s="1">
        <f t="shared" si="3"/>
        <v>0</v>
      </c>
    </row>
    <row r="24" spans="1:11">
      <c r="A24" s="17" t="s">
        <v>18</v>
      </c>
      <c r="B24" s="23"/>
      <c r="C24" s="24"/>
      <c r="E24" t="s">
        <v>25</v>
      </c>
      <c r="I24" t="s">
        <v>25</v>
      </c>
    </row>
    <row r="25" spans="1:11" ht="15.75" thickBot="1"/>
    <row r="26" spans="1:11" ht="34.5" thickBot="1">
      <c r="A26" s="41" t="s">
        <v>22</v>
      </c>
      <c r="B26" s="41" t="s">
        <v>19</v>
      </c>
      <c r="C26" s="41" t="s">
        <v>20</v>
      </c>
      <c r="E26" s="41" t="s">
        <v>22</v>
      </c>
      <c r="F26" s="41" t="s">
        <v>19</v>
      </c>
      <c r="G26" s="41" t="s">
        <v>20</v>
      </c>
      <c r="I26" s="41" t="s">
        <v>22</v>
      </c>
      <c r="J26" s="41" t="s">
        <v>19</v>
      </c>
      <c r="K26" s="41" t="s">
        <v>20</v>
      </c>
    </row>
    <row r="27" spans="1:11">
      <c r="A27" s="25">
        <v>0.04</v>
      </c>
      <c r="B27" s="26">
        <v>3.4200000000000001E-2</v>
      </c>
      <c r="C27" s="1">
        <f>$C$20*B27</f>
        <v>0</v>
      </c>
      <c r="E27" s="25">
        <v>0.04</v>
      </c>
      <c r="F27" s="26">
        <v>3.7999999999999999E-2</v>
      </c>
      <c r="G27" s="1">
        <f>$C$20*F27</f>
        <v>0</v>
      </c>
      <c r="I27" s="25">
        <v>0.04</v>
      </c>
      <c r="J27" s="26">
        <v>0.1749</v>
      </c>
      <c r="K27" s="1">
        <f>$C$20*J27</f>
        <v>0</v>
      </c>
    </row>
    <row r="28" spans="1:11">
      <c r="A28" s="25">
        <v>7.0000000000000007E-2</v>
      </c>
      <c r="B28" s="26">
        <v>3.5299999999999998E-2</v>
      </c>
      <c r="C28" s="1">
        <f t="shared" ref="C28:C29" si="4">$C$20*B28</f>
        <v>0</v>
      </c>
      <c r="E28" s="25">
        <v>7.0000000000000007E-2</v>
      </c>
      <c r="F28" s="26">
        <v>3.9199999999999999E-2</v>
      </c>
      <c r="G28" s="1">
        <f t="shared" ref="G28:G29" si="5">$C$20*F28</f>
        <v>0</v>
      </c>
      <c r="I28" s="25">
        <v>7.0000000000000007E-2</v>
      </c>
      <c r="J28" s="26">
        <v>0.157</v>
      </c>
      <c r="K28" s="1">
        <f t="shared" ref="K28:K29" si="6">$C$20*J28</f>
        <v>0</v>
      </c>
    </row>
    <row r="29" spans="1:11">
      <c r="A29" s="8">
        <v>0.12</v>
      </c>
      <c r="B29" s="26">
        <v>3.73E-2</v>
      </c>
      <c r="C29" s="1">
        <f t="shared" si="4"/>
        <v>0</v>
      </c>
      <c r="E29" s="8">
        <v>0.12</v>
      </c>
      <c r="F29" s="26">
        <v>4.1500000000000002E-2</v>
      </c>
      <c r="G29" s="1">
        <f t="shared" si="5"/>
        <v>0</v>
      </c>
      <c r="I29" s="8">
        <v>0.12</v>
      </c>
      <c r="J29" s="26">
        <v>0.1244</v>
      </c>
      <c r="K29" s="1">
        <f t="shared" si="6"/>
        <v>0</v>
      </c>
    </row>
  </sheetData>
  <mergeCells count="2">
    <mergeCell ref="A8:C8"/>
    <mergeCell ref="A6:K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COMÉRCIO E INDUSTRIA</vt:lpstr>
      <vt:lpstr>ATIVO FIXO OU USO E CONSUMO</vt:lpstr>
      <vt:lpstr>SIMPLES NACIONAL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Balduchi</dc:creator>
  <cp:lastModifiedBy>viviane.ferreira</cp:lastModifiedBy>
  <dcterms:created xsi:type="dcterms:W3CDTF">2017-09-08T15:46:51Z</dcterms:created>
  <dcterms:modified xsi:type="dcterms:W3CDTF">2020-02-21T20:40:05Z</dcterms:modified>
</cp:coreProperties>
</file>