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7661E565-B8A3-4B55-A743-9740CF7DF8A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Edificações" sheetId="1" r:id="rId1"/>
    <sheet name="Máquinas e Equipament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E13" i="2" l="1"/>
  <c r="F6" i="2"/>
  <c r="D13" i="2"/>
  <c r="G5" i="2"/>
  <c r="H5" i="2" s="1"/>
  <c r="I5" i="2" s="1"/>
  <c r="E13" i="1"/>
  <c r="G8" i="1"/>
  <c r="H8" i="1" s="1"/>
  <c r="I8" i="1" s="1"/>
  <c r="G11" i="1"/>
  <c r="H11" i="1" s="1"/>
  <c r="I11" i="1" s="1"/>
  <c r="F7" i="1"/>
  <c r="G7" i="1" s="1"/>
  <c r="H7" i="1" s="1"/>
  <c r="I7" i="1" s="1"/>
  <c r="F8" i="1"/>
  <c r="F9" i="1"/>
  <c r="G9" i="1" s="1"/>
  <c r="H9" i="1" s="1"/>
  <c r="I9" i="1" s="1"/>
  <c r="F10" i="1"/>
  <c r="G10" i="1" s="1"/>
  <c r="H10" i="1" s="1"/>
  <c r="I10" i="1" s="1"/>
  <c r="F11" i="1"/>
  <c r="F6" i="1"/>
  <c r="G6" i="1" s="1"/>
  <c r="H6" i="1" s="1"/>
  <c r="D13" i="1"/>
  <c r="D6" i="1"/>
  <c r="G5" i="1"/>
  <c r="H5" i="1" s="1"/>
  <c r="I6" i="1" l="1"/>
  <c r="H13" i="1"/>
  <c r="G13" i="1"/>
  <c r="I5" i="1"/>
  <c r="I13" i="1" s="1"/>
  <c r="G6" i="2"/>
  <c r="H6" i="2" s="1"/>
  <c r="I6" i="2" s="1"/>
  <c r="I13" i="2" s="1"/>
  <c r="H13" i="2" l="1"/>
  <c r="G13" i="2"/>
</calcChain>
</file>

<file path=xl/sharedStrings.xml><?xml version="1.0" encoding="utf-8"?>
<sst xmlns="http://schemas.openxmlformats.org/spreadsheetml/2006/main" count="51" uniqueCount="36">
  <si>
    <t>Empresa:</t>
  </si>
  <si>
    <t>Item</t>
  </si>
  <si>
    <t>Data Aquisição</t>
  </si>
  <si>
    <t>Histórico/Descrição</t>
  </si>
  <si>
    <t>Valor Aquisição</t>
  </si>
  <si>
    <t>Saldo Residual</t>
  </si>
  <si>
    <t>Período:</t>
  </si>
  <si>
    <t>01.01 a 31.12.2020</t>
  </si>
  <si>
    <t>Saldo Anterior</t>
  </si>
  <si>
    <t>Depreciação</t>
  </si>
  <si>
    <t>Taxas Cartorárias</t>
  </si>
  <si>
    <t>1.0</t>
  </si>
  <si>
    <t>1.1</t>
  </si>
  <si>
    <t>1.2</t>
  </si>
  <si>
    <t>Funrejus - Garagem</t>
  </si>
  <si>
    <t>Funrejus - Imóvel</t>
  </si>
  <si>
    <t>1.3</t>
  </si>
  <si>
    <t>1.4</t>
  </si>
  <si>
    <t>ITBI - Garagem</t>
  </si>
  <si>
    <t>Tx. Período</t>
  </si>
  <si>
    <t>1.5</t>
  </si>
  <si>
    <t>ITBI - Imóvel</t>
  </si>
  <si>
    <t>1.6</t>
  </si>
  <si>
    <t>Taxas Registro do Imóvel</t>
  </si>
  <si>
    <t>Total</t>
  </si>
  <si>
    <t>Conta</t>
  </si>
  <si>
    <t>13201003 - Prédios e Edificações</t>
  </si>
  <si>
    <t>Encargos Período</t>
  </si>
  <si>
    <t>Saldo Final</t>
  </si>
  <si>
    <t>Amortização</t>
  </si>
  <si>
    <t>2.0</t>
  </si>
  <si>
    <t xml:space="preserve">Exemplo e Cia. </t>
  </si>
  <si>
    <t>Imóvel Rua João Antonio, 600 - Bauru - SP</t>
  </si>
  <si>
    <t>13201006 - Máquinas e Equipamentos</t>
  </si>
  <si>
    <t>Máq. Perfuratriz</t>
  </si>
  <si>
    <t>Torno Mecânico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</si>
</sst>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6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43" fontId="0" fillId="0" borderId="0" xfId="1" applyFont="1"/>
    <xf numFmtId="164" fontId="0" fillId="0" borderId="0" xfId="2" applyNumberFormat="1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Font="1" applyBorder="1" applyAlignment="1">
      <alignment wrapText="1"/>
    </xf>
    <xf numFmtId="43" fontId="0" fillId="0" borderId="0" xfId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3" fontId="0" fillId="0" borderId="1" xfId="1" applyFont="1" applyBorder="1" applyAlignment="1">
      <alignment horizontal="center"/>
    </xf>
    <xf numFmtId="43" fontId="0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3" fontId="0" fillId="0" borderId="2" xfId="1" applyFont="1" applyBorder="1" applyAlignment="1">
      <alignment horizontal="center" wrapText="1"/>
    </xf>
    <xf numFmtId="43" fontId="0" fillId="0" borderId="2" xfId="1" applyFont="1" applyBorder="1" applyAlignment="1">
      <alignment wrapText="1"/>
    </xf>
    <xf numFmtId="0" fontId="0" fillId="0" borderId="1" xfId="0" applyBorder="1" applyAlignment="1">
      <alignment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4.4" x14ac:dyDescent="0.3"/>
  <cols>
    <col min="1" max="1" width="8.88671875" style="2"/>
    <col min="2" max="2" width="13.21875" bestFit="1" customWidth="1"/>
    <col min="3" max="3" width="36.6640625" customWidth="1"/>
    <col min="4" max="4" width="11.33203125" style="4" bestFit="1" customWidth="1"/>
    <col min="5" max="5" width="10.33203125" style="4" bestFit="1" customWidth="1"/>
    <col min="6" max="6" width="11.5546875" style="4" bestFit="1" customWidth="1"/>
    <col min="7" max="8" width="10.33203125" style="4" bestFit="1" customWidth="1"/>
    <col min="9" max="9" width="11.33203125" style="4" bestFit="1" customWidth="1"/>
  </cols>
  <sheetData>
    <row r="1" spans="1:9" x14ac:dyDescent="0.3">
      <c r="A1" s="2" t="s">
        <v>0</v>
      </c>
      <c r="B1" t="s">
        <v>31</v>
      </c>
    </row>
    <row r="2" spans="1:9" x14ac:dyDescent="0.3">
      <c r="A2" s="2" t="s">
        <v>6</v>
      </c>
      <c r="B2" t="s">
        <v>7</v>
      </c>
      <c r="E2" s="11" t="s">
        <v>9</v>
      </c>
      <c r="F2" s="11"/>
      <c r="G2" s="11"/>
      <c r="H2" s="11"/>
    </row>
    <row r="3" spans="1:9" x14ac:dyDescent="0.3">
      <c r="A3" s="2" t="s">
        <v>25</v>
      </c>
      <c r="B3" t="s">
        <v>26</v>
      </c>
      <c r="D3" s="9" t="s">
        <v>4</v>
      </c>
      <c r="E3" s="12" t="s">
        <v>8</v>
      </c>
      <c r="F3" s="12" t="s">
        <v>19</v>
      </c>
      <c r="G3" s="14" t="s">
        <v>27</v>
      </c>
      <c r="H3" s="15" t="s">
        <v>28</v>
      </c>
      <c r="I3" s="9" t="s">
        <v>5</v>
      </c>
    </row>
    <row r="4" spans="1:9" x14ac:dyDescent="0.3">
      <c r="A4" s="6" t="s">
        <v>1</v>
      </c>
      <c r="B4" s="7" t="s">
        <v>2</v>
      </c>
      <c r="C4" s="7" t="s">
        <v>3</v>
      </c>
      <c r="D4" s="10"/>
      <c r="E4" s="13"/>
      <c r="F4" s="13"/>
      <c r="G4" s="10"/>
      <c r="H4" s="16"/>
      <c r="I4" s="10"/>
    </row>
    <row r="5" spans="1:9" x14ac:dyDescent="0.3">
      <c r="A5" s="2" t="s">
        <v>11</v>
      </c>
      <c r="B5" s="1">
        <v>43800</v>
      </c>
      <c r="C5" s="8" t="s">
        <v>32</v>
      </c>
      <c r="D5" s="4">
        <v>360000</v>
      </c>
      <c r="E5" s="4">
        <v>1200</v>
      </c>
      <c r="F5" s="5">
        <v>0.04</v>
      </c>
      <c r="G5" s="4">
        <f>D5*F5</f>
        <v>14400</v>
      </c>
      <c r="H5" s="4">
        <f>G5+E5</f>
        <v>15600</v>
      </c>
      <c r="I5" s="4">
        <f>D5-H5</f>
        <v>344400</v>
      </c>
    </row>
    <row r="6" spans="1:9" x14ac:dyDescent="0.3">
      <c r="A6" s="3" t="s">
        <v>12</v>
      </c>
      <c r="B6" s="1">
        <v>43928</v>
      </c>
      <c r="C6" t="s">
        <v>10</v>
      </c>
      <c r="D6" s="4">
        <f>150+1056.51</f>
        <v>1206.51</v>
      </c>
      <c r="E6" s="4">
        <v>0</v>
      </c>
      <c r="F6" s="5">
        <f>$F$5/12*(12-3)</f>
        <v>3.0000000000000002E-2</v>
      </c>
      <c r="G6" s="4">
        <f t="shared" ref="G6:G11" si="0">D6*F6</f>
        <v>36.195300000000003</v>
      </c>
      <c r="H6" s="4">
        <f t="shared" ref="H6:H11" si="1">G6+E6</f>
        <v>36.195300000000003</v>
      </c>
      <c r="I6" s="4">
        <f t="shared" ref="I6:I11" si="2">D6-H6</f>
        <v>1170.3146999999999</v>
      </c>
    </row>
    <row r="7" spans="1:9" x14ac:dyDescent="0.3">
      <c r="A7" s="2" t="s">
        <v>13</v>
      </c>
      <c r="B7" s="1">
        <v>43929</v>
      </c>
      <c r="C7" t="s">
        <v>14</v>
      </c>
      <c r="D7" s="4">
        <v>41.4</v>
      </c>
      <c r="E7" s="4">
        <v>0</v>
      </c>
      <c r="F7" s="5">
        <f t="shared" ref="F7:F11" si="3">$F$5/12*(12-3)</f>
        <v>3.0000000000000002E-2</v>
      </c>
      <c r="G7" s="4">
        <f t="shared" si="0"/>
        <v>1.242</v>
      </c>
      <c r="H7" s="4">
        <f t="shared" si="1"/>
        <v>1.242</v>
      </c>
      <c r="I7" s="4">
        <f t="shared" si="2"/>
        <v>40.158000000000001</v>
      </c>
    </row>
    <row r="8" spans="1:9" x14ac:dyDescent="0.3">
      <c r="A8" s="2" t="s">
        <v>16</v>
      </c>
      <c r="B8" s="1">
        <v>43929</v>
      </c>
      <c r="C8" t="s">
        <v>15</v>
      </c>
      <c r="D8" s="4">
        <v>680</v>
      </c>
      <c r="E8" s="4">
        <v>0</v>
      </c>
      <c r="F8" s="5">
        <f t="shared" si="3"/>
        <v>3.0000000000000002E-2</v>
      </c>
      <c r="G8" s="4">
        <f t="shared" si="0"/>
        <v>20.400000000000002</v>
      </c>
      <c r="H8" s="4">
        <f t="shared" si="1"/>
        <v>20.400000000000002</v>
      </c>
      <c r="I8" s="4">
        <f t="shared" si="2"/>
        <v>659.6</v>
      </c>
    </row>
    <row r="9" spans="1:9" x14ac:dyDescent="0.3">
      <c r="A9" s="2" t="s">
        <v>17</v>
      </c>
      <c r="B9" s="1">
        <v>43929</v>
      </c>
      <c r="C9" t="s">
        <v>18</v>
      </c>
      <c r="D9" s="4">
        <v>558.9</v>
      </c>
      <c r="F9" s="5">
        <f t="shared" si="3"/>
        <v>3.0000000000000002E-2</v>
      </c>
      <c r="G9" s="4">
        <f t="shared" si="0"/>
        <v>16.766999999999999</v>
      </c>
      <c r="H9" s="4">
        <f t="shared" si="1"/>
        <v>16.766999999999999</v>
      </c>
      <c r="I9" s="4">
        <f t="shared" si="2"/>
        <v>542.13299999999992</v>
      </c>
    </row>
    <row r="10" spans="1:9" x14ac:dyDescent="0.3">
      <c r="A10" s="2" t="s">
        <v>20</v>
      </c>
      <c r="B10" s="1">
        <v>43929</v>
      </c>
      <c r="C10" t="s">
        <v>21</v>
      </c>
      <c r="D10" s="4">
        <v>9180</v>
      </c>
      <c r="F10" s="5">
        <f t="shared" si="3"/>
        <v>3.0000000000000002E-2</v>
      </c>
      <c r="G10" s="4">
        <f t="shared" si="0"/>
        <v>275.40000000000003</v>
      </c>
      <c r="H10" s="4">
        <f t="shared" si="1"/>
        <v>275.40000000000003</v>
      </c>
      <c r="I10" s="4">
        <f t="shared" si="2"/>
        <v>8904.6</v>
      </c>
    </row>
    <row r="11" spans="1:9" x14ac:dyDescent="0.3">
      <c r="A11" s="2" t="s">
        <v>22</v>
      </c>
      <c r="B11" s="1">
        <v>43943</v>
      </c>
      <c r="C11" t="s">
        <v>23</v>
      </c>
      <c r="D11" s="4">
        <v>1300</v>
      </c>
      <c r="F11" s="5">
        <f t="shared" si="3"/>
        <v>3.0000000000000002E-2</v>
      </c>
      <c r="G11" s="4">
        <f t="shared" si="0"/>
        <v>39</v>
      </c>
      <c r="H11" s="4">
        <f t="shared" si="1"/>
        <v>39</v>
      </c>
      <c r="I11" s="4">
        <f t="shared" si="2"/>
        <v>1261</v>
      </c>
    </row>
    <row r="13" spans="1:9" x14ac:dyDescent="0.3">
      <c r="A13" s="2" t="s">
        <v>24</v>
      </c>
      <c r="D13" s="4">
        <f>SUM(D5:D12)</f>
        <v>372966.81000000006</v>
      </c>
      <c r="E13" s="4">
        <f t="shared" ref="E13:I13" si="4">SUM(E5:E12)</f>
        <v>1200</v>
      </c>
      <c r="G13" s="4">
        <f t="shared" si="4"/>
        <v>14789.004299999999</v>
      </c>
      <c r="H13" s="4">
        <f t="shared" si="4"/>
        <v>15989.004299999999</v>
      </c>
      <c r="I13" s="4">
        <f t="shared" si="4"/>
        <v>356977.80569999991</v>
      </c>
    </row>
  </sheetData>
  <mergeCells count="7">
    <mergeCell ref="I3:I4"/>
    <mergeCell ref="D3:D4"/>
    <mergeCell ref="E2:H2"/>
    <mergeCell ref="E3:E4"/>
    <mergeCell ref="F3:F4"/>
    <mergeCell ref="G3:G4"/>
    <mergeCell ref="H3:H4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cols>
    <col min="1" max="1" width="8.88671875" style="2"/>
    <col min="2" max="2" width="13.21875" bestFit="1" customWidth="1"/>
    <col min="3" max="3" width="36.6640625" customWidth="1"/>
    <col min="4" max="4" width="11.33203125" style="4" bestFit="1" customWidth="1"/>
    <col min="5" max="5" width="10.33203125" style="4" bestFit="1" customWidth="1"/>
    <col min="6" max="6" width="11.5546875" style="4" bestFit="1" customWidth="1"/>
    <col min="7" max="8" width="10.33203125" style="4" bestFit="1" customWidth="1"/>
    <col min="9" max="9" width="11.33203125" style="4" bestFit="1" customWidth="1"/>
  </cols>
  <sheetData>
    <row r="1" spans="1:9" x14ac:dyDescent="0.3">
      <c r="A1" s="2" t="s">
        <v>0</v>
      </c>
      <c r="B1" t="str">
        <f>Edificações!B1</f>
        <v xml:space="preserve">Exemplo e Cia. </v>
      </c>
    </row>
    <row r="2" spans="1:9" x14ac:dyDescent="0.3">
      <c r="A2" s="2" t="s">
        <v>6</v>
      </c>
      <c r="B2" t="s">
        <v>7</v>
      </c>
      <c r="E2" s="11" t="s">
        <v>29</v>
      </c>
      <c r="F2" s="11"/>
      <c r="G2" s="11"/>
      <c r="H2" s="11"/>
    </row>
    <row r="3" spans="1:9" x14ac:dyDescent="0.3">
      <c r="A3" s="2" t="s">
        <v>25</v>
      </c>
      <c r="B3" t="s">
        <v>33</v>
      </c>
      <c r="D3" s="9" t="s">
        <v>4</v>
      </c>
      <c r="E3" s="12" t="s">
        <v>8</v>
      </c>
      <c r="F3" s="12" t="s">
        <v>19</v>
      </c>
      <c r="G3" s="14" t="s">
        <v>27</v>
      </c>
      <c r="H3" s="15" t="s">
        <v>28</v>
      </c>
      <c r="I3" s="9" t="s">
        <v>5</v>
      </c>
    </row>
    <row r="4" spans="1:9" x14ac:dyDescent="0.3">
      <c r="A4" s="6" t="s">
        <v>1</v>
      </c>
      <c r="B4" s="7" t="s">
        <v>2</v>
      </c>
      <c r="C4" s="7" t="s">
        <v>3</v>
      </c>
      <c r="D4" s="10"/>
      <c r="E4" s="13"/>
      <c r="F4" s="13"/>
      <c r="G4" s="10"/>
      <c r="H4" s="16"/>
      <c r="I4" s="10"/>
    </row>
    <row r="5" spans="1:9" x14ac:dyDescent="0.3">
      <c r="A5" s="2" t="s">
        <v>11</v>
      </c>
      <c r="B5" s="1">
        <v>41949</v>
      </c>
      <c r="C5" s="8" t="s">
        <v>34</v>
      </c>
      <c r="D5" s="4">
        <v>15000</v>
      </c>
      <c r="E5" s="4">
        <v>7750</v>
      </c>
      <c r="F5" s="5">
        <v>0.1</v>
      </c>
      <c r="G5" s="4">
        <f>D5*F5</f>
        <v>1500</v>
      </c>
      <c r="H5" s="4">
        <f>G5+E5</f>
        <v>9250</v>
      </c>
      <c r="I5" s="4">
        <f>D5-H5</f>
        <v>5750</v>
      </c>
    </row>
    <row r="6" spans="1:9" x14ac:dyDescent="0.3">
      <c r="A6" s="3" t="s">
        <v>30</v>
      </c>
      <c r="B6" s="1">
        <v>43921</v>
      </c>
      <c r="C6" t="s">
        <v>35</v>
      </c>
      <c r="D6" s="4">
        <v>18000</v>
      </c>
      <c r="E6" s="4">
        <v>0</v>
      </c>
      <c r="F6" s="5">
        <f>$F$5/12*(12-3)</f>
        <v>7.4999999999999997E-2</v>
      </c>
      <c r="G6" s="4">
        <f t="shared" ref="G6" si="0">D6*F6</f>
        <v>1350</v>
      </c>
      <c r="H6" s="4">
        <f t="shared" ref="H6" si="1">G6+E6</f>
        <v>1350</v>
      </c>
      <c r="I6" s="4">
        <f t="shared" ref="I6" si="2">D6-H6</f>
        <v>16650</v>
      </c>
    </row>
    <row r="7" spans="1:9" x14ac:dyDescent="0.3">
      <c r="B7" s="1"/>
      <c r="F7" s="5"/>
    </row>
    <row r="8" spans="1:9" x14ac:dyDescent="0.3">
      <c r="B8" s="1"/>
      <c r="F8" s="5"/>
    </row>
    <row r="9" spans="1:9" x14ac:dyDescent="0.3">
      <c r="B9" s="1"/>
      <c r="F9" s="5"/>
    </row>
    <row r="10" spans="1:9" x14ac:dyDescent="0.3">
      <c r="B10" s="1"/>
      <c r="F10" s="5"/>
    </row>
    <row r="11" spans="1:9" x14ac:dyDescent="0.3">
      <c r="B11" s="1"/>
      <c r="F11" s="5"/>
    </row>
    <row r="13" spans="1:9" x14ac:dyDescent="0.3">
      <c r="A13" s="2" t="s">
        <v>24</v>
      </c>
      <c r="D13" s="4">
        <f>SUM(D5:D12)</f>
        <v>33000</v>
      </c>
      <c r="E13" s="4">
        <f t="shared" ref="E13:I13" si="3">SUM(E5:E12)</f>
        <v>7750</v>
      </c>
      <c r="G13" s="4">
        <f t="shared" si="3"/>
        <v>2850</v>
      </c>
      <c r="H13" s="4">
        <f t="shared" si="3"/>
        <v>10600</v>
      </c>
      <c r="I13" s="4">
        <f t="shared" si="3"/>
        <v>22400</v>
      </c>
    </row>
  </sheetData>
  <mergeCells count="7">
    <mergeCell ref="I3:I4"/>
    <mergeCell ref="E2:H2"/>
    <mergeCell ref="D3:D4"/>
    <mergeCell ref="E3:E4"/>
    <mergeCell ref="F3:F4"/>
    <mergeCell ref="G3:G4"/>
    <mergeCell ref="H3:H4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Edificações</vt:lpstr>
      <vt:lpstr>Máquinas e Equipamentos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Equipe Portal Tributário</dc:creator>
  <cp:lastModifiedBy>Lúcia</cp:lastModifiedBy>
  <dcterms:created xsi:type="dcterms:W3CDTF">2020-04-29T15:14:28Z</dcterms:created>
  <dcterms:modified xsi:type="dcterms:W3CDTF">2020-10-12T12:13:57Z</dcterms:modified>
</cp:coreProperties>
</file>