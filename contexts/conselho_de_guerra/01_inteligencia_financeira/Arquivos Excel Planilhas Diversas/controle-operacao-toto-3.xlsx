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BA5502F-2029-414D-AFC2-CB188D18716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O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6" i="2" l="1"/>
  <c r="P7" i="2"/>
  <c r="H12" i="2" l="1"/>
  <c r="H14" i="2"/>
  <c r="J14" i="2" s="1"/>
  <c r="K14" i="2" s="1"/>
  <c r="H16" i="2"/>
  <c r="H18" i="2"/>
  <c r="H20" i="2"/>
  <c r="H22" i="2"/>
  <c r="H24" i="2"/>
  <c r="H10" i="2"/>
  <c r="H11" i="2"/>
  <c r="H13" i="2"/>
  <c r="J13" i="2" s="1"/>
  <c r="K13" i="2" s="1"/>
  <c r="H15" i="2"/>
  <c r="H17" i="2"/>
  <c r="H19" i="2"/>
  <c r="H21" i="2"/>
  <c r="H23" i="2"/>
  <c r="H25" i="2"/>
  <c r="I12" i="2"/>
  <c r="I13" i="2" l="1"/>
  <c r="L13" i="2"/>
  <c r="I14" i="2"/>
  <c r="L14" i="2" s="1"/>
  <c r="J12" i="2"/>
  <c r="K12" i="2" s="1"/>
  <c r="L12" i="2" s="1"/>
  <c r="J11" i="2" l="1"/>
  <c r="J15" i="2"/>
  <c r="J16" i="2"/>
  <c r="J17" i="2"/>
  <c r="J18" i="2"/>
  <c r="J19" i="2"/>
  <c r="J20" i="2"/>
  <c r="J21" i="2"/>
  <c r="J22" i="2"/>
  <c r="J23" i="2"/>
  <c r="J24" i="2"/>
  <c r="J25" i="2"/>
  <c r="J10" i="2"/>
  <c r="I11" i="2" l="1"/>
  <c r="K11" i="2"/>
  <c r="I15" i="2"/>
  <c r="I16" i="2"/>
  <c r="K16" i="2"/>
  <c r="I17" i="2"/>
  <c r="K17" i="2"/>
  <c r="I10" i="2"/>
  <c r="L17" i="2" l="1"/>
  <c r="L11" i="2"/>
  <c r="L16" i="2"/>
  <c r="K10" i="2"/>
  <c r="L10" i="2" s="1"/>
  <c r="K15" i="2"/>
  <c r="L15" i="2" s="1"/>
  <c r="K21" i="2"/>
  <c r="I19" i="2"/>
  <c r="I25" i="2"/>
  <c r="I21" i="2"/>
  <c r="I20" i="2"/>
  <c r="I22" i="2"/>
  <c r="I23" i="2"/>
  <c r="I24" i="2"/>
  <c r="I18" i="2"/>
  <c r="L21" i="2" l="1"/>
  <c r="K22" i="2"/>
  <c r="L22" i="2" s="1"/>
  <c r="K19" i="2"/>
  <c r="L19" i="2" s="1"/>
  <c r="K20" i="2"/>
  <c r="L20" i="2" s="1"/>
  <c r="K24" i="2"/>
  <c r="L24" i="2" s="1"/>
  <c r="K18" i="2"/>
  <c r="L18" i="2" s="1"/>
  <c r="K23" i="2"/>
  <c r="L23" i="2" s="1"/>
  <c r="K25" i="2"/>
  <c r="L25" i="2" s="1"/>
  <c r="K27" i="2" l="1"/>
  <c r="L27" i="2" s="1"/>
</calcChain>
</file>

<file path=xl/sharedStrings.xml><?xml version="1.0" encoding="utf-8"?>
<sst xmlns="http://schemas.openxmlformats.org/spreadsheetml/2006/main" count="22" uniqueCount="19">
  <si>
    <t>ATIVO</t>
  </si>
  <si>
    <t>QUANT.</t>
  </si>
  <si>
    <t>R$ ENTRADA</t>
  </si>
  <si>
    <t>R$ SAÍDA</t>
  </si>
  <si>
    <t>% LUCRO</t>
  </si>
  <si>
    <t>R$ ALVO</t>
  </si>
  <si>
    <t>DATA ENTRADA</t>
  </si>
  <si>
    <t>DATA SAÍDA</t>
  </si>
  <si>
    <t>STOP</t>
  </si>
  <si>
    <t>INVESTIMENTO</t>
  </si>
  <si>
    <t>OBS.</t>
  </si>
  <si>
    <t>RETORNO BRUTO</t>
  </si>
  <si>
    <t>R$ LUCRO</t>
  </si>
  <si>
    <t>Insira aqui seu montante</t>
  </si>
  <si>
    <t>Preencha as colunas B A G conforme as orientações forem sendo repassadas no grupo</t>
  </si>
  <si>
    <t>caso precise inserir linhas desbloquei a planilha com a chave grupobovespa</t>
  </si>
  <si>
    <t>SIMULAÇÃO COM  R$1.000,00 - CONSIDERANDO 25% POR ENTRADA, OU SEJA, ATÉ R$ 250,00 POR OPERAÇÃO</t>
  </si>
  <si>
    <t>PETRT212</t>
  </si>
  <si>
    <t>PETRH206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</si>
</sst>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164" fontId="2" fillId="2" borderId="2" xfId="0" applyNumberFormat="1" applyFont="1" applyFill="1" applyBorder="1" applyAlignment="1" applyProtection="1">
      <alignment horizontal="center" vertical="center"/>
    </xf>
    <xf numFmtId="164" fontId="2" fillId="2" borderId="2" xfId="0" applyNumberFormat="1" applyFont="1" applyFill="1" applyBorder="1" applyAlignment="1" applyProtection="1">
      <alignment vertical="center"/>
    </xf>
    <xf numFmtId="10" fontId="2" fillId="2" borderId="3" xfId="2" applyNumberFormat="1" applyFont="1" applyFill="1" applyBorder="1" applyAlignment="1" applyProtection="1">
      <alignment vertical="center"/>
    </xf>
    <xf numFmtId="164" fontId="2" fillId="2" borderId="5" xfId="0" applyNumberFormat="1" applyFont="1" applyFill="1" applyBorder="1" applyAlignment="1" applyProtection="1">
      <alignment vertical="center"/>
    </xf>
    <xf numFmtId="0" fontId="4" fillId="3" borderId="0" xfId="0" applyFont="1" applyFill="1" applyAlignment="1" applyProtection="1">
      <alignment horizontal="right"/>
    </xf>
    <xf numFmtId="164" fontId="4" fillId="3" borderId="0" xfId="0" applyNumberFormat="1" applyFont="1" applyFill="1" applyAlignment="1" applyProtection="1">
      <alignment vertical="center"/>
    </xf>
    <xf numFmtId="10" fontId="4" fillId="3" borderId="0" xfId="2" applyNumberFormat="1" applyFont="1" applyFill="1" applyProtection="1"/>
    <xf numFmtId="0" fontId="0" fillId="2" borderId="0" xfId="0" applyFill="1" applyProtection="1">
      <protection locked="0"/>
    </xf>
    <xf numFmtId="0" fontId="4" fillId="3" borderId="0" xfId="0" applyFont="1" applyFill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left" vertical="center" indent="2"/>
      <protection locked="0"/>
    </xf>
    <xf numFmtId="14" fontId="2" fillId="2" borderId="2" xfId="0" applyNumberFormat="1" applyFont="1" applyFill="1" applyBorder="1" applyAlignment="1" applyProtection="1">
      <alignment horizontal="center" vertical="center"/>
      <protection locked="0"/>
    </xf>
    <xf numFmtId="164" fontId="2" fillId="2" borderId="2" xfId="1" applyNumberFormat="1" applyFont="1" applyFill="1" applyBorder="1" applyAlignment="1" applyProtection="1">
      <alignment vertical="center"/>
      <protection locked="0"/>
    </xf>
    <xf numFmtId="0" fontId="2" fillId="2" borderId="7" xfId="0" applyFont="1" applyFill="1" applyBorder="1" applyProtection="1">
      <protection locked="0"/>
    </xf>
    <xf numFmtId="164" fontId="0" fillId="2" borderId="0" xfId="0" applyNumberFormat="1" applyFill="1" applyProtection="1">
      <protection locked="0"/>
    </xf>
    <xf numFmtId="0" fontId="2" fillId="2" borderId="4" xfId="0" applyFont="1" applyFill="1" applyBorder="1" applyAlignment="1" applyProtection="1">
      <alignment horizontal="left" vertical="center" indent="2"/>
      <protection locked="0"/>
    </xf>
    <xf numFmtId="14" fontId="2" fillId="2" borderId="5" xfId="0" applyNumberFormat="1" applyFont="1" applyFill="1" applyBorder="1" applyAlignment="1" applyProtection="1">
      <alignment horizontal="center" vertical="center"/>
      <protection locked="0"/>
    </xf>
    <xf numFmtId="164" fontId="2" fillId="2" borderId="5" xfId="1" applyNumberFormat="1" applyFont="1" applyFill="1" applyBorder="1" applyAlignment="1" applyProtection="1">
      <alignment vertical="center"/>
      <protection locked="0"/>
    </xf>
    <xf numFmtId="0" fontId="2" fillId="2" borderId="6" xfId="0" applyFont="1" applyFill="1" applyBorder="1" applyProtection="1">
      <protection locked="0"/>
    </xf>
    <xf numFmtId="0" fontId="0" fillId="2" borderId="0" xfId="0" applyFill="1" applyAlignment="1" applyProtection="1">
      <alignment vertical="center"/>
      <protection locked="0"/>
    </xf>
    <xf numFmtId="0" fontId="2" fillId="2" borderId="6" xfId="0" applyFont="1" applyFill="1" applyBorder="1" applyAlignment="1" applyProtection="1">
      <alignment vertical="center"/>
      <protection locked="0"/>
    </xf>
    <xf numFmtId="14" fontId="0" fillId="2" borderId="0" xfId="0" applyNumberForma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14" fontId="4" fillId="3" borderId="0" xfId="0" applyNumberFormat="1" applyFont="1" applyFill="1" applyAlignment="1" applyProtection="1">
      <alignment horizontal="right"/>
      <protection locked="0"/>
    </xf>
    <xf numFmtId="164" fontId="4" fillId="3" borderId="0" xfId="1" applyNumberFormat="1" applyFont="1" applyFill="1" applyProtection="1">
      <protection locked="0"/>
    </xf>
    <xf numFmtId="43" fontId="0" fillId="2" borderId="0" xfId="1" applyFont="1" applyFill="1" applyProtection="1">
      <protection locked="0"/>
    </xf>
    <xf numFmtId="0" fontId="4" fillId="3" borderId="0" xfId="0" applyFont="1" applyFill="1" applyAlignment="1" applyProtection="1">
      <alignment horizontal="right"/>
      <protection locked="0"/>
    </xf>
    <xf numFmtId="0" fontId="4" fillId="2" borderId="0" xfId="0" applyFont="1" applyFill="1" applyAlignment="1" applyProtection="1">
      <alignment horizontal="right"/>
      <protection locked="0"/>
    </xf>
    <xf numFmtId="164" fontId="4" fillId="2" borderId="0" xfId="0" applyNumberFormat="1" applyFont="1" applyFill="1" applyAlignment="1" applyProtection="1">
      <alignment vertical="center"/>
      <protection locked="0"/>
    </xf>
    <xf numFmtId="10" fontId="4" fillId="2" borderId="0" xfId="2" applyNumberFormat="1" applyFont="1" applyFill="1" applyProtection="1">
      <protection locked="0"/>
    </xf>
    <xf numFmtId="164" fontId="0" fillId="2" borderId="0" xfId="0" applyNumberFormat="1" applyFill="1" applyAlignment="1" applyProtection="1">
      <alignment vertical="center"/>
      <protection locked="0"/>
    </xf>
    <xf numFmtId="10" fontId="0" fillId="2" borderId="0" xfId="2" applyNumberFormat="1" applyFont="1" applyFill="1" applyProtection="1">
      <protection locked="0"/>
    </xf>
    <xf numFmtId="0" fontId="0" fillId="5" borderId="0" xfId="0" applyFill="1" applyProtection="1">
      <protection locked="0"/>
    </xf>
    <xf numFmtId="0" fontId="0" fillId="2" borderId="0" xfId="0" applyFill="1" applyProtection="1"/>
    <xf numFmtId="0" fontId="3" fillId="4" borderId="0" xfId="0" applyFont="1" applyFill="1" applyAlignment="1" applyProtection="1">
      <alignment horizontal="center"/>
      <protection locked="0"/>
    </xf>
    <xf numFmtId="164" fontId="2" fillId="6" borderId="5" xfId="1" applyNumberFormat="1" applyFont="1" applyFill="1" applyBorder="1" applyAlignment="1" applyProtection="1">
      <alignment vertical="center"/>
      <protection locked="0"/>
    </xf>
    <xf numFmtId="14" fontId="2" fillId="6" borderId="5" xfId="0" applyNumberFormat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00022B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67233</xdr:rowOff>
    </xdr:from>
    <xdr:to>
      <xdr:col>2</xdr:col>
      <xdr:colOff>449034</xdr:colOff>
      <xdr:row>6</xdr:row>
      <xdr:rowOff>22310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112" y="631213"/>
          <a:ext cx="1464198" cy="519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1</xdr:rowOff>
    </xdr:from>
    <xdr:to>
      <xdr:col>12</xdr:col>
      <xdr:colOff>1192797</xdr:colOff>
      <xdr:row>34</xdr:row>
      <xdr:rowOff>100265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112" y="5326481"/>
          <a:ext cx="10868192" cy="1228224"/>
        </a:xfrm>
        <a:prstGeom prst="rect">
          <a:avLst/>
        </a:prstGeom>
      </xdr:spPr>
    </xdr:pic>
    <xdr:clientData/>
  </xdr:twoCellAnchor>
  <xdr:twoCellAnchor editAs="oneCell">
    <xdr:from>
      <xdr:col>0</xdr:col>
      <xdr:colOff>613717</xdr:colOff>
      <xdr:row>0</xdr:row>
      <xdr:rowOff>24670</xdr:rowOff>
    </xdr:from>
    <xdr:to>
      <xdr:col>12</xdr:col>
      <xdr:colOff>1163742</xdr:colOff>
      <xdr:row>5</xdr:row>
      <xdr:rowOff>125328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717" y="24670"/>
          <a:ext cx="10839532" cy="104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Q37"/>
  <sheetViews>
    <sheetView tabSelected="1" zoomScale="76" zoomScaleNormal="76" workbookViewId="0">
      <selection activeCell="F13" sqref="F13"/>
    </sheetView>
  </sheetViews>
  <sheetFormatPr defaultRowHeight="15" x14ac:dyDescent="0.25"/>
  <cols>
    <col min="1" max="1" width="9.140625" style="8"/>
    <col min="2" max="2" width="15.140625" style="8" customWidth="1"/>
    <col min="3" max="3" width="15.28515625" style="8" customWidth="1"/>
    <col min="4" max="4" width="14" style="8" customWidth="1"/>
    <col min="5" max="10" width="12.140625" style="8" customWidth="1"/>
    <col min="11" max="11" width="15.140625" style="8" customWidth="1"/>
    <col min="12" max="12" width="12.140625" style="8" customWidth="1"/>
    <col min="13" max="13" width="20.7109375" style="8" customWidth="1"/>
    <col min="14" max="15" width="9.140625" style="8"/>
    <col min="16" max="16" width="23.28515625" style="8" customWidth="1"/>
    <col min="17" max="17" width="10.140625" style="8" customWidth="1"/>
    <col min="18" max="16384" width="9.140625" style="8"/>
  </cols>
  <sheetData>
    <row r="5" spans="2:17" x14ac:dyDescent="0.25">
      <c r="P5" s="34" t="s">
        <v>13</v>
      </c>
    </row>
    <row r="6" spans="2:17" x14ac:dyDescent="0.25">
      <c r="P6" s="33">
        <v>10000</v>
      </c>
    </row>
    <row r="7" spans="2:17" x14ac:dyDescent="0.25">
      <c r="B7" s="35" t="s">
        <v>16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P7" s="34">
        <f>P6/4</f>
        <v>2500</v>
      </c>
    </row>
    <row r="8" spans="2:17" ht="9" customHeight="1" x14ac:dyDescent="0.25"/>
    <row r="9" spans="2:17" x14ac:dyDescent="0.25">
      <c r="B9" s="9" t="s">
        <v>0</v>
      </c>
      <c r="C9" s="9" t="s">
        <v>6</v>
      </c>
      <c r="D9" s="9" t="s">
        <v>7</v>
      </c>
      <c r="E9" s="9" t="s">
        <v>2</v>
      </c>
      <c r="F9" s="9" t="s">
        <v>5</v>
      </c>
      <c r="G9" s="9" t="s">
        <v>8</v>
      </c>
      <c r="H9" s="9" t="s">
        <v>1</v>
      </c>
      <c r="I9" s="9" t="s">
        <v>2</v>
      </c>
      <c r="J9" s="9" t="s">
        <v>3</v>
      </c>
      <c r="K9" s="9" t="s">
        <v>12</v>
      </c>
      <c r="L9" s="9" t="s">
        <v>4</v>
      </c>
      <c r="M9" s="9" t="s">
        <v>10</v>
      </c>
    </row>
    <row r="10" spans="2:17" ht="18" customHeight="1" x14ac:dyDescent="0.25">
      <c r="B10" s="10" t="s">
        <v>17</v>
      </c>
      <c r="C10" s="11">
        <v>44025</v>
      </c>
      <c r="D10" s="11">
        <v>44026</v>
      </c>
      <c r="E10" s="12">
        <v>0.88</v>
      </c>
      <c r="F10" s="12">
        <v>1</v>
      </c>
      <c r="G10" s="12"/>
      <c r="H10" s="1">
        <f>IFERROR(FLOOR(($P$7/E10),100),0)</f>
        <v>2800</v>
      </c>
      <c r="I10" s="2">
        <f t="shared" ref="I10" si="0">H10*E10</f>
        <v>2464</v>
      </c>
      <c r="J10" s="2">
        <f>IF(G10&lt;&gt;0,H10*G10,H10*F10)</f>
        <v>2800</v>
      </c>
      <c r="K10" s="2">
        <f t="shared" ref="K10" si="1">IF(J10=0,0,J10-I10)</f>
        <v>336</v>
      </c>
      <c r="L10" s="3">
        <f>IFERROR(K10/I10,0)</f>
        <v>0.13636363636363635</v>
      </c>
      <c r="M10" s="13"/>
      <c r="P10" s="14"/>
      <c r="Q10" s="14"/>
    </row>
    <row r="11" spans="2:17" ht="18" customHeight="1" x14ac:dyDescent="0.25">
      <c r="B11" s="15" t="s">
        <v>18</v>
      </c>
      <c r="C11" s="16">
        <v>44026</v>
      </c>
      <c r="D11" s="16">
        <v>44026</v>
      </c>
      <c r="E11" s="17">
        <v>0.79</v>
      </c>
      <c r="F11" s="17">
        <v>0.9</v>
      </c>
      <c r="G11" s="17"/>
      <c r="H11" s="1">
        <f t="shared" ref="H11:H25" si="2">IFERROR(FLOOR(($P$7/E11),100),0)</f>
        <v>3100</v>
      </c>
      <c r="I11" s="4">
        <f t="shared" ref="I11:I16" si="3">H11*E11</f>
        <v>2449</v>
      </c>
      <c r="J11" s="2">
        <f t="shared" ref="J11:J25" si="4">IF(G11&lt;&gt;0,H11*G11,H11*F11)</f>
        <v>2790</v>
      </c>
      <c r="K11" s="4">
        <f t="shared" ref="K11:K16" si="5">IF(J11=0,0,J11-I11)</f>
        <v>341</v>
      </c>
      <c r="L11" s="3">
        <f t="shared" ref="L11:L25" si="6">IFERROR(K11/I11,0)</f>
        <v>0.13924050632911392</v>
      </c>
      <c r="M11" s="18"/>
    </row>
    <row r="12" spans="2:17" ht="18" customHeight="1" x14ac:dyDescent="0.25">
      <c r="B12" s="15" t="s">
        <v>17</v>
      </c>
      <c r="C12" s="16">
        <v>44026</v>
      </c>
      <c r="D12" s="37"/>
      <c r="E12" s="17">
        <v>0.82</v>
      </c>
      <c r="F12" s="36"/>
      <c r="G12" s="17"/>
      <c r="H12" s="1">
        <f t="shared" si="2"/>
        <v>3000</v>
      </c>
      <c r="I12" s="4">
        <f t="shared" ref="I12:I14" si="7">H12*E12</f>
        <v>2460</v>
      </c>
      <c r="J12" s="2">
        <f t="shared" ref="J12:J14" si="8">IF(G12&lt;&gt;0,H12*G12,H12*F12)</f>
        <v>0</v>
      </c>
      <c r="K12" s="4">
        <f t="shared" ref="K12:K14" si="9">IF(J12=0,0,J12-I12)</f>
        <v>0</v>
      </c>
      <c r="L12" s="3">
        <f t="shared" ref="L12:L14" si="10">IFERROR(K12/I12,0)</f>
        <v>0</v>
      </c>
      <c r="M12" s="18"/>
    </row>
    <row r="13" spans="2:17" ht="18" customHeight="1" x14ac:dyDescent="0.25">
      <c r="B13" s="15" t="s">
        <v>17</v>
      </c>
      <c r="C13" s="16">
        <v>44026</v>
      </c>
      <c r="D13" s="37"/>
      <c r="E13" s="17">
        <v>0.66</v>
      </c>
      <c r="F13" s="36"/>
      <c r="G13" s="17"/>
      <c r="H13" s="1">
        <f t="shared" si="2"/>
        <v>3700</v>
      </c>
      <c r="I13" s="4">
        <f t="shared" si="7"/>
        <v>2442</v>
      </c>
      <c r="J13" s="2">
        <f t="shared" si="8"/>
        <v>0</v>
      </c>
      <c r="K13" s="4">
        <f t="shared" si="9"/>
        <v>0</v>
      </c>
      <c r="L13" s="3">
        <f t="shared" si="10"/>
        <v>0</v>
      </c>
      <c r="M13" s="18"/>
    </row>
    <row r="14" spans="2:17" ht="18" customHeight="1" x14ac:dyDescent="0.25">
      <c r="B14" s="15"/>
      <c r="C14" s="16"/>
      <c r="D14" s="16"/>
      <c r="E14" s="17"/>
      <c r="F14" s="17"/>
      <c r="G14" s="17"/>
      <c r="H14" s="1">
        <f t="shared" si="2"/>
        <v>0</v>
      </c>
      <c r="I14" s="4">
        <f t="shared" si="7"/>
        <v>0</v>
      </c>
      <c r="J14" s="2">
        <f t="shared" si="8"/>
        <v>0</v>
      </c>
      <c r="K14" s="4">
        <f t="shared" si="9"/>
        <v>0</v>
      </c>
      <c r="L14" s="3">
        <f t="shared" si="10"/>
        <v>0</v>
      </c>
      <c r="M14" s="18"/>
    </row>
    <row r="15" spans="2:17" ht="18" customHeight="1" x14ac:dyDescent="0.25">
      <c r="B15" s="15"/>
      <c r="C15" s="16"/>
      <c r="D15" s="16"/>
      <c r="E15" s="17"/>
      <c r="F15" s="17"/>
      <c r="G15" s="17"/>
      <c r="H15" s="1">
        <f t="shared" si="2"/>
        <v>0</v>
      </c>
      <c r="I15" s="4">
        <f t="shared" si="3"/>
        <v>0</v>
      </c>
      <c r="J15" s="2">
        <f t="shared" si="4"/>
        <v>0</v>
      </c>
      <c r="K15" s="4">
        <f t="shared" si="5"/>
        <v>0</v>
      </c>
      <c r="L15" s="3">
        <f t="shared" si="6"/>
        <v>0</v>
      </c>
      <c r="M15" s="18"/>
    </row>
    <row r="16" spans="2:17" ht="18" customHeight="1" x14ac:dyDescent="0.25">
      <c r="B16" s="15"/>
      <c r="C16" s="16"/>
      <c r="D16" s="16"/>
      <c r="E16" s="17"/>
      <c r="F16" s="17"/>
      <c r="G16" s="17"/>
      <c r="H16" s="1">
        <f t="shared" si="2"/>
        <v>0</v>
      </c>
      <c r="I16" s="4">
        <f t="shared" si="3"/>
        <v>0</v>
      </c>
      <c r="J16" s="2">
        <f t="shared" si="4"/>
        <v>0</v>
      </c>
      <c r="K16" s="4">
        <f t="shared" si="5"/>
        <v>0</v>
      </c>
      <c r="L16" s="3">
        <f t="shared" si="6"/>
        <v>0</v>
      </c>
      <c r="M16" s="18"/>
    </row>
    <row r="17" spans="2:13" s="19" customFormat="1" ht="18" customHeight="1" x14ac:dyDescent="0.25">
      <c r="B17" s="15"/>
      <c r="C17" s="16"/>
      <c r="D17" s="16"/>
      <c r="E17" s="17"/>
      <c r="F17" s="17"/>
      <c r="G17" s="17"/>
      <c r="H17" s="1">
        <f t="shared" si="2"/>
        <v>0</v>
      </c>
      <c r="I17" s="4">
        <f t="shared" ref="I17" si="11">H17*E17</f>
        <v>0</v>
      </c>
      <c r="J17" s="2">
        <f t="shared" si="4"/>
        <v>0</v>
      </c>
      <c r="K17" s="4">
        <f>IF(J17=0,0,J17-I17)</f>
        <v>0</v>
      </c>
      <c r="L17" s="3">
        <f t="shared" si="6"/>
        <v>0</v>
      </c>
      <c r="M17" s="20"/>
    </row>
    <row r="18" spans="2:13" s="19" customFormat="1" ht="18" customHeight="1" x14ac:dyDescent="0.25">
      <c r="B18" s="15"/>
      <c r="C18" s="16"/>
      <c r="D18" s="16"/>
      <c r="E18" s="17"/>
      <c r="F18" s="17"/>
      <c r="G18" s="17"/>
      <c r="H18" s="1">
        <f t="shared" si="2"/>
        <v>0</v>
      </c>
      <c r="I18" s="4">
        <f t="shared" ref="I18:I25" si="12">H18*E18</f>
        <v>0</v>
      </c>
      <c r="J18" s="2">
        <f t="shared" si="4"/>
        <v>0</v>
      </c>
      <c r="K18" s="4">
        <f>IF(J18=0,0,J18-I18)</f>
        <v>0</v>
      </c>
      <c r="L18" s="3">
        <f t="shared" si="6"/>
        <v>0</v>
      </c>
      <c r="M18" s="20"/>
    </row>
    <row r="19" spans="2:13" s="19" customFormat="1" ht="18" customHeight="1" x14ac:dyDescent="0.25">
      <c r="B19" s="15"/>
      <c r="C19" s="16"/>
      <c r="D19" s="16"/>
      <c r="E19" s="17"/>
      <c r="F19" s="17"/>
      <c r="G19" s="17"/>
      <c r="H19" s="1">
        <f t="shared" si="2"/>
        <v>0</v>
      </c>
      <c r="I19" s="4">
        <f t="shared" si="12"/>
        <v>0</v>
      </c>
      <c r="J19" s="2">
        <f t="shared" si="4"/>
        <v>0</v>
      </c>
      <c r="K19" s="4">
        <f t="shared" ref="K19:K25" si="13">IF(J19=0,0,J19-I19)</f>
        <v>0</v>
      </c>
      <c r="L19" s="3">
        <f t="shared" si="6"/>
        <v>0</v>
      </c>
      <c r="M19" s="20"/>
    </row>
    <row r="20" spans="2:13" s="19" customFormat="1" ht="18" customHeight="1" x14ac:dyDescent="0.25">
      <c r="B20" s="15"/>
      <c r="C20" s="16"/>
      <c r="D20" s="16"/>
      <c r="E20" s="17"/>
      <c r="F20" s="17"/>
      <c r="G20" s="17"/>
      <c r="H20" s="1">
        <f t="shared" si="2"/>
        <v>0</v>
      </c>
      <c r="I20" s="4">
        <f t="shared" si="12"/>
        <v>0</v>
      </c>
      <c r="J20" s="2">
        <f t="shared" si="4"/>
        <v>0</v>
      </c>
      <c r="K20" s="4">
        <f t="shared" si="13"/>
        <v>0</v>
      </c>
      <c r="L20" s="3">
        <f t="shared" si="6"/>
        <v>0</v>
      </c>
      <c r="M20" s="20"/>
    </row>
    <row r="21" spans="2:13" s="19" customFormat="1" ht="18" customHeight="1" x14ac:dyDescent="0.25">
      <c r="B21" s="15"/>
      <c r="C21" s="16"/>
      <c r="D21" s="16"/>
      <c r="E21" s="17"/>
      <c r="F21" s="17"/>
      <c r="G21" s="17"/>
      <c r="H21" s="1">
        <f t="shared" si="2"/>
        <v>0</v>
      </c>
      <c r="I21" s="4">
        <f t="shared" si="12"/>
        <v>0</v>
      </c>
      <c r="J21" s="2">
        <f t="shared" si="4"/>
        <v>0</v>
      </c>
      <c r="K21" s="4">
        <f t="shared" si="13"/>
        <v>0</v>
      </c>
      <c r="L21" s="3">
        <f t="shared" si="6"/>
        <v>0</v>
      </c>
      <c r="M21" s="20"/>
    </row>
    <row r="22" spans="2:13" s="19" customFormat="1" ht="18" customHeight="1" x14ac:dyDescent="0.25">
      <c r="B22" s="15"/>
      <c r="C22" s="16"/>
      <c r="D22" s="16"/>
      <c r="E22" s="17"/>
      <c r="F22" s="17"/>
      <c r="G22" s="17"/>
      <c r="H22" s="1">
        <f t="shared" si="2"/>
        <v>0</v>
      </c>
      <c r="I22" s="4">
        <f t="shared" si="12"/>
        <v>0</v>
      </c>
      <c r="J22" s="2">
        <f t="shared" si="4"/>
        <v>0</v>
      </c>
      <c r="K22" s="4">
        <f t="shared" si="13"/>
        <v>0</v>
      </c>
      <c r="L22" s="3">
        <f t="shared" si="6"/>
        <v>0</v>
      </c>
      <c r="M22" s="20"/>
    </row>
    <row r="23" spans="2:13" s="19" customFormat="1" ht="18" customHeight="1" x14ac:dyDescent="0.25">
      <c r="B23" s="15"/>
      <c r="C23" s="16"/>
      <c r="D23" s="16"/>
      <c r="E23" s="17"/>
      <c r="F23" s="17"/>
      <c r="G23" s="17"/>
      <c r="H23" s="1">
        <f t="shared" si="2"/>
        <v>0</v>
      </c>
      <c r="I23" s="4">
        <f t="shared" si="12"/>
        <v>0</v>
      </c>
      <c r="J23" s="2">
        <f t="shared" si="4"/>
        <v>0</v>
      </c>
      <c r="K23" s="4">
        <f t="shared" si="13"/>
        <v>0</v>
      </c>
      <c r="L23" s="3">
        <f t="shared" si="6"/>
        <v>0</v>
      </c>
      <c r="M23" s="20"/>
    </row>
    <row r="24" spans="2:13" s="19" customFormat="1" ht="18" customHeight="1" x14ac:dyDescent="0.25">
      <c r="B24" s="15"/>
      <c r="C24" s="16"/>
      <c r="D24" s="16"/>
      <c r="E24" s="17"/>
      <c r="F24" s="17"/>
      <c r="G24" s="17"/>
      <c r="H24" s="1">
        <f t="shared" si="2"/>
        <v>0</v>
      </c>
      <c r="I24" s="4">
        <f t="shared" si="12"/>
        <v>0</v>
      </c>
      <c r="J24" s="2">
        <f t="shared" si="4"/>
        <v>0</v>
      </c>
      <c r="K24" s="4">
        <f t="shared" si="13"/>
        <v>0</v>
      </c>
      <c r="L24" s="3">
        <f t="shared" si="6"/>
        <v>0</v>
      </c>
      <c r="M24" s="20"/>
    </row>
    <row r="25" spans="2:13" s="19" customFormat="1" ht="18" customHeight="1" x14ac:dyDescent="0.25">
      <c r="B25" s="15"/>
      <c r="C25" s="16"/>
      <c r="D25" s="16"/>
      <c r="E25" s="17"/>
      <c r="F25" s="17"/>
      <c r="G25" s="17"/>
      <c r="H25" s="1">
        <f t="shared" si="2"/>
        <v>0</v>
      </c>
      <c r="I25" s="4">
        <f t="shared" si="12"/>
        <v>0</v>
      </c>
      <c r="J25" s="2">
        <f t="shared" si="4"/>
        <v>0</v>
      </c>
      <c r="K25" s="4">
        <f t="shared" si="13"/>
        <v>0</v>
      </c>
      <c r="L25" s="3">
        <f t="shared" si="6"/>
        <v>0</v>
      </c>
      <c r="M25" s="20"/>
    </row>
    <row r="26" spans="2:13" x14ac:dyDescent="0.25">
      <c r="B26" s="8" t="s">
        <v>14</v>
      </c>
      <c r="C26" s="21"/>
      <c r="D26" s="21"/>
      <c r="E26" s="22"/>
      <c r="F26" s="22"/>
      <c r="G26" s="22"/>
      <c r="H26" s="23"/>
      <c r="I26" s="24"/>
      <c r="J26" s="24" t="s">
        <v>9</v>
      </c>
      <c r="K26" s="25">
        <f>P6</f>
        <v>10000</v>
      </c>
      <c r="L26" s="25"/>
    </row>
    <row r="27" spans="2:13" x14ac:dyDescent="0.25">
      <c r="E27" s="26"/>
      <c r="F27" s="22"/>
      <c r="G27" s="22"/>
      <c r="H27" s="23"/>
      <c r="I27" s="27"/>
      <c r="J27" s="5" t="s">
        <v>11</v>
      </c>
      <c r="K27" s="6">
        <f>SUM(K10:K25)</f>
        <v>677</v>
      </c>
      <c r="L27" s="7">
        <f>K27/K26</f>
        <v>6.7699999999999996E-2</v>
      </c>
    </row>
    <row r="28" spans="2:13" ht="11.25" customHeight="1" x14ac:dyDescent="0.25">
      <c r="E28" s="26"/>
      <c r="F28" s="22"/>
      <c r="G28" s="22"/>
      <c r="H28" s="23"/>
      <c r="I28" s="28"/>
      <c r="J28" s="28"/>
      <c r="K28" s="29"/>
      <c r="L28" s="30"/>
    </row>
    <row r="29" spans="2:13" x14ac:dyDescent="0.25">
      <c r="G29" s="22"/>
      <c r="H29" s="23"/>
      <c r="I29" s="14"/>
      <c r="J29" s="31"/>
      <c r="K29" s="31"/>
      <c r="L29" s="32"/>
    </row>
    <row r="37" spans="2:2" x14ac:dyDescent="0.25">
      <c r="B37" s="8" t="s">
        <v>15</v>
      </c>
    </row>
  </sheetData>
  <sheetProtection algorithmName="SHA-512" hashValue="7OXiqjosKr1eD+/VGF5MagW0HkCOB4Lppr/2xShYV/qAQzJKPNuqkpSHs3Z65eV75mt2PAlB0922lGPWodqa+w==" saltValue="iuRSnt732xibp0Dq8xSvHg==" spinCount="100000" sheet="1" formatCells="0" formatColumns="0" formatRows="0" insertColumns="0" insertRows="0" insertHyperlinks="0" deleteColumns="0" deleteRows="0" selectLockedCells="1" sort="0" autoFilter="0" pivotTables="0"/>
  <mergeCells count="1">
    <mergeCell ref="B7:M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IANDRA</dc:creator>
  <cp:lastModifiedBy>usuario</cp:lastModifiedBy>
  <dcterms:created xsi:type="dcterms:W3CDTF">2020-07-09T12:53:42Z</dcterms:created>
  <dcterms:modified xsi:type="dcterms:W3CDTF">2020-07-14T21:17:12Z</dcterms:modified>
</cp:coreProperties>
</file>