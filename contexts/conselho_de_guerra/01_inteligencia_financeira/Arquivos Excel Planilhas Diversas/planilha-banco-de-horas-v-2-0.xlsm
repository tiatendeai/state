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comments13.xml" ContentType="application/vnd.openxmlformats-officedocument.spreadsheetml.comments+xml"/>
  <Override PartName="/xl/drawings/drawing15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date1904="1" codeName="EstaPasta_de_trabalho"/>
  <mc:AlternateContent xmlns:mc="http://schemas.openxmlformats.org/markup-compatibility/2006">
    <mc:Choice Requires="x15">
      <x15ac:absPath xmlns:x15ac="http://schemas.microsoft.com/office/spreadsheetml/2010/11/ac" url="C:\Users\eduar\Desktop\"/>
    </mc:Choice>
  </mc:AlternateContent>
  <bookViews>
    <workbookView xWindow="0" yWindow="0" windowWidth="20490" windowHeight="8670"/>
  </bookViews>
  <sheets>
    <sheet name="Tutorial" sheetId="33" r:id="rId1"/>
    <sheet name="Configurações" sheetId="2" r:id="rId2"/>
    <sheet name="HorasExtras" sheetId="34" state="hidden" r:id="rId3"/>
    <sheet name="Jan" sheetId="1" r:id="rId4"/>
    <sheet name="Fev" sheetId="22" r:id="rId5"/>
    <sheet name="Mar" sheetId="23" r:id="rId6"/>
    <sheet name="Abr" sheetId="24" r:id="rId7"/>
    <sheet name="Mai" sheetId="25" r:id="rId8"/>
    <sheet name="Jun" sheetId="26" r:id="rId9"/>
    <sheet name="Jul" sheetId="27" r:id="rId10"/>
    <sheet name="Ago" sheetId="28" r:id="rId11"/>
    <sheet name="Set" sheetId="29" r:id="rId12"/>
    <sheet name="Out" sheetId="30" r:id="rId13"/>
    <sheet name="Nov" sheetId="31" r:id="rId14"/>
    <sheet name="Dez" sheetId="32" r:id="rId1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2" l="1"/>
  <c r="C13" i="22" s="1"/>
  <c r="R13" i="22"/>
  <c r="W13" i="22"/>
  <c r="N13" i="22" s="1"/>
  <c r="X13" i="22"/>
  <c r="Y13" i="22"/>
  <c r="Z13" i="22"/>
  <c r="AD13" i="22"/>
  <c r="AE13" i="22"/>
  <c r="AG13" i="22"/>
  <c r="AF13" i="22" s="1"/>
  <c r="AH13" i="22"/>
  <c r="AI13" i="22"/>
  <c r="AJ13" i="22"/>
  <c r="B14" i="22"/>
  <c r="C14" i="22" s="1"/>
  <c r="R14" i="22"/>
  <c r="W14" i="22"/>
  <c r="N14" i="22" s="1"/>
  <c r="X14" i="22"/>
  <c r="Y14" i="22"/>
  <c r="Z14" i="22"/>
  <c r="AD14" i="22"/>
  <c r="AE14" i="22"/>
  <c r="AG14" i="22"/>
  <c r="AF14" i="22" s="1"/>
  <c r="AH14" i="22"/>
  <c r="AI14" i="22"/>
  <c r="AJ14" i="22"/>
  <c r="B15" i="22"/>
  <c r="C15" i="22" s="1"/>
  <c r="R15" i="22"/>
  <c r="W15" i="22"/>
  <c r="N15" i="22" s="1"/>
  <c r="X15" i="22"/>
  <c r="Y15" i="22"/>
  <c r="Z15" i="22"/>
  <c r="AD15" i="22"/>
  <c r="AE15" i="22"/>
  <c r="AG15" i="22"/>
  <c r="AF15" i="22" s="1"/>
  <c r="AH15" i="22"/>
  <c r="AI15" i="22"/>
  <c r="AJ15" i="22"/>
  <c r="B16" i="22"/>
  <c r="C16" i="22" s="1"/>
  <c r="R16" i="22"/>
  <c r="W16" i="22"/>
  <c r="N16" i="22" s="1"/>
  <c r="X16" i="22"/>
  <c r="Y16" i="22"/>
  <c r="Z16" i="22"/>
  <c r="AD16" i="22"/>
  <c r="AE16" i="22"/>
  <c r="AG16" i="22"/>
  <c r="AF16" i="22" s="1"/>
  <c r="AH16" i="22"/>
  <c r="AI16" i="22"/>
  <c r="AJ16" i="22"/>
  <c r="B17" i="22"/>
  <c r="C17" i="22" s="1"/>
  <c r="R17" i="22"/>
  <c r="W17" i="22"/>
  <c r="N17" i="22" s="1"/>
  <c r="X17" i="22"/>
  <c r="Y17" i="22"/>
  <c r="Z17" i="22"/>
  <c r="AD17" i="22"/>
  <c r="AE17" i="22"/>
  <c r="AG17" i="22"/>
  <c r="AF17" i="22" s="1"/>
  <c r="AH17" i="22"/>
  <c r="AI17" i="22"/>
  <c r="AJ17" i="22"/>
  <c r="B18" i="22"/>
  <c r="C18" i="22" s="1"/>
  <c r="R18" i="22"/>
  <c r="W18" i="22"/>
  <c r="N18" i="22" s="1"/>
  <c r="X18" i="22"/>
  <c r="Y18" i="22"/>
  <c r="Z18" i="22"/>
  <c r="AD18" i="22"/>
  <c r="AE18" i="22"/>
  <c r="AG18" i="22"/>
  <c r="AF18" i="22" s="1"/>
  <c r="AH18" i="22"/>
  <c r="AI18" i="22"/>
  <c r="AJ18" i="22"/>
  <c r="B19" i="22"/>
  <c r="C19" i="22" s="1"/>
  <c r="R19" i="22"/>
  <c r="W19" i="22"/>
  <c r="N19" i="22" s="1"/>
  <c r="X19" i="22"/>
  <c r="Y19" i="22"/>
  <c r="Z19" i="22"/>
  <c r="AD19" i="22"/>
  <c r="AE19" i="22"/>
  <c r="AG19" i="22"/>
  <c r="AF19" i="22" s="1"/>
  <c r="AH19" i="22"/>
  <c r="AI19" i="22"/>
  <c r="AJ19" i="22"/>
  <c r="B20" i="22"/>
  <c r="C20" i="22" s="1"/>
  <c r="R20" i="22"/>
  <c r="W20" i="22"/>
  <c r="N20" i="22" s="1"/>
  <c r="X20" i="22"/>
  <c r="Y20" i="22"/>
  <c r="Z20" i="22"/>
  <c r="AD20" i="22"/>
  <c r="AE20" i="22"/>
  <c r="AG20" i="22"/>
  <c r="AF20" i="22" s="1"/>
  <c r="AH20" i="22"/>
  <c r="AI20" i="22"/>
  <c r="AJ20" i="22"/>
  <c r="B21" i="22"/>
  <c r="C21" i="22" s="1"/>
  <c r="R21" i="22"/>
  <c r="W21" i="22"/>
  <c r="N21" i="22" s="1"/>
  <c r="X21" i="22"/>
  <c r="Y21" i="22"/>
  <c r="Z21" i="22"/>
  <c r="AD21" i="22"/>
  <c r="AE21" i="22"/>
  <c r="AG21" i="22"/>
  <c r="AF21" i="22" s="1"/>
  <c r="AH21" i="22"/>
  <c r="AI21" i="22"/>
  <c r="AJ21" i="22"/>
  <c r="B22" i="22"/>
  <c r="C22" i="22" s="1"/>
  <c r="R22" i="22"/>
  <c r="W22" i="22"/>
  <c r="N22" i="22" s="1"/>
  <c r="X22" i="22"/>
  <c r="Y22" i="22"/>
  <c r="Z22" i="22"/>
  <c r="AD22" i="22"/>
  <c r="AE22" i="22"/>
  <c r="AG22" i="22"/>
  <c r="AF22" i="22" s="1"/>
  <c r="AH22" i="22"/>
  <c r="AI22" i="22"/>
  <c r="AJ22" i="22"/>
  <c r="B23" i="22"/>
  <c r="R23" i="22"/>
  <c r="W23" i="22"/>
  <c r="N23" i="22" s="1"/>
  <c r="X23" i="22"/>
  <c r="Y23" i="22"/>
  <c r="Z23" i="22"/>
  <c r="AD23" i="22"/>
  <c r="AE23" i="22"/>
  <c r="AG23" i="22"/>
  <c r="AF23" i="22" s="1"/>
  <c r="AH23" i="22"/>
  <c r="AI23" i="22"/>
  <c r="AJ23" i="22"/>
  <c r="B24" i="22"/>
  <c r="C24" i="22" s="1"/>
  <c r="R24" i="22"/>
  <c r="W24" i="22"/>
  <c r="N24" i="22" s="1"/>
  <c r="X24" i="22"/>
  <c r="Y24" i="22"/>
  <c r="Z24" i="22"/>
  <c r="AD24" i="22"/>
  <c r="AE24" i="22"/>
  <c r="AG24" i="22"/>
  <c r="AF24" i="22" s="1"/>
  <c r="AH24" i="22"/>
  <c r="AI24" i="22"/>
  <c r="AJ24" i="22"/>
  <c r="B25" i="22"/>
  <c r="R25" i="22"/>
  <c r="W25" i="22"/>
  <c r="N25" i="22" s="1"/>
  <c r="X25" i="22"/>
  <c r="Y25" i="22"/>
  <c r="Z25" i="22"/>
  <c r="AD25" i="22"/>
  <c r="AE25" i="22"/>
  <c r="AG25" i="22"/>
  <c r="AF25" i="22" s="1"/>
  <c r="AH25" i="22"/>
  <c r="AI25" i="22"/>
  <c r="AJ25" i="22"/>
  <c r="B26" i="22"/>
  <c r="C26" i="22" s="1"/>
  <c r="R26" i="22"/>
  <c r="W26" i="22"/>
  <c r="N26" i="22" s="1"/>
  <c r="X26" i="22"/>
  <c r="Y26" i="22"/>
  <c r="Z26" i="22"/>
  <c r="AD26" i="22"/>
  <c r="AE26" i="22"/>
  <c r="AG26" i="22"/>
  <c r="AF26" i="22" s="1"/>
  <c r="AH26" i="22"/>
  <c r="AI26" i="22"/>
  <c r="AJ26" i="22"/>
  <c r="B27" i="22"/>
  <c r="R27" i="22"/>
  <c r="W27" i="22"/>
  <c r="N27" i="22" s="1"/>
  <c r="X27" i="22"/>
  <c r="Y27" i="22"/>
  <c r="Z27" i="22"/>
  <c r="AD27" i="22"/>
  <c r="AE27" i="22"/>
  <c r="AG27" i="22"/>
  <c r="AH27" i="22"/>
  <c r="AI27" i="22"/>
  <c r="AJ27" i="22"/>
  <c r="B28" i="22"/>
  <c r="C28" i="22" s="1"/>
  <c r="R28" i="22"/>
  <c r="W28" i="22"/>
  <c r="N28" i="22" s="1"/>
  <c r="X28" i="22"/>
  <c r="Y28" i="22"/>
  <c r="Z28" i="22"/>
  <c r="AD28" i="22"/>
  <c r="AE28" i="22"/>
  <c r="AG28" i="22"/>
  <c r="AF28" i="22" s="1"/>
  <c r="AH28" i="22"/>
  <c r="AI28" i="22"/>
  <c r="AJ28" i="22"/>
  <c r="B29" i="22"/>
  <c r="C29" i="22" s="1"/>
  <c r="R29" i="22"/>
  <c r="W29" i="22"/>
  <c r="N29" i="22" s="1"/>
  <c r="X29" i="22"/>
  <c r="Y29" i="22"/>
  <c r="Z29" i="22"/>
  <c r="AD29" i="22"/>
  <c r="AE29" i="22"/>
  <c r="AG29" i="22"/>
  <c r="AF29" i="22" s="1"/>
  <c r="AH29" i="22"/>
  <c r="AI29" i="22"/>
  <c r="AJ29" i="22"/>
  <c r="B30" i="22"/>
  <c r="C30" i="22" s="1"/>
  <c r="R30" i="22"/>
  <c r="W30" i="22"/>
  <c r="N30" i="22" s="1"/>
  <c r="X30" i="22"/>
  <c r="Y30" i="22"/>
  <c r="Z30" i="22"/>
  <c r="AD30" i="22"/>
  <c r="AE30" i="22"/>
  <c r="AG30" i="22"/>
  <c r="AF30" i="22" s="1"/>
  <c r="AH30" i="22"/>
  <c r="AI30" i="22"/>
  <c r="AJ30" i="22"/>
  <c r="B31" i="22"/>
  <c r="C31" i="22" s="1"/>
  <c r="R31" i="22"/>
  <c r="W31" i="22"/>
  <c r="X31" i="22"/>
  <c r="Y31" i="22"/>
  <c r="Z31" i="22"/>
  <c r="AD31" i="22"/>
  <c r="AE31" i="22"/>
  <c r="AG31" i="22"/>
  <c r="AH31" i="22"/>
  <c r="AI31" i="22"/>
  <c r="AJ31" i="22"/>
  <c r="B32" i="22"/>
  <c r="C32" i="22" s="1"/>
  <c r="R32" i="22"/>
  <c r="W32" i="22"/>
  <c r="N32" i="22" s="1"/>
  <c r="X32" i="22"/>
  <c r="Y32" i="22"/>
  <c r="Z32" i="22"/>
  <c r="AD32" i="22"/>
  <c r="AE32" i="22"/>
  <c r="AG32" i="22"/>
  <c r="AH32" i="22"/>
  <c r="AI32" i="22"/>
  <c r="AJ32" i="22"/>
  <c r="B33" i="22"/>
  <c r="C33" i="22" s="1"/>
  <c r="R33" i="22"/>
  <c r="W33" i="22"/>
  <c r="X33" i="22"/>
  <c r="Y33" i="22"/>
  <c r="Z33" i="22"/>
  <c r="AD33" i="22"/>
  <c r="AE33" i="22"/>
  <c r="AG33" i="22"/>
  <c r="AH33" i="22"/>
  <c r="AI33" i="22"/>
  <c r="AJ33" i="22"/>
  <c r="B34" i="22"/>
  <c r="C34" i="22" s="1"/>
  <c r="R34" i="22"/>
  <c r="W34" i="22"/>
  <c r="X34" i="22"/>
  <c r="Y34" i="22"/>
  <c r="Z34" i="22"/>
  <c r="AD34" i="22"/>
  <c r="AE34" i="22"/>
  <c r="AG34" i="22"/>
  <c r="AH34" i="22"/>
  <c r="AI34" i="22"/>
  <c r="AJ34" i="22"/>
  <c r="B35" i="22"/>
  <c r="R35" i="22"/>
  <c r="W35" i="22"/>
  <c r="X35" i="22"/>
  <c r="Y35" i="22"/>
  <c r="Z35" i="22"/>
  <c r="AD35" i="22"/>
  <c r="AE35" i="22"/>
  <c r="AG35" i="22"/>
  <c r="AH35" i="22"/>
  <c r="AI35" i="22"/>
  <c r="AJ35" i="22"/>
  <c r="B36" i="22"/>
  <c r="C36" i="22" s="1"/>
  <c r="R36" i="22"/>
  <c r="W36" i="22"/>
  <c r="X36" i="22"/>
  <c r="Y36" i="22"/>
  <c r="Z36" i="22"/>
  <c r="AD36" i="22"/>
  <c r="AE36" i="22"/>
  <c r="AG36" i="22"/>
  <c r="AH36" i="22"/>
  <c r="AI36" i="22"/>
  <c r="AJ36" i="22"/>
  <c r="B37" i="22"/>
  <c r="C37" i="22" s="1"/>
  <c r="R37" i="22"/>
  <c r="W37" i="22"/>
  <c r="X37" i="22"/>
  <c r="Y37" i="22"/>
  <c r="Z37" i="22"/>
  <c r="AD37" i="22"/>
  <c r="AE37" i="22"/>
  <c r="AG37" i="22"/>
  <c r="AF37" i="22" s="1"/>
  <c r="AH37" i="22"/>
  <c r="AI37" i="22"/>
  <c r="AJ37" i="22"/>
  <c r="B38" i="22"/>
  <c r="C38" i="22"/>
  <c r="R38" i="22"/>
  <c r="W38" i="22"/>
  <c r="X38" i="22"/>
  <c r="Y38" i="22"/>
  <c r="Z38" i="22"/>
  <c r="AD38" i="22"/>
  <c r="AE38" i="22"/>
  <c r="AG38" i="22"/>
  <c r="AH38" i="22"/>
  <c r="AI38" i="22"/>
  <c r="AJ38" i="22"/>
  <c r="B39" i="22"/>
  <c r="R39" i="22"/>
  <c r="W39" i="22"/>
  <c r="X39" i="22"/>
  <c r="Y39" i="22"/>
  <c r="Z39" i="22"/>
  <c r="AD39" i="22"/>
  <c r="AE39" i="22"/>
  <c r="AG39" i="22"/>
  <c r="AH39" i="22"/>
  <c r="AF39" i="22" s="1"/>
  <c r="AI39" i="22"/>
  <c r="AJ39" i="22"/>
  <c r="B4" i="34"/>
  <c r="D14" i="22"/>
  <c r="D16" i="22"/>
  <c r="D18" i="22"/>
  <c r="D20" i="22"/>
  <c r="D22" i="22"/>
  <c r="D28" i="22"/>
  <c r="D32" i="22"/>
  <c r="D26" i="22"/>
  <c r="D31" i="22"/>
  <c r="D38" i="22"/>
  <c r="D24" i="22"/>
  <c r="D35" i="22"/>
  <c r="D39" i="22"/>
  <c r="AF38" i="22" l="1"/>
  <c r="N37" i="22"/>
  <c r="N36" i="22"/>
  <c r="N34" i="22"/>
  <c r="N33" i="22"/>
  <c r="N31" i="22"/>
  <c r="N39" i="22"/>
  <c r="N38" i="22"/>
  <c r="AF36" i="22"/>
  <c r="AF35" i="22"/>
  <c r="AF34" i="22"/>
  <c r="AF33" i="22"/>
  <c r="AF32" i="22"/>
  <c r="N35" i="22"/>
  <c r="AF31" i="22"/>
  <c r="AF27" i="22"/>
  <c r="U39" i="22"/>
  <c r="AC39" i="22"/>
  <c r="V39" i="22"/>
  <c r="S39" i="22"/>
  <c r="AA39" i="22"/>
  <c r="O39" i="22"/>
  <c r="T39" i="22"/>
  <c r="AB39" i="22"/>
  <c r="V35" i="22"/>
  <c r="O35" i="22"/>
  <c r="V24" i="22"/>
  <c r="AA24" i="22"/>
  <c r="O24" i="22"/>
  <c r="T24" i="22"/>
  <c r="AB24" i="22"/>
  <c r="M24" i="22" s="1"/>
  <c r="S24" i="22" s="1"/>
  <c r="P24" i="22"/>
  <c r="U24" i="22"/>
  <c r="AC24" i="22"/>
  <c r="AA38" i="22"/>
  <c r="P38" i="22" s="1"/>
  <c r="O38" i="22"/>
  <c r="T38" i="22"/>
  <c r="AB38" i="22"/>
  <c r="U38" i="22"/>
  <c r="V38" i="22"/>
  <c r="AC38" i="22"/>
  <c r="O31" i="22"/>
  <c r="T31" i="22"/>
  <c r="AB31" i="22"/>
  <c r="V31" i="22"/>
  <c r="AA31" i="22"/>
  <c r="AC31" i="22"/>
  <c r="U31" i="22"/>
  <c r="V26" i="22"/>
  <c r="AA26" i="22"/>
  <c r="P26" i="22" s="1"/>
  <c r="O26" i="22"/>
  <c r="T26" i="22"/>
  <c r="AB26" i="22"/>
  <c r="M26" i="22" s="1"/>
  <c r="S26" i="22" s="1"/>
  <c r="U26" i="22"/>
  <c r="AC26" i="22"/>
  <c r="V32" i="22"/>
  <c r="O32" i="22"/>
  <c r="T32" i="22"/>
  <c r="AB32" i="22"/>
  <c r="AC32" i="22"/>
  <c r="U32" i="22"/>
  <c r="AA32" i="22"/>
  <c r="P32" i="22" s="1"/>
  <c r="V28" i="22"/>
  <c r="O28" i="22"/>
  <c r="T28" i="22"/>
  <c r="AB28" i="22"/>
  <c r="AC28" i="22"/>
  <c r="U28" i="22"/>
  <c r="AA28" i="22"/>
  <c r="P28" i="22" s="1"/>
  <c r="V22" i="22"/>
  <c r="S22" i="22"/>
  <c r="AA22" i="22"/>
  <c r="P22" i="22" s="1"/>
  <c r="O22" i="22"/>
  <c r="T22" i="22"/>
  <c r="AB22" i="22"/>
  <c r="AC22" i="22"/>
  <c r="U22" i="22"/>
  <c r="U20" i="22"/>
  <c r="AC20" i="22"/>
  <c r="V20" i="22"/>
  <c r="AA20" i="22"/>
  <c r="P20" i="22" s="1"/>
  <c r="O20" i="22"/>
  <c r="T20" i="22"/>
  <c r="AB20" i="22"/>
  <c r="U18" i="22"/>
  <c r="AC18" i="22"/>
  <c r="V18" i="22"/>
  <c r="AA18" i="22"/>
  <c r="P18" i="22" s="1"/>
  <c r="O18" i="22"/>
  <c r="T18" i="22"/>
  <c r="AB18" i="22"/>
  <c r="M18" i="22" s="1"/>
  <c r="S18" i="22" s="1"/>
  <c r="U16" i="22"/>
  <c r="AC16" i="22"/>
  <c r="V16" i="22"/>
  <c r="S16" i="22"/>
  <c r="AA16" i="22"/>
  <c r="P16" i="22" s="1"/>
  <c r="O16" i="22"/>
  <c r="T16" i="22"/>
  <c r="AB16" i="22"/>
  <c r="U14" i="22"/>
  <c r="AC14" i="22"/>
  <c r="V14" i="22"/>
  <c r="AA14" i="22"/>
  <c r="P14" i="22" s="1"/>
  <c r="O14" i="22"/>
  <c r="T14" i="22"/>
  <c r="AB14" i="22"/>
  <c r="M14" i="22" s="1"/>
  <c r="S14" i="22" s="1"/>
  <c r="M39" i="22"/>
  <c r="M38" i="22"/>
  <c r="S38" i="22" s="1"/>
  <c r="C39" i="22"/>
  <c r="C35" i="22"/>
  <c r="AA35" i="22" s="1"/>
  <c r="P35" i="22" s="1"/>
  <c r="C23" i="22"/>
  <c r="C25" i="22"/>
  <c r="M22" i="22"/>
  <c r="M31" i="22"/>
  <c r="S31" i="22" s="1"/>
  <c r="C27" i="22"/>
  <c r="M20" i="22"/>
  <c r="S20" i="22" s="1"/>
  <c r="M16" i="22"/>
  <c r="P39" i="22"/>
  <c r="M32" i="22"/>
  <c r="S32" i="22" s="1"/>
  <c r="P31" i="22"/>
  <c r="M28" i="22"/>
  <c r="S28" i="22" s="1"/>
  <c r="A2" i="32"/>
  <c r="A2" i="31"/>
  <c r="A2" i="30"/>
  <c r="A2" i="29"/>
  <c r="A2" i="28"/>
  <c r="A2" i="27"/>
  <c r="A2" i="26"/>
  <c r="A2" i="25"/>
  <c r="A2" i="24"/>
  <c r="A2" i="23"/>
  <c r="A2" i="22"/>
  <c r="A2" i="1"/>
  <c r="AJ42" i="33"/>
  <c r="AI42" i="33"/>
  <c r="AH42" i="33"/>
  <c r="AG42" i="33"/>
  <c r="AE42" i="33"/>
  <c r="AD42" i="33"/>
  <c r="Z42" i="33"/>
  <c r="Y42" i="33"/>
  <c r="X42" i="33"/>
  <c r="W42" i="33"/>
  <c r="R42" i="33"/>
  <c r="B42" i="33"/>
  <c r="C42" i="33" s="1"/>
  <c r="AJ41" i="33"/>
  <c r="AI41" i="33"/>
  <c r="AH41" i="33"/>
  <c r="AG41" i="33"/>
  <c r="AE41" i="33"/>
  <c r="AD41" i="33"/>
  <c r="Z41" i="33"/>
  <c r="Y41" i="33"/>
  <c r="X41" i="33"/>
  <c r="W41" i="33"/>
  <c r="R41" i="33"/>
  <c r="B41" i="33"/>
  <c r="C41" i="33" s="1"/>
  <c r="AJ40" i="33"/>
  <c r="AI40" i="33"/>
  <c r="AH40" i="33"/>
  <c r="AE40" i="33"/>
  <c r="Z40" i="33"/>
  <c r="Y40" i="33"/>
  <c r="X40" i="33"/>
  <c r="B40" i="33"/>
  <c r="C40" i="33" s="1"/>
  <c r="AJ39" i="33"/>
  <c r="AI39" i="33"/>
  <c r="AH39" i="33"/>
  <c r="AE39" i="33"/>
  <c r="Z39" i="33"/>
  <c r="Y39" i="33"/>
  <c r="X39" i="33"/>
  <c r="B39" i="33"/>
  <c r="C39" i="33" s="1"/>
  <c r="AJ38" i="33"/>
  <c r="AI38" i="33"/>
  <c r="AH38" i="33"/>
  <c r="AE38" i="33"/>
  <c r="Z38" i="33"/>
  <c r="Y38" i="33"/>
  <c r="X38" i="33"/>
  <c r="B38" i="33"/>
  <c r="C38" i="33" s="1"/>
  <c r="AJ37" i="33"/>
  <c r="AI37" i="33"/>
  <c r="AH37" i="33"/>
  <c r="AE37" i="33"/>
  <c r="Z37" i="33"/>
  <c r="Y37" i="33"/>
  <c r="X37" i="33"/>
  <c r="B37" i="33"/>
  <c r="C37" i="33" s="1"/>
  <c r="AJ36" i="33"/>
  <c r="AI36" i="33"/>
  <c r="AH36" i="33"/>
  <c r="AE36" i="33"/>
  <c r="Z36" i="33"/>
  <c r="Y36" i="33"/>
  <c r="X36" i="33"/>
  <c r="B36" i="33"/>
  <c r="C36" i="33" s="1"/>
  <c r="AJ35" i="33"/>
  <c r="AI35" i="33"/>
  <c r="AH35" i="33"/>
  <c r="AE35" i="33"/>
  <c r="Z35" i="33"/>
  <c r="Y35" i="33"/>
  <c r="X35" i="33"/>
  <c r="B35" i="33"/>
  <c r="C35" i="33" s="1"/>
  <c r="AJ34" i="33"/>
  <c r="AI34" i="33"/>
  <c r="AH34" i="33"/>
  <c r="AG34" i="33"/>
  <c r="AE34" i="33"/>
  <c r="AD34" i="33"/>
  <c r="Z34" i="33"/>
  <c r="Y34" i="33"/>
  <c r="X34" i="33"/>
  <c r="W34" i="33"/>
  <c r="R34" i="33"/>
  <c r="B34" i="33"/>
  <c r="AJ33" i="33"/>
  <c r="AI33" i="33"/>
  <c r="AH33" i="33"/>
  <c r="AE33" i="33"/>
  <c r="Z33" i="33"/>
  <c r="Y33" i="33"/>
  <c r="X33" i="33"/>
  <c r="B33" i="33"/>
  <c r="C33" i="33" s="1"/>
  <c r="AJ32" i="33"/>
  <c r="AI32" i="33"/>
  <c r="AH32" i="33"/>
  <c r="AE32" i="33"/>
  <c r="Z32" i="33"/>
  <c r="Y32" i="33"/>
  <c r="X32" i="33"/>
  <c r="B32" i="33"/>
  <c r="AJ31" i="33"/>
  <c r="AI31" i="33"/>
  <c r="AH31" i="33"/>
  <c r="AE31" i="33"/>
  <c r="Z31" i="33"/>
  <c r="Y31" i="33"/>
  <c r="X31" i="33"/>
  <c r="B31" i="33"/>
  <c r="C31" i="33" s="1"/>
  <c r="AJ30" i="33"/>
  <c r="AI30" i="33"/>
  <c r="AH30" i="33"/>
  <c r="AE30" i="33"/>
  <c r="Z30" i="33"/>
  <c r="Y30" i="33"/>
  <c r="X30" i="33"/>
  <c r="B30" i="33"/>
  <c r="AJ29" i="33"/>
  <c r="AI29" i="33"/>
  <c r="AH29" i="33"/>
  <c r="AE29" i="33"/>
  <c r="Z29" i="33"/>
  <c r="Y29" i="33"/>
  <c r="X29" i="33"/>
  <c r="B29" i="33"/>
  <c r="C29" i="33" s="1"/>
  <c r="AJ28" i="33"/>
  <c r="AI28" i="33"/>
  <c r="AH28" i="33"/>
  <c r="AG28" i="33"/>
  <c r="AE28" i="33"/>
  <c r="AD28" i="33"/>
  <c r="Z28" i="33"/>
  <c r="Y28" i="33"/>
  <c r="X28" i="33"/>
  <c r="W28" i="33"/>
  <c r="R28" i="33"/>
  <c r="B28" i="33"/>
  <c r="AJ27" i="33"/>
  <c r="AI27" i="33"/>
  <c r="AH27" i="33"/>
  <c r="AE27" i="33"/>
  <c r="Z27" i="33"/>
  <c r="Y27" i="33"/>
  <c r="X27" i="33"/>
  <c r="B27" i="33"/>
  <c r="C27" i="33" s="1"/>
  <c r="AJ26" i="33"/>
  <c r="AI26" i="33"/>
  <c r="AH26" i="33"/>
  <c r="AE26" i="33"/>
  <c r="Z26" i="33"/>
  <c r="Y26" i="33"/>
  <c r="X26" i="33"/>
  <c r="B26" i="33"/>
  <c r="AJ25" i="33"/>
  <c r="AI25" i="33"/>
  <c r="AH25" i="33"/>
  <c r="AE25" i="33"/>
  <c r="Z25" i="33"/>
  <c r="Y25" i="33"/>
  <c r="X25" i="33"/>
  <c r="B25" i="33"/>
  <c r="C25" i="33" s="1"/>
  <c r="AJ24" i="33"/>
  <c r="AI24" i="33"/>
  <c r="AH24" i="33"/>
  <c r="AE24" i="33"/>
  <c r="Z24" i="33"/>
  <c r="Y24" i="33"/>
  <c r="X24" i="33"/>
  <c r="B24" i="33"/>
  <c r="C24" i="33" s="1"/>
  <c r="AJ23" i="33"/>
  <c r="AI23" i="33"/>
  <c r="AH23" i="33"/>
  <c r="AE23" i="33"/>
  <c r="Z23" i="33"/>
  <c r="Y23" i="33"/>
  <c r="AD23" i="33" s="1"/>
  <c r="W23" i="33" s="1"/>
  <c r="X23" i="33"/>
  <c r="B23" i="33"/>
  <c r="C23" i="33" s="1"/>
  <c r="AJ22" i="33"/>
  <c r="AI22" i="33"/>
  <c r="Z22" i="33"/>
  <c r="Y22" i="33"/>
  <c r="B22" i="33"/>
  <c r="C22" i="33" s="1"/>
  <c r="AJ21" i="33"/>
  <c r="AI21" i="33"/>
  <c r="AH21" i="33"/>
  <c r="AG21" i="33"/>
  <c r="AE21" i="33"/>
  <c r="AD21" i="33"/>
  <c r="Z21" i="33"/>
  <c r="Y21" i="33"/>
  <c r="X21" i="33"/>
  <c r="W21" i="33"/>
  <c r="R21" i="33"/>
  <c r="B21" i="33"/>
  <c r="C21" i="33" s="1"/>
  <c r="AJ20" i="33"/>
  <c r="AI20" i="33"/>
  <c r="AH20" i="33"/>
  <c r="AG20" i="33"/>
  <c r="AE20" i="33"/>
  <c r="AD20" i="33"/>
  <c r="Z20" i="33"/>
  <c r="Y20" i="33"/>
  <c r="X20" i="33"/>
  <c r="W20" i="33"/>
  <c r="R20" i="33"/>
  <c r="B20" i="33"/>
  <c r="C20" i="33" s="1"/>
  <c r="AJ19" i="33"/>
  <c r="AI19" i="33"/>
  <c r="AH19" i="33"/>
  <c r="AE19" i="33"/>
  <c r="Z19" i="33"/>
  <c r="Y19" i="33"/>
  <c r="X19" i="33"/>
  <c r="B19" i="33"/>
  <c r="C19" i="33" s="1"/>
  <c r="AJ18" i="33"/>
  <c r="AI18" i="33"/>
  <c r="AH18" i="33"/>
  <c r="AE18" i="33"/>
  <c r="Z18" i="33"/>
  <c r="Y18" i="33"/>
  <c r="X18" i="33"/>
  <c r="B18" i="33"/>
  <c r="AJ17" i="33"/>
  <c r="AI17" i="33"/>
  <c r="AH17" i="33"/>
  <c r="AE17" i="33"/>
  <c r="Z17" i="33"/>
  <c r="Y17" i="33"/>
  <c r="X17" i="33"/>
  <c r="B17" i="33"/>
  <c r="C17" i="33" s="1"/>
  <c r="AJ16" i="33"/>
  <c r="AI16" i="33"/>
  <c r="AH16" i="33"/>
  <c r="AE16" i="33"/>
  <c r="Z16" i="33"/>
  <c r="Y16" i="33"/>
  <c r="X16" i="33"/>
  <c r="B16" i="33"/>
  <c r="AJ15" i="33"/>
  <c r="AI15" i="33"/>
  <c r="AH15" i="33"/>
  <c r="AE15" i="33"/>
  <c r="Z15" i="33"/>
  <c r="Y15" i="33"/>
  <c r="X15" i="33"/>
  <c r="B15" i="33"/>
  <c r="C15" i="33" s="1"/>
  <c r="AJ14" i="33"/>
  <c r="AI14" i="33"/>
  <c r="AH14" i="33"/>
  <c r="AG14" i="33"/>
  <c r="AE14" i="33"/>
  <c r="AD14" i="33"/>
  <c r="Z14" i="33"/>
  <c r="Y14" i="33"/>
  <c r="X14" i="33"/>
  <c r="W14" i="33"/>
  <c r="R14" i="33"/>
  <c r="B14" i="33"/>
  <c r="AJ13" i="33"/>
  <c r="AI13" i="33"/>
  <c r="AH13" i="33"/>
  <c r="AG13" i="33"/>
  <c r="AE13" i="33"/>
  <c r="AD13" i="33"/>
  <c r="Z13" i="33"/>
  <c r="Y13" i="33"/>
  <c r="X13" i="33"/>
  <c r="W13" i="33"/>
  <c r="R13" i="33"/>
  <c r="B13" i="33"/>
  <c r="C13" i="33" s="1"/>
  <c r="AJ12" i="33"/>
  <c r="AI12" i="33"/>
  <c r="AH12" i="33"/>
  <c r="AE12" i="33"/>
  <c r="Z12" i="33"/>
  <c r="Y12" i="33"/>
  <c r="X12" i="33"/>
  <c r="B12" i="33"/>
  <c r="G8" i="33"/>
  <c r="D36" i="22"/>
  <c r="D37" i="22"/>
  <c r="D29" i="22"/>
  <c r="D30" i="22"/>
  <c r="D23" i="22"/>
  <c r="D33" i="22"/>
  <c r="D17" i="22"/>
  <c r="D13" i="22"/>
  <c r="D19" i="22"/>
  <c r="D21" i="22"/>
  <c r="D34" i="22"/>
  <c r="D25" i="22"/>
  <c r="D27" i="22"/>
  <c r="D15" i="22"/>
  <c r="D27" i="33"/>
  <c r="D29" i="33"/>
  <c r="D21" i="33"/>
  <c r="D37" i="33"/>
  <c r="D41" i="33"/>
  <c r="D25" i="33"/>
  <c r="D19" i="33"/>
  <c r="D39" i="33"/>
  <c r="D13" i="33"/>
  <c r="D15" i="33"/>
  <c r="D14" i="33"/>
  <c r="U35" i="22" l="1"/>
  <c r="AB35" i="22"/>
  <c r="M35" i="22" s="1"/>
  <c r="S15" i="22"/>
  <c r="AA15" i="22"/>
  <c r="P15" i="22" s="1"/>
  <c r="O15" i="22"/>
  <c r="T15" i="22"/>
  <c r="AB15" i="22"/>
  <c r="M15" i="22" s="1"/>
  <c r="U15" i="22"/>
  <c r="AC15" i="22"/>
  <c r="V15" i="22"/>
  <c r="O27" i="22"/>
  <c r="T27" i="22"/>
  <c r="AB27" i="22"/>
  <c r="M27" i="22" s="1"/>
  <c r="U27" i="22"/>
  <c r="AC27" i="22"/>
  <c r="V27" i="22"/>
  <c r="S27" i="22"/>
  <c r="AA27" i="22"/>
  <c r="P27" i="22" s="1"/>
  <c r="O25" i="22"/>
  <c r="T25" i="22"/>
  <c r="AB25" i="22"/>
  <c r="M25" i="22" s="1"/>
  <c r="U25" i="22"/>
  <c r="AC25" i="22"/>
  <c r="V25" i="22"/>
  <c r="S25" i="22"/>
  <c r="AA25" i="22"/>
  <c r="P25" i="22" s="1"/>
  <c r="O34" i="22"/>
  <c r="T34" i="22"/>
  <c r="AB34" i="22"/>
  <c r="M34" i="22" s="1"/>
  <c r="U34" i="22"/>
  <c r="V34" i="22"/>
  <c r="AA34" i="22"/>
  <c r="P34" i="22" s="1"/>
  <c r="S34" i="22"/>
  <c r="AC34" i="22"/>
  <c r="AA21" i="22"/>
  <c r="P21" i="22" s="1"/>
  <c r="O21" i="22"/>
  <c r="T21" i="22"/>
  <c r="AB21" i="22"/>
  <c r="M21" i="22" s="1"/>
  <c r="S21" i="22" s="1"/>
  <c r="U21" i="22"/>
  <c r="AC21" i="22"/>
  <c r="V21" i="22"/>
  <c r="AA19" i="22"/>
  <c r="P19" i="22" s="1"/>
  <c r="O19" i="22"/>
  <c r="T19" i="22"/>
  <c r="AB19" i="22"/>
  <c r="M19" i="22" s="1"/>
  <c r="S19" i="22" s="1"/>
  <c r="U19" i="22"/>
  <c r="AC19" i="22"/>
  <c r="V19" i="22"/>
  <c r="AA13" i="22"/>
  <c r="P13" i="22" s="1"/>
  <c r="O13" i="22"/>
  <c r="T13" i="22"/>
  <c r="AB13" i="22"/>
  <c r="M13" i="22" s="1"/>
  <c r="S13" i="22" s="1"/>
  <c r="U13" i="22"/>
  <c r="AC13" i="22"/>
  <c r="V13" i="22"/>
  <c r="AA17" i="22"/>
  <c r="P17" i="22" s="1"/>
  <c r="O17" i="22"/>
  <c r="T17" i="22"/>
  <c r="AB17" i="22"/>
  <c r="M17" i="22" s="1"/>
  <c r="S17" i="22" s="1"/>
  <c r="U17" i="22"/>
  <c r="AC17" i="22"/>
  <c r="V17" i="22"/>
  <c r="O33" i="22"/>
  <c r="T33" i="22"/>
  <c r="AB33" i="22"/>
  <c r="M33" i="22" s="1"/>
  <c r="S33" i="22" s="1"/>
  <c r="V33" i="22"/>
  <c r="U33" i="22"/>
  <c r="P33" i="22"/>
  <c r="AA33" i="22"/>
  <c r="AC33" i="22"/>
  <c r="O23" i="22"/>
  <c r="T23" i="22"/>
  <c r="AB23" i="22"/>
  <c r="M23" i="22" s="1"/>
  <c r="U23" i="22"/>
  <c r="AC23" i="22"/>
  <c r="V23" i="22"/>
  <c r="S23" i="22"/>
  <c r="AA23" i="22"/>
  <c r="P23" i="22" s="1"/>
  <c r="V30" i="22"/>
  <c r="O30" i="22"/>
  <c r="T30" i="22"/>
  <c r="AB30" i="22"/>
  <c r="M30" i="22" s="1"/>
  <c r="U30" i="22"/>
  <c r="AA30" i="22"/>
  <c r="AC30" i="22"/>
  <c r="S30" i="22"/>
  <c r="P30" i="22"/>
  <c r="O29" i="22"/>
  <c r="T29" i="22"/>
  <c r="AB29" i="22"/>
  <c r="M29" i="22" s="1"/>
  <c r="V29" i="22"/>
  <c r="S29" i="22"/>
  <c r="U29" i="22"/>
  <c r="AA29" i="22"/>
  <c r="P29" i="22" s="1"/>
  <c r="AC29" i="22"/>
  <c r="U37" i="22"/>
  <c r="AC37" i="22"/>
  <c r="V37" i="22"/>
  <c r="S37" i="22"/>
  <c r="AA37" i="22"/>
  <c r="P37" i="22" s="1"/>
  <c r="O37" i="22"/>
  <c r="T37" i="22"/>
  <c r="AB37" i="22"/>
  <c r="M37" i="22" s="1"/>
  <c r="O36" i="22"/>
  <c r="T36" i="22"/>
  <c r="AB36" i="22"/>
  <c r="M36" i="22" s="1"/>
  <c r="S36" i="22"/>
  <c r="AC36" i="22"/>
  <c r="U36" i="22"/>
  <c r="V36" i="22"/>
  <c r="AA36" i="22"/>
  <c r="P36" i="22" s="1"/>
  <c r="AC35" i="22"/>
  <c r="S35" i="22"/>
  <c r="T35" i="22"/>
  <c r="N28" i="33"/>
  <c r="N42" i="33"/>
  <c r="N14" i="33"/>
  <c r="AF42" i="33"/>
  <c r="N20" i="33"/>
  <c r="AF14" i="33"/>
  <c r="AF28" i="33"/>
  <c r="N13" i="33"/>
  <c r="N41" i="33"/>
  <c r="N23" i="33"/>
  <c r="AG23" i="33"/>
  <c r="AF23" i="33" s="1"/>
  <c r="R23" i="33" s="1"/>
  <c r="O23" i="33" s="1"/>
  <c r="AF13" i="33"/>
  <c r="N21" i="33"/>
  <c r="AF34" i="33"/>
  <c r="AF20" i="33"/>
  <c r="AF21" i="33"/>
  <c r="N34" i="33"/>
  <c r="AF41" i="33"/>
  <c r="O14" i="33"/>
  <c r="V14" i="33"/>
  <c r="V13" i="33"/>
  <c r="AB13" i="33"/>
  <c r="M13" i="33" s="1"/>
  <c r="T13" i="33"/>
  <c r="O13" i="33"/>
  <c r="AA13" i="33"/>
  <c r="P13" i="33" s="1"/>
  <c r="S13" i="33"/>
  <c r="AC13" i="33"/>
  <c r="U13" i="33"/>
  <c r="AA15" i="33"/>
  <c r="V15" i="33"/>
  <c r="AC15" i="33"/>
  <c r="U15" i="33"/>
  <c r="AB15" i="33"/>
  <c r="AD15" i="33" s="1"/>
  <c r="T15" i="33"/>
  <c r="V19" i="33"/>
  <c r="AB19" i="33"/>
  <c r="T19" i="33"/>
  <c r="AA19" i="33"/>
  <c r="U19" i="33"/>
  <c r="AC19" i="33"/>
  <c r="AB23" i="33"/>
  <c r="T23" i="33"/>
  <c r="AA23" i="33"/>
  <c r="U23" i="33"/>
  <c r="AC23" i="33"/>
  <c r="V27" i="33"/>
  <c r="AB27" i="33"/>
  <c r="AD27" i="33" s="1"/>
  <c r="AA27" i="33"/>
  <c r="P27" i="33" s="1"/>
  <c r="S27" i="33"/>
  <c r="AC27" i="33"/>
  <c r="U27" i="33"/>
  <c r="V29" i="33"/>
  <c r="AB29" i="33"/>
  <c r="T29" i="33"/>
  <c r="AA29" i="33"/>
  <c r="AC29" i="33"/>
  <c r="U29" i="33"/>
  <c r="V21" i="33"/>
  <c r="AB21" i="33"/>
  <c r="M21" i="33" s="1"/>
  <c r="T21" i="33"/>
  <c r="O21" i="33"/>
  <c r="S21" i="33"/>
  <c r="AC21" i="33"/>
  <c r="AA21" i="33"/>
  <c r="P21" i="33" s="1"/>
  <c r="U21" i="33"/>
  <c r="V25" i="33"/>
  <c r="AB25" i="33"/>
  <c r="AD25" i="33" s="1"/>
  <c r="T25" i="33"/>
  <c r="AC25" i="33"/>
  <c r="AA25" i="33"/>
  <c r="U25" i="33"/>
  <c r="V37" i="33"/>
  <c r="AC37" i="33"/>
  <c r="U37" i="33"/>
  <c r="AB37" i="33"/>
  <c r="AD37" i="33" s="1"/>
  <c r="T37" i="33"/>
  <c r="AA37" i="33"/>
  <c r="V39" i="33"/>
  <c r="AC39" i="33"/>
  <c r="U39" i="33"/>
  <c r="AB39" i="33"/>
  <c r="T39" i="33"/>
  <c r="AA39" i="33"/>
  <c r="V41" i="33"/>
  <c r="AC41" i="33"/>
  <c r="U41" i="33"/>
  <c r="AB41" i="33"/>
  <c r="M41" i="33" s="1"/>
  <c r="T41" i="33"/>
  <c r="O41" i="33"/>
  <c r="AA41" i="33"/>
  <c r="P41" i="33" s="1"/>
  <c r="S41" i="33"/>
  <c r="C26" i="33"/>
  <c r="C28" i="33"/>
  <c r="C30" i="33"/>
  <c r="C32" i="33"/>
  <c r="C34" i="33"/>
  <c r="C12" i="33"/>
  <c r="C14" i="33"/>
  <c r="AC14" i="33" s="1"/>
  <c r="C16" i="33"/>
  <c r="C18" i="33"/>
  <c r="D31" i="33"/>
  <c r="D33" i="33"/>
  <c r="D35" i="33"/>
  <c r="D30" i="33"/>
  <c r="D20" i="33"/>
  <c r="D36" i="33"/>
  <c r="D32" i="33"/>
  <c r="D22" i="33"/>
  <c r="D26" i="33"/>
  <c r="D24" i="33"/>
  <c r="D16" i="33"/>
  <c r="D40" i="33"/>
  <c r="D28" i="33"/>
  <c r="D17" i="33"/>
  <c r="D18" i="33"/>
  <c r="D42" i="33"/>
  <c r="D34" i="33"/>
  <c r="D12" i="33"/>
  <c r="D38" i="33"/>
  <c r="AA17" i="33" l="1"/>
  <c r="P17" i="33" s="1"/>
  <c r="AB17" i="33"/>
  <c r="AD17" i="33" s="1"/>
  <c r="AG17" i="33" s="1"/>
  <c r="AF17" i="33" s="1"/>
  <c r="R17" i="33" s="1"/>
  <c r="O17" i="33" s="1"/>
  <c r="S7" i="33" s="1"/>
  <c r="V17" i="33"/>
  <c r="T17" i="33"/>
  <c r="U17" i="33"/>
  <c r="AC17" i="33"/>
  <c r="AC35" i="33"/>
  <c r="S35" i="33"/>
  <c r="V35" i="33"/>
  <c r="AB35" i="33"/>
  <c r="AD35" i="33" s="1"/>
  <c r="T35" i="33"/>
  <c r="AA35" i="33"/>
  <c r="P35" i="33" s="1"/>
  <c r="T33" i="33"/>
  <c r="AA33" i="33"/>
  <c r="P33" i="33" s="1"/>
  <c r="V33" i="33"/>
  <c r="AC33" i="33"/>
  <c r="AB33" i="33"/>
  <c r="U33" i="33"/>
  <c r="V31" i="33"/>
  <c r="AC31" i="33"/>
  <c r="AB31" i="33"/>
  <c r="U31" i="33"/>
  <c r="T31" i="33"/>
  <c r="AA31" i="33"/>
  <c r="P31" i="33" s="1"/>
  <c r="V23" i="33"/>
  <c r="W37" i="33"/>
  <c r="N37" i="33" s="1"/>
  <c r="AG37" i="33"/>
  <c r="AF37" i="33" s="1"/>
  <c r="R37" i="33" s="1"/>
  <c r="O37" i="33" s="1"/>
  <c r="W15" i="33"/>
  <c r="N15" i="33" s="1"/>
  <c r="AG15" i="33"/>
  <c r="AF15" i="33" s="1"/>
  <c r="R15" i="33" s="1"/>
  <c r="M15" i="33" s="1"/>
  <c r="S15" i="33" s="1"/>
  <c r="AG27" i="33"/>
  <c r="AF27" i="33" s="1"/>
  <c r="R27" i="33" s="1"/>
  <c r="M27" i="33" s="1"/>
  <c r="W27" i="33"/>
  <c r="N27" i="33" s="1"/>
  <c r="W25" i="33"/>
  <c r="N25" i="33" s="1"/>
  <c r="AG25" i="33"/>
  <c r="AF25" i="33" s="1"/>
  <c r="R25" i="33" s="1"/>
  <c r="O25" i="33" s="1"/>
  <c r="AD33" i="33"/>
  <c r="AD39" i="33"/>
  <c r="AD19" i="33"/>
  <c r="AD31" i="33"/>
  <c r="AD29" i="33"/>
  <c r="M23" i="33"/>
  <c r="S23" i="33" s="1"/>
  <c r="P19" i="33"/>
  <c r="P23" i="33"/>
  <c r="P15" i="33"/>
  <c r="P39" i="33"/>
  <c r="P37" i="33"/>
  <c r="P25" i="33"/>
  <c r="AB18" i="33"/>
  <c r="V18" i="33"/>
  <c r="U18" i="33"/>
  <c r="T18" i="33"/>
  <c r="AC18" i="33"/>
  <c r="AA18" i="33"/>
  <c r="AB32" i="33"/>
  <c r="T32" i="33"/>
  <c r="V32" i="33"/>
  <c r="AC32" i="33"/>
  <c r="U32" i="33"/>
  <c r="AA32" i="33"/>
  <c r="AB24" i="33"/>
  <c r="T24" i="33"/>
  <c r="V24" i="33"/>
  <c r="AC24" i="33"/>
  <c r="AA24" i="33"/>
  <c r="P24" i="33" s="1"/>
  <c r="U24" i="33"/>
  <c r="AC12" i="33"/>
  <c r="U12" i="33"/>
  <c r="AB12" i="33"/>
  <c r="T12" i="33"/>
  <c r="O12" i="33"/>
  <c r="S12" i="33"/>
  <c r="AA12" i="33"/>
  <c r="P12" i="33"/>
  <c r="AB42" i="33"/>
  <c r="M42" i="33" s="1"/>
  <c r="T42" i="33"/>
  <c r="O42" i="33"/>
  <c r="AA42" i="33"/>
  <c r="P42" i="33" s="1"/>
  <c r="S42" i="33"/>
  <c r="V42" i="33"/>
  <c r="AC42" i="33"/>
  <c r="U42" i="33"/>
  <c r="AB38" i="33"/>
  <c r="T38" i="33"/>
  <c r="AA38" i="33"/>
  <c r="V38" i="33"/>
  <c r="AC38" i="33"/>
  <c r="U38" i="33"/>
  <c r="AC16" i="33"/>
  <c r="U16" i="33"/>
  <c r="AB16" i="33"/>
  <c r="T16" i="33"/>
  <c r="AA16" i="33"/>
  <c r="V16" i="33"/>
  <c r="AB34" i="33"/>
  <c r="M34" i="33" s="1"/>
  <c r="T34" i="33"/>
  <c r="O34" i="33"/>
  <c r="V34" i="33"/>
  <c r="AC34" i="33"/>
  <c r="U34" i="33"/>
  <c r="AA34" i="33"/>
  <c r="P34" i="33" s="1"/>
  <c r="S34" i="33"/>
  <c r="AB26" i="33"/>
  <c r="T26" i="33"/>
  <c r="V26" i="33"/>
  <c r="AC26" i="33"/>
  <c r="U26" i="33"/>
  <c r="AA26" i="33"/>
  <c r="P26" i="33" s="1"/>
  <c r="AB28" i="33"/>
  <c r="M28" i="33" s="1"/>
  <c r="T28" i="33"/>
  <c r="O28" i="33"/>
  <c r="V28" i="33"/>
  <c r="AC28" i="33"/>
  <c r="U28" i="33"/>
  <c r="AA28" i="33"/>
  <c r="P28" i="33" s="1"/>
  <c r="S28" i="33"/>
  <c r="AB20" i="33"/>
  <c r="M20" i="33" s="1"/>
  <c r="T20" i="33"/>
  <c r="O20" i="33"/>
  <c r="V20" i="33"/>
  <c r="AC20" i="33"/>
  <c r="AA20" i="33"/>
  <c r="P20" i="33" s="1"/>
  <c r="U20" i="33"/>
  <c r="S20" i="33"/>
  <c r="AB40" i="33"/>
  <c r="T40" i="33"/>
  <c r="AA40" i="33"/>
  <c r="P40" i="33" s="1"/>
  <c r="V40" i="33"/>
  <c r="AC40" i="33"/>
  <c r="U40" i="33"/>
  <c r="AB36" i="33"/>
  <c r="T36" i="33"/>
  <c r="AA36" i="33"/>
  <c r="P36" i="33" s="1"/>
  <c r="V36" i="33"/>
  <c r="AC36" i="33"/>
  <c r="U36" i="33"/>
  <c r="AB22" i="33"/>
  <c r="T22" i="33"/>
  <c r="V22" i="33"/>
  <c r="U22" i="33"/>
  <c r="AC22" i="33"/>
  <c r="AA22" i="33"/>
  <c r="P22" i="33" s="1"/>
  <c r="AB30" i="33"/>
  <c r="T30" i="33"/>
  <c r="V30" i="33"/>
  <c r="AC30" i="33"/>
  <c r="U30" i="33"/>
  <c r="AA30" i="33"/>
  <c r="P30" i="33" s="1"/>
  <c r="P29" i="33"/>
  <c r="S14" i="33"/>
  <c r="T14" i="33"/>
  <c r="AB14" i="33"/>
  <c r="M14" i="33" s="1"/>
  <c r="AA14" i="33"/>
  <c r="P14" i="33" s="1"/>
  <c r="U14" i="33"/>
  <c r="AJ42" i="32"/>
  <c r="AI42" i="32"/>
  <c r="AH42" i="32"/>
  <c r="AG42" i="32"/>
  <c r="AE42" i="32"/>
  <c r="AD42" i="32"/>
  <c r="Z42" i="32"/>
  <c r="Y42" i="32"/>
  <c r="X42" i="32"/>
  <c r="W42" i="32"/>
  <c r="R42" i="32"/>
  <c r="B42" i="32"/>
  <c r="C42" i="32" s="1"/>
  <c r="AJ41" i="32"/>
  <c r="AI41" i="32"/>
  <c r="AH41" i="32"/>
  <c r="AG41" i="32"/>
  <c r="AE41" i="32"/>
  <c r="AD41" i="32"/>
  <c r="Z41" i="32"/>
  <c r="Y41" i="32"/>
  <c r="X41" i="32"/>
  <c r="W41" i="32"/>
  <c r="R41" i="32"/>
  <c r="B41" i="32"/>
  <c r="C41" i="32" s="1"/>
  <c r="AJ40" i="32"/>
  <c r="AI40" i="32"/>
  <c r="AH40" i="32"/>
  <c r="AG40" i="32"/>
  <c r="AE40" i="32"/>
  <c r="AD40" i="32"/>
  <c r="Z40" i="32"/>
  <c r="Y40" i="32"/>
  <c r="X40" i="32"/>
  <c r="W40" i="32"/>
  <c r="R40" i="32"/>
  <c r="B40" i="32"/>
  <c r="C40" i="32" s="1"/>
  <c r="AJ39" i="32"/>
  <c r="AI39" i="32"/>
  <c r="AH39" i="32"/>
  <c r="AG39" i="32"/>
  <c r="AE39" i="32"/>
  <c r="AD39" i="32"/>
  <c r="Z39" i="32"/>
  <c r="Y39" i="32"/>
  <c r="X39" i="32"/>
  <c r="W39" i="32"/>
  <c r="R39" i="32"/>
  <c r="B39" i="32"/>
  <c r="C39" i="32" s="1"/>
  <c r="AJ38" i="32"/>
  <c r="AI38" i="32"/>
  <c r="AH38" i="32"/>
  <c r="AG38" i="32"/>
  <c r="AE38" i="32"/>
  <c r="AD38" i="32"/>
  <c r="Z38" i="32"/>
  <c r="Y38" i="32"/>
  <c r="X38" i="32"/>
  <c r="W38" i="32"/>
  <c r="R38" i="32"/>
  <c r="B38" i="32"/>
  <c r="C38" i="32" s="1"/>
  <c r="AJ37" i="32"/>
  <c r="AI37" i="32"/>
  <c r="AH37" i="32"/>
  <c r="AG37" i="32"/>
  <c r="AE37" i="32"/>
  <c r="AD37" i="32"/>
  <c r="Z37" i="32"/>
  <c r="Y37" i="32"/>
  <c r="X37" i="32"/>
  <c r="W37" i="32"/>
  <c r="R37" i="32"/>
  <c r="B37" i="32"/>
  <c r="C37" i="32" s="1"/>
  <c r="AJ36" i="32"/>
  <c r="AI36" i="32"/>
  <c r="AH36" i="32"/>
  <c r="AG36" i="32"/>
  <c r="AE36" i="32"/>
  <c r="AD36" i="32"/>
  <c r="Z36" i="32"/>
  <c r="Y36" i="32"/>
  <c r="X36" i="32"/>
  <c r="W36" i="32"/>
  <c r="R36" i="32"/>
  <c r="B36" i="32"/>
  <c r="C36" i="32" s="1"/>
  <c r="AJ35" i="32"/>
  <c r="AI35" i="32"/>
  <c r="AH35" i="32"/>
  <c r="AG35" i="32"/>
  <c r="AE35" i="32"/>
  <c r="AD35" i="32"/>
  <c r="Z35" i="32"/>
  <c r="Y35" i="32"/>
  <c r="X35" i="32"/>
  <c r="W35" i="32"/>
  <c r="R35" i="32"/>
  <c r="B35" i="32"/>
  <c r="C35" i="32" s="1"/>
  <c r="AJ34" i="32"/>
  <c r="AI34" i="32"/>
  <c r="AH34" i="32"/>
  <c r="AG34" i="32"/>
  <c r="AE34" i="32"/>
  <c r="AD34" i="32"/>
  <c r="Z34" i="32"/>
  <c r="Y34" i="32"/>
  <c r="X34" i="32"/>
  <c r="W34" i="32"/>
  <c r="R34" i="32"/>
  <c r="B34" i="32"/>
  <c r="AJ33" i="32"/>
  <c r="AI33" i="32"/>
  <c r="AH33" i="32"/>
  <c r="AG33" i="32"/>
  <c r="AE33" i="32"/>
  <c r="AD33" i="32"/>
  <c r="Z33" i="32"/>
  <c r="Y33" i="32"/>
  <c r="X33" i="32"/>
  <c r="W33" i="32"/>
  <c r="R33" i="32"/>
  <c r="B33" i="32"/>
  <c r="C33" i="32" s="1"/>
  <c r="AJ32" i="32"/>
  <c r="AI32" i="32"/>
  <c r="AH32" i="32"/>
  <c r="AG32" i="32"/>
  <c r="AE32" i="32"/>
  <c r="AD32" i="32"/>
  <c r="Z32" i="32"/>
  <c r="Y32" i="32"/>
  <c r="X32" i="32"/>
  <c r="W32" i="32"/>
  <c r="R32" i="32"/>
  <c r="B32" i="32"/>
  <c r="AJ31" i="32"/>
  <c r="AI31" i="32"/>
  <c r="AH31" i="32"/>
  <c r="AG31" i="32"/>
  <c r="AE31" i="32"/>
  <c r="AD31" i="32"/>
  <c r="Z31" i="32"/>
  <c r="Y31" i="32"/>
  <c r="X31" i="32"/>
  <c r="W31" i="32"/>
  <c r="R31" i="32"/>
  <c r="B31" i="32"/>
  <c r="C31" i="32" s="1"/>
  <c r="AJ30" i="32"/>
  <c r="AI30" i="32"/>
  <c r="AH30" i="32"/>
  <c r="AG30" i="32"/>
  <c r="AE30" i="32"/>
  <c r="AD30" i="32"/>
  <c r="Z30" i="32"/>
  <c r="Y30" i="32"/>
  <c r="X30" i="32"/>
  <c r="W30" i="32"/>
  <c r="R30" i="32"/>
  <c r="B30" i="32"/>
  <c r="AJ29" i="32"/>
  <c r="AI29" i="32"/>
  <c r="AH29" i="32"/>
  <c r="AG29" i="32"/>
  <c r="AE29" i="32"/>
  <c r="AD29" i="32"/>
  <c r="Z29" i="32"/>
  <c r="Y29" i="32"/>
  <c r="X29" i="32"/>
  <c r="W29" i="32"/>
  <c r="R29" i="32"/>
  <c r="B29" i="32"/>
  <c r="C29" i="32" s="1"/>
  <c r="AJ28" i="32"/>
  <c r="AI28" i="32"/>
  <c r="AH28" i="32"/>
  <c r="AG28" i="32"/>
  <c r="AE28" i="32"/>
  <c r="AD28" i="32"/>
  <c r="Z28" i="32"/>
  <c r="Y28" i="32"/>
  <c r="X28" i="32"/>
  <c r="W28" i="32"/>
  <c r="R28" i="32"/>
  <c r="B28" i="32"/>
  <c r="AJ27" i="32"/>
  <c r="AI27" i="32"/>
  <c r="AH27" i="32"/>
  <c r="AG27" i="32"/>
  <c r="AE27" i="32"/>
  <c r="AD27" i="32"/>
  <c r="Z27" i="32"/>
  <c r="Y27" i="32"/>
  <c r="X27" i="32"/>
  <c r="W27" i="32"/>
  <c r="R27" i="32"/>
  <c r="B27" i="32"/>
  <c r="C27" i="32" s="1"/>
  <c r="AJ26" i="32"/>
  <c r="AI26" i="32"/>
  <c r="AH26" i="32"/>
  <c r="AG26" i="32"/>
  <c r="AE26" i="32"/>
  <c r="AD26" i="32"/>
  <c r="Z26" i="32"/>
  <c r="Y26" i="32"/>
  <c r="X26" i="32"/>
  <c r="W26" i="32"/>
  <c r="R26" i="32"/>
  <c r="B26" i="32"/>
  <c r="AJ25" i="32"/>
  <c r="AI25" i="32"/>
  <c r="AH25" i="32"/>
  <c r="AG25" i="32"/>
  <c r="AE25" i="32"/>
  <c r="AD25" i="32"/>
  <c r="Z25" i="32"/>
  <c r="Y25" i="32"/>
  <c r="X25" i="32"/>
  <c r="W25" i="32"/>
  <c r="R25" i="32"/>
  <c r="B25" i="32"/>
  <c r="C25" i="32" s="1"/>
  <c r="AJ24" i="32"/>
  <c r="AI24" i="32"/>
  <c r="AH24" i="32"/>
  <c r="AG24" i="32"/>
  <c r="AE24" i="32"/>
  <c r="AD24" i="32"/>
  <c r="Z24" i="32"/>
  <c r="Y24" i="32"/>
  <c r="X24" i="32"/>
  <c r="W24" i="32"/>
  <c r="R24" i="32"/>
  <c r="B24" i="32"/>
  <c r="AJ23" i="32"/>
  <c r="AI23" i="32"/>
  <c r="AH23" i="32"/>
  <c r="AG23" i="32"/>
  <c r="AE23" i="32"/>
  <c r="AD23" i="32"/>
  <c r="Z23" i="32"/>
  <c r="Y23" i="32"/>
  <c r="X23" i="32"/>
  <c r="W23" i="32"/>
  <c r="R23" i="32"/>
  <c r="B23" i="32"/>
  <c r="C23" i="32" s="1"/>
  <c r="AJ22" i="32"/>
  <c r="AI22" i="32"/>
  <c r="AH22" i="32"/>
  <c r="AG22" i="32"/>
  <c r="AE22" i="32"/>
  <c r="AD22" i="32"/>
  <c r="Z22" i="32"/>
  <c r="Y22" i="32"/>
  <c r="X22" i="32"/>
  <c r="W22" i="32"/>
  <c r="R22" i="32"/>
  <c r="B22" i="32"/>
  <c r="AJ21" i="32"/>
  <c r="AI21" i="32"/>
  <c r="AH21" i="32"/>
  <c r="AG21" i="32"/>
  <c r="AE21" i="32"/>
  <c r="AD21" i="32"/>
  <c r="Z21" i="32"/>
  <c r="Y21" i="32"/>
  <c r="X21" i="32"/>
  <c r="W21" i="32"/>
  <c r="R21" i="32"/>
  <c r="B21" i="32"/>
  <c r="C21" i="32" s="1"/>
  <c r="AJ20" i="32"/>
  <c r="AI20" i="32"/>
  <c r="AH20" i="32"/>
  <c r="AG20" i="32"/>
  <c r="AE20" i="32"/>
  <c r="AD20" i="32"/>
  <c r="Z20" i="32"/>
  <c r="Y20" i="32"/>
  <c r="X20" i="32"/>
  <c r="W20" i="32"/>
  <c r="R20" i="32"/>
  <c r="B20" i="32"/>
  <c r="C20" i="32" s="1"/>
  <c r="AJ19" i="32"/>
  <c r="AI19" i="32"/>
  <c r="AH19" i="32"/>
  <c r="AG19" i="32"/>
  <c r="AE19" i="32"/>
  <c r="AD19" i="32"/>
  <c r="Z19" i="32"/>
  <c r="Y19" i="32"/>
  <c r="X19" i="32"/>
  <c r="W19" i="32"/>
  <c r="R19" i="32"/>
  <c r="B19" i="32"/>
  <c r="AJ18" i="32"/>
  <c r="AI18" i="32"/>
  <c r="AH18" i="32"/>
  <c r="AG18" i="32"/>
  <c r="AE18" i="32"/>
  <c r="AD18" i="32"/>
  <c r="Z18" i="32"/>
  <c r="Y18" i="32"/>
  <c r="X18" i="32"/>
  <c r="W18" i="32"/>
  <c r="R18" i="32"/>
  <c r="B18" i="32"/>
  <c r="AJ17" i="32"/>
  <c r="AI17" i="32"/>
  <c r="AH17" i="32"/>
  <c r="AG17" i="32"/>
  <c r="AE17" i="32"/>
  <c r="AD17" i="32"/>
  <c r="Z17" i="32"/>
  <c r="Y17" i="32"/>
  <c r="X17" i="32"/>
  <c r="W17" i="32"/>
  <c r="R17" i="32"/>
  <c r="B17" i="32"/>
  <c r="C17" i="32" s="1"/>
  <c r="AJ16" i="32"/>
  <c r="AI16" i="32"/>
  <c r="AH16" i="32"/>
  <c r="AG16" i="32"/>
  <c r="AE16" i="32"/>
  <c r="AD16" i="32"/>
  <c r="Z16" i="32"/>
  <c r="Y16" i="32"/>
  <c r="X16" i="32"/>
  <c r="W16" i="32"/>
  <c r="R16" i="32"/>
  <c r="B16" i="32"/>
  <c r="AJ15" i="32"/>
  <c r="AI15" i="32"/>
  <c r="AH15" i="32"/>
  <c r="AG15" i="32"/>
  <c r="AE15" i="32"/>
  <c r="AD15" i="32"/>
  <c r="Z15" i="32"/>
  <c r="Y15" i="32"/>
  <c r="X15" i="32"/>
  <c r="W15" i="32"/>
  <c r="R15" i="32"/>
  <c r="B15" i="32"/>
  <c r="C15" i="32" s="1"/>
  <c r="AJ14" i="32"/>
  <c r="AI14" i="32"/>
  <c r="AH14" i="32"/>
  <c r="AG14" i="32"/>
  <c r="AE14" i="32"/>
  <c r="AD14" i="32"/>
  <c r="Z14" i="32"/>
  <c r="Y14" i="32"/>
  <c r="X14" i="32"/>
  <c r="W14" i="32"/>
  <c r="R14" i="32"/>
  <c r="B14" i="32"/>
  <c r="AJ13" i="32"/>
  <c r="AI13" i="32"/>
  <c r="AH13" i="32"/>
  <c r="AG13" i="32"/>
  <c r="AE13" i="32"/>
  <c r="AD13" i="32"/>
  <c r="Z13" i="32"/>
  <c r="Y13" i="32"/>
  <c r="X13" i="32"/>
  <c r="W13" i="32"/>
  <c r="R13" i="32"/>
  <c r="B13" i="32"/>
  <c r="C13" i="32" s="1"/>
  <c r="AJ12" i="32"/>
  <c r="AI12" i="32"/>
  <c r="AH12" i="32"/>
  <c r="AE12" i="32"/>
  <c r="AD12" i="32"/>
  <c r="AG12" i="32" s="1"/>
  <c r="Z12" i="32"/>
  <c r="Y12" i="32"/>
  <c r="X12" i="32"/>
  <c r="B12" i="32"/>
  <c r="G8" i="32"/>
  <c r="AJ41" i="31"/>
  <c r="AI41" i="31"/>
  <c r="AH41" i="31"/>
  <c r="AG41" i="31"/>
  <c r="AE41" i="31"/>
  <c r="AD41" i="31"/>
  <c r="Z41" i="31"/>
  <c r="Y41" i="31"/>
  <c r="X41" i="31"/>
  <c r="W41" i="31"/>
  <c r="R41" i="31"/>
  <c r="B41" i="31"/>
  <c r="C41" i="31" s="1"/>
  <c r="AJ40" i="31"/>
  <c r="AI40" i="31"/>
  <c r="AH40" i="31"/>
  <c r="AG40" i="31"/>
  <c r="AE40" i="31"/>
  <c r="AD40" i="31"/>
  <c r="Z40" i="31"/>
  <c r="Y40" i="31"/>
  <c r="X40" i="31"/>
  <c r="W40" i="31"/>
  <c r="R40" i="31"/>
  <c r="B40" i="31"/>
  <c r="AJ39" i="31"/>
  <c r="AI39" i="31"/>
  <c r="AH39" i="31"/>
  <c r="AG39" i="31"/>
  <c r="AE39" i="31"/>
  <c r="AD39" i="31"/>
  <c r="Z39" i="31"/>
  <c r="Y39" i="31"/>
  <c r="X39" i="31"/>
  <c r="W39" i="31"/>
  <c r="R39" i="31"/>
  <c r="B39" i="31"/>
  <c r="C39" i="31" s="1"/>
  <c r="AJ38" i="31"/>
  <c r="AI38" i="31"/>
  <c r="AH38" i="31"/>
  <c r="AG38" i="31"/>
  <c r="AE38" i="31"/>
  <c r="AD38" i="31"/>
  <c r="Z38" i="31"/>
  <c r="Y38" i="31"/>
  <c r="X38" i="31"/>
  <c r="W38" i="31"/>
  <c r="R38" i="31"/>
  <c r="B38" i="31"/>
  <c r="AJ37" i="31"/>
  <c r="AI37" i="31"/>
  <c r="AH37" i="31"/>
  <c r="AG37" i="31"/>
  <c r="AE37" i="31"/>
  <c r="AD37" i="31"/>
  <c r="Z37" i="31"/>
  <c r="Y37" i="31"/>
  <c r="X37" i="31"/>
  <c r="W37" i="31"/>
  <c r="R37" i="31"/>
  <c r="B37" i="31"/>
  <c r="C37" i="31" s="1"/>
  <c r="AJ36" i="31"/>
  <c r="AI36" i="31"/>
  <c r="AH36" i="31"/>
  <c r="AG36" i="31"/>
  <c r="AE36" i="31"/>
  <c r="AD36" i="31"/>
  <c r="Z36" i="31"/>
  <c r="Y36" i="31"/>
  <c r="X36" i="31"/>
  <c r="W36" i="31"/>
  <c r="R36" i="31"/>
  <c r="B36" i="31"/>
  <c r="AJ35" i="31"/>
  <c r="AI35" i="31"/>
  <c r="AH35" i="31"/>
  <c r="AG35" i="31"/>
  <c r="AE35" i="31"/>
  <c r="AD35" i="31"/>
  <c r="Z35" i="31"/>
  <c r="Y35" i="31"/>
  <c r="X35" i="31"/>
  <c r="W35" i="31"/>
  <c r="R35" i="31"/>
  <c r="B35" i="31"/>
  <c r="C35" i="31" s="1"/>
  <c r="AJ34" i="31"/>
  <c r="AI34" i="31"/>
  <c r="AH34" i="31"/>
  <c r="AG34" i="31"/>
  <c r="AE34" i="31"/>
  <c r="AD34" i="31"/>
  <c r="Z34" i="31"/>
  <c r="Y34" i="31"/>
  <c r="X34" i="31"/>
  <c r="W34" i="31"/>
  <c r="R34" i="31"/>
  <c r="B34" i="31"/>
  <c r="AJ33" i="31"/>
  <c r="AI33" i="31"/>
  <c r="AH33" i="31"/>
  <c r="AG33" i="31"/>
  <c r="AE33" i="31"/>
  <c r="AD33" i="31"/>
  <c r="Z33" i="31"/>
  <c r="Y33" i="31"/>
  <c r="X33" i="31"/>
  <c r="W33" i="31"/>
  <c r="R33" i="31"/>
  <c r="B33" i="31"/>
  <c r="C33" i="31" s="1"/>
  <c r="AJ32" i="31"/>
  <c r="AI32" i="31"/>
  <c r="AH32" i="31"/>
  <c r="AG32" i="31"/>
  <c r="AE32" i="31"/>
  <c r="AD32" i="31"/>
  <c r="Z32" i="31"/>
  <c r="Y32" i="31"/>
  <c r="X32" i="31"/>
  <c r="W32" i="31"/>
  <c r="R32" i="31"/>
  <c r="B32" i="31"/>
  <c r="AJ31" i="31"/>
  <c r="AI31" i="31"/>
  <c r="AH31" i="31"/>
  <c r="AG31" i="31"/>
  <c r="AE31" i="31"/>
  <c r="AD31" i="31"/>
  <c r="Z31" i="31"/>
  <c r="Y31" i="31"/>
  <c r="X31" i="31"/>
  <c r="W31" i="31"/>
  <c r="R31" i="31"/>
  <c r="B31" i="31"/>
  <c r="C31" i="31" s="1"/>
  <c r="AJ30" i="31"/>
  <c r="AI30" i="31"/>
  <c r="AH30" i="31"/>
  <c r="AG30" i="31"/>
  <c r="AE30" i="31"/>
  <c r="AD30" i="31"/>
  <c r="Z30" i="31"/>
  <c r="Y30" i="31"/>
  <c r="X30" i="31"/>
  <c r="W30" i="31"/>
  <c r="R30" i="31"/>
  <c r="B30" i="31"/>
  <c r="AJ29" i="31"/>
  <c r="AI29" i="31"/>
  <c r="AH29" i="31"/>
  <c r="AG29" i="31"/>
  <c r="AE29" i="31"/>
  <c r="AD29" i="31"/>
  <c r="Z29" i="31"/>
  <c r="Y29" i="31"/>
  <c r="X29" i="31"/>
  <c r="W29" i="31"/>
  <c r="R29" i="31"/>
  <c r="B29" i="31"/>
  <c r="C29" i="31" s="1"/>
  <c r="AJ28" i="31"/>
  <c r="AI28" i="31"/>
  <c r="AH28" i="31"/>
  <c r="AG28" i="31"/>
  <c r="AE28" i="31"/>
  <c r="AD28" i="31"/>
  <c r="Z28" i="31"/>
  <c r="Y28" i="31"/>
  <c r="X28" i="31"/>
  <c r="W28" i="31"/>
  <c r="R28" i="31"/>
  <c r="B28" i="31"/>
  <c r="AJ27" i="31"/>
  <c r="AI27" i="31"/>
  <c r="AH27" i="31"/>
  <c r="AG27" i="31"/>
  <c r="AE27" i="31"/>
  <c r="AD27" i="31"/>
  <c r="Z27" i="31"/>
  <c r="Y27" i="31"/>
  <c r="X27" i="31"/>
  <c r="W27" i="31"/>
  <c r="R27" i="31"/>
  <c r="B27" i="31"/>
  <c r="C27" i="31" s="1"/>
  <c r="AJ26" i="31"/>
  <c r="AI26" i="31"/>
  <c r="AH26" i="31"/>
  <c r="AG26" i="31"/>
  <c r="AE26" i="31"/>
  <c r="AD26" i="31"/>
  <c r="Z26" i="31"/>
  <c r="Y26" i="31"/>
  <c r="X26" i="31"/>
  <c r="W26" i="31"/>
  <c r="R26" i="31"/>
  <c r="B26" i="31"/>
  <c r="C26" i="31" s="1"/>
  <c r="AJ25" i="31"/>
  <c r="AI25" i="31"/>
  <c r="AH25" i="31"/>
  <c r="AG25" i="31"/>
  <c r="AE25" i="31"/>
  <c r="AD25" i="31"/>
  <c r="Z25" i="31"/>
  <c r="Y25" i="31"/>
  <c r="X25" i="31"/>
  <c r="W25" i="31"/>
  <c r="R25" i="31"/>
  <c r="B25" i="31"/>
  <c r="C25" i="31" s="1"/>
  <c r="AJ24" i="31"/>
  <c r="AI24" i="31"/>
  <c r="AH24" i="31"/>
  <c r="AG24" i="31"/>
  <c r="AE24" i="31"/>
  <c r="AD24" i="31"/>
  <c r="Z24" i="31"/>
  <c r="Y24" i="31"/>
  <c r="X24" i="31"/>
  <c r="W24" i="31"/>
  <c r="R24" i="31"/>
  <c r="B24" i="31"/>
  <c r="C24" i="31" s="1"/>
  <c r="AJ23" i="31"/>
  <c r="AI23" i="31"/>
  <c r="AH23" i="31"/>
  <c r="AG23" i="31"/>
  <c r="AE23" i="31"/>
  <c r="AD23" i="31"/>
  <c r="Z23" i="31"/>
  <c r="Y23" i="31"/>
  <c r="X23" i="31"/>
  <c r="W23" i="31"/>
  <c r="R23" i="31"/>
  <c r="B23" i="31"/>
  <c r="C23" i="31" s="1"/>
  <c r="AJ22" i="31"/>
  <c r="AI22" i="31"/>
  <c r="AH22" i="31"/>
  <c r="AG22" i="31"/>
  <c r="AE22" i="31"/>
  <c r="AD22" i="31"/>
  <c r="Z22" i="31"/>
  <c r="Y22" i="31"/>
  <c r="X22" i="31"/>
  <c r="W22" i="31"/>
  <c r="R22" i="31"/>
  <c r="B22" i="31"/>
  <c r="C22" i="31" s="1"/>
  <c r="AJ21" i="31"/>
  <c r="AI21" i="31"/>
  <c r="AH21" i="31"/>
  <c r="AG21" i="31"/>
  <c r="AE21" i="31"/>
  <c r="AD21" i="31"/>
  <c r="Z21" i="31"/>
  <c r="Y21" i="31"/>
  <c r="X21" i="31"/>
  <c r="W21" i="31"/>
  <c r="R21" i="31"/>
  <c r="B21" i="31"/>
  <c r="C21" i="31" s="1"/>
  <c r="AJ20" i="31"/>
  <c r="AI20" i="31"/>
  <c r="AH20" i="31"/>
  <c r="AG20" i="31"/>
  <c r="AE20" i="31"/>
  <c r="AD20" i="31"/>
  <c r="Z20" i="31"/>
  <c r="Y20" i="31"/>
  <c r="X20" i="31"/>
  <c r="W20" i="31"/>
  <c r="R20" i="31"/>
  <c r="B20" i="31"/>
  <c r="C20" i="31" s="1"/>
  <c r="AJ19" i="31"/>
  <c r="AI19" i="31"/>
  <c r="AH19" i="31"/>
  <c r="AG19" i="31"/>
  <c r="AE19" i="31"/>
  <c r="AD19" i="31"/>
  <c r="Z19" i="31"/>
  <c r="Y19" i="31"/>
  <c r="X19" i="31"/>
  <c r="W19" i="31"/>
  <c r="R19" i="31"/>
  <c r="B19" i="31"/>
  <c r="C19" i="31" s="1"/>
  <c r="AJ18" i="31"/>
  <c r="AI18" i="31"/>
  <c r="AH18" i="31"/>
  <c r="AG18" i="31"/>
  <c r="AE18" i="31"/>
  <c r="AD18" i="31"/>
  <c r="Z18" i="31"/>
  <c r="Y18" i="31"/>
  <c r="X18" i="31"/>
  <c r="W18" i="31"/>
  <c r="R18" i="31"/>
  <c r="B18" i="31"/>
  <c r="C18" i="31" s="1"/>
  <c r="AJ17" i="31"/>
  <c r="AI17" i="31"/>
  <c r="AH17" i="31"/>
  <c r="AG17" i="31"/>
  <c r="AE17" i="31"/>
  <c r="AD17" i="31"/>
  <c r="Z17" i="31"/>
  <c r="Y17" i="31"/>
  <c r="X17" i="31"/>
  <c r="W17" i="31"/>
  <c r="R17" i="31"/>
  <c r="B17" i="31"/>
  <c r="C17" i="31" s="1"/>
  <c r="AJ16" i="31"/>
  <c r="AI16" i="31"/>
  <c r="AH16" i="31"/>
  <c r="AG16" i="31"/>
  <c r="AE16" i="31"/>
  <c r="AD16" i="31"/>
  <c r="Z16" i="31"/>
  <c r="Y16" i="31"/>
  <c r="X16" i="31"/>
  <c r="W16" i="31"/>
  <c r="R16" i="31"/>
  <c r="B16" i="31"/>
  <c r="C16" i="31" s="1"/>
  <c r="AJ15" i="31"/>
  <c r="AI15" i="31"/>
  <c r="AH15" i="31"/>
  <c r="AG15" i="31"/>
  <c r="AE15" i="31"/>
  <c r="AD15" i="31"/>
  <c r="Z15" i="31"/>
  <c r="Y15" i="31"/>
  <c r="X15" i="31"/>
  <c r="W15" i="31"/>
  <c r="R15" i="31"/>
  <c r="B15" i="31"/>
  <c r="C15" i="31" s="1"/>
  <c r="AJ14" i="31"/>
  <c r="AI14" i="31"/>
  <c r="AH14" i="31"/>
  <c r="AG14" i="31"/>
  <c r="AE14" i="31"/>
  <c r="AD14" i="31"/>
  <c r="Z14" i="31"/>
  <c r="Y14" i="31"/>
  <c r="X14" i="31"/>
  <c r="W14" i="31"/>
  <c r="R14" i="31"/>
  <c r="B14" i="31"/>
  <c r="C14" i="31" s="1"/>
  <c r="AJ13" i="31"/>
  <c r="AI13" i="31"/>
  <c r="AH13" i="31"/>
  <c r="AG13" i="31"/>
  <c r="AE13" i="31"/>
  <c r="AD13" i="31"/>
  <c r="Z13" i="31"/>
  <c r="Y13" i="31"/>
  <c r="X13" i="31"/>
  <c r="W13" i="31"/>
  <c r="R13" i="31"/>
  <c r="B13" i="31"/>
  <c r="C13" i="31" s="1"/>
  <c r="AJ12" i="31"/>
  <c r="AI12" i="31"/>
  <c r="AH12" i="31"/>
  <c r="AG12" i="31"/>
  <c r="AE12" i="31"/>
  <c r="AD12" i="31"/>
  <c r="Z12" i="31"/>
  <c r="Y12" i="31"/>
  <c r="X12" i="31"/>
  <c r="W12" i="31"/>
  <c r="R12" i="31"/>
  <c r="B12" i="31"/>
  <c r="C12" i="31" s="1"/>
  <c r="G8" i="31"/>
  <c r="AJ42" i="30"/>
  <c r="AI42" i="30"/>
  <c r="AH42" i="30"/>
  <c r="AG42" i="30"/>
  <c r="AE42" i="30"/>
  <c r="AD42" i="30"/>
  <c r="Z42" i="30"/>
  <c r="Y42" i="30"/>
  <c r="X42" i="30"/>
  <c r="W42" i="30"/>
  <c r="R42" i="30"/>
  <c r="B42" i="30"/>
  <c r="C42" i="30" s="1"/>
  <c r="AJ41" i="30"/>
  <c r="AI41" i="30"/>
  <c r="AH41" i="30"/>
  <c r="AG41" i="30"/>
  <c r="AE41" i="30"/>
  <c r="AD41" i="30"/>
  <c r="Z41" i="30"/>
  <c r="Y41" i="30"/>
  <c r="X41" i="30"/>
  <c r="W41" i="30"/>
  <c r="R41" i="30"/>
  <c r="B41" i="30"/>
  <c r="C41" i="30" s="1"/>
  <c r="AJ40" i="30"/>
  <c r="AI40" i="30"/>
  <c r="AH40" i="30"/>
  <c r="AG40" i="30"/>
  <c r="AE40" i="30"/>
  <c r="AD40" i="30"/>
  <c r="Z40" i="30"/>
  <c r="Y40" i="30"/>
  <c r="X40" i="30"/>
  <c r="W40" i="30"/>
  <c r="R40" i="30"/>
  <c r="B40" i="30"/>
  <c r="C40" i="30" s="1"/>
  <c r="AJ39" i="30"/>
  <c r="AI39" i="30"/>
  <c r="AH39" i="30"/>
  <c r="AG39" i="30"/>
  <c r="AE39" i="30"/>
  <c r="AD39" i="30"/>
  <c r="Z39" i="30"/>
  <c r="Y39" i="30"/>
  <c r="X39" i="30"/>
  <c r="W39" i="30"/>
  <c r="R39" i="30"/>
  <c r="B39" i="30"/>
  <c r="C39" i="30" s="1"/>
  <c r="AJ38" i="30"/>
  <c r="AI38" i="30"/>
  <c r="AH38" i="30"/>
  <c r="AG38" i="30"/>
  <c r="AE38" i="30"/>
  <c r="AD38" i="30"/>
  <c r="Z38" i="30"/>
  <c r="Y38" i="30"/>
  <c r="X38" i="30"/>
  <c r="W38" i="30"/>
  <c r="R38" i="30"/>
  <c r="B38" i="30"/>
  <c r="C38" i="30" s="1"/>
  <c r="AJ37" i="30"/>
  <c r="AI37" i="30"/>
  <c r="AH37" i="30"/>
  <c r="AG37" i="30"/>
  <c r="AE37" i="30"/>
  <c r="AD37" i="30"/>
  <c r="Z37" i="30"/>
  <c r="Y37" i="30"/>
  <c r="X37" i="30"/>
  <c r="W37" i="30"/>
  <c r="R37" i="30"/>
  <c r="B37" i="30"/>
  <c r="C37" i="30" s="1"/>
  <c r="AJ36" i="30"/>
  <c r="AI36" i="30"/>
  <c r="AH36" i="30"/>
  <c r="AG36" i="30"/>
  <c r="AE36" i="30"/>
  <c r="AD36" i="30"/>
  <c r="Z36" i="30"/>
  <c r="Y36" i="30"/>
  <c r="X36" i="30"/>
  <c r="W36" i="30"/>
  <c r="R36" i="30"/>
  <c r="B36" i="30"/>
  <c r="C36" i="30" s="1"/>
  <c r="AJ35" i="30"/>
  <c r="AI35" i="30"/>
  <c r="AH35" i="30"/>
  <c r="AG35" i="30"/>
  <c r="AE35" i="30"/>
  <c r="AD35" i="30"/>
  <c r="Z35" i="30"/>
  <c r="Y35" i="30"/>
  <c r="X35" i="30"/>
  <c r="W35" i="30"/>
  <c r="R35" i="30"/>
  <c r="B35" i="30"/>
  <c r="C35" i="30" s="1"/>
  <c r="AJ34" i="30"/>
  <c r="AI34" i="30"/>
  <c r="AH34" i="30"/>
  <c r="AG34" i="30"/>
  <c r="AE34" i="30"/>
  <c r="AD34" i="30"/>
  <c r="Z34" i="30"/>
  <c r="Y34" i="30"/>
  <c r="X34" i="30"/>
  <c r="W34" i="30"/>
  <c r="R34" i="30"/>
  <c r="B34" i="30"/>
  <c r="C34" i="30" s="1"/>
  <c r="AJ33" i="30"/>
  <c r="AI33" i="30"/>
  <c r="AH33" i="30"/>
  <c r="AG33" i="30"/>
  <c r="AE33" i="30"/>
  <c r="AD33" i="30"/>
  <c r="Z33" i="30"/>
  <c r="Y33" i="30"/>
  <c r="X33" i="30"/>
  <c r="W33" i="30"/>
  <c r="R33" i="30"/>
  <c r="B33" i="30"/>
  <c r="C33" i="30" s="1"/>
  <c r="AJ32" i="30"/>
  <c r="AI32" i="30"/>
  <c r="AH32" i="30"/>
  <c r="AG32" i="30"/>
  <c r="AE32" i="30"/>
  <c r="AD32" i="30"/>
  <c r="Z32" i="30"/>
  <c r="Y32" i="30"/>
  <c r="X32" i="30"/>
  <c r="W32" i="30"/>
  <c r="R32" i="30"/>
  <c r="B32" i="30"/>
  <c r="C32" i="30" s="1"/>
  <c r="AJ31" i="30"/>
  <c r="AI31" i="30"/>
  <c r="AH31" i="30"/>
  <c r="AG31" i="30"/>
  <c r="AE31" i="30"/>
  <c r="AD31" i="30"/>
  <c r="Z31" i="30"/>
  <c r="Y31" i="30"/>
  <c r="X31" i="30"/>
  <c r="W31" i="30"/>
  <c r="R31" i="30"/>
  <c r="B31" i="30"/>
  <c r="C31" i="30" s="1"/>
  <c r="AJ30" i="30"/>
  <c r="AI30" i="30"/>
  <c r="AH30" i="30"/>
  <c r="AG30" i="30"/>
  <c r="AE30" i="30"/>
  <c r="AD30" i="30"/>
  <c r="Z30" i="30"/>
  <c r="Y30" i="30"/>
  <c r="X30" i="30"/>
  <c r="W30" i="30"/>
  <c r="R30" i="30"/>
  <c r="B30" i="30"/>
  <c r="C30" i="30" s="1"/>
  <c r="AJ29" i="30"/>
  <c r="AI29" i="30"/>
  <c r="AH29" i="30"/>
  <c r="AG29" i="30"/>
  <c r="AE29" i="30"/>
  <c r="AD29" i="30"/>
  <c r="Z29" i="30"/>
  <c r="Y29" i="30"/>
  <c r="X29" i="30"/>
  <c r="W29" i="30"/>
  <c r="R29" i="30"/>
  <c r="B29" i="30"/>
  <c r="C29" i="30" s="1"/>
  <c r="AJ28" i="30"/>
  <c r="AI28" i="30"/>
  <c r="AH28" i="30"/>
  <c r="AG28" i="30"/>
  <c r="AE28" i="30"/>
  <c r="AD28" i="30"/>
  <c r="Z28" i="30"/>
  <c r="Y28" i="30"/>
  <c r="X28" i="30"/>
  <c r="W28" i="30"/>
  <c r="R28" i="30"/>
  <c r="B28" i="30"/>
  <c r="C28" i="30" s="1"/>
  <c r="AJ27" i="30"/>
  <c r="AI27" i="30"/>
  <c r="AH27" i="30"/>
  <c r="AG27" i="30"/>
  <c r="AE27" i="30"/>
  <c r="AD27" i="30"/>
  <c r="Z27" i="30"/>
  <c r="Y27" i="30"/>
  <c r="X27" i="30"/>
  <c r="W27" i="30"/>
  <c r="R27" i="30"/>
  <c r="B27" i="30"/>
  <c r="C27" i="30" s="1"/>
  <c r="AJ26" i="30"/>
  <c r="AI26" i="30"/>
  <c r="AH26" i="30"/>
  <c r="AG26" i="30"/>
  <c r="AE26" i="30"/>
  <c r="AD26" i="30"/>
  <c r="Z26" i="30"/>
  <c r="Y26" i="30"/>
  <c r="X26" i="30"/>
  <c r="W26" i="30"/>
  <c r="R26" i="30"/>
  <c r="B26" i="30"/>
  <c r="AJ25" i="30"/>
  <c r="AI25" i="30"/>
  <c r="AH25" i="30"/>
  <c r="AG25" i="30"/>
  <c r="AE25" i="30"/>
  <c r="AD25" i="30"/>
  <c r="Z25" i="30"/>
  <c r="Y25" i="30"/>
  <c r="X25" i="30"/>
  <c r="W25" i="30"/>
  <c r="R25" i="30"/>
  <c r="B25" i="30"/>
  <c r="C25" i="30" s="1"/>
  <c r="AJ24" i="30"/>
  <c r="AI24" i="30"/>
  <c r="AH24" i="30"/>
  <c r="AG24" i="30"/>
  <c r="AE24" i="30"/>
  <c r="AD24" i="30"/>
  <c r="Z24" i="30"/>
  <c r="Y24" i="30"/>
  <c r="X24" i="30"/>
  <c r="W24" i="30"/>
  <c r="R24" i="30"/>
  <c r="B24" i="30"/>
  <c r="AJ23" i="30"/>
  <c r="AI23" i="30"/>
  <c r="AH23" i="30"/>
  <c r="AG23" i="30"/>
  <c r="AE23" i="30"/>
  <c r="AD23" i="30"/>
  <c r="Z23" i="30"/>
  <c r="Y23" i="30"/>
  <c r="X23" i="30"/>
  <c r="W23" i="30"/>
  <c r="R23" i="30"/>
  <c r="B23" i="30"/>
  <c r="C23" i="30" s="1"/>
  <c r="AJ22" i="30"/>
  <c r="AI22" i="30"/>
  <c r="AH22" i="30"/>
  <c r="AG22" i="30"/>
  <c r="AE22" i="30"/>
  <c r="AD22" i="30"/>
  <c r="Z22" i="30"/>
  <c r="Y22" i="30"/>
  <c r="X22" i="30"/>
  <c r="W22" i="30"/>
  <c r="R22" i="30"/>
  <c r="B22" i="30"/>
  <c r="AJ21" i="30"/>
  <c r="AI21" i="30"/>
  <c r="AH21" i="30"/>
  <c r="AG21" i="30"/>
  <c r="AE21" i="30"/>
  <c r="AD21" i="30"/>
  <c r="Z21" i="30"/>
  <c r="Y21" i="30"/>
  <c r="X21" i="30"/>
  <c r="W21" i="30"/>
  <c r="R21" i="30"/>
  <c r="B21" i="30"/>
  <c r="C21" i="30" s="1"/>
  <c r="AJ20" i="30"/>
  <c r="AI20" i="30"/>
  <c r="AH20" i="30"/>
  <c r="AG20" i="30"/>
  <c r="AE20" i="30"/>
  <c r="AD20" i="30"/>
  <c r="Z20" i="30"/>
  <c r="Y20" i="30"/>
  <c r="X20" i="30"/>
  <c r="W20" i="30"/>
  <c r="R20" i="30"/>
  <c r="B20" i="30"/>
  <c r="AJ19" i="30"/>
  <c r="AI19" i="30"/>
  <c r="AH19" i="30"/>
  <c r="AG19" i="30"/>
  <c r="AE19" i="30"/>
  <c r="AD19" i="30"/>
  <c r="Z19" i="30"/>
  <c r="Y19" i="30"/>
  <c r="X19" i="30"/>
  <c r="W19" i="30"/>
  <c r="R19" i="30"/>
  <c r="B19" i="30"/>
  <c r="C19" i="30" s="1"/>
  <c r="AJ18" i="30"/>
  <c r="AI18" i="30"/>
  <c r="AH18" i="30"/>
  <c r="AG18" i="30"/>
  <c r="AE18" i="30"/>
  <c r="AD18" i="30"/>
  <c r="Z18" i="30"/>
  <c r="Y18" i="30"/>
  <c r="X18" i="30"/>
  <c r="W18" i="30"/>
  <c r="R18" i="30"/>
  <c r="B18" i="30"/>
  <c r="C18" i="30" s="1"/>
  <c r="AJ17" i="30"/>
  <c r="AI17" i="30"/>
  <c r="AH17" i="30"/>
  <c r="AG17" i="30"/>
  <c r="AE17" i="30"/>
  <c r="AD17" i="30"/>
  <c r="Z17" i="30"/>
  <c r="Y17" i="30"/>
  <c r="X17" i="30"/>
  <c r="W17" i="30"/>
  <c r="R17" i="30"/>
  <c r="B17" i="30"/>
  <c r="AJ16" i="30"/>
  <c r="AI16" i="30"/>
  <c r="AH16" i="30"/>
  <c r="AG16" i="30"/>
  <c r="AE16" i="30"/>
  <c r="AD16" i="30"/>
  <c r="Z16" i="30"/>
  <c r="Y16" i="30"/>
  <c r="X16" i="30"/>
  <c r="W16" i="30"/>
  <c r="R16" i="30"/>
  <c r="B16" i="30"/>
  <c r="C16" i="30" s="1"/>
  <c r="AJ15" i="30"/>
  <c r="AI15" i="30"/>
  <c r="AH15" i="30"/>
  <c r="AG15" i="30"/>
  <c r="AE15" i="30"/>
  <c r="AD15" i="30"/>
  <c r="Z15" i="30"/>
  <c r="Y15" i="30"/>
  <c r="X15" i="30"/>
  <c r="W15" i="30"/>
  <c r="R15" i="30"/>
  <c r="B15" i="30"/>
  <c r="AJ14" i="30"/>
  <c r="AI14" i="30"/>
  <c r="AH14" i="30"/>
  <c r="AG14" i="30"/>
  <c r="AE14" i="30"/>
  <c r="AD14" i="30"/>
  <c r="Z14" i="30"/>
  <c r="Y14" i="30"/>
  <c r="X14" i="30"/>
  <c r="W14" i="30"/>
  <c r="R14" i="30"/>
  <c r="B14" i="30"/>
  <c r="C14" i="30" s="1"/>
  <c r="AJ13" i="30"/>
  <c r="AI13" i="30"/>
  <c r="AH13" i="30"/>
  <c r="AG13" i="30"/>
  <c r="AE13" i="30"/>
  <c r="AD13" i="30"/>
  <c r="Z13" i="30"/>
  <c r="Y13" i="30"/>
  <c r="X13" i="30"/>
  <c r="W13" i="30"/>
  <c r="R13" i="30"/>
  <c r="B13" i="30"/>
  <c r="AJ12" i="30"/>
  <c r="AI12" i="30"/>
  <c r="AH12" i="30"/>
  <c r="AG12" i="30"/>
  <c r="AE12" i="30"/>
  <c r="AD12" i="30"/>
  <c r="Z12" i="30"/>
  <c r="Y12" i="30"/>
  <c r="X12" i="30"/>
  <c r="W12" i="30"/>
  <c r="R12" i="30"/>
  <c r="B12" i="30"/>
  <c r="C12" i="30" s="1"/>
  <c r="G8" i="30"/>
  <c r="AJ41" i="29"/>
  <c r="AI41" i="29"/>
  <c r="AH41" i="29"/>
  <c r="AG41" i="29"/>
  <c r="AE41" i="29"/>
  <c r="AD41" i="29"/>
  <c r="Z41" i="29"/>
  <c r="Y41" i="29"/>
  <c r="X41" i="29"/>
  <c r="W41" i="29"/>
  <c r="R41" i="29"/>
  <c r="B41" i="29"/>
  <c r="C41" i="29" s="1"/>
  <c r="AJ40" i="29"/>
  <c r="AI40" i="29"/>
  <c r="AH40" i="29"/>
  <c r="AG40" i="29"/>
  <c r="AE40" i="29"/>
  <c r="AD40" i="29"/>
  <c r="Z40" i="29"/>
  <c r="Y40" i="29"/>
  <c r="X40" i="29"/>
  <c r="W40" i="29"/>
  <c r="R40" i="29"/>
  <c r="B40" i="29"/>
  <c r="AJ39" i="29"/>
  <c r="AI39" i="29"/>
  <c r="AH39" i="29"/>
  <c r="AG39" i="29"/>
  <c r="AE39" i="29"/>
  <c r="AD39" i="29"/>
  <c r="Z39" i="29"/>
  <c r="Y39" i="29"/>
  <c r="X39" i="29"/>
  <c r="W39" i="29"/>
  <c r="R39" i="29"/>
  <c r="B39" i="29"/>
  <c r="C39" i="29" s="1"/>
  <c r="AJ38" i="29"/>
  <c r="AI38" i="29"/>
  <c r="AH38" i="29"/>
  <c r="AG38" i="29"/>
  <c r="AE38" i="29"/>
  <c r="AD38" i="29"/>
  <c r="Z38" i="29"/>
  <c r="Y38" i="29"/>
  <c r="X38" i="29"/>
  <c r="W38" i="29"/>
  <c r="R38" i="29"/>
  <c r="B38" i="29"/>
  <c r="AJ37" i="29"/>
  <c r="AI37" i="29"/>
  <c r="AH37" i="29"/>
  <c r="AG37" i="29"/>
  <c r="AE37" i="29"/>
  <c r="AD37" i="29"/>
  <c r="Z37" i="29"/>
  <c r="Y37" i="29"/>
  <c r="X37" i="29"/>
  <c r="W37" i="29"/>
  <c r="R37" i="29"/>
  <c r="B37" i="29"/>
  <c r="C37" i="29" s="1"/>
  <c r="AJ36" i="29"/>
  <c r="AI36" i="29"/>
  <c r="AH36" i="29"/>
  <c r="AG36" i="29"/>
  <c r="AE36" i="29"/>
  <c r="AD36" i="29"/>
  <c r="Z36" i="29"/>
  <c r="Y36" i="29"/>
  <c r="X36" i="29"/>
  <c r="W36" i="29"/>
  <c r="R36" i="29"/>
  <c r="B36" i="29"/>
  <c r="AJ35" i="29"/>
  <c r="AI35" i="29"/>
  <c r="AH35" i="29"/>
  <c r="AG35" i="29"/>
  <c r="AE35" i="29"/>
  <c r="AD35" i="29"/>
  <c r="Z35" i="29"/>
  <c r="Y35" i="29"/>
  <c r="X35" i="29"/>
  <c r="W35" i="29"/>
  <c r="R35" i="29"/>
  <c r="B35" i="29"/>
  <c r="C35" i="29" s="1"/>
  <c r="AJ34" i="29"/>
  <c r="AI34" i="29"/>
  <c r="AH34" i="29"/>
  <c r="AG34" i="29"/>
  <c r="AE34" i="29"/>
  <c r="AD34" i="29"/>
  <c r="Z34" i="29"/>
  <c r="Y34" i="29"/>
  <c r="X34" i="29"/>
  <c r="W34" i="29"/>
  <c r="R34" i="29"/>
  <c r="B34" i="29"/>
  <c r="AJ33" i="29"/>
  <c r="AI33" i="29"/>
  <c r="AH33" i="29"/>
  <c r="AG33" i="29"/>
  <c r="AE33" i="29"/>
  <c r="AD33" i="29"/>
  <c r="Z33" i="29"/>
  <c r="Y33" i="29"/>
  <c r="X33" i="29"/>
  <c r="W33" i="29"/>
  <c r="R33" i="29"/>
  <c r="B33" i="29"/>
  <c r="C33" i="29" s="1"/>
  <c r="AJ32" i="29"/>
  <c r="AI32" i="29"/>
  <c r="AH32" i="29"/>
  <c r="AG32" i="29"/>
  <c r="AE32" i="29"/>
  <c r="AD32" i="29"/>
  <c r="Z32" i="29"/>
  <c r="Y32" i="29"/>
  <c r="X32" i="29"/>
  <c r="W32" i="29"/>
  <c r="R32" i="29"/>
  <c r="B32" i="29"/>
  <c r="AJ31" i="29"/>
  <c r="AI31" i="29"/>
  <c r="AH31" i="29"/>
  <c r="AG31" i="29"/>
  <c r="AE31" i="29"/>
  <c r="AD31" i="29"/>
  <c r="Z31" i="29"/>
  <c r="Y31" i="29"/>
  <c r="X31" i="29"/>
  <c r="W31" i="29"/>
  <c r="R31" i="29"/>
  <c r="B31" i="29"/>
  <c r="C31" i="29" s="1"/>
  <c r="AJ30" i="29"/>
  <c r="AI30" i="29"/>
  <c r="AH30" i="29"/>
  <c r="AG30" i="29"/>
  <c r="AE30" i="29"/>
  <c r="AD30" i="29"/>
  <c r="Z30" i="29"/>
  <c r="Y30" i="29"/>
  <c r="X30" i="29"/>
  <c r="W30" i="29"/>
  <c r="R30" i="29"/>
  <c r="B30" i="29"/>
  <c r="AJ29" i="29"/>
  <c r="AI29" i="29"/>
  <c r="AH29" i="29"/>
  <c r="AG29" i="29"/>
  <c r="AE29" i="29"/>
  <c r="AD29" i="29"/>
  <c r="Z29" i="29"/>
  <c r="Y29" i="29"/>
  <c r="X29" i="29"/>
  <c r="W29" i="29"/>
  <c r="R29" i="29"/>
  <c r="B29" i="29"/>
  <c r="C29" i="29" s="1"/>
  <c r="AJ28" i="29"/>
  <c r="AI28" i="29"/>
  <c r="AH28" i="29"/>
  <c r="AG28" i="29"/>
  <c r="AE28" i="29"/>
  <c r="AD28" i="29"/>
  <c r="Z28" i="29"/>
  <c r="Y28" i="29"/>
  <c r="X28" i="29"/>
  <c r="W28" i="29"/>
  <c r="R28" i="29"/>
  <c r="B28" i="29"/>
  <c r="AJ27" i="29"/>
  <c r="AI27" i="29"/>
  <c r="AH27" i="29"/>
  <c r="AG27" i="29"/>
  <c r="AE27" i="29"/>
  <c r="AD27" i="29"/>
  <c r="Z27" i="29"/>
  <c r="Y27" i="29"/>
  <c r="X27" i="29"/>
  <c r="W27" i="29"/>
  <c r="R27" i="29"/>
  <c r="B27" i="29"/>
  <c r="C27" i="29" s="1"/>
  <c r="AJ26" i="29"/>
  <c r="AI26" i="29"/>
  <c r="AH26" i="29"/>
  <c r="AG26" i="29"/>
  <c r="AE26" i="29"/>
  <c r="AD26" i="29"/>
  <c r="Z26" i="29"/>
  <c r="Y26" i="29"/>
  <c r="X26" i="29"/>
  <c r="W26" i="29"/>
  <c r="R26" i="29"/>
  <c r="B26" i="29"/>
  <c r="AJ25" i="29"/>
  <c r="AI25" i="29"/>
  <c r="AH25" i="29"/>
  <c r="AG25" i="29"/>
  <c r="AE25" i="29"/>
  <c r="AD25" i="29"/>
  <c r="Z25" i="29"/>
  <c r="Y25" i="29"/>
  <c r="X25" i="29"/>
  <c r="W25" i="29"/>
  <c r="R25" i="29"/>
  <c r="B25" i="29"/>
  <c r="C25" i="29" s="1"/>
  <c r="AJ24" i="29"/>
  <c r="AI24" i="29"/>
  <c r="AH24" i="29"/>
  <c r="AG24" i="29"/>
  <c r="AE24" i="29"/>
  <c r="AD24" i="29"/>
  <c r="Z24" i="29"/>
  <c r="Y24" i="29"/>
  <c r="X24" i="29"/>
  <c r="W24" i="29"/>
  <c r="R24" i="29"/>
  <c r="B24" i="29"/>
  <c r="AJ23" i="29"/>
  <c r="AI23" i="29"/>
  <c r="AH23" i="29"/>
  <c r="AG23" i="29"/>
  <c r="AE23" i="29"/>
  <c r="AD23" i="29"/>
  <c r="Z23" i="29"/>
  <c r="Y23" i="29"/>
  <c r="X23" i="29"/>
  <c r="W23" i="29"/>
  <c r="R23" i="29"/>
  <c r="B23" i="29"/>
  <c r="C23" i="29" s="1"/>
  <c r="AJ22" i="29"/>
  <c r="AI22" i="29"/>
  <c r="AH22" i="29"/>
  <c r="AG22" i="29"/>
  <c r="AE22" i="29"/>
  <c r="AD22" i="29"/>
  <c r="Z22" i="29"/>
  <c r="Y22" i="29"/>
  <c r="X22" i="29"/>
  <c r="W22" i="29"/>
  <c r="R22" i="29"/>
  <c r="B22" i="29"/>
  <c r="AJ21" i="29"/>
  <c r="AI21" i="29"/>
  <c r="AH21" i="29"/>
  <c r="AG21" i="29"/>
  <c r="AE21" i="29"/>
  <c r="AD21" i="29"/>
  <c r="Z21" i="29"/>
  <c r="Y21" i="29"/>
  <c r="X21" i="29"/>
  <c r="W21" i="29"/>
  <c r="R21" i="29"/>
  <c r="B21" i="29"/>
  <c r="C21" i="29" s="1"/>
  <c r="AJ20" i="29"/>
  <c r="AI20" i="29"/>
  <c r="AH20" i="29"/>
  <c r="AE20" i="29"/>
  <c r="Z20" i="29"/>
  <c r="Y20" i="29"/>
  <c r="X20" i="29"/>
  <c r="B20" i="29"/>
  <c r="AJ19" i="29"/>
  <c r="AI19" i="29"/>
  <c r="AH19" i="29"/>
  <c r="AG19" i="29"/>
  <c r="AE19" i="29"/>
  <c r="AD19" i="29"/>
  <c r="Z19" i="29"/>
  <c r="Y19" i="29"/>
  <c r="X19" i="29"/>
  <c r="W19" i="29"/>
  <c r="R19" i="29"/>
  <c r="B19" i="29"/>
  <c r="C19" i="29" s="1"/>
  <c r="AJ18" i="29"/>
  <c r="AI18" i="29"/>
  <c r="AH18" i="29"/>
  <c r="AG18" i="29"/>
  <c r="AE18" i="29"/>
  <c r="AD18" i="29"/>
  <c r="Z18" i="29"/>
  <c r="Y18" i="29"/>
  <c r="X18" i="29"/>
  <c r="W18" i="29"/>
  <c r="R18" i="29"/>
  <c r="B18" i="29"/>
  <c r="C18" i="29" s="1"/>
  <c r="AJ17" i="29"/>
  <c r="AI17" i="29"/>
  <c r="AH17" i="29"/>
  <c r="AG17" i="29"/>
  <c r="AE17" i="29"/>
  <c r="AD17" i="29"/>
  <c r="Z17" i="29"/>
  <c r="Y17" i="29"/>
  <c r="X17" i="29"/>
  <c r="W17" i="29"/>
  <c r="R17" i="29"/>
  <c r="B17" i="29"/>
  <c r="C17" i="29" s="1"/>
  <c r="AJ16" i="29"/>
  <c r="AI16" i="29"/>
  <c r="AH16" i="29"/>
  <c r="AG16" i="29"/>
  <c r="AE16" i="29"/>
  <c r="AD16" i="29"/>
  <c r="Z16" i="29"/>
  <c r="Y16" i="29"/>
  <c r="X16" i="29"/>
  <c r="W16" i="29"/>
  <c r="R16" i="29"/>
  <c r="B16" i="29"/>
  <c r="C16" i="29" s="1"/>
  <c r="AJ15" i="29"/>
  <c r="AI15" i="29"/>
  <c r="AH15" i="29"/>
  <c r="AG15" i="29"/>
  <c r="AE15" i="29"/>
  <c r="AD15" i="29"/>
  <c r="Z15" i="29"/>
  <c r="Y15" i="29"/>
  <c r="X15" i="29"/>
  <c r="W15" i="29"/>
  <c r="R15" i="29"/>
  <c r="B15" i="29"/>
  <c r="C15" i="29" s="1"/>
  <c r="AJ14" i="29"/>
  <c r="AI14" i="29"/>
  <c r="AH14" i="29"/>
  <c r="AG14" i="29"/>
  <c r="AE14" i="29"/>
  <c r="AD14" i="29"/>
  <c r="Z14" i="29"/>
  <c r="Y14" i="29"/>
  <c r="X14" i="29"/>
  <c r="W14" i="29"/>
  <c r="R14" i="29"/>
  <c r="B14" i="29"/>
  <c r="C14" i="29" s="1"/>
  <c r="AJ13" i="29"/>
  <c r="AI13" i="29"/>
  <c r="AH13" i="29"/>
  <c r="AG13" i="29"/>
  <c r="AE13" i="29"/>
  <c r="AD13" i="29"/>
  <c r="Z13" i="29"/>
  <c r="Y13" i="29"/>
  <c r="X13" i="29"/>
  <c r="W13" i="29"/>
  <c r="R13" i="29"/>
  <c r="B13" i="29"/>
  <c r="AJ12" i="29"/>
  <c r="AI12" i="29"/>
  <c r="AH12" i="29"/>
  <c r="AG12" i="29"/>
  <c r="AE12" i="29"/>
  <c r="AD12" i="29"/>
  <c r="Z12" i="29"/>
  <c r="Y12" i="29"/>
  <c r="X12" i="29"/>
  <c r="W12" i="29"/>
  <c r="R12" i="29"/>
  <c r="B12" i="29"/>
  <c r="C12" i="29" s="1"/>
  <c r="G8" i="29"/>
  <c r="AJ42" i="28"/>
  <c r="AI42" i="28"/>
  <c r="AH42" i="28"/>
  <c r="AG42" i="28"/>
  <c r="AE42" i="28"/>
  <c r="AD42" i="28"/>
  <c r="Z42" i="28"/>
  <c r="Y42" i="28"/>
  <c r="X42" i="28"/>
  <c r="W42" i="28"/>
  <c r="R42" i="28"/>
  <c r="B42" i="28"/>
  <c r="C42" i="28" s="1"/>
  <c r="AJ41" i="28"/>
  <c r="AI41" i="28"/>
  <c r="AH41" i="28"/>
  <c r="AG41" i="28"/>
  <c r="AE41" i="28"/>
  <c r="AD41" i="28"/>
  <c r="Z41" i="28"/>
  <c r="Y41" i="28"/>
  <c r="X41" i="28"/>
  <c r="W41" i="28"/>
  <c r="R41" i="28"/>
  <c r="B41" i="28"/>
  <c r="C41" i="28" s="1"/>
  <c r="AJ40" i="28"/>
  <c r="AI40" i="28"/>
  <c r="AH40" i="28"/>
  <c r="AG40" i="28"/>
  <c r="AE40" i="28"/>
  <c r="AD40" i="28"/>
  <c r="Z40" i="28"/>
  <c r="Y40" i="28"/>
  <c r="X40" i="28"/>
  <c r="W40" i="28"/>
  <c r="R40" i="28"/>
  <c r="B40" i="28"/>
  <c r="C40" i="28" s="1"/>
  <c r="AJ39" i="28"/>
  <c r="AI39" i="28"/>
  <c r="AH39" i="28"/>
  <c r="AG39" i="28"/>
  <c r="AE39" i="28"/>
  <c r="AD39" i="28"/>
  <c r="Z39" i="28"/>
  <c r="Y39" i="28"/>
  <c r="X39" i="28"/>
  <c r="W39" i="28"/>
  <c r="R39" i="28"/>
  <c r="B39" i="28"/>
  <c r="C39" i="28" s="1"/>
  <c r="AJ38" i="28"/>
  <c r="AI38" i="28"/>
  <c r="AH38" i="28"/>
  <c r="AG38" i="28"/>
  <c r="AE38" i="28"/>
  <c r="AD38" i="28"/>
  <c r="Z38" i="28"/>
  <c r="Y38" i="28"/>
  <c r="X38" i="28"/>
  <c r="W38" i="28"/>
  <c r="R38" i="28"/>
  <c r="B38" i="28"/>
  <c r="C38" i="28" s="1"/>
  <c r="AJ37" i="28"/>
  <c r="AI37" i="28"/>
  <c r="AH37" i="28"/>
  <c r="AG37" i="28"/>
  <c r="AE37" i="28"/>
  <c r="AD37" i="28"/>
  <c r="Z37" i="28"/>
  <c r="Y37" i="28"/>
  <c r="X37" i="28"/>
  <c r="W37" i="28"/>
  <c r="R37" i="28"/>
  <c r="B37" i="28"/>
  <c r="C37" i="28" s="1"/>
  <c r="AJ36" i="28"/>
  <c r="AI36" i="28"/>
  <c r="AH36" i="28"/>
  <c r="AG36" i="28"/>
  <c r="AE36" i="28"/>
  <c r="AD36" i="28"/>
  <c r="Z36" i="28"/>
  <c r="Y36" i="28"/>
  <c r="X36" i="28"/>
  <c r="W36" i="28"/>
  <c r="R36" i="28"/>
  <c r="B36" i="28"/>
  <c r="C36" i="28" s="1"/>
  <c r="AJ35" i="28"/>
  <c r="AI35" i="28"/>
  <c r="AH35" i="28"/>
  <c r="AG35" i="28"/>
  <c r="AE35" i="28"/>
  <c r="AD35" i="28"/>
  <c r="Z35" i="28"/>
  <c r="Y35" i="28"/>
  <c r="X35" i="28"/>
  <c r="W35" i="28"/>
  <c r="R35" i="28"/>
  <c r="B35" i="28"/>
  <c r="C35" i="28" s="1"/>
  <c r="AJ34" i="28"/>
  <c r="AI34" i="28"/>
  <c r="AH34" i="28"/>
  <c r="AG34" i="28"/>
  <c r="AE34" i="28"/>
  <c r="AD34" i="28"/>
  <c r="Z34" i="28"/>
  <c r="Y34" i="28"/>
  <c r="X34" i="28"/>
  <c r="W34" i="28"/>
  <c r="R34" i="28"/>
  <c r="B34" i="28"/>
  <c r="C34" i="28" s="1"/>
  <c r="AJ33" i="28"/>
  <c r="AI33" i="28"/>
  <c r="AH33" i="28"/>
  <c r="AG33" i="28"/>
  <c r="AE33" i="28"/>
  <c r="AD33" i="28"/>
  <c r="Z33" i="28"/>
  <c r="Y33" i="28"/>
  <c r="X33" i="28"/>
  <c r="W33" i="28"/>
  <c r="R33" i="28"/>
  <c r="B33" i="28"/>
  <c r="C33" i="28" s="1"/>
  <c r="AJ32" i="28"/>
  <c r="AI32" i="28"/>
  <c r="AH32" i="28"/>
  <c r="AG32" i="28"/>
  <c r="AE32" i="28"/>
  <c r="AD32" i="28"/>
  <c r="Z32" i="28"/>
  <c r="Y32" i="28"/>
  <c r="X32" i="28"/>
  <c r="W32" i="28"/>
  <c r="R32" i="28"/>
  <c r="B32" i="28"/>
  <c r="C32" i="28" s="1"/>
  <c r="AJ31" i="28"/>
  <c r="AI31" i="28"/>
  <c r="AH31" i="28"/>
  <c r="AG31" i="28"/>
  <c r="AE31" i="28"/>
  <c r="AD31" i="28"/>
  <c r="Z31" i="28"/>
  <c r="Y31" i="28"/>
  <c r="X31" i="28"/>
  <c r="W31" i="28"/>
  <c r="R31" i="28"/>
  <c r="B31" i="28"/>
  <c r="C31" i="28" s="1"/>
  <c r="AJ30" i="28"/>
  <c r="AI30" i="28"/>
  <c r="AH30" i="28"/>
  <c r="AG30" i="28"/>
  <c r="AE30" i="28"/>
  <c r="AD30" i="28"/>
  <c r="Z30" i="28"/>
  <c r="Y30" i="28"/>
  <c r="X30" i="28"/>
  <c r="W30" i="28"/>
  <c r="R30" i="28"/>
  <c r="B30" i="28"/>
  <c r="C30" i="28" s="1"/>
  <c r="AJ29" i="28"/>
  <c r="AI29" i="28"/>
  <c r="AH29" i="28"/>
  <c r="AG29" i="28"/>
  <c r="AE29" i="28"/>
  <c r="AD29" i="28"/>
  <c r="Z29" i="28"/>
  <c r="Y29" i="28"/>
  <c r="X29" i="28"/>
  <c r="W29" i="28"/>
  <c r="R29" i="28"/>
  <c r="B29" i="28"/>
  <c r="C29" i="28" s="1"/>
  <c r="AJ28" i="28"/>
  <c r="AI28" i="28"/>
  <c r="AH28" i="28"/>
  <c r="AG28" i="28"/>
  <c r="AE28" i="28"/>
  <c r="AD28" i="28"/>
  <c r="Z28" i="28"/>
  <c r="Y28" i="28"/>
  <c r="X28" i="28"/>
  <c r="W28" i="28"/>
  <c r="R28" i="28"/>
  <c r="B28" i="28"/>
  <c r="C28" i="28" s="1"/>
  <c r="AJ27" i="28"/>
  <c r="AI27" i="28"/>
  <c r="AH27" i="28"/>
  <c r="AG27" i="28"/>
  <c r="AE27" i="28"/>
  <c r="AD27" i="28"/>
  <c r="Z27" i="28"/>
  <c r="Y27" i="28"/>
  <c r="X27" i="28"/>
  <c r="W27" i="28"/>
  <c r="R27" i="28"/>
  <c r="B27" i="28"/>
  <c r="C27" i="28" s="1"/>
  <c r="AJ26" i="28"/>
  <c r="AI26" i="28"/>
  <c r="AH26" i="28"/>
  <c r="AG26" i="28"/>
  <c r="AE26" i="28"/>
  <c r="AD26" i="28"/>
  <c r="Z26" i="28"/>
  <c r="Y26" i="28"/>
  <c r="X26" i="28"/>
  <c r="W26" i="28"/>
  <c r="R26" i="28"/>
  <c r="B26" i="28"/>
  <c r="AJ25" i="28"/>
  <c r="AI25" i="28"/>
  <c r="AH25" i="28"/>
  <c r="AG25" i="28"/>
  <c r="AE25" i="28"/>
  <c r="AD25" i="28"/>
  <c r="Z25" i="28"/>
  <c r="Y25" i="28"/>
  <c r="X25" i="28"/>
  <c r="W25" i="28"/>
  <c r="R25" i="28"/>
  <c r="B25" i="28"/>
  <c r="C25" i="28" s="1"/>
  <c r="AJ24" i="28"/>
  <c r="AI24" i="28"/>
  <c r="AH24" i="28"/>
  <c r="AG24" i="28"/>
  <c r="AE24" i="28"/>
  <c r="AD24" i="28"/>
  <c r="Z24" i="28"/>
  <c r="Y24" i="28"/>
  <c r="X24" i="28"/>
  <c r="W24" i="28"/>
  <c r="R24" i="28"/>
  <c r="B24" i="28"/>
  <c r="AJ23" i="28"/>
  <c r="AI23" i="28"/>
  <c r="AH23" i="28"/>
  <c r="AG23" i="28"/>
  <c r="AE23" i="28"/>
  <c r="AD23" i="28"/>
  <c r="Z23" i="28"/>
  <c r="Y23" i="28"/>
  <c r="X23" i="28"/>
  <c r="W23" i="28"/>
  <c r="R23" i="28"/>
  <c r="B23" i="28"/>
  <c r="C23" i="28" s="1"/>
  <c r="AJ22" i="28"/>
  <c r="AI22" i="28"/>
  <c r="AH22" i="28"/>
  <c r="AG22" i="28"/>
  <c r="AE22" i="28"/>
  <c r="AD22" i="28"/>
  <c r="Z22" i="28"/>
  <c r="Y22" i="28"/>
  <c r="X22" i="28"/>
  <c r="W22" i="28"/>
  <c r="R22" i="28"/>
  <c r="B22" i="28"/>
  <c r="AJ21" i="28"/>
  <c r="AI21" i="28"/>
  <c r="AH21" i="28"/>
  <c r="AG21" i="28"/>
  <c r="AE21" i="28"/>
  <c r="AD21" i="28"/>
  <c r="Z21" i="28"/>
  <c r="Y21" i="28"/>
  <c r="X21" i="28"/>
  <c r="W21" i="28"/>
  <c r="R21" i="28"/>
  <c r="B21" i="28"/>
  <c r="C21" i="28" s="1"/>
  <c r="AJ20" i="28"/>
  <c r="AI20" i="28"/>
  <c r="AH20" i="28"/>
  <c r="AG20" i="28"/>
  <c r="AE20" i="28"/>
  <c r="AD20" i="28"/>
  <c r="Z20" i="28"/>
  <c r="Y20" i="28"/>
  <c r="X20" i="28"/>
  <c r="W20" i="28"/>
  <c r="R20" i="28"/>
  <c r="B20" i="28"/>
  <c r="AJ19" i="28"/>
  <c r="AI19" i="28"/>
  <c r="AH19" i="28"/>
  <c r="AG19" i="28"/>
  <c r="AE19" i="28"/>
  <c r="AD19" i="28"/>
  <c r="Z19" i="28"/>
  <c r="Y19" i="28"/>
  <c r="X19" i="28"/>
  <c r="W19" i="28"/>
  <c r="R19" i="28"/>
  <c r="B19" i="28"/>
  <c r="C19" i="28" s="1"/>
  <c r="AJ18" i="28"/>
  <c r="AI18" i="28"/>
  <c r="AH18" i="28"/>
  <c r="AG18" i="28"/>
  <c r="AE18" i="28"/>
  <c r="AD18" i="28"/>
  <c r="Z18" i="28"/>
  <c r="Y18" i="28"/>
  <c r="X18" i="28"/>
  <c r="W18" i="28"/>
  <c r="R18" i="28"/>
  <c r="B18" i="28"/>
  <c r="C18" i="28" s="1"/>
  <c r="AJ17" i="28"/>
  <c r="AI17" i="28"/>
  <c r="AH17" i="28"/>
  <c r="AG17" i="28"/>
  <c r="AE17" i="28"/>
  <c r="AD17" i="28"/>
  <c r="Z17" i="28"/>
  <c r="Y17" i="28"/>
  <c r="X17" i="28"/>
  <c r="W17" i="28"/>
  <c r="R17" i="28"/>
  <c r="C17" i="28"/>
  <c r="B17" i="28"/>
  <c r="AJ16" i="28"/>
  <c r="AI16" i="28"/>
  <c r="AH16" i="28"/>
  <c r="AG16" i="28"/>
  <c r="AE16" i="28"/>
  <c r="AD16" i="28"/>
  <c r="Z16" i="28"/>
  <c r="Y16" i="28"/>
  <c r="X16" i="28"/>
  <c r="W16" i="28"/>
  <c r="R16" i="28"/>
  <c r="B16" i="28"/>
  <c r="C16" i="28" s="1"/>
  <c r="AJ15" i="28"/>
  <c r="AI15" i="28"/>
  <c r="AH15" i="28"/>
  <c r="AG15" i="28"/>
  <c r="AE15" i="28"/>
  <c r="AD15" i="28"/>
  <c r="Z15" i="28"/>
  <c r="Y15" i="28"/>
  <c r="X15" i="28"/>
  <c r="W15" i="28"/>
  <c r="R15" i="28"/>
  <c r="B15" i="28"/>
  <c r="C15" i="28" s="1"/>
  <c r="AJ14" i="28"/>
  <c r="AI14" i="28"/>
  <c r="AH14" i="28"/>
  <c r="AG14" i="28"/>
  <c r="AE14" i="28"/>
  <c r="AD14" i="28"/>
  <c r="Z14" i="28"/>
  <c r="Y14" i="28"/>
  <c r="X14" i="28"/>
  <c r="W14" i="28"/>
  <c r="R14" i="28"/>
  <c r="B14" i="28"/>
  <c r="C14" i="28" s="1"/>
  <c r="AJ13" i="28"/>
  <c r="AI13" i="28"/>
  <c r="AH13" i="28"/>
  <c r="AG13" i="28"/>
  <c r="AE13" i="28"/>
  <c r="AD13" i="28"/>
  <c r="Z13" i="28"/>
  <c r="Y13" i="28"/>
  <c r="X13" i="28"/>
  <c r="W13" i="28"/>
  <c r="R13" i="28"/>
  <c r="B13" i="28"/>
  <c r="C13" i="28" s="1"/>
  <c r="AJ12" i="28"/>
  <c r="AI12" i="28"/>
  <c r="AH12" i="28"/>
  <c r="AG12" i="28"/>
  <c r="AE12" i="28"/>
  <c r="AD12" i="28"/>
  <c r="Z12" i="28"/>
  <c r="Y12" i="28"/>
  <c r="X12" i="28"/>
  <c r="W12" i="28"/>
  <c r="R12" i="28"/>
  <c r="B12" i="28"/>
  <c r="C12" i="28" s="1"/>
  <c r="G8" i="28"/>
  <c r="AJ42" i="27"/>
  <c r="AI42" i="27"/>
  <c r="AH42" i="27"/>
  <c r="AG42" i="27"/>
  <c r="AE42" i="27"/>
  <c r="AD42" i="27"/>
  <c r="Z42" i="27"/>
  <c r="Y42" i="27"/>
  <c r="X42" i="27"/>
  <c r="W42" i="27"/>
  <c r="R42" i="27"/>
  <c r="B42" i="27"/>
  <c r="AJ41" i="27"/>
  <c r="AI41" i="27"/>
  <c r="AH41" i="27"/>
  <c r="AG41" i="27"/>
  <c r="AE41" i="27"/>
  <c r="AD41" i="27"/>
  <c r="Z41" i="27"/>
  <c r="Y41" i="27"/>
  <c r="X41" i="27"/>
  <c r="W41" i="27"/>
  <c r="R41" i="27"/>
  <c r="B41" i="27"/>
  <c r="C41" i="27" s="1"/>
  <c r="AJ40" i="27"/>
  <c r="AI40" i="27"/>
  <c r="AH40" i="27"/>
  <c r="AG40" i="27"/>
  <c r="AE40" i="27"/>
  <c r="AD40" i="27"/>
  <c r="Z40" i="27"/>
  <c r="Y40" i="27"/>
  <c r="X40" i="27"/>
  <c r="W40" i="27"/>
  <c r="R40" i="27"/>
  <c r="B40" i="27"/>
  <c r="AJ39" i="27"/>
  <c r="AI39" i="27"/>
  <c r="AH39" i="27"/>
  <c r="AG39" i="27"/>
  <c r="AE39" i="27"/>
  <c r="AD39" i="27"/>
  <c r="Z39" i="27"/>
  <c r="Y39" i="27"/>
  <c r="X39" i="27"/>
  <c r="W39" i="27"/>
  <c r="R39" i="27"/>
  <c r="B39" i="27"/>
  <c r="C39" i="27" s="1"/>
  <c r="AJ38" i="27"/>
  <c r="AI38" i="27"/>
  <c r="AH38" i="27"/>
  <c r="AG38" i="27"/>
  <c r="AE38" i="27"/>
  <c r="AD38" i="27"/>
  <c r="Z38" i="27"/>
  <c r="Y38" i="27"/>
  <c r="X38" i="27"/>
  <c r="W38" i="27"/>
  <c r="R38" i="27"/>
  <c r="B38" i="27"/>
  <c r="AJ37" i="27"/>
  <c r="AI37" i="27"/>
  <c r="AH37" i="27"/>
  <c r="AG37" i="27"/>
  <c r="AE37" i="27"/>
  <c r="AD37" i="27"/>
  <c r="Z37" i="27"/>
  <c r="Y37" i="27"/>
  <c r="X37" i="27"/>
  <c r="W37" i="27"/>
  <c r="R37" i="27"/>
  <c r="B37" i="27"/>
  <c r="C37" i="27" s="1"/>
  <c r="AJ36" i="27"/>
  <c r="AI36" i="27"/>
  <c r="AH36" i="27"/>
  <c r="AG36" i="27"/>
  <c r="AE36" i="27"/>
  <c r="AD36" i="27"/>
  <c r="Z36" i="27"/>
  <c r="Y36" i="27"/>
  <c r="X36" i="27"/>
  <c r="W36" i="27"/>
  <c r="R36" i="27"/>
  <c r="B36" i="27"/>
  <c r="AJ35" i="27"/>
  <c r="AI35" i="27"/>
  <c r="AH35" i="27"/>
  <c r="AG35" i="27"/>
  <c r="AE35" i="27"/>
  <c r="AD35" i="27"/>
  <c r="Z35" i="27"/>
  <c r="Y35" i="27"/>
  <c r="X35" i="27"/>
  <c r="W35" i="27"/>
  <c r="R35" i="27"/>
  <c r="B35" i="27"/>
  <c r="C35" i="27" s="1"/>
  <c r="AJ34" i="27"/>
  <c r="AI34" i="27"/>
  <c r="AH34" i="27"/>
  <c r="AG34" i="27"/>
  <c r="AE34" i="27"/>
  <c r="AD34" i="27"/>
  <c r="Z34" i="27"/>
  <c r="Y34" i="27"/>
  <c r="X34" i="27"/>
  <c r="W34" i="27"/>
  <c r="R34" i="27"/>
  <c r="B34" i="27"/>
  <c r="AJ33" i="27"/>
  <c r="AI33" i="27"/>
  <c r="AH33" i="27"/>
  <c r="AG33" i="27"/>
  <c r="AE33" i="27"/>
  <c r="AD33" i="27"/>
  <c r="Z33" i="27"/>
  <c r="Y33" i="27"/>
  <c r="X33" i="27"/>
  <c r="W33" i="27"/>
  <c r="R33" i="27"/>
  <c r="B33" i="27"/>
  <c r="C33" i="27" s="1"/>
  <c r="AJ32" i="27"/>
  <c r="AI32" i="27"/>
  <c r="AH32" i="27"/>
  <c r="AG32" i="27"/>
  <c r="AE32" i="27"/>
  <c r="AD32" i="27"/>
  <c r="Z32" i="27"/>
  <c r="Y32" i="27"/>
  <c r="X32" i="27"/>
  <c r="W32" i="27"/>
  <c r="R32" i="27"/>
  <c r="B32" i="27"/>
  <c r="AJ31" i="27"/>
  <c r="AI31" i="27"/>
  <c r="AH31" i="27"/>
  <c r="AG31" i="27"/>
  <c r="AE31" i="27"/>
  <c r="AD31" i="27"/>
  <c r="Z31" i="27"/>
  <c r="Y31" i="27"/>
  <c r="X31" i="27"/>
  <c r="W31" i="27"/>
  <c r="R31" i="27"/>
  <c r="B31" i="27"/>
  <c r="C31" i="27" s="1"/>
  <c r="AJ30" i="27"/>
  <c r="AI30" i="27"/>
  <c r="AH30" i="27"/>
  <c r="AG30" i="27"/>
  <c r="AE30" i="27"/>
  <c r="AD30" i="27"/>
  <c r="Z30" i="27"/>
  <c r="Y30" i="27"/>
  <c r="X30" i="27"/>
  <c r="W30" i="27"/>
  <c r="R30" i="27"/>
  <c r="B30" i="27"/>
  <c r="AJ29" i="27"/>
  <c r="AI29" i="27"/>
  <c r="AH29" i="27"/>
  <c r="AG29" i="27"/>
  <c r="AE29" i="27"/>
  <c r="AD29" i="27"/>
  <c r="Z29" i="27"/>
  <c r="Y29" i="27"/>
  <c r="X29" i="27"/>
  <c r="W29" i="27"/>
  <c r="R29" i="27"/>
  <c r="B29" i="27"/>
  <c r="C29" i="27" s="1"/>
  <c r="AJ28" i="27"/>
  <c r="AI28" i="27"/>
  <c r="AH28" i="27"/>
  <c r="AG28" i="27"/>
  <c r="AE28" i="27"/>
  <c r="AD28" i="27"/>
  <c r="Z28" i="27"/>
  <c r="Y28" i="27"/>
  <c r="X28" i="27"/>
  <c r="W28" i="27"/>
  <c r="R28" i="27"/>
  <c r="B28" i="27"/>
  <c r="AJ27" i="27"/>
  <c r="AI27" i="27"/>
  <c r="AH27" i="27"/>
  <c r="AG27" i="27"/>
  <c r="AE27" i="27"/>
  <c r="AD27" i="27"/>
  <c r="Z27" i="27"/>
  <c r="Y27" i="27"/>
  <c r="X27" i="27"/>
  <c r="W27" i="27"/>
  <c r="R27" i="27"/>
  <c r="B27" i="27"/>
  <c r="C27" i="27" s="1"/>
  <c r="AJ26" i="27"/>
  <c r="AI26" i="27"/>
  <c r="AH26" i="27"/>
  <c r="AG26" i="27"/>
  <c r="AE26" i="27"/>
  <c r="AD26" i="27"/>
  <c r="Z26" i="27"/>
  <c r="Y26" i="27"/>
  <c r="X26" i="27"/>
  <c r="W26" i="27"/>
  <c r="R26" i="27"/>
  <c r="B26" i="27"/>
  <c r="AJ25" i="27"/>
  <c r="AI25" i="27"/>
  <c r="AH25" i="27"/>
  <c r="AG25" i="27"/>
  <c r="AE25" i="27"/>
  <c r="AD25" i="27"/>
  <c r="Z25" i="27"/>
  <c r="Y25" i="27"/>
  <c r="X25" i="27"/>
  <c r="W25" i="27"/>
  <c r="R25" i="27"/>
  <c r="B25" i="27"/>
  <c r="C25" i="27" s="1"/>
  <c r="AJ24" i="27"/>
  <c r="AI24" i="27"/>
  <c r="AH24" i="27"/>
  <c r="AG24" i="27"/>
  <c r="AE24" i="27"/>
  <c r="AD24" i="27"/>
  <c r="Z24" i="27"/>
  <c r="Y24" i="27"/>
  <c r="X24" i="27"/>
  <c r="W24" i="27"/>
  <c r="R24" i="27"/>
  <c r="B24" i="27"/>
  <c r="AJ23" i="27"/>
  <c r="AI23" i="27"/>
  <c r="AH23" i="27"/>
  <c r="AG23" i="27"/>
  <c r="AE23" i="27"/>
  <c r="AD23" i="27"/>
  <c r="Z23" i="27"/>
  <c r="Y23" i="27"/>
  <c r="X23" i="27"/>
  <c r="W23" i="27"/>
  <c r="R23" i="27"/>
  <c r="B23" i="27"/>
  <c r="C23" i="27" s="1"/>
  <c r="AJ22" i="27"/>
  <c r="AI22" i="27"/>
  <c r="AH22" i="27"/>
  <c r="AG22" i="27"/>
  <c r="AE22" i="27"/>
  <c r="AD22" i="27"/>
  <c r="Z22" i="27"/>
  <c r="Y22" i="27"/>
  <c r="X22" i="27"/>
  <c r="W22" i="27"/>
  <c r="R22" i="27"/>
  <c r="B22" i="27"/>
  <c r="AJ21" i="27"/>
  <c r="AI21" i="27"/>
  <c r="AH21" i="27"/>
  <c r="AG21" i="27"/>
  <c r="AE21" i="27"/>
  <c r="AD21" i="27"/>
  <c r="Z21" i="27"/>
  <c r="Y21" i="27"/>
  <c r="X21" i="27"/>
  <c r="W21" i="27"/>
  <c r="R21" i="27"/>
  <c r="B21" i="27"/>
  <c r="C21" i="27" s="1"/>
  <c r="AJ20" i="27"/>
  <c r="AI20" i="27"/>
  <c r="AH20" i="27"/>
  <c r="AG20" i="27"/>
  <c r="AE20" i="27"/>
  <c r="AD20" i="27"/>
  <c r="Z20" i="27"/>
  <c r="Y20" i="27"/>
  <c r="X20" i="27"/>
  <c r="W20" i="27"/>
  <c r="R20" i="27"/>
  <c r="B20" i="27"/>
  <c r="AJ19" i="27"/>
  <c r="AI19" i="27"/>
  <c r="AH19" i="27"/>
  <c r="AG19" i="27"/>
  <c r="AE19" i="27"/>
  <c r="AD19" i="27"/>
  <c r="Z19" i="27"/>
  <c r="Y19" i="27"/>
  <c r="X19" i="27"/>
  <c r="W19" i="27"/>
  <c r="R19" i="27"/>
  <c r="B19" i="27"/>
  <c r="C19" i="27" s="1"/>
  <c r="AJ18" i="27"/>
  <c r="AI18" i="27"/>
  <c r="AH18" i="27"/>
  <c r="AG18" i="27"/>
  <c r="AE18" i="27"/>
  <c r="AD18" i="27"/>
  <c r="Z18" i="27"/>
  <c r="Y18" i="27"/>
  <c r="X18" i="27"/>
  <c r="W18" i="27"/>
  <c r="R18" i="27"/>
  <c r="B18" i="27"/>
  <c r="C18" i="27" s="1"/>
  <c r="AJ17" i="27"/>
  <c r="AI17" i="27"/>
  <c r="AH17" i="27"/>
  <c r="AG17" i="27"/>
  <c r="AE17" i="27"/>
  <c r="AD17" i="27"/>
  <c r="Z17" i="27"/>
  <c r="Y17" i="27"/>
  <c r="X17" i="27"/>
  <c r="W17" i="27"/>
  <c r="R17" i="27"/>
  <c r="B17" i="27"/>
  <c r="AJ16" i="27"/>
  <c r="AI16" i="27"/>
  <c r="AH16" i="27"/>
  <c r="AG16" i="27"/>
  <c r="AE16" i="27"/>
  <c r="AD16" i="27"/>
  <c r="Z16" i="27"/>
  <c r="Y16" i="27"/>
  <c r="X16" i="27"/>
  <c r="W16" i="27"/>
  <c r="R16" i="27"/>
  <c r="B16" i="27"/>
  <c r="C16" i="27" s="1"/>
  <c r="AJ15" i="27"/>
  <c r="AI15" i="27"/>
  <c r="AH15" i="27"/>
  <c r="AG15" i="27"/>
  <c r="AE15" i="27"/>
  <c r="AD15" i="27"/>
  <c r="Z15" i="27"/>
  <c r="Y15" i="27"/>
  <c r="X15" i="27"/>
  <c r="W15" i="27"/>
  <c r="R15" i="27"/>
  <c r="B15" i="27"/>
  <c r="C15" i="27" s="1"/>
  <c r="AJ14" i="27"/>
  <c r="AI14" i="27"/>
  <c r="AH14" i="27"/>
  <c r="AG14" i="27"/>
  <c r="AE14" i="27"/>
  <c r="AD14" i="27"/>
  <c r="Z14" i="27"/>
  <c r="Y14" i="27"/>
  <c r="X14" i="27"/>
  <c r="W14" i="27"/>
  <c r="R14" i="27"/>
  <c r="B14" i="27"/>
  <c r="C14" i="27" s="1"/>
  <c r="AJ13" i="27"/>
  <c r="AI13" i="27"/>
  <c r="AH13" i="27"/>
  <c r="AG13" i="27"/>
  <c r="AE13" i="27"/>
  <c r="AD13" i="27"/>
  <c r="Z13" i="27"/>
  <c r="Y13" i="27"/>
  <c r="X13" i="27"/>
  <c r="W13" i="27"/>
  <c r="R13" i="27"/>
  <c r="B13" i="27"/>
  <c r="C13" i="27" s="1"/>
  <c r="AJ12" i="27"/>
  <c r="AI12" i="27"/>
  <c r="AH12" i="27"/>
  <c r="AG12" i="27"/>
  <c r="AE12" i="27"/>
  <c r="AD12" i="27"/>
  <c r="Z12" i="27"/>
  <c r="Y12" i="27"/>
  <c r="X12" i="27"/>
  <c r="W12" i="27"/>
  <c r="R12" i="27"/>
  <c r="B12" i="27"/>
  <c r="C12" i="27" s="1"/>
  <c r="G8" i="27"/>
  <c r="AJ41" i="26"/>
  <c r="AI41" i="26"/>
  <c r="AH41" i="26"/>
  <c r="AG41" i="26"/>
  <c r="AE41" i="26"/>
  <c r="AD41" i="26"/>
  <c r="Z41" i="26"/>
  <c r="Y41" i="26"/>
  <c r="X41" i="26"/>
  <c r="W41" i="26"/>
  <c r="R41" i="26"/>
  <c r="B41" i="26"/>
  <c r="AJ40" i="26"/>
  <c r="AI40" i="26"/>
  <c r="AH40" i="26"/>
  <c r="AG40" i="26"/>
  <c r="AE40" i="26"/>
  <c r="AD40" i="26"/>
  <c r="Z40" i="26"/>
  <c r="Y40" i="26"/>
  <c r="X40" i="26"/>
  <c r="W40" i="26"/>
  <c r="R40" i="26"/>
  <c r="B40" i="26"/>
  <c r="AJ39" i="26"/>
  <c r="AI39" i="26"/>
  <c r="AH39" i="26"/>
  <c r="AG39" i="26"/>
  <c r="AE39" i="26"/>
  <c r="AD39" i="26"/>
  <c r="Z39" i="26"/>
  <c r="Y39" i="26"/>
  <c r="X39" i="26"/>
  <c r="W39" i="26"/>
  <c r="R39" i="26"/>
  <c r="B39" i="26"/>
  <c r="AJ38" i="26"/>
  <c r="AI38" i="26"/>
  <c r="AH38" i="26"/>
  <c r="AG38" i="26"/>
  <c r="AE38" i="26"/>
  <c r="AD38" i="26"/>
  <c r="Z38" i="26"/>
  <c r="Y38" i="26"/>
  <c r="X38" i="26"/>
  <c r="W38" i="26"/>
  <c r="R38" i="26"/>
  <c r="B38" i="26"/>
  <c r="AJ37" i="26"/>
  <c r="AI37" i="26"/>
  <c r="AH37" i="26"/>
  <c r="AG37" i="26"/>
  <c r="AE37" i="26"/>
  <c r="AD37" i="26"/>
  <c r="Z37" i="26"/>
  <c r="Y37" i="26"/>
  <c r="X37" i="26"/>
  <c r="W37" i="26"/>
  <c r="R37" i="26"/>
  <c r="B37" i="26"/>
  <c r="AJ36" i="26"/>
  <c r="AI36" i="26"/>
  <c r="AH36" i="26"/>
  <c r="AG36" i="26"/>
  <c r="AE36" i="26"/>
  <c r="AD36" i="26"/>
  <c r="Z36" i="26"/>
  <c r="Y36" i="26"/>
  <c r="X36" i="26"/>
  <c r="W36" i="26"/>
  <c r="R36" i="26"/>
  <c r="B36" i="26"/>
  <c r="AJ35" i="26"/>
  <c r="AI35" i="26"/>
  <c r="AH35" i="26"/>
  <c r="AG35" i="26"/>
  <c r="AE35" i="26"/>
  <c r="AD35" i="26"/>
  <c r="Z35" i="26"/>
  <c r="Y35" i="26"/>
  <c r="X35" i="26"/>
  <c r="W35" i="26"/>
  <c r="R35" i="26"/>
  <c r="B35" i="26"/>
  <c r="AJ34" i="26"/>
  <c r="AI34" i="26"/>
  <c r="AH34" i="26"/>
  <c r="AG34" i="26"/>
  <c r="AE34" i="26"/>
  <c r="AD34" i="26"/>
  <c r="Z34" i="26"/>
  <c r="Y34" i="26"/>
  <c r="X34" i="26"/>
  <c r="W34" i="26"/>
  <c r="R34" i="26"/>
  <c r="B34" i="26"/>
  <c r="AJ33" i="26"/>
  <c r="AI33" i="26"/>
  <c r="AH33" i="26"/>
  <c r="AG33" i="26"/>
  <c r="AE33" i="26"/>
  <c r="AD33" i="26"/>
  <c r="Z33" i="26"/>
  <c r="Y33" i="26"/>
  <c r="X33" i="26"/>
  <c r="W33" i="26"/>
  <c r="R33" i="26"/>
  <c r="B33" i="26"/>
  <c r="AJ32" i="26"/>
  <c r="AI32" i="26"/>
  <c r="AH32" i="26"/>
  <c r="AG32" i="26"/>
  <c r="AE32" i="26"/>
  <c r="AD32" i="26"/>
  <c r="Z32" i="26"/>
  <c r="Y32" i="26"/>
  <c r="X32" i="26"/>
  <c r="W32" i="26"/>
  <c r="R32" i="26"/>
  <c r="B32" i="26"/>
  <c r="AJ31" i="26"/>
  <c r="AI31" i="26"/>
  <c r="AH31" i="26"/>
  <c r="AG31" i="26"/>
  <c r="AE31" i="26"/>
  <c r="AD31" i="26"/>
  <c r="Z31" i="26"/>
  <c r="Y31" i="26"/>
  <c r="X31" i="26"/>
  <c r="W31" i="26"/>
  <c r="R31" i="26"/>
  <c r="B31" i="26"/>
  <c r="AJ30" i="26"/>
  <c r="AI30" i="26"/>
  <c r="AH30" i="26"/>
  <c r="AG30" i="26"/>
  <c r="AE30" i="26"/>
  <c r="AD30" i="26"/>
  <c r="Z30" i="26"/>
  <c r="Y30" i="26"/>
  <c r="X30" i="26"/>
  <c r="W30" i="26"/>
  <c r="R30" i="26"/>
  <c r="B30" i="26"/>
  <c r="AJ29" i="26"/>
  <c r="AI29" i="26"/>
  <c r="AH29" i="26"/>
  <c r="AG29" i="26"/>
  <c r="AE29" i="26"/>
  <c r="AD29" i="26"/>
  <c r="Z29" i="26"/>
  <c r="Y29" i="26"/>
  <c r="X29" i="26"/>
  <c r="W29" i="26"/>
  <c r="R29" i="26"/>
  <c r="B29" i="26"/>
  <c r="AJ28" i="26"/>
  <c r="AI28" i="26"/>
  <c r="AH28" i="26"/>
  <c r="AG28" i="26"/>
  <c r="AE28" i="26"/>
  <c r="AD28" i="26"/>
  <c r="Z28" i="26"/>
  <c r="Y28" i="26"/>
  <c r="X28" i="26"/>
  <c r="W28" i="26"/>
  <c r="R28" i="26"/>
  <c r="B28" i="26"/>
  <c r="AJ27" i="26"/>
  <c r="AI27" i="26"/>
  <c r="AH27" i="26"/>
  <c r="AG27" i="26"/>
  <c r="AE27" i="26"/>
  <c r="AD27" i="26"/>
  <c r="Z27" i="26"/>
  <c r="Y27" i="26"/>
  <c r="X27" i="26"/>
  <c r="W27" i="26"/>
  <c r="R27" i="26"/>
  <c r="B27" i="26"/>
  <c r="C27" i="26" s="1"/>
  <c r="AJ26" i="26"/>
  <c r="AI26" i="26"/>
  <c r="AH26" i="26"/>
  <c r="AG26" i="26"/>
  <c r="AE26" i="26"/>
  <c r="AD26" i="26"/>
  <c r="Z26" i="26"/>
  <c r="Y26" i="26"/>
  <c r="X26" i="26"/>
  <c r="W26" i="26"/>
  <c r="R26" i="26"/>
  <c r="B26" i="26"/>
  <c r="AJ25" i="26"/>
  <c r="AI25" i="26"/>
  <c r="AH25" i="26"/>
  <c r="AG25" i="26"/>
  <c r="AE25" i="26"/>
  <c r="AD25" i="26"/>
  <c r="Z25" i="26"/>
  <c r="Y25" i="26"/>
  <c r="X25" i="26"/>
  <c r="W25" i="26"/>
  <c r="R25" i="26"/>
  <c r="B25" i="26"/>
  <c r="AJ24" i="26"/>
  <c r="AI24" i="26"/>
  <c r="AH24" i="26"/>
  <c r="AG24" i="26"/>
  <c r="AE24" i="26"/>
  <c r="AD24" i="26"/>
  <c r="Z24" i="26"/>
  <c r="Y24" i="26"/>
  <c r="X24" i="26"/>
  <c r="W24" i="26"/>
  <c r="R24" i="26"/>
  <c r="B24" i="26"/>
  <c r="AJ23" i="26"/>
  <c r="AI23" i="26"/>
  <c r="AH23" i="26"/>
  <c r="AG23" i="26"/>
  <c r="AE23" i="26"/>
  <c r="AD23" i="26"/>
  <c r="Z23" i="26"/>
  <c r="Y23" i="26"/>
  <c r="X23" i="26"/>
  <c r="W23" i="26"/>
  <c r="R23" i="26"/>
  <c r="B23" i="26"/>
  <c r="AJ22" i="26"/>
  <c r="AI22" i="26"/>
  <c r="AH22" i="26"/>
  <c r="AG22" i="26"/>
  <c r="AE22" i="26"/>
  <c r="AD22" i="26"/>
  <c r="Z22" i="26"/>
  <c r="Y22" i="26"/>
  <c r="X22" i="26"/>
  <c r="W22" i="26"/>
  <c r="R22" i="26"/>
  <c r="B22" i="26"/>
  <c r="AJ21" i="26"/>
  <c r="AI21" i="26"/>
  <c r="AH21" i="26"/>
  <c r="AG21" i="26"/>
  <c r="AE21" i="26"/>
  <c r="AD21" i="26"/>
  <c r="Z21" i="26"/>
  <c r="Y21" i="26"/>
  <c r="X21" i="26"/>
  <c r="W21" i="26"/>
  <c r="R21" i="26"/>
  <c r="B21" i="26"/>
  <c r="AJ20" i="26"/>
  <c r="AI20" i="26"/>
  <c r="AH20" i="26"/>
  <c r="AG20" i="26"/>
  <c r="AE20" i="26"/>
  <c r="AD20" i="26"/>
  <c r="Z20" i="26"/>
  <c r="Y20" i="26"/>
  <c r="X20" i="26"/>
  <c r="W20" i="26"/>
  <c r="R20" i="26"/>
  <c r="B20" i="26"/>
  <c r="AJ19" i="26"/>
  <c r="AI19" i="26"/>
  <c r="AH19" i="26"/>
  <c r="AG19" i="26"/>
  <c r="AE19" i="26"/>
  <c r="AD19" i="26"/>
  <c r="Z19" i="26"/>
  <c r="Y19" i="26"/>
  <c r="X19" i="26"/>
  <c r="W19" i="26"/>
  <c r="R19" i="26"/>
  <c r="B19" i="26"/>
  <c r="AJ18" i="26"/>
  <c r="AI18" i="26"/>
  <c r="AH18" i="26"/>
  <c r="AG18" i="26"/>
  <c r="AE18" i="26"/>
  <c r="AD18" i="26"/>
  <c r="Z18" i="26"/>
  <c r="Y18" i="26"/>
  <c r="X18" i="26"/>
  <c r="W18" i="26"/>
  <c r="R18" i="26"/>
  <c r="B18" i="26"/>
  <c r="AJ17" i="26"/>
  <c r="AI17" i="26"/>
  <c r="AH17" i="26"/>
  <c r="AG17" i="26"/>
  <c r="AE17" i="26"/>
  <c r="AD17" i="26"/>
  <c r="Z17" i="26"/>
  <c r="Y17" i="26"/>
  <c r="X17" i="26"/>
  <c r="W17" i="26"/>
  <c r="R17" i="26"/>
  <c r="B17" i="26"/>
  <c r="AJ16" i="26"/>
  <c r="AI16" i="26"/>
  <c r="AH16" i="26"/>
  <c r="AG16" i="26"/>
  <c r="AE16" i="26"/>
  <c r="AD16" i="26"/>
  <c r="Z16" i="26"/>
  <c r="Y16" i="26"/>
  <c r="X16" i="26"/>
  <c r="W16" i="26"/>
  <c r="R16" i="26"/>
  <c r="B16" i="26"/>
  <c r="AJ15" i="26"/>
  <c r="AI15" i="26"/>
  <c r="AH15" i="26"/>
  <c r="AG15" i="26"/>
  <c r="AE15" i="26"/>
  <c r="AD15" i="26"/>
  <c r="Z15" i="26"/>
  <c r="Y15" i="26"/>
  <c r="X15" i="26"/>
  <c r="W15" i="26"/>
  <c r="R15" i="26"/>
  <c r="B15" i="26"/>
  <c r="AJ14" i="26"/>
  <c r="AI14" i="26"/>
  <c r="AH14" i="26"/>
  <c r="AG14" i="26"/>
  <c r="AE14" i="26"/>
  <c r="AD14" i="26"/>
  <c r="Z14" i="26"/>
  <c r="Y14" i="26"/>
  <c r="X14" i="26"/>
  <c r="W14" i="26"/>
  <c r="R14" i="26"/>
  <c r="B14" i="26"/>
  <c r="AJ13" i="26"/>
  <c r="AI13" i="26"/>
  <c r="AH13" i="26"/>
  <c r="AG13" i="26"/>
  <c r="AE13" i="26"/>
  <c r="AD13" i="26"/>
  <c r="Z13" i="26"/>
  <c r="Y13" i="26"/>
  <c r="X13" i="26"/>
  <c r="W13" i="26"/>
  <c r="R13" i="26"/>
  <c r="B13" i="26"/>
  <c r="AJ12" i="26"/>
  <c r="AI12" i="26"/>
  <c r="AH12" i="26"/>
  <c r="AG12" i="26"/>
  <c r="AE12" i="26"/>
  <c r="AD12" i="26"/>
  <c r="Z12" i="26"/>
  <c r="Y12" i="26"/>
  <c r="X12" i="26"/>
  <c r="W12" i="26"/>
  <c r="R12" i="26"/>
  <c r="B12" i="26"/>
  <c r="G8" i="26"/>
  <c r="AJ42" i="25"/>
  <c r="AI42" i="25"/>
  <c r="AH42" i="25"/>
  <c r="AG42" i="25"/>
  <c r="AE42" i="25"/>
  <c r="AD42" i="25"/>
  <c r="Z42" i="25"/>
  <c r="Y42" i="25"/>
  <c r="X42" i="25"/>
  <c r="W42" i="25"/>
  <c r="R42" i="25"/>
  <c r="B42" i="25"/>
  <c r="AJ41" i="25"/>
  <c r="AI41" i="25"/>
  <c r="AH41" i="25"/>
  <c r="AG41" i="25"/>
  <c r="AE41" i="25"/>
  <c r="AD41" i="25"/>
  <c r="Z41" i="25"/>
  <c r="Y41" i="25"/>
  <c r="X41" i="25"/>
  <c r="W41" i="25"/>
  <c r="R41" i="25"/>
  <c r="B41" i="25"/>
  <c r="AJ40" i="25"/>
  <c r="AI40" i="25"/>
  <c r="AH40" i="25"/>
  <c r="AG40" i="25"/>
  <c r="AE40" i="25"/>
  <c r="AD40" i="25"/>
  <c r="Z40" i="25"/>
  <c r="Y40" i="25"/>
  <c r="X40" i="25"/>
  <c r="W40" i="25"/>
  <c r="R40" i="25"/>
  <c r="B40" i="25"/>
  <c r="AJ39" i="25"/>
  <c r="AI39" i="25"/>
  <c r="AH39" i="25"/>
  <c r="AG39" i="25"/>
  <c r="AE39" i="25"/>
  <c r="AD39" i="25"/>
  <c r="Z39" i="25"/>
  <c r="Y39" i="25"/>
  <c r="X39" i="25"/>
  <c r="W39" i="25"/>
  <c r="R39" i="25"/>
  <c r="B39" i="25"/>
  <c r="AJ38" i="25"/>
  <c r="AI38" i="25"/>
  <c r="AH38" i="25"/>
  <c r="AG38" i="25"/>
  <c r="AE38" i="25"/>
  <c r="AD38" i="25"/>
  <c r="Z38" i="25"/>
  <c r="Y38" i="25"/>
  <c r="X38" i="25"/>
  <c r="W38" i="25"/>
  <c r="R38" i="25"/>
  <c r="B38" i="25"/>
  <c r="AJ37" i="25"/>
  <c r="AI37" i="25"/>
  <c r="AH37" i="25"/>
  <c r="AG37" i="25"/>
  <c r="AE37" i="25"/>
  <c r="AD37" i="25"/>
  <c r="Z37" i="25"/>
  <c r="Y37" i="25"/>
  <c r="X37" i="25"/>
  <c r="W37" i="25"/>
  <c r="R37" i="25"/>
  <c r="B37" i="25"/>
  <c r="AJ36" i="25"/>
  <c r="AI36" i="25"/>
  <c r="AH36" i="25"/>
  <c r="AG36" i="25"/>
  <c r="AE36" i="25"/>
  <c r="AD36" i="25"/>
  <c r="Z36" i="25"/>
  <c r="Y36" i="25"/>
  <c r="X36" i="25"/>
  <c r="W36" i="25"/>
  <c r="R36" i="25"/>
  <c r="B36" i="25"/>
  <c r="AJ35" i="25"/>
  <c r="AI35" i="25"/>
  <c r="AH35" i="25"/>
  <c r="AG35" i="25"/>
  <c r="AE35" i="25"/>
  <c r="AD35" i="25"/>
  <c r="Z35" i="25"/>
  <c r="Y35" i="25"/>
  <c r="X35" i="25"/>
  <c r="W35" i="25"/>
  <c r="R35" i="25"/>
  <c r="B35" i="25"/>
  <c r="AJ34" i="25"/>
  <c r="AI34" i="25"/>
  <c r="AH34" i="25"/>
  <c r="AG34" i="25"/>
  <c r="AE34" i="25"/>
  <c r="AD34" i="25"/>
  <c r="Z34" i="25"/>
  <c r="Y34" i="25"/>
  <c r="X34" i="25"/>
  <c r="W34" i="25"/>
  <c r="R34" i="25"/>
  <c r="B34" i="25"/>
  <c r="AJ33" i="25"/>
  <c r="AI33" i="25"/>
  <c r="AH33" i="25"/>
  <c r="AG33" i="25"/>
  <c r="AE33" i="25"/>
  <c r="AD33" i="25"/>
  <c r="Z33" i="25"/>
  <c r="Y33" i="25"/>
  <c r="X33" i="25"/>
  <c r="W33" i="25"/>
  <c r="R33" i="25"/>
  <c r="B33" i="25"/>
  <c r="AJ32" i="25"/>
  <c r="AI32" i="25"/>
  <c r="AH32" i="25"/>
  <c r="AG32" i="25"/>
  <c r="AE32" i="25"/>
  <c r="AD32" i="25"/>
  <c r="Z32" i="25"/>
  <c r="Y32" i="25"/>
  <c r="X32" i="25"/>
  <c r="W32" i="25"/>
  <c r="R32" i="25"/>
  <c r="B32" i="25"/>
  <c r="AJ31" i="25"/>
  <c r="AI31" i="25"/>
  <c r="AH31" i="25"/>
  <c r="AG31" i="25"/>
  <c r="AE31" i="25"/>
  <c r="AD31" i="25"/>
  <c r="Z31" i="25"/>
  <c r="Y31" i="25"/>
  <c r="X31" i="25"/>
  <c r="W31" i="25"/>
  <c r="R31" i="25"/>
  <c r="B31" i="25"/>
  <c r="AJ30" i="25"/>
  <c r="AI30" i="25"/>
  <c r="AH30" i="25"/>
  <c r="AG30" i="25"/>
  <c r="AE30" i="25"/>
  <c r="AD30" i="25"/>
  <c r="Z30" i="25"/>
  <c r="Y30" i="25"/>
  <c r="X30" i="25"/>
  <c r="W30" i="25"/>
  <c r="R30" i="25"/>
  <c r="B30" i="25"/>
  <c r="AJ29" i="25"/>
  <c r="AI29" i="25"/>
  <c r="AH29" i="25"/>
  <c r="AG29" i="25"/>
  <c r="AE29" i="25"/>
  <c r="AD29" i="25"/>
  <c r="Z29" i="25"/>
  <c r="Y29" i="25"/>
  <c r="X29" i="25"/>
  <c r="W29" i="25"/>
  <c r="R29" i="25"/>
  <c r="B29" i="25"/>
  <c r="AJ28" i="25"/>
  <c r="AI28" i="25"/>
  <c r="AH28" i="25"/>
  <c r="AG28" i="25"/>
  <c r="AE28" i="25"/>
  <c r="AD28" i="25"/>
  <c r="Z28" i="25"/>
  <c r="Y28" i="25"/>
  <c r="X28" i="25"/>
  <c r="W28" i="25"/>
  <c r="R28" i="25"/>
  <c r="B28" i="25"/>
  <c r="AJ27" i="25"/>
  <c r="AI27" i="25"/>
  <c r="AH27" i="25"/>
  <c r="AG27" i="25"/>
  <c r="AE27" i="25"/>
  <c r="AD27" i="25"/>
  <c r="Z27" i="25"/>
  <c r="Y27" i="25"/>
  <c r="X27" i="25"/>
  <c r="W27" i="25"/>
  <c r="R27" i="25"/>
  <c r="B27" i="25"/>
  <c r="AJ26" i="25"/>
  <c r="AI26" i="25"/>
  <c r="AH26" i="25"/>
  <c r="AG26" i="25"/>
  <c r="AE26" i="25"/>
  <c r="AD26" i="25"/>
  <c r="Z26" i="25"/>
  <c r="Y26" i="25"/>
  <c r="X26" i="25"/>
  <c r="W26" i="25"/>
  <c r="R26" i="25"/>
  <c r="B26" i="25"/>
  <c r="AJ25" i="25"/>
  <c r="AI25" i="25"/>
  <c r="AH25" i="25"/>
  <c r="AG25" i="25"/>
  <c r="AE25" i="25"/>
  <c r="AD25" i="25"/>
  <c r="Z25" i="25"/>
  <c r="Y25" i="25"/>
  <c r="X25" i="25"/>
  <c r="W25" i="25"/>
  <c r="R25" i="25"/>
  <c r="B25" i="25"/>
  <c r="AJ24" i="25"/>
  <c r="AI24" i="25"/>
  <c r="AH24" i="25"/>
  <c r="AG24" i="25"/>
  <c r="AE24" i="25"/>
  <c r="AD24" i="25"/>
  <c r="Z24" i="25"/>
  <c r="Y24" i="25"/>
  <c r="X24" i="25"/>
  <c r="W24" i="25"/>
  <c r="R24" i="25"/>
  <c r="B24" i="25"/>
  <c r="AJ23" i="25"/>
  <c r="AI23" i="25"/>
  <c r="AH23" i="25"/>
  <c r="AG23" i="25"/>
  <c r="AE23" i="25"/>
  <c r="AD23" i="25"/>
  <c r="Z23" i="25"/>
  <c r="Y23" i="25"/>
  <c r="X23" i="25"/>
  <c r="W23" i="25"/>
  <c r="R23" i="25"/>
  <c r="B23" i="25"/>
  <c r="AJ22" i="25"/>
  <c r="AI22" i="25"/>
  <c r="AH22" i="25"/>
  <c r="AG22" i="25"/>
  <c r="AE22" i="25"/>
  <c r="AD22" i="25"/>
  <c r="Z22" i="25"/>
  <c r="Y22" i="25"/>
  <c r="X22" i="25"/>
  <c r="W22" i="25"/>
  <c r="R22" i="25"/>
  <c r="B22" i="25"/>
  <c r="AJ21" i="25"/>
  <c r="AI21" i="25"/>
  <c r="AH21" i="25"/>
  <c r="AG21" i="25"/>
  <c r="AE21" i="25"/>
  <c r="AD21" i="25"/>
  <c r="Z21" i="25"/>
  <c r="Y21" i="25"/>
  <c r="X21" i="25"/>
  <c r="W21" i="25"/>
  <c r="R21" i="25"/>
  <c r="B21" i="25"/>
  <c r="AJ20" i="25"/>
  <c r="AI20" i="25"/>
  <c r="AH20" i="25"/>
  <c r="AG20" i="25"/>
  <c r="AE20" i="25"/>
  <c r="AD20" i="25"/>
  <c r="Z20" i="25"/>
  <c r="Y20" i="25"/>
  <c r="X20" i="25"/>
  <c r="W20" i="25"/>
  <c r="R20" i="25"/>
  <c r="B20" i="25"/>
  <c r="AJ19" i="25"/>
  <c r="AI19" i="25"/>
  <c r="AH19" i="25"/>
  <c r="AG19" i="25"/>
  <c r="AE19" i="25"/>
  <c r="AD19" i="25"/>
  <c r="Z19" i="25"/>
  <c r="Y19" i="25"/>
  <c r="X19" i="25"/>
  <c r="W19" i="25"/>
  <c r="R19" i="25"/>
  <c r="B19" i="25"/>
  <c r="C19" i="25" s="1"/>
  <c r="AJ18" i="25"/>
  <c r="AI18" i="25"/>
  <c r="AH18" i="25"/>
  <c r="AG18" i="25"/>
  <c r="AE18" i="25"/>
  <c r="AD18" i="25"/>
  <c r="Z18" i="25"/>
  <c r="Y18" i="25"/>
  <c r="X18" i="25"/>
  <c r="W18" i="25"/>
  <c r="R18" i="25"/>
  <c r="B18" i="25"/>
  <c r="AJ17" i="25"/>
  <c r="AI17" i="25"/>
  <c r="AH17" i="25"/>
  <c r="AG17" i="25"/>
  <c r="AE17" i="25"/>
  <c r="AD17" i="25"/>
  <c r="Z17" i="25"/>
  <c r="Y17" i="25"/>
  <c r="X17" i="25"/>
  <c r="W17" i="25"/>
  <c r="R17" i="25"/>
  <c r="B17" i="25"/>
  <c r="AJ16" i="25"/>
  <c r="AI16" i="25"/>
  <c r="AH16" i="25"/>
  <c r="AG16" i="25"/>
  <c r="AE16" i="25"/>
  <c r="AD16" i="25"/>
  <c r="Z16" i="25"/>
  <c r="Y16" i="25"/>
  <c r="X16" i="25"/>
  <c r="W16" i="25"/>
  <c r="R16" i="25"/>
  <c r="B16" i="25"/>
  <c r="AJ15" i="25"/>
  <c r="AI15" i="25"/>
  <c r="AH15" i="25"/>
  <c r="AG15" i="25"/>
  <c r="AE15" i="25"/>
  <c r="AD15" i="25"/>
  <c r="Z15" i="25"/>
  <c r="Y15" i="25"/>
  <c r="X15" i="25"/>
  <c r="W15" i="25"/>
  <c r="R15" i="25"/>
  <c r="B15" i="25"/>
  <c r="AJ14" i="25"/>
  <c r="AI14" i="25"/>
  <c r="AH14" i="25"/>
  <c r="AG14" i="25"/>
  <c r="AE14" i="25"/>
  <c r="AD14" i="25"/>
  <c r="Z14" i="25"/>
  <c r="Y14" i="25"/>
  <c r="X14" i="25"/>
  <c r="W14" i="25"/>
  <c r="R14" i="25"/>
  <c r="B14" i="25"/>
  <c r="AJ13" i="25"/>
  <c r="AI13" i="25"/>
  <c r="AH13" i="25"/>
  <c r="AG13" i="25"/>
  <c r="AE13" i="25"/>
  <c r="AD13" i="25"/>
  <c r="Z13" i="25"/>
  <c r="Y13" i="25"/>
  <c r="X13" i="25"/>
  <c r="W13" i="25"/>
  <c r="R13" i="25"/>
  <c r="B13" i="25"/>
  <c r="AJ12" i="25"/>
  <c r="AI12" i="25"/>
  <c r="AH12" i="25"/>
  <c r="AG12" i="25"/>
  <c r="AE12" i="25"/>
  <c r="AD12" i="25"/>
  <c r="Z12" i="25"/>
  <c r="Y12" i="25"/>
  <c r="X12" i="25"/>
  <c r="W12" i="25"/>
  <c r="R12" i="25"/>
  <c r="B12" i="25"/>
  <c r="G8" i="25"/>
  <c r="AJ41" i="24"/>
  <c r="AI41" i="24"/>
  <c r="AH41" i="24"/>
  <c r="AG41" i="24"/>
  <c r="AE41" i="24"/>
  <c r="AD41" i="24"/>
  <c r="Z41" i="24"/>
  <c r="Y41" i="24"/>
  <c r="X41" i="24"/>
  <c r="W41" i="24"/>
  <c r="R41" i="24"/>
  <c r="B41" i="24"/>
  <c r="AJ40" i="24"/>
  <c r="AI40" i="24"/>
  <c r="AH40" i="24"/>
  <c r="AG40" i="24"/>
  <c r="AE40" i="24"/>
  <c r="AD40" i="24"/>
  <c r="Z40" i="24"/>
  <c r="Y40" i="24"/>
  <c r="X40" i="24"/>
  <c r="W40" i="24"/>
  <c r="R40" i="24"/>
  <c r="B40" i="24"/>
  <c r="C40" i="24" s="1"/>
  <c r="AJ39" i="24"/>
  <c r="AI39" i="24"/>
  <c r="AH39" i="24"/>
  <c r="AG39" i="24"/>
  <c r="AE39" i="24"/>
  <c r="AD39" i="24"/>
  <c r="Z39" i="24"/>
  <c r="Y39" i="24"/>
  <c r="X39" i="24"/>
  <c r="W39" i="24"/>
  <c r="R39" i="24"/>
  <c r="B39" i="24"/>
  <c r="AJ38" i="24"/>
  <c r="AI38" i="24"/>
  <c r="AH38" i="24"/>
  <c r="AG38" i="24"/>
  <c r="AE38" i="24"/>
  <c r="AD38" i="24"/>
  <c r="Z38" i="24"/>
  <c r="Y38" i="24"/>
  <c r="X38" i="24"/>
  <c r="W38" i="24"/>
  <c r="R38" i="24"/>
  <c r="B38" i="24"/>
  <c r="C38" i="24" s="1"/>
  <c r="AJ37" i="24"/>
  <c r="AI37" i="24"/>
  <c r="AH37" i="24"/>
  <c r="AG37" i="24"/>
  <c r="AE37" i="24"/>
  <c r="AD37" i="24"/>
  <c r="Z37" i="24"/>
  <c r="Y37" i="24"/>
  <c r="X37" i="24"/>
  <c r="W37" i="24"/>
  <c r="R37" i="24"/>
  <c r="B37" i="24"/>
  <c r="AJ36" i="24"/>
  <c r="AI36" i="24"/>
  <c r="AH36" i="24"/>
  <c r="AG36" i="24"/>
  <c r="AE36" i="24"/>
  <c r="AD36" i="24"/>
  <c r="Z36" i="24"/>
  <c r="Y36" i="24"/>
  <c r="X36" i="24"/>
  <c r="W36" i="24"/>
  <c r="R36" i="24"/>
  <c r="B36" i="24"/>
  <c r="C36" i="24" s="1"/>
  <c r="AJ35" i="24"/>
  <c r="AI35" i="24"/>
  <c r="AH35" i="24"/>
  <c r="AG35" i="24"/>
  <c r="AE35" i="24"/>
  <c r="AD35" i="24"/>
  <c r="Z35" i="24"/>
  <c r="Y35" i="24"/>
  <c r="X35" i="24"/>
  <c r="W35" i="24"/>
  <c r="R35" i="24"/>
  <c r="B35" i="24"/>
  <c r="AJ34" i="24"/>
  <c r="AI34" i="24"/>
  <c r="AH34" i="24"/>
  <c r="AG34" i="24"/>
  <c r="AE34" i="24"/>
  <c r="AD34" i="24"/>
  <c r="Z34" i="24"/>
  <c r="Y34" i="24"/>
  <c r="X34" i="24"/>
  <c r="W34" i="24"/>
  <c r="R34" i="24"/>
  <c r="B34" i="24"/>
  <c r="C34" i="24" s="1"/>
  <c r="AJ33" i="24"/>
  <c r="AI33" i="24"/>
  <c r="AH33" i="24"/>
  <c r="AG33" i="24"/>
  <c r="AE33" i="24"/>
  <c r="AD33" i="24"/>
  <c r="Z33" i="24"/>
  <c r="Y33" i="24"/>
  <c r="X33" i="24"/>
  <c r="W33" i="24"/>
  <c r="R33" i="24"/>
  <c r="B33" i="24"/>
  <c r="AJ32" i="24"/>
  <c r="AI32" i="24"/>
  <c r="AH32" i="24"/>
  <c r="AG32" i="24"/>
  <c r="AE32" i="24"/>
  <c r="AD32" i="24"/>
  <c r="Z32" i="24"/>
  <c r="Y32" i="24"/>
  <c r="X32" i="24"/>
  <c r="W32" i="24"/>
  <c r="R32" i="24"/>
  <c r="B32" i="24"/>
  <c r="C32" i="24" s="1"/>
  <c r="AJ31" i="24"/>
  <c r="AI31" i="24"/>
  <c r="AH31" i="24"/>
  <c r="AG31" i="24"/>
  <c r="AE31" i="24"/>
  <c r="AD31" i="24"/>
  <c r="Z31" i="24"/>
  <c r="Y31" i="24"/>
  <c r="X31" i="24"/>
  <c r="W31" i="24"/>
  <c r="R31" i="24"/>
  <c r="B31" i="24"/>
  <c r="AJ30" i="24"/>
  <c r="AI30" i="24"/>
  <c r="AH30" i="24"/>
  <c r="AG30" i="24"/>
  <c r="AE30" i="24"/>
  <c r="AD30" i="24"/>
  <c r="Z30" i="24"/>
  <c r="Y30" i="24"/>
  <c r="X30" i="24"/>
  <c r="W30" i="24"/>
  <c r="R30" i="24"/>
  <c r="B30" i="24"/>
  <c r="C30" i="24" s="1"/>
  <c r="AJ29" i="24"/>
  <c r="AI29" i="24"/>
  <c r="AH29" i="24"/>
  <c r="AG29" i="24"/>
  <c r="AE29" i="24"/>
  <c r="AD29" i="24"/>
  <c r="Z29" i="24"/>
  <c r="Y29" i="24"/>
  <c r="X29" i="24"/>
  <c r="W29" i="24"/>
  <c r="R29" i="24"/>
  <c r="B29" i="24"/>
  <c r="AJ28" i="24"/>
  <c r="AI28" i="24"/>
  <c r="AH28" i="24"/>
  <c r="AG28" i="24"/>
  <c r="AE28" i="24"/>
  <c r="AD28" i="24"/>
  <c r="Z28" i="24"/>
  <c r="Y28" i="24"/>
  <c r="X28" i="24"/>
  <c r="W28" i="24"/>
  <c r="R28" i="24"/>
  <c r="B28" i="24"/>
  <c r="C28" i="24" s="1"/>
  <c r="AJ27" i="24"/>
  <c r="AI27" i="24"/>
  <c r="AH27" i="24"/>
  <c r="AG27" i="24"/>
  <c r="AE27" i="24"/>
  <c r="AD27" i="24"/>
  <c r="Z27" i="24"/>
  <c r="Y27" i="24"/>
  <c r="X27" i="24"/>
  <c r="W27" i="24"/>
  <c r="R27" i="24"/>
  <c r="B27" i="24"/>
  <c r="AJ26" i="24"/>
  <c r="AI26" i="24"/>
  <c r="AH26" i="24"/>
  <c r="AG26" i="24"/>
  <c r="AE26" i="24"/>
  <c r="AD26" i="24"/>
  <c r="Z26" i="24"/>
  <c r="Y26" i="24"/>
  <c r="X26" i="24"/>
  <c r="W26" i="24"/>
  <c r="R26" i="24"/>
  <c r="B26" i="24"/>
  <c r="C26" i="24" s="1"/>
  <c r="AJ25" i="24"/>
  <c r="AI25" i="24"/>
  <c r="AH25" i="24"/>
  <c r="AG25" i="24"/>
  <c r="AE25" i="24"/>
  <c r="AD25" i="24"/>
  <c r="Z25" i="24"/>
  <c r="Y25" i="24"/>
  <c r="X25" i="24"/>
  <c r="W25" i="24"/>
  <c r="R25" i="24"/>
  <c r="B25" i="24"/>
  <c r="AJ24" i="24"/>
  <c r="AI24" i="24"/>
  <c r="AH24" i="24"/>
  <c r="AG24" i="24"/>
  <c r="AE24" i="24"/>
  <c r="AD24" i="24"/>
  <c r="Z24" i="24"/>
  <c r="Y24" i="24"/>
  <c r="X24" i="24"/>
  <c r="W24" i="24"/>
  <c r="R24" i="24"/>
  <c r="B24" i="24"/>
  <c r="C24" i="24" s="1"/>
  <c r="AJ23" i="24"/>
  <c r="AI23" i="24"/>
  <c r="AH23" i="24"/>
  <c r="AG23" i="24"/>
  <c r="AE23" i="24"/>
  <c r="AD23" i="24"/>
  <c r="Z23" i="24"/>
  <c r="Y23" i="24"/>
  <c r="X23" i="24"/>
  <c r="W23" i="24"/>
  <c r="R23" i="24"/>
  <c r="B23" i="24"/>
  <c r="AJ22" i="24"/>
  <c r="AI22" i="24"/>
  <c r="AH22" i="24"/>
  <c r="AG22" i="24"/>
  <c r="AE22" i="24"/>
  <c r="AD22" i="24"/>
  <c r="Z22" i="24"/>
  <c r="Y22" i="24"/>
  <c r="X22" i="24"/>
  <c r="W22" i="24"/>
  <c r="R22" i="24"/>
  <c r="B22" i="24"/>
  <c r="C22" i="24" s="1"/>
  <c r="AJ21" i="24"/>
  <c r="AI21" i="24"/>
  <c r="AH21" i="24"/>
  <c r="AG21" i="24"/>
  <c r="AE21" i="24"/>
  <c r="AD21" i="24"/>
  <c r="Z21" i="24"/>
  <c r="Y21" i="24"/>
  <c r="X21" i="24"/>
  <c r="W21" i="24"/>
  <c r="R21" i="24"/>
  <c r="B21" i="24"/>
  <c r="C21" i="24" s="1"/>
  <c r="AJ20" i="24"/>
  <c r="AI20" i="24"/>
  <c r="AH20" i="24"/>
  <c r="AG20" i="24"/>
  <c r="AE20" i="24"/>
  <c r="AD20" i="24"/>
  <c r="Z20" i="24"/>
  <c r="Y20" i="24"/>
  <c r="X20" i="24"/>
  <c r="W20" i="24"/>
  <c r="R20" i="24"/>
  <c r="B20" i="24"/>
  <c r="C20" i="24" s="1"/>
  <c r="AJ19" i="24"/>
  <c r="AI19" i="24"/>
  <c r="AH19" i="24"/>
  <c r="AG19" i="24"/>
  <c r="AE19" i="24"/>
  <c r="AD19" i="24"/>
  <c r="Z19" i="24"/>
  <c r="Y19" i="24"/>
  <c r="X19" i="24"/>
  <c r="W19" i="24"/>
  <c r="R19" i="24"/>
  <c r="B19" i="24"/>
  <c r="C19" i="24" s="1"/>
  <c r="AJ18" i="24"/>
  <c r="AI18" i="24"/>
  <c r="AH18" i="24"/>
  <c r="AG18" i="24"/>
  <c r="AE18" i="24"/>
  <c r="AD18" i="24"/>
  <c r="Z18" i="24"/>
  <c r="Y18" i="24"/>
  <c r="X18" i="24"/>
  <c r="W18" i="24"/>
  <c r="R18" i="24"/>
  <c r="B18" i="24"/>
  <c r="C18" i="24" s="1"/>
  <c r="AJ17" i="24"/>
  <c r="AI17" i="24"/>
  <c r="AH17" i="24"/>
  <c r="AG17" i="24"/>
  <c r="AE17" i="24"/>
  <c r="AD17" i="24"/>
  <c r="Z17" i="24"/>
  <c r="Y17" i="24"/>
  <c r="X17" i="24"/>
  <c r="W17" i="24"/>
  <c r="R17" i="24"/>
  <c r="B17" i="24"/>
  <c r="C17" i="24" s="1"/>
  <c r="AJ16" i="24"/>
  <c r="AI16" i="24"/>
  <c r="AH16" i="24"/>
  <c r="AG16" i="24"/>
  <c r="AE16" i="24"/>
  <c r="AD16" i="24"/>
  <c r="Z16" i="24"/>
  <c r="Y16" i="24"/>
  <c r="X16" i="24"/>
  <c r="W16" i="24"/>
  <c r="R16" i="24"/>
  <c r="B16" i="24"/>
  <c r="C16" i="24" s="1"/>
  <c r="AJ15" i="24"/>
  <c r="AI15" i="24"/>
  <c r="AH15" i="24"/>
  <c r="AG15" i="24"/>
  <c r="AE15" i="24"/>
  <c r="AD15" i="24"/>
  <c r="Z15" i="24"/>
  <c r="Y15" i="24"/>
  <c r="X15" i="24"/>
  <c r="W15" i="24"/>
  <c r="R15" i="24"/>
  <c r="B15" i="24"/>
  <c r="C15" i="24" s="1"/>
  <c r="AJ14" i="24"/>
  <c r="AI14" i="24"/>
  <c r="AH14" i="24"/>
  <c r="AG14" i="24"/>
  <c r="AE14" i="24"/>
  <c r="AD14" i="24"/>
  <c r="Z14" i="24"/>
  <c r="Y14" i="24"/>
  <c r="X14" i="24"/>
  <c r="W14" i="24"/>
  <c r="R14" i="24"/>
  <c r="B14" i="24"/>
  <c r="C14" i="24" s="1"/>
  <c r="AJ13" i="24"/>
  <c r="AI13" i="24"/>
  <c r="AH13" i="24"/>
  <c r="AG13" i="24"/>
  <c r="AE13" i="24"/>
  <c r="AD13" i="24"/>
  <c r="Z13" i="24"/>
  <c r="Y13" i="24"/>
  <c r="X13" i="24"/>
  <c r="W13" i="24"/>
  <c r="R13" i="24"/>
  <c r="B13" i="24"/>
  <c r="C13" i="24" s="1"/>
  <c r="AJ12" i="24"/>
  <c r="AI12" i="24"/>
  <c r="AH12" i="24"/>
  <c r="AG12" i="24"/>
  <c r="AE12" i="24"/>
  <c r="AD12" i="24"/>
  <c r="Z12" i="24"/>
  <c r="Y12" i="24"/>
  <c r="X12" i="24"/>
  <c r="W12" i="24"/>
  <c r="R12" i="24"/>
  <c r="B12" i="24"/>
  <c r="C12" i="24" s="1"/>
  <c r="G8" i="24"/>
  <c r="AJ42" i="23"/>
  <c r="AI42" i="23"/>
  <c r="AH42" i="23"/>
  <c r="AG42" i="23"/>
  <c r="AE42" i="23"/>
  <c r="AD42" i="23"/>
  <c r="Z42" i="23"/>
  <c r="Y42" i="23"/>
  <c r="X42" i="23"/>
  <c r="W42" i="23"/>
  <c r="R42" i="23"/>
  <c r="B42" i="23"/>
  <c r="C42" i="23" s="1"/>
  <c r="AJ41" i="23"/>
  <c r="AI41" i="23"/>
  <c r="AH41" i="23"/>
  <c r="AG41" i="23"/>
  <c r="AE41" i="23"/>
  <c r="AD41" i="23"/>
  <c r="Z41" i="23"/>
  <c r="Y41" i="23"/>
  <c r="X41" i="23"/>
  <c r="W41" i="23"/>
  <c r="R41" i="23"/>
  <c r="B41" i="23"/>
  <c r="AJ40" i="23"/>
  <c r="AI40" i="23"/>
  <c r="AH40" i="23"/>
  <c r="AG40" i="23"/>
  <c r="AE40" i="23"/>
  <c r="AD40" i="23"/>
  <c r="Z40" i="23"/>
  <c r="Y40" i="23"/>
  <c r="X40" i="23"/>
  <c r="W40" i="23"/>
  <c r="R40" i="23"/>
  <c r="B40" i="23"/>
  <c r="C40" i="23" s="1"/>
  <c r="AJ39" i="23"/>
  <c r="AI39" i="23"/>
  <c r="AH39" i="23"/>
  <c r="AG39" i="23"/>
  <c r="AE39" i="23"/>
  <c r="AD39" i="23"/>
  <c r="Z39" i="23"/>
  <c r="Y39" i="23"/>
  <c r="X39" i="23"/>
  <c r="W39" i="23"/>
  <c r="R39" i="23"/>
  <c r="B39" i="23"/>
  <c r="AJ38" i="23"/>
  <c r="AI38" i="23"/>
  <c r="AH38" i="23"/>
  <c r="AG38" i="23"/>
  <c r="AE38" i="23"/>
  <c r="AD38" i="23"/>
  <c r="Z38" i="23"/>
  <c r="Y38" i="23"/>
  <c r="X38" i="23"/>
  <c r="W38" i="23"/>
  <c r="R38" i="23"/>
  <c r="B38" i="23"/>
  <c r="C38" i="23" s="1"/>
  <c r="AJ37" i="23"/>
  <c r="AI37" i="23"/>
  <c r="AH37" i="23"/>
  <c r="AG37" i="23"/>
  <c r="AE37" i="23"/>
  <c r="AD37" i="23"/>
  <c r="Z37" i="23"/>
  <c r="Y37" i="23"/>
  <c r="X37" i="23"/>
  <c r="W37" i="23"/>
  <c r="R37" i="23"/>
  <c r="B37" i="23"/>
  <c r="AJ36" i="23"/>
  <c r="AI36" i="23"/>
  <c r="AH36" i="23"/>
  <c r="AG36" i="23"/>
  <c r="AE36" i="23"/>
  <c r="AD36" i="23"/>
  <c r="Z36" i="23"/>
  <c r="Y36" i="23"/>
  <c r="X36" i="23"/>
  <c r="W36" i="23"/>
  <c r="R36" i="23"/>
  <c r="B36" i="23"/>
  <c r="C36" i="23" s="1"/>
  <c r="AJ35" i="23"/>
  <c r="AI35" i="23"/>
  <c r="AH35" i="23"/>
  <c r="AG35" i="23"/>
  <c r="AE35" i="23"/>
  <c r="AD35" i="23"/>
  <c r="Z35" i="23"/>
  <c r="Y35" i="23"/>
  <c r="X35" i="23"/>
  <c r="W35" i="23"/>
  <c r="R35" i="23"/>
  <c r="B35" i="23"/>
  <c r="AJ34" i="23"/>
  <c r="AI34" i="23"/>
  <c r="AH34" i="23"/>
  <c r="AG34" i="23"/>
  <c r="AE34" i="23"/>
  <c r="AD34" i="23"/>
  <c r="Z34" i="23"/>
  <c r="Y34" i="23"/>
  <c r="X34" i="23"/>
  <c r="W34" i="23"/>
  <c r="R34" i="23"/>
  <c r="B34" i="23"/>
  <c r="C34" i="23" s="1"/>
  <c r="AJ33" i="23"/>
  <c r="AI33" i="23"/>
  <c r="AH33" i="23"/>
  <c r="AG33" i="23"/>
  <c r="AE33" i="23"/>
  <c r="AD33" i="23"/>
  <c r="Z33" i="23"/>
  <c r="Y33" i="23"/>
  <c r="X33" i="23"/>
  <c r="W33" i="23"/>
  <c r="R33" i="23"/>
  <c r="B33" i="23"/>
  <c r="AJ32" i="23"/>
  <c r="AI32" i="23"/>
  <c r="AH32" i="23"/>
  <c r="AG32" i="23"/>
  <c r="AE32" i="23"/>
  <c r="AD32" i="23"/>
  <c r="Z32" i="23"/>
  <c r="Y32" i="23"/>
  <c r="X32" i="23"/>
  <c r="W32" i="23"/>
  <c r="R32" i="23"/>
  <c r="B32" i="23"/>
  <c r="C32" i="23" s="1"/>
  <c r="AJ31" i="23"/>
  <c r="AI31" i="23"/>
  <c r="AH31" i="23"/>
  <c r="AG31" i="23"/>
  <c r="AE31" i="23"/>
  <c r="AD31" i="23"/>
  <c r="Z31" i="23"/>
  <c r="Y31" i="23"/>
  <c r="X31" i="23"/>
  <c r="W31" i="23"/>
  <c r="R31" i="23"/>
  <c r="B31" i="23"/>
  <c r="AJ30" i="23"/>
  <c r="AI30" i="23"/>
  <c r="AH30" i="23"/>
  <c r="AG30" i="23"/>
  <c r="AE30" i="23"/>
  <c r="AD30" i="23"/>
  <c r="Z30" i="23"/>
  <c r="Y30" i="23"/>
  <c r="X30" i="23"/>
  <c r="W30" i="23"/>
  <c r="R30" i="23"/>
  <c r="B30" i="23"/>
  <c r="C30" i="23" s="1"/>
  <c r="AJ29" i="23"/>
  <c r="AI29" i="23"/>
  <c r="AH29" i="23"/>
  <c r="AG29" i="23"/>
  <c r="AE29" i="23"/>
  <c r="AD29" i="23"/>
  <c r="Z29" i="23"/>
  <c r="Y29" i="23"/>
  <c r="X29" i="23"/>
  <c r="W29" i="23"/>
  <c r="R29" i="23"/>
  <c r="B29" i="23"/>
  <c r="AJ28" i="23"/>
  <c r="AI28" i="23"/>
  <c r="AH28" i="23"/>
  <c r="AG28" i="23"/>
  <c r="AE28" i="23"/>
  <c r="AD28" i="23"/>
  <c r="Z28" i="23"/>
  <c r="Y28" i="23"/>
  <c r="X28" i="23"/>
  <c r="W28" i="23"/>
  <c r="R28" i="23"/>
  <c r="B28" i="23"/>
  <c r="C28" i="23" s="1"/>
  <c r="AJ27" i="23"/>
  <c r="AI27" i="23"/>
  <c r="AH27" i="23"/>
  <c r="AG27" i="23"/>
  <c r="AE27" i="23"/>
  <c r="AD27" i="23"/>
  <c r="Z27" i="23"/>
  <c r="Y27" i="23"/>
  <c r="X27" i="23"/>
  <c r="W27" i="23"/>
  <c r="R27" i="23"/>
  <c r="B27" i="23"/>
  <c r="AJ26" i="23"/>
  <c r="AI26" i="23"/>
  <c r="AH26" i="23"/>
  <c r="AG26" i="23"/>
  <c r="AE26" i="23"/>
  <c r="AD26" i="23"/>
  <c r="Z26" i="23"/>
  <c r="Y26" i="23"/>
  <c r="X26" i="23"/>
  <c r="W26" i="23"/>
  <c r="R26" i="23"/>
  <c r="B26" i="23"/>
  <c r="C26" i="23" s="1"/>
  <c r="AJ25" i="23"/>
  <c r="AI25" i="23"/>
  <c r="AH25" i="23"/>
  <c r="AG25" i="23"/>
  <c r="AE25" i="23"/>
  <c r="AD25" i="23"/>
  <c r="Z25" i="23"/>
  <c r="Y25" i="23"/>
  <c r="X25" i="23"/>
  <c r="W25" i="23"/>
  <c r="R25" i="23"/>
  <c r="B25" i="23"/>
  <c r="AJ24" i="23"/>
  <c r="AI24" i="23"/>
  <c r="AH24" i="23"/>
  <c r="AG24" i="23"/>
  <c r="AE24" i="23"/>
  <c r="AD24" i="23"/>
  <c r="Z24" i="23"/>
  <c r="Y24" i="23"/>
  <c r="X24" i="23"/>
  <c r="W24" i="23"/>
  <c r="R24" i="23"/>
  <c r="B24" i="23"/>
  <c r="C24" i="23" s="1"/>
  <c r="AJ23" i="23"/>
  <c r="AI23" i="23"/>
  <c r="AH23" i="23"/>
  <c r="AG23" i="23"/>
  <c r="AE23" i="23"/>
  <c r="AD23" i="23"/>
  <c r="Z23" i="23"/>
  <c r="Y23" i="23"/>
  <c r="X23" i="23"/>
  <c r="W23" i="23"/>
  <c r="R23" i="23"/>
  <c r="B23" i="23"/>
  <c r="C23" i="23" s="1"/>
  <c r="AJ22" i="23"/>
  <c r="AI22" i="23"/>
  <c r="AH22" i="23"/>
  <c r="AG22" i="23"/>
  <c r="AE22" i="23"/>
  <c r="AD22" i="23"/>
  <c r="Z22" i="23"/>
  <c r="Y22" i="23"/>
  <c r="X22" i="23"/>
  <c r="W22" i="23"/>
  <c r="R22" i="23"/>
  <c r="B22" i="23"/>
  <c r="C22" i="23" s="1"/>
  <c r="AJ21" i="23"/>
  <c r="AI21" i="23"/>
  <c r="AH21" i="23"/>
  <c r="AG21" i="23"/>
  <c r="AE21" i="23"/>
  <c r="AD21" i="23"/>
  <c r="Z21" i="23"/>
  <c r="Y21" i="23"/>
  <c r="X21" i="23"/>
  <c r="W21" i="23"/>
  <c r="R21" i="23"/>
  <c r="B21" i="23"/>
  <c r="C21" i="23" s="1"/>
  <c r="AJ20" i="23"/>
  <c r="AI20" i="23"/>
  <c r="AH20" i="23"/>
  <c r="AG20" i="23"/>
  <c r="AE20" i="23"/>
  <c r="AD20" i="23"/>
  <c r="Z20" i="23"/>
  <c r="Y20" i="23"/>
  <c r="X20" i="23"/>
  <c r="W20" i="23"/>
  <c r="R20" i="23"/>
  <c r="B20" i="23"/>
  <c r="AJ19" i="23"/>
  <c r="AI19" i="23"/>
  <c r="AH19" i="23"/>
  <c r="AG19" i="23"/>
  <c r="AE19" i="23"/>
  <c r="AD19" i="23"/>
  <c r="Z19" i="23"/>
  <c r="Y19" i="23"/>
  <c r="X19" i="23"/>
  <c r="W19" i="23"/>
  <c r="R19" i="23"/>
  <c r="B19" i="23"/>
  <c r="AJ18" i="23"/>
  <c r="AI18" i="23"/>
  <c r="AH18" i="23"/>
  <c r="AG18" i="23"/>
  <c r="AE18" i="23"/>
  <c r="AD18" i="23"/>
  <c r="Z18" i="23"/>
  <c r="Y18" i="23"/>
  <c r="X18" i="23"/>
  <c r="W18" i="23"/>
  <c r="R18" i="23"/>
  <c r="C18" i="23"/>
  <c r="B18" i="23"/>
  <c r="AJ17" i="23"/>
  <c r="AI17" i="23"/>
  <c r="AH17" i="23"/>
  <c r="AG17" i="23"/>
  <c r="AE17" i="23"/>
  <c r="AD17" i="23"/>
  <c r="Z17" i="23"/>
  <c r="Y17" i="23"/>
  <c r="X17" i="23"/>
  <c r="W17" i="23"/>
  <c r="R17" i="23"/>
  <c r="B17" i="23"/>
  <c r="AJ16" i="23"/>
  <c r="AI16" i="23"/>
  <c r="AH16" i="23"/>
  <c r="AG16" i="23"/>
  <c r="AE16" i="23"/>
  <c r="AD16" i="23"/>
  <c r="Z16" i="23"/>
  <c r="Y16" i="23"/>
  <c r="X16" i="23"/>
  <c r="W16" i="23"/>
  <c r="R16" i="23"/>
  <c r="B16" i="23"/>
  <c r="C16" i="23" s="1"/>
  <c r="AJ15" i="23"/>
  <c r="AI15" i="23"/>
  <c r="AH15" i="23"/>
  <c r="AG15" i="23"/>
  <c r="AE15" i="23"/>
  <c r="AD15" i="23"/>
  <c r="Z15" i="23"/>
  <c r="Y15" i="23"/>
  <c r="X15" i="23"/>
  <c r="W15" i="23"/>
  <c r="R15" i="23"/>
  <c r="B15" i="23"/>
  <c r="AJ14" i="23"/>
  <c r="AI14" i="23"/>
  <c r="AH14" i="23"/>
  <c r="AG14" i="23"/>
  <c r="AE14" i="23"/>
  <c r="AD14" i="23"/>
  <c r="Z14" i="23"/>
  <c r="Y14" i="23"/>
  <c r="X14" i="23"/>
  <c r="W14" i="23"/>
  <c r="R14" i="23"/>
  <c r="B14" i="23"/>
  <c r="C14" i="23" s="1"/>
  <c r="AJ13" i="23"/>
  <c r="AI13" i="23"/>
  <c r="AH13" i="23"/>
  <c r="AG13" i="23"/>
  <c r="AE13" i="23"/>
  <c r="AD13" i="23"/>
  <c r="Z13" i="23"/>
  <c r="Y13" i="23"/>
  <c r="X13" i="23"/>
  <c r="W13" i="23"/>
  <c r="R13" i="23"/>
  <c r="B13" i="23"/>
  <c r="AJ12" i="23"/>
  <c r="AI12" i="23"/>
  <c r="AH12" i="23"/>
  <c r="AG12" i="23"/>
  <c r="AE12" i="23"/>
  <c r="AD12" i="23"/>
  <c r="Z12" i="23"/>
  <c r="Y12" i="23"/>
  <c r="X12" i="23"/>
  <c r="W12" i="23"/>
  <c r="R12" i="23"/>
  <c r="B12" i="23"/>
  <c r="C12" i="23" s="1"/>
  <c r="G8" i="23"/>
  <c r="AJ12" i="22"/>
  <c r="AI12" i="22"/>
  <c r="AH12" i="22"/>
  <c r="AG12" i="22"/>
  <c r="AE12" i="22"/>
  <c r="AD12" i="22"/>
  <c r="Z12" i="22"/>
  <c r="Y12" i="22"/>
  <c r="X12" i="22"/>
  <c r="W12" i="22"/>
  <c r="R12" i="22"/>
  <c r="B12" i="22"/>
  <c r="G8" i="22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W20" i="1"/>
  <c r="W21" i="1"/>
  <c r="W23" i="1"/>
  <c r="W24" i="1"/>
  <c r="W25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X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12" i="1"/>
  <c r="AG20" i="1"/>
  <c r="AG21" i="1"/>
  <c r="AF21" i="1" s="1"/>
  <c r="AG23" i="1"/>
  <c r="AG24" i="1"/>
  <c r="AG25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12" i="1"/>
  <c r="D40" i="26"/>
  <c r="D30" i="24"/>
  <c r="D34" i="25"/>
  <c r="D19" i="28"/>
  <c r="D41" i="26"/>
  <c r="D18" i="24"/>
  <c r="D35" i="28"/>
  <c r="D37" i="30"/>
  <c r="D15" i="26"/>
  <c r="D21" i="28"/>
  <c r="D12" i="25"/>
  <c r="D37" i="27"/>
  <c r="D26" i="26"/>
  <c r="D33" i="29"/>
  <c r="D18" i="26"/>
  <c r="D14" i="26"/>
  <c r="D38" i="26"/>
  <c r="D25" i="28"/>
  <c r="D36" i="26"/>
  <c r="D42" i="25"/>
  <c r="D16" i="23"/>
  <c r="D38" i="24"/>
  <c r="D32" i="26"/>
  <c r="D29" i="28"/>
  <c r="D39" i="29"/>
  <c r="D41" i="31"/>
  <c r="D33" i="26"/>
  <c r="D21" i="32"/>
  <c r="D15" i="28"/>
  <c r="D35" i="29"/>
  <c r="D38" i="25"/>
  <c r="D24" i="24"/>
  <c r="D37" i="26"/>
  <c r="D17" i="32"/>
  <c r="D23" i="28"/>
  <c r="D39" i="26"/>
  <c r="D24" i="23"/>
  <c r="D21" i="30"/>
  <c r="D25" i="25"/>
  <c r="D23" i="30"/>
  <c r="D27" i="26"/>
  <c r="D31" i="31"/>
  <c r="D41" i="27"/>
  <c r="D33" i="30"/>
  <c r="D20" i="23"/>
  <c r="D29" i="27"/>
  <c r="D31" i="25"/>
  <c r="D20" i="29"/>
  <c r="D14" i="29"/>
  <c r="D23" i="25"/>
  <c r="D20" i="26"/>
  <c r="D18" i="31"/>
  <c r="D35" i="30"/>
  <c r="D37" i="28"/>
  <c r="D13" i="32"/>
  <c r="D19" i="30"/>
  <c r="D22" i="23"/>
  <c r="D41" i="28"/>
  <c r="D39" i="25"/>
  <c r="D13" i="25"/>
  <c r="D16" i="26"/>
  <c r="D12" i="31"/>
  <c r="D31" i="32"/>
  <c r="D23" i="31"/>
  <c r="D35" i="32"/>
  <c r="D23" i="26"/>
  <c r="D41" i="30"/>
  <c r="D15" i="25"/>
  <c r="D31" i="26"/>
  <c r="D35" i="31"/>
  <c r="D16" i="25"/>
  <c r="D27" i="25"/>
  <c r="D33" i="31"/>
  <c r="D30" i="25"/>
  <c r="D16" i="29"/>
  <c r="D25" i="29"/>
  <c r="D26" i="23"/>
  <c r="D30" i="23"/>
  <c r="D21" i="26"/>
  <c r="D33" i="25"/>
  <c r="D35" i="27"/>
  <c r="D21" i="27"/>
  <c r="D39" i="31"/>
  <c r="D33" i="32"/>
  <c r="D23" i="29"/>
  <c r="D29" i="25"/>
  <c r="D28" i="25"/>
  <c r="D29" i="31"/>
  <c r="D27" i="31"/>
  <c r="D14" i="27"/>
  <c r="D26" i="25"/>
  <c r="D22" i="25"/>
  <c r="D27" i="28"/>
  <c r="D29" i="29"/>
  <c r="D40" i="23"/>
  <c r="D14" i="31"/>
  <c r="D22" i="31"/>
  <c r="D17" i="25"/>
  <c r="D38" i="23"/>
  <c r="D27" i="32"/>
  <c r="D31" i="27"/>
  <c r="D34" i="23"/>
  <c r="D36" i="25"/>
  <c r="D31" i="30"/>
  <c r="D26" i="31"/>
  <c r="D19" i="26"/>
  <c r="D41" i="29"/>
  <c r="D34" i="26"/>
  <c r="D21" i="25"/>
  <c r="D15" i="32"/>
  <c r="D37" i="31"/>
  <c r="D19" i="29"/>
  <c r="D23" i="32"/>
  <c r="D32" i="25"/>
  <c r="D27" i="30"/>
  <c r="D12" i="26"/>
  <c r="D39" i="30"/>
  <c r="D29" i="30"/>
  <c r="D13" i="26"/>
  <c r="D33" i="27"/>
  <c r="D39" i="28"/>
  <c r="D39" i="32"/>
  <c r="D29" i="26"/>
  <c r="D22" i="26"/>
  <c r="D37" i="29"/>
  <c r="D30" i="26"/>
  <c r="D31" i="29"/>
  <c r="D25" i="26"/>
  <c r="D25" i="27"/>
  <c r="D32" i="23"/>
  <c r="D41" i="25"/>
  <c r="D14" i="25"/>
  <c r="D28" i="24"/>
  <c r="D40" i="24"/>
  <c r="D14" i="23"/>
  <c r="D25" i="30"/>
  <c r="D33" i="28"/>
  <c r="D18" i="23"/>
  <c r="D36" i="24"/>
  <c r="D40" i="25"/>
  <c r="D36" i="23"/>
  <c r="D23" i="27"/>
  <c r="D42" i="23"/>
  <c r="D20" i="24"/>
  <c r="D25" i="32"/>
  <c r="D28" i="23"/>
  <c r="D31" i="28"/>
  <c r="D12" i="24"/>
  <c r="D37" i="25"/>
  <c r="D39" i="27"/>
  <c r="D19" i="31"/>
  <c r="D19" i="25"/>
  <c r="D26" i="24"/>
  <c r="D34" i="24"/>
  <c r="D12" i="29"/>
  <c r="D24" i="26"/>
  <c r="D41" i="32"/>
  <c r="D29" i="32"/>
  <c r="D37" i="32"/>
  <c r="D35" i="26"/>
  <c r="D13" i="28"/>
  <c r="D35" i="25"/>
  <c r="D17" i="26"/>
  <c r="D27" i="29"/>
  <c r="D20" i="25"/>
  <c r="D21" i="29"/>
  <c r="D12" i="23"/>
  <c r="D32" i="24"/>
  <c r="D18" i="29"/>
  <c r="D18" i="25"/>
  <c r="D27" i="27"/>
  <c r="D17" i="28"/>
  <c r="D22" i="24"/>
  <c r="D24" i="25"/>
  <c r="D28" i="26"/>
  <c r="D12" i="22"/>
  <c r="O15" i="33" l="1"/>
  <c r="M17" i="33"/>
  <c r="S17" i="33" s="1"/>
  <c r="M25" i="33"/>
  <c r="S25" i="33" s="1"/>
  <c r="AF24" i="1"/>
  <c r="W17" i="33"/>
  <c r="N17" i="33" s="1"/>
  <c r="AF25" i="1"/>
  <c r="Q5" i="22"/>
  <c r="AF23" i="1"/>
  <c r="AF20" i="1"/>
  <c r="AF39" i="1"/>
  <c r="AF35" i="1"/>
  <c r="AF31" i="1"/>
  <c r="AF27" i="1"/>
  <c r="M37" i="33"/>
  <c r="S37" i="33" s="1"/>
  <c r="C12" i="22"/>
  <c r="AB12" i="22" s="1"/>
  <c r="M12" i="22" s="1"/>
  <c r="S12" i="22" s="1"/>
  <c r="AE22" i="33"/>
  <c r="AD22" i="33"/>
  <c r="AD36" i="33"/>
  <c r="AD12" i="33"/>
  <c r="AD16" i="33"/>
  <c r="AG35" i="33"/>
  <c r="AF35" i="33" s="1"/>
  <c r="R35" i="33" s="1"/>
  <c r="W35" i="33"/>
  <c r="N35" i="33" s="1"/>
  <c r="AG39" i="33"/>
  <c r="AF39" i="33" s="1"/>
  <c r="R39" i="33" s="1"/>
  <c r="W39" i="33"/>
  <c r="N39" i="33" s="1"/>
  <c r="AD30" i="33"/>
  <c r="AD26" i="33"/>
  <c r="AD32" i="33"/>
  <c r="AG31" i="33"/>
  <c r="AF31" i="33" s="1"/>
  <c r="R31" i="33" s="1"/>
  <c r="W31" i="33"/>
  <c r="N31" i="33" s="1"/>
  <c r="AD40" i="33"/>
  <c r="AD38" i="33"/>
  <c r="AD18" i="33"/>
  <c r="AD24" i="33"/>
  <c r="AG29" i="33"/>
  <c r="AF29" i="33" s="1"/>
  <c r="R29" i="33" s="1"/>
  <c r="W29" i="33"/>
  <c r="N29" i="33" s="1"/>
  <c r="W19" i="33"/>
  <c r="N19" i="33" s="1"/>
  <c r="AG19" i="33"/>
  <c r="AF19" i="33" s="1"/>
  <c r="R19" i="33" s="1"/>
  <c r="AG33" i="33"/>
  <c r="AF33" i="33" s="1"/>
  <c r="R33" i="33" s="1"/>
  <c r="W33" i="33"/>
  <c r="N33" i="33" s="1"/>
  <c r="O27" i="33"/>
  <c r="T27" i="33"/>
  <c r="W12" i="32"/>
  <c r="N12" i="32" s="1"/>
  <c r="P38" i="33"/>
  <c r="P32" i="33"/>
  <c r="P18" i="33"/>
  <c r="P16" i="33"/>
  <c r="AF41" i="1"/>
  <c r="AF37" i="1"/>
  <c r="AF33" i="1"/>
  <c r="AF29" i="1"/>
  <c r="AF42" i="1"/>
  <c r="AF38" i="1"/>
  <c r="AF34" i="1"/>
  <c r="AF30" i="1"/>
  <c r="N22" i="32"/>
  <c r="N24" i="32"/>
  <c r="AF40" i="1"/>
  <c r="AF36" i="1"/>
  <c r="AF32" i="1"/>
  <c r="AF28" i="1"/>
  <c r="N19" i="28"/>
  <c r="N20" i="28"/>
  <c r="N22" i="28"/>
  <c r="AF33" i="30"/>
  <c r="AF35" i="30"/>
  <c r="N13" i="31"/>
  <c r="N15" i="31"/>
  <c r="N17" i="31"/>
  <c r="N19" i="31"/>
  <c r="N20" i="31"/>
  <c r="N21" i="31"/>
  <c r="N22" i="31"/>
  <c r="N23" i="31"/>
  <c r="N24" i="31"/>
  <c r="N25" i="31"/>
  <c r="N27" i="31"/>
  <c r="N28" i="31"/>
  <c r="N33" i="31"/>
  <c r="N35" i="31"/>
  <c r="N36" i="31"/>
  <c r="N37" i="31"/>
  <c r="N39" i="31"/>
  <c r="N40" i="31"/>
  <c r="AF12" i="32"/>
  <c r="R12" i="32" s="1"/>
  <c r="Q5" i="32" s="1"/>
  <c r="AF14" i="32"/>
  <c r="AF33" i="29"/>
  <c r="AF39" i="32"/>
  <c r="AF41" i="32"/>
  <c r="N12" i="30"/>
  <c r="N16" i="30"/>
  <c r="N18" i="30"/>
  <c r="N24" i="30"/>
  <c r="C12" i="26"/>
  <c r="T12" i="26" s="1"/>
  <c r="C14" i="26"/>
  <c r="C16" i="26"/>
  <c r="C18" i="26"/>
  <c r="C19" i="26"/>
  <c r="AA19" i="26" s="1"/>
  <c r="C21" i="26"/>
  <c r="C23" i="26"/>
  <c r="C25" i="26"/>
  <c r="C29" i="26"/>
  <c r="AC29" i="26" s="1"/>
  <c r="C31" i="26"/>
  <c r="C33" i="26"/>
  <c r="C35" i="26"/>
  <c r="C37" i="26"/>
  <c r="AA37" i="26" s="1"/>
  <c r="C39" i="26"/>
  <c r="C41" i="26"/>
  <c r="C12" i="25"/>
  <c r="C13" i="25"/>
  <c r="C14" i="25"/>
  <c r="C15" i="25"/>
  <c r="C16" i="25"/>
  <c r="C17" i="25"/>
  <c r="C18" i="25"/>
  <c r="C21" i="25"/>
  <c r="C23" i="25"/>
  <c r="C25" i="25"/>
  <c r="C27" i="25"/>
  <c r="C29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AF40" i="30"/>
  <c r="N12" i="29"/>
  <c r="N14" i="29"/>
  <c r="N18" i="29"/>
  <c r="N38" i="32"/>
  <c r="N17" i="32"/>
  <c r="N20" i="32"/>
  <c r="AF31" i="32"/>
  <c r="AF15" i="32"/>
  <c r="AF16" i="32"/>
  <c r="N32" i="32"/>
  <c r="N34" i="32"/>
  <c r="N35" i="30"/>
  <c r="N36" i="30"/>
  <c r="N29" i="29"/>
  <c r="AF12" i="28"/>
  <c r="N15" i="28"/>
  <c r="AF21" i="29"/>
  <c r="AF14" i="30"/>
  <c r="AF29" i="32"/>
  <c r="AF35" i="32"/>
  <c r="N40" i="32"/>
  <c r="N42" i="32"/>
  <c r="N16" i="27"/>
  <c r="N19" i="27"/>
  <c r="AF32" i="30"/>
  <c r="N26" i="32"/>
  <c r="N27" i="32"/>
  <c r="AF37" i="32"/>
  <c r="N14" i="32"/>
  <c r="AF21" i="32"/>
  <c r="AF23" i="32"/>
  <c r="N13" i="32"/>
  <c r="AF18" i="32"/>
  <c r="AF19" i="32"/>
  <c r="AF26" i="32"/>
  <c r="AF27" i="32"/>
  <c r="N30" i="32"/>
  <c r="N39" i="32"/>
  <c r="N16" i="32"/>
  <c r="N18" i="32"/>
  <c r="N19" i="32"/>
  <c r="N25" i="32"/>
  <c r="N28" i="32"/>
  <c r="N33" i="32"/>
  <c r="N35" i="32"/>
  <c r="N36" i="32"/>
  <c r="AF27" i="30"/>
  <c r="N20" i="30"/>
  <c r="N21" i="30"/>
  <c r="N23" i="30"/>
  <c r="N30" i="30"/>
  <c r="N32" i="30"/>
  <c r="AF37" i="29"/>
  <c r="N24" i="29"/>
  <c r="N25" i="29"/>
  <c r="N21" i="27"/>
  <c r="N23" i="27"/>
  <c r="AF25" i="26"/>
  <c r="AF13" i="32"/>
  <c r="AF22" i="32"/>
  <c r="N23" i="32"/>
  <c r="AF25" i="32"/>
  <c r="N29" i="32"/>
  <c r="N41" i="32"/>
  <c r="AF42" i="32"/>
  <c r="N15" i="32"/>
  <c r="AF17" i="32"/>
  <c r="N21" i="32"/>
  <c r="AF30" i="32"/>
  <c r="N31" i="32"/>
  <c r="AF33" i="32"/>
  <c r="N37" i="32"/>
  <c r="AA15" i="32"/>
  <c r="V15" i="32"/>
  <c r="AB15" i="32"/>
  <c r="M15" i="32" s="1"/>
  <c r="S15" i="32" s="1"/>
  <c r="T15" i="32"/>
  <c r="O15" i="32"/>
  <c r="AC15" i="32"/>
  <c r="U15" i="32"/>
  <c r="AA17" i="32"/>
  <c r="V17" i="32"/>
  <c r="AC17" i="32"/>
  <c r="AB17" i="32"/>
  <c r="M17" i="32" s="1"/>
  <c r="S17" i="32" s="1"/>
  <c r="T17" i="32"/>
  <c r="O17" i="32"/>
  <c r="S7" i="32" s="1"/>
  <c r="U17" i="32"/>
  <c r="V29" i="32"/>
  <c r="AA29" i="32"/>
  <c r="AB29" i="32"/>
  <c r="M29" i="32" s="1"/>
  <c r="S29" i="32" s="1"/>
  <c r="T29" i="32"/>
  <c r="U29" i="32"/>
  <c r="O29" i="32"/>
  <c r="AC29" i="32"/>
  <c r="AA13" i="32"/>
  <c r="V13" i="32"/>
  <c r="AC13" i="32"/>
  <c r="U13" i="32"/>
  <c r="AB13" i="32"/>
  <c r="M13" i="32" s="1"/>
  <c r="S13" i="32" s="1"/>
  <c r="T13" i="32"/>
  <c r="O13" i="32"/>
  <c r="V21" i="32"/>
  <c r="AA21" i="32"/>
  <c r="AB21" i="32"/>
  <c r="M21" i="32" s="1"/>
  <c r="S21" i="32" s="1"/>
  <c r="T21" i="32"/>
  <c r="U21" i="32"/>
  <c r="O21" i="32"/>
  <c r="AC21" i="32"/>
  <c r="V25" i="32"/>
  <c r="AA25" i="32"/>
  <c r="AB25" i="32"/>
  <c r="M25" i="32" s="1"/>
  <c r="S25" i="32" s="1"/>
  <c r="T25" i="32"/>
  <c r="U25" i="32"/>
  <c r="O25" i="32"/>
  <c r="AC25" i="32"/>
  <c r="V33" i="32"/>
  <c r="AA33" i="32"/>
  <c r="AB33" i="32"/>
  <c r="M33" i="32" s="1"/>
  <c r="S33" i="32" s="1"/>
  <c r="U33" i="32"/>
  <c r="O33" i="32"/>
  <c r="T33" i="32"/>
  <c r="AC33" i="32"/>
  <c r="V23" i="32"/>
  <c r="AA23" i="32"/>
  <c r="T23" i="32"/>
  <c r="AB23" i="32"/>
  <c r="M23" i="32" s="1"/>
  <c r="S23" i="32" s="1"/>
  <c r="AC23" i="32"/>
  <c r="U23" i="32"/>
  <c r="O23" i="32"/>
  <c r="V27" i="32"/>
  <c r="AA27" i="32"/>
  <c r="P27" i="32" s="1"/>
  <c r="T27" i="32"/>
  <c r="AB27" i="32"/>
  <c r="M27" i="32" s="1"/>
  <c r="S27" i="32" s="1"/>
  <c r="AC27" i="32"/>
  <c r="U27" i="32"/>
  <c r="O27" i="32"/>
  <c r="V31" i="32"/>
  <c r="AA31" i="32"/>
  <c r="T31" i="32"/>
  <c r="AC31" i="32"/>
  <c r="AB31" i="32"/>
  <c r="M31" i="32" s="1"/>
  <c r="S31" i="32" s="1"/>
  <c r="P31" i="32"/>
  <c r="U31" i="32"/>
  <c r="O31" i="32"/>
  <c r="V35" i="32"/>
  <c r="AC35" i="32"/>
  <c r="U35" i="32"/>
  <c r="AA35" i="32"/>
  <c r="AB35" i="32"/>
  <c r="M35" i="32" s="1"/>
  <c r="S35" i="32" s="1"/>
  <c r="O35" i="32"/>
  <c r="T35" i="32"/>
  <c r="V37" i="32"/>
  <c r="AC37" i="32"/>
  <c r="U37" i="32"/>
  <c r="AA37" i="32"/>
  <c r="P37" i="32" s="1"/>
  <c r="O37" i="32"/>
  <c r="AB37" i="32"/>
  <c r="M37" i="32" s="1"/>
  <c r="S37" i="32" s="1"/>
  <c r="T37" i="32"/>
  <c r="V39" i="32"/>
  <c r="AC39" i="32"/>
  <c r="U39" i="32"/>
  <c r="AA39" i="32"/>
  <c r="AB39" i="32"/>
  <c r="M39" i="32" s="1"/>
  <c r="S39" i="32" s="1"/>
  <c r="O39" i="32"/>
  <c r="T39" i="32"/>
  <c r="V41" i="32"/>
  <c r="AC41" i="32"/>
  <c r="U41" i="32"/>
  <c r="AA41" i="32"/>
  <c r="O41" i="32"/>
  <c r="AB41" i="32"/>
  <c r="M41" i="32" s="1"/>
  <c r="S41" i="32" s="1"/>
  <c r="T41" i="32"/>
  <c r="C12" i="32"/>
  <c r="AF41" i="29"/>
  <c r="N13" i="30"/>
  <c r="AF41" i="30"/>
  <c r="AF23" i="31"/>
  <c r="AF24" i="31"/>
  <c r="AF25" i="31"/>
  <c r="AF26" i="31"/>
  <c r="AF27" i="31"/>
  <c r="AF29" i="31"/>
  <c r="AF30" i="31"/>
  <c r="AF31" i="31"/>
  <c r="AF33" i="31"/>
  <c r="AF34" i="31"/>
  <c r="AF35" i="31"/>
  <c r="C22" i="32"/>
  <c r="C26" i="32"/>
  <c r="C30" i="32"/>
  <c r="C34" i="32"/>
  <c r="AF34" i="32"/>
  <c r="AF36" i="32"/>
  <c r="AF38" i="32"/>
  <c r="AF40" i="32"/>
  <c r="N25" i="30"/>
  <c r="N27" i="30"/>
  <c r="N28" i="30"/>
  <c r="C14" i="32"/>
  <c r="C16" i="32"/>
  <c r="C18" i="32"/>
  <c r="C24" i="32"/>
  <c r="C28" i="32"/>
  <c r="C32" i="32"/>
  <c r="N30" i="28"/>
  <c r="AF14" i="31"/>
  <c r="N29" i="31"/>
  <c r="N30" i="31"/>
  <c r="C19" i="32"/>
  <c r="AF20" i="32"/>
  <c r="AF24" i="32"/>
  <c r="AF28" i="32"/>
  <c r="AF32" i="32"/>
  <c r="N14" i="31"/>
  <c r="N34" i="31"/>
  <c r="AF18" i="31"/>
  <c r="AF19" i="31"/>
  <c r="AF20" i="31"/>
  <c r="AF21" i="31"/>
  <c r="N26" i="31"/>
  <c r="N31" i="31"/>
  <c r="N32" i="31"/>
  <c r="AF37" i="31"/>
  <c r="AF38" i="31"/>
  <c r="AF39" i="31"/>
  <c r="N18" i="31"/>
  <c r="N38" i="31"/>
  <c r="Q5" i="31"/>
  <c r="AF13" i="31"/>
  <c r="AF17" i="31"/>
  <c r="N12" i="31"/>
  <c r="N16" i="31"/>
  <c r="N41" i="31"/>
  <c r="AF12" i="31"/>
  <c r="AF15" i="31"/>
  <c r="AF16" i="31"/>
  <c r="AF22" i="31"/>
  <c r="AF28" i="31"/>
  <c r="AF32" i="31"/>
  <c r="AF36" i="31"/>
  <c r="AF40" i="31"/>
  <c r="AF41" i="31"/>
  <c r="V14" i="31"/>
  <c r="AB14" i="31"/>
  <c r="M14" i="31" s="1"/>
  <c r="S14" i="31" s="1"/>
  <c r="T14" i="31"/>
  <c r="O14" i="31"/>
  <c r="AA14" i="31"/>
  <c r="AC14" i="31"/>
  <c r="U14" i="31"/>
  <c r="AB22" i="31"/>
  <c r="M22" i="31" s="1"/>
  <c r="S22" i="31" s="1"/>
  <c r="T22" i="31"/>
  <c r="O22" i="31"/>
  <c r="V22" i="31"/>
  <c r="U22" i="31"/>
  <c r="AC22" i="31"/>
  <c r="AA22" i="31"/>
  <c r="V12" i="31"/>
  <c r="AB12" i="31"/>
  <c r="M12" i="31" s="1"/>
  <c r="S12" i="31" s="1"/>
  <c r="T12" i="31"/>
  <c r="O12" i="31"/>
  <c r="U12" i="31"/>
  <c r="AA12" i="31"/>
  <c r="P12" i="31" s="1"/>
  <c r="AC12" i="31"/>
  <c r="AB18" i="31"/>
  <c r="M18" i="31" s="1"/>
  <c r="S18" i="31" s="1"/>
  <c r="V18" i="31"/>
  <c r="AC18" i="31"/>
  <c r="T18" i="31"/>
  <c r="O18" i="31"/>
  <c r="U18" i="31"/>
  <c r="AA18" i="31"/>
  <c r="P18" i="31" s="1"/>
  <c r="AB26" i="31"/>
  <c r="M26" i="31" s="1"/>
  <c r="T26" i="31"/>
  <c r="O26" i="31"/>
  <c r="V26" i="31"/>
  <c r="U26" i="31"/>
  <c r="S26" i="31"/>
  <c r="AC26" i="31"/>
  <c r="AA26" i="31"/>
  <c r="V19" i="31"/>
  <c r="AB19" i="31"/>
  <c r="M19" i="31" s="1"/>
  <c r="S19" i="31" s="1"/>
  <c r="T19" i="31"/>
  <c r="O19" i="31"/>
  <c r="AA19" i="31"/>
  <c r="P19" i="31" s="1"/>
  <c r="U19" i="31"/>
  <c r="AC19" i="31"/>
  <c r="V23" i="31"/>
  <c r="AB23" i="31"/>
  <c r="M23" i="31" s="1"/>
  <c r="T23" i="31"/>
  <c r="O23" i="31"/>
  <c r="AA23" i="31"/>
  <c r="S23" i="31"/>
  <c r="AC23" i="31"/>
  <c r="U23" i="31"/>
  <c r="V27" i="31"/>
  <c r="AB27" i="31"/>
  <c r="M27" i="31" s="1"/>
  <c r="S27" i="31" s="1"/>
  <c r="T27" i="31"/>
  <c r="O27" i="31"/>
  <c r="AA27" i="31"/>
  <c r="U27" i="31"/>
  <c r="AC27" i="31"/>
  <c r="V29" i="31"/>
  <c r="AB29" i="31"/>
  <c r="M29" i="31" s="1"/>
  <c r="S29" i="31" s="1"/>
  <c r="T29" i="31"/>
  <c r="O29" i="31"/>
  <c r="AA29" i="31"/>
  <c r="U29" i="31"/>
  <c r="AC29" i="31"/>
  <c r="V31" i="31"/>
  <c r="AB31" i="31"/>
  <c r="M31" i="31" s="1"/>
  <c r="S31" i="31" s="1"/>
  <c r="T31" i="31"/>
  <c r="O31" i="31"/>
  <c r="AA31" i="31"/>
  <c r="AC31" i="31"/>
  <c r="U31" i="31"/>
  <c r="V33" i="31"/>
  <c r="AB33" i="31"/>
  <c r="M33" i="31" s="1"/>
  <c r="T33" i="31"/>
  <c r="O33" i="31"/>
  <c r="AA33" i="31"/>
  <c r="S33" i="31"/>
  <c r="U33" i="31"/>
  <c r="AC33" i="31"/>
  <c r="V35" i="31"/>
  <c r="AB35" i="31"/>
  <c r="M35" i="31" s="1"/>
  <c r="T35" i="31"/>
  <c r="O35" i="31"/>
  <c r="AA35" i="31"/>
  <c r="S35" i="31"/>
  <c r="U35" i="31"/>
  <c r="AC35" i="31"/>
  <c r="V37" i="31"/>
  <c r="AB37" i="31"/>
  <c r="M37" i="31" s="1"/>
  <c r="S37" i="31" s="1"/>
  <c r="T37" i="31"/>
  <c r="O37" i="31"/>
  <c r="AA37" i="31"/>
  <c r="U37" i="31"/>
  <c r="AC37" i="31"/>
  <c r="V39" i="31"/>
  <c r="AB39" i="31"/>
  <c r="M39" i="31" s="1"/>
  <c r="S39" i="31" s="1"/>
  <c r="T39" i="31"/>
  <c r="O39" i="31"/>
  <c r="AA39" i="31"/>
  <c r="U39" i="31"/>
  <c r="AC39" i="31"/>
  <c r="V41" i="31"/>
  <c r="AB41" i="31"/>
  <c r="M41" i="31" s="1"/>
  <c r="S41" i="31" s="1"/>
  <c r="T41" i="31"/>
  <c r="O41" i="31"/>
  <c r="AA41" i="31"/>
  <c r="AC41" i="31"/>
  <c r="U41" i="31"/>
  <c r="AF17" i="28"/>
  <c r="N28" i="29"/>
  <c r="Q5" i="30"/>
  <c r="AF16" i="30"/>
  <c r="N26" i="30"/>
  <c r="AF29" i="30"/>
  <c r="AF31" i="30"/>
  <c r="N34" i="30"/>
  <c r="AF37" i="30"/>
  <c r="AF39" i="30"/>
  <c r="P26" i="31"/>
  <c r="AF25" i="28"/>
  <c r="AF27" i="28"/>
  <c r="N32" i="29"/>
  <c r="N38" i="29"/>
  <c r="N14" i="30"/>
  <c r="N15" i="30"/>
  <c r="C28" i="31"/>
  <c r="C30" i="31"/>
  <c r="C32" i="31"/>
  <c r="C34" i="31"/>
  <c r="C36" i="31"/>
  <c r="C38" i="31"/>
  <c r="C40" i="31"/>
  <c r="N24" i="28"/>
  <c r="N26" i="28"/>
  <c r="N28" i="28"/>
  <c r="AF31" i="28"/>
  <c r="AF38" i="28"/>
  <c r="AF39" i="28"/>
  <c r="AF41" i="28"/>
  <c r="N15" i="29"/>
  <c r="AF29" i="29"/>
  <c r="N40" i="29"/>
  <c r="N41" i="29"/>
  <c r="AF12" i="30"/>
  <c r="N17" i="30"/>
  <c r="N19" i="30"/>
  <c r="N22" i="30"/>
  <c r="AF28" i="30"/>
  <c r="N31" i="30"/>
  <c r="AF36" i="30"/>
  <c r="N39" i="30"/>
  <c r="N40" i="30"/>
  <c r="AF15" i="30"/>
  <c r="AF19" i="30"/>
  <c r="AF22" i="30"/>
  <c r="AF23" i="30"/>
  <c r="AF26" i="30"/>
  <c r="N33" i="30"/>
  <c r="AF34" i="30"/>
  <c r="N38" i="30"/>
  <c r="N41" i="30"/>
  <c r="AF42" i="30"/>
  <c r="AF13" i="30"/>
  <c r="AF17" i="30"/>
  <c r="AF20" i="30"/>
  <c r="AF21" i="30"/>
  <c r="AF24" i="30"/>
  <c r="AF25" i="30"/>
  <c r="N29" i="30"/>
  <c r="AF30" i="30"/>
  <c r="N37" i="30"/>
  <c r="AF38" i="30"/>
  <c r="N42" i="30"/>
  <c r="V19" i="30"/>
  <c r="AA19" i="30"/>
  <c r="AC19" i="30"/>
  <c r="O19" i="30"/>
  <c r="AB19" i="30"/>
  <c r="M19" i="30" s="1"/>
  <c r="S19" i="30" s="1"/>
  <c r="T19" i="30"/>
  <c r="U19" i="30"/>
  <c r="V23" i="30"/>
  <c r="AA23" i="30"/>
  <c r="AC23" i="30"/>
  <c r="AB23" i="30"/>
  <c r="M23" i="30" s="1"/>
  <c r="S23" i="30" s="1"/>
  <c r="O23" i="30"/>
  <c r="T23" i="30"/>
  <c r="U23" i="30"/>
  <c r="V21" i="30"/>
  <c r="AA21" i="30"/>
  <c r="U21" i="30"/>
  <c r="O21" i="30"/>
  <c r="T21" i="30"/>
  <c r="AB21" i="30"/>
  <c r="M21" i="30" s="1"/>
  <c r="S21" i="30" s="1"/>
  <c r="AC21" i="30"/>
  <c r="V25" i="30"/>
  <c r="AA25" i="30"/>
  <c r="U25" i="30"/>
  <c r="O25" i="30"/>
  <c r="T25" i="30"/>
  <c r="AB25" i="30"/>
  <c r="M25" i="30" s="1"/>
  <c r="S25" i="30" s="1"/>
  <c r="AC25" i="30"/>
  <c r="V27" i="30"/>
  <c r="AC27" i="30"/>
  <c r="U27" i="30"/>
  <c r="AA27" i="30"/>
  <c r="O27" i="30"/>
  <c r="AB27" i="30"/>
  <c r="M27" i="30" s="1"/>
  <c r="S27" i="30" s="1"/>
  <c r="T27" i="30"/>
  <c r="V29" i="30"/>
  <c r="AC29" i="30"/>
  <c r="U29" i="30"/>
  <c r="AA29" i="30"/>
  <c r="P29" i="30" s="1"/>
  <c r="O29" i="30"/>
  <c r="AB29" i="30"/>
  <c r="M29" i="30" s="1"/>
  <c r="S29" i="30" s="1"/>
  <c r="T29" i="30"/>
  <c r="V31" i="30"/>
  <c r="AC31" i="30"/>
  <c r="U31" i="30"/>
  <c r="AA31" i="30"/>
  <c r="O31" i="30"/>
  <c r="T31" i="30"/>
  <c r="AB31" i="30"/>
  <c r="M31" i="30" s="1"/>
  <c r="S31" i="30" s="1"/>
  <c r="V33" i="30"/>
  <c r="AC33" i="30"/>
  <c r="U33" i="30"/>
  <c r="AA33" i="30"/>
  <c r="AB33" i="30"/>
  <c r="M33" i="30" s="1"/>
  <c r="S33" i="30" s="1"/>
  <c r="O33" i="30"/>
  <c r="T33" i="30"/>
  <c r="V35" i="30"/>
  <c r="AC35" i="30"/>
  <c r="U35" i="30"/>
  <c r="AA35" i="30"/>
  <c r="O35" i="30"/>
  <c r="T35" i="30"/>
  <c r="AB35" i="30"/>
  <c r="M35" i="30" s="1"/>
  <c r="S35" i="30" s="1"/>
  <c r="V37" i="30"/>
  <c r="AC37" i="30"/>
  <c r="U37" i="30"/>
  <c r="AA37" i="30"/>
  <c r="AB37" i="30"/>
  <c r="M37" i="30" s="1"/>
  <c r="S37" i="30" s="1"/>
  <c r="O37" i="30"/>
  <c r="T37" i="30"/>
  <c r="V39" i="30"/>
  <c r="AC39" i="30"/>
  <c r="U39" i="30"/>
  <c r="AA39" i="30"/>
  <c r="O39" i="30"/>
  <c r="AB39" i="30"/>
  <c r="M39" i="30" s="1"/>
  <c r="S39" i="30" s="1"/>
  <c r="T39" i="30"/>
  <c r="V41" i="30"/>
  <c r="AC41" i="30"/>
  <c r="U41" i="30"/>
  <c r="AA41" i="30"/>
  <c r="O41" i="30"/>
  <c r="T41" i="30"/>
  <c r="AB41" i="30"/>
  <c r="M41" i="30" s="1"/>
  <c r="S41" i="30" s="1"/>
  <c r="AF32" i="23"/>
  <c r="N24" i="25"/>
  <c r="AF41" i="25"/>
  <c r="N17" i="26"/>
  <c r="N19" i="26"/>
  <c r="N20" i="26"/>
  <c r="N12" i="27"/>
  <c r="N14" i="27"/>
  <c r="N15" i="27"/>
  <c r="N28" i="27"/>
  <c r="N32" i="27"/>
  <c r="N36" i="27"/>
  <c r="N40" i="27"/>
  <c r="N42" i="27"/>
  <c r="AF22" i="28"/>
  <c r="AF23" i="28"/>
  <c r="AF33" i="28"/>
  <c r="AF35" i="28"/>
  <c r="N41" i="28"/>
  <c r="N42" i="28"/>
  <c r="N36" i="29"/>
  <c r="C22" i="30"/>
  <c r="AF25" i="25"/>
  <c r="N33" i="25"/>
  <c r="N36" i="25"/>
  <c r="N40" i="25"/>
  <c r="N24" i="26"/>
  <c r="N25" i="26"/>
  <c r="N30" i="26"/>
  <c r="AF17" i="27"/>
  <c r="N32" i="28"/>
  <c r="N36" i="28"/>
  <c r="N16" i="29"/>
  <c r="N17" i="29"/>
  <c r="AF25" i="29"/>
  <c r="AF38" i="29"/>
  <c r="C13" i="30"/>
  <c r="C15" i="30"/>
  <c r="C17" i="30"/>
  <c r="AF18" i="30"/>
  <c r="C26" i="30"/>
  <c r="C20" i="30"/>
  <c r="C24" i="30"/>
  <c r="AF19" i="29"/>
  <c r="N21" i="29"/>
  <c r="N37" i="29"/>
  <c r="AF13" i="29"/>
  <c r="N33" i="29"/>
  <c r="AF15" i="29"/>
  <c r="AF16" i="29"/>
  <c r="AF17" i="29"/>
  <c r="N13" i="29"/>
  <c r="AF23" i="29"/>
  <c r="AF27" i="29"/>
  <c r="AF31" i="29"/>
  <c r="AF35" i="29"/>
  <c r="N39" i="29"/>
  <c r="AF12" i="29"/>
  <c r="N19" i="29"/>
  <c r="N22" i="29"/>
  <c r="AF24" i="29"/>
  <c r="N26" i="29"/>
  <c r="AF28" i="29"/>
  <c r="N30" i="29"/>
  <c r="AF32" i="29"/>
  <c r="N34" i="29"/>
  <c r="AF36" i="29"/>
  <c r="AF39" i="29"/>
  <c r="N23" i="29"/>
  <c r="N27" i="29"/>
  <c r="N31" i="29"/>
  <c r="N35" i="29"/>
  <c r="AF40" i="29"/>
  <c r="AA16" i="29"/>
  <c r="AB16" i="29"/>
  <c r="M16" i="29" s="1"/>
  <c r="S16" i="29" s="1"/>
  <c r="T16" i="29"/>
  <c r="O16" i="29"/>
  <c r="V16" i="29"/>
  <c r="U16" i="29"/>
  <c r="AC16" i="29"/>
  <c r="V20" i="29"/>
  <c r="AA14" i="29"/>
  <c r="AB14" i="29"/>
  <c r="M14" i="29" s="1"/>
  <c r="S14" i="29" s="1"/>
  <c r="T14" i="29"/>
  <c r="O14" i="29"/>
  <c r="U14" i="29"/>
  <c r="V14" i="29"/>
  <c r="AC14" i="29"/>
  <c r="AA18" i="29"/>
  <c r="AB18" i="29"/>
  <c r="M18" i="29" s="1"/>
  <c r="S18" i="29" s="1"/>
  <c r="T18" i="29"/>
  <c r="O18" i="29"/>
  <c r="AC18" i="29"/>
  <c r="V18" i="29"/>
  <c r="U18" i="29"/>
  <c r="V19" i="29"/>
  <c r="AB19" i="29"/>
  <c r="M19" i="29" s="1"/>
  <c r="S19" i="29" s="1"/>
  <c r="AC19" i="29"/>
  <c r="T19" i="29"/>
  <c r="O19" i="29"/>
  <c r="U19" i="29"/>
  <c r="AA19" i="29"/>
  <c r="P19" i="29" s="1"/>
  <c r="AA12" i="29"/>
  <c r="P12" i="29" s="1"/>
  <c r="AB12" i="29"/>
  <c r="M12" i="29" s="1"/>
  <c r="S12" i="29" s="1"/>
  <c r="T12" i="29"/>
  <c r="O12" i="29"/>
  <c r="AC12" i="29"/>
  <c r="U12" i="29"/>
  <c r="V12" i="29"/>
  <c r="V23" i="29"/>
  <c r="AA23" i="29"/>
  <c r="P23" i="29" s="1"/>
  <c r="U23" i="29"/>
  <c r="O23" i="29"/>
  <c r="AB23" i="29"/>
  <c r="M23" i="29" s="1"/>
  <c r="S23" i="29" s="1"/>
  <c r="AC23" i="29"/>
  <c r="T23" i="29"/>
  <c r="V27" i="29"/>
  <c r="AA27" i="29"/>
  <c r="U27" i="29"/>
  <c r="O27" i="29"/>
  <c r="AB27" i="29"/>
  <c r="M27" i="29" s="1"/>
  <c r="S27" i="29" s="1"/>
  <c r="T27" i="29"/>
  <c r="AC27" i="29"/>
  <c r="V31" i="29"/>
  <c r="AA31" i="29"/>
  <c r="U31" i="29"/>
  <c r="O31" i="29"/>
  <c r="T31" i="29"/>
  <c r="AB31" i="29"/>
  <c r="M31" i="29" s="1"/>
  <c r="S31" i="29" s="1"/>
  <c r="AC31" i="29"/>
  <c r="V21" i="29"/>
  <c r="AA21" i="29"/>
  <c r="S21" i="29"/>
  <c r="AC21" i="29"/>
  <c r="T21" i="29"/>
  <c r="AB21" i="29"/>
  <c r="M21" i="29" s="1"/>
  <c r="O21" i="29"/>
  <c r="U21" i="29"/>
  <c r="V25" i="29"/>
  <c r="AA25" i="29"/>
  <c r="AC25" i="29"/>
  <c r="T25" i="29"/>
  <c r="AB25" i="29"/>
  <c r="M25" i="29" s="1"/>
  <c r="S25" i="29" s="1"/>
  <c r="O25" i="29"/>
  <c r="U25" i="29"/>
  <c r="V29" i="29"/>
  <c r="AA29" i="29"/>
  <c r="AC29" i="29"/>
  <c r="T29" i="29"/>
  <c r="AB29" i="29"/>
  <c r="M29" i="29" s="1"/>
  <c r="S29" i="29" s="1"/>
  <c r="O29" i="29"/>
  <c r="U29" i="29"/>
  <c r="V33" i="29"/>
  <c r="AA33" i="29"/>
  <c r="AC33" i="29"/>
  <c r="AB33" i="29"/>
  <c r="M33" i="29" s="1"/>
  <c r="S33" i="29" s="1"/>
  <c r="T33" i="29"/>
  <c r="U33" i="29"/>
  <c r="O33" i="29"/>
  <c r="V37" i="29"/>
  <c r="AA37" i="29"/>
  <c r="AC37" i="29"/>
  <c r="AB37" i="29"/>
  <c r="M37" i="29" s="1"/>
  <c r="S37" i="29" s="1"/>
  <c r="T37" i="29"/>
  <c r="O37" i="29"/>
  <c r="U37" i="29"/>
  <c r="V41" i="29"/>
  <c r="AA41" i="29"/>
  <c r="AC41" i="29"/>
  <c r="AB41" i="29"/>
  <c r="M41" i="29" s="1"/>
  <c r="S41" i="29" s="1"/>
  <c r="T41" i="29"/>
  <c r="U41" i="29"/>
  <c r="O41" i="29"/>
  <c r="V35" i="29"/>
  <c r="AA35" i="29"/>
  <c r="U35" i="29"/>
  <c r="O35" i="29"/>
  <c r="T35" i="29"/>
  <c r="AB35" i="29"/>
  <c r="M35" i="29" s="1"/>
  <c r="S35" i="29" s="1"/>
  <c r="AC35" i="29"/>
  <c r="V39" i="29"/>
  <c r="AA39" i="29"/>
  <c r="U39" i="29"/>
  <c r="O39" i="29"/>
  <c r="T39" i="29"/>
  <c r="AB39" i="29"/>
  <c r="M39" i="29" s="1"/>
  <c r="S39" i="29" s="1"/>
  <c r="AC39" i="29"/>
  <c r="C28" i="29"/>
  <c r="N29" i="27"/>
  <c r="N31" i="27"/>
  <c r="N12" i="28"/>
  <c r="AF30" i="28"/>
  <c r="N34" i="28"/>
  <c r="C36" i="29"/>
  <c r="N17" i="27"/>
  <c r="N20" i="27"/>
  <c r="N24" i="27"/>
  <c r="N26" i="27"/>
  <c r="AF33" i="27"/>
  <c r="AF14" i="28"/>
  <c r="AF15" i="28"/>
  <c r="AF16" i="28"/>
  <c r="N17" i="28"/>
  <c r="N18" i="28"/>
  <c r="AF14" i="29"/>
  <c r="C32" i="29"/>
  <c r="C40" i="29"/>
  <c r="C24" i="29"/>
  <c r="AF15" i="27"/>
  <c r="C13" i="29"/>
  <c r="AF33" i="25"/>
  <c r="N33" i="27"/>
  <c r="N35" i="27"/>
  <c r="N37" i="27"/>
  <c r="N39" i="27"/>
  <c r="N25" i="28"/>
  <c r="AF19" i="28"/>
  <c r="AF20" i="28"/>
  <c r="AF21" i="28"/>
  <c r="N23" i="28"/>
  <c r="AF29" i="28"/>
  <c r="AF37" i="28"/>
  <c r="N40" i="28"/>
  <c r="AF18" i="29"/>
  <c r="C20" i="29"/>
  <c r="AB20" i="29" s="1"/>
  <c r="AD20" i="29" s="1"/>
  <c r="AF22" i="29"/>
  <c r="AF26" i="29"/>
  <c r="AF30" i="29"/>
  <c r="AF34" i="29"/>
  <c r="N29" i="28"/>
  <c r="N37" i="28"/>
  <c r="N38" i="28"/>
  <c r="AF42" i="28"/>
  <c r="C22" i="29"/>
  <c r="C26" i="29"/>
  <c r="C30" i="29"/>
  <c r="C34" i="29"/>
  <c r="C38" i="29"/>
  <c r="N13" i="28"/>
  <c r="N16" i="28"/>
  <c r="N21" i="28"/>
  <c r="N27" i="28"/>
  <c r="N35" i="28"/>
  <c r="AF36" i="28"/>
  <c r="AF13" i="28"/>
  <c r="N14" i="28"/>
  <c r="AF26" i="28"/>
  <c r="N33" i="28"/>
  <c r="AF34" i="28"/>
  <c r="Q5" i="28"/>
  <c r="AF24" i="28"/>
  <c r="N31" i="28"/>
  <c r="AF32" i="28"/>
  <c r="N39" i="28"/>
  <c r="AF40" i="28"/>
  <c r="V19" i="28"/>
  <c r="AA19" i="28"/>
  <c r="T19" i="28"/>
  <c r="AC19" i="28"/>
  <c r="U19" i="28"/>
  <c r="O19" i="28"/>
  <c r="AB19" i="28"/>
  <c r="M19" i="28" s="1"/>
  <c r="S19" i="28" s="1"/>
  <c r="AB13" i="28"/>
  <c r="M13" i="28" s="1"/>
  <c r="S13" i="28" s="1"/>
  <c r="T13" i="28"/>
  <c r="O13" i="28"/>
  <c r="AA13" i="28"/>
  <c r="P13" i="28" s="1"/>
  <c r="V13" i="28"/>
  <c r="AC13" i="28"/>
  <c r="U13" i="28"/>
  <c r="AB15" i="28"/>
  <c r="M15" i="28" s="1"/>
  <c r="S15" i="28" s="1"/>
  <c r="T15" i="28"/>
  <c r="O15" i="28"/>
  <c r="AA15" i="28"/>
  <c r="AC15" i="28"/>
  <c r="U15" i="28"/>
  <c r="V15" i="28"/>
  <c r="AB17" i="28"/>
  <c r="M17" i="28" s="1"/>
  <c r="S17" i="28" s="1"/>
  <c r="T17" i="28"/>
  <c r="O17" i="28"/>
  <c r="S7" i="28" s="1"/>
  <c r="AA17" i="28"/>
  <c r="V17" i="28"/>
  <c r="AC17" i="28"/>
  <c r="U17" i="28"/>
  <c r="V21" i="28"/>
  <c r="AA21" i="28"/>
  <c r="AB21" i="28"/>
  <c r="M21" i="28" s="1"/>
  <c r="S21" i="28" s="1"/>
  <c r="T21" i="28"/>
  <c r="U21" i="28"/>
  <c r="O21" i="28"/>
  <c r="AC21" i="28"/>
  <c r="V25" i="28"/>
  <c r="AA25" i="28"/>
  <c r="AB25" i="28"/>
  <c r="M25" i="28" s="1"/>
  <c r="S25" i="28" s="1"/>
  <c r="U25" i="28"/>
  <c r="O25" i="28"/>
  <c r="AC25" i="28"/>
  <c r="T25" i="28"/>
  <c r="V23" i="28"/>
  <c r="AA23" i="28"/>
  <c r="T23" i="28"/>
  <c r="AB23" i="28"/>
  <c r="M23" i="28" s="1"/>
  <c r="S23" i="28" s="1"/>
  <c r="AC23" i="28"/>
  <c r="U23" i="28"/>
  <c r="O23" i="28"/>
  <c r="V27" i="28"/>
  <c r="AC27" i="28"/>
  <c r="AA27" i="28"/>
  <c r="T27" i="28"/>
  <c r="AB27" i="28"/>
  <c r="M27" i="28" s="1"/>
  <c r="S27" i="28" s="1"/>
  <c r="U27" i="28"/>
  <c r="O27" i="28"/>
  <c r="V29" i="28"/>
  <c r="AC29" i="28"/>
  <c r="U29" i="28"/>
  <c r="AA29" i="28"/>
  <c r="AB29" i="28"/>
  <c r="M29" i="28" s="1"/>
  <c r="S29" i="28" s="1"/>
  <c r="O29" i="28"/>
  <c r="T29" i="28"/>
  <c r="V31" i="28"/>
  <c r="AC31" i="28"/>
  <c r="U31" i="28"/>
  <c r="AA31" i="28"/>
  <c r="O31" i="28"/>
  <c r="T31" i="28"/>
  <c r="AB31" i="28"/>
  <c r="M31" i="28" s="1"/>
  <c r="S31" i="28" s="1"/>
  <c r="V33" i="28"/>
  <c r="AC33" i="28"/>
  <c r="U33" i="28"/>
  <c r="AA33" i="28"/>
  <c r="P33" i="28" s="1"/>
  <c r="O33" i="28"/>
  <c r="T33" i="28"/>
  <c r="AB33" i="28"/>
  <c r="M33" i="28" s="1"/>
  <c r="S33" i="28" s="1"/>
  <c r="V35" i="28"/>
  <c r="AC35" i="28"/>
  <c r="U35" i="28"/>
  <c r="AA35" i="28"/>
  <c r="AB35" i="28"/>
  <c r="M35" i="28" s="1"/>
  <c r="S35" i="28" s="1"/>
  <c r="O35" i="28"/>
  <c r="T35" i="28"/>
  <c r="V37" i="28"/>
  <c r="AC37" i="28"/>
  <c r="U37" i="28"/>
  <c r="AA37" i="28"/>
  <c r="O37" i="28"/>
  <c r="AB37" i="28"/>
  <c r="M37" i="28" s="1"/>
  <c r="S37" i="28" s="1"/>
  <c r="T37" i="28"/>
  <c r="V39" i="28"/>
  <c r="AC39" i="28"/>
  <c r="U39" i="28"/>
  <c r="AA39" i="28"/>
  <c r="P39" i="28" s="1"/>
  <c r="AB39" i="28"/>
  <c r="M39" i="28" s="1"/>
  <c r="S39" i="28" s="1"/>
  <c r="O39" i="28"/>
  <c r="T39" i="28"/>
  <c r="V41" i="28"/>
  <c r="AC41" i="28"/>
  <c r="U41" i="28"/>
  <c r="AA41" i="28"/>
  <c r="P41" i="28" s="1"/>
  <c r="O41" i="28"/>
  <c r="T41" i="28"/>
  <c r="AB41" i="28"/>
  <c r="M41" i="28" s="1"/>
  <c r="S41" i="28" s="1"/>
  <c r="AF17" i="25"/>
  <c r="AF21" i="26"/>
  <c r="AF24" i="26"/>
  <c r="N13" i="27"/>
  <c r="AF16" i="27"/>
  <c r="N22" i="27"/>
  <c r="AF29" i="27"/>
  <c r="N38" i="27"/>
  <c r="AF18" i="28"/>
  <c r="C22" i="28"/>
  <c r="C26" i="28"/>
  <c r="AF28" i="28"/>
  <c r="AF36" i="23"/>
  <c r="AF27" i="25"/>
  <c r="AF20" i="27"/>
  <c r="AF21" i="27"/>
  <c r="N25" i="27"/>
  <c r="N27" i="27"/>
  <c r="N30" i="27"/>
  <c r="AF37" i="27"/>
  <c r="N41" i="27"/>
  <c r="C20" i="28"/>
  <c r="C24" i="28"/>
  <c r="N41" i="25"/>
  <c r="AF29" i="26"/>
  <c r="AF37" i="26"/>
  <c r="AF41" i="26"/>
  <c r="AF13" i="27"/>
  <c r="N18" i="27"/>
  <c r="AF24" i="27"/>
  <c r="AF25" i="27"/>
  <c r="N34" i="27"/>
  <c r="AF41" i="27"/>
  <c r="AF19" i="27"/>
  <c r="AF23" i="27"/>
  <c r="AF26" i="27"/>
  <c r="AF27" i="27"/>
  <c r="AF30" i="27"/>
  <c r="AF31" i="27"/>
  <c r="AF34" i="27"/>
  <c r="AF35" i="27"/>
  <c r="AF38" i="27"/>
  <c r="AF39" i="27"/>
  <c r="AF42" i="27"/>
  <c r="AF28" i="27"/>
  <c r="AF32" i="27"/>
  <c r="AF36" i="27"/>
  <c r="AF40" i="27"/>
  <c r="AA14" i="27"/>
  <c r="AB14" i="27"/>
  <c r="M14" i="27" s="1"/>
  <c r="S14" i="27" s="1"/>
  <c r="T14" i="27"/>
  <c r="O14" i="27"/>
  <c r="AC14" i="27"/>
  <c r="V14" i="27"/>
  <c r="U14" i="27"/>
  <c r="V23" i="27"/>
  <c r="AA23" i="27"/>
  <c r="P23" i="27" s="1"/>
  <c r="U23" i="27"/>
  <c r="O23" i="27"/>
  <c r="AB23" i="27"/>
  <c r="M23" i="27" s="1"/>
  <c r="S23" i="27" s="1"/>
  <c r="AC23" i="27"/>
  <c r="T23" i="27"/>
  <c r="V27" i="27"/>
  <c r="AA27" i="27"/>
  <c r="U27" i="27"/>
  <c r="O27" i="27"/>
  <c r="AB27" i="27"/>
  <c r="M27" i="27" s="1"/>
  <c r="S27" i="27" s="1"/>
  <c r="AC27" i="27"/>
  <c r="T27" i="27"/>
  <c r="V31" i="27"/>
  <c r="AA31" i="27"/>
  <c r="U31" i="27"/>
  <c r="O31" i="27"/>
  <c r="AB31" i="27"/>
  <c r="M31" i="27" s="1"/>
  <c r="S31" i="27" s="1"/>
  <c r="AC31" i="27"/>
  <c r="T31" i="27"/>
  <c r="V35" i="27"/>
  <c r="AA35" i="27"/>
  <c r="U35" i="27"/>
  <c r="O35" i="27"/>
  <c r="AB35" i="27"/>
  <c r="M35" i="27" s="1"/>
  <c r="S35" i="27" s="1"/>
  <c r="AC35" i="27"/>
  <c r="T35" i="27"/>
  <c r="V39" i="27"/>
  <c r="AA39" i="27"/>
  <c r="U39" i="27"/>
  <c r="O39" i="27"/>
  <c r="AB39" i="27"/>
  <c r="M39" i="27" s="1"/>
  <c r="S39" i="27" s="1"/>
  <c r="AC39" i="27"/>
  <c r="T39" i="27"/>
  <c r="V21" i="27"/>
  <c r="AA21" i="27"/>
  <c r="AC21" i="27"/>
  <c r="T21" i="27"/>
  <c r="U21" i="27"/>
  <c r="AB21" i="27"/>
  <c r="M21" i="27" s="1"/>
  <c r="S21" i="27" s="1"/>
  <c r="O21" i="27"/>
  <c r="V25" i="27"/>
  <c r="AA25" i="27"/>
  <c r="AC25" i="27"/>
  <c r="T25" i="27"/>
  <c r="U25" i="27"/>
  <c r="AB25" i="27"/>
  <c r="M25" i="27" s="1"/>
  <c r="S25" i="27" s="1"/>
  <c r="O25" i="27"/>
  <c r="V29" i="27"/>
  <c r="AA29" i="27"/>
  <c r="AC29" i="27"/>
  <c r="T29" i="27"/>
  <c r="U29" i="27"/>
  <c r="AB29" i="27"/>
  <c r="M29" i="27" s="1"/>
  <c r="S29" i="27" s="1"/>
  <c r="O29" i="27"/>
  <c r="V33" i="27"/>
  <c r="AA33" i="27"/>
  <c r="AC33" i="27"/>
  <c r="T33" i="27"/>
  <c r="U33" i="27"/>
  <c r="AB33" i="27"/>
  <c r="M33" i="27" s="1"/>
  <c r="S33" i="27" s="1"/>
  <c r="O33" i="27"/>
  <c r="V37" i="27"/>
  <c r="AA37" i="27"/>
  <c r="AC37" i="27"/>
  <c r="T37" i="27"/>
  <c r="U37" i="27"/>
  <c r="AB37" i="27"/>
  <c r="M37" i="27" s="1"/>
  <c r="S37" i="27" s="1"/>
  <c r="O37" i="27"/>
  <c r="V41" i="27"/>
  <c r="AA41" i="27"/>
  <c r="AC41" i="27"/>
  <c r="T41" i="27"/>
  <c r="U41" i="27"/>
  <c r="AB41" i="27"/>
  <c r="M41" i="27" s="1"/>
  <c r="S41" i="27" s="1"/>
  <c r="O41" i="27"/>
  <c r="C28" i="27"/>
  <c r="C40" i="27"/>
  <c r="Q5" i="27"/>
  <c r="AF20" i="23"/>
  <c r="AF22" i="23"/>
  <c r="AF16" i="25"/>
  <c r="N20" i="25"/>
  <c r="AF35" i="25"/>
  <c r="AF12" i="26"/>
  <c r="AF16" i="26"/>
  <c r="N26" i="26"/>
  <c r="AF31" i="26"/>
  <c r="AF32" i="26"/>
  <c r="AF33" i="26"/>
  <c r="AF35" i="26"/>
  <c r="AF14" i="27"/>
  <c r="C17" i="27"/>
  <c r="C20" i="27"/>
  <c r="C24" i="27"/>
  <c r="C32" i="27"/>
  <c r="C36" i="27"/>
  <c r="N20" i="23"/>
  <c r="N16" i="24"/>
  <c r="N17" i="24"/>
  <c r="AF26" i="24"/>
  <c r="AF27" i="24"/>
  <c r="AF30" i="24"/>
  <c r="AF31" i="24"/>
  <c r="AF32" i="24"/>
  <c r="AF33" i="24"/>
  <c r="AF35" i="24"/>
  <c r="AF36" i="24"/>
  <c r="AF37" i="24"/>
  <c r="N32" i="25"/>
  <c r="AF12" i="27"/>
  <c r="N27" i="24"/>
  <c r="AF12" i="25"/>
  <c r="AF13" i="25"/>
  <c r="AF14" i="25"/>
  <c r="AF15" i="25"/>
  <c r="N17" i="25"/>
  <c r="AF24" i="25"/>
  <c r="N28" i="25"/>
  <c r="N31" i="26"/>
  <c r="N34" i="26"/>
  <c r="N38" i="26"/>
  <c r="N40" i="26"/>
  <c r="AF18" i="27"/>
  <c r="AF22" i="27"/>
  <c r="N25" i="25"/>
  <c r="C22" i="27"/>
  <c r="C26" i="27"/>
  <c r="C30" i="27"/>
  <c r="C34" i="27"/>
  <c r="C38" i="27"/>
  <c r="C42" i="27"/>
  <c r="N18" i="26"/>
  <c r="AF36" i="26"/>
  <c r="AF15" i="26"/>
  <c r="AF19" i="26"/>
  <c r="N22" i="26"/>
  <c r="N28" i="26"/>
  <c r="N32" i="26"/>
  <c r="N36" i="26"/>
  <c r="N41" i="26"/>
  <c r="N13" i="26"/>
  <c r="N15" i="26"/>
  <c r="AF27" i="26"/>
  <c r="AF28" i="26"/>
  <c r="N12" i="26"/>
  <c r="N29" i="26"/>
  <c r="AF40" i="26"/>
  <c r="AF13" i="26"/>
  <c r="AF14" i="26"/>
  <c r="N16" i="26"/>
  <c r="AF20" i="26"/>
  <c r="N21" i="26"/>
  <c r="AF23" i="26"/>
  <c r="N27" i="26"/>
  <c r="N37" i="26"/>
  <c r="AF38" i="26"/>
  <c r="AF39" i="26"/>
  <c r="AF17" i="26"/>
  <c r="N35" i="26"/>
  <c r="N14" i="26"/>
  <c r="N23" i="26"/>
  <c r="N33" i="26"/>
  <c r="AF34" i="26"/>
  <c r="N39" i="26"/>
  <c r="V31" i="26"/>
  <c r="AA31" i="26"/>
  <c r="U31" i="26"/>
  <c r="O31" i="26"/>
  <c r="AC31" i="26"/>
  <c r="AB31" i="26"/>
  <c r="M31" i="26" s="1"/>
  <c r="S31" i="26" s="1"/>
  <c r="T31" i="26"/>
  <c r="V35" i="26"/>
  <c r="AA35" i="26"/>
  <c r="U35" i="26"/>
  <c r="O35" i="26"/>
  <c r="AC35" i="26"/>
  <c r="AB35" i="26"/>
  <c r="M35" i="26" s="1"/>
  <c r="S35" i="26" s="1"/>
  <c r="T35" i="26"/>
  <c r="V19" i="26"/>
  <c r="AC19" i="26"/>
  <c r="O19" i="26"/>
  <c r="U19" i="26"/>
  <c r="V27" i="26"/>
  <c r="AA27" i="26"/>
  <c r="U27" i="26"/>
  <c r="O27" i="26"/>
  <c r="AC27" i="26"/>
  <c r="AB27" i="26"/>
  <c r="M27" i="26" s="1"/>
  <c r="S27" i="26" s="1"/>
  <c r="T27" i="26"/>
  <c r="V12" i="26"/>
  <c r="O12" i="26"/>
  <c r="AA12" i="26"/>
  <c r="V14" i="26"/>
  <c r="AB14" i="26"/>
  <c r="M14" i="26" s="1"/>
  <c r="S14" i="26" s="1"/>
  <c r="T14" i="26"/>
  <c r="O14" i="26"/>
  <c r="AA14" i="26"/>
  <c r="AC14" i="26"/>
  <c r="U14" i="26"/>
  <c r="V16" i="26"/>
  <c r="AB16" i="26"/>
  <c r="M16" i="26" s="1"/>
  <c r="S16" i="26" s="1"/>
  <c r="T16" i="26"/>
  <c r="O16" i="26"/>
  <c r="AA16" i="26"/>
  <c r="AC16" i="26"/>
  <c r="U16" i="26"/>
  <c r="V18" i="26"/>
  <c r="AB18" i="26"/>
  <c r="M18" i="26" s="1"/>
  <c r="S18" i="26" s="1"/>
  <c r="T18" i="26"/>
  <c r="O18" i="26"/>
  <c r="AA18" i="26"/>
  <c r="AC18" i="26"/>
  <c r="U18" i="26"/>
  <c r="V23" i="26"/>
  <c r="AA23" i="26"/>
  <c r="U23" i="26"/>
  <c r="O23" i="26"/>
  <c r="AC23" i="26"/>
  <c r="AB23" i="26"/>
  <c r="M23" i="26" s="1"/>
  <c r="S23" i="26" s="1"/>
  <c r="T23" i="26"/>
  <c r="V39" i="26"/>
  <c r="AA39" i="26"/>
  <c r="U39" i="26"/>
  <c r="O39" i="26"/>
  <c r="AC39" i="26"/>
  <c r="AB39" i="26"/>
  <c r="M39" i="26" s="1"/>
  <c r="S39" i="26" s="1"/>
  <c r="T39" i="26"/>
  <c r="V21" i="26"/>
  <c r="AA21" i="26"/>
  <c r="AC21" i="26"/>
  <c r="U21" i="26"/>
  <c r="O21" i="26"/>
  <c r="T21" i="26"/>
  <c r="AB21" i="26"/>
  <c r="M21" i="26" s="1"/>
  <c r="S21" i="26" s="1"/>
  <c r="V25" i="26"/>
  <c r="AA25" i="26"/>
  <c r="AC25" i="26"/>
  <c r="U25" i="26"/>
  <c r="O25" i="26"/>
  <c r="T25" i="26"/>
  <c r="AB25" i="26"/>
  <c r="M25" i="26" s="1"/>
  <c r="S25" i="26" s="1"/>
  <c r="V29" i="26"/>
  <c r="O29" i="26"/>
  <c r="V33" i="26"/>
  <c r="AA33" i="26"/>
  <c r="AC33" i="26"/>
  <c r="U33" i="26"/>
  <c r="O33" i="26"/>
  <c r="T33" i="26"/>
  <c r="AB33" i="26"/>
  <c r="M33" i="26" s="1"/>
  <c r="S33" i="26" s="1"/>
  <c r="V37" i="26"/>
  <c r="AC37" i="26"/>
  <c r="O37" i="26"/>
  <c r="AB37" i="26"/>
  <c r="M37" i="26" s="1"/>
  <c r="S37" i="26" s="1"/>
  <c r="V41" i="26"/>
  <c r="AA41" i="26"/>
  <c r="AC41" i="26"/>
  <c r="U41" i="26"/>
  <c r="O41" i="26"/>
  <c r="T41" i="26"/>
  <c r="AB41" i="26"/>
  <c r="M41" i="26" s="1"/>
  <c r="S41" i="26" s="1"/>
  <c r="N38" i="23"/>
  <c r="C13" i="26"/>
  <c r="C15" i="26"/>
  <c r="C17" i="26"/>
  <c r="AF19" i="25"/>
  <c r="Q5" i="26"/>
  <c r="AF13" i="24"/>
  <c r="N32" i="24"/>
  <c r="Q5" i="25"/>
  <c r="N21" i="23"/>
  <c r="AF30" i="23"/>
  <c r="N14" i="25"/>
  <c r="N22" i="25"/>
  <c r="N30" i="25"/>
  <c r="AF34" i="25"/>
  <c r="N38" i="25"/>
  <c r="AF42" i="25"/>
  <c r="AF22" i="26"/>
  <c r="AF26" i="26"/>
  <c r="AF30" i="26"/>
  <c r="AF20" i="25"/>
  <c r="AF21" i="25"/>
  <c r="AF22" i="25"/>
  <c r="AF23" i="25"/>
  <c r="N26" i="25"/>
  <c r="AF29" i="25"/>
  <c r="AF31" i="25"/>
  <c r="N34" i="25"/>
  <c r="AF37" i="25"/>
  <c r="AF39" i="25"/>
  <c r="N42" i="25"/>
  <c r="AF18" i="26"/>
  <c r="C20" i="26"/>
  <c r="C24" i="26"/>
  <c r="C28" i="26"/>
  <c r="C32" i="26"/>
  <c r="C36" i="26"/>
  <c r="C40" i="26"/>
  <c r="N12" i="23"/>
  <c r="N15" i="23"/>
  <c r="AF14" i="24"/>
  <c r="C22" i="26"/>
  <c r="C26" i="26"/>
  <c r="C30" i="26"/>
  <c r="C34" i="26"/>
  <c r="C38" i="26"/>
  <c r="N16" i="25"/>
  <c r="AF18" i="25"/>
  <c r="N19" i="25"/>
  <c r="AF26" i="25"/>
  <c r="N27" i="25"/>
  <c r="AF28" i="25"/>
  <c r="N35" i="25"/>
  <c r="AF36" i="25"/>
  <c r="N12" i="25"/>
  <c r="N15" i="25"/>
  <c r="N23" i="25"/>
  <c r="N31" i="25"/>
  <c r="AF32" i="25"/>
  <c r="N39" i="25"/>
  <c r="AF40" i="25"/>
  <c r="N13" i="25"/>
  <c r="N18" i="25"/>
  <c r="N21" i="25"/>
  <c r="N29" i="25"/>
  <c r="AF30" i="25"/>
  <c r="N37" i="25"/>
  <c r="AF38" i="25"/>
  <c r="AB12" i="25"/>
  <c r="M12" i="25" s="1"/>
  <c r="T12" i="25"/>
  <c r="O12" i="25"/>
  <c r="AA12" i="25"/>
  <c r="S12" i="25"/>
  <c r="AC12" i="25"/>
  <c r="U12" i="25"/>
  <c r="P12" i="25"/>
  <c r="V12" i="25"/>
  <c r="AB14" i="25"/>
  <c r="M14" i="25" s="1"/>
  <c r="S14" i="25" s="1"/>
  <c r="T14" i="25"/>
  <c r="O14" i="25"/>
  <c r="AA14" i="25"/>
  <c r="AC14" i="25"/>
  <c r="U14" i="25"/>
  <c r="V14" i="25"/>
  <c r="AB16" i="25"/>
  <c r="M16" i="25" s="1"/>
  <c r="S16" i="25" s="1"/>
  <c r="T16" i="25"/>
  <c r="O16" i="25"/>
  <c r="AA16" i="25"/>
  <c r="AC16" i="25"/>
  <c r="U16" i="25"/>
  <c r="V16" i="25"/>
  <c r="AB18" i="25"/>
  <c r="M18" i="25" s="1"/>
  <c r="S18" i="25" s="1"/>
  <c r="T18" i="25"/>
  <c r="O18" i="25"/>
  <c r="AA18" i="25"/>
  <c r="V18" i="25"/>
  <c r="AC18" i="25"/>
  <c r="U18" i="25"/>
  <c r="V27" i="25"/>
  <c r="AA27" i="25"/>
  <c r="AB27" i="25"/>
  <c r="M27" i="25" s="1"/>
  <c r="S27" i="25" s="1"/>
  <c r="T27" i="25"/>
  <c r="U27" i="25"/>
  <c r="O27" i="25"/>
  <c r="AC27" i="25"/>
  <c r="V31" i="25"/>
  <c r="AC31" i="25"/>
  <c r="U31" i="25"/>
  <c r="AA31" i="25"/>
  <c r="O31" i="25"/>
  <c r="T31" i="25"/>
  <c r="AB31" i="25"/>
  <c r="M31" i="25" s="1"/>
  <c r="S31" i="25" s="1"/>
  <c r="V19" i="25"/>
  <c r="AA19" i="25"/>
  <c r="AB19" i="25"/>
  <c r="M19" i="25" s="1"/>
  <c r="S19" i="25" s="1"/>
  <c r="U19" i="25"/>
  <c r="O19" i="25"/>
  <c r="AC19" i="25"/>
  <c r="T19" i="25"/>
  <c r="V23" i="25"/>
  <c r="AA23" i="25"/>
  <c r="AB23" i="25"/>
  <c r="M23" i="25" s="1"/>
  <c r="S23" i="25" s="1"/>
  <c r="U23" i="25"/>
  <c r="O23" i="25"/>
  <c r="AC23" i="25"/>
  <c r="T23" i="25"/>
  <c r="V21" i="25"/>
  <c r="AA21" i="25"/>
  <c r="T21" i="25"/>
  <c r="AB21" i="25"/>
  <c r="M21" i="25" s="1"/>
  <c r="S21" i="25" s="1"/>
  <c r="AC21" i="25"/>
  <c r="U21" i="25"/>
  <c r="O21" i="25"/>
  <c r="V25" i="25"/>
  <c r="AA25" i="25"/>
  <c r="T25" i="25"/>
  <c r="AC25" i="25"/>
  <c r="AB25" i="25"/>
  <c r="M25" i="25" s="1"/>
  <c r="S25" i="25" s="1"/>
  <c r="U25" i="25"/>
  <c r="O25" i="25"/>
  <c r="V29" i="25"/>
  <c r="AA29" i="25"/>
  <c r="T29" i="25"/>
  <c r="AC29" i="25"/>
  <c r="U29" i="25"/>
  <c r="O29" i="25"/>
  <c r="AB29" i="25"/>
  <c r="M29" i="25" s="1"/>
  <c r="S29" i="25" s="1"/>
  <c r="V33" i="25"/>
  <c r="AC33" i="25"/>
  <c r="U33" i="25"/>
  <c r="AA33" i="25"/>
  <c r="O33" i="25"/>
  <c r="AB33" i="25"/>
  <c r="M33" i="25" s="1"/>
  <c r="S33" i="25" s="1"/>
  <c r="T33" i="25"/>
  <c r="V35" i="25"/>
  <c r="AC35" i="25"/>
  <c r="U35" i="25"/>
  <c r="AA35" i="25"/>
  <c r="P35" i="25" s="1"/>
  <c r="AB35" i="25"/>
  <c r="M35" i="25" s="1"/>
  <c r="S35" i="25" s="1"/>
  <c r="O35" i="25"/>
  <c r="T35" i="25"/>
  <c r="V37" i="25"/>
  <c r="AC37" i="25"/>
  <c r="U37" i="25"/>
  <c r="AA37" i="25"/>
  <c r="O37" i="25"/>
  <c r="T37" i="25"/>
  <c r="AB37" i="25"/>
  <c r="M37" i="25" s="1"/>
  <c r="S37" i="25" s="1"/>
  <c r="V39" i="25"/>
  <c r="AC39" i="25"/>
  <c r="U39" i="25"/>
  <c r="AA39" i="25"/>
  <c r="O39" i="25"/>
  <c r="T39" i="25"/>
  <c r="AB39" i="25"/>
  <c r="M39" i="25" s="1"/>
  <c r="S39" i="25" s="1"/>
  <c r="V41" i="25"/>
  <c r="AC41" i="25"/>
  <c r="U41" i="25"/>
  <c r="AA41" i="25"/>
  <c r="P41" i="25" s="1"/>
  <c r="AB41" i="25"/>
  <c r="M41" i="25" s="1"/>
  <c r="S41" i="25" s="1"/>
  <c r="O41" i="25"/>
  <c r="T41" i="25"/>
  <c r="N12" i="22"/>
  <c r="AF14" i="23"/>
  <c r="N24" i="23"/>
  <c r="N25" i="23"/>
  <c r="N27" i="23"/>
  <c r="AF39" i="23"/>
  <c r="AF40" i="23"/>
  <c r="N13" i="24"/>
  <c r="AF16" i="24"/>
  <c r="AF18" i="24"/>
  <c r="AF19" i="24"/>
  <c r="AF20" i="24"/>
  <c r="C20" i="25"/>
  <c r="C24" i="25"/>
  <c r="C28" i="25"/>
  <c r="AF12" i="23"/>
  <c r="N18" i="23"/>
  <c r="N39" i="23"/>
  <c r="N41" i="23"/>
  <c r="N18" i="24"/>
  <c r="N19" i="24"/>
  <c r="N20" i="24"/>
  <c r="N21" i="24"/>
  <c r="N22" i="24"/>
  <c r="N23" i="24"/>
  <c r="C22" i="25"/>
  <c r="C26" i="25"/>
  <c r="C30" i="25"/>
  <c r="N29" i="24"/>
  <c r="N35" i="24"/>
  <c r="N37" i="24"/>
  <c r="N38" i="24"/>
  <c r="N39" i="24"/>
  <c r="N41" i="24"/>
  <c r="AF12" i="24"/>
  <c r="N15" i="24"/>
  <c r="AF22" i="24"/>
  <c r="AF23" i="24"/>
  <c r="AF24" i="24"/>
  <c r="AF25" i="24"/>
  <c r="N31" i="24"/>
  <c r="N33" i="24"/>
  <c r="AF39" i="24"/>
  <c r="AF40" i="24"/>
  <c r="AF41" i="24"/>
  <c r="Q5" i="24"/>
  <c r="N36" i="24"/>
  <c r="N12" i="24"/>
  <c r="AF17" i="24"/>
  <c r="N24" i="24"/>
  <c r="N40" i="24"/>
  <c r="N14" i="24"/>
  <c r="AF15" i="24"/>
  <c r="AF21" i="24"/>
  <c r="N25" i="24"/>
  <c r="AF28" i="24"/>
  <c r="AF29" i="24"/>
  <c r="N30" i="24"/>
  <c r="AF34" i="24"/>
  <c r="AF38" i="24"/>
  <c r="N26" i="24"/>
  <c r="N28" i="24"/>
  <c r="N34" i="24"/>
  <c r="AB26" i="24"/>
  <c r="M26" i="24" s="1"/>
  <c r="S26" i="24" s="1"/>
  <c r="T26" i="24"/>
  <c r="O26" i="24"/>
  <c r="AA26" i="24"/>
  <c r="V26" i="24"/>
  <c r="U26" i="24"/>
  <c r="AC26" i="24"/>
  <c r="AB28" i="24"/>
  <c r="M28" i="24" s="1"/>
  <c r="S28" i="24" s="1"/>
  <c r="T28" i="24"/>
  <c r="O28" i="24"/>
  <c r="AA28" i="24"/>
  <c r="V28" i="24"/>
  <c r="U28" i="24"/>
  <c r="AC28" i="24"/>
  <c r="AB30" i="24"/>
  <c r="M30" i="24" s="1"/>
  <c r="S30" i="24" s="1"/>
  <c r="T30" i="24"/>
  <c r="O30" i="24"/>
  <c r="AA30" i="24"/>
  <c r="V30" i="24"/>
  <c r="U30" i="24"/>
  <c r="AC30" i="24"/>
  <c r="AB32" i="24"/>
  <c r="M32" i="24" s="1"/>
  <c r="T32" i="24"/>
  <c r="O32" i="24"/>
  <c r="AA32" i="24"/>
  <c r="S32" i="24"/>
  <c r="V32" i="24"/>
  <c r="U32" i="24"/>
  <c r="P32" i="24"/>
  <c r="AC32" i="24"/>
  <c r="AB34" i="24"/>
  <c r="M34" i="24" s="1"/>
  <c r="T34" i="24"/>
  <c r="O34" i="24"/>
  <c r="AA34" i="24"/>
  <c r="S34" i="24"/>
  <c r="V34" i="24"/>
  <c r="U34" i="24"/>
  <c r="AC34" i="24"/>
  <c r="V12" i="24"/>
  <c r="O12" i="24"/>
  <c r="AC12" i="24"/>
  <c r="U12" i="24"/>
  <c r="AB12" i="24"/>
  <c r="M12" i="24" s="1"/>
  <c r="S12" i="24" s="1"/>
  <c r="AA12" i="24"/>
  <c r="T12" i="24"/>
  <c r="V18" i="24"/>
  <c r="AA18" i="24"/>
  <c r="U18" i="24"/>
  <c r="O18" i="24"/>
  <c r="AB18" i="24"/>
  <c r="M18" i="24" s="1"/>
  <c r="S18" i="24" s="1"/>
  <c r="AC18" i="24"/>
  <c r="T18" i="24"/>
  <c r="AB20" i="24"/>
  <c r="M20" i="24" s="1"/>
  <c r="S20" i="24" s="1"/>
  <c r="T20" i="24"/>
  <c r="O20" i="24"/>
  <c r="V20" i="24"/>
  <c r="AA20" i="24"/>
  <c r="AC20" i="24"/>
  <c r="U20" i="24"/>
  <c r="AB22" i="24"/>
  <c r="M22" i="24" s="1"/>
  <c r="S22" i="24" s="1"/>
  <c r="T22" i="24"/>
  <c r="O22" i="24"/>
  <c r="AA22" i="24"/>
  <c r="V22" i="24"/>
  <c r="U22" i="24"/>
  <c r="AC22" i="24"/>
  <c r="AB24" i="24"/>
  <c r="M24" i="24" s="1"/>
  <c r="S24" i="24" s="1"/>
  <c r="T24" i="24"/>
  <c r="O24" i="24"/>
  <c r="AA24" i="24"/>
  <c r="V24" i="24"/>
  <c r="U24" i="24"/>
  <c r="AC24" i="24"/>
  <c r="AB36" i="24"/>
  <c r="M36" i="24" s="1"/>
  <c r="S36" i="24" s="1"/>
  <c r="T36" i="24"/>
  <c r="O36" i="24"/>
  <c r="AA36" i="24"/>
  <c r="V36" i="24"/>
  <c r="AC36" i="24"/>
  <c r="U36" i="24"/>
  <c r="AB38" i="24"/>
  <c r="M38" i="24" s="1"/>
  <c r="S38" i="24" s="1"/>
  <c r="T38" i="24"/>
  <c r="O38" i="24"/>
  <c r="AA38" i="24"/>
  <c r="V38" i="24"/>
  <c r="AC38" i="24"/>
  <c r="U38" i="24"/>
  <c r="AB40" i="24"/>
  <c r="M40" i="24" s="1"/>
  <c r="S40" i="24" s="1"/>
  <c r="T40" i="24"/>
  <c r="O40" i="24"/>
  <c r="AA40" i="24"/>
  <c r="V40" i="24"/>
  <c r="AC40" i="24"/>
  <c r="U40" i="24"/>
  <c r="AF12" i="22"/>
  <c r="N13" i="23"/>
  <c r="AF16" i="23"/>
  <c r="AF24" i="23"/>
  <c r="AF27" i="23"/>
  <c r="AF28" i="23"/>
  <c r="N31" i="23"/>
  <c r="AF34" i="23"/>
  <c r="N37" i="23"/>
  <c r="N23" i="23"/>
  <c r="N40" i="23"/>
  <c r="N42" i="23"/>
  <c r="Q5" i="23"/>
  <c r="N16" i="23"/>
  <c r="N17" i="23"/>
  <c r="N26" i="23"/>
  <c r="N28" i="23"/>
  <c r="N29" i="23"/>
  <c r="N35" i="23"/>
  <c r="C23" i="24"/>
  <c r="C25" i="24"/>
  <c r="C27" i="24"/>
  <c r="C29" i="24"/>
  <c r="C31" i="24"/>
  <c r="C33" i="24"/>
  <c r="C35" i="24"/>
  <c r="C37" i="24"/>
  <c r="C39" i="24"/>
  <c r="C41" i="24"/>
  <c r="N14" i="23"/>
  <c r="AF18" i="23"/>
  <c r="AF19" i="23"/>
  <c r="AF31" i="23"/>
  <c r="N32" i="23"/>
  <c r="N33" i="23"/>
  <c r="AF35" i="23"/>
  <c r="N36" i="23"/>
  <c r="AF38" i="23"/>
  <c r="AF42" i="23"/>
  <c r="N19" i="23"/>
  <c r="N22" i="23"/>
  <c r="AF26" i="23"/>
  <c r="N30" i="23"/>
  <c r="N34" i="23"/>
  <c r="V20" i="23"/>
  <c r="O20" i="23"/>
  <c r="V22" i="23"/>
  <c r="U22" i="23"/>
  <c r="AC22" i="23"/>
  <c r="T22" i="23"/>
  <c r="O22" i="23"/>
  <c r="AB22" i="23"/>
  <c r="M22" i="23" s="1"/>
  <c r="S22" i="23" s="1"/>
  <c r="AA22" i="23"/>
  <c r="AA12" i="23"/>
  <c r="V12" i="23"/>
  <c r="AC12" i="23"/>
  <c r="U12" i="23"/>
  <c r="T12" i="23"/>
  <c r="AB12" i="23"/>
  <c r="M12" i="23" s="1"/>
  <c r="S12" i="23" s="1"/>
  <c r="O12" i="23"/>
  <c r="AA14" i="23"/>
  <c r="V14" i="23"/>
  <c r="AC14" i="23"/>
  <c r="U14" i="23"/>
  <c r="T14" i="23"/>
  <c r="AB14" i="23"/>
  <c r="M14" i="23" s="1"/>
  <c r="S14" i="23" s="1"/>
  <c r="O14" i="23"/>
  <c r="AA16" i="23"/>
  <c r="V16" i="23"/>
  <c r="AC16" i="23"/>
  <c r="U16" i="23"/>
  <c r="T16" i="23"/>
  <c r="AB16" i="23"/>
  <c r="M16" i="23" s="1"/>
  <c r="S16" i="23" s="1"/>
  <c r="O16" i="23"/>
  <c r="V18" i="23"/>
  <c r="AB18" i="23"/>
  <c r="M18" i="23" s="1"/>
  <c r="S18" i="23" s="1"/>
  <c r="AA18" i="23"/>
  <c r="U18" i="23"/>
  <c r="T18" i="23"/>
  <c r="O18" i="23"/>
  <c r="AC18" i="23"/>
  <c r="AA24" i="23"/>
  <c r="V24" i="23"/>
  <c r="T24" i="23"/>
  <c r="O24" i="23"/>
  <c r="AC24" i="23"/>
  <c r="AB24" i="23"/>
  <c r="M24" i="23" s="1"/>
  <c r="S24" i="23" s="1"/>
  <c r="U24" i="23"/>
  <c r="AA26" i="23"/>
  <c r="V26" i="23"/>
  <c r="AB26" i="23"/>
  <c r="M26" i="23" s="1"/>
  <c r="S26" i="23" s="1"/>
  <c r="U26" i="23"/>
  <c r="O26" i="23"/>
  <c r="T26" i="23"/>
  <c r="AC26" i="23"/>
  <c r="AA30" i="23"/>
  <c r="V30" i="23"/>
  <c r="AB30" i="23"/>
  <c r="M30" i="23" s="1"/>
  <c r="S30" i="23" s="1"/>
  <c r="U30" i="23"/>
  <c r="O30" i="23"/>
  <c r="T30" i="23"/>
  <c r="AC30" i="23"/>
  <c r="AA34" i="23"/>
  <c r="V34" i="23"/>
  <c r="AB34" i="23"/>
  <c r="M34" i="23" s="1"/>
  <c r="S34" i="23" s="1"/>
  <c r="U34" i="23"/>
  <c r="O34" i="23"/>
  <c r="T34" i="23"/>
  <c r="AC34" i="23"/>
  <c r="AA38" i="23"/>
  <c r="V38" i="23"/>
  <c r="AB38" i="23"/>
  <c r="M38" i="23" s="1"/>
  <c r="S38" i="23" s="1"/>
  <c r="U38" i="23"/>
  <c r="O38" i="23"/>
  <c r="T38" i="23"/>
  <c r="AC38" i="23"/>
  <c r="AA42" i="23"/>
  <c r="V42" i="23"/>
  <c r="AB42" i="23"/>
  <c r="M42" i="23" s="1"/>
  <c r="S42" i="23" s="1"/>
  <c r="U42" i="23"/>
  <c r="O42" i="23"/>
  <c r="T42" i="23"/>
  <c r="AC42" i="23"/>
  <c r="AA28" i="23"/>
  <c r="V28" i="23"/>
  <c r="T28" i="23"/>
  <c r="AC28" i="23"/>
  <c r="AB28" i="23"/>
  <c r="M28" i="23" s="1"/>
  <c r="S28" i="23" s="1"/>
  <c r="U28" i="23"/>
  <c r="O28" i="23"/>
  <c r="AA32" i="23"/>
  <c r="V32" i="23"/>
  <c r="T32" i="23"/>
  <c r="AC32" i="23"/>
  <c r="AB32" i="23"/>
  <c r="M32" i="23" s="1"/>
  <c r="S32" i="23" s="1"/>
  <c r="O32" i="23"/>
  <c r="U32" i="23"/>
  <c r="AA36" i="23"/>
  <c r="V36" i="23"/>
  <c r="T36" i="23"/>
  <c r="AC36" i="23"/>
  <c r="AB36" i="23"/>
  <c r="M36" i="23" s="1"/>
  <c r="S36" i="23" s="1"/>
  <c r="U36" i="23"/>
  <c r="O36" i="23"/>
  <c r="AA40" i="23"/>
  <c r="V40" i="23"/>
  <c r="T40" i="23"/>
  <c r="AC40" i="23"/>
  <c r="AB40" i="23"/>
  <c r="M40" i="23" s="1"/>
  <c r="S40" i="23" s="1"/>
  <c r="O40" i="23"/>
  <c r="U40" i="23"/>
  <c r="C19" i="23"/>
  <c r="C27" i="23"/>
  <c r="C35" i="23"/>
  <c r="AF13" i="23"/>
  <c r="AF15" i="23"/>
  <c r="AF17" i="23"/>
  <c r="C31" i="23"/>
  <c r="C39" i="23"/>
  <c r="C13" i="23"/>
  <c r="C15" i="23"/>
  <c r="C17" i="23"/>
  <c r="C20" i="23"/>
  <c r="T20" i="23" s="1"/>
  <c r="AF21" i="23"/>
  <c r="C25" i="23"/>
  <c r="C29" i="23"/>
  <c r="C33" i="23"/>
  <c r="C37" i="23"/>
  <c r="C41" i="23"/>
  <c r="AF23" i="23"/>
  <c r="AF25" i="23"/>
  <c r="AF29" i="23"/>
  <c r="AF33" i="23"/>
  <c r="AF37" i="23"/>
  <c r="AF41" i="23"/>
  <c r="AA12" i="22"/>
  <c r="O12" i="22"/>
  <c r="U12" i="22"/>
  <c r="V12" i="22"/>
  <c r="R20" i="1"/>
  <c r="R21" i="1"/>
  <c r="R23" i="1"/>
  <c r="R24" i="1"/>
  <c r="R25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D14" i="24"/>
  <c r="D16" i="32"/>
  <c r="D15" i="29"/>
  <c r="D32" i="31"/>
  <c r="D25" i="23"/>
  <c r="D42" i="30"/>
  <c r="D20" i="28"/>
  <c r="D30" i="28"/>
  <c r="D18" i="30"/>
  <c r="D15" i="24"/>
  <c r="D42" i="32"/>
  <c r="D28" i="29"/>
  <c r="D14" i="30"/>
  <c r="D36" i="27"/>
  <c r="D23" i="23"/>
  <c r="D28" i="32"/>
  <c r="D33" i="23"/>
  <c r="D19" i="27"/>
  <c r="D12" i="30"/>
  <c r="D36" i="31"/>
  <c r="D33" i="24"/>
  <c r="D37" i="23"/>
  <c r="D27" i="24"/>
  <c r="D38" i="28"/>
  <c r="D30" i="32"/>
  <c r="D16" i="27"/>
  <c r="D12" i="27"/>
  <c r="D26" i="27"/>
  <c r="D24" i="30"/>
  <c r="D18" i="32"/>
  <c r="D41" i="23"/>
  <c r="D39" i="23"/>
  <c r="D37" i="24"/>
  <c r="D35" i="23"/>
  <c r="D40" i="30"/>
  <c r="D24" i="31"/>
  <c r="D15" i="31"/>
  <c r="D17" i="23"/>
  <c r="D36" i="29"/>
  <c r="D25" i="24"/>
  <c r="D40" i="28"/>
  <c r="D15" i="30"/>
  <c r="D30" i="30"/>
  <c r="D17" i="31"/>
  <c r="D36" i="30"/>
  <c r="D30" i="31"/>
  <c r="D16" i="31"/>
  <c r="D12" i="28"/>
  <c r="D34" i="31"/>
  <c r="D31" i="23"/>
  <c r="D40" i="27"/>
  <c r="D29" i="24"/>
  <c r="D34" i="32"/>
  <c r="D22" i="27"/>
  <c r="D32" i="32"/>
  <c r="D34" i="29"/>
  <c r="D40" i="29"/>
  <c r="D21" i="24"/>
  <c r="D28" i="30"/>
  <c r="D30" i="27"/>
  <c r="D20" i="32"/>
  <c r="D13" i="23"/>
  <c r="D28" i="31"/>
  <c r="D17" i="30"/>
  <c r="D39" i="24"/>
  <c r="D23" i="24"/>
  <c r="D22" i="29"/>
  <c r="D13" i="24"/>
  <c r="D38" i="29"/>
  <c r="D12" i="32"/>
  <c r="D42" i="27"/>
  <c r="D19" i="24"/>
  <c r="D32" i="28"/>
  <c r="D19" i="23"/>
  <c r="D38" i="30"/>
  <c r="D29" i="23"/>
  <c r="D32" i="30"/>
  <c r="D41" i="24"/>
  <c r="D15" i="27"/>
  <c r="D24" i="28"/>
  <c r="D17" i="29"/>
  <c r="D38" i="27"/>
  <c r="D20" i="30"/>
  <c r="D26" i="29"/>
  <c r="D18" i="28"/>
  <c r="D16" i="30"/>
  <c r="D24" i="29"/>
  <c r="D14" i="32"/>
  <c r="D22" i="28"/>
  <c r="D28" i="27"/>
  <c r="D16" i="28"/>
  <c r="D35" i="24"/>
  <c r="D22" i="30"/>
  <c r="D40" i="31"/>
  <c r="D32" i="27"/>
  <c r="D14" i="28"/>
  <c r="D20" i="31"/>
  <c r="D34" i="27"/>
  <c r="D34" i="30"/>
  <c r="D20" i="27"/>
  <c r="D26" i="32"/>
  <c r="D21" i="23"/>
  <c r="D22" i="32"/>
  <c r="D17" i="24"/>
  <c r="D13" i="30"/>
  <c r="D31" i="24"/>
  <c r="D24" i="27"/>
  <c r="D36" i="28"/>
  <c r="D13" i="29"/>
  <c r="D13" i="27"/>
  <c r="D32" i="29"/>
  <c r="D19" i="32"/>
  <c r="D36" i="32"/>
  <c r="D40" i="32"/>
  <c r="D16" i="24"/>
  <c r="D38" i="31"/>
  <c r="D15" i="23"/>
  <c r="D17" i="27"/>
  <c r="D34" i="28"/>
  <c r="D38" i="32"/>
  <c r="D13" i="31"/>
  <c r="D42" i="28"/>
  <c r="D18" i="27"/>
  <c r="D30" i="29"/>
  <c r="D27" i="23"/>
  <c r="D28" i="28"/>
  <c r="D26" i="30"/>
  <c r="D26" i="28"/>
  <c r="D25" i="31"/>
  <c r="D21" i="31"/>
  <c r="D24" i="32"/>
  <c r="T12" i="22" l="1"/>
  <c r="AC12" i="22"/>
  <c r="V14" i="24"/>
  <c r="T14" i="24"/>
  <c r="AC14" i="24"/>
  <c r="AA14" i="24"/>
  <c r="P14" i="24" s="1"/>
  <c r="U14" i="24"/>
  <c r="AB14" i="24"/>
  <c r="M14" i="24" s="1"/>
  <c r="S14" i="24" s="1"/>
  <c r="O14" i="24"/>
  <c r="U37" i="26"/>
  <c r="T29" i="26"/>
  <c r="AA29" i="26"/>
  <c r="P29" i="26" s="1"/>
  <c r="AC12" i="26"/>
  <c r="AB12" i="26"/>
  <c r="M12" i="26" s="1"/>
  <c r="S12" i="26" s="1"/>
  <c r="T19" i="26"/>
  <c r="T37" i="26"/>
  <c r="U29" i="26"/>
  <c r="AB19" i="26"/>
  <c r="M19" i="26" s="1"/>
  <c r="S19" i="26" s="1"/>
  <c r="AB29" i="26"/>
  <c r="M29" i="26" s="1"/>
  <c r="S29" i="26" s="1"/>
  <c r="U12" i="26"/>
  <c r="W40" i="33"/>
  <c r="N40" i="33" s="1"/>
  <c r="AG40" i="33"/>
  <c r="AF40" i="33" s="1"/>
  <c r="R40" i="33" s="1"/>
  <c r="AG12" i="33"/>
  <c r="AF12" i="33" s="1"/>
  <c r="R12" i="33" s="1"/>
  <c r="W12" i="33"/>
  <c r="N12" i="33" s="1"/>
  <c r="O31" i="33"/>
  <c r="M31" i="33"/>
  <c r="S31" i="33" s="1"/>
  <c r="O39" i="33"/>
  <c r="M39" i="33"/>
  <c r="S39" i="33" s="1"/>
  <c r="AG32" i="33"/>
  <c r="AF32" i="33" s="1"/>
  <c r="R32" i="33" s="1"/>
  <c r="W32" i="33"/>
  <c r="N32" i="33" s="1"/>
  <c r="AG22" i="33"/>
  <c r="W22" i="33"/>
  <c r="O33" i="33"/>
  <c r="M33" i="33"/>
  <c r="S33" i="33" s="1"/>
  <c r="O29" i="33"/>
  <c r="M29" i="33"/>
  <c r="S29" i="33" s="1"/>
  <c r="O35" i="33"/>
  <c r="U35" i="33"/>
  <c r="M35" i="33"/>
  <c r="AH22" i="33"/>
  <c r="X22" i="33"/>
  <c r="AG18" i="33"/>
  <c r="AF18" i="33" s="1"/>
  <c r="R18" i="33" s="1"/>
  <c r="W18" i="33"/>
  <c r="N18" i="33" s="1"/>
  <c r="AG30" i="33"/>
  <c r="AF30" i="33" s="1"/>
  <c r="R30" i="33" s="1"/>
  <c r="W30" i="33"/>
  <c r="N30" i="33" s="1"/>
  <c r="O19" i="33"/>
  <c r="M19" i="33"/>
  <c r="S19" i="33" s="1"/>
  <c r="AG24" i="33"/>
  <c r="AF24" i="33" s="1"/>
  <c r="R24" i="33" s="1"/>
  <c r="W24" i="33"/>
  <c r="N24" i="33" s="1"/>
  <c r="AG38" i="33"/>
  <c r="AF38" i="33" s="1"/>
  <c r="R38" i="33" s="1"/>
  <c r="W38" i="33"/>
  <c r="N38" i="33" s="1"/>
  <c r="AG26" i="33"/>
  <c r="AF26" i="33" s="1"/>
  <c r="R26" i="33" s="1"/>
  <c r="W26" i="33"/>
  <c r="N26" i="33" s="1"/>
  <c r="AG16" i="33"/>
  <c r="AF16" i="33" s="1"/>
  <c r="R16" i="33" s="1"/>
  <c r="W16" i="33"/>
  <c r="N16" i="33" s="1"/>
  <c r="AG36" i="33"/>
  <c r="AF36" i="33" s="1"/>
  <c r="R36" i="33" s="1"/>
  <c r="W36" i="33"/>
  <c r="N36" i="33" s="1"/>
  <c r="G7" i="33"/>
  <c r="P31" i="30"/>
  <c r="P14" i="29"/>
  <c r="P41" i="29"/>
  <c r="P17" i="28"/>
  <c r="P38" i="24"/>
  <c r="AG20" i="29"/>
  <c r="AF20" i="29" s="1"/>
  <c r="R20" i="29" s="1"/>
  <c r="O20" i="29" s="1"/>
  <c r="W20" i="29"/>
  <c r="N20" i="29" s="1"/>
  <c r="P37" i="30"/>
  <c r="P41" i="30"/>
  <c r="P41" i="32"/>
  <c r="P37" i="31"/>
  <c r="AB14" i="30"/>
  <c r="M14" i="30" s="1"/>
  <c r="S14" i="30" s="1"/>
  <c r="U14" i="30"/>
  <c r="T14" i="30"/>
  <c r="AA14" i="30"/>
  <c r="P14" i="30" s="1"/>
  <c r="O14" i="30"/>
  <c r="V14" i="30"/>
  <c r="AC14" i="30"/>
  <c r="U12" i="30"/>
  <c r="T12" i="30"/>
  <c r="V12" i="30"/>
  <c r="O12" i="30"/>
  <c r="AC12" i="30"/>
  <c r="AA12" i="30"/>
  <c r="AB12" i="30"/>
  <c r="M12" i="30" s="1"/>
  <c r="S12" i="30" s="1"/>
  <c r="V16" i="30"/>
  <c r="AC16" i="30"/>
  <c r="AB16" i="30"/>
  <c r="M16" i="30" s="1"/>
  <c r="S16" i="30" s="1"/>
  <c r="AA16" i="30"/>
  <c r="T16" i="30"/>
  <c r="U16" i="30"/>
  <c r="O16" i="30"/>
  <c r="U18" i="30"/>
  <c r="AB18" i="30"/>
  <c r="M18" i="30" s="1"/>
  <c r="S18" i="30" s="1"/>
  <c r="V18" i="30"/>
  <c r="AC18" i="30"/>
  <c r="T18" i="30"/>
  <c r="AA18" i="30"/>
  <c r="O18" i="30"/>
  <c r="O19" i="27"/>
  <c r="AA19" i="27"/>
  <c r="AC19" i="27"/>
  <c r="V19" i="27"/>
  <c r="AB19" i="27"/>
  <c r="M19" i="27" s="1"/>
  <c r="S19" i="27" s="1"/>
  <c r="U19" i="27"/>
  <c r="T19" i="27"/>
  <c r="P12" i="26"/>
  <c r="P14" i="26"/>
  <c r="T16" i="24"/>
  <c r="V16" i="24"/>
  <c r="AA16" i="24"/>
  <c r="AC16" i="24"/>
  <c r="AB16" i="24"/>
  <c r="M16" i="24" s="1"/>
  <c r="S16" i="24" s="1"/>
  <c r="U16" i="24"/>
  <c r="O16" i="24"/>
  <c r="T23" i="23"/>
  <c r="U23" i="23"/>
  <c r="O23" i="23"/>
  <c r="AC23" i="23"/>
  <c r="AA23" i="23"/>
  <c r="P23" i="23" s="1"/>
  <c r="AB23" i="23"/>
  <c r="M23" i="23" s="1"/>
  <c r="S23" i="23" s="1"/>
  <c r="V23" i="23"/>
  <c r="P24" i="23"/>
  <c r="P21" i="25"/>
  <c r="P25" i="32"/>
  <c r="P35" i="31"/>
  <c r="P33" i="31"/>
  <c r="P35" i="30"/>
  <c r="P31" i="29"/>
  <c r="P16" i="29"/>
  <c r="P35" i="28"/>
  <c r="P27" i="28"/>
  <c r="P39" i="27"/>
  <c r="P25" i="26"/>
  <c r="P18" i="26"/>
  <c r="P39" i="26"/>
  <c r="P37" i="25"/>
  <c r="P14" i="25"/>
  <c r="P24" i="24"/>
  <c r="P30" i="24"/>
  <c r="P13" i="32"/>
  <c r="P29" i="32"/>
  <c r="P23" i="32"/>
  <c r="P21" i="30"/>
  <c r="P35" i="29"/>
  <c r="P27" i="29"/>
  <c r="P37" i="28"/>
  <c r="P29" i="27"/>
  <c r="P35" i="26"/>
  <c r="P31" i="26"/>
  <c r="P27" i="25"/>
  <c r="P33" i="25"/>
  <c r="P25" i="25"/>
  <c r="P18" i="25"/>
  <c r="P40" i="24"/>
  <c r="P36" i="24"/>
  <c r="P22" i="24"/>
  <c r="P20" i="24"/>
  <c r="P34" i="24"/>
  <c r="P39" i="25"/>
  <c r="P16" i="25"/>
  <c r="P37" i="26"/>
  <c r="P41" i="27"/>
  <c r="P14" i="27"/>
  <c r="P29" i="28"/>
  <c r="P23" i="28"/>
  <c r="P12" i="30"/>
  <c r="P29" i="31"/>
  <c r="P27" i="31"/>
  <c r="P23" i="31"/>
  <c r="P14" i="31"/>
  <c r="P15" i="32"/>
  <c r="P29" i="25"/>
  <c r="P23" i="25"/>
  <c r="P31" i="27"/>
  <c r="P21" i="28"/>
  <c r="P15" i="28"/>
  <c r="P25" i="29"/>
  <c r="P21" i="29"/>
  <c r="P19" i="30"/>
  <c r="P33" i="29"/>
  <c r="P27" i="30"/>
  <c r="P18" i="30"/>
  <c r="P22" i="31"/>
  <c r="P35" i="32"/>
  <c r="P33" i="32"/>
  <c r="P39" i="32"/>
  <c r="P21" i="32"/>
  <c r="AB16" i="31"/>
  <c r="M16" i="31" s="1"/>
  <c r="S16" i="31" s="1"/>
  <c r="AA16" i="31"/>
  <c r="T16" i="31"/>
  <c r="AC16" i="31"/>
  <c r="O16" i="31"/>
  <c r="V16" i="31"/>
  <c r="U16" i="31"/>
  <c r="P41" i="31"/>
  <c r="P25" i="30"/>
  <c r="P29" i="29"/>
  <c r="P39" i="29"/>
  <c r="P31" i="28"/>
  <c r="O12" i="27"/>
  <c r="AC12" i="27"/>
  <c r="AA12" i="27"/>
  <c r="V12" i="27"/>
  <c r="AB12" i="27"/>
  <c r="M12" i="27" s="1"/>
  <c r="S12" i="27" s="1"/>
  <c r="T12" i="27"/>
  <c r="U12" i="27"/>
  <c r="T16" i="27"/>
  <c r="AC16" i="27"/>
  <c r="O16" i="27"/>
  <c r="AA16" i="27"/>
  <c r="P16" i="27" s="1"/>
  <c r="V16" i="27"/>
  <c r="AB16" i="27"/>
  <c r="M16" i="27" s="1"/>
  <c r="S16" i="27" s="1"/>
  <c r="U16" i="27"/>
  <c r="O18" i="27"/>
  <c r="V18" i="27"/>
  <c r="AA18" i="27"/>
  <c r="P18" i="27" s="1"/>
  <c r="U18" i="27"/>
  <c r="AB18" i="27"/>
  <c r="M18" i="27" s="1"/>
  <c r="S18" i="27" s="1"/>
  <c r="T18" i="27"/>
  <c r="AC18" i="27"/>
  <c r="P21" i="27"/>
  <c r="P25" i="27"/>
  <c r="P35" i="27"/>
  <c r="P27" i="27"/>
  <c r="P33" i="26"/>
  <c r="P21" i="26"/>
  <c r="P16" i="26"/>
  <c r="P19" i="26"/>
  <c r="P41" i="26"/>
  <c r="P27" i="26"/>
  <c r="P31" i="25"/>
  <c r="P19" i="25"/>
  <c r="P28" i="24"/>
  <c r="P38" i="23"/>
  <c r="AA20" i="23"/>
  <c r="P36" i="23"/>
  <c r="P12" i="22"/>
  <c r="AB20" i="32"/>
  <c r="M20" i="32" s="1"/>
  <c r="S20" i="32" s="1"/>
  <c r="T20" i="32"/>
  <c r="O20" i="32"/>
  <c r="AA20" i="32"/>
  <c r="V20" i="32"/>
  <c r="U20" i="32"/>
  <c r="AC20" i="32"/>
  <c r="AC14" i="32"/>
  <c r="U14" i="32"/>
  <c r="AB14" i="32"/>
  <c r="M14" i="32" s="1"/>
  <c r="S14" i="32" s="1"/>
  <c r="T14" i="32"/>
  <c r="O14" i="32"/>
  <c r="AA14" i="32"/>
  <c r="V14" i="32"/>
  <c r="AB28" i="32"/>
  <c r="M28" i="32" s="1"/>
  <c r="S28" i="32" s="1"/>
  <c r="T28" i="32"/>
  <c r="O28" i="32"/>
  <c r="AC28" i="32"/>
  <c r="U28" i="32"/>
  <c r="V28" i="32"/>
  <c r="AA28" i="32"/>
  <c r="P28" i="32" s="1"/>
  <c r="AB30" i="32"/>
  <c r="M30" i="32" s="1"/>
  <c r="S30" i="32" s="1"/>
  <c r="T30" i="32"/>
  <c r="O30" i="32"/>
  <c r="AC30" i="32"/>
  <c r="U30" i="32"/>
  <c r="AA30" i="32"/>
  <c r="V30" i="32"/>
  <c r="AB36" i="32"/>
  <c r="M36" i="32" s="1"/>
  <c r="T36" i="32"/>
  <c r="O36" i="32"/>
  <c r="AA36" i="32"/>
  <c r="S36" i="32"/>
  <c r="AC36" i="32"/>
  <c r="U36" i="32"/>
  <c r="V36" i="32"/>
  <c r="P36" i="32"/>
  <c r="AC16" i="32"/>
  <c r="U16" i="32"/>
  <c r="AB16" i="32"/>
  <c r="M16" i="32" s="1"/>
  <c r="S16" i="32" s="1"/>
  <c r="T16" i="32"/>
  <c r="O16" i="32"/>
  <c r="V16" i="32"/>
  <c r="AA16" i="32"/>
  <c r="P16" i="32" s="1"/>
  <c r="AC12" i="32"/>
  <c r="U12" i="32"/>
  <c r="AB12" i="32"/>
  <c r="M12" i="32" s="1"/>
  <c r="S12" i="32" s="1"/>
  <c r="T12" i="32"/>
  <c r="O12" i="32"/>
  <c r="V12" i="32"/>
  <c r="AA12" i="32"/>
  <c r="AB42" i="32"/>
  <c r="M42" i="32" s="1"/>
  <c r="S42" i="32" s="1"/>
  <c r="T42" i="32"/>
  <c r="O42" i="32"/>
  <c r="AA42" i="32"/>
  <c r="AC42" i="32"/>
  <c r="U42" i="32"/>
  <c r="V42" i="32"/>
  <c r="AB38" i="32"/>
  <c r="M38" i="32" s="1"/>
  <c r="T38" i="32"/>
  <c r="O38" i="32"/>
  <c r="AA38" i="32"/>
  <c r="S38" i="32"/>
  <c r="AC38" i="32"/>
  <c r="U38" i="32"/>
  <c r="V38" i="32"/>
  <c r="AB32" i="32"/>
  <c r="M32" i="32" s="1"/>
  <c r="S32" i="32" s="1"/>
  <c r="T32" i="32"/>
  <c r="O32" i="32"/>
  <c r="AC32" i="32"/>
  <c r="U32" i="32"/>
  <c r="V32" i="32"/>
  <c r="AA32" i="32"/>
  <c r="AB34" i="32"/>
  <c r="M34" i="32" s="1"/>
  <c r="S34" i="32" s="1"/>
  <c r="T34" i="32"/>
  <c r="O34" i="32"/>
  <c r="AA34" i="32"/>
  <c r="AC34" i="32"/>
  <c r="U34" i="32"/>
  <c r="V34" i="32"/>
  <c r="V19" i="32"/>
  <c r="U19" i="32"/>
  <c r="AC19" i="32"/>
  <c r="T19" i="32"/>
  <c r="O19" i="32"/>
  <c r="AA19" i="32"/>
  <c r="AB19" i="32"/>
  <c r="M19" i="32" s="1"/>
  <c r="S19" i="32" s="1"/>
  <c r="AB40" i="32"/>
  <c r="M40" i="32" s="1"/>
  <c r="S40" i="32" s="1"/>
  <c r="T40" i="32"/>
  <c r="O40" i="32"/>
  <c r="AA40" i="32"/>
  <c r="P40" i="32" s="1"/>
  <c r="AC40" i="32"/>
  <c r="U40" i="32"/>
  <c r="V40" i="32"/>
  <c r="AB24" i="32"/>
  <c r="M24" i="32" s="1"/>
  <c r="S24" i="32" s="1"/>
  <c r="T24" i="32"/>
  <c r="O24" i="32"/>
  <c r="AC24" i="32"/>
  <c r="U24" i="32"/>
  <c r="V24" i="32"/>
  <c r="AA24" i="32"/>
  <c r="P24" i="32" s="1"/>
  <c r="AB26" i="32"/>
  <c r="M26" i="32" s="1"/>
  <c r="S26" i="32" s="1"/>
  <c r="T26" i="32"/>
  <c r="O26" i="32"/>
  <c r="AC26" i="32"/>
  <c r="U26" i="32"/>
  <c r="V26" i="32"/>
  <c r="AA26" i="32"/>
  <c r="AC18" i="32"/>
  <c r="U18" i="32"/>
  <c r="AB18" i="32"/>
  <c r="M18" i="32" s="1"/>
  <c r="S18" i="32" s="1"/>
  <c r="T18" i="32"/>
  <c r="O18" i="32"/>
  <c r="V18" i="32"/>
  <c r="AA18" i="32"/>
  <c r="P18" i="32" s="1"/>
  <c r="AB22" i="32"/>
  <c r="M22" i="32" s="1"/>
  <c r="S22" i="32" s="1"/>
  <c r="T22" i="32"/>
  <c r="O22" i="32"/>
  <c r="AC22" i="32"/>
  <c r="U22" i="32"/>
  <c r="V22" i="32"/>
  <c r="AA22" i="32"/>
  <c r="P17" i="32"/>
  <c r="V21" i="31"/>
  <c r="AB21" i="31"/>
  <c r="M21" i="31" s="1"/>
  <c r="S21" i="31" s="1"/>
  <c r="T21" i="31"/>
  <c r="O21" i="31"/>
  <c r="AC21" i="31"/>
  <c r="AA21" i="31"/>
  <c r="P21" i="31" s="1"/>
  <c r="U21" i="31"/>
  <c r="AB38" i="31"/>
  <c r="M38" i="31" s="1"/>
  <c r="S38" i="31" s="1"/>
  <c r="T38" i="31"/>
  <c r="O38" i="31"/>
  <c r="V38" i="31"/>
  <c r="AC38" i="31"/>
  <c r="U38" i="31"/>
  <c r="AA38" i="31"/>
  <c r="P38" i="31" s="1"/>
  <c r="AB30" i="31"/>
  <c r="M30" i="31" s="1"/>
  <c r="S30" i="31" s="1"/>
  <c r="T30" i="31"/>
  <c r="O30" i="31"/>
  <c r="V30" i="31"/>
  <c r="AC30" i="31"/>
  <c r="U30" i="31"/>
  <c r="AA30" i="31"/>
  <c r="AB20" i="31"/>
  <c r="M20" i="31" s="1"/>
  <c r="S20" i="31" s="1"/>
  <c r="T20" i="31"/>
  <c r="O20" i="31"/>
  <c r="V20" i="31"/>
  <c r="AC20" i="31"/>
  <c r="U20" i="31"/>
  <c r="AA20" i="31"/>
  <c r="AB15" i="31"/>
  <c r="M15" i="31" s="1"/>
  <c r="S15" i="31" s="1"/>
  <c r="T15" i="31"/>
  <c r="O15" i="31"/>
  <c r="V15" i="31"/>
  <c r="AC15" i="31"/>
  <c r="U15" i="31"/>
  <c r="AA15" i="31"/>
  <c r="V25" i="31"/>
  <c r="AB25" i="31"/>
  <c r="M25" i="31" s="1"/>
  <c r="S25" i="31" s="1"/>
  <c r="T25" i="31"/>
  <c r="O25" i="31"/>
  <c r="AC25" i="31"/>
  <c r="AA25" i="31"/>
  <c r="U25" i="31"/>
  <c r="AB28" i="31"/>
  <c r="M28" i="31" s="1"/>
  <c r="S28" i="31" s="1"/>
  <c r="T28" i="31"/>
  <c r="O28" i="31"/>
  <c r="V28" i="31"/>
  <c r="AC28" i="31"/>
  <c r="U28" i="31"/>
  <c r="AA28" i="31"/>
  <c r="P28" i="31" s="1"/>
  <c r="AB40" i="31"/>
  <c r="M40" i="31" s="1"/>
  <c r="S40" i="31" s="1"/>
  <c r="T40" i="31"/>
  <c r="O40" i="31"/>
  <c r="V40" i="31"/>
  <c r="AC40" i="31"/>
  <c r="U40" i="31"/>
  <c r="AA40" i="31"/>
  <c r="P40" i="31" s="1"/>
  <c r="AB32" i="31"/>
  <c r="M32" i="31" s="1"/>
  <c r="S32" i="31" s="1"/>
  <c r="T32" i="31"/>
  <c r="O32" i="31"/>
  <c r="V32" i="31"/>
  <c r="AC32" i="31"/>
  <c r="U32" i="31"/>
  <c r="AA32" i="31"/>
  <c r="AB36" i="31"/>
  <c r="M36" i="31" s="1"/>
  <c r="S36" i="31" s="1"/>
  <c r="T36" i="31"/>
  <c r="O36" i="31"/>
  <c r="V36" i="31"/>
  <c r="AC36" i="31"/>
  <c r="U36" i="31"/>
  <c r="AA36" i="31"/>
  <c r="AB34" i="31"/>
  <c r="M34" i="31" s="1"/>
  <c r="S34" i="31" s="1"/>
  <c r="T34" i="31"/>
  <c r="O34" i="31"/>
  <c r="V34" i="31"/>
  <c r="AC34" i="31"/>
  <c r="U34" i="31"/>
  <c r="AA34" i="31"/>
  <c r="AB24" i="31"/>
  <c r="M24" i="31" s="1"/>
  <c r="S24" i="31" s="1"/>
  <c r="T24" i="31"/>
  <c r="O24" i="31"/>
  <c r="V24" i="31"/>
  <c r="AC24" i="31"/>
  <c r="U24" i="31"/>
  <c r="AA24" i="31"/>
  <c r="AB17" i="31"/>
  <c r="M17" i="31" s="1"/>
  <c r="S17" i="31" s="1"/>
  <c r="T17" i="31"/>
  <c r="O17" i="31"/>
  <c r="S7" i="31" s="1"/>
  <c r="AA17" i="31"/>
  <c r="V17" i="31"/>
  <c r="AC17" i="31"/>
  <c r="U17" i="31"/>
  <c r="AB13" i="31"/>
  <c r="M13" i="31" s="1"/>
  <c r="T13" i="31"/>
  <c r="O13" i="31"/>
  <c r="V13" i="31"/>
  <c r="AC13" i="31"/>
  <c r="U13" i="31"/>
  <c r="AA13" i="31"/>
  <c r="P13" i="31" s="1"/>
  <c r="S13" i="31"/>
  <c r="P39" i="31"/>
  <c r="P31" i="31"/>
  <c r="AB42" i="30"/>
  <c r="M42" i="30" s="1"/>
  <c r="S42" i="30" s="1"/>
  <c r="T42" i="30"/>
  <c r="O42" i="30"/>
  <c r="AA42" i="30"/>
  <c r="AC42" i="30"/>
  <c r="U42" i="30"/>
  <c r="V42" i="30"/>
  <c r="AB28" i="30"/>
  <c r="M28" i="30" s="1"/>
  <c r="S28" i="30" s="1"/>
  <c r="T28" i="30"/>
  <c r="O28" i="30"/>
  <c r="AA28" i="30"/>
  <c r="AC28" i="30"/>
  <c r="U28" i="30"/>
  <c r="V28" i="30"/>
  <c r="AC15" i="30"/>
  <c r="U15" i="30"/>
  <c r="AA15" i="30"/>
  <c r="AB15" i="30"/>
  <c r="M15" i="30" s="1"/>
  <c r="S15" i="30" s="1"/>
  <c r="T15" i="30"/>
  <c r="O15" i="30"/>
  <c r="V15" i="30"/>
  <c r="AB38" i="30"/>
  <c r="M38" i="30" s="1"/>
  <c r="S38" i="30" s="1"/>
  <c r="T38" i="30"/>
  <c r="O38" i="30"/>
  <c r="AA38" i="30"/>
  <c r="AC38" i="30"/>
  <c r="U38" i="30"/>
  <c r="V38" i="30"/>
  <c r="AB34" i="30"/>
  <c r="M34" i="30" s="1"/>
  <c r="S34" i="30" s="1"/>
  <c r="T34" i="30"/>
  <c r="O34" i="30"/>
  <c r="AA34" i="30"/>
  <c r="AC34" i="30"/>
  <c r="U34" i="30"/>
  <c r="V34" i="30"/>
  <c r="AB30" i="30"/>
  <c r="M30" i="30" s="1"/>
  <c r="S30" i="30" s="1"/>
  <c r="T30" i="30"/>
  <c r="O30" i="30"/>
  <c r="AA30" i="30"/>
  <c r="AC30" i="30"/>
  <c r="U30" i="30"/>
  <c r="V30" i="30"/>
  <c r="AB36" i="30"/>
  <c r="M36" i="30" s="1"/>
  <c r="S36" i="30" s="1"/>
  <c r="T36" i="30"/>
  <c r="O36" i="30"/>
  <c r="AA36" i="30"/>
  <c r="P36" i="30" s="1"/>
  <c r="AC36" i="30"/>
  <c r="U36" i="30"/>
  <c r="V36" i="30"/>
  <c r="AB20" i="30"/>
  <c r="M20" i="30" s="1"/>
  <c r="S20" i="30" s="1"/>
  <c r="T20" i="30"/>
  <c r="O20" i="30"/>
  <c r="AC20" i="30"/>
  <c r="U20" i="30"/>
  <c r="V20" i="30"/>
  <c r="AA20" i="30"/>
  <c r="AC17" i="30"/>
  <c r="U17" i="30"/>
  <c r="AB17" i="30"/>
  <c r="M17" i="30" s="1"/>
  <c r="S17" i="30" s="1"/>
  <c r="T17" i="30"/>
  <c r="O17" i="30"/>
  <c r="S7" i="30" s="1"/>
  <c r="AA17" i="30"/>
  <c r="V17" i="30"/>
  <c r="AB26" i="30"/>
  <c r="M26" i="30" s="1"/>
  <c r="T26" i="30"/>
  <c r="O26" i="30"/>
  <c r="AA26" i="30"/>
  <c r="S26" i="30"/>
  <c r="AC26" i="30"/>
  <c r="U26" i="30"/>
  <c r="V26" i="30"/>
  <c r="AB32" i="30"/>
  <c r="M32" i="30" s="1"/>
  <c r="S32" i="30" s="1"/>
  <c r="T32" i="30"/>
  <c r="O32" i="30"/>
  <c r="AA32" i="30"/>
  <c r="AC32" i="30"/>
  <c r="U32" i="30"/>
  <c r="V32" i="30"/>
  <c r="AB40" i="30"/>
  <c r="M40" i="30" s="1"/>
  <c r="T40" i="30"/>
  <c r="O40" i="30"/>
  <c r="AA40" i="30"/>
  <c r="S40" i="30"/>
  <c r="AC40" i="30"/>
  <c r="U40" i="30"/>
  <c r="V40" i="30"/>
  <c r="AB24" i="30"/>
  <c r="M24" i="30" s="1"/>
  <c r="S24" i="30" s="1"/>
  <c r="T24" i="30"/>
  <c r="O24" i="30"/>
  <c r="AC24" i="30"/>
  <c r="U24" i="30"/>
  <c r="V24" i="30"/>
  <c r="AA24" i="30"/>
  <c r="AC13" i="30"/>
  <c r="U13" i="30"/>
  <c r="AB13" i="30"/>
  <c r="M13" i="30" s="1"/>
  <c r="S13" i="30" s="1"/>
  <c r="T13" i="30"/>
  <c r="O13" i="30"/>
  <c r="V13" i="30"/>
  <c r="AA13" i="30"/>
  <c r="P13" i="30" s="1"/>
  <c r="AB22" i="30"/>
  <c r="M22" i="30" s="1"/>
  <c r="S22" i="30" s="1"/>
  <c r="T22" i="30"/>
  <c r="O22" i="30"/>
  <c r="AC22" i="30"/>
  <c r="U22" i="30"/>
  <c r="AA22" i="30"/>
  <c r="P22" i="30" s="1"/>
  <c r="V22" i="30"/>
  <c r="P39" i="30"/>
  <c r="P33" i="30"/>
  <c r="P23" i="30"/>
  <c r="AB26" i="29"/>
  <c r="M26" i="29" s="1"/>
  <c r="S26" i="29" s="1"/>
  <c r="T26" i="29"/>
  <c r="O26" i="29"/>
  <c r="AC26" i="29"/>
  <c r="U26" i="29"/>
  <c r="V26" i="29"/>
  <c r="AA26" i="29"/>
  <c r="AC17" i="29"/>
  <c r="U17" i="29"/>
  <c r="V17" i="29"/>
  <c r="AB17" i="29"/>
  <c r="M17" i="29" s="1"/>
  <c r="S17" i="29" s="1"/>
  <c r="AA17" i="29"/>
  <c r="O17" i="29"/>
  <c r="S7" i="29" s="1"/>
  <c r="T17" i="29"/>
  <c r="AB38" i="29"/>
  <c r="M38" i="29" s="1"/>
  <c r="S38" i="29" s="1"/>
  <c r="T38" i="29"/>
  <c r="O38" i="29"/>
  <c r="AC38" i="29"/>
  <c r="U38" i="29"/>
  <c r="V38" i="29"/>
  <c r="AA38" i="29"/>
  <c r="AB22" i="29"/>
  <c r="M22" i="29" s="1"/>
  <c r="S22" i="29" s="1"/>
  <c r="T22" i="29"/>
  <c r="O22" i="29"/>
  <c r="AC22" i="29"/>
  <c r="U22" i="29"/>
  <c r="V22" i="29"/>
  <c r="AA22" i="29"/>
  <c r="AB30" i="29"/>
  <c r="M30" i="29" s="1"/>
  <c r="S30" i="29" s="1"/>
  <c r="T30" i="29"/>
  <c r="O30" i="29"/>
  <c r="AC30" i="29"/>
  <c r="U30" i="29"/>
  <c r="V30" i="29"/>
  <c r="AA30" i="29"/>
  <c r="P30" i="29" s="1"/>
  <c r="AB24" i="29"/>
  <c r="M24" i="29" s="1"/>
  <c r="S24" i="29" s="1"/>
  <c r="T24" i="29"/>
  <c r="O24" i="29"/>
  <c r="AC24" i="29"/>
  <c r="U24" i="29"/>
  <c r="AA24" i="29"/>
  <c r="P24" i="29" s="1"/>
  <c r="V24" i="29"/>
  <c r="AC15" i="29"/>
  <c r="U15" i="29"/>
  <c r="V15" i="29"/>
  <c r="AA15" i="29"/>
  <c r="P15" i="29" s="1"/>
  <c r="O15" i="29"/>
  <c r="T15" i="29"/>
  <c r="AB15" i="29"/>
  <c r="M15" i="29" s="1"/>
  <c r="S15" i="29" s="1"/>
  <c r="AB28" i="29"/>
  <c r="M28" i="29" s="1"/>
  <c r="S28" i="29" s="1"/>
  <c r="T28" i="29"/>
  <c r="O28" i="29"/>
  <c r="AC28" i="29"/>
  <c r="U28" i="29"/>
  <c r="AA28" i="29"/>
  <c r="V28" i="29"/>
  <c r="AC13" i="29"/>
  <c r="U13" i="29"/>
  <c r="V13" i="29"/>
  <c r="T13" i="29"/>
  <c r="AB13" i="29"/>
  <c r="M13" i="29" s="1"/>
  <c r="S13" i="29" s="1"/>
  <c r="AA13" i="29"/>
  <c r="O13" i="29"/>
  <c r="AB34" i="29"/>
  <c r="M34" i="29" s="1"/>
  <c r="S34" i="29" s="1"/>
  <c r="T34" i="29"/>
  <c r="O34" i="29"/>
  <c r="AC34" i="29"/>
  <c r="U34" i="29"/>
  <c r="V34" i="29"/>
  <c r="AA34" i="29"/>
  <c r="AB40" i="29"/>
  <c r="M40" i="29" s="1"/>
  <c r="S40" i="29" s="1"/>
  <c r="T40" i="29"/>
  <c r="O40" i="29"/>
  <c r="AC40" i="29"/>
  <c r="U40" i="29"/>
  <c r="AA40" i="29"/>
  <c r="V40" i="29"/>
  <c r="AB32" i="29"/>
  <c r="M32" i="29" s="1"/>
  <c r="S32" i="29" s="1"/>
  <c r="T32" i="29"/>
  <c r="O32" i="29"/>
  <c r="AC32" i="29"/>
  <c r="U32" i="29"/>
  <c r="AA32" i="29"/>
  <c r="V32" i="29"/>
  <c r="AB36" i="29"/>
  <c r="M36" i="29" s="1"/>
  <c r="S36" i="29" s="1"/>
  <c r="T36" i="29"/>
  <c r="O36" i="29"/>
  <c r="AC36" i="29"/>
  <c r="U36" i="29"/>
  <c r="AA36" i="29"/>
  <c r="V36" i="29"/>
  <c r="AA20" i="29"/>
  <c r="P20" i="29" s="1"/>
  <c r="P18" i="29"/>
  <c r="AC20" i="29"/>
  <c r="P42" i="23"/>
  <c r="P37" i="29"/>
  <c r="U20" i="29"/>
  <c r="V16" i="28"/>
  <c r="O16" i="28"/>
  <c r="AC16" i="28"/>
  <c r="U16" i="28"/>
  <c r="AA16" i="28"/>
  <c r="AB16" i="28"/>
  <c r="M16" i="28" s="1"/>
  <c r="S16" i="28" s="1"/>
  <c r="T16" i="28"/>
  <c r="AB42" i="28"/>
  <c r="M42" i="28" s="1"/>
  <c r="S42" i="28" s="1"/>
  <c r="T42" i="28"/>
  <c r="O42" i="28"/>
  <c r="AA42" i="28"/>
  <c r="AC42" i="28"/>
  <c r="U42" i="28"/>
  <c r="V42" i="28"/>
  <c r="AB38" i="28"/>
  <c r="M38" i="28" s="1"/>
  <c r="T38" i="28"/>
  <c r="O38" i="28"/>
  <c r="AA38" i="28"/>
  <c r="S38" i="28"/>
  <c r="AC38" i="28"/>
  <c r="U38" i="28"/>
  <c r="V38" i="28"/>
  <c r="AB34" i="28"/>
  <c r="M34" i="28" s="1"/>
  <c r="S34" i="28" s="1"/>
  <c r="T34" i="28"/>
  <c r="O34" i="28"/>
  <c r="AA34" i="28"/>
  <c r="AC34" i="28"/>
  <c r="U34" i="28"/>
  <c r="V34" i="28"/>
  <c r="AB30" i="28"/>
  <c r="M30" i="28" s="1"/>
  <c r="S30" i="28" s="1"/>
  <c r="T30" i="28"/>
  <c r="O30" i="28"/>
  <c r="AA30" i="28"/>
  <c r="AC30" i="28"/>
  <c r="U30" i="28"/>
  <c r="V30" i="28"/>
  <c r="AB24" i="28"/>
  <c r="M24" i="28" s="1"/>
  <c r="S24" i="28" s="1"/>
  <c r="T24" i="28"/>
  <c r="O24" i="28"/>
  <c r="AC24" i="28"/>
  <c r="U24" i="28"/>
  <c r="V24" i="28"/>
  <c r="AA24" i="28"/>
  <c r="V14" i="28"/>
  <c r="AB14" i="28"/>
  <c r="M14" i="28" s="1"/>
  <c r="S14" i="28" s="1"/>
  <c r="T14" i="28"/>
  <c r="O14" i="28"/>
  <c r="AC14" i="28"/>
  <c r="U14" i="28"/>
  <c r="AA14" i="28"/>
  <c r="AB26" i="28"/>
  <c r="M26" i="28" s="1"/>
  <c r="S26" i="28" s="1"/>
  <c r="T26" i="28"/>
  <c r="O26" i="28"/>
  <c r="AC26" i="28"/>
  <c r="U26" i="28"/>
  <c r="AA26" i="28"/>
  <c r="V26" i="28"/>
  <c r="AB20" i="28"/>
  <c r="M20" i="28" s="1"/>
  <c r="S20" i="28" s="1"/>
  <c r="T20" i="28"/>
  <c r="O20" i="28"/>
  <c r="AC20" i="28"/>
  <c r="U20" i="28"/>
  <c r="V20" i="28"/>
  <c r="AA20" i="28"/>
  <c r="AB22" i="28"/>
  <c r="M22" i="28" s="1"/>
  <c r="S22" i="28" s="1"/>
  <c r="T22" i="28"/>
  <c r="O22" i="28"/>
  <c r="AC22" i="28"/>
  <c r="U22" i="28"/>
  <c r="V22" i="28"/>
  <c r="AA22" i="28"/>
  <c r="V12" i="28"/>
  <c r="O12" i="28"/>
  <c r="AC12" i="28"/>
  <c r="U12" i="28"/>
  <c r="AB12" i="28"/>
  <c r="M12" i="28" s="1"/>
  <c r="S12" i="28" s="1"/>
  <c r="T12" i="28"/>
  <c r="AA12" i="28"/>
  <c r="P12" i="28" s="1"/>
  <c r="AB40" i="28"/>
  <c r="M40" i="28" s="1"/>
  <c r="S40" i="28" s="1"/>
  <c r="T40" i="28"/>
  <c r="O40" i="28"/>
  <c r="AA40" i="28"/>
  <c r="P40" i="28" s="1"/>
  <c r="AC40" i="28"/>
  <c r="U40" i="28"/>
  <c r="V40" i="28"/>
  <c r="AB36" i="28"/>
  <c r="M36" i="28" s="1"/>
  <c r="S36" i="28" s="1"/>
  <c r="T36" i="28"/>
  <c r="O36" i="28"/>
  <c r="AA36" i="28"/>
  <c r="AC36" i="28"/>
  <c r="U36" i="28"/>
  <c r="V36" i="28"/>
  <c r="AB32" i="28"/>
  <c r="M32" i="28" s="1"/>
  <c r="S32" i="28" s="1"/>
  <c r="T32" i="28"/>
  <c r="O32" i="28"/>
  <c r="AA32" i="28"/>
  <c r="AC32" i="28"/>
  <c r="U32" i="28"/>
  <c r="V32" i="28"/>
  <c r="AB28" i="28"/>
  <c r="M28" i="28" s="1"/>
  <c r="S28" i="28" s="1"/>
  <c r="T28" i="28"/>
  <c r="O28" i="28"/>
  <c r="AA28" i="28"/>
  <c r="AC28" i="28"/>
  <c r="U28" i="28"/>
  <c r="V28" i="28"/>
  <c r="AB18" i="28"/>
  <c r="M18" i="28" s="1"/>
  <c r="S18" i="28" s="1"/>
  <c r="V18" i="28"/>
  <c r="U18" i="28"/>
  <c r="AC18" i="28"/>
  <c r="O18" i="28"/>
  <c r="AA18" i="28"/>
  <c r="T18" i="28"/>
  <c r="P19" i="28"/>
  <c r="P25" i="28"/>
  <c r="AB24" i="27"/>
  <c r="M24" i="27" s="1"/>
  <c r="S24" i="27" s="1"/>
  <c r="T24" i="27"/>
  <c r="O24" i="27"/>
  <c r="AC24" i="27"/>
  <c r="U24" i="27"/>
  <c r="AA24" i="27"/>
  <c r="V24" i="27"/>
  <c r="AB34" i="27"/>
  <c r="M34" i="27" s="1"/>
  <c r="S34" i="27" s="1"/>
  <c r="T34" i="27"/>
  <c r="O34" i="27"/>
  <c r="AC34" i="27"/>
  <c r="U34" i="27"/>
  <c r="V34" i="27"/>
  <c r="AA34" i="27"/>
  <c r="AB36" i="27"/>
  <c r="M36" i="27" s="1"/>
  <c r="S36" i="27" s="1"/>
  <c r="T36" i="27"/>
  <c r="O36" i="27"/>
  <c r="AC36" i="27"/>
  <c r="U36" i="27"/>
  <c r="AA36" i="27"/>
  <c r="P36" i="27" s="1"/>
  <c r="V36" i="27"/>
  <c r="AB38" i="27"/>
  <c r="M38" i="27" s="1"/>
  <c r="S38" i="27" s="1"/>
  <c r="T38" i="27"/>
  <c r="O38" i="27"/>
  <c r="AC38" i="27"/>
  <c r="U38" i="27"/>
  <c r="V38" i="27"/>
  <c r="AA38" i="27"/>
  <c r="AB22" i="27"/>
  <c r="M22" i="27" s="1"/>
  <c r="S22" i="27" s="1"/>
  <c r="T22" i="27"/>
  <c r="O22" i="27"/>
  <c r="AC22" i="27"/>
  <c r="U22" i="27"/>
  <c r="V22" i="27"/>
  <c r="AA22" i="27"/>
  <c r="AC17" i="27"/>
  <c r="U17" i="27"/>
  <c r="V17" i="27"/>
  <c r="T17" i="27"/>
  <c r="AB17" i="27"/>
  <c r="M17" i="27" s="1"/>
  <c r="S17" i="27" s="1"/>
  <c r="AA17" i="27"/>
  <c r="O17" i="27"/>
  <c r="S7" i="27" s="1"/>
  <c r="AB40" i="27"/>
  <c r="M40" i="27" s="1"/>
  <c r="S40" i="27" s="1"/>
  <c r="T40" i="27"/>
  <c r="O40" i="27"/>
  <c r="AC40" i="27"/>
  <c r="U40" i="27"/>
  <c r="AA40" i="27"/>
  <c r="V40" i="27"/>
  <c r="AB30" i="27"/>
  <c r="M30" i="27" s="1"/>
  <c r="S30" i="27" s="1"/>
  <c r="T30" i="27"/>
  <c r="O30" i="27"/>
  <c r="AC30" i="27"/>
  <c r="U30" i="27"/>
  <c r="V30" i="27"/>
  <c r="AA30" i="27"/>
  <c r="P30" i="27" s="1"/>
  <c r="AC13" i="27"/>
  <c r="U13" i="27"/>
  <c r="V13" i="27"/>
  <c r="AB13" i="27"/>
  <c r="M13" i="27" s="1"/>
  <c r="S13" i="27" s="1"/>
  <c r="AA13" i="27"/>
  <c r="O13" i="27"/>
  <c r="T13" i="27"/>
  <c r="AB32" i="27"/>
  <c r="M32" i="27" s="1"/>
  <c r="S32" i="27" s="1"/>
  <c r="T32" i="27"/>
  <c r="O32" i="27"/>
  <c r="AC32" i="27"/>
  <c r="U32" i="27"/>
  <c r="AA32" i="27"/>
  <c r="V32" i="27"/>
  <c r="AB42" i="27"/>
  <c r="M42" i="27" s="1"/>
  <c r="S42" i="27" s="1"/>
  <c r="T42" i="27"/>
  <c r="O42" i="27"/>
  <c r="AC42" i="27"/>
  <c r="U42" i="27"/>
  <c r="V42" i="27"/>
  <c r="AA42" i="27"/>
  <c r="AB26" i="27"/>
  <c r="M26" i="27" s="1"/>
  <c r="S26" i="27" s="1"/>
  <c r="T26" i="27"/>
  <c r="O26" i="27"/>
  <c r="AC26" i="27"/>
  <c r="U26" i="27"/>
  <c r="V26" i="27"/>
  <c r="AA26" i="27"/>
  <c r="AB20" i="27"/>
  <c r="M20" i="27" s="1"/>
  <c r="S20" i="27" s="1"/>
  <c r="T20" i="27"/>
  <c r="O20" i="27"/>
  <c r="AC20" i="27"/>
  <c r="U20" i="27"/>
  <c r="AA20" i="27"/>
  <c r="V20" i="27"/>
  <c r="AC15" i="27"/>
  <c r="U15" i="27"/>
  <c r="V15" i="27"/>
  <c r="AA15" i="27"/>
  <c r="AB15" i="27"/>
  <c r="M15" i="27" s="1"/>
  <c r="S15" i="27" s="1"/>
  <c r="O15" i="27"/>
  <c r="T15" i="27"/>
  <c r="AB28" i="27"/>
  <c r="M28" i="27" s="1"/>
  <c r="S28" i="27" s="1"/>
  <c r="T28" i="27"/>
  <c r="O28" i="27"/>
  <c r="AC28" i="27"/>
  <c r="U28" i="27"/>
  <c r="AA28" i="27"/>
  <c r="V28" i="27"/>
  <c r="P37" i="27"/>
  <c r="P33" i="27"/>
  <c r="AB38" i="26"/>
  <c r="M38" i="26" s="1"/>
  <c r="S38" i="26" s="1"/>
  <c r="T38" i="26"/>
  <c r="O38" i="26"/>
  <c r="AC38" i="26"/>
  <c r="U38" i="26"/>
  <c r="AA38" i="26"/>
  <c r="V38" i="26"/>
  <c r="AB40" i="26"/>
  <c r="M40" i="26" s="1"/>
  <c r="S40" i="26" s="1"/>
  <c r="T40" i="26"/>
  <c r="O40" i="26"/>
  <c r="AC40" i="26"/>
  <c r="U40" i="26"/>
  <c r="AA40" i="26"/>
  <c r="V40" i="26"/>
  <c r="AB24" i="26"/>
  <c r="M24" i="26" s="1"/>
  <c r="S24" i="26" s="1"/>
  <c r="T24" i="26"/>
  <c r="O24" i="26"/>
  <c r="AC24" i="26"/>
  <c r="U24" i="26"/>
  <c r="AA24" i="26"/>
  <c r="V24" i="26"/>
  <c r="AB15" i="26"/>
  <c r="M15" i="26" s="1"/>
  <c r="S15" i="26" s="1"/>
  <c r="T15" i="26"/>
  <c r="O15" i="26"/>
  <c r="V15" i="26"/>
  <c r="AC15" i="26"/>
  <c r="U15" i="26"/>
  <c r="AA15" i="26"/>
  <c r="P15" i="26" s="1"/>
  <c r="AB26" i="26"/>
  <c r="M26" i="26" s="1"/>
  <c r="S26" i="26" s="1"/>
  <c r="T26" i="26"/>
  <c r="O26" i="26"/>
  <c r="AC26" i="26"/>
  <c r="U26" i="26"/>
  <c r="AA26" i="26"/>
  <c r="V26" i="26"/>
  <c r="AB28" i="26"/>
  <c r="M28" i="26" s="1"/>
  <c r="S28" i="26" s="1"/>
  <c r="T28" i="26"/>
  <c r="O28" i="26"/>
  <c r="AC28" i="26"/>
  <c r="U28" i="26"/>
  <c r="AA28" i="26"/>
  <c r="V28" i="26"/>
  <c r="AB17" i="26"/>
  <c r="M17" i="26" s="1"/>
  <c r="S17" i="26" s="1"/>
  <c r="T17" i="26"/>
  <c r="O17" i="26"/>
  <c r="S7" i="26" s="1"/>
  <c r="V17" i="26"/>
  <c r="AC17" i="26"/>
  <c r="U17" i="26"/>
  <c r="AA17" i="26"/>
  <c r="P17" i="26" s="1"/>
  <c r="AB30" i="26"/>
  <c r="M30" i="26" s="1"/>
  <c r="S30" i="26" s="1"/>
  <c r="T30" i="26"/>
  <c r="O30" i="26"/>
  <c r="AC30" i="26"/>
  <c r="U30" i="26"/>
  <c r="AA30" i="26"/>
  <c r="V30" i="26"/>
  <c r="AB32" i="26"/>
  <c r="M32" i="26" s="1"/>
  <c r="S32" i="26" s="1"/>
  <c r="T32" i="26"/>
  <c r="O32" i="26"/>
  <c r="AC32" i="26"/>
  <c r="U32" i="26"/>
  <c r="AA32" i="26"/>
  <c r="V32" i="26"/>
  <c r="AB22" i="26"/>
  <c r="M22" i="26" s="1"/>
  <c r="S22" i="26" s="1"/>
  <c r="T22" i="26"/>
  <c r="O22" i="26"/>
  <c r="AC22" i="26"/>
  <c r="U22" i="26"/>
  <c r="AA22" i="26"/>
  <c r="V22" i="26"/>
  <c r="AB34" i="26"/>
  <c r="M34" i="26" s="1"/>
  <c r="S34" i="26" s="1"/>
  <c r="T34" i="26"/>
  <c r="O34" i="26"/>
  <c r="AC34" i="26"/>
  <c r="U34" i="26"/>
  <c r="AA34" i="26"/>
  <c r="V34" i="26"/>
  <c r="AB36" i="26"/>
  <c r="M36" i="26" s="1"/>
  <c r="S36" i="26" s="1"/>
  <c r="T36" i="26"/>
  <c r="O36" i="26"/>
  <c r="AC36" i="26"/>
  <c r="U36" i="26"/>
  <c r="AA36" i="26"/>
  <c r="V36" i="26"/>
  <c r="AB20" i="26"/>
  <c r="M20" i="26" s="1"/>
  <c r="S20" i="26" s="1"/>
  <c r="T20" i="26"/>
  <c r="O20" i="26"/>
  <c r="AC20" i="26"/>
  <c r="U20" i="26"/>
  <c r="AA20" i="26"/>
  <c r="V20" i="26"/>
  <c r="AB13" i="26"/>
  <c r="M13" i="26" s="1"/>
  <c r="T13" i="26"/>
  <c r="O13" i="26"/>
  <c r="V13" i="26"/>
  <c r="AC13" i="26"/>
  <c r="U13" i="26"/>
  <c r="AA13" i="26"/>
  <c r="P23" i="26"/>
  <c r="P18" i="24"/>
  <c r="AB32" i="25"/>
  <c r="M32" i="25" s="1"/>
  <c r="T32" i="25"/>
  <c r="O32" i="25"/>
  <c r="AA32" i="25"/>
  <c r="S32" i="25"/>
  <c r="AC32" i="25"/>
  <c r="U32" i="25"/>
  <c r="V32" i="25"/>
  <c r="V17" i="25"/>
  <c r="AC17" i="25"/>
  <c r="U17" i="25"/>
  <c r="AB17" i="25"/>
  <c r="M17" i="25" s="1"/>
  <c r="S17" i="25" s="1"/>
  <c r="O17" i="25"/>
  <c r="S7" i="25" s="1"/>
  <c r="AA17" i="25"/>
  <c r="T17" i="25"/>
  <c r="AB28" i="25"/>
  <c r="M28" i="25" s="1"/>
  <c r="S28" i="25" s="1"/>
  <c r="T28" i="25"/>
  <c r="O28" i="25"/>
  <c r="AC28" i="25"/>
  <c r="U28" i="25"/>
  <c r="V28" i="25"/>
  <c r="AA28" i="25"/>
  <c r="AB40" i="25"/>
  <c r="M40" i="25" s="1"/>
  <c r="S40" i="25" s="1"/>
  <c r="T40" i="25"/>
  <c r="O40" i="25"/>
  <c r="AA40" i="25"/>
  <c r="AC40" i="25"/>
  <c r="U40" i="25"/>
  <c r="V40" i="25"/>
  <c r="AB30" i="25"/>
  <c r="M30" i="25" s="1"/>
  <c r="S30" i="25" s="1"/>
  <c r="T30" i="25"/>
  <c r="O30" i="25"/>
  <c r="AC30" i="25"/>
  <c r="U30" i="25"/>
  <c r="V30" i="25"/>
  <c r="AA30" i="25"/>
  <c r="AB24" i="25"/>
  <c r="M24" i="25" s="1"/>
  <c r="S24" i="25" s="1"/>
  <c r="T24" i="25"/>
  <c r="O24" i="25"/>
  <c r="AC24" i="25"/>
  <c r="U24" i="25"/>
  <c r="V24" i="25"/>
  <c r="AA24" i="25"/>
  <c r="AB42" i="25"/>
  <c r="M42" i="25" s="1"/>
  <c r="S42" i="25" s="1"/>
  <c r="T42" i="25"/>
  <c r="O42" i="25"/>
  <c r="AA42" i="25"/>
  <c r="AC42" i="25"/>
  <c r="U42" i="25"/>
  <c r="V42" i="25"/>
  <c r="AB38" i="25"/>
  <c r="M38" i="25" s="1"/>
  <c r="S38" i="25" s="1"/>
  <c r="T38" i="25"/>
  <c r="O38" i="25"/>
  <c r="AA38" i="25"/>
  <c r="AC38" i="25"/>
  <c r="U38" i="25"/>
  <c r="V38" i="25"/>
  <c r="AB34" i="25"/>
  <c r="M34" i="25" s="1"/>
  <c r="S34" i="25" s="1"/>
  <c r="T34" i="25"/>
  <c r="O34" i="25"/>
  <c r="AA34" i="25"/>
  <c r="AC34" i="25"/>
  <c r="U34" i="25"/>
  <c r="V34" i="25"/>
  <c r="AB22" i="25"/>
  <c r="M22" i="25" s="1"/>
  <c r="S22" i="25" s="1"/>
  <c r="T22" i="25"/>
  <c r="O22" i="25"/>
  <c r="AC22" i="25"/>
  <c r="U22" i="25"/>
  <c r="V22" i="25"/>
  <c r="AA22" i="25"/>
  <c r="V15" i="25"/>
  <c r="AB15" i="25"/>
  <c r="M15" i="25" s="1"/>
  <c r="S15" i="25" s="1"/>
  <c r="T15" i="25"/>
  <c r="AC15" i="25"/>
  <c r="U15" i="25"/>
  <c r="AA15" i="25"/>
  <c r="P15" i="25" s="1"/>
  <c r="O15" i="25"/>
  <c r="AB36" i="25"/>
  <c r="M36" i="25" s="1"/>
  <c r="S36" i="25" s="1"/>
  <c r="T36" i="25"/>
  <c r="O36" i="25"/>
  <c r="AA36" i="25"/>
  <c r="AC36" i="25"/>
  <c r="U36" i="25"/>
  <c r="V36" i="25"/>
  <c r="AB26" i="25"/>
  <c r="M26" i="25" s="1"/>
  <c r="S26" i="25" s="1"/>
  <c r="T26" i="25"/>
  <c r="O26" i="25"/>
  <c r="AC26" i="25"/>
  <c r="U26" i="25"/>
  <c r="V26" i="25"/>
  <c r="AA26" i="25"/>
  <c r="V13" i="25"/>
  <c r="AC13" i="25"/>
  <c r="U13" i="25"/>
  <c r="AA13" i="25"/>
  <c r="AB13" i="25"/>
  <c r="M13" i="25" s="1"/>
  <c r="S13" i="25" s="1"/>
  <c r="O13" i="25"/>
  <c r="T13" i="25"/>
  <c r="AB20" i="25"/>
  <c r="M20" i="25" s="1"/>
  <c r="S20" i="25" s="1"/>
  <c r="T20" i="25"/>
  <c r="O20" i="25"/>
  <c r="AC20" i="25"/>
  <c r="U20" i="25"/>
  <c r="AA20" i="25"/>
  <c r="V20" i="25"/>
  <c r="P12" i="24"/>
  <c r="V29" i="24"/>
  <c r="AC29" i="24"/>
  <c r="U29" i="24"/>
  <c r="AB29" i="24"/>
  <c r="M29" i="24" s="1"/>
  <c r="S29" i="24" s="1"/>
  <c r="T29" i="24"/>
  <c r="O29" i="24"/>
  <c r="AA29" i="24"/>
  <c r="V39" i="24"/>
  <c r="AC39" i="24"/>
  <c r="U39" i="24"/>
  <c r="AB39" i="24"/>
  <c r="M39" i="24" s="1"/>
  <c r="S39" i="24" s="1"/>
  <c r="T39" i="24"/>
  <c r="O39" i="24"/>
  <c r="AA39" i="24"/>
  <c r="V31" i="24"/>
  <c r="AC31" i="24"/>
  <c r="U31" i="24"/>
  <c r="AB31" i="24"/>
  <c r="M31" i="24" s="1"/>
  <c r="S31" i="24" s="1"/>
  <c r="T31" i="24"/>
  <c r="O31" i="24"/>
  <c r="AA31" i="24"/>
  <c r="V23" i="24"/>
  <c r="AC23" i="24"/>
  <c r="U23" i="24"/>
  <c r="AB23" i="24"/>
  <c r="M23" i="24" s="1"/>
  <c r="S23" i="24" s="1"/>
  <c r="T23" i="24"/>
  <c r="O23" i="24"/>
  <c r="AA23" i="24"/>
  <c r="V21" i="24"/>
  <c r="AC21" i="24"/>
  <c r="U21" i="24"/>
  <c r="AB21" i="24"/>
  <c r="M21" i="24" s="1"/>
  <c r="S21" i="24" s="1"/>
  <c r="T21" i="24"/>
  <c r="O21" i="24"/>
  <c r="AA21" i="24"/>
  <c r="AB15" i="24"/>
  <c r="M15" i="24" s="1"/>
  <c r="S15" i="24" s="1"/>
  <c r="T15" i="24"/>
  <c r="O15" i="24"/>
  <c r="V15" i="24"/>
  <c r="AA15" i="24"/>
  <c r="P15" i="24" s="1"/>
  <c r="AC15" i="24"/>
  <c r="U15" i="24"/>
  <c r="V37" i="24"/>
  <c r="AC37" i="24"/>
  <c r="U37" i="24"/>
  <c r="AB37" i="24"/>
  <c r="M37" i="24" s="1"/>
  <c r="S37" i="24" s="1"/>
  <c r="T37" i="24"/>
  <c r="O37" i="24"/>
  <c r="AA37" i="24"/>
  <c r="P37" i="24" s="1"/>
  <c r="V33" i="24"/>
  <c r="AC33" i="24"/>
  <c r="U33" i="24"/>
  <c r="AB33" i="24"/>
  <c r="M33" i="24" s="1"/>
  <c r="S33" i="24" s="1"/>
  <c r="T33" i="24"/>
  <c r="O33" i="24"/>
  <c r="AA33" i="24"/>
  <c r="V25" i="24"/>
  <c r="AC25" i="24"/>
  <c r="U25" i="24"/>
  <c r="AB25" i="24"/>
  <c r="M25" i="24" s="1"/>
  <c r="S25" i="24" s="1"/>
  <c r="T25" i="24"/>
  <c r="O25" i="24"/>
  <c r="AA25" i="24"/>
  <c r="AB19" i="24"/>
  <c r="M19" i="24" s="1"/>
  <c r="S19" i="24" s="1"/>
  <c r="T19" i="24"/>
  <c r="O19" i="24"/>
  <c r="AC19" i="24"/>
  <c r="AA19" i="24"/>
  <c r="P19" i="24" s="1"/>
  <c r="V19" i="24"/>
  <c r="U19" i="24"/>
  <c r="V41" i="24"/>
  <c r="AC41" i="24"/>
  <c r="U41" i="24"/>
  <c r="AB41" i="24"/>
  <c r="M41" i="24" s="1"/>
  <c r="S41" i="24" s="1"/>
  <c r="T41" i="24"/>
  <c r="O41" i="24"/>
  <c r="AA41" i="24"/>
  <c r="V35" i="24"/>
  <c r="AC35" i="24"/>
  <c r="U35" i="24"/>
  <c r="AB35" i="24"/>
  <c r="M35" i="24" s="1"/>
  <c r="S35" i="24" s="1"/>
  <c r="T35" i="24"/>
  <c r="O35" i="24"/>
  <c r="AA35" i="24"/>
  <c r="V27" i="24"/>
  <c r="AC27" i="24"/>
  <c r="U27" i="24"/>
  <c r="AB27" i="24"/>
  <c r="M27" i="24" s="1"/>
  <c r="S27" i="24" s="1"/>
  <c r="T27" i="24"/>
  <c r="O27" i="24"/>
  <c r="AA27" i="24"/>
  <c r="AB17" i="24"/>
  <c r="M17" i="24" s="1"/>
  <c r="S17" i="24" s="1"/>
  <c r="T17" i="24"/>
  <c r="O17" i="24"/>
  <c r="S7" i="24" s="1"/>
  <c r="AA17" i="24"/>
  <c r="V17" i="24"/>
  <c r="AC17" i="24"/>
  <c r="U17" i="24"/>
  <c r="AB13" i="24"/>
  <c r="M13" i="24" s="1"/>
  <c r="S13" i="24" s="1"/>
  <c r="T13" i="24"/>
  <c r="O13" i="24"/>
  <c r="AA13" i="24"/>
  <c r="V13" i="24"/>
  <c r="AC13" i="24"/>
  <c r="U13" i="24"/>
  <c r="P26" i="24"/>
  <c r="P18" i="23"/>
  <c r="P40" i="23"/>
  <c r="P28" i="23"/>
  <c r="P34" i="23"/>
  <c r="P14" i="23"/>
  <c r="P12" i="23"/>
  <c r="AC37" i="23"/>
  <c r="U37" i="23"/>
  <c r="AB37" i="23"/>
  <c r="M37" i="23" s="1"/>
  <c r="T37" i="23"/>
  <c r="O37" i="23"/>
  <c r="V37" i="23"/>
  <c r="S37" i="23"/>
  <c r="AA37" i="23"/>
  <c r="AC27" i="23"/>
  <c r="U27" i="23"/>
  <c r="AB27" i="23"/>
  <c r="M27" i="23" s="1"/>
  <c r="S27" i="23" s="1"/>
  <c r="T27" i="23"/>
  <c r="O27" i="23"/>
  <c r="AA27" i="23"/>
  <c r="V27" i="23"/>
  <c r="AC17" i="23"/>
  <c r="U17" i="23"/>
  <c r="AB17" i="23"/>
  <c r="M17" i="23" s="1"/>
  <c r="S17" i="23" s="1"/>
  <c r="T17" i="23"/>
  <c r="O17" i="23"/>
  <c r="S7" i="23" s="1"/>
  <c r="AA17" i="23"/>
  <c r="V17" i="23"/>
  <c r="AC29" i="23"/>
  <c r="U29" i="23"/>
  <c r="AB29" i="23"/>
  <c r="M29" i="23" s="1"/>
  <c r="S29" i="23" s="1"/>
  <c r="T29" i="23"/>
  <c r="O29" i="23"/>
  <c r="V29" i="23"/>
  <c r="AA29" i="23"/>
  <c r="AC35" i="23"/>
  <c r="U35" i="23"/>
  <c r="AB35" i="23"/>
  <c r="M35" i="23" s="1"/>
  <c r="S35" i="23" s="1"/>
  <c r="T35" i="23"/>
  <c r="O35" i="23"/>
  <c r="AA35" i="23"/>
  <c r="V35" i="23"/>
  <c r="AC15" i="23"/>
  <c r="U15" i="23"/>
  <c r="AB15" i="23"/>
  <c r="M15" i="23" s="1"/>
  <c r="S15" i="23" s="1"/>
  <c r="T15" i="23"/>
  <c r="O15" i="23"/>
  <c r="AA15" i="23"/>
  <c r="V15" i="23"/>
  <c r="AC33" i="23"/>
  <c r="U33" i="23"/>
  <c r="AB33" i="23"/>
  <c r="M33" i="23" s="1"/>
  <c r="S33" i="23" s="1"/>
  <c r="T33" i="23"/>
  <c r="O33" i="23"/>
  <c r="V33" i="23"/>
  <c r="AA33" i="23"/>
  <c r="AC13" i="23"/>
  <c r="U13" i="23"/>
  <c r="AB13" i="23"/>
  <c r="M13" i="23" s="1"/>
  <c r="S13" i="23" s="1"/>
  <c r="T13" i="23"/>
  <c r="O13" i="23"/>
  <c r="AA13" i="23"/>
  <c r="V13" i="23"/>
  <c r="AC41" i="23"/>
  <c r="U41" i="23"/>
  <c r="AB41" i="23"/>
  <c r="M41" i="23" s="1"/>
  <c r="S41" i="23" s="1"/>
  <c r="T41" i="23"/>
  <c r="O41" i="23"/>
  <c r="V41" i="23"/>
  <c r="AA41" i="23"/>
  <c r="AC25" i="23"/>
  <c r="U25" i="23"/>
  <c r="AB25" i="23"/>
  <c r="M25" i="23" s="1"/>
  <c r="S25" i="23" s="1"/>
  <c r="T25" i="23"/>
  <c r="O25" i="23"/>
  <c r="V25" i="23"/>
  <c r="AA25" i="23"/>
  <c r="AB21" i="23"/>
  <c r="M21" i="23" s="1"/>
  <c r="S21" i="23" s="1"/>
  <c r="T21" i="23"/>
  <c r="O21" i="23"/>
  <c r="AC21" i="23"/>
  <c r="AA21" i="23"/>
  <c r="P21" i="23" s="1"/>
  <c r="V21" i="23"/>
  <c r="U21" i="23"/>
  <c r="AC39" i="23"/>
  <c r="U39" i="23"/>
  <c r="AB39" i="23"/>
  <c r="M39" i="23" s="1"/>
  <c r="S39" i="23" s="1"/>
  <c r="T39" i="23"/>
  <c r="O39" i="23"/>
  <c r="AA39" i="23"/>
  <c r="V39" i="23"/>
  <c r="AC31" i="23"/>
  <c r="U31" i="23"/>
  <c r="AB31" i="23"/>
  <c r="M31" i="23" s="1"/>
  <c r="S31" i="23" s="1"/>
  <c r="T31" i="23"/>
  <c r="O31" i="23"/>
  <c r="AA31" i="23"/>
  <c r="V31" i="23"/>
  <c r="AB19" i="23"/>
  <c r="M19" i="23" s="1"/>
  <c r="S19" i="23" s="1"/>
  <c r="T19" i="23"/>
  <c r="O19" i="23"/>
  <c r="U19" i="23"/>
  <c r="AC19" i="23"/>
  <c r="AA19" i="23"/>
  <c r="V19" i="23"/>
  <c r="P30" i="23"/>
  <c r="AC20" i="23"/>
  <c r="P32" i="23"/>
  <c r="P26" i="23"/>
  <c r="P22" i="23"/>
  <c r="AB20" i="23"/>
  <c r="M20" i="23" s="1"/>
  <c r="S20" i="23" s="1"/>
  <c r="U20" i="23"/>
  <c r="P16" i="23"/>
  <c r="S7" i="22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12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B26" i="1"/>
  <c r="D26" i="1"/>
  <c r="T20" i="29" l="1"/>
  <c r="AF22" i="33"/>
  <c r="R22" i="33" s="1"/>
  <c r="O22" i="33" s="1"/>
  <c r="P20" i="32"/>
  <c r="P30" i="31"/>
  <c r="P24" i="30"/>
  <c r="P22" i="26"/>
  <c r="P28" i="26"/>
  <c r="P40" i="26"/>
  <c r="O36" i="33"/>
  <c r="M36" i="33"/>
  <c r="S36" i="33" s="1"/>
  <c r="O26" i="33"/>
  <c r="M26" i="33"/>
  <c r="S26" i="33" s="1"/>
  <c r="O24" i="33"/>
  <c r="M24" i="33"/>
  <c r="S24" i="33" s="1"/>
  <c r="O30" i="33"/>
  <c r="M30" i="33"/>
  <c r="S30" i="33" s="1"/>
  <c r="N22" i="33"/>
  <c r="Q5" i="33"/>
  <c r="V12" i="33"/>
  <c r="M12" i="33"/>
  <c r="O16" i="33"/>
  <c r="M16" i="33"/>
  <c r="S16" i="33" s="1"/>
  <c r="O38" i="33"/>
  <c r="M38" i="33"/>
  <c r="S38" i="33" s="1"/>
  <c r="O18" i="33"/>
  <c r="M18" i="33"/>
  <c r="S18" i="33" s="1"/>
  <c r="O40" i="33"/>
  <c r="M40" i="33"/>
  <c r="S40" i="33" s="1"/>
  <c r="O32" i="33"/>
  <c r="M32" i="33"/>
  <c r="S32" i="33" s="1"/>
  <c r="P16" i="24"/>
  <c r="P30" i="30"/>
  <c r="P34" i="30"/>
  <c r="M20" i="29"/>
  <c r="S20" i="29" s="1"/>
  <c r="Q5" i="29"/>
  <c r="P32" i="28"/>
  <c r="P36" i="28"/>
  <c r="P38" i="28"/>
  <c r="P19" i="27"/>
  <c r="P42" i="32"/>
  <c r="P16" i="30"/>
  <c r="P28" i="29"/>
  <c r="P28" i="28"/>
  <c r="P40" i="27"/>
  <c r="P42" i="27"/>
  <c r="P17" i="25"/>
  <c r="P27" i="24"/>
  <c r="P17" i="23"/>
  <c r="P13" i="25"/>
  <c r="P24" i="26"/>
  <c r="P32" i="26"/>
  <c r="P30" i="26"/>
  <c r="P32" i="32"/>
  <c r="P38" i="32"/>
  <c r="P15" i="30"/>
  <c r="P32" i="29"/>
  <c r="P38" i="29"/>
  <c r="P34" i="28"/>
  <c r="P18" i="28"/>
  <c r="P20" i="28"/>
  <c r="P26" i="25"/>
  <c r="P36" i="25"/>
  <c r="P42" i="25"/>
  <c r="P34" i="25"/>
  <c r="P28" i="25"/>
  <c r="P23" i="24"/>
  <c r="P29" i="24"/>
  <c r="P34" i="32"/>
  <c r="P26" i="32"/>
  <c r="P30" i="32"/>
  <c r="P14" i="32"/>
  <c r="P32" i="31"/>
  <c r="P15" i="31"/>
  <c r="P28" i="30"/>
  <c r="P42" i="30"/>
  <c r="P20" i="30"/>
  <c r="P26" i="28"/>
  <c r="P28" i="27"/>
  <c r="P22" i="27"/>
  <c r="P20" i="25"/>
  <c r="P25" i="24"/>
  <c r="P21" i="24"/>
  <c r="P13" i="24"/>
  <c r="P33" i="24"/>
  <c r="P32" i="25"/>
  <c r="P20" i="26"/>
  <c r="P26" i="27"/>
  <c r="P13" i="27"/>
  <c r="P16" i="28"/>
  <c r="P22" i="29"/>
  <c r="P20" i="31"/>
  <c r="P12" i="32"/>
  <c r="P24" i="25"/>
  <c r="P26" i="29"/>
  <c r="P36" i="31"/>
  <c r="P12" i="27"/>
  <c r="P36" i="26"/>
  <c r="P34" i="26"/>
  <c r="P26" i="26"/>
  <c r="P20" i="27"/>
  <c r="P42" i="28"/>
  <c r="P36" i="29"/>
  <c r="P40" i="29"/>
  <c r="P40" i="30"/>
  <c r="P32" i="30"/>
  <c r="P26" i="30"/>
  <c r="P17" i="30"/>
  <c r="P16" i="31"/>
  <c r="P22" i="32"/>
  <c r="P19" i="32"/>
  <c r="P17" i="31"/>
  <c r="P34" i="31"/>
  <c r="P38" i="30"/>
  <c r="P13" i="29"/>
  <c r="P34" i="29"/>
  <c r="P22" i="28"/>
  <c r="P30" i="28"/>
  <c r="P24" i="28"/>
  <c r="P14" i="28"/>
  <c r="P32" i="27"/>
  <c r="P34" i="27"/>
  <c r="P38" i="27"/>
  <c r="P13" i="26"/>
  <c r="P22" i="25"/>
  <c r="P40" i="25"/>
  <c r="P30" i="25"/>
  <c r="P38" i="25"/>
  <c r="P39" i="24"/>
  <c r="P35" i="24"/>
  <c r="P41" i="24"/>
  <c r="P31" i="24"/>
  <c r="G6" i="32"/>
  <c r="G5" i="32"/>
  <c r="G6" i="31"/>
  <c r="G5" i="31"/>
  <c r="P24" i="31"/>
  <c r="G5" i="30"/>
  <c r="P25" i="31"/>
  <c r="G6" i="30"/>
  <c r="G6" i="29"/>
  <c r="P19" i="23"/>
  <c r="P17" i="29"/>
  <c r="G6" i="28"/>
  <c r="G6" i="27"/>
  <c r="G5" i="28"/>
  <c r="G5" i="27"/>
  <c r="P24" i="27"/>
  <c r="G6" i="24"/>
  <c r="P15" i="27"/>
  <c r="P17" i="27"/>
  <c r="G6" i="26"/>
  <c r="G5" i="26"/>
  <c r="S13" i="26"/>
  <c r="P38" i="26"/>
  <c r="G6" i="25"/>
  <c r="G5" i="25"/>
  <c r="P39" i="23"/>
  <c r="G5" i="24"/>
  <c r="P17" i="24"/>
  <c r="P13" i="23"/>
  <c r="P35" i="23"/>
  <c r="P41" i="23"/>
  <c r="P29" i="23"/>
  <c r="P33" i="23"/>
  <c r="P27" i="23"/>
  <c r="G5" i="23"/>
  <c r="P25" i="23"/>
  <c r="P15" i="23"/>
  <c r="P20" i="23"/>
  <c r="P31" i="23"/>
  <c r="P37" i="23"/>
  <c r="G6" i="22"/>
  <c r="G6" i="23"/>
  <c r="G5" i="22"/>
  <c r="N27" i="1"/>
  <c r="N42" i="1"/>
  <c r="N38" i="1"/>
  <c r="N34" i="1"/>
  <c r="N20" i="1"/>
  <c r="N28" i="1"/>
  <c r="N41" i="1"/>
  <c r="N37" i="1"/>
  <c r="N33" i="1"/>
  <c r="N40" i="1"/>
  <c r="N36" i="1"/>
  <c r="N32" i="1"/>
  <c r="N21" i="1"/>
  <c r="N39" i="1"/>
  <c r="N35" i="1"/>
  <c r="N31" i="1"/>
  <c r="B40" i="1"/>
  <c r="B41" i="1"/>
  <c r="D40" i="1"/>
  <c r="D41" i="1"/>
  <c r="M22" i="33" l="1"/>
  <c r="S22" i="33" s="1"/>
  <c r="G5" i="29"/>
  <c r="G6" i="33"/>
  <c r="G7" i="30"/>
  <c r="G7" i="32"/>
  <c r="G9" i="32" s="1"/>
  <c r="P9" i="32" s="1"/>
  <c r="G7" i="25"/>
  <c r="G7" i="28"/>
  <c r="G7" i="24"/>
  <c r="G7" i="26"/>
  <c r="G7" i="29"/>
  <c r="G7" i="31"/>
  <c r="G7" i="27"/>
  <c r="G7" i="22"/>
  <c r="G7" i="23"/>
  <c r="O40" i="1"/>
  <c r="O41" i="1"/>
  <c r="G5" i="33" l="1"/>
  <c r="G9" i="33" s="1"/>
  <c r="P9" i="33" s="1"/>
  <c r="G9" i="30"/>
  <c r="P9" i="30" s="1"/>
  <c r="G9" i="24"/>
  <c r="P9" i="24" s="1"/>
  <c r="G9" i="25"/>
  <c r="P9" i="25" s="1"/>
  <c r="G9" i="26"/>
  <c r="P9" i="26" s="1"/>
  <c r="G9" i="28"/>
  <c r="P9" i="28" s="1"/>
  <c r="G9" i="29"/>
  <c r="P9" i="29" s="1"/>
  <c r="G9" i="31"/>
  <c r="P9" i="31" s="1"/>
  <c r="G9" i="27"/>
  <c r="P9" i="27" s="1"/>
  <c r="G9" i="22"/>
  <c r="P9" i="22" s="1"/>
  <c r="G9" i="23"/>
  <c r="P9" i="23" s="1"/>
  <c r="C15" i="2"/>
  <c r="E15" i="2" l="1"/>
  <c r="M6" i="30" s="1"/>
  <c r="J9" i="27"/>
  <c r="J9" i="26"/>
  <c r="J9" i="32"/>
  <c r="J7" i="33"/>
  <c r="J7" i="29"/>
  <c r="J7" i="28"/>
  <c r="J9" i="29"/>
  <c r="J8" i="26"/>
  <c r="J5" i="25"/>
  <c r="J6" i="25"/>
  <c r="J6" i="31"/>
  <c r="J5" i="28"/>
  <c r="J5" i="24"/>
  <c r="J8" i="32"/>
  <c r="J8" i="29"/>
  <c r="J8" i="23"/>
  <c r="J7" i="22"/>
  <c r="J5" i="32"/>
  <c r="J6" i="26"/>
  <c r="J5" i="22"/>
  <c r="J5" i="33"/>
  <c r="J9" i="33"/>
  <c r="M6" i="27"/>
  <c r="M6" i="23"/>
  <c r="AE13" i="1"/>
  <c r="AE14" i="1"/>
  <c r="AE15" i="1"/>
  <c r="AE16" i="1"/>
  <c r="AE17" i="1"/>
  <c r="AE18" i="1"/>
  <c r="AE19" i="1"/>
  <c r="AE20" i="1"/>
  <c r="AE21" i="1"/>
  <c r="AE25" i="1"/>
  <c r="AE29" i="1"/>
  <c r="AE32" i="1"/>
  <c r="AE35" i="1"/>
  <c r="AE36" i="1"/>
  <c r="AE37" i="1"/>
  <c r="AE38" i="1"/>
  <c r="AE39" i="1"/>
  <c r="AE40" i="1"/>
  <c r="AE41" i="1"/>
  <c r="AE42" i="1"/>
  <c r="AE12" i="1"/>
  <c r="AD14" i="1"/>
  <c r="AD21" i="1"/>
  <c r="AD27" i="1"/>
  <c r="AD28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E22" i="1"/>
  <c r="AE23" i="1"/>
  <c r="AE24" i="1"/>
  <c r="AE26" i="1"/>
  <c r="AE27" i="1"/>
  <c r="AE28" i="1"/>
  <c r="AE30" i="1"/>
  <c r="AE31" i="1"/>
  <c r="AE33" i="1"/>
  <c r="AE34" i="1"/>
  <c r="M6" i="24" l="1"/>
  <c r="J5" i="26"/>
  <c r="J7" i="27"/>
  <c r="J6" i="27"/>
  <c r="J7" i="26"/>
  <c r="J8" i="30"/>
  <c r="J7" i="24"/>
  <c r="J9" i="24"/>
  <c r="J6" i="33"/>
  <c r="M6" i="31"/>
  <c r="M6" i="33"/>
  <c r="M6" i="28"/>
  <c r="J8" i="33"/>
  <c r="J6" i="28"/>
  <c r="J7" i="25"/>
  <c r="J6" i="23"/>
  <c r="J6" i="29"/>
  <c r="J5" i="23"/>
  <c r="J8" i="22"/>
  <c r="J6" i="30"/>
  <c r="J9" i="25"/>
  <c r="M6" i="22"/>
  <c r="J5" i="31"/>
  <c r="J7" i="32"/>
  <c r="J5" i="29"/>
  <c r="M5" i="29" s="1"/>
  <c r="J5" i="27"/>
  <c r="J8" i="31"/>
  <c r="J9" i="23"/>
  <c r="J9" i="31"/>
  <c r="M6" i="26"/>
  <c r="M6" i="25"/>
  <c r="J7" i="23"/>
  <c r="J8" i="27"/>
  <c r="J8" i="24"/>
  <c r="J7" i="31"/>
  <c r="J6" i="22"/>
  <c r="J7" i="30"/>
  <c r="J8" i="28"/>
  <c r="J6" i="24"/>
  <c r="J6" i="32"/>
  <c r="M5" i="32" s="1"/>
  <c r="J8" i="25"/>
  <c r="J5" i="30"/>
  <c r="J9" i="22"/>
  <c r="J9" i="28"/>
  <c r="J9" i="30"/>
  <c r="M6" i="29"/>
  <c r="M6" i="32"/>
  <c r="AG14" i="1"/>
  <c r="AF14" i="1" s="1"/>
  <c r="R14" i="1" s="1"/>
  <c r="W14" i="1"/>
  <c r="N14" i="1" s="1"/>
  <c r="G8" i="1"/>
  <c r="M5" i="33" l="1"/>
  <c r="M5" i="31"/>
  <c r="L9" i="31" s="1"/>
  <c r="M5" i="26"/>
  <c r="L9" i="26" s="1"/>
  <c r="M5" i="25"/>
  <c r="L9" i="25" s="1"/>
  <c r="M5" i="22"/>
  <c r="L9" i="22" s="1"/>
  <c r="L9" i="33"/>
  <c r="L9" i="32"/>
  <c r="M5" i="27"/>
  <c r="L9" i="27" s="1"/>
  <c r="M5" i="30"/>
  <c r="L9" i="30" s="1"/>
  <c r="M5" i="28"/>
  <c r="L9" i="28" s="1"/>
  <c r="M5" i="24"/>
  <c r="L9" i="24" s="1"/>
  <c r="M5" i="23"/>
  <c r="L9" i="23" s="1"/>
  <c r="L9" i="29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2" i="1"/>
  <c r="B12" i="1"/>
  <c r="D15" i="1"/>
  <c r="D20" i="1"/>
  <c r="D38" i="1"/>
  <c r="D16" i="1"/>
  <c r="D25" i="1"/>
  <c r="D14" i="1"/>
  <c r="D28" i="1"/>
  <c r="D32" i="1"/>
  <c r="D29" i="1"/>
  <c r="D30" i="1"/>
  <c r="D31" i="1"/>
  <c r="D18" i="1"/>
  <c r="D19" i="1"/>
  <c r="D33" i="1"/>
  <c r="D35" i="1"/>
  <c r="D37" i="1"/>
  <c r="D42" i="1"/>
  <c r="D39" i="1"/>
  <c r="D13" i="1"/>
  <c r="D17" i="1"/>
  <c r="D34" i="1"/>
  <c r="D27" i="1"/>
  <c r="D24" i="1"/>
  <c r="D21" i="1"/>
  <c r="D22" i="1"/>
  <c r="D23" i="1"/>
  <c r="D12" i="1"/>
  <c r="D36" i="1"/>
  <c r="O14" i="1" l="1"/>
  <c r="O12" i="1"/>
  <c r="O16" i="1"/>
  <c r="O35" i="1"/>
  <c r="O33" i="1"/>
  <c r="O42" i="1"/>
  <c r="O36" i="1"/>
  <c r="O32" i="1"/>
  <c r="O28" i="1"/>
  <c r="O20" i="1"/>
  <c r="O31" i="1"/>
  <c r="O27" i="1"/>
  <c r="O38" i="1"/>
  <c r="O34" i="1"/>
  <c r="O39" i="1"/>
  <c r="O37" i="1"/>
  <c r="O21" i="1"/>
  <c r="V24" i="1"/>
  <c r="V16" i="1"/>
  <c r="V20" i="1"/>
  <c r="V40" i="1"/>
  <c r="V42" i="1"/>
  <c r="V15" i="1"/>
  <c r="V33" i="1"/>
  <c r="V18" i="1"/>
  <c r="V38" i="1"/>
  <c r="V17" i="1"/>
  <c r="V29" i="1"/>
  <c r="V25" i="1"/>
  <c r="V34" i="1"/>
  <c r="V37" i="1"/>
  <c r="V36" i="1"/>
  <c r="V35" i="1"/>
  <c r="V39" i="1"/>
  <c r="V14" i="1"/>
  <c r="V31" i="1"/>
  <c r="V26" i="1"/>
  <c r="V22" i="1"/>
  <c r="V30" i="1"/>
  <c r="V32" i="1"/>
  <c r="V28" i="1"/>
  <c r="V19" i="1"/>
  <c r="V27" i="1"/>
  <c r="V23" i="1"/>
  <c r="V41" i="1"/>
  <c r="V21" i="1"/>
  <c r="V13" i="1"/>
  <c r="C40" i="1"/>
  <c r="U40" i="1" s="1"/>
  <c r="C36" i="1"/>
  <c r="AA36" i="1" s="1"/>
  <c r="C32" i="1"/>
  <c r="AC32" i="1" s="1"/>
  <c r="C28" i="1"/>
  <c r="AB28" i="1" s="1"/>
  <c r="M28" i="1" s="1"/>
  <c r="C24" i="1"/>
  <c r="U24" i="1" s="1"/>
  <c r="C20" i="1"/>
  <c r="AC20" i="1" s="1"/>
  <c r="C16" i="1"/>
  <c r="AA16" i="1" s="1"/>
  <c r="C39" i="1"/>
  <c r="AA39" i="1" s="1"/>
  <c r="C35" i="1"/>
  <c r="AA35" i="1" s="1"/>
  <c r="C31" i="1"/>
  <c r="AA31" i="1" s="1"/>
  <c r="C27" i="1"/>
  <c r="T27" i="1" s="1"/>
  <c r="C23" i="1"/>
  <c r="AB23" i="1" s="1"/>
  <c r="M23" i="1" s="1"/>
  <c r="C19" i="1"/>
  <c r="AA19" i="1" s="1"/>
  <c r="C15" i="1"/>
  <c r="C42" i="1"/>
  <c r="AA42" i="1" s="1"/>
  <c r="C34" i="1"/>
  <c r="AA34" i="1" s="1"/>
  <c r="C22" i="1"/>
  <c r="AA22" i="1" s="1"/>
  <c r="C14" i="1"/>
  <c r="C12" i="1"/>
  <c r="AC12" i="1" s="1"/>
  <c r="C38" i="1"/>
  <c r="AA38" i="1" s="1"/>
  <c r="C30" i="1"/>
  <c r="U30" i="1" s="1"/>
  <c r="C26" i="1"/>
  <c r="AA26" i="1" s="1"/>
  <c r="C18" i="1"/>
  <c r="AA18" i="1" s="1"/>
  <c r="C41" i="1"/>
  <c r="T41" i="1" s="1"/>
  <c r="C37" i="1"/>
  <c r="AA37" i="1" s="1"/>
  <c r="C33" i="1"/>
  <c r="AA33" i="1" s="1"/>
  <c r="C29" i="1"/>
  <c r="U29" i="1" s="1"/>
  <c r="C25" i="1"/>
  <c r="T25" i="1" s="1"/>
  <c r="C21" i="1"/>
  <c r="T21" i="1" s="1"/>
  <c r="C17" i="1"/>
  <c r="AC17" i="1" s="1"/>
  <c r="C13" i="1"/>
  <c r="AC13" i="1" s="1"/>
  <c r="O23" i="1" l="1"/>
  <c r="AD23" i="1"/>
  <c r="T12" i="1"/>
  <c r="AB12" i="1"/>
  <c r="U12" i="1"/>
  <c r="AB13" i="1"/>
  <c r="AB25" i="1"/>
  <c r="M25" i="1" s="1"/>
  <c r="AB29" i="1"/>
  <c r="AB14" i="1"/>
  <c r="M14" i="1" s="1"/>
  <c r="AB27" i="1"/>
  <c r="M27" i="1" s="1"/>
  <c r="AB20" i="1"/>
  <c r="M20" i="1" s="1"/>
  <c r="AB24" i="1"/>
  <c r="U41" i="1"/>
  <c r="T23" i="1"/>
  <c r="U27" i="1"/>
  <c r="T30" i="1"/>
  <c r="T31" i="1"/>
  <c r="T14" i="1"/>
  <c r="T36" i="1"/>
  <c r="T37" i="1"/>
  <c r="U25" i="1"/>
  <c r="T17" i="1"/>
  <c r="U18" i="1"/>
  <c r="U20" i="1"/>
  <c r="AB30" i="1"/>
  <c r="AB22" i="1"/>
  <c r="AB33" i="1"/>
  <c r="M33" i="1" s="1"/>
  <c r="AB39" i="1"/>
  <c r="M39" i="1" s="1"/>
  <c r="AB32" i="1"/>
  <c r="M32" i="1" s="1"/>
  <c r="AB36" i="1"/>
  <c r="M36" i="1" s="1"/>
  <c r="U21" i="1"/>
  <c r="U23" i="1"/>
  <c r="T28" i="1"/>
  <c r="T32" i="1"/>
  <c r="U22" i="1"/>
  <c r="U31" i="1"/>
  <c r="T35" i="1"/>
  <c r="U36" i="1"/>
  <c r="U34" i="1"/>
  <c r="T29" i="1"/>
  <c r="T33" i="1"/>
  <c r="U42" i="1"/>
  <c r="T40" i="1"/>
  <c r="AB38" i="1"/>
  <c r="M38" i="1" s="1"/>
  <c r="AB37" i="1"/>
  <c r="M37" i="1" s="1"/>
  <c r="AB34" i="1"/>
  <c r="M34" i="1" s="1"/>
  <c r="AB21" i="1"/>
  <c r="M21" i="1" s="1"/>
  <c r="AB41" i="1"/>
  <c r="M41" i="1" s="1"/>
  <c r="AB35" i="1"/>
  <c r="M35" i="1" s="1"/>
  <c r="AB17" i="1"/>
  <c r="AB19" i="1"/>
  <c r="AB40" i="1"/>
  <c r="M40" i="1" s="1"/>
  <c r="U13" i="1"/>
  <c r="T19" i="1"/>
  <c r="U28" i="1"/>
  <c r="T26" i="1"/>
  <c r="U14" i="1"/>
  <c r="T39" i="1"/>
  <c r="U35" i="1"/>
  <c r="U37" i="1"/>
  <c r="U17" i="1"/>
  <c r="T38" i="1"/>
  <c r="T24" i="1"/>
  <c r="AB42" i="1"/>
  <c r="M42" i="1" s="1"/>
  <c r="AB18" i="1"/>
  <c r="AB26" i="1"/>
  <c r="AB31" i="1"/>
  <c r="M31" i="1" s="1"/>
  <c r="AB15" i="1"/>
  <c r="AB16" i="1"/>
  <c r="P16" i="1" s="1"/>
  <c r="U32" i="1"/>
  <c r="T22" i="1"/>
  <c r="U39" i="1"/>
  <c r="T34" i="1"/>
  <c r="U38" i="1"/>
  <c r="U33" i="1"/>
  <c r="T42" i="1"/>
  <c r="T20" i="1"/>
  <c r="T16" i="1"/>
  <c r="AA12" i="1"/>
  <c r="AC35" i="1"/>
  <c r="AA32" i="1"/>
  <c r="AC19" i="1"/>
  <c r="AC42" i="1"/>
  <c r="AC18" i="1"/>
  <c r="AC22" i="1"/>
  <c r="AA29" i="1"/>
  <c r="AA40" i="1"/>
  <c r="AC24" i="1"/>
  <c r="AA21" i="1"/>
  <c r="AA13" i="1"/>
  <c r="AC30" i="1"/>
  <c r="AC37" i="1"/>
  <c r="AC27" i="1"/>
  <c r="AC31" i="1"/>
  <c r="AA15" i="1"/>
  <c r="AC39" i="1"/>
  <c r="AC34" i="1"/>
  <c r="AC36" i="1"/>
  <c r="AC38" i="1"/>
  <c r="AA25" i="1"/>
  <c r="AC26" i="1"/>
  <c r="AC33" i="1"/>
  <c r="AA24" i="1"/>
  <c r="AC16" i="1"/>
  <c r="AA28" i="1"/>
  <c r="P28" i="1" s="1"/>
  <c r="AC29" i="1"/>
  <c r="AA23" i="1"/>
  <c r="P23" i="1" s="1"/>
  <c r="AC15" i="1"/>
  <c r="AA30" i="1"/>
  <c r="AC40" i="1"/>
  <c r="AC25" i="1"/>
  <c r="AA14" i="1"/>
  <c r="AA17" i="1"/>
  <c r="AA41" i="1"/>
  <c r="AC21" i="1"/>
  <c r="AA27" i="1"/>
  <c r="AC28" i="1"/>
  <c r="S28" i="1" s="1"/>
  <c r="AC23" i="1"/>
  <c r="AA20" i="1"/>
  <c r="AC14" i="1"/>
  <c r="AC41" i="1"/>
  <c r="P15" i="1" l="1"/>
  <c r="P42" i="1"/>
  <c r="AD12" i="1"/>
  <c r="P25" i="1"/>
  <c r="P20" i="1"/>
  <c r="M24" i="1"/>
  <c r="S24" i="1" s="1"/>
  <c r="AD24" i="1"/>
  <c r="O24" i="1"/>
  <c r="M29" i="1"/>
  <c r="S29" i="1" s="1"/>
  <c r="AD29" i="1"/>
  <c r="O29" i="1"/>
  <c r="S25" i="1"/>
  <c r="AD25" i="1"/>
  <c r="O25" i="1"/>
  <c r="M30" i="1"/>
  <c r="S30" i="1" s="1"/>
  <c r="AD30" i="1"/>
  <c r="O30" i="1"/>
  <c r="AD26" i="1"/>
  <c r="S23" i="1"/>
  <c r="AD18" i="1"/>
  <c r="P34" i="1"/>
  <c r="P36" i="1"/>
  <c r="P35" i="1"/>
  <c r="P37" i="1"/>
  <c r="S37" i="1"/>
  <c r="S32" i="1"/>
  <c r="AD17" i="1"/>
  <c r="P31" i="1"/>
  <c r="S31" i="1"/>
  <c r="P38" i="1"/>
  <c r="S38" i="1"/>
  <c r="P39" i="1"/>
  <c r="S39" i="1"/>
  <c r="S12" i="1"/>
  <c r="P26" i="1"/>
  <c r="AD19" i="1"/>
  <c r="P33" i="1"/>
  <c r="S33" i="1"/>
  <c r="S20" i="1"/>
  <c r="P14" i="1"/>
  <c r="P21" i="1"/>
  <c r="P13" i="1"/>
  <c r="P27" i="1"/>
  <c r="P41" i="1"/>
  <c r="P12" i="1"/>
  <c r="P24" i="1"/>
  <c r="P32" i="1"/>
  <c r="S34" i="1"/>
  <c r="S27" i="1"/>
  <c r="P40" i="1"/>
  <c r="P30" i="1"/>
  <c r="P29" i="1"/>
  <c r="P19" i="1"/>
  <c r="P17" i="1"/>
  <c r="P22" i="1"/>
  <c r="P18" i="1"/>
  <c r="S35" i="1"/>
  <c r="S21" i="1"/>
  <c r="S14" i="1"/>
  <c r="S42" i="1"/>
  <c r="AD22" i="1"/>
  <c r="S36" i="1"/>
  <c r="S41" i="1"/>
  <c r="AD20" i="1"/>
  <c r="S40" i="1"/>
  <c r="AD13" i="1"/>
  <c r="W22" i="1" l="1"/>
  <c r="AG22" i="1"/>
  <c r="AF22" i="1" s="1"/>
  <c r="R22" i="1" s="1"/>
  <c r="W26" i="1"/>
  <c r="N26" i="1" s="1"/>
  <c r="AG26" i="1"/>
  <c r="AF26" i="1" s="1"/>
  <c r="R26" i="1" s="1"/>
  <c r="U26" i="1" s="1"/>
  <c r="AG13" i="1"/>
  <c r="AF13" i="1" s="1"/>
  <c r="R13" i="1" s="1"/>
  <c r="W13" i="1"/>
  <c r="N13" i="1" s="1"/>
  <c r="W17" i="1"/>
  <c r="N17" i="1" s="1"/>
  <c r="AG17" i="1"/>
  <c r="AF17" i="1" s="1"/>
  <c r="R17" i="1" s="1"/>
  <c r="W19" i="1"/>
  <c r="N19" i="1" s="1"/>
  <c r="AG19" i="1"/>
  <c r="AF19" i="1" s="1"/>
  <c r="R19" i="1" s="1"/>
  <c r="U19" i="1" s="1"/>
  <c r="R18" i="1"/>
  <c r="T18" i="1" s="1"/>
  <c r="W18" i="1"/>
  <c r="N18" i="1" s="1"/>
  <c r="AG18" i="1"/>
  <c r="AF18" i="1" s="1"/>
  <c r="W12" i="1"/>
  <c r="AG12" i="1"/>
  <c r="AF12" i="1" s="1"/>
  <c r="R12" i="1" s="1"/>
  <c r="N24" i="1"/>
  <c r="N30" i="1"/>
  <c r="N29" i="1"/>
  <c r="N25" i="1"/>
  <c r="N23" i="1"/>
  <c r="G7" i="1"/>
  <c r="M22" i="1" l="1"/>
  <c r="S22" i="1" s="1"/>
  <c r="O22" i="1"/>
  <c r="O26" i="1"/>
  <c r="M26" i="1"/>
  <c r="S26" i="1" s="1"/>
  <c r="O13" i="1"/>
  <c r="T13" i="1"/>
  <c r="M13" i="1"/>
  <c r="S13" i="1" s="1"/>
  <c r="N12" i="1"/>
  <c r="V12" i="1"/>
  <c r="J8" i="1" s="1"/>
  <c r="M12" i="1"/>
  <c r="M19" i="1"/>
  <c r="S19" i="1" s="1"/>
  <c r="O19" i="1"/>
  <c r="O17" i="1"/>
  <c r="M17" i="1"/>
  <c r="S17" i="1" s="1"/>
  <c r="M18" i="1"/>
  <c r="S18" i="1" s="1"/>
  <c r="O18" i="1"/>
  <c r="N22" i="1"/>
  <c r="AD16" i="1" l="1"/>
  <c r="AD15" i="1"/>
  <c r="W15" i="1" l="1"/>
  <c r="N15" i="1" s="1"/>
  <c r="AG15" i="1"/>
  <c r="AF15" i="1" s="1"/>
  <c r="R15" i="1" s="1"/>
  <c r="O15" i="1" s="1"/>
  <c r="W16" i="1"/>
  <c r="N16" i="1" s="1"/>
  <c r="AG16" i="1"/>
  <c r="AF16" i="1" s="1"/>
  <c r="R16" i="1" s="1"/>
  <c r="U16" i="1" s="1"/>
  <c r="S7" i="1"/>
  <c r="U15" i="1" l="1"/>
  <c r="J7" i="1" s="1"/>
  <c r="T15" i="1"/>
  <c r="J6" i="1" s="1"/>
  <c r="M16" i="1"/>
  <c r="S16" i="1" s="1"/>
  <c r="Q5" i="1"/>
  <c r="M15" i="1"/>
  <c r="J9" i="1"/>
  <c r="G6" i="1" l="1"/>
  <c r="M6" i="1" s="1"/>
  <c r="S15" i="1"/>
  <c r="J5" i="1" s="1"/>
  <c r="M5" i="1" s="1"/>
  <c r="G5" i="1"/>
  <c r="L9" i="1" l="1"/>
  <c r="G9" i="1"/>
  <c r="P9" i="1" s="1"/>
</calcChain>
</file>

<file path=xl/comments1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noturno)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comments2.xml><?xml version="1.0" encoding="utf-8"?>
<comments xmlns="http://schemas.openxmlformats.org/spreadsheetml/2006/main">
  <authors>
    <author>Eduardo Marcandal</author>
  </authors>
  <commentList>
    <comment ref="A5" authorId="0" shapeId="0">
      <text>
        <r>
          <rPr>
            <b/>
            <sz val="9"/>
            <color indexed="81"/>
            <rFont val="Segoe UI"/>
            <family val="2"/>
          </rPr>
          <t>Nos dias, informe quantas horas o funcionário fica na empresa por dia (incluindo o intervalo)
Exemplo: Se o funcionário fica na empresa das 7:00 às 17:00, a jornada é de 10 horas.
Nos intervalos, informe quanto tempo de intervalo ele tem em cada dia
Obs: Digite no formato Hora:Minuto.
Exemplo: "8:00"</t>
        </r>
      </text>
    </comment>
    <comment ref="G5" authorId="0" shapeId="0">
      <text>
        <r>
          <rPr>
            <b/>
            <sz val="9"/>
            <color indexed="81"/>
            <rFont val="Segoe UI"/>
            <family val="2"/>
          </rPr>
          <t>Porcentagem que será adicionada no valor das horas</t>
        </r>
      </text>
    </comment>
    <comment ref="I9" authorId="0" shapeId="0">
      <text>
        <r>
          <rPr>
            <b/>
            <sz val="9"/>
            <color indexed="81"/>
            <rFont val="Segoe UI"/>
            <family val="2"/>
          </rPr>
          <t>Este acréscimo só será levado em consideração se o funcionário não trabalhar de domingo</t>
        </r>
      </text>
    </comment>
    <comment ref="I10" authorId="0" shapeId="0">
      <text>
        <r>
          <rPr>
            <b/>
            <sz val="9"/>
            <color indexed="81"/>
            <rFont val="Segoe UI"/>
            <family val="2"/>
          </rPr>
          <t>Este acréscimo só será levado em consideração se o funcionário não trabalhar de sábado</t>
        </r>
      </text>
    </comment>
    <comment ref="C14" authorId="0" shapeId="0">
      <text>
        <r>
          <rPr>
            <b/>
            <sz val="9"/>
            <color indexed="81"/>
            <rFont val="Segoe UI"/>
            <family val="2"/>
          </rPr>
          <t>Salário base (bruto) do funcionário</t>
        </r>
      </text>
    </comment>
  </commentList>
</comments>
</file>

<file path=xl/comments3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abonos)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
Feriados locais aparecem com a cor roxa.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comments4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abonos)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
Feriados locais aparecem com a cor roxa.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comments5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abonos)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
Feriados locais aparecem com a cor roxa.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comments6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abonos)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
Feriados locais aparecem com a cor roxa.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comments7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abonos)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
Feriados locais aparecem com a cor roxa.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comments8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abonos)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
Feriados locais aparecem com a cor roxa.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comments9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abonos)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
Feriados locais aparecem com a cor roxa.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comments10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abonos)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
Feriados locais aparecem com a cor roxa.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comments11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abonos)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
Feriados locais aparecem com a cor roxa.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comments12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abonos)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
Feriados locais aparecem com a cor roxa.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comments13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abonos)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
Feriados locais aparecem com a cor roxa.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comments14.xml><?xml version="1.0" encoding="utf-8"?>
<comments xmlns="http://schemas.openxmlformats.org/spreadsheetml/2006/main">
  <authors>
    <author>Eduardo Marcandal</author>
  </authors>
  <commentList>
    <comment ref="L5" authorId="0" shapeId="0">
      <text>
        <r>
          <rPr>
            <b/>
            <sz val="9"/>
            <color indexed="81"/>
            <rFont val="Segoe UI"/>
            <family val="2"/>
          </rPr>
          <t>Total a receber de horas extras e adicional noturno</t>
        </r>
      </text>
    </comment>
    <comment ref="L6" authorId="0" shapeId="0">
      <text>
        <r>
          <rPr>
            <b/>
            <sz val="9"/>
            <color indexed="81"/>
            <rFont val="Segoe UI"/>
            <family val="2"/>
          </rPr>
          <t>Total a descontar de atrasos e faltas (considerando os abonos)</t>
        </r>
      </text>
    </comment>
    <comment ref="D11" authorId="0" shapeId="0">
      <text>
        <r>
          <rPr>
            <b/>
            <sz val="9"/>
            <color indexed="81"/>
            <rFont val="Segoe UI"/>
            <family val="2"/>
          </rPr>
          <t>Os feriados nacionais são adicionados automaticamente.
Os feriados locais (exemplo: feriado municipal) devem ser adicionados clicando no botão "Adicionar".
Feriados locais aparecem com a cor roxa.</t>
        </r>
      </text>
    </comment>
    <comment ref="I11" authorId="0" shapeId="0">
      <text>
        <r>
          <rPr>
            <b/>
            <sz val="9"/>
            <color indexed="81"/>
            <rFont val="Segoe UI"/>
            <family val="2"/>
          </rPr>
          <t>Se o funcionário precisou sair antes de terminar sua jornada e retornou depois (ex: saiu pra ir a uma consulta e voltou logo após), registre a volta aqui</t>
        </r>
      </text>
    </comment>
    <comment ref="M11" authorId="0" shapeId="0">
      <text>
        <r>
          <rPr>
            <b/>
            <sz val="9"/>
            <color indexed="81"/>
            <rFont val="Segoe UI"/>
            <family val="2"/>
          </rPr>
          <t>O cálculo das horas extras leva em consideração o adicional noturno, no qual a hora equivale a 52min e 30seg</t>
        </r>
      </text>
    </comment>
    <comment ref="N11" authorId="0" shapeId="0">
      <text>
        <r>
          <rPr>
            <b/>
            <sz val="9"/>
            <color indexed="81"/>
            <rFont val="Segoe UI"/>
            <family val="2"/>
          </rPr>
          <t>Total de adicional noturno computado no dia (considerando que a hora do adicional noturno equivale a 52min e 30seg)</t>
        </r>
      </text>
    </comment>
    <comment ref="R11" authorId="0" shapeId="0">
      <text>
        <r>
          <rPr>
            <b/>
            <sz val="9"/>
            <color indexed="81"/>
            <rFont val="Segoe UI"/>
            <family val="2"/>
          </rPr>
          <t>O cálculo do Total Trabalhado leva em consideração o adicional noturno, no qual a hora equivale a 52min e 30seg</t>
        </r>
      </text>
    </comment>
  </commentList>
</comments>
</file>

<file path=xl/sharedStrings.xml><?xml version="1.0" encoding="utf-8"?>
<sst xmlns="http://schemas.openxmlformats.org/spreadsheetml/2006/main" count="761" uniqueCount="94">
  <si>
    <t>Dia</t>
  </si>
  <si>
    <t>Feriado?</t>
  </si>
  <si>
    <t>Dia da Semana</t>
  </si>
  <si>
    <t>Entrada 1</t>
  </si>
  <si>
    <t>Saída 1</t>
  </si>
  <si>
    <t>Entrada 2</t>
  </si>
  <si>
    <t>Saída 2</t>
  </si>
  <si>
    <t>JANEIRO</t>
  </si>
  <si>
    <t>Extras</t>
  </si>
  <si>
    <t>Atrasos</t>
  </si>
  <si>
    <t>Faltas</t>
  </si>
  <si>
    <t>Abonos</t>
  </si>
  <si>
    <t>Acréscimos</t>
  </si>
  <si>
    <t>% Acréscimo Hora Extra:</t>
  </si>
  <si>
    <t>% Acréscimo Feriado:</t>
  </si>
  <si>
    <t>% Acréscimo Domingo:</t>
  </si>
  <si>
    <t>% Acréscimo Sábado:</t>
  </si>
  <si>
    <t>Valor da Hora:</t>
  </si>
  <si>
    <t>Total Extras:</t>
  </si>
  <si>
    <t>Total Atrasos:</t>
  </si>
  <si>
    <t>Total Faltas:</t>
  </si>
  <si>
    <t>Total Abonos:</t>
  </si>
  <si>
    <t>% Acréscimo Adc. Noturno:</t>
  </si>
  <si>
    <t>Configurações</t>
  </si>
  <si>
    <t>Total</t>
  </si>
  <si>
    <t>Atual:</t>
  </si>
  <si>
    <t>Anterior:</t>
  </si>
  <si>
    <t>Saldo:</t>
  </si>
  <si>
    <t>Domingo</t>
  </si>
  <si>
    <t>Sábado</t>
  </si>
  <si>
    <t>Adc. Noturno:</t>
  </si>
  <si>
    <t>Hora Extra:</t>
  </si>
  <si>
    <t>Domingo:</t>
  </si>
  <si>
    <t>Feriado:</t>
  </si>
  <si>
    <t>Sábado:</t>
  </si>
  <si>
    <t>Resumo</t>
  </si>
  <si>
    <t>Segunda-Feira</t>
  </si>
  <si>
    <t>Terça-Feira</t>
  </si>
  <si>
    <t>Quarta-Feira</t>
  </si>
  <si>
    <t>Quinta-Feira</t>
  </si>
  <si>
    <t>Sexta-Feira</t>
  </si>
  <si>
    <t>Jornada</t>
  </si>
  <si>
    <t>Intervalo:</t>
  </si>
  <si>
    <t>Total Trabalhado</t>
  </si>
  <si>
    <t>Total Trabalhado no mês:</t>
  </si>
  <si>
    <t>Nome do Funcionário:</t>
  </si>
  <si>
    <t>sab</t>
  </si>
  <si>
    <t>dom</t>
  </si>
  <si>
    <t>feriado</t>
  </si>
  <si>
    <t>normal</t>
  </si>
  <si>
    <t>Salário Base:</t>
  </si>
  <si>
    <t>Carga Horária Semanal:</t>
  </si>
  <si>
    <t>intervalo</t>
  </si>
  <si>
    <t>jornada</t>
  </si>
  <si>
    <t>trabalha?</t>
  </si>
  <si>
    <t>Intervalo 1</t>
  </si>
  <si>
    <t>Intervalo 2</t>
  </si>
  <si>
    <t>ad. Not 1</t>
  </si>
  <si>
    <t>ad. Not 2</t>
  </si>
  <si>
    <t>entrada1</t>
  </si>
  <si>
    <t>entrada2</t>
  </si>
  <si>
    <t>Saldo de Horas</t>
  </si>
  <si>
    <t>Pagamentos a Receber</t>
  </si>
  <si>
    <t>Saldo a Receber/Descontar</t>
  </si>
  <si>
    <t>int. not. 1</t>
  </si>
  <si>
    <t>int. not. 2</t>
  </si>
  <si>
    <t>Adc. Noturno</t>
  </si>
  <si>
    <t>Total de Horas</t>
  </si>
  <si>
    <t>a Receber:</t>
  </si>
  <si>
    <t>a Descontar:</t>
  </si>
  <si>
    <t>total adc</t>
  </si>
  <si>
    <t>total2</t>
  </si>
  <si>
    <t>total3</t>
  </si>
  <si>
    <t>ad2. not1</t>
  </si>
  <si>
    <t>ad2 not2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</si>
  <si>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</si>
  <si>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</si>
  <si>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</si>
  <si>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</si>
  <si>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</si>
  <si>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</si>
  <si>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</si>
  <si>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</si>
  <si>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</si>
  <si>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</si>
  <si>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2016</t>
  </si>
  <si>
    <t>João da Silva</t>
  </si>
  <si>
    <t>a</t>
  </si>
  <si>
    <t>Sim</t>
  </si>
  <si>
    <t>ATENÇÃO!! É NECESSÁRIO FAZER A ALTERAÇÃO ABAIXO PARA QUE A PLANILHA FUNCIONE!</t>
  </si>
  <si>
    <t>2017</t>
  </si>
  <si>
    <t>Horas Extras no período de</t>
  </si>
  <si>
    <t>Total de Horas:</t>
  </si>
  <si>
    <t>01/Jan   à   19/Fev   de  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</si>
</sst>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;@"/>
    <numFmt numFmtId="165" formatCode="&quot;R$&quot;\ #,##0.00"/>
    <numFmt numFmtId="166" formatCode="[h]:mm;@"/>
    <numFmt numFmtId="167" formatCode="ddd"/>
    <numFmt numFmtId="170" formatCode="[h]:mm:ss;@"/>
    <numFmt numFmtId="171" formatCode="dd/mmm;@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48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9"/>
      <color indexed="81"/>
      <name val="Segoe UI"/>
      <family val="2"/>
    </font>
    <font>
      <b/>
      <sz val="48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AA00AA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9073B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9" fillId="0" borderId="0" xfId="0" applyFont="1" applyFill="1" applyBorder="1" applyAlignment="1">
      <alignment vertical="center"/>
    </xf>
    <xf numFmtId="0" fontId="0" fillId="0" borderId="0" xfId="0" applyFill="1"/>
    <xf numFmtId="0" fontId="3" fillId="3" borderId="0" xfId="0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right"/>
    </xf>
    <xf numFmtId="166" fontId="0" fillId="0" borderId="0" xfId="0" applyNumberFormat="1" applyFill="1" applyBorder="1" applyAlignment="1" applyProtection="1">
      <alignment horizontal="center"/>
      <protection locked="0"/>
    </xf>
    <xf numFmtId="166" fontId="7" fillId="0" borderId="0" xfId="0" applyNumberFormat="1" applyFont="1" applyFill="1" applyBorder="1" applyAlignment="1" applyProtection="1">
      <alignment horizontal="center"/>
      <protection locked="0"/>
    </xf>
    <xf numFmtId="166" fontId="6" fillId="0" borderId="6" xfId="0" applyNumberFormat="1" applyFont="1" applyFill="1" applyBorder="1" applyAlignment="1" applyProtection="1">
      <protection locked="0"/>
    </xf>
    <xf numFmtId="0" fontId="13" fillId="0" borderId="0" xfId="0" applyFont="1" applyFill="1" applyBorder="1" applyAlignment="1">
      <alignment vertical="center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Protection="1"/>
    <xf numFmtId="0" fontId="6" fillId="0" borderId="0" xfId="0" applyFont="1" applyAlignment="1" applyProtection="1">
      <alignment horizontal="center"/>
    </xf>
    <xf numFmtId="0" fontId="6" fillId="0" borderId="0" xfId="0" applyFont="1" applyFill="1" applyAlignment="1" applyProtection="1"/>
    <xf numFmtId="165" fontId="6" fillId="0" borderId="0" xfId="0" applyNumberFormat="1" applyFont="1" applyFill="1" applyBorder="1" applyAlignment="1" applyProtection="1"/>
    <xf numFmtId="166" fontId="6" fillId="0" borderId="6" xfId="0" applyNumberFormat="1" applyFont="1" applyFill="1" applyBorder="1" applyProtection="1"/>
    <xf numFmtId="165" fontId="6" fillId="0" borderId="6" xfId="0" applyNumberFormat="1" applyFont="1" applyFill="1" applyBorder="1" applyProtection="1"/>
    <xf numFmtId="165" fontId="6" fillId="0" borderId="6" xfId="0" applyNumberFormat="1" applyFont="1" applyFill="1" applyBorder="1" applyAlignment="1" applyProtection="1"/>
    <xf numFmtId="166" fontId="0" fillId="0" borderId="9" xfId="0" applyNumberFormat="1" applyFill="1" applyBorder="1" applyProtection="1"/>
    <xf numFmtId="20" fontId="6" fillId="0" borderId="0" xfId="0" applyNumberFormat="1" applyFont="1" applyProtection="1"/>
    <xf numFmtId="166" fontId="6" fillId="0" borderId="6" xfId="0" applyNumberFormat="1" applyFont="1" applyFill="1" applyBorder="1" applyAlignment="1" applyProtection="1">
      <alignment vertical="center"/>
    </xf>
    <xf numFmtId="165" fontId="6" fillId="0" borderId="9" xfId="0" applyNumberFormat="1" applyFont="1" applyFill="1" applyBorder="1" applyAlignment="1" applyProtection="1"/>
    <xf numFmtId="166" fontId="6" fillId="0" borderId="0" xfId="0" applyNumberFormat="1" applyFont="1" applyProtection="1"/>
    <xf numFmtId="4" fontId="6" fillId="0" borderId="0" xfId="0" applyNumberFormat="1" applyFont="1" applyProtection="1"/>
    <xf numFmtId="0" fontId="5" fillId="0" borderId="0" xfId="0" applyFont="1" applyAlignment="1" applyProtection="1">
      <alignment vertical="center"/>
    </xf>
    <xf numFmtId="0" fontId="1" fillId="0" borderId="0" xfId="0" applyFont="1" applyFill="1" applyBorder="1" applyAlignment="1" applyProtection="1">
      <alignment horizontal="center"/>
    </xf>
    <xf numFmtId="166" fontId="6" fillId="0" borderId="9" xfId="0" applyNumberFormat="1" applyFont="1" applyFill="1" applyBorder="1" applyAlignment="1" applyProtection="1"/>
    <xf numFmtId="165" fontId="6" fillId="0" borderId="9" xfId="0" applyNumberFormat="1" applyFont="1" applyFill="1" applyBorder="1" applyProtection="1"/>
    <xf numFmtId="165" fontId="6" fillId="0" borderId="0" xfId="0" applyNumberFormat="1" applyFont="1" applyFill="1" applyBorder="1" applyAlignment="1" applyProtection="1">
      <alignment horizontal="center"/>
    </xf>
    <xf numFmtId="14" fontId="12" fillId="0" borderId="0" xfId="0" applyNumberFormat="1" applyFont="1" applyFill="1" applyAlignment="1" applyProtection="1">
      <alignment horizontal="center"/>
    </xf>
    <xf numFmtId="0" fontId="6" fillId="0" borderId="0" xfId="0" applyFont="1" applyFill="1" applyBorder="1" applyAlignment="1" applyProtection="1"/>
    <xf numFmtId="0" fontId="0" fillId="0" borderId="0" xfId="0" applyFont="1" applyProtection="1"/>
    <xf numFmtId="0" fontId="0" fillId="0" borderId="0" xfId="0" applyFill="1" applyAlignment="1" applyProtection="1">
      <alignment horizontal="center"/>
    </xf>
    <xf numFmtId="0" fontId="6" fillId="0" borderId="0" xfId="0" applyFont="1" applyAlignment="1" applyProtection="1"/>
    <xf numFmtId="0" fontId="1" fillId="2" borderId="1" xfId="0" applyFont="1" applyFill="1" applyBorder="1" applyAlignment="1" applyProtection="1">
      <alignment horizontal="center"/>
    </xf>
    <xf numFmtId="0" fontId="6" fillId="0" borderId="10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164" fontId="0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6" fontId="0" fillId="0" borderId="0" xfId="0" applyNumberFormat="1" applyFill="1" applyBorder="1" applyAlignment="1" applyProtection="1">
      <alignment horizontal="center"/>
    </xf>
    <xf numFmtId="166" fontId="7" fillId="0" borderId="0" xfId="0" applyNumberFormat="1" applyFont="1" applyFill="1" applyBorder="1" applyAlignment="1" applyProtection="1">
      <alignment horizontal="center"/>
    </xf>
    <xf numFmtId="166" fontId="6" fillId="0" borderId="0" xfId="0" applyNumberFormat="1" applyFont="1" applyFill="1" applyBorder="1" applyAlignment="1" applyProtection="1">
      <alignment horizontal="center"/>
    </xf>
    <xf numFmtId="166" fontId="2" fillId="0" borderId="0" xfId="0" applyNumberFormat="1" applyFont="1" applyFill="1" applyBorder="1" applyAlignment="1" applyProtection="1">
      <alignment horizontal="center"/>
    </xf>
    <xf numFmtId="166" fontId="6" fillId="0" borderId="0" xfId="0" applyNumberFormat="1" applyFont="1" applyAlignment="1" applyProtection="1">
      <alignment horizontal="center"/>
    </xf>
    <xf numFmtId="166" fontId="6" fillId="0" borderId="0" xfId="0" applyNumberFormat="1" applyFont="1" applyFill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166" fontId="0" fillId="3" borderId="1" xfId="0" applyNumberFormat="1" applyFill="1" applyBorder="1" applyAlignment="1" applyProtection="1">
      <alignment horizontal="center"/>
      <protection locked="0"/>
    </xf>
    <xf numFmtId="166" fontId="0" fillId="3" borderId="8" xfId="0" applyNumberFormat="1" applyFill="1" applyBorder="1" applyAlignment="1" applyProtection="1">
      <alignment horizontal="center"/>
      <protection locked="0"/>
    </xf>
    <xf numFmtId="166" fontId="0" fillId="3" borderId="6" xfId="0" applyNumberFormat="1" applyFill="1" applyBorder="1" applyAlignment="1" applyProtection="1">
      <alignment horizontal="center"/>
      <protection locked="0"/>
    </xf>
    <xf numFmtId="166" fontId="0" fillId="3" borderId="9" xfId="0" applyNumberFormat="1" applyFill="1" applyBorder="1" applyAlignment="1" applyProtection="1">
      <alignment horizontal="center"/>
      <protection locked="0"/>
    </xf>
    <xf numFmtId="9" fontId="6" fillId="3" borderId="6" xfId="0" applyNumberFormat="1" applyFont="1" applyFill="1" applyBorder="1" applyAlignment="1" applyProtection="1">
      <alignment horizontal="center"/>
      <protection locked="0"/>
    </xf>
    <xf numFmtId="9" fontId="6" fillId="3" borderId="6" xfId="0" applyNumberFormat="1" applyFont="1" applyFill="1" applyBorder="1" applyAlignment="1" applyProtection="1">
      <alignment horizontal="center" vertical="center"/>
      <protection locked="0"/>
    </xf>
    <xf numFmtId="9" fontId="6" fillId="3" borderId="9" xfId="0" applyNumberFormat="1" applyFont="1" applyFill="1" applyBorder="1" applyAlignment="1" applyProtection="1">
      <alignment horizontal="center" vertical="center"/>
      <protection locked="0"/>
    </xf>
    <xf numFmtId="165" fontId="6" fillId="3" borderId="1" xfId="0" applyNumberFormat="1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165" fontId="6" fillId="3" borderId="0" xfId="0" applyNumberFormat="1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6" fontId="0" fillId="3" borderId="0" xfId="0" applyNumberFormat="1" applyFill="1" applyBorder="1" applyAlignment="1" applyProtection="1">
      <alignment horizontal="center"/>
    </xf>
    <xf numFmtId="0" fontId="0" fillId="3" borderId="0" xfId="0" applyFill="1" applyBorder="1" applyProtection="1"/>
    <xf numFmtId="165" fontId="6" fillId="3" borderId="0" xfId="0" applyNumberFormat="1" applyFont="1" applyFill="1" applyBorder="1" applyAlignment="1" applyProtection="1">
      <alignment horizontal="center"/>
    </xf>
    <xf numFmtId="2" fontId="6" fillId="3" borderId="0" xfId="0" applyNumberFormat="1" applyFont="1" applyFill="1" applyBorder="1" applyAlignment="1" applyProtection="1">
      <alignment horizontal="center"/>
    </xf>
    <xf numFmtId="0" fontId="0" fillId="3" borderId="0" xfId="0" applyFill="1" applyBorder="1" applyAlignment="1" applyProtection="1"/>
    <xf numFmtId="0" fontId="0" fillId="3" borderId="0" xfId="0" applyFill="1" applyProtection="1"/>
    <xf numFmtId="0" fontId="8" fillId="3" borderId="0" xfId="0" applyFont="1" applyFill="1" applyBorder="1" applyAlignment="1" applyProtection="1">
      <alignment horizontal="right"/>
    </xf>
    <xf numFmtId="166" fontId="6" fillId="3" borderId="0" xfId="0" applyNumberFormat="1" applyFont="1" applyFill="1" applyBorder="1" applyAlignment="1" applyProtection="1">
      <alignment horizontal="center"/>
    </xf>
    <xf numFmtId="0" fontId="13" fillId="3" borderId="0" xfId="0" applyFont="1" applyFill="1" applyBorder="1" applyAlignment="1">
      <alignment vertic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Fill="1" applyProtection="1"/>
    <xf numFmtId="0" fontId="0" fillId="0" borderId="0" xfId="0" applyFill="1" applyBorder="1"/>
    <xf numFmtId="0" fontId="0" fillId="0" borderId="0" xfId="0" applyFill="1" applyBorder="1" applyProtection="1"/>
    <xf numFmtId="166" fontId="6" fillId="3" borderId="1" xfId="0" applyNumberFormat="1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 vertical="center"/>
    </xf>
    <xf numFmtId="0" fontId="1" fillId="2" borderId="5" xfId="0" applyFont="1" applyFill="1" applyBorder="1" applyAlignment="1" applyProtection="1">
      <alignment horizontal="right"/>
    </xf>
    <xf numFmtId="0" fontId="1" fillId="2" borderId="7" xfId="0" applyFont="1" applyFill="1" applyBorder="1" applyAlignment="1" applyProtection="1">
      <alignment horizontal="right"/>
    </xf>
    <xf numFmtId="2" fontId="6" fillId="0" borderId="0" xfId="0" applyNumberFormat="1" applyFont="1" applyProtection="1"/>
    <xf numFmtId="0" fontId="0" fillId="0" borderId="0" xfId="0" applyFont="1" applyFill="1" applyProtection="1"/>
    <xf numFmtId="14" fontId="14" fillId="2" borderId="1" xfId="0" applyNumberFormat="1" applyFont="1" applyFill="1" applyBorder="1" applyAlignment="1" applyProtection="1">
      <alignment horizontal="center"/>
    </xf>
    <xf numFmtId="0" fontId="14" fillId="2" borderId="1" xfId="0" applyFont="1" applyFill="1" applyBorder="1" applyAlignment="1" applyProtection="1">
      <alignment horizontal="center"/>
    </xf>
    <xf numFmtId="0" fontId="1" fillId="2" borderId="5" xfId="0" applyFont="1" applyFill="1" applyBorder="1" applyAlignment="1" applyProtection="1">
      <alignment horizontal="right"/>
    </xf>
    <xf numFmtId="0" fontId="1" fillId="2" borderId="7" xfId="0" applyFont="1" applyFill="1" applyBorder="1" applyAlignment="1" applyProtection="1">
      <alignment horizontal="right"/>
    </xf>
    <xf numFmtId="166" fontId="0" fillId="0" borderId="0" xfId="0" applyNumberFormat="1" applyProtection="1"/>
    <xf numFmtId="166" fontId="0" fillId="0" borderId="0" xfId="0" applyNumberFormat="1" applyAlignment="1" applyProtection="1">
      <alignment horizontal="center"/>
    </xf>
    <xf numFmtId="0" fontId="1" fillId="2" borderId="5" xfId="0" applyFont="1" applyFill="1" applyBorder="1" applyAlignment="1" applyProtection="1">
      <alignment horizontal="right"/>
    </xf>
    <xf numFmtId="0" fontId="1" fillId="2" borderId="7" xfId="0" applyFont="1" applyFill="1" applyBorder="1" applyAlignment="1" applyProtection="1">
      <alignment horizontal="right"/>
    </xf>
    <xf numFmtId="0" fontId="0" fillId="3" borderId="0" xfId="0" applyFill="1" applyBorder="1" applyAlignment="1" applyProtection="1">
      <alignment horizontal="center"/>
    </xf>
    <xf numFmtId="166" fontId="6" fillId="0" borderId="6" xfId="0" applyNumberFormat="1" applyFont="1" applyFill="1" applyBorder="1" applyAlignment="1" applyProtection="1"/>
    <xf numFmtId="0" fontId="12" fillId="0" borderId="0" xfId="0" applyFont="1" applyProtection="1"/>
    <xf numFmtId="0" fontId="14" fillId="2" borderId="1" xfId="0" applyFont="1" applyFill="1" applyBorder="1" applyAlignment="1">
      <alignment horizontal="right"/>
    </xf>
    <xf numFmtId="0" fontId="15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165" fontId="0" fillId="3" borderId="1" xfId="0" applyNumberFormat="1" applyFill="1" applyBorder="1" applyAlignment="1">
      <alignment horizontal="center"/>
    </xf>
    <xf numFmtId="0" fontId="17" fillId="0" borderId="0" xfId="0" applyFont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/>
    </xf>
    <xf numFmtId="0" fontId="3" fillId="0" borderId="4" xfId="0" applyFont="1" applyBorder="1" applyAlignment="1" applyProtection="1">
      <alignment horizontal="center"/>
    </xf>
    <xf numFmtId="0" fontId="3" fillId="3" borderId="11" xfId="0" applyFont="1" applyFill="1" applyBorder="1" applyAlignment="1" applyProtection="1">
      <alignment horizontal="center"/>
    </xf>
    <xf numFmtId="0" fontId="3" fillId="3" borderId="12" xfId="0" applyFont="1" applyFill="1" applyBorder="1" applyAlignment="1" applyProtection="1">
      <alignment horizontal="center"/>
    </xf>
    <xf numFmtId="0" fontId="3" fillId="3" borderId="13" xfId="0" applyFont="1" applyFill="1" applyBorder="1" applyAlignment="1" applyProtection="1">
      <alignment horizontal="center"/>
    </xf>
    <xf numFmtId="0" fontId="1" fillId="2" borderId="5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1" fillId="2" borderId="16" xfId="0" applyFont="1" applyFill="1" applyBorder="1" applyAlignment="1" applyProtection="1">
      <alignment horizontal="right"/>
    </xf>
    <xf numFmtId="0" fontId="1" fillId="2" borderId="17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 vertical="center"/>
    </xf>
    <xf numFmtId="0" fontId="1" fillId="2" borderId="1" xfId="0" applyFont="1" applyFill="1" applyBorder="1" applyAlignment="1" applyProtection="1">
      <alignment horizontal="right" vertical="center"/>
    </xf>
    <xf numFmtId="0" fontId="4" fillId="2" borderId="0" xfId="0" applyFont="1" applyFill="1" applyAlignment="1" applyProtection="1">
      <alignment horizontal="center" vertical="center" textRotation="90"/>
    </xf>
    <xf numFmtId="0" fontId="1" fillId="2" borderId="14" xfId="0" applyFont="1" applyFill="1" applyBorder="1" applyAlignment="1" applyProtection="1">
      <alignment horizontal="center"/>
    </xf>
    <xf numFmtId="0" fontId="1" fillId="2" borderId="15" xfId="0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49" fontId="11" fillId="0" borderId="0" xfId="0" applyNumberFormat="1" applyFont="1" applyAlignment="1" applyProtection="1">
      <alignment horizontal="center" vertical="top"/>
    </xf>
    <xf numFmtId="0" fontId="8" fillId="3" borderId="2" xfId="0" applyFont="1" applyFill="1" applyBorder="1" applyAlignment="1" applyProtection="1">
      <alignment horizontal="center"/>
    </xf>
    <xf numFmtId="0" fontId="8" fillId="3" borderId="3" xfId="0" applyFont="1" applyFill="1" applyBorder="1" applyAlignment="1" applyProtection="1">
      <alignment horizontal="center"/>
    </xf>
    <xf numFmtId="0" fontId="8" fillId="3" borderId="4" xfId="0" applyFont="1" applyFill="1" applyBorder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0" fontId="8" fillId="3" borderId="13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/>
    </xf>
    <xf numFmtId="0" fontId="1" fillId="2" borderId="4" xfId="0" applyFont="1" applyFill="1" applyBorder="1" applyAlignment="1" applyProtection="1">
      <alignment horizontal="center"/>
    </xf>
    <xf numFmtId="0" fontId="1" fillId="2" borderId="7" xfId="0" applyFont="1" applyFill="1" applyBorder="1" applyAlignment="1" applyProtection="1">
      <alignment horizontal="right"/>
    </xf>
    <xf numFmtId="0" fontId="1" fillId="2" borderId="8" xfId="0" applyFont="1" applyFill="1" applyBorder="1" applyAlignment="1" applyProtection="1">
      <alignment horizontal="right"/>
    </xf>
    <xf numFmtId="165" fontId="6" fillId="0" borderId="16" xfId="0" applyNumberFormat="1" applyFont="1" applyFill="1" applyBorder="1" applyAlignment="1" applyProtection="1">
      <alignment horizontal="center"/>
    </xf>
    <xf numFmtId="165" fontId="6" fillId="0" borderId="18" xfId="0" applyNumberFormat="1" applyFont="1" applyFill="1" applyBorder="1" applyAlignment="1" applyProtection="1">
      <alignment horizontal="center"/>
    </xf>
    <xf numFmtId="49" fontId="0" fillId="3" borderId="1" xfId="0" applyNumberForma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>
      <alignment horizontal="right"/>
    </xf>
    <xf numFmtId="0" fontId="1" fillId="2" borderId="5" xfId="0" applyNumberFormat="1" applyFont="1" applyFill="1" applyBorder="1" applyAlignment="1">
      <alignment horizontal="right"/>
    </xf>
    <xf numFmtId="0" fontId="1" fillId="2" borderId="1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right"/>
    </xf>
    <xf numFmtId="0" fontId="9" fillId="2" borderId="0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1" fillId="2" borderId="7" xfId="0" applyFont="1" applyFill="1" applyBorder="1" applyAlignment="1">
      <alignment horizontal="right" vertical="center"/>
    </xf>
    <xf numFmtId="0" fontId="1" fillId="2" borderId="8" xfId="0" applyFont="1" applyFill="1" applyBorder="1" applyAlignment="1">
      <alignment horizontal="right" vertical="center"/>
    </xf>
    <xf numFmtId="0" fontId="1" fillId="2" borderId="5" xfId="0" applyFont="1" applyFill="1" applyBorder="1" applyAlignment="1">
      <alignment horizontal="right"/>
    </xf>
    <xf numFmtId="0" fontId="9" fillId="3" borderId="0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0" borderId="0" xfId="0" applyNumberFormat="1" applyFont="1" applyAlignment="1" applyProtection="1">
      <alignment horizontal="center"/>
    </xf>
    <xf numFmtId="170" fontId="19" fillId="0" borderId="15" xfId="0" applyNumberFormat="1" applyFont="1" applyBorder="1" applyAlignment="1">
      <alignment horizontal="center" vertical="center"/>
    </xf>
    <xf numFmtId="49" fontId="18" fillId="2" borderId="19" xfId="0" applyNumberFormat="1" applyFont="1" applyFill="1" applyBorder="1" applyAlignment="1">
      <alignment horizontal="center" vertical="center"/>
    </xf>
    <xf numFmtId="49" fontId="18" fillId="2" borderId="20" xfId="0" applyNumberFormat="1" applyFont="1" applyFill="1" applyBorder="1" applyAlignment="1">
      <alignment horizontal="center" vertical="center"/>
    </xf>
    <xf numFmtId="49" fontId="18" fillId="2" borderId="21" xfId="0" applyNumberFormat="1" applyFont="1" applyFill="1" applyBorder="1" applyAlignment="1">
      <alignment horizontal="center" vertical="center"/>
    </xf>
    <xf numFmtId="49" fontId="18" fillId="2" borderId="22" xfId="0" applyNumberFormat="1" applyFont="1" applyFill="1" applyBorder="1" applyAlignment="1">
      <alignment horizontal="center" vertical="center"/>
    </xf>
    <xf numFmtId="49" fontId="12" fillId="2" borderId="0" xfId="0" applyNumberFormat="1" applyFont="1" applyFill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</cellXfs>
  <cellStyles count="1">
    <cellStyle name="Normal" xfId="0" builtinId="0"/>
  </cellStyles>
  <dxfs count="390"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auto="1"/>
      </font>
    </dxf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00B050"/>
      </font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auto="1"/>
      </font>
    </dxf>
  </dxfs>
  <tableStyles count="0" defaultTableStyle="TableStyleMedium2" defaultPivotStyle="PivotStyleLight16"/>
  <colors>
    <mruColors>
      <color rgb="FFFF3140"/>
      <color rgb="FFF9073B"/>
      <color rgb="FFAA00AA"/>
      <color rgb="FF87A6C3"/>
      <color rgb="FFFBFB29"/>
      <color rgb="FFD1CC00"/>
      <color rgb="FFE5E9EF"/>
      <color rgb="FF2B86D9"/>
      <color rgb="FF0256F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Jan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18</xdr:col>
      <xdr:colOff>0</xdr:colOff>
      <xdr:row>0</xdr:row>
      <xdr:rowOff>485775</xdr:rowOff>
    </xdr:to>
    <xdr:grpSp>
      <xdr:nvGrpSpPr>
        <xdr:cNvPr id="2" name="Agrupar 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3188494" y="66675"/>
          <a:ext cx="12063412" cy="419100"/>
          <a:chOff x="3190875" y="66675"/>
          <a:chExt cx="10734675" cy="419100"/>
        </a:xfrm>
      </xdr:grpSpPr>
      <xdr:sp macro="" textlink="">
        <xdr:nvSpPr>
          <xdr:cNvPr id="3" name="jan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" textlink="">
        <xdr:nvSpPr>
          <xdr:cNvPr id="4" name="fev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" textlink="">
        <xdr:nvSpPr>
          <xdr:cNvPr id="5" name="mar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" textlink="">
        <xdr:nvSpPr>
          <xdr:cNvPr id="6" name="abr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" textlink="">
        <xdr:nvSpPr>
          <xdr:cNvPr id="7" name="ma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" textlink="">
        <xdr:nvSpPr>
          <xdr:cNvPr id="8" name="jun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" textlink="">
        <xdr:nvSpPr>
          <xdr:cNvPr id="9" name="jul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" textlink="">
        <xdr:nvSpPr>
          <xdr:cNvPr id="10" name="ago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" textlink="">
        <xdr:nvSpPr>
          <xdr:cNvPr id="11" name="set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" textlink="">
        <xdr:nvSpPr>
          <xdr:cNvPr id="12" name="out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" textlink="">
        <xdr:nvSpPr>
          <xdr:cNvPr id="13" name="nov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" textlink="">
        <xdr:nvSpPr>
          <xdr:cNvPr id="14" name="dez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5" name="Retângulo Arredondado 18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883569" y="1654969"/>
          <a:ext cx="1142999" cy="466726"/>
          <a:chOff x="1238250" y="1247775"/>
          <a:chExt cx="1142999" cy="466726"/>
        </a:xfrm>
      </xdr:grpSpPr>
      <xdr:sp macro="" textlink="">
        <xdr:nvSpPr>
          <xdr:cNvPr id="17" name="Retângulo Arredondado 1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683419" y="1664494"/>
          <a:ext cx="1109906" cy="466725"/>
          <a:chOff x="38100" y="1257300"/>
          <a:chExt cx="1109906" cy="466725"/>
        </a:xfrm>
      </xdr:grpSpPr>
      <xdr:sp macro="" textlink="">
        <xdr:nvSpPr>
          <xdr:cNvPr id="21" name="Retângulo Arredondado 1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133350" y="1693069"/>
          <a:ext cx="432155" cy="432094"/>
          <a:chOff x="276225" y="666750"/>
          <a:chExt cx="409575" cy="409575"/>
        </a:xfrm>
      </xdr:grpSpPr>
      <xdr:sp macro="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107157</xdr:colOff>
      <xdr:row>0</xdr:row>
      <xdr:rowOff>66674</xdr:rowOff>
    </xdr:from>
    <xdr:to>
      <xdr:col>3</xdr:col>
      <xdr:colOff>595312</xdr:colOff>
      <xdr:row>0</xdr:row>
      <xdr:rowOff>552449</xdr:rowOff>
    </xdr:to>
    <xdr:sp macro="[0]!Fecha_Tutorial" textlink="">
      <xdr:nvSpPr>
        <xdr:cNvPr id="27" name="Retângulo de cantos arredondado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07157" y="66674"/>
          <a:ext cx="2905124" cy="485775"/>
        </a:xfrm>
        <a:prstGeom prst="roundRect">
          <a:avLst/>
        </a:prstGeom>
        <a:solidFill>
          <a:srgbClr val="FF31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Fechar</a:t>
          </a:r>
          <a:r>
            <a:rPr lang="pt-BR" sz="2400" b="1" baseline="0">
              <a:solidFill>
                <a:schemeClr val="bg1"/>
              </a:solidFill>
            </a:rPr>
            <a:t> </a:t>
          </a:r>
          <a:r>
            <a:rPr lang="pt-BR" sz="2400" b="1">
              <a:solidFill>
                <a:schemeClr val="bg1"/>
              </a:solidFill>
            </a:rPr>
            <a:t>Tutorial</a:t>
          </a:r>
        </a:p>
      </xdr:txBody>
    </xdr:sp>
    <xdr:clientData/>
  </xdr:twoCellAnchor>
  <xdr:twoCellAnchor editAs="oneCell">
    <xdr:from>
      <xdr:col>39</xdr:col>
      <xdr:colOff>583407</xdr:colOff>
      <xdr:row>1</xdr:row>
      <xdr:rowOff>71437</xdr:rowOff>
    </xdr:from>
    <xdr:to>
      <xdr:col>50</xdr:col>
      <xdr:colOff>534326</xdr:colOff>
      <xdr:row>18</xdr:row>
      <xdr:rowOff>79036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49751" y="666750"/>
          <a:ext cx="6630325" cy="3258005"/>
        </a:xfrm>
        <a:prstGeom prst="rect">
          <a:avLst/>
        </a:prstGeom>
      </xdr:spPr>
    </xdr:pic>
    <xdr:clientData/>
  </xdr:twoCellAnchor>
  <xdr:twoCellAnchor>
    <xdr:from>
      <xdr:col>0</xdr:col>
      <xdr:colOff>178592</xdr:colOff>
      <xdr:row>14</xdr:row>
      <xdr:rowOff>107156</xdr:rowOff>
    </xdr:from>
    <xdr:to>
      <xdr:col>2</xdr:col>
      <xdr:colOff>309561</xdr:colOff>
      <xdr:row>17</xdr:row>
      <xdr:rowOff>130969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78592" y="3190875"/>
          <a:ext cx="1452563" cy="595313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Abre as configurações da planilha</a:t>
          </a:r>
        </a:p>
      </xdr:txBody>
    </xdr:sp>
    <xdr:clientData/>
  </xdr:twoCellAnchor>
  <xdr:twoCellAnchor>
    <xdr:from>
      <xdr:col>0</xdr:col>
      <xdr:colOff>349428</xdr:colOff>
      <xdr:row>8</xdr:row>
      <xdr:rowOff>184444</xdr:rowOff>
    </xdr:from>
    <xdr:to>
      <xdr:col>1</xdr:col>
      <xdr:colOff>297655</xdr:colOff>
      <xdr:row>14</xdr:row>
      <xdr:rowOff>107156</xdr:rowOff>
    </xdr:to>
    <xdr:cxnSp macro="">
      <xdr:nvCxnSpPr>
        <xdr:cNvPr id="31" name="Conector angulad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>
          <a:stCxn id="25" idx="4"/>
          <a:endCxn id="29" idx="0"/>
        </xdr:cNvCxnSpPr>
      </xdr:nvCxnSpPr>
      <xdr:spPr>
        <a:xfrm rot="16200000" flipH="1">
          <a:off x="94295" y="2380296"/>
          <a:ext cx="1065712" cy="555446"/>
        </a:xfrm>
        <a:prstGeom prst="bentConnector3">
          <a:avLst/>
        </a:prstGeom>
        <a:ln>
          <a:solidFill>
            <a:srgbClr val="FF3140"/>
          </a:solidFill>
          <a:tailEnd type="triangle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307182</xdr:colOff>
      <xdr:row>2</xdr:row>
      <xdr:rowOff>21432</xdr:rowOff>
    </xdr:from>
    <xdr:to>
      <xdr:col>1</xdr:col>
      <xdr:colOff>607219</xdr:colOff>
      <xdr:row>3</xdr:row>
      <xdr:rowOff>83344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07182" y="807245"/>
          <a:ext cx="907256" cy="264318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Altera o ano</a:t>
          </a:r>
        </a:p>
      </xdr:txBody>
    </xdr:sp>
    <xdr:clientData/>
  </xdr:twoCellAnchor>
  <xdr:twoCellAnchor>
    <xdr:from>
      <xdr:col>1</xdr:col>
      <xdr:colOff>153591</xdr:colOff>
      <xdr:row>3</xdr:row>
      <xdr:rowOff>83344</xdr:rowOff>
    </xdr:from>
    <xdr:to>
      <xdr:col>1</xdr:col>
      <xdr:colOff>631153</xdr:colOff>
      <xdr:row>6</xdr:row>
      <xdr:rowOff>123826</xdr:rowOff>
    </xdr:to>
    <xdr:cxnSp macro="">
      <xdr:nvCxnSpPr>
        <xdr:cNvPr id="34" name="Conector angulad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>
          <a:stCxn id="21" idx="0"/>
          <a:endCxn id="32" idx="2"/>
        </xdr:cNvCxnSpPr>
      </xdr:nvCxnSpPr>
      <xdr:spPr>
        <a:xfrm rot="16200000" flipV="1">
          <a:off x="693600" y="1138773"/>
          <a:ext cx="611982" cy="477562"/>
        </a:xfrm>
        <a:prstGeom prst="bentConnector3">
          <a:avLst>
            <a:gd name="adj1" fmla="val 50000"/>
          </a:avLst>
        </a:prstGeom>
        <a:ln>
          <a:solidFill>
            <a:srgbClr val="FF314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912018</xdr:colOff>
      <xdr:row>0</xdr:row>
      <xdr:rowOff>578644</xdr:rowOff>
    </xdr:from>
    <xdr:to>
      <xdr:col>4</xdr:col>
      <xdr:colOff>678656</xdr:colOff>
      <xdr:row>2</xdr:row>
      <xdr:rowOff>47624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233612" y="578644"/>
          <a:ext cx="1647825" cy="254793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Adiciona um feriado local</a:t>
          </a:r>
        </a:p>
      </xdr:txBody>
    </xdr:sp>
    <xdr:clientData/>
  </xdr:twoCellAnchor>
  <xdr:twoCellAnchor>
    <xdr:from>
      <xdr:col>3</xdr:col>
      <xdr:colOff>21552</xdr:colOff>
      <xdr:row>2</xdr:row>
      <xdr:rowOff>47625</xdr:rowOff>
    </xdr:from>
    <xdr:to>
      <xdr:col>3</xdr:col>
      <xdr:colOff>640555</xdr:colOff>
      <xdr:row>6</xdr:row>
      <xdr:rowOff>123827</xdr:rowOff>
    </xdr:to>
    <xdr:cxnSp macro="">
      <xdr:nvCxnSpPr>
        <xdr:cNvPr id="42" name="Conector angulado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>
          <a:stCxn id="17" idx="0"/>
          <a:endCxn id="38" idx="2"/>
        </xdr:cNvCxnSpPr>
      </xdr:nvCxnSpPr>
      <xdr:spPr>
        <a:xfrm rot="5400000" flipH="1" flipV="1">
          <a:off x="2322969" y="948990"/>
          <a:ext cx="850108" cy="619003"/>
        </a:xfrm>
        <a:prstGeom prst="bentConnector3">
          <a:avLst/>
        </a:prstGeom>
        <a:ln>
          <a:solidFill>
            <a:srgbClr val="FF314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492920</xdr:colOff>
      <xdr:row>0</xdr:row>
      <xdr:rowOff>207169</xdr:rowOff>
    </xdr:from>
    <xdr:to>
      <xdr:col>38</xdr:col>
      <xdr:colOff>273843</xdr:colOff>
      <xdr:row>0</xdr:row>
      <xdr:rowOff>428625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15744826" y="207169"/>
          <a:ext cx="995361" cy="221456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Altera</a:t>
          </a:r>
          <a:r>
            <a:rPr lang="pt-BR" sz="1100" baseline="0">
              <a:solidFill>
                <a:schemeClr val="tx1"/>
              </a:solidFill>
            </a:rPr>
            <a:t> o mês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0</xdr:row>
      <xdr:rowOff>233363</xdr:rowOff>
    </xdr:from>
    <xdr:to>
      <xdr:col>36</xdr:col>
      <xdr:colOff>492920</xdr:colOff>
      <xdr:row>0</xdr:row>
      <xdr:rowOff>317897</xdr:rowOff>
    </xdr:to>
    <xdr:cxnSp macro="">
      <xdr:nvCxnSpPr>
        <xdr:cNvPr id="49" name="Conector angulado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>
          <a:stCxn id="14" idx="3"/>
          <a:endCxn id="47" idx="1"/>
        </xdr:cNvCxnSpPr>
      </xdr:nvCxnSpPr>
      <xdr:spPr>
        <a:xfrm>
          <a:off x="15251906" y="233363"/>
          <a:ext cx="492920" cy="84534"/>
        </a:xfrm>
        <a:prstGeom prst="bentConnector3">
          <a:avLst/>
        </a:prstGeom>
        <a:ln>
          <a:solidFill>
            <a:srgbClr val="FF314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204788</xdr:colOff>
      <xdr:row>12</xdr:row>
      <xdr:rowOff>26193</xdr:rowOff>
    </xdr:from>
    <xdr:to>
      <xdr:col>38</xdr:col>
      <xdr:colOff>309562</xdr:colOff>
      <xdr:row>15</xdr:row>
      <xdr:rowOff>119062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5456694" y="2728912"/>
          <a:ext cx="1319212" cy="664369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chemeClr val="tx1"/>
              </a:solidFill>
            </a:rPr>
            <a:t>Títulos</a:t>
          </a:r>
          <a:r>
            <a:rPr lang="pt-BR" sz="1100" baseline="0">
              <a:solidFill>
                <a:schemeClr val="tx1"/>
              </a:solidFill>
            </a:rPr>
            <a:t> em amarelo são preenchidos automaticamente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11906</xdr:colOff>
      <xdr:row>10</xdr:row>
      <xdr:rowOff>107157</xdr:rowOff>
    </xdr:from>
    <xdr:to>
      <xdr:col>37</xdr:col>
      <xdr:colOff>257175</xdr:colOff>
      <xdr:row>12</xdr:row>
      <xdr:rowOff>26193</xdr:rowOff>
    </xdr:to>
    <xdr:cxnSp macro="">
      <xdr:nvCxnSpPr>
        <xdr:cNvPr id="54" name="Conector angulado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>
          <a:endCxn id="52" idx="0"/>
        </xdr:cNvCxnSpPr>
      </xdr:nvCxnSpPr>
      <xdr:spPr>
        <a:xfrm>
          <a:off x="15263812" y="2428876"/>
          <a:ext cx="852488" cy="300036"/>
        </a:xfrm>
        <a:prstGeom prst="bentConnector2">
          <a:avLst/>
        </a:prstGeom>
        <a:ln>
          <a:solidFill>
            <a:srgbClr val="FF314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9523</xdr:colOff>
      <xdr:row>13</xdr:row>
      <xdr:rowOff>69057</xdr:rowOff>
    </xdr:from>
    <xdr:to>
      <xdr:col>7</xdr:col>
      <xdr:colOff>428625</xdr:colOff>
      <xdr:row>18</xdr:row>
      <xdr:rowOff>95251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3212304" y="2962276"/>
          <a:ext cx="2955134" cy="978694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chemeClr val="tx1"/>
              </a:solidFill>
            </a:rPr>
            <a:t>Verifica</a:t>
          </a:r>
          <a:r>
            <a:rPr lang="pt-BR" sz="1100" baseline="0">
              <a:solidFill>
                <a:schemeClr val="tx1"/>
              </a:solidFill>
            </a:rPr>
            <a:t> automaticamente os feriados nacionais. Os feriados locais devem ser adicionados clicando no botão "Adicionar Feriado Local"</a:t>
          </a:r>
        </a:p>
        <a:p>
          <a:pPr algn="l"/>
          <a:endParaRPr lang="pt-BR" sz="1100" baseline="0">
            <a:solidFill>
              <a:schemeClr val="tx1"/>
            </a:solidFill>
          </a:endParaRPr>
        </a:p>
        <a:p>
          <a:pPr algn="l"/>
          <a:r>
            <a:rPr lang="pt-BR" sz="1100" baseline="0">
              <a:solidFill>
                <a:schemeClr val="tx1"/>
              </a:solidFill>
            </a:rPr>
            <a:t>Feriados Locais aparecem na cor roxa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595311</xdr:colOff>
      <xdr:row>10</xdr:row>
      <xdr:rowOff>178592</xdr:rowOff>
    </xdr:from>
    <xdr:to>
      <xdr:col>4</xdr:col>
      <xdr:colOff>9523</xdr:colOff>
      <xdr:row>15</xdr:row>
      <xdr:rowOff>177404</xdr:rowOff>
    </xdr:to>
    <xdr:cxnSp macro="">
      <xdr:nvCxnSpPr>
        <xdr:cNvPr id="60" name="Conector angulad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endCxn id="56" idx="1"/>
        </xdr:cNvCxnSpPr>
      </xdr:nvCxnSpPr>
      <xdr:spPr>
        <a:xfrm rot="16200000" flipH="1">
          <a:off x="2636636" y="2875955"/>
          <a:ext cx="951312" cy="200024"/>
        </a:xfrm>
        <a:prstGeom prst="bentConnector2">
          <a:avLst/>
        </a:prstGeom>
        <a:ln>
          <a:solidFill>
            <a:srgbClr val="FF314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130969</xdr:colOff>
      <xdr:row>21</xdr:row>
      <xdr:rowOff>119064</xdr:rowOff>
    </xdr:from>
    <xdr:to>
      <xdr:col>40</xdr:col>
      <xdr:colOff>35719</xdr:colOff>
      <xdr:row>25</xdr:row>
      <xdr:rowOff>47625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15990094" y="4536283"/>
          <a:ext cx="1726406" cy="690561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chemeClr val="tx1"/>
              </a:solidFill>
            </a:rPr>
            <a:t>Linhas azuis são dias úteis. Linhas cinzas são dias que o funcionário não trabalha </a:t>
          </a:r>
        </a:p>
      </xdr:txBody>
    </xdr:sp>
    <xdr:clientData/>
  </xdr:twoCellAnchor>
  <xdr:twoCellAnchor>
    <xdr:from>
      <xdr:col>36</xdr:col>
      <xdr:colOff>11906</xdr:colOff>
      <xdr:row>20</xdr:row>
      <xdr:rowOff>11907</xdr:rowOff>
    </xdr:from>
    <xdr:to>
      <xdr:col>36</xdr:col>
      <xdr:colOff>190500</xdr:colOff>
      <xdr:row>23</xdr:row>
      <xdr:rowOff>23813</xdr:rowOff>
    </xdr:to>
    <xdr:sp macro="" textlink="">
      <xdr:nvSpPr>
        <xdr:cNvPr id="64" name="Chave direita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15263812" y="4238626"/>
          <a:ext cx="178594" cy="583406"/>
        </a:xfrm>
        <a:prstGeom prst="rightBrace">
          <a:avLst/>
        </a:prstGeom>
        <a:ln>
          <a:solidFill>
            <a:srgbClr val="FF314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130970</xdr:colOff>
      <xdr:row>21</xdr:row>
      <xdr:rowOff>119063</xdr:rowOff>
    </xdr:from>
    <xdr:to>
      <xdr:col>37</xdr:col>
      <xdr:colOff>130969</xdr:colOff>
      <xdr:row>23</xdr:row>
      <xdr:rowOff>83345</xdr:rowOff>
    </xdr:to>
    <xdr:cxnSp macro="">
      <xdr:nvCxnSpPr>
        <xdr:cNvPr id="73" name="Conector angulado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>
          <a:endCxn id="61" idx="1"/>
        </xdr:cNvCxnSpPr>
      </xdr:nvCxnSpPr>
      <xdr:spPr>
        <a:xfrm>
          <a:off x="15382876" y="4536282"/>
          <a:ext cx="607218" cy="345282"/>
        </a:xfrm>
        <a:prstGeom prst="bentConnector3">
          <a:avLst/>
        </a:prstGeom>
        <a:ln>
          <a:solidFill>
            <a:srgbClr val="FF314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119063</xdr:colOff>
      <xdr:row>13</xdr:row>
      <xdr:rowOff>154781</xdr:rowOff>
    </xdr:from>
    <xdr:to>
      <xdr:col>16</xdr:col>
      <xdr:colOff>95250</xdr:colOff>
      <xdr:row>19</xdr:row>
      <xdr:rowOff>83344</xdr:rowOff>
    </xdr:to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>
          <a:off x="11775282" y="3048000"/>
          <a:ext cx="1666874" cy="1071563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chemeClr val="tx1"/>
              </a:solidFill>
            </a:rPr>
            <a:t>Células com essa marca</a:t>
          </a:r>
          <a:r>
            <a:rPr lang="pt-BR" sz="1100" baseline="0">
              <a:solidFill>
                <a:schemeClr val="tx1"/>
              </a:solidFill>
            </a:rPr>
            <a:t> vermelha possuem um comentário. basta colocar a seta em cima da célula para ver o comentário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702469</xdr:colOff>
      <xdr:row>9</xdr:row>
      <xdr:rowOff>83343</xdr:rowOff>
    </xdr:from>
    <xdr:to>
      <xdr:col>14</xdr:col>
      <xdr:colOff>119062</xdr:colOff>
      <xdr:row>10</xdr:row>
      <xdr:rowOff>166687</xdr:rowOff>
    </xdr:to>
    <xdr:sp macro="" textlink="">
      <xdr:nvSpPr>
        <xdr:cNvPr id="90" name="Elips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11513344" y="2214562"/>
          <a:ext cx="261937" cy="273844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80702</xdr:colOff>
      <xdr:row>10</xdr:row>
      <xdr:rowOff>126583</xdr:rowOff>
    </xdr:from>
    <xdr:to>
      <xdr:col>15</xdr:col>
      <xdr:colOff>107156</xdr:colOff>
      <xdr:row>13</xdr:row>
      <xdr:rowOff>154781</xdr:rowOff>
    </xdr:to>
    <xdr:cxnSp macro="">
      <xdr:nvCxnSpPr>
        <xdr:cNvPr id="92" name="Conector de seta reta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>
          <a:stCxn id="90" idx="5"/>
          <a:endCxn id="76" idx="0"/>
        </xdr:cNvCxnSpPr>
      </xdr:nvCxnSpPr>
      <xdr:spPr>
        <a:xfrm>
          <a:off x="11736921" y="2448302"/>
          <a:ext cx="871798" cy="59969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438151</xdr:colOff>
      <xdr:row>4</xdr:row>
      <xdr:rowOff>57150</xdr:rowOff>
    </xdr:from>
    <xdr:to>
      <xdr:col>37</xdr:col>
      <xdr:colOff>297656</xdr:colOff>
      <xdr:row>8</xdr:row>
      <xdr:rowOff>130969</xdr:rowOff>
    </xdr:to>
    <xdr:sp macro="" textlink="">
      <xdr:nvSpPr>
        <xdr:cNvPr id="93" name="Retângulo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>
          <a:off x="14630401" y="1235869"/>
          <a:ext cx="1526380" cy="835819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chemeClr val="tx1"/>
              </a:solidFill>
            </a:rPr>
            <a:t>Este saldo é opcional.</a:t>
          </a:r>
          <a:r>
            <a:rPr lang="pt-BR" sz="1100" baseline="0">
              <a:solidFill>
                <a:schemeClr val="tx1"/>
              </a:solidFill>
            </a:rPr>
            <a:t> Deve ser digitado pelo usuário e refere-se ao saldo do mês anterior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94060</xdr:rowOff>
    </xdr:from>
    <xdr:to>
      <xdr:col>17</xdr:col>
      <xdr:colOff>438151</xdr:colOff>
      <xdr:row>7</xdr:row>
      <xdr:rowOff>95250</xdr:rowOff>
    </xdr:to>
    <xdr:cxnSp macro="">
      <xdr:nvCxnSpPr>
        <xdr:cNvPr id="95" name="Conector angulado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CxnSpPr>
          <a:endCxn id="93" idx="1"/>
        </xdr:cNvCxnSpPr>
      </xdr:nvCxnSpPr>
      <xdr:spPr>
        <a:xfrm flipV="1">
          <a:off x="13346906" y="1653779"/>
          <a:ext cx="1283495" cy="191690"/>
        </a:xfrm>
        <a:prstGeom prst="bentConnector3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738187</xdr:colOff>
      <xdr:row>2</xdr:row>
      <xdr:rowOff>95249</xdr:rowOff>
    </xdr:from>
    <xdr:to>
      <xdr:col>10</xdr:col>
      <xdr:colOff>71437</xdr:colOff>
      <xdr:row>9</xdr:row>
      <xdr:rowOff>71437</xdr:rowOff>
    </xdr:to>
    <xdr:sp macro="" textlink="">
      <xdr:nvSpPr>
        <xdr:cNvPr id="97" name="Retângulo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6477000" y="881062"/>
          <a:ext cx="1869281" cy="1321594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152402</xdr:colOff>
      <xdr:row>12</xdr:row>
      <xdr:rowOff>45243</xdr:rowOff>
    </xdr:from>
    <xdr:to>
      <xdr:col>11</xdr:col>
      <xdr:colOff>797719</xdr:colOff>
      <xdr:row>15</xdr:row>
      <xdr:rowOff>95250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8427246" y="2747962"/>
          <a:ext cx="1490661" cy="621507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chemeClr val="tx1"/>
              </a:solidFill>
            </a:rPr>
            <a:t>Pagamentos baseados nos valores definidos nas</a:t>
          </a:r>
          <a:r>
            <a:rPr lang="pt-BR" sz="1100" baseline="0">
              <a:solidFill>
                <a:schemeClr val="tx1"/>
              </a:solidFill>
            </a:rPr>
            <a:t> configurações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154783</xdr:colOff>
      <xdr:row>9</xdr:row>
      <xdr:rowOff>83343</xdr:rowOff>
    </xdr:from>
    <xdr:to>
      <xdr:col>10</xdr:col>
      <xdr:colOff>152403</xdr:colOff>
      <xdr:row>13</xdr:row>
      <xdr:rowOff>165496</xdr:rowOff>
    </xdr:to>
    <xdr:cxnSp macro="">
      <xdr:nvCxnSpPr>
        <xdr:cNvPr id="100" name="Conector angulado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CxnSpPr>
          <a:endCxn id="98" idx="1"/>
        </xdr:cNvCxnSpPr>
      </xdr:nvCxnSpPr>
      <xdr:spPr>
        <a:xfrm rot="16200000" flipH="1">
          <a:off x="7583688" y="2215157"/>
          <a:ext cx="844153" cy="842964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95250</xdr:colOff>
      <xdr:row>19</xdr:row>
      <xdr:rowOff>59532</xdr:rowOff>
    </xdr:from>
    <xdr:to>
      <xdr:col>49</xdr:col>
      <xdr:colOff>571500</xdr:colOff>
      <xdr:row>21</xdr:row>
      <xdr:rowOff>23814</xdr:rowOff>
    </xdr:to>
    <xdr:sp macro="" textlink="">
      <xdr:nvSpPr>
        <xdr:cNvPr id="104" name="Retângulo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22633781" y="4095751"/>
          <a:ext cx="1083469" cy="345282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chemeClr val="tx1"/>
              </a:solidFill>
            </a:rPr>
            <a:t>Abre o Tutorial</a:t>
          </a:r>
        </a:p>
      </xdr:txBody>
    </xdr:sp>
    <xdr:clientData/>
  </xdr:twoCellAnchor>
  <xdr:twoCellAnchor>
    <xdr:from>
      <xdr:col>49</xdr:col>
      <xdr:colOff>29766</xdr:colOff>
      <xdr:row>16</xdr:row>
      <xdr:rowOff>130969</xdr:rowOff>
    </xdr:from>
    <xdr:to>
      <xdr:col>49</xdr:col>
      <xdr:colOff>130969</xdr:colOff>
      <xdr:row>19</xdr:row>
      <xdr:rowOff>59533</xdr:rowOff>
    </xdr:to>
    <xdr:cxnSp macro="">
      <xdr:nvCxnSpPr>
        <xdr:cNvPr id="106" name="Conector angulado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CxnSpPr>
          <a:endCxn id="104" idx="0"/>
        </xdr:cNvCxnSpPr>
      </xdr:nvCxnSpPr>
      <xdr:spPr>
        <a:xfrm rot="5400000">
          <a:off x="22976086" y="3795118"/>
          <a:ext cx="500064" cy="101203"/>
        </a:xfrm>
        <a:prstGeom prst="bentConnector3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547687</xdr:colOff>
      <xdr:row>13</xdr:row>
      <xdr:rowOff>142874</xdr:rowOff>
    </xdr:from>
    <xdr:to>
      <xdr:col>44</xdr:col>
      <xdr:colOff>142875</xdr:colOff>
      <xdr:row>14</xdr:row>
      <xdr:rowOff>166687</xdr:rowOff>
    </xdr:to>
    <xdr:sp macro="" textlink="">
      <xdr:nvSpPr>
        <xdr:cNvPr id="107" name="Elips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>
          <a:off x="20050125" y="3036093"/>
          <a:ext cx="202406" cy="214313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390525</xdr:colOff>
      <xdr:row>4</xdr:row>
      <xdr:rowOff>128587</xdr:rowOff>
    </xdr:from>
    <xdr:to>
      <xdr:col>46</xdr:col>
      <xdr:colOff>592931</xdr:colOff>
      <xdr:row>5</xdr:row>
      <xdr:rowOff>152400</xdr:rowOff>
    </xdr:to>
    <xdr:sp macro="" textlink="">
      <xdr:nvSpPr>
        <xdr:cNvPr id="108" name="Elipse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21714619" y="1307306"/>
          <a:ext cx="202406" cy="214313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50</xdr:col>
      <xdr:colOff>364331</xdr:colOff>
      <xdr:row>4</xdr:row>
      <xdr:rowOff>114299</xdr:rowOff>
    </xdr:from>
    <xdr:to>
      <xdr:col>50</xdr:col>
      <xdr:colOff>566737</xdr:colOff>
      <xdr:row>5</xdr:row>
      <xdr:rowOff>138112</xdr:rowOff>
    </xdr:to>
    <xdr:sp macro="" textlink="">
      <xdr:nvSpPr>
        <xdr:cNvPr id="109" name="Elipse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>
          <a:off x="24117300" y="1293018"/>
          <a:ext cx="202406" cy="214313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50</xdr:col>
      <xdr:colOff>385763</xdr:colOff>
      <xdr:row>8</xdr:row>
      <xdr:rowOff>147637</xdr:rowOff>
    </xdr:from>
    <xdr:to>
      <xdr:col>50</xdr:col>
      <xdr:colOff>588169</xdr:colOff>
      <xdr:row>9</xdr:row>
      <xdr:rowOff>171450</xdr:rowOff>
    </xdr:to>
    <xdr:sp macro="" textlink="">
      <xdr:nvSpPr>
        <xdr:cNvPr id="110" name="Elipse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>
          <a:off x="24138732" y="2088356"/>
          <a:ext cx="202406" cy="214313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50</xdr:col>
      <xdr:colOff>371476</xdr:colOff>
      <xdr:row>9</xdr:row>
      <xdr:rowOff>180975</xdr:rowOff>
    </xdr:from>
    <xdr:to>
      <xdr:col>50</xdr:col>
      <xdr:colOff>573882</xdr:colOff>
      <xdr:row>11</xdr:row>
      <xdr:rowOff>14288</xdr:rowOff>
    </xdr:to>
    <xdr:sp macro="" textlink="">
      <xdr:nvSpPr>
        <xdr:cNvPr id="111" name="Elipse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>
          <a:off x="24124445" y="2312194"/>
          <a:ext cx="202406" cy="214313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473869</xdr:colOff>
      <xdr:row>22</xdr:row>
      <xdr:rowOff>154781</xdr:rowOff>
    </xdr:from>
    <xdr:to>
      <xdr:col>46</xdr:col>
      <xdr:colOff>95250</xdr:colOff>
      <xdr:row>25</xdr:row>
      <xdr:rowOff>21432</xdr:rowOff>
    </xdr:to>
    <xdr:sp macro="" textlink="">
      <xdr:nvSpPr>
        <xdr:cNvPr id="112" name="Retângulo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>
          <a:off x="19369088" y="4762500"/>
          <a:ext cx="2050256" cy="438151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>
              <a:solidFill>
                <a:schemeClr val="tx1"/>
              </a:solidFill>
            </a:rPr>
            <a:t>Verifique os comentários para saber como configurar a planilha</a:t>
          </a:r>
        </a:p>
      </xdr:txBody>
    </xdr:sp>
    <xdr:clientData/>
  </xdr:twoCellAnchor>
  <xdr:twoCellAnchor>
    <xdr:from>
      <xdr:col>44</xdr:col>
      <xdr:colOff>571500</xdr:colOff>
      <xdr:row>9</xdr:row>
      <xdr:rowOff>64294</xdr:rowOff>
    </xdr:from>
    <xdr:to>
      <xdr:col>50</xdr:col>
      <xdr:colOff>385763</xdr:colOff>
      <xdr:row>22</xdr:row>
      <xdr:rowOff>166687</xdr:rowOff>
    </xdr:to>
    <xdr:cxnSp macro="">
      <xdr:nvCxnSpPr>
        <xdr:cNvPr id="114" name="Conector de seta reta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CxnSpPr>
          <a:stCxn id="110" idx="2"/>
        </xdr:cNvCxnSpPr>
      </xdr:nvCxnSpPr>
      <xdr:spPr>
        <a:xfrm flipH="1">
          <a:off x="20681156" y="2195513"/>
          <a:ext cx="3457576" cy="25788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321468</xdr:colOff>
      <xdr:row>14</xdr:row>
      <xdr:rowOff>166687</xdr:rowOff>
    </xdr:from>
    <xdr:to>
      <xdr:col>44</xdr:col>
      <xdr:colOff>41672</xdr:colOff>
      <xdr:row>22</xdr:row>
      <xdr:rowOff>166687</xdr:rowOff>
    </xdr:to>
    <xdr:cxnSp macro="">
      <xdr:nvCxnSpPr>
        <xdr:cNvPr id="116" name="Conector de seta reta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>
          <a:stCxn id="107" idx="4"/>
        </xdr:cNvCxnSpPr>
      </xdr:nvCxnSpPr>
      <xdr:spPr>
        <a:xfrm flipH="1">
          <a:off x="19823906" y="3250406"/>
          <a:ext cx="327422" cy="15240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5</xdr:row>
      <xdr:rowOff>152400</xdr:rowOff>
    </xdr:from>
    <xdr:to>
      <xdr:col>46</xdr:col>
      <xdr:colOff>491728</xdr:colOff>
      <xdr:row>22</xdr:row>
      <xdr:rowOff>154781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CxnSpPr>
          <a:stCxn id="108" idx="4"/>
        </xdr:cNvCxnSpPr>
      </xdr:nvCxnSpPr>
      <xdr:spPr>
        <a:xfrm flipH="1">
          <a:off x="20109656" y="1521619"/>
          <a:ext cx="1706166" cy="3240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284560</xdr:colOff>
      <xdr:row>5</xdr:row>
      <xdr:rowOff>106727</xdr:rowOff>
    </xdr:from>
    <xdr:to>
      <xdr:col>50</xdr:col>
      <xdr:colOff>393973</xdr:colOff>
      <xdr:row>22</xdr:row>
      <xdr:rowOff>154781</xdr:rowOff>
    </xdr:to>
    <xdr:cxnSp macro="">
      <xdr:nvCxnSpPr>
        <xdr:cNvPr id="120" name="Conector de seta reta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CxnSpPr>
          <a:stCxn id="109" idx="3"/>
          <a:endCxn id="112" idx="0"/>
        </xdr:cNvCxnSpPr>
      </xdr:nvCxnSpPr>
      <xdr:spPr>
        <a:xfrm flipH="1">
          <a:off x="20394216" y="1475946"/>
          <a:ext cx="3752726" cy="328655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273844</xdr:colOff>
      <xdr:row>10</xdr:row>
      <xdr:rowOff>173403</xdr:rowOff>
    </xdr:from>
    <xdr:to>
      <xdr:col>50</xdr:col>
      <xdr:colOff>401118</xdr:colOff>
      <xdr:row>22</xdr:row>
      <xdr:rowOff>154781</xdr:rowOff>
    </xdr:to>
    <xdr:cxnSp macro="">
      <xdr:nvCxnSpPr>
        <xdr:cNvPr id="122" name="Conector de seta reta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CxnSpPr>
          <a:stCxn id="111" idx="3"/>
        </xdr:cNvCxnSpPr>
      </xdr:nvCxnSpPr>
      <xdr:spPr>
        <a:xfrm flipH="1">
          <a:off x="20990719" y="2495122"/>
          <a:ext cx="3163368" cy="226737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18</xdr:row>
      <xdr:rowOff>95251</xdr:rowOff>
    </xdr:from>
    <xdr:to>
      <xdr:col>5</xdr:col>
      <xdr:colOff>641746</xdr:colOff>
      <xdr:row>22</xdr:row>
      <xdr:rowOff>107156</xdr:rowOff>
    </xdr:to>
    <xdr:cxnSp macro="">
      <xdr:nvCxnSpPr>
        <xdr:cNvPr id="36" name="Conector angulad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>
          <a:endCxn id="56" idx="2"/>
        </xdr:cNvCxnSpPr>
      </xdr:nvCxnSpPr>
      <xdr:spPr>
        <a:xfrm flipV="1">
          <a:off x="3202781" y="3940970"/>
          <a:ext cx="1487090" cy="773905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142875</xdr:colOff>
      <xdr:row>37</xdr:row>
      <xdr:rowOff>95250</xdr:rowOff>
    </xdr:from>
    <xdr:to>
      <xdr:col>52</xdr:col>
      <xdr:colOff>474652</xdr:colOff>
      <xdr:row>65</xdr:row>
      <xdr:rowOff>65000</xdr:rowOff>
    </xdr:to>
    <xdr:grpSp>
      <xdr:nvGrpSpPr>
        <xdr:cNvPr id="39" name="Grup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15394781" y="7560469"/>
          <a:ext cx="10047277" cy="5303750"/>
          <a:chOff x="15347156" y="5941219"/>
          <a:chExt cx="10047277" cy="5303750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09093" y="6060283"/>
            <a:ext cx="1810003" cy="1962424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985561" y="6043593"/>
            <a:ext cx="1171739" cy="520137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516688" y="6122157"/>
            <a:ext cx="5877745" cy="4229690"/>
          </a:xfrm>
          <a:prstGeom prst="rect">
            <a:avLst/>
          </a:prstGeom>
        </xdr:spPr>
      </xdr:pic>
      <xdr:sp macro="" textlink="">
        <xdr:nvSpPr>
          <xdr:cNvPr id="37" name="Elips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5347156" y="5941219"/>
            <a:ext cx="1178719" cy="95250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Elipse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17928430" y="10417968"/>
            <a:ext cx="1178719" cy="521494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Elipse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/>
        </xdr:nvSpPr>
        <xdr:spPr>
          <a:xfrm>
            <a:off x="19402423" y="7179468"/>
            <a:ext cx="1178719" cy="197643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Elipse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21055010" y="7665243"/>
            <a:ext cx="1269209" cy="228600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37</xdr:col>
      <xdr:colOff>414337</xdr:colOff>
      <xdr:row>31</xdr:row>
      <xdr:rowOff>45245</xdr:rowOff>
    </xdr:from>
    <xdr:to>
      <xdr:col>39</xdr:col>
      <xdr:colOff>130968</xdr:colOff>
      <xdr:row>33</xdr:row>
      <xdr:rowOff>154780</xdr:rowOff>
    </xdr:to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6273462" y="6367464"/>
          <a:ext cx="931069" cy="490535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1. Clique</a:t>
          </a:r>
          <a:r>
            <a:rPr lang="pt-BR" sz="1100" baseline="0">
              <a:solidFill>
                <a:schemeClr val="tx1"/>
              </a:solidFill>
            </a:rPr>
            <a:t> em ARQUIVO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125016</xdr:colOff>
      <xdr:row>33</xdr:row>
      <xdr:rowOff>154780</xdr:rowOff>
    </xdr:from>
    <xdr:to>
      <xdr:col>38</xdr:col>
      <xdr:colOff>272653</xdr:colOff>
      <xdr:row>37</xdr:row>
      <xdr:rowOff>95250</xdr:rowOff>
    </xdr:to>
    <xdr:cxnSp macro="">
      <xdr:nvCxnSpPr>
        <xdr:cNvPr id="41" name="Conector ret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>
          <a:stCxn id="37" idx="0"/>
          <a:endCxn id="77" idx="2"/>
        </xdr:cNvCxnSpPr>
      </xdr:nvCxnSpPr>
      <xdr:spPr>
        <a:xfrm flipV="1">
          <a:off x="15984141" y="6857999"/>
          <a:ext cx="754856" cy="70247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376237</xdr:colOff>
      <xdr:row>31</xdr:row>
      <xdr:rowOff>90489</xdr:rowOff>
    </xdr:from>
    <xdr:to>
      <xdr:col>42</xdr:col>
      <xdr:colOff>92868</xdr:colOff>
      <xdr:row>34</xdr:row>
      <xdr:rowOff>9524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18057018" y="6412708"/>
          <a:ext cx="931069" cy="490535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2. Clique</a:t>
          </a:r>
          <a:r>
            <a:rPr lang="pt-BR" sz="1100" baseline="0">
              <a:solidFill>
                <a:schemeClr val="tx1"/>
              </a:solidFill>
            </a:rPr>
            <a:t> em OPÇÕES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234553</xdr:colOff>
      <xdr:row>34</xdr:row>
      <xdr:rowOff>9524</xdr:rowOff>
    </xdr:from>
    <xdr:to>
      <xdr:col>41</xdr:col>
      <xdr:colOff>277415</xdr:colOff>
      <xdr:row>60</xdr:row>
      <xdr:rowOff>190499</xdr:rowOff>
    </xdr:to>
    <xdr:cxnSp macro="">
      <xdr:nvCxnSpPr>
        <xdr:cNvPr id="44" name="Conector reto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>
          <a:stCxn id="72" idx="0"/>
          <a:endCxn id="79" idx="2"/>
        </xdr:cNvCxnSpPr>
      </xdr:nvCxnSpPr>
      <xdr:spPr>
        <a:xfrm flipH="1" flipV="1">
          <a:off x="18522553" y="6903243"/>
          <a:ext cx="42862" cy="513397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326230</xdr:colOff>
      <xdr:row>31</xdr:row>
      <xdr:rowOff>76202</xdr:rowOff>
    </xdr:from>
    <xdr:to>
      <xdr:col>45</xdr:col>
      <xdr:colOff>42862</xdr:colOff>
      <xdr:row>33</xdr:row>
      <xdr:rowOff>185737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9828668" y="6398421"/>
          <a:ext cx="931069" cy="490535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3. Clique</a:t>
          </a:r>
          <a:r>
            <a:rPr lang="pt-BR" sz="1100" baseline="0">
              <a:solidFill>
                <a:schemeClr val="tx1"/>
              </a:solidFill>
            </a:rPr>
            <a:t> em AVANÇADO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276223</xdr:colOff>
      <xdr:row>31</xdr:row>
      <xdr:rowOff>97633</xdr:rowOff>
    </xdr:from>
    <xdr:to>
      <xdr:col>49</xdr:col>
      <xdr:colOff>452437</xdr:colOff>
      <xdr:row>34</xdr:row>
      <xdr:rowOff>83342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>
          <a:off x="21600317" y="6419852"/>
          <a:ext cx="1997870" cy="557209"/>
        </a:xfrm>
        <a:prstGeom prst="rect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4. Marque a opção</a:t>
          </a:r>
          <a:br>
            <a:rPr lang="pt-BR" sz="1100">
              <a:solidFill>
                <a:schemeClr val="tx1"/>
              </a:solidFill>
            </a:rPr>
          </a:br>
          <a:r>
            <a:rPr lang="pt-BR" sz="1100">
              <a:solidFill>
                <a:schemeClr val="tx1"/>
              </a:solidFill>
            </a:rPr>
            <a:t>"Usar sistema de data 1</a:t>
          </a:r>
          <a:r>
            <a:rPr lang="pt-BR" sz="1100" u="sng">
              <a:solidFill>
                <a:schemeClr val="tx1"/>
              </a:solidFill>
            </a:rPr>
            <a:t>9</a:t>
          </a:r>
          <a:r>
            <a:rPr lang="pt-BR" sz="1100">
              <a:solidFill>
                <a:schemeClr val="tx1"/>
              </a:solidFill>
            </a:rPr>
            <a:t>04</a:t>
          </a:r>
        </a:p>
      </xdr:txBody>
    </xdr:sp>
    <xdr:clientData/>
  </xdr:twoCellAnchor>
  <xdr:twoCellAnchor>
    <xdr:from>
      <xdr:col>43</xdr:col>
      <xdr:colOff>536970</xdr:colOff>
      <xdr:row>33</xdr:row>
      <xdr:rowOff>185737</xdr:rowOff>
    </xdr:from>
    <xdr:to>
      <xdr:col>44</xdr:col>
      <xdr:colOff>184547</xdr:colOff>
      <xdr:row>43</xdr:row>
      <xdr:rowOff>190499</xdr:rowOff>
    </xdr:to>
    <xdr:cxnSp macro="">
      <xdr:nvCxnSpPr>
        <xdr:cNvPr id="46" name="Conector reto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>
          <a:stCxn id="74" idx="0"/>
          <a:endCxn id="82" idx="2"/>
        </xdr:cNvCxnSpPr>
      </xdr:nvCxnSpPr>
      <xdr:spPr>
        <a:xfrm flipV="1">
          <a:off x="20039408" y="6888956"/>
          <a:ext cx="254795" cy="1909762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413146</xdr:colOff>
      <xdr:row>34</xdr:row>
      <xdr:rowOff>83342</xdr:rowOff>
    </xdr:from>
    <xdr:to>
      <xdr:col>48</xdr:col>
      <xdr:colOff>60721</xdr:colOff>
      <xdr:row>46</xdr:row>
      <xdr:rowOff>104774</xdr:rowOff>
    </xdr:to>
    <xdr:cxnSp macro="">
      <xdr:nvCxnSpPr>
        <xdr:cNvPr id="50" name="Conector ret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>
          <a:stCxn id="75" idx="0"/>
          <a:endCxn id="83" idx="2"/>
        </xdr:cNvCxnSpPr>
      </xdr:nvCxnSpPr>
      <xdr:spPr>
        <a:xfrm flipV="1">
          <a:off x="21737240" y="6977061"/>
          <a:ext cx="862012" cy="2307432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12</xdr:row>
      <xdr:rowOff>85725</xdr:rowOff>
    </xdr:from>
    <xdr:to>
      <xdr:col>8</xdr:col>
      <xdr:colOff>333375</xdr:colOff>
      <xdr:row>15</xdr:row>
      <xdr:rowOff>95250</xdr:rowOff>
    </xdr:to>
    <xdr:sp macro="[0]!Abre_Tutorial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895850" y="2419350"/>
          <a:ext cx="1447800" cy="5810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TUTORIAL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0</xdr:row>
      <xdr:rowOff>95250</xdr:rowOff>
    </xdr:from>
    <xdr:to>
      <xdr:col>1</xdr:col>
      <xdr:colOff>438150</xdr:colOff>
      <xdr:row>0</xdr:row>
      <xdr:rowOff>419100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915F68-B47E-4AA6-8384-357CFC0204E5}"/>
            </a:ext>
          </a:extLst>
        </xdr:cNvPr>
        <xdr:cNvSpPr/>
      </xdr:nvSpPr>
      <xdr:spPr>
        <a:xfrm>
          <a:off x="704850" y="95250"/>
          <a:ext cx="847725" cy="323850"/>
        </a:xfrm>
        <a:prstGeom prst="roundRect">
          <a:avLst/>
        </a:prstGeom>
        <a:solidFill>
          <a:srgbClr val="FF31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Fechar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36</xdr:col>
      <xdr:colOff>9525</xdr:colOff>
      <xdr:row>2</xdr:row>
      <xdr:rowOff>104775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3190875" y="66675"/>
          <a:ext cx="12096750" cy="419100"/>
          <a:chOff x="3190875" y="66675"/>
          <a:chExt cx="10734675" cy="419100"/>
        </a:xfrm>
      </xdr:grpSpPr>
      <xdr:sp macro="[0]!Altera_Abas" textlink="">
        <xdr:nvSpPr>
          <xdr:cNvPr id="5" name="jan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[0]!Altera_Abas" textlink="">
        <xdr:nvSpPr>
          <xdr:cNvPr id="20" name="fev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[0]!Altera_Abas" textlink="">
        <xdr:nvSpPr>
          <xdr:cNvPr id="23" name="mar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[0]!Altera_Abas" textlink="">
        <xdr:nvSpPr>
          <xdr:cNvPr id="24" name="abr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[0]!Altera_Abas" textlink="">
        <xdr:nvSpPr>
          <xdr:cNvPr id="25" name="mai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[0]!Altera_Abas" textlink="">
        <xdr:nvSpPr>
          <xdr:cNvPr id="26" name="jun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[0]!Altera_Abas" textlink="">
        <xdr:nvSpPr>
          <xdr:cNvPr id="27" name="jul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[0]!Altera_Abas" textlink="">
        <xdr:nvSpPr>
          <xdr:cNvPr id="28" name="ago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[0]!Altera_Abas" textlink="">
        <xdr:nvSpPr>
          <xdr:cNvPr id="29" name="set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[0]!Altera_Abas" textlink="">
        <xdr:nvSpPr>
          <xdr:cNvPr id="30" name="out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[0]!Altera_Abas" textlink="">
        <xdr:nvSpPr>
          <xdr:cNvPr id="31" name="nov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[0]!Altera_Abas" textlink="">
        <xdr:nvSpPr>
          <xdr:cNvPr id="32" name="dez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9" name="Retângulo Arredondado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1885950" y="1247775"/>
          <a:ext cx="1142999" cy="466726"/>
          <a:chOff x="1238250" y="1247775"/>
          <a:chExt cx="1142999" cy="466726"/>
        </a:xfrm>
      </xdr:grpSpPr>
      <xdr:sp macro="[0]!add_Feriado" textlink="">
        <xdr:nvSpPr>
          <xdr:cNvPr id="22" name="Retângulo Arredondado 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 macro="[0]!add_Feriado">
        <xdr:nvPicPr>
          <xdr:cNvPr id="34" name="Imagem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[0]!add_Feriado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685800" y="1257300"/>
          <a:ext cx="1109906" cy="466725"/>
          <a:chOff x="38100" y="1257300"/>
          <a:chExt cx="1109906" cy="466725"/>
        </a:xfrm>
      </xdr:grpSpPr>
      <xdr:sp macro="[0]!bAltera_Clique" textlink="">
        <xdr:nvSpPr>
          <xdr:cNvPr id="2" name="Retângulo Arredondado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 macro="[0]!bAltera_Clique"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[0]!bAltera_Clique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33350" y="1285875"/>
          <a:ext cx="432155" cy="432094"/>
          <a:chOff x="276225" y="666750"/>
          <a:chExt cx="409575" cy="409575"/>
        </a:xfrm>
      </xdr:grpSpPr>
      <xdr:sp macro="[0]!Abre_Config" textlink="">
        <xdr:nvSpPr>
          <xdr:cNvPr id="10" name="Elips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bre_Config"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219074</xdr:colOff>
      <xdr:row>6</xdr:row>
      <xdr:rowOff>47624</xdr:rowOff>
    </xdr:from>
    <xdr:to>
      <xdr:col>17</xdr:col>
      <xdr:colOff>485774</xdr:colOff>
      <xdr:row>8</xdr:row>
      <xdr:rowOff>171449</xdr:rowOff>
    </xdr:to>
    <xdr:sp macro="[0]!abre_HorasExtr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4F2C04C-34BC-4752-B0D3-3152B8EC5D54}"/>
            </a:ext>
          </a:extLst>
        </xdr:cNvPr>
        <xdr:cNvSpPr/>
      </xdr:nvSpPr>
      <xdr:spPr>
        <a:xfrm>
          <a:off x="13592174" y="1200149"/>
          <a:ext cx="1114425" cy="5048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Horas Extras por Período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36</xdr:col>
      <xdr:colOff>9525</xdr:colOff>
      <xdr:row>2</xdr:row>
      <xdr:rowOff>104775</xdr:rowOff>
    </xdr:to>
    <xdr:grpSp>
      <xdr:nvGrpSpPr>
        <xdr:cNvPr id="2" name="Agrupar 3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3190875" y="66675"/>
          <a:ext cx="12096750" cy="419100"/>
          <a:chOff x="3190875" y="66675"/>
          <a:chExt cx="10734675" cy="419100"/>
        </a:xfrm>
      </xdr:grpSpPr>
      <xdr:sp macro="[0]!Altera_Abas" textlink="">
        <xdr:nvSpPr>
          <xdr:cNvPr id="3" name="jan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[0]!Altera_Abas" textlink="">
        <xdr:nvSpPr>
          <xdr:cNvPr id="4" name="fev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[0]!Altera_Abas" textlink="">
        <xdr:nvSpPr>
          <xdr:cNvPr id="5" name="mar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[0]!Altera_Abas" textlink="">
        <xdr:nvSpPr>
          <xdr:cNvPr id="6" name="abr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[0]!Altera_Abas" textlink="">
        <xdr:nvSpPr>
          <xdr:cNvPr id="7" name="mai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[0]!Altera_Abas" textlink="">
        <xdr:nvSpPr>
          <xdr:cNvPr id="8" name="jun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[0]!Altera_Abas" textlink="">
        <xdr:nvSpPr>
          <xdr:cNvPr id="9" name="jul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[0]!Altera_Abas" textlink="">
        <xdr:nvSpPr>
          <xdr:cNvPr id="10" name="ago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[0]!Altera_Abas" textlink="">
        <xdr:nvSpPr>
          <xdr:cNvPr id="11" name="set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[0]!Altera_Abas" textlink="">
        <xdr:nvSpPr>
          <xdr:cNvPr id="12" name="out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[0]!Altera_Abas" textlink="">
        <xdr:nvSpPr>
          <xdr:cNvPr id="13" name="nov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[0]!Altera_Abas" textlink="">
        <xdr:nvSpPr>
          <xdr:cNvPr id="14" name="dez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5" name="Retângulo Arredondado 18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1885950" y="1247775"/>
          <a:ext cx="1142999" cy="466726"/>
          <a:chOff x="1238250" y="1247775"/>
          <a:chExt cx="1142999" cy="466726"/>
        </a:xfrm>
      </xdr:grpSpPr>
      <xdr:sp macro="[0]!add_Feriado" textlink="">
        <xdr:nvSpPr>
          <xdr:cNvPr id="17" name="Retângulo Arredondado 1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 macro="[0]!add_Feriado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[0]!add_Feriado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685800" y="1257300"/>
          <a:ext cx="1109906" cy="466725"/>
          <a:chOff x="38100" y="1257300"/>
          <a:chExt cx="1109906" cy="466725"/>
        </a:xfrm>
      </xdr:grpSpPr>
      <xdr:sp macro="[0]!bAltera_Clique" textlink="">
        <xdr:nvSpPr>
          <xdr:cNvPr id="21" name="Retângulo Arredondado 1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 macro="[0]!bAltera_Clique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[0]!bAltera_Clique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133350" y="1285875"/>
          <a:ext cx="432155" cy="432094"/>
          <a:chOff x="276225" y="666750"/>
          <a:chExt cx="409575" cy="409575"/>
        </a:xfrm>
      </xdr:grpSpPr>
      <xdr:sp macro="[0]!Abre_Config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bre_Config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219075</xdr:colOff>
      <xdr:row>6</xdr:row>
      <xdr:rowOff>38100</xdr:rowOff>
    </xdr:from>
    <xdr:to>
      <xdr:col>17</xdr:col>
      <xdr:colOff>485775</xdr:colOff>
      <xdr:row>8</xdr:row>
      <xdr:rowOff>161925</xdr:rowOff>
    </xdr:to>
    <xdr:sp macro="[0]!abre_HorasExtra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D41D52D3-E041-4D2D-BB52-620582EAA8B7}"/>
            </a:ext>
          </a:extLst>
        </xdr:cNvPr>
        <xdr:cNvSpPr/>
      </xdr:nvSpPr>
      <xdr:spPr>
        <a:xfrm>
          <a:off x="13592175" y="1190625"/>
          <a:ext cx="1114425" cy="5048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Horas Extras por Período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36</xdr:col>
      <xdr:colOff>9525</xdr:colOff>
      <xdr:row>2</xdr:row>
      <xdr:rowOff>104775</xdr:rowOff>
    </xdr:to>
    <xdr:grpSp>
      <xdr:nvGrpSpPr>
        <xdr:cNvPr id="2" name="Agrupar 3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3190875" y="66675"/>
          <a:ext cx="12096750" cy="419100"/>
          <a:chOff x="3190875" y="66675"/>
          <a:chExt cx="10734675" cy="419100"/>
        </a:xfrm>
      </xdr:grpSpPr>
      <xdr:sp macro="[0]!Altera_Abas" textlink="">
        <xdr:nvSpPr>
          <xdr:cNvPr id="3" name="jan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[0]!Altera_Abas" textlink="">
        <xdr:nvSpPr>
          <xdr:cNvPr id="4" name="fev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[0]!Altera_Abas" textlink="">
        <xdr:nvSpPr>
          <xdr:cNvPr id="5" name="mar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[0]!Altera_Abas" textlink="">
        <xdr:nvSpPr>
          <xdr:cNvPr id="6" name="abr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[0]!Altera_Abas" textlink="">
        <xdr:nvSpPr>
          <xdr:cNvPr id="7" name="mai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[0]!Altera_Abas" textlink="">
        <xdr:nvSpPr>
          <xdr:cNvPr id="8" name="jun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[0]!Altera_Abas" textlink="">
        <xdr:nvSpPr>
          <xdr:cNvPr id="9" name="jul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[0]!Altera_Abas" textlink="">
        <xdr:nvSpPr>
          <xdr:cNvPr id="10" name="ago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[0]!Altera_Abas" textlink="">
        <xdr:nvSpPr>
          <xdr:cNvPr id="11" name="set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[0]!Altera_Abas" textlink="">
        <xdr:nvSpPr>
          <xdr:cNvPr id="12" name="out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[0]!Altera_Abas" textlink="">
        <xdr:nvSpPr>
          <xdr:cNvPr id="13" name="nov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[0]!Altera_Abas" textlink="">
        <xdr:nvSpPr>
          <xdr:cNvPr id="14" name="dez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5" name="Retângulo Arredondado 18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1885950" y="1247775"/>
          <a:ext cx="1142999" cy="466726"/>
          <a:chOff x="1238250" y="1247775"/>
          <a:chExt cx="1142999" cy="466726"/>
        </a:xfrm>
      </xdr:grpSpPr>
      <xdr:sp macro="[0]!add_Feriado" textlink="">
        <xdr:nvSpPr>
          <xdr:cNvPr id="17" name="Retângulo Arredondado 1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 macro="[0]!add_Feriado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[0]!add_Feriado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685800" y="1257300"/>
          <a:ext cx="1109906" cy="466725"/>
          <a:chOff x="38100" y="1257300"/>
          <a:chExt cx="1109906" cy="466725"/>
        </a:xfrm>
      </xdr:grpSpPr>
      <xdr:sp macro="[0]!bAltera_Clique" textlink="">
        <xdr:nvSpPr>
          <xdr:cNvPr id="21" name="Retângulo Arredondado 1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 macro="[0]!bAltera_Clique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[0]!bAltera_Clique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133350" y="1285875"/>
          <a:ext cx="432155" cy="432094"/>
          <a:chOff x="276225" y="666750"/>
          <a:chExt cx="409575" cy="409575"/>
        </a:xfrm>
      </xdr:grpSpPr>
      <xdr:sp macro="[0]!Abre_Config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bre_Config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219075</xdr:colOff>
      <xdr:row>6</xdr:row>
      <xdr:rowOff>28575</xdr:rowOff>
    </xdr:from>
    <xdr:to>
      <xdr:col>17</xdr:col>
      <xdr:colOff>485775</xdr:colOff>
      <xdr:row>8</xdr:row>
      <xdr:rowOff>152400</xdr:rowOff>
    </xdr:to>
    <xdr:sp macro="[0]!abre_HorasExtra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B8ACD1FE-F702-4594-8CA1-19F3F8433ED1}"/>
            </a:ext>
          </a:extLst>
        </xdr:cNvPr>
        <xdr:cNvSpPr/>
      </xdr:nvSpPr>
      <xdr:spPr>
        <a:xfrm>
          <a:off x="13592175" y="1181100"/>
          <a:ext cx="1114425" cy="5048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Horas Extras por Período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36</xdr:col>
      <xdr:colOff>9525</xdr:colOff>
      <xdr:row>2</xdr:row>
      <xdr:rowOff>104775</xdr:rowOff>
    </xdr:to>
    <xdr:grpSp>
      <xdr:nvGrpSpPr>
        <xdr:cNvPr id="2" name="Agrupar 3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3190875" y="66675"/>
          <a:ext cx="12096750" cy="419100"/>
          <a:chOff x="3190875" y="66675"/>
          <a:chExt cx="10734675" cy="419100"/>
        </a:xfrm>
      </xdr:grpSpPr>
      <xdr:sp macro="[0]!Altera_Abas" textlink="">
        <xdr:nvSpPr>
          <xdr:cNvPr id="3" name="jan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[0]!Altera_Abas" textlink="">
        <xdr:nvSpPr>
          <xdr:cNvPr id="4" name="fev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[0]!Altera_Abas" textlink="">
        <xdr:nvSpPr>
          <xdr:cNvPr id="5" name="mar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[0]!Altera_Abas" textlink="">
        <xdr:nvSpPr>
          <xdr:cNvPr id="6" name="abr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[0]!Altera_Abas" textlink="">
        <xdr:nvSpPr>
          <xdr:cNvPr id="7" name="mai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[0]!Altera_Abas" textlink="">
        <xdr:nvSpPr>
          <xdr:cNvPr id="8" name="jun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[0]!Altera_Abas" textlink="">
        <xdr:nvSpPr>
          <xdr:cNvPr id="9" name="jul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[0]!Altera_Abas" textlink="">
        <xdr:nvSpPr>
          <xdr:cNvPr id="10" name="ago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[0]!Altera_Abas" textlink="">
        <xdr:nvSpPr>
          <xdr:cNvPr id="11" name="set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[0]!Altera_Abas" textlink="">
        <xdr:nvSpPr>
          <xdr:cNvPr id="12" name="out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[0]!Altera_Abas" textlink="">
        <xdr:nvSpPr>
          <xdr:cNvPr id="13" name="nov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[0]!Altera_Abas" textlink="">
        <xdr:nvSpPr>
          <xdr:cNvPr id="14" name="dez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5" name="Retângulo Arredondado 18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pSpPr/>
      </xdr:nvGrpSpPr>
      <xdr:grpSpPr>
        <a:xfrm>
          <a:off x="1885950" y="1247775"/>
          <a:ext cx="1142999" cy="466726"/>
          <a:chOff x="1238250" y="1247775"/>
          <a:chExt cx="1142999" cy="466726"/>
        </a:xfrm>
      </xdr:grpSpPr>
      <xdr:sp macro="[0]!add_Feriado" textlink="">
        <xdr:nvSpPr>
          <xdr:cNvPr id="17" name="Retângulo Arredondado 1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 macro="[0]!add_Feriado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[0]!add_Feriado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685800" y="1257300"/>
          <a:ext cx="1109906" cy="466725"/>
          <a:chOff x="38100" y="1257300"/>
          <a:chExt cx="1109906" cy="466725"/>
        </a:xfrm>
      </xdr:grpSpPr>
      <xdr:sp macro="[0]!bAltera_Clique" textlink="">
        <xdr:nvSpPr>
          <xdr:cNvPr id="21" name="Retângulo Arredondado 1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 macro="[0]!bAltera_Clique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[0]!bAltera_Clique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133350" y="1285875"/>
          <a:ext cx="432155" cy="432094"/>
          <a:chOff x="276225" y="666750"/>
          <a:chExt cx="409575" cy="409575"/>
        </a:xfrm>
      </xdr:grpSpPr>
      <xdr:sp macro="[0]!Abre_Config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bre_Config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238125</xdr:colOff>
      <xdr:row>6</xdr:row>
      <xdr:rowOff>47625</xdr:rowOff>
    </xdr:from>
    <xdr:to>
      <xdr:col>17</xdr:col>
      <xdr:colOff>504825</xdr:colOff>
      <xdr:row>8</xdr:row>
      <xdr:rowOff>171450</xdr:rowOff>
    </xdr:to>
    <xdr:sp macro="[0]!abre_HorasExtra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CE51560C-59FC-4E62-8814-EC66DE8421BE}"/>
            </a:ext>
          </a:extLst>
        </xdr:cNvPr>
        <xdr:cNvSpPr/>
      </xdr:nvSpPr>
      <xdr:spPr>
        <a:xfrm>
          <a:off x="13611225" y="1200150"/>
          <a:ext cx="1114425" cy="5048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Horas Extras por Período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36</xdr:col>
      <xdr:colOff>9525</xdr:colOff>
      <xdr:row>2</xdr:row>
      <xdr:rowOff>104775</xdr:rowOff>
    </xdr:to>
    <xdr:grpSp>
      <xdr:nvGrpSpPr>
        <xdr:cNvPr id="2" name="Agrupar 3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3190875" y="66675"/>
          <a:ext cx="12096750" cy="419100"/>
          <a:chOff x="3190875" y="66675"/>
          <a:chExt cx="10734675" cy="419100"/>
        </a:xfrm>
      </xdr:grpSpPr>
      <xdr:sp macro="[0]!Altera_Abas" textlink="">
        <xdr:nvSpPr>
          <xdr:cNvPr id="3" name="jan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[0]!Altera_Abas" textlink="">
        <xdr:nvSpPr>
          <xdr:cNvPr id="4" name="fev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[0]!Altera_Abas" textlink="">
        <xdr:nvSpPr>
          <xdr:cNvPr id="5" name="mar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[0]!Altera_Abas" textlink="">
        <xdr:nvSpPr>
          <xdr:cNvPr id="6" name="abr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[0]!Altera_Abas" textlink="">
        <xdr:nvSpPr>
          <xdr:cNvPr id="7" name="mai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[0]!Altera_Abas" textlink="">
        <xdr:nvSpPr>
          <xdr:cNvPr id="8" name="jun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[0]!Altera_Abas" textlink="">
        <xdr:nvSpPr>
          <xdr:cNvPr id="9" name="jul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[0]!Altera_Abas" textlink="">
        <xdr:nvSpPr>
          <xdr:cNvPr id="10" name="ago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[0]!Altera_Abas" textlink="">
        <xdr:nvSpPr>
          <xdr:cNvPr id="11" name="set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[0]!Altera_Abas" textlink="">
        <xdr:nvSpPr>
          <xdr:cNvPr id="12" name="out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[0]!Altera_Abas" textlink="">
        <xdr:nvSpPr>
          <xdr:cNvPr id="13" name="nov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[0]!Altera_Abas" textlink="">
        <xdr:nvSpPr>
          <xdr:cNvPr id="14" name="dez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5" name="Retângulo Arredondado 18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pSpPr/>
      </xdr:nvGrpSpPr>
      <xdr:grpSpPr>
        <a:xfrm>
          <a:off x="1885950" y="1247775"/>
          <a:ext cx="1142999" cy="466726"/>
          <a:chOff x="1238250" y="1247775"/>
          <a:chExt cx="1142999" cy="466726"/>
        </a:xfrm>
      </xdr:grpSpPr>
      <xdr:sp macro="[0]!add_Feriado" textlink="">
        <xdr:nvSpPr>
          <xdr:cNvPr id="17" name="Retângulo Arredondado 1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 macro="[0]!add_Feriado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[0]!add_Feriado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685800" y="1257300"/>
          <a:ext cx="1109906" cy="466725"/>
          <a:chOff x="38100" y="1257300"/>
          <a:chExt cx="1109906" cy="466725"/>
        </a:xfrm>
      </xdr:grpSpPr>
      <xdr:sp macro="[0]!bAltera_Clique" textlink="">
        <xdr:nvSpPr>
          <xdr:cNvPr id="21" name="Retângulo Arredondado 1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 macro="[0]!bAltera_Clique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[0]!bAltera_Clique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133350" y="1285875"/>
          <a:ext cx="432155" cy="432094"/>
          <a:chOff x="276225" y="666750"/>
          <a:chExt cx="409575" cy="409575"/>
        </a:xfrm>
      </xdr:grpSpPr>
      <xdr:sp macro="[0]!Abre_Config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bre_Config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247650</xdr:colOff>
      <xdr:row>6</xdr:row>
      <xdr:rowOff>57150</xdr:rowOff>
    </xdr:from>
    <xdr:to>
      <xdr:col>17</xdr:col>
      <xdr:colOff>514350</xdr:colOff>
      <xdr:row>8</xdr:row>
      <xdr:rowOff>180975</xdr:rowOff>
    </xdr:to>
    <xdr:sp macro="[0]!abre_HorasExtra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D95C04DF-B19B-4633-ADEB-67A91B1F2906}"/>
            </a:ext>
          </a:extLst>
        </xdr:cNvPr>
        <xdr:cNvSpPr/>
      </xdr:nvSpPr>
      <xdr:spPr>
        <a:xfrm>
          <a:off x="13620750" y="1209675"/>
          <a:ext cx="1114425" cy="5048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Horas Extras por Período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36</xdr:col>
      <xdr:colOff>9525</xdr:colOff>
      <xdr:row>2</xdr:row>
      <xdr:rowOff>104775</xdr:rowOff>
    </xdr:to>
    <xdr:grpSp>
      <xdr:nvGrpSpPr>
        <xdr:cNvPr id="2" name="Agrupar 3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3190875" y="66675"/>
          <a:ext cx="12096750" cy="419100"/>
          <a:chOff x="3190875" y="66675"/>
          <a:chExt cx="10734675" cy="419100"/>
        </a:xfrm>
      </xdr:grpSpPr>
      <xdr:sp macro="[0]!Altera_Abas" textlink="">
        <xdr:nvSpPr>
          <xdr:cNvPr id="3" name="jan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[0]!Altera_Abas" textlink="">
        <xdr:nvSpPr>
          <xdr:cNvPr id="4" name="fev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[0]!Altera_Abas" textlink="">
        <xdr:nvSpPr>
          <xdr:cNvPr id="5" name="mar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[0]!Altera_Abas" textlink="">
        <xdr:nvSpPr>
          <xdr:cNvPr id="6" name="abr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[0]!Altera_Abas" textlink="">
        <xdr:nvSpPr>
          <xdr:cNvPr id="7" name="mai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[0]!Altera_Abas" textlink="">
        <xdr:nvSpPr>
          <xdr:cNvPr id="8" name="jun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[0]!Altera_Abas" textlink="">
        <xdr:nvSpPr>
          <xdr:cNvPr id="9" name="jul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[0]!Altera_Abas" textlink="">
        <xdr:nvSpPr>
          <xdr:cNvPr id="10" name="ago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[0]!Altera_Abas" textlink="">
        <xdr:nvSpPr>
          <xdr:cNvPr id="11" name="set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[0]!Altera_Abas" textlink="">
        <xdr:nvSpPr>
          <xdr:cNvPr id="12" name="out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[0]!Altera_Abas" textlink="">
        <xdr:nvSpPr>
          <xdr:cNvPr id="13" name="nov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[0]!Altera_Abas" textlink="">
        <xdr:nvSpPr>
          <xdr:cNvPr id="14" name="dez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5" name="Retângulo Arredondado 18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1885950" y="1247775"/>
          <a:ext cx="1142999" cy="466726"/>
          <a:chOff x="1238250" y="1247775"/>
          <a:chExt cx="1142999" cy="466726"/>
        </a:xfrm>
      </xdr:grpSpPr>
      <xdr:sp macro="[0]!add_Feriado" textlink="">
        <xdr:nvSpPr>
          <xdr:cNvPr id="17" name="Retângulo Arredondado 1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 macro="[0]!add_Feriado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[0]!add_Feriado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685800" y="1257300"/>
          <a:ext cx="1109906" cy="466725"/>
          <a:chOff x="38100" y="1257300"/>
          <a:chExt cx="1109906" cy="466725"/>
        </a:xfrm>
      </xdr:grpSpPr>
      <xdr:sp macro="[0]!bAltera_Clique" textlink="">
        <xdr:nvSpPr>
          <xdr:cNvPr id="21" name="Retângulo Arredondado 1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 macro="[0]!bAltera_Clique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[0]!bAltera_Clique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133350" y="1285875"/>
          <a:ext cx="432155" cy="432094"/>
          <a:chOff x="276225" y="666750"/>
          <a:chExt cx="409575" cy="409575"/>
        </a:xfrm>
      </xdr:grpSpPr>
      <xdr:sp macro="[0]!Abre_Config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bre_Config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247650</xdr:colOff>
      <xdr:row>6</xdr:row>
      <xdr:rowOff>57150</xdr:rowOff>
    </xdr:from>
    <xdr:to>
      <xdr:col>17</xdr:col>
      <xdr:colOff>514350</xdr:colOff>
      <xdr:row>8</xdr:row>
      <xdr:rowOff>180975</xdr:rowOff>
    </xdr:to>
    <xdr:sp macro="[0]!abre_HorasExtra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75A6D88E-814D-403B-890B-52F45A2E2DBE}"/>
            </a:ext>
          </a:extLst>
        </xdr:cNvPr>
        <xdr:cNvSpPr/>
      </xdr:nvSpPr>
      <xdr:spPr>
        <a:xfrm>
          <a:off x="13620750" y="1209675"/>
          <a:ext cx="1114425" cy="5048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Horas Extras por Período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36</xdr:col>
      <xdr:colOff>9525</xdr:colOff>
      <xdr:row>2</xdr:row>
      <xdr:rowOff>104775</xdr:rowOff>
    </xdr:to>
    <xdr:grpSp>
      <xdr:nvGrpSpPr>
        <xdr:cNvPr id="2" name="Agrupar 3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3190875" y="66675"/>
          <a:ext cx="12096750" cy="419100"/>
          <a:chOff x="3190875" y="66675"/>
          <a:chExt cx="10734675" cy="419100"/>
        </a:xfrm>
      </xdr:grpSpPr>
      <xdr:sp macro="[0]!Altera_Abas" textlink="">
        <xdr:nvSpPr>
          <xdr:cNvPr id="3" name="jan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[0]!Altera_Abas" textlink="">
        <xdr:nvSpPr>
          <xdr:cNvPr id="4" name="fev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[0]!Altera_Abas" textlink="">
        <xdr:nvSpPr>
          <xdr:cNvPr id="5" name="mar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[0]!Altera_Abas" textlink="">
        <xdr:nvSpPr>
          <xdr:cNvPr id="6" name="abr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[0]!Altera_Abas" textlink="">
        <xdr:nvSpPr>
          <xdr:cNvPr id="7" name="mai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[0]!Altera_Abas" textlink="">
        <xdr:nvSpPr>
          <xdr:cNvPr id="8" name="jun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[0]!Altera_Abas" textlink="">
        <xdr:nvSpPr>
          <xdr:cNvPr id="9" name="jul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[0]!Altera_Abas" textlink="">
        <xdr:nvSpPr>
          <xdr:cNvPr id="10" name="ago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[0]!Altera_Abas" textlink="">
        <xdr:nvSpPr>
          <xdr:cNvPr id="11" name="set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[0]!Altera_Abas" textlink="">
        <xdr:nvSpPr>
          <xdr:cNvPr id="12" name="out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[0]!Altera_Abas" textlink="">
        <xdr:nvSpPr>
          <xdr:cNvPr id="13" name="nov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[0]!Altera_Abas" textlink="">
        <xdr:nvSpPr>
          <xdr:cNvPr id="14" name="dez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5" name="Retângulo Arredondado 18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pSpPr/>
      </xdr:nvGrpSpPr>
      <xdr:grpSpPr>
        <a:xfrm>
          <a:off x="1885950" y="1247775"/>
          <a:ext cx="1142999" cy="466726"/>
          <a:chOff x="1238250" y="1247775"/>
          <a:chExt cx="1142999" cy="466726"/>
        </a:xfrm>
      </xdr:grpSpPr>
      <xdr:sp macro="[0]!add_Feriado" textlink="">
        <xdr:nvSpPr>
          <xdr:cNvPr id="17" name="Retângulo Arredondado 1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 macro="[0]!add_Feriado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[0]!add_Feriado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685800" y="1257300"/>
          <a:ext cx="1109906" cy="466725"/>
          <a:chOff x="38100" y="1257300"/>
          <a:chExt cx="1109906" cy="466725"/>
        </a:xfrm>
      </xdr:grpSpPr>
      <xdr:sp macro="[0]!bAltera_Clique" textlink="">
        <xdr:nvSpPr>
          <xdr:cNvPr id="21" name="Retângulo Arredondado 1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 macro="[0]!bAltera_Clique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[0]!bAltera_Clique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133350" y="1285875"/>
          <a:ext cx="432155" cy="432094"/>
          <a:chOff x="276225" y="666750"/>
          <a:chExt cx="409575" cy="409575"/>
        </a:xfrm>
      </xdr:grpSpPr>
      <xdr:sp macro="[0]!Abre_Config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bre_Config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247650</xdr:colOff>
      <xdr:row>6</xdr:row>
      <xdr:rowOff>28575</xdr:rowOff>
    </xdr:from>
    <xdr:to>
      <xdr:col>17</xdr:col>
      <xdr:colOff>514350</xdr:colOff>
      <xdr:row>8</xdr:row>
      <xdr:rowOff>152400</xdr:rowOff>
    </xdr:to>
    <xdr:sp macro="[0]!abre_HorasExtra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B075DEC6-2EB2-4B42-B251-85EDD4882777}"/>
            </a:ext>
          </a:extLst>
        </xdr:cNvPr>
        <xdr:cNvSpPr/>
      </xdr:nvSpPr>
      <xdr:spPr>
        <a:xfrm>
          <a:off x="13620750" y="1181100"/>
          <a:ext cx="1114425" cy="5048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Horas Extras por Período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36</xdr:col>
      <xdr:colOff>9525</xdr:colOff>
      <xdr:row>2</xdr:row>
      <xdr:rowOff>104775</xdr:rowOff>
    </xdr:to>
    <xdr:grpSp>
      <xdr:nvGrpSpPr>
        <xdr:cNvPr id="2" name="Agrupar 3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3190875" y="66675"/>
          <a:ext cx="12096750" cy="419100"/>
          <a:chOff x="3190875" y="66675"/>
          <a:chExt cx="10734675" cy="419100"/>
        </a:xfrm>
      </xdr:grpSpPr>
      <xdr:sp macro="[0]!Altera_Abas" textlink="">
        <xdr:nvSpPr>
          <xdr:cNvPr id="3" name="jan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[0]!Altera_Abas" textlink="">
        <xdr:nvSpPr>
          <xdr:cNvPr id="4" name="fev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[0]!Altera_Abas" textlink="">
        <xdr:nvSpPr>
          <xdr:cNvPr id="5" name="mar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[0]!Altera_Abas" textlink="">
        <xdr:nvSpPr>
          <xdr:cNvPr id="6" name="abr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[0]!Altera_Abas" textlink="">
        <xdr:nvSpPr>
          <xdr:cNvPr id="7" name="mai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[0]!Altera_Abas" textlink="">
        <xdr:nvSpPr>
          <xdr:cNvPr id="8" name="jun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[0]!Altera_Abas" textlink="">
        <xdr:nvSpPr>
          <xdr:cNvPr id="9" name="jul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[0]!Altera_Abas" textlink="">
        <xdr:nvSpPr>
          <xdr:cNvPr id="10" name="ago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[0]!Altera_Abas" textlink="">
        <xdr:nvSpPr>
          <xdr:cNvPr id="11" name="set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[0]!Altera_Abas" textlink="">
        <xdr:nvSpPr>
          <xdr:cNvPr id="12" name="out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[0]!Altera_Abas" textlink="">
        <xdr:nvSpPr>
          <xdr:cNvPr id="13" name="nov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[0]!Altera_Abas" textlink="">
        <xdr:nvSpPr>
          <xdr:cNvPr id="14" name="dez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5" name="Retângulo Arredondado 18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/>
      </xdr:nvGrpSpPr>
      <xdr:grpSpPr>
        <a:xfrm>
          <a:off x="1885950" y="1247775"/>
          <a:ext cx="1142999" cy="466726"/>
          <a:chOff x="1238250" y="1247775"/>
          <a:chExt cx="1142999" cy="466726"/>
        </a:xfrm>
      </xdr:grpSpPr>
      <xdr:sp macro="[0]!add_Feriado" textlink="">
        <xdr:nvSpPr>
          <xdr:cNvPr id="17" name="Retângulo Arredondado 1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 macro="[0]!add_Feriado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[0]!add_Feriado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685800" y="1257300"/>
          <a:ext cx="1109906" cy="466725"/>
          <a:chOff x="38100" y="1257300"/>
          <a:chExt cx="1109906" cy="466725"/>
        </a:xfrm>
      </xdr:grpSpPr>
      <xdr:sp macro="[0]!bAltera_Clique" textlink="">
        <xdr:nvSpPr>
          <xdr:cNvPr id="21" name="Retângulo Arredondado 1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 macro="[0]!bAltera_Clique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[0]!bAltera_Clique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33350" y="1285875"/>
          <a:ext cx="432155" cy="432094"/>
          <a:chOff x="276225" y="666750"/>
          <a:chExt cx="409575" cy="409575"/>
        </a:xfrm>
      </xdr:grpSpPr>
      <xdr:sp macro="[0]!Abre_Config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bre_Config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238125</xdr:colOff>
      <xdr:row>6</xdr:row>
      <xdr:rowOff>38100</xdr:rowOff>
    </xdr:from>
    <xdr:to>
      <xdr:col>17</xdr:col>
      <xdr:colOff>504825</xdr:colOff>
      <xdr:row>8</xdr:row>
      <xdr:rowOff>161925</xdr:rowOff>
    </xdr:to>
    <xdr:sp macro="[0]!abre_HorasExtra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ACCCC190-1BBE-4E10-8EEE-204333A144D7}"/>
            </a:ext>
          </a:extLst>
        </xdr:cNvPr>
        <xdr:cNvSpPr/>
      </xdr:nvSpPr>
      <xdr:spPr>
        <a:xfrm>
          <a:off x="13611225" y="1190625"/>
          <a:ext cx="1114425" cy="5048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Horas Extras por Período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36</xdr:col>
      <xdr:colOff>9525</xdr:colOff>
      <xdr:row>2</xdr:row>
      <xdr:rowOff>104775</xdr:rowOff>
    </xdr:to>
    <xdr:grpSp>
      <xdr:nvGrpSpPr>
        <xdr:cNvPr id="2" name="Agrupar 3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3190875" y="66675"/>
          <a:ext cx="12096750" cy="419100"/>
          <a:chOff x="3190875" y="66675"/>
          <a:chExt cx="10734675" cy="419100"/>
        </a:xfrm>
      </xdr:grpSpPr>
      <xdr:sp macro="[0]!Altera_Abas" textlink="">
        <xdr:nvSpPr>
          <xdr:cNvPr id="3" name="jan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[0]!Altera_Abas" textlink="">
        <xdr:nvSpPr>
          <xdr:cNvPr id="4" name="fev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[0]!Altera_Abas" textlink="">
        <xdr:nvSpPr>
          <xdr:cNvPr id="5" name="mar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[0]!Altera_Abas" textlink="">
        <xdr:nvSpPr>
          <xdr:cNvPr id="6" name="abr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[0]!Altera_Abas" textlink="">
        <xdr:nvSpPr>
          <xdr:cNvPr id="7" name="mai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[0]!Altera_Abas" textlink="">
        <xdr:nvSpPr>
          <xdr:cNvPr id="8" name="jun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[0]!Altera_Abas" textlink="">
        <xdr:nvSpPr>
          <xdr:cNvPr id="9" name="jul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[0]!Altera_Abas" textlink="">
        <xdr:nvSpPr>
          <xdr:cNvPr id="10" name="ago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[0]!Altera_Abas" textlink="">
        <xdr:nvSpPr>
          <xdr:cNvPr id="11" name="set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[0]!Altera_Abas" textlink="">
        <xdr:nvSpPr>
          <xdr:cNvPr id="12" name="out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[0]!Altera_Abas" textlink="">
        <xdr:nvSpPr>
          <xdr:cNvPr id="13" name="nov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[0]!Altera_Abas" textlink="">
        <xdr:nvSpPr>
          <xdr:cNvPr id="14" name="dez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5" name="Retângulo Arredondado 18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pSpPr/>
      </xdr:nvGrpSpPr>
      <xdr:grpSpPr>
        <a:xfrm>
          <a:off x="1885950" y="1247775"/>
          <a:ext cx="1142999" cy="466726"/>
          <a:chOff x="1238250" y="1247775"/>
          <a:chExt cx="1142999" cy="466726"/>
        </a:xfrm>
      </xdr:grpSpPr>
      <xdr:sp macro="[0]!add_Feriado" textlink="">
        <xdr:nvSpPr>
          <xdr:cNvPr id="17" name="Retângulo Arredondado 1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 macro="[0]!add_Feriado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[0]!add_Feriado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685800" y="1257300"/>
          <a:ext cx="1109906" cy="466725"/>
          <a:chOff x="38100" y="1257300"/>
          <a:chExt cx="1109906" cy="466725"/>
        </a:xfrm>
      </xdr:grpSpPr>
      <xdr:sp macro="[0]!bAltera_Clique" textlink="">
        <xdr:nvSpPr>
          <xdr:cNvPr id="21" name="Retângulo Arredondado 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 macro="[0]!bAltera_Clique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A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[0]!bAltera_Clique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133350" y="1285875"/>
          <a:ext cx="432155" cy="432094"/>
          <a:chOff x="276225" y="666750"/>
          <a:chExt cx="409575" cy="409575"/>
        </a:xfrm>
      </xdr:grpSpPr>
      <xdr:sp macro="[0]!Abre_Config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bre_Config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209550</xdr:colOff>
      <xdr:row>6</xdr:row>
      <xdr:rowOff>47625</xdr:rowOff>
    </xdr:from>
    <xdr:to>
      <xdr:col>17</xdr:col>
      <xdr:colOff>476250</xdr:colOff>
      <xdr:row>8</xdr:row>
      <xdr:rowOff>171450</xdr:rowOff>
    </xdr:to>
    <xdr:sp macro="[0]!abre_HorasExtra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DCD3876-CEA6-49EC-BCA1-534C9A610FC4}"/>
            </a:ext>
          </a:extLst>
        </xdr:cNvPr>
        <xdr:cNvSpPr/>
      </xdr:nvSpPr>
      <xdr:spPr>
        <a:xfrm>
          <a:off x="13582650" y="1200150"/>
          <a:ext cx="1114425" cy="5048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Horas Extras por Período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36</xdr:col>
      <xdr:colOff>9525</xdr:colOff>
      <xdr:row>2</xdr:row>
      <xdr:rowOff>104775</xdr:rowOff>
    </xdr:to>
    <xdr:grpSp>
      <xdr:nvGrpSpPr>
        <xdr:cNvPr id="2" name="Agrupar 3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3190875" y="66675"/>
          <a:ext cx="12096750" cy="419100"/>
          <a:chOff x="3190875" y="66675"/>
          <a:chExt cx="10734675" cy="419100"/>
        </a:xfrm>
      </xdr:grpSpPr>
      <xdr:sp macro="[0]!Altera_Abas" textlink="">
        <xdr:nvSpPr>
          <xdr:cNvPr id="3" name="jan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[0]!Altera_Abas" textlink="">
        <xdr:nvSpPr>
          <xdr:cNvPr id="4" name="fev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[0]!Altera_Abas" textlink="">
        <xdr:nvSpPr>
          <xdr:cNvPr id="5" name="mar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[0]!Altera_Abas" textlink="">
        <xdr:nvSpPr>
          <xdr:cNvPr id="6" name="abr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[0]!Altera_Abas" textlink="">
        <xdr:nvSpPr>
          <xdr:cNvPr id="7" name="mai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[0]!Altera_Abas" textlink="">
        <xdr:nvSpPr>
          <xdr:cNvPr id="8" name="jun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[0]!Altera_Abas" textlink="">
        <xdr:nvSpPr>
          <xdr:cNvPr id="9" name="jul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[0]!Altera_Abas" textlink="">
        <xdr:nvSpPr>
          <xdr:cNvPr id="10" name="ago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[0]!Altera_Abas" textlink="">
        <xdr:nvSpPr>
          <xdr:cNvPr id="11" name="set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[0]!Altera_Abas" textlink="">
        <xdr:nvSpPr>
          <xdr:cNvPr id="12" name="out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[0]!Altera_Abas" textlink="">
        <xdr:nvSpPr>
          <xdr:cNvPr id="13" name="nov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[0]!Altera_Abas" textlink="">
        <xdr:nvSpPr>
          <xdr:cNvPr id="14" name="dez">
            <a:extLst>
              <a:ext uri="{FF2B5EF4-FFF2-40B4-BE49-F238E27FC236}">
                <a16:creationId xmlns:a16="http://schemas.microsoft.com/office/drawing/2014/main" id="{00000000-0008-0000-0B00-00000E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5" name="Retângulo Arredondado 18">
            <a:extLst>
              <a:ext uri="{FF2B5EF4-FFF2-40B4-BE49-F238E27FC236}">
                <a16:creationId xmlns:a16="http://schemas.microsoft.com/office/drawing/2014/main" id="{00000000-0008-0000-0B00-00000F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GrpSpPr/>
      </xdr:nvGrpSpPr>
      <xdr:grpSpPr>
        <a:xfrm>
          <a:off x="1885950" y="1247775"/>
          <a:ext cx="1142999" cy="466726"/>
          <a:chOff x="1238250" y="1247775"/>
          <a:chExt cx="1142999" cy="466726"/>
        </a:xfrm>
      </xdr:grpSpPr>
      <xdr:sp macro="[0]!add_Feriado" textlink="">
        <xdr:nvSpPr>
          <xdr:cNvPr id="17" name="Retângulo Arredondado 1">
            <a:extLst>
              <a:ext uri="{FF2B5EF4-FFF2-40B4-BE49-F238E27FC236}">
                <a16:creationId xmlns:a16="http://schemas.microsoft.com/office/drawing/2014/main" id="{00000000-0008-0000-0B00-000011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 macro="[0]!add_Feriado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B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[0]!add_Feriado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685800" y="1257300"/>
          <a:ext cx="1109906" cy="466725"/>
          <a:chOff x="38100" y="1257300"/>
          <a:chExt cx="1109906" cy="466725"/>
        </a:xfrm>
      </xdr:grpSpPr>
      <xdr:sp macro="[0]!bAltera_Clique" textlink="">
        <xdr:nvSpPr>
          <xdr:cNvPr id="21" name="Retângulo Arredondado 1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 macro="[0]!bAltera_Clique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B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[0]!bAltera_Clique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133350" y="1285875"/>
          <a:ext cx="432155" cy="432094"/>
          <a:chOff x="276225" y="666750"/>
          <a:chExt cx="409575" cy="409575"/>
        </a:xfrm>
      </xdr:grpSpPr>
      <xdr:sp macro="[0]!Abre_Config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bre_Config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B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266700</xdr:colOff>
      <xdr:row>6</xdr:row>
      <xdr:rowOff>28575</xdr:rowOff>
    </xdr:from>
    <xdr:to>
      <xdr:col>17</xdr:col>
      <xdr:colOff>533400</xdr:colOff>
      <xdr:row>8</xdr:row>
      <xdr:rowOff>152400</xdr:rowOff>
    </xdr:to>
    <xdr:sp macro="[0]!abre_HorasExtra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10B468A5-58C4-4F59-9F22-E189115E8CAB}"/>
            </a:ext>
          </a:extLst>
        </xdr:cNvPr>
        <xdr:cNvSpPr/>
      </xdr:nvSpPr>
      <xdr:spPr>
        <a:xfrm>
          <a:off x="13639800" y="1181100"/>
          <a:ext cx="1114425" cy="5048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Horas Extras por Período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36</xdr:col>
      <xdr:colOff>9525</xdr:colOff>
      <xdr:row>2</xdr:row>
      <xdr:rowOff>104775</xdr:rowOff>
    </xdr:to>
    <xdr:grpSp>
      <xdr:nvGrpSpPr>
        <xdr:cNvPr id="2" name="Agrupar 3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3190875" y="66675"/>
          <a:ext cx="12096750" cy="419100"/>
          <a:chOff x="3190875" y="66675"/>
          <a:chExt cx="10734675" cy="419100"/>
        </a:xfrm>
      </xdr:grpSpPr>
      <xdr:sp macro="[0]!Altera_Abas" textlink="">
        <xdr:nvSpPr>
          <xdr:cNvPr id="3" name="jan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[0]!Altera_Abas" textlink="">
        <xdr:nvSpPr>
          <xdr:cNvPr id="4" name="fev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[0]!Altera_Abas" textlink="">
        <xdr:nvSpPr>
          <xdr:cNvPr id="5" name="mar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[0]!Altera_Abas" textlink="">
        <xdr:nvSpPr>
          <xdr:cNvPr id="6" name="abr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[0]!Altera_Abas" textlink="">
        <xdr:nvSpPr>
          <xdr:cNvPr id="7" name="mai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[0]!Altera_Abas" textlink="">
        <xdr:nvSpPr>
          <xdr:cNvPr id="8" name="jun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[0]!Altera_Abas" textlink="">
        <xdr:nvSpPr>
          <xdr:cNvPr id="9" name="jul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[0]!Altera_Abas" textlink="">
        <xdr:nvSpPr>
          <xdr:cNvPr id="10" name="ago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[0]!Altera_Abas" textlink="">
        <xdr:nvSpPr>
          <xdr:cNvPr id="11" name="set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[0]!Altera_Abas" textlink="">
        <xdr:nvSpPr>
          <xdr:cNvPr id="12" name="out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[0]!Altera_Abas" textlink="">
        <xdr:nvSpPr>
          <xdr:cNvPr id="13" name="nov">
            <a:extLst>
              <a:ext uri="{FF2B5EF4-FFF2-40B4-BE49-F238E27FC236}">
                <a16:creationId xmlns:a16="http://schemas.microsoft.com/office/drawing/2014/main" id="{00000000-0008-0000-0C00-00000D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[0]!Altera_Abas" textlink="">
        <xdr:nvSpPr>
          <xdr:cNvPr id="14" name="dez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5" name="Retângulo Arredondado 18">
            <a:extLst>
              <a:ext uri="{FF2B5EF4-FFF2-40B4-BE49-F238E27FC236}">
                <a16:creationId xmlns:a16="http://schemas.microsoft.com/office/drawing/2014/main" id="{00000000-0008-0000-0C00-00000F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pSpPr/>
      </xdr:nvGrpSpPr>
      <xdr:grpSpPr>
        <a:xfrm>
          <a:off x="1885950" y="1247775"/>
          <a:ext cx="1142999" cy="466726"/>
          <a:chOff x="1238250" y="1247775"/>
          <a:chExt cx="1142999" cy="466726"/>
        </a:xfrm>
      </xdr:grpSpPr>
      <xdr:sp macro="[0]!add_Feriado" textlink="">
        <xdr:nvSpPr>
          <xdr:cNvPr id="17" name="Retângulo Arredondado 1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 macro="[0]!add_Feriado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[0]!add_Feriado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685800" y="1257300"/>
          <a:ext cx="1109906" cy="466725"/>
          <a:chOff x="38100" y="1257300"/>
          <a:chExt cx="1109906" cy="466725"/>
        </a:xfrm>
      </xdr:grpSpPr>
      <xdr:sp macro="[0]!bAltera_Clique" textlink="">
        <xdr:nvSpPr>
          <xdr:cNvPr id="21" name="Retângulo Arredondado 1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 macro="[0]!bAltera_Clique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C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[0]!bAltera_Clique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133350" y="1285875"/>
          <a:ext cx="432155" cy="432094"/>
          <a:chOff x="276225" y="666750"/>
          <a:chExt cx="409575" cy="409575"/>
        </a:xfrm>
      </xdr:grpSpPr>
      <xdr:sp macro="[0]!Abre_Config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bre_Config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C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219075</xdr:colOff>
      <xdr:row>6</xdr:row>
      <xdr:rowOff>38100</xdr:rowOff>
    </xdr:from>
    <xdr:to>
      <xdr:col>17</xdr:col>
      <xdr:colOff>485775</xdr:colOff>
      <xdr:row>8</xdr:row>
      <xdr:rowOff>161925</xdr:rowOff>
    </xdr:to>
    <xdr:sp macro="[0]!abre_HorasExtra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FB759B4-E322-472D-95D2-F2EFA567A3A5}"/>
            </a:ext>
          </a:extLst>
        </xdr:cNvPr>
        <xdr:cNvSpPr/>
      </xdr:nvSpPr>
      <xdr:spPr>
        <a:xfrm>
          <a:off x="13592175" y="1190625"/>
          <a:ext cx="1114425" cy="5048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Horas Extras por Período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771525</xdr:colOff>
      <xdr:row>0</xdr:row>
      <xdr:rowOff>66675</xdr:rowOff>
    </xdr:from>
    <xdr:to>
      <xdr:col>36</xdr:col>
      <xdr:colOff>9525</xdr:colOff>
      <xdr:row>2</xdr:row>
      <xdr:rowOff>104775</xdr:rowOff>
    </xdr:to>
    <xdr:grpSp>
      <xdr:nvGrpSpPr>
        <xdr:cNvPr id="2" name="Agrupar 3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3190875" y="66675"/>
          <a:ext cx="12096750" cy="419100"/>
          <a:chOff x="3190875" y="66675"/>
          <a:chExt cx="10734675" cy="419100"/>
        </a:xfrm>
      </xdr:grpSpPr>
      <xdr:sp macro="[0]!Altera_Abas" textlink="">
        <xdr:nvSpPr>
          <xdr:cNvPr id="3" name="jan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/>
        </xdr:nvSpPr>
        <xdr:spPr>
          <a:xfrm>
            <a:off x="31908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Janeiro</a:t>
            </a:r>
          </a:p>
        </xdr:txBody>
      </xdr:sp>
      <xdr:sp macro="[0]!Altera_Abas" textlink="">
        <xdr:nvSpPr>
          <xdr:cNvPr id="4" name="fev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>
            <a:off x="40862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Fevereiro</a:t>
            </a:r>
          </a:p>
        </xdr:txBody>
      </xdr:sp>
      <xdr:sp macro="[0]!Altera_Abas" textlink="">
        <xdr:nvSpPr>
          <xdr:cNvPr id="5" name="mar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>
            <a:off x="49815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Março</a:t>
            </a:r>
          </a:p>
        </xdr:txBody>
      </xdr:sp>
      <xdr:sp macro="[0]!Altera_Abas" textlink="">
        <xdr:nvSpPr>
          <xdr:cNvPr id="6" name="abr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>
            <a:off x="58769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Abril</a:t>
            </a:r>
          </a:p>
        </xdr:txBody>
      </xdr:sp>
      <xdr:sp macro="[0]!Altera_Abas" textlink="">
        <xdr:nvSpPr>
          <xdr:cNvPr id="7" name="mai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67722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Maio</a:t>
            </a:r>
          </a:p>
        </xdr:txBody>
      </xdr:sp>
      <xdr:sp macro="[0]!Altera_Abas" textlink="">
        <xdr:nvSpPr>
          <xdr:cNvPr id="8" name="jun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>
            <a:off x="76676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Junho</a:t>
            </a:r>
          </a:p>
        </xdr:txBody>
      </xdr:sp>
      <xdr:sp macro="[0]!Altera_Abas" textlink="">
        <xdr:nvSpPr>
          <xdr:cNvPr id="9" name="jul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>
            <a:off x="85629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Julho</a:t>
            </a:r>
          </a:p>
        </xdr:txBody>
      </xdr:sp>
      <xdr:sp macro="[0]!Altera_Abas" textlink="">
        <xdr:nvSpPr>
          <xdr:cNvPr id="10" name="ago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94583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Agosto</a:t>
            </a:r>
          </a:p>
        </xdr:txBody>
      </xdr:sp>
      <xdr:sp macro="[0]!Altera_Abas" textlink="">
        <xdr:nvSpPr>
          <xdr:cNvPr id="11" name="set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/>
        </xdr:nvSpPr>
        <xdr:spPr>
          <a:xfrm>
            <a:off x="103536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Setembro</a:t>
            </a:r>
          </a:p>
        </xdr:txBody>
      </xdr:sp>
      <xdr:sp macro="[0]!Altera_Abas" textlink="">
        <xdr:nvSpPr>
          <xdr:cNvPr id="12" name="out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SpPr/>
        </xdr:nvSpPr>
        <xdr:spPr>
          <a:xfrm>
            <a:off x="1124902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Outubro</a:t>
            </a:r>
          </a:p>
        </xdr:txBody>
      </xdr:sp>
      <xdr:sp macro="[0]!Altera_Abas" textlink="">
        <xdr:nvSpPr>
          <xdr:cNvPr id="13" name="nov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/>
        </xdr:nvSpPr>
        <xdr:spPr>
          <a:xfrm>
            <a:off x="12144375" y="66675"/>
            <a:ext cx="885825" cy="333375"/>
          </a:xfrm>
          <a:prstGeom prst="roundRect">
            <a:avLst/>
          </a:prstGeom>
          <a:solidFill>
            <a:srgbClr val="87A6C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Novembro</a:t>
            </a:r>
          </a:p>
        </xdr:txBody>
      </xdr:sp>
      <xdr:sp macro="[0]!Altera_Abas" textlink="">
        <xdr:nvSpPr>
          <xdr:cNvPr id="14" name="dez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/>
        </xdr:nvSpPr>
        <xdr:spPr>
          <a:xfrm>
            <a:off x="13039725" y="66675"/>
            <a:ext cx="885825" cy="333375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Dezembro</a:t>
            </a:r>
          </a:p>
        </xdr:txBody>
      </xdr:sp>
      <xdr:sp macro="" textlink="">
        <xdr:nvSpPr>
          <xdr:cNvPr id="15" name="Retângulo Arredondado 18">
            <a:extLst>
              <a:ext uri="{FF2B5EF4-FFF2-40B4-BE49-F238E27FC236}">
                <a16:creationId xmlns:a16="http://schemas.microsoft.com/office/drawing/2014/main" id="{00000000-0008-0000-0D00-00000F000000}"/>
              </a:ext>
            </a:extLst>
          </xdr:cNvPr>
          <xdr:cNvSpPr/>
        </xdr:nvSpPr>
        <xdr:spPr>
          <a:xfrm>
            <a:off x="3190875" y="323851"/>
            <a:ext cx="10733492" cy="16192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561975</xdr:colOff>
      <xdr:row>6</xdr:row>
      <xdr:rowOff>95250</xdr:rowOff>
    </xdr:from>
    <xdr:to>
      <xdr:col>3</xdr:col>
      <xdr:colOff>609599</xdr:colOff>
      <xdr:row>8</xdr:row>
      <xdr:rowOff>180976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pSpPr/>
      </xdr:nvGrpSpPr>
      <xdr:grpSpPr>
        <a:xfrm>
          <a:off x="1885950" y="1247775"/>
          <a:ext cx="1142999" cy="466726"/>
          <a:chOff x="1238250" y="1247775"/>
          <a:chExt cx="1142999" cy="466726"/>
        </a:xfrm>
      </xdr:grpSpPr>
      <xdr:sp macro="[0]!add_Feriado" textlink="">
        <xdr:nvSpPr>
          <xdr:cNvPr id="17" name="Retângulo Arredondado 1">
            <a:extLst>
              <a:ext uri="{FF2B5EF4-FFF2-40B4-BE49-F238E27FC236}">
                <a16:creationId xmlns:a16="http://schemas.microsoft.com/office/drawing/2014/main" id="{00000000-0008-0000-0D00-000011000000}"/>
              </a:ext>
            </a:extLst>
          </xdr:cNvPr>
          <xdr:cNvSpPr/>
        </xdr:nvSpPr>
        <xdr:spPr>
          <a:xfrm>
            <a:off x="123825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800" b="1">
              <a:solidFill>
                <a:schemeClr val="bg1"/>
              </a:solidFill>
            </a:endParaRPr>
          </a:p>
        </xdr:txBody>
      </xdr:sp>
      <xdr:pic macro="[0]!add_Feriado"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505" y="1342230"/>
            <a:ext cx="296070" cy="296070"/>
          </a:xfrm>
          <a:prstGeom prst="rect">
            <a:avLst/>
          </a:prstGeom>
        </xdr:spPr>
      </xdr:pic>
      <xdr:sp macro="[0]!add_Feriado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SpPr txBox="1"/>
        </xdr:nvSpPr>
        <xdr:spPr>
          <a:xfrm>
            <a:off x="1562100" y="1247775"/>
            <a:ext cx="819149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900" b="1">
                <a:solidFill>
                  <a:schemeClr val="bg1"/>
                </a:solidFill>
              </a:rPr>
              <a:t>Adicionar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Feriado</a:t>
            </a:r>
            <a:r>
              <a:rPr lang="pt-BR" sz="900" b="1" baseline="0">
                <a:solidFill>
                  <a:schemeClr val="bg1"/>
                </a:solidFill>
              </a:rPr>
              <a:t> </a:t>
            </a:r>
            <a:r>
              <a:rPr lang="pt-BR" sz="900" b="1">
                <a:solidFill>
                  <a:schemeClr val="bg1"/>
                </a:solidFill>
              </a:rPr>
              <a:t>Local</a:t>
            </a:r>
          </a:p>
        </xdr:txBody>
      </xdr:sp>
    </xdr:grpSp>
    <xdr:clientData/>
  </xdr:twoCellAnchor>
  <xdr:twoCellAnchor>
    <xdr:from>
      <xdr:col>1</xdr:col>
      <xdr:colOff>76200</xdr:colOff>
      <xdr:row>6</xdr:row>
      <xdr:rowOff>104775</xdr:rowOff>
    </xdr:from>
    <xdr:to>
      <xdr:col>2</xdr:col>
      <xdr:colOff>471731</xdr:colOff>
      <xdr:row>9</xdr:row>
      <xdr:rowOff>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685800" y="1257300"/>
          <a:ext cx="1109906" cy="466725"/>
          <a:chOff x="38100" y="1257300"/>
          <a:chExt cx="1109906" cy="466725"/>
        </a:xfrm>
      </xdr:grpSpPr>
      <xdr:sp macro="[0]!bAltera_Clique" textlink="">
        <xdr:nvSpPr>
          <xdr:cNvPr id="21" name="Retângulo Arredondado 1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SpPr/>
        </xdr:nvSpPr>
        <xdr:spPr>
          <a:xfrm>
            <a:off x="38100" y="1276351"/>
            <a:ext cx="1109906" cy="43815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 b="1">
              <a:solidFill>
                <a:schemeClr val="bg1"/>
              </a:solidFill>
            </a:endParaRPr>
          </a:p>
        </xdr:txBody>
      </xdr:sp>
      <xdr:pic macro="[0]!bAltera_Clique"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355" y="1368191"/>
            <a:ext cx="257734" cy="257734"/>
          </a:xfrm>
          <a:prstGeom prst="rect">
            <a:avLst/>
          </a:prstGeom>
        </xdr:spPr>
      </xdr:pic>
      <xdr:sp macro="[0]!bAltera_Clique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SpPr txBox="1"/>
        </xdr:nvSpPr>
        <xdr:spPr>
          <a:xfrm>
            <a:off x="342899" y="1257300"/>
            <a:ext cx="7905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Alterar</a:t>
            </a:r>
          </a:p>
          <a:p>
            <a:pPr algn="ctr">
              <a:lnSpc>
                <a:spcPct val="100000"/>
              </a:lnSpc>
            </a:pPr>
            <a:r>
              <a:rPr lang="pt-BR" sz="1000" b="1">
                <a:solidFill>
                  <a:schemeClr val="bg1"/>
                </a:solidFill>
              </a:rPr>
              <a:t>Ano</a:t>
            </a:r>
          </a:p>
        </xdr:txBody>
      </xdr:sp>
    </xdr:grpSp>
    <xdr:clientData/>
  </xdr:twoCellAnchor>
  <xdr:twoCellAnchor>
    <xdr:from>
      <xdr:col>0</xdr:col>
      <xdr:colOff>133350</xdr:colOff>
      <xdr:row>6</xdr:row>
      <xdr:rowOff>133350</xdr:rowOff>
    </xdr:from>
    <xdr:to>
      <xdr:col>0</xdr:col>
      <xdr:colOff>565505</xdr:colOff>
      <xdr:row>8</xdr:row>
      <xdr:rowOff>184444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133350" y="1285875"/>
          <a:ext cx="432155" cy="432094"/>
          <a:chOff x="276225" y="666750"/>
          <a:chExt cx="409575" cy="409575"/>
        </a:xfrm>
      </xdr:grpSpPr>
      <xdr:sp macro="[0]!Abre_Config" textlink="">
        <xdr:nvSpPr>
          <xdr:cNvPr id="25" name="Elipse 2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/>
        </xdr:nvSpPr>
        <xdr:spPr>
          <a:xfrm>
            <a:off x="276225" y="666750"/>
            <a:ext cx="409575" cy="409575"/>
          </a:xfrm>
          <a:prstGeom prst="ellipse">
            <a:avLst/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bre_Config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D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4" y="742950"/>
            <a:ext cx="257175" cy="257175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276225</xdr:colOff>
      <xdr:row>6</xdr:row>
      <xdr:rowOff>38100</xdr:rowOff>
    </xdr:from>
    <xdr:to>
      <xdr:col>17</xdr:col>
      <xdr:colOff>542925</xdr:colOff>
      <xdr:row>8</xdr:row>
      <xdr:rowOff>161925</xdr:rowOff>
    </xdr:to>
    <xdr:sp macro="[0]!abre_HorasExtra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34304D8-0634-4D0F-B46C-1DA62A6F372A}"/>
            </a:ext>
          </a:extLst>
        </xdr:cNvPr>
        <xdr:cNvSpPr/>
      </xdr:nvSpPr>
      <xdr:spPr>
        <a:xfrm>
          <a:off x="13649325" y="1190625"/>
          <a:ext cx="1114425" cy="504825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Horas Extras por Período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4"/>
  <dimension ref="A1:AZ50"/>
  <sheetViews>
    <sheetView showGridLines="0" tabSelected="1" zoomScale="80" zoomScaleNormal="80" workbookViewId="0">
      <selection activeCell="AZ33" sqref="AZ33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37" width="9.140625" style="10" customWidth="1"/>
    <col min="38" max="16384" width="9.140625" style="10"/>
  </cols>
  <sheetData>
    <row r="1" spans="1:52" ht="47.25" customHeight="1" x14ac:dyDescent="0.25"/>
    <row r="2" spans="1:52" x14ac:dyDescent="0.25">
      <c r="A2" s="109" t="s">
        <v>86</v>
      </c>
      <c r="B2" s="109"/>
      <c r="C2" s="109"/>
      <c r="D2" s="109"/>
    </row>
    <row r="3" spans="1:52" ht="15.75" customHeight="1" thickBot="1" x14ac:dyDescent="0.3">
      <c r="A3" s="110" t="s">
        <v>85</v>
      </c>
      <c r="B3" s="110"/>
      <c r="C3" s="110"/>
      <c r="D3" s="110"/>
      <c r="AZ3" s="89" t="s">
        <v>87</v>
      </c>
    </row>
    <row r="4" spans="1:52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52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SUM(M12:M42)</f>
        <v>6.2514880952380949</v>
      </c>
      <c r="H5" s="13"/>
      <c r="I5" s="85" t="s">
        <v>31</v>
      </c>
      <c r="J5" s="16">
        <f>(SUM(S12:S42)*24)*Configurações!E15*(Configurações!I7+1)</f>
        <v>0</v>
      </c>
      <c r="K5" s="13"/>
      <c r="L5" s="85" t="s">
        <v>68</v>
      </c>
      <c r="M5" s="17">
        <f>SUM(J5:J9)</f>
        <v>0</v>
      </c>
      <c r="N5" s="14"/>
      <c r="O5" s="102" t="s">
        <v>44</v>
      </c>
      <c r="P5" s="103"/>
      <c r="Q5" s="18">
        <f>SUM(R12:R42)</f>
        <v>6.2514880952380949</v>
      </c>
      <c r="W5" s="19"/>
    </row>
    <row r="6" spans="1:52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SUM(O12:O42)</f>
        <v>0</v>
      </c>
      <c r="H6" s="13"/>
      <c r="I6" s="85" t="s">
        <v>34</v>
      </c>
      <c r="J6" s="16">
        <f>(SUM(T12:T42)*24)*Configurações!E15*(Configurações!I10+1)</f>
        <v>0</v>
      </c>
      <c r="K6" s="13"/>
      <c r="L6" s="86" t="s">
        <v>69</v>
      </c>
      <c r="M6" s="21">
        <f ca="1">((G7*24)+(G6*24))*Configurações!E15</f>
        <v>0</v>
      </c>
      <c r="U6" s="19"/>
      <c r="W6" s="22"/>
    </row>
    <row r="7" spans="1:52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SUM(P12:P42)</f>
        <v>0</v>
      </c>
      <c r="H7" s="13"/>
      <c r="I7" s="85" t="s">
        <v>32</v>
      </c>
      <c r="J7" s="16">
        <f>(SUM(U12:U42)*24)*Configurações!E15*(Configurações!I9+1)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52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SUM(Q12:Q42)</f>
        <v>0.33333333333333331</v>
      </c>
      <c r="H8" s="13"/>
      <c r="I8" s="85" t="s">
        <v>33</v>
      </c>
      <c r="J8" s="16">
        <f>(SUM(V12:V42)*24)*Configurações!E15*(Configurações!I8+1)</f>
        <v>0</v>
      </c>
      <c r="K8" s="13"/>
      <c r="L8" s="116" t="s">
        <v>63</v>
      </c>
      <c r="M8" s="117"/>
      <c r="N8" s="25"/>
      <c r="O8" s="85" t="s">
        <v>26</v>
      </c>
      <c r="P8" s="88">
        <v>0</v>
      </c>
    </row>
    <row r="9" spans="1:52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6.2514880952380949</v>
      </c>
      <c r="H9" s="13"/>
      <c r="I9" s="86" t="s">
        <v>30</v>
      </c>
      <c r="J9" s="27">
        <f>((((SUM(N12:N42)*24)*Configurações!E15*(Configurações!I6+1)))-(SUM(N12:N42)*24)*Configurações!E15)</f>
        <v>0</v>
      </c>
      <c r="K9" s="13"/>
      <c r="L9" s="120">
        <f ca="1">SUM(M5:M6)</f>
        <v>0</v>
      </c>
      <c r="M9" s="121"/>
      <c r="N9" s="28"/>
      <c r="O9" s="86" t="s">
        <v>25</v>
      </c>
      <c r="P9" s="26">
        <f ca="1">SUM(P8,G9)</f>
        <v>6.2514880952380949</v>
      </c>
    </row>
    <row r="10" spans="1:52" x14ac:dyDescent="0.25">
      <c r="B10" s="29">
        <v>40908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52" x14ac:dyDescent="0.25">
      <c r="A11" s="106" t="s">
        <v>7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52" x14ac:dyDescent="0.25">
      <c r="A12" s="106"/>
      <c r="B12" s="37">
        <f>IF(MONTH($B$10+ROW()-ROW($B$10)-2) = MONTH($B$10),$B$10+ROW()-ROW($B$10)-2,"")</f>
        <v>40908</v>
      </c>
      <c r="C12" s="38">
        <f t="shared" ref="C12:C42" si="0">B12</f>
        <v>40908</v>
      </c>
      <c r="D12" s="39" t="str">
        <f>IF(B12="","",IF(VerificaSeFeriado(B12),"Sim",""))</f>
        <v>Sim</v>
      </c>
      <c r="E12" s="40">
        <v>0.33333333333333331</v>
      </c>
      <c r="F12" s="40"/>
      <c r="G12" s="40"/>
      <c r="H12" s="40">
        <v>0.5</v>
      </c>
      <c r="I12" s="40"/>
      <c r="J12" s="40"/>
      <c r="K12" s="40"/>
      <c r="L12" s="40"/>
      <c r="M12" s="41">
        <f>IFERROR(IF((R12-AB12)&gt;(1*"00:00:01"),(R12-AB12),""),"")</f>
        <v>0.16666666666666669</v>
      </c>
      <c r="N12" s="42" t="str">
        <f>IF(SUM(W12:X12)*(1/52.5*60)&gt;0,SUM(W12:X12)*(1/52.5*60),"")</f>
        <v/>
      </c>
      <c r="O12" s="43" t="str">
        <f t="shared" ref="O12:O15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41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0.16666666666666669</v>
      </c>
      <c r="S12" s="44">
        <f>IF(D12="Sim",0,IF((OR(WEEKDAY(C12)=2,WEEKDAY(C12)=3,WEEKDAY(C12)=4,WEEKDAY(C12)=5,WEEKDAY(C12)=6))=TRUE,M12,IF(AND(WEEKDAY(C12)=7,Configurações!$C$11&gt;0)=TRUE,M12,IF(AND(WEEKDAY(C12)=1,Configurações!$C$12&gt;0)=TRUE,M12,0))))</f>
        <v>0</v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0.16666666666666669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:Y25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0.16666666666666669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0.16666666666666669</v>
      </c>
    </row>
    <row r="13" spans="1:52" x14ac:dyDescent="0.25">
      <c r="A13" s="106"/>
      <c r="B13" s="37">
        <f t="shared" ref="B13:B42" si="3">IF(MONTH($B$10+ROW()-ROW($B$10)-2) = MONTH($B$10),$B$10+ROW()-ROW($B$10)-2,"")</f>
        <v>40909</v>
      </c>
      <c r="C13" s="38">
        <f t="shared" si="0"/>
        <v>40909</v>
      </c>
      <c r="D13" s="39" t="str">
        <f>IF(B13="","",IF(VerificaSeFeriado(B13),"Sim",""))</f>
        <v/>
      </c>
      <c r="E13" s="40"/>
      <c r="F13" s="40"/>
      <c r="G13" s="40"/>
      <c r="H13" s="40"/>
      <c r="I13" s="40"/>
      <c r="J13" s="40"/>
      <c r="K13" s="40"/>
      <c r="L13" s="40"/>
      <c r="M13" s="41" t="str">
        <f t="shared" ref="M13:M42" si="4">IFERROR(IF((R13-AB13)&gt;(1*"00:00:01"),(R13-AB13),""),"")</f>
        <v/>
      </c>
      <c r="N13" s="42" t="str">
        <f t="shared" ref="N13:N42" si="5">IF(SUM(W13:X13)*(1/52.5*60)&gt;0,SUM(W13:X13)*(1/52.5*60),"")</f>
        <v/>
      </c>
      <c r="O13" s="43" t="str">
        <f t="shared" si="1"/>
        <v/>
      </c>
      <c r="P13" s="43" t="str">
        <f t="shared" ref="P13:P42" ca="1" si="6">IF(TODAY()&lt;=B13,"",IF(D13="Sim","",IF(AND(AA13="Sim",E13="",G13="",I13="",K13="")=TRUE,IF(Q13-AB13&lt;0,Q13-AB13,""),"")))</f>
        <v/>
      </c>
      <c r="Q13" s="41"/>
      <c r="R13" s="40">
        <f t="shared" ref="R13:R42" si="7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>
        <f>IF(D13="Sim",0,IF((OR(WEEKDAY(C13)=2,WEEKDAY(C13)=3,WEEKDAY(C13)=4,WEEKDAY(C13)=5,WEEKDAY(C13)=6))=TRUE,M13,IF(AND(WEEKDAY(C13)=7,Configurações!$C$11&gt;0)=TRUE,M13,IF(AND(WEEKDAY(C13)=1,Configurações!$C$12&gt;0)=TRUE,M13,0))))</f>
        <v>0</v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42" si="8">IF(D13="Sim",R13,0)</f>
        <v>0</v>
      </c>
      <c r="W13" s="44">
        <f t="shared" ref="W13:W42" si="9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42" si="10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si="2"/>
        <v>0</v>
      </c>
      <c r="Z13" s="45">
        <f t="shared" ref="Z13:Z42" si="11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42" si="12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42" si="13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42" si="14">IF(SUM(AG13:AH13)*(1/52.5*60)&gt;0,(SUM(AG13:AH13)*(1/52.5*60))-(SUM(AG13:AH13)),0)</f>
        <v>0</v>
      </c>
      <c r="AG13" s="84">
        <f t="shared" ref="AG13:AG42" si="15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42" si="16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42" si="17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42" si="18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52" x14ac:dyDescent="0.25">
      <c r="A14" s="106"/>
      <c r="B14" s="37">
        <f t="shared" si="3"/>
        <v>40910</v>
      </c>
      <c r="C14" s="38">
        <f t="shared" si="0"/>
        <v>40910</v>
      </c>
      <c r="D14" s="39" t="str">
        <f>IF(B14="","",IF(VerificaSeFeriado(B14),"Sim",""))</f>
        <v/>
      </c>
      <c r="E14" s="40"/>
      <c r="F14" s="40"/>
      <c r="G14" s="40"/>
      <c r="H14" s="40"/>
      <c r="I14" s="40"/>
      <c r="J14" s="40"/>
      <c r="K14" s="40"/>
      <c r="L14" s="40"/>
      <c r="M14" s="41" t="str">
        <f t="shared" si="4"/>
        <v/>
      </c>
      <c r="N14" s="42" t="str">
        <f t="shared" si="5"/>
        <v/>
      </c>
      <c r="O14" s="43" t="str">
        <f t="shared" si="1"/>
        <v/>
      </c>
      <c r="P14" s="43" t="str">
        <f t="shared" ca="1" si="6"/>
        <v/>
      </c>
      <c r="Q14" s="41"/>
      <c r="R14" s="40">
        <f t="shared" si="7"/>
        <v>0</v>
      </c>
      <c r="S14" s="44">
        <f>IF(D14="Sim",0,IF((OR(WEEKDAY(C14)=2,WEEKDAY(C14)=3,WEEKDAY(C14)=4,WEEKDAY(C14)=5,WEEKDAY(C14)=6))=TRUE,M14,IF(AND(WEEKDAY(C14)=7,Configurações!$C$11&gt;0)=TRUE,M14,IF(AND(WEEKDAY(C14)=1,Configurações!$C$12&gt;0)=TRUE,M14,0))))</f>
        <v>0</v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8"/>
        <v>0</v>
      </c>
      <c r="W14" s="44">
        <f t="shared" si="9"/>
        <v>0</v>
      </c>
      <c r="X14" s="45">
        <f t="shared" si="10"/>
        <v>0</v>
      </c>
      <c r="Y14" s="44">
        <f t="shared" si="2"/>
        <v>0</v>
      </c>
      <c r="Z14" s="45">
        <f t="shared" si="11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2"/>
        <v/>
      </c>
      <c r="AE14" s="11" t="str">
        <f t="shared" si="13"/>
        <v/>
      </c>
      <c r="AF14" s="83">
        <f t="shared" si="14"/>
        <v>0</v>
      </c>
      <c r="AG14" s="84">
        <f t="shared" si="15"/>
        <v>0</v>
      </c>
      <c r="AH14" s="84">
        <f t="shared" si="16"/>
        <v>0</v>
      </c>
      <c r="AI14" s="84">
        <f t="shared" si="17"/>
        <v>0</v>
      </c>
      <c r="AJ14" s="84">
        <f t="shared" si="18"/>
        <v>0</v>
      </c>
    </row>
    <row r="15" spans="1:52" x14ac:dyDescent="0.25">
      <c r="A15" s="106"/>
      <c r="B15" s="37">
        <f t="shared" si="3"/>
        <v>40911</v>
      </c>
      <c r="C15" s="38">
        <f t="shared" si="0"/>
        <v>40911</v>
      </c>
      <c r="D15" s="39" t="str">
        <f>IF(B15="","",IF(VerificaSeFeriado(B15),"Sim",""))</f>
        <v/>
      </c>
      <c r="E15" s="40">
        <v>0.33333333333333331</v>
      </c>
      <c r="F15" s="40">
        <v>0.5</v>
      </c>
      <c r="G15" s="40">
        <v>0.54166666666666663</v>
      </c>
      <c r="H15" s="40">
        <v>0.70833333333333337</v>
      </c>
      <c r="I15" s="40"/>
      <c r="J15" s="40"/>
      <c r="K15" s="40"/>
      <c r="L15" s="40"/>
      <c r="M15" s="41">
        <f t="shared" si="4"/>
        <v>0.33333333333333343</v>
      </c>
      <c r="N15" s="42" t="str">
        <f t="shared" si="5"/>
        <v/>
      </c>
      <c r="O15" s="43" t="str">
        <f t="shared" si="1"/>
        <v/>
      </c>
      <c r="P15" s="43" t="str">
        <f t="shared" ca="1" si="6"/>
        <v/>
      </c>
      <c r="Q15" s="41"/>
      <c r="R15" s="40">
        <f t="shared" si="7"/>
        <v>0.33333333333333343</v>
      </c>
      <c r="S15" s="44">
        <f>IF(D15="Sim",0,IF((OR(WEEKDAY(C15)=2,WEEKDAY(C15)=3,WEEKDAY(C15)=4,WEEKDAY(C15)=5,WEEKDAY(C15)=6))=TRUE,M15,IF(AND(WEEKDAY(C15)=7,Configurações!$C$11&gt;0)=TRUE,M15,IF(AND(WEEKDAY(C15)=1,Configurações!$C$12&gt;0)=TRUE,M15,0))))</f>
        <v>0.33333333333333343</v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8"/>
        <v>0</v>
      </c>
      <c r="W15" s="44">
        <f t="shared" si="9"/>
        <v>0</v>
      </c>
      <c r="X15" s="45">
        <f t="shared" si="10"/>
        <v>0</v>
      </c>
      <c r="Y15" s="44">
        <f t="shared" si="2"/>
        <v>0</v>
      </c>
      <c r="Z15" s="45">
        <f t="shared" si="11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2"/>
        <v/>
      </c>
      <c r="AE15" s="11" t="str">
        <f t="shared" si="13"/>
        <v/>
      </c>
      <c r="AF15" s="83">
        <f t="shared" si="14"/>
        <v>0</v>
      </c>
      <c r="AG15" s="84">
        <f t="shared" si="15"/>
        <v>0</v>
      </c>
      <c r="AH15" s="84">
        <f t="shared" si="16"/>
        <v>0</v>
      </c>
      <c r="AI15" s="84">
        <f t="shared" si="17"/>
        <v>0.33333333333333343</v>
      </c>
      <c r="AJ15" s="84">
        <f t="shared" si="18"/>
        <v>0.33333333333333343</v>
      </c>
    </row>
    <row r="16" spans="1:52" x14ac:dyDescent="0.25">
      <c r="A16" s="106"/>
      <c r="B16" s="37">
        <f t="shared" si="3"/>
        <v>40912</v>
      </c>
      <c r="C16" s="38">
        <f t="shared" si="0"/>
        <v>40912</v>
      </c>
      <c r="D16" s="39" t="str">
        <f>IF(B16="","",IF(VerificaSeFeriado(B16),"Sim",""))</f>
        <v/>
      </c>
      <c r="E16" s="40">
        <v>0.33333333333333331</v>
      </c>
      <c r="F16" s="40">
        <v>0.5</v>
      </c>
      <c r="G16" s="40">
        <v>0.54166666666666663</v>
      </c>
      <c r="H16" s="40">
        <v>0.70833333333333337</v>
      </c>
      <c r="I16" s="40"/>
      <c r="J16" s="40"/>
      <c r="K16" s="40"/>
      <c r="L16" s="40"/>
      <c r="M16" s="41">
        <f t="shared" si="4"/>
        <v>0.33333333333333343</v>
      </c>
      <c r="N16" s="42" t="str">
        <f t="shared" si="5"/>
        <v/>
      </c>
      <c r="O16" s="43" t="str">
        <f>IF(OR(D16="Sim",E16="")=TRUE,"",IF((R16-AB16)&gt;=(-"00:00:01"),"",(R16-AB16)))</f>
        <v/>
      </c>
      <c r="P16" s="43" t="str">
        <f t="shared" ca="1" si="6"/>
        <v/>
      </c>
      <c r="Q16" s="41"/>
      <c r="R16" s="40">
        <f t="shared" si="7"/>
        <v>0.33333333333333343</v>
      </c>
      <c r="S16" s="44">
        <f>IF(D16="Sim",0,IF((OR(WEEKDAY(C16)=2,WEEKDAY(C16)=3,WEEKDAY(C16)=4,WEEKDAY(C16)=5,WEEKDAY(C16)=6))=TRUE,M16,IF(AND(WEEKDAY(C16)=7,Configurações!$C$11&gt;0)=TRUE,M16,IF(AND(WEEKDAY(C16)=1,Configurações!$C$12&gt;0)=TRUE,M16,0))))</f>
        <v>0.33333333333333343</v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8"/>
        <v>0</v>
      </c>
      <c r="W16" s="44">
        <f t="shared" si="9"/>
        <v>0</v>
      </c>
      <c r="X16" s="45">
        <f t="shared" si="10"/>
        <v>0</v>
      </c>
      <c r="Y16" s="44">
        <f t="shared" si="2"/>
        <v>0</v>
      </c>
      <c r="Z16" s="45">
        <f t="shared" si="11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2"/>
        <v/>
      </c>
      <c r="AE16" s="11" t="str">
        <f t="shared" si="13"/>
        <v/>
      </c>
      <c r="AF16" s="83">
        <f t="shared" si="14"/>
        <v>0</v>
      </c>
      <c r="AG16" s="84">
        <f t="shared" si="15"/>
        <v>0</v>
      </c>
      <c r="AH16" s="84">
        <f t="shared" si="16"/>
        <v>0</v>
      </c>
      <c r="AI16" s="84">
        <f t="shared" si="17"/>
        <v>0.33333333333333343</v>
      </c>
      <c r="AJ16" s="84">
        <f t="shared" si="18"/>
        <v>0.33333333333333343</v>
      </c>
    </row>
    <row r="17" spans="1:51" x14ac:dyDescent="0.25">
      <c r="A17" s="106"/>
      <c r="B17" s="37">
        <f t="shared" si="3"/>
        <v>40913</v>
      </c>
      <c r="C17" s="38">
        <f t="shared" si="0"/>
        <v>40913</v>
      </c>
      <c r="D17" s="39" t="str">
        <f>IF(B17="","",IF(VerificaSeFeriado(B17),"Sim",""))</f>
        <v/>
      </c>
      <c r="E17" s="40">
        <v>0.33333333333333331</v>
      </c>
      <c r="F17" s="40">
        <v>0.5</v>
      </c>
      <c r="G17" s="40">
        <v>0.54166666666666663</v>
      </c>
      <c r="H17" s="40">
        <v>0.70833333333333337</v>
      </c>
      <c r="I17" s="40"/>
      <c r="J17" s="40"/>
      <c r="K17" s="40"/>
      <c r="L17" s="40"/>
      <c r="M17" s="41">
        <f t="shared" si="4"/>
        <v>0.33333333333333343</v>
      </c>
      <c r="N17" s="42" t="str">
        <f t="shared" si="5"/>
        <v/>
      </c>
      <c r="O17" s="43" t="str">
        <f>IF(OR(D17="Sim",E17="")=TRUE,"",IF((R17-AB17)&gt;=(-"00:00:01"),"",(R17-AB17)))</f>
        <v/>
      </c>
      <c r="P17" s="43" t="str">
        <f t="shared" ca="1" si="6"/>
        <v/>
      </c>
      <c r="Q17" s="41"/>
      <c r="R17" s="40">
        <f t="shared" si="7"/>
        <v>0.33333333333333343</v>
      </c>
      <c r="S17" s="44">
        <f>IF(D17="Sim",0,IF((OR(WEEKDAY(C17)=2,WEEKDAY(C17)=3,WEEKDAY(C17)=4,WEEKDAY(C17)=5,WEEKDAY(C17)=6))=TRUE,M17,IF(AND(WEEKDAY(C17)=7,Configurações!$C$11&gt;0)=TRUE,M17,IF(AND(WEEKDAY(C17)=1,Configurações!$C$12&gt;0)=TRUE,M17,0))))</f>
        <v>0.33333333333333343</v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8"/>
        <v>0</v>
      </c>
      <c r="W17" s="44">
        <f t="shared" si="9"/>
        <v>0</v>
      </c>
      <c r="X17" s="45">
        <f t="shared" si="10"/>
        <v>0</v>
      </c>
      <c r="Y17" s="44">
        <f t="shared" si="2"/>
        <v>0</v>
      </c>
      <c r="Z17" s="45">
        <f t="shared" si="11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2"/>
        <v/>
      </c>
      <c r="AE17" s="11" t="str">
        <f t="shared" si="13"/>
        <v/>
      </c>
      <c r="AF17" s="83">
        <f t="shared" si="14"/>
        <v>0</v>
      </c>
      <c r="AG17" s="84">
        <f t="shared" si="15"/>
        <v>0</v>
      </c>
      <c r="AH17" s="84">
        <f t="shared" si="16"/>
        <v>0</v>
      </c>
      <c r="AI17" s="84">
        <f t="shared" si="17"/>
        <v>0.33333333333333343</v>
      </c>
      <c r="AJ17" s="84">
        <f t="shared" si="18"/>
        <v>0.33333333333333343</v>
      </c>
    </row>
    <row r="18" spans="1:51" x14ac:dyDescent="0.25">
      <c r="A18" s="106"/>
      <c r="B18" s="37">
        <f t="shared" si="3"/>
        <v>40914</v>
      </c>
      <c r="C18" s="38">
        <f t="shared" si="0"/>
        <v>40914</v>
      </c>
      <c r="D18" s="39" t="str">
        <f>IF(B18="","",IF(VerificaSeFeriado(B18),"Sim",""))</f>
        <v/>
      </c>
      <c r="E18" s="40">
        <v>0.33333333333333331</v>
      </c>
      <c r="F18" s="40">
        <v>0.5</v>
      </c>
      <c r="G18" s="40">
        <v>0.54166666666666663</v>
      </c>
      <c r="H18" s="40">
        <v>0.70833333333333337</v>
      </c>
      <c r="I18" s="40"/>
      <c r="J18" s="40"/>
      <c r="K18" s="40"/>
      <c r="L18" s="40"/>
      <c r="M18" s="41">
        <f t="shared" si="4"/>
        <v>0.33333333333333343</v>
      </c>
      <c r="N18" s="42" t="str">
        <f t="shared" si="5"/>
        <v/>
      </c>
      <c r="O18" s="43" t="str">
        <f t="shared" ref="O18:O42" si="19">IF(OR(D18="Sim",E18="")=TRUE,"",IF((R18-AB18)&gt;=(-"00:00:01"),"",(R18-AB18)))</f>
        <v/>
      </c>
      <c r="P18" s="43" t="str">
        <f t="shared" ca="1" si="6"/>
        <v/>
      </c>
      <c r="Q18" s="41"/>
      <c r="R18" s="40">
        <f t="shared" si="7"/>
        <v>0.33333333333333343</v>
      </c>
      <c r="S18" s="44">
        <f>IF(D18="Sim",0,IF((OR(WEEKDAY(C18)=2,WEEKDAY(C18)=3,WEEKDAY(C18)=4,WEEKDAY(C18)=5,WEEKDAY(C18)=6))=TRUE,M18,IF(AND(WEEKDAY(C18)=7,Configurações!$C$11&gt;0)=TRUE,M18,IF(AND(WEEKDAY(C18)=1,Configurações!$C$12&gt;0)=TRUE,M18,0))))</f>
        <v>0.33333333333333343</v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8"/>
        <v>0</v>
      </c>
      <c r="W18" s="44">
        <f t="shared" si="9"/>
        <v>0</v>
      </c>
      <c r="X18" s="45">
        <f t="shared" si="10"/>
        <v>0</v>
      </c>
      <c r="Y18" s="44">
        <f t="shared" si="2"/>
        <v>0</v>
      </c>
      <c r="Z18" s="45">
        <f t="shared" si="11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2"/>
        <v/>
      </c>
      <c r="AE18" s="11" t="str">
        <f t="shared" si="13"/>
        <v/>
      </c>
      <c r="AF18" s="83">
        <f t="shared" si="14"/>
        <v>0</v>
      </c>
      <c r="AG18" s="84">
        <f t="shared" si="15"/>
        <v>0</v>
      </c>
      <c r="AH18" s="84">
        <f t="shared" si="16"/>
        <v>0</v>
      </c>
      <c r="AI18" s="84">
        <f t="shared" si="17"/>
        <v>0.33333333333333343</v>
      </c>
      <c r="AJ18" s="84">
        <f t="shared" si="18"/>
        <v>0.33333333333333343</v>
      </c>
    </row>
    <row r="19" spans="1:51" x14ac:dyDescent="0.25">
      <c r="A19" s="106"/>
      <c r="B19" s="37">
        <f t="shared" si="3"/>
        <v>40915</v>
      </c>
      <c r="C19" s="38">
        <f t="shared" si="0"/>
        <v>40915</v>
      </c>
      <c r="D19" s="39" t="str">
        <f>IF(B19="","",IF(VerificaSeFeriado(B19),"Sim",""))</f>
        <v/>
      </c>
      <c r="E19" s="40">
        <v>0.33333333333333331</v>
      </c>
      <c r="F19" s="40">
        <v>0.5</v>
      </c>
      <c r="G19" s="40">
        <v>0.54166666666666663</v>
      </c>
      <c r="H19" s="40">
        <v>0.70833333333333337</v>
      </c>
      <c r="I19" s="40"/>
      <c r="J19" s="40"/>
      <c r="K19" s="40"/>
      <c r="L19" s="40"/>
      <c r="M19" s="41">
        <f t="shared" si="4"/>
        <v>0.33333333333333343</v>
      </c>
      <c r="N19" s="42" t="str">
        <f t="shared" si="5"/>
        <v/>
      </c>
      <c r="O19" s="43" t="str">
        <f t="shared" si="19"/>
        <v/>
      </c>
      <c r="P19" s="43" t="str">
        <f t="shared" ca="1" si="6"/>
        <v/>
      </c>
      <c r="Q19" s="41"/>
      <c r="R19" s="40">
        <f t="shared" si="7"/>
        <v>0.33333333333333343</v>
      </c>
      <c r="S19" s="44">
        <f>IF(D19="Sim",0,IF((OR(WEEKDAY(C19)=2,WEEKDAY(C19)=3,WEEKDAY(C19)=4,WEEKDAY(C19)=5,WEEKDAY(C19)=6))=TRUE,M19,IF(AND(WEEKDAY(C19)=7,Configurações!$C$11&gt;0)=TRUE,M19,IF(AND(WEEKDAY(C19)=1,Configurações!$C$12&gt;0)=TRUE,M19,0))))</f>
        <v>0.33333333333333343</v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8"/>
        <v>0</v>
      </c>
      <c r="W19" s="44">
        <f t="shared" si="9"/>
        <v>0</v>
      </c>
      <c r="X19" s="45">
        <f t="shared" si="10"/>
        <v>0</v>
      </c>
      <c r="Y19" s="44">
        <f t="shared" si="2"/>
        <v>0</v>
      </c>
      <c r="Z19" s="45">
        <f t="shared" si="11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2"/>
        <v/>
      </c>
      <c r="AE19" s="11" t="str">
        <f t="shared" si="13"/>
        <v/>
      </c>
      <c r="AF19" s="83">
        <f t="shared" si="14"/>
        <v>0</v>
      </c>
      <c r="AG19" s="84">
        <f t="shared" si="15"/>
        <v>0</v>
      </c>
      <c r="AH19" s="84">
        <f t="shared" si="16"/>
        <v>0</v>
      </c>
      <c r="AI19" s="84">
        <f t="shared" si="17"/>
        <v>0.33333333333333343</v>
      </c>
      <c r="AJ19" s="84">
        <f t="shared" si="18"/>
        <v>0.33333333333333343</v>
      </c>
    </row>
    <row r="20" spans="1:51" x14ac:dyDescent="0.25">
      <c r="A20" s="106"/>
      <c r="B20" s="37">
        <f t="shared" si="3"/>
        <v>40916</v>
      </c>
      <c r="C20" s="38">
        <f t="shared" si="0"/>
        <v>40916</v>
      </c>
      <c r="D20" s="39" t="str">
        <f>IF(B20="","",IF(VerificaSeFeriado(B20),"Sim",""))</f>
        <v/>
      </c>
      <c r="E20" s="40"/>
      <c r="F20" s="40"/>
      <c r="G20" s="40"/>
      <c r="H20" s="40"/>
      <c r="I20" s="40"/>
      <c r="J20" s="40"/>
      <c r="K20" s="40"/>
      <c r="L20" s="40"/>
      <c r="M20" s="41" t="str">
        <f t="shared" si="4"/>
        <v/>
      </c>
      <c r="N20" s="42" t="str">
        <f t="shared" si="5"/>
        <v/>
      </c>
      <c r="O20" s="43" t="str">
        <f t="shared" si="19"/>
        <v/>
      </c>
      <c r="P20" s="43" t="str">
        <f t="shared" ca="1" si="6"/>
        <v/>
      </c>
      <c r="Q20" s="41"/>
      <c r="R20" s="40">
        <f t="shared" si="7"/>
        <v>0</v>
      </c>
      <c r="S20" s="44">
        <f>IF(D20="Sim",0,IF((OR(WEEKDAY(C20)=2,WEEKDAY(C20)=3,WEEKDAY(C20)=4,WEEKDAY(C20)=5,WEEKDAY(C20)=6))=TRUE,M20,IF(AND(WEEKDAY(C20)=7,Configurações!$C$11&gt;0)=TRUE,M20,IF(AND(WEEKDAY(C20)=1,Configurações!$C$12&gt;0)=TRUE,M20,0))))</f>
        <v>0</v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8"/>
        <v>0</v>
      </c>
      <c r="W20" s="44">
        <f t="shared" si="9"/>
        <v>0</v>
      </c>
      <c r="X20" s="45">
        <f t="shared" si="10"/>
        <v>0</v>
      </c>
      <c r="Y20" s="44">
        <f t="shared" si="2"/>
        <v>0</v>
      </c>
      <c r="Z20" s="45">
        <f t="shared" si="11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2"/>
        <v/>
      </c>
      <c r="AE20" s="11" t="str">
        <f t="shared" si="13"/>
        <v/>
      </c>
      <c r="AF20" s="83">
        <f t="shared" si="14"/>
        <v>0</v>
      </c>
      <c r="AG20" s="84">
        <f t="shared" si="15"/>
        <v>0</v>
      </c>
      <c r="AH20" s="84">
        <f t="shared" si="16"/>
        <v>0</v>
      </c>
      <c r="AI20" s="84">
        <f t="shared" si="17"/>
        <v>0</v>
      </c>
      <c r="AJ20" s="84">
        <f t="shared" si="18"/>
        <v>0</v>
      </c>
    </row>
    <row r="21" spans="1:51" x14ac:dyDescent="0.25">
      <c r="A21" s="106"/>
      <c r="B21" s="37">
        <f t="shared" si="3"/>
        <v>40917</v>
      </c>
      <c r="C21" s="38">
        <f t="shared" si="0"/>
        <v>40917</v>
      </c>
      <c r="D21" s="39" t="str">
        <f>IF(B21="","",IF(VerificaSeFeriado(B21),"Sim",""))</f>
        <v/>
      </c>
      <c r="E21" s="40"/>
      <c r="F21" s="40"/>
      <c r="G21" s="40"/>
      <c r="H21" s="40"/>
      <c r="I21" s="40"/>
      <c r="J21" s="40"/>
      <c r="K21" s="40"/>
      <c r="L21" s="40"/>
      <c r="M21" s="41" t="str">
        <f t="shared" si="4"/>
        <v/>
      </c>
      <c r="N21" s="42" t="str">
        <f t="shared" si="5"/>
        <v/>
      </c>
      <c r="O21" s="43" t="str">
        <f t="shared" si="19"/>
        <v/>
      </c>
      <c r="P21" s="43" t="str">
        <f t="shared" ca="1" si="6"/>
        <v/>
      </c>
      <c r="Q21" s="41"/>
      <c r="R21" s="40">
        <f t="shared" si="7"/>
        <v>0</v>
      </c>
      <c r="S21" s="44">
        <f>IF(D21="Sim",0,IF((OR(WEEKDAY(C21)=2,WEEKDAY(C21)=3,WEEKDAY(C21)=4,WEEKDAY(C21)=5,WEEKDAY(C21)=6))=TRUE,M21,IF(AND(WEEKDAY(C21)=7,Configurações!$C$11&gt;0)=TRUE,M21,IF(AND(WEEKDAY(C21)=1,Configurações!$C$12&gt;0)=TRUE,M21,0))))</f>
        <v>0</v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8"/>
        <v>0</v>
      </c>
      <c r="W21" s="44">
        <f t="shared" si="9"/>
        <v>0</v>
      </c>
      <c r="X21" s="45">
        <f t="shared" si="10"/>
        <v>0</v>
      </c>
      <c r="Y21" s="44">
        <f t="shared" si="2"/>
        <v>0</v>
      </c>
      <c r="Z21" s="45">
        <f t="shared" si="11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2"/>
        <v/>
      </c>
      <c r="AE21" s="11" t="str">
        <f t="shared" si="13"/>
        <v/>
      </c>
      <c r="AF21" s="83">
        <f t="shared" si="14"/>
        <v>0</v>
      </c>
      <c r="AG21" s="84">
        <f t="shared" si="15"/>
        <v>0</v>
      </c>
      <c r="AH21" s="84">
        <f t="shared" si="16"/>
        <v>0</v>
      </c>
      <c r="AI21" s="84">
        <f t="shared" si="17"/>
        <v>0</v>
      </c>
      <c r="AJ21" s="84">
        <f t="shared" si="18"/>
        <v>0</v>
      </c>
    </row>
    <row r="22" spans="1:51" x14ac:dyDescent="0.25">
      <c r="A22" s="106"/>
      <c r="B22" s="37">
        <f t="shared" si="3"/>
        <v>40918</v>
      </c>
      <c r="C22" s="38">
        <f t="shared" si="0"/>
        <v>40918</v>
      </c>
      <c r="D22" s="39" t="str">
        <f>IF(B22="","",IF(VerificaSeFeriado(B22),"Sim",""))</f>
        <v/>
      </c>
      <c r="E22" s="40">
        <v>0.33333333333333331</v>
      </c>
      <c r="F22" s="40"/>
      <c r="G22" s="40"/>
      <c r="H22" s="40">
        <v>0.5</v>
      </c>
      <c r="I22" s="40">
        <v>0.91666666666666663</v>
      </c>
      <c r="J22" s="40"/>
      <c r="K22" s="40"/>
      <c r="L22" s="40">
        <v>8.3333333333333329E-2</v>
      </c>
      <c r="M22" s="41">
        <f t="shared" si="4"/>
        <v>0.38095238095238099</v>
      </c>
      <c r="N22" s="42">
        <f t="shared" si="5"/>
        <v>0.38095238095238099</v>
      </c>
      <c r="O22" s="43" t="str">
        <f>IF(OR(D22="Sim",E22="")=TRUE,"",IF((R22-AB22)&gt;=(-"00:00:01"),"",(R22-AB22)))</f>
        <v/>
      </c>
      <c r="P22" s="43" t="str">
        <f ca="1">IF(TODAY()&lt;=B22,"",IF(D22="Sim","",IF(AND(AA22="Sim",E22="",G22="",I22="",K22="")=TRUE,IF(Q22-AB22&lt;0,Q22-AB22,""),"")))</f>
        <v/>
      </c>
      <c r="Q22" s="41"/>
      <c r="R22" s="40">
        <f t="shared" si="7"/>
        <v>0.38095238095238099</v>
      </c>
      <c r="S22" s="44">
        <f>IF(D22="Sim",0,IF((OR(WEEKDAY(C22)=2,WEEKDAY(C22)=3,WEEKDAY(C22)=4,WEEKDAY(C22)=5,WEEKDAY(C22)=6))=TRUE,M22,IF(AND(WEEKDAY(C22)=7,Configurações!$C$11&gt;0)=TRUE,M22,IF(AND(WEEKDAY(C22)=1,Configurações!$C$12&gt;0)=TRUE,M22,0))))</f>
        <v>0.38095238095238099</v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8"/>
        <v>0</v>
      </c>
      <c r="W22" s="44">
        <f t="shared" si="9"/>
        <v>0</v>
      </c>
      <c r="X22" s="45">
        <f t="shared" si="10"/>
        <v>0.33333333333333331</v>
      </c>
      <c r="Y22" s="44">
        <f t="shared" si="2"/>
        <v>0</v>
      </c>
      <c r="Z22" s="45">
        <f t="shared" si="11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>IF(E22="","",IF(OR(AND(E22&gt;=(1*"22:00"),((1*"29:00")-E22-Y22)&gt;=AB22)=TRUE,AND(AND(E22&gt;=0,E22&lt;=(1*"5:00"))=TRUE,(1*"5:00")-E22-Y22&gt;=AB22)=TRUE)=TRUE,"Sumula",IF(OR(E22&gt;=(1*"22:00"),AND(E22&lt;(1*"5:00"),E22&gt;=(1*"0:00"))=TRUE)=TRUE,"Noite",IF(OR(H22&lt;E22,H22&gt;(1*"22:00"))=TRUE,"Dia",""))))</f>
        <v/>
      </c>
      <c r="AE22" s="11" t="str">
        <f t="shared" si="13"/>
        <v>Sumula</v>
      </c>
      <c r="AF22" s="83">
        <f t="shared" si="14"/>
        <v>4.7619047619047672E-2</v>
      </c>
      <c r="AG22" s="84">
        <f t="shared" si="15"/>
        <v>0</v>
      </c>
      <c r="AH22" s="84">
        <f t="shared" si="16"/>
        <v>0.33333333333333331</v>
      </c>
      <c r="AI22" s="84">
        <f t="shared" si="17"/>
        <v>0.33333333333333331</v>
      </c>
      <c r="AJ22" s="84">
        <f t="shared" si="18"/>
        <v>0.33333333333333331</v>
      </c>
    </row>
    <row r="23" spans="1:51" x14ac:dyDescent="0.25">
      <c r="A23" s="106"/>
      <c r="B23" s="37">
        <f t="shared" si="3"/>
        <v>40919</v>
      </c>
      <c r="C23" s="38">
        <f t="shared" si="0"/>
        <v>40919</v>
      </c>
      <c r="D23" s="91" t="s">
        <v>88</v>
      </c>
      <c r="E23" s="40"/>
      <c r="F23" s="40"/>
      <c r="G23" s="40"/>
      <c r="H23" s="40"/>
      <c r="I23" s="40"/>
      <c r="J23" s="40"/>
      <c r="K23" s="40"/>
      <c r="L23" s="40"/>
      <c r="M23" s="41" t="str">
        <f t="shared" si="4"/>
        <v/>
      </c>
      <c r="N23" s="42" t="str">
        <f t="shared" si="5"/>
        <v/>
      </c>
      <c r="O23" s="43" t="str">
        <f t="shared" si="19"/>
        <v/>
      </c>
      <c r="P23" s="43" t="str">
        <f t="shared" ca="1" si="6"/>
        <v/>
      </c>
      <c r="Q23" s="41"/>
      <c r="R23" s="40">
        <f t="shared" si="7"/>
        <v>0</v>
      </c>
      <c r="S23" s="44">
        <f>IF(D23="Sim",0,IF((OR(WEEKDAY(C23)=2,WEEKDAY(C23)=3,WEEKDAY(C23)=4,WEEKDAY(C23)=5,WEEKDAY(C23)=6))=TRUE,M23,IF(AND(WEEKDAY(C23)=7,Configurações!$C$11&gt;0)=TRUE,M23,IF(AND(WEEKDAY(C23)=1,Configurações!$C$12&gt;0)=TRUE,M23,0))))</f>
        <v>0</v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8"/>
        <v>0</v>
      </c>
      <c r="W23" s="44">
        <f t="shared" si="9"/>
        <v>0</v>
      </c>
      <c r="X23" s="45">
        <f t="shared" si="10"/>
        <v>0</v>
      </c>
      <c r="Y23" s="44">
        <f t="shared" si="2"/>
        <v>0</v>
      </c>
      <c r="Z23" s="45">
        <f t="shared" si="11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2"/>
        <v/>
      </c>
      <c r="AE23" s="11" t="str">
        <f t="shared" si="13"/>
        <v/>
      </c>
      <c r="AF23" s="83">
        <f t="shared" si="14"/>
        <v>0</v>
      </c>
      <c r="AG23" s="84">
        <f t="shared" si="15"/>
        <v>0</v>
      </c>
      <c r="AH23" s="84">
        <f t="shared" si="16"/>
        <v>0</v>
      </c>
      <c r="AI23" s="84">
        <f t="shared" si="17"/>
        <v>0</v>
      </c>
      <c r="AJ23" s="84">
        <f t="shared" si="18"/>
        <v>0</v>
      </c>
    </row>
    <row r="24" spans="1:51" x14ac:dyDescent="0.25">
      <c r="A24" s="106"/>
      <c r="B24" s="37">
        <f t="shared" si="3"/>
        <v>40920</v>
      </c>
      <c r="C24" s="38">
        <f t="shared" si="0"/>
        <v>40920</v>
      </c>
      <c r="D24" s="39" t="str">
        <f>IF(B24="","",IF(VerificaSeFeriado(B24),"Sim",""))</f>
        <v/>
      </c>
      <c r="E24" s="40">
        <v>0.91666666666666663</v>
      </c>
      <c r="F24" s="40">
        <v>0</v>
      </c>
      <c r="G24" s="40">
        <v>4.1666666666666664E-2</v>
      </c>
      <c r="H24" s="40">
        <v>0.29166666666666669</v>
      </c>
      <c r="I24" s="40"/>
      <c r="J24" s="40"/>
      <c r="K24" s="40"/>
      <c r="L24" s="40"/>
      <c r="M24" s="41">
        <f t="shared" si="4"/>
        <v>0.38095238095238104</v>
      </c>
      <c r="N24" s="42">
        <f t="shared" si="5"/>
        <v>0.38095238095238104</v>
      </c>
      <c r="O24" s="43" t="str">
        <f t="shared" si="19"/>
        <v/>
      </c>
      <c r="P24" s="43" t="str">
        <f t="shared" ca="1" si="6"/>
        <v/>
      </c>
      <c r="Q24" s="41"/>
      <c r="R24" s="40">
        <f t="shared" si="7"/>
        <v>0.38095238095238104</v>
      </c>
      <c r="S24" s="44">
        <f>IF(D24="Sim",0,IF((OR(WEEKDAY(C24)=2,WEEKDAY(C24)=3,WEEKDAY(C24)=4,WEEKDAY(C24)=5,WEEKDAY(C24)=6))=TRUE,M24,IF(AND(WEEKDAY(C24)=7,Configurações!$C$11&gt;0)=TRUE,M24,IF(AND(WEEKDAY(C24)=1,Configurações!$C$12&gt;0)=TRUE,M24,0))))</f>
        <v>0.38095238095238104</v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8"/>
        <v>0</v>
      </c>
      <c r="W24" s="44">
        <f t="shared" si="9"/>
        <v>0.33333333333333337</v>
      </c>
      <c r="X24" s="45">
        <f t="shared" si="10"/>
        <v>0</v>
      </c>
      <c r="Y24" s="44">
        <f t="shared" si="2"/>
        <v>4.1666666666666664E-2</v>
      </c>
      <c r="Z24" s="45">
        <f t="shared" si="11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2"/>
        <v>Sumula</v>
      </c>
      <c r="AE24" s="11" t="str">
        <f t="shared" si="13"/>
        <v/>
      </c>
      <c r="AF24" s="83">
        <f t="shared" si="14"/>
        <v>4.7619047619047672E-2</v>
      </c>
      <c r="AG24" s="84">
        <f t="shared" si="15"/>
        <v>0.33333333333333337</v>
      </c>
      <c r="AH24" s="84">
        <f t="shared" si="16"/>
        <v>0</v>
      </c>
      <c r="AI24" s="84">
        <f t="shared" si="17"/>
        <v>0.33333333333333337</v>
      </c>
      <c r="AJ24" s="84">
        <f t="shared" si="18"/>
        <v>0.33333333333333337</v>
      </c>
    </row>
    <row r="25" spans="1:51" x14ac:dyDescent="0.25">
      <c r="A25" s="106"/>
      <c r="B25" s="37">
        <f t="shared" si="3"/>
        <v>40921</v>
      </c>
      <c r="C25" s="38">
        <f t="shared" si="0"/>
        <v>40921</v>
      </c>
      <c r="D25" s="39" t="str">
        <f>IF(B25="","",IF(VerificaSeFeriado(B25),"Sim",""))</f>
        <v/>
      </c>
      <c r="E25" s="40">
        <v>0.33333333333333331</v>
      </c>
      <c r="F25" s="40">
        <v>0.5</v>
      </c>
      <c r="G25" s="40">
        <v>0.54166666666666663</v>
      </c>
      <c r="H25" s="40">
        <v>0.70833333333333337</v>
      </c>
      <c r="I25" s="40"/>
      <c r="J25" s="40"/>
      <c r="K25" s="40"/>
      <c r="L25" s="40"/>
      <c r="M25" s="41">
        <f>IFERROR(IF((R25-AB25)&gt;(1*"00:00:01"),(R25-AB25),""),"")</f>
        <v>0.33333333333333343</v>
      </c>
      <c r="N25" s="42" t="str">
        <f t="shared" si="5"/>
        <v/>
      </c>
      <c r="O25" s="43" t="str">
        <f t="shared" si="19"/>
        <v/>
      </c>
      <c r="P25" s="43" t="str">
        <f t="shared" ca="1" si="6"/>
        <v/>
      </c>
      <c r="Q25" s="41"/>
      <c r="R25" s="40">
        <f t="shared" si="7"/>
        <v>0.33333333333333343</v>
      </c>
      <c r="S25" s="44">
        <f>IF(D25="Sim",0,IF((OR(WEEKDAY(C25)=2,WEEKDAY(C25)=3,WEEKDAY(C25)=4,WEEKDAY(C25)=5,WEEKDAY(C25)=6))=TRUE,M25,IF(AND(WEEKDAY(C25)=7,Configurações!$C$11&gt;0)=TRUE,M25,IF(AND(WEEKDAY(C25)=1,Configurações!$C$12&gt;0)=TRUE,M25,0))))</f>
        <v>0.33333333333333343</v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8"/>
        <v>0</v>
      </c>
      <c r="W25" s="44">
        <f t="shared" si="9"/>
        <v>0</v>
      </c>
      <c r="X25" s="45">
        <f t="shared" si="10"/>
        <v>0</v>
      </c>
      <c r="Y25" s="44">
        <f t="shared" si="2"/>
        <v>0</v>
      </c>
      <c r="Z25" s="45">
        <f t="shared" si="11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2"/>
        <v/>
      </c>
      <c r="AE25" s="11" t="str">
        <f t="shared" si="13"/>
        <v/>
      </c>
      <c r="AF25" s="83">
        <f t="shared" si="14"/>
        <v>0</v>
      </c>
      <c r="AG25" s="84">
        <f t="shared" si="15"/>
        <v>0</v>
      </c>
      <c r="AH25" s="84">
        <f t="shared" si="16"/>
        <v>0</v>
      </c>
      <c r="AI25" s="84">
        <f t="shared" si="17"/>
        <v>0.33333333333333343</v>
      </c>
      <c r="AJ25" s="84">
        <f t="shared" si="18"/>
        <v>0.33333333333333343</v>
      </c>
    </row>
    <row r="26" spans="1:51" x14ac:dyDescent="0.25">
      <c r="A26" s="106"/>
      <c r="B26" s="37">
        <f t="shared" si="3"/>
        <v>40922</v>
      </c>
      <c r="C26" s="38">
        <f t="shared" si="0"/>
        <v>40922</v>
      </c>
      <c r="D26" s="39" t="str">
        <f>IF(B26="","",IF(VerificaSeFeriado(B26),"Sim",""))</f>
        <v/>
      </c>
      <c r="E26" s="40">
        <v>0.33333333333333331</v>
      </c>
      <c r="F26" s="40">
        <v>0.5</v>
      </c>
      <c r="G26" s="40">
        <v>0.54166666666666663</v>
      </c>
      <c r="H26" s="40">
        <v>0.70833333333333337</v>
      </c>
      <c r="I26" s="40"/>
      <c r="J26" s="40"/>
      <c r="K26" s="40"/>
      <c r="L26" s="40"/>
      <c r="M26" s="41">
        <f t="shared" si="4"/>
        <v>0.33333333333333343</v>
      </c>
      <c r="N26" s="42" t="str">
        <f t="shared" si="5"/>
        <v/>
      </c>
      <c r="O26" s="43" t="str">
        <f t="shared" si="19"/>
        <v/>
      </c>
      <c r="P26" s="43" t="str">
        <f t="shared" ca="1" si="6"/>
        <v/>
      </c>
      <c r="Q26" s="41"/>
      <c r="R26" s="40">
        <f t="shared" si="7"/>
        <v>0.33333333333333343</v>
      </c>
      <c r="S26" s="44">
        <f>IF(D26="Sim",0,IF((OR(WEEKDAY(C26)=2,WEEKDAY(C26)=3,WEEKDAY(C26)=4,WEEKDAY(C26)=5,WEEKDAY(C26)=6))=TRUE,M26,IF(AND(WEEKDAY(C26)=7,Configurações!$C$11&gt;0)=TRUE,M26,IF(AND(WEEKDAY(C26)=1,Configurações!$C$12&gt;0)=TRUE,M26,0))))</f>
        <v>0.33333333333333343</v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8"/>
        <v>0</v>
      </c>
      <c r="W26" s="44">
        <f t="shared" si="9"/>
        <v>0</v>
      </c>
      <c r="X26" s="45">
        <f t="shared" si="10"/>
        <v>0</v>
      </c>
      <c r="Y26" s="44">
        <f>IF(F26="",0,IF(AND(F26&lt;(1*"22:00"),F26&gt;=(1*"5:00"),G26&lt;(1*"22:00"),G26&gt;(1*"5:00"))=TRUE,0,IF(F26&gt;=(1*"22:00"),IF(G26&gt;F26,G26-F26,G26+(1*"24:00")-F26),IF(F26&lt;(1*"5:00"),IF(G26&lt;(1*"5:00"),G26-F26,(1*"5:00")-F26),IF(G26&gt;F26,G26-(1*"22:00"),G26+(1*"24:00")-(1*"22:00"))))))</f>
        <v>0</v>
      </c>
      <c r="Z26" s="45">
        <f t="shared" si="11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2"/>
        <v/>
      </c>
      <c r="AE26" s="11" t="str">
        <f t="shared" si="13"/>
        <v/>
      </c>
      <c r="AF26" s="83">
        <f t="shared" si="14"/>
        <v>0</v>
      </c>
      <c r="AG26" s="84">
        <f t="shared" si="15"/>
        <v>0</v>
      </c>
      <c r="AH26" s="84">
        <f t="shared" si="16"/>
        <v>0</v>
      </c>
      <c r="AI26" s="84">
        <f t="shared" si="17"/>
        <v>0.33333333333333343</v>
      </c>
      <c r="AJ26" s="84">
        <f t="shared" si="18"/>
        <v>0.33333333333333343</v>
      </c>
    </row>
    <row r="27" spans="1:51" x14ac:dyDescent="0.25">
      <c r="A27" s="106"/>
      <c r="B27" s="37">
        <f t="shared" si="3"/>
        <v>40923</v>
      </c>
      <c r="C27" s="38">
        <f t="shared" si="0"/>
        <v>40923</v>
      </c>
      <c r="D27" s="39" t="str">
        <f>IF(B27="","",IF(VerificaSeFeriado(B27),"Sim",""))</f>
        <v/>
      </c>
      <c r="E27" s="40">
        <v>0.33333333333333331</v>
      </c>
      <c r="F27" s="40">
        <v>0.5</v>
      </c>
      <c r="G27" s="40">
        <v>0.51041666666666663</v>
      </c>
      <c r="H27" s="40">
        <v>0.58333333333333337</v>
      </c>
      <c r="I27" s="40"/>
      <c r="J27" s="40"/>
      <c r="K27" s="40"/>
      <c r="L27" s="40"/>
      <c r="M27" s="41">
        <f t="shared" si="4"/>
        <v>0.23958333333333343</v>
      </c>
      <c r="N27" s="42" t="str">
        <f t="shared" si="5"/>
        <v/>
      </c>
      <c r="O27" s="43" t="str">
        <f t="shared" si="19"/>
        <v/>
      </c>
      <c r="P27" s="43" t="str">
        <f t="shared" ca="1" si="6"/>
        <v/>
      </c>
      <c r="Q27" s="41"/>
      <c r="R27" s="40">
        <f t="shared" si="7"/>
        <v>0.23958333333333343</v>
      </c>
      <c r="S27" s="44">
        <f>IF(D27="Sim",0,IF((OR(WEEKDAY(C27)=2,WEEKDAY(C27)=3,WEEKDAY(C27)=4,WEEKDAY(C27)=5,WEEKDAY(C27)=6))=TRUE,M27,IF(AND(WEEKDAY(C27)=7,Configurações!$C$11&gt;0)=TRUE,M27,IF(AND(WEEKDAY(C27)=1,Configurações!$C$12&gt;0)=TRUE,M27,0))))</f>
        <v>0</v>
      </c>
      <c r="T27" s="44">
        <f>IF(D27="Sim",0,IF(AND(WEEKDAY(C27)=7,Configurações!$C$11&lt;=0)=TRUE,R27,0))</f>
        <v>0.23958333333333343</v>
      </c>
      <c r="U27" s="44">
        <f>IF(D27="Sim",0,IF(AND(WEEKDAY(C27)=1,Configurações!$C$12&lt;=0)=TRUE,R27,0))</f>
        <v>0</v>
      </c>
      <c r="V27" s="44">
        <f t="shared" si="8"/>
        <v>0</v>
      </c>
      <c r="W27" s="44">
        <f t="shared" si="9"/>
        <v>0</v>
      </c>
      <c r="X27" s="45">
        <f t="shared" si="10"/>
        <v>0</v>
      </c>
      <c r="Y27" s="44">
        <f t="shared" ref="Y27:Y42" si="20">IF(F27="",0,IF(AND(F27&lt;(1*"22:00"),F27&gt;=(1*"5:00"),G27&lt;(1*"22:00"),G27&gt;(1*"5:00"))=TRUE,0,IF(F27&gt;=(1*"22:00"),IF(G27&gt;F27,G27-F27,G27+(1*"24:00")-F27),IF(F27&lt;(1*"5:00"),IF(G27&lt;(1*"5:00"),G27-F27,(1*"5:00")-F27),IF(G27&gt;F27,G27-(1*"22:00"),G27+(1*"24:00")-(1*"22:00"))))))</f>
        <v>0</v>
      </c>
      <c r="Z27" s="45">
        <f t="shared" si="11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2"/>
        <v/>
      </c>
      <c r="AE27" s="11" t="str">
        <f t="shared" si="13"/>
        <v/>
      </c>
      <c r="AF27" s="83">
        <f t="shared" si="14"/>
        <v>0</v>
      </c>
      <c r="AG27" s="84">
        <f t="shared" si="15"/>
        <v>0</v>
      </c>
      <c r="AH27" s="84">
        <f t="shared" si="16"/>
        <v>0</v>
      </c>
      <c r="AI27" s="84">
        <f t="shared" si="17"/>
        <v>0.23958333333333343</v>
      </c>
      <c r="AJ27" s="84">
        <f t="shared" si="18"/>
        <v>0.23958333333333343</v>
      </c>
    </row>
    <row r="28" spans="1:51" x14ac:dyDescent="0.25">
      <c r="A28" s="106"/>
      <c r="B28" s="37">
        <f t="shared" si="3"/>
        <v>40924</v>
      </c>
      <c r="C28" s="38">
        <f t="shared" si="0"/>
        <v>40924</v>
      </c>
      <c r="D28" s="39" t="str">
        <f>IF(B28="","",IF(VerificaSeFeriado(B28),"Sim",""))</f>
        <v/>
      </c>
      <c r="E28" s="40"/>
      <c r="F28" s="40"/>
      <c r="G28" s="40"/>
      <c r="H28" s="40"/>
      <c r="I28" s="40"/>
      <c r="J28" s="40"/>
      <c r="K28" s="40"/>
      <c r="L28" s="40"/>
      <c r="M28" s="41" t="str">
        <f t="shared" si="4"/>
        <v/>
      </c>
      <c r="N28" s="42" t="str">
        <f t="shared" si="5"/>
        <v/>
      </c>
      <c r="O28" s="43" t="str">
        <f t="shared" si="19"/>
        <v/>
      </c>
      <c r="P28" s="43" t="str">
        <f t="shared" ca="1" si="6"/>
        <v/>
      </c>
      <c r="Q28" s="41"/>
      <c r="R28" s="40">
        <f t="shared" si="7"/>
        <v>0</v>
      </c>
      <c r="S28" s="44">
        <f>IF(D28="Sim",0,IF((OR(WEEKDAY(C28)=2,WEEKDAY(C28)=3,WEEKDAY(C28)=4,WEEKDAY(C28)=5,WEEKDAY(C28)=6))=TRUE,M28,IF(AND(WEEKDAY(C28)=7,Configurações!$C$11&gt;0)=TRUE,M28,IF(AND(WEEKDAY(C28)=1,Configurações!$C$12&gt;0)=TRUE,M28,0))))</f>
        <v>0</v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8"/>
        <v>0</v>
      </c>
      <c r="W28" s="44">
        <f t="shared" si="9"/>
        <v>0</v>
      </c>
      <c r="X28" s="45">
        <f t="shared" si="10"/>
        <v>0</v>
      </c>
      <c r="Y28" s="44">
        <f t="shared" si="20"/>
        <v>0</v>
      </c>
      <c r="Z28" s="45">
        <f t="shared" si="11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2"/>
        <v/>
      </c>
      <c r="AE28" s="11" t="str">
        <f t="shared" si="13"/>
        <v/>
      </c>
      <c r="AF28" s="83">
        <f t="shared" si="14"/>
        <v>0</v>
      </c>
      <c r="AG28" s="84">
        <f t="shared" si="15"/>
        <v>0</v>
      </c>
      <c r="AH28" s="84">
        <f t="shared" si="16"/>
        <v>0</v>
      </c>
      <c r="AI28" s="84">
        <f t="shared" si="17"/>
        <v>0</v>
      </c>
      <c r="AJ28" s="84">
        <f t="shared" si="18"/>
        <v>0</v>
      </c>
      <c r="AM28" s="94" t="s">
        <v>89</v>
      </c>
      <c r="AN28" s="94"/>
      <c r="AO28" s="94"/>
      <c r="AP28" s="94"/>
      <c r="AQ28" s="94"/>
      <c r="AR28" s="94"/>
      <c r="AS28" s="94"/>
      <c r="AT28" s="94"/>
      <c r="AU28" s="94"/>
      <c r="AV28" s="94"/>
      <c r="AW28" s="94"/>
      <c r="AX28" s="94"/>
      <c r="AY28" s="94"/>
    </row>
    <row r="29" spans="1:51" x14ac:dyDescent="0.25">
      <c r="A29" s="106"/>
      <c r="B29" s="37">
        <f t="shared" si="3"/>
        <v>40925</v>
      </c>
      <c r="C29" s="38">
        <f t="shared" si="0"/>
        <v>40925</v>
      </c>
      <c r="D29" s="39" t="str">
        <f>IF(B29="","",IF(VerificaSeFeriado(B29),"Sim",""))</f>
        <v/>
      </c>
      <c r="E29" s="40">
        <v>0.33333333333333331</v>
      </c>
      <c r="F29" s="40">
        <v>0.5</v>
      </c>
      <c r="G29" s="40">
        <v>0.54166666666666663</v>
      </c>
      <c r="H29" s="40">
        <v>0.70833333333333337</v>
      </c>
      <c r="I29" s="40"/>
      <c r="J29" s="40"/>
      <c r="K29" s="40"/>
      <c r="L29" s="40"/>
      <c r="M29" s="41">
        <f t="shared" si="4"/>
        <v>0.33333333333333343</v>
      </c>
      <c r="N29" s="42" t="str">
        <f t="shared" si="5"/>
        <v/>
      </c>
      <c r="O29" s="43" t="str">
        <f t="shared" si="19"/>
        <v/>
      </c>
      <c r="P29" s="43" t="str">
        <f t="shared" ca="1" si="6"/>
        <v/>
      </c>
      <c r="Q29" s="41"/>
      <c r="R29" s="40">
        <f t="shared" si="7"/>
        <v>0.33333333333333343</v>
      </c>
      <c r="S29" s="44">
        <f>IF(D29="Sim",0,IF((OR(WEEKDAY(C29)=2,WEEKDAY(C29)=3,WEEKDAY(C29)=4,WEEKDAY(C29)=5,WEEKDAY(C29)=6))=TRUE,M29,IF(AND(WEEKDAY(C29)=7,Configurações!$C$11&gt;0)=TRUE,M29,IF(AND(WEEKDAY(C29)=1,Configurações!$C$12&gt;0)=TRUE,M29,0))))</f>
        <v>0.33333333333333343</v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8"/>
        <v>0</v>
      </c>
      <c r="W29" s="44">
        <f t="shared" si="9"/>
        <v>0</v>
      </c>
      <c r="X29" s="45">
        <f t="shared" si="10"/>
        <v>0</v>
      </c>
      <c r="Y29" s="44">
        <f t="shared" si="20"/>
        <v>0</v>
      </c>
      <c r="Z29" s="45">
        <f t="shared" si="11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2"/>
        <v/>
      </c>
      <c r="AE29" s="11" t="str">
        <f t="shared" si="13"/>
        <v/>
      </c>
      <c r="AF29" s="83">
        <f t="shared" si="14"/>
        <v>0</v>
      </c>
      <c r="AG29" s="84">
        <f t="shared" si="15"/>
        <v>0</v>
      </c>
      <c r="AH29" s="84">
        <f t="shared" si="16"/>
        <v>0</v>
      </c>
      <c r="AI29" s="84">
        <f t="shared" si="17"/>
        <v>0.33333333333333343</v>
      </c>
      <c r="AJ29" s="84">
        <f t="shared" si="18"/>
        <v>0.33333333333333343</v>
      </c>
      <c r="AM29" s="94"/>
      <c r="AN29" s="94"/>
      <c r="AO29" s="94"/>
      <c r="AP29" s="94"/>
      <c r="AQ29" s="94"/>
      <c r="AR29" s="94"/>
      <c r="AS29" s="94"/>
      <c r="AT29" s="94"/>
      <c r="AU29" s="94"/>
      <c r="AV29" s="94"/>
      <c r="AW29" s="94"/>
      <c r="AX29" s="94"/>
      <c r="AY29" s="94"/>
    </row>
    <row r="30" spans="1:51" x14ac:dyDescent="0.25">
      <c r="A30" s="106"/>
      <c r="B30" s="37">
        <f t="shared" si="3"/>
        <v>40926</v>
      </c>
      <c r="C30" s="38">
        <f t="shared" si="0"/>
        <v>40926</v>
      </c>
      <c r="D30" s="39" t="str">
        <f>IF(B30="","",IF(VerificaSeFeriado(B30),"Sim",""))</f>
        <v/>
      </c>
      <c r="E30" s="40">
        <v>0.33333333333333331</v>
      </c>
      <c r="F30" s="40">
        <v>0.5</v>
      </c>
      <c r="G30" s="40">
        <v>0.54166666666666663</v>
      </c>
      <c r="H30" s="40">
        <v>0.625</v>
      </c>
      <c r="I30" s="40"/>
      <c r="J30" s="40"/>
      <c r="K30" s="40"/>
      <c r="L30" s="40"/>
      <c r="M30" s="41">
        <f t="shared" si="4"/>
        <v>0.25000000000000006</v>
      </c>
      <c r="N30" s="42" t="str">
        <f t="shared" si="5"/>
        <v/>
      </c>
      <c r="O30" s="43" t="str">
        <f t="shared" si="19"/>
        <v/>
      </c>
      <c r="P30" s="43" t="str">
        <f t="shared" ca="1" si="6"/>
        <v/>
      </c>
      <c r="Q30" s="41"/>
      <c r="R30" s="40">
        <f t="shared" si="7"/>
        <v>0.25000000000000006</v>
      </c>
      <c r="S30" s="44">
        <f>IF(D30="Sim",0,IF((OR(WEEKDAY(C30)=2,WEEKDAY(C30)=3,WEEKDAY(C30)=4,WEEKDAY(C30)=5,WEEKDAY(C30)=6))=TRUE,M30,IF(AND(WEEKDAY(C30)=7,Configurações!$C$11&gt;0)=TRUE,M30,IF(AND(WEEKDAY(C30)=1,Configurações!$C$12&gt;0)=TRUE,M30,0))))</f>
        <v>0.25000000000000006</v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8"/>
        <v>0</v>
      </c>
      <c r="W30" s="44">
        <f t="shared" si="9"/>
        <v>0</v>
      </c>
      <c r="X30" s="45">
        <f t="shared" si="10"/>
        <v>0</v>
      </c>
      <c r="Y30" s="44">
        <f t="shared" si="20"/>
        <v>0</v>
      </c>
      <c r="Z30" s="45">
        <f t="shared" si="11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2"/>
        <v/>
      </c>
      <c r="AE30" s="11" t="str">
        <f t="shared" si="13"/>
        <v/>
      </c>
      <c r="AF30" s="83">
        <f t="shared" si="14"/>
        <v>0</v>
      </c>
      <c r="AG30" s="84">
        <f t="shared" si="15"/>
        <v>0</v>
      </c>
      <c r="AH30" s="84">
        <f t="shared" si="16"/>
        <v>0</v>
      </c>
      <c r="AI30" s="84">
        <f t="shared" si="17"/>
        <v>0.25000000000000006</v>
      </c>
      <c r="AJ30" s="84">
        <f t="shared" si="18"/>
        <v>0.25000000000000006</v>
      </c>
    </row>
    <row r="31" spans="1:51" x14ac:dyDescent="0.25">
      <c r="A31" s="106"/>
      <c r="B31" s="37">
        <f t="shared" si="3"/>
        <v>40927</v>
      </c>
      <c r="C31" s="38">
        <f t="shared" si="0"/>
        <v>40927</v>
      </c>
      <c r="D31" s="39" t="str">
        <f>IF(B31="","",IF(VerificaSeFeriado(B31),"Sim",""))</f>
        <v/>
      </c>
      <c r="E31" s="40">
        <v>0.33333333333333331</v>
      </c>
      <c r="F31" s="40">
        <v>0.5</v>
      </c>
      <c r="G31" s="40">
        <v>0.54166666666666663</v>
      </c>
      <c r="H31" s="40">
        <v>0.70833333333333337</v>
      </c>
      <c r="I31" s="40"/>
      <c r="J31" s="40"/>
      <c r="K31" s="40"/>
      <c r="L31" s="40"/>
      <c r="M31" s="41">
        <f t="shared" si="4"/>
        <v>0.33333333333333343</v>
      </c>
      <c r="N31" s="42" t="str">
        <f t="shared" si="5"/>
        <v/>
      </c>
      <c r="O31" s="43" t="str">
        <f t="shared" si="19"/>
        <v/>
      </c>
      <c r="P31" s="43" t="str">
        <f t="shared" ca="1" si="6"/>
        <v/>
      </c>
      <c r="Q31" s="41"/>
      <c r="R31" s="40">
        <f t="shared" si="7"/>
        <v>0.33333333333333343</v>
      </c>
      <c r="S31" s="44">
        <f>IF(D31="Sim",0,IF((OR(WEEKDAY(C31)=2,WEEKDAY(C31)=3,WEEKDAY(C31)=4,WEEKDAY(C31)=5,WEEKDAY(C31)=6))=TRUE,M31,IF(AND(WEEKDAY(C31)=7,Configurações!$C$11&gt;0)=TRUE,M31,IF(AND(WEEKDAY(C31)=1,Configurações!$C$12&gt;0)=TRUE,M31,0))))</f>
        <v>0.33333333333333343</v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8"/>
        <v>0</v>
      </c>
      <c r="W31" s="44">
        <f t="shared" si="9"/>
        <v>0</v>
      </c>
      <c r="X31" s="45">
        <f t="shared" si="10"/>
        <v>0</v>
      </c>
      <c r="Y31" s="44">
        <f t="shared" si="20"/>
        <v>0</v>
      </c>
      <c r="Z31" s="45">
        <f t="shared" si="11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2"/>
        <v/>
      </c>
      <c r="AE31" s="11" t="str">
        <f t="shared" si="13"/>
        <v/>
      </c>
      <c r="AF31" s="83">
        <f t="shared" si="14"/>
        <v>0</v>
      </c>
      <c r="AG31" s="84">
        <f t="shared" si="15"/>
        <v>0</v>
      </c>
      <c r="AH31" s="84">
        <f t="shared" si="16"/>
        <v>0</v>
      </c>
      <c r="AI31" s="84">
        <f t="shared" si="17"/>
        <v>0.33333333333333343</v>
      </c>
      <c r="AJ31" s="84">
        <f t="shared" si="18"/>
        <v>0.33333333333333343</v>
      </c>
    </row>
    <row r="32" spans="1:51" x14ac:dyDescent="0.25">
      <c r="A32" s="106"/>
      <c r="B32" s="37">
        <f t="shared" si="3"/>
        <v>40928</v>
      </c>
      <c r="C32" s="38">
        <f t="shared" si="0"/>
        <v>40928</v>
      </c>
      <c r="D32" s="39" t="str">
        <f>IF(B32="","",IF(VerificaSeFeriado(B32),"Sim",""))</f>
        <v/>
      </c>
      <c r="E32" s="40"/>
      <c r="F32" s="40"/>
      <c r="G32" s="40"/>
      <c r="H32" s="40"/>
      <c r="I32" s="40"/>
      <c r="J32" s="40"/>
      <c r="K32" s="40"/>
      <c r="L32" s="40"/>
      <c r="M32" s="41" t="str">
        <f t="shared" si="4"/>
        <v/>
      </c>
      <c r="N32" s="42" t="str">
        <f t="shared" si="5"/>
        <v/>
      </c>
      <c r="O32" s="43" t="str">
        <f t="shared" si="19"/>
        <v/>
      </c>
      <c r="P32" s="43" t="str">
        <f t="shared" ca="1" si="6"/>
        <v/>
      </c>
      <c r="Q32" s="41"/>
      <c r="R32" s="40">
        <f t="shared" si="7"/>
        <v>0</v>
      </c>
      <c r="S32" s="44" t="str">
        <f>IF(D32="Sim",0,IF((OR(WEEKDAY(C32)=2,WEEKDAY(C32)=3,WEEKDAY(C32)=4,WEEKDAY(C32)=5,WEEKDAY(C32)=6))=TRUE,M32,IF(AND(WEEKDAY(C32)=7,Configurações!$C$11&gt;0)=TRUE,M32,IF(AND(WEEKDAY(C32)=1,Configurações!$C$12&gt;0)=TRUE,M32,0))))</f>
        <v/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8"/>
        <v>0</v>
      </c>
      <c r="W32" s="44">
        <f t="shared" si="9"/>
        <v>0</v>
      </c>
      <c r="X32" s="45">
        <f t="shared" si="10"/>
        <v>0</v>
      </c>
      <c r="Y32" s="44">
        <f t="shared" si="20"/>
        <v>0</v>
      </c>
      <c r="Z32" s="45">
        <f t="shared" si="11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2"/>
        <v/>
      </c>
      <c r="AE32" s="11" t="str">
        <f t="shared" si="13"/>
        <v/>
      </c>
      <c r="AF32" s="83">
        <f t="shared" si="14"/>
        <v>0</v>
      </c>
      <c r="AG32" s="84">
        <f t="shared" si="15"/>
        <v>0</v>
      </c>
      <c r="AH32" s="84">
        <f t="shared" si="16"/>
        <v>0</v>
      </c>
      <c r="AI32" s="84">
        <f t="shared" si="17"/>
        <v>0</v>
      </c>
      <c r="AJ32" s="84">
        <f t="shared" si="18"/>
        <v>0</v>
      </c>
    </row>
    <row r="33" spans="1:36" x14ac:dyDescent="0.25">
      <c r="A33" s="106"/>
      <c r="B33" s="37">
        <f t="shared" si="3"/>
        <v>40929</v>
      </c>
      <c r="C33" s="38">
        <f t="shared" si="0"/>
        <v>40929</v>
      </c>
      <c r="D33" s="39" t="str">
        <f>IF(B33="","",IF(VerificaSeFeriado(B33),"Sim",""))</f>
        <v/>
      </c>
      <c r="E33" s="40">
        <v>0.33333333333333331</v>
      </c>
      <c r="F33" s="40">
        <v>0.5</v>
      </c>
      <c r="G33" s="40">
        <v>0.54166666666666663</v>
      </c>
      <c r="H33" s="40">
        <v>0.70833333333333337</v>
      </c>
      <c r="I33" s="40"/>
      <c r="J33" s="40"/>
      <c r="K33" s="40"/>
      <c r="L33" s="40"/>
      <c r="M33" s="41">
        <f t="shared" si="4"/>
        <v>0.33333333333333343</v>
      </c>
      <c r="N33" s="42" t="str">
        <f t="shared" si="5"/>
        <v/>
      </c>
      <c r="O33" s="43" t="str">
        <f t="shared" si="19"/>
        <v/>
      </c>
      <c r="P33" s="43" t="str">
        <f t="shared" ca="1" si="6"/>
        <v/>
      </c>
      <c r="Q33" s="41"/>
      <c r="R33" s="40">
        <f t="shared" si="7"/>
        <v>0.33333333333333343</v>
      </c>
      <c r="S33" s="44">
        <f>IF(D33="Sim",0,IF((OR(WEEKDAY(C33)=2,WEEKDAY(C33)=3,WEEKDAY(C33)=4,WEEKDAY(C33)=5,WEEKDAY(C33)=6))=TRUE,M33,IF(AND(WEEKDAY(C33)=7,Configurações!$C$11&gt;0)=TRUE,M33,IF(AND(WEEKDAY(C33)=1,Configurações!$C$12&gt;0)=TRUE,M33,0))))</f>
        <v>0.33333333333333343</v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8"/>
        <v>0</v>
      </c>
      <c r="W33" s="44">
        <f t="shared" si="9"/>
        <v>0</v>
      </c>
      <c r="X33" s="45">
        <f t="shared" si="10"/>
        <v>0</v>
      </c>
      <c r="Y33" s="44">
        <f t="shared" si="20"/>
        <v>0</v>
      </c>
      <c r="Z33" s="45">
        <f t="shared" si="11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2"/>
        <v/>
      </c>
      <c r="AE33" s="11" t="str">
        <f t="shared" si="13"/>
        <v/>
      </c>
      <c r="AF33" s="83">
        <f t="shared" si="14"/>
        <v>0</v>
      </c>
      <c r="AG33" s="84">
        <f t="shared" si="15"/>
        <v>0</v>
      </c>
      <c r="AH33" s="84">
        <f t="shared" si="16"/>
        <v>0</v>
      </c>
      <c r="AI33" s="84">
        <f t="shared" si="17"/>
        <v>0.33333333333333343</v>
      </c>
      <c r="AJ33" s="84">
        <f t="shared" si="18"/>
        <v>0.33333333333333343</v>
      </c>
    </row>
    <row r="34" spans="1:36" x14ac:dyDescent="0.25">
      <c r="A34" s="106"/>
      <c r="B34" s="37">
        <f t="shared" si="3"/>
        <v>40930</v>
      </c>
      <c r="C34" s="38">
        <f t="shared" si="0"/>
        <v>40930</v>
      </c>
      <c r="D34" s="39" t="str">
        <f>IF(B34="","",IF(VerificaSeFeriado(B34),"Sim",""))</f>
        <v/>
      </c>
      <c r="E34" s="40"/>
      <c r="F34" s="40"/>
      <c r="G34" s="40"/>
      <c r="H34" s="40"/>
      <c r="I34" s="40"/>
      <c r="J34" s="40"/>
      <c r="K34" s="40"/>
      <c r="L34" s="40"/>
      <c r="M34" s="41" t="str">
        <f t="shared" si="4"/>
        <v/>
      </c>
      <c r="N34" s="42" t="str">
        <f t="shared" si="5"/>
        <v/>
      </c>
      <c r="O34" s="43" t="str">
        <f t="shared" si="19"/>
        <v/>
      </c>
      <c r="P34" s="43" t="str">
        <f t="shared" ca="1" si="6"/>
        <v/>
      </c>
      <c r="Q34" s="41"/>
      <c r="R34" s="40">
        <f t="shared" si="7"/>
        <v>0</v>
      </c>
      <c r="S34" s="44">
        <f>IF(D34="Sim",0,IF((OR(WEEKDAY(C34)=2,WEEKDAY(C34)=3,WEEKDAY(C34)=4,WEEKDAY(C34)=5,WEEKDAY(C34)=6))=TRUE,M34,IF(AND(WEEKDAY(C34)=7,Configurações!$C$11&gt;0)=TRUE,M34,IF(AND(WEEKDAY(C34)=1,Configurações!$C$12&gt;0)=TRUE,M34,0))))</f>
        <v>0</v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8"/>
        <v>0</v>
      </c>
      <c r="W34" s="44">
        <f t="shared" si="9"/>
        <v>0</v>
      </c>
      <c r="X34" s="45">
        <f t="shared" si="10"/>
        <v>0</v>
      </c>
      <c r="Y34" s="44">
        <f t="shared" si="20"/>
        <v>0</v>
      </c>
      <c r="Z34" s="45">
        <f t="shared" si="11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2"/>
        <v/>
      </c>
      <c r="AE34" s="11" t="str">
        <f t="shared" si="13"/>
        <v/>
      </c>
      <c r="AF34" s="83">
        <f t="shared" si="14"/>
        <v>0</v>
      </c>
      <c r="AG34" s="84">
        <f t="shared" si="15"/>
        <v>0</v>
      </c>
      <c r="AH34" s="84">
        <f t="shared" si="16"/>
        <v>0</v>
      </c>
      <c r="AI34" s="84">
        <f t="shared" si="17"/>
        <v>0</v>
      </c>
      <c r="AJ34" s="84">
        <f t="shared" si="18"/>
        <v>0</v>
      </c>
    </row>
    <row r="35" spans="1:36" x14ac:dyDescent="0.25">
      <c r="A35" s="106"/>
      <c r="B35" s="37">
        <f t="shared" si="3"/>
        <v>40931</v>
      </c>
      <c r="C35" s="38">
        <f t="shared" si="0"/>
        <v>40931</v>
      </c>
      <c r="D35" s="39" t="str">
        <f>IF(B35="","",IF(VerificaSeFeriado(B35),"Sim",""))</f>
        <v/>
      </c>
      <c r="E35" s="40">
        <v>0.33333333333333331</v>
      </c>
      <c r="F35" s="40"/>
      <c r="G35" s="40"/>
      <c r="H35" s="40">
        <v>0.5</v>
      </c>
      <c r="I35" s="40"/>
      <c r="J35" s="40"/>
      <c r="K35" s="40"/>
      <c r="L35" s="40"/>
      <c r="M35" s="41">
        <f t="shared" si="4"/>
        <v>0.16666666666666669</v>
      </c>
      <c r="N35" s="42" t="str">
        <f t="shared" si="5"/>
        <v/>
      </c>
      <c r="O35" s="43" t="str">
        <f t="shared" si="19"/>
        <v/>
      </c>
      <c r="P35" s="43" t="str">
        <f t="shared" ca="1" si="6"/>
        <v/>
      </c>
      <c r="Q35" s="41"/>
      <c r="R35" s="40">
        <f t="shared" si="7"/>
        <v>0.16666666666666669</v>
      </c>
      <c r="S35" s="44">
        <f>IF(D35="Sim",0,IF((OR(WEEKDAY(C35)=2,WEEKDAY(C35)=3,WEEKDAY(C35)=4,WEEKDAY(C35)=5,WEEKDAY(C35)=6))=TRUE,M35,IF(AND(WEEKDAY(C35)=7,Configurações!$C$11&gt;0)=TRUE,M35,IF(AND(WEEKDAY(C35)=1,Configurações!$C$12&gt;0)=TRUE,M35,0))))</f>
        <v>0</v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0.16666666666666669</v>
      </c>
      <c r="V35" s="44">
        <f t="shared" si="8"/>
        <v>0</v>
      </c>
      <c r="W35" s="44">
        <f t="shared" si="9"/>
        <v>0</v>
      </c>
      <c r="X35" s="45">
        <f t="shared" si="10"/>
        <v>0</v>
      </c>
      <c r="Y35" s="44">
        <f t="shared" si="20"/>
        <v>0</v>
      </c>
      <c r="Z35" s="45">
        <f t="shared" si="11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2"/>
        <v/>
      </c>
      <c r="AE35" s="11" t="str">
        <f t="shared" si="13"/>
        <v/>
      </c>
      <c r="AF35" s="83">
        <f t="shared" si="14"/>
        <v>0</v>
      </c>
      <c r="AG35" s="84">
        <f t="shared" si="15"/>
        <v>0</v>
      </c>
      <c r="AH35" s="84">
        <f t="shared" si="16"/>
        <v>0</v>
      </c>
      <c r="AI35" s="84">
        <f t="shared" si="17"/>
        <v>0.16666666666666669</v>
      </c>
      <c r="AJ35" s="84">
        <f t="shared" si="18"/>
        <v>0.16666666666666669</v>
      </c>
    </row>
    <row r="36" spans="1:36" x14ac:dyDescent="0.25">
      <c r="A36" s="106"/>
      <c r="B36" s="37">
        <f t="shared" si="3"/>
        <v>40932</v>
      </c>
      <c r="C36" s="38">
        <f t="shared" si="0"/>
        <v>40932</v>
      </c>
      <c r="D36" s="39" t="str">
        <f>IF(B36="","",IF(VerificaSeFeriado(B36),"Sim",""))</f>
        <v/>
      </c>
      <c r="E36" s="40">
        <v>0.33333333333333331</v>
      </c>
      <c r="F36" s="40">
        <v>0.5</v>
      </c>
      <c r="G36" s="40">
        <v>0.54166666666666663</v>
      </c>
      <c r="H36" s="40">
        <v>0.70833333333333337</v>
      </c>
      <c r="I36" s="40"/>
      <c r="J36" s="40"/>
      <c r="K36" s="40"/>
      <c r="L36" s="40"/>
      <c r="M36" s="41">
        <f t="shared" si="4"/>
        <v>0.33333333333333343</v>
      </c>
      <c r="N36" s="42" t="str">
        <f t="shared" si="5"/>
        <v/>
      </c>
      <c r="O36" s="43" t="str">
        <f t="shared" si="19"/>
        <v/>
      </c>
      <c r="P36" s="43" t="str">
        <f t="shared" ca="1" si="6"/>
        <v/>
      </c>
      <c r="Q36" s="41"/>
      <c r="R36" s="40">
        <f t="shared" si="7"/>
        <v>0.33333333333333343</v>
      </c>
      <c r="S36" s="44">
        <f>IF(D36="Sim",0,IF((OR(WEEKDAY(C36)=2,WEEKDAY(C36)=3,WEEKDAY(C36)=4,WEEKDAY(C36)=5,WEEKDAY(C36)=6))=TRUE,M36,IF(AND(WEEKDAY(C36)=7,Configurações!$C$11&gt;0)=TRUE,M36,IF(AND(WEEKDAY(C36)=1,Configurações!$C$12&gt;0)=TRUE,M36,0))))</f>
        <v>0.33333333333333343</v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8"/>
        <v>0</v>
      </c>
      <c r="W36" s="44">
        <f t="shared" si="9"/>
        <v>0</v>
      </c>
      <c r="X36" s="45">
        <f t="shared" si="10"/>
        <v>0</v>
      </c>
      <c r="Y36" s="44">
        <f t="shared" si="20"/>
        <v>0</v>
      </c>
      <c r="Z36" s="45">
        <f t="shared" si="11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2"/>
        <v/>
      </c>
      <c r="AE36" s="11" t="str">
        <f t="shared" si="13"/>
        <v/>
      </c>
      <c r="AF36" s="83">
        <f t="shared" si="14"/>
        <v>0</v>
      </c>
      <c r="AG36" s="84">
        <f t="shared" si="15"/>
        <v>0</v>
      </c>
      <c r="AH36" s="84">
        <f t="shared" si="16"/>
        <v>0</v>
      </c>
      <c r="AI36" s="84">
        <f t="shared" si="17"/>
        <v>0.33333333333333343</v>
      </c>
      <c r="AJ36" s="84">
        <f t="shared" si="18"/>
        <v>0.33333333333333343</v>
      </c>
    </row>
    <row r="37" spans="1:36" x14ac:dyDescent="0.25">
      <c r="A37" s="106"/>
      <c r="B37" s="37">
        <f t="shared" si="3"/>
        <v>40933</v>
      </c>
      <c r="C37" s="38">
        <f t="shared" si="0"/>
        <v>40933</v>
      </c>
      <c r="D37" s="39" t="str">
        <f>IF(B37="","",IF(VerificaSeFeriado(B37),"Sim",""))</f>
        <v/>
      </c>
      <c r="E37" s="40">
        <v>0.33333333333333331</v>
      </c>
      <c r="F37" s="40">
        <v>0.5</v>
      </c>
      <c r="G37" s="40">
        <v>0.54166666666666663</v>
      </c>
      <c r="H37" s="40">
        <v>0.70833333333333337</v>
      </c>
      <c r="I37" s="40"/>
      <c r="J37" s="40"/>
      <c r="K37" s="40"/>
      <c r="L37" s="40"/>
      <c r="M37" s="41">
        <f t="shared" si="4"/>
        <v>0.33333333333333343</v>
      </c>
      <c r="N37" s="42" t="str">
        <f t="shared" si="5"/>
        <v/>
      </c>
      <c r="O37" s="43" t="str">
        <f t="shared" si="19"/>
        <v/>
      </c>
      <c r="P37" s="43" t="str">
        <f t="shared" ca="1" si="6"/>
        <v/>
      </c>
      <c r="Q37" s="41"/>
      <c r="R37" s="40">
        <f t="shared" si="7"/>
        <v>0.33333333333333343</v>
      </c>
      <c r="S37" s="44">
        <f>IF(D37="Sim",0,IF((OR(WEEKDAY(C37)=2,WEEKDAY(C37)=3,WEEKDAY(C37)=4,WEEKDAY(C37)=5,WEEKDAY(C37)=6))=TRUE,M37,IF(AND(WEEKDAY(C37)=7,Configurações!$C$11&gt;0)=TRUE,M37,IF(AND(WEEKDAY(C37)=1,Configurações!$C$12&gt;0)=TRUE,M37,0))))</f>
        <v>0.33333333333333343</v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8"/>
        <v>0</v>
      </c>
      <c r="W37" s="44">
        <f t="shared" si="9"/>
        <v>0</v>
      </c>
      <c r="X37" s="45">
        <f t="shared" si="10"/>
        <v>0</v>
      </c>
      <c r="Y37" s="44">
        <f t="shared" si="20"/>
        <v>0</v>
      </c>
      <c r="Z37" s="45">
        <f t="shared" si="11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2"/>
        <v/>
      </c>
      <c r="AE37" s="11" t="str">
        <f t="shared" si="13"/>
        <v/>
      </c>
      <c r="AF37" s="83">
        <f t="shared" si="14"/>
        <v>0</v>
      </c>
      <c r="AG37" s="84">
        <f t="shared" si="15"/>
        <v>0</v>
      </c>
      <c r="AH37" s="84">
        <f t="shared" si="16"/>
        <v>0</v>
      </c>
      <c r="AI37" s="84">
        <f t="shared" si="17"/>
        <v>0.33333333333333343</v>
      </c>
      <c r="AJ37" s="84">
        <f t="shared" si="18"/>
        <v>0.33333333333333343</v>
      </c>
    </row>
    <row r="38" spans="1:36" x14ac:dyDescent="0.25">
      <c r="A38" s="106"/>
      <c r="B38" s="37">
        <f t="shared" si="3"/>
        <v>40934</v>
      </c>
      <c r="C38" s="38">
        <f t="shared" si="0"/>
        <v>40934</v>
      </c>
      <c r="D38" s="39" t="str">
        <f>IF(B38="","",IF(VerificaSeFeriado(B38),"Sim",""))</f>
        <v/>
      </c>
      <c r="E38" s="40"/>
      <c r="F38" s="40"/>
      <c r="G38" s="40"/>
      <c r="H38" s="40"/>
      <c r="I38" s="40"/>
      <c r="J38" s="40"/>
      <c r="K38" s="40"/>
      <c r="L38" s="40"/>
      <c r="M38" s="41" t="str">
        <f t="shared" si="4"/>
        <v/>
      </c>
      <c r="N38" s="42" t="str">
        <f t="shared" si="5"/>
        <v/>
      </c>
      <c r="O38" s="43" t="str">
        <f t="shared" si="19"/>
        <v/>
      </c>
      <c r="P38" s="43" t="str">
        <f t="shared" ca="1" si="6"/>
        <v/>
      </c>
      <c r="Q38" s="41">
        <v>0.33333333333333331</v>
      </c>
      <c r="R38" s="40">
        <f t="shared" si="7"/>
        <v>0</v>
      </c>
      <c r="S38" s="44" t="str">
        <f>IF(D38="Sim",0,IF((OR(WEEKDAY(C38)=2,WEEKDAY(C38)=3,WEEKDAY(C38)=4,WEEKDAY(C38)=5,WEEKDAY(C38)=6))=TRUE,M38,IF(AND(WEEKDAY(C38)=7,Configurações!$C$11&gt;0)=TRUE,M38,IF(AND(WEEKDAY(C38)=1,Configurações!$C$12&gt;0)=TRUE,M38,0))))</f>
        <v/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8"/>
        <v>0</v>
      </c>
      <c r="W38" s="44">
        <f t="shared" si="9"/>
        <v>0</v>
      </c>
      <c r="X38" s="45">
        <f t="shared" si="10"/>
        <v>0</v>
      </c>
      <c r="Y38" s="44">
        <f t="shared" si="20"/>
        <v>0</v>
      </c>
      <c r="Z38" s="45">
        <f t="shared" si="11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2"/>
        <v/>
      </c>
      <c r="AE38" s="11" t="str">
        <f t="shared" si="13"/>
        <v/>
      </c>
      <c r="AF38" s="83">
        <f t="shared" si="14"/>
        <v>0</v>
      </c>
      <c r="AG38" s="84">
        <f t="shared" si="15"/>
        <v>0</v>
      </c>
      <c r="AH38" s="84">
        <f t="shared" si="16"/>
        <v>0</v>
      </c>
      <c r="AI38" s="84">
        <f t="shared" si="17"/>
        <v>0</v>
      </c>
      <c r="AJ38" s="84">
        <f t="shared" si="18"/>
        <v>0</v>
      </c>
    </row>
    <row r="39" spans="1:36" x14ac:dyDescent="0.25">
      <c r="A39" s="106"/>
      <c r="B39" s="37">
        <f t="shared" si="3"/>
        <v>40935</v>
      </c>
      <c r="C39" s="38">
        <f t="shared" si="0"/>
        <v>40935</v>
      </c>
      <c r="D39" s="39" t="str">
        <f>IF(B39="","",IF(VerificaSeFeriado(B39),"Sim",""))</f>
        <v/>
      </c>
      <c r="E39" s="40">
        <v>0.33333333333333331</v>
      </c>
      <c r="F39" s="40">
        <v>0.5</v>
      </c>
      <c r="G39" s="40">
        <v>0.54166666666666663</v>
      </c>
      <c r="H39" s="40">
        <v>0.70833333333333337</v>
      </c>
      <c r="I39" s="40"/>
      <c r="J39" s="40"/>
      <c r="K39" s="40"/>
      <c r="L39" s="40"/>
      <c r="M39" s="41">
        <f t="shared" si="4"/>
        <v>0.33333333333333343</v>
      </c>
      <c r="N39" s="42" t="str">
        <f t="shared" si="5"/>
        <v/>
      </c>
      <c r="O39" s="43" t="str">
        <f t="shared" si="19"/>
        <v/>
      </c>
      <c r="P39" s="43" t="str">
        <f t="shared" ca="1" si="6"/>
        <v/>
      </c>
      <c r="Q39" s="41"/>
      <c r="R39" s="40">
        <f t="shared" si="7"/>
        <v>0.33333333333333343</v>
      </c>
      <c r="S39" s="44">
        <f>IF(D39="Sim",0,IF((OR(WEEKDAY(C39)=2,WEEKDAY(C39)=3,WEEKDAY(C39)=4,WEEKDAY(C39)=5,WEEKDAY(C39)=6))=TRUE,M39,IF(AND(WEEKDAY(C39)=7,Configurações!$C$11&gt;0)=TRUE,M39,IF(AND(WEEKDAY(C39)=1,Configurações!$C$12&gt;0)=TRUE,M39,0))))</f>
        <v>0.33333333333333343</v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8"/>
        <v>0</v>
      </c>
      <c r="W39" s="44">
        <f t="shared" si="9"/>
        <v>0</v>
      </c>
      <c r="X39" s="45">
        <f t="shared" si="10"/>
        <v>0</v>
      </c>
      <c r="Y39" s="44">
        <f t="shared" si="20"/>
        <v>0</v>
      </c>
      <c r="Z39" s="45">
        <f t="shared" si="11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2"/>
        <v/>
      </c>
      <c r="AE39" s="11" t="str">
        <f t="shared" si="13"/>
        <v/>
      </c>
      <c r="AF39" s="83">
        <f t="shared" si="14"/>
        <v>0</v>
      </c>
      <c r="AG39" s="84">
        <f t="shared" si="15"/>
        <v>0</v>
      </c>
      <c r="AH39" s="84">
        <f t="shared" si="16"/>
        <v>0</v>
      </c>
      <c r="AI39" s="84">
        <f t="shared" si="17"/>
        <v>0.33333333333333343</v>
      </c>
      <c r="AJ39" s="84">
        <f t="shared" si="18"/>
        <v>0.33333333333333343</v>
      </c>
    </row>
    <row r="40" spans="1:36" x14ac:dyDescent="0.25">
      <c r="A40" s="106"/>
      <c r="B40" s="37">
        <f t="shared" si="3"/>
        <v>40936</v>
      </c>
      <c r="C40" s="38">
        <f t="shared" si="0"/>
        <v>40936</v>
      </c>
      <c r="D40" s="39" t="str">
        <f>IF(B40="","",IF(VerificaSeFeriado(B40),"Sim",""))</f>
        <v/>
      </c>
      <c r="E40" s="40">
        <v>0.33333333333333331</v>
      </c>
      <c r="F40" s="40">
        <v>0.5</v>
      </c>
      <c r="G40" s="40">
        <v>0.54166666666666663</v>
      </c>
      <c r="H40" s="40">
        <v>0.70833333333333337</v>
      </c>
      <c r="I40" s="40"/>
      <c r="J40" s="40"/>
      <c r="K40" s="40"/>
      <c r="L40" s="40"/>
      <c r="M40" s="41">
        <f t="shared" si="4"/>
        <v>0.33333333333333343</v>
      </c>
      <c r="N40" s="42" t="str">
        <f t="shared" si="5"/>
        <v/>
      </c>
      <c r="O40" s="43" t="str">
        <f t="shared" si="19"/>
        <v/>
      </c>
      <c r="P40" s="43" t="str">
        <f t="shared" ca="1" si="6"/>
        <v/>
      </c>
      <c r="Q40" s="41"/>
      <c r="R40" s="40">
        <f t="shared" si="7"/>
        <v>0.33333333333333343</v>
      </c>
      <c r="S40" s="44">
        <f>IF(D40="Sim",0,IF((OR(WEEKDAY(C40)=2,WEEKDAY(C40)=3,WEEKDAY(C40)=4,WEEKDAY(C40)=5,WEEKDAY(C40)=6))=TRUE,M40,IF(AND(WEEKDAY(C40)=7,Configurações!$C$11&gt;0)=TRUE,M40,IF(AND(WEEKDAY(C40)=1,Configurações!$C$12&gt;0)=TRUE,M40,0))))</f>
        <v>0.33333333333333343</v>
      </c>
      <c r="T40" s="44">
        <f>IF(D40="Sim",0,IF(AND(WEEKDAY(C40)=7,Configurações!$C$11&lt;=0)=TRUE,R40,0))</f>
        <v>0</v>
      </c>
      <c r="U40" s="44">
        <f>IF(D40="Sim",0,IF(AND(WEEKDAY(C40)=1,Configurações!$C$12&lt;=0)=TRUE,R40,0))</f>
        <v>0</v>
      </c>
      <c r="V40" s="44">
        <f t="shared" si="8"/>
        <v>0</v>
      </c>
      <c r="W40" s="44">
        <f t="shared" si="9"/>
        <v>0</v>
      </c>
      <c r="X40" s="45">
        <f t="shared" si="10"/>
        <v>0</v>
      </c>
      <c r="Y40" s="44">
        <f t="shared" si="20"/>
        <v>0</v>
      </c>
      <c r="Z40" s="45">
        <f t="shared" si="11"/>
        <v>0</v>
      </c>
      <c r="AA40" s="12" t="str">
        <f>IF(D40="Sim","Não",IF(AND(WEEKDAY(C40)=1,Configurações!$C$12&gt;0),"Sim",IF(AND(WEEKDAY(C40)=2,Configurações!$C$6&gt;0),"Sim",IF(AND(WEEKDAY(C40)=3,Configurações!$C$7&gt;0),"Sim",IF(AND(WEEKDAY(C40)=4,Configurações!$C$8&gt;0),"Sim",IF(AND(WEEKDAY(C40)=5,Configurações!$C$9&gt;0),"Sim",IF(AND(WEEKDAY(C40)=6,Configurações!$C$10&gt;0),"Sim",IF(AND(WEEKDAY(C40)=7,Configurações!$C$11&gt;0),"Sim","Não"))))))))</f>
        <v>Não</v>
      </c>
      <c r="AB40" s="44">
        <f>IF(D40="Sim",0,IF(WEEKDAY(C40)=2,Configurações!$C$6-Configurações!$E$6,IF(WEEKDAY(C40)=3,Configurações!$C$7-Configurações!$E$7,IF(WEEKDAY(C40)=4,Configurações!$C$8-Configurações!$E$8,IF(WEEKDAY(C40)=5,Configurações!$C$9-Configurações!$E$9,IF(WEEKDAY(C40)=6,Configurações!$C$10-Configurações!$E$10,IF(WEEKDAY(C40)=7,Configurações!$C$11-Configurações!$E$11,IF(WEEKDAY(C40)=1,Configurações!$C$12-Configurações!$E$12,""))))))))</f>
        <v>0</v>
      </c>
      <c r="AC40" s="44">
        <f>IF(D40="Sim",0,IF(WEEKDAY(C40)=2,Configurações!$E$6,IF(WEEKDAY(C40)=3,Configurações!$E$7,IF(WEEKDAY(C40)=4,Configurações!$E$8,IF(WEEKDAY(C40)=5,Configurações!$E$9,IF(WEEKDAY(C40)=6,Configurações!$E$10,IF(WEEKDAY(C40)=7,Configurações!$E$11,IF(WEEKDAY(C40)=1,Configurações!$E$12,""))))))))</f>
        <v>0</v>
      </c>
      <c r="AD40" s="11" t="str">
        <f t="shared" si="12"/>
        <v/>
      </c>
      <c r="AE40" s="11" t="str">
        <f t="shared" si="13"/>
        <v/>
      </c>
      <c r="AF40" s="83">
        <f t="shared" si="14"/>
        <v>0</v>
      </c>
      <c r="AG40" s="84">
        <f t="shared" si="15"/>
        <v>0</v>
      </c>
      <c r="AH40" s="84">
        <f t="shared" si="16"/>
        <v>0</v>
      </c>
      <c r="AI40" s="84">
        <f t="shared" si="17"/>
        <v>0.33333333333333343</v>
      </c>
      <c r="AJ40" s="84">
        <f t="shared" si="18"/>
        <v>0.33333333333333343</v>
      </c>
    </row>
    <row r="41" spans="1:36" x14ac:dyDescent="0.25">
      <c r="A41" s="106"/>
      <c r="B41" s="37">
        <f t="shared" si="3"/>
        <v>40937</v>
      </c>
      <c r="C41" s="38">
        <f t="shared" si="0"/>
        <v>40937</v>
      </c>
      <c r="D41" s="39" t="str">
        <f>IF(B41="","",IF(VerificaSeFeriado(B41),"Sim",""))</f>
        <v/>
      </c>
      <c r="E41" s="40"/>
      <c r="F41" s="40"/>
      <c r="G41" s="40"/>
      <c r="H41" s="40"/>
      <c r="I41" s="40"/>
      <c r="J41" s="40"/>
      <c r="K41" s="40"/>
      <c r="L41" s="40"/>
      <c r="M41" s="41" t="str">
        <f t="shared" si="4"/>
        <v/>
      </c>
      <c r="N41" s="42" t="str">
        <f t="shared" si="5"/>
        <v/>
      </c>
      <c r="O41" s="43" t="str">
        <f t="shared" si="19"/>
        <v/>
      </c>
      <c r="P41" s="43" t="str">
        <f t="shared" ca="1" si="6"/>
        <v/>
      </c>
      <c r="Q41" s="41"/>
      <c r="R41" s="40">
        <f t="shared" si="7"/>
        <v>0</v>
      </c>
      <c r="S41" s="44">
        <f>IF(D41="Sim",0,IF((OR(WEEKDAY(C41)=2,WEEKDAY(C41)=3,WEEKDAY(C41)=4,WEEKDAY(C41)=5,WEEKDAY(C41)=6))=TRUE,M41,IF(AND(WEEKDAY(C41)=7,Configurações!$C$11&gt;0)=TRUE,M41,IF(AND(WEEKDAY(C41)=1,Configurações!$C$12&gt;0)=TRUE,M41,0))))</f>
        <v>0</v>
      </c>
      <c r="T41" s="44">
        <f>IF(D41="Sim",0,IF(AND(WEEKDAY(C41)=7,Configurações!$C$11&lt;=0)=TRUE,R41,0))</f>
        <v>0</v>
      </c>
      <c r="U41" s="44">
        <f>IF(D41="Sim",0,IF(AND(WEEKDAY(C41)=1,Configurações!$C$12&lt;=0)=TRUE,R41,0))</f>
        <v>0</v>
      </c>
      <c r="V41" s="44">
        <f t="shared" si="8"/>
        <v>0</v>
      </c>
      <c r="W41" s="44">
        <f t="shared" si="9"/>
        <v>0</v>
      </c>
      <c r="X41" s="45">
        <f t="shared" si="10"/>
        <v>0</v>
      </c>
      <c r="Y41" s="44">
        <f t="shared" si="20"/>
        <v>0</v>
      </c>
      <c r="Z41" s="45">
        <f t="shared" si="11"/>
        <v>0</v>
      </c>
      <c r="AA41" s="12" t="str">
        <f>IF(D41="Sim","Não",IF(AND(WEEKDAY(C41)=1,Configurações!$C$12&gt;0),"Sim",IF(AND(WEEKDAY(C41)=2,Configurações!$C$6&gt;0),"Sim",IF(AND(WEEKDAY(C41)=3,Configurações!$C$7&gt;0),"Sim",IF(AND(WEEKDAY(C41)=4,Configurações!$C$8&gt;0),"Sim",IF(AND(WEEKDAY(C41)=5,Configurações!$C$9&gt;0),"Sim",IF(AND(WEEKDAY(C41)=6,Configurações!$C$10&gt;0),"Sim",IF(AND(WEEKDAY(C41)=7,Configurações!$C$11&gt;0),"Sim","Não"))))))))</f>
        <v>Não</v>
      </c>
      <c r="AB41" s="44">
        <f>IF(D41="Sim",0,IF(WEEKDAY(C41)=2,Configurações!$C$6-Configurações!$E$6,IF(WEEKDAY(C41)=3,Configurações!$C$7-Configurações!$E$7,IF(WEEKDAY(C41)=4,Configurações!$C$8-Configurações!$E$8,IF(WEEKDAY(C41)=5,Configurações!$C$9-Configurações!$E$9,IF(WEEKDAY(C41)=6,Configurações!$C$10-Configurações!$E$10,IF(WEEKDAY(C41)=7,Configurações!$C$11-Configurações!$E$11,IF(WEEKDAY(C41)=1,Configurações!$C$12-Configurações!$E$12,""))))))))</f>
        <v>0</v>
      </c>
      <c r="AC41" s="44">
        <f>IF(D41="Sim",0,IF(WEEKDAY(C41)=2,Configurações!$E$6,IF(WEEKDAY(C41)=3,Configurações!$E$7,IF(WEEKDAY(C41)=4,Configurações!$E$8,IF(WEEKDAY(C41)=5,Configurações!$E$9,IF(WEEKDAY(C41)=6,Configurações!$E$10,IF(WEEKDAY(C41)=7,Configurações!$E$11,IF(WEEKDAY(C41)=1,Configurações!$E$12,""))))))))</f>
        <v>0</v>
      </c>
      <c r="AD41" s="11" t="str">
        <f t="shared" si="12"/>
        <v/>
      </c>
      <c r="AE41" s="11" t="str">
        <f t="shared" si="13"/>
        <v/>
      </c>
      <c r="AF41" s="83">
        <f t="shared" si="14"/>
        <v>0</v>
      </c>
      <c r="AG41" s="84">
        <f t="shared" si="15"/>
        <v>0</v>
      </c>
      <c r="AH41" s="84">
        <f t="shared" si="16"/>
        <v>0</v>
      </c>
      <c r="AI41" s="84">
        <f t="shared" si="17"/>
        <v>0</v>
      </c>
      <c r="AJ41" s="84">
        <f t="shared" si="18"/>
        <v>0</v>
      </c>
    </row>
    <row r="42" spans="1:36" x14ac:dyDescent="0.25">
      <c r="A42" s="106"/>
      <c r="B42" s="37">
        <f t="shared" si="3"/>
        <v>40938</v>
      </c>
      <c r="C42" s="38">
        <f t="shared" si="0"/>
        <v>40938</v>
      </c>
      <c r="D42" s="39" t="str">
        <f>IF(B42="","",IF(VerificaSeFeriado(B42),"Sim",""))</f>
        <v/>
      </c>
      <c r="E42" s="40"/>
      <c r="F42" s="40"/>
      <c r="G42" s="40"/>
      <c r="H42" s="40"/>
      <c r="I42" s="40"/>
      <c r="J42" s="40"/>
      <c r="K42" s="40"/>
      <c r="L42" s="40"/>
      <c r="M42" s="41" t="str">
        <f t="shared" si="4"/>
        <v/>
      </c>
      <c r="N42" s="42" t="str">
        <f t="shared" si="5"/>
        <v/>
      </c>
      <c r="O42" s="43" t="str">
        <f t="shared" si="19"/>
        <v/>
      </c>
      <c r="P42" s="43" t="str">
        <f t="shared" ca="1" si="6"/>
        <v/>
      </c>
      <c r="Q42" s="41"/>
      <c r="R42" s="40">
        <f t="shared" si="7"/>
        <v>0</v>
      </c>
      <c r="S42" s="44">
        <f>IF(D42="Sim",0,IF((OR(WEEKDAY(C42)=2,WEEKDAY(C42)=3,WEEKDAY(C42)=4,WEEKDAY(C42)=5,WEEKDAY(C42)=6))=TRUE,M42,IF(AND(WEEKDAY(C42)=7,Configurações!$C$11&gt;0)=TRUE,M42,IF(AND(WEEKDAY(C42)=1,Configurações!$C$12&gt;0)=TRUE,M42,0))))</f>
        <v>0</v>
      </c>
      <c r="T42" s="44">
        <f>IF(D42="Sim",0,IF(AND(WEEKDAY(C42)=7,Configurações!$C$11&lt;=0)=TRUE,R42,0))</f>
        <v>0</v>
      </c>
      <c r="U42" s="44">
        <f>IF(D42="Sim",0,IF(AND(WEEKDAY(C42)=1,Configurações!$C$12&lt;=0)=TRUE,R42,0))</f>
        <v>0</v>
      </c>
      <c r="V42" s="44">
        <f t="shared" si="8"/>
        <v>0</v>
      </c>
      <c r="W42" s="44">
        <f t="shared" si="9"/>
        <v>0</v>
      </c>
      <c r="X42" s="45">
        <f t="shared" si="10"/>
        <v>0</v>
      </c>
      <c r="Y42" s="44">
        <f t="shared" si="20"/>
        <v>0</v>
      </c>
      <c r="Z42" s="45">
        <f t="shared" si="11"/>
        <v>0</v>
      </c>
      <c r="AA42" s="12" t="str">
        <f>IF(D42="Sim","Não",IF(AND(WEEKDAY(C42)=1,Configurações!$C$12&gt;0),"Sim",IF(AND(WEEKDAY(C42)=2,Configurações!$C$6&gt;0),"Sim",IF(AND(WEEKDAY(C42)=3,Configurações!$C$7&gt;0),"Sim",IF(AND(WEEKDAY(C42)=4,Configurações!$C$8&gt;0),"Sim",IF(AND(WEEKDAY(C42)=5,Configurações!$C$9&gt;0),"Sim",IF(AND(WEEKDAY(C42)=6,Configurações!$C$10&gt;0),"Sim",IF(AND(WEEKDAY(C42)=7,Configurações!$C$11&gt;0),"Sim","Não"))))))))</f>
        <v>Não</v>
      </c>
      <c r="AB42" s="44">
        <f>IF(D42="Sim",0,IF(WEEKDAY(C42)=2,Configurações!$C$6-Configurações!$E$6,IF(WEEKDAY(C42)=3,Configurações!$C$7-Configurações!$E$7,IF(WEEKDAY(C42)=4,Configurações!$C$8-Configurações!$E$8,IF(WEEKDAY(C42)=5,Configurações!$C$9-Configurações!$E$9,IF(WEEKDAY(C42)=6,Configurações!$C$10-Configurações!$E$10,IF(WEEKDAY(C42)=7,Configurações!$C$11-Configurações!$E$11,IF(WEEKDAY(C42)=1,Configurações!$C$12-Configurações!$E$12,""))))))))</f>
        <v>0</v>
      </c>
      <c r="AC42" s="44">
        <f>IF(D42="Sim",0,IF(WEEKDAY(C42)=2,Configurações!$E$6,IF(WEEKDAY(C42)=3,Configurações!$E$7,IF(WEEKDAY(C42)=4,Configurações!$E$8,IF(WEEKDAY(C42)=5,Configurações!$E$9,IF(WEEKDAY(C42)=6,Configurações!$E$10,IF(WEEKDAY(C42)=7,Configurações!$E$11,IF(WEEKDAY(C42)=1,Configurações!$E$12,""))))))))</f>
        <v>0</v>
      </c>
      <c r="AD42" s="11" t="str">
        <f t="shared" si="12"/>
        <v/>
      </c>
      <c r="AE42" s="11" t="str">
        <f t="shared" si="13"/>
        <v/>
      </c>
      <c r="AF42" s="83">
        <f t="shared" si="14"/>
        <v>0</v>
      </c>
      <c r="AG42" s="84">
        <f t="shared" si="15"/>
        <v>0</v>
      </c>
      <c r="AH42" s="84">
        <f t="shared" si="16"/>
        <v>0</v>
      </c>
      <c r="AI42" s="84">
        <f t="shared" si="17"/>
        <v>0</v>
      </c>
      <c r="AJ42" s="84">
        <f t="shared" si="18"/>
        <v>0</v>
      </c>
    </row>
    <row r="43" spans="1:36" x14ac:dyDescent="0.25">
      <c r="B43" s="46"/>
    </row>
    <row r="45" spans="1:36" x14ac:dyDescent="0.25">
      <c r="C45" s="32"/>
      <c r="D45" s="32"/>
    </row>
    <row r="46" spans="1:36" x14ac:dyDescent="0.25">
      <c r="C46" s="32"/>
      <c r="D46" s="32"/>
    </row>
    <row r="47" spans="1:36" x14ac:dyDescent="0.25">
      <c r="C47" s="32"/>
      <c r="D47" s="32"/>
    </row>
    <row r="48" spans="1:36" x14ac:dyDescent="0.25">
      <c r="C48" s="32"/>
      <c r="D48" s="32"/>
    </row>
    <row r="49" spans="3:32" s="9" customFormat="1" x14ac:dyDescent="0.25">
      <c r="C49" s="32"/>
      <c r="D49" s="32"/>
      <c r="M49" s="10"/>
      <c r="N49" s="10"/>
      <c r="O49" s="10"/>
      <c r="P49" s="10"/>
      <c r="Q49" s="10"/>
      <c r="S49" s="11"/>
      <c r="T49" s="11"/>
      <c r="U49" s="11"/>
      <c r="V49" s="11"/>
      <c r="W49" s="11"/>
      <c r="X49" s="11"/>
      <c r="Y49" s="11"/>
      <c r="Z49" s="11"/>
      <c r="AA49" s="12"/>
      <c r="AB49" s="12"/>
      <c r="AC49" s="12"/>
      <c r="AD49" s="11"/>
      <c r="AE49" s="11"/>
      <c r="AF49" s="10"/>
    </row>
    <row r="50" spans="3:32" s="9" customFormat="1" x14ac:dyDescent="0.25">
      <c r="C50" s="32"/>
      <c r="D50" s="32"/>
      <c r="M50" s="10"/>
      <c r="N50" s="10"/>
      <c r="O50" s="10"/>
      <c r="P50" s="10"/>
      <c r="Q50" s="10"/>
      <c r="S50" s="11"/>
      <c r="T50" s="11"/>
      <c r="U50" s="11"/>
      <c r="V50" s="11"/>
      <c r="W50" s="11"/>
      <c r="X50" s="11"/>
      <c r="Y50" s="11"/>
      <c r="Z50" s="11"/>
      <c r="AA50" s="12"/>
      <c r="AB50" s="12"/>
      <c r="AC50" s="12"/>
      <c r="AD50" s="11"/>
      <c r="AE50" s="11"/>
      <c r="AF50" s="10"/>
    </row>
  </sheetData>
  <sheetProtection algorithmName="SHA-512" hashValue="AfUMilPA0mOVAGkmQ3pWrBtqV3IlOiXiFFvk9GCc3U46TV4uXSwoU5LlF/M82bhJibAdg3hsVmabXiQ0e1uCLw==" saltValue="VeLdV4HM/myjjgLCc8u7tQ==" spinCount="100000" sheet="1" objects="1" scenarios="1" selectLockedCells="1"/>
  <mergeCells count="19">
    <mergeCell ref="A11:A42"/>
    <mergeCell ref="F11:G11"/>
    <mergeCell ref="J11:K11"/>
    <mergeCell ref="A2:D2"/>
    <mergeCell ref="A3:D7"/>
    <mergeCell ref="E4:G4"/>
    <mergeCell ref="I4:J4"/>
    <mergeCell ref="E7:F7"/>
    <mergeCell ref="E8:F8"/>
    <mergeCell ref="E9:F9"/>
    <mergeCell ref="AM28:AY29"/>
    <mergeCell ref="L4:M4"/>
    <mergeCell ref="O4:Q4"/>
    <mergeCell ref="E5:F5"/>
    <mergeCell ref="O5:P5"/>
    <mergeCell ref="E6:F6"/>
    <mergeCell ref="O7:P7"/>
    <mergeCell ref="L8:M8"/>
    <mergeCell ref="L9:M9"/>
  </mergeCells>
  <conditionalFormatting sqref="G5">
    <cfRule type="expression" dxfId="389" priority="28">
      <formula>$G$5&lt;=0</formula>
    </cfRule>
    <cfRule type="expression" dxfId="388" priority="29">
      <formula>$G$5&gt;0</formula>
    </cfRule>
  </conditionalFormatting>
  <conditionalFormatting sqref="G6">
    <cfRule type="expression" dxfId="387" priority="26">
      <formula>$G$6&gt;=0</formula>
    </cfRule>
    <cfRule type="expression" dxfId="386" priority="27">
      <formula>$G$6&lt;0</formula>
    </cfRule>
  </conditionalFormatting>
  <conditionalFormatting sqref="P9">
    <cfRule type="expression" dxfId="385" priority="23">
      <formula>$P$9&lt;0</formula>
    </cfRule>
    <cfRule type="expression" dxfId="384" priority="24">
      <formula>$P$9=0</formula>
    </cfRule>
    <cfRule type="expression" dxfId="383" priority="25">
      <formula>$P$9&gt;0</formula>
    </cfRule>
  </conditionalFormatting>
  <conditionalFormatting sqref="P8">
    <cfRule type="expression" dxfId="382" priority="20">
      <formula>$P$8&lt;0</formula>
    </cfRule>
    <cfRule type="expression" dxfId="381" priority="21">
      <formula>$P$8=0</formula>
    </cfRule>
    <cfRule type="expression" dxfId="380" priority="22">
      <formula>$P$8&gt;0</formula>
    </cfRule>
  </conditionalFormatting>
  <conditionalFormatting sqref="G9">
    <cfRule type="expression" dxfId="379" priority="17">
      <formula>$G$9&lt;0</formula>
    </cfRule>
    <cfRule type="expression" priority="18">
      <formula>$G$9=0</formula>
    </cfRule>
    <cfRule type="expression" dxfId="378" priority="19">
      <formula>$G$9&gt;0</formula>
    </cfRule>
  </conditionalFormatting>
  <conditionalFormatting sqref="P12:P42">
    <cfRule type="expression" dxfId="377" priority="16">
      <formula>$P12=0</formula>
    </cfRule>
  </conditionalFormatting>
  <conditionalFormatting sqref="G5:G9">
    <cfRule type="expression" dxfId="376" priority="13">
      <formula>$G5=0</formula>
    </cfRule>
    <cfRule type="expression" dxfId="375" priority="14">
      <formula>$G5&lt;0</formula>
    </cfRule>
    <cfRule type="expression" dxfId="374" priority="15">
      <formula>$G5&gt;0</formula>
    </cfRule>
  </conditionalFormatting>
  <conditionalFormatting sqref="B12:R42">
    <cfRule type="expression" dxfId="373" priority="7">
      <formula>$B12=""</formula>
    </cfRule>
    <cfRule type="expression" dxfId="372" priority="8">
      <formula>$D12="Sim"</formula>
    </cfRule>
    <cfRule type="expression" dxfId="371" priority="11">
      <formula>MOD(ROW(),2)=0</formula>
    </cfRule>
    <cfRule type="expression" dxfId="370" priority="12">
      <formula>MOD(ROW(),2)=1</formula>
    </cfRule>
  </conditionalFormatting>
  <conditionalFormatting sqref="M12:N42">
    <cfRule type="expression" dxfId="369" priority="5">
      <formula>$M12=0</formula>
    </cfRule>
  </conditionalFormatting>
  <conditionalFormatting sqref="L9:N9">
    <cfRule type="expression" dxfId="368" priority="2">
      <formula>$L$9&gt;0</formula>
    </cfRule>
    <cfRule type="expression" dxfId="367" priority="3">
      <formula>$L$9=0</formula>
    </cfRule>
    <cfRule type="expression" dxfId="366" priority="4">
      <formula>$L$9&lt;0</formula>
    </cfRule>
  </conditionalFormatting>
  <conditionalFormatting sqref="N5 M6">
    <cfRule type="expression" dxfId="365" priority="30">
      <formula>$M$6&lt;0</formula>
    </cfRule>
  </conditionalFormatting>
  <conditionalFormatting sqref="N4 M5">
    <cfRule type="expression" dxfId="364" priority="31">
      <formula>$M$5&gt;0</formula>
    </cfRule>
  </conditionalFormatting>
  <conditionalFormatting sqref="J5:J9">
    <cfRule type="expression" dxfId="363" priority="1">
      <formula>$J5&gt;0</formula>
    </cfRule>
  </conditionalFormatting>
  <dataValidations count="2"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42">
      <formula1>AB12</formula1>
    </dataValidation>
    <dataValidation operator="greaterThanOrEqual" allowBlank="1" showInputMessage="1" showErrorMessage="1" sqref="E12:P42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56402EF4-ADED-4092-AF26-281BC6CB1C9C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0" id="{29606724-F4D5-4FE4-99FB-45956353455B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B12:R42</xm:sqref>
        </x14:conditionalFormatting>
        <x14:conditionalFormatting xmlns:xm="http://schemas.microsoft.com/office/excel/2006/main">
          <x14:cfRule type="expression" priority="6" id="{5EE3C618-DE6A-4089-B477-DCCBFA016C0E}">
            <xm:f>AND(Configurações!$C$11&gt;0,WEEKDAY($C12)=7,MOD(ROW(),2)=1)</xm:f>
            <x14:dxf>
              <fill>
                <patternFill>
                  <bgColor theme="4" tint="0.59996337778862885"/>
                </patternFill>
              </fill>
            </x14:dxf>
          </x14:cfRule>
          <xm:sqref>C14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R27"/>
  <sheetViews>
    <sheetView showGridLines="0" zoomScaleNormal="100" workbookViewId="0">
      <selection activeCell="C17" sqref="C17:E17"/>
    </sheetView>
  </sheetViews>
  <sheetFormatPr defaultRowHeight="15" x14ac:dyDescent="0.25"/>
  <cols>
    <col min="1" max="1" width="12.85546875" customWidth="1"/>
    <col min="2" max="2" width="13.28515625" customWidth="1"/>
    <col min="3" max="3" width="11.5703125" customWidth="1"/>
    <col min="4" max="4" width="13.5703125" bestFit="1" customWidth="1"/>
    <col min="5" max="5" width="11.5703125" customWidth="1"/>
    <col min="6" max="6" width="2.7109375" customWidth="1"/>
    <col min="7" max="7" width="13.5703125" customWidth="1"/>
    <col min="8" max="8" width="11" customWidth="1"/>
    <col min="9" max="9" width="8.7109375" customWidth="1"/>
    <col min="10" max="10" width="3.42578125" customWidth="1"/>
    <col min="11" max="11" width="4.28515625" customWidth="1"/>
    <col min="13" max="13" width="2.7109375" customWidth="1"/>
    <col min="14" max="14" width="5.42578125" customWidth="1"/>
  </cols>
  <sheetData>
    <row r="1" spans="1:18" ht="15" customHeight="1" x14ac:dyDescent="0.25">
      <c r="A1" s="127" t="s">
        <v>23</v>
      </c>
      <c r="B1" s="127"/>
      <c r="C1" s="127"/>
      <c r="D1" s="127"/>
      <c r="E1" s="127"/>
      <c r="F1" s="127"/>
      <c r="G1" s="127"/>
      <c r="H1" s="127"/>
      <c r="I1" s="127"/>
      <c r="J1" s="67"/>
      <c r="K1" s="67"/>
      <c r="L1" s="8"/>
      <c r="M1" s="1"/>
      <c r="N1" s="1"/>
      <c r="O1" s="1"/>
      <c r="P1" s="1"/>
      <c r="Q1" s="2"/>
      <c r="R1" s="2"/>
    </row>
    <row r="2" spans="1:18" ht="15" customHeight="1" x14ac:dyDescent="0.25">
      <c r="A2" s="127"/>
      <c r="B2" s="127"/>
      <c r="C2" s="127"/>
      <c r="D2" s="127"/>
      <c r="E2" s="127"/>
      <c r="F2" s="127"/>
      <c r="G2" s="127"/>
      <c r="H2" s="127"/>
      <c r="I2" s="127"/>
      <c r="J2" s="67"/>
      <c r="K2" s="67"/>
      <c r="L2" s="8"/>
      <c r="M2" s="1"/>
      <c r="N2" s="1"/>
      <c r="O2" s="1"/>
      <c r="P2" s="1"/>
      <c r="Q2" s="2"/>
      <c r="R2" s="2"/>
    </row>
    <row r="3" spans="1:18" ht="16.5" customHeight="1" x14ac:dyDescent="0.25">
      <c r="A3" s="127"/>
      <c r="B3" s="127"/>
      <c r="C3" s="127"/>
      <c r="D3" s="127"/>
      <c r="E3" s="127"/>
      <c r="F3" s="127"/>
      <c r="G3" s="127"/>
      <c r="H3" s="127"/>
      <c r="I3" s="127"/>
      <c r="J3" s="67"/>
      <c r="K3" s="67"/>
      <c r="L3" s="8"/>
      <c r="M3" s="1"/>
      <c r="N3" s="1"/>
      <c r="O3" s="1"/>
      <c r="P3" s="1"/>
      <c r="Q3" s="2"/>
      <c r="R3" s="2"/>
    </row>
    <row r="4" spans="1:18" ht="10.5" customHeight="1" thickBot="1" x14ac:dyDescent="0.3">
      <c r="A4" s="133"/>
      <c r="B4" s="133"/>
      <c r="C4" s="133"/>
      <c r="D4" s="74"/>
      <c r="E4" s="74"/>
      <c r="F4" s="74"/>
      <c r="G4" s="55"/>
      <c r="H4" s="56"/>
      <c r="I4" s="56"/>
      <c r="J4" s="56"/>
      <c r="K4" s="56"/>
      <c r="L4" s="71"/>
      <c r="M4" s="2"/>
      <c r="N4" s="2"/>
      <c r="O4" s="2"/>
      <c r="P4" s="2"/>
      <c r="Q4" s="2"/>
      <c r="R4" s="2"/>
    </row>
    <row r="5" spans="1:18" x14ac:dyDescent="0.25">
      <c r="A5" s="137" t="s">
        <v>41</v>
      </c>
      <c r="B5" s="138"/>
      <c r="C5" s="138"/>
      <c r="D5" s="138"/>
      <c r="E5" s="139"/>
      <c r="F5" s="3"/>
      <c r="G5" s="134" t="s">
        <v>12</v>
      </c>
      <c r="H5" s="135"/>
      <c r="I5" s="136"/>
      <c r="J5" s="68"/>
      <c r="K5" s="68"/>
      <c r="L5" s="2"/>
      <c r="M5" s="2"/>
      <c r="N5" s="2"/>
      <c r="O5" s="2"/>
      <c r="P5" s="2"/>
      <c r="Q5" s="2"/>
      <c r="R5" s="2"/>
    </row>
    <row r="6" spans="1:18" ht="15.75" thickBot="1" x14ac:dyDescent="0.3">
      <c r="A6" s="124" t="s">
        <v>36</v>
      </c>
      <c r="B6" s="125"/>
      <c r="C6" s="47">
        <v>0</v>
      </c>
      <c r="D6" s="4" t="s">
        <v>42</v>
      </c>
      <c r="E6" s="50">
        <v>0</v>
      </c>
      <c r="F6" s="58"/>
      <c r="G6" s="132" t="s">
        <v>22</v>
      </c>
      <c r="H6" s="123"/>
      <c r="I6" s="51">
        <v>0.2</v>
      </c>
      <c r="J6" s="69"/>
      <c r="K6" s="68"/>
      <c r="L6" s="2"/>
      <c r="M6" s="2"/>
      <c r="N6" s="2"/>
      <c r="O6" s="2"/>
      <c r="P6" s="2"/>
      <c r="Q6" s="2"/>
      <c r="R6" s="2"/>
    </row>
    <row r="7" spans="1:18" x14ac:dyDescent="0.25">
      <c r="A7" s="124" t="s">
        <v>37</v>
      </c>
      <c r="B7" s="125"/>
      <c r="C7" s="47">
        <v>0</v>
      </c>
      <c r="D7" s="4" t="s">
        <v>42</v>
      </c>
      <c r="E7" s="49">
        <v>0</v>
      </c>
      <c r="F7" s="58"/>
      <c r="G7" s="132" t="s">
        <v>13</v>
      </c>
      <c r="H7" s="123"/>
      <c r="I7" s="51">
        <v>0.5</v>
      </c>
      <c r="J7" s="69"/>
      <c r="K7" s="68"/>
      <c r="L7" s="2"/>
      <c r="M7" s="2"/>
      <c r="N7" s="2"/>
      <c r="O7" s="2"/>
      <c r="P7" s="2"/>
      <c r="Q7" s="2"/>
      <c r="R7" s="2"/>
    </row>
    <row r="8" spans="1:18" ht="15.75" thickBot="1" x14ac:dyDescent="0.3">
      <c r="A8" s="124" t="s">
        <v>38</v>
      </c>
      <c r="B8" s="125"/>
      <c r="C8" s="47">
        <v>0</v>
      </c>
      <c r="D8" s="4" t="s">
        <v>42</v>
      </c>
      <c r="E8" s="50">
        <v>0</v>
      </c>
      <c r="F8" s="58"/>
      <c r="G8" s="128" t="s">
        <v>14</v>
      </c>
      <c r="H8" s="129"/>
      <c r="I8" s="52">
        <v>1</v>
      </c>
      <c r="J8" s="69"/>
      <c r="K8" s="68"/>
      <c r="L8" s="2"/>
      <c r="M8" s="2"/>
      <c r="N8" s="2"/>
      <c r="O8" s="2"/>
      <c r="P8" s="2"/>
      <c r="Q8" s="2"/>
      <c r="R8" s="2"/>
    </row>
    <row r="9" spans="1:18" x14ac:dyDescent="0.25">
      <c r="A9" s="124" t="s">
        <v>39</v>
      </c>
      <c r="B9" s="125"/>
      <c r="C9" s="47">
        <v>0</v>
      </c>
      <c r="D9" s="4" t="s">
        <v>42</v>
      </c>
      <c r="E9" s="49">
        <v>0</v>
      </c>
      <c r="F9" s="58"/>
      <c r="G9" s="128" t="s">
        <v>15</v>
      </c>
      <c r="H9" s="129"/>
      <c r="I9" s="52">
        <v>1</v>
      </c>
      <c r="J9" s="69"/>
      <c r="K9" s="68"/>
      <c r="L9" s="2"/>
      <c r="M9" s="2"/>
      <c r="N9" s="2"/>
      <c r="O9" s="2"/>
    </row>
    <row r="10" spans="1:18" ht="15.75" thickBot="1" x14ac:dyDescent="0.3">
      <c r="A10" s="124" t="s">
        <v>40</v>
      </c>
      <c r="B10" s="125"/>
      <c r="C10" s="47">
        <v>0</v>
      </c>
      <c r="D10" s="4" t="s">
        <v>42</v>
      </c>
      <c r="E10" s="50">
        <v>0</v>
      </c>
      <c r="F10" s="58"/>
      <c r="G10" s="130" t="s">
        <v>16</v>
      </c>
      <c r="H10" s="131"/>
      <c r="I10" s="53">
        <v>0.5</v>
      </c>
      <c r="J10" s="69"/>
      <c r="K10" s="68"/>
      <c r="L10" s="2"/>
      <c r="M10" s="2"/>
      <c r="N10" s="2"/>
      <c r="O10" s="2"/>
    </row>
    <row r="11" spans="1:18" x14ac:dyDescent="0.25">
      <c r="A11" s="124" t="s">
        <v>29</v>
      </c>
      <c r="B11" s="125"/>
      <c r="C11" s="47">
        <v>0</v>
      </c>
      <c r="D11" s="4" t="s">
        <v>42</v>
      </c>
      <c r="E11" s="49">
        <v>0</v>
      </c>
      <c r="F11" s="59"/>
      <c r="G11" s="65"/>
      <c r="H11" s="66"/>
      <c r="I11" s="60"/>
      <c r="J11" s="60"/>
      <c r="K11" s="60"/>
      <c r="L11" s="71"/>
      <c r="M11" s="2"/>
      <c r="N11" s="2"/>
      <c r="O11" s="2"/>
    </row>
    <row r="12" spans="1:18" ht="15.75" thickBot="1" x14ac:dyDescent="0.3">
      <c r="A12" s="124" t="s">
        <v>28</v>
      </c>
      <c r="B12" s="125"/>
      <c r="C12" s="48">
        <v>0</v>
      </c>
      <c r="D12" s="4" t="s">
        <v>42</v>
      </c>
      <c r="E12" s="50">
        <v>0</v>
      </c>
      <c r="F12" s="59"/>
      <c r="G12" s="65"/>
      <c r="H12" s="66"/>
      <c r="I12" s="60"/>
      <c r="J12" s="60"/>
      <c r="K12" s="60"/>
      <c r="L12" s="71"/>
      <c r="M12" s="2"/>
      <c r="N12" s="2"/>
      <c r="O12" s="2"/>
    </row>
    <row r="13" spans="1:18" x14ac:dyDescent="0.25">
      <c r="A13" s="56"/>
      <c r="B13" s="56"/>
      <c r="C13" s="56"/>
      <c r="D13" s="56"/>
      <c r="E13" s="56"/>
      <c r="F13" s="60"/>
      <c r="G13" s="87"/>
      <c r="H13" s="60"/>
      <c r="I13" s="60"/>
      <c r="J13" s="60"/>
      <c r="K13" s="60"/>
      <c r="L13" s="71"/>
      <c r="M13" s="2"/>
      <c r="N13" s="2"/>
      <c r="O13" s="2"/>
    </row>
    <row r="14" spans="1:18" x14ac:dyDescent="0.25">
      <c r="A14" s="123" t="s">
        <v>50</v>
      </c>
      <c r="B14" s="123"/>
      <c r="C14" s="54">
        <v>0</v>
      </c>
      <c r="D14" s="57"/>
      <c r="E14" s="57"/>
      <c r="F14" s="61"/>
      <c r="G14" s="60"/>
      <c r="H14" s="60"/>
      <c r="I14" s="60"/>
      <c r="J14" s="60"/>
      <c r="K14" s="60"/>
      <c r="L14" s="71"/>
      <c r="M14" s="2"/>
      <c r="N14" s="2"/>
      <c r="O14" s="2"/>
    </row>
    <row r="15" spans="1:18" x14ac:dyDescent="0.25">
      <c r="A15" s="126" t="s">
        <v>51</v>
      </c>
      <c r="B15" s="123"/>
      <c r="C15" s="73">
        <f>(SUM(C6:C12))-(SUM(E6:E12))</f>
        <v>0</v>
      </c>
      <c r="D15" s="90" t="s">
        <v>17</v>
      </c>
      <c r="E15" s="93" t="str">
        <f>IFERROR((C14)/((C15*24)*5),"R$ 0,00")</f>
        <v>R$ 0,00</v>
      </c>
      <c r="F15" s="62"/>
      <c r="G15" s="64"/>
      <c r="H15" s="64"/>
      <c r="I15" s="60"/>
      <c r="J15" s="60"/>
      <c r="K15" s="60"/>
      <c r="L15" s="71"/>
      <c r="M15" s="2"/>
      <c r="N15" s="2"/>
      <c r="O15" s="2"/>
    </row>
    <row r="16" spans="1:18" x14ac:dyDescent="0.25">
      <c r="A16" s="56"/>
      <c r="B16" s="56"/>
      <c r="C16" s="56"/>
      <c r="D16" s="56"/>
      <c r="E16" s="56"/>
      <c r="F16" s="60"/>
      <c r="G16" s="60"/>
      <c r="H16" s="60"/>
      <c r="I16" s="60"/>
      <c r="J16" s="60"/>
      <c r="K16" s="60"/>
      <c r="L16" s="71"/>
      <c r="M16" s="2"/>
      <c r="N16" s="2"/>
      <c r="O16" s="2"/>
    </row>
    <row r="17" spans="1:15" x14ac:dyDescent="0.25">
      <c r="A17" s="123" t="s">
        <v>45</v>
      </c>
      <c r="B17" s="123"/>
      <c r="C17" s="122"/>
      <c r="D17" s="122"/>
      <c r="E17" s="122"/>
      <c r="F17" s="63"/>
      <c r="G17" s="63"/>
      <c r="H17" s="63"/>
      <c r="I17" s="60"/>
      <c r="J17" s="60"/>
      <c r="K17" s="60"/>
      <c r="L17" s="71"/>
      <c r="M17" s="2"/>
      <c r="N17" s="2"/>
      <c r="O17" s="2"/>
    </row>
    <row r="18" spans="1:15" ht="39" customHeight="1" x14ac:dyDescent="0.25">
      <c r="A18" s="56"/>
      <c r="B18" s="56"/>
      <c r="C18" s="56"/>
      <c r="D18" s="56"/>
      <c r="E18" s="56"/>
      <c r="F18" s="60"/>
      <c r="G18" s="72"/>
      <c r="H18" s="72"/>
      <c r="I18" s="72"/>
      <c r="J18" s="72"/>
      <c r="K18" s="72"/>
      <c r="L18" s="71"/>
      <c r="M18" s="2"/>
      <c r="N18" s="2"/>
      <c r="O18" s="2"/>
    </row>
    <row r="19" spans="1:15" s="2" customFormat="1" x14ac:dyDescent="0.25">
      <c r="F19" s="70"/>
      <c r="G19" s="70"/>
      <c r="H19" s="70"/>
      <c r="I19" s="70"/>
      <c r="J19" s="70"/>
      <c r="K19" s="70"/>
    </row>
    <row r="20" spans="1:15" ht="12" customHeight="1" x14ac:dyDescent="0.25">
      <c r="A20" s="2"/>
      <c r="B20" s="2"/>
      <c r="C20" s="2"/>
      <c r="D20" s="2"/>
      <c r="E20" s="2"/>
      <c r="F20" s="70"/>
      <c r="G20" s="70"/>
      <c r="H20" s="70"/>
      <c r="I20" s="70"/>
      <c r="J20" s="70"/>
      <c r="K20" s="70"/>
      <c r="L20" s="2"/>
      <c r="M20" s="2"/>
      <c r="N20" s="2"/>
    </row>
    <row r="21" spans="1:15" x14ac:dyDescent="0.25">
      <c r="A21" s="2"/>
      <c r="B21" s="2"/>
      <c r="C21" s="2"/>
      <c r="D21" s="2"/>
      <c r="E21" s="2"/>
      <c r="F21" s="70"/>
      <c r="G21" s="70"/>
      <c r="H21" s="70"/>
      <c r="I21" s="70"/>
      <c r="J21" s="70"/>
      <c r="K21" s="70"/>
      <c r="L21" s="2"/>
    </row>
    <row r="22" spans="1:15" x14ac:dyDescent="0.25">
      <c r="A22" s="2"/>
      <c r="B22" s="2"/>
      <c r="C22" s="2"/>
      <c r="D22" s="2"/>
      <c r="E22" s="2"/>
      <c r="F22" s="70"/>
      <c r="G22" s="70"/>
      <c r="H22" s="70"/>
      <c r="I22" s="70"/>
      <c r="J22" s="70"/>
      <c r="K22" s="70"/>
      <c r="L22" s="2"/>
    </row>
    <row r="23" spans="1:15" x14ac:dyDescent="0.25">
      <c r="A23" s="2"/>
      <c r="B23" s="2"/>
      <c r="C23" s="2"/>
      <c r="D23" s="2"/>
      <c r="E23" s="2"/>
      <c r="F23" s="70"/>
      <c r="G23" s="70"/>
      <c r="H23" s="70"/>
      <c r="I23" s="70"/>
      <c r="J23" s="70"/>
      <c r="K23" s="70"/>
      <c r="L23" s="2"/>
    </row>
    <row r="24" spans="1:15" x14ac:dyDescent="0.25">
      <c r="A24" s="2"/>
      <c r="B24" s="2"/>
      <c r="C24" s="2"/>
      <c r="D24" s="2"/>
      <c r="E24" s="2"/>
      <c r="F24" s="70"/>
      <c r="G24" s="70"/>
      <c r="H24" s="70"/>
      <c r="I24" s="70"/>
      <c r="J24" s="70"/>
      <c r="K24" s="70"/>
      <c r="L24" s="2"/>
    </row>
    <row r="25" spans="1:15" x14ac:dyDescent="0.25">
      <c r="F25" s="10"/>
      <c r="G25" s="70"/>
      <c r="H25" s="70"/>
      <c r="I25" s="70"/>
      <c r="J25" s="70"/>
      <c r="K25" s="70"/>
      <c r="L25" s="2"/>
    </row>
    <row r="26" spans="1:15" x14ac:dyDescent="0.25">
      <c r="G26" s="2"/>
      <c r="H26" s="2"/>
      <c r="I26" s="2"/>
      <c r="J26" s="2"/>
      <c r="K26" s="2"/>
      <c r="L26" s="2"/>
    </row>
    <row r="27" spans="1:15" x14ac:dyDescent="0.25">
      <c r="G27" s="2"/>
      <c r="H27" s="2"/>
      <c r="I27" s="2"/>
      <c r="J27" s="2"/>
      <c r="K27" s="2"/>
      <c r="L27" s="2"/>
    </row>
  </sheetData>
  <sheetProtection selectLockedCells="1"/>
  <mergeCells count="20">
    <mergeCell ref="A1:I3"/>
    <mergeCell ref="G9:H9"/>
    <mergeCell ref="G10:H10"/>
    <mergeCell ref="G6:H6"/>
    <mergeCell ref="A4:C4"/>
    <mergeCell ref="G5:I5"/>
    <mergeCell ref="G7:H7"/>
    <mergeCell ref="G8:H8"/>
    <mergeCell ref="A5:E5"/>
    <mergeCell ref="A7:B7"/>
    <mergeCell ref="A8:B8"/>
    <mergeCell ref="A9:B9"/>
    <mergeCell ref="A6:B6"/>
    <mergeCell ref="C17:E17"/>
    <mergeCell ref="A17:B17"/>
    <mergeCell ref="A14:B14"/>
    <mergeCell ref="A10:B10"/>
    <mergeCell ref="A11:B11"/>
    <mergeCell ref="A12:B12"/>
    <mergeCell ref="A15:B15"/>
  </mergeCells>
  <dataValidations count="1">
    <dataValidation type="decimal" operator="greaterThanOrEqual" allowBlank="1" showInputMessage="1" showErrorMessage="1" errorTitle="Valor iválido" error="Digite um valor maior ou igual a 0" sqref="I7:I10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B4"/>
  <sheetViews>
    <sheetView showGridLines="0" workbookViewId="0">
      <selection activeCell="D6" sqref="D6"/>
    </sheetView>
  </sheetViews>
  <sheetFormatPr defaultRowHeight="15" x14ac:dyDescent="0.25"/>
  <cols>
    <col min="1" max="1" width="17.7109375" style="149" customWidth="1"/>
    <col min="2" max="2" width="17.7109375" style="147" customWidth="1"/>
  </cols>
  <sheetData>
    <row r="1" spans="1:2" ht="40.5" customHeight="1" x14ac:dyDescent="0.25">
      <c r="A1" s="146"/>
      <c r="B1" s="146"/>
    </row>
    <row r="2" spans="1:2" ht="18.75" x14ac:dyDescent="0.25">
      <c r="A2" s="142" t="s">
        <v>91</v>
      </c>
      <c r="B2" s="143"/>
    </row>
    <row r="3" spans="1:2" ht="18.75" x14ac:dyDescent="0.25">
      <c r="A3" s="144" t="s">
        <v>93</v>
      </c>
      <c r="B3" s="145"/>
    </row>
    <row r="4" spans="1:2" x14ac:dyDescent="0.25">
      <c r="A4" s="148" t="s">
        <v>92</v>
      </c>
      <c r="B4" s="141">
        <f>SUM(B5:B400)</f>
        <v>0</v>
      </c>
    </row>
  </sheetData>
  <sheetProtection algorithmName="SHA-512" hashValue="p+08TiizDPQ85CBZaTl8zFEPizL3GG1WaBq0ybhs0JJx67HLPKLmvwgfyzxVFRJHy3oZj9znRxR9DU29zF+rYA==" saltValue="c/KnoS06qK8h/pJnB5pBtg==" spinCount="100000" sheet="1" objects="1" scenarios="1"/>
  <mergeCells count="2">
    <mergeCell ref="A2:B2"/>
    <mergeCell ref="A3:B3"/>
  </mergeCells>
  <conditionalFormatting sqref="A4:B400">
    <cfRule type="expression" dxfId="359" priority="1">
      <formula>$A4&lt;&gt;""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2:AJ50"/>
  <sheetViews>
    <sheetView showGridLines="0" zoomScaleNormal="100" workbookViewId="0">
      <selection activeCell="P8" sqref="P8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16384" width="9.140625" style="10"/>
  </cols>
  <sheetData>
    <row r="2" spans="1:36" x14ac:dyDescent="0.25">
      <c r="A2" s="140" t="str">
        <f>IF(Configurações!C17 = 0,"",Configurações!C17)</f>
        <v/>
      </c>
      <c r="B2" s="140"/>
      <c r="C2" s="140"/>
      <c r="D2" s="140"/>
    </row>
    <row r="3" spans="1:36" ht="15.75" customHeight="1" thickBot="1" x14ac:dyDescent="0.3">
      <c r="A3" s="110" t="s">
        <v>90</v>
      </c>
      <c r="B3" s="110"/>
      <c r="C3" s="110"/>
      <c r="D3" s="110"/>
    </row>
    <row r="4" spans="1:36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36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SUM(M12:M42)</f>
        <v>0</v>
      </c>
      <c r="H5" s="13"/>
      <c r="I5" s="75" t="s">
        <v>31</v>
      </c>
      <c r="J5" s="16">
        <f>(SUM(S12:S42)*24)*Configurações!E15*(Configurações!I7+1)</f>
        <v>0</v>
      </c>
      <c r="K5" s="13"/>
      <c r="L5" s="75" t="s">
        <v>68</v>
      </c>
      <c r="M5" s="17">
        <f>SUM(J5:J9)</f>
        <v>0</v>
      </c>
      <c r="N5" s="14"/>
      <c r="O5" s="102" t="s">
        <v>44</v>
      </c>
      <c r="P5" s="103"/>
      <c r="Q5" s="18">
        <f>SUM(R12:R42)</f>
        <v>0</v>
      </c>
      <c r="W5" s="19"/>
    </row>
    <row r="6" spans="1:36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SUM(O12:O42)</f>
        <v>0</v>
      </c>
      <c r="H6" s="13"/>
      <c r="I6" s="75" t="s">
        <v>34</v>
      </c>
      <c r="J6" s="16">
        <f>(SUM(T12:T42)*24)*Configurações!E15*(Configurações!I10+1)</f>
        <v>0</v>
      </c>
      <c r="K6" s="13"/>
      <c r="L6" s="76" t="s">
        <v>69</v>
      </c>
      <c r="M6" s="21">
        <f ca="1">((G7*24)+(G6*24))*Configurações!E15</f>
        <v>0</v>
      </c>
      <c r="U6" s="19"/>
      <c r="W6" s="22"/>
    </row>
    <row r="7" spans="1:36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SUM(P12:P42)</f>
        <v>0</v>
      </c>
      <c r="H7" s="13"/>
      <c r="I7" s="75" t="s">
        <v>32</v>
      </c>
      <c r="J7" s="16">
        <f>(SUM(U12:U42)*24)*Configurações!E15*(Configurações!I9+1)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36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SUM(Q12:Q42)</f>
        <v>0</v>
      </c>
      <c r="H8" s="13"/>
      <c r="I8" s="75" t="s">
        <v>33</v>
      </c>
      <c r="J8" s="16">
        <f>(SUM(V12:V42)*24)*Configurações!E15*(Configurações!I8+1)</f>
        <v>0</v>
      </c>
      <c r="K8" s="13"/>
      <c r="L8" s="116" t="s">
        <v>63</v>
      </c>
      <c r="M8" s="117"/>
      <c r="N8" s="25"/>
      <c r="O8" s="75" t="s">
        <v>26</v>
      </c>
      <c r="P8" s="7">
        <v>0</v>
      </c>
    </row>
    <row r="9" spans="1:36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0</v>
      </c>
      <c r="H9" s="13"/>
      <c r="I9" s="76" t="s">
        <v>30</v>
      </c>
      <c r="J9" s="27">
        <f>((((SUM(N12:N42)*24)*Configurações!E15*(Configurações!I6+1)))-(SUM(N12:N42)*24)*Configurações!E15)</f>
        <v>0</v>
      </c>
      <c r="K9" s="13"/>
      <c r="L9" s="120">
        <f ca="1">SUM(M5:M6)</f>
        <v>0</v>
      </c>
      <c r="M9" s="121"/>
      <c r="N9" s="28"/>
      <c r="O9" s="76" t="s">
        <v>25</v>
      </c>
      <c r="P9" s="26">
        <f ca="1">SUM(P8,G9)</f>
        <v>0</v>
      </c>
    </row>
    <row r="10" spans="1:36" x14ac:dyDescent="0.25">
      <c r="B10" s="29">
        <v>41274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36" x14ac:dyDescent="0.25">
      <c r="A11" s="106" t="s">
        <v>7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36" x14ac:dyDescent="0.25">
      <c r="A12" s="106"/>
      <c r="B12" s="37">
        <f>IF(MONTH($B$10+ROW()-ROW($B$10)-2) = MONTH($B$10),$B$10+ROW()-ROW($B$10)-2,"")</f>
        <v>41274</v>
      </c>
      <c r="C12" s="38">
        <f t="shared" ref="C12:C42" si="0">B12</f>
        <v>41274</v>
      </c>
      <c r="D12" s="92" t="str">
        <f>IF(B12="","",IF(VerificaSeFeriado(B12),"Sim",""))</f>
        <v>Sim</v>
      </c>
      <c r="E12" s="5"/>
      <c r="F12" s="5"/>
      <c r="G12" s="5"/>
      <c r="H12" s="5"/>
      <c r="I12" s="5"/>
      <c r="J12" s="5"/>
      <c r="K12" s="5"/>
      <c r="L12" s="5"/>
      <c r="M12" s="41" t="str">
        <f>IFERROR(IF((R12-AB12)&gt;(1*"00:00:01"),(R12-AB12),""),"")</f>
        <v/>
      </c>
      <c r="N12" s="42" t="str">
        <f>IF(SUM(W12:X12)*(1/52.5*60)&gt;0,SUM(W12:X12)*(1/52.5*60),"")</f>
        <v/>
      </c>
      <c r="O12" s="43" t="str">
        <f t="shared" ref="O12:O15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6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</v>
      </c>
      <c r="S12" s="44">
        <f>IF(D12="Sim",0,IF((OR(WEEKDAY(C12)=2,WEEKDAY(C12)=3,WEEKDAY(C12)=4,WEEKDAY(C12)=5,WEEKDAY(C12)=6))=TRUE,M12,IF(AND(WEEKDAY(C12)=7,Configurações!$C$11&gt;0)=TRUE,M12,IF(AND(WEEKDAY(C12)=1,Configurações!$C$12&gt;0)=TRUE,M12,0))))</f>
        <v>0</v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:Y25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</row>
    <row r="13" spans="1:36" x14ac:dyDescent="0.25">
      <c r="A13" s="106"/>
      <c r="B13" s="37">
        <f t="shared" ref="B13:B42" si="3">IF(MONTH($B$10+ROW()-ROW($B$10)-2) = MONTH($B$10),$B$10+ROW()-ROW($B$10)-2,"")</f>
        <v>41275</v>
      </c>
      <c r="C13" s="38">
        <f t="shared" si="0"/>
        <v>41275</v>
      </c>
      <c r="D13" s="92" t="str">
        <f>IF(B13="","",IF(VerificaSeFeriado(B13),"Sim",""))</f>
        <v/>
      </c>
      <c r="E13" s="5"/>
      <c r="F13" s="5"/>
      <c r="G13" s="5"/>
      <c r="H13" s="5"/>
      <c r="I13" s="5"/>
      <c r="J13" s="5"/>
      <c r="K13" s="5"/>
      <c r="L13" s="5"/>
      <c r="M13" s="41" t="str">
        <f t="shared" ref="M13:M42" si="4">IFERROR(IF((R13-AB13)&gt;(1*"00:00:01"),(R13-AB13),""),"")</f>
        <v/>
      </c>
      <c r="N13" s="42" t="str">
        <f t="shared" ref="N13:N42" si="5">IF(SUM(W13:X13)*(1/52.5*60)&gt;0,SUM(W13:X13)*(1/52.5*60),"")</f>
        <v/>
      </c>
      <c r="O13" s="43" t="str">
        <f t="shared" si="1"/>
        <v/>
      </c>
      <c r="P13" s="43" t="str">
        <f t="shared" ref="P13:P42" ca="1" si="6">IF(TODAY()&lt;=B13,"",IF(D13="Sim","",IF(AND(AA13="Sim",E13="",G13="",I13="",K13="")=TRUE,IF(Q13-AB13&lt;0,Q13-AB13,""),"")))</f>
        <v/>
      </c>
      <c r="Q13" s="6"/>
      <c r="R13" s="40">
        <f t="shared" ref="R13:R42" si="7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 t="str">
        <f>IF(D13="Sim",0,IF((OR(WEEKDAY(C13)=2,WEEKDAY(C13)=3,WEEKDAY(C13)=4,WEEKDAY(C13)=5,WEEKDAY(C13)=6))=TRUE,M13,IF(AND(WEEKDAY(C13)=7,Configurações!$C$11&gt;0)=TRUE,M13,IF(AND(WEEKDAY(C13)=1,Configurações!$C$12&gt;0)=TRUE,M13,0))))</f>
        <v/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42" si="8">IF(D13="Sim",R13,0)</f>
        <v>0</v>
      </c>
      <c r="W13" s="44">
        <f t="shared" ref="W13:W42" si="9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42" si="10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si="2"/>
        <v>0</v>
      </c>
      <c r="Z13" s="45">
        <f t="shared" ref="Z13:Z42" si="11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42" si="12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42" si="13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42" si="14">IF(SUM(AG13:AH13)*(1/52.5*60)&gt;0,(SUM(AG13:AH13)*(1/52.5*60))-(SUM(AG13:AH13)),0)</f>
        <v>0</v>
      </c>
      <c r="AG13" s="84">
        <f t="shared" ref="AG13:AG42" si="15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42" si="16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42" si="17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42" si="18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36" x14ac:dyDescent="0.25">
      <c r="A14" s="106"/>
      <c r="B14" s="37">
        <f t="shared" si="3"/>
        <v>41276</v>
      </c>
      <c r="C14" s="38">
        <f t="shared" si="0"/>
        <v>41276</v>
      </c>
      <c r="D14" s="92" t="str">
        <f>IF(B14="","",IF(VerificaSeFeriado(B14),"Sim",""))</f>
        <v/>
      </c>
      <c r="E14" s="5"/>
      <c r="F14" s="5"/>
      <c r="G14" s="5"/>
      <c r="H14" s="5"/>
      <c r="I14" s="5"/>
      <c r="J14" s="5"/>
      <c r="K14" s="5"/>
      <c r="L14" s="5"/>
      <c r="M14" s="41" t="str">
        <f t="shared" si="4"/>
        <v/>
      </c>
      <c r="N14" s="42" t="str">
        <f t="shared" si="5"/>
        <v/>
      </c>
      <c r="O14" s="43" t="str">
        <f t="shared" si="1"/>
        <v/>
      </c>
      <c r="P14" s="43" t="str">
        <f t="shared" ca="1" si="6"/>
        <v/>
      </c>
      <c r="Q14" s="6"/>
      <c r="R14" s="40">
        <f t="shared" si="7"/>
        <v>0</v>
      </c>
      <c r="S14" s="44" t="str">
        <f>IF(D14="Sim",0,IF((OR(WEEKDAY(C14)=2,WEEKDAY(C14)=3,WEEKDAY(C14)=4,WEEKDAY(C14)=5,WEEKDAY(C14)=6))=TRUE,M14,IF(AND(WEEKDAY(C14)=7,Configurações!$C$11&gt;0)=TRUE,M14,IF(AND(WEEKDAY(C14)=1,Configurações!$C$12&gt;0)=TRUE,M14,0))))</f>
        <v/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8"/>
        <v>0</v>
      </c>
      <c r="W14" s="44">
        <f t="shared" si="9"/>
        <v>0</v>
      </c>
      <c r="X14" s="45">
        <f t="shared" si="10"/>
        <v>0</v>
      </c>
      <c r="Y14" s="44">
        <f t="shared" si="2"/>
        <v>0</v>
      </c>
      <c r="Z14" s="45">
        <f t="shared" si="11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2"/>
        <v/>
      </c>
      <c r="AE14" s="11" t="str">
        <f t="shared" si="13"/>
        <v/>
      </c>
      <c r="AF14" s="83">
        <f t="shared" si="14"/>
        <v>0</v>
      </c>
      <c r="AG14" s="84">
        <f t="shared" si="15"/>
        <v>0</v>
      </c>
      <c r="AH14" s="84">
        <f t="shared" si="16"/>
        <v>0</v>
      </c>
      <c r="AI14" s="84">
        <f t="shared" si="17"/>
        <v>0</v>
      </c>
      <c r="AJ14" s="84">
        <f t="shared" si="18"/>
        <v>0</v>
      </c>
    </row>
    <row r="15" spans="1:36" x14ac:dyDescent="0.25">
      <c r="A15" s="106"/>
      <c r="B15" s="37">
        <f t="shared" si="3"/>
        <v>41277</v>
      </c>
      <c r="C15" s="38">
        <f t="shared" si="0"/>
        <v>41277</v>
      </c>
      <c r="D15" s="92" t="str">
        <f>IF(B15="","",IF(VerificaSeFeriado(B15),"Sim",""))</f>
        <v/>
      </c>
      <c r="E15" s="5"/>
      <c r="F15" s="5"/>
      <c r="G15" s="5"/>
      <c r="H15" s="5"/>
      <c r="I15" s="5"/>
      <c r="J15" s="5"/>
      <c r="K15" s="5"/>
      <c r="L15" s="5"/>
      <c r="M15" s="41" t="str">
        <f t="shared" si="4"/>
        <v/>
      </c>
      <c r="N15" s="42" t="str">
        <f t="shared" si="5"/>
        <v/>
      </c>
      <c r="O15" s="43" t="str">
        <f t="shared" si="1"/>
        <v/>
      </c>
      <c r="P15" s="43" t="str">
        <f t="shared" ca="1" si="6"/>
        <v/>
      </c>
      <c r="Q15" s="6"/>
      <c r="R15" s="40">
        <f t="shared" si="7"/>
        <v>0</v>
      </c>
      <c r="S15" s="44" t="str">
        <f>IF(D15="Sim",0,IF((OR(WEEKDAY(C15)=2,WEEKDAY(C15)=3,WEEKDAY(C15)=4,WEEKDAY(C15)=5,WEEKDAY(C15)=6))=TRUE,M15,IF(AND(WEEKDAY(C15)=7,Configurações!$C$11&gt;0)=TRUE,M15,IF(AND(WEEKDAY(C15)=1,Configurações!$C$12&gt;0)=TRUE,M15,0))))</f>
        <v/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8"/>
        <v>0</v>
      </c>
      <c r="W15" s="44">
        <f t="shared" si="9"/>
        <v>0</v>
      </c>
      <c r="X15" s="45">
        <f t="shared" si="10"/>
        <v>0</v>
      </c>
      <c r="Y15" s="44">
        <f t="shared" si="2"/>
        <v>0</v>
      </c>
      <c r="Z15" s="45">
        <f t="shared" si="11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2"/>
        <v/>
      </c>
      <c r="AE15" s="11" t="str">
        <f t="shared" si="13"/>
        <v/>
      </c>
      <c r="AF15" s="83">
        <f t="shared" si="14"/>
        <v>0</v>
      </c>
      <c r="AG15" s="84">
        <f t="shared" si="15"/>
        <v>0</v>
      </c>
      <c r="AH15" s="84">
        <f t="shared" si="16"/>
        <v>0</v>
      </c>
      <c r="AI15" s="84">
        <f t="shared" si="17"/>
        <v>0</v>
      </c>
      <c r="AJ15" s="84">
        <f t="shared" si="18"/>
        <v>0</v>
      </c>
    </row>
    <row r="16" spans="1:36" x14ac:dyDescent="0.25">
      <c r="A16" s="106"/>
      <c r="B16" s="37">
        <f t="shared" si="3"/>
        <v>41278</v>
      </c>
      <c r="C16" s="38">
        <f t="shared" si="0"/>
        <v>41278</v>
      </c>
      <c r="D16" s="92" t="str">
        <f>IF(B16="","",IF(VerificaSeFeriado(B16),"Sim",""))</f>
        <v/>
      </c>
      <c r="E16" s="5"/>
      <c r="F16" s="5"/>
      <c r="G16" s="5"/>
      <c r="H16" s="5"/>
      <c r="I16" s="5"/>
      <c r="J16" s="5"/>
      <c r="K16" s="5"/>
      <c r="L16" s="5"/>
      <c r="M16" s="41" t="str">
        <f t="shared" si="4"/>
        <v/>
      </c>
      <c r="N16" s="42" t="str">
        <f t="shared" si="5"/>
        <v/>
      </c>
      <c r="O16" s="43" t="str">
        <f>IF(OR(D16="Sim",E16="")=TRUE,"",IF((R16-AB16)&gt;=(-"00:00:01"),"",(R16-AB16)))</f>
        <v/>
      </c>
      <c r="P16" s="43" t="str">
        <f t="shared" ca="1" si="6"/>
        <v/>
      </c>
      <c r="Q16" s="6"/>
      <c r="R16" s="40">
        <f t="shared" si="7"/>
        <v>0</v>
      </c>
      <c r="S16" s="44" t="str">
        <f>IF(D16="Sim",0,IF((OR(WEEKDAY(C16)=2,WEEKDAY(C16)=3,WEEKDAY(C16)=4,WEEKDAY(C16)=5,WEEKDAY(C16)=6))=TRUE,M16,IF(AND(WEEKDAY(C16)=7,Configurações!$C$11&gt;0)=TRUE,M16,IF(AND(WEEKDAY(C16)=1,Configurações!$C$12&gt;0)=TRUE,M16,0))))</f>
        <v/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8"/>
        <v>0</v>
      </c>
      <c r="W16" s="44">
        <f t="shared" si="9"/>
        <v>0</v>
      </c>
      <c r="X16" s="45">
        <f t="shared" si="10"/>
        <v>0</v>
      </c>
      <c r="Y16" s="44">
        <f t="shared" si="2"/>
        <v>0</v>
      </c>
      <c r="Z16" s="45">
        <f t="shared" si="11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2"/>
        <v/>
      </c>
      <c r="AE16" s="11" t="str">
        <f t="shared" si="13"/>
        <v/>
      </c>
      <c r="AF16" s="83">
        <f t="shared" si="14"/>
        <v>0</v>
      </c>
      <c r="AG16" s="84">
        <f t="shared" si="15"/>
        <v>0</v>
      </c>
      <c r="AH16" s="84">
        <f t="shared" si="16"/>
        <v>0</v>
      </c>
      <c r="AI16" s="84">
        <f t="shared" si="17"/>
        <v>0</v>
      </c>
      <c r="AJ16" s="84">
        <f t="shared" si="18"/>
        <v>0</v>
      </c>
    </row>
    <row r="17" spans="1:36" x14ac:dyDescent="0.25">
      <c r="A17" s="106"/>
      <c r="B17" s="37">
        <f t="shared" si="3"/>
        <v>41279</v>
      </c>
      <c r="C17" s="38">
        <f t="shared" si="0"/>
        <v>41279</v>
      </c>
      <c r="D17" s="92" t="str">
        <f>IF(B17="","",IF(VerificaSeFeriado(B17),"Sim",""))</f>
        <v/>
      </c>
      <c r="E17" s="5"/>
      <c r="F17" s="5"/>
      <c r="G17" s="5"/>
      <c r="H17" s="5"/>
      <c r="I17" s="5"/>
      <c r="J17" s="5"/>
      <c r="K17" s="5"/>
      <c r="L17" s="5"/>
      <c r="M17" s="41" t="str">
        <f t="shared" si="4"/>
        <v/>
      </c>
      <c r="N17" s="42" t="str">
        <f t="shared" si="5"/>
        <v/>
      </c>
      <c r="O17" s="43" t="str">
        <f>IF(OR(D17="Sim",E17="")=TRUE,"",IF((R17-AB17)&gt;=(-"00:00:01"),"",(R17-AB17)))</f>
        <v/>
      </c>
      <c r="P17" s="43" t="str">
        <f t="shared" ca="1" si="6"/>
        <v/>
      </c>
      <c r="Q17" s="6"/>
      <c r="R17" s="40">
        <f t="shared" si="7"/>
        <v>0</v>
      </c>
      <c r="S17" s="44" t="str">
        <f>IF(D17="Sim",0,IF((OR(WEEKDAY(C17)=2,WEEKDAY(C17)=3,WEEKDAY(C17)=4,WEEKDAY(C17)=5,WEEKDAY(C17)=6))=TRUE,M17,IF(AND(WEEKDAY(C17)=7,Configurações!$C$11&gt;0)=TRUE,M17,IF(AND(WEEKDAY(C17)=1,Configurações!$C$12&gt;0)=TRUE,M17,0))))</f>
        <v/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8"/>
        <v>0</v>
      </c>
      <c r="W17" s="44">
        <f t="shared" si="9"/>
        <v>0</v>
      </c>
      <c r="X17" s="45">
        <f t="shared" si="10"/>
        <v>0</v>
      </c>
      <c r="Y17" s="44">
        <f t="shared" si="2"/>
        <v>0</v>
      </c>
      <c r="Z17" s="45">
        <f t="shared" si="11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2"/>
        <v/>
      </c>
      <c r="AE17" s="11" t="str">
        <f t="shared" si="13"/>
        <v/>
      </c>
      <c r="AF17" s="83">
        <f t="shared" si="14"/>
        <v>0</v>
      </c>
      <c r="AG17" s="84">
        <f t="shared" si="15"/>
        <v>0</v>
      </c>
      <c r="AH17" s="84">
        <f t="shared" si="16"/>
        <v>0</v>
      </c>
      <c r="AI17" s="84">
        <f t="shared" si="17"/>
        <v>0</v>
      </c>
      <c r="AJ17" s="84">
        <f t="shared" si="18"/>
        <v>0</v>
      </c>
    </row>
    <row r="18" spans="1:36" x14ac:dyDescent="0.25">
      <c r="A18" s="106"/>
      <c r="B18" s="37">
        <f t="shared" si="3"/>
        <v>41280</v>
      </c>
      <c r="C18" s="38">
        <f t="shared" si="0"/>
        <v>41280</v>
      </c>
      <c r="D18" s="92" t="str">
        <f>IF(B18="","",IF(VerificaSeFeriado(B18),"Sim",""))</f>
        <v/>
      </c>
      <c r="E18" s="5"/>
      <c r="F18" s="5"/>
      <c r="G18" s="5"/>
      <c r="H18" s="5"/>
      <c r="I18" s="5"/>
      <c r="J18" s="5"/>
      <c r="K18" s="5"/>
      <c r="L18" s="5"/>
      <c r="M18" s="41" t="str">
        <f t="shared" si="4"/>
        <v/>
      </c>
      <c r="N18" s="42" t="str">
        <f t="shared" si="5"/>
        <v/>
      </c>
      <c r="O18" s="43" t="str">
        <f t="shared" ref="O18:O42" si="19">IF(OR(D18="Sim",E18="")=TRUE,"",IF((R18-AB18)&gt;=(-"00:00:01"),"",(R18-AB18)))</f>
        <v/>
      </c>
      <c r="P18" s="43" t="str">
        <f t="shared" ca="1" si="6"/>
        <v/>
      </c>
      <c r="Q18" s="6"/>
      <c r="R18" s="40">
        <f t="shared" si="7"/>
        <v>0</v>
      </c>
      <c r="S18" s="44">
        <f>IF(D18="Sim",0,IF((OR(WEEKDAY(C18)=2,WEEKDAY(C18)=3,WEEKDAY(C18)=4,WEEKDAY(C18)=5,WEEKDAY(C18)=6))=TRUE,M18,IF(AND(WEEKDAY(C18)=7,Configurações!$C$11&gt;0)=TRUE,M18,IF(AND(WEEKDAY(C18)=1,Configurações!$C$12&gt;0)=TRUE,M18,0))))</f>
        <v>0</v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8"/>
        <v>0</v>
      </c>
      <c r="W18" s="44">
        <f t="shared" si="9"/>
        <v>0</v>
      </c>
      <c r="X18" s="45">
        <f t="shared" si="10"/>
        <v>0</v>
      </c>
      <c r="Y18" s="44">
        <f t="shared" si="2"/>
        <v>0</v>
      </c>
      <c r="Z18" s="45">
        <f t="shared" si="11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2"/>
        <v/>
      </c>
      <c r="AE18" s="11" t="str">
        <f t="shared" si="13"/>
        <v/>
      </c>
      <c r="AF18" s="83">
        <f t="shared" si="14"/>
        <v>0</v>
      </c>
      <c r="AG18" s="84">
        <f t="shared" si="15"/>
        <v>0</v>
      </c>
      <c r="AH18" s="84">
        <f t="shared" si="16"/>
        <v>0</v>
      </c>
      <c r="AI18" s="84">
        <f t="shared" si="17"/>
        <v>0</v>
      </c>
      <c r="AJ18" s="84">
        <f t="shared" si="18"/>
        <v>0</v>
      </c>
    </row>
    <row r="19" spans="1:36" x14ac:dyDescent="0.25">
      <c r="A19" s="106"/>
      <c r="B19" s="37">
        <f t="shared" si="3"/>
        <v>41281</v>
      </c>
      <c r="C19" s="38">
        <f t="shared" si="0"/>
        <v>41281</v>
      </c>
      <c r="D19" s="92" t="str">
        <f>IF(B19="","",IF(VerificaSeFeriado(B19),"Sim",""))</f>
        <v/>
      </c>
      <c r="E19" s="5"/>
      <c r="F19" s="5"/>
      <c r="G19" s="5"/>
      <c r="H19" s="5"/>
      <c r="I19" s="5"/>
      <c r="J19" s="5"/>
      <c r="K19" s="5"/>
      <c r="L19" s="5"/>
      <c r="M19" s="41" t="str">
        <f t="shared" si="4"/>
        <v/>
      </c>
      <c r="N19" s="42" t="str">
        <f t="shared" si="5"/>
        <v/>
      </c>
      <c r="O19" s="43" t="str">
        <f t="shared" si="19"/>
        <v/>
      </c>
      <c r="P19" s="43" t="str">
        <f t="shared" ca="1" si="6"/>
        <v/>
      </c>
      <c r="Q19" s="6"/>
      <c r="R19" s="40">
        <f t="shared" si="7"/>
        <v>0</v>
      </c>
      <c r="S19" s="44">
        <f>IF(D19="Sim",0,IF((OR(WEEKDAY(C19)=2,WEEKDAY(C19)=3,WEEKDAY(C19)=4,WEEKDAY(C19)=5,WEEKDAY(C19)=6))=TRUE,M19,IF(AND(WEEKDAY(C19)=7,Configurações!$C$11&gt;0)=TRUE,M19,IF(AND(WEEKDAY(C19)=1,Configurações!$C$12&gt;0)=TRUE,M19,0))))</f>
        <v>0</v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8"/>
        <v>0</v>
      </c>
      <c r="W19" s="44">
        <f t="shared" si="9"/>
        <v>0</v>
      </c>
      <c r="X19" s="45">
        <f t="shared" si="10"/>
        <v>0</v>
      </c>
      <c r="Y19" s="44">
        <f t="shared" si="2"/>
        <v>0</v>
      </c>
      <c r="Z19" s="45">
        <f t="shared" si="11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2"/>
        <v/>
      </c>
      <c r="AE19" s="11" t="str">
        <f t="shared" si="13"/>
        <v/>
      </c>
      <c r="AF19" s="83">
        <f t="shared" si="14"/>
        <v>0</v>
      </c>
      <c r="AG19" s="84">
        <f t="shared" si="15"/>
        <v>0</v>
      </c>
      <c r="AH19" s="84">
        <f t="shared" si="16"/>
        <v>0</v>
      </c>
      <c r="AI19" s="84">
        <f t="shared" si="17"/>
        <v>0</v>
      </c>
      <c r="AJ19" s="84">
        <f t="shared" si="18"/>
        <v>0</v>
      </c>
    </row>
    <row r="20" spans="1:36" x14ac:dyDescent="0.25">
      <c r="A20" s="106"/>
      <c r="B20" s="37">
        <f t="shared" si="3"/>
        <v>41282</v>
      </c>
      <c r="C20" s="38">
        <f t="shared" si="0"/>
        <v>41282</v>
      </c>
      <c r="D20" s="92" t="str">
        <f>IF(B20="","",IF(VerificaSeFeriado(B20),"Sim",""))</f>
        <v/>
      </c>
      <c r="E20" s="5"/>
      <c r="F20" s="5"/>
      <c r="G20" s="5"/>
      <c r="H20" s="5"/>
      <c r="I20" s="5"/>
      <c r="J20" s="5"/>
      <c r="K20" s="5"/>
      <c r="L20" s="5"/>
      <c r="M20" s="41" t="str">
        <f t="shared" si="4"/>
        <v/>
      </c>
      <c r="N20" s="42" t="str">
        <f t="shared" si="5"/>
        <v/>
      </c>
      <c r="O20" s="43" t="str">
        <f t="shared" si="19"/>
        <v/>
      </c>
      <c r="P20" s="43" t="str">
        <f t="shared" ca="1" si="6"/>
        <v/>
      </c>
      <c r="Q20" s="6"/>
      <c r="R20" s="40">
        <f t="shared" si="7"/>
        <v>0</v>
      </c>
      <c r="S20" s="44" t="str">
        <f>IF(D20="Sim",0,IF((OR(WEEKDAY(C20)=2,WEEKDAY(C20)=3,WEEKDAY(C20)=4,WEEKDAY(C20)=5,WEEKDAY(C20)=6))=TRUE,M20,IF(AND(WEEKDAY(C20)=7,Configurações!$C$11&gt;0)=TRUE,M20,IF(AND(WEEKDAY(C20)=1,Configurações!$C$12&gt;0)=TRUE,M20,0))))</f>
        <v/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8"/>
        <v>0</v>
      </c>
      <c r="W20" s="44">
        <f t="shared" si="9"/>
        <v>0</v>
      </c>
      <c r="X20" s="45">
        <f t="shared" si="10"/>
        <v>0</v>
      </c>
      <c r="Y20" s="44">
        <f t="shared" si="2"/>
        <v>0</v>
      </c>
      <c r="Z20" s="45">
        <f t="shared" si="11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2"/>
        <v/>
      </c>
      <c r="AE20" s="11" t="str">
        <f t="shared" si="13"/>
        <v/>
      </c>
      <c r="AF20" s="83">
        <f t="shared" si="14"/>
        <v>0</v>
      </c>
      <c r="AG20" s="84">
        <f t="shared" si="15"/>
        <v>0</v>
      </c>
      <c r="AH20" s="84">
        <f t="shared" si="16"/>
        <v>0</v>
      </c>
      <c r="AI20" s="84">
        <f t="shared" si="17"/>
        <v>0</v>
      </c>
      <c r="AJ20" s="84">
        <f t="shared" si="18"/>
        <v>0</v>
      </c>
    </row>
    <row r="21" spans="1:36" x14ac:dyDescent="0.25">
      <c r="A21" s="106"/>
      <c r="B21" s="37">
        <f t="shared" si="3"/>
        <v>41283</v>
      </c>
      <c r="C21" s="38">
        <f t="shared" si="0"/>
        <v>41283</v>
      </c>
      <c r="D21" s="92" t="str">
        <f>IF(B21="","",IF(VerificaSeFeriado(B21),"Sim",""))</f>
        <v/>
      </c>
      <c r="E21" s="5"/>
      <c r="F21" s="5"/>
      <c r="G21" s="5"/>
      <c r="H21" s="5"/>
      <c r="I21" s="5"/>
      <c r="J21" s="5"/>
      <c r="K21" s="5"/>
      <c r="L21" s="5"/>
      <c r="M21" s="41" t="str">
        <f t="shared" si="4"/>
        <v/>
      </c>
      <c r="N21" s="42" t="str">
        <f t="shared" si="5"/>
        <v/>
      </c>
      <c r="O21" s="43" t="str">
        <f t="shared" si="19"/>
        <v/>
      </c>
      <c r="P21" s="43" t="str">
        <f t="shared" ca="1" si="6"/>
        <v/>
      </c>
      <c r="Q21" s="6"/>
      <c r="R21" s="40">
        <f t="shared" si="7"/>
        <v>0</v>
      </c>
      <c r="S21" s="44" t="str">
        <f>IF(D21="Sim",0,IF((OR(WEEKDAY(C21)=2,WEEKDAY(C21)=3,WEEKDAY(C21)=4,WEEKDAY(C21)=5,WEEKDAY(C21)=6))=TRUE,M21,IF(AND(WEEKDAY(C21)=7,Configurações!$C$11&gt;0)=TRUE,M21,IF(AND(WEEKDAY(C21)=1,Configurações!$C$12&gt;0)=TRUE,M21,0))))</f>
        <v/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8"/>
        <v>0</v>
      </c>
      <c r="W21" s="44">
        <f t="shared" si="9"/>
        <v>0</v>
      </c>
      <c r="X21" s="45">
        <f t="shared" si="10"/>
        <v>0</v>
      </c>
      <c r="Y21" s="44">
        <f t="shared" si="2"/>
        <v>0</v>
      </c>
      <c r="Z21" s="45">
        <f t="shared" si="11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2"/>
        <v/>
      </c>
      <c r="AE21" s="11" t="str">
        <f t="shared" si="13"/>
        <v/>
      </c>
      <c r="AF21" s="83">
        <f t="shared" si="14"/>
        <v>0</v>
      </c>
      <c r="AG21" s="84">
        <f t="shared" si="15"/>
        <v>0</v>
      </c>
      <c r="AH21" s="84">
        <f t="shared" si="16"/>
        <v>0</v>
      </c>
      <c r="AI21" s="84">
        <f t="shared" si="17"/>
        <v>0</v>
      </c>
      <c r="AJ21" s="84">
        <f t="shared" si="18"/>
        <v>0</v>
      </c>
    </row>
    <row r="22" spans="1:36" x14ac:dyDescent="0.25">
      <c r="A22" s="106"/>
      <c r="B22" s="37">
        <f t="shared" si="3"/>
        <v>41284</v>
      </c>
      <c r="C22" s="38">
        <f t="shared" si="0"/>
        <v>41284</v>
      </c>
      <c r="D22" s="92" t="str">
        <f>IF(B22="","",IF(VerificaSeFeriado(B22),"Sim",""))</f>
        <v/>
      </c>
      <c r="E22" s="5"/>
      <c r="F22" s="5"/>
      <c r="G22" s="5"/>
      <c r="H22" s="5"/>
      <c r="I22" s="5"/>
      <c r="J22" s="5"/>
      <c r="K22" s="5"/>
      <c r="L22" s="5"/>
      <c r="M22" s="41" t="str">
        <f t="shared" si="4"/>
        <v/>
      </c>
      <c r="N22" s="42" t="str">
        <f t="shared" si="5"/>
        <v/>
      </c>
      <c r="O22" s="43" t="str">
        <f>IF(OR(D22="Sim",E22="")=TRUE,"",IF((R22-AB22)&gt;=(-"00:00:01"),"",(R22-AB22)))</f>
        <v/>
      </c>
      <c r="P22" s="43" t="str">
        <f ca="1">IF(TODAY()&lt;=B22,"",IF(D22="Sim","",IF(AND(AA22="Sim",E22="",G22="",I22="",K22="")=TRUE,IF(Q22-AB22&lt;0,Q22-AB22,""),"")))</f>
        <v/>
      </c>
      <c r="Q22" s="6"/>
      <c r="R22" s="40">
        <f t="shared" si="7"/>
        <v>0</v>
      </c>
      <c r="S22" s="44" t="str">
        <f>IF(D22="Sim",0,IF((OR(WEEKDAY(C22)=2,WEEKDAY(C22)=3,WEEKDAY(C22)=4,WEEKDAY(C22)=5,WEEKDAY(C22)=6))=TRUE,M22,IF(AND(WEEKDAY(C22)=7,Configurações!$C$11&gt;0)=TRUE,M22,IF(AND(WEEKDAY(C22)=1,Configurações!$C$12&gt;0)=TRUE,M22,0))))</f>
        <v/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8"/>
        <v>0</v>
      </c>
      <c r="W22" s="44">
        <f t="shared" si="9"/>
        <v>0</v>
      </c>
      <c r="X22" s="45">
        <f t="shared" si="10"/>
        <v>0</v>
      </c>
      <c r="Y22" s="44">
        <f t="shared" si="2"/>
        <v>0</v>
      </c>
      <c r="Z22" s="45">
        <f t="shared" si="11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>IF(E22="","",IF(OR(AND(E22&gt;=(1*"22:00"),((1*"29:00")-E22-Y22)&gt;=AB22)=TRUE,AND(AND(E22&gt;=0,E22&lt;=(1*"5:00"))=TRUE,(1*"5:00")-E22-Y22&gt;=AB22)=TRUE)=TRUE,"Sumula",IF(OR(E22&gt;=(1*"22:00"),AND(E22&lt;(1*"5:00"),E22&gt;=(1*"0:00"))=TRUE)=TRUE,"Noite",IF(OR(H22&lt;E22,H22&gt;(1*"22:00"))=TRUE,"Dia",""))))</f>
        <v/>
      </c>
      <c r="AE22" s="11" t="str">
        <f t="shared" si="13"/>
        <v/>
      </c>
      <c r="AF22" s="83">
        <f t="shared" si="14"/>
        <v>0</v>
      </c>
      <c r="AG22" s="84">
        <f t="shared" si="15"/>
        <v>0</v>
      </c>
      <c r="AH22" s="84">
        <f t="shared" si="16"/>
        <v>0</v>
      </c>
      <c r="AI22" s="84">
        <f t="shared" si="17"/>
        <v>0</v>
      </c>
      <c r="AJ22" s="84">
        <f t="shared" si="18"/>
        <v>0</v>
      </c>
    </row>
    <row r="23" spans="1:36" x14ac:dyDescent="0.25">
      <c r="A23" s="106"/>
      <c r="B23" s="37">
        <f t="shared" si="3"/>
        <v>41285</v>
      </c>
      <c r="C23" s="38">
        <f t="shared" si="0"/>
        <v>41285</v>
      </c>
      <c r="D23" s="92" t="str">
        <f>IF(B23="","",IF(VerificaSeFeriado(B23),"Sim",""))</f>
        <v/>
      </c>
      <c r="E23" s="5"/>
      <c r="F23" s="5"/>
      <c r="G23" s="5"/>
      <c r="H23" s="5"/>
      <c r="I23" s="5"/>
      <c r="J23" s="5"/>
      <c r="K23" s="5"/>
      <c r="L23" s="5"/>
      <c r="M23" s="41" t="str">
        <f t="shared" si="4"/>
        <v/>
      </c>
      <c r="N23" s="42" t="str">
        <f t="shared" si="5"/>
        <v/>
      </c>
      <c r="O23" s="43" t="str">
        <f t="shared" si="19"/>
        <v/>
      </c>
      <c r="P23" s="43" t="str">
        <f t="shared" ca="1" si="6"/>
        <v/>
      </c>
      <c r="Q23" s="6"/>
      <c r="R23" s="40">
        <f t="shared" si="7"/>
        <v>0</v>
      </c>
      <c r="S23" s="44" t="str">
        <f>IF(D23="Sim",0,IF((OR(WEEKDAY(C23)=2,WEEKDAY(C23)=3,WEEKDAY(C23)=4,WEEKDAY(C23)=5,WEEKDAY(C23)=6))=TRUE,M23,IF(AND(WEEKDAY(C23)=7,Configurações!$C$11&gt;0)=TRUE,M23,IF(AND(WEEKDAY(C23)=1,Configurações!$C$12&gt;0)=TRUE,M23,0))))</f>
        <v/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8"/>
        <v>0</v>
      </c>
      <c r="W23" s="44">
        <f t="shared" si="9"/>
        <v>0</v>
      </c>
      <c r="X23" s="45">
        <f t="shared" si="10"/>
        <v>0</v>
      </c>
      <c r="Y23" s="44">
        <f t="shared" si="2"/>
        <v>0</v>
      </c>
      <c r="Z23" s="45">
        <f t="shared" si="11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2"/>
        <v/>
      </c>
      <c r="AE23" s="11" t="str">
        <f t="shared" si="13"/>
        <v/>
      </c>
      <c r="AF23" s="83">
        <f t="shared" si="14"/>
        <v>0</v>
      </c>
      <c r="AG23" s="84">
        <f t="shared" si="15"/>
        <v>0</v>
      </c>
      <c r="AH23" s="84">
        <f t="shared" si="16"/>
        <v>0</v>
      </c>
      <c r="AI23" s="84">
        <f t="shared" si="17"/>
        <v>0</v>
      </c>
      <c r="AJ23" s="84">
        <f t="shared" si="18"/>
        <v>0</v>
      </c>
    </row>
    <row r="24" spans="1:36" x14ac:dyDescent="0.25">
      <c r="A24" s="106"/>
      <c r="B24" s="37">
        <f t="shared" si="3"/>
        <v>41286</v>
      </c>
      <c r="C24" s="38">
        <f t="shared" si="0"/>
        <v>41286</v>
      </c>
      <c r="D24" s="92" t="str">
        <f>IF(B24="","",IF(VerificaSeFeriado(B24),"Sim",""))</f>
        <v/>
      </c>
      <c r="E24" s="5"/>
      <c r="F24" s="5"/>
      <c r="G24" s="5"/>
      <c r="H24" s="5"/>
      <c r="I24" s="5"/>
      <c r="J24" s="5"/>
      <c r="K24" s="5"/>
      <c r="L24" s="5"/>
      <c r="M24" s="41" t="str">
        <f t="shared" si="4"/>
        <v/>
      </c>
      <c r="N24" s="42" t="str">
        <f t="shared" si="5"/>
        <v/>
      </c>
      <c r="O24" s="43" t="str">
        <f t="shared" si="19"/>
        <v/>
      </c>
      <c r="P24" s="43" t="str">
        <f t="shared" ca="1" si="6"/>
        <v/>
      </c>
      <c r="Q24" s="6"/>
      <c r="R24" s="40">
        <f t="shared" si="7"/>
        <v>0</v>
      </c>
      <c r="S24" s="44" t="str">
        <f>IF(D24="Sim",0,IF((OR(WEEKDAY(C24)=2,WEEKDAY(C24)=3,WEEKDAY(C24)=4,WEEKDAY(C24)=5,WEEKDAY(C24)=6))=TRUE,M24,IF(AND(WEEKDAY(C24)=7,Configurações!$C$11&gt;0)=TRUE,M24,IF(AND(WEEKDAY(C24)=1,Configurações!$C$12&gt;0)=TRUE,M24,0))))</f>
        <v/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8"/>
        <v>0</v>
      </c>
      <c r="W24" s="44">
        <f t="shared" si="9"/>
        <v>0</v>
      </c>
      <c r="X24" s="45">
        <f t="shared" si="10"/>
        <v>0</v>
      </c>
      <c r="Y24" s="44">
        <f t="shared" si="2"/>
        <v>0</v>
      </c>
      <c r="Z24" s="45">
        <f t="shared" si="11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2"/>
        <v/>
      </c>
      <c r="AE24" s="11" t="str">
        <f t="shared" si="13"/>
        <v/>
      </c>
      <c r="AF24" s="83">
        <f t="shared" si="14"/>
        <v>0</v>
      </c>
      <c r="AG24" s="84">
        <f t="shared" si="15"/>
        <v>0</v>
      </c>
      <c r="AH24" s="84">
        <f t="shared" si="16"/>
        <v>0</v>
      </c>
      <c r="AI24" s="84">
        <f t="shared" si="17"/>
        <v>0</v>
      </c>
      <c r="AJ24" s="84">
        <f t="shared" si="18"/>
        <v>0</v>
      </c>
    </row>
    <row r="25" spans="1:36" x14ac:dyDescent="0.25">
      <c r="A25" s="106"/>
      <c r="B25" s="37">
        <f t="shared" si="3"/>
        <v>41287</v>
      </c>
      <c r="C25" s="38">
        <f t="shared" si="0"/>
        <v>41287</v>
      </c>
      <c r="D25" s="92" t="str">
        <f>IF(B25="","",IF(VerificaSeFeriado(B25),"Sim",""))</f>
        <v/>
      </c>
      <c r="E25" s="5"/>
      <c r="F25" s="5"/>
      <c r="G25" s="5"/>
      <c r="H25" s="5"/>
      <c r="I25" s="5"/>
      <c r="J25" s="5"/>
      <c r="K25" s="5"/>
      <c r="L25" s="5"/>
      <c r="M25" s="41" t="str">
        <f>IFERROR(IF((R25-AB25)&gt;(1*"00:00:01"),(R25-AB25),""),"")</f>
        <v/>
      </c>
      <c r="N25" s="42" t="str">
        <f t="shared" si="5"/>
        <v/>
      </c>
      <c r="O25" s="43" t="str">
        <f t="shared" si="19"/>
        <v/>
      </c>
      <c r="P25" s="43" t="str">
        <f t="shared" ca="1" si="6"/>
        <v/>
      </c>
      <c r="Q25" s="6"/>
      <c r="R25" s="40">
        <f t="shared" si="7"/>
        <v>0</v>
      </c>
      <c r="S25" s="44">
        <f>IF(D25="Sim",0,IF((OR(WEEKDAY(C25)=2,WEEKDAY(C25)=3,WEEKDAY(C25)=4,WEEKDAY(C25)=5,WEEKDAY(C25)=6))=TRUE,M25,IF(AND(WEEKDAY(C25)=7,Configurações!$C$11&gt;0)=TRUE,M25,IF(AND(WEEKDAY(C25)=1,Configurações!$C$12&gt;0)=TRUE,M25,0))))</f>
        <v>0</v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8"/>
        <v>0</v>
      </c>
      <c r="W25" s="44">
        <f t="shared" si="9"/>
        <v>0</v>
      </c>
      <c r="X25" s="45">
        <f t="shared" si="10"/>
        <v>0</v>
      </c>
      <c r="Y25" s="44">
        <f t="shared" si="2"/>
        <v>0</v>
      </c>
      <c r="Z25" s="45">
        <f t="shared" si="11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2"/>
        <v/>
      </c>
      <c r="AE25" s="11" t="str">
        <f t="shared" si="13"/>
        <v/>
      </c>
      <c r="AF25" s="83">
        <f t="shared" si="14"/>
        <v>0</v>
      </c>
      <c r="AG25" s="84">
        <f t="shared" si="15"/>
        <v>0</v>
      </c>
      <c r="AH25" s="84">
        <f t="shared" si="16"/>
        <v>0</v>
      </c>
      <c r="AI25" s="84">
        <f t="shared" si="17"/>
        <v>0</v>
      </c>
      <c r="AJ25" s="84">
        <f t="shared" si="18"/>
        <v>0</v>
      </c>
    </row>
    <row r="26" spans="1:36" x14ac:dyDescent="0.25">
      <c r="A26" s="106"/>
      <c r="B26" s="37">
        <f t="shared" si="3"/>
        <v>41288</v>
      </c>
      <c r="C26" s="38">
        <f t="shared" si="0"/>
        <v>41288</v>
      </c>
      <c r="D26" s="92" t="str">
        <f>IF(B26="","",IF(VerificaSeFeriado(B26),"Sim",""))</f>
        <v/>
      </c>
      <c r="E26" s="5"/>
      <c r="F26" s="5"/>
      <c r="G26" s="5"/>
      <c r="H26" s="5"/>
      <c r="I26" s="5"/>
      <c r="J26" s="5"/>
      <c r="K26" s="5"/>
      <c r="L26" s="5"/>
      <c r="M26" s="41" t="str">
        <f t="shared" si="4"/>
        <v/>
      </c>
      <c r="N26" s="42" t="str">
        <f t="shared" si="5"/>
        <v/>
      </c>
      <c r="O26" s="43" t="str">
        <f t="shared" si="19"/>
        <v/>
      </c>
      <c r="P26" s="43" t="str">
        <f t="shared" ca="1" si="6"/>
        <v/>
      </c>
      <c r="Q26" s="6"/>
      <c r="R26" s="40">
        <f t="shared" si="7"/>
        <v>0</v>
      </c>
      <c r="S26" s="44">
        <f>IF(D26="Sim",0,IF((OR(WEEKDAY(C26)=2,WEEKDAY(C26)=3,WEEKDAY(C26)=4,WEEKDAY(C26)=5,WEEKDAY(C26)=6))=TRUE,M26,IF(AND(WEEKDAY(C26)=7,Configurações!$C$11&gt;0)=TRUE,M26,IF(AND(WEEKDAY(C26)=1,Configurações!$C$12&gt;0)=TRUE,M26,0))))</f>
        <v>0</v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8"/>
        <v>0</v>
      </c>
      <c r="W26" s="44">
        <f t="shared" si="9"/>
        <v>0</v>
      </c>
      <c r="X26" s="45">
        <f t="shared" si="10"/>
        <v>0</v>
      </c>
      <c r="Y26" s="44">
        <f>IF(F26="",0,IF(AND(F26&lt;(1*"22:00"),F26&gt;=(1*"5:00"),G26&lt;(1*"22:00"),G26&gt;(1*"5:00"))=TRUE,0,IF(F26&gt;=(1*"22:00"),IF(G26&gt;F26,G26-F26,G26+(1*"24:00")-F26),IF(F26&lt;(1*"5:00"),IF(G26&lt;(1*"5:00"),G26-F26,(1*"5:00")-F26),IF(G26&gt;F26,G26-(1*"22:00"),G26+(1*"24:00")-(1*"22:00"))))))</f>
        <v>0</v>
      </c>
      <c r="Z26" s="45">
        <f t="shared" si="11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2"/>
        <v/>
      </c>
      <c r="AE26" s="11" t="str">
        <f t="shared" si="13"/>
        <v/>
      </c>
      <c r="AF26" s="83">
        <f t="shared" si="14"/>
        <v>0</v>
      </c>
      <c r="AG26" s="84">
        <f t="shared" si="15"/>
        <v>0</v>
      </c>
      <c r="AH26" s="84">
        <f t="shared" si="16"/>
        <v>0</v>
      </c>
      <c r="AI26" s="84">
        <f t="shared" si="17"/>
        <v>0</v>
      </c>
      <c r="AJ26" s="84">
        <f t="shared" si="18"/>
        <v>0</v>
      </c>
    </row>
    <row r="27" spans="1:36" x14ac:dyDescent="0.25">
      <c r="A27" s="106"/>
      <c r="B27" s="37">
        <f t="shared" si="3"/>
        <v>41289</v>
      </c>
      <c r="C27" s="38">
        <f t="shared" si="0"/>
        <v>41289</v>
      </c>
      <c r="D27" s="92" t="str">
        <f>IF(B27="","",IF(VerificaSeFeriado(B27),"Sim",""))</f>
        <v/>
      </c>
      <c r="E27" s="5"/>
      <c r="F27" s="5"/>
      <c r="G27" s="5"/>
      <c r="H27" s="5"/>
      <c r="I27" s="5"/>
      <c r="J27" s="5"/>
      <c r="K27" s="5"/>
      <c r="L27" s="5"/>
      <c r="M27" s="41" t="str">
        <f t="shared" si="4"/>
        <v/>
      </c>
      <c r="N27" s="42" t="str">
        <f t="shared" si="5"/>
        <v/>
      </c>
      <c r="O27" s="43" t="str">
        <f t="shared" si="19"/>
        <v/>
      </c>
      <c r="P27" s="43" t="str">
        <f t="shared" ca="1" si="6"/>
        <v/>
      </c>
      <c r="Q27" s="6"/>
      <c r="R27" s="40">
        <f t="shared" si="7"/>
        <v>0</v>
      </c>
      <c r="S27" s="44" t="str">
        <f>IF(D27="Sim",0,IF((OR(WEEKDAY(C27)=2,WEEKDAY(C27)=3,WEEKDAY(C27)=4,WEEKDAY(C27)=5,WEEKDAY(C27)=6))=TRUE,M27,IF(AND(WEEKDAY(C27)=7,Configurações!$C$11&gt;0)=TRUE,M27,IF(AND(WEEKDAY(C27)=1,Configurações!$C$12&gt;0)=TRUE,M27,0))))</f>
        <v/>
      </c>
      <c r="T27" s="44">
        <f>IF(D27="Sim",0,IF(AND(WEEKDAY(C27)=7,Configurações!$C$11&lt;=0)=TRUE,R27,0))</f>
        <v>0</v>
      </c>
      <c r="U27" s="44">
        <f>IF(D27="Sim",0,IF(AND(WEEKDAY(C27)=1,Configurações!$C$12&lt;=0)=TRUE,R27,0))</f>
        <v>0</v>
      </c>
      <c r="V27" s="44">
        <f t="shared" si="8"/>
        <v>0</v>
      </c>
      <c r="W27" s="44">
        <f t="shared" si="9"/>
        <v>0</v>
      </c>
      <c r="X27" s="45">
        <f t="shared" si="10"/>
        <v>0</v>
      </c>
      <c r="Y27" s="44">
        <f t="shared" ref="Y27:Y42" si="20">IF(F27="",0,IF(AND(F27&lt;(1*"22:00"),F27&gt;=(1*"5:00"),G27&lt;(1*"22:00"),G27&gt;(1*"5:00"))=TRUE,0,IF(F27&gt;=(1*"22:00"),IF(G27&gt;F27,G27-F27,G27+(1*"24:00")-F27),IF(F27&lt;(1*"5:00"),IF(G27&lt;(1*"5:00"),G27-F27,(1*"5:00")-F27),IF(G27&gt;F27,G27-(1*"22:00"),G27+(1*"24:00")-(1*"22:00"))))))</f>
        <v>0</v>
      </c>
      <c r="Z27" s="45">
        <f t="shared" si="11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2"/>
        <v/>
      </c>
      <c r="AE27" s="11" t="str">
        <f t="shared" si="13"/>
        <v/>
      </c>
      <c r="AF27" s="83">
        <f t="shared" si="14"/>
        <v>0</v>
      </c>
      <c r="AG27" s="84">
        <f t="shared" si="15"/>
        <v>0</v>
      </c>
      <c r="AH27" s="84">
        <f t="shared" si="16"/>
        <v>0</v>
      </c>
      <c r="AI27" s="84">
        <f t="shared" si="17"/>
        <v>0</v>
      </c>
      <c r="AJ27" s="84">
        <f t="shared" si="18"/>
        <v>0</v>
      </c>
    </row>
    <row r="28" spans="1:36" x14ac:dyDescent="0.25">
      <c r="A28" s="106"/>
      <c r="B28" s="37">
        <f t="shared" si="3"/>
        <v>41290</v>
      </c>
      <c r="C28" s="38">
        <f t="shared" si="0"/>
        <v>41290</v>
      </c>
      <c r="D28" s="92" t="str">
        <f>IF(B28="","",IF(VerificaSeFeriado(B28),"Sim",""))</f>
        <v/>
      </c>
      <c r="E28" s="5"/>
      <c r="F28" s="5"/>
      <c r="G28" s="5"/>
      <c r="H28" s="5"/>
      <c r="I28" s="5"/>
      <c r="J28" s="5"/>
      <c r="K28" s="5"/>
      <c r="L28" s="5"/>
      <c r="M28" s="41" t="str">
        <f t="shared" si="4"/>
        <v/>
      </c>
      <c r="N28" s="42" t="str">
        <f t="shared" si="5"/>
        <v/>
      </c>
      <c r="O28" s="43" t="str">
        <f t="shared" si="19"/>
        <v/>
      </c>
      <c r="P28" s="43" t="str">
        <f t="shared" ca="1" si="6"/>
        <v/>
      </c>
      <c r="Q28" s="6"/>
      <c r="R28" s="40">
        <f t="shared" si="7"/>
        <v>0</v>
      </c>
      <c r="S28" s="44" t="str">
        <f>IF(D28="Sim",0,IF((OR(WEEKDAY(C28)=2,WEEKDAY(C28)=3,WEEKDAY(C28)=4,WEEKDAY(C28)=5,WEEKDAY(C28)=6))=TRUE,M28,IF(AND(WEEKDAY(C28)=7,Configurações!$C$11&gt;0)=TRUE,M28,IF(AND(WEEKDAY(C28)=1,Configurações!$C$12&gt;0)=TRUE,M28,0))))</f>
        <v/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8"/>
        <v>0</v>
      </c>
      <c r="W28" s="44">
        <f t="shared" si="9"/>
        <v>0</v>
      </c>
      <c r="X28" s="45">
        <f t="shared" si="10"/>
        <v>0</v>
      </c>
      <c r="Y28" s="44">
        <f t="shared" si="20"/>
        <v>0</v>
      </c>
      <c r="Z28" s="45">
        <f t="shared" si="11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2"/>
        <v/>
      </c>
      <c r="AE28" s="11" t="str">
        <f t="shared" si="13"/>
        <v/>
      </c>
      <c r="AF28" s="83">
        <f t="shared" si="14"/>
        <v>0</v>
      </c>
      <c r="AG28" s="84">
        <f t="shared" si="15"/>
        <v>0</v>
      </c>
      <c r="AH28" s="84">
        <f t="shared" si="16"/>
        <v>0</v>
      </c>
      <c r="AI28" s="84">
        <f t="shared" si="17"/>
        <v>0</v>
      </c>
      <c r="AJ28" s="84">
        <f t="shared" si="18"/>
        <v>0</v>
      </c>
    </row>
    <row r="29" spans="1:36" x14ac:dyDescent="0.25">
      <c r="A29" s="106"/>
      <c r="B29" s="37">
        <f t="shared" si="3"/>
        <v>41291</v>
      </c>
      <c r="C29" s="38">
        <f t="shared" si="0"/>
        <v>41291</v>
      </c>
      <c r="D29" s="92" t="str">
        <f>IF(B29="","",IF(VerificaSeFeriado(B29),"Sim",""))</f>
        <v/>
      </c>
      <c r="E29" s="5"/>
      <c r="F29" s="5"/>
      <c r="G29" s="5"/>
      <c r="H29" s="5"/>
      <c r="I29" s="5"/>
      <c r="J29" s="5"/>
      <c r="K29" s="5"/>
      <c r="L29" s="5"/>
      <c r="M29" s="41" t="str">
        <f t="shared" si="4"/>
        <v/>
      </c>
      <c r="N29" s="42" t="str">
        <f t="shared" si="5"/>
        <v/>
      </c>
      <c r="O29" s="43" t="str">
        <f t="shared" si="19"/>
        <v/>
      </c>
      <c r="P29" s="43" t="str">
        <f t="shared" ca="1" si="6"/>
        <v/>
      </c>
      <c r="Q29" s="6"/>
      <c r="R29" s="40">
        <f t="shared" si="7"/>
        <v>0</v>
      </c>
      <c r="S29" s="44" t="str">
        <f>IF(D29="Sim",0,IF((OR(WEEKDAY(C29)=2,WEEKDAY(C29)=3,WEEKDAY(C29)=4,WEEKDAY(C29)=5,WEEKDAY(C29)=6))=TRUE,M29,IF(AND(WEEKDAY(C29)=7,Configurações!$C$11&gt;0)=TRUE,M29,IF(AND(WEEKDAY(C29)=1,Configurações!$C$12&gt;0)=TRUE,M29,0))))</f>
        <v/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8"/>
        <v>0</v>
      </c>
      <c r="W29" s="44">
        <f t="shared" si="9"/>
        <v>0</v>
      </c>
      <c r="X29" s="45">
        <f t="shared" si="10"/>
        <v>0</v>
      </c>
      <c r="Y29" s="44">
        <f t="shared" si="20"/>
        <v>0</v>
      </c>
      <c r="Z29" s="45">
        <f t="shared" si="11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2"/>
        <v/>
      </c>
      <c r="AE29" s="11" t="str">
        <f t="shared" si="13"/>
        <v/>
      </c>
      <c r="AF29" s="83">
        <f t="shared" si="14"/>
        <v>0</v>
      </c>
      <c r="AG29" s="84">
        <f t="shared" si="15"/>
        <v>0</v>
      </c>
      <c r="AH29" s="84">
        <f t="shared" si="16"/>
        <v>0</v>
      </c>
      <c r="AI29" s="84">
        <f t="shared" si="17"/>
        <v>0</v>
      </c>
      <c r="AJ29" s="84">
        <f t="shared" si="18"/>
        <v>0</v>
      </c>
    </row>
    <row r="30" spans="1:36" x14ac:dyDescent="0.25">
      <c r="A30" s="106"/>
      <c r="B30" s="37">
        <f t="shared" si="3"/>
        <v>41292</v>
      </c>
      <c r="C30" s="38">
        <f t="shared" si="0"/>
        <v>41292</v>
      </c>
      <c r="D30" s="92" t="str">
        <f>IF(B30="","",IF(VerificaSeFeriado(B30),"Sim",""))</f>
        <v/>
      </c>
      <c r="E30" s="5"/>
      <c r="F30" s="5"/>
      <c r="G30" s="5"/>
      <c r="H30" s="5"/>
      <c r="I30" s="5"/>
      <c r="J30" s="5"/>
      <c r="K30" s="5"/>
      <c r="L30" s="5"/>
      <c r="M30" s="41" t="str">
        <f t="shared" si="4"/>
        <v/>
      </c>
      <c r="N30" s="42" t="str">
        <f t="shared" si="5"/>
        <v/>
      </c>
      <c r="O30" s="43" t="str">
        <f t="shared" si="19"/>
        <v/>
      </c>
      <c r="P30" s="43" t="str">
        <f t="shared" ca="1" si="6"/>
        <v/>
      </c>
      <c r="Q30" s="6"/>
      <c r="R30" s="40">
        <f t="shared" si="7"/>
        <v>0</v>
      </c>
      <c r="S30" s="44" t="str">
        <f>IF(D30="Sim",0,IF((OR(WEEKDAY(C30)=2,WEEKDAY(C30)=3,WEEKDAY(C30)=4,WEEKDAY(C30)=5,WEEKDAY(C30)=6))=TRUE,M30,IF(AND(WEEKDAY(C30)=7,Configurações!$C$11&gt;0)=TRUE,M30,IF(AND(WEEKDAY(C30)=1,Configurações!$C$12&gt;0)=TRUE,M30,0))))</f>
        <v/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8"/>
        <v>0</v>
      </c>
      <c r="W30" s="44">
        <f t="shared" si="9"/>
        <v>0</v>
      </c>
      <c r="X30" s="45">
        <f t="shared" si="10"/>
        <v>0</v>
      </c>
      <c r="Y30" s="44">
        <f t="shared" si="20"/>
        <v>0</v>
      </c>
      <c r="Z30" s="45">
        <f t="shared" si="11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2"/>
        <v/>
      </c>
      <c r="AE30" s="11" t="str">
        <f t="shared" si="13"/>
        <v/>
      </c>
      <c r="AF30" s="83">
        <f t="shared" si="14"/>
        <v>0</v>
      </c>
      <c r="AG30" s="84">
        <f t="shared" si="15"/>
        <v>0</v>
      </c>
      <c r="AH30" s="84">
        <f t="shared" si="16"/>
        <v>0</v>
      </c>
      <c r="AI30" s="84">
        <f t="shared" si="17"/>
        <v>0</v>
      </c>
      <c r="AJ30" s="84">
        <f t="shared" si="18"/>
        <v>0</v>
      </c>
    </row>
    <row r="31" spans="1:36" x14ac:dyDescent="0.25">
      <c r="A31" s="106"/>
      <c r="B31" s="37">
        <f t="shared" si="3"/>
        <v>41293</v>
      </c>
      <c r="C31" s="38">
        <f t="shared" si="0"/>
        <v>41293</v>
      </c>
      <c r="D31" s="92" t="str">
        <f>IF(B31="","",IF(VerificaSeFeriado(B31),"Sim",""))</f>
        <v/>
      </c>
      <c r="E31" s="5"/>
      <c r="F31" s="5"/>
      <c r="G31" s="5"/>
      <c r="H31" s="5"/>
      <c r="I31" s="5"/>
      <c r="J31" s="5"/>
      <c r="K31" s="5"/>
      <c r="L31" s="5"/>
      <c r="M31" s="41" t="str">
        <f t="shared" si="4"/>
        <v/>
      </c>
      <c r="N31" s="42" t="str">
        <f t="shared" si="5"/>
        <v/>
      </c>
      <c r="O31" s="43" t="str">
        <f t="shared" si="19"/>
        <v/>
      </c>
      <c r="P31" s="43" t="str">
        <f t="shared" ca="1" si="6"/>
        <v/>
      </c>
      <c r="Q31" s="6"/>
      <c r="R31" s="40">
        <f t="shared" si="7"/>
        <v>0</v>
      </c>
      <c r="S31" s="44" t="str">
        <f>IF(D31="Sim",0,IF((OR(WEEKDAY(C31)=2,WEEKDAY(C31)=3,WEEKDAY(C31)=4,WEEKDAY(C31)=5,WEEKDAY(C31)=6))=TRUE,M31,IF(AND(WEEKDAY(C31)=7,Configurações!$C$11&gt;0)=TRUE,M31,IF(AND(WEEKDAY(C31)=1,Configurações!$C$12&gt;0)=TRUE,M31,0))))</f>
        <v/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8"/>
        <v>0</v>
      </c>
      <c r="W31" s="44">
        <f t="shared" si="9"/>
        <v>0</v>
      </c>
      <c r="X31" s="45">
        <f t="shared" si="10"/>
        <v>0</v>
      </c>
      <c r="Y31" s="44">
        <f t="shared" si="20"/>
        <v>0</v>
      </c>
      <c r="Z31" s="45">
        <f t="shared" si="11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2"/>
        <v/>
      </c>
      <c r="AE31" s="11" t="str">
        <f t="shared" si="13"/>
        <v/>
      </c>
      <c r="AF31" s="83">
        <f t="shared" si="14"/>
        <v>0</v>
      </c>
      <c r="AG31" s="84">
        <f t="shared" si="15"/>
        <v>0</v>
      </c>
      <c r="AH31" s="84">
        <f t="shared" si="16"/>
        <v>0</v>
      </c>
      <c r="AI31" s="84">
        <f t="shared" si="17"/>
        <v>0</v>
      </c>
      <c r="AJ31" s="84">
        <f t="shared" si="18"/>
        <v>0</v>
      </c>
    </row>
    <row r="32" spans="1:36" x14ac:dyDescent="0.25">
      <c r="A32" s="106"/>
      <c r="B32" s="37">
        <f t="shared" si="3"/>
        <v>41294</v>
      </c>
      <c r="C32" s="38">
        <f t="shared" si="0"/>
        <v>41294</v>
      </c>
      <c r="D32" s="92" t="str">
        <f>IF(B32="","",IF(VerificaSeFeriado(B32),"Sim",""))</f>
        <v/>
      </c>
      <c r="E32" s="5"/>
      <c r="F32" s="5"/>
      <c r="G32" s="5"/>
      <c r="H32" s="5"/>
      <c r="I32" s="5"/>
      <c r="J32" s="5"/>
      <c r="K32" s="5"/>
      <c r="L32" s="5"/>
      <c r="M32" s="41" t="str">
        <f t="shared" si="4"/>
        <v/>
      </c>
      <c r="N32" s="42" t="str">
        <f t="shared" si="5"/>
        <v/>
      </c>
      <c r="O32" s="43" t="str">
        <f t="shared" si="19"/>
        <v/>
      </c>
      <c r="P32" s="43" t="str">
        <f t="shared" ca="1" si="6"/>
        <v/>
      </c>
      <c r="Q32" s="6"/>
      <c r="R32" s="40">
        <f t="shared" si="7"/>
        <v>0</v>
      </c>
      <c r="S32" s="44">
        <f>IF(D32="Sim",0,IF((OR(WEEKDAY(C32)=2,WEEKDAY(C32)=3,WEEKDAY(C32)=4,WEEKDAY(C32)=5,WEEKDAY(C32)=6))=TRUE,M32,IF(AND(WEEKDAY(C32)=7,Configurações!$C$11&gt;0)=TRUE,M32,IF(AND(WEEKDAY(C32)=1,Configurações!$C$12&gt;0)=TRUE,M32,0))))</f>
        <v>0</v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8"/>
        <v>0</v>
      </c>
      <c r="W32" s="44">
        <f t="shared" si="9"/>
        <v>0</v>
      </c>
      <c r="X32" s="45">
        <f t="shared" si="10"/>
        <v>0</v>
      </c>
      <c r="Y32" s="44">
        <f t="shared" si="20"/>
        <v>0</v>
      </c>
      <c r="Z32" s="45">
        <f t="shared" si="11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2"/>
        <v/>
      </c>
      <c r="AE32" s="11" t="str">
        <f t="shared" si="13"/>
        <v/>
      </c>
      <c r="AF32" s="83">
        <f t="shared" si="14"/>
        <v>0</v>
      </c>
      <c r="AG32" s="84">
        <f t="shared" si="15"/>
        <v>0</v>
      </c>
      <c r="AH32" s="84">
        <f t="shared" si="16"/>
        <v>0</v>
      </c>
      <c r="AI32" s="84">
        <f t="shared" si="17"/>
        <v>0</v>
      </c>
      <c r="AJ32" s="84">
        <f t="shared" si="18"/>
        <v>0</v>
      </c>
    </row>
    <row r="33" spans="1:36" x14ac:dyDescent="0.25">
      <c r="A33" s="106"/>
      <c r="B33" s="37">
        <f t="shared" si="3"/>
        <v>41295</v>
      </c>
      <c r="C33" s="38">
        <f t="shared" si="0"/>
        <v>41295</v>
      </c>
      <c r="D33" s="92" t="str">
        <f>IF(B33="","",IF(VerificaSeFeriado(B33),"Sim",""))</f>
        <v/>
      </c>
      <c r="E33" s="5"/>
      <c r="F33" s="5"/>
      <c r="G33" s="5"/>
      <c r="H33" s="5"/>
      <c r="I33" s="5"/>
      <c r="J33" s="5"/>
      <c r="K33" s="5"/>
      <c r="L33" s="5"/>
      <c r="M33" s="41" t="str">
        <f t="shared" si="4"/>
        <v/>
      </c>
      <c r="N33" s="42" t="str">
        <f t="shared" si="5"/>
        <v/>
      </c>
      <c r="O33" s="43" t="str">
        <f t="shared" si="19"/>
        <v/>
      </c>
      <c r="P33" s="43" t="str">
        <f t="shared" ca="1" si="6"/>
        <v/>
      </c>
      <c r="Q33" s="6"/>
      <c r="R33" s="40">
        <f t="shared" si="7"/>
        <v>0</v>
      </c>
      <c r="S33" s="44">
        <f>IF(D33="Sim",0,IF((OR(WEEKDAY(C33)=2,WEEKDAY(C33)=3,WEEKDAY(C33)=4,WEEKDAY(C33)=5,WEEKDAY(C33)=6))=TRUE,M33,IF(AND(WEEKDAY(C33)=7,Configurações!$C$11&gt;0)=TRUE,M33,IF(AND(WEEKDAY(C33)=1,Configurações!$C$12&gt;0)=TRUE,M33,0))))</f>
        <v>0</v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8"/>
        <v>0</v>
      </c>
      <c r="W33" s="44">
        <f t="shared" si="9"/>
        <v>0</v>
      </c>
      <c r="X33" s="45">
        <f t="shared" si="10"/>
        <v>0</v>
      </c>
      <c r="Y33" s="44">
        <f t="shared" si="20"/>
        <v>0</v>
      </c>
      <c r="Z33" s="45">
        <f t="shared" si="11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2"/>
        <v/>
      </c>
      <c r="AE33" s="11" t="str">
        <f t="shared" si="13"/>
        <v/>
      </c>
      <c r="AF33" s="83">
        <f t="shared" si="14"/>
        <v>0</v>
      </c>
      <c r="AG33" s="84">
        <f t="shared" si="15"/>
        <v>0</v>
      </c>
      <c r="AH33" s="84">
        <f t="shared" si="16"/>
        <v>0</v>
      </c>
      <c r="AI33" s="84">
        <f t="shared" si="17"/>
        <v>0</v>
      </c>
      <c r="AJ33" s="84">
        <f t="shared" si="18"/>
        <v>0</v>
      </c>
    </row>
    <row r="34" spans="1:36" x14ac:dyDescent="0.25">
      <c r="A34" s="106"/>
      <c r="B34" s="37">
        <f t="shared" si="3"/>
        <v>41296</v>
      </c>
      <c r="C34" s="38">
        <f t="shared" si="0"/>
        <v>41296</v>
      </c>
      <c r="D34" s="92" t="str">
        <f>IF(B34="","",IF(VerificaSeFeriado(B34),"Sim",""))</f>
        <v/>
      </c>
      <c r="E34" s="5"/>
      <c r="F34" s="5"/>
      <c r="G34" s="5"/>
      <c r="H34" s="5"/>
      <c r="I34" s="5"/>
      <c r="J34" s="5"/>
      <c r="K34" s="5"/>
      <c r="L34" s="5"/>
      <c r="M34" s="41" t="str">
        <f t="shared" si="4"/>
        <v/>
      </c>
      <c r="N34" s="42" t="str">
        <f t="shared" si="5"/>
        <v/>
      </c>
      <c r="O34" s="43" t="str">
        <f t="shared" si="19"/>
        <v/>
      </c>
      <c r="P34" s="43" t="str">
        <f t="shared" ca="1" si="6"/>
        <v/>
      </c>
      <c r="Q34" s="6"/>
      <c r="R34" s="40">
        <f t="shared" si="7"/>
        <v>0</v>
      </c>
      <c r="S34" s="44" t="str">
        <f>IF(D34="Sim",0,IF((OR(WEEKDAY(C34)=2,WEEKDAY(C34)=3,WEEKDAY(C34)=4,WEEKDAY(C34)=5,WEEKDAY(C34)=6))=TRUE,M34,IF(AND(WEEKDAY(C34)=7,Configurações!$C$11&gt;0)=TRUE,M34,IF(AND(WEEKDAY(C34)=1,Configurações!$C$12&gt;0)=TRUE,M34,0))))</f>
        <v/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8"/>
        <v>0</v>
      </c>
      <c r="W34" s="44">
        <f t="shared" si="9"/>
        <v>0</v>
      </c>
      <c r="X34" s="45">
        <f t="shared" si="10"/>
        <v>0</v>
      </c>
      <c r="Y34" s="44">
        <f t="shared" si="20"/>
        <v>0</v>
      </c>
      <c r="Z34" s="45">
        <f t="shared" si="11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2"/>
        <v/>
      </c>
      <c r="AE34" s="11" t="str">
        <f t="shared" si="13"/>
        <v/>
      </c>
      <c r="AF34" s="83">
        <f t="shared" si="14"/>
        <v>0</v>
      </c>
      <c r="AG34" s="84">
        <f t="shared" si="15"/>
        <v>0</v>
      </c>
      <c r="AH34" s="84">
        <f t="shared" si="16"/>
        <v>0</v>
      </c>
      <c r="AI34" s="84">
        <f t="shared" si="17"/>
        <v>0</v>
      </c>
      <c r="AJ34" s="84">
        <f t="shared" si="18"/>
        <v>0</v>
      </c>
    </row>
    <row r="35" spans="1:36" x14ac:dyDescent="0.25">
      <c r="A35" s="106"/>
      <c r="B35" s="37">
        <f t="shared" si="3"/>
        <v>41297</v>
      </c>
      <c r="C35" s="38">
        <f t="shared" si="0"/>
        <v>41297</v>
      </c>
      <c r="D35" s="92" t="str">
        <f>IF(B35="","",IF(VerificaSeFeriado(B35),"Sim",""))</f>
        <v/>
      </c>
      <c r="E35" s="5"/>
      <c r="F35" s="5"/>
      <c r="G35" s="5"/>
      <c r="H35" s="5"/>
      <c r="I35" s="5"/>
      <c r="J35" s="5"/>
      <c r="K35" s="5"/>
      <c r="L35" s="5"/>
      <c r="M35" s="41" t="str">
        <f t="shared" si="4"/>
        <v/>
      </c>
      <c r="N35" s="42" t="str">
        <f t="shared" si="5"/>
        <v/>
      </c>
      <c r="O35" s="43" t="str">
        <f t="shared" si="19"/>
        <v/>
      </c>
      <c r="P35" s="43" t="str">
        <f t="shared" ca="1" si="6"/>
        <v/>
      </c>
      <c r="Q35" s="6"/>
      <c r="R35" s="40">
        <f t="shared" si="7"/>
        <v>0</v>
      </c>
      <c r="S35" s="44" t="str">
        <f>IF(D35="Sim",0,IF((OR(WEEKDAY(C35)=2,WEEKDAY(C35)=3,WEEKDAY(C35)=4,WEEKDAY(C35)=5,WEEKDAY(C35)=6))=TRUE,M35,IF(AND(WEEKDAY(C35)=7,Configurações!$C$11&gt;0)=TRUE,M35,IF(AND(WEEKDAY(C35)=1,Configurações!$C$12&gt;0)=TRUE,M35,0))))</f>
        <v/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</v>
      </c>
      <c r="V35" s="44">
        <f t="shared" si="8"/>
        <v>0</v>
      </c>
      <c r="W35" s="44">
        <f t="shared" si="9"/>
        <v>0</v>
      </c>
      <c r="X35" s="45">
        <f t="shared" si="10"/>
        <v>0</v>
      </c>
      <c r="Y35" s="44">
        <f t="shared" si="20"/>
        <v>0</v>
      </c>
      <c r="Z35" s="45">
        <f t="shared" si="11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2"/>
        <v/>
      </c>
      <c r="AE35" s="11" t="str">
        <f t="shared" si="13"/>
        <v/>
      </c>
      <c r="AF35" s="83">
        <f t="shared" si="14"/>
        <v>0</v>
      </c>
      <c r="AG35" s="84">
        <f t="shared" si="15"/>
        <v>0</v>
      </c>
      <c r="AH35" s="84">
        <f t="shared" si="16"/>
        <v>0</v>
      </c>
      <c r="AI35" s="84">
        <f t="shared" si="17"/>
        <v>0</v>
      </c>
      <c r="AJ35" s="84">
        <f t="shared" si="18"/>
        <v>0</v>
      </c>
    </row>
    <row r="36" spans="1:36" x14ac:dyDescent="0.25">
      <c r="A36" s="106"/>
      <c r="B36" s="37">
        <f t="shared" si="3"/>
        <v>41298</v>
      </c>
      <c r="C36" s="38">
        <f t="shared" si="0"/>
        <v>41298</v>
      </c>
      <c r="D36" s="92" t="str">
        <f>IF(B36="","",IF(VerificaSeFeriado(B36),"Sim",""))</f>
        <v/>
      </c>
      <c r="E36" s="5"/>
      <c r="F36" s="5"/>
      <c r="G36" s="5"/>
      <c r="H36" s="5"/>
      <c r="I36" s="5"/>
      <c r="J36" s="5"/>
      <c r="K36" s="5"/>
      <c r="L36" s="5"/>
      <c r="M36" s="41" t="str">
        <f t="shared" si="4"/>
        <v/>
      </c>
      <c r="N36" s="42" t="str">
        <f t="shared" si="5"/>
        <v/>
      </c>
      <c r="O36" s="43" t="str">
        <f t="shared" si="19"/>
        <v/>
      </c>
      <c r="P36" s="43" t="str">
        <f t="shared" ca="1" si="6"/>
        <v/>
      </c>
      <c r="Q36" s="6"/>
      <c r="R36" s="40">
        <f t="shared" si="7"/>
        <v>0</v>
      </c>
      <c r="S36" s="44" t="str">
        <f>IF(D36="Sim",0,IF((OR(WEEKDAY(C36)=2,WEEKDAY(C36)=3,WEEKDAY(C36)=4,WEEKDAY(C36)=5,WEEKDAY(C36)=6))=TRUE,M36,IF(AND(WEEKDAY(C36)=7,Configurações!$C$11&gt;0)=TRUE,M36,IF(AND(WEEKDAY(C36)=1,Configurações!$C$12&gt;0)=TRUE,M36,0))))</f>
        <v/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8"/>
        <v>0</v>
      </c>
      <c r="W36" s="44">
        <f t="shared" si="9"/>
        <v>0</v>
      </c>
      <c r="X36" s="45">
        <f t="shared" si="10"/>
        <v>0</v>
      </c>
      <c r="Y36" s="44">
        <f t="shared" si="20"/>
        <v>0</v>
      </c>
      <c r="Z36" s="45">
        <f t="shared" si="11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2"/>
        <v/>
      </c>
      <c r="AE36" s="11" t="str">
        <f t="shared" si="13"/>
        <v/>
      </c>
      <c r="AF36" s="83">
        <f t="shared" si="14"/>
        <v>0</v>
      </c>
      <c r="AG36" s="84">
        <f t="shared" si="15"/>
        <v>0</v>
      </c>
      <c r="AH36" s="84">
        <f t="shared" si="16"/>
        <v>0</v>
      </c>
      <c r="AI36" s="84">
        <f t="shared" si="17"/>
        <v>0</v>
      </c>
      <c r="AJ36" s="84">
        <f t="shared" si="18"/>
        <v>0</v>
      </c>
    </row>
    <row r="37" spans="1:36" x14ac:dyDescent="0.25">
      <c r="A37" s="106"/>
      <c r="B37" s="37">
        <f t="shared" si="3"/>
        <v>41299</v>
      </c>
      <c r="C37" s="38">
        <f t="shared" si="0"/>
        <v>41299</v>
      </c>
      <c r="D37" s="92" t="str">
        <f>IF(B37="","",IF(VerificaSeFeriado(B37),"Sim",""))</f>
        <v/>
      </c>
      <c r="E37" s="5"/>
      <c r="F37" s="5"/>
      <c r="G37" s="5"/>
      <c r="H37" s="5"/>
      <c r="I37" s="5"/>
      <c r="J37" s="5"/>
      <c r="K37" s="5"/>
      <c r="L37" s="5"/>
      <c r="M37" s="41" t="str">
        <f t="shared" si="4"/>
        <v/>
      </c>
      <c r="N37" s="42" t="str">
        <f t="shared" si="5"/>
        <v/>
      </c>
      <c r="O37" s="43" t="str">
        <f t="shared" si="19"/>
        <v/>
      </c>
      <c r="P37" s="43" t="str">
        <f t="shared" ca="1" si="6"/>
        <v/>
      </c>
      <c r="Q37" s="6"/>
      <c r="R37" s="40">
        <f t="shared" si="7"/>
        <v>0</v>
      </c>
      <c r="S37" s="44" t="str">
        <f>IF(D37="Sim",0,IF((OR(WEEKDAY(C37)=2,WEEKDAY(C37)=3,WEEKDAY(C37)=4,WEEKDAY(C37)=5,WEEKDAY(C37)=6))=TRUE,M37,IF(AND(WEEKDAY(C37)=7,Configurações!$C$11&gt;0)=TRUE,M37,IF(AND(WEEKDAY(C37)=1,Configurações!$C$12&gt;0)=TRUE,M37,0))))</f>
        <v/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8"/>
        <v>0</v>
      </c>
      <c r="W37" s="44">
        <f t="shared" si="9"/>
        <v>0</v>
      </c>
      <c r="X37" s="45">
        <f t="shared" si="10"/>
        <v>0</v>
      </c>
      <c r="Y37" s="44">
        <f t="shared" si="20"/>
        <v>0</v>
      </c>
      <c r="Z37" s="45">
        <f t="shared" si="11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2"/>
        <v/>
      </c>
      <c r="AE37" s="11" t="str">
        <f t="shared" si="13"/>
        <v/>
      </c>
      <c r="AF37" s="83">
        <f t="shared" si="14"/>
        <v>0</v>
      </c>
      <c r="AG37" s="84">
        <f t="shared" si="15"/>
        <v>0</v>
      </c>
      <c r="AH37" s="84">
        <f t="shared" si="16"/>
        <v>0</v>
      </c>
      <c r="AI37" s="84">
        <f t="shared" si="17"/>
        <v>0</v>
      </c>
      <c r="AJ37" s="84">
        <f t="shared" si="18"/>
        <v>0</v>
      </c>
    </row>
    <row r="38" spans="1:36" x14ac:dyDescent="0.25">
      <c r="A38" s="106"/>
      <c r="B38" s="37">
        <f t="shared" si="3"/>
        <v>41300</v>
      </c>
      <c r="C38" s="38">
        <f t="shared" si="0"/>
        <v>41300</v>
      </c>
      <c r="D38" s="92" t="str">
        <f>IF(B38="","",IF(VerificaSeFeriado(B38),"Sim",""))</f>
        <v/>
      </c>
      <c r="E38" s="5"/>
      <c r="F38" s="5"/>
      <c r="G38" s="5"/>
      <c r="H38" s="5"/>
      <c r="I38" s="5"/>
      <c r="J38" s="5"/>
      <c r="K38" s="5"/>
      <c r="L38" s="5"/>
      <c r="M38" s="41" t="str">
        <f t="shared" si="4"/>
        <v/>
      </c>
      <c r="N38" s="42" t="str">
        <f t="shared" si="5"/>
        <v/>
      </c>
      <c r="O38" s="43" t="str">
        <f t="shared" si="19"/>
        <v/>
      </c>
      <c r="P38" s="43" t="str">
        <f t="shared" ca="1" si="6"/>
        <v/>
      </c>
      <c r="Q38" s="6"/>
      <c r="R38" s="40">
        <f t="shared" si="7"/>
        <v>0</v>
      </c>
      <c r="S38" s="44" t="str">
        <f>IF(D38="Sim",0,IF((OR(WEEKDAY(C38)=2,WEEKDAY(C38)=3,WEEKDAY(C38)=4,WEEKDAY(C38)=5,WEEKDAY(C38)=6))=TRUE,M38,IF(AND(WEEKDAY(C38)=7,Configurações!$C$11&gt;0)=TRUE,M38,IF(AND(WEEKDAY(C38)=1,Configurações!$C$12&gt;0)=TRUE,M38,0))))</f>
        <v/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8"/>
        <v>0</v>
      </c>
      <c r="W38" s="44">
        <f t="shared" si="9"/>
        <v>0</v>
      </c>
      <c r="X38" s="45">
        <f t="shared" si="10"/>
        <v>0</v>
      </c>
      <c r="Y38" s="44">
        <f t="shared" si="20"/>
        <v>0</v>
      </c>
      <c r="Z38" s="45">
        <f t="shared" si="11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2"/>
        <v/>
      </c>
      <c r="AE38" s="11" t="str">
        <f t="shared" si="13"/>
        <v/>
      </c>
      <c r="AF38" s="83">
        <f t="shared" si="14"/>
        <v>0</v>
      </c>
      <c r="AG38" s="84">
        <f t="shared" si="15"/>
        <v>0</v>
      </c>
      <c r="AH38" s="84">
        <f t="shared" si="16"/>
        <v>0</v>
      </c>
      <c r="AI38" s="84">
        <f t="shared" si="17"/>
        <v>0</v>
      </c>
      <c r="AJ38" s="84">
        <f t="shared" si="18"/>
        <v>0</v>
      </c>
    </row>
    <row r="39" spans="1:36" x14ac:dyDescent="0.25">
      <c r="A39" s="106"/>
      <c r="B39" s="37">
        <f t="shared" si="3"/>
        <v>41301</v>
      </c>
      <c r="C39" s="38">
        <f t="shared" si="0"/>
        <v>41301</v>
      </c>
      <c r="D39" s="92" t="str">
        <f>IF(B39="","",IF(VerificaSeFeriado(B39),"Sim",""))</f>
        <v/>
      </c>
      <c r="E39" s="5"/>
      <c r="F39" s="5"/>
      <c r="G39" s="5"/>
      <c r="H39" s="5"/>
      <c r="I39" s="5"/>
      <c r="J39" s="5"/>
      <c r="K39" s="5"/>
      <c r="L39" s="5"/>
      <c r="M39" s="41" t="str">
        <f t="shared" si="4"/>
        <v/>
      </c>
      <c r="N39" s="42" t="str">
        <f t="shared" si="5"/>
        <v/>
      </c>
      <c r="O39" s="43" t="str">
        <f t="shared" si="19"/>
        <v/>
      </c>
      <c r="P39" s="43" t="str">
        <f t="shared" ca="1" si="6"/>
        <v/>
      </c>
      <c r="Q39" s="6"/>
      <c r="R39" s="40">
        <f t="shared" si="7"/>
        <v>0</v>
      </c>
      <c r="S39" s="44">
        <f>IF(D39="Sim",0,IF((OR(WEEKDAY(C39)=2,WEEKDAY(C39)=3,WEEKDAY(C39)=4,WEEKDAY(C39)=5,WEEKDAY(C39)=6))=TRUE,M39,IF(AND(WEEKDAY(C39)=7,Configurações!$C$11&gt;0)=TRUE,M39,IF(AND(WEEKDAY(C39)=1,Configurações!$C$12&gt;0)=TRUE,M39,0))))</f>
        <v>0</v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8"/>
        <v>0</v>
      </c>
      <c r="W39" s="44">
        <f t="shared" si="9"/>
        <v>0</v>
      </c>
      <c r="X39" s="45">
        <f t="shared" si="10"/>
        <v>0</v>
      </c>
      <c r="Y39" s="44">
        <f t="shared" si="20"/>
        <v>0</v>
      </c>
      <c r="Z39" s="45">
        <f t="shared" si="11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2"/>
        <v/>
      </c>
      <c r="AE39" s="11" t="str">
        <f t="shared" si="13"/>
        <v/>
      </c>
      <c r="AF39" s="83">
        <f t="shared" si="14"/>
        <v>0</v>
      </c>
      <c r="AG39" s="84">
        <f t="shared" si="15"/>
        <v>0</v>
      </c>
      <c r="AH39" s="84">
        <f t="shared" si="16"/>
        <v>0</v>
      </c>
      <c r="AI39" s="84">
        <f t="shared" si="17"/>
        <v>0</v>
      </c>
      <c r="AJ39" s="84">
        <f t="shared" si="18"/>
        <v>0</v>
      </c>
    </row>
    <row r="40" spans="1:36" x14ac:dyDescent="0.25">
      <c r="A40" s="106"/>
      <c r="B40" s="37">
        <f t="shared" si="3"/>
        <v>41302</v>
      </c>
      <c r="C40" s="38">
        <f t="shared" si="0"/>
        <v>41302</v>
      </c>
      <c r="D40" s="92" t="str">
        <f>IF(B40="","",IF(VerificaSeFeriado(B40),"Sim",""))</f>
        <v/>
      </c>
      <c r="E40" s="5"/>
      <c r="F40" s="5"/>
      <c r="G40" s="5"/>
      <c r="H40" s="5"/>
      <c r="I40" s="5"/>
      <c r="J40" s="5"/>
      <c r="K40" s="5"/>
      <c r="L40" s="5"/>
      <c r="M40" s="41" t="str">
        <f t="shared" si="4"/>
        <v/>
      </c>
      <c r="N40" s="42" t="str">
        <f t="shared" si="5"/>
        <v/>
      </c>
      <c r="O40" s="43" t="str">
        <f t="shared" si="19"/>
        <v/>
      </c>
      <c r="P40" s="43" t="str">
        <f t="shared" ca="1" si="6"/>
        <v/>
      </c>
      <c r="Q40" s="6"/>
      <c r="R40" s="40">
        <f t="shared" si="7"/>
        <v>0</v>
      </c>
      <c r="S40" s="44">
        <f>IF(D40="Sim",0,IF((OR(WEEKDAY(C40)=2,WEEKDAY(C40)=3,WEEKDAY(C40)=4,WEEKDAY(C40)=5,WEEKDAY(C40)=6))=TRUE,M40,IF(AND(WEEKDAY(C40)=7,Configurações!$C$11&gt;0)=TRUE,M40,IF(AND(WEEKDAY(C40)=1,Configurações!$C$12&gt;0)=TRUE,M40,0))))</f>
        <v>0</v>
      </c>
      <c r="T40" s="44">
        <f>IF(D40="Sim",0,IF(AND(WEEKDAY(C40)=7,Configurações!$C$11&lt;=0)=TRUE,R40,0))</f>
        <v>0</v>
      </c>
      <c r="U40" s="44">
        <f>IF(D40="Sim",0,IF(AND(WEEKDAY(C40)=1,Configurações!$C$12&lt;=0)=TRUE,R40,0))</f>
        <v>0</v>
      </c>
      <c r="V40" s="44">
        <f t="shared" si="8"/>
        <v>0</v>
      </c>
      <c r="W40" s="44">
        <f t="shared" si="9"/>
        <v>0</v>
      </c>
      <c r="X40" s="45">
        <f t="shared" si="10"/>
        <v>0</v>
      </c>
      <c r="Y40" s="44">
        <f t="shared" si="20"/>
        <v>0</v>
      </c>
      <c r="Z40" s="45">
        <f t="shared" si="11"/>
        <v>0</v>
      </c>
      <c r="AA40" s="12" t="str">
        <f>IF(D40="Sim","Não",IF(AND(WEEKDAY(C40)=1,Configurações!$C$12&gt;0),"Sim",IF(AND(WEEKDAY(C40)=2,Configurações!$C$6&gt;0),"Sim",IF(AND(WEEKDAY(C40)=3,Configurações!$C$7&gt;0),"Sim",IF(AND(WEEKDAY(C40)=4,Configurações!$C$8&gt;0),"Sim",IF(AND(WEEKDAY(C40)=5,Configurações!$C$9&gt;0),"Sim",IF(AND(WEEKDAY(C40)=6,Configurações!$C$10&gt;0),"Sim",IF(AND(WEEKDAY(C40)=7,Configurações!$C$11&gt;0),"Sim","Não"))))))))</f>
        <v>Não</v>
      </c>
      <c r="AB40" s="44">
        <f>IF(D40="Sim",0,IF(WEEKDAY(C40)=2,Configurações!$C$6-Configurações!$E$6,IF(WEEKDAY(C40)=3,Configurações!$C$7-Configurações!$E$7,IF(WEEKDAY(C40)=4,Configurações!$C$8-Configurações!$E$8,IF(WEEKDAY(C40)=5,Configurações!$C$9-Configurações!$E$9,IF(WEEKDAY(C40)=6,Configurações!$C$10-Configurações!$E$10,IF(WEEKDAY(C40)=7,Configurações!$C$11-Configurações!$E$11,IF(WEEKDAY(C40)=1,Configurações!$C$12-Configurações!$E$12,""))))))))</f>
        <v>0</v>
      </c>
      <c r="AC40" s="44">
        <f>IF(D40="Sim",0,IF(WEEKDAY(C40)=2,Configurações!$E$6,IF(WEEKDAY(C40)=3,Configurações!$E$7,IF(WEEKDAY(C40)=4,Configurações!$E$8,IF(WEEKDAY(C40)=5,Configurações!$E$9,IF(WEEKDAY(C40)=6,Configurações!$E$10,IF(WEEKDAY(C40)=7,Configurações!$E$11,IF(WEEKDAY(C40)=1,Configurações!$E$12,""))))))))</f>
        <v>0</v>
      </c>
      <c r="AD40" s="11" t="str">
        <f t="shared" si="12"/>
        <v/>
      </c>
      <c r="AE40" s="11" t="str">
        <f t="shared" si="13"/>
        <v/>
      </c>
      <c r="AF40" s="83">
        <f t="shared" si="14"/>
        <v>0</v>
      </c>
      <c r="AG40" s="84">
        <f t="shared" si="15"/>
        <v>0</v>
      </c>
      <c r="AH40" s="84">
        <f t="shared" si="16"/>
        <v>0</v>
      </c>
      <c r="AI40" s="84">
        <f t="shared" si="17"/>
        <v>0</v>
      </c>
      <c r="AJ40" s="84">
        <f t="shared" si="18"/>
        <v>0</v>
      </c>
    </row>
    <row r="41" spans="1:36" x14ac:dyDescent="0.25">
      <c r="A41" s="106"/>
      <c r="B41" s="37">
        <f t="shared" si="3"/>
        <v>41303</v>
      </c>
      <c r="C41" s="38">
        <f t="shared" si="0"/>
        <v>41303</v>
      </c>
      <c r="D41" s="92" t="str">
        <f>IF(B41="","",IF(VerificaSeFeriado(B41),"Sim",""))</f>
        <v/>
      </c>
      <c r="E41" s="5"/>
      <c r="F41" s="5"/>
      <c r="G41" s="5"/>
      <c r="H41" s="5"/>
      <c r="I41" s="5"/>
      <c r="J41" s="5"/>
      <c r="K41" s="5"/>
      <c r="L41" s="5"/>
      <c r="M41" s="41" t="str">
        <f t="shared" si="4"/>
        <v/>
      </c>
      <c r="N41" s="42" t="str">
        <f t="shared" si="5"/>
        <v/>
      </c>
      <c r="O41" s="43" t="str">
        <f t="shared" si="19"/>
        <v/>
      </c>
      <c r="P41" s="43" t="str">
        <f t="shared" ca="1" si="6"/>
        <v/>
      </c>
      <c r="Q41" s="6"/>
      <c r="R41" s="40">
        <f t="shared" si="7"/>
        <v>0</v>
      </c>
      <c r="S41" s="44" t="str">
        <f>IF(D41="Sim",0,IF((OR(WEEKDAY(C41)=2,WEEKDAY(C41)=3,WEEKDAY(C41)=4,WEEKDAY(C41)=5,WEEKDAY(C41)=6))=TRUE,M41,IF(AND(WEEKDAY(C41)=7,Configurações!$C$11&gt;0)=TRUE,M41,IF(AND(WEEKDAY(C41)=1,Configurações!$C$12&gt;0)=TRUE,M41,0))))</f>
        <v/>
      </c>
      <c r="T41" s="44">
        <f>IF(D41="Sim",0,IF(AND(WEEKDAY(C41)=7,Configurações!$C$11&lt;=0)=TRUE,R41,0))</f>
        <v>0</v>
      </c>
      <c r="U41" s="44">
        <f>IF(D41="Sim",0,IF(AND(WEEKDAY(C41)=1,Configurações!$C$12&lt;=0)=TRUE,R41,0))</f>
        <v>0</v>
      </c>
      <c r="V41" s="44">
        <f t="shared" si="8"/>
        <v>0</v>
      </c>
      <c r="W41" s="44">
        <f t="shared" si="9"/>
        <v>0</v>
      </c>
      <c r="X41" s="45">
        <f t="shared" si="10"/>
        <v>0</v>
      </c>
      <c r="Y41" s="44">
        <f t="shared" si="20"/>
        <v>0</v>
      </c>
      <c r="Z41" s="45">
        <f t="shared" si="11"/>
        <v>0</v>
      </c>
      <c r="AA41" s="12" t="str">
        <f>IF(D41="Sim","Não",IF(AND(WEEKDAY(C41)=1,Configurações!$C$12&gt;0),"Sim",IF(AND(WEEKDAY(C41)=2,Configurações!$C$6&gt;0),"Sim",IF(AND(WEEKDAY(C41)=3,Configurações!$C$7&gt;0),"Sim",IF(AND(WEEKDAY(C41)=4,Configurações!$C$8&gt;0),"Sim",IF(AND(WEEKDAY(C41)=5,Configurações!$C$9&gt;0),"Sim",IF(AND(WEEKDAY(C41)=6,Configurações!$C$10&gt;0),"Sim",IF(AND(WEEKDAY(C41)=7,Configurações!$C$11&gt;0),"Sim","Não"))))))))</f>
        <v>Não</v>
      </c>
      <c r="AB41" s="44">
        <f>IF(D41="Sim",0,IF(WEEKDAY(C41)=2,Configurações!$C$6-Configurações!$E$6,IF(WEEKDAY(C41)=3,Configurações!$C$7-Configurações!$E$7,IF(WEEKDAY(C41)=4,Configurações!$C$8-Configurações!$E$8,IF(WEEKDAY(C41)=5,Configurações!$C$9-Configurações!$E$9,IF(WEEKDAY(C41)=6,Configurações!$C$10-Configurações!$E$10,IF(WEEKDAY(C41)=7,Configurações!$C$11-Configurações!$E$11,IF(WEEKDAY(C41)=1,Configurações!$C$12-Configurações!$E$12,""))))))))</f>
        <v>0</v>
      </c>
      <c r="AC41" s="44">
        <f>IF(D41="Sim",0,IF(WEEKDAY(C41)=2,Configurações!$E$6,IF(WEEKDAY(C41)=3,Configurações!$E$7,IF(WEEKDAY(C41)=4,Configurações!$E$8,IF(WEEKDAY(C41)=5,Configurações!$E$9,IF(WEEKDAY(C41)=6,Configurações!$E$10,IF(WEEKDAY(C41)=7,Configurações!$E$11,IF(WEEKDAY(C41)=1,Configurações!$E$12,""))))))))</f>
        <v>0</v>
      </c>
      <c r="AD41" s="11" t="str">
        <f t="shared" si="12"/>
        <v/>
      </c>
      <c r="AE41" s="11" t="str">
        <f t="shared" si="13"/>
        <v/>
      </c>
      <c r="AF41" s="83">
        <f t="shared" si="14"/>
        <v>0</v>
      </c>
      <c r="AG41" s="84">
        <f t="shared" si="15"/>
        <v>0</v>
      </c>
      <c r="AH41" s="84">
        <f t="shared" si="16"/>
        <v>0</v>
      </c>
      <c r="AI41" s="84">
        <f t="shared" si="17"/>
        <v>0</v>
      </c>
      <c r="AJ41" s="84">
        <f t="shared" si="18"/>
        <v>0</v>
      </c>
    </row>
    <row r="42" spans="1:36" x14ac:dyDescent="0.25">
      <c r="A42" s="106"/>
      <c r="B42" s="37">
        <f t="shared" si="3"/>
        <v>41304</v>
      </c>
      <c r="C42" s="38">
        <f t="shared" si="0"/>
        <v>41304</v>
      </c>
      <c r="D42" s="92" t="str">
        <f>IF(B42="","",IF(VerificaSeFeriado(B42),"Sim",""))</f>
        <v/>
      </c>
      <c r="E42" s="5"/>
      <c r="F42" s="5"/>
      <c r="G42" s="5"/>
      <c r="H42" s="5"/>
      <c r="I42" s="5"/>
      <c r="J42" s="5"/>
      <c r="K42" s="5"/>
      <c r="L42" s="5"/>
      <c r="M42" s="41" t="str">
        <f t="shared" si="4"/>
        <v/>
      </c>
      <c r="N42" s="42" t="str">
        <f t="shared" si="5"/>
        <v/>
      </c>
      <c r="O42" s="43" t="str">
        <f t="shared" si="19"/>
        <v/>
      </c>
      <c r="P42" s="43" t="str">
        <f t="shared" ca="1" si="6"/>
        <v/>
      </c>
      <c r="Q42" s="6"/>
      <c r="R42" s="40">
        <f t="shared" si="7"/>
        <v>0</v>
      </c>
      <c r="S42" s="44" t="str">
        <f>IF(D42="Sim",0,IF((OR(WEEKDAY(C42)=2,WEEKDAY(C42)=3,WEEKDAY(C42)=4,WEEKDAY(C42)=5,WEEKDAY(C42)=6))=TRUE,M42,IF(AND(WEEKDAY(C42)=7,Configurações!$C$11&gt;0)=TRUE,M42,IF(AND(WEEKDAY(C42)=1,Configurações!$C$12&gt;0)=TRUE,M42,0))))</f>
        <v/>
      </c>
      <c r="T42" s="44">
        <f>IF(D42="Sim",0,IF(AND(WEEKDAY(C42)=7,Configurações!$C$11&lt;=0)=TRUE,R42,0))</f>
        <v>0</v>
      </c>
      <c r="U42" s="44">
        <f>IF(D42="Sim",0,IF(AND(WEEKDAY(C42)=1,Configurações!$C$12&lt;=0)=TRUE,R42,0))</f>
        <v>0</v>
      </c>
      <c r="V42" s="44">
        <f t="shared" si="8"/>
        <v>0</v>
      </c>
      <c r="W42" s="44">
        <f t="shared" si="9"/>
        <v>0</v>
      </c>
      <c r="X42" s="45">
        <f t="shared" si="10"/>
        <v>0</v>
      </c>
      <c r="Y42" s="44">
        <f t="shared" si="20"/>
        <v>0</v>
      </c>
      <c r="Z42" s="45">
        <f t="shared" si="11"/>
        <v>0</v>
      </c>
      <c r="AA42" s="12" t="str">
        <f>IF(D42="Sim","Não",IF(AND(WEEKDAY(C42)=1,Configurações!$C$12&gt;0),"Sim",IF(AND(WEEKDAY(C42)=2,Configurações!$C$6&gt;0),"Sim",IF(AND(WEEKDAY(C42)=3,Configurações!$C$7&gt;0),"Sim",IF(AND(WEEKDAY(C42)=4,Configurações!$C$8&gt;0),"Sim",IF(AND(WEEKDAY(C42)=5,Configurações!$C$9&gt;0),"Sim",IF(AND(WEEKDAY(C42)=6,Configurações!$C$10&gt;0),"Sim",IF(AND(WEEKDAY(C42)=7,Configurações!$C$11&gt;0),"Sim","Não"))))))))</f>
        <v>Não</v>
      </c>
      <c r="AB42" s="44">
        <f>IF(D42="Sim",0,IF(WEEKDAY(C42)=2,Configurações!$C$6-Configurações!$E$6,IF(WEEKDAY(C42)=3,Configurações!$C$7-Configurações!$E$7,IF(WEEKDAY(C42)=4,Configurações!$C$8-Configurações!$E$8,IF(WEEKDAY(C42)=5,Configurações!$C$9-Configurações!$E$9,IF(WEEKDAY(C42)=6,Configurações!$C$10-Configurações!$E$10,IF(WEEKDAY(C42)=7,Configurações!$C$11-Configurações!$E$11,IF(WEEKDAY(C42)=1,Configurações!$C$12-Configurações!$E$12,""))))))))</f>
        <v>0</v>
      </c>
      <c r="AC42" s="44">
        <f>IF(D42="Sim",0,IF(WEEKDAY(C42)=2,Configurações!$E$6,IF(WEEKDAY(C42)=3,Configurações!$E$7,IF(WEEKDAY(C42)=4,Configurações!$E$8,IF(WEEKDAY(C42)=5,Configurações!$E$9,IF(WEEKDAY(C42)=6,Configurações!$E$10,IF(WEEKDAY(C42)=7,Configurações!$E$11,IF(WEEKDAY(C42)=1,Configurações!$E$12,""))))))))</f>
        <v>0</v>
      </c>
      <c r="AD42" s="11" t="str">
        <f t="shared" si="12"/>
        <v/>
      </c>
      <c r="AE42" s="11" t="str">
        <f t="shared" si="13"/>
        <v/>
      </c>
      <c r="AF42" s="83">
        <f t="shared" si="14"/>
        <v>0</v>
      </c>
      <c r="AG42" s="84">
        <f t="shared" si="15"/>
        <v>0</v>
      </c>
      <c r="AH42" s="84">
        <f t="shared" si="16"/>
        <v>0</v>
      </c>
      <c r="AI42" s="84">
        <f t="shared" si="17"/>
        <v>0</v>
      </c>
      <c r="AJ42" s="84">
        <f t="shared" si="18"/>
        <v>0</v>
      </c>
    </row>
    <row r="43" spans="1:36" x14ac:dyDescent="0.25">
      <c r="B43" s="46"/>
    </row>
    <row r="45" spans="1:36" x14ac:dyDescent="0.25">
      <c r="C45" s="32"/>
      <c r="D45" s="32"/>
    </row>
    <row r="46" spans="1:36" x14ac:dyDescent="0.25">
      <c r="C46" s="32"/>
      <c r="D46" s="32"/>
    </row>
    <row r="47" spans="1:36" x14ac:dyDescent="0.25">
      <c r="C47" s="32"/>
      <c r="D47" s="32"/>
    </row>
    <row r="48" spans="1:36" x14ac:dyDescent="0.25">
      <c r="C48" s="32"/>
      <c r="D48" s="32"/>
    </row>
    <row r="49" spans="3:4" x14ac:dyDescent="0.25">
      <c r="C49" s="32"/>
      <c r="D49" s="32"/>
    </row>
    <row r="50" spans="3:4" x14ac:dyDescent="0.25">
      <c r="C50" s="32"/>
      <c r="D50" s="32"/>
    </row>
  </sheetData>
  <sheetProtection algorithmName="SHA-512" hashValue="yzeKGq7LoW63unPUEwiE3+c4C0jM64grwtD3zq/vPoESeeHMAnTIRwbfI8WOVujqL59Wu6S1RTOtcGHMSHwSgg==" saltValue="r8xJXq64p263BfpEmjBbLw==" spinCount="100000" sheet="1" objects="1" scenarios="1" selectLockedCells="1"/>
  <mergeCells count="18">
    <mergeCell ref="O4:Q4"/>
    <mergeCell ref="O5:P5"/>
    <mergeCell ref="O7:P7"/>
    <mergeCell ref="J11:K11"/>
    <mergeCell ref="L9:M9"/>
    <mergeCell ref="L8:M8"/>
    <mergeCell ref="I4:J4"/>
    <mergeCell ref="L4:M4"/>
    <mergeCell ref="A11:A42"/>
    <mergeCell ref="F11:G11"/>
    <mergeCell ref="A2:D2"/>
    <mergeCell ref="E4:G4"/>
    <mergeCell ref="E6:F6"/>
    <mergeCell ref="E7:F7"/>
    <mergeCell ref="E8:F8"/>
    <mergeCell ref="E5:F5"/>
    <mergeCell ref="A3:D7"/>
    <mergeCell ref="E9:F9"/>
  </mergeCells>
  <conditionalFormatting sqref="G5">
    <cfRule type="expression" dxfId="358" priority="44">
      <formula>$G$5&lt;=0</formula>
    </cfRule>
    <cfRule type="expression" dxfId="357" priority="45">
      <formula>$G$5&gt;0</formula>
    </cfRule>
  </conditionalFormatting>
  <conditionalFormatting sqref="G6">
    <cfRule type="expression" dxfId="356" priority="42">
      <formula>$G$6&gt;=0</formula>
    </cfRule>
    <cfRule type="expression" dxfId="355" priority="43">
      <formula>$G$6&lt;0</formula>
    </cfRule>
  </conditionalFormatting>
  <conditionalFormatting sqref="P9">
    <cfRule type="expression" dxfId="354" priority="39">
      <formula>$P$9&lt;0</formula>
    </cfRule>
    <cfRule type="expression" dxfId="353" priority="40">
      <formula>$P$9=0</formula>
    </cfRule>
    <cfRule type="expression" dxfId="352" priority="41">
      <formula>$P$9&gt;0</formula>
    </cfRule>
  </conditionalFormatting>
  <conditionalFormatting sqref="P8">
    <cfRule type="expression" dxfId="351" priority="36">
      <formula>$P$8&lt;0</formula>
    </cfRule>
    <cfRule type="expression" dxfId="350" priority="37">
      <formula>$P$8=0</formula>
    </cfRule>
    <cfRule type="expression" dxfId="349" priority="38">
      <formula>$P$8&gt;0</formula>
    </cfRule>
  </conditionalFormatting>
  <conditionalFormatting sqref="G9">
    <cfRule type="expression" dxfId="348" priority="30">
      <formula>$G$9&lt;0</formula>
    </cfRule>
    <cfRule type="expression" priority="31">
      <formula>$G$9=0</formula>
    </cfRule>
    <cfRule type="expression" dxfId="347" priority="32">
      <formula>$G$9&gt;0</formula>
    </cfRule>
  </conditionalFormatting>
  <conditionalFormatting sqref="P12:P42">
    <cfRule type="expression" dxfId="346" priority="21">
      <formula>$P12=0</formula>
    </cfRule>
  </conditionalFormatting>
  <conditionalFormatting sqref="G5:G9">
    <cfRule type="expression" dxfId="345" priority="18">
      <formula>$G5=0</formula>
    </cfRule>
    <cfRule type="expression" dxfId="344" priority="19">
      <formula>$G5&lt;0</formula>
    </cfRule>
    <cfRule type="expression" dxfId="343" priority="20">
      <formula>$G5&gt;0</formula>
    </cfRule>
  </conditionalFormatting>
  <conditionalFormatting sqref="B12:R42">
    <cfRule type="expression" dxfId="342" priority="11">
      <formula>$B12=""</formula>
    </cfRule>
    <cfRule type="expression" dxfId="341" priority="12">
      <formula>$D12="Sim"</formula>
    </cfRule>
    <cfRule type="expression" dxfId="340" priority="16">
      <formula>MOD(ROW(),2)=0</formula>
    </cfRule>
    <cfRule type="expression" dxfId="339" priority="17">
      <formula>MOD(ROW(),2)=1</formula>
    </cfRule>
  </conditionalFormatting>
  <conditionalFormatting sqref="M12:N42">
    <cfRule type="expression" dxfId="338" priority="8">
      <formula>$M12=0</formula>
    </cfRule>
  </conditionalFormatting>
  <conditionalFormatting sqref="L9:N9">
    <cfRule type="expression" dxfId="337" priority="3">
      <formula>$L$9&gt;0</formula>
    </cfRule>
    <cfRule type="expression" dxfId="336" priority="4">
      <formula>$L$9=0</formula>
    </cfRule>
    <cfRule type="expression" dxfId="335" priority="5">
      <formula>$L$9&lt;0</formula>
    </cfRule>
  </conditionalFormatting>
  <conditionalFormatting sqref="N5 M6">
    <cfRule type="expression" dxfId="334" priority="46">
      <formula>$M$6&lt;0</formula>
    </cfRule>
  </conditionalFormatting>
  <conditionalFormatting sqref="N4 M5">
    <cfRule type="expression" dxfId="333" priority="48">
      <formula>$M$5&gt;0</formula>
    </cfRule>
  </conditionalFormatting>
  <conditionalFormatting sqref="J5:J9">
    <cfRule type="expression" dxfId="332" priority="1">
      <formula>$J5&gt;0</formula>
    </cfRule>
  </conditionalFormatting>
  <dataValidations count="2">
    <dataValidation operator="greaterThanOrEqual" allowBlank="1" showInputMessage="1" showErrorMessage="1" sqref="E12:P42"/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42">
      <formula1>AB12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17A5FE5D-5FE1-4CB9-AA71-861FCB0EB6DE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5" id="{7FF5CB10-D863-4118-951B-02CD153078D2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B12:R42</xm:sqref>
        </x14:conditionalFormatting>
        <x14:conditionalFormatting xmlns:xm="http://schemas.microsoft.com/office/excel/2006/main">
          <x14:cfRule type="expression" priority="9" id="{AF55CE48-6F7B-4977-9256-AE922F73A5EB}">
            <xm:f>AND(Configurações!$C$11&gt;0,WEEKDAY($C12)=7,MOD(ROW(),2)=1)</xm:f>
            <x14:dxf>
              <fill>
                <patternFill>
                  <bgColor theme="4" tint="0.59996337778862885"/>
                </patternFill>
              </fill>
            </x14:dxf>
          </x14:cfRule>
          <xm:sqref>C14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2:AJ39"/>
  <sheetViews>
    <sheetView showGridLines="0" zoomScaleNormal="100" workbookViewId="0">
      <selection activeCell="P8" sqref="P8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16384" width="9.140625" style="10"/>
  </cols>
  <sheetData>
    <row r="2" spans="1:36" x14ac:dyDescent="0.25">
      <c r="A2" s="109" t="str">
        <f>IF(Configurações!C17 = 0,"",Configurações!C17)</f>
        <v/>
      </c>
      <c r="B2" s="109"/>
      <c r="C2" s="109"/>
      <c r="D2" s="109"/>
    </row>
    <row r="3" spans="1:36" ht="15.75" customHeight="1" thickBot="1" x14ac:dyDescent="0.3">
      <c r="A3" s="110" t="s">
        <v>90</v>
      </c>
      <c r="B3" s="110"/>
      <c r="C3" s="110"/>
      <c r="D3" s="110"/>
    </row>
    <row r="4" spans="1:36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36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SUM(M12:M39)</f>
        <v>0</v>
      </c>
      <c r="H5" s="13"/>
      <c r="I5" s="81" t="s">
        <v>31</v>
      </c>
      <c r="J5" s="16">
        <f>(SUM(S12:S39)*24)*Configurações!E15*(Configurações!I7+1)</f>
        <v>0</v>
      </c>
      <c r="K5" s="13"/>
      <c r="L5" s="81" t="s">
        <v>68</v>
      </c>
      <c r="M5" s="17">
        <f>SUM(J5:J9)</f>
        <v>0</v>
      </c>
      <c r="N5" s="14"/>
      <c r="O5" s="102" t="s">
        <v>44</v>
      </c>
      <c r="P5" s="103"/>
      <c r="Q5" s="18">
        <f>SUM(R12:R39)</f>
        <v>0</v>
      </c>
      <c r="W5" s="19"/>
    </row>
    <row r="6" spans="1:36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SUM(O12:O39)</f>
        <v>0</v>
      </c>
      <c r="H6" s="13"/>
      <c r="I6" s="81" t="s">
        <v>34</v>
      </c>
      <c r="J6" s="16">
        <f>(SUM(T12:T39)*24)*Configurações!E15*(Configurações!I10+1)</f>
        <v>0</v>
      </c>
      <c r="K6" s="13"/>
      <c r="L6" s="82" t="s">
        <v>69</v>
      </c>
      <c r="M6" s="21">
        <f ca="1">((G7*24)+(G6*24))*Configurações!E15</f>
        <v>0</v>
      </c>
      <c r="U6" s="19"/>
      <c r="W6" s="22"/>
    </row>
    <row r="7" spans="1:36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SUM(P12:P39)</f>
        <v>0</v>
      </c>
      <c r="H7" s="13"/>
      <c r="I7" s="81" t="s">
        <v>32</v>
      </c>
      <c r="J7" s="16">
        <f>(SUM(U12:U39)*24)*Configurações!E15*(Configurações!I9+1)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36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SUM(Q12:Q39)</f>
        <v>0</v>
      </c>
      <c r="H8" s="13"/>
      <c r="I8" s="81" t="s">
        <v>33</v>
      </c>
      <c r="J8" s="16">
        <f>(SUM(V12:V39)*24)*Configurações!E15*(Configurações!I8+1)</f>
        <v>0</v>
      </c>
      <c r="K8" s="13"/>
      <c r="L8" s="116" t="s">
        <v>63</v>
      </c>
      <c r="M8" s="117"/>
      <c r="N8" s="25"/>
      <c r="O8" s="81" t="s">
        <v>26</v>
      </c>
      <c r="P8" s="7">
        <v>0</v>
      </c>
    </row>
    <row r="9" spans="1:36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0</v>
      </c>
      <c r="H9" s="13"/>
      <c r="I9" s="82" t="s">
        <v>30</v>
      </c>
      <c r="J9" s="27">
        <f>((((SUM(N12:N39)*24)*Configurações!E15*(Configurações!I6+1)))-(SUM(N12:N39)*24)*Configurações!E15)</f>
        <v>0</v>
      </c>
      <c r="K9" s="13"/>
      <c r="L9" s="120">
        <f ca="1">SUM(M5:M6)</f>
        <v>0</v>
      </c>
      <c r="M9" s="121"/>
      <c r="N9" s="28"/>
      <c r="O9" s="82" t="s">
        <v>25</v>
      </c>
      <c r="P9" s="26">
        <f ca="1">SUM(P8,G9)</f>
        <v>0</v>
      </c>
    </row>
    <row r="10" spans="1:36" x14ac:dyDescent="0.25">
      <c r="B10" s="29">
        <v>41305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36" ht="15" customHeight="1" x14ac:dyDescent="0.25">
      <c r="A11" s="106" t="s">
        <v>7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36" x14ac:dyDescent="0.25">
      <c r="A12" s="106"/>
      <c r="B12" s="37">
        <f>IF(MONTH($B$10+ROW()-ROW($B$10)-2) = MONTH($B$10),$B$10+ROW()-ROW($B$10)-2,"")</f>
        <v>41305</v>
      </c>
      <c r="C12" s="38">
        <f t="shared" ref="C12" si="0">B12</f>
        <v>41305</v>
      </c>
      <c r="D12" s="39" t="str">
        <f>IF(B12="","",IF(VerificaSeFeriado(B12),"Sim",""))</f>
        <v/>
      </c>
      <c r="E12" s="5"/>
      <c r="F12" s="5"/>
      <c r="G12" s="5"/>
      <c r="H12" s="5"/>
      <c r="I12" s="5"/>
      <c r="J12" s="5"/>
      <c r="K12" s="5"/>
      <c r="L12" s="5"/>
      <c r="M12" s="41" t="str">
        <f>IFERROR(IF((R12-AB12)&gt;(1*"00:00:01"),(R12-AB12),""),"")</f>
        <v/>
      </c>
      <c r="N12" s="42" t="str">
        <f>IF(SUM(W12:X12)*(1/52.5*60)&gt;0,SUM(W12:X12)*(1/52.5*60),"")</f>
        <v/>
      </c>
      <c r="O12" s="43" t="str">
        <f t="shared" ref="O12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6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</v>
      </c>
      <c r="S12" s="44" t="str">
        <f>IF(D12="Sim",0,IF((OR(WEEKDAY(C12)=2,WEEKDAY(C12)=3,WEEKDAY(C12)=4,WEEKDAY(C12)=5,WEEKDAY(C12)=6))=TRUE,M12,IF(AND(WEEKDAY(C12)=7,Configurações!$C$11&gt;0)=TRUE,M12,IF(AND(WEEKDAY(C12)=1,Configurações!$C$12&gt;0)=TRUE,M12,0))))</f>
        <v/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</row>
    <row r="13" spans="1:36" x14ac:dyDescent="0.25">
      <c r="A13" s="106"/>
      <c r="B13" s="37">
        <f t="shared" ref="B13:B39" si="3">IF(MONTH($B$10+ROW()-ROW($B$10)-2) = MONTH($B$10),$B$10+ROW()-ROW($B$10)-2,"")</f>
        <v>41306</v>
      </c>
      <c r="C13" s="38">
        <f t="shared" ref="C13:C39" si="4">B13</f>
        <v>41306</v>
      </c>
      <c r="D13" s="39" t="str">
        <f>IF(B13="","",IF(VerificaSeFeriado(B13),"Sim",""))</f>
        <v/>
      </c>
      <c r="E13" s="5"/>
      <c r="F13" s="5"/>
      <c r="G13" s="5"/>
      <c r="H13" s="5"/>
      <c r="I13" s="5"/>
      <c r="J13" s="5"/>
      <c r="K13" s="5"/>
      <c r="L13" s="5"/>
      <c r="M13" s="41" t="str">
        <f t="shared" ref="M13:M39" si="5">IFERROR(IF((R13-AB13)&gt;(1*"00:00:01"),(R13-AB13),""),"")</f>
        <v/>
      </c>
      <c r="N13" s="42" t="str">
        <f t="shared" ref="N13:N39" si="6">IF(SUM(W13:X13)*(1/52.5*60)&gt;0,SUM(W13:X13)*(1/52.5*60),"")</f>
        <v/>
      </c>
      <c r="O13" s="43" t="str">
        <f t="shared" ref="O13:O39" si="7">IF(OR(D13="Sim",E13="")=TRUE,"",IF((R13-AB13)&gt;=(-"00:00:01"),"",(R13-AB13)))</f>
        <v/>
      </c>
      <c r="P13" s="43" t="str">
        <f t="shared" ref="P13:P39" ca="1" si="8">IF(TODAY()&lt;=B13,"",IF(D13="Sim","",IF(AND(AA13="Sim",E13="",G13="",I13="",K13="")=TRUE,IF(Q13-AB13&lt;0,Q13-AB13,""),"")))</f>
        <v/>
      </c>
      <c r="Q13" s="6"/>
      <c r="R13" s="40">
        <f t="shared" ref="R13:R39" si="9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 t="str">
        <f>IF(D13="Sim",0,IF((OR(WEEKDAY(C13)=2,WEEKDAY(C13)=3,WEEKDAY(C13)=4,WEEKDAY(C13)=5,WEEKDAY(C13)=6))=TRUE,M13,IF(AND(WEEKDAY(C13)=7,Configurações!$C$11&gt;0)=TRUE,M13,IF(AND(WEEKDAY(C13)=1,Configurações!$C$12&gt;0)=TRUE,M13,0))))</f>
        <v/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39" si="10">IF(D13="Sim",R13,0)</f>
        <v>0</v>
      </c>
      <c r="W13" s="44">
        <f t="shared" ref="W13:W39" si="11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39" si="12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ref="Y13:Y39" si="13">IF(F13="",0,IF(AND(F13&lt;(1*"22:00"),F13&gt;=(1*"5:00"),G13&lt;(1*"22:00"),G13&gt;(1*"5:00"))=TRUE,0,IF(F13&gt;=(1*"22:00"),IF(G13&gt;F13,G13-F13,G13+(1*"24:00")-F13),IF(F13&lt;(1*"5:00"),IF(G13&lt;(1*"5:00"),G13-F13,(1*"5:00")-F13),IF(G13&gt;F13,G13-(1*"22:00"),G13+(1*"24:00")-(1*"22:00"))))))</f>
        <v>0</v>
      </c>
      <c r="Z13" s="45">
        <f t="shared" ref="Z13:Z39" si="14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39" si="15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39" si="16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39" si="17">IF(SUM(AG13:AH13)*(1/52.5*60)&gt;0,(SUM(AG13:AH13)*(1/52.5*60))-(SUM(AG13:AH13)),0)</f>
        <v>0</v>
      </c>
      <c r="AG13" s="84">
        <f t="shared" ref="AG13:AG39" si="18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39" si="19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39" si="20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39" si="21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36" x14ac:dyDescent="0.25">
      <c r="A14" s="106"/>
      <c r="B14" s="37">
        <f t="shared" si="3"/>
        <v>41307</v>
      </c>
      <c r="C14" s="38">
        <f t="shared" si="4"/>
        <v>41307</v>
      </c>
      <c r="D14" s="39" t="str">
        <f>IF(B14="","",IF(VerificaSeFeriado(B14),"Sim",""))</f>
        <v/>
      </c>
      <c r="E14" s="5"/>
      <c r="F14" s="5"/>
      <c r="G14" s="5"/>
      <c r="H14" s="5"/>
      <c r="I14" s="5"/>
      <c r="J14" s="5"/>
      <c r="K14" s="5"/>
      <c r="L14" s="5"/>
      <c r="M14" s="41" t="str">
        <f t="shared" si="5"/>
        <v/>
      </c>
      <c r="N14" s="42" t="str">
        <f t="shared" si="6"/>
        <v/>
      </c>
      <c r="O14" s="43" t="str">
        <f t="shared" si="7"/>
        <v/>
      </c>
      <c r="P14" s="43" t="str">
        <f t="shared" ca="1" si="8"/>
        <v/>
      </c>
      <c r="Q14" s="6"/>
      <c r="R14" s="40">
        <f t="shared" si="9"/>
        <v>0</v>
      </c>
      <c r="S14" s="44" t="str">
        <f>IF(D14="Sim",0,IF((OR(WEEKDAY(C14)=2,WEEKDAY(C14)=3,WEEKDAY(C14)=4,WEEKDAY(C14)=5,WEEKDAY(C14)=6))=TRUE,M14,IF(AND(WEEKDAY(C14)=7,Configurações!$C$11&gt;0)=TRUE,M14,IF(AND(WEEKDAY(C14)=1,Configurações!$C$12&gt;0)=TRUE,M14,0))))</f>
        <v/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10"/>
        <v>0</v>
      </c>
      <c r="W14" s="44">
        <f t="shared" si="11"/>
        <v>0</v>
      </c>
      <c r="X14" s="45">
        <f t="shared" si="12"/>
        <v>0</v>
      </c>
      <c r="Y14" s="44">
        <f t="shared" si="13"/>
        <v>0</v>
      </c>
      <c r="Z14" s="45">
        <f t="shared" si="14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5"/>
        <v/>
      </c>
      <c r="AE14" s="11" t="str">
        <f t="shared" si="16"/>
        <v/>
      </c>
      <c r="AF14" s="83">
        <f t="shared" si="17"/>
        <v>0</v>
      </c>
      <c r="AG14" s="84">
        <f t="shared" si="18"/>
        <v>0</v>
      </c>
      <c r="AH14" s="84">
        <f t="shared" si="19"/>
        <v>0</v>
      </c>
      <c r="AI14" s="84">
        <f t="shared" si="20"/>
        <v>0</v>
      </c>
      <c r="AJ14" s="84">
        <f t="shared" si="21"/>
        <v>0</v>
      </c>
    </row>
    <row r="15" spans="1:36" x14ac:dyDescent="0.25">
      <c r="A15" s="106"/>
      <c r="B15" s="37">
        <f t="shared" si="3"/>
        <v>41308</v>
      </c>
      <c r="C15" s="38">
        <f t="shared" si="4"/>
        <v>41308</v>
      </c>
      <c r="D15" s="39" t="str">
        <f>IF(B15="","",IF(VerificaSeFeriado(B15),"Sim",""))</f>
        <v/>
      </c>
      <c r="E15" s="5"/>
      <c r="F15" s="5"/>
      <c r="G15" s="5"/>
      <c r="H15" s="5"/>
      <c r="I15" s="5"/>
      <c r="J15" s="5"/>
      <c r="K15" s="5"/>
      <c r="L15" s="5"/>
      <c r="M15" s="41" t="str">
        <f t="shared" si="5"/>
        <v/>
      </c>
      <c r="N15" s="42" t="str">
        <f t="shared" si="6"/>
        <v/>
      </c>
      <c r="O15" s="43" t="str">
        <f t="shared" si="7"/>
        <v/>
      </c>
      <c r="P15" s="43" t="str">
        <f t="shared" ca="1" si="8"/>
        <v/>
      </c>
      <c r="Q15" s="6"/>
      <c r="R15" s="40">
        <f t="shared" si="9"/>
        <v>0</v>
      </c>
      <c r="S15" s="44">
        <f>IF(D15="Sim",0,IF((OR(WEEKDAY(C15)=2,WEEKDAY(C15)=3,WEEKDAY(C15)=4,WEEKDAY(C15)=5,WEEKDAY(C15)=6))=TRUE,M15,IF(AND(WEEKDAY(C15)=7,Configurações!$C$11&gt;0)=TRUE,M15,IF(AND(WEEKDAY(C15)=1,Configurações!$C$12&gt;0)=TRUE,M15,0))))</f>
        <v>0</v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10"/>
        <v>0</v>
      </c>
      <c r="W15" s="44">
        <f t="shared" si="11"/>
        <v>0</v>
      </c>
      <c r="X15" s="45">
        <f t="shared" si="12"/>
        <v>0</v>
      </c>
      <c r="Y15" s="44">
        <f t="shared" si="13"/>
        <v>0</v>
      </c>
      <c r="Z15" s="45">
        <f t="shared" si="14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5"/>
        <v/>
      </c>
      <c r="AE15" s="11" t="str">
        <f t="shared" si="16"/>
        <v/>
      </c>
      <c r="AF15" s="83">
        <f t="shared" si="17"/>
        <v>0</v>
      </c>
      <c r="AG15" s="84">
        <f t="shared" si="18"/>
        <v>0</v>
      </c>
      <c r="AH15" s="84">
        <f t="shared" si="19"/>
        <v>0</v>
      </c>
      <c r="AI15" s="84">
        <f t="shared" si="20"/>
        <v>0</v>
      </c>
      <c r="AJ15" s="84">
        <f t="shared" si="21"/>
        <v>0</v>
      </c>
    </row>
    <row r="16" spans="1:36" x14ac:dyDescent="0.25">
      <c r="A16" s="106"/>
      <c r="B16" s="37">
        <f t="shared" si="3"/>
        <v>41309</v>
      </c>
      <c r="C16" s="38">
        <f t="shared" si="4"/>
        <v>41309</v>
      </c>
      <c r="D16" s="39" t="str">
        <f>IF(B16="","",IF(VerificaSeFeriado(B16),"Sim",""))</f>
        <v/>
      </c>
      <c r="E16" s="5"/>
      <c r="F16" s="5"/>
      <c r="G16" s="5"/>
      <c r="H16" s="5"/>
      <c r="I16" s="5"/>
      <c r="J16" s="5"/>
      <c r="K16" s="5"/>
      <c r="L16" s="5"/>
      <c r="M16" s="41" t="str">
        <f t="shared" si="5"/>
        <v/>
      </c>
      <c r="N16" s="42" t="str">
        <f t="shared" si="6"/>
        <v/>
      </c>
      <c r="O16" s="43" t="str">
        <f t="shared" si="7"/>
        <v/>
      </c>
      <c r="P16" s="43" t="str">
        <f t="shared" ca="1" si="8"/>
        <v/>
      </c>
      <c r="Q16" s="6"/>
      <c r="R16" s="40">
        <f t="shared" si="9"/>
        <v>0</v>
      </c>
      <c r="S16" s="44">
        <f>IF(D16="Sim",0,IF((OR(WEEKDAY(C16)=2,WEEKDAY(C16)=3,WEEKDAY(C16)=4,WEEKDAY(C16)=5,WEEKDAY(C16)=6))=TRUE,M16,IF(AND(WEEKDAY(C16)=7,Configurações!$C$11&gt;0)=TRUE,M16,IF(AND(WEEKDAY(C16)=1,Configurações!$C$12&gt;0)=TRUE,M16,0))))</f>
        <v>0</v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10"/>
        <v>0</v>
      </c>
      <c r="W16" s="44">
        <f t="shared" si="11"/>
        <v>0</v>
      </c>
      <c r="X16" s="45">
        <f t="shared" si="12"/>
        <v>0</v>
      </c>
      <c r="Y16" s="44">
        <f t="shared" si="13"/>
        <v>0</v>
      </c>
      <c r="Z16" s="45">
        <f t="shared" si="14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5"/>
        <v/>
      </c>
      <c r="AE16" s="11" t="str">
        <f t="shared" si="16"/>
        <v/>
      </c>
      <c r="AF16" s="83">
        <f t="shared" si="17"/>
        <v>0</v>
      </c>
      <c r="AG16" s="84">
        <f t="shared" si="18"/>
        <v>0</v>
      </c>
      <c r="AH16" s="84">
        <f t="shared" si="19"/>
        <v>0</v>
      </c>
      <c r="AI16" s="84">
        <f t="shared" si="20"/>
        <v>0</v>
      </c>
      <c r="AJ16" s="84">
        <f t="shared" si="21"/>
        <v>0</v>
      </c>
    </row>
    <row r="17" spans="1:36" x14ac:dyDescent="0.25">
      <c r="A17" s="106"/>
      <c r="B17" s="37">
        <f t="shared" si="3"/>
        <v>41310</v>
      </c>
      <c r="C17" s="38">
        <f t="shared" si="4"/>
        <v>41310</v>
      </c>
      <c r="D17" s="39" t="str">
        <f>IF(B17="","",IF(VerificaSeFeriado(B17),"Sim",""))</f>
        <v/>
      </c>
      <c r="E17" s="5"/>
      <c r="F17" s="5"/>
      <c r="G17" s="5"/>
      <c r="H17" s="5"/>
      <c r="I17" s="5"/>
      <c r="J17" s="5"/>
      <c r="K17" s="5"/>
      <c r="L17" s="5"/>
      <c r="M17" s="41" t="str">
        <f t="shared" si="5"/>
        <v/>
      </c>
      <c r="N17" s="42" t="str">
        <f t="shared" si="6"/>
        <v/>
      </c>
      <c r="O17" s="43" t="str">
        <f t="shared" si="7"/>
        <v/>
      </c>
      <c r="P17" s="43" t="str">
        <f t="shared" ca="1" si="8"/>
        <v/>
      </c>
      <c r="Q17" s="6"/>
      <c r="R17" s="40">
        <f t="shared" si="9"/>
        <v>0</v>
      </c>
      <c r="S17" s="44" t="str">
        <f>IF(D17="Sim",0,IF((OR(WEEKDAY(C17)=2,WEEKDAY(C17)=3,WEEKDAY(C17)=4,WEEKDAY(C17)=5,WEEKDAY(C17)=6))=TRUE,M17,IF(AND(WEEKDAY(C17)=7,Configurações!$C$11&gt;0)=TRUE,M17,IF(AND(WEEKDAY(C17)=1,Configurações!$C$12&gt;0)=TRUE,M17,0))))</f>
        <v/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10"/>
        <v>0</v>
      </c>
      <c r="W17" s="44">
        <f t="shared" si="11"/>
        <v>0</v>
      </c>
      <c r="X17" s="45">
        <f t="shared" si="12"/>
        <v>0</v>
      </c>
      <c r="Y17" s="44">
        <f t="shared" si="13"/>
        <v>0</v>
      </c>
      <c r="Z17" s="45">
        <f t="shared" si="14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5"/>
        <v/>
      </c>
      <c r="AE17" s="11" t="str">
        <f t="shared" si="16"/>
        <v/>
      </c>
      <c r="AF17" s="83">
        <f t="shared" si="17"/>
        <v>0</v>
      </c>
      <c r="AG17" s="84">
        <f t="shared" si="18"/>
        <v>0</v>
      </c>
      <c r="AH17" s="84">
        <f t="shared" si="19"/>
        <v>0</v>
      </c>
      <c r="AI17" s="84">
        <f t="shared" si="20"/>
        <v>0</v>
      </c>
      <c r="AJ17" s="84">
        <f t="shared" si="21"/>
        <v>0</v>
      </c>
    </row>
    <row r="18" spans="1:36" x14ac:dyDescent="0.25">
      <c r="A18" s="106"/>
      <c r="B18" s="37">
        <f t="shared" si="3"/>
        <v>41311</v>
      </c>
      <c r="C18" s="38">
        <f t="shared" si="4"/>
        <v>41311</v>
      </c>
      <c r="D18" s="39" t="str">
        <f>IF(B18="","",IF(VerificaSeFeriado(B18),"Sim",""))</f>
        <v/>
      </c>
      <c r="E18" s="5"/>
      <c r="F18" s="5"/>
      <c r="G18" s="5"/>
      <c r="H18" s="5"/>
      <c r="I18" s="5"/>
      <c r="J18" s="5"/>
      <c r="K18" s="5"/>
      <c r="L18" s="5"/>
      <c r="M18" s="41" t="str">
        <f t="shared" si="5"/>
        <v/>
      </c>
      <c r="N18" s="42" t="str">
        <f t="shared" si="6"/>
        <v/>
      </c>
      <c r="O18" s="43" t="str">
        <f t="shared" si="7"/>
        <v/>
      </c>
      <c r="P18" s="43" t="str">
        <f t="shared" ca="1" si="8"/>
        <v/>
      </c>
      <c r="Q18" s="6"/>
      <c r="R18" s="40">
        <f t="shared" si="9"/>
        <v>0</v>
      </c>
      <c r="S18" s="44" t="str">
        <f>IF(D18="Sim",0,IF((OR(WEEKDAY(C18)=2,WEEKDAY(C18)=3,WEEKDAY(C18)=4,WEEKDAY(C18)=5,WEEKDAY(C18)=6))=TRUE,M18,IF(AND(WEEKDAY(C18)=7,Configurações!$C$11&gt;0)=TRUE,M18,IF(AND(WEEKDAY(C18)=1,Configurações!$C$12&gt;0)=TRUE,M18,0))))</f>
        <v/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10"/>
        <v>0</v>
      </c>
      <c r="W18" s="44">
        <f t="shared" si="11"/>
        <v>0</v>
      </c>
      <c r="X18" s="45">
        <f t="shared" si="12"/>
        <v>0</v>
      </c>
      <c r="Y18" s="44">
        <f t="shared" si="13"/>
        <v>0</v>
      </c>
      <c r="Z18" s="45">
        <f t="shared" si="14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5"/>
        <v/>
      </c>
      <c r="AE18" s="11" t="str">
        <f t="shared" si="16"/>
        <v/>
      </c>
      <c r="AF18" s="83">
        <f t="shared" si="17"/>
        <v>0</v>
      </c>
      <c r="AG18" s="84">
        <f t="shared" si="18"/>
        <v>0</v>
      </c>
      <c r="AH18" s="84">
        <f t="shared" si="19"/>
        <v>0</v>
      </c>
      <c r="AI18" s="84">
        <f t="shared" si="20"/>
        <v>0</v>
      </c>
      <c r="AJ18" s="84">
        <f t="shared" si="21"/>
        <v>0</v>
      </c>
    </row>
    <row r="19" spans="1:36" x14ac:dyDescent="0.25">
      <c r="A19" s="106"/>
      <c r="B19" s="37">
        <f t="shared" si="3"/>
        <v>41312</v>
      </c>
      <c r="C19" s="38">
        <f t="shared" si="4"/>
        <v>41312</v>
      </c>
      <c r="D19" s="39" t="str">
        <f>IF(B19="","",IF(VerificaSeFeriado(B19),"Sim",""))</f>
        <v/>
      </c>
      <c r="E19" s="5"/>
      <c r="F19" s="5"/>
      <c r="G19" s="5"/>
      <c r="H19" s="5"/>
      <c r="I19" s="5"/>
      <c r="J19" s="5"/>
      <c r="K19" s="5"/>
      <c r="L19" s="5"/>
      <c r="M19" s="41" t="str">
        <f t="shared" si="5"/>
        <v/>
      </c>
      <c r="N19" s="42" t="str">
        <f t="shared" si="6"/>
        <v/>
      </c>
      <c r="O19" s="43" t="str">
        <f t="shared" si="7"/>
        <v/>
      </c>
      <c r="P19" s="43" t="str">
        <f t="shared" ca="1" si="8"/>
        <v/>
      </c>
      <c r="Q19" s="6"/>
      <c r="R19" s="40">
        <f t="shared" si="9"/>
        <v>0</v>
      </c>
      <c r="S19" s="44" t="str">
        <f>IF(D19="Sim",0,IF((OR(WEEKDAY(C19)=2,WEEKDAY(C19)=3,WEEKDAY(C19)=4,WEEKDAY(C19)=5,WEEKDAY(C19)=6))=TRUE,M19,IF(AND(WEEKDAY(C19)=7,Configurações!$C$11&gt;0)=TRUE,M19,IF(AND(WEEKDAY(C19)=1,Configurações!$C$12&gt;0)=TRUE,M19,0))))</f>
        <v/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10"/>
        <v>0</v>
      </c>
      <c r="W19" s="44">
        <f t="shared" si="11"/>
        <v>0</v>
      </c>
      <c r="X19" s="45">
        <f t="shared" si="12"/>
        <v>0</v>
      </c>
      <c r="Y19" s="44">
        <f t="shared" si="13"/>
        <v>0</v>
      </c>
      <c r="Z19" s="45">
        <f t="shared" si="14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5"/>
        <v/>
      </c>
      <c r="AE19" s="11" t="str">
        <f t="shared" si="16"/>
        <v/>
      </c>
      <c r="AF19" s="83">
        <f t="shared" si="17"/>
        <v>0</v>
      </c>
      <c r="AG19" s="84">
        <f t="shared" si="18"/>
        <v>0</v>
      </c>
      <c r="AH19" s="84">
        <f t="shared" si="19"/>
        <v>0</v>
      </c>
      <c r="AI19" s="84">
        <f t="shared" si="20"/>
        <v>0</v>
      </c>
      <c r="AJ19" s="84">
        <f t="shared" si="21"/>
        <v>0</v>
      </c>
    </row>
    <row r="20" spans="1:36" x14ac:dyDescent="0.25">
      <c r="A20" s="106"/>
      <c r="B20" s="37">
        <f t="shared" si="3"/>
        <v>41313</v>
      </c>
      <c r="C20" s="38">
        <f t="shared" si="4"/>
        <v>41313</v>
      </c>
      <c r="D20" s="39" t="str">
        <f>IF(B20="","",IF(VerificaSeFeriado(B20),"Sim",""))</f>
        <v/>
      </c>
      <c r="E20" s="5"/>
      <c r="F20" s="5"/>
      <c r="G20" s="5"/>
      <c r="H20" s="5"/>
      <c r="I20" s="5"/>
      <c r="J20" s="5"/>
      <c r="K20" s="5"/>
      <c r="L20" s="5"/>
      <c r="M20" s="41" t="str">
        <f t="shared" si="5"/>
        <v/>
      </c>
      <c r="N20" s="42" t="str">
        <f t="shared" si="6"/>
        <v/>
      </c>
      <c r="O20" s="43" t="str">
        <f t="shared" si="7"/>
        <v/>
      </c>
      <c r="P20" s="43" t="str">
        <f t="shared" ca="1" si="8"/>
        <v/>
      </c>
      <c r="Q20" s="6"/>
      <c r="R20" s="40">
        <f t="shared" si="9"/>
        <v>0</v>
      </c>
      <c r="S20" s="44" t="str">
        <f>IF(D20="Sim",0,IF((OR(WEEKDAY(C20)=2,WEEKDAY(C20)=3,WEEKDAY(C20)=4,WEEKDAY(C20)=5,WEEKDAY(C20)=6))=TRUE,M20,IF(AND(WEEKDAY(C20)=7,Configurações!$C$11&gt;0)=TRUE,M20,IF(AND(WEEKDAY(C20)=1,Configurações!$C$12&gt;0)=TRUE,M20,0))))</f>
        <v/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10"/>
        <v>0</v>
      </c>
      <c r="W20" s="44">
        <f t="shared" si="11"/>
        <v>0</v>
      </c>
      <c r="X20" s="45">
        <f t="shared" si="12"/>
        <v>0</v>
      </c>
      <c r="Y20" s="44">
        <f t="shared" si="13"/>
        <v>0</v>
      </c>
      <c r="Z20" s="45">
        <f t="shared" si="14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5"/>
        <v/>
      </c>
      <c r="AE20" s="11" t="str">
        <f t="shared" si="16"/>
        <v/>
      </c>
      <c r="AF20" s="83">
        <f t="shared" si="17"/>
        <v>0</v>
      </c>
      <c r="AG20" s="84">
        <f t="shared" si="18"/>
        <v>0</v>
      </c>
      <c r="AH20" s="84">
        <f t="shared" si="19"/>
        <v>0</v>
      </c>
      <c r="AI20" s="84">
        <f t="shared" si="20"/>
        <v>0</v>
      </c>
      <c r="AJ20" s="84">
        <f t="shared" si="21"/>
        <v>0</v>
      </c>
    </row>
    <row r="21" spans="1:36" x14ac:dyDescent="0.25">
      <c r="A21" s="106"/>
      <c r="B21" s="37">
        <f t="shared" si="3"/>
        <v>41314</v>
      </c>
      <c r="C21" s="38">
        <f t="shared" si="4"/>
        <v>41314</v>
      </c>
      <c r="D21" s="39" t="str">
        <f>IF(B21="","",IF(VerificaSeFeriado(B21),"Sim",""))</f>
        <v/>
      </c>
      <c r="E21" s="5"/>
      <c r="F21" s="5"/>
      <c r="G21" s="5"/>
      <c r="H21" s="5"/>
      <c r="I21" s="5"/>
      <c r="J21" s="5"/>
      <c r="K21" s="5"/>
      <c r="L21" s="5"/>
      <c r="M21" s="41" t="str">
        <f t="shared" si="5"/>
        <v/>
      </c>
      <c r="N21" s="42" t="str">
        <f t="shared" si="6"/>
        <v/>
      </c>
      <c r="O21" s="43" t="str">
        <f t="shared" si="7"/>
        <v/>
      </c>
      <c r="P21" s="43" t="str">
        <f t="shared" ca="1" si="8"/>
        <v/>
      </c>
      <c r="Q21" s="6"/>
      <c r="R21" s="40">
        <f t="shared" si="9"/>
        <v>0</v>
      </c>
      <c r="S21" s="44" t="str">
        <f>IF(D21="Sim",0,IF((OR(WEEKDAY(C21)=2,WEEKDAY(C21)=3,WEEKDAY(C21)=4,WEEKDAY(C21)=5,WEEKDAY(C21)=6))=TRUE,M21,IF(AND(WEEKDAY(C21)=7,Configurações!$C$11&gt;0)=TRUE,M21,IF(AND(WEEKDAY(C21)=1,Configurações!$C$12&gt;0)=TRUE,M21,0))))</f>
        <v/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10"/>
        <v>0</v>
      </c>
      <c r="W21" s="44">
        <f t="shared" si="11"/>
        <v>0</v>
      </c>
      <c r="X21" s="45">
        <f t="shared" si="12"/>
        <v>0</v>
      </c>
      <c r="Y21" s="44">
        <f t="shared" si="13"/>
        <v>0</v>
      </c>
      <c r="Z21" s="45">
        <f t="shared" si="14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5"/>
        <v/>
      </c>
      <c r="AE21" s="11" t="str">
        <f t="shared" si="16"/>
        <v/>
      </c>
      <c r="AF21" s="83">
        <f t="shared" si="17"/>
        <v>0</v>
      </c>
      <c r="AG21" s="84">
        <f t="shared" si="18"/>
        <v>0</v>
      </c>
      <c r="AH21" s="84">
        <f t="shared" si="19"/>
        <v>0</v>
      </c>
      <c r="AI21" s="84">
        <f t="shared" si="20"/>
        <v>0</v>
      </c>
      <c r="AJ21" s="84">
        <f t="shared" si="21"/>
        <v>0</v>
      </c>
    </row>
    <row r="22" spans="1:36" x14ac:dyDescent="0.25">
      <c r="A22" s="106"/>
      <c r="B22" s="37">
        <f t="shared" si="3"/>
        <v>41315</v>
      </c>
      <c r="C22" s="38">
        <f t="shared" si="4"/>
        <v>41315</v>
      </c>
      <c r="D22" s="39" t="str">
        <f>IF(B22="","",IF(VerificaSeFeriado(B22),"Sim",""))</f>
        <v/>
      </c>
      <c r="E22" s="5"/>
      <c r="F22" s="5"/>
      <c r="G22" s="5"/>
      <c r="H22" s="5"/>
      <c r="I22" s="5"/>
      <c r="J22" s="5"/>
      <c r="K22" s="5"/>
      <c r="L22" s="5"/>
      <c r="M22" s="41" t="str">
        <f t="shared" si="5"/>
        <v/>
      </c>
      <c r="N22" s="42" t="str">
        <f t="shared" si="6"/>
        <v/>
      </c>
      <c r="O22" s="43" t="str">
        <f t="shared" si="7"/>
        <v/>
      </c>
      <c r="P22" s="43" t="str">
        <f t="shared" ca="1" si="8"/>
        <v/>
      </c>
      <c r="Q22" s="6"/>
      <c r="R22" s="40">
        <f t="shared" si="9"/>
        <v>0</v>
      </c>
      <c r="S22" s="44">
        <f>IF(D22="Sim",0,IF((OR(WEEKDAY(C22)=2,WEEKDAY(C22)=3,WEEKDAY(C22)=4,WEEKDAY(C22)=5,WEEKDAY(C22)=6))=TRUE,M22,IF(AND(WEEKDAY(C22)=7,Configurações!$C$11&gt;0)=TRUE,M22,IF(AND(WEEKDAY(C22)=1,Configurações!$C$12&gt;0)=TRUE,M22,0))))</f>
        <v>0</v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10"/>
        <v>0</v>
      </c>
      <c r="W22" s="44">
        <f t="shared" si="11"/>
        <v>0</v>
      </c>
      <c r="X22" s="45">
        <f t="shared" si="12"/>
        <v>0</v>
      </c>
      <c r="Y22" s="44">
        <f t="shared" si="13"/>
        <v>0</v>
      </c>
      <c r="Z22" s="45">
        <f t="shared" si="14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 t="shared" si="15"/>
        <v/>
      </c>
      <c r="AE22" s="11" t="str">
        <f t="shared" si="16"/>
        <v/>
      </c>
      <c r="AF22" s="83">
        <f t="shared" si="17"/>
        <v>0</v>
      </c>
      <c r="AG22" s="84">
        <f t="shared" si="18"/>
        <v>0</v>
      </c>
      <c r="AH22" s="84">
        <f t="shared" si="19"/>
        <v>0</v>
      </c>
      <c r="AI22" s="84">
        <f t="shared" si="20"/>
        <v>0</v>
      </c>
      <c r="AJ22" s="84">
        <f t="shared" si="21"/>
        <v>0</v>
      </c>
    </row>
    <row r="23" spans="1:36" x14ac:dyDescent="0.25">
      <c r="A23" s="106"/>
      <c r="B23" s="37">
        <f t="shared" si="3"/>
        <v>41316</v>
      </c>
      <c r="C23" s="38">
        <f t="shared" si="4"/>
        <v>41316</v>
      </c>
      <c r="D23" s="39" t="str">
        <f>IF(B23="","",IF(VerificaSeFeriado(B23),"Sim",""))</f>
        <v/>
      </c>
      <c r="E23" s="5"/>
      <c r="F23" s="5"/>
      <c r="G23" s="5"/>
      <c r="H23" s="5"/>
      <c r="I23" s="5"/>
      <c r="J23" s="5"/>
      <c r="K23" s="5"/>
      <c r="L23" s="5"/>
      <c r="M23" s="41" t="str">
        <f t="shared" si="5"/>
        <v/>
      </c>
      <c r="N23" s="42" t="str">
        <f t="shared" si="6"/>
        <v/>
      </c>
      <c r="O23" s="43" t="str">
        <f t="shared" si="7"/>
        <v/>
      </c>
      <c r="P23" s="43" t="str">
        <f t="shared" ca="1" si="8"/>
        <v/>
      </c>
      <c r="Q23" s="6"/>
      <c r="R23" s="40">
        <f t="shared" si="9"/>
        <v>0</v>
      </c>
      <c r="S23" s="44">
        <f>IF(D23="Sim",0,IF((OR(WEEKDAY(C23)=2,WEEKDAY(C23)=3,WEEKDAY(C23)=4,WEEKDAY(C23)=5,WEEKDAY(C23)=6))=TRUE,M23,IF(AND(WEEKDAY(C23)=7,Configurações!$C$11&gt;0)=TRUE,M23,IF(AND(WEEKDAY(C23)=1,Configurações!$C$12&gt;0)=TRUE,M23,0))))</f>
        <v>0</v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10"/>
        <v>0</v>
      </c>
      <c r="W23" s="44">
        <f t="shared" si="11"/>
        <v>0</v>
      </c>
      <c r="X23" s="45">
        <f t="shared" si="12"/>
        <v>0</v>
      </c>
      <c r="Y23" s="44">
        <f t="shared" si="13"/>
        <v>0</v>
      </c>
      <c r="Z23" s="45">
        <f t="shared" si="14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5"/>
        <v/>
      </c>
      <c r="AE23" s="11" t="str">
        <f t="shared" si="16"/>
        <v/>
      </c>
      <c r="AF23" s="83">
        <f t="shared" si="17"/>
        <v>0</v>
      </c>
      <c r="AG23" s="84">
        <f t="shared" si="18"/>
        <v>0</v>
      </c>
      <c r="AH23" s="84">
        <f t="shared" si="19"/>
        <v>0</v>
      </c>
      <c r="AI23" s="84">
        <f t="shared" si="20"/>
        <v>0</v>
      </c>
      <c r="AJ23" s="84">
        <f t="shared" si="21"/>
        <v>0</v>
      </c>
    </row>
    <row r="24" spans="1:36" x14ac:dyDescent="0.25">
      <c r="A24" s="106"/>
      <c r="B24" s="37">
        <f t="shared" si="3"/>
        <v>41317</v>
      </c>
      <c r="C24" s="38">
        <f t="shared" si="4"/>
        <v>41317</v>
      </c>
      <c r="D24" s="39" t="str">
        <f>IF(B24="","",IF(VerificaSeFeriado(B24),"Sim",""))</f>
        <v/>
      </c>
      <c r="E24" s="5"/>
      <c r="F24" s="5"/>
      <c r="G24" s="5"/>
      <c r="H24" s="5"/>
      <c r="I24" s="5"/>
      <c r="J24" s="5"/>
      <c r="K24" s="5"/>
      <c r="L24" s="5"/>
      <c r="M24" s="41" t="str">
        <f t="shared" si="5"/>
        <v/>
      </c>
      <c r="N24" s="42" t="str">
        <f t="shared" si="6"/>
        <v/>
      </c>
      <c r="O24" s="43" t="str">
        <f t="shared" si="7"/>
        <v/>
      </c>
      <c r="P24" s="43" t="str">
        <f t="shared" ca="1" si="8"/>
        <v/>
      </c>
      <c r="Q24" s="6"/>
      <c r="R24" s="40">
        <f t="shared" si="9"/>
        <v>0</v>
      </c>
      <c r="S24" s="44" t="str">
        <f>IF(D24="Sim",0,IF((OR(WEEKDAY(C24)=2,WEEKDAY(C24)=3,WEEKDAY(C24)=4,WEEKDAY(C24)=5,WEEKDAY(C24)=6))=TRUE,M24,IF(AND(WEEKDAY(C24)=7,Configurações!$C$11&gt;0)=TRUE,M24,IF(AND(WEEKDAY(C24)=1,Configurações!$C$12&gt;0)=TRUE,M24,0))))</f>
        <v/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10"/>
        <v>0</v>
      </c>
      <c r="W24" s="44">
        <f t="shared" si="11"/>
        <v>0</v>
      </c>
      <c r="X24" s="45">
        <f t="shared" si="12"/>
        <v>0</v>
      </c>
      <c r="Y24" s="44">
        <f t="shared" si="13"/>
        <v>0</v>
      </c>
      <c r="Z24" s="45">
        <f t="shared" si="14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5"/>
        <v/>
      </c>
      <c r="AE24" s="11" t="str">
        <f t="shared" si="16"/>
        <v/>
      </c>
      <c r="AF24" s="83">
        <f t="shared" si="17"/>
        <v>0</v>
      </c>
      <c r="AG24" s="84">
        <f t="shared" si="18"/>
        <v>0</v>
      </c>
      <c r="AH24" s="84">
        <f t="shared" si="19"/>
        <v>0</v>
      </c>
      <c r="AI24" s="84">
        <f t="shared" si="20"/>
        <v>0</v>
      </c>
      <c r="AJ24" s="84">
        <f t="shared" si="21"/>
        <v>0</v>
      </c>
    </row>
    <row r="25" spans="1:36" x14ac:dyDescent="0.25">
      <c r="A25" s="106"/>
      <c r="B25" s="37">
        <f t="shared" si="3"/>
        <v>41318</v>
      </c>
      <c r="C25" s="38">
        <f t="shared" si="4"/>
        <v>41318</v>
      </c>
      <c r="D25" s="39" t="str">
        <f>IF(B25="","",IF(VerificaSeFeriado(B25),"Sim",""))</f>
        <v/>
      </c>
      <c r="E25" s="5"/>
      <c r="F25" s="5"/>
      <c r="G25" s="5"/>
      <c r="H25" s="5"/>
      <c r="I25" s="5"/>
      <c r="J25" s="5"/>
      <c r="K25" s="5"/>
      <c r="L25" s="5"/>
      <c r="M25" s="41" t="str">
        <f t="shared" si="5"/>
        <v/>
      </c>
      <c r="N25" s="42" t="str">
        <f t="shared" si="6"/>
        <v/>
      </c>
      <c r="O25" s="43" t="str">
        <f t="shared" si="7"/>
        <v/>
      </c>
      <c r="P25" s="43" t="str">
        <f t="shared" ca="1" si="8"/>
        <v/>
      </c>
      <c r="Q25" s="6"/>
      <c r="R25" s="40">
        <f t="shared" si="9"/>
        <v>0</v>
      </c>
      <c r="S25" s="44" t="str">
        <f>IF(D25="Sim",0,IF((OR(WEEKDAY(C25)=2,WEEKDAY(C25)=3,WEEKDAY(C25)=4,WEEKDAY(C25)=5,WEEKDAY(C25)=6))=TRUE,M25,IF(AND(WEEKDAY(C25)=7,Configurações!$C$11&gt;0)=TRUE,M25,IF(AND(WEEKDAY(C25)=1,Configurações!$C$12&gt;0)=TRUE,M25,0))))</f>
        <v/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10"/>
        <v>0</v>
      </c>
      <c r="W25" s="44">
        <f t="shared" si="11"/>
        <v>0</v>
      </c>
      <c r="X25" s="45">
        <f t="shared" si="12"/>
        <v>0</v>
      </c>
      <c r="Y25" s="44">
        <f t="shared" si="13"/>
        <v>0</v>
      </c>
      <c r="Z25" s="45">
        <f t="shared" si="14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5"/>
        <v/>
      </c>
      <c r="AE25" s="11" t="str">
        <f t="shared" si="16"/>
        <v/>
      </c>
      <c r="AF25" s="83">
        <f t="shared" si="17"/>
        <v>0</v>
      </c>
      <c r="AG25" s="84">
        <f t="shared" si="18"/>
        <v>0</v>
      </c>
      <c r="AH25" s="84">
        <f t="shared" si="19"/>
        <v>0</v>
      </c>
      <c r="AI25" s="84">
        <f t="shared" si="20"/>
        <v>0</v>
      </c>
      <c r="AJ25" s="84">
        <f t="shared" si="21"/>
        <v>0</v>
      </c>
    </row>
    <row r="26" spans="1:36" x14ac:dyDescent="0.25">
      <c r="A26" s="106"/>
      <c r="B26" s="37">
        <f t="shared" si="3"/>
        <v>41319</v>
      </c>
      <c r="C26" s="38">
        <f t="shared" si="4"/>
        <v>41319</v>
      </c>
      <c r="D26" s="39" t="str">
        <f>IF(B26="","",IF(VerificaSeFeriado(B26),"Sim",""))</f>
        <v/>
      </c>
      <c r="E26" s="5"/>
      <c r="F26" s="5"/>
      <c r="G26" s="5"/>
      <c r="H26" s="5"/>
      <c r="I26" s="5"/>
      <c r="J26" s="5"/>
      <c r="K26" s="5"/>
      <c r="L26" s="5"/>
      <c r="M26" s="41" t="str">
        <f t="shared" si="5"/>
        <v/>
      </c>
      <c r="N26" s="42" t="str">
        <f t="shared" si="6"/>
        <v/>
      </c>
      <c r="O26" s="43" t="str">
        <f t="shared" si="7"/>
        <v/>
      </c>
      <c r="P26" s="43" t="str">
        <f t="shared" ca="1" si="8"/>
        <v/>
      </c>
      <c r="Q26" s="6"/>
      <c r="R26" s="40">
        <f t="shared" si="9"/>
        <v>0</v>
      </c>
      <c r="S26" s="44" t="str">
        <f>IF(D26="Sim",0,IF((OR(WEEKDAY(C26)=2,WEEKDAY(C26)=3,WEEKDAY(C26)=4,WEEKDAY(C26)=5,WEEKDAY(C26)=6))=TRUE,M26,IF(AND(WEEKDAY(C26)=7,Configurações!$C$11&gt;0)=TRUE,M26,IF(AND(WEEKDAY(C26)=1,Configurações!$C$12&gt;0)=TRUE,M26,0))))</f>
        <v/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10"/>
        <v>0</v>
      </c>
      <c r="W26" s="44">
        <f t="shared" si="11"/>
        <v>0</v>
      </c>
      <c r="X26" s="45">
        <f t="shared" si="12"/>
        <v>0</v>
      </c>
      <c r="Y26" s="44">
        <f t="shared" si="13"/>
        <v>0</v>
      </c>
      <c r="Z26" s="45">
        <f t="shared" si="14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5"/>
        <v/>
      </c>
      <c r="AE26" s="11" t="str">
        <f t="shared" si="16"/>
        <v/>
      </c>
      <c r="AF26" s="83">
        <f t="shared" si="17"/>
        <v>0</v>
      </c>
      <c r="AG26" s="84">
        <f t="shared" si="18"/>
        <v>0</v>
      </c>
      <c r="AH26" s="84">
        <f t="shared" si="19"/>
        <v>0</v>
      </c>
      <c r="AI26" s="84">
        <f t="shared" si="20"/>
        <v>0</v>
      </c>
      <c r="AJ26" s="84">
        <f t="shared" si="21"/>
        <v>0</v>
      </c>
    </row>
    <row r="27" spans="1:36" x14ac:dyDescent="0.25">
      <c r="A27" s="106"/>
      <c r="B27" s="37">
        <f t="shared" si="3"/>
        <v>41320</v>
      </c>
      <c r="C27" s="38">
        <f t="shared" si="4"/>
        <v>41320</v>
      </c>
      <c r="D27" s="39" t="str">
        <f>IF(B27="","",IF(VerificaSeFeriado(B27),"Sim",""))</f>
        <v/>
      </c>
      <c r="E27" s="5"/>
      <c r="F27" s="5"/>
      <c r="G27" s="5"/>
      <c r="H27" s="5"/>
      <c r="I27" s="5"/>
      <c r="J27" s="5"/>
      <c r="K27" s="5"/>
      <c r="L27" s="5"/>
      <c r="M27" s="41" t="str">
        <f t="shared" si="5"/>
        <v/>
      </c>
      <c r="N27" s="42" t="str">
        <f t="shared" si="6"/>
        <v/>
      </c>
      <c r="O27" s="43" t="str">
        <f t="shared" si="7"/>
        <v/>
      </c>
      <c r="P27" s="43" t="str">
        <f t="shared" ca="1" si="8"/>
        <v/>
      </c>
      <c r="Q27" s="6"/>
      <c r="R27" s="40">
        <f t="shared" si="9"/>
        <v>0</v>
      </c>
      <c r="S27" s="44" t="str">
        <f>IF(D27="Sim",0,IF((OR(WEEKDAY(C27)=2,WEEKDAY(C27)=3,WEEKDAY(C27)=4,WEEKDAY(C27)=5,WEEKDAY(C27)=6))=TRUE,M27,IF(AND(WEEKDAY(C27)=7,Configurações!$C$11&gt;0)=TRUE,M27,IF(AND(WEEKDAY(C27)=1,Configurações!$C$12&gt;0)=TRUE,M27,0))))</f>
        <v/>
      </c>
      <c r="T27" s="44">
        <f>IF(D27="Sim",0,IF(AND(WEEKDAY(C27)=7,Configurações!$C$11&lt;=0)=TRUE,R27,0))</f>
        <v>0</v>
      </c>
      <c r="U27" s="44">
        <f>IF(D27="Sim",0,IF(AND(WEEKDAY(C27)=1,Configurações!$C$12&lt;=0)=TRUE,R27,0))</f>
        <v>0</v>
      </c>
      <c r="V27" s="44">
        <f t="shared" si="10"/>
        <v>0</v>
      </c>
      <c r="W27" s="44">
        <f t="shared" si="11"/>
        <v>0</v>
      </c>
      <c r="X27" s="45">
        <f t="shared" si="12"/>
        <v>0</v>
      </c>
      <c r="Y27" s="44">
        <f t="shared" si="13"/>
        <v>0</v>
      </c>
      <c r="Z27" s="45">
        <f t="shared" si="14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5"/>
        <v/>
      </c>
      <c r="AE27" s="11" t="str">
        <f t="shared" si="16"/>
        <v/>
      </c>
      <c r="AF27" s="83">
        <f t="shared" si="17"/>
        <v>0</v>
      </c>
      <c r="AG27" s="84">
        <f t="shared" si="18"/>
        <v>0</v>
      </c>
      <c r="AH27" s="84">
        <f t="shared" si="19"/>
        <v>0</v>
      </c>
      <c r="AI27" s="84">
        <f t="shared" si="20"/>
        <v>0</v>
      </c>
      <c r="AJ27" s="84">
        <f t="shared" si="21"/>
        <v>0</v>
      </c>
    </row>
    <row r="28" spans="1:36" x14ac:dyDescent="0.25">
      <c r="A28" s="106"/>
      <c r="B28" s="37">
        <f t="shared" si="3"/>
        <v>41321</v>
      </c>
      <c r="C28" s="38">
        <f t="shared" si="4"/>
        <v>41321</v>
      </c>
      <c r="D28" s="39" t="str">
        <f>IF(B28="","",IF(VerificaSeFeriado(B28),"Sim",""))</f>
        <v/>
      </c>
      <c r="E28" s="5"/>
      <c r="F28" s="5"/>
      <c r="G28" s="5"/>
      <c r="H28" s="5"/>
      <c r="I28" s="5"/>
      <c r="J28" s="5"/>
      <c r="K28" s="5"/>
      <c r="L28" s="5"/>
      <c r="M28" s="41" t="str">
        <f t="shared" si="5"/>
        <v/>
      </c>
      <c r="N28" s="42" t="str">
        <f t="shared" si="6"/>
        <v/>
      </c>
      <c r="O28" s="43" t="str">
        <f t="shared" si="7"/>
        <v/>
      </c>
      <c r="P28" s="43" t="str">
        <f t="shared" ca="1" si="8"/>
        <v/>
      </c>
      <c r="Q28" s="6"/>
      <c r="R28" s="40">
        <f t="shared" si="9"/>
        <v>0</v>
      </c>
      <c r="S28" s="44" t="str">
        <f>IF(D28="Sim",0,IF((OR(WEEKDAY(C28)=2,WEEKDAY(C28)=3,WEEKDAY(C28)=4,WEEKDAY(C28)=5,WEEKDAY(C28)=6))=TRUE,M28,IF(AND(WEEKDAY(C28)=7,Configurações!$C$11&gt;0)=TRUE,M28,IF(AND(WEEKDAY(C28)=1,Configurações!$C$12&gt;0)=TRUE,M28,0))))</f>
        <v/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10"/>
        <v>0</v>
      </c>
      <c r="W28" s="44">
        <f t="shared" si="11"/>
        <v>0</v>
      </c>
      <c r="X28" s="45">
        <f t="shared" si="12"/>
        <v>0</v>
      </c>
      <c r="Y28" s="44">
        <f t="shared" si="13"/>
        <v>0</v>
      </c>
      <c r="Z28" s="45">
        <f t="shared" si="14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5"/>
        <v/>
      </c>
      <c r="AE28" s="11" t="str">
        <f t="shared" si="16"/>
        <v/>
      </c>
      <c r="AF28" s="83">
        <f t="shared" si="17"/>
        <v>0</v>
      </c>
      <c r="AG28" s="84">
        <f t="shared" si="18"/>
        <v>0</v>
      </c>
      <c r="AH28" s="84">
        <f t="shared" si="19"/>
        <v>0</v>
      </c>
      <c r="AI28" s="84">
        <f t="shared" si="20"/>
        <v>0</v>
      </c>
      <c r="AJ28" s="84">
        <f t="shared" si="21"/>
        <v>0</v>
      </c>
    </row>
    <row r="29" spans="1:36" x14ac:dyDescent="0.25">
      <c r="A29" s="106"/>
      <c r="B29" s="37">
        <f t="shared" si="3"/>
        <v>41322</v>
      </c>
      <c r="C29" s="38">
        <f t="shared" si="4"/>
        <v>41322</v>
      </c>
      <c r="D29" s="39" t="str">
        <f>IF(B29="","",IF(VerificaSeFeriado(B29),"Sim",""))</f>
        <v/>
      </c>
      <c r="E29" s="5"/>
      <c r="F29" s="5"/>
      <c r="G29" s="5"/>
      <c r="H29" s="5"/>
      <c r="I29" s="5"/>
      <c r="J29" s="5"/>
      <c r="K29" s="5"/>
      <c r="L29" s="5"/>
      <c r="M29" s="41" t="str">
        <f t="shared" si="5"/>
        <v/>
      </c>
      <c r="N29" s="42" t="str">
        <f t="shared" si="6"/>
        <v/>
      </c>
      <c r="O29" s="43" t="str">
        <f t="shared" si="7"/>
        <v/>
      </c>
      <c r="P29" s="43" t="str">
        <f t="shared" ca="1" si="8"/>
        <v/>
      </c>
      <c r="Q29" s="6"/>
      <c r="R29" s="40">
        <f t="shared" si="9"/>
        <v>0</v>
      </c>
      <c r="S29" s="44">
        <f>IF(D29="Sim",0,IF((OR(WEEKDAY(C29)=2,WEEKDAY(C29)=3,WEEKDAY(C29)=4,WEEKDAY(C29)=5,WEEKDAY(C29)=6))=TRUE,M29,IF(AND(WEEKDAY(C29)=7,Configurações!$C$11&gt;0)=TRUE,M29,IF(AND(WEEKDAY(C29)=1,Configurações!$C$12&gt;0)=TRUE,M29,0))))</f>
        <v>0</v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10"/>
        <v>0</v>
      </c>
      <c r="W29" s="44">
        <f t="shared" si="11"/>
        <v>0</v>
      </c>
      <c r="X29" s="45">
        <f t="shared" si="12"/>
        <v>0</v>
      </c>
      <c r="Y29" s="44">
        <f t="shared" si="13"/>
        <v>0</v>
      </c>
      <c r="Z29" s="45">
        <f t="shared" si="14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5"/>
        <v/>
      </c>
      <c r="AE29" s="11" t="str">
        <f t="shared" si="16"/>
        <v/>
      </c>
      <c r="AF29" s="83">
        <f t="shared" si="17"/>
        <v>0</v>
      </c>
      <c r="AG29" s="84">
        <f t="shared" si="18"/>
        <v>0</v>
      </c>
      <c r="AH29" s="84">
        <f t="shared" si="19"/>
        <v>0</v>
      </c>
      <c r="AI29" s="84">
        <f t="shared" si="20"/>
        <v>0</v>
      </c>
      <c r="AJ29" s="84">
        <f t="shared" si="21"/>
        <v>0</v>
      </c>
    </row>
    <row r="30" spans="1:36" x14ac:dyDescent="0.25">
      <c r="A30" s="106"/>
      <c r="B30" s="37">
        <f t="shared" si="3"/>
        <v>41323</v>
      </c>
      <c r="C30" s="38">
        <f t="shared" si="4"/>
        <v>41323</v>
      </c>
      <c r="D30" s="39" t="str">
        <f>IF(B30="","",IF(VerificaSeFeriado(B30),"Sim",""))</f>
        <v/>
      </c>
      <c r="E30" s="5"/>
      <c r="F30" s="5"/>
      <c r="G30" s="5"/>
      <c r="H30" s="5"/>
      <c r="I30" s="5"/>
      <c r="J30" s="5"/>
      <c r="K30" s="5"/>
      <c r="L30" s="5"/>
      <c r="M30" s="41" t="str">
        <f t="shared" si="5"/>
        <v/>
      </c>
      <c r="N30" s="42" t="str">
        <f t="shared" si="6"/>
        <v/>
      </c>
      <c r="O30" s="43" t="str">
        <f t="shared" si="7"/>
        <v/>
      </c>
      <c r="P30" s="43" t="str">
        <f t="shared" ca="1" si="8"/>
        <v/>
      </c>
      <c r="Q30" s="6"/>
      <c r="R30" s="40">
        <f t="shared" si="9"/>
        <v>0</v>
      </c>
      <c r="S30" s="44">
        <f>IF(D30="Sim",0,IF((OR(WEEKDAY(C30)=2,WEEKDAY(C30)=3,WEEKDAY(C30)=4,WEEKDAY(C30)=5,WEEKDAY(C30)=6))=TRUE,M30,IF(AND(WEEKDAY(C30)=7,Configurações!$C$11&gt;0)=TRUE,M30,IF(AND(WEEKDAY(C30)=1,Configurações!$C$12&gt;0)=TRUE,M30,0))))</f>
        <v>0</v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10"/>
        <v>0</v>
      </c>
      <c r="W30" s="44">
        <f t="shared" si="11"/>
        <v>0</v>
      </c>
      <c r="X30" s="45">
        <f t="shared" si="12"/>
        <v>0</v>
      </c>
      <c r="Y30" s="44">
        <f t="shared" si="13"/>
        <v>0</v>
      </c>
      <c r="Z30" s="45">
        <f t="shared" si="14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5"/>
        <v/>
      </c>
      <c r="AE30" s="11" t="str">
        <f t="shared" si="16"/>
        <v/>
      </c>
      <c r="AF30" s="83">
        <f t="shared" si="17"/>
        <v>0</v>
      </c>
      <c r="AG30" s="84">
        <f t="shared" si="18"/>
        <v>0</v>
      </c>
      <c r="AH30" s="84">
        <f t="shared" si="19"/>
        <v>0</v>
      </c>
      <c r="AI30" s="84">
        <f t="shared" si="20"/>
        <v>0</v>
      </c>
      <c r="AJ30" s="84">
        <f t="shared" si="21"/>
        <v>0</v>
      </c>
    </row>
    <row r="31" spans="1:36" x14ac:dyDescent="0.25">
      <c r="A31" s="106"/>
      <c r="B31" s="37">
        <f t="shared" si="3"/>
        <v>41324</v>
      </c>
      <c r="C31" s="38">
        <f t="shared" si="4"/>
        <v>41324</v>
      </c>
      <c r="D31" s="39" t="str">
        <f>IF(B31="","",IF(VerificaSeFeriado(B31),"Sim",""))</f>
        <v/>
      </c>
      <c r="E31" s="5"/>
      <c r="F31" s="5"/>
      <c r="G31" s="5"/>
      <c r="H31" s="5"/>
      <c r="I31" s="5"/>
      <c r="J31" s="5"/>
      <c r="K31" s="5"/>
      <c r="L31" s="5"/>
      <c r="M31" s="41" t="str">
        <f t="shared" si="5"/>
        <v/>
      </c>
      <c r="N31" s="42" t="str">
        <f t="shared" si="6"/>
        <v/>
      </c>
      <c r="O31" s="43" t="str">
        <f t="shared" si="7"/>
        <v/>
      </c>
      <c r="P31" s="43" t="str">
        <f t="shared" ca="1" si="8"/>
        <v/>
      </c>
      <c r="Q31" s="6"/>
      <c r="R31" s="40">
        <f t="shared" si="9"/>
        <v>0</v>
      </c>
      <c r="S31" s="44" t="str">
        <f>IF(D31="Sim",0,IF((OR(WEEKDAY(C31)=2,WEEKDAY(C31)=3,WEEKDAY(C31)=4,WEEKDAY(C31)=5,WEEKDAY(C31)=6))=TRUE,M31,IF(AND(WEEKDAY(C31)=7,Configurações!$C$11&gt;0)=TRUE,M31,IF(AND(WEEKDAY(C31)=1,Configurações!$C$12&gt;0)=TRUE,M31,0))))</f>
        <v/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10"/>
        <v>0</v>
      </c>
      <c r="W31" s="44">
        <f t="shared" si="11"/>
        <v>0</v>
      </c>
      <c r="X31" s="45">
        <f t="shared" si="12"/>
        <v>0</v>
      </c>
      <c r="Y31" s="44">
        <f t="shared" si="13"/>
        <v>0</v>
      </c>
      <c r="Z31" s="45">
        <f t="shared" si="14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5"/>
        <v/>
      </c>
      <c r="AE31" s="11" t="str">
        <f t="shared" si="16"/>
        <v/>
      </c>
      <c r="AF31" s="83">
        <f t="shared" si="17"/>
        <v>0</v>
      </c>
      <c r="AG31" s="84">
        <f t="shared" si="18"/>
        <v>0</v>
      </c>
      <c r="AH31" s="84">
        <f t="shared" si="19"/>
        <v>0</v>
      </c>
      <c r="AI31" s="84">
        <f t="shared" si="20"/>
        <v>0</v>
      </c>
      <c r="AJ31" s="84">
        <f t="shared" si="21"/>
        <v>0</v>
      </c>
    </row>
    <row r="32" spans="1:36" x14ac:dyDescent="0.25">
      <c r="A32" s="106"/>
      <c r="B32" s="37">
        <f t="shared" si="3"/>
        <v>41325</v>
      </c>
      <c r="C32" s="38">
        <f t="shared" si="4"/>
        <v>41325</v>
      </c>
      <c r="D32" s="39" t="str">
        <f>IF(B32="","",IF(VerificaSeFeriado(B32),"Sim",""))</f>
        <v/>
      </c>
      <c r="E32" s="5"/>
      <c r="F32" s="5"/>
      <c r="G32" s="5"/>
      <c r="H32" s="5"/>
      <c r="I32" s="5"/>
      <c r="J32" s="5"/>
      <c r="K32" s="5"/>
      <c r="L32" s="5"/>
      <c r="M32" s="41" t="str">
        <f t="shared" si="5"/>
        <v/>
      </c>
      <c r="N32" s="42" t="str">
        <f t="shared" si="6"/>
        <v/>
      </c>
      <c r="O32" s="43" t="str">
        <f t="shared" si="7"/>
        <v/>
      </c>
      <c r="P32" s="43" t="str">
        <f t="shared" ca="1" si="8"/>
        <v/>
      </c>
      <c r="Q32" s="6"/>
      <c r="R32" s="40">
        <f t="shared" si="9"/>
        <v>0</v>
      </c>
      <c r="S32" s="44" t="str">
        <f>IF(D32="Sim",0,IF((OR(WEEKDAY(C32)=2,WEEKDAY(C32)=3,WEEKDAY(C32)=4,WEEKDAY(C32)=5,WEEKDAY(C32)=6))=TRUE,M32,IF(AND(WEEKDAY(C32)=7,Configurações!$C$11&gt;0)=TRUE,M32,IF(AND(WEEKDAY(C32)=1,Configurações!$C$12&gt;0)=TRUE,M32,0))))</f>
        <v/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10"/>
        <v>0</v>
      </c>
      <c r="W32" s="44">
        <f t="shared" si="11"/>
        <v>0</v>
      </c>
      <c r="X32" s="45">
        <f t="shared" si="12"/>
        <v>0</v>
      </c>
      <c r="Y32" s="44">
        <f t="shared" si="13"/>
        <v>0</v>
      </c>
      <c r="Z32" s="45">
        <f t="shared" si="14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5"/>
        <v/>
      </c>
      <c r="AE32" s="11" t="str">
        <f t="shared" si="16"/>
        <v/>
      </c>
      <c r="AF32" s="83">
        <f t="shared" si="17"/>
        <v>0</v>
      </c>
      <c r="AG32" s="84">
        <f t="shared" si="18"/>
        <v>0</v>
      </c>
      <c r="AH32" s="84">
        <f t="shared" si="19"/>
        <v>0</v>
      </c>
      <c r="AI32" s="84">
        <f t="shared" si="20"/>
        <v>0</v>
      </c>
      <c r="AJ32" s="84">
        <f t="shared" si="21"/>
        <v>0</v>
      </c>
    </row>
    <row r="33" spans="1:36" x14ac:dyDescent="0.25">
      <c r="A33" s="106"/>
      <c r="B33" s="37">
        <f t="shared" si="3"/>
        <v>41326</v>
      </c>
      <c r="C33" s="38">
        <f t="shared" si="4"/>
        <v>41326</v>
      </c>
      <c r="D33" s="39" t="str">
        <f>IF(B33="","",IF(VerificaSeFeriado(B33),"Sim",""))</f>
        <v/>
      </c>
      <c r="E33" s="5"/>
      <c r="F33" s="5"/>
      <c r="G33" s="5"/>
      <c r="H33" s="5"/>
      <c r="I33" s="5"/>
      <c r="J33" s="5"/>
      <c r="K33" s="5"/>
      <c r="L33" s="5"/>
      <c r="M33" s="41" t="str">
        <f t="shared" si="5"/>
        <v/>
      </c>
      <c r="N33" s="42" t="str">
        <f t="shared" si="6"/>
        <v/>
      </c>
      <c r="O33" s="43" t="str">
        <f t="shared" si="7"/>
        <v/>
      </c>
      <c r="P33" s="43" t="str">
        <f t="shared" ca="1" si="8"/>
        <v/>
      </c>
      <c r="Q33" s="6"/>
      <c r="R33" s="40">
        <f t="shared" si="9"/>
        <v>0</v>
      </c>
      <c r="S33" s="44" t="str">
        <f>IF(D33="Sim",0,IF((OR(WEEKDAY(C33)=2,WEEKDAY(C33)=3,WEEKDAY(C33)=4,WEEKDAY(C33)=5,WEEKDAY(C33)=6))=TRUE,M33,IF(AND(WEEKDAY(C33)=7,Configurações!$C$11&gt;0)=TRUE,M33,IF(AND(WEEKDAY(C33)=1,Configurações!$C$12&gt;0)=TRUE,M33,0))))</f>
        <v/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10"/>
        <v>0</v>
      </c>
      <c r="W33" s="44">
        <f t="shared" si="11"/>
        <v>0</v>
      </c>
      <c r="X33" s="45">
        <f t="shared" si="12"/>
        <v>0</v>
      </c>
      <c r="Y33" s="44">
        <f t="shared" si="13"/>
        <v>0</v>
      </c>
      <c r="Z33" s="45">
        <f t="shared" si="14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5"/>
        <v/>
      </c>
      <c r="AE33" s="11" t="str">
        <f t="shared" si="16"/>
        <v/>
      </c>
      <c r="AF33" s="83">
        <f t="shared" si="17"/>
        <v>0</v>
      </c>
      <c r="AG33" s="84">
        <f t="shared" si="18"/>
        <v>0</v>
      </c>
      <c r="AH33" s="84">
        <f t="shared" si="19"/>
        <v>0</v>
      </c>
      <c r="AI33" s="84">
        <f t="shared" si="20"/>
        <v>0</v>
      </c>
      <c r="AJ33" s="84">
        <f t="shared" si="21"/>
        <v>0</v>
      </c>
    </row>
    <row r="34" spans="1:36" x14ac:dyDescent="0.25">
      <c r="A34" s="106"/>
      <c r="B34" s="37">
        <f t="shared" si="3"/>
        <v>41327</v>
      </c>
      <c r="C34" s="38">
        <f t="shared" si="4"/>
        <v>41327</v>
      </c>
      <c r="D34" s="39" t="str">
        <f>IF(B34="","",IF(VerificaSeFeriado(B34),"Sim",""))</f>
        <v/>
      </c>
      <c r="E34" s="5"/>
      <c r="F34" s="5"/>
      <c r="G34" s="5"/>
      <c r="H34" s="5"/>
      <c r="I34" s="5"/>
      <c r="J34" s="5"/>
      <c r="K34" s="5"/>
      <c r="L34" s="5"/>
      <c r="M34" s="41" t="str">
        <f t="shared" si="5"/>
        <v/>
      </c>
      <c r="N34" s="42" t="str">
        <f t="shared" si="6"/>
        <v/>
      </c>
      <c r="O34" s="43" t="str">
        <f t="shared" si="7"/>
        <v/>
      </c>
      <c r="P34" s="43" t="str">
        <f t="shared" ca="1" si="8"/>
        <v/>
      </c>
      <c r="Q34" s="6"/>
      <c r="R34" s="40">
        <f t="shared" si="9"/>
        <v>0</v>
      </c>
      <c r="S34" s="44" t="str">
        <f>IF(D34="Sim",0,IF((OR(WEEKDAY(C34)=2,WEEKDAY(C34)=3,WEEKDAY(C34)=4,WEEKDAY(C34)=5,WEEKDAY(C34)=6))=TRUE,M34,IF(AND(WEEKDAY(C34)=7,Configurações!$C$11&gt;0)=TRUE,M34,IF(AND(WEEKDAY(C34)=1,Configurações!$C$12&gt;0)=TRUE,M34,0))))</f>
        <v/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10"/>
        <v>0</v>
      </c>
      <c r="W34" s="44">
        <f t="shared" si="11"/>
        <v>0</v>
      </c>
      <c r="X34" s="45">
        <f t="shared" si="12"/>
        <v>0</v>
      </c>
      <c r="Y34" s="44">
        <f t="shared" si="13"/>
        <v>0</v>
      </c>
      <c r="Z34" s="45">
        <f t="shared" si="14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5"/>
        <v/>
      </c>
      <c r="AE34" s="11" t="str">
        <f t="shared" si="16"/>
        <v/>
      </c>
      <c r="AF34" s="83">
        <f t="shared" si="17"/>
        <v>0</v>
      </c>
      <c r="AG34" s="84">
        <f t="shared" si="18"/>
        <v>0</v>
      </c>
      <c r="AH34" s="84">
        <f t="shared" si="19"/>
        <v>0</v>
      </c>
      <c r="AI34" s="84">
        <f t="shared" si="20"/>
        <v>0</v>
      </c>
      <c r="AJ34" s="84">
        <f t="shared" si="21"/>
        <v>0</v>
      </c>
    </row>
    <row r="35" spans="1:36" x14ac:dyDescent="0.25">
      <c r="A35" s="106"/>
      <c r="B35" s="37">
        <f t="shared" si="3"/>
        <v>41328</v>
      </c>
      <c r="C35" s="38">
        <f t="shared" si="4"/>
        <v>41328</v>
      </c>
      <c r="D35" s="39" t="str">
        <f>IF(B35="","",IF(VerificaSeFeriado(B35),"Sim",""))</f>
        <v/>
      </c>
      <c r="E35" s="5"/>
      <c r="F35" s="5"/>
      <c r="G35" s="5"/>
      <c r="H35" s="5"/>
      <c r="I35" s="5"/>
      <c r="J35" s="5"/>
      <c r="K35" s="5"/>
      <c r="L35" s="5"/>
      <c r="M35" s="41" t="str">
        <f t="shared" si="5"/>
        <v/>
      </c>
      <c r="N35" s="42" t="str">
        <f t="shared" si="6"/>
        <v/>
      </c>
      <c r="O35" s="43" t="str">
        <f t="shared" si="7"/>
        <v/>
      </c>
      <c r="P35" s="43" t="str">
        <f t="shared" ca="1" si="8"/>
        <v/>
      </c>
      <c r="Q35" s="6"/>
      <c r="R35" s="40">
        <f t="shared" si="9"/>
        <v>0</v>
      </c>
      <c r="S35" s="44" t="str">
        <f>IF(D35="Sim",0,IF((OR(WEEKDAY(C35)=2,WEEKDAY(C35)=3,WEEKDAY(C35)=4,WEEKDAY(C35)=5,WEEKDAY(C35)=6))=TRUE,M35,IF(AND(WEEKDAY(C35)=7,Configurações!$C$11&gt;0)=TRUE,M35,IF(AND(WEEKDAY(C35)=1,Configurações!$C$12&gt;0)=TRUE,M35,0))))</f>
        <v/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</v>
      </c>
      <c r="V35" s="44">
        <f t="shared" si="10"/>
        <v>0</v>
      </c>
      <c r="W35" s="44">
        <f t="shared" si="11"/>
        <v>0</v>
      </c>
      <c r="X35" s="45">
        <f t="shared" si="12"/>
        <v>0</v>
      </c>
      <c r="Y35" s="44">
        <f t="shared" si="13"/>
        <v>0</v>
      </c>
      <c r="Z35" s="45">
        <f t="shared" si="14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5"/>
        <v/>
      </c>
      <c r="AE35" s="11" t="str">
        <f t="shared" si="16"/>
        <v/>
      </c>
      <c r="AF35" s="83">
        <f t="shared" si="17"/>
        <v>0</v>
      </c>
      <c r="AG35" s="84">
        <f t="shared" si="18"/>
        <v>0</v>
      </c>
      <c r="AH35" s="84">
        <f t="shared" si="19"/>
        <v>0</v>
      </c>
      <c r="AI35" s="84">
        <f t="shared" si="20"/>
        <v>0</v>
      </c>
      <c r="AJ35" s="84">
        <f t="shared" si="21"/>
        <v>0</v>
      </c>
    </row>
    <row r="36" spans="1:36" x14ac:dyDescent="0.25">
      <c r="A36" s="106"/>
      <c r="B36" s="37">
        <f t="shared" si="3"/>
        <v>41329</v>
      </c>
      <c r="C36" s="38">
        <f t="shared" si="4"/>
        <v>41329</v>
      </c>
      <c r="D36" s="39" t="str">
        <f>IF(B36="","",IF(VerificaSeFeriado(B36),"Sim",""))</f>
        <v/>
      </c>
      <c r="E36" s="5"/>
      <c r="F36" s="5"/>
      <c r="G36" s="5"/>
      <c r="H36" s="5"/>
      <c r="I36" s="5"/>
      <c r="J36" s="5"/>
      <c r="K36" s="5"/>
      <c r="L36" s="5"/>
      <c r="M36" s="41" t="str">
        <f t="shared" si="5"/>
        <v/>
      </c>
      <c r="N36" s="42" t="str">
        <f t="shared" si="6"/>
        <v/>
      </c>
      <c r="O36" s="43" t="str">
        <f t="shared" si="7"/>
        <v/>
      </c>
      <c r="P36" s="43" t="str">
        <f t="shared" ca="1" si="8"/>
        <v/>
      </c>
      <c r="Q36" s="6"/>
      <c r="R36" s="40">
        <f t="shared" si="9"/>
        <v>0</v>
      </c>
      <c r="S36" s="44">
        <f>IF(D36="Sim",0,IF((OR(WEEKDAY(C36)=2,WEEKDAY(C36)=3,WEEKDAY(C36)=4,WEEKDAY(C36)=5,WEEKDAY(C36)=6))=TRUE,M36,IF(AND(WEEKDAY(C36)=7,Configurações!$C$11&gt;0)=TRUE,M36,IF(AND(WEEKDAY(C36)=1,Configurações!$C$12&gt;0)=TRUE,M36,0))))</f>
        <v>0</v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10"/>
        <v>0</v>
      </c>
      <c r="W36" s="44">
        <f t="shared" si="11"/>
        <v>0</v>
      </c>
      <c r="X36" s="45">
        <f t="shared" si="12"/>
        <v>0</v>
      </c>
      <c r="Y36" s="44">
        <f t="shared" si="13"/>
        <v>0</v>
      </c>
      <c r="Z36" s="45">
        <f t="shared" si="14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5"/>
        <v/>
      </c>
      <c r="AE36" s="11" t="str">
        <f t="shared" si="16"/>
        <v/>
      </c>
      <c r="AF36" s="83">
        <f t="shared" si="17"/>
        <v>0</v>
      </c>
      <c r="AG36" s="84">
        <f t="shared" si="18"/>
        <v>0</v>
      </c>
      <c r="AH36" s="84">
        <f t="shared" si="19"/>
        <v>0</v>
      </c>
      <c r="AI36" s="84">
        <f t="shared" si="20"/>
        <v>0</v>
      </c>
      <c r="AJ36" s="84">
        <f t="shared" si="21"/>
        <v>0</v>
      </c>
    </row>
    <row r="37" spans="1:36" x14ac:dyDescent="0.25">
      <c r="A37" s="106"/>
      <c r="B37" s="37">
        <f t="shared" si="3"/>
        <v>41330</v>
      </c>
      <c r="C37" s="38">
        <f t="shared" si="4"/>
        <v>41330</v>
      </c>
      <c r="D37" s="39" t="str">
        <f>IF(B37="","",IF(VerificaSeFeriado(B37),"Sim",""))</f>
        <v/>
      </c>
      <c r="E37" s="5"/>
      <c r="F37" s="5"/>
      <c r="G37" s="5"/>
      <c r="H37" s="5"/>
      <c r="I37" s="5"/>
      <c r="J37" s="5"/>
      <c r="K37" s="5"/>
      <c r="L37" s="5"/>
      <c r="M37" s="41" t="str">
        <f t="shared" si="5"/>
        <v/>
      </c>
      <c r="N37" s="42" t="str">
        <f t="shared" si="6"/>
        <v/>
      </c>
      <c r="O37" s="43" t="str">
        <f t="shared" si="7"/>
        <v/>
      </c>
      <c r="P37" s="43" t="str">
        <f t="shared" ca="1" si="8"/>
        <v/>
      </c>
      <c r="Q37" s="6"/>
      <c r="R37" s="40">
        <f t="shared" si="9"/>
        <v>0</v>
      </c>
      <c r="S37" s="44">
        <f>IF(D37="Sim",0,IF((OR(WEEKDAY(C37)=2,WEEKDAY(C37)=3,WEEKDAY(C37)=4,WEEKDAY(C37)=5,WEEKDAY(C37)=6))=TRUE,M37,IF(AND(WEEKDAY(C37)=7,Configurações!$C$11&gt;0)=TRUE,M37,IF(AND(WEEKDAY(C37)=1,Configurações!$C$12&gt;0)=TRUE,M37,0))))</f>
        <v>0</v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10"/>
        <v>0</v>
      </c>
      <c r="W37" s="44">
        <f t="shared" si="11"/>
        <v>0</v>
      </c>
      <c r="X37" s="45">
        <f t="shared" si="12"/>
        <v>0</v>
      </c>
      <c r="Y37" s="44">
        <f t="shared" si="13"/>
        <v>0</v>
      </c>
      <c r="Z37" s="45">
        <f t="shared" si="14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5"/>
        <v/>
      </c>
      <c r="AE37" s="11" t="str">
        <f t="shared" si="16"/>
        <v/>
      </c>
      <c r="AF37" s="83">
        <f t="shared" si="17"/>
        <v>0</v>
      </c>
      <c r="AG37" s="84">
        <f t="shared" si="18"/>
        <v>0</v>
      </c>
      <c r="AH37" s="84">
        <f t="shared" si="19"/>
        <v>0</v>
      </c>
      <c r="AI37" s="84">
        <f t="shared" si="20"/>
        <v>0</v>
      </c>
      <c r="AJ37" s="84">
        <f t="shared" si="21"/>
        <v>0</v>
      </c>
    </row>
    <row r="38" spans="1:36" x14ac:dyDescent="0.25">
      <c r="A38" s="106"/>
      <c r="B38" s="37">
        <f t="shared" si="3"/>
        <v>41331</v>
      </c>
      <c r="C38" s="38">
        <f t="shared" si="4"/>
        <v>41331</v>
      </c>
      <c r="D38" s="39" t="str">
        <f>IF(B38="","",IF(VerificaSeFeriado(B38),"Sim",""))</f>
        <v/>
      </c>
      <c r="E38" s="5"/>
      <c r="F38" s="5"/>
      <c r="G38" s="5"/>
      <c r="H38" s="5"/>
      <c r="I38" s="5"/>
      <c r="J38" s="5"/>
      <c r="K38" s="5"/>
      <c r="L38" s="5"/>
      <c r="M38" s="41" t="str">
        <f t="shared" si="5"/>
        <v/>
      </c>
      <c r="N38" s="42" t="str">
        <f t="shared" si="6"/>
        <v/>
      </c>
      <c r="O38" s="43" t="str">
        <f t="shared" si="7"/>
        <v/>
      </c>
      <c r="P38" s="43" t="str">
        <f t="shared" ca="1" si="8"/>
        <v/>
      </c>
      <c r="Q38" s="6"/>
      <c r="R38" s="40">
        <f t="shared" si="9"/>
        <v>0</v>
      </c>
      <c r="S38" s="44" t="str">
        <f>IF(D38="Sim",0,IF((OR(WEEKDAY(C38)=2,WEEKDAY(C38)=3,WEEKDAY(C38)=4,WEEKDAY(C38)=5,WEEKDAY(C38)=6))=TRUE,M38,IF(AND(WEEKDAY(C38)=7,Configurações!$C$11&gt;0)=TRUE,M38,IF(AND(WEEKDAY(C38)=1,Configurações!$C$12&gt;0)=TRUE,M38,0))))</f>
        <v/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10"/>
        <v>0</v>
      </c>
      <c r="W38" s="44">
        <f t="shared" si="11"/>
        <v>0</v>
      </c>
      <c r="X38" s="45">
        <f t="shared" si="12"/>
        <v>0</v>
      </c>
      <c r="Y38" s="44">
        <f t="shared" si="13"/>
        <v>0</v>
      </c>
      <c r="Z38" s="45">
        <f t="shared" si="14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5"/>
        <v/>
      </c>
      <c r="AE38" s="11" t="str">
        <f t="shared" si="16"/>
        <v/>
      </c>
      <c r="AF38" s="83">
        <f t="shared" si="17"/>
        <v>0</v>
      </c>
      <c r="AG38" s="84">
        <f t="shared" si="18"/>
        <v>0</v>
      </c>
      <c r="AH38" s="84">
        <f t="shared" si="19"/>
        <v>0</v>
      </c>
      <c r="AI38" s="84">
        <f t="shared" si="20"/>
        <v>0</v>
      </c>
      <c r="AJ38" s="84">
        <f t="shared" si="21"/>
        <v>0</v>
      </c>
    </row>
    <row r="39" spans="1:36" x14ac:dyDescent="0.25">
      <c r="A39" s="106"/>
      <c r="B39" s="37">
        <f t="shared" si="3"/>
        <v>41332</v>
      </c>
      <c r="C39" s="38">
        <f t="shared" si="4"/>
        <v>41332</v>
      </c>
      <c r="D39" s="39" t="str">
        <f>IF(B39="","",IF(VerificaSeFeriado(B39),"Sim",""))</f>
        <v>Sim</v>
      </c>
      <c r="E39" s="5"/>
      <c r="F39" s="5"/>
      <c r="G39" s="5"/>
      <c r="H39" s="5"/>
      <c r="I39" s="5"/>
      <c r="J39" s="5"/>
      <c r="K39" s="5"/>
      <c r="L39" s="5"/>
      <c r="M39" s="41" t="str">
        <f t="shared" si="5"/>
        <v/>
      </c>
      <c r="N39" s="42" t="str">
        <f t="shared" si="6"/>
        <v/>
      </c>
      <c r="O39" s="43" t="str">
        <f t="shared" si="7"/>
        <v/>
      </c>
      <c r="P39" s="43" t="str">
        <f t="shared" ca="1" si="8"/>
        <v/>
      </c>
      <c r="Q39" s="6"/>
      <c r="R39" s="40">
        <f t="shared" si="9"/>
        <v>0</v>
      </c>
      <c r="S39" s="44">
        <f>IF(D39="Sim",0,IF((OR(WEEKDAY(C39)=2,WEEKDAY(C39)=3,WEEKDAY(C39)=4,WEEKDAY(C39)=5,WEEKDAY(C39)=6))=TRUE,M39,IF(AND(WEEKDAY(C39)=7,Configurações!$C$11&gt;0)=TRUE,M39,IF(AND(WEEKDAY(C39)=1,Configurações!$C$12&gt;0)=TRUE,M39,0))))</f>
        <v>0</v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10"/>
        <v>0</v>
      </c>
      <c r="W39" s="44">
        <f t="shared" si="11"/>
        <v>0</v>
      </c>
      <c r="X39" s="45">
        <f t="shared" si="12"/>
        <v>0</v>
      </c>
      <c r="Y39" s="44">
        <f t="shared" si="13"/>
        <v>0</v>
      </c>
      <c r="Z39" s="45">
        <f t="shared" si="14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5"/>
        <v/>
      </c>
      <c r="AE39" s="11" t="str">
        <f t="shared" si="16"/>
        <v/>
      </c>
      <c r="AF39" s="83">
        <f t="shared" si="17"/>
        <v>0</v>
      </c>
      <c r="AG39" s="84">
        <f t="shared" si="18"/>
        <v>0</v>
      </c>
      <c r="AH39" s="84">
        <f t="shared" si="19"/>
        <v>0</v>
      </c>
      <c r="AI39" s="84">
        <f t="shared" si="20"/>
        <v>0</v>
      </c>
      <c r="AJ39" s="84">
        <f t="shared" si="21"/>
        <v>0</v>
      </c>
    </row>
  </sheetData>
  <sheetProtection algorithmName="SHA-512" hashValue="p3KtDuc3pGiL7w/SPHPYx/UkDcA2QTIQ7M2HKY9wC8sGP8qBaYTcvgE9Ys4CZ97QKzsBLPNkV9z7kp/a5Sadfg==" saltValue="OlAzX18nwOu5rnTQfCJYaQ==" spinCount="100000" sheet="1" objects="1" scenarios="1" selectLockedCells="1"/>
  <mergeCells count="18">
    <mergeCell ref="L4:M4"/>
    <mergeCell ref="O4:Q4"/>
    <mergeCell ref="E5:F5"/>
    <mergeCell ref="O5:P5"/>
    <mergeCell ref="E6:F6"/>
    <mergeCell ref="F11:G11"/>
    <mergeCell ref="J11:K11"/>
    <mergeCell ref="A2:D2"/>
    <mergeCell ref="A3:D7"/>
    <mergeCell ref="E4:G4"/>
    <mergeCell ref="I4:J4"/>
    <mergeCell ref="E7:F7"/>
    <mergeCell ref="A11:A39"/>
    <mergeCell ref="O7:P7"/>
    <mergeCell ref="E8:F8"/>
    <mergeCell ref="L8:M8"/>
    <mergeCell ref="E9:F9"/>
    <mergeCell ref="L9:M9"/>
  </mergeCells>
  <conditionalFormatting sqref="G5">
    <cfRule type="expression" dxfId="328" priority="28">
      <formula>$G$5&lt;=0</formula>
    </cfRule>
    <cfRule type="expression" dxfId="327" priority="29">
      <formula>$G$5&gt;0</formula>
    </cfRule>
  </conditionalFormatting>
  <conditionalFormatting sqref="G6">
    <cfRule type="expression" dxfId="326" priority="26">
      <formula>$G$6&gt;=0</formula>
    </cfRule>
    <cfRule type="expression" dxfId="325" priority="27">
      <formula>$G$6&lt;0</formula>
    </cfRule>
  </conditionalFormatting>
  <conditionalFormatting sqref="P9">
    <cfRule type="expression" dxfId="324" priority="23">
      <formula>$P$9&lt;0</formula>
    </cfRule>
    <cfRule type="expression" dxfId="323" priority="24">
      <formula>$P$9=0</formula>
    </cfRule>
    <cfRule type="expression" dxfId="322" priority="25">
      <formula>$P$9&gt;0</formula>
    </cfRule>
  </conditionalFormatting>
  <conditionalFormatting sqref="P8">
    <cfRule type="expression" dxfId="321" priority="20">
      <formula>$P$8&lt;0</formula>
    </cfRule>
    <cfRule type="expression" dxfId="320" priority="21">
      <formula>$P$8=0</formula>
    </cfRule>
    <cfRule type="expression" dxfId="319" priority="22">
      <formula>$P$8&gt;0</formula>
    </cfRule>
  </conditionalFormatting>
  <conditionalFormatting sqref="G9">
    <cfRule type="expression" dxfId="318" priority="17">
      <formula>$G$9&lt;0</formula>
    </cfRule>
    <cfRule type="expression" priority="18">
      <formula>$G$9=0</formula>
    </cfRule>
    <cfRule type="expression" dxfId="317" priority="19">
      <formula>$G$9&gt;0</formula>
    </cfRule>
  </conditionalFormatting>
  <conditionalFormatting sqref="P12:P39">
    <cfRule type="expression" dxfId="316" priority="16">
      <formula>$P12=0</formula>
    </cfRule>
  </conditionalFormatting>
  <conditionalFormatting sqref="G5:G9">
    <cfRule type="expression" dxfId="315" priority="13">
      <formula>$G5=0</formula>
    </cfRule>
    <cfRule type="expression" dxfId="314" priority="14">
      <formula>$G5&lt;0</formula>
    </cfRule>
    <cfRule type="expression" dxfId="313" priority="15">
      <formula>$G5&gt;0</formula>
    </cfRule>
  </conditionalFormatting>
  <conditionalFormatting sqref="B12:R39">
    <cfRule type="expression" dxfId="312" priority="7">
      <formula>$B12=""</formula>
    </cfRule>
    <cfRule type="expression" dxfId="311" priority="8">
      <formula>$D12="Sim"</formula>
    </cfRule>
    <cfRule type="expression" dxfId="310" priority="11">
      <formula>MOD(ROW(),2)=0</formula>
    </cfRule>
    <cfRule type="expression" dxfId="309" priority="12">
      <formula>MOD(ROW(),2)=1</formula>
    </cfRule>
  </conditionalFormatting>
  <conditionalFormatting sqref="M12:N39">
    <cfRule type="expression" dxfId="308" priority="5">
      <formula>$M12=0</formula>
    </cfRule>
  </conditionalFormatting>
  <conditionalFormatting sqref="L9:N9">
    <cfRule type="expression" dxfId="307" priority="2">
      <formula>$L$9&gt;0</formula>
    </cfRule>
    <cfRule type="expression" dxfId="306" priority="3">
      <formula>$L$9=0</formula>
    </cfRule>
    <cfRule type="expression" dxfId="305" priority="4">
      <formula>$L$9&lt;0</formula>
    </cfRule>
  </conditionalFormatting>
  <conditionalFormatting sqref="N5 M6">
    <cfRule type="expression" dxfId="304" priority="30">
      <formula>$M$6&lt;0</formula>
    </cfRule>
  </conditionalFormatting>
  <conditionalFormatting sqref="N4 M5">
    <cfRule type="expression" dxfId="303" priority="31">
      <formula>$M$5&gt;0</formula>
    </cfRule>
  </conditionalFormatting>
  <conditionalFormatting sqref="J5:J9">
    <cfRule type="expression" dxfId="302" priority="1">
      <formula>$J5&gt;0</formula>
    </cfRule>
  </conditionalFormatting>
  <dataValidations count="2">
    <dataValidation operator="greaterThanOrEqual" allowBlank="1" showInputMessage="1" showErrorMessage="1" sqref="E12:P39"/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39">
      <formula1>AB12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8F6D7EC9-325F-4F10-A002-E162850B2FFF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0" id="{9AC712EA-29FB-4A2F-90AB-9CE966CCDD43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2:AJ50"/>
  <sheetViews>
    <sheetView showGridLines="0" zoomScaleNormal="100" workbookViewId="0">
      <selection activeCell="P8" sqref="P8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16384" width="9.140625" style="10"/>
  </cols>
  <sheetData>
    <row r="2" spans="1:36" x14ac:dyDescent="0.25">
      <c r="A2" s="109" t="str">
        <f>IF(Configurações!C17 = 0,"",Configurações!C17)</f>
        <v/>
      </c>
      <c r="B2" s="109"/>
      <c r="C2" s="109"/>
      <c r="D2" s="109"/>
    </row>
    <row r="3" spans="1:36" ht="15.75" customHeight="1" thickBot="1" x14ac:dyDescent="0.3">
      <c r="A3" s="110" t="s">
        <v>90</v>
      </c>
      <c r="B3" s="110"/>
      <c r="C3" s="110"/>
      <c r="D3" s="110"/>
    </row>
    <row r="4" spans="1:36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36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SUM(M12:M42)</f>
        <v>0</v>
      </c>
      <c r="H5" s="13"/>
      <c r="I5" s="81" t="s">
        <v>31</v>
      </c>
      <c r="J5" s="16">
        <f>(SUM(S12:S42)*24)*Configurações!E15*(Configurações!I7+1)</f>
        <v>0</v>
      </c>
      <c r="K5" s="13"/>
      <c r="L5" s="81" t="s">
        <v>68</v>
      </c>
      <c r="M5" s="17">
        <f>SUM(J5:J9)</f>
        <v>0</v>
      </c>
      <c r="N5" s="14"/>
      <c r="O5" s="102" t="s">
        <v>44</v>
      </c>
      <c r="P5" s="103"/>
      <c r="Q5" s="18">
        <f>SUM(R12:R42)</f>
        <v>0</v>
      </c>
      <c r="W5" s="19"/>
    </row>
    <row r="6" spans="1:36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SUM(O12:O42)</f>
        <v>0</v>
      </c>
      <c r="H6" s="13"/>
      <c r="I6" s="81" t="s">
        <v>34</v>
      </c>
      <c r="J6" s="16">
        <f>(SUM(T12:T42)*24)*Configurações!E15*(Configurações!I10+1)</f>
        <v>0</v>
      </c>
      <c r="K6" s="13"/>
      <c r="L6" s="82" t="s">
        <v>69</v>
      </c>
      <c r="M6" s="21">
        <f ca="1">((G7*24)+(G6*24))*Configurações!E15</f>
        <v>0</v>
      </c>
      <c r="U6" s="19"/>
      <c r="W6" s="22"/>
    </row>
    <row r="7" spans="1:36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SUM(P12:P42)</f>
        <v>0</v>
      </c>
      <c r="H7" s="13"/>
      <c r="I7" s="81" t="s">
        <v>32</v>
      </c>
      <c r="J7" s="16">
        <f>(SUM(U12:U42)*24)*Configurações!E15*(Configurações!I9+1)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36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SUM(Q12:Q42)</f>
        <v>0</v>
      </c>
      <c r="H8" s="13"/>
      <c r="I8" s="81" t="s">
        <v>33</v>
      </c>
      <c r="J8" s="16">
        <f>(SUM(V12:V42)*24)*Configurações!E15*(Configurações!I8+1)</f>
        <v>0</v>
      </c>
      <c r="K8" s="13"/>
      <c r="L8" s="116" t="s">
        <v>63</v>
      </c>
      <c r="M8" s="117"/>
      <c r="N8" s="25"/>
      <c r="O8" s="81" t="s">
        <v>26</v>
      </c>
      <c r="P8" s="7">
        <v>0</v>
      </c>
    </row>
    <row r="9" spans="1:36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0</v>
      </c>
      <c r="H9" s="13"/>
      <c r="I9" s="82" t="s">
        <v>30</v>
      </c>
      <c r="J9" s="27">
        <f>((((SUM(N12:N42)*24)*Configurações!E15*(Configurações!I6+1)))-(SUM(N12:N42)*24)*Configurações!E15)</f>
        <v>0</v>
      </c>
      <c r="K9" s="13"/>
      <c r="L9" s="120">
        <f ca="1">SUM(M5:M6)</f>
        <v>0</v>
      </c>
      <c r="M9" s="121"/>
      <c r="N9" s="28"/>
      <c r="O9" s="82" t="s">
        <v>25</v>
      </c>
      <c r="P9" s="26">
        <f ca="1">SUM(P8,G9)</f>
        <v>0</v>
      </c>
    </row>
    <row r="10" spans="1:36" x14ac:dyDescent="0.25">
      <c r="B10" s="29">
        <v>41333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36" x14ac:dyDescent="0.25">
      <c r="A11" s="106" t="s">
        <v>75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36" x14ac:dyDescent="0.25">
      <c r="A12" s="106"/>
      <c r="B12" s="37">
        <f>IF(MONTH($B$10+ROW()-ROW($B$10)-2) = MONTH($B$10),$B$10+ROW()-ROW($B$10)-2,"")</f>
        <v>41333</v>
      </c>
      <c r="C12" s="38">
        <f t="shared" ref="C12:C42" si="0">B12</f>
        <v>41333</v>
      </c>
      <c r="D12" s="39" t="str">
        <f>IF(B12="","",IF(VerificaSeFeriado(B12),"Sim",""))</f>
        <v/>
      </c>
      <c r="E12" s="5"/>
      <c r="F12" s="5"/>
      <c r="G12" s="5"/>
      <c r="H12" s="5"/>
      <c r="I12" s="5"/>
      <c r="J12" s="5"/>
      <c r="K12" s="5"/>
      <c r="L12" s="5"/>
      <c r="M12" s="41" t="str">
        <f>IFERROR(IF((R12-AB12)&gt;(1*"00:00:01"),(R12-AB12),""),"")</f>
        <v/>
      </c>
      <c r="N12" s="42" t="str">
        <f>IF(SUM(W12:X12)*(1/52.5*60)&gt;0,SUM(W12:X12)*(1/52.5*60),"")</f>
        <v/>
      </c>
      <c r="O12" s="43" t="str">
        <f t="shared" ref="O12:O15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6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</v>
      </c>
      <c r="S12" s="44" t="str">
        <f>IF(D12="Sim",0,IF((OR(WEEKDAY(C12)=2,WEEKDAY(C12)=3,WEEKDAY(C12)=4,WEEKDAY(C12)=5,WEEKDAY(C12)=6))=TRUE,M12,IF(AND(WEEKDAY(C12)=7,Configurações!$C$11&gt;0)=TRUE,M12,IF(AND(WEEKDAY(C12)=1,Configurações!$C$12&gt;0)=TRUE,M12,0))))</f>
        <v/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:Y25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</row>
    <row r="13" spans="1:36" x14ac:dyDescent="0.25">
      <c r="A13" s="106"/>
      <c r="B13" s="37">
        <f t="shared" ref="B13:B42" si="3">IF(MONTH($B$10+ROW()-ROW($B$10)-2) = MONTH($B$10),$B$10+ROW()-ROW($B$10)-2,"")</f>
        <v>41334</v>
      </c>
      <c r="C13" s="38">
        <f t="shared" si="0"/>
        <v>41334</v>
      </c>
      <c r="D13" s="39" t="str">
        <f>IF(B13="","",IF(VerificaSeFeriado(B13),"Sim",""))</f>
        <v/>
      </c>
      <c r="E13" s="5"/>
      <c r="F13" s="5"/>
      <c r="G13" s="5"/>
      <c r="H13" s="5"/>
      <c r="I13" s="5"/>
      <c r="J13" s="5"/>
      <c r="K13" s="5"/>
      <c r="L13" s="5"/>
      <c r="M13" s="41" t="str">
        <f t="shared" ref="M13:M42" si="4">IFERROR(IF((R13-AB13)&gt;(1*"00:00:01"),(R13-AB13),""),"")</f>
        <v/>
      </c>
      <c r="N13" s="42" t="str">
        <f t="shared" ref="N13:N42" si="5">IF(SUM(W13:X13)*(1/52.5*60)&gt;0,SUM(W13:X13)*(1/52.5*60),"")</f>
        <v/>
      </c>
      <c r="O13" s="43" t="str">
        <f t="shared" si="1"/>
        <v/>
      </c>
      <c r="P13" s="43" t="str">
        <f t="shared" ref="P13:P42" ca="1" si="6">IF(TODAY()&lt;=B13,"",IF(D13="Sim","",IF(AND(AA13="Sim",E13="",G13="",I13="",K13="")=TRUE,IF(Q13-AB13&lt;0,Q13-AB13,""),"")))</f>
        <v/>
      </c>
      <c r="Q13" s="6"/>
      <c r="R13" s="40">
        <f t="shared" ref="R13:R42" si="7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 t="str">
        <f>IF(D13="Sim",0,IF((OR(WEEKDAY(C13)=2,WEEKDAY(C13)=3,WEEKDAY(C13)=4,WEEKDAY(C13)=5,WEEKDAY(C13)=6))=TRUE,M13,IF(AND(WEEKDAY(C13)=7,Configurações!$C$11&gt;0)=TRUE,M13,IF(AND(WEEKDAY(C13)=1,Configurações!$C$12&gt;0)=TRUE,M13,0))))</f>
        <v/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42" si="8">IF(D13="Sim",R13,0)</f>
        <v>0</v>
      </c>
      <c r="W13" s="44">
        <f t="shared" ref="W13:W42" si="9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42" si="10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si="2"/>
        <v>0</v>
      </c>
      <c r="Z13" s="45">
        <f t="shared" ref="Z13:Z42" si="11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42" si="12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42" si="13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42" si="14">IF(SUM(AG13:AH13)*(1/52.5*60)&gt;0,(SUM(AG13:AH13)*(1/52.5*60))-(SUM(AG13:AH13)),0)</f>
        <v>0</v>
      </c>
      <c r="AG13" s="84">
        <f t="shared" ref="AG13:AG42" si="15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42" si="16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42" si="17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42" si="18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36" x14ac:dyDescent="0.25">
      <c r="A14" s="106"/>
      <c r="B14" s="37">
        <f t="shared" si="3"/>
        <v>41335</v>
      </c>
      <c r="C14" s="38">
        <f t="shared" si="0"/>
        <v>41335</v>
      </c>
      <c r="D14" s="39" t="str">
        <f>IF(B14="","",IF(VerificaSeFeriado(B14),"Sim",""))</f>
        <v/>
      </c>
      <c r="E14" s="5"/>
      <c r="F14" s="5"/>
      <c r="G14" s="5"/>
      <c r="H14" s="5"/>
      <c r="I14" s="5"/>
      <c r="J14" s="5"/>
      <c r="K14" s="5"/>
      <c r="L14" s="5"/>
      <c r="M14" s="41" t="str">
        <f t="shared" si="4"/>
        <v/>
      </c>
      <c r="N14" s="42" t="str">
        <f t="shared" si="5"/>
        <v/>
      </c>
      <c r="O14" s="43" t="str">
        <f t="shared" si="1"/>
        <v/>
      </c>
      <c r="P14" s="43" t="str">
        <f t="shared" ca="1" si="6"/>
        <v/>
      </c>
      <c r="Q14" s="6"/>
      <c r="R14" s="40">
        <f t="shared" si="7"/>
        <v>0</v>
      </c>
      <c r="S14" s="44" t="str">
        <f>IF(D14="Sim",0,IF((OR(WEEKDAY(C14)=2,WEEKDAY(C14)=3,WEEKDAY(C14)=4,WEEKDAY(C14)=5,WEEKDAY(C14)=6))=TRUE,M14,IF(AND(WEEKDAY(C14)=7,Configurações!$C$11&gt;0)=TRUE,M14,IF(AND(WEEKDAY(C14)=1,Configurações!$C$12&gt;0)=TRUE,M14,0))))</f>
        <v/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8"/>
        <v>0</v>
      </c>
      <c r="W14" s="44">
        <f t="shared" si="9"/>
        <v>0</v>
      </c>
      <c r="X14" s="45">
        <f t="shared" si="10"/>
        <v>0</v>
      </c>
      <c r="Y14" s="44">
        <f t="shared" si="2"/>
        <v>0</v>
      </c>
      <c r="Z14" s="45">
        <f t="shared" si="11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2"/>
        <v/>
      </c>
      <c r="AE14" s="11" t="str">
        <f t="shared" si="13"/>
        <v/>
      </c>
      <c r="AF14" s="83">
        <f t="shared" si="14"/>
        <v>0</v>
      </c>
      <c r="AG14" s="84">
        <f t="shared" si="15"/>
        <v>0</v>
      </c>
      <c r="AH14" s="84">
        <f t="shared" si="16"/>
        <v>0</v>
      </c>
      <c r="AI14" s="84">
        <f t="shared" si="17"/>
        <v>0</v>
      </c>
      <c r="AJ14" s="84">
        <f t="shared" si="18"/>
        <v>0</v>
      </c>
    </row>
    <row r="15" spans="1:36" x14ac:dyDescent="0.25">
      <c r="A15" s="106"/>
      <c r="B15" s="37">
        <f t="shared" si="3"/>
        <v>41336</v>
      </c>
      <c r="C15" s="38">
        <f t="shared" si="0"/>
        <v>41336</v>
      </c>
      <c r="D15" s="39" t="str">
        <f>IF(B15="","",IF(VerificaSeFeriado(B15),"Sim",""))</f>
        <v/>
      </c>
      <c r="E15" s="5"/>
      <c r="F15" s="5"/>
      <c r="G15" s="5"/>
      <c r="H15" s="5"/>
      <c r="I15" s="5"/>
      <c r="J15" s="5"/>
      <c r="K15" s="5"/>
      <c r="L15" s="5"/>
      <c r="M15" s="41" t="str">
        <f t="shared" si="4"/>
        <v/>
      </c>
      <c r="N15" s="42" t="str">
        <f t="shared" si="5"/>
        <v/>
      </c>
      <c r="O15" s="43" t="str">
        <f t="shared" si="1"/>
        <v/>
      </c>
      <c r="P15" s="43" t="str">
        <f t="shared" ca="1" si="6"/>
        <v/>
      </c>
      <c r="Q15" s="6"/>
      <c r="R15" s="40">
        <f t="shared" si="7"/>
        <v>0</v>
      </c>
      <c r="S15" s="44">
        <f>IF(D15="Sim",0,IF((OR(WEEKDAY(C15)=2,WEEKDAY(C15)=3,WEEKDAY(C15)=4,WEEKDAY(C15)=5,WEEKDAY(C15)=6))=TRUE,M15,IF(AND(WEEKDAY(C15)=7,Configurações!$C$11&gt;0)=TRUE,M15,IF(AND(WEEKDAY(C15)=1,Configurações!$C$12&gt;0)=TRUE,M15,0))))</f>
        <v>0</v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8"/>
        <v>0</v>
      </c>
      <c r="W15" s="44">
        <f t="shared" si="9"/>
        <v>0</v>
      </c>
      <c r="X15" s="45">
        <f t="shared" si="10"/>
        <v>0</v>
      </c>
      <c r="Y15" s="44">
        <f t="shared" si="2"/>
        <v>0</v>
      </c>
      <c r="Z15" s="45">
        <f t="shared" si="11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2"/>
        <v/>
      </c>
      <c r="AE15" s="11" t="str">
        <f t="shared" si="13"/>
        <v/>
      </c>
      <c r="AF15" s="83">
        <f t="shared" si="14"/>
        <v>0</v>
      </c>
      <c r="AG15" s="84">
        <f t="shared" si="15"/>
        <v>0</v>
      </c>
      <c r="AH15" s="84">
        <f t="shared" si="16"/>
        <v>0</v>
      </c>
      <c r="AI15" s="84">
        <f t="shared" si="17"/>
        <v>0</v>
      </c>
      <c r="AJ15" s="84">
        <f t="shared" si="18"/>
        <v>0</v>
      </c>
    </row>
    <row r="16" spans="1:36" x14ac:dyDescent="0.25">
      <c r="A16" s="106"/>
      <c r="B16" s="37">
        <f t="shared" si="3"/>
        <v>41337</v>
      </c>
      <c r="C16" s="38">
        <f t="shared" si="0"/>
        <v>41337</v>
      </c>
      <c r="D16" s="39" t="str">
        <f>IF(B16="","",IF(VerificaSeFeriado(B16),"Sim",""))</f>
        <v/>
      </c>
      <c r="E16" s="5"/>
      <c r="F16" s="5"/>
      <c r="G16" s="5"/>
      <c r="H16" s="5"/>
      <c r="I16" s="5"/>
      <c r="J16" s="5"/>
      <c r="K16" s="5"/>
      <c r="L16" s="5"/>
      <c r="M16" s="41" t="str">
        <f t="shared" si="4"/>
        <v/>
      </c>
      <c r="N16" s="42" t="str">
        <f t="shared" si="5"/>
        <v/>
      </c>
      <c r="O16" s="43" t="str">
        <f>IF(OR(D16="Sim",E16="")=TRUE,"",IF((R16-AB16)&gt;=(-"00:00:01"),"",(R16-AB16)))</f>
        <v/>
      </c>
      <c r="P16" s="43" t="str">
        <f t="shared" ca="1" si="6"/>
        <v/>
      </c>
      <c r="Q16" s="6"/>
      <c r="R16" s="40">
        <f t="shared" si="7"/>
        <v>0</v>
      </c>
      <c r="S16" s="44">
        <f>IF(D16="Sim",0,IF((OR(WEEKDAY(C16)=2,WEEKDAY(C16)=3,WEEKDAY(C16)=4,WEEKDAY(C16)=5,WEEKDAY(C16)=6))=TRUE,M16,IF(AND(WEEKDAY(C16)=7,Configurações!$C$11&gt;0)=TRUE,M16,IF(AND(WEEKDAY(C16)=1,Configurações!$C$12&gt;0)=TRUE,M16,0))))</f>
        <v>0</v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8"/>
        <v>0</v>
      </c>
      <c r="W16" s="44">
        <f t="shared" si="9"/>
        <v>0</v>
      </c>
      <c r="X16" s="45">
        <f t="shared" si="10"/>
        <v>0</v>
      </c>
      <c r="Y16" s="44">
        <f t="shared" si="2"/>
        <v>0</v>
      </c>
      <c r="Z16" s="45">
        <f t="shared" si="11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2"/>
        <v/>
      </c>
      <c r="AE16" s="11" t="str">
        <f t="shared" si="13"/>
        <v/>
      </c>
      <c r="AF16" s="83">
        <f t="shared" si="14"/>
        <v>0</v>
      </c>
      <c r="AG16" s="84">
        <f t="shared" si="15"/>
        <v>0</v>
      </c>
      <c r="AH16" s="84">
        <f t="shared" si="16"/>
        <v>0</v>
      </c>
      <c r="AI16" s="84">
        <f t="shared" si="17"/>
        <v>0</v>
      </c>
      <c r="AJ16" s="84">
        <f t="shared" si="18"/>
        <v>0</v>
      </c>
    </row>
    <row r="17" spans="1:36" x14ac:dyDescent="0.25">
      <c r="A17" s="106"/>
      <c r="B17" s="37">
        <f t="shared" si="3"/>
        <v>41338</v>
      </c>
      <c r="C17" s="38">
        <f t="shared" si="0"/>
        <v>41338</v>
      </c>
      <c r="D17" s="39" t="str">
        <f>IF(B17="","",IF(VerificaSeFeriado(B17),"Sim",""))</f>
        <v/>
      </c>
      <c r="E17" s="5"/>
      <c r="F17" s="5"/>
      <c r="G17" s="5"/>
      <c r="H17" s="5"/>
      <c r="I17" s="5"/>
      <c r="J17" s="5"/>
      <c r="K17" s="5"/>
      <c r="L17" s="5"/>
      <c r="M17" s="41" t="str">
        <f t="shared" si="4"/>
        <v/>
      </c>
      <c r="N17" s="42" t="str">
        <f t="shared" si="5"/>
        <v/>
      </c>
      <c r="O17" s="43" t="str">
        <f>IF(OR(D17="Sim",E17="")=TRUE,"",IF((R17-AB17)&gt;=(-"00:00:01"),"",(R17-AB17)))</f>
        <v/>
      </c>
      <c r="P17" s="43" t="str">
        <f t="shared" ca="1" si="6"/>
        <v/>
      </c>
      <c r="Q17" s="6"/>
      <c r="R17" s="40">
        <f t="shared" si="7"/>
        <v>0</v>
      </c>
      <c r="S17" s="44" t="str">
        <f>IF(D17="Sim",0,IF((OR(WEEKDAY(C17)=2,WEEKDAY(C17)=3,WEEKDAY(C17)=4,WEEKDAY(C17)=5,WEEKDAY(C17)=6))=TRUE,M17,IF(AND(WEEKDAY(C17)=7,Configurações!$C$11&gt;0)=TRUE,M17,IF(AND(WEEKDAY(C17)=1,Configurações!$C$12&gt;0)=TRUE,M17,0))))</f>
        <v/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8"/>
        <v>0</v>
      </c>
      <c r="W17" s="44">
        <f t="shared" si="9"/>
        <v>0</v>
      </c>
      <c r="X17" s="45">
        <f t="shared" si="10"/>
        <v>0</v>
      </c>
      <c r="Y17" s="44">
        <f t="shared" si="2"/>
        <v>0</v>
      </c>
      <c r="Z17" s="45">
        <f t="shared" si="11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2"/>
        <v/>
      </c>
      <c r="AE17" s="11" t="str">
        <f t="shared" si="13"/>
        <v/>
      </c>
      <c r="AF17" s="83">
        <f t="shared" si="14"/>
        <v>0</v>
      </c>
      <c r="AG17" s="84">
        <f t="shared" si="15"/>
        <v>0</v>
      </c>
      <c r="AH17" s="84">
        <f t="shared" si="16"/>
        <v>0</v>
      </c>
      <c r="AI17" s="84">
        <f t="shared" si="17"/>
        <v>0</v>
      </c>
      <c r="AJ17" s="84">
        <f t="shared" si="18"/>
        <v>0</v>
      </c>
    </row>
    <row r="18" spans="1:36" x14ac:dyDescent="0.25">
      <c r="A18" s="106"/>
      <c r="B18" s="37">
        <f t="shared" si="3"/>
        <v>41339</v>
      </c>
      <c r="C18" s="38">
        <f t="shared" si="0"/>
        <v>41339</v>
      </c>
      <c r="D18" s="39" t="str">
        <f>IF(B18="","",IF(VerificaSeFeriado(B18),"Sim",""))</f>
        <v/>
      </c>
      <c r="E18" s="5"/>
      <c r="F18" s="5"/>
      <c r="G18" s="5"/>
      <c r="H18" s="5"/>
      <c r="I18" s="5"/>
      <c r="J18" s="5"/>
      <c r="K18" s="5"/>
      <c r="L18" s="5"/>
      <c r="M18" s="41" t="str">
        <f t="shared" si="4"/>
        <v/>
      </c>
      <c r="N18" s="42" t="str">
        <f t="shared" si="5"/>
        <v/>
      </c>
      <c r="O18" s="43" t="str">
        <f t="shared" ref="O18:O42" si="19">IF(OR(D18="Sim",E18="")=TRUE,"",IF((R18-AB18)&gt;=(-"00:00:01"),"",(R18-AB18)))</f>
        <v/>
      </c>
      <c r="P18" s="43" t="str">
        <f t="shared" ca="1" si="6"/>
        <v/>
      </c>
      <c r="Q18" s="6"/>
      <c r="R18" s="40">
        <f t="shared" si="7"/>
        <v>0</v>
      </c>
      <c r="S18" s="44" t="str">
        <f>IF(D18="Sim",0,IF((OR(WEEKDAY(C18)=2,WEEKDAY(C18)=3,WEEKDAY(C18)=4,WEEKDAY(C18)=5,WEEKDAY(C18)=6))=TRUE,M18,IF(AND(WEEKDAY(C18)=7,Configurações!$C$11&gt;0)=TRUE,M18,IF(AND(WEEKDAY(C18)=1,Configurações!$C$12&gt;0)=TRUE,M18,0))))</f>
        <v/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8"/>
        <v>0</v>
      </c>
      <c r="W18" s="44">
        <f t="shared" si="9"/>
        <v>0</v>
      </c>
      <c r="X18" s="45">
        <f t="shared" si="10"/>
        <v>0</v>
      </c>
      <c r="Y18" s="44">
        <f t="shared" si="2"/>
        <v>0</v>
      </c>
      <c r="Z18" s="45">
        <f t="shared" si="11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2"/>
        <v/>
      </c>
      <c r="AE18" s="11" t="str">
        <f t="shared" si="13"/>
        <v/>
      </c>
      <c r="AF18" s="83">
        <f t="shared" si="14"/>
        <v>0</v>
      </c>
      <c r="AG18" s="84">
        <f t="shared" si="15"/>
        <v>0</v>
      </c>
      <c r="AH18" s="84">
        <f t="shared" si="16"/>
        <v>0</v>
      </c>
      <c r="AI18" s="84">
        <f t="shared" si="17"/>
        <v>0</v>
      </c>
      <c r="AJ18" s="84">
        <f t="shared" si="18"/>
        <v>0</v>
      </c>
    </row>
    <row r="19" spans="1:36" x14ac:dyDescent="0.25">
      <c r="A19" s="106"/>
      <c r="B19" s="37">
        <f t="shared" si="3"/>
        <v>41340</v>
      </c>
      <c r="C19" s="38">
        <f t="shared" si="0"/>
        <v>41340</v>
      </c>
      <c r="D19" s="39" t="str">
        <f>IF(B19="","",IF(VerificaSeFeriado(B19),"Sim",""))</f>
        <v/>
      </c>
      <c r="E19" s="5"/>
      <c r="F19" s="5"/>
      <c r="G19" s="5"/>
      <c r="H19" s="5"/>
      <c r="I19" s="5"/>
      <c r="J19" s="5"/>
      <c r="K19" s="5"/>
      <c r="L19" s="5"/>
      <c r="M19" s="41" t="str">
        <f t="shared" si="4"/>
        <v/>
      </c>
      <c r="N19" s="42" t="str">
        <f t="shared" si="5"/>
        <v/>
      </c>
      <c r="O19" s="43" t="str">
        <f t="shared" si="19"/>
        <v/>
      </c>
      <c r="P19" s="43" t="str">
        <f t="shared" ca="1" si="6"/>
        <v/>
      </c>
      <c r="Q19" s="6"/>
      <c r="R19" s="40">
        <f t="shared" si="7"/>
        <v>0</v>
      </c>
      <c r="S19" s="44" t="str">
        <f>IF(D19="Sim",0,IF((OR(WEEKDAY(C19)=2,WEEKDAY(C19)=3,WEEKDAY(C19)=4,WEEKDAY(C19)=5,WEEKDAY(C19)=6))=TRUE,M19,IF(AND(WEEKDAY(C19)=7,Configurações!$C$11&gt;0)=TRUE,M19,IF(AND(WEEKDAY(C19)=1,Configurações!$C$12&gt;0)=TRUE,M19,0))))</f>
        <v/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8"/>
        <v>0</v>
      </c>
      <c r="W19" s="44">
        <f t="shared" si="9"/>
        <v>0</v>
      </c>
      <c r="X19" s="45">
        <f t="shared" si="10"/>
        <v>0</v>
      </c>
      <c r="Y19" s="44">
        <f t="shared" si="2"/>
        <v>0</v>
      </c>
      <c r="Z19" s="45">
        <f t="shared" si="11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2"/>
        <v/>
      </c>
      <c r="AE19" s="11" t="str">
        <f t="shared" si="13"/>
        <v/>
      </c>
      <c r="AF19" s="83">
        <f t="shared" si="14"/>
        <v>0</v>
      </c>
      <c r="AG19" s="84">
        <f t="shared" si="15"/>
        <v>0</v>
      </c>
      <c r="AH19" s="84">
        <f t="shared" si="16"/>
        <v>0</v>
      </c>
      <c r="AI19" s="84">
        <f t="shared" si="17"/>
        <v>0</v>
      </c>
      <c r="AJ19" s="84">
        <f t="shared" si="18"/>
        <v>0</v>
      </c>
    </row>
    <row r="20" spans="1:36" x14ac:dyDescent="0.25">
      <c r="A20" s="106"/>
      <c r="B20" s="37">
        <f t="shared" si="3"/>
        <v>41341</v>
      </c>
      <c r="C20" s="38">
        <f t="shared" si="0"/>
        <v>41341</v>
      </c>
      <c r="D20" s="39" t="str">
        <f>IF(B20="","",IF(VerificaSeFeriado(B20),"Sim",""))</f>
        <v/>
      </c>
      <c r="E20" s="5"/>
      <c r="F20" s="5"/>
      <c r="G20" s="5"/>
      <c r="H20" s="5"/>
      <c r="I20" s="5"/>
      <c r="J20" s="5"/>
      <c r="K20" s="5"/>
      <c r="L20" s="5"/>
      <c r="M20" s="41" t="str">
        <f t="shared" si="4"/>
        <v/>
      </c>
      <c r="N20" s="42" t="str">
        <f t="shared" si="5"/>
        <v/>
      </c>
      <c r="O20" s="43" t="str">
        <f t="shared" si="19"/>
        <v/>
      </c>
      <c r="P20" s="43" t="str">
        <f t="shared" ca="1" si="6"/>
        <v/>
      </c>
      <c r="Q20" s="6"/>
      <c r="R20" s="40">
        <f t="shared" si="7"/>
        <v>0</v>
      </c>
      <c r="S20" s="44" t="str">
        <f>IF(D20="Sim",0,IF((OR(WEEKDAY(C20)=2,WEEKDAY(C20)=3,WEEKDAY(C20)=4,WEEKDAY(C20)=5,WEEKDAY(C20)=6))=TRUE,M20,IF(AND(WEEKDAY(C20)=7,Configurações!$C$11&gt;0)=TRUE,M20,IF(AND(WEEKDAY(C20)=1,Configurações!$C$12&gt;0)=TRUE,M20,0))))</f>
        <v/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8"/>
        <v>0</v>
      </c>
      <c r="W20" s="44">
        <f t="shared" si="9"/>
        <v>0</v>
      </c>
      <c r="X20" s="45">
        <f t="shared" si="10"/>
        <v>0</v>
      </c>
      <c r="Y20" s="44">
        <f t="shared" si="2"/>
        <v>0</v>
      </c>
      <c r="Z20" s="45">
        <f t="shared" si="11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2"/>
        <v/>
      </c>
      <c r="AE20" s="11" t="str">
        <f t="shared" si="13"/>
        <v/>
      </c>
      <c r="AF20" s="83">
        <f t="shared" si="14"/>
        <v>0</v>
      </c>
      <c r="AG20" s="84">
        <f t="shared" si="15"/>
        <v>0</v>
      </c>
      <c r="AH20" s="84">
        <f t="shared" si="16"/>
        <v>0</v>
      </c>
      <c r="AI20" s="84">
        <f t="shared" si="17"/>
        <v>0</v>
      </c>
      <c r="AJ20" s="84">
        <f t="shared" si="18"/>
        <v>0</v>
      </c>
    </row>
    <row r="21" spans="1:36" x14ac:dyDescent="0.25">
      <c r="A21" s="106"/>
      <c r="B21" s="37">
        <f t="shared" si="3"/>
        <v>41342</v>
      </c>
      <c r="C21" s="38">
        <f t="shared" si="0"/>
        <v>41342</v>
      </c>
      <c r="D21" s="39" t="str">
        <f>IF(B21="","",IF(VerificaSeFeriado(B21),"Sim",""))</f>
        <v/>
      </c>
      <c r="E21" s="5"/>
      <c r="F21" s="5"/>
      <c r="G21" s="5"/>
      <c r="H21" s="5"/>
      <c r="I21" s="5"/>
      <c r="J21" s="5"/>
      <c r="K21" s="5"/>
      <c r="L21" s="5"/>
      <c r="M21" s="41" t="str">
        <f t="shared" si="4"/>
        <v/>
      </c>
      <c r="N21" s="42" t="str">
        <f t="shared" si="5"/>
        <v/>
      </c>
      <c r="O21" s="43" t="str">
        <f t="shared" si="19"/>
        <v/>
      </c>
      <c r="P21" s="43" t="str">
        <f t="shared" ca="1" si="6"/>
        <v/>
      </c>
      <c r="Q21" s="6"/>
      <c r="R21" s="40">
        <f t="shared" si="7"/>
        <v>0</v>
      </c>
      <c r="S21" s="44" t="str">
        <f>IF(D21="Sim",0,IF((OR(WEEKDAY(C21)=2,WEEKDAY(C21)=3,WEEKDAY(C21)=4,WEEKDAY(C21)=5,WEEKDAY(C21)=6))=TRUE,M21,IF(AND(WEEKDAY(C21)=7,Configurações!$C$11&gt;0)=TRUE,M21,IF(AND(WEEKDAY(C21)=1,Configurações!$C$12&gt;0)=TRUE,M21,0))))</f>
        <v/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8"/>
        <v>0</v>
      </c>
      <c r="W21" s="44">
        <f t="shared" si="9"/>
        <v>0</v>
      </c>
      <c r="X21" s="45">
        <f t="shared" si="10"/>
        <v>0</v>
      </c>
      <c r="Y21" s="44">
        <f t="shared" si="2"/>
        <v>0</v>
      </c>
      <c r="Z21" s="45">
        <f t="shared" si="11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2"/>
        <v/>
      </c>
      <c r="AE21" s="11" t="str">
        <f t="shared" si="13"/>
        <v/>
      </c>
      <c r="AF21" s="83">
        <f t="shared" si="14"/>
        <v>0</v>
      </c>
      <c r="AG21" s="84">
        <f t="shared" si="15"/>
        <v>0</v>
      </c>
      <c r="AH21" s="84">
        <f t="shared" si="16"/>
        <v>0</v>
      </c>
      <c r="AI21" s="84">
        <f t="shared" si="17"/>
        <v>0</v>
      </c>
      <c r="AJ21" s="84">
        <f t="shared" si="18"/>
        <v>0</v>
      </c>
    </row>
    <row r="22" spans="1:36" x14ac:dyDescent="0.25">
      <c r="A22" s="106"/>
      <c r="B22" s="37">
        <f t="shared" si="3"/>
        <v>41343</v>
      </c>
      <c r="C22" s="38">
        <f t="shared" si="0"/>
        <v>41343</v>
      </c>
      <c r="D22" s="39" t="str">
        <f>IF(B22="","",IF(VerificaSeFeriado(B22),"Sim",""))</f>
        <v/>
      </c>
      <c r="E22" s="5"/>
      <c r="F22" s="5"/>
      <c r="G22" s="5"/>
      <c r="H22" s="5"/>
      <c r="I22" s="5"/>
      <c r="J22" s="5"/>
      <c r="K22" s="5"/>
      <c r="L22" s="5"/>
      <c r="M22" s="41" t="str">
        <f t="shared" si="4"/>
        <v/>
      </c>
      <c r="N22" s="42" t="str">
        <f t="shared" si="5"/>
        <v/>
      </c>
      <c r="O22" s="43" t="str">
        <f>IF(OR(D22="Sim",E22="")=TRUE,"",IF((R22-AB22)&gt;=(-"00:00:01"),"",(R22-AB22)))</f>
        <v/>
      </c>
      <c r="P22" s="43" t="str">
        <f ca="1">IF(TODAY()&lt;=B22,"",IF(D22="Sim","",IF(AND(AA22="Sim",E22="",G22="",I22="",K22="")=TRUE,IF(Q22-AB22&lt;0,Q22-AB22,""),"")))</f>
        <v/>
      </c>
      <c r="Q22" s="6"/>
      <c r="R22" s="40">
        <f t="shared" si="7"/>
        <v>0</v>
      </c>
      <c r="S22" s="44">
        <f>IF(D22="Sim",0,IF((OR(WEEKDAY(C22)=2,WEEKDAY(C22)=3,WEEKDAY(C22)=4,WEEKDAY(C22)=5,WEEKDAY(C22)=6))=TRUE,M22,IF(AND(WEEKDAY(C22)=7,Configurações!$C$11&gt;0)=TRUE,M22,IF(AND(WEEKDAY(C22)=1,Configurações!$C$12&gt;0)=TRUE,M22,0))))</f>
        <v>0</v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8"/>
        <v>0</v>
      </c>
      <c r="W22" s="44">
        <f t="shared" si="9"/>
        <v>0</v>
      </c>
      <c r="X22" s="45">
        <f t="shared" si="10"/>
        <v>0</v>
      </c>
      <c r="Y22" s="44">
        <f t="shared" si="2"/>
        <v>0</v>
      </c>
      <c r="Z22" s="45">
        <f t="shared" si="11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>IF(E22="","",IF(OR(AND(E22&gt;=(1*"22:00"),((1*"29:00")-E22-Y22)&gt;=AB22)=TRUE,AND(AND(E22&gt;=0,E22&lt;=(1*"5:00"))=TRUE,(1*"5:00")-E22-Y22&gt;=AB22)=TRUE)=TRUE,"Sumula",IF(OR(E22&gt;=(1*"22:00"),AND(E22&lt;(1*"5:00"),E22&gt;=(1*"0:00"))=TRUE)=TRUE,"Noite",IF(OR(H22&lt;E22,H22&gt;(1*"22:00"))=TRUE,"Dia",""))))</f>
        <v/>
      </c>
      <c r="AE22" s="11" t="str">
        <f t="shared" si="13"/>
        <v/>
      </c>
      <c r="AF22" s="83">
        <f t="shared" si="14"/>
        <v>0</v>
      </c>
      <c r="AG22" s="84">
        <f t="shared" si="15"/>
        <v>0</v>
      </c>
      <c r="AH22" s="84">
        <f t="shared" si="16"/>
        <v>0</v>
      </c>
      <c r="AI22" s="84">
        <f t="shared" si="17"/>
        <v>0</v>
      </c>
      <c r="AJ22" s="84">
        <f t="shared" si="18"/>
        <v>0</v>
      </c>
    </row>
    <row r="23" spans="1:36" x14ac:dyDescent="0.25">
      <c r="A23" s="106"/>
      <c r="B23" s="37">
        <f t="shared" si="3"/>
        <v>41344</v>
      </c>
      <c r="C23" s="38">
        <f t="shared" si="0"/>
        <v>41344</v>
      </c>
      <c r="D23" s="39" t="str">
        <f>IF(B23="","",IF(VerificaSeFeriado(B23),"Sim",""))</f>
        <v/>
      </c>
      <c r="E23" s="5"/>
      <c r="F23" s="5"/>
      <c r="G23" s="5"/>
      <c r="H23" s="5"/>
      <c r="I23" s="5"/>
      <c r="J23" s="5"/>
      <c r="K23" s="5"/>
      <c r="L23" s="5"/>
      <c r="M23" s="41" t="str">
        <f t="shared" si="4"/>
        <v/>
      </c>
      <c r="N23" s="42" t="str">
        <f t="shared" si="5"/>
        <v/>
      </c>
      <c r="O23" s="43" t="str">
        <f t="shared" si="19"/>
        <v/>
      </c>
      <c r="P23" s="43" t="str">
        <f t="shared" ca="1" si="6"/>
        <v/>
      </c>
      <c r="Q23" s="6"/>
      <c r="R23" s="40">
        <f t="shared" si="7"/>
        <v>0</v>
      </c>
      <c r="S23" s="44">
        <f>IF(D23="Sim",0,IF((OR(WEEKDAY(C23)=2,WEEKDAY(C23)=3,WEEKDAY(C23)=4,WEEKDAY(C23)=5,WEEKDAY(C23)=6))=TRUE,M23,IF(AND(WEEKDAY(C23)=7,Configurações!$C$11&gt;0)=TRUE,M23,IF(AND(WEEKDAY(C23)=1,Configurações!$C$12&gt;0)=TRUE,M23,0))))</f>
        <v>0</v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8"/>
        <v>0</v>
      </c>
      <c r="W23" s="44">
        <f t="shared" si="9"/>
        <v>0</v>
      </c>
      <c r="X23" s="45">
        <f t="shared" si="10"/>
        <v>0</v>
      </c>
      <c r="Y23" s="44">
        <f t="shared" si="2"/>
        <v>0</v>
      </c>
      <c r="Z23" s="45">
        <f t="shared" si="11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2"/>
        <v/>
      </c>
      <c r="AE23" s="11" t="str">
        <f t="shared" si="13"/>
        <v/>
      </c>
      <c r="AF23" s="83">
        <f t="shared" si="14"/>
        <v>0</v>
      </c>
      <c r="AG23" s="84">
        <f t="shared" si="15"/>
        <v>0</v>
      </c>
      <c r="AH23" s="84">
        <f t="shared" si="16"/>
        <v>0</v>
      </c>
      <c r="AI23" s="84">
        <f t="shared" si="17"/>
        <v>0</v>
      </c>
      <c r="AJ23" s="84">
        <f t="shared" si="18"/>
        <v>0</v>
      </c>
    </row>
    <row r="24" spans="1:36" x14ac:dyDescent="0.25">
      <c r="A24" s="106"/>
      <c r="B24" s="37">
        <f t="shared" si="3"/>
        <v>41345</v>
      </c>
      <c r="C24" s="38">
        <f t="shared" si="0"/>
        <v>41345</v>
      </c>
      <c r="D24" s="39" t="str">
        <f>IF(B24="","",IF(VerificaSeFeriado(B24),"Sim",""))</f>
        <v/>
      </c>
      <c r="E24" s="5"/>
      <c r="F24" s="5"/>
      <c r="G24" s="5"/>
      <c r="H24" s="5"/>
      <c r="I24" s="5"/>
      <c r="J24" s="5"/>
      <c r="K24" s="5"/>
      <c r="L24" s="5"/>
      <c r="M24" s="41" t="str">
        <f t="shared" si="4"/>
        <v/>
      </c>
      <c r="N24" s="42" t="str">
        <f t="shared" si="5"/>
        <v/>
      </c>
      <c r="O24" s="43" t="str">
        <f t="shared" si="19"/>
        <v/>
      </c>
      <c r="P24" s="43" t="str">
        <f t="shared" ca="1" si="6"/>
        <v/>
      </c>
      <c r="Q24" s="6"/>
      <c r="R24" s="40">
        <f t="shared" si="7"/>
        <v>0</v>
      </c>
      <c r="S24" s="44" t="str">
        <f>IF(D24="Sim",0,IF((OR(WEEKDAY(C24)=2,WEEKDAY(C24)=3,WEEKDAY(C24)=4,WEEKDAY(C24)=5,WEEKDAY(C24)=6))=TRUE,M24,IF(AND(WEEKDAY(C24)=7,Configurações!$C$11&gt;0)=TRUE,M24,IF(AND(WEEKDAY(C24)=1,Configurações!$C$12&gt;0)=TRUE,M24,0))))</f>
        <v/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8"/>
        <v>0</v>
      </c>
      <c r="W24" s="44">
        <f t="shared" si="9"/>
        <v>0</v>
      </c>
      <c r="X24" s="45">
        <f t="shared" si="10"/>
        <v>0</v>
      </c>
      <c r="Y24" s="44">
        <f t="shared" si="2"/>
        <v>0</v>
      </c>
      <c r="Z24" s="45">
        <f t="shared" si="11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2"/>
        <v/>
      </c>
      <c r="AE24" s="11" t="str">
        <f t="shared" si="13"/>
        <v/>
      </c>
      <c r="AF24" s="83">
        <f t="shared" si="14"/>
        <v>0</v>
      </c>
      <c r="AG24" s="84">
        <f t="shared" si="15"/>
        <v>0</v>
      </c>
      <c r="AH24" s="84">
        <f t="shared" si="16"/>
        <v>0</v>
      </c>
      <c r="AI24" s="84">
        <f t="shared" si="17"/>
        <v>0</v>
      </c>
      <c r="AJ24" s="84">
        <f t="shared" si="18"/>
        <v>0</v>
      </c>
    </row>
    <row r="25" spans="1:36" x14ac:dyDescent="0.25">
      <c r="A25" s="106"/>
      <c r="B25" s="37">
        <f t="shared" si="3"/>
        <v>41346</v>
      </c>
      <c r="C25" s="38">
        <f t="shared" si="0"/>
        <v>41346</v>
      </c>
      <c r="D25" s="39" t="str">
        <f>IF(B25="","",IF(VerificaSeFeriado(B25),"Sim",""))</f>
        <v/>
      </c>
      <c r="E25" s="5"/>
      <c r="F25" s="5"/>
      <c r="G25" s="5"/>
      <c r="H25" s="5"/>
      <c r="I25" s="5"/>
      <c r="J25" s="5"/>
      <c r="K25" s="5"/>
      <c r="L25" s="5"/>
      <c r="M25" s="41" t="str">
        <f>IFERROR(IF((R25-AB25)&gt;(1*"00:00:01"),(R25-AB25),""),"")</f>
        <v/>
      </c>
      <c r="N25" s="42" t="str">
        <f t="shared" si="5"/>
        <v/>
      </c>
      <c r="O25" s="43" t="str">
        <f t="shared" si="19"/>
        <v/>
      </c>
      <c r="P25" s="43" t="str">
        <f t="shared" ca="1" si="6"/>
        <v/>
      </c>
      <c r="Q25" s="6"/>
      <c r="R25" s="40">
        <f t="shared" si="7"/>
        <v>0</v>
      </c>
      <c r="S25" s="44" t="str">
        <f>IF(D25="Sim",0,IF((OR(WEEKDAY(C25)=2,WEEKDAY(C25)=3,WEEKDAY(C25)=4,WEEKDAY(C25)=5,WEEKDAY(C25)=6))=TRUE,M25,IF(AND(WEEKDAY(C25)=7,Configurações!$C$11&gt;0)=TRUE,M25,IF(AND(WEEKDAY(C25)=1,Configurações!$C$12&gt;0)=TRUE,M25,0))))</f>
        <v/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8"/>
        <v>0</v>
      </c>
      <c r="W25" s="44">
        <f t="shared" si="9"/>
        <v>0</v>
      </c>
      <c r="X25" s="45">
        <f t="shared" si="10"/>
        <v>0</v>
      </c>
      <c r="Y25" s="44">
        <f t="shared" si="2"/>
        <v>0</v>
      </c>
      <c r="Z25" s="45">
        <f t="shared" si="11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2"/>
        <v/>
      </c>
      <c r="AE25" s="11" t="str">
        <f t="shared" si="13"/>
        <v/>
      </c>
      <c r="AF25" s="83">
        <f t="shared" si="14"/>
        <v>0</v>
      </c>
      <c r="AG25" s="84">
        <f t="shared" si="15"/>
        <v>0</v>
      </c>
      <c r="AH25" s="84">
        <f t="shared" si="16"/>
        <v>0</v>
      </c>
      <c r="AI25" s="84">
        <f t="shared" si="17"/>
        <v>0</v>
      </c>
      <c r="AJ25" s="84">
        <f t="shared" si="18"/>
        <v>0</v>
      </c>
    </row>
    <row r="26" spans="1:36" x14ac:dyDescent="0.25">
      <c r="A26" s="106"/>
      <c r="B26" s="37">
        <f t="shared" si="3"/>
        <v>41347</v>
      </c>
      <c r="C26" s="38">
        <f t="shared" si="0"/>
        <v>41347</v>
      </c>
      <c r="D26" s="39" t="str">
        <f>IF(B26="","",IF(VerificaSeFeriado(B26),"Sim",""))</f>
        <v/>
      </c>
      <c r="E26" s="5"/>
      <c r="F26" s="5"/>
      <c r="G26" s="5"/>
      <c r="H26" s="5"/>
      <c r="I26" s="5"/>
      <c r="J26" s="5"/>
      <c r="K26" s="5"/>
      <c r="L26" s="5"/>
      <c r="M26" s="41" t="str">
        <f t="shared" si="4"/>
        <v/>
      </c>
      <c r="N26" s="42" t="str">
        <f t="shared" si="5"/>
        <v/>
      </c>
      <c r="O26" s="43" t="str">
        <f t="shared" si="19"/>
        <v/>
      </c>
      <c r="P26" s="43" t="str">
        <f t="shared" ca="1" si="6"/>
        <v/>
      </c>
      <c r="Q26" s="6"/>
      <c r="R26" s="40">
        <f t="shared" si="7"/>
        <v>0</v>
      </c>
      <c r="S26" s="44" t="str">
        <f>IF(D26="Sim",0,IF((OR(WEEKDAY(C26)=2,WEEKDAY(C26)=3,WEEKDAY(C26)=4,WEEKDAY(C26)=5,WEEKDAY(C26)=6))=TRUE,M26,IF(AND(WEEKDAY(C26)=7,Configurações!$C$11&gt;0)=TRUE,M26,IF(AND(WEEKDAY(C26)=1,Configurações!$C$12&gt;0)=TRUE,M26,0))))</f>
        <v/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8"/>
        <v>0</v>
      </c>
      <c r="W26" s="44">
        <f t="shared" si="9"/>
        <v>0</v>
      </c>
      <c r="X26" s="45">
        <f t="shared" si="10"/>
        <v>0</v>
      </c>
      <c r="Y26" s="44">
        <f>IF(F26="",0,IF(AND(F26&lt;(1*"22:00"),F26&gt;=(1*"5:00"),G26&lt;(1*"22:00"),G26&gt;(1*"5:00"))=TRUE,0,IF(F26&gt;=(1*"22:00"),IF(G26&gt;F26,G26-F26,G26+(1*"24:00")-F26),IF(F26&lt;(1*"5:00"),IF(G26&lt;(1*"5:00"),G26-F26,(1*"5:00")-F26),IF(G26&gt;F26,G26-(1*"22:00"),G26+(1*"24:00")-(1*"22:00"))))))</f>
        <v>0</v>
      </c>
      <c r="Z26" s="45">
        <f t="shared" si="11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2"/>
        <v/>
      </c>
      <c r="AE26" s="11" t="str">
        <f t="shared" si="13"/>
        <v/>
      </c>
      <c r="AF26" s="83">
        <f t="shared" si="14"/>
        <v>0</v>
      </c>
      <c r="AG26" s="84">
        <f t="shared" si="15"/>
        <v>0</v>
      </c>
      <c r="AH26" s="84">
        <f t="shared" si="16"/>
        <v>0</v>
      </c>
      <c r="AI26" s="84">
        <f t="shared" si="17"/>
        <v>0</v>
      </c>
      <c r="AJ26" s="84">
        <f t="shared" si="18"/>
        <v>0</v>
      </c>
    </row>
    <row r="27" spans="1:36" x14ac:dyDescent="0.25">
      <c r="A27" s="106"/>
      <c r="B27" s="37">
        <f t="shared" si="3"/>
        <v>41348</v>
      </c>
      <c r="C27" s="38">
        <f t="shared" si="0"/>
        <v>41348</v>
      </c>
      <c r="D27" s="39" t="str">
        <f>IF(B27="","",IF(VerificaSeFeriado(B27),"Sim",""))</f>
        <v/>
      </c>
      <c r="E27" s="5"/>
      <c r="F27" s="5"/>
      <c r="G27" s="5"/>
      <c r="H27" s="5"/>
      <c r="I27" s="5"/>
      <c r="J27" s="5"/>
      <c r="K27" s="5"/>
      <c r="L27" s="5"/>
      <c r="M27" s="41" t="str">
        <f t="shared" si="4"/>
        <v/>
      </c>
      <c r="N27" s="42" t="str">
        <f t="shared" si="5"/>
        <v/>
      </c>
      <c r="O27" s="43" t="str">
        <f t="shared" si="19"/>
        <v/>
      </c>
      <c r="P27" s="43" t="str">
        <f t="shared" ca="1" si="6"/>
        <v/>
      </c>
      <c r="Q27" s="6"/>
      <c r="R27" s="40">
        <f t="shared" si="7"/>
        <v>0</v>
      </c>
      <c r="S27" s="44" t="str">
        <f>IF(D27="Sim",0,IF((OR(WEEKDAY(C27)=2,WEEKDAY(C27)=3,WEEKDAY(C27)=4,WEEKDAY(C27)=5,WEEKDAY(C27)=6))=TRUE,M27,IF(AND(WEEKDAY(C27)=7,Configurações!$C$11&gt;0)=TRUE,M27,IF(AND(WEEKDAY(C27)=1,Configurações!$C$12&gt;0)=TRUE,M27,0))))</f>
        <v/>
      </c>
      <c r="T27" s="44">
        <f>IF(D27="Sim",0,IF(AND(WEEKDAY(C27)=7,Configurações!$C$11&lt;=0)=TRUE,R27,0))</f>
        <v>0</v>
      </c>
      <c r="U27" s="44">
        <f>IF(D27="Sim",0,IF(AND(WEEKDAY(C27)=1,Configurações!$C$12&lt;=0)=TRUE,R27,0))</f>
        <v>0</v>
      </c>
      <c r="V27" s="44">
        <f t="shared" si="8"/>
        <v>0</v>
      </c>
      <c r="W27" s="44">
        <f t="shared" si="9"/>
        <v>0</v>
      </c>
      <c r="X27" s="45">
        <f t="shared" si="10"/>
        <v>0</v>
      </c>
      <c r="Y27" s="44">
        <f t="shared" ref="Y27:Y42" si="20">IF(F27="",0,IF(AND(F27&lt;(1*"22:00"),F27&gt;=(1*"5:00"),G27&lt;(1*"22:00"),G27&gt;(1*"5:00"))=TRUE,0,IF(F27&gt;=(1*"22:00"),IF(G27&gt;F27,G27-F27,G27+(1*"24:00")-F27),IF(F27&lt;(1*"5:00"),IF(G27&lt;(1*"5:00"),G27-F27,(1*"5:00")-F27),IF(G27&gt;F27,G27-(1*"22:00"),G27+(1*"24:00")-(1*"22:00"))))))</f>
        <v>0</v>
      </c>
      <c r="Z27" s="45">
        <f t="shared" si="11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2"/>
        <v/>
      </c>
      <c r="AE27" s="11" t="str">
        <f t="shared" si="13"/>
        <v/>
      </c>
      <c r="AF27" s="83">
        <f t="shared" si="14"/>
        <v>0</v>
      </c>
      <c r="AG27" s="84">
        <f t="shared" si="15"/>
        <v>0</v>
      </c>
      <c r="AH27" s="84">
        <f t="shared" si="16"/>
        <v>0</v>
      </c>
      <c r="AI27" s="84">
        <f t="shared" si="17"/>
        <v>0</v>
      </c>
      <c r="AJ27" s="84">
        <f t="shared" si="18"/>
        <v>0</v>
      </c>
    </row>
    <row r="28" spans="1:36" x14ac:dyDescent="0.25">
      <c r="A28" s="106"/>
      <c r="B28" s="37">
        <f t="shared" si="3"/>
        <v>41349</v>
      </c>
      <c r="C28" s="38">
        <f t="shared" si="0"/>
        <v>41349</v>
      </c>
      <c r="D28" s="39" t="str">
        <f>IF(B28="","",IF(VerificaSeFeriado(B28),"Sim",""))</f>
        <v/>
      </c>
      <c r="E28" s="5"/>
      <c r="F28" s="5"/>
      <c r="G28" s="5"/>
      <c r="H28" s="5"/>
      <c r="I28" s="5"/>
      <c r="J28" s="5"/>
      <c r="K28" s="5"/>
      <c r="L28" s="5"/>
      <c r="M28" s="41" t="str">
        <f t="shared" si="4"/>
        <v/>
      </c>
      <c r="N28" s="42" t="str">
        <f t="shared" si="5"/>
        <v/>
      </c>
      <c r="O28" s="43" t="str">
        <f t="shared" si="19"/>
        <v/>
      </c>
      <c r="P28" s="43" t="str">
        <f t="shared" ca="1" si="6"/>
        <v/>
      </c>
      <c r="Q28" s="6"/>
      <c r="R28" s="40">
        <f t="shared" si="7"/>
        <v>0</v>
      </c>
      <c r="S28" s="44" t="str">
        <f>IF(D28="Sim",0,IF((OR(WEEKDAY(C28)=2,WEEKDAY(C28)=3,WEEKDAY(C28)=4,WEEKDAY(C28)=5,WEEKDAY(C28)=6))=TRUE,M28,IF(AND(WEEKDAY(C28)=7,Configurações!$C$11&gt;0)=TRUE,M28,IF(AND(WEEKDAY(C28)=1,Configurações!$C$12&gt;0)=TRUE,M28,0))))</f>
        <v/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8"/>
        <v>0</v>
      </c>
      <c r="W28" s="44">
        <f t="shared" si="9"/>
        <v>0</v>
      </c>
      <c r="X28" s="45">
        <f t="shared" si="10"/>
        <v>0</v>
      </c>
      <c r="Y28" s="44">
        <f t="shared" si="20"/>
        <v>0</v>
      </c>
      <c r="Z28" s="45">
        <f t="shared" si="11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2"/>
        <v/>
      </c>
      <c r="AE28" s="11" t="str">
        <f t="shared" si="13"/>
        <v/>
      </c>
      <c r="AF28" s="83">
        <f t="shared" si="14"/>
        <v>0</v>
      </c>
      <c r="AG28" s="84">
        <f t="shared" si="15"/>
        <v>0</v>
      </c>
      <c r="AH28" s="84">
        <f t="shared" si="16"/>
        <v>0</v>
      </c>
      <c r="AI28" s="84">
        <f t="shared" si="17"/>
        <v>0</v>
      </c>
      <c r="AJ28" s="84">
        <f t="shared" si="18"/>
        <v>0</v>
      </c>
    </row>
    <row r="29" spans="1:36" x14ac:dyDescent="0.25">
      <c r="A29" s="106"/>
      <c r="B29" s="37">
        <f t="shared" si="3"/>
        <v>41350</v>
      </c>
      <c r="C29" s="38">
        <f t="shared" si="0"/>
        <v>41350</v>
      </c>
      <c r="D29" s="39" t="str">
        <f>IF(B29="","",IF(VerificaSeFeriado(B29),"Sim",""))</f>
        <v/>
      </c>
      <c r="E29" s="5"/>
      <c r="F29" s="5"/>
      <c r="G29" s="5"/>
      <c r="H29" s="5"/>
      <c r="I29" s="5"/>
      <c r="J29" s="5"/>
      <c r="K29" s="5"/>
      <c r="L29" s="5"/>
      <c r="M29" s="41" t="str">
        <f t="shared" si="4"/>
        <v/>
      </c>
      <c r="N29" s="42" t="str">
        <f t="shared" si="5"/>
        <v/>
      </c>
      <c r="O29" s="43" t="str">
        <f t="shared" si="19"/>
        <v/>
      </c>
      <c r="P29" s="43" t="str">
        <f t="shared" ca="1" si="6"/>
        <v/>
      </c>
      <c r="Q29" s="6"/>
      <c r="R29" s="40">
        <f t="shared" si="7"/>
        <v>0</v>
      </c>
      <c r="S29" s="44">
        <f>IF(D29="Sim",0,IF((OR(WEEKDAY(C29)=2,WEEKDAY(C29)=3,WEEKDAY(C29)=4,WEEKDAY(C29)=5,WEEKDAY(C29)=6))=TRUE,M29,IF(AND(WEEKDAY(C29)=7,Configurações!$C$11&gt;0)=TRUE,M29,IF(AND(WEEKDAY(C29)=1,Configurações!$C$12&gt;0)=TRUE,M29,0))))</f>
        <v>0</v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8"/>
        <v>0</v>
      </c>
      <c r="W29" s="44">
        <f t="shared" si="9"/>
        <v>0</v>
      </c>
      <c r="X29" s="45">
        <f t="shared" si="10"/>
        <v>0</v>
      </c>
      <c r="Y29" s="44">
        <f t="shared" si="20"/>
        <v>0</v>
      </c>
      <c r="Z29" s="45">
        <f t="shared" si="11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2"/>
        <v/>
      </c>
      <c r="AE29" s="11" t="str">
        <f t="shared" si="13"/>
        <v/>
      </c>
      <c r="AF29" s="83">
        <f t="shared" si="14"/>
        <v>0</v>
      </c>
      <c r="AG29" s="84">
        <f t="shared" si="15"/>
        <v>0</v>
      </c>
      <c r="AH29" s="84">
        <f t="shared" si="16"/>
        <v>0</v>
      </c>
      <c r="AI29" s="84">
        <f t="shared" si="17"/>
        <v>0</v>
      </c>
      <c r="AJ29" s="84">
        <f t="shared" si="18"/>
        <v>0</v>
      </c>
    </row>
    <row r="30" spans="1:36" x14ac:dyDescent="0.25">
      <c r="A30" s="106"/>
      <c r="B30" s="37">
        <f t="shared" si="3"/>
        <v>41351</v>
      </c>
      <c r="C30" s="38">
        <f t="shared" si="0"/>
        <v>41351</v>
      </c>
      <c r="D30" s="39" t="str">
        <f>IF(B30="","",IF(VerificaSeFeriado(B30),"Sim",""))</f>
        <v/>
      </c>
      <c r="E30" s="5"/>
      <c r="F30" s="5"/>
      <c r="G30" s="5"/>
      <c r="H30" s="5"/>
      <c r="I30" s="5"/>
      <c r="J30" s="5"/>
      <c r="K30" s="5"/>
      <c r="L30" s="5"/>
      <c r="M30" s="41" t="str">
        <f t="shared" si="4"/>
        <v/>
      </c>
      <c r="N30" s="42" t="str">
        <f t="shared" si="5"/>
        <v/>
      </c>
      <c r="O30" s="43" t="str">
        <f t="shared" si="19"/>
        <v/>
      </c>
      <c r="P30" s="43" t="str">
        <f t="shared" ca="1" si="6"/>
        <v/>
      </c>
      <c r="Q30" s="6"/>
      <c r="R30" s="40">
        <f t="shared" si="7"/>
        <v>0</v>
      </c>
      <c r="S30" s="44">
        <f>IF(D30="Sim",0,IF((OR(WEEKDAY(C30)=2,WEEKDAY(C30)=3,WEEKDAY(C30)=4,WEEKDAY(C30)=5,WEEKDAY(C30)=6))=TRUE,M30,IF(AND(WEEKDAY(C30)=7,Configurações!$C$11&gt;0)=TRUE,M30,IF(AND(WEEKDAY(C30)=1,Configurações!$C$12&gt;0)=TRUE,M30,0))))</f>
        <v>0</v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8"/>
        <v>0</v>
      </c>
      <c r="W30" s="44">
        <f t="shared" si="9"/>
        <v>0</v>
      </c>
      <c r="X30" s="45">
        <f t="shared" si="10"/>
        <v>0</v>
      </c>
      <c r="Y30" s="44">
        <f t="shared" si="20"/>
        <v>0</v>
      </c>
      <c r="Z30" s="45">
        <f t="shared" si="11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2"/>
        <v/>
      </c>
      <c r="AE30" s="11" t="str">
        <f t="shared" si="13"/>
        <v/>
      </c>
      <c r="AF30" s="83">
        <f t="shared" si="14"/>
        <v>0</v>
      </c>
      <c r="AG30" s="84">
        <f t="shared" si="15"/>
        <v>0</v>
      </c>
      <c r="AH30" s="84">
        <f t="shared" si="16"/>
        <v>0</v>
      </c>
      <c r="AI30" s="84">
        <f t="shared" si="17"/>
        <v>0</v>
      </c>
      <c r="AJ30" s="84">
        <f t="shared" si="18"/>
        <v>0</v>
      </c>
    </row>
    <row r="31" spans="1:36" x14ac:dyDescent="0.25">
      <c r="A31" s="106"/>
      <c r="B31" s="37">
        <f t="shared" si="3"/>
        <v>41352</v>
      </c>
      <c r="C31" s="38">
        <f t="shared" si="0"/>
        <v>41352</v>
      </c>
      <c r="D31" s="39" t="str">
        <f>IF(B31="","",IF(VerificaSeFeriado(B31),"Sim",""))</f>
        <v/>
      </c>
      <c r="E31" s="5"/>
      <c r="F31" s="5"/>
      <c r="G31" s="5"/>
      <c r="H31" s="5"/>
      <c r="I31" s="5"/>
      <c r="J31" s="5"/>
      <c r="K31" s="5"/>
      <c r="L31" s="5"/>
      <c r="M31" s="41" t="str">
        <f t="shared" si="4"/>
        <v/>
      </c>
      <c r="N31" s="42" t="str">
        <f t="shared" si="5"/>
        <v/>
      </c>
      <c r="O31" s="43" t="str">
        <f t="shared" si="19"/>
        <v/>
      </c>
      <c r="P31" s="43" t="str">
        <f t="shared" ca="1" si="6"/>
        <v/>
      </c>
      <c r="Q31" s="6"/>
      <c r="R31" s="40">
        <f t="shared" si="7"/>
        <v>0</v>
      </c>
      <c r="S31" s="44" t="str">
        <f>IF(D31="Sim",0,IF((OR(WEEKDAY(C31)=2,WEEKDAY(C31)=3,WEEKDAY(C31)=4,WEEKDAY(C31)=5,WEEKDAY(C31)=6))=TRUE,M31,IF(AND(WEEKDAY(C31)=7,Configurações!$C$11&gt;0)=TRUE,M31,IF(AND(WEEKDAY(C31)=1,Configurações!$C$12&gt;0)=TRUE,M31,0))))</f>
        <v/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8"/>
        <v>0</v>
      </c>
      <c r="W31" s="44">
        <f t="shared" si="9"/>
        <v>0</v>
      </c>
      <c r="X31" s="45">
        <f t="shared" si="10"/>
        <v>0</v>
      </c>
      <c r="Y31" s="44">
        <f t="shared" si="20"/>
        <v>0</v>
      </c>
      <c r="Z31" s="45">
        <f t="shared" si="11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2"/>
        <v/>
      </c>
      <c r="AE31" s="11" t="str">
        <f t="shared" si="13"/>
        <v/>
      </c>
      <c r="AF31" s="83">
        <f t="shared" si="14"/>
        <v>0</v>
      </c>
      <c r="AG31" s="84">
        <f t="shared" si="15"/>
        <v>0</v>
      </c>
      <c r="AH31" s="84">
        <f t="shared" si="16"/>
        <v>0</v>
      </c>
      <c r="AI31" s="84">
        <f t="shared" si="17"/>
        <v>0</v>
      </c>
      <c r="AJ31" s="84">
        <f t="shared" si="18"/>
        <v>0</v>
      </c>
    </row>
    <row r="32" spans="1:36" x14ac:dyDescent="0.25">
      <c r="A32" s="106"/>
      <c r="B32" s="37">
        <f t="shared" si="3"/>
        <v>41353</v>
      </c>
      <c r="C32" s="38">
        <f t="shared" si="0"/>
        <v>41353</v>
      </c>
      <c r="D32" s="39" t="str">
        <f>IF(B32="","",IF(VerificaSeFeriado(B32),"Sim",""))</f>
        <v/>
      </c>
      <c r="E32" s="5"/>
      <c r="F32" s="5"/>
      <c r="G32" s="5"/>
      <c r="H32" s="5"/>
      <c r="I32" s="5"/>
      <c r="J32" s="5"/>
      <c r="K32" s="5"/>
      <c r="L32" s="5"/>
      <c r="M32" s="41" t="str">
        <f t="shared" si="4"/>
        <v/>
      </c>
      <c r="N32" s="42" t="str">
        <f t="shared" si="5"/>
        <v/>
      </c>
      <c r="O32" s="43" t="str">
        <f t="shared" si="19"/>
        <v/>
      </c>
      <c r="P32" s="43" t="str">
        <f t="shared" ca="1" si="6"/>
        <v/>
      </c>
      <c r="Q32" s="6"/>
      <c r="R32" s="40">
        <f t="shared" si="7"/>
        <v>0</v>
      </c>
      <c r="S32" s="44" t="str">
        <f>IF(D32="Sim",0,IF((OR(WEEKDAY(C32)=2,WEEKDAY(C32)=3,WEEKDAY(C32)=4,WEEKDAY(C32)=5,WEEKDAY(C32)=6))=TRUE,M32,IF(AND(WEEKDAY(C32)=7,Configurações!$C$11&gt;0)=TRUE,M32,IF(AND(WEEKDAY(C32)=1,Configurações!$C$12&gt;0)=TRUE,M32,0))))</f>
        <v/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8"/>
        <v>0</v>
      </c>
      <c r="W32" s="44">
        <f t="shared" si="9"/>
        <v>0</v>
      </c>
      <c r="X32" s="45">
        <f t="shared" si="10"/>
        <v>0</v>
      </c>
      <c r="Y32" s="44">
        <f t="shared" si="20"/>
        <v>0</v>
      </c>
      <c r="Z32" s="45">
        <f t="shared" si="11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2"/>
        <v/>
      </c>
      <c r="AE32" s="11" t="str">
        <f t="shared" si="13"/>
        <v/>
      </c>
      <c r="AF32" s="83">
        <f t="shared" si="14"/>
        <v>0</v>
      </c>
      <c r="AG32" s="84">
        <f t="shared" si="15"/>
        <v>0</v>
      </c>
      <c r="AH32" s="84">
        <f t="shared" si="16"/>
        <v>0</v>
      </c>
      <c r="AI32" s="84">
        <f t="shared" si="17"/>
        <v>0</v>
      </c>
      <c r="AJ32" s="84">
        <f t="shared" si="18"/>
        <v>0</v>
      </c>
    </row>
    <row r="33" spans="1:36" x14ac:dyDescent="0.25">
      <c r="A33" s="106"/>
      <c r="B33" s="37">
        <f t="shared" si="3"/>
        <v>41354</v>
      </c>
      <c r="C33" s="38">
        <f t="shared" si="0"/>
        <v>41354</v>
      </c>
      <c r="D33" s="39" t="str">
        <f>IF(B33="","",IF(VerificaSeFeriado(B33),"Sim",""))</f>
        <v/>
      </c>
      <c r="E33" s="5"/>
      <c r="F33" s="5"/>
      <c r="G33" s="5"/>
      <c r="H33" s="5"/>
      <c r="I33" s="5"/>
      <c r="J33" s="5"/>
      <c r="K33" s="5"/>
      <c r="L33" s="5"/>
      <c r="M33" s="41" t="str">
        <f t="shared" si="4"/>
        <v/>
      </c>
      <c r="N33" s="42" t="str">
        <f t="shared" si="5"/>
        <v/>
      </c>
      <c r="O33" s="43" t="str">
        <f t="shared" si="19"/>
        <v/>
      </c>
      <c r="P33" s="43" t="str">
        <f t="shared" ca="1" si="6"/>
        <v/>
      </c>
      <c r="Q33" s="6"/>
      <c r="R33" s="40">
        <f t="shared" si="7"/>
        <v>0</v>
      </c>
      <c r="S33" s="44" t="str">
        <f>IF(D33="Sim",0,IF((OR(WEEKDAY(C33)=2,WEEKDAY(C33)=3,WEEKDAY(C33)=4,WEEKDAY(C33)=5,WEEKDAY(C33)=6))=TRUE,M33,IF(AND(WEEKDAY(C33)=7,Configurações!$C$11&gt;0)=TRUE,M33,IF(AND(WEEKDAY(C33)=1,Configurações!$C$12&gt;0)=TRUE,M33,0))))</f>
        <v/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8"/>
        <v>0</v>
      </c>
      <c r="W33" s="44">
        <f t="shared" si="9"/>
        <v>0</v>
      </c>
      <c r="X33" s="45">
        <f t="shared" si="10"/>
        <v>0</v>
      </c>
      <c r="Y33" s="44">
        <f t="shared" si="20"/>
        <v>0</v>
      </c>
      <c r="Z33" s="45">
        <f t="shared" si="11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2"/>
        <v/>
      </c>
      <c r="AE33" s="11" t="str">
        <f t="shared" si="13"/>
        <v/>
      </c>
      <c r="AF33" s="83">
        <f t="shared" si="14"/>
        <v>0</v>
      </c>
      <c r="AG33" s="84">
        <f t="shared" si="15"/>
        <v>0</v>
      </c>
      <c r="AH33" s="84">
        <f t="shared" si="16"/>
        <v>0</v>
      </c>
      <c r="AI33" s="84">
        <f t="shared" si="17"/>
        <v>0</v>
      </c>
      <c r="AJ33" s="84">
        <f t="shared" si="18"/>
        <v>0</v>
      </c>
    </row>
    <row r="34" spans="1:36" x14ac:dyDescent="0.25">
      <c r="A34" s="106"/>
      <c r="B34" s="37">
        <f t="shared" si="3"/>
        <v>41355</v>
      </c>
      <c r="C34" s="38">
        <f t="shared" si="0"/>
        <v>41355</v>
      </c>
      <c r="D34" s="39" t="str">
        <f>IF(B34="","",IF(VerificaSeFeriado(B34),"Sim",""))</f>
        <v/>
      </c>
      <c r="E34" s="5"/>
      <c r="F34" s="5"/>
      <c r="G34" s="5"/>
      <c r="H34" s="5"/>
      <c r="I34" s="5"/>
      <c r="J34" s="5"/>
      <c r="K34" s="5"/>
      <c r="L34" s="5"/>
      <c r="M34" s="41" t="str">
        <f t="shared" si="4"/>
        <v/>
      </c>
      <c r="N34" s="42" t="str">
        <f t="shared" si="5"/>
        <v/>
      </c>
      <c r="O34" s="43" t="str">
        <f t="shared" si="19"/>
        <v/>
      </c>
      <c r="P34" s="43" t="str">
        <f t="shared" ca="1" si="6"/>
        <v/>
      </c>
      <c r="Q34" s="6"/>
      <c r="R34" s="40">
        <f t="shared" si="7"/>
        <v>0</v>
      </c>
      <c r="S34" s="44" t="str">
        <f>IF(D34="Sim",0,IF((OR(WEEKDAY(C34)=2,WEEKDAY(C34)=3,WEEKDAY(C34)=4,WEEKDAY(C34)=5,WEEKDAY(C34)=6))=TRUE,M34,IF(AND(WEEKDAY(C34)=7,Configurações!$C$11&gt;0)=TRUE,M34,IF(AND(WEEKDAY(C34)=1,Configurações!$C$12&gt;0)=TRUE,M34,0))))</f>
        <v/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8"/>
        <v>0</v>
      </c>
      <c r="W34" s="44">
        <f t="shared" si="9"/>
        <v>0</v>
      </c>
      <c r="X34" s="45">
        <f t="shared" si="10"/>
        <v>0</v>
      </c>
      <c r="Y34" s="44">
        <f t="shared" si="20"/>
        <v>0</v>
      </c>
      <c r="Z34" s="45">
        <f t="shared" si="11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2"/>
        <v/>
      </c>
      <c r="AE34" s="11" t="str">
        <f t="shared" si="13"/>
        <v/>
      </c>
      <c r="AF34" s="83">
        <f t="shared" si="14"/>
        <v>0</v>
      </c>
      <c r="AG34" s="84">
        <f t="shared" si="15"/>
        <v>0</v>
      </c>
      <c r="AH34" s="84">
        <f t="shared" si="16"/>
        <v>0</v>
      </c>
      <c r="AI34" s="84">
        <f t="shared" si="17"/>
        <v>0</v>
      </c>
      <c r="AJ34" s="84">
        <f t="shared" si="18"/>
        <v>0</v>
      </c>
    </row>
    <row r="35" spans="1:36" x14ac:dyDescent="0.25">
      <c r="A35" s="106"/>
      <c r="B35" s="37">
        <f t="shared" si="3"/>
        <v>41356</v>
      </c>
      <c r="C35" s="38">
        <f t="shared" si="0"/>
        <v>41356</v>
      </c>
      <c r="D35" s="39" t="str">
        <f>IF(B35="","",IF(VerificaSeFeriado(B35),"Sim",""))</f>
        <v/>
      </c>
      <c r="E35" s="5"/>
      <c r="F35" s="5"/>
      <c r="G35" s="5"/>
      <c r="H35" s="5"/>
      <c r="I35" s="5"/>
      <c r="J35" s="5"/>
      <c r="K35" s="5"/>
      <c r="L35" s="5"/>
      <c r="M35" s="41" t="str">
        <f t="shared" si="4"/>
        <v/>
      </c>
      <c r="N35" s="42" t="str">
        <f t="shared" si="5"/>
        <v/>
      </c>
      <c r="O35" s="43" t="str">
        <f t="shared" si="19"/>
        <v/>
      </c>
      <c r="P35" s="43" t="str">
        <f t="shared" ca="1" si="6"/>
        <v/>
      </c>
      <c r="Q35" s="6"/>
      <c r="R35" s="40">
        <f t="shared" si="7"/>
        <v>0</v>
      </c>
      <c r="S35" s="44" t="str">
        <f>IF(D35="Sim",0,IF((OR(WEEKDAY(C35)=2,WEEKDAY(C35)=3,WEEKDAY(C35)=4,WEEKDAY(C35)=5,WEEKDAY(C35)=6))=TRUE,M35,IF(AND(WEEKDAY(C35)=7,Configurações!$C$11&gt;0)=TRUE,M35,IF(AND(WEEKDAY(C35)=1,Configurações!$C$12&gt;0)=TRUE,M35,0))))</f>
        <v/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</v>
      </c>
      <c r="V35" s="44">
        <f t="shared" si="8"/>
        <v>0</v>
      </c>
      <c r="W35" s="44">
        <f t="shared" si="9"/>
        <v>0</v>
      </c>
      <c r="X35" s="45">
        <f t="shared" si="10"/>
        <v>0</v>
      </c>
      <c r="Y35" s="44">
        <f t="shared" si="20"/>
        <v>0</v>
      </c>
      <c r="Z35" s="45">
        <f t="shared" si="11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2"/>
        <v/>
      </c>
      <c r="AE35" s="11" t="str">
        <f t="shared" si="13"/>
        <v/>
      </c>
      <c r="AF35" s="83">
        <f t="shared" si="14"/>
        <v>0</v>
      </c>
      <c r="AG35" s="84">
        <f t="shared" si="15"/>
        <v>0</v>
      </c>
      <c r="AH35" s="84">
        <f t="shared" si="16"/>
        <v>0</v>
      </c>
      <c r="AI35" s="84">
        <f t="shared" si="17"/>
        <v>0</v>
      </c>
      <c r="AJ35" s="84">
        <f t="shared" si="18"/>
        <v>0</v>
      </c>
    </row>
    <row r="36" spans="1:36" x14ac:dyDescent="0.25">
      <c r="A36" s="106"/>
      <c r="B36" s="37">
        <f t="shared" si="3"/>
        <v>41357</v>
      </c>
      <c r="C36" s="38">
        <f t="shared" si="0"/>
        <v>41357</v>
      </c>
      <c r="D36" s="39" t="str">
        <f>IF(B36="","",IF(VerificaSeFeriado(B36),"Sim",""))</f>
        <v/>
      </c>
      <c r="E36" s="5"/>
      <c r="F36" s="5"/>
      <c r="G36" s="5"/>
      <c r="H36" s="5"/>
      <c r="I36" s="5"/>
      <c r="J36" s="5"/>
      <c r="K36" s="5"/>
      <c r="L36" s="5"/>
      <c r="M36" s="41" t="str">
        <f t="shared" si="4"/>
        <v/>
      </c>
      <c r="N36" s="42" t="str">
        <f t="shared" si="5"/>
        <v/>
      </c>
      <c r="O36" s="43" t="str">
        <f t="shared" si="19"/>
        <v/>
      </c>
      <c r="P36" s="43" t="str">
        <f t="shared" ca="1" si="6"/>
        <v/>
      </c>
      <c r="Q36" s="6"/>
      <c r="R36" s="40">
        <f t="shared" si="7"/>
        <v>0</v>
      </c>
      <c r="S36" s="44">
        <f>IF(D36="Sim",0,IF((OR(WEEKDAY(C36)=2,WEEKDAY(C36)=3,WEEKDAY(C36)=4,WEEKDAY(C36)=5,WEEKDAY(C36)=6))=TRUE,M36,IF(AND(WEEKDAY(C36)=7,Configurações!$C$11&gt;0)=TRUE,M36,IF(AND(WEEKDAY(C36)=1,Configurações!$C$12&gt;0)=TRUE,M36,0))))</f>
        <v>0</v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8"/>
        <v>0</v>
      </c>
      <c r="W36" s="44">
        <f t="shared" si="9"/>
        <v>0</v>
      </c>
      <c r="X36" s="45">
        <f t="shared" si="10"/>
        <v>0</v>
      </c>
      <c r="Y36" s="44">
        <f t="shared" si="20"/>
        <v>0</v>
      </c>
      <c r="Z36" s="45">
        <f t="shared" si="11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2"/>
        <v/>
      </c>
      <c r="AE36" s="11" t="str">
        <f t="shared" si="13"/>
        <v/>
      </c>
      <c r="AF36" s="83">
        <f t="shared" si="14"/>
        <v>0</v>
      </c>
      <c r="AG36" s="84">
        <f t="shared" si="15"/>
        <v>0</v>
      </c>
      <c r="AH36" s="84">
        <f t="shared" si="16"/>
        <v>0</v>
      </c>
      <c r="AI36" s="84">
        <f t="shared" si="17"/>
        <v>0</v>
      </c>
      <c r="AJ36" s="84">
        <f t="shared" si="18"/>
        <v>0</v>
      </c>
    </row>
    <row r="37" spans="1:36" x14ac:dyDescent="0.25">
      <c r="A37" s="106"/>
      <c r="B37" s="37">
        <f t="shared" si="3"/>
        <v>41358</v>
      </c>
      <c r="C37" s="38">
        <f t="shared" si="0"/>
        <v>41358</v>
      </c>
      <c r="D37" s="39" t="str">
        <f>IF(B37="","",IF(VerificaSeFeriado(B37),"Sim",""))</f>
        <v/>
      </c>
      <c r="E37" s="5"/>
      <c r="F37" s="5"/>
      <c r="G37" s="5"/>
      <c r="H37" s="5"/>
      <c r="I37" s="5"/>
      <c r="J37" s="5"/>
      <c r="K37" s="5"/>
      <c r="L37" s="5"/>
      <c r="M37" s="41" t="str">
        <f t="shared" si="4"/>
        <v/>
      </c>
      <c r="N37" s="42" t="str">
        <f t="shared" si="5"/>
        <v/>
      </c>
      <c r="O37" s="43" t="str">
        <f t="shared" si="19"/>
        <v/>
      </c>
      <c r="P37" s="43" t="str">
        <f t="shared" ca="1" si="6"/>
        <v/>
      </c>
      <c r="Q37" s="6"/>
      <c r="R37" s="40">
        <f t="shared" si="7"/>
        <v>0</v>
      </c>
      <c r="S37" s="44">
        <f>IF(D37="Sim",0,IF((OR(WEEKDAY(C37)=2,WEEKDAY(C37)=3,WEEKDAY(C37)=4,WEEKDAY(C37)=5,WEEKDAY(C37)=6))=TRUE,M37,IF(AND(WEEKDAY(C37)=7,Configurações!$C$11&gt;0)=TRUE,M37,IF(AND(WEEKDAY(C37)=1,Configurações!$C$12&gt;0)=TRUE,M37,0))))</f>
        <v>0</v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8"/>
        <v>0</v>
      </c>
      <c r="W37" s="44">
        <f t="shared" si="9"/>
        <v>0</v>
      </c>
      <c r="X37" s="45">
        <f t="shared" si="10"/>
        <v>0</v>
      </c>
      <c r="Y37" s="44">
        <f t="shared" si="20"/>
        <v>0</v>
      </c>
      <c r="Z37" s="45">
        <f t="shared" si="11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2"/>
        <v/>
      </c>
      <c r="AE37" s="11" t="str">
        <f t="shared" si="13"/>
        <v/>
      </c>
      <c r="AF37" s="83">
        <f t="shared" si="14"/>
        <v>0</v>
      </c>
      <c r="AG37" s="84">
        <f t="shared" si="15"/>
        <v>0</v>
      </c>
      <c r="AH37" s="84">
        <f t="shared" si="16"/>
        <v>0</v>
      </c>
      <c r="AI37" s="84">
        <f t="shared" si="17"/>
        <v>0</v>
      </c>
      <c r="AJ37" s="84">
        <f t="shared" si="18"/>
        <v>0</v>
      </c>
    </row>
    <row r="38" spans="1:36" x14ac:dyDescent="0.25">
      <c r="A38" s="106"/>
      <c r="B38" s="37">
        <f t="shared" si="3"/>
        <v>41359</v>
      </c>
      <c r="C38" s="38">
        <f t="shared" si="0"/>
        <v>41359</v>
      </c>
      <c r="D38" s="39" t="str">
        <f>IF(B38="","",IF(VerificaSeFeriado(B38),"Sim",""))</f>
        <v/>
      </c>
      <c r="E38" s="5"/>
      <c r="F38" s="5"/>
      <c r="G38" s="5"/>
      <c r="H38" s="5"/>
      <c r="I38" s="5"/>
      <c r="J38" s="5"/>
      <c r="K38" s="5"/>
      <c r="L38" s="5"/>
      <c r="M38" s="41" t="str">
        <f t="shared" si="4"/>
        <v/>
      </c>
      <c r="N38" s="42" t="str">
        <f t="shared" si="5"/>
        <v/>
      </c>
      <c r="O38" s="43" t="str">
        <f t="shared" si="19"/>
        <v/>
      </c>
      <c r="P38" s="43" t="str">
        <f t="shared" ca="1" si="6"/>
        <v/>
      </c>
      <c r="Q38" s="6"/>
      <c r="R38" s="40">
        <f t="shared" si="7"/>
        <v>0</v>
      </c>
      <c r="S38" s="44" t="str">
        <f>IF(D38="Sim",0,IF((OR(WEEKDAY(C38)=2,WEEKDAY(C38)=3,WEEKDAY(C38)=4,WEEKDAY(C38)=5,WEEKDAY(C38)=6))=TRUE,M38,IF(AND(WEEKDAY(C38)=7,Configurações!$C$11&gt;0)=TRUE,M38,IF(AND(WEEKDAY(C38)=1,Configurações!$C$12&gt;0)=TRUE,M38,0))))</f>
        <v/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8"/>
        <v>0</v>
      </c>
      <c r="W38" s="44">
        <f t="shared" si="9"/>
        <v>0</v>
      </c>
      <c r="X38" s="45">
        <f t="shared" si="10"/>
        <v>0</v>
      </c>
      <c r="Y38" s="44">
        <f t="shared" si="20"/>
        <v>0</v>
      </c>
      <c r="Z38" s="45">
        <f t="shared" si="11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2"/>
        <v/>
      </c>
      <c r="AE38" s="11" t="str">
        <f t="shared" si="13"/>
        <v/>
      </c>
      <c r="AF38" s="83">
        <f t="shared" si="14"/>
        <v>0</v>
      </c>
      <c r="AG38" s="84">
        <f t="shared" si="15"/>
        <v>0</v>
      </c>
      <c r="AH38" s="84">
        <f t="shared" si="16"/>
        <v>0</v>
      </c>
      <c r="AI38" s="84">
        <f t="shared" si="17"/>
        <v>0</v>
      </c>
      <c r="AJ38" s="84">
        <f t="shared" si="18"/>
        <v>0</v>
      </c>
    </row>
    <row r="39" spans="1:36" x14ac:dyDescent="0.25">
      <c r="A39" s="106"/>
      <c r="B39" s="37">
        <f t="shared" si="3"/>
        <v>41360</v>
      </c>
      <c r="C39" s="38">
        <f t="shared" si="0"/>
        <v>41360</v>
      </c>
      <c r="D39" s="39" t="str">
        <f>IF(B39="","",IF(VerificaSeFeriado(B39),"Sim",""))</f>
        <v/>
      </c>
      <c r="E39" s="5"/>
      <c r="F39" s="5"/>
      <c r="G39" s="5"/>
      <c r="H39" s="5"/>
      <c r="I39" s="5"/>
      <c r="J39" s="5"/>
      <c r="K39" s="5"/>
      <c r="L39" s="5"/>
      <c r="M39" s="41" t="str">
        <f t="shared" si="4"/>
        <v/>
      </c>
      <c r="N39" s="42" t="str">
        <f t="shared" si="5"/>
        <v/>
      </c>
      <c r="O39" s="43" t="str">
        <f t="shared" si="19"/>
        <v/>
      </c>
      <c r="P39" s="43" t="str">
        <f t="shared" ca="1" si="6"/>
        <v/>
      </c>
      <c r="Q39" s="6"/>
      <c r="R39" s="40">
        <f t="shared" si="7"/>
        <v>0</v>
      </c>
      <c r="S39" s="44" t="str">
        <f>IF(D39="Sim",0,IF((OR(WEEKDAY(C39)=2,WEEKDAY(C39)=3,WEEKDAY(C39)=4,WEEKDAY(C39)=5,WEEKDAY(C39)=6))=TRUE,M39,IF(AND(WEEKDAY(C39)=7,Configurações!$C$11&gt;0)=TRUE,M39,IF(AND(WEEKDAY(C39)=1,Configurações!$C$12&gt;0)=TRUE,M39,0))))</f>
        <v/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8"/>
        <v>0</v>
      </c>
      <c r="W39" s="44">
        <f t="shared" si="9"/>
        <v>0</v>
      </c>
      <c r="X39" s="45">
        <f t="shared" si="10"/>
        <v>0</v>
      </c>
      <c r="Y39" s="44">
        <f t="shared" si="20"/>
        <v>0</v>
      </c>
      <c r="Z39" s="45">
        <f t="shared" si="11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2"/>
        <v/>
      </c>
      <c r="AE39" s="11" t="str">
        <f t="shared" si="13"/>
        <v/>
      </c>
      <c r="AF39" s="83">
        <f t="shared" si="14"/>
        <v>0</v>
      </c>
      <c r="AG39" s="84">
        <f t="shared" si="15"/>
        <v>0</v>
      </c>
      <c r="AH39" s="84">
        <f t="shared" si="16"/>
        <v>0</v>
      </c>
      <c r="AI39" s="84">
        <f t="shared" si="17"/>
        <v>0</v>
      </c>
      <c r="AJ39" s="84">
        <f t="shared" si="18"/>
        <v>0</v>
      </c>
    </row>
    <row r="40" spans="1:36" x14ac:dyDescent="0.25">
      <c r="A40" s="106"/>
      <c r="B40" s="37">
        <f t="shared" si="3"/>
        <v>41361</v>
      </c>
      <c r="C40" s="38">
        <f t="shared" si="0"/>
        <v>41361</v>
      </c>
      <c r="D40" s="39" t="str">
        <f>IF(B40="","",IF(VerificaSeFeriado(B40),"Sim",""))</f>
        <v/>
      </c>
      <c r="E40" s="5"/>
      <c r="F40" s="5"/>
      <c r="G40" s="5"/>
      <c r="H40" s="5"/>
      <c r="I40" s="5"/>
      <c r="J40" s="5"/>
      <c r="K40" s="5"/>
      <c r="L40" s="5"/>
      <c r="M40" s="41" t="str">
        <f t="shared" si="4"/>
        <v/>
      </c>
      <c r="N40" s="42" t="str">
        <f t="shared" si="5"/>
        <v/>
      </c>
      <c r="O40" s="43" t="str">
        <f t="shared" si="19"/>
        <v/>
      </c>
      <c r="P40" s="43" t="str">
        <f t="shared" ca="1" si="6"/>
        <v/>
      </c>
      <c r="Q40" s="6"/>
      <c r="R40" s="40">
        <f t="shared" si="7"/>
        <v>0</v>
      </c>
      <c r="S40" s="44" t="str">
        <f>IF(D40="Sim",0,IF((OR(WEEKDAY(C40)=2,WEEKDAY(C40)=3,WEEKDAY(C40)=4,WEEKDAY(C40)=5,WEEKDAY(C40)=6))=TRUE,M40,IF(AND(WEEKDAY(C40)=7,Configurações!$C$11&gt;0)=TRUE,M40,IF(AND(WEEKDAY(C40)=1,Configurações!$C$12&gt;0)=TRUE,M40,0))))</f>
        <v/>
      </c>
      <c r="T40" s="44">
        <f>IF(D40="Sim",0,IF(AND(WEEKDAY(C40)=7,Configurações!$C$11&lt;=0)=TRUE,R40,0))</f>
        <v>0</v>
      </c>
      <c r="U40" s="44">
        <f>IF(D40="Sim",0,IF(AND(WEEKDAY(C40)=1,Configurações!$C$12&lt;=0)=TRUE,R40,0))</f>
        <v>0</v>
      </c>
      <c r="V40" s="44">
        <f t="shared" si="8"/>
        <v>0</v>
      </c>
      <c r="W40" s="44">
        <f t="shared" si="9"/>
        <v>0</v>
      </c>
      <c r="X40" s="45">
        <f t="shared" si="10"/>
        <v>0</v>
      </c>
      <c r="Y40" s="44">
        <f t="shared" si="20"/>
        <v>0</v>
      </c>
      <c r="Z40" s="45">
        <f t="shared" si="11"/>
        <v>0</v>
      </c>
      <c r="AA40" s="12" t="str">
        <f>IF(D40="Sim","Não",IF(AND(WEEKDAY(C40)=1,Configurações!$C$12&gt;0),"Sim",IF(AND(WEEKDAY(C40)=2,Configurações!$C$6&gt;0),"Sim",IF(AND(WEEKDAY(C40)=3,Configurações!$C$7&gt;0),"Sim",IF(AND(WEEKDAY(C40)=4,Configurações!$C$8&gt;0),"Sim",IF(AND(WEEKDAY(C40)=5,Configurações!$C$9&gt;0),"Sim",IF(AND(WEEKDAY(C40)=6,Configurações!$C$10&gt;0),"Sim",IF(AND(WEEKDAY(C40)=7,Configurações!$C$11&gt;0),"Sim","Não"))))))))</f>
        <v>Não</v>
      </c>
      <c r="AB40" s="44">
        <f>IF(D40="Sim",0,IF(WEEKDAY(C40)=2,Configurações!$C$6-Configurações!$E$6,IF(WEEKDAY(C40)=3,Configurações!$C$7-Configurações!$E$7,IF(WEEKDAY(C40)=4,Configurações!$C$8-Configurações!$E$8,IF(WEEKDAY(C40)=5,Configurações!$C$9-Configurações!$E$9,IF(WEEKDAY(C40)=6,Configurações!$C$10-Configurações!$E$10,IF(WEEKDAY(C40)=7,Configurações!$C$11-Configurações!$E$11,IF(WEEKDAY(C40)=1,Configurações!$C$12-Configurações!$E$12,""))))))))</f>
        <v>0</v>
      </c>
      <c r="AC40" s="44">
        <f>IF(D40="Sim",0,IF(WEEKDAY(C40)=2,Configurações!$E$6,IF(WEEKDAY(C40)=3,Configurações!$E$7,IF(WEEKDAY(C40)=4,Configurações!$E$8,IF(WEEKDAY(C40)=5,Configurações!$E$9,IF(WEEKDAY(C40)=6,Configurações!$E$10,IF(WEEKDAY(C40)=7,Configurações!$E$11,IF(WEEKDAY(C40)=1,Configurações!$E$12,""))))))))</f>
        <v>0</v>
      </c>
      <c r="AD40" s="11" t="str">
        <f t="shared" si="12"/>
        <v/>
      </c>
      <c r="AE40" s="11" t="str">
        <f t="shared" si="13"/>
        <v/>
      </c>
      <c r="AF40" s="83">
        <f t="shared" si="14"/>
        <v>0</v>
      </c>
      <c r="AG40" s="84">
        <f t="shared" si="15"/>
        <v>0</v>
      </c>
      <c r="AH40" s="84">
        <f t="shared" si="16"/>
        <v>0</v>
      </c>
      <c r="AI40" s="84">
        <f t="shared" si="17"/>
        <v>0</v>
      </c>
      <c r="AJ40" s="84">
        <f t="shared" si="18"/>
        <v>0</v>
      </c>
    </row>
    <row r="41" spans="1:36" x14ac:dyDescent="0.25">
      <c r="A41" s="106"/>
      <c r="B41" s="37">
        <f t="shared" si="3"/>
        <v>41362</v>
      </c>
      <c r="C41" s="38">
        <f t="shared" si="0"/>
        <v>41362</v>
      </c>
      <c r="D41" s="39" t="str">
        <f>IF(B41="","",IF(VerificaSeFeriado(B41),"Sim",""))</f>
        <v/>
      </c>
      <c r="E41" s="5"/>
      <c r="F41" s="5"/>
      <c r="G41" s="5"/>
      <c r="H41" s="5"/>
      <c r="I41" s="5"/>
      <c r="J41" s="5"/>
      <c r="K41" s="5"/>
      <c r="L41" s="5"/>
      <c r="M41" s="41" t="str">
        <f t="shared" si="4"/>
        <v/>
      </c>
      <c r="N41" s="42" t="str">
        <f t="shared" si="5"/>
        <v/>
      </c>
      <c r="O41" s="43" t="str">
        <f t="shared" si="19"/>
        <v/>
      </c>
      <c r="P41" s="43" t="str">
        <f t="shared" ca="1" si="6"/>
        <v/>
      </c>
      <c r="Q41" s="6"/>
      <c r="R41" s="40">
        <f t="shared" si="7"/>
        <v>0</v>
      </c>
      <c r="S41" s="44" t="str">
        <f>IF(D41="Sim",0,IF((OR(WEEKDAY(C41)=2,WEEKDAY(C41)=3,WEEKDAY(C41)=4,WEEKDAY(C41)=5,WEEKDAY(C41)=6))=TRUE,M41,IF(AND(WEEKDAY(C41)=7,Configurações!$C$11&gt;0)=TRUE,M41,IF(AND(WEEKDAY(C41)=1,Configurações!$C$12&gt;0)=TRUE,M41,0))))</f>
        <v/>
      </c>
      <c r="T41" s="44">
        <f>IF(D41="Sim",0,IF(AND(WEEKDAY(C41)=7,Configurações!$C$11&lt;=0)=TRUE,R41,0))</f>
        <v>0</v>
      </c>
      <c r="U41" s="44">
        <f>IF(D41="Sim",0,IF(AND(WEEKDAY(C41)=1,Configurações!$C$12&lt;=0)=TRUE,R41,0))</f>
        <v>0</v>
      </c>
      <c r="V41" s="44">
        <f t="shared" si="8"/>
        <v>0</v>
      </c>
      <c r="W41" s="44">
        <f t="shared" si="9"/>
        <v>0</v>
      </c>
      <c r="X41" s="45">
        <f t="shared" si="10"/>
        <v>0</v>
      </c>
      <c r="Y41" s="44">
        <f t="shared" si="20"/>
        <v>0</v>
      </c>
      <c r="Z41" s="45">
        <f t="shared" si="11"/>
        <v>0</v>
      </c>
      <c r="AA41" s="12" t="str">
        <f>IF(D41="Sim","Não",IF(AND(WEEKDAY(C41)=1,Configurações!$C$12&gt;0),"Sim",IF(AND(WEEKDAY(C41)=2,Configurações!$C$6&gt;0),"Sim",IF(AND(WEEKDAY(C41)=3,Configurações!$C$7&gt;0),"Sim",IF(AND(WEEKDAY(C41)=4,Configurações!$C$8&gt;0),"Sim",IF(AND(WEEKDAY(C41)=5,Configurações!$C$9&gt;0),"Sim",IF(AND(WEEKDAY(C41)=6,Configurações!$C$10&gt;0),"Sim",IF(AND(WEEKDAY(C41)=7,Configurações!$C$11&gt;0),"Sim","Não"))))))))</f>
        <v>Não</v>
      </c>
      <c r="AB41" s="44">
        <f>IF(D41="Sim",0,IF(WEEKDAY(C41)=2,Configurações!$C$6-Configurações!$E$6,IF(WEEKDAY(C41)=3,Configurações!$C$7-Configurações!$E$7,IF(WEEKDAY(C41)=4,Configurações!$C$8-Configurações!$E$8,IF(WEEKDAY(C41)=5,Configurações!$C$9-Configurações!$E$9,IF(WEEKDAY(C41)=6,Configurações!$C$10-Configurações!$E$10,IF(WEEKDAY(C41)=7,Configurações!$C$11-Configurações!$E$11,IF(WEEKDAY(C41)=1,Configurações!$C$12-Configurações!$E$12,""))))))))</f>
        <v>0</v>
      </c>
      <c r="AC41" s="44">
        <f>IF(D41="Sim",0,IF(WEEKDAY(C41)=2,Configurações!$E$6,IF(WEEKDAY(C41)=3,Configurações!$E$7,IF(WEEKDAY(C41)=4,Configurações!$E$8,IF(WEEKDAY(C41)=5,Configurações!$E$9,IF(WEEKDAY(C41)=6,Configurações!$E$10,IF(WEEKDAY(C41)=7,Configurações!$E$11,IF(WEEKDAY(C41)=1,Configurações!$E$12,""))))))))</f>
        <v>0</v>
      </c>
      <c r="AD41" s="11" t="str">
        <f t="shared" si="12"/>
        <v/>
      </c>
      <c r="AE41" s="11" t="str">
        <f t="shared" si="13"/>
        <v/>
      </c>
      <c r="AF41" s="83">
        <f t="shared" si="14"/>
        <v>0</v>
      </c>
      <c r="AG41" s="84">
        <f t="shared" si="15"/>
        <v>0</v>
      </c>
      <c r="AH41" s="84">
        <f t="shared" si="16"/>
        <v>0</v>
      </c>
      <c r="AI41" s="84">
        <f t="shared" si="17"/>
        <v>0</v>
      </c>
      <c r="AJ41" s="84">
        <f t="shared" si="18"/>
        <v>0</v>
      </c>
    </row>
    <row r="42" spans="1:36" x14ac:dyDescent="0.25">
      <c r="A42" s="106"/>
      <c r="B42" s="37">
        <f t="shared" si="3"/>
        <v>41363</v>
      </c>
      <c r="C42" s="38">
        <f t="shared" si="0"/>
        <v>41363</v>
      </c>
      <c r="D42" s="39" t="str">
        <f>IF(B42="","",IF(VerificaSeFeriado(B42),"Sim",""))</f>
        <v/>
      </c>
      <c r="E42" s="5"/>
      <c r="F42" s="5"/>
      <c r="G42" s="5"/>
      <c r="H42" s="5"/>
      <c r="I42" s="5"/>
      <c r="J42" s="5"/>
      <c r="K42" s="5"/>
      <c r="L42" s="5"/>
      <c r="M42" s="41" t="str">
        <f t="shared" si="4"/>
        <v/>
      </c>
      <c r="N42" s="42" t="str">
        <f t="shared" si="5"/>
        <v/>
      </c>
      <c r="O42" s="43" t="str">
        <f t="shared" si="19"/>
        <v/>
      </c>
      <c r="P42" s="43" t="str">
        <f t="shared" ca="1" si="6"/>
        <v/>
      </c>
      <c r="Q42" s="6"/>
      <c r="R42" s="40">
        <f t="shared" si="7"/>
        <v>0</v>
      </c>
      <c r="S42" s="44" t="str">
        <f>IF(D42="Sim",0,IF((OR(WEEKDAY(C42)=2,WEEKDAY(C42)=3,WEEKDAY(C42)=4,WEEKDAY(C42)=5,WEEKDAY(C42)=6))=TRUE,M42,IF(AND(WEEKDAY(C42)=7,Configurações!$C$11&gt;0)=TRUE,M42,IF(AND(WEEKDAY(C42)=1,Configurações!$C$12&gt;0)=TRUE,M42,0))))</f>
        <v/>
      </c>
      <c r="T42" s="44">
        <f>IF(D42="Sim",0,IF(AND(WEEKDAY(C42)=7,Configurações!$C$11&lt;=0)=TRUE,R42,0))</f>
        <v>0</v>
      </c>
      <c r="U42" s="44">
        <f>IF(D42="Sim",0,IF(AND(WEEKDAY(C42)=1,Configurações!$C$12&lt;=0)=TRUE,R42,0))</f>
        <v>0</v>
      </c>
      <c r="V42" s="44">
        <f t="shared" si="8"/>
        <v>0</v>
      </c>
      <c r="W42" s="44">
        <f t="shared" si="9"/>
        <v>0</v>
      </c>
      <c r="X42" s="45">
        <f t="shared" si="10"/>
        <v>0</v>
      </c>
      <c r="Y42" s="44">
        <f t="shared" si="20"/>
        <v>0</v>
      </c>
      <c r="Z42" s="45">
        <f t="shared" si="11"/>
        <v>0</v>
      </c>
      <c r="AA42" s="12" t="str">
        <f>IF(D42="Sim","Não",IF(AND(WEEKDAY(C42)=1,Configurações!$C$12&gt;0),"Sim",IF(AND(WEEKDAY(C42)=2,Configurações!$C$6&gt;0),"Sim",IF(AND(WEEKDAY(C42)=3,Configurações!$C$7&gt;0),"Sim",IF(AND(WEEKDAY(C42)=4,Configurações!$C$8&gt;0),"Sim",IF(AND(WEEKDAY(C42)=5,Configurações!$C$9&gt;0),"Sim",IF(AND(WEEKDAY(C42)=6,Configurações!$C$10&gt;0),"Sim",IF(AND(WEEKDAY(C42)=7,Configurações!$C$11&gt;0),"Sim","Não"))))))))</f>
        <v>Não</v>
      </c>
      <c r="AB42" s="44">
        <f>IF(D42="Sim",0,IF(WEEKDAY(C42)=2,Configurações!$C$6-Configurações!$E$6,IF(WEEKDAY(C42)=3,Configurações!$C$7-Configurações!$E$7,IF(WEEKDAY(C42)=4,Configurações!$C$8-Configurações!$E$8,IF(WEEKDAY(C42)=5,Configurações!$C$9-Configurações!$E$9,IF(WEEKDAY(C42)=6,Configurações!$C$10-Configurações!$E$10,IF(WEEKDAY(C42)=7,Configurações!$C$11-Configurações!$E$11,IF(WEEKDAY(C42)=1,Configurações!$C$12-Configurações!$E$12,""))))))))</f>
        <v>0</v>
      </c>
      <c r="AC42" s="44">
        <f>IF(D42="Sim",0,IF(WEEKDAY(C42)=2,Configurações!$E$6,IF(WEEKDAY(C42)=3,Configurações!$E$7,IF(WEEKDAY(C42)=4,Configurações!$E$8,IF(WEEKDAY(C42)=5,Configurações!$E$9,IF(WEEKDAY(C42)=6,Configurações!$E$10,IF(WEEKDAY(C42)=7,Configurações!$E$11,IF(WEEKDAY(C42)=1,Configurações!$E$12,""))))))))</f>
        <v>0</v>
      </c>
      <c r="AD42" s="11" t="str">
        <f t="shared" si="12"/>
        <v/>
      </c>
      <c r="AE42" s="11" t="str">
        <f t="shared" si="13"/>
        <v/>
      </c>
      <c r="AF42" s="83">
        <f t="shared" si="14"/>
        <v>0</v>
      </c>
      <c r="AG42" s="84">
        <f t="shared" si="15"/>
        <v>0</v>
      </c>
      <c r="AH42" s="84">
        <f t="shared" si="16"/>
        <v>0</v>
      </c>
      <c r="AI42" s="84">
        <f t="shared" si="17"/>
        <v>0</v>
      </c>
      <c r="AJ42" s="84">
        <f t="shared" si="18"/>
        <v>0</v>
      </c>
    </row>
    <row r="43" spans="1:36" x14ac:dyDescent="0.25">
      <c r="B43" s="46"/>
    </row>
    <row r="45" spans="1:36" x14ac:dyDescent="0.25">
      <c r="C45" s="32"/>
      <c r="D45" s="32"/>
    </row>
    <row r="46" spans="1:36" x14ac:dyDescent="0.25">
      <c r="C46" s="32"/>
      <c r="D46" s="32"/>
    </row>
    <row r="47" spans="1:36" x14ac:dyDescent="0.25">
      <c r="C47" s="32"/>
      <c r="D47" s="32"/>
    </row>
    <row r="48" spans="1:36" x14ac:dyDescent="0.25">
      <c r="C48" s="32"/>
      <c r="D48" s="32"/>
    </row>
    <row r="49" spans="3:4" x14ac:dyDescent="0.25">
      <c r="C49" s="32"/>
      <c r="D49" s="32"/>
    </row>
    <row r="50" spans="3:4" x14ac:dyDescent="0.25">
      <c r="C50" s="32"/>
      <c r="D50" s="32"/>
    </row>
  </sheetData>
  <sheetProtection algorithmName="SHA-512" hashValue="KHVGi06c55FIWZt3XEGYhWbCIIGzSVRKM/eUUF95dBj4KxziFhkbGo4Cfw/vbzQMcKR+xUFl1xFS0b3DhwKNTA==" saltValue="VwKAh8sGncD7Z1uE71wuvQ==" spinCount="100000" sheet="1" objects="1" scenarios="1" selectLockedCells="1"/>
  <mergeCells count="18">
    <mergeCell ref="L4:M4"/>
    <mergeCell ref="O4:Q4"/>
    <mergeCell ref="E5:F5"/>
    <mergeCell ref="O5:P5"/>
    <mergeCell ref="E6:F6"/>
    <mergeCell ref="A11:A42"/>
    <mergeCell ref="F11:G11"/>
    <mergeCell ref="J11:K11"/>
    <mergeCell ref="A2:D2"/>
    <mergeCell ref="A3:D7"/>
    <mergeCell ref="E4:G4"/>
    <mergeCell ref="I4:J4"/>
    <mergeCell ref="E7:F7"/>
    <mergeCell ref="O7:P7"/>
    <mergeCell ref="E8:F8"/>
    <mergeCell ref="L8:M8"/>
    <mergeCell ref="E9:F9"/>
    <mergeCell ref="L9:M9"/>
  </mergeCells>
  <conditionalFormatting sqref="G5">
    <cfRule type="expression" dxfId="299" priority="28">
      <formula>$G$5&lt;=0</formula>
    </cfRule>
    <cfRule type="expression" dxfId="298" priority="29">
      <formula>$G$5&gt;0</formula>
    </cfRule>
  </conditionalFormatting>
  <conditionalFormatting sqref="G6">
    <cfRule type="expression" dxfId="297" priority="26">
      <formula>$G$6&gt;=0</formula>
    </cfRule>
    <cfRule type="expression" dxfId="296" priority="27">
      <formula>$G$6&lt;0</formula>
    </cfRule>
  </conditionalFormatting>
  <conditionalFormatting sqref="P9">
    <cfRule type="expression" dxfId="295" priority="23">
      <formula>$P$9&lt;0</formula>
    </cfRule>
    <cfRule type="expression" dxfId="294" priority="24">
      <formula>$P$9=0</formula>
    </cfRule>
    <cfRule type="expression" dxfId="293" priority="25">
      <formula>$P$9&gt;0</formula>
    </cfRule>
  </conditionalFormatting>
  <conditionalFormatting sqref="P8">
    <cfRule type="expression" dxfId="292" priority="20">
      <formula>$P$8&lt;0</formula>
    </cfRule>
    <cfRule type="expression" dxfId="291" priority="21">
      <formula>$P$8=0</formula>
    </cfRule>
    <cfRule type="expression" dxfId="290" priority="22">
      <formula>$P$8&gt;0</formula>
    </cfRule>
  </conditionalFormatting>
  <conditionalFormatting sqref="G9">
    <cfRule type="expression" dxfId="289" priority="17">
      <formula>$G$9&lt;0</formula>
    </cfRule>
    <cfRule type="expression" priority="18">
      <formula>$G$9=0</formula>
    </cfRule>
    <cfRule type="expression" dxfId="288" priority="19">
      <formula>$G$9&gt;0</formula>
    </cfRule>
  </conditionalFormatting>
  <conditionalFormatting sqref="P12:P42">
    <cfRule type="expression" dxfId="287" priority="16">
      <formula>$P12=0</formula>
    </cfRule>
  </conditionalFormatting>
  <conditionalFormatting sqref="G5:G9">
    <cfRule type="expression" dxfId="286" priority="13">
      <formula>$G5=0</formula>
    </cfRule>
    <cfRule type="expression" dxfId="285" priority="14">
      <formula>$G5&lt;0</formula>
    </cfRule>
    <cfRule type="expression" dxfId="284" priority="15">
      <formula>$G5&gt;0</formula>
    </cfRule>
  </conditionalFormatting>
  <conditionalFormatting sqref="B12:R42">
    <cfRule type="expression" dxfId="283" priority="7">
      <formula>$B12=""</formula>
    </cfRule>
    <cfRule type="expression" dxfId="282" priority="8">
      <formula>$D12="Sim"</formula>
    </cfRule>
    <cfRule type="expression" dxfId="281" priority="11">
      <formula>MOD(ROW(),2)=0</formula>
    </cfRule>
    <cfRule type="expression" dxfId="280" priority="12">
      <formula>MOD(ROW(),2)=1</formula>
    </cfRule>
  </conditionalFormatting>
  <conditionalFormatting sqref="M12:N42">
    <cfRule type="expression" dxfId="279" priority="5">
      <formula>$M12=0</formula>
    </cfRule>
  </conditionalFormatting>
  <conditionalFormatting sqref="L9:N9">
    <cfRule type="expression" dxfId="278" priority="2">
      <formula>$L$9&gt;0</formula>
    </cfRule>
    <cfRule type="expression" dxfId="277" priority="3">
      <formula>$L$9=0</formula>
    </cfRule>
    <cfRule type="expression" dxfId="276" priority="4">
      <formula>$L$9&lt;0</formula>
    </cfRule>
  </conditionalFormatting>
  <conditionalFormatting sqref="N5 M6">
    <cfRule type="expression" dxfId="275" priority="30">
      <formula>$M$6&lt;0</formula>
    </cfRule>
  </conditionalFormatting>
  <conditionalFormatting sqref="N4 M5">
    <cfRule type="expression" dxfId="274" priority="31">
      <formula>$M$5&gt;0</formula>
    </cfRule>
  </conditionalFormatting>
  <conditionalFormatting sqref="J5:J9">
    <cfRule type="expression" dxfId="273" priority="1">
      <formula>$J5&gt;0</formula>
    </cfRule>
  </conditionalFormatting>
  <dataValidations count="2"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42">
      <formula1>AB12</formula1>
    </dataValidation>
    <dataValidation operator="greaterThanOrEqual" allowBlank="1" showInputMessage="1" showErrorMessage="1" sqref="E12:P42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835A89C-F7C4-4DA9-ACBF-70D4AB5009E1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0" id="{C9CC4267-3295-4BFE-BF0C-0C836E35D82F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B12:R42</xm:sqref>
        </x14:conditionalFormatting>
        <x14:conditionalFormatting xmlns:xm="http://schemas.microsoft.com/office/excel/2006/main">
          <x14:cfRule type="expression" priority="6" id="{4A3051CC-5B4F-4AA7-96AA-279C91D736DE}">
            <xm:f>AND(Configurações!$C$11&gt;0,WEEKDAY($C12)=7,MOD(ROW(),2)=1)</xm:f>
            <x14:dxf>
              <fill>
                <patternFill>
                  <bgColor theme="4" tint="0.59996337778862885"/>
                </patternFill>
              </fill>
            </x14:dxf>
          </x14:cfRule>
          <xm:sqref>C14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2:AJ49"/>
  <sheetViews>
    <sheetView showGridLines="0" zoomScaleNormal="100" workbookViewId="0">
      <selection activeCell="P8" sqref="P8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16384" width="9.140625" style="10"/>
  </cols>
  <sheetData>
    <row r="2" spans="1:36" x14ac:dyDescent="0.25">
      <c r="A2" s="109" t="str">
        <f>IF(Configurações!C17 = 0,"",Configurações!C17)</f>
        <v/>
      </c>
      <c r="B2" s="109"/>
      <c r="C2" s="109"/>
      <c r="D2" s="109"/>
    </row>
    <row r="3" spans="1:36" ht="15.75" customHeight="1" thickBot="1" x14ac:dyDescent="0.3">
      <c r="A3" s="110" t="s">
        <v>90</v>
      </c>
      <c r="B3" s="110"/>
      <c r="C3" s="110"/>
      <c r="D3" s="110"/>
    </row>
    <row r="4" spans="1:36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36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SUM(M12:M41)</f>
        <v>0</v>
      </c>
      <c r="H5" s="13"/>
      <c r="I5" s="81" t="s">
        <v>31</v>
      </c>
      <c r="J5" s="16">
        <f>(SUM(S12:S41)*24)*Configurações!E15*(Configurações!I7+1)</f>
        <v>0</v>
      </c>
      <c r="K5" s="13"/>
      <c r="L5" s="81" t="s">
        <v>68</v>
      </c>
      <c r="M5" s="17">
        <f>SUM(J5:J9)</f>
        <v>0</v>
      </c>
      <c r="N5" s="14"/>
      <c r="O5" s="102" t="s">
        <v>44</v>
      </c>
      <c r="P5" s="103"/>
      <c r="Q5" s="18">
        <f>SUM(R12:R41)</f>
        <v>0</v>
      </c>
      <c r="W5" s="19"/>
    </row>
    <row r="6" spans="1:36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SUM(O12:O41)</f>
        <v>0</v>
      </c>
      <c r="H6" s="13"/>
      <c r="I6" s="81" t="s">
        <v>34</v>
      </c>
      <c r="J6" s="16">
        <f>(SUM(T12:T41)*24)*Configurações!E15*(Configurações!I10+1)</f>
        <v>0</v>
      </c>
      <c r="K6" s="13"/>
      <c r="L6" s="82" t="s">
        <v>69</v>
      </c>
      <c r="M6" s="21">
        <f ca="1">((G7*24)+(G6*24))*Configurações!E15</f>
        <v>0</v>
      </c>
      <c r="U6" s="19"/>
      <c r="W6" s="22"/>
    </row>
    <row r="7" spans="1:36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SUM(P12:P41)</f>
        <v>0</v>
      </c>
      <c r="H7" s="13"/>
      <c r="I7" s="81" t="s">
        <v>32</v>
      </c>
      <c r="J7" s="16">
        <f>(SUM(U12:U41)*24)*Configurações!E15*(Configurações!I9+1)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36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SUM(Q12:Q41)</f>
        <v>0</v>
      </c>
      <c r="H8" s="13"/>
      <c r="I8" s="81" t="s">
        <v>33</v>
      </c>
      <c r="J8" s="16">
        <f>(SUM(V12:V41)*24)*Configurações!E15*(Configurações!I8+1)</f>
        <v>0</v>
      </c>
      <c r="K8" s="13"/>
      <c r="L8" s="116" t="s">
        <v>63</v>
      </c>
      <c r="M8" s="117"/>
      <c r="N8" s="25"/>
      <c r="O8" s="81" t="s">
        <v>26</v>
      </c>
      <c r="P8" s="7">
        <v>0</v>
      </c>
    </row>
    <row r="9" spans="1:36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0</v>
      </c>
      <c r="H9" s="13"/>
      <c r="I9" s="82" t="s">
        <v>30</v>
      </c>
      <c r="J9" s="27">
        <f>((((SUM(N12:N41)*24)*Configurações!E15*(Configurações!I6+1)))-(SUM(N12:N41)*24)*Configurações!E15)</f>
        <v>0</v>
      </c>
      <c r="K9" s="13"/>
      <c r="L9" s="120">
        <f ca="1">SUM(M5:M6)</f>
        <v>0</v>
      </c>
      <c r="M9" s="121"/>
      <c r="N9" s="28"/>
      <c r="O9" s="82" t="s">
        <v>25</v>
      </c>
      <c r="P9" s="26">
        <f ca="1">SUM(P8,G9)</f>
        <v>0</v>
      </c>
    </row>
    <row r="10" spans="1:36" x14ac:dyDescent="0.25">
      <c r="B10" s="29">
        <v>41364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36" x14ac:dyDescent="0.25">
      <c r="A11" s="106" t="s">
        <v>76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36" x14ac:dyDescent="0.25">
      <c r="A12" s="106"/>
      <c r="B12" s="37">
        <f>IF(MONTH($B$10+ROW()-ROW($B$10)-2) = MONTH($B$10),$B$10+ROW()-ROW($B$10)-2,"")</f>
        <v>41364</v>
      </c>
      <c r="C12" s="38">
        <f t="shared" ref="C12:C41" si="0">B12</f>
        <v>41364</v>
      </c>
      <c r="D12" s="39" t="str">
        <f>IF(B12="","",IF(VerificaSeFeriado(B12),"Sim",""))</f>
        <v/>
      </c>
      <c r="E12" s="5"/>
      <c r="F12" s="5"/>
      <c r="G12" s="5"/>
      <c r="H12" s="5"/>
      <c r="I12" s="5"/>
      <c r="J12" s="5"/>
      <c r="K12" s="5"/>
      <c r="L12" s="5"/>
      <c r="M12" s="41" t="str">
        <f>IFERROR(IF((R12-AB12)&gt;(1*"00:00:01"),(R12-AB12),""),"")</f>
        <v/>
      </c>
      <c r="N12" s="42" t="str">
        <f>IF(SUM(W12:X12)*(1/52.5*60)&gt;0,SUM(W12:X12)*(1/52.5*60),"")</f>
        <v/>
      </c>
      <c r="O12" s="43" t="str">
        <f t="shared" ref="O12:O15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6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</v>
      </c>
      <c r="S12" s="44">
        <f>IF(D12="Sim",0,IF((OR(WEEKDAY(C12)=2,WEEKDAY(C12)=3,WEEKDAY(C12)=4,WEEKDAY(C12)=5,WEEKDAY(C12)=6))=TRUE,M12,IF(AND(WEEKDAY(C12)=7,Configurações!$C$11&gt;0)=TRUE,M12,IF(AND(WEEKDAY(C12)=1,Configurações!$C$12&gt;0)=TRUE,M12,0))))</f>
        <v>0</v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:Y25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</row>
    <row r="13" spans="1:36" x14ac:dyDescent="0.25">
      <c r="A13" s="106"/>
      <c r="B13" s="37">
        <f t="shared" ref="B13:B41" si="3">IF(MONTH($B$10+ROW()-ROW($B$10)-2) = MONTH($B$10),$B$10+ROW()-ROW($B$10)-2,"")</f>
        <v>41365</v>
      </c>
      <c r="C13" s="38">
        <f t="shared" si="0"/>
        <v>41365</v>
      </c>
      <c r="D13" s="39" t="str">
        <f>IF(B13="","",IF(VerificaSeFeriado(B13),"Sim",""))</f>
        <v/>
      </c>
      <c r="E13" s="5"/>
      <c r="F13" s="5"/>
      <c r="G13" s="5"/>
      <c r="H13" s="5"/>
      <c r="I13" s="5"/>
      <c r="J13" s="5"/>
      <c r="K13" s="5"/>
      <c r="L13" s="5"/>
      <c r="M13" s="41" t="str">
        <f t="shared" ref="M13:M41" si="4">IFERROR(IF((R13-AB13)&gt;(1*"00:00:01"),(R13-AB13),""),"")</f>
        <v/>
      </c>
      <c r="N13" s="42" t="str">
        <f t="shared" ref="N13:N41" si="5">IF(SUM(W13:X13)*(1/52.5*60)&gt;0,SUM(W13:X13)*(1/52.5*60),"")</f>
        <v/>
      </c>
      <c r="O13" s="43" t="str">
        <f t="shared" si="1"/>
        <v/>
      </c>
      <c r="P13" s="43" t="str">
        <f t="shared" ref="P13:P41" ca="1" si="6">IF(TODAY()&lt;=B13,"",IF(D13="Sim","",IF(AND(AA13="Sim",E13="",G13="",I13="",K13="")=TRUE,IF(Q13-AB13&lt;0,Q13-AB13,""),"")))</f>
        <v/>
      </c>
      <c r="Q13" s="6"/>
      <c r="R13" s="40">
        <f t="shared" ref="R13:R41" si="7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>
        <f>IF(D13="Sim",0,IF((OR(WEEKDAY(C13)=2,WEEKDAY(C13)=3,WEEKDAY(C13)=4,WEEKDAY(C13)=5,WEEKDAY(C13)=6))=TRUE,M13,IF(AND(WEEKDAY(C13)=7,Configurações!$C$11&gt;0)=TRUE,M13,IF(AND(WEEKDAY(C13)=1,Configurações!$C$12&gt;0)=TRUE,M13,0))))</f>
        <v>0</v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41" si="8">IF(D13="Sim",R13,0)</f>
        <v>0</v>
      </c>
      <c r="W13" s="44">
        <f t="shared" ref="W13:W41" si="9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41" si="10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si="2"/>
        <v>0</v>
      </c>
      <c r="Z13" s="45">
        <f t="shared" ref="Z13:Z41" si="11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41" si="12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41" si="13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41" si="14">IF(SUM(AG13:AH13)*(1/52.5*60)&gt;0,(SUM(AG13:AH13)*(1/52.5*60))-(SUM(AG13:AH13)),0)</f>
        <v>0</v>
      </c>
      <c r="AG13" s="84">
        <f t="shared" ref="AG13:AG41" si="15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41" si="16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41" si="17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41" si="18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36" x14ac:dyDescent="0.25">
      <c r="A14" s="106"/>
      <c r="B14" s="37">
        <f t="shared" si="3"/>
        <v>41366</v>
      </c>
      <c r="C14" s="38">
        <f t="shared" si="0"/>
        <v>41366</v>
      </c>
      <c r="D14" s="39" t="str">
        <f>IF(B14="","",IF(VerificaSeFeriado(B14),"Sim",""))</f>
        <v/>
      </c>
      <c r="E14" s="5"/>
      <c r="F14" s="5"/>
      <c r="G14" s="5"/>
      <c r="H14" s="5"/>
      <c r="I14" s="5"/>
      <c r="J14" s="5"/>
      <c r="K14" s="5"/>
      <c r="L14" s="5"/>
      <c r="M14" s="41" t="str">
        <f t="shared" si="4"/>
        <v/>
      </c>
      <c r="N14" s="42" t="str">
        <f t="shared" si="5"/>
        <v/>
      </c>
      <c r="O14" s="43" t="str">
        <f t="shared" si="1"/>
        <v/>
      </c>
      <c r="P14" s="43" t="str">
        <f t="shared" ca="1" si="6"/>
        <v/>
      </c>
      <c r="Q14" s="6"/>
      <c r="R14" s="40">
        <f t="shared" si="7"/>
        <v>0</v>
      </c>
      <c r="S14" s="44" t="str">
        <f>IF(D14="Sim",0,IF((OR(WEEKDAY(C14)=2,WEEKDAY(C14)=3,WEEKDAY(C14)=4,WEEKDAY(C14)=5,WEEKDAY(C14)=6))=TRUE,M14,IF(AND(WEEKDAY(C14)=7,Configurações!$C$11&gt;0)=TRUE,M14,IF(AND(WEEKDAY(C14)=1,Configurações!$C$12&gt;0)=TRUE,M14,0))))</f>
        <v/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8"/>
        <v>0</v>
      </c>
      <c r="W14" s="44">
        <f t="shared" si="9"/>
        <v>0</v>
      </c>
      <c r="X14" s="45">
        <f t="shared" si="10"/>
        <v>0</v>
      </c>
      <c r="Y14" s="44">
        <f t="shared" si="2"/>
        <v>0</v>
      </c>
      <c r="Z14" s="45">
        <f t="shared" si="11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2"/>
        <v/>
      </c>
      <c r="AE14" s="11" t="str">
        <f t="shared" si="13"/>
        <v/>
      </c>
      <c r="AF14" s="83">
        <f t="shared" si="14"/>
        <v>0</v>
      </c>
      <c r="AG14" s="84">
        <f t="shared" si="15"/>
        <v>0</v>
      </c>
      <c r="AH14" s="84">
        <f t="shared" si="16"/>
        <v>0</v>
      </c>
      <c r="AI14" s="84">
        <f t="shared" si="17"/>
        <v>0</v>
      </c>
      <c r="AJ14" s="84">
        <f t="shared" si="18"/>
        <v>0</v>
      </c>
    </row>
    <row r="15" spans="1:36" x14ac:dyDescent="0.25">
      <c r="A15" s="106"/>
      <c r="B15" s="37">
        <f t="shared" si="3"/>
        <v>41367</v>
      </c>
      <c r="C15" s="38">
        <f t="shared" si="0"/>
        <v>41367</v>
      </c>
      <c r="D15" s="39" t="str">
        <f>IF(B15="","",IF(VerificaSeFeriado(B15),"Sim",""))</f>
        <v/>
      </c>
      <c r="E15" s="5"/>
      <c r="F15" s="5"/>
      <c r="G15" s="5"/>
      <c r="H15" s="5"/>
      <c r="I15" s="5"/>
      <c r="J15" s="5"/>
      <c r="K15" s="5"/>
      <c r="L15" s="5"/>
      <c r="M15" s="41" t="str">
        <f t="shared" si="4"/>
        <v/>
      </c>
      <c r="N15" s="42" t="str">
        <f t="shared" si="5"/>
        <v/>
      </c>
      <c r="O15" s="43" t="str">
        <f t="shared" si="1"/>
        <v/>
      </c>
      <c r="P15" s="43" t="str">
        <f t="shared" ca="1" si="6"/>
        <v/>
      </c>
      <c r="Q15" s="6"/>
      <c r="R15" s="40">
        <f t="shared" si="7"/>
        <v>0</v>
      </c>
      <c r="S15" s="44" t="str">
        <f>IF(D15="Sim",0,IF((OR(WEEKDAY(C15)=2,WEEKDAY(C15)=3,WEEKDAY(C15)=4,WEEKDAY(C15)=5,WEEKDAY(C15)=6))=TRUE,M15,IF(AND(WEEKDAY(C15)=7,Configurações!$C$11&gt;0)=TRUE,M15,IF(AND(WEEKDAY(C15)=1,Configurações!$C$12&gt;0)=TRUE,M15,0))))</f>
        <v/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8"/>
        <v>0</v>
      </c>
      <c r="W15" s="44">
        <f t="shared" si="9"/>
        <v>0</v>
      </c>
      <c r="X15" s="45">
        <f t="shared" si="10"/>
        <v>0</v>
      </c>
      <c r="Y15" s="44">
        <f t="shared" si="2"/>
        <v>0</v>
      </c>
      <c r="Z15" s="45">
        <f t="shared" si="11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2"/>
        <v/>
      </c>
      <c r="AE15" s="11" t="str">
        <f t="shared" si="13"/>
        <v/>
      </c>
      <c r="AF15" s="83">
        <f t="shared" si="14"/>
        <v>0</v>
      </c>
      <c r="AG15" s="84">
        <f t="shared" si="15"/>
        <v>0</v>
      </c>
      <c r="AH15" s="84">
        <f t="shared" si="16"/>
        <v>0</v>
      </c>
      <c r="AI15" s="84">
        <f t="shared" si="17"/>
        <v>0</v>
      </c>
      <c r="AJ15" s="84">
        <f t="shared" si="18"/>
        <v>0</v>
      </c>
    </row>
    <row r="16" spans="1:36" x14ac:dyDescent="0.25">
      <c r="A16" s="106"/>
      <c r="B16" s="37">
        <f t="shared" si="3"/>
        <v>41368</v>
      </c>
      <c r="C16" s="38">
        <f t="shared" si="0"/>
        <v>41368</v>
      </c>
      <c r="D16" s="39" t="str">
        <f>IF(B16="","",IF(VerificaSeFeriado(B16),"Sim",""))</f>
        <v/>
      </c>
      <c r="E16" s="5"/>
      <c r="F16" s="5"/>
      <c r="G16" s="5"/>
      <c r="H16" s="5"/>
      <c r="I16" s="5"/>
      <c r="J16" s="5"/>
      <c r="K16" s="5"/>
      <c r="L16" s="5"/>
      <c r="M16" s="41" t="str">
        <f t="shared" si="4"/>
        <v/>
      </c>
      <c r="N16" s="42" t="str">
        <f t="shared" si="5"/>
        <v/>
      </c>
      <c r="O16" s="43" t="str">
        <f>IF(OR(D16="Sim",E16="")=TRUE,"",IF((R16-AB16)&gt;=(-"00:00:01"),"",(R16-AB16)))</f>
        <v/>
      </c>
      <c r="P16" s="43" t="str">
        <f t="shared" ca="1" si="6"/>
        <v/>
      </c>
      <c r="Q16" s="6"/>
      <c r="R16" s="40">
        <f t="shared" si="7"/>
        <v>0</v>
      </c>
      <c r="S16" s="44" t="str">
        <f>IF(D16="Sim",0,IF((OR(WEEKDAY(C16)=2,WEEKDAY(C16)=3,WEEKDAY(C16)=4,WEEKDAY(C16)=5,WEEKDAY(C16)=6))=TRUE,M16,IF(AND(WEEKDAY(C16)=7,Configurações!$C$11&gt;0)=TRUE,M16,IF(AND(WEEKDAY(C16)=1,Configurações!$C$12&gt;0)=TRUE,M16,0))))</f>
        <v/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8"/>
        <v>0</v>
      </c>
      <c r="W16" s="44">
        <f t="shared" si="9"/>
        <v>0</v>
      </c>
      <c r="X16" s="45">
        <f t="shared" si="10"/>
        <v>0</v>
      </c>
      <c r="Y16" s="44">
        <f t="shared" si="2"/>
        <v>0</v>
      </c>
      <c r="Z16" s="45">
        <f t="shared" si="11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2"/>
        <v/>
      </c>
      <c r="AE16" s="11" t="str">
        <f t="shared" si="13"/>
        <v/>
      </c>
      <c r="AF16" s="83">
        <f t="shared" si="14"/>
        <v>0</v>
      </c>
      <c r="AG16" s="84">
        <f t="shared" si="15"/>
        <v>0</v>
      </c>
      <c r="AH16" s="84">
        <f t="shared" si="16"/>
        <v>0</v>
      </c>
      <c r="AI16" s="84">
        <f t="shared" si="17"/>
        <v>0</v>
      </c>
      <c r="AJ16" s="84">
        <f t="shared" si="18"/>
        <v>0</v>
      </c>
    </row>
    <row r="17" spans="1:36" x14ac:dyDescent="0.25">
      <c r="A17" s="106"/>
      <c r="B17" s="37">
        <f t="shared" si="3"/>
        <v>41369</v>
      </c>
      <c r="C17" s="38">
        <f t="shared" si="0"/>
        <v>41369</v>
      </c>
      <c r="D17" s="39" t="str">
        <f>IF(B17="","",IF(VerificaSeFeriado(B17),"Sim",""))</f>
        <v/>
      </c>
      <c r="E17" s="5"/>
      <c r="F17" s="5"/>
      <c r="G17" s="5"/>
      <c r="H17" s="5"/>
      <c r="I17" s="5"/>
      <c r="J17" s="5"/>
      <c r="K17" s="5"/>
      <c r="L17" s="5"/>
      <c r="M17" s="41" t="str">
        <f t="shared" si="4"/>
        <v/>
      </c>
      <c r="N17" s="42" t="str">
        <f t="shared" si="5"/>
        <v/>
      </c>
      <c r="O17" s="43" t="str">
        <f>IF(OR(D17="Sim",E17="")=TRUE,"",IF((R17-AB17)&gt;=(-"00:00:01"),"",(R17-AB17)))</f>
        <v/>
      </c>
      <c r="P17" s="43" t="str">
        <f t="shared" ca="1" si="6"/>
        <v/>
      </c>
      <c r="Q17" s="6"/>
      <c r="R17" s="40">
        <f t="shared" si="7"/>
        <v>0</v>
      </c>
      <c r="S17" s="44" t="str">
        <f>IF(D17="Sim",0,IF((OR(WEEKDAY(C17)=2,WEEKDAY(C17)=3,WEEKDAY(C17)=4,WEEKDAY(C17)=5,WEEKDAY(C17)=6))=TRUE,M17,IF(AND(WEEKDAY(C17)=7,Configurações!$C$11&gt;0)=TRUE,M17,IF(AND(WEEKDAY(C17)=1,Configurações!$C$12&gt;0)=TRUE,M17,0))))</f>
        <v/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8"/>
        <v>0</v>
      </c>
      <c r="W17" s="44">
        <f t="shared" si="9"/>
        <v>0</v>
      </c>
      <c r="X17" s="45">
        <f t="shared" si="10"/>
        <v>0</v>
      </c>
      <c r="Y17" s="44">
        <f t="shared" si="2"/>
        <v>0</v>
      </c>
      <c r="Z17" s="45">
        <f t="shared" si="11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2"/>
        <v/>
      </c>
      <c r="AE17" s="11" t="str">
        <f t="shared" si="13"/>
        <v/>
      </c>
      <c r="AF17" s="83">
        <f t="shared" si="14"/>
        <v>0</v>
      </c>
      <c r="AG17" s="84">
        <f t="shared" si="15"/>
        <v>0</v>
      </c>
      <c r="AH17" s="84">
        <f t="shared" si="16"/>
        <v>0</v>
      </c>
      <c r="AI17" s="84">
        <f t="shared" si="17"/>
        <v>0</v>
      </c>
      <c r="AJ17" s="84">
        <f t="shared" si="18"/>
        <v>0</v>
      </c>
    </row>
    <row r="18" spans="1:36" x14ac:dyDescent="0.25">
      <c r="A18" s="106"/>
      <c r="B18" s="37">
        <f t="shared" si="3"/>
        <v>41370</v>
      </c>
      <c r="C18" s="38">
        <f t="shared" si="0"/>
        <v>41370</v>
      </c>
      <c r="D18" s="39" t="str">
        <f>IF(B18="","",IF(VerificaSeFeriado(B18),"Sim",""))</f>
        <v/>
      </c>
      <c r="E18" s="5"/>
      <c r="F18" s="5"/>
      <c r="G18" s="5"/>
      <c r="H18" s="5"/>
      <c r="I18" s="5"/>
      <c r="J18" s="5"/>
      <c r="K18" s="5"/>
      <c r="L18" s="5"/>
      <c r="M18" s="41" t="str">
        <f t="shared" si="4"/>
        <v/>
      </c>
      <c r="N18" s="42" t="str">
        <f t="shared" si="5"/>
        <v/>
      </c>
      <c r="O18" s="43" t="str">
        <f t="shared" ref="O18:O41" si="19">IF(OR(D18="Sim",E18="")=TRUE,"",IF((R18-AB18)&gt;=(-"00:00:01"),"",(R18-AB18)))</f>
        <v/>
      </c>
      <c r="P18" s="43" t="str">
        <f t="shared" ca="1" si="6"/>
        <v/>
      </c>
      <c r="Q18" s="6"/>
      <c r="R18" s="40">
        <f t="shared" si="7"/>
        <v>0</v>
      </c>
      <c r="S18" s="44" t="str">
        <f>IF(D18="Sim",0,IF((OR(WEEKDAY(C18)=2,WEEKDAY(C18)=3,WEEKDAY(C18)=4,WEEKDAY(C18)=5,WEEKDAY(C18)=6))=TRUE,M18,IF(AND(WEEKDAY(C18)=7,Configurações!$C$11&gt;0)=TRUE,M18,IF(AND(WEEKDAY(C18)=1,Configurações!$C$12&gt;0)=TRUE,M18,0))))</f>
        <v/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8"/>
        <v>0</v>
      </c>
      <c r="W18" s="44">
        <f t="shared" si="9"/>
        <v>0</v>
      </c>
      <c r="X18" s="45">
        <f t="shared" si="10"/>
        <v>0</v>
      </c>
      <c r="Y18" s="44">
        <f t="shared" si="2"/>
        <v>0</v>
      </c>
      <c r="Z18" s="45">
        <f t="shared" si="11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2"/>
        <v/>
      </c>
      <c r="AE18" s="11" t="str">
        <f t="shared" si="13"/>
        <v/>
      </c>
      <c r="AF18" s="83">
        <f t="shared" si="14"/>
        <v>0</v>
      </c>
      <c r="AG18" s="84">
        <f t="shared" si="15"/>
        <v>0</v>
      </c>
      <c r="AH18" s="84">
        <f t="shared" si="16"/>
        <v>0</v>
      </c>
      <c r="AI18" s="84">
        <f t="shared" si="17"/>
        <v>0</v>
      </c>
      <c r="AJ18" s="84">
        <f t="shared" si="18"/>
        <v>0</v>
      </c>
    </row>
    <row r="19" spans="1:36" x14ac:dyDescent="0.25">
      <c r="A19" s="106"/>
      <c r="B19" s="37">
        <f t="shared" si="3"/>
        <v>41371</v>
      </c>
      <c r="C19" s="38">
        <f t="shared" si="0"/>
        <v>41371</v>
      </c>
      <c r="D19" s="39" t="str">
        <f>IF(B19="","",IF(VerificaSeFeriado(B19),"Sim",""))</f>
        <v/>
      </c>
      <c r="E19" s="5"/>
      <c r="F19" s="5"/>
      <c r="G19" s="5"/>
      <c r="H19" s="5"/>
      <c r="I19" s="5"/>
      <c r="J19" s="5"/>
      <c r="K19" s="5"/>
      <c r="L19" s="5"/>
      <c r="M19" s="41" t="str">
        <f t="shared" si="4"/>
        <v/>
      </c>
      <c r="N19" s="42" t="str">
        <f t="shared" si="5"/>
        <v/>
      </c>
      <c r="O19" s="43" t="str">
        <f t="shared" si="19"/>
        <v/>
      </c>
      <c r="P19" s="43" t="str">
        <f t="shared" ca="1" si="6"/>
        <v/>
      </c>
      <c r="Q19" s="6"/>
      <c r="R19" s="40">
        <f t="shared" si="7"/>
        <v>0</v>
      </c>
      <c r="S19" s="44">
        <f>IF(D19="Sim",0,IF((OR(WEEKDAY(C19)=2,WEEKDAY(C19)=3,WEEKDAY(C19)=4,WEEKDAY(C19)=5,WEEKDAY(C19)=6))=TRUE,M19,IF(AND(WEEKDAY(C19)=7,Configurações!$C$11&gt;0)=TRUE,M19,IF(AND(WEEKDAY(C19)=1,Configurações!$C$12&gt;0)=TRUE,M19,0))))</f>
        <v>0</v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8"/>
        <v>0</v>
      </c>
      <c r="W19" s="44">
        <f t="shared" si="9"/>
        <v>0</v>
      </c>
      <c r="X19" s="45">
        <f t="shared" si="10"/>
        <v>0</v>
      </c>
      <c r="Y19" s="44">
        <f t="shared" si="2"/>
        <v>0</v>
      </c>
      <c r="Z19" s="45">
        <f t="shared" si="11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2"/>
        <v/>
      </c>
      <c r="AE19" s="11" t="str">
        <f t="shared" si="13"/>
        <v/>
      </c>
      <c r="AF19" s="83">
        <f t="shared" si="14"/>
        <v>0</v>
      </c>
      <c r="AG19" s="84">
        <f t="shared" si="15"/>
        <v>0</v>
      </c>
      <c r="AH19" s="84">
        <f t="shared" si="16"/>
        <v>0</v>
      </c>
      <c r="AI19" s="84">
        <f t="shared" si="17"/>
        <v>0</v>
      </c>
      <c r="AJ19" s="84">
        <f t="shared" si="18"/>
        <v>0</v>
      </c>
    </row>
    <row r="20" spans="1:36" x14ac:dyDescent="0.25">
      <c r="A20" s="106"/>
      <c r="B20" s="37">
        <f t="shared" si="3"/>
        <v>41372</v>
      </c>
      <c r="C20" s="38">
        <f t="shared" si="0"/>
        <v>41372</v>
      </c>
      <c r="D20" s="39" t="str">
        <f>IF(B20="","",IF(VerificaSeFeriado(B20),"Sim",""))</f>
        <v/>
      </c>
      <c r="E20" s="5"/>
      <c r="F20" s="5"/>
      <c r="G20" s="5"/>
      <c r="H20" s="5"/>
      <c r="I20" s="5"/>
      <c r="J20" s="5"/>
      <c r="K20" s="5"/>
      <c r="L20" s="5"/>
      <c r="M20" s="41" t="str">
        <f t="shared" si="4"/>
        <v/>
      </c>
      <c r="N20" s="42" t="str">
        <f t="shared" si="5"/>
        <v/>
      </c>
      <c r="O20" s="43" t="str">
        <f t="shared" si="19"/>
        <v/>
      </c>
      <c r="P20" s="43" t="str">
        <f t="shared" ca="1" si="6"/>
        <v/>
      </c>
      <c r="Q20" s="6"/>
      <c r="R20" s="40">
        <f t="shared" si="7"/>
        <v>0</v>
      </c>
      <c r="S20" s="44">
        <f>IF(D20="Sim",0,IF((OR(WEEKDAY(C20)=2,WEEKDAY(C20)=3,WEEKDAY(C20)=4,WEEKDAY(C20)=5,WEEKDAY(C20)=6))=TRUE,M20,IF(AND(WEEKDAY(C20)=7,Configurações!$C$11&gt;0)=TRUE,M20,IF(AND(WEEKDAY(C20)=1,Configurações!$C$12&gt;0)=TRUE,M20,0))))</f>
        <v>0</v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8"/>
        <v>0</v>
      </c>
      <c r="W20" s="44">
        <f t="shared" si="9"/>
        <v>0</v>
      </c>
      <c r="X20" s="45">
        <f t="shared" si="10"/>
        <v>0</v>
      </c>
      <c r="Y20" s="44">
        <f t="shared" si="2"/>
        <v>0</v>
      </c>
      <c r="Z20" s="45">
        <f t="shared" si="11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2"/>
        <v/>
      </c>
      <c r="AE20" s="11" t="str">
        <f t="shared" si="13"/>
        <v/>
      </c>
      <c r="AF20" s="83">
        <f t="shared" si="14"/>
        <v>0</v>
      </c>
      <c r="AG20" s="84">
        <f t="shared" si="15"/>
        <v>0</v>
      </c>
      <c r="AH20" s="84">
        <f t="shared" si="16"/>
        <v>0</v>
      </c>
      <c r="AI20" s="84">
        <f t="shared" si="17"/>
        <v>0</v>
      </c>
      <c r="AJ20" s="84">
        <f t="shared" si="18"/>
        <v>0</v>
      </c>
    </row>
    <row r="21" spans="1:36" x14ac:dyDescent="0.25">
      <c r="A21" s="106"/>
      <c r="B21" s="37">
        <f t="shared" si="3"/>
        <v>41373</v>
      </c>
      <c r="C21" s="38">
        <f t="shared" si="0"/>
        <v>41373</v>
      </c>
      <c r="D21" s="39" t="str">
        <f>IF(B21="","",IF(VerificaSeFeriado(B21),"Sim",""))</f>
        <v/>
      </c>
      <c r="E21" s="5"/>
      <c r="F21" s="5"/>
      <c r="G21" s="5"/>
      <c r="H21" s="5"/>
      <c r="I21" s="5"/>
      <c r="J21" s="5"/>
      <c r="K21" s="5"/>
      <c r="L21" s="5"/>
      <c r="M21" s="41" t="str">
        <f t="shared" si="4"/>
        <v/>
      </c>
      <c r="N21" s="42" t="str">
        <f t="shared" si="5"/>
        <v/>
      </c>
      <c r="O21" s="43" t="str">
        <f t="shared" si="19"/>
        <v/>
      </c>
      <c r="P21" s="43" t="str">
        <f t="shared" ca="1" si="6"/>
        <v/>
      </c>
      <c r="Q21" s="6"/>
      <c r="R21" s="40">
        <f t="shared" si="7"/>
        <v>0</v>
      </c>
      <c r="S21" s="44" t="str">
        <f>IF(D21="Sim",0,IF((OR(WEEKDAY(C21)=2,WEEKDAY(C21)=3,WEEKDAY(C21)=4,WEEKDAY(C21)=5,WEEKDAY(C21)=6))=TRUE,M21,IF(AND(WEEKDAY(C21)=7,Configurações!$C$11&gt;0)=TRUE,M21,IF(AND(WEEKDAY(C21)=1,Configurações!$C$12&gt;0)=TRUE,M21,0))))</f>
        <v/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8"/>
        <v>0</v>
      </c>
      <c r="W21" s="44">
        <f t="shared" si="9"/>
        <v>0</v>
      </c>
      <c r="X21" s="45">
        <f t="shared" si="10"/>
        <v>0</v>
      </c>
      <c r="Y21" s="44">
        <f t="shared" si="2"/>
        <v>0</v>
      </c>
      <c r="Z21" s="45">
        <f t="shared" si="11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2"/>
        <v/>
      </c>
      <c r="AE21" s="11" t="str">
        <f t="shared" si="13"/>
        <v/>
      </c>
      <c r="AF21" s="83">
        <f t="shared" si="14"/>
        <v>0</v>
      </c>
      <c r="AG21" s="84">
        <f t="shared" si="15"/>
        <v>0</v>
      </c>
      <c r="AH21" s="84">
        <f t="shared" si="16"/>
        <v>0</v>
      </c>
      <c r="AI21" s="84">
        <f t="shared" si="17"/>
        <v>0</v>
      </c>
      <c r="AJ21" s="84">
        <f t="shared" si="18"/>
        <v>0</v>
      </c>
    </row>
    <row r="22" spans="1:36" x14ac:dyDescent="0.25">
      <c r="A22" s="106"/>
      <c r="B22" s="37">
        <f t="shared" si="3"/>
        <v>41374</v>
      </c>
      <c r="C22" s="38">
        <f t="shared" si="0"/>
        <v>41374</v>
      </c>
      <c r="D22" s="39" t="str">
        <f>IF(B22="","",IF(VerificaSeFeriado(B22),"Sim",""))</f>
        <v/>
      </c>
      <c r="E22" s="5"/>
      <c r="F22" s="5"/>
      <c r="G22" s="5"/>
      <c r="H22" s="5"/>
      <c r="I22" s="5"/>
      <c r="J22" s="5"/>
      <c r="K22" s="5"/>
      <c r="L22" s="5"/>
      <c r="M22" s="41" t="str">
        <f t="shared" si="4"/>
        <v/>
      </c>
      <c r="N22" s="42" t="str">
        <f t="shared" si="5"/>
        <v/>
      </c>
      <c r="O22" s="43" t="str">
        <f>IF(OR(D22="Sim",E22="")=TRUE,"",IF((R22-AB22)&gt;=(-"00:00:01"),"",(R22-AB22)))</f>
        <v/>
      </c>
      <c r="P22" s="43" t="str">
        <f ca="1">IF(TODAY()&lt;=B22,"",IF(D22="Sim","",IF(AND(AA22="Sim",E22="",G22="",I22="",K22="")=TRUE,IF(Q22-AB22&lt;0,Q22-AB22,""),"")))</f>
        <v/>
      </c>
      <c r="Q22" s="6"/>
      <c r="R22" s="40">
        <f t="shared" si="7"/>
        <v>0</v>
      </c>
      <c r="S22" s="44" t="str">
        <f>IF(D22="Sim",0,IF((OR(WEEKDAY(C22)=2,WEEKDAY(C22)=3,WEEKDAY(C22)=4,WEEKDAY(C22)=5,WEEKDAY(C22)=6))=TRUE,M22,IF(AND(WEEKDAY(C22)=7,Configurações!$C$11&gt;0)=TRUE,M22,IF(AND(WEEKDAY(C22)=1,Configurações!$C$12&gt;0)=TRUE,M22,0))))</f>
        <v/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8"/>
        <v>0</v>
      </c>
      <c r="W22" s="44">
        <f t="shared" si="9"/>
        <v>0</v>
      </c>
      <c r="X22" s="45">
        <f t="shared" si="10"/>
        <v>0</v>
      </c>
      <c r="Y22" s="44">
        <f t="shared" si="2"/>
        <v>0</v>
      </c>
      <c r="Z22" s="45">
        <f t="shared" si="11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>IF(E22="","",IF(OR(AND(E22&gt;=(1*"22:00"),((1*"29:00")-E22-Y22)&gt;=AB22)=TRUE,AND(AND(E22&gt;=0,E22&lt;=(1*"5:00"))=TRUE,(1*"5:00")-E22-Y22&gt;=AB22)=TRUE)=TRUE,"Sumula",IF(OR(E22&gt;=(1*"22:00"),AND(E22&lt;(1*"5:00"),E22&gt;=(1*"0:00"))=TRUE)=TRUE,"Noite",IF(OR(H22&lt;E22,H22&gt;(1*"22:00"))=TRUE,"Dia",""))))</f>
        <v/>
      </c>
      <c r="AE22" s="11" t="str">
        <f t="shared" si="13"/>
        <v/>
      </c>
      <c r="AF22" s="83">
        <f t="shared" si="14"/>
        <v>0</v>
      </c>
      <c r="AG22" s="84">
        <f t="shared" si="15"/>
        <v>0</v>
      </c>
      <c r="AH22" s="84">
        <f t="shared" si="16"/>
        <v>0</v>
      </c>
      <c r="AI22" s="84">
        <f t="shared" si="17"/>
        <v>0</v>
      </c>
      <c r="AJ22" s="84">
        <f t="shared" si="18"/>
        <v>0</v>
      </c>
    </row>
    <row r="23" spans="1:36" x14ac:dyDescent="0.25">
      <c r="A23" s="106"/>
      <c r="B23" s="37">
        <f t="shared" si="3"/>
        <v>41375</v>
      </c>
      <c r="C23" s="38">
        <f t="shared" si="0"/>
        <v>41375</v>
      </c>
      <c r="D23" s="39" t="str">
        <f>IF(B23="","",IF(VerificaSeFeriado(B23),"Sim",""))</f>
        <v/>
      </c>
      <c r="E23" s="5"/>
      <c r="F23" s="5"/>
      <c r="G23" s="5"/>
      <c r="H23" s="5"/>
      <c r="I23" s="5"/>
      <c r="J23" s="5"/>
      <c r="K23" s="5"/>
      <c r="L23" s="5"/>
      <c r="M23" s="41" t="str">
        <f t="shared" si="4"/>
        <v/>
      </c>
      <c r="N23" s="42" t="str">
        <f t="shared" si="5"/>
        <v/>
      </c>
      <c r="O23" s="43" t="str">
        <f t="shared" si="19"/>
        <v/>
      </c>
      <c r="P23" s="43" t="str">
        <f t="shared" ca="1" si="6"/>
        <v/>
      </c>
      <c r="Q23" s="6"/>
      <c r="R23" s="40">
        <f t="shared" si="7"/>
        <v>0</v>
      </c>
      <c r="S23" s="44" t="str">
        <f>IF(D23="Sim",0,IF((OR(WEEKDAY(C23)=2,WEEKDAY(C23)=3,WEEKDAY(C23)=4,WEEKDAY(C23)=5,WEEKDAY(C23)=6))=TRUE,M23,IF(AND(WEEKDAY(C23)=7,Configurações!$C$11&gt;0)=TRUE,M23,IF(AND(WEEKDAY(C23)=1,Configurações!$C$12&gt;0)=TRUE,M23,0))))</f>
        <v/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8"/>
        <v>0</v>
      </c>
      <c r="W23" s="44">
        <f t="shared" si="9"/>
        <v>0</v>
      </c>
      <c r="X23" s="45">
        <f t="shared" si="10"/>
        <v>0</v>
      </c>
      <c r="Y23" s="44">
        <f t="shared" si="2"/>
        <v>0</v>
      </c>
      <c r="Z23" s="45">
        <f t="shared" si="11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2"/>
        <v/>
      </c>
      <c r="AE23" s="11" t="str">
        <f t="shared" si="13"/>
        <v/>
      </c>
      <c r="AF23" s="83">
        <f t="shared" si="14"/>
        <v>0</v>
      </c>
      <c r="AG23" s="84">
        <f t="shared" si="15"/>
        <v>0</v>
      </c>
      <c r="AH23" s="84">
        <f t="shared" si="16"/>
        <v>0</v>
      </c>
      <c r="AI23" s="84">
        <f t="shared" si="17"/>
        <v>0</v>
      </c>
      <c r="AJ23" s="84">
        <f t="shared" si="18"/>
        <v>0</v>
      </c>
    </row>
    <row r="24" spans="1:36" x14ac:dyDescent="0.25">
      <c r="A24" s="106"/>
      <c r="B24" s="37">
        <f t="shared" si="3"/>
        <v>41376</v>
      </c>
      <c r="C24" s="38">
        <f t="shared" si="0"/>
        <v>41376</v>
      </c>
      <c r="D24" s="39" t="str">
        <f>IF(B24="","",IF(VerificaSeFeriado(B24),"Sim",""))</f>
        <v/>
      </c>
      <c r="E24" s="5"/>
      <c r="F24" s="5"/>
      <c r="G24" s="5"/>
      <c r="H24" s="5"/>
      <c r="I24" s="5"/>
      <c r="J24" s="5"/>
      <c r="K24" s="5"/>
      <c r="L24" s="5"/>
      <c r="M24" s="41" t="str">
        <f t="shared" si="4"/>
        <v/>
      </c>
      <c r="N24" s="42" t="str">
        <f t="shared" si="5"/>
        <v/>
      </c>
      <c r="O24" s="43" t="str">
        <f t="shared" si="19"/>
        <v/>
      </c>
      <c r="P24" s="43" t="str">
        <f t="shared" ca="1" si="6"/>
        <v/>
      </c>
      <c r="Q24" s="6"/>
      <c r="R24" s="40">
        <f t="shared" si="7"/>
        <v>0</v>
      </c>
      <c r="S24" s="44" t="str">
        <f>IF(D24="Sim",0,IF((OR(WEEKDAY(C24)=2,WEEKDAY(C24)=3,WEEKDAY(C24)=4,WEEKDAY(C24)=5,WEEKDAY(C24)=6))=TRUE,M24,IF(AND(WEEKDAY(C24)=7,Configurações!$C$11&gt;0)=TRUE,M24,IF(AND(WEEKDAY(C24)=1,Configurações!$C$12&gt;0)=TRUE,M24,0))))</f>
        <v/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8"/>
        <v>0</v>
      </c>
      <c r="W24" s="44">
        <f t="shared" si="9"/>
        <v>0</v>
      </c>
      <c r="X24" s="45">
        <f t="shared" si="10"/>
        <v>0</v>
      </c>
      <c r="Y24" s="44">
        <f t="shared" si="2"/>
        <v>0</v>
      </c>
      <c r="Z24" s="45">
        <f t="shared" si="11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2"/>
        <v/>
      </c>
      <c r="AE24" s="11" t="str">
        <f t="shared" si="13"/>
        <v/>
      </c>
      <c r="AF24" s="83">
        <f t="shared" si="14"/>
        <v>0</v>
      </c>
      <c r="AG24" s="84">
        <f t="shared" si="15"/>
        <v>0</v>
      </c>
      <c r="AH24" s="84">
        <f t="shared" si="16"/>
        <v>0</v>
      </c>
      <c r="AI24" s="84">
        <f t="shared" si="17"/>
        <v>0</v>
      </c>
      <c r="AJ24" s="84">
        <f t="shared" si="18"/>
        <v>0</v>
      </c>
    </row>
    <row r="25" spans="1:36" x14ac:dyDescent="0.25">
      <c r="A25" s="106"/>
      <c r="B25" s="37">
        <f t="shared" si="3"/>
        <v>41377</v>
      </c>
      <c r="C25" s="38">
        <f t="shared" si="0"/>
        <v>41377</v>
      </c>
      <c r="D25" s="39" t="str">
        <f>IF(B25="","",IF(VerificaSeFeriado(B25),"Sim",""))</f>
        <v>Sim</v>
      </c>
      <c r="E25" s="5"/>
      <c r="F25" s="5"/>
      <c r="G25" s="5"/>
      <c r="H25" s="5"/>
      <c r="I25" s="5"/>
      <c r="J25" s="5"/>
      <c r="K25" s="5"/>
      <c r="L25" s="5"/>
      <c r="M25" s="41" t="str">
        <f>IFERROR(IF((R25-AB25)&gt;(1*"00:00:01"),(R25-AB25),""),"")</f>
        <v/>
      </c>
      <c r="N25" s="42" t="str">
        <f t="shared" si="5"/>
        <v/>
      </c>
      <c r="O25" s="43" t="str">
        <f t="shared" si="19"/>
        <v/>
      </c>
      <c r="P25" s="43" t="str">
        <f t="shared" ca="1" si="6"/>
        <v/>
      </c>
      <c r="Q25" s="6"/>
      <c r="R25" s="40">
        <f t="shared" si="7"/>
        <v>0</v>
      </c>
      <c r="S25" s="44">
        <f>IF(D25="Sim",0,IF((OR(WEEKDAY(C25)=2,WEEKDAY(C25)=3,WEEKDAY(C25)=4,WEEKDAY(C25)=5,WEEKDAY(C25)=6))=TRUE,M25,IF(AND(WEEKDAY(C25)=7,Configurações!$C$11&gt;0)=TRUE,M25,IF(AND(WEEKDAY(C25)=1,Configurações!$C$12&gt;0)=TRUE,M25,0))))</f>
        <v>0</v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8"/>
        <v>0</v>
      </c>
      <c r="W25" s="44">
        <f t="shared" si="9"/>
        <v>0</v>
      </c>
      <c r="X25" s="45">
        <f t="shared" si="10"/>
        <v>0</v>
      </c>
      <c r="Y25" s="44">
        <f t="shared" si="2"/>
        <v>0</v>
      </c>
      <c r="Z25" s="45">
        <f t="shared" si="11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2"/>
        <v/>
      </c>
      <c r="AE25" s="11" t="str">
        <f t="shared" si="13"/>
        <v/>
      </c>
      <c r="AF25" s="83">
        <f t="shared" si="14"/>
        <v>0</v>
      </c>
      <c r="AG25" s="84">
        <f t="shared" si="15"/>
        <v>0</v>
      </c>
      <c r="AH25" s="84">
        <f t="shared" si="16"/>
        <v>0</v>
      </c>
      <c r="AI25" s="84">
        <f t="shared" si="17"/>
        <v>0</v>
      </c>
      <c r="AJ25" s="84">
        <f t="shared" si="18"/>
        <v>0</v>
      </c>
    </row>
    <row r="26" spans="1:36" x14ac:dyDescent="0.25">
      <c r="A26" s="106"/>
      <c r="B26" s="37">
        <f t="shared" si="3"/>
        <v>41378</v>
      </c>
      <c r="C26" s="38">
        <f t="shared" si="0"/>
        <v>41378</v>
      </c>
      <c r="D26" s="39" t="str">
        <f>IF(B26="","",IF(VerificaSeFeriado(B26),"Sim",""))</f>
        <v/>
      </c>
      <c r="E26" s="5"/>
      <c r="F26" s="5"/>
      <c r="G26" s="5"/>
      <c r="H26" s="5"/>
      <c r="I26" s="5"/>
      <c r="J26" s="5"/>
      <c r="K26" s="5"/>
      <c r="L26" s="5"/>
      <c r="M26" s="41" t="str">
        <f t="shared" si="4"/>
        <v/>
      </c>
      <c r="N26" s="42" t="str">
        <f t="shared" si="5"/>
        <v/>
      </c>
      <c r="O26" s="43" t="str">
        <f t="shared" si="19"/>
        <v/>
      </c>
      <c r="P26" s="43" t="str">
        <f t="shared" ca="1" si="6"/>
        <v/>
      </c>
      <c r="Q26" s="6"/>
      <c r="R26" s="40">
        <f t="shared" si="7"/>
        <v>0</v>
      </c>
      <c r="S26" s="44">
        <f>IF(D26="Sim",0,IF((OR(WEEKDAY(C26)=2,WEEKDAY(C26)=3,WEEKDAY(C26)=4,WEEKDAY(C26)=5,WEEKDAY(C26)=6))=TRUE,M26,IF(AND(WEEKDAY(C26)=7,Configurações!$C$11&gt;0)=TRUE,M26,IF(AND(WEEKDAY(C26)=1,Configurações!$C$12&gt;0)=TRUE,M26,0))))</f>
        <v>0</v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8"/>
        <v>0</v>
      </c>
      <c r="W26" s="44">
        <f t="shared" si="9"/>
        <v>0</v>
      </c>
      <c r="X26" s="45">
        <f t="shared" si="10"/>
        <v>0</v>
      </c>
      <c r="Y26" s="44">
        <f>IF(F26="",0,IF(AND(F26&lt;(1*"22:00"),F26&gt;=(1*"5:00"),G26&lt;(1*"22:00"),G26&gt;(1*"5:00"))=TRUE,0,IF(F26&gt;=(1*"22:00"),IF(G26&gt;F26,G26-F26,G26+(1*"24:00")-F26),IF(F26&lt;(1*"5:00"),IF(G26&lt;(1*"5:00"),G26-F26,(1*"5:00")-F26),IF(G26&gt;F26,G26-(1*"22:00"),G26+(1*"24:00")-(1*"22:00"))))))</f>
        <v>0</v>
      </c>
      <c r="Z26" s="45">
        <f t="shared" si="11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2"/>
        <v/>
      </c>
      <c r="AE26" s="11" t="str">
        <f t="shared" si="13"/>
        <v/>
      </c>
      <c r="AF26" s="83">
        <f t="shared" si="14"/>
        <v>0</v>
      </c>
      <c r="AG26" s="84">
        <f t="shared" si="15"/>
        <v>0</v>
      </c>
      <c r="AH26" s="84">
        <f t="shared" si="16"/>
        <v>0</v>
      </c>
      <c r="AI26" s="84">
        <f t="shared" si="17"/>
        <v>0</v>
      </c>
      <c r="AJ26" s="84">
        <f t="shared" si="18"/>
        <v>0</v>
      </c>
    </row>
    <row r="27" spans="1:36" x14ac:dyDescent="0.25">
      <c r="A27" s="106"/>
      <c r="B27" s="37">
        <f t="shared" si="3"/>
        <v>41379</v>
      </c>
      <c r="C27" s="38">
        <f t="shared" si="0"/>
        <v>41379</v>
      </c>
      <c r="D27" s="39" t="str">
        <f>IF(B27="","",IF(VerificaSeFeriado(B27),"Sim",""))</f>
        <v/>
      </c>
      <c r="E27" s="5"/>
      <c r="F27" s="5"/>
      <c r="G27" s="5"/>
      <c r="H27" s="5"/>
      <c r="I27" s="5"/>
      <c r="J27" s="5"/>
      <c r="K27" s="5"/>
      <c r="L27" s="5"/>
      <c r="M27" s="41" t="str">
        <f t="shared" si="4"/>
        <v/>
      </c>
      <c r="N27" s="42" t="str">
        <f t="shared" si="5"/>
        <v/>
      </c>
      <c r="O27" s="43" t="str">
        <f t="shared" si="19"/>
        <v/>
      </c>
      <c r="P27" s="43" t="str">
        <f t="shared" ca="1" si="6"/>
        <v/>
      </c>
      <c r="Q27" s="6"/>
      <c r="R27" s="40">
        <f t="shared" si="7"/>
        <v>0</v>
      </c>
      <c r="S27" s="44">
        <f>IF(D27="Sim",0,IF((OR(WEEKDAY(C27)=2,WEEKDAY(C27)=3,WEEKDAY(C27)=4,WEEKDAY(C27)=5,WEEKDAY(C27)=6))=TRUE,M27,IF(AND(WEEKDAY(C27)=7,Configurações!$C$11&gt;0)=TRUE,M27,IF(AND(WEEKDAY(C27)=1,Configurações!$C$12&gt;0)=TRUE,M27,0))))</f>
        <v>0</v>
      </c>
      <c r="T27" s="44">
        <f>IF(D27="Sim",0,IF(AND(WEEKDAY(C27)=7,Configurações!$C$11&lt;=0)=TRUE,R27,0))</f>
        <v>0</v>
      </c>
      <c r="U27" s="44">
        <f>IF(D27="Sim",0,IF(AND(WEEKDAY(C27)=1,Configurações!$C$12&lt;=0)=TRUE,R27,0))</f>
        <v>0</v>
      </c>
      <c r="V27" s="44">
        <f t="shared" si="8"/>
        <v>0</v>
      </c>
      <c r="W27" s="44">
        <f t="shared" si="9"/>
        <v>0</v>
      </c>
      <c r="X27" s="45">
        <f t="shared" si="10"/>
        <v>0</v>
      </c>
      <c r="Y27" s="44">
        <f t="shared" ref="Y27:Y41" si="20">IF(F27="",0,IF(AND(F27&lt;(1*"22:00"),F27&gt;=(1*"5:00"),G27&lt;(1*"22:00"),G27&gt;(1*"5:00"))=TRUE,0,IF(F27&gt;=(1*"22:00"),IF(G27&gt;F27,G27-F27,G27+(1*"24:00")-F27),IF(F27&lt;(1*"5:00"),IF(G27&lt;(1*"5:00"),G27-F27,(1*"5:00")-F27),IF(G27&gt;F27,G27-(1*"22:00"),G27+(1*"24:00")-(1*"22:00"))))))</f>
        <v>0</v>
      </c>
      <c r="Z27" s="45">
        <f t="shared" si="11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2"/>
        <v/>
      </c>
      <c r="AE27" s="11" t="str">
        <f t="shared" si="13"/>
        <v/>
      </c>
      <c r="AF27" s="83">
        <f t="shared" si="14"/>
        <v>0</v>
      </c>
      <c r="AG27" s="84">
        <f t="shared" si="15"/>
        <v>0</v>
      </c>
      <c r="AH27" s="84">
        <f t="shared" si="16"/>
        <v>0</v>
      </c>
      <c r="AI27" s="84">
        <f t="shared" si="17"/>
        <v>0</v>
      </c>
      <c r="AJ27" s="84">
        <f t="shared" si="18"/>
        <v>0</v>
      </c>
    </row>
    <row r="28" spans="1:36" x14ac:dyDescent="0.25">
      <c r="A28" s="106"/>
      <c r="B28" s="37">
        <f t="shared" si="3"/>
        <v>41380</v>
      </c>
      <c r="C28" s="38">
        <f t="shared" si="0"/>
        <v>41380</v>
      </c>
      <c r="D28" s="39" t="str">
        <f>IF(B28="","",IF(VerificaSeFeriado(B28),"Sim",""))</f>
        <v/>
      </c>
      <c r="E28" s="5"/>
      <c r="F28" s="5"/>
      <c r="G28" s="5"/>
      <c r="H28" s="5"/>
      <c r="I28" s="5"/>
      <c r="J28" s="5"/>
      <c r="K28" s="5"/>
      <c r="L28" s="5"/>
      <c r="M28" s="41" t="str">
        <f t="shared" si="4"/>
        <v/>
      </c>
      <c r="N28" s="42" t="str">
        <f t="shared" si="5"/>
        <v/>
      </c>
      <c r="O28" s="43" t="str">
        <f t="shared" si="19"/>
        <v/>
      </c>
      <c r="P28" s="43" t="str">
        <f t="shared" ca="1" si="6"/>
        <v/>
      </c>
      <c r="Q28" s="6"/>
      <c r="R28" s="40">
        <f t="shared" si="7"/>
        <v>0</v>
      </c>
      <c r="S28" s="44" t="str">
        <f>IF(D28="Sim",0,IF((OR(WEEKDAY(C28)=2,WEEKDAY(C28)=3,WEEKDAY(C28)=4,WEEKDAY(C28)=5,WEEKDAY(C28)=6))=TRUE,M28,IF(AND(WEEKDAY(C28)=7,Configurações!$C$11&gt;0)=TRUE,M28,IF(AND(WEEKDAY(C28)=1,Configurações!$C$12&gt;0)=TRUE,M28,0))))</f>
        <v/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8"/>
        <v>0</v>
      </c>
      <c r="W28" s="44">
        <f t="shared" si="9"/>
        <v>0</v>
      </c>
      <c r="X28" s="45">
        <f t="shared" si="10"/>
        <v>0</v>
      </c>
      <c r="Y28" s="44">
        <f t="shared" si="20"/>
        <v>0</v>
      </c>
      <c r="Z28" s="45">
        <f t="shared" si="11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2"/>
        <v/>
      </c>
      <c r="AE28" s="11" t="str">
        <f t="shared" si="13"/>
        <v/>
      </c>
      <c r="AF28" s="83">
        <f t="shared" si="14"/>
        <v>0</v>
      </c>
      <c r="AG28" s="84">
        <f t="shared" si="15"/>
        <v>0</v>
      </c>
      <c r="AH28" s="84">
        <f t="shared" si="16"/>
        <v>0</v>
      </c>
      <c r="AI28" s="84">
        <f t="shared" si="17"/>
        <v>0</v>
      </c>
      <c r="AJ28" s="84">
        <f t="shared" si="18"/>
        <v>0</v>
      </c>
    </row>
    <row r="29" spans="1:36" x14ac:dyDescent="0.25">
      <c r="A29" s="106"/>
      <c r="B29" s="37">
        <f t="shared" si="3"/>
        <v>41381</v>
      </c>
      <c r="C29" s="38">
        <f t="shared" si="0"/>
        <v>41381</v>
      </c>
      <c r="D29" s="39" t="str">
        <f>IF(B29="","",IF(VerificaSeFeriado(B29),"Sim",""))</f>
        <v/>
      </c>
      <c r="E29" s="5"/>
      <c r="F29" s="5"/>
      <c r="G29" s="5"/>
      <c r="H29" s="5"/>
      <c r="I29" s="5"/>
      <c r="J29" s="5"/>
      <c r="K29" s="5"/>
      <c r="L29" s="5"/>
      <c r="M29" s="41" t="str">
        <f t="shared" si="4"/>
        <v/>
      </c>
      <c r="N29" s="42" t="str">
        <f t="shared" si="5"/>
        <v/>
      </c>
      <c r="O29" s="43" t="str">
        <f t="shared" si="19"/>
        <v/>
      </c>
      <c r="P29" s="43" t="str">
        <f t="shared" ca="1" si="6"/>
        <v/>
      </c>
      <c r="Q29" s="6"/>
      <c r="R29" s="40">
        <f t="shared" si="7"/>
        <v>0</v>
      </c>
      <c r="S29" s="44" t="str">
        <f>IF(D29="Sim",0,IF((OR(WEEKDAY(C29)=2,WEEKDAY(C29)=3,WEEKDAY(C29)=4,WEEKDAY(C29)=5,WEEKDAY(C29)=6))=TRUE,M29,IF(AND(WEEKDAY(C29)=7,Configurações!$C$11&gt;0)=TRUE,M29,IF(AND(WEEKDAY(C29)=1,Configurações!$C$12&gt;0)=TRUE,M29,0))))</f>
        <v/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8"/>
        <v>0</v>
      </c>
      <c r="W29" s="44">
        <f t="shared" si="9"/>
        <v>0</v>
      </c>
      <c r="X29" s="45">
        <f t="shared" si="10"/>
        <v>0</v>
      </c>
      <c r="Y29" s="44">
        <f t="shared" si="20"/>
        <v>0</v>
      </c>
      <c r="Z29" s="45">
        <f t="shared" si="11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2"/>
        <v/>
      </c>
      <c r="AE29" s="11" t="str">
        <f t="shared" si="13"/>
        <v/>
      </c>
      <c r="AF29" s="83">
        <f t="shared" si="14"/>
        <v>0</v>
      </c>
      <c r="AG29" s="84">
        <f t="shared" si="15"/>
        <v>0</v>
      </c>
      <c r="AH29" s="84">
        <f t="shared" si="16"/>
        <v>0</v>
      </c>
      <c r="AI29" s="84">
        <f t="shared" si="17"/>
        <v>0</v>
      </c>
      <c r="AJ29" s="84">
        <f t="shared" si="18"/>
        <v>0</v>
      </c>
    </row>
    <row r="30" spans="1:36" x14ac:dyDescent="0.25">
      <c r="A30" s="106"/>
      <c r="B30" s="37">
        <f t="shared" si="3"/>
        <v>41382</v>
      </c>
      <c r="C30" s="38">
        <f t="shared" si="0"/>
        <v>41382</v>
      </c>
      <c r="D30" s="39" t="str">
        <f>IF(B30="","",IF(VerificaSeFeriado(B30),"Sim",""))</f>
        <v/>
      </c>
      <c r="E30" s="5"/>
      <c r="F30" s="5"/>
      <c r="G30" s="5"/>
      <c r="H30" s="5"/>
      <c r="I30" s="5"/>
      <c r="J30" s="5"/>
      <c r="K30" s="5"/>
      <c r="L30" s="5"/>
      <c r="M30" s="41" t="str">
        <f t="shared" si="4"/>
        <v/>
      </c>
      <c r="N30" s="42" t="str">
        <f t="shared" si="5"/>
        <v/>
      </c>
      <c r="O30" s="43" t="str">
        <f t="shared" si="19"/>
        <v/>
      </c>
      <c r="P30" s="43" t="str">
        <f t="shared" ca="1" si="6"/>
        <v/>
      </c>
      <c r="Q30" s="6"/>
      <c r="R30" s="40">
        <f t="shared" si="7"/>
        <v>0</v>
      </c>
      <c r="S30" s="44" t="str">
        <f>IF(D30="Sim",0,IF((OR(WEEKDAY(C30)=2,WEEKDAY(C30)=3,WEEKDAY(C30)=4,WEEKDAY(C30)=5,WEEKDAY(C30)=6))=TRUE,M30,IF(AND(WEEKDAY(C30)=7,Configurações!$C$11&gt;0)=TRUE,M30,IF(AND(WEEKDAY(C30)=1,Configurações!$C$12&gt;0)=TRUE,M30,0))))</f>
        <v/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8"/>
        <v>0</v>
      </c>
      <c r="W30" s="44">
        <f t="shared" si="9"/>
        <v>0</v>
      </c>
      <c r="X30" s="45">
        <f t="shared" si="10"/>
        <v>0</v>
      </c>
      <c r="Y30" s="44">
        <f t="shared" si="20"/>
        <v>0</v>
      </c>
      <c r="Z30" s="45">
        <f t="shared" si="11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2"/>
        <v/>
      </c>
      <c r="AE30" s="11" t="str">
        <f t="shared" si="13"/>
        <v/>
      </c>
      <c r="AF30" s="83">
        <f t="shared" si="14"/>
        <v>0</v>
      </c>
      <c r="AG30" s="84">
        <f t="shared" si="15"/>
        <v>0</v>
      </c>
      <c r="AH30" s="84">
        <f t="shared" si="16"/>
        <v>0</v>
      </c>
      <c r="AI30" s="84">
        <f t="shared" si="17"/>
        <v>0</v>
      </c>
      <c r="AJ30" s="84">
        <f t="shared" si="18"/>
        <v>0</v>
      </c>
    </row>
    <row r="31" spans="1:36" x14ac:dyDescent="0.25">
      <c r="A31" s="106"/>
      <c r="B31" s="37">
        <f t="shared" si="3"/>
        <v>41383</v>
      </c>
      <c r="C31" s="38">
        <f t="shared" si="0"/>
        <v>41383</v>
      </c>
      <c r="D31" s="39" t="str">
        <f>IF(B31="","",IF(VerificaSeFeriado(B31),"Sim",""))</f>
        <v/>
      </c>
      <c r="E31" s="5"/>
      <c r="F31" s="5"/>
      <c r="G31" s="5"/>
      <c r="H31" s="5"/>
      <c r="I31" s="5"/>
      <c r="J31" s="5"/>
      <c r="K31" s="5"/>
      <c r="L31" s="5"/>
      <c r="M31" s="41" t="str">
        <f t="shared" si="4"/>
        <v/>
      </c>
      <c r="N31" s="42" t="str">
        <f t="shared" si="5"/>
        <v/>
      </c>
      <c r="O31" s="43" t="str">
        <f t="shared" si="19"/>
        <v/>
      </c>
      <c r="P31" s="43" t="str">
        <f t="shared" ca="1" si="6"/>
        <v/>
      </c>
      <c r="Q31" s="6"/>
      <c r="R31" s="40">
        <f t="shared" si="7"/>
        <v>0</v>
      </c>
      <c r="S31" s="44" t="str">
        <f>IF(D31="Sim",0,IF((OR(WEEKDAY(C31)=2,WEEKDAY(C31)=3,WEEKDAY(C31)=4,WEEKDAY(C31)=5,WEEKDAY(C31)=6))=TRUE,M31,IF(AND(WEEKDAY(C31)=7,Configurações!$C$11&gt;0)=TRUE,M31,IF(AND(WEEKDAY(C31)=1,Configurações!$C$12&gt;0)=TRUE,M31,0))))</f>
        <v/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8"/>
        <v>0</v>
      </c>
      <c r="W31" s="44">
        <f t="shared" si="9"/>
        <v>0</v>
      </c>
      <c r="X31" s="45">
        <f t="shared" si="10"/>
        <v>0</v>
      </c>
      <c r="Y31" s="44">
        <f t="shared" si="20"/>
        <v>0</v>
      </c>
      <c r="Z31" s="45">
        <f t="shared" si="11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2"/>
        <v/>
      </c>
      <c r="AE31" s="11" t="str">
        <f t="shared" si="13"/>
        <v/>
      </c>
      <c r="AF31" s="83">
        <f t="shared" si="14"/>
        <v>0</v>
      </c>
      <c r="AG31" s="84">
        <f t="shared" si="15"/>
        <v>0</v>
      </c>
      <c r="AH31" s="84">
        <f t="shared" si="16"/>
        <v>0</v>
      </c>
      <c r="AI31" s="84">
        <f t="shared" si="17"/>
        <v>0</v>
      </c>
      <c r="AJ31" s="84">
        <f t="shared" si="18"/>
        <v>0</v>
      </c>
    </row>
    <row r="32" spans="1:36" x14ac:dyDescent="0.25">
      <c r="A32" s="106"/>
      <c r="B32" s="37">
        <f t="shared" si="3"/>
        <v>41384</v>
      </c>
      <c r="C32" s="38">
        <f t="shared" si="0"/>
        <v>41384</v>
      </c>
      <c r="D32" s="39" t="str">
        <f>IF(B32="","",IF(VerificaSeFeriado(B32),"Sim",""))</f>
        <v>Sim</v>
      </c>
      <c r="E32" s="5"/>
      <c r="F32" s="5"/>
      <c r="G32" s="5"/>
      <c r="H32" s="5"/>
      <c r="I32" s="5"/>
      <c r="J32" s="5"/>
      <c r="K32" s="5"/>
      <c r="L32" s="5"/>
      <c r="M32" s="41" t="str">
        <f t="shared" si="4"/>
        <v/>
      </c>
      <c r="N32" s="42" t="str">
        <f t="shared" si="5"/>
        <v/>
      </c>
      <c r="O32" s="43" t="str">
        <f t="shared" si="19"/>
        <v/>
      </c>
      <c r="P32" s="43" t="str">
        <f t="shared" ca="1" si="6"/>
        <v/>
      </c>
      <c r="Q32" s="6"/>
      <c r="R32" s="40">
        <f t="shared" si="7"/>
        <v>0</v>
      </c>
      <c r="S32" s="44">
        <f>IF(D32="Sim",0,IF((OR(WEEKDAY(C32)=2,WEEKDAY(C32)=3,WEEKDAY(C32)=4,WEEKDAY(C32)=5,WEEKDAY(C32)=6))=TRUE,M32,IF(AND(WEEKDAY(C32)=7,Configurações!$C$11&gt;0)=TRUE,M32,IF(AND(WEEKDAY(C32)=1,Configurações!$C$12&gt;0)=TRUE,M32,0))))</f>
        <v>0</v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8"/>
        <v>0</v>
      </c>
      <c r="W32" s="44">
        <f t="shared" si="9"/>
        <v>0</v>
      </c>
      <c r="X32" s="45">
        <f t="shared" si="10"/>
        <v>0</v>
      </c>
      <c r="Y32" s="44">
        <f t="shared" si="20"/>
        <v>0</v>
      </c>
      <c r="Z32" s="45">
        <f t="shared" si="11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2"/>
        <v/>
      </c>
      <c r="AE32" s="11" t="str">
        <f t="shared" si="13"/>
        <v/>
      </c>
      <c r="AF32" s="83">
        <f t="shared" si="14"/>
        <v>0</v>
      </c>
      <c r="AG32" s="84">
        <f t="shared" si="15"/>
        <v>0</v>
      </c>
      <c r="AH32" s="84">
        <f t="shared" si="16"/>
        <v>0</v>
      </c>
      <c r="AI32" s="84">
        <f t="shared" si="17"/>
        <v>0</v>
      </c>
      <c r="AJ32" s="84">
        <f t="shared" si="18"/>
        <v>0</v>
      </c>
    </row>
    <row r="33" spans="1:36" x14ac:dyDescent="0.25">
      <c r="A33" s="106"/>
      <c r="B33" s="37">
        <f t="shared" si="3"/>
        <v>41385</v>
      </c>
      <c r="C33" s="38">
        <f t="shared" si="0"/>
        <v>41385</v>
      </c>
      <c r="D33" s="39" t="str">
        <f>IF(B33="","",IF(VerificaSeFeriado(B33),"Sim",""))</f>
        <v/>
      </c>
      <c r="E33" s="5"/>
      <c r="F33" s="5"/>
      <c r="G33" s="5"/>
      <c r="H33" s="5"/>
      <c r="I33" s="5"/>
      <c r="J33" s="5"/>
      <c r="K33" s="5"/>
      <c r="L33" s="5"/>
      <c r="M33" s="41" t="str">
        <f t="shared" si="4"/>
        <v/>
      </c>
      <c r="N33" s="42" t="str">
        <f t="shared" si="5"/>
        <v/>
      </c>
      <c r="O33" s="43" t="str">
        <f t="shared" si="19"/>
        <v/>
      </c>
      <c r="P33" s="43" t="str">
        <f t="shared" ca="1" si="6"/>
        <v/>
      </c>
      <c r="Q33" s="6"/>
      <c r="R33" s="40">
        <f t="shared" si="7"/>
        <v>0</v>
      </c>
      <c r="S33" s="44">
        <f>IF(D33="Sim",0,IF((OR(WEEKDAY(C33)=2,WEEKDAY(C33)=3,WEEKDAY(C33)=4,WEEKDAY(C33)=5,WEEKDAY(C33)=6))=TRUE,M33,IF(AND(WEEKDAY(C33)=7,Configurações!$C$11&gt;0)=TRUE,M33,IF(AND(WEEKDAY(C33)=1,Configurações!$C$12&gt;0)=TRUE,M33,0))))</f>
        <v>0</v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8"/>
        <v>0</v>
      </c>
      <c r="W33" s="44">
        <f t="shared" si="9"/>
        <v>0</v>
      </c>
      <c r="X33" s="45">
        <f t="shared" si="10"/>
        <v>0</v>
      </c>
      <c r="Y33" s="44">
        <f t="shared" si="20"/>
        <v>0</v>
      </c>
      <c r="Z33" s="45">
        <f t="shared" si="11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2"/>
        <v/>
      </c>
      <c r="AE33" s="11" t="str">
        <f t="shared" si="13"/>
        <v/>
      </c>
      <c r="AF33" s="83">
        <f t="shared" si="14"/>
        <v>0</v>
      </c>
      <c r="AG33" s="84">
        <f t="shared" si="15"/>
        <v>0</v>
      </c>
      <c r="AH33" s="84">
        <f t="shared" si="16"/>
        <v>0</v>
      </c>
      <c r="AI33" s="84">
        <f t="shared" si="17"/>
        <v>0</v>
      </c>
      <c r="AJ33" s="84">
        <f t="shared" si="18"/>
        <v>0</v>
      </c>
    </row>
    <row r="34" spans="1:36" x14ac:dyDescent="0.25">
      <c r="A34" s="106"/>
      <c r="B34" s="37">
        <f t="shared" si="3"/>
        <v>41386</v>
      </c>
      <c r="C34" s="38">
        <f t="shared" si="0"/>
        <v>41386</v>
      </c>
      <c r="D34" s="39" t="str">
        <f>IF(B34="","",IF(VerificaSeFeriado(B34),"Sim",""))</f>
        <v/>
      </c>
      <c r="E34" s="5"/>
      <c r="F34" s="5"/>
      <c r="G34" s="5"/>
      <c r="H34" s="5"/>
      <c r="I34" s="5"/>
      <c r="J34" s="5"/>
      <c r="K34" s="5"/>
      <c r="L34" s="5"/>
      <c r="M34" s="41" t="str">
        <f t="shared" si="4"/>
        <v/>
      </c>
      <c r="N34" s="42" t="str">
        <f t="shared" si="5"/>
        <v/>
      </c>
      <c r="O34" s="43" t="str">
        <f t="shared" si="19"/>
        <v/>
      </c>
      <c r="P34" s="43" t="str">
        <f t="shared" ca="1" si="6"/>
        <v/>
      </c>
      <c r="Q34" s="6"/>
      <c r="R34" s="40">
        <f t="shared" si="7"/>
        <v>0</v>
      </c>
      <c r="S34" s="44">
        <f>IF(D34="Sim",0,IF((OR(WEEKDAY(C34)=2,WEEKDAY(C34)=3,WEEKDAY(C34)=4,WEEKDAY(C34)=5,WEEKDAY(C34)=6))=TRUE,M34,IF(AND(WEEKDAY(C34)=7,Configurações!$C$11&gt;0)=TRUE,M34,IF(AND(WEEKDAY(C34)=1,Configurações!$C$12&gt;0)=TRUE,M34,0))))</f>
        <v>0</v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8"/>
        <v>0</v>
      </c>
      <c r="W34" s="44">
        <f t="shared" si="9"/>
        <v>0</v>
      </c>
      <c r="X34" s="45">
        <f t="shared" si="10"/>
        <v>0</v>
      </c>
      <c r="Y34" s="44">
        <f t="shared" si="20"/>
        <v>0</v>
      </c>
      <c r="Z34" s="45">
        <f t="shared" si="11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2"/>
        <v/>
      </c>
      <c r="AE34" s="11" t="str">
        <f t="shared" si="13"/>
        <v/>
      </c>
      <c r="AF34" s="83">
        <f t="shared" si="14"/>
        <v>0</v>
      </c>
      <c r="AG34" s="84">
        <f t="shared" si="15"/>
        <v>0</v>
      </c>
      <c r="AH34" s="84">
        <f t="shared" si="16"/>
        <v>0</v>
      </c>
      <c r="AI34" s="84">
        <f t="shared" si="17"/>
        <v>0</v>
      </c>
      <c r="AJ34" s="84">
        <f t="shared" si="18"/>
        <v>0</v>
      </c>
    </row>
    <row r="35" spans="1:36" x14ac:dyDescent="0.25">
      <c r="A35" s="106"/>
      <c r="B35" s="37">
        <f t="shared" si="3"/>
        <v>41387</v>
      </c>
      <c r="C35" s="38">
        <f t="shared" si="0"/>
        <v>41387</v>
      </c>
      <c r="D35" s="39" t="str">
        <f>IF(B35="","",IF(VerificaSeFeriado(B35),"Sim",""))</f>
        <v/>
      </c>
      <c r="E35" s="5"/>
      <c r="F35" s="5"/>
      <c r="G35" s="5"/>
      <c r="H35" s="5"/>
      <c r="I35" s="5"/>
      <c r="J35" s="5"/>
      <c r="K35" s="5"/>
      <c r="L35" s="5"/>
      <c r="M35" s="41" t="str">
        <f t="shared" si="4"/>
        <v/>
      </c>
      <c r="N35" s="42" t="str">
        <f t="shared" si="5"/>
        <v/>
      </c>
      <c r="O35" s="43" t="str">
        <f t="shared" si="19"/>
        <v/>
      </c>
      <c r="P35" s="43" t="str">
        <f t="shared" ca="1" si="6"/>
        <v/>
      </c>
      <c r="Q35" s="6"/>
      <c r="R35" s="40">
        <f t="shared" si="7"/>
        <v>0</v>
      </c>
      <c r="S35" s="44" t="str">
        <f>IF(D35="Sim",0,IF((OR(WEEKDAY(C35)=2,WEEKDAY(C35)=3,WEEKDAY(C35)=4,WEEKDAY(C35)=5,WEEKDAY(C35)=6))=TRUE,M35,IF(AND(WEEKDAY(C35)=7,Configurações!$C$11&gt;0)=TRUE,M35,IF(AND(WEEKDAY(C35)=1,Configurações!$C$12&gt;0)=TRUE,M35,0))))</f>
        <v/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</v>
      </c>
      <c r="V35" s="44">
        <f t="shared" si="8"/>
        <v>0</v>
      </c>
      <c r="W35" s="44">
        <f t="shared" si="9"/>
        <v>0</v>
      </c>
      <c r="X35" s="45">
        <f t="shared" si="10"/>
        <v>0</v>
      </c>
      <c r="Y35" s="44">
        <f t="shared" si="20"/>
        <v>0</v>
      </c>
      <c r="Z35" s="45">
        <f t="shared" si="11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2"/>
        <v/>
      </c>
      <c r="AE35" s="11" t="str">
        <f t="shared" si="13"/>
        <v/>
      </c>
      <c r="AF35" s="83">
        <f t="shared" si="14"/>
        <v>0</v>
      </c>
      <c r="AG35" s="84">
        <f t="shared" si="15"/>
        <v>0</v>
      </c>
      <c r="AH35" s="84">
        <f t="shared" si="16"/>
        <v>0</v>
      </c>
      <c r="AI35" s="84">
        <f t="shared" si="17"/>
        <v>0</v>
      </c>
      <c r="AJ35" s="84">
        <f t="shared" si="18"/>
        <v>0</v>
      </c>
    </row>
    <row r="36" spans="1:36" x14ac:dyDescent="0.25">
      <c r="A36" s="106"/>
      <c r="B36" s="37">
        <f t="shared" si="3"/>
        <v>41388</v>
      </c>
      <c r="C36" s="38">
        <f t="shared" si="0"/>
        <v>41388</v>
      </c>
      <c r="D36" s="39" t="str">
        <f>IF(B36="","",IF(VerificaSeFeriado(B36),"Sim",""))</f>
        <v/>
      </c>
      <c r="E36" s="5"/>
      <c r="F36" s="5"/>
      <c r="G36" s="5"/>
      <c r="H36" s="5"/>
      <c r="I36" s="5"/>
      <c r="J36" s="5"/>
      <c r="K36" s="5"/>
      <c r="L36" s="5"/>
      <c r="M36" s="41" t="str">
        <f t="shared" si="4"/>
        <v/>
      </c>
      <c r="N36" s="42" t="str">
        <f t="shared" si="5"/>
        <v/>
      </c>
      <c r="O36" s="43" t="str">
        <f t="shared" si="19"/>
        <v/>
      </c>
      <c r="P36" s="43" t="str">
        <f t="shared" ca="1" si="6"/>
        <v/>
      </c>
      <c r="Q36" s="6"/>
      <c r="R36" s="40">
        <f t="shared" si="7"/>
        <v>0</v>
      </c>
      <c r="S36" s="44" t="str">
        <f>IF(D36="Sim",0,IF((OR(WEEKDAY(C36)=2,WEEKDAY(C36)=3,WEEKDAY(C36)=4,WEEKDAY(C36)=5,WEEKDAY(C36)=6))=TRUE,M36,IF(AND(WEEKDAY(C36)=7,Configurações!$C$11&gt;0)=TRUE,M36,IF(AND(WEEKDAY(C36)=1,Configurações!$C$12&gt;0)=TRUE,M36,0))))</f>
        <v/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8"/>
        <v>0</v>
      </c>
      <c r="W36" s="44">
        <f t="shared" si="9"/>
        <v>0</v>
      </c>
      <c r="X36" s="45">
        <f t="shared" si="10"/>
        <v>0</v>
      </c>
      <c r="Y36" s="44">
        <f t="shared" si="20"/>
        <v>0</v>
      </c>
      <c r="Z36" s="45">
        <f t="shared" si="11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2"/>
        <v/>
      </c>
      <c r="AE36" s="11" t="str">
        <f t="shared" si="13"/>
        <v/>
      </c>
      <c r="AF36" s="83">
        <f t="shared" si="14"/>
        <v>0</v>
      </c>
      <c r="AG36" s="84">
        <f t="shared" si="15"/>
        <v>0</v>
      </c>
      <c r="AH36" s="84">
        <f t="shared" si="16"/>
        <v>0</v>
      </c>
      <c r="AI36" s="84">
        <f t="shared" si="17"/>
        <v>0</v>
      </c>
      <c r="AJ36" s="84">
        <f t="shared" si="18"/>
        <v>0</v>
      </c>
    </row>
    <row r="37" spans="1:36" x14ac:dyDescent="0.25">
      <c r="A37" s="106"/>
      <c r="B37" s="37">
        <f t="shared" si="3"/>
        <v>41389</v>
      </c>
      <c r="C37" s="38">
        <f t="shared" si="0"/>
        <v>41389</v>
      </c>
      <c r="D37" s="39" t="str">
        <f>IF(B37="","",IF(VerificaSeFeriado(B37),"Sim",""))</f>
        <v/>
      </c>
      <c r="E37" s="5"/>
      <c r="F37" s="5"/>
      <c r="G37" s="5"/>
      <c r="H37" s="5"/>
      <c r="I37" s="5"/>
      <c r="J37" s="5"/>
      <c r="K37" s="5"/>
      <c r="L37" s="5"/>
      <c r="M37" s="41" t="str">
        <f t="shared" si="4"/>
        <v/>
      </c>
      <c r="N37" s="42" t="str">
        <f t="shared" si="5"/>
        <v/>
      </c>
      <c r="O37" s="43" t="str">
        <f t="shared" si="19"/>
        <v/>
      </c>
      <c r="P37" s="43" t="str">
        <f t="shared" ca="1" si="6"/>
        <v/>
      </c>
      <c r="Q37" s="6"/>
      <c r="R37" s="40">
        <f t="shared" si="7"/>
        <v>0</v>
      </c>
      <c r="S37" s="44" t="str">
        <f>IF(D37="Sim",0,IF((OR(WEEKDAY(C37)=2,WEEKDAY(C37)=3,WEEKDAY(C37)=4,WEEKDAY(C37)=5,WEEKDAY(C37)=6))=TRUE,M37,IF(AND(WEEKDAY(C37)=7,Configurações!$C$11&gt;0)=TRUE,M37,IF(AND(WEEKDAY(C37)=1,Configurações!$C$12&gt;0)=TRUE,M37,0))))</f>
        <v/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8"/>
        <v>0</v>
      </c>
      <c r="W37" s="44">
        <f t="shared" si="9"/>
        <v>0</v>
      </c>
      <c r="X37" s="45">
        <f t="shared" si="10"/>
        <v>0</v>
      </c>
      <c r="Y37" s="44">
        <f t="shared" si="20"/>
        <v>0</v>
      </c>
      <c r="Z37" s="45">
        <f t="shared" si="11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2"/>
        <v/>
      </c>
      <c r="AE37" s="11" t="str">
        <f t="shared" si="13"/>
        <v/>
      </c>
      <c r="AF37" s="83">
        <f t="shared" si="14"/>
        <v>0</v>
      </c>
      <c r="AG37" s="84">
        <f t="shared" si="15"/>
        <v>0</v>
      </c>
      <c r="AH37" s="84">
        <f t="shared" si="16"/>
        <v>0</v>
      </c>
      <c r="AI37" s="84">
        <f t="shared" si="17"/>
        <v>0</v>
      </c>
      <c r="AJ37" s="84">
        <f t="shared" si="18"/>
        <v>0</v>
      </c>
    </row>
    <row r="38" spans="1:36" x14ac:dyDescent="0.25">
      <c r="A38" s="106"/>
      <c r="B38" s="37">
        <f t="shared" si="3"/>
        <v>41390</v>
      </c>
      <c r="C38" s="38">
        <f t="shared" si="0"/>
        <v>41390</v>
      </c>
      <c r="D38" s="39" t="str">
        <f>IF(B38="","",IF(VerificaSeFeriado(B38),"Sim",""))</f>
        <v/>
      </c>
      <c r="E38" s="5"/>
      <c r="F38" s="5"/>
      <c r="G38" s="5"/>
      <c r="H38" s="5"/>
      <c r="I38" s="5"/>
      <c r="J38" s="5"/>
      <c r="K38" s="5"/>
      <c r="L38" s="5"/>
      <c r="M38" s="41" t="str">
        <f t="shared" si="4"/>
        <v/>
      </c>
      <c r="N38" s="42" t="str">
        <f t="shared" si="5"/>
        <v/>
      </c>
      <c r="O38" s="43" t="str">
        <f t="shared" si="19"/>
        <v/>
      </c>
      <c r="P38" s="43" t="str">
        <f t="shared" ca="1" si="6"/>
        <v/>
      </c>
      <c r="Q38" s="6"/>
      <c r="R38" s="40">
        <f t="shared" si="7"/>
        <v>0</v>
      </c>
      <c r="S38" s="44" t="str">
        <f>IF(D38="Sim",0,IF((OR(WEEKDAY(C38)=2,WEEKDAY(C38)=3,WEEKDAY(C38)=4,WEEKDAY(C38)=5,WEEKDAY(C38)=6))=TRUE,M38,IF(AND(WEEKDAY(C38)=7,Configurações!$C$11&gt;0)=TRUE,M38,IF(AND(WEEKDAY(C38)=1,Configurações!$C$12&gt;0)=TRUE,M38,0))))</f>
        <v/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8"/>
        <v>0</v>
      </c>
      <c r="W38" s="44">
        <f t="shared" si="9"/>
        <v>0</v>
      </c>
      <c r="X38" s="45">
        <f t="shared" si="10"/>
        <v>0</v>
      </c>
      <c r="Y38" s="44">
        <f t="shared" si="20"/>
        <v>0</v>
      </c>
      <c r="Z38" s="45">
        <f t="shared" si="11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2"/>
        <v/>
      </c>
      <c r="AE38" s="11" t="str">
        <f t="shared" si="13"/>
        <v/>
      </c>
      <c r="AF38" s="83">
        <f t="shared" si="14"/>
        <v>0</v>
      </c>
      <c r="AG38" s="84">
        <f t="shared" si="15"/>
        <v>0</v>
      </c>
      <c r="AH38" s="84">
        <f t="shared" si="16"/>
        <v>0</v>
      </c>
      <c r="AI38" s="84">
        <f t="shared" si="17"/>
        <v>0</v>
      </c>
      <c r="AJ38" s="84">
        <f t="shared" si="18"/>
        <v>0</v>
      </c>
    </row>
    <row r="39" spans="1:36" x14ac:dyDescent="0.25">
      <c r="A39" s="106"/>
      <c r="B39" s="37">
        <f t="shared" si="3"/>
        <v>41391</v>
      </c>
      <c r="C39" s="38">
        <f t="shared" si="0"/>
        <v>41391</v>
      </c>
      <c r="D39" s="39" t="str">
        <f>IF(B39="","",IF(VerificaSeFeriado(B39),"Sim",""))</f>
        <v/>
      </c>
      <c r="E39" s="5"/>
      <c r="F39" s="5"/>
      <c r="G39" s="5"/>
      <c r="H39" s="5"/>
      <c r="I39" s="5"/>
      <c r="J39" s="5"/>
      <c r="K39" s="5"/>
      <c r="L39" s="5"/>
      <c r="M39" s="41" t="str">
        <f t="shared" si="4"/>
        <v/>
      </c>
      <c r="N39" s="42" t="str">
        <f t="shared" si="5"/>
        <v/>
      </c>
      <c r="O39" s="43" t="str">
        <f t="shared" si="19"/>
        <v/>
      </c>
      <c r="P39" s="43" t="str">
        <f t="shared" ca="1" si="6"/>
        <v/>
      </c>
      <c r="Q39" s="6"/>
      <c r="R39" s="40">
        <f t="shared" si="7"/>
        <v>0</v>
      </c>
      <c r="S39" s="44" t="str">
        <f>IF(D39="Sim",0,IF((OR(WEEKDAY(C39)=2,WEEKDAY(C39)=3,WEEKDAY(C39)=4,WEEKDAY(C39)=5,WEEKDAY(C39)=6))=TRUE,M39,IF(AND(WEEKDAY(C39)=7,Configurações!$C$11&gt;0)=TRUE,M39,IF(AND(WEEKDAY(C39)=1,Configurações!$C$12&gt;0)=TRUE,M39,0))))</f>
        <v/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8"/>
        <v>0</v>
      </c>
      <c r="W39" s="44">
        <f t="shared" si="9"/>
        <v>0</v>
      </c>
      <c r="X39" s="45">
        <f t="shared" si="10"/>
        <v>0</v>
      </c>
      <c r="Y39" s="44">
        <f t="shared" si="20"/>
        <v>0</v>
      </c>
      <c r="Z39" s="45">
        <f t="shared" si="11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2"/>
        <v/>
      </c>
      <c r="AE39" s="11" t="str">
        <f t="shared" si="13"/>
        <v/>
      </c>
      <c r="AF39" s="83">
        <f t="shared" si="14"/>
        <v>0</v>
      </c>
      <c r="AG39" s="84">
        <f t="shared" si="15"/>
        <v>0</v>
      </c>
      <c r="AH39" s="84">
        <f t="shared" si="16"/>
        <v>0</v>
      </c>
      <c r="AI39" s="84">
        <f t="shared" si="17"/>
        <v>0</v>
      </c>
      <c r="AJ39" s="84">
        <f t="shared" si="18"/>
        <v>0</v>
      </c>
    </row>
    <row r="40" spans="1:36" x14ac:dyDescent="0.25">
      <c r="A40" s="106"/>
      <c r="B40" s="37">
        <f t="shared" si="3"/>
        <v>41392</v>
      </c>
      <c r="C40" s="38">
        <f t="shared" si="0"/>
        <v>41392</v>
      </c>
      <c r="D40" s="39" t="str">
        <f>IF(B40="","",IF(VerificaSeFeriado(B40),"Sim",""))</f>
        <v/>
      </c>
      <c r="E40" s="5"/>
      <c r="F40" s="5"/>
      <c r="G40" s="5"/>
      <c r="H40" s="5"/>
      <c r="I40" s="5"/>
      <c r="J40" s="5"/>
      <c r="K40" s="5"/>
      <c r="L40" s="5"/>
      <c r="M40" s="41" t="str">
        <f t="shared" si="4"/>
        <v/>
      </c>
      <c r="N40" s="42" t="str">
        <f t="shared" si="5"/>
        <v/>
      </c>
      <c r="O40" s="43" t="str">
        <f t="shared" si="19"/>
        <v/>
      </c>
      <c r="P40" s="43" t="str">
        <f t="shared" ca="1" si="6"/>
        <v/>
      </c>
      <c r="Q40" s="6"/>
      <c r="R40" s="40">
        <f t="shared" si="7"/>
        <v>0</v>
      </c>
      <c r="S40" s="44">
        <f>IF(D40="Sim",0,IF((OR(WEEKDAY(C40)=2,WEEKDAY(C40)=3,WEEKDAY(C40)=4,WEEKDAY(C40)=5,WEEKDAY(C40)=6))=TRUE,M40,IF(AND(WEEKDAY(C40)=7,Configurações!$C$11&gt;0)=TRUE,M40,IF(AND(WEEKDAY(C40)=1,Configurações!$C$12&gt;0)=TRUE,M40,0))))</f>
        <v>0</v>
      </c>
      <c r="T40" s="44">
        <f>IF(D40="Sim",0,IF(AND(WEEKDAY(C40)=7,Configurações!$C$11&lt;=0)=TRUE,R40,0))</f>
        <v>0</v>
      </c>
      <c r="U40" s="44">
        <f>IF(D40="Sim",0,IF(AND(WEEKDAY(C40)=1,Configurações!$C$12&lt;=0)=TRUE,R40,0))</f>
        <v>0</v>
      </c>
      <c r="V40" s="44">
        <f t="shared" si="8"/>
        <v>0</v>
      </c>
      <c r="W40" s="44">
        <f t="shared" si="9"/>
        <v>0</v>
      </c>
      <c r="X40" s="45">
        <f t="shared" si="10"/>
        <v>0</v>
      </c>
      <c r="Y40" s="44">
        <f t="shared" si="20"/>
        <v>0</v>
      </c>
      <c r="Z40" s="45">
        <f t="shared" si="11"/>
        <v>0</v>
      </c>
      <c r="AA40" s="12" t="str">
        <f>IF(D40="Sim","Não",IF(AND(WEEKDAY(C40)=1,Configurações!$C$12&gt;0),"Sim",IF(AND(WEEKDAY(C40)=2,Configurações!$C$6&gt;0),"Sim",IF(AND(WEEKDAY(C40)=3,Configurações!$C$7&gt;0),"Sim",IF(AND(WEEKDAY(C40)=4,Configurações!$C$8&gt;0),"Sim",IF(AND(WEEKDAY(C40)=5,Configurações!$C$9&gt;0),"Sim",IF(AND(WEEKDAY(C40)=6,Configurações!$C$10&gt;0),"Sim",IF(AND(WEEKDAY(C40)=7,Configurações!$C$11&gt;0),"Sim","Não"))))))))</f>
        <v>Não</v>
      </c>
      <c r="AB40" s="44">
        <f>IF(D40="Sim",0,IF(WEEKDAY(C40)=2,Configurações!$C$6-Configurações!$E$6,IF(WEEKDAY(C40)=3,Configurações!$C$7-Configurações!$E$7,IF(WEEKDAY(C40)=4,Configurações!$C$8-Configurações!$E$8,IF(WEEKDAY(C40)=5,Configurações!$C$9-Configurações!$E$9,IF(WEEKDAY(C40)=6,Configurações!$C$10-Configurações!$E$10,IF(WEEKDAY(C40)=7,Configurações!$C$11-Configurações!$E$11,IF(WEEKDAY(C40)=1,Configurações!$C$12-Configurações!$E$12,""))))))))</f>
        <v>0</v>
      </c>
      <c r="AC40" s="44">
        <f>IF(D40="Sim",0,IF(WEEKDAY(C40)=2,Configurações!$E$6,IF(WEEKDAY(C40)=3,Configurações!$E$7,IF(WEEKDAY(C40)=4,Configurações!$E$8,IF(WEEKDAY(C40)=5,Configurações!$E$9,IF(WEEKDAY(C40)=6,Configurações!$E$10,IF(WEEKDAY(C40)=7,Configurações!$E$11,IF(WEEKDAY(C40)=1,Configurações!$E$12,""))))))))</f>
        <v>0</v>
      </c>
      <c r="AD40" s="11" t="str">
        <f t="shared" si="12"/>
        <v/>
      </c>
      <c r="AE40" s="11" t="str">
        <f t="shared" si="13"/>
        <v/>
      </c>
      <c r="AF40" s="83">
        <f t="shared" si="14"/>
        <v>0</v>
      </c>
      <c r="AG40" s="84">
        <f t="shared" si="15"/>
        <v>0</v>
      </c>
      <c r="AH40" s="84">
        <f t="shared" si="16"/>
        <v>0</v>
      </c>
      <c r="AI40" s="84">
        <f t="shared" si="17"/>
        <v>0</v>
      </c>
      <c r="AJ40" s="84">
        <f t="shared" si="18"/>
        <v>0</v>
      </c>
    </row>
    <row r="41" spans="1:36" x14ac:dyDescent="0.25">
      <c r="A41" s="106"/>
      <c r="B41" s="37">
        <f t="shared" si="3"/>
        <v>41393</v>
      </c>
      <c r="C41" s="38">
        <f t="shared" si="0"/>
        <v>41393</v>
      </c>
      <c r="D41" s="39" t="str">
        <f>IF(B41="","",IF(VerificaSeFeriado(B41),"Sim",""))</f>
        <v/>
      </c>
      <c r="E41" s="5"/>
      <c r="F41" s="5"/>
      <c r="G41" s="5"/>
      <c r="H41" s="5"/>
      <c r="I41" s="5"/>
      <c r="J41" s="5"/>
      <c r="K41" s="5"/>
      <c r="L41" s="5"/>
      <c r="M41" s="41" t="str">
        <f t="shared" si="4"/>
        <v/>
      </c>
      <c r="N41" s="42" t="str">
        <f t="shared" si="5"/>
        <v/>
      </c>
      <c r="O41" s="43" t="str">
        <f t="shared" si="19"/>
        <v/>
      </c>
      <c r="P41" s="43" t="str">
        <f t="shared" ca="1" si="6"/>
        <v/>
      </c>
      <c r="Q41" s="6"/>
      <c r="R41" s="40">
        <f t="shared" si="7"/>
        <v>0</v>
      </c>
      <c r="S41" s="44">
        <f>IF(D41="Sim",0,IF((OR(WEEKDAY(C41)=2,WEEKDAY(C41)=3,WEEKDAY(C41)=4,WEEKDAY(C41)=5,WEEKDAY(C41)=6))=TRUE,M41,IF(AND(WEEKDAY(C41)=7,Configurações!$C$11&gt;0)=TRUE,M41,IF(AND(WEEKDAY(C41)=1,Configurações!$C$12&gt;0)=TRUE,M41,0))))</f>
        <v>0</v>
      </c>
      <c r="T41" s="44">
        <f>IF(D41="Sim",0,IF(AND(WEEKDAY(C41)=7,Configurações!$C$11&lt;=0)=TRUE,R41,0))</f>
        <v>0</v>
      </c>
      <c r="U41" s="44">
        <f>IF(D41="Sim",0,IF(AND(WEEKDAY(C41)=1,Configurações!$C$12&lt;=0)=TRUE,R41,0))</f>
        <v>0</v>
      </c>
      <c r="V41" s="44">
        <f t="shared" si="8"/>
        <v>0</v>
      </c>
      <c r="W41" s="44">
        <f t="shared" si="9"/>
        <v>0</v>
      </c>
      <c r="X41" s="45">
        <f t="shared" si="10"/>
        <v>0</v>
      </c>
      <c r="Y41" s="44">
        <f t="shared" si="20"/>
        <v>0</v>
      </c>
      <c r="Z41" s="45">
        <f t="shared" si="11"/>
        <v>0</v>
      </c>
      <c r="AA41" s="12" t="str">
        <f>IF(D41="Sim","Não",IF(AND(WEEKDAY(C41)=1,Configurações!$C$12&gt;0),"Sim",IF(AND(WEEKDAY(C41)=2,Configurações!$C$6&gt;0),"Sim",IF(AND(WEEKDAY(C41)=3,Configurações!$C$7&gt;0),"Sim",IF(AND(WEEKDAY(C41)=4,Configurações!$C$8&gt;0),"Sim",IF(AND(WEEKDAY(C41)=5,Configurações!$C$9&gt;0),"Sim",IF(AND(WEEKDAY(C41)=6,Configurações!$C$10&gt;0),"Sim",IF(AND(WEEKDAY(C41)=7,Configurações!$C$11&gt;0),"Sim","Não"))))))))</f>
        <v>Não</v>
      </c>
      <c r="AB41" s="44">
        <f>IF(D41="Sim",0,IF(WEEKDAY(C41)=2,Configurações!$C$6-Configurações!$E$6,IF(WEEKDAY(C41)=3,Configurações!$C$7-Configurações!$E$7,IF(WEEKDAY(C41)=4,Configurações!$C$8-Configurações!$E$8,IF(WEEKDAY(C41)=5,Configurações!$C$9-Configurações!$E$9,IF(WEEKDAY(C41)=6,Configurações!$C$10-Configurações!$E$10,IF(WEEKDAY(C41)=7,Configurações!$C$11-Configurações!$E$11,IF(WEEKDAY(C41)=1,Configurações!$C$12-Configurações!$E$12,""))))))))</f>
        <v>0</v>
      </c>
      <c r="AC41" s="44">
        <f>IF(D41="Sim",0,IF(WEEKDAY(C41)=2,Configurações!$E$6,IF(WEEKDAY(C41)=3,Configurações!$E$7,IF(WEEKDAY(C41)=4,Configurações!$E$8,IF(WEEKDAY(C41)=5,Configurações!$E$9,IF(WEEKDAY(C41)=6,Configurações!$E$10,IF(WEEKDAY(C41)=7,Configurações!$E$11,IF(WEEKDAY(C41)=1,Configurações!$E$12,""))))))))</f>
        <v>0</v>
      </c>
      <c r="AD41" s="11" t="str">
        <f t="shared" si="12"/>
        <v/>
      </c>
      <c r="AE41" s="11" t="str">
        <f t="shared" si="13"/>
        <v/>
      </c>
      <c r="AF41" s="83">
        <f t="shared" si="14"/>
        <v>0</v>
      </c>
      <c r="AG41" s="84">
        <f t="shared" si="15"/>
        <v>0</v>
      </c>
      <c r="AH41" s="84">
        <f t="shared" si="16"/>
        <v>0</v>
      </c>
      <c r="AI41" s="84">
        <f t="shared" si="17"/>
        <v>0</v>
      </c>
      <c r="AJ41" s="84">
        <f t="shared" si="18"/>
        <v>0</v>
      </c>
    </row>
    <row r="42" spans="1:36" x14ac:dyDescent="0.25">
      <c r="B42" s="46"/>
    </row>
    <row r="44" spans="1:36" x14ac:dyDescent="0.25">
      <c r="C44" s="32"/>
      <c r="D44" s="32"/>
    </row>
    <row r="45" spans="1:36" x14ac:dyDescent="0.25">
      <c r="C45" s="32"/>
      <c r="D45" s="32"/>
    </row>
    <row r="46" spans="1:36" x14ac:dyDescent="0.25">
      <c r="C46" s="32"/>
      <c r="D46" s="32"/>
    </row>
    <row r="47" spans="1:36" x14ac:dyDescent="0.25">
      <c r="C47" s="32"/>
      <c r="D47" s="32"/>
    </row>
    <row r="48" spans="1:36" s="9" customFormat="1" x14ac:dyDescent="0.25">
      <c r="A48" s="10"/>
      <c r="C48" s="32"/>
      <c r="D48" s="32"/>
      <c r="M48" s="10"/>
      <c r="N48" s="10"/>
      <c r="O48" s="10"/>
      <c r="P48" s="10"/>
      <c r="Q48" s="10"/>
      <c r="S48" s="11"/>
      <c r="T48" s="11"/>
      <c r="U48" s="11"/>
      <c r="V48" s="11"/>
      <c r="W48" s="11"/>
      <c r="X48" s="11"/>
      <c r="Y48" s="11"/>
      <c r="Z48" s="11"/>
      <c r="AA48" s="12"/>
      <c r="AB48" s="12"/>
      <c r="AC48" s="12"/>
      <c r="AD48" s="11"/>
      <c r="AE48" s="11"/>
      <c r="AF48" s="10"/>
    </row>
    <row r="49" spans="1:32" s="9" customFormat="1" x14ac:dyDescent="0.25">
      <c r="A49" s="10"/>
      <c r="C49" s="32"/>
      <c r="D49" s="32"/>
      <c r="M49" s="10"/>
      <c r="N49" s="10"/>
      <c r="O49" s="10"/>
      <c r="P49" s="10"/>
      <c r="Q49" s="10"/>
      <c r="S49" s="11"/>
      <c r="T49" s="11"/>
      <c r="U49" s="11"/>
      <c r="V49" s="11"/>
      <c r="W49" s="11"/>
      <c r="X49" s="11"/>
      <c r="Y49" s="11"/>
      <c r="Z49" s="11"/>
      <c r="AA49" s="12"/>
      <c r="AB49" s="12"/>
      <c r="AC49" s="12"/>
      <c r="AD49" s="11"/>
      <c r="AE49" s="11"/>
      <c r="AF49" s="10"/>
    </row>
  </sheetData>
  <sheetProtection algorithmName="SHA-512" hashValue="c/JVqOHqxX2MSkweXbbRGpjtBBYQbksc0lN66bFUE7maM7z4gQysWmVlkPAbC1ehgmZhOvAvKEuCwlRv+ubeEw==" saltValue="0IOOAcsgCbOjS0e5b43olA==" spinCount="100000" sheet="1" objects="1" scenarios="1" selectLockedCells="1"/>
  <mergeCells count="18">
    <mergeCell ref="L4:M4"/>
    <mergeCell ref="O4:Q4"/>
    <mergeCell ref="E5:F5"/>
    <mergeCell ref="O5:P5"/>
    <mergeCell ref="E6:F6"/>
    <mergeCell ref="A11:A41"/>
    <mergeCell ref="F11:G11"/>
    <mergeCell ref="J11:K11"/>
    <mergeCell ref="A2:D2"/>
    <mergeCell ref="A3:D7"/>
    <mergeCell ref="E4:G4"/>
    <mergeCell ref="I4:J4"/>
    <mergeCell ref="E7:F7"/>
    <mergeCell ref="O7:P7"/>
    <mergeCell ref="E8:F8"/>
    <mergeCell ref="L8:M8"/>
    <mergeCell ref="E9:F9"/>
    <mergeCell ref="L9:M9"/>
  </mergeCells>
  <conditionalFormatting sqref="G5">
    <cfRule type="expression" dxfId="269" priority="28">
      <formula>$G$5&lt;=0</formula>
    </cfRule>
    <cfRule type="expression" dxfId="268" priority="29">
      <formula>$G$5&gt;0</formula>
    </cfRule>
  </conditionalFormatting>
  <conditionalFormatting sqref="G6">
    <cfRule type="expression" dxfId="267" priority="26">
      <formula>$G$6&gt;=0</formula>
    </cfRule>
    <cfRule type="expression" dxfId="266" priority="27">
      <formula>$G$6&lt;0</formula>
    </cfRule>
  </conditionalFormatting>
  <conditionalFormatting sqref="P9">
    <cfRule type="expression" dxfId="265" priority="23">
      <formula>$P$9&lt;0</formula>
    </cfRule>
    <cfRule type="expression" dxfId="264" priority="24">
      <formula>$P$9=0</formula>
    </cfRule>
    <cfRule type="expression" dxfId="263" priority="25">
      <formula>$P$9&gt;0</formula>
    </cfRule>
  </conditionalFormatting>
  <conditionalFormatting sqref="P8">
    <cfRule type="expression" dxfId="262" priority="20">
      <formula>$P$8&lt;0</formula>
    </cfRule>
    <cfRule type="expression" dxfId="261" priority="21">
      <formula>$P$8=0</formula>
    </cfRule>
    <cfRule type="expression" dxfId="260" priority="22">
      <formula>$P$8&gt;0</formula>
    </cfRule>
  </conditionalFormatting>
  <conditionalFormatting sqref="G9">
    <cfRule type="expression" dxfId="259" priority="17">
      <formula>$G$9&lt;0</formula>
    </cfRule>
    <cfRule type="expression" priority="18">
      <formula>$G$9=0</formula>
    </cfRule>
    <cfRule type="expression" dxfId="258" priority="19">
      <formula>$G$9&gt;0</formula>
    </cfRule>
  </conditionalFormatting>
  <conditionalFormatting sqref="P12:P41">
    <cfRule type="expression" dxfId="257" priority="16">
      <formula>$P12=0</formula>
    </cfRule>
  </conditionalFormatting>
  <conditionalFormatting sqref="G5:G9">
    <cfRule type="expression" dxfId="256" priority="13">
      <formula>$G5=0</formula>
    </cfRule>
    <cfRule type="expression" dxfId="255" priority="14">
      <formula>$G5&lt;0</formula>
    </cfRule>
    <cfRule type="expression" dxfId="254" priority="15">
      <formula>$G5&gt;0</formula>
    </cfRule>
  </conditionalFormatting>
  <conditionalFormatting sqref="B12:R41">
    <cfRule type="expression" dxfId="253" priority="7">
      <formula>$B12=""</formula>
    </cfRule>
    <cfRule type="expression" dxfId="252" priority="8">
      <formula>$D12="Sim"</formula>
    </cfRule>
    <cfRule type="expression" dxfId="251" priority="11">
      <formula>MOD(ROW(),2)=0</formula>
    </cfRule>
    <cfRule type="expression" dxfId="250" priority="12">
      <formula>MOD(ROW(),2)=1</formula>
    </cfRule>
  </conditionalFormatting>
  <conditionalFormatting sqref="M12:N41">
    <cfRule type="expression" dxfId="249" priority="5">
      <formula>$M12=0</formula>
    </cfRule>
  </conditionalFormatting>
  <conditionalFormatting sqref="L9:N9">
    <cfRule type="expression" dxfId="248" priority="2">
      <formula>$L$9&gt;0</formula>
    </cfRule>
    <cfRule type="expression" dxfId="247" priority="3">
      <formula>$L$9=0</formula>
    </cfRule>
    <cfRule type="expression" dxfId="246" priority="4">
      <formula>$L$9&lt;0</formula>
    </cfRule>
  </conditionalFormatting>
  <conditionalFormatting sqref="N5 M6">
    <cfRule type="expression" dxfId="245" priority="30">
      <formula>$M$6&lt;0</formula>
    </cfRule>
  </conditionalFormatting>
  <conditionalFormatting sqref="N4 M5">
    <cfRule type="expression" dxfId="244" priority="31">
      <formula>$M$5&gt;0</formula>
    </cfRule>
  </conditionalFormatting>
  <conditionalFormatting sqref="J5:J9">
    <cfRule type="expression" dxfId="243" priority="1">
      <formula>$J5&gt;0</formula>
    </cfRule>
  </conditionalFormatting>
  <dataValidations count="2">
    <dataValidation operator="greaterThanOrEqual" allowBlank="1" showInputMessage="1" showErrorMessage="1" sqref="E12:P41"/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41">
      <formula1>AB12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C4D048A7-911E-4499-9B59-DE1BEA8E9399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0" id="{EB852926-CC83-41DA-8BFD-C7CD1F79B97B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B12:R41</xm:sqref>
        </x14:conditionalFormatting>
        <x14:conditionalFormatting xmlns:xm="http://schemas.microsoft.com/office/excel/2006/main">
          <x14:cfRule type="expression" priority="6" id="{9DF0B647-948B-4E74-9C8C-35B5A5A08942}">
            <xm:f>AND(Configurações!$C$11&gt;0,WEEKDAY($C12)=7,MOD(ROW(),2)=1)</xm:f>
            <x14:dxf>
              <fill>
                <patternFill>
                  <bgColor theme="4" tint="0.59996337778862885"/>
                </patternFill>
              </fill>
            </x14:dxf>
          </x14:cfRule>
          <xm:sqref>C14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2:AJ50"/>
  <sheetViews>
    <sheetView showGridLines="0" zoomScaleNormal="100" workbookViewId="0">
      <selection activeCell="P8" sqref="P8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16384" width="9.140625" style="10"/>
  </cols>
  <sheetData>
    <row r="2" spans="1:36" x14ac:dyDescent="0.25">
      <c r="A2" s="109" t="str">
        <f>IF(Configurações!C17 = 0,"",Configurações!C17)</f>
        <v/>
      </c>
      <c r="B2" s="109"/>
      <c r="C2" s="109"/>
      <c r="D2" s="109"/>
    </row>
    <row r="3" spans="1:36" ht="15.75" customHeight="1" thickBot="1" x14ac:dyDescent="0.3">
      <c r="A3" s="110" t="s">
        <v>90</v>
      </c>
      <c r="B3" s="110"/>
      <c r="C3" s="110"/>
      <c r="D3" s="110"/>
    </row>
    <row r="4" spans="1:36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36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SUM(M12:M42)</f>
        <v>0</v>
      </c>
      <c r="H5" s="13"/>
      <c r="I5" s="81" t="s">
        <v>31</v>
      </c>
      <c r="J5" s="16">
        <f>(SUM(S12:S42)*24)*Configurações!E15*(Configurações!I7+1)</f>
        <v>0</v>
      </c>
      <c r="K5" s="13"/>
      <c r="L5" s="81" t="s">
        <v>68</v>
      </c>
      <c r="M5" s="17">
        <f>SUM(J5:J9)</f>
        <v>0</v>
      </c>
      <c r="N5" s="14"/>
      <c r="O5" s="102" t="s">
        <v>44</v>
      </c>
      <c r="P5" s="103"/>
      <c r="Q5" s="18">
        <f>SUM(R12:R42)</f>
        <v>0</v>
      </c>
      <c r="W5" s="19"/>
    </row>
    <row r="6" spans="1:36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SUM(O12:O42)</f>
        <v>0</v>
      </c>
      <c r="H6" s="13"/>
      <c r="I6" s="81" t="s">
        <v>34</v>
      </c>
      <c r="J6" s="16">
        <f>(SUM(T12:T42)*24)*Configurações!E15*(Configurações!I10+1)</f>
        <v>0</v>
      </c>
      <c r="K6" s="13"/>
      <c r="L6" s="82" t="s">
        <v>69</v>
      </c>
      <c r="M6" s="21">
        <f ca="1">((G7*24)+(G6*24))*Configurações!E15</f>
        <v>0</v>
      </c>
      <c r="U6" s="19"/>
      <c r="W6" s="22"/>
    </row>
    <row r="7" spans="1:36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SUM(P12:P42)</f>
        <v>0</v>
      </c>
      <c r="H7" s="13"/>
      <c r="I7" s="81" t="s">
        <v>32</v>
      </c>
      <c r="J7" s="16">
        <f>(SUM(U12:U42)*24)*Configurações!E15*(Configurações!I9+1)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36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SUM(Q12:Q42)</f>
        <v>0</v>
      </c>
      <c r="H8" s="13"/>
      <c r="I8" s="81" t="s">
        <v>33</v>
      </c>
      <c r="J8" s="16">
        <f>(SUM(V12:V42)*24)*Configurações!E15*(Configurações!I8+1)</f>
        <v>0</v>
      </c>
      <c r="K8" s="13"/>
      <c r="L8" s="116" t="s">
        <v>63</v>
      </c>
      <c r="M8" s="117"/>
      <c r="N8" s="25"/>
      <c r="O8" s="81" t="s">
        <v>26</v>
      </c>
      <c r="P8" s="7">
        <v>0</v>
      </c>
    </row>
    <row r="9" spans="1:36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0</v>
      </c>
      <c r="H9" s="13"/>
      <c r="I9" s="82" t="s">
        <v>30</v>
      </c>
      <c r="J9" s="27">
        <f>((((SUM(N12:N42)*24)*Configurações!E15*(Configurações!I6+1)))-(SUM(N12:N42)*24)*Configurações!E15)</f>
        <v>0</v>
      </c>
      <c r="K9" s="13"/>
      <c r="L9" s="120">
        <f ca="1">SUM(M5:M6)</f>
        <v>0</v>
      </c>
      <c r="M9" s="121"/>
      <c r="N9" s="28"/>
      <c r="O9" s="82" t="s">
        <v>25</v>
      </c>
      <c r="P9" s="26">
        <f ca="1">SUM(P8,G9)</f>
        <v>0</v>
      </c>
    </row>
    <row r="10" spans="1:36" x14ac:dyDescent="0.25">
      <c r="B10" s="29">
        <v>41394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36" x14ac:dyDescent="0.25">
      <c r="A11" s="106" t="s">
        <v>77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36" x14ac:dyDescent="0.25">
      <c r="A12" s="106"/>
      <c r="B12" s="37">
        <f>IF(MONTH($B$10+ROW()-ROW($B$10)-2) = MONTH($B$10),$B$10+ROW()-ROW($B$10)-2,"")</f>
        <v>41394</v>
      </c>
      <c r="C12" s="38">
        <f t="shared" ref="C12:C42" si="0">B12</f>
        <v>41394</v>
      </c>
      <c r="D12" s="39" t="str">
        <f>IF(B12="","",IF(VerificaSeFeriado(B12),"Sim",""))</f>
        <v>Sim</v>
      </c>
      <c r="E12" s="5"/>
      <c r="F12" s="5"/>
      <c r="G12" s="5"/>
      <c r="H12" s="5"/>
      <c r="I12" s="5"/>
      <c r="J12" s="5"/>
      <c r="K12" s="5"/>
      <c r="L12" s="5"/>
      <c r="M12" s="41" t="str">
        <f>IFERROR(IF((R12-AB12)&gt;(1*"00:00:01"),(R12-AB12),""),"")</f>
        <v/>
      </c>
      <c r="N12" s="42" t="str">
        <f>IF(SUM(W12:X12)*(1/52.5*60)&gt;0,SUM(W12:X12)*(1/52.5*60),"")</f>
        <v/>
      </c>
      <c r="O12" s="43" t="str">
        <f t="shared" ref="O12:O15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6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</v>
      </c>
      <c r="S12" s="44">
        <f>IF(D12="Sim",0,IF((OR(WEEKDAY(C12)=2,WEEKDAY(C12)=3,WEEKDAY(C12)=4,WEEKDAY(C12)=5,WEEKDAY(C12)=6))=TRUE,M12,IF(AND(WEEKDAY(C12)=7,Configurações!$C$11&gt;0)=TRUE,M12,IF(AND(WEEKDAY(C12)=1,Configurações!$C$12&gt;0)=TRUE,M12,0))))</f>
        <v>0</v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:Y25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</row>
    <row r="13" spans="1:36" x14ac:dyDescent="0.25">
      <c r="A13" s="106"/>
      <c r="B13" s="37">
        <f t="shared" ref="B13:B42" si="3">IF(MONTH($B$10+ROW()-ROW($B$10)-2) = MONTH($B$10),$B$10+ROW()-ROW($B$10)-2,"")</f>
        <v>41395</v>
      </c>
      <c r="C13" s="38">
        <f t="shared" si="0"/>
        <v>41395</v>
      </c>
      <c r="D13" s="39" t="str">
        <f>IF(B13="","",IF(VerificaSeFeriado(B13),"Sim",""))</f>
        <v/>
      </c>
      <c r="E13" s="5"/>
      <c r="F13" s="5"/>
      <c r="G13" s="5"/>
      <c r="H13" s="5"/>
      <c r="I13" s="5"/>
      <c r="J13" s="5"/>
      <c r="K13" s="5"/>
      <c r="L13" s="5"/>
      <c r="M13" s="41" t="str">
        <f t="shared" ref="M13:M42" si="4">IFERROR(IF((R13-AB13)&gt;(1*"00:00:01"),(R13-AB13),""),"")</f>
        <v/>
      </c>
      <c r="N13" s="42" t="str">
        <f t="shared" ref="N13:N42" si="5">IF(SUM(W13:X13)*(1/52.5*60)&gt;0,SUM(W13:X13)*(1/52.5*60),"")</f>
        <v/>
      </c>
      <c r="O13" s="43" t="str">
        <f t="shared" si="1"/>
        <v/>
      </c>
      <c r="P13" s="43" t="str">
        <f t="shared" ref="P13:P42" ca="1" si="6">IF(TODAY()&lt;=B13,"",IF(D13="Sim","",IF(AND(AA13="Sim",E13="",G13="",I13="",K13="")=TRUE,IF(Q13-AB13&lt;0,Q13-AB13,""),"")))</f>
        <v/>
      </c>
      <c r="Q13" s="6"/>
      <c r="R13" s="40">
        <f t="shared" ref="R13:R42" si="7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 t="str">
        <f>IF(D13="Sim",0,IF((OR(WEEKDAY(C13)=2,WEEKDAY(C13)=3,WEEKDAY(C13)=4,WEEKDAY(C13)=5,WEEKDAY(C13)=6))=TRUE,M13,IF(AND(WEEKDAY(C13)=7,Configurações!$C$11&gt;0)=TRUE,M13,IF(AND(WEEKDAY(C13)=1,Configurações!$C$12&gt;0)=TRUE,M13,0))))</f>
        <v/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42" si="8">IF(D13="Sim",R13,0)</f>
        <v>0</v>
      </c>
      <c r="W13" s="44">
        <f t="shared" ref="W13:W42" si="9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42" si="10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si="2"/>
        <v>0</v>
      </c>
      <c r="Z13" s="45">
        <f t="shared" ref="Z13:Z42" si="11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42" si="12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42" si="13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42" si="14">IF(SUM(AG13:AH13)*(1/52.5*60)&gt;0,(SUM(AG13:AH13)*(1/52.5*60))-(SUM(AG13:AH13)),0)</f>
        <v>0</v>
      </c>
      <c r="AG13" s="84">
        <f t="shared" ref="AG13:AG42" si="15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42" si="16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42" si="17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42" si="18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36" x14ac:dyDescent="0.25">
      <c r="A14" s="106"/>
      <c r="B14" s="37">
        <f t="shared" si="3"/>
        <v>41396</v>
      </c>
      <c r="C14" s="38">
        <f t="shared" si="0"/>
        <v>41396</v>
      </c>
      <c r="D14" s="39" t="str">
        <f>IF(B14="","",IF(VerificaSeFeriado(B14),"Sim",""))</f>
        <v/>
      </c>
      <c r="E14" s="5"/>
      <c r="F14" s="5"/>
      <c r="G14" s="5"/>
      <c r="H14" s="5"/>
      <c r="I14" s="5"/>
      <c r="J14" s="5"/>
      <c r="K14" s="5"/>
      <c r="L14" s="5"/>
      <c r="M14" s="41" t="str">
        <f t="shared" si="4"/>
        <v/>
      </c>
      <c r="N14" s="42" t="str">
        <f t="shared" si="5"/>
        <v/>
      </c>
      <c r="O14" s="43" t="str">
        <f t="shared" si="1"/>
        <v/>
      </c>
      <c r="P14" s="43" t="str">
        <f t="shared" ca="1" si="6"/>
        <v/>
      </c>
      <c r="Q14" s="6"/>
      <c r="R14" s="40">
        <f t="shared" si="7"/>
        <v>0</v>
      </c>
      <c r="S14" s="44" t="str">
        <f>IF(D14="Sim",0,IF((OR(WEEKDAY(C14)=2,WEEKDAY(C14)=3,WEEKDAY(C14)=4,WEEKDAY(C14)=5,WEEKDAY(C14)=6))=TRUE,M14,IF(AND(WEEKDAY(C14)=7,Configurações!$C$11&gt;0)=TRUE,M14,IF(AND(WEEKDAY(C14)=1,Configurações!$C$12&gt;0)=TRUE,M14,0))))</f>
        <v/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8"/>
        <v>0</v>
      </c>
      <c r="W14" s="44">
        <f t="shared" si="9"/>
        <v>0</v>
      </c>
      <c r="X14" s="45">
        <f t="shared" si="10"/>
        <v>0</v>
      </c>
      <c r="Y14" s="44">
        <f t="shared" si="2"/>
        <v>0</v>
      </c>
      <c r="Z14" s="45">
        <f t="shared" si="11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2"/>
        <v/>
      </c>
      <c r="AE14" s="11" t="str">
        <f t="shared" si="13"/>
        <v/>
      </c>
      <c r="AF14" s="83">
        <f t="shared" si="14"/>
        <v>0</v>
      </c>
      <c r="AG14" s="84">
        <f t="shared" si="15"/>
        <v>0</v>
      </c>
      <c r="AH14" s="84">
        <f t="shared" si="16"/>
        <v>0</v>
      </c>
      <c r="AI14" s="84">
        <f t="shared" si="17"/>
        <v>0</v>
      </c>
      <c r="AJ14" s="84">
        <f t="shared" si="18"/>
        <v>0</v>
      </c>
    </row>
    <row r="15" spans="1:36" x14ac:dyDescent="0.25">
      <c r="A15" s="106"/>
      <c r="B15" s="37">
        <f t="shared" si="3"/>
        <v>41397</v>
      </c>
      <c r="C15" s="38">
        <f t="shared" si="0"/>
        <v>41397</v>
      </c>
      <c r="D15" s="39" t="str">
        <f>IF(B15="","",IF(VerificaSeFeriado(B15),"Sim",""))</f>
        <v/>
      </c>
      <c r="E15" s="5"/>
      <c r="F15" s="5"/>
      <c r="G15" s="5"/>
      <c r="H15" s="5"/>
      <c r="I15" s="5"/>
      <c r="J15" s="5"/>
      <c r="K15" s="5"/>
      <c r="L15" s="5"/>
      <c r="M15" s="41" t="str">
        <f t="shared" si="4"/>
        <v/>
      </c>
      <c r="N15" s="42" t="str">
        <f t="shared" si="5"/>
        <v/>
      </c>
      <c r="O15" s="43" t="str">
        <f t="shared" si="1"/>
        <v/>
      </c>
      <c r="P15" s="43" t="str">
        <f t="shared" ca="1" si="6"/>
        <v/>
      </c>
      <c r="Q15" s="6"/>
      <c r="R15" s="40">
        <f t="shared" si="7"/>
        <v>0</v>
      </c>
      <c r="S15" s="44" t="str">
        <f>IF(D15="Sim",0,IF((OR(WEEKDAY(C15)=2,WEEKDAY(C15)=3,WEEKDAY(C15)=4,WEEKDAY(C15)=5,WEEKDAY(C15)=6))=TRUE,M15,IF(AND(WEEKDAY(C15)=7,Configurações!$C$11&gt;0)=TRUE,M15,IF(AND(WEEKDAY(C15)=1,Configurações!$C$12&gt;0)=TRUE,M15,0))))</f>
        <v/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8"/>
        <v>0</v>
      </c>
      <c r="W15" s="44">
        <f t="shared" si="9"/>
        <v>0</v>
      </c>
      <c r="X15" s="45">
        <f t="shared" si="10"/>
        <v>0</v>
      </c>
      <c r="Y15" s="44">
        <f t="shared" si="2"/>
        <v>0</v>
      </c>
      <c r="Z15" s="45">
        <f t="shared" si="11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2"/>
        <v/>
      </c>
      <c r="AE15" s="11" t="str">
        <f t="shared" si="13"/>
        <v/>
      </c>
      <c r="AF15" s="83">
        <f t="shared" si="14"/>
        <v>0</v>
      </c>
      <c r="AG15" s="84">
        <f t="shared" si="15"/>
        <v>0</v>
      </c>
      <c r="AH15" s="84">
        <f t="shared" si="16"/>
        <v>0</v>
      </c>
      <c r="AI15" s="84">
        <f t="shared" si="17"/>
        <v>0</v>
      </c>
      <c r="AJ15" s="84">
        <f t="shared" si="18"/>
        <v>0</v>
      </c>
    </row>
    <row r="16" spans="1:36" x14ac:dyDescent="0.25">
      <c r="A16" s="106"/>
      <c r="B16" s="37">
        <f t="shared" si="3"/>
        <v>41398</v>
      </c>
      <c r="C16" s="38">
        <f t="shared" si="0"/>
        <v>41398</v>
      </c>
      <c r="D16" s="39" t="str">
        <f>IF(B16="","",IF(VerificaSeFeriado(B16),"Sim",""))</f>
        <v/>
      </c>
      <c r="E16" s="5"/>
      <c r="F16" s="5"/>
      <c r="G16" s="5"/>
      <c r="H16" s="5"/>
      <c r="I16" s="5"/>
      <c r="J16" s="5"/>
      <c r="K16" s="5"/>
      <c r="L16" s="5"/>
      <c r="M16" s="41" t="str">
        <f t="shared" si="4"/>
        <v/>
      </c>
      <c r="N16" s="42" t="str">
        <f t="shared" si="5"/>
        <v/>
      </c>
      <c r="O16" s="43" t="str">
        <f>IF(OR(D16="Sim",E16="")=TRUE,"",IF((R16-AB16)&gt;=(-"00:00:01"),"",(R16-AB16)))</f>
        <v/>
      </c>
      <c r="P16" s="43" t="str">
        <f t="shared" ca="1" si="6"/>
        <v/>
      </c>
      <c r="Q16" s="6"/>
      <c r="R16" s="40">
        <f t="shared" si="7"/>
        <v>0</v>
      </c>
      <c r="S16" s="44" t="str">
        <f>IF(D16="Sim",0,IF((OR(WEEKDAY(C16)=2,WEEKDAY(C16)=3,WEEKDAY(C16)=4,WEEKDAY(C16)=5,WEEKDAY(C16)=6))=TRUE,M16,IF(AND(WEEKDAY(C16)=7,Configurações!$C$11&gt;0)=TRUE,M16,IF(AND(WEEKDAY(C16)=1,Configurações!$C$12&gt;0)=TRUE,M16,0))))</f>
        <v/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8"/>
        <v>0</v>
      </c>
      <c r="W16" s="44">
        <f t="shared" si="9"/>
        <v>0</v>
      </c>
      <c r="X16" s="45">
        <f t="shared" si="10"/>
        <v>0</v>
      </c>
      <c r="Y16" s="44">
        <f t="shared" si="2"/>
        <v>0</v>
      </c>
      <c r="Z16" s="45">
        <f t="shared" si="11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2"/>
        <v/>
      </c>
      <c r="AE16" s="11" t="str">
        <f t="shared" si="13"/>
        <v/>
      </c>
      <c r="AF16" s="83">
        <f t="shared" si="14"/>
        <v>0</v>
      </c>
      <c r="AG16" s="84">
        <f t="shared" si="15"/>
        <v>0</v>
      </c>
      <c r="AH16" s="84">
        <f t="shared" si="16"/>
        <v>0</v>
      </c>
      <c r="AI16" s="84">
        <f t="shared" si="17"/>
        <v>0</v>
      </c>
      <c r="AJ16" s="84">
        <f t="shared" si="18"/>
        <v>0</v>
      </c>
    </row>
    <row r="17" spans="1:36" x14ac:dyDescent="0.25">
      <c r="A17" s="106"/>
      <c r="B17" s="37">
        <f t="shared" si="3"/>
        <v>41399</v>
      </c>
      <c r="C17" s="38">
        <f t="shared" si="0"/>
        <v>41399</v>
      </c>
      <c r="D17" s="39" t="str">
        <f>IF(B17="","",IF(VerificaSeFeriado(B17),"Sim",""))</f>
        <v/>
      </c>
      <c r="E17" s="5"/>
      <c r="F17" s="5"/>
      <c r="G17" s="5"/>
      <c r="H17" s="5"/>
      <c r="I17" s="5"/>
      <c r="J17" s="5"/>
      <c r="K17" s="5"/>
      <c r="L17" s="5"/>
      <c r="M17" s="41" t="str">
        <f t="shared" si="4"/>
        <v/>
      </c>
      <c r="N17" s="42" t="str">
        <f t="shared" si="5"/>
        <v/>
      </c>
      <c r="O17" s="43" t="str">
        <f>IF(OR(D17="Sim",E17="")=TRUE,"",IF((R17-AB17)&gt;=(-"00:00:01"),"",(R17-AB17)))</f>
        <v/>
      </c>
      <c r="P17" s="43" t="str">
        <f t="shared" ca="1" si="6"/>
        <v/>
      </c>
      <c r="Q17" s="6"/>
      <c r="R17" s="40">
        <f t="shared" si="7"/>
        <v>0</v>
      </c>
      <c r="S17" s="44">
        <f>IF(D17="Sim",0,IF((OR(WEEKDAY(C17)=2,WEEKDAY(C17)=3,WEEKDAY(C17)=4,WEEKDAY(C17)=5,WEEKDAY(C17)=6))=TRUE,M17,IF(AND(WEEKDAY(C17)=7,Configurações!$C$11&gt;0)=TRUE,M17,IF(AND(WEEKDAY(C17)=1,Configurações!$C$12&gt;0)=TRUE,M17,0))))</f>
        <v>0</v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8"/>
        <v>0</v>
      </c>
      <c r="W17" s="44">
        <f t="shared" si="9"/>
        <v>0</v>
      </c>
      <c r="X17" s="45">
        <f t="shared" si="10"/>
        <v>0</v>
      </c>
      <c r="Y17" s="44">
        <f t="shared" si="2"/>
        <v>0</v>
      </c>
      <c r="Z17" s="45">
        <f t="shared" si="11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2"/>
        <v/>
      </c>
      <c r="AE17" s="11" t="str">
        <f t="shared" si="13"/>
        <v/>
      </c>
      <c r="AF17" s="83">
        <f t="shared" si="14"/>
        <v>0</v>
      </c>
      <c r="AG17" s="84">
        <f t="shared" si="15"/>
        <v>0</v>
      </c>
      <c r="AH17" s="84">
        <f t="shared" si="16"/>
        <v>0</v>
      </c>
      <c r="AI17" s="84">
        <f t="shared" si="17"/>
        <v>0</v>
      </c>
      <c r="AJ17" s="84">
        <f t="shared" si="18"/>
        <v>0</v>
      </c>
    </row>
    <row r="18" spans="1:36" x14ac:dyDescent="0.25">
      <c r="A18" s="106"/>
      <c r="B18" s="37">
        <f t="shared" si="3"/>
        <v>41400</v>
      </c>
      <c r="C18" s="38">
        <f t="shared" si="0"/>
        <v>41400</v>
      </c>
      <c r="D18" s="39" t="str">
        <f>IF(B18="","",IF(VerificaSeFeriado(B18),"Sim",""))</f>
        <v/>
      </c>
      <c r="E18" s="5"/>
      <c r="F18" s="5"/>
      <c r="G18" s="5"/>
      <c r="H18" s="5"/>
      <c r="I18" s="5"/>
      <c r="J18" s="5"/>
      <c r="K18" s="5"/>
      <c r="L18" s="5"/>
      <c r="M18" s="41" t="str">
        <f t="shared" si="4"/>
        <v/>
      </c>
      <c r="N18" s="42" t="str">
        <f t="shared" si="5"/>
        <v/>
      </c>
      <c r="O18" s="43" t="str">
        <f t="shared" ref="O18:O42" si="19">IF(OR(D18="Sim",E18="")=TRUE,"",IF((R18-AB18)&gt;=(-"00:00:01"),"",(R18-AB18)))</f>
        <v/>
      </c>
      <c r="P18" s="43" t="str">
        <f t="shared" ca="1" si="6"/>
        <v/>
      </c>
      <c r="Q18" s="6"/>
      <c r="R18" s="40">
        <f t="shared" si="7"/>
        <v>0</v>
      </c>
      <c r="S18" s="44">
        <f>IF(D18="Sim",0,IF((OR(WEEKDAY(C18)=2,WEEKDAY(C18)=3,WEEKDAY(C18)=4,WEEKDAY(C18)=5,WEEKDAY(C18)=6))=TRUE,M18,IF(AND(WEEKDAY(C18)=7,Configurações!$C$11&gt;0)=TRUE,M18,IF(AND(WEEKDAY(C18)=1,Configurações!$C$12&gt;0)=TRUE,M18,0))))</f>
        <v>0</v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8"/>
        <v>0</v>
      </c>
      <c r="W18" s="44">
        <f t="shared" si="9"/>
        <v>0</v>
      </c>
      <c r="X18" s="45">
        <f t="shared" si="10"/>
        <v>0</v>
      </c>
      <c r="Y18" s="44">
        <f t="shared" si="2"/>
        <v>0</v>
      </c>
      <c r="Z18" s="45">
        <f t="shared" si="11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2"/>
        <v/>
      </c>
      <c r="AE18" s="11" t="str">
        <f t="shared" si="13"/>
        <v/>
      </c>
      <c r="AF18" s="83">
        <f t="shared" si="14"/>
        <v>0</v>
      </c>
      <c r="AG18" s="84">
        <f t="shared" si="15"/>
        <v>0</v>
      </c>
      <c r="AH18" s="84">
        <f t="shared" si="16"/>
        <v>0</v>
      </c>
      <c r="AI18" s="84">
        <f t="shared" si="17"/>
        <v>0</v>
      </c>
      <c r="AJ18" s="84">
        <f t="shared" si="18"/>
        <v>0</v>
      </c>
    </row>
    <row r="19" spans="1:36" x14ac:dyDescent="0.25">
      <c r="A19" s="106"/>
      <c r="B19" s="37">
        <f t="shared" si="3"/>
        <v>41401</v>
      </c>
      <c r="C19" s="38">
        <f t="shared" si="0"/>
        <v>41401</v>
      </c>
      <c r="D19" s="39" t="str">
        <f>IF(B19="","",IF(VerificaSeFeriado(B19),"Sim",""))</f>
        <v/>
      </c>
      <c r="E19" s="5"/>
      <c r="F19" s="5"/>
      <c r="G19" s="5"/>
      <c r="H19" s="5"/>
      <c r="I19" s="5"/>
      <c r="J19" s="5"/>
      <c r="K19" s="5"/>
      <c r="L19" s="5"/>
      <c r="M19" s="41" t="str">
        <f t="shared" si="4"/>
        <v/>
      </c>
      <c r="N19" s="42" t="str">
        <f t="shared" si="5"/>
        <v/>
      </c>
      <c r="O19" s="43" t="str">
        <f t="shared" si="19"/>
        <v/>
      </c>
      <c r="P19" s="43" t="str">
        <f t="shared" ca="1" si="6"/>
        <v/>
      </c>
      <c r="Q19" s="6"/>
      <c r="R19" s="40">
        <f t="shared" si="7"/>
        <v>0</v>
      </c>
      <c r="S19" s="44" t="str">
        <f>IF(D19="Sim",0,IF((OR(WEEKDAY(C19)=2,WEEKDAY(C19)=3,WEEKDAY(C19)=4,WEEKDAY(C19)=5,WEEKDAY(C19)=6))=TRUE,M19,IF(AND(WEEKDAY(C19)=7,Configurações!$C$11&gt;0)=TRUE,M19,IF(AND(WEEKDAY(C19)=1,Configurações!$C$12&gt;0)=TRUE,M19,0))))</f>
        <v/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8"/>
        <v>0</v>
      </c>
      <c r="W19" s="44">
        <f t="shared" si="9"/>
        <v>0</v>
      </c>
      <c r="X19" s="45">
        <f t="shared" si="10"/>
        <v>0</v>
      </c>
      <c r="Y19" s="44">
        <f t="shared" si="2"/>
        <v>0</v>
      </c>
      <c r="Z19" s="45">
        <f t="shared" si="11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2"/>
        <v/>
      </c>
      <c r="AE19" s="11" t="str">
        <f t="shared" si="13"/>
        <v/>
      </c>
      <c r="AF19" s="83">
        <f t="shared" si="14"/>
        <v>0</v>
      </c>
      <c r="AG19" s="84">
        <f t="shared" si="15"/>
        <v>0</v>
      </c>
      <c r="AH19" s="84">
        <f t="shared" si="16"/>
        <v>0</v>
      </c>
      <c r="AI19" s="84">
        <f t="shared" si="17"/>
        <v>0</v>
      </c>
      <c r="AJ19" s="84">
        <f t="shared" si="18"/>
        <v>0</v>
      </c>
    </row>
    <row r="20" spans="1:36" x14ac:dyDescent="0.25">
      <c r="A20" s="106"/>
      <c r="B20" s="37">
        <f t="shared" si="3"/>
        <v>41402</v>
      </c>
      <c r="C20" s="38">
        <f t="shared" si="0"/>
        <v>41402</v>
      </c>
      <c r="D20" s="39" t="str">
        <f>IF(B20="","",IF(VerificaSeFeriado(B20),"Sim",""))</f>
        <v/>
      </c>
      <c r="E20" s="5"/>
      <c r="F20" s="5"/>
      <c r="G20" s="5"/>
      <c r="H20" s="5"/>
      <c r="I20" s="5"/>
      <c r="J20" s="5"/>
      <c r="K20" s="5"/>
      <c r="L20" s="5"/>
      <c r="M20" s="41" t="str">
        <f t="shared" si="4"/>
        <v/>
      </c>
      <c r="N20" s="42" t="str">
        <f t="shared" si="5"/>
        <v/>
      </c>
      <c r="O20" s="43" t="str">
        <f t="shared" si="19"/>
        <v/>
      </c>
      <c r="P20" s="43" t="str">
        <f t="shared" ca="1" si="6"/>
        <v/>
      </c>
      <c r="Q20" s="6"/>
      <c r="R20" s="40">
        <f t="shared" si="7"/>
        <v>0</v>
      </c>
      <c r="S20" s="44" t="str">
        <f>IF(D20="Sim",0,IF((OR(WEEKDAY(C20)=2,WEEKDAY(C20)=3,WEEKDAY(C20)=4,WEEKDAY(C20)=5,WEEKDAY(C20)=6))=TRUE,M20,IF(AND(WEEKDAY(C20)=7,Configurações!$C$11&gt;0)=TRUE,M20,IF(AND(WEEKDAY(C20)=1,Configurações!$C$12&gt;0)=TRUE,M20,0))))</f>
        <v/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8"/>
        <v>0</v>
      </c>
      <c r="W20" s="44">
        <f t="shared" si="9"/>
        <v>0</v>
      </c>
      <c r="X20" s="45">
        <f t="shared" si="10"/>
        <v>0</v>
      </c>
      <c r="Y20" s="44">
        <f t="shared" si="2"/>
        <v>0</v>
      </c>
      <c r="Z20" s="45">
        <f t="shared" si="11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2"/>
        <v/>
      </c>
      <c r="AE20" s="11" t="str">
        <f t="shared" si="13"/>
        <v/>
      </c>
      <c r="AF20" s="83">
        <f t="shared" si="14"/>
        <v>0</v>
      </c>
      <c r="AG20" s="84">
        <f t="shared" si="15"/>
        <v>0</v>
      </c>
      <c r="AH20" s="84">
        <f t="shared" si="16"/>
        <v>0</v>
      </c>
      <c r="AI20" s="84">
        <f t="shared" si="17"/>
        <v>0</v>
      </c>
      <c r="AJ20" s="84">
        <f t="shared" si="18"/>
        <v>0</v>
      </c>
    </row>
    <row r="21" spans="1:36" x14ac:dyDescent="0.25">
      <c r="A21" s="106"/>
      <c r="B21" s="37">
        <f t="shared" si="3"/>
        <v>41403</v>
      </c>
      <c r="C21" s="38">
        <f t="shared" si="0"/>
        <v>41403</v>
      </c>
      <c r="D21" s="39" t="str">
        <f>IF(B21="","",IF(VerificaSeFeriado(B21),"Sim",""))</f>
        <v/>
      </c>
      <c r="E21" s="5"/>
      <c r="F21" s="5"/>
      <c r="G21" s="5"/>
      <c r="H21" s="5"/>
      <c r="I21" s="5"/>
      <c r="J21" s="5"/>
      <c r="K21" s="5"/>
      <c r="L21" s="5"/>
      <c r="M21" s="41" t="str">
        <f t="shared" si="4"/>
        <v/>
      </c>
      <c r="N21" s="42" t="str">
        <f t="shared" si="5"/>
        <v/>
      </c>
      <c r="O21" s="43" t="str">
        <f t="shared" si="19"/>
        <v/>
      </c>
      <c r="P21" s="43" t="str">
        <f t="shared" ca="1" si="6"/>
        <v/>
      </c>
      <c r="Q21" s="6"/>
      <c r="R21" s="40">
        <f t="shared" si="7"/>
        <v>0</v>
      </c>
      <c r="S21" s="44" t="str">
        <f>IF(D21="Sim",0,IF((OR(WEEKDAY(C21)=2,WEEKDAY(C21)=3,WEEKDAY(C21)=4,WEEKDAY(C21)=5,WEEKDAY(C21)=6))=TRUE,M21,IF(AND(WEEKDAY(C21)=7,Configurações!$C$11&gt;0)=TRUE,M21,IF(AND(WEEKDAY(C21)=1,Configurações!$C$12&gt;0)=TRUE,M21,0))))</f>
        <v/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8"/>
        <v>0</v>
      </c>
      <c r="W21" s="44">
        <f t="shared" si="9"/>
        <v>0</v>
      </c>
      <c r="X21" s="45">
        <f t="shared" si="10"/>
        <v>0</v>
      </c>
      <c r="Y21" s="44">
        <f t="shared" si="2"/>
        <v>0</v>
      </c>
      <c r="Z21" s="45">
        <f t="shared" si="11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2"/>
        <v/>
      </c>
      <c r="AE21" s="11" t="str">
        <f t="shared" si="13"/>
        <v/>
      </c>
      <c r="AF21" s="83">
        <f t="shared" si="14"/>
        <v>0</v>
      </c>
      <c r="AG21" s="84">
        <f t="shared" si="15"/>
        <v>0</v>
      </c>
      <c r="AH21" s="84">
        <f t="shared" si="16"/>
        <v>0</v>
      </c>
      <c r="AI21" s="84">
        <f t="shared" si="17"/>
        <v>0</v>
      </c>
      <c r="AJ21" s="84">
        <f t="shared" si="18"/>
        <v>0</v>
      </c>
    </row>
    <row r="22" spans="1:36" x14ac:dyDescent="0.25">
      <c r="A22" s="106"/>
      <c r="B22" s="37">
        <f t="shared" si="3"/>
        <v>41404</v>
      </c>
      <c r="C22" s="38">
        <f t="shared" si="0"/>
        <v>41404</v>
      </c>
      <c r="D22" s="39" t="str">
        <f>IF(B22="","",IF(VerificaSeFeriado(B22),"Sim",""))</f>
        <v/>
      </c>
      <c r="E22" s="5"/>
      <c r="F22" s="5"/>
      <c r="G22" s="5"/>
      <c r="H22" s="5"/>
      <c r="I22" s="5"/>
      <c r="J22" s="5"/>
      <c r="K22" s="5"/>
      <c r="L22" s="5"/>
      <c r="M22" s="41" t="str">
        <f t="shared" si="4"/>
        <v/>
      </c>
      <c r="N22" s="42" t="str">
        <f t="shared" si="5"/>
        <v/>
      </c>
      <c r="O22" s="43" t="str">
        <f>IF(OR(D22="Sim",E22="")=TRUE,"",IF((R22-AB22)&gt;=(-"00:00:01"),"",(R22-AB22)))</f>
        <v/>
      </c>
      <c r="P22" s="43" t="str">
        <f ca="1">IF(TODAY()&lt;=B22,"",IF(D22="Sim","",IF(AND(AA22="Sim",E22="",G22="",I22="",K22="")=TRUE,IF(Q22-AB22&lt;0,Q22-AB22,""),"")))</f>
        <v/>
      </c>
      <c r="Q22" s="6"/>
      <c r="R22" s="40">
        <f t="shared" si="7"/>
        <v>0</v>
      </c>
      <c r="S22" s="44" t="str">
        <f>IF(D22="Sim",0,IF((OR(WEEKDAY(C22)=2,WEEKDAY(C22)=3,WEEKDAY(C22)=4,WEEKDAY(C22)=5,WEEKDAY(C22)=6))=TRUE,M22,IF(AND(WEEKDAY(C22)=7,Configurações!$C$11&gt;0)=TRUE,M22,IF(AND(WEEKDAY(C22)=1,Configurações!$C$12&gt;0)=TRUE,M22,0))))</f>
        <v/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8"/>
        <v>0</v>
      </c>
      <c r="W22" s="44">
        <f t="shared" si="9"/>
        <v>0</v>
      </c>
      <c r="X22" s="45">
        <f t="shared" si="10"/>
        <v>0</v>
      </c>
      <c r="Y22" s="44">
        <f t="shared" si="2"/>
        <v>0</v>
      </c>
      <c r="Z22" s="45">
        <f t="shared" si="11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>IF(E22="","",IF(OR(AND(E22&gt;=(1*"22:00"),((1*"29:00")-E22-Y22)&gt;=AB22)=TRUE,AND(AND(E22&gt;=0,E22&lt;=(1*"5:00"))=TRUE,(1*"5:00")-E22-Y22&gt;=AB22)=TRUE)=TRUE,"Sumula",IF(OR(E22&gt;=(1*"22:00"),AND(E22&lt;(1*"5:00"),E22&gt;=(1*"0:00"))=TRUE)=TRUE,"Noite",IF(OR(H22&lt;E22,H22&gt;(1*"22:00"))=TRUE,"Dia",""))))</f>
        <v/>
      </c>
      <c r="AE22" s="11" t="str">
        <f t="shared" si="13"/>
        <v/>
      </c>
      <c r="AF22" s="83">
        <f t="shared" si="14"/>
        <v>0</v>
      </c>
      <c r="AG22" s="84">
        <f t="shared" si="15"/>
        <v>0</v>
      </c>
      <c r="AH22" s="84">
        <f t="shared" si="16"/>
        <v>0</v>
      </c>
      <c r="AI22" s="84">
        <f t="shared" si="17"/>
        <v>0</v>
      </c>
      <c r="AJ22" s="84">
        <f t="shared" si="18"/>
        <v>0</v>
      </c>
    </row>
    <row r="23" spans="1:36" x14ac:dyDescent="0.25">
      <c r="A23" s="106"/>
      <c r="B23" s="37">
        <f t="shared" si="3"/>
        <v>41405</v>
      </c>
      <c r="C23" s="38">
        <f t="shared" si="0"/>
        <v>41405</v>
      </c>
      <c r="D23" s="39" t="str">
        <f>IF(B23="","",IF(VerificaSeFeriado(B23),"Sim",""))</f>
        <v/>
      </c>
      <c r="E23" s="5"/>
      <c r="F23" s="5"/>
      <c r="G23" s="5"/>
      <c r="H23" s="5"/>
      <c r="I23" s="5"/>
      <c r="J23" s="5"/>
      <c r="K23" s="5"/>
      <c r="L23" s="5"/>
      <c r="M23" s="41" t="str">
        <f t="shared" si="4"/>
        <v/>
      </c>
      <c r="N23" s="42" t="str">
        <f t="shared" si="5"/>
        <v/>
      </c>
      <c r="O23" s="43" t="str">
        <f t="shared" si="19"/>
        <v/>
      </c>
      <c r="P23" s="43" t="str">
        <f t="shared" ca="1" si="6"/>
        <v/>
      </c>
      <c r="Q23" s="6"/>
      <c r="R23" s="40">
        <f t="shared" si="7"/>
        <v>0</v>
      </c>
      <c r="S23" s="44" t="str">
        <f>IF(D23="Sim",0,IF((OR(WEEKDAY(C23)=2,WEEKDAY(C23)=3,WEEKDAY(C23)=4,WEEKDAY(C23)=5,WEEKDAY(C23)=6))=TRUE,M23,IF(AND(WEEKDAY(C23)=7,Configurações!$C$11&gt;0)=TRUE,M23,IF(AND(WEEKDAY(C23)=1,Configurações!$C$12&gt;0)=TRUE,M23,0))))</f>
        <v/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8"/>
        <v>0</v>
      </c>
      <c r="W23" s="44">
        <f t="shared" si="9"/>
        <v>0</v>
      </c>
      <c r="X23" s="45">
        <f t="shared" si="10"/>
        <v>0</v>
      </c>
      <c r="Y23" s="44">
        <f t="shared" si="2"/>
        <v>0</v>
      </c>
      <c r="Z23" s="45">
        <f t="shared" si="11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2"/>
        <v/>
      </c>
      <c r="AE23" s="11" t="str">
        <f t="shared" si="13"/>
        <v/>
      </c>
      <c r="AF23" s="83">
        <f t="shared" si="14"/>
        <v>0</v>
      </c>
      <c r="AG23" s="84">
        <f t="shared" si="15"/>
        <v>0</v>
      </c>
      <c r="AH23" s="84">
        <f t="shared" si="16"/>
        <v>0</v>
      </c>
      <c r="AI23" s="84">
        <f t="shared" si="17"/>
        <v>0</v>
      </c>
      <c r="AJ23" s="84">
        <f t="shared" si="18"/>
        <v>0</v>
      </c>
    </row>
    <row r="24" spans="1:36" x14ac:dyDescent="0.25">
      <c r="A24" s="106"/>
      <c r="B24" s="37">
        <f t="shared" si="3"/>
        <v>41406</v>
      </c>
      <c r="C24" s="38">
        <f t="shared" si="0"/>
        <v>41406</v>
      </c>
      <c r="D24" s="39" t="str">
        <f>IF(B24="","",IF(VerificaSeFeriado(B24),"Sim",""))</f>
        <v/>
      </c>
      <c r="E24" s="5"/>
      <c r="F24" s="5"/>
      <c r="G24" s="5"/>
      <c r="H24" s="5"/>
      <c r="I24" s="5"/>
      <c r="J24" s="5"/>
      <c r="K24" s="5"/>
      <c r="L24" s="5"/>
      <c r="M24" s="41" t="str">
        <f t="shared" si="4"/>
        <v/>
      </c>
      <c r="N24" s="42" t="str">
        <f t="shared" si="5"/>
        <v/>
      </c>
      <c r="O24" s="43" t="str">
        <f t="shared" si="19"/>
        <v/>
      </c>
      <c r="P24" s="43" t="str">
        <f t="shared" ca="1" si="6"/>
        <v/>
      </c>
      <c r="Q24" s="6"/>
      <c r="R24" s="40">
        <f t="shared" si="7"/>
        <v>0</v>
      </c>
      <c r="S24" s="44">
        <f>IF(D24="Sim",0,IF((OR(WEEKDAY(C24)=2,WEEKDAY(C24)=3,WEEKDAY(C24)=4,WEEKDAY(C24)=5,WEEKDAY(C24)=6))=TRUE,M24,IF(AND(WEEKDAY(C24)=7,Configurações!$C$11&gt;0)=TRUE,M24,IF(AND(WEEKDAY(C24)=1,Configurações!$C$12&gt;0)=TRUE,M24,0))))</f>
        <v>0</v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8"/>
        <v>0</v>
      </c>
      <c r="W24" s="44">
        <f t="shared" si="9"/>
        <v>0</v>
      </c>
      <c r="X24" s="45">
        <f t="shared" si="10"/>
        <v>0</v>
      </c>
      <c r="Y24" s="44">
        <f t="shared" si="2"/>
        <v>0</v>
      </c>
      <c r="Z24" s="45">
        <f t="shared" si="11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2"/>
        <v/>
      </c>
      <c r="AE24" s="11" t="str">
        <f t="shared" si="13"/>
        <v/>
      </c>
      <c r="AF24" s="83">
        <f t="shared" si="14"/>
        <v>0</v>
      </c>
      <c r="AG24" s="84">
        <f t="shared" si="15"/>
        <v>0</v>
      </c>
      <c r="AH24" s="84">
        <f t="shared" si="16"/>
        <v>0</v>
      </c>
      <c r="AI24" s="84">
        <f t="shared" si="17"/>
        <v>0</v>
      </c>
      <c r="AJ24" s="84">
        <f t="shared" si="18"/>
        <v>0</v>
      </c>
    </row>
    <row r="25" spans="1:36" x14ac:dyDescent="0.25">
      <c r="A25" s="106"/>
      <c r="B25" s="37">
        <f t="shared" si="3"/>
        <v>41407</v>
      </c>
      <c r="C25" s="38">
        <f t="shared" si="0"/>
        <v>41407</v>
      </c>
      <c r="D25" s="39" t="str">
        <f>IF(B25="","",IF(VerificaSeFeriado(B25),"Sim",""))</f>
        <v/>
      </c>
      <c r="E25" s="5"/>
      <c r="F25" s="5"/>
      <c r="G25" s="5"/>
      <c r="H25" s="5"/>
      <c r="I25" s="5"/>
      <c r="J25" s="5"/>
      <c r="K25" s="5"/>
      <c r="L25" s="5"/>
      <c r="M25" s="41" t="str">
        <f>IFERROR(IF((R25-AB25)&gt;(1*"00:00:01"),(R25-AB25),""),"")</f>
        <v/>
      </c>
      <c r="N25" s="42" t="str">
        <f t="shared" si="5"/>
        <v/>
      </c>
      <c r="O25" s="43" t="str">
        <f t="shared" si="19"/>
        <v/>
      </c>
      <c r="P25" s="43" t="str">
        <f t="shared" ca="1" si="6"/>
        <v/>
      </c>
      <c r="Q25" s="6"/>
      <c r="R25" s="40">
        <f t="shared" si="7"/>
        <v>0</v>
      </c>
      <c r="S25" s="44">
        <f>IF(D25="Sim",0,IF((OR(WEEKDAY(C25)=2,WEEKDAY(C25)=3,WEEKDAY(C25)=4,WEEKDAY(C25)=5,WEEKDAY(C25)=6))=TRUE,M25,IF(AND(WEEKDAY(C25)=7,Configurações!$C$11&gt;0)=TRUE,M25,IF(AND(WEEKDAY(C25)=1,Configurações!$C$12&gt;0)=TRUE,M25,0))))</f>
        <v>0</v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8"/>
        <v>0</v>
      </c>
      <c r="W25" s="44">
        <f t="shared" si="9"/>
        <v>0</v>
      </c>
      <c r="X25" s="45">
        <f t="shared" si="10"/>
        <v>0</v>
      </c>
      <c r="Y25" s="44">
        <f t="shared" si="2"/>
        <v>0</v>
      </c>
      <c r="Z25" s="45">
        <f t="shared" si="11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2"/>
        <v/>
      </c>
      <c r="AE25" s="11" t="str">
        <f t="shared" si="13"/>
        <v/>
      </c>
      <c r="AF25" s="83">
        <f t="shared" si="14"/>
        <v>0</v>
      </c>
      <c r="AG25" s="84">
        <f t="shared" si="15"/>
        <v>0</v>
      </c>
      <c r="AH25" s="84">
        <f t="shared" si="16"/>
        <v>0</v>
      </c>
      <c r="AI25" s="84">
        <f t="shared" si="17"/>
        <v>0</v>
      </c>
      <c r="AJ25" s="84">
        <f t="shared" si="18"/>
        <v>0</v>
      </c>
    </row>
    <row r="26" spans="1:36" x14ac:dyDescent="0.25">
      <c r="A26" s="106"/>
      <c r="B26" s="37">
        <f t="shared" si="3"/>
        <v>41408</v>
      </c>
      <c r="C26" s="38">
        <f t="shared" si="0"/>
        <v>41408</v>
      </c>
      <c r="D26" s="39" t="str">
        <f>IF(B26="","",IF(VerificaSeFeriado(B26),"Sim",""))</f>
        <v/>
      </c>
      <c r="E26" s="5"/>
      <c r="F26" s="5"/>
      <c r="G26" s="5"/>
      <c r="H26" s="5"/>
      <c r="I26" s="5"/>
      <c r="J26" s="5"/>
      <c r="K26" s="5"/>
      <c r="L26" s="5"/>
      <c r="M26" s="41" t="str">
        <f t="shared" si="4"/>
        <v/>
      </c>
      <c r="N26" s="42" t="str">
        <f t="shared" si="5"/>
        <v/>
      </c>
      <c r="O26" s="43" t="str">
        <f t="shared" si="19"/>
        <v/>
      </c>
      <c r="P26" s="43" t="str">
        <f t="shared" ca="1" si="6"/>
        <v/>
      </c>
      <c r="Q26" s="6"/>
      <c r="R26" s="40">
        <f t="shared" si="7"/>
        <v>0</v>
      </c>
      <c r="S26" s="44" t="str">
        <f>IF(D26="Sim",0,IF((OR(WEEKDAY(C26)=2,WEEKDAY(C26)=3,WEEKDAY(C26)=4,WEEKDAY(C26)=5,WEEKDAY(C26)=6))=TRUE,M26,IF(AND(WEEKDAY(C26)=7,Configurações!$C$11&gt;0)=TRUE,M26,IF(AND(WEEKDAY(C26)=1,Configurações!$C$12&gt;0)=TRUE,M26,0))))</f>
        <v/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8"/>
        <v>0</v>
      </c>
      <c r="W26" s="44">
        <f t="shared" si="9"/>
        <v>0</v>
      </c>
      <c r="X26" s="45">
        <f t="shared" si="10"/>
        <v>0</v>
      </c>
      <c r="Y26" s="44">
        <f>IF(F26="",0,IF(AND(F26&lt;(1*"22:00"),F26&gt;=(1*"5:00"),G26&lt;(1*"22:00"),G26&gt;(1*"5:00"))=TRUE,0,IF(F26&gt;=(1*"22:00"),IF(G26&gt;F26,G26-F26,G26+(1*"24:00")-F26),IF(F26&lt;(1*"5:00"),IF(G26&lt;(1*"5:00"),G26-F26,(1*"5:00")-F26),IF(G26&gt;F26,G26-(1*"22:00"),G26+(1*"24:00")-(1*"22:00"))))))</f>
        <v>0</v>
      </c>
      <c r="Z26" s="45">
        <f t="shared" si="11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2"/>
        <v/>
      </c>
      <c r="AE26" s="11" t="str">
        <f t="shared" si="13"/>
        <v/>
      </c>
      <c r="AF26" s="83">
        <f t="shared" si="14"/>
        <v>0</v>
      </c>
      <c r="AG26" s="84">
        <f t="shared" si="15"/>
        <v>0</v>
      </c>
      <c r="AH26" s="84">
        <f t="shared" si="16"/>
        <v>0</v>
      </c>
      <c r="AI26" s="84">
        <f t="shared" si="17"/>
        <v>0</v>
      </c>
      <c r="AJ26" s="84">
        <f t="shared" si="18"/>
        <v>0</v>
      </c>
    </row>
    <row r="27" spans="1:36" x14ac:dyDescent="0.25">
      <c r="A27" s="106"/>
      <c r="B27" s="37">
        <f t="shared" si="3"/>
        <v>41409</v>
      </c>
      <c r="C27" s="38">
        <f t="shared" si="0"/>
        <v>41409</v>
      </c>
      <c r="D27" s="39" t="str">
        <f>IF(B27="","",IF(VerificaSeFeriado(B27),"Sim",""))</f>
        <v/>
      </c>
      <c r="E27" s="5"/>
      <c r="F27" s="5"/>
      <c r="G27" s="5"/>
      <c r="H27" s="5"/>
      <c r="I27" s="5"/>
      <c r="J27" s="5"/>
      <c r="K27" s="5"/>
      <c r="L27" s="5"/>
      <c r="M27" s="41" t="str">
        <f t="shared" si="4"/>
        <v/>
      </c>
      <c r="N27" s="42" t="str">
        <f t="shared" si="5"/>
        <v/>
      </c>
      <c r="O27" s="43" t="str">
        <f t="shared" si="19"/>
        <v/>
      </c>
      <c r="P27" s="43" t="str">
        <f t="shared" ca="1" si="6"/>
        <v/>
      </c>
      <c r="Q27" s="6"/>
      <c r="R27" s="40">
        <f t="shared" si="7"/>
        <v>0</v>
      </c>
      <c r="S27" s="44" t="str">
        <f>IF(D27="Sim",0,IF((OR(WEEKDAY(C27)=2,WEEKDAY(C27)=3,WEEKDAY(C27)=4,WEEKDAY(C27)=5,WEEKDAY(C27)=6))=TRUE,M27,IF(AND(WEEKDAY(C27)=7,Configurações!$C$11&gt;0)=TRUE,M27,IF(AND(WEEKDAY(C27)=1,Configurações!$C$12&gt;0)=TRUE,M27,0))))</f>
        <v/>
      </c>
      <c r="T27" s="44">
        <f>IF(D27="Sim",0,IF(AND(WEEKDAY(C27)=7,Configurações!$C$11&lt;=0)=TRUE,R27,0))</f>
        <v>0</v>
      </c>
      <c r="U27" s="44">
        <f>IF(D27="Sim",0,IF(AND(WEEKDAY(C27)=1,Configurações!$C$12&lt;=0)=TRUE,R27,0))</f>
        <v>0</v>
      </c>
      <c r="V27" s="44">
        <f t="shared" si="8"/>
        <v>0</v>
      </c>
      <c r="W27" s="44">
        <f t="shared" si="9"/>
        <v>0</v>
      </c>
      <c r="X27" s="45">
        <f t="shared" si="10"/>
        <v>0</v>
      </c>
      <c r="Y27" s="44">
        <f t="shared" ref="Y27:Y42" si="20">IF(F27="",0,IF(AND(F27&lt;(1*"22:00"),F27&gt;=(1*"5:00"),G27&lt;(1*"22:00"),G27&gt;(1*"5:00"))=TRUE,0,IF(F27&gt;=(1*"22:00"),IF(G27&gt;F27,G27-F27,G27+(1*"24:00")-F27),IF(F27&lt;(1*"5:00"),IF(G27&lt;(1*"5:00"),G27-F27,(1*"5:00")-F27),IF(G27&gt;F27,G27-(1*"22:00"),G27+(1*"24:00")-(1*"22:00"))))))</f>
        <v>0</v>
      </c>
      <c r="Z27" s="45">
        <f t="shared" si="11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2"/>
        <v/>
      </c>
      <c r="AE27" s="11" t="str">
        <f t="shared" si="13"/>
        <v/>
      </c>
      <c r="AF27" s="83">
        <f t="shared" si="14"/>
        <v>0</v>
      </c>
      <c r="AG27" s="84">
        <f t="shared" si="15"/>
        <v>0</v>
      </c>
      <c r="AH27" s="84">
        <f t="shared" si="16"/>
        <v>0</v>
      </c>
      <c r="AI27" s="84">
        <f t="shared" si="17"/>
        <v>0</v>
      </c>
      <c r="AJ27" s="84">
        <f t="shared" si="18"/>
        <v>0</v>
      </c>
    </row>
    <row r="28" spans="1:36" x14ac:dyDescent="0.25">
      <c r="A28" s="106"/>
      <c r="B28" s="37">
        <f t="shared" si="3"/>
        <v>41410</v>
      </c>
      <c r="C28" s="38">
        <f t="shared" si="0"/>
        <v>41410</v>
      </c>
      <c r="D28" s="39" t="str">
        <f>IF(B28="","",IF(VerificaSeFeriado(B28),"Sim",""))</f>
        <v/>
      </c>
      <c r="E28" s="5"/>
      <c r="F28" s="5"/>
      <c r="G28" s="5"/>
      <c r="H28" s="5"/>
      <c r="I28" s="5"/>
      <c r="J28" s="5"/>
      <c r="K28" s="5"/>
      <c r="L28" s="5"/>
      <c r="M28" s="41" t="str">
        <f t="shared" si="4"/>
        <v/>
      </c>
      <c r="N28" s="42" t="str">
        <f t="shared" si="5"/>
        <v/>
      </c>
      <c r="O28" s="43" t="str">
        <f t="shared" si="19"/>
        <v/>
      </c>
      <c r="P28" s="43" t="str">
        <f t="shared" ca="1" si="6"/>
        <v/>
      </c>
      <c r="Q28" s="6"/>
      <c r="R28" s="40">
        <f t="shared" si="7"/>
        <v>0</v>
      </c>
      <c r="S28" s="44" t="str">
        <f>IF(D28="Sim",0,IF((OR(WEEKDAY(C28)=2,WEEKDAY(C28)=3,WEEKDAY(C28)=4,WEEKDAY(C28)=5,WEEKDAY(C28)=6))=TRUE,M28,IF(AND(WEEKDAY(C28)=7,Configurações!$C$11&gt;0)=TRUE,M28,IF(AND(WEEKDAY(C28)=1,Configurações!$C$12&gt;0)=TRUE,M28,0))))</f>
        <v/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8"/>
        <v>0</v>
      </c>
      <c r="W28" s="44">
        <f t="shared" si="9"/>
        <v>0</v>
      </c>
      <c r="X28" s="45">
        <f t="shared" si="10"/>
        <v>0</v>
      </c>
      <c r="Y28" s="44">
        <f t="shared" si="20"/>
        <v>0</v>
      </c>
      <c r="Z28" s="45">
        <f t="shared" si="11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2"/>
        <v/>
      </c>
      <c r="AE28" s="11" t="str">
        <f t="shared" si="13"/>
        <v/>
      </c>
      <c r="AF28" s="83">
        <f t="shared" si="14"/>
        <v>0</v>
      </c>
      <c r="AG28" s="84">
        <f t="shared" si="15"/>
        <v>0</v>
      </c>
      <c r="AH28" s="84">
        <f t="shared" si="16"/>
        <v>0</v>
      </c>
      <c r="AI28" s="84">
        <f t="shared" si="17"/>
        <v>0</v>
      </c>
      <c r="AJ28" s="84">
        <f t="shared" si="18"/>
        <v>0</v>
      </c>
    </row>
    <row r="29" spans="1:36" x14ac:dyDescent="0.25">
      <c r="A29" s="106"/>
      <c r="B29" s="37">
        <f t="shared" si="3"/>
        <v>41411</v>
      </c>
      <c r="C29" s="38">
        <f t="shared" si="0"/>
        <v>41411</v>
      </c>
      <c r="D29" s="39" t="str">
        <f>IF(B29="","",IF(VerificaSeFeriado(B29),"Sim",""))</f>
        <v/>
      </c>
      <c r="E29" s="5"/>
      <c r="F29" s="5"/>
      <c r="G29" s="5"/>
      <c r="H29" s="5"/>
      <c r="I29" s="5"/>
      <c r="J29" s="5"/>
      <c r="K29" s="5"/>
      <c r="L29" s="5"/>
      <c r="M29" s="41" t="str">
        <f t="shared" si="4"/>
        <v/>
      </c>
      <c r="N29" s="42" t="str">
        <f t="shared" si="5"/>
        <v/>
      </c>
      <c r="O29" s="43" t="str">
        <f t="shared" si="19"/>
        <v/>
      </c>
      <c r="P29" s="43" t="str">
        <f t="shared" ca="1" si="6"/>
        <v/>
      </c>
      <c r="Q29" s="6"/>
      <c r="R29" s="40">
        <f t="shared" si="7"/>
        <v>0</v>
      </c>
      <c r="S29" s="44" t="str">
        <f>IF(D29="Sim",0,IF((OR(WEEKDAY(C29)=2,WEEKDAY(C29)=3,WEEKDAY(C29)=4,WEEKDAY(C29)=5,WEEKDAY(C29)=6))=TRUE,M29,IF(AND(WEEKDAY(C29)=7,Configurações!$C$11&gt;0)=TRUE,M29,IF(AND(WEEKDAY(C29)=1,Configurações!$C$12&gt;0)=TRUE,M29,0))))</f>
        <v/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8"/>
        <v>0</v>
      </c>
      <c r="W29" s="44">
        <f t="shared" si="9"/>
        <v>0</v>
      </c>
      <c r="X29" s="45">
        <f t="shared" si="10"/>
        <v>0</v>
      </c>
      <c r="Y29" s="44">
        <f t="shared" si="20"/>
        <v>0</v>
      </c>
      <c r="Z29" s="45">
        <f t="shared" si="11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2"/>
        <v/>
      </c>
      <c r="AE29" s="11" t="str">
        <f t="shared" si="13"/>
        <v/>
      </c>
      <c r="AF29" s="83">
        <f t="shared" si="14"/>
        <v>0</v>
      </c>
      <c r="AG29" s="84">
        <f t="shared" si="15"/>
        <v>0</v>
      </c>
      <c r="AH29" s="84">
        <f t="shared" si="16"/>
        <v>0</v>
      </c>
      <c r="AI29" s="84">
        <f t="shared" si="17"/>
        <v>0</v>
      </c>
      <c r="AJ29" s="84">
        <f t="shared" si="18"/>
        <v>0</v>
      </c>
    </row>
    <row r="30" spans="1:36" x14ac:dyDescent="0.25">
      <c r="A30" s="106"/>
      <c r="B30" s="37">
        <f t="shared" si="3"/>
        <v>41412</v>
      </c>
      <c r="C30" s="38">
        <f t="shared" si="0"/>
        <v>41412</v>
      </c>
      <c r="D30" s="39" t="str">
        <f>IF(B30="","",IF(VerificaSeFeriado(B30),"Sim",""))</f>
        <v/>
      </c>
      <c r="E30" s="5"/>
      <c r="F30" s="5"/>
      <c r="G30" s="5"/>
      <c r="H30" s="5"/>
      <c r="I30" s="5"/>
      <c r="J30" s="5"/>
      <c r="K30" s="5"/>
      <c r="L30" s="5"/>
      <c r="M30" s="41" t="str">
        <f t="shared" si="4"/>
        <v/>
      </c>
      <c r="N30" s="42" t="str">
        <f t="shared" si="5"/>
        <v/>
      </c>
      <c r="O30" s="43" t="str">
        <f t="shared" si="19"/>
        <v/>
      </c>
      <c r="P30" s="43" t="str">
        <f t="shared" ca="1" si="6"/>
        <v/>
      </c>
      <c r="Q30" s="6"/>
      <c r="R30" s="40">
        <f t="shared" si="7"/>
        <v>0</v>
      </c>
      <c r="S30" s="44" t="str">
        <f>IF(D30="Sim",0,IF((OR(WEEKDAY(C30)=2,WEEKDAY(C30)=3,WEEKDAY(C30)=4,WEEKDAY(C30)=5,WEEKDAY(C30)=6))=TRUE,M30,IF(AND(WEEKDAY(C30)=7,Configurações!$C$11&gt;0)=TRUE,M30,IF(AND(WEEKDAY(C30)=1,Configurações!$C$12&gt;0)=TRUE,M30,0))))</f>
        <v/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8"/>
        <v>0</v>
      </c>
      <c r="W30" s="44">
        <f t="shared" si="9"/>
        <v>0</v>
      </c>
      <c r="X30" s="45">
        <f t="shared" si="10"/>
        <v>0</v>
      </c>
      <c r="Y30" s="44">
        <f t="shared" si="20"/>
        <v>0</v>
      </c>
      <c r="Z30" s="45">
        <f t="shared" si="11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2"/>
        <v/>
      </c>
      <c r="AE30" s="11" t="str">
        <f t="shared" si="13"/>
        <v/>
      </c>
      <c r="AF30" s="83">
        <f t="shared" si="14"/>
        <v>0</v>
      </c>
      <c r="AG30" s="84">
        <f t="shared" si="15"/>
        <v>0</v>
      </c>
      <c r="AH30" s="84">
        <f t="shared" si="16"/>
        <v>0</v>
      </c>
      <c r="AI30" s="84">
        <f t="shared" si="17"/>
        <v>0</v>
      </c>
      <c r="AJ30" s="84">
        <f t="shared" si="18"/>
        <v>0</v>
      </c>
    </row>
    <row r="31" spans="1:36" x14ac:dyDescent="0.25">
      <c r="A31" s="106"/>
      <c r="B31" s="37">
        <f t="shared" si="3"/>
        <v>41413</v>
      </c>
      <c r="C31" s="38">
        <f t="shared" si="0"/>
        <v>41413</v>
      </c>
      <c r="D31" s="39" t="str">
        <f>IF(B31="","",IF(VerificaSeFeriado(B31),"Sim",""))</f>
        <v/>
      </c>
      <c r="E31" s="5"/>
      <c r="F31" s="5"/>
      <c r="G31" s="5"/>
      <c r="H31" s="5"/>
      <c r="I31" s="5"/>
      <c r="J31" s="5"/>
      <c r="K31" s="5"/>
      <c r="L31" s="5"/>
      <c r="M31" s="41" t="str">
        <f t="shared" si="4"/>
        <v/>
      </c>
      <c r="N31" s="42" t="str">
        <f t="shared" si="5"/>
        <v/>
      </c>
      <c r="O31" s="43" t="str">
        <f t="shared" si="19"/>
        <v/>
      </c>
      <c r="P31" s="43" t="str">
        <f t="shared" ca="1" si="6"/>
        <v/>
      </c>
      <c r="Q31" s="6"/>
      <c r="R31" s="40">
        <f t="shared" si="7"/>
        <v>0</v>
      </c>
      <c r="S31" s="44">
        <f>IF(D31="Sim",0,IF((OR(WEEKDAY(C31)=2,WEEKDAY(C31)=3,WEEKDAY(C31)=4,WEEKDAY(C31)=5,WEEKDAY(C31)=6))=TRUE,M31,IF(AND(WEEKDAY(C31)=7,Configurações!$C$11&gt;0)=TRUE,M31,IF(AND(WEEKDAY(C31)=1,Configurações!$C$12&gt;0)=TRUE,M31,0))))</f>
        <v>0</v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8"/>
        <v>0</v>
      </c>
      <c r="W31" s="44">
        <f t="shared" si="9"/>
        <v>0</v>
      </c>
      <c r="X31" s="45">
        <f t="shared" si="10"/>
        <v>0</v>
      </c>
      <c r="Y31" s="44">
        <f t="shared" si="20"/>
        <v>0</v>
      </c>
      <c r="Z31" s="45">
        <f t="shared" si="11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2"/>
        <v/>
      </c>
      <c r="AE31" s="11" t="str">
        <f t="shared" si="13"/>
        <v/>
      </c>
      <c r="AF31" s="83">
        <f t="shared" si="14"/>
        <v>0</v>
      </c>
      <c r="AG31" s="84">
        <f t="shared" si="15"/>
        <v>0</v>
      </c>
      <c r="AH31" s="84">
        <f t="shared" si="16"/>
        <v>0</v>
      </c>
      <c r="AI31" s="84">
        <f t="shared" si="17"/>
        <v>0</v>
      </c>
      <c r="AJ31" s="84">
        <f t="shared" si="18"/>
        <v>0</v>
      </c>
    </row>
    <row r="32" spans="1:36" x14ac:dyDescent="0.25">
      <c r="A32" s="106"/>
      <c r="B32" s="37">
        <f t="shared" si="3"/>
        <v>41414</v>
      </c>
      <c r="C32" s="38">
        <f t="shared" si="0"/>
        <v>41414</v>
      </c>
      <c r="D32" s="39" t="str">
        <f>IF(B32="","",IF(VerificaSeFeriado(B32),"Sim",""))</f>
        <v/>
      </c>
      <c r="E32" s="5"/>
      <c r="F32" s="5"/>
      <c r="G32" s="5"/>
      <c r="H32" s="5"/>
      <c r="I32" s="5"/>
      <c r="J32" s="5"/>
      <c r="K32" s="5"/>
      <c r="L32" s="5"/>
      <c r="M32" s="41" t="str">
        <f t="shared" si="4"/>
        <v/>
      </c>
      <c r="N32" s="42" t="str">
        <f t="shared" si="5"/>
        <v/>
      </c>
      <c r="O32" s="43" t="str">
        <f t="shared" si="19"/>
        <v/>
      </c>
      <c r="P32" s="43" t="str">
        <f t="shared" ca="1" si="6"/>
        <v/>
      </c>
      <c r="Q32" s="6"/>
      <c r="R32" s="40">
        <f t="shared" si="7"/>
        <v>0</v>
      </c>
      <c r="S32" s="44">
        <f>IF(D32="Sim",0,IF((OR(WEEKDAY(C32)=2,WEEKDAY(C32)=3,WEEKDAY(C32)=4,WEEKDAY(C32)=5,WEEKDAY(C32)=6))=TRUE,M32,IF(AND(WEEKDAY(C32)=7,Configurações!$C$11&gt;0)=TRUE,M32,IF(AND(WEEKDAY(C32)=1,Configurações!$C$12&gt;0)=TRUE,M32,0))))</f>
        <v>0</v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8"/>
        <v>0</v>
      </c>
      <c r="W32" s="44">
        <f t="shared" si="9"/>
        <v>0</v>
      </c>
      <c r="X32" s="45">
        <f t="shared" si="10"/>
        <v>0</v>
      </c>
      <c r="Y32" s="44">
        <f t="shared" si="20"/>
        <v>0</v>
      </c>
      <c r="Z32" s="45">
        <f t="shared" si="11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2"/>
        <v/>
      </c>
      <c r="AE32" s="11" t="str">
        <f t="shared" si="13"/>
        <v/>
      </c>
      <c r="AF32" s="83">
        <f t="shared" si="14"/>
        <v>0</v>
      </c>
      <c r="AG32" s="84">
        <f t="shared" si="15"/>
        <v>0</v>
      </c>
      <c r="AH32" s="84">
        <f t="shared" si="16"/>
        <v>0</v>
      </c>
      <c r="AI32" s="84">
        <f t="shared" si="17"/>
        <v>0</v>
      </c>
      <c r="AJ32" s="84">
        <f t="shared" si="18"/>
        <v>0</v>
      </c>
    </row>
    <row r="33" spans="1:36" x14ac:dyDescent="0.25">
      <c r="A33" s="106"/>
      <c r="B33" s="37">
        <f t="shared" si="3"/>
        <v>41415</v>
      </c>
      <c r="C33" s="38">
        <f t="shared" si="0"/>
        <v>41415</v>
      </c>
      <c r="D33" s="39" t="str">
        <f>IF(B33="","",IF(VerificaSeFeriado(B33),"Sim",""))</f>
        <v/>
      </c>
      <c r="E33" s="5"/>
      <c r="F33" s="5"/>
      <c r="G33" s="5"/>
      <c r="H33" s="5"/>
      <c r="I33" s="5"/>
      <c r="J33" s="5"/>
      <c r="K33" s="5"/>
      <c r="L33" s="5"/>
      <c r="M33" s="41" t="str">
        <f t="shared" si="4"/>
        <v/>
      </c>
      <c r="N33" s="42" t="str">
        <f t="shared" si="5"/>
        <v/>
      </c>
      <c r="O33" s="43" t="str">
        <f t="shared" si="19"/>
        <v/>
      </c>
      <c r="P33" s="43" t="str">
        <f t="shared" ca="1" si="6"/>
        <v/>
      </c>
      <c r="Q33" s="6"/>
      <c r="R33" s="40">
        <f t="shared" si="7"/>
        <v>0</v>
      </c>
      <c r="S33" s="44" t="str">
        <f>IF(D33="Sim",0,IF((OR(WEEKDAY(C33)=2,WEEKDAY(C33)=3,WEEKDAY(C33)=4,WEEKDAY(C33)=5,WEEKDAY(C33)=6))=TRUE,M33,IF(AND(WEEKDAY(C33)=7,Configurações!$C$11&gt;0)=TRUE,M33,IF(AND(WEEKDAY(C33)=1,Configurações!$C$12&gt;0)=TRUE,M33,0))))</f>
        <v/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8"/>
        <v>0</v>
      </c>
      <c r="W33" s="44">
        <f t="shared" si="9"/>
        <v>0</v>
      </c>
      <c r="X33" s="45">
        <f t="shared" si="10"/>
        <v>0</v>
      </c>
      <c r="Y33" s="44">
        <f t="shared" si="20"/>
        <v>0</v>
      </c>
      <c r="Z33" s="45">
        <f t="shared" si="11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2"/>
        <v/>
      </c>
      <c r="AE33" s="11" t="str">
        <f t="shared" si="13"/>
        <v/>
      </c>
      <c r="AF33" s="83">
        <f t="shared" si="14"/>
        <v>0</v>
      </c>
      <c r="AG33" s="84">
        <f t="shared" si="15"/>
        <v>0</v>
      </c>
      <c r="AH33" s="84">
        <f t="shared" si="16"/>
        <v>0</v>
      </c>
      <c r="AI33" s="84">
        <f t="shared" si="17"/>
        <v>0</v>
      </c>
      <c r="AJ33" s="84">
        <f t="shared" si="18"/>
        <v>0</v>
      </c>
    </row>
    <row r="34" spans="1:36" x14ac:dyDescent="0.25">
      <c r="A34" s="106"/>
      <c r="B34" s="37">
        <f t="shared" si="3"/>
        <v>41416</v>
      </c>
      <c r="C34" s="38">
        <f t="shared" si="0"/>
        <v>41416</v>
      </c>
      <c r="D34" s="39" t="str">
        <f>IF(B34="","",IF(VerificaSeFeriado(B34),"Sim",""))</f>
        <v/>
      </c>
      <c r="E34" s="5"/>
      <c r="F34" s="5"/>
      <c r="G34" s="5"/>
      <c r="H34" s="5"/>
      <c r="I34" s="5"/>
      <c r="J34" s="5"/>
      <c r="K34" s="5"/>
      <c r="L34" s="5"/>
      <c r="M34" s="41" t="str">
        <f t="shared" si="4"/>
        <v/>
      </c>
      <c r="N34" s="42" t="str">
        <f t="shared" si="5"/>
        <v/>
      </c>
      <c r="O34" s="43" t="str">
        <f t="shared" si="19"/>
        <v/>
      </c>
      <c r="P34" s="43" t="str">
        <f t="shared" ca="1" si="6"/>
        <v/>
      </c>
      <c r="Q34" s="6"/>
      <c r="R34" s="40">
        <f t="shared" si="7"/>
        <v>0</v>
      </c>
      <c r="S34" s="44" t="str">
        <f>IF(D34="Sim",0,IF((OR(WEEKDAY(C34)=2,WEEKDAY(C34)=3,WEEKDAY(C34)=4,WEEKDAY(C34)=5,WEEKDAY(C34)=6))=TRUE,M34,IF(AND(WEEKDAY(C34)=7,Configurações!$C$11&gt;0)=TRUE,M34,IF(AND(WEEKDAY(C34)=1,Configurações!$C$12&gt;0)=TRUE,M34,0))))</f>
        <v/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8"/>
        <v>0</v>
      </c>
      <c r="W34" s="44">
        <f t="shared" si="9"/>
        <v>0</v>
      </c>
      <c r="X34" s="45">
        <f t="shared" si="10"/>
        <v>0</v>
      </c>
      <c r="Y34" s="44">
        <f t="shared" si="20"/>
        <v>0</v>
      </c>
      <c r="Z34" s="45">
        <f t="shared" si="11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2"/>
        <v/>
      </c>
      <c r="AE34" s="11" t="str">
        <f t="shared" si="13"/>
        <v/>
      </c>
      <c r="AF34" s="83">
        <f t="shared" si="14"/>
        <v>0</v>
      </c>
      <c r="AG34" s="84">
        <f t="shared" si="15"/>
        <v>0</v>
      </c>
      <c r="AH34" s="84">
        <f t="shared" si="16"/>
        <v>0</v>
      </c>
      <c r="AI34" s="84">
        <f t="shared" si="17"/>
        <v>0</v>
      </c>
      <c r="AJ34" s="84">
        <f t="shared" si="18"/>
        <v>0</v>
      </c>
    </row>
    <row r="35" spans="1:36" x14ac:dyDescent="0.25">
      <c r="A35" s="106"/>
      <c r="B35" s="37">
        <f t="shared" si="3"/>
        <v>41417</v>
      </c>
      <c r="C35" s="38">
        <f t="shared" si="0"/>
        <v>41417</v>
      </c>
      <c r="D35" s="39" t="str">
        <f>IF(B35="","",IF(VerificaSeFeriado(B35),"Sim",""))</f>
        <v/>
      </c>
      <c r="E35" s="5"/>
      <c r="F35" s="5"/>
      <c r="G35" s="5"/>
      <c r="H35" s="5"/>
      <c r="I35" s="5"/>
      <c r="J35" s="5"/>
      <c r="K35" s="5"/>
      <c r="L35" s="5"/>
      <c r="M35" s="41" t="str">
        <f t="shared" si="4"/>
        <v/>
      </c>
      <c r="N35" s="42" t="str">
        <f t="shared" si="5"/>
        <v/>
      </c>
      <c r="O35" s="43" t="str">
        <f t="shared" si="19"/>
        <v/>
      </c>
      <c r="P35" s="43" t="str">
        <f t="shared" ca="1" si="6"/>
        <v/>
      </c>
      <c r="Q35" s="6"/>
      <c r="R35" s="40">
        <f t="shared" si="7"/>
        <v>0</v>
      </c>
      <c r="S35" s="44" t="str">
        <f>IF(D35="Sim",0,IF((OR(WEEKDAY(C35)=2,WEEKDAY(C35)=3,WEEKDAY(C35)=4,WEEKDAY(C35)=5,WEEKDAY(C35)=6))=TRUE,M35,IF(AND(WEEKDAY(C35)=7,Configurações!$C$11&gt;0)=TRUE,M35,IF(AND(WEEKDAY(C35)=1,Configurações!$C$12&gt;0)=TRUE,M35,0))))</f>
        <v/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</v>
      </c>
      <c r="V35" s="44">
        <f t="shared" si="8"/>
        <v>0</v>
      </c>
      <c r="W35" s="44">
        <f t="shared" si="9"/>
        <v>0</v>
      </c>
      <c r="X35" s="45">
        <f t="shared" si="10"/>
        <v>0</v>
      </c>
      <c r="Y35" s="44">
        <f t="shared" si="20"/>
        <v>0</v>
      </c>
      <c r="Z35" s="45">
        <f t="shared" si="11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2"/>
        <v/>
      </c>
      <c r="AE35" s="11" t="str">
        <f t="shared" si="13"/>
        <v/>
      </c>
      <c r="AF35" s="83">
        <f t="shared" si="14"/>
        <v>0</v>
      </c>
      <c r="AG35" s="84">
        <f t="shared" si="15"/>
        <v>0</v>
      </c>
      <c r="AH35" s="84">
        <f t="shared" si="16"/>
        <v>0</v>
      </c>
      <c r="AI35" s="84">
        <f t="shared" si="17"/>
        <v>0</v>
      </c>
      <c r="AJ35" s="84">
        <f t="shared" si="18"/>
        <v>0</v>
      </c>
    </row>
    <row r="36" spans="1:36" x14ac:dyDescent="0.25">
      <c r="A36" s="106"/>
      <c r="B36" s="37">
        <f t="shared" si="3"/>
        <v>41418</v>
      </c>
      <c r="C36" s="38">
        <f t="shared" si="0"/>
        <v>41418</v>
      </c>
      <c r="D36" s="39" t="str">
        <f>IF(B36="","",IF(VerificaSeFeriado(B36),"Sim",""))</f>
        <v/>
      </c>
      <c r="E36" s="5"/>
      <c r="F36" s="5"/>
      <c r="G36" s="5"/>
      <c r="H36" s="5"/>
      <c r="I36" s="5"/>
      <c r="J36" s="5"/>
      <c r="K36" s="5"/>
      <c r="L36" s="5"/>
      <c r="M36" s="41" t="str">
        <f t="shared" si="4"/>
        <v/>
      </c>
      <c r="N36" s="42" t="str">
        <f t="shared" si="5"/>
        <v/>
      </c>
      <c r="O36" s="43" t="str">
        <f t="shared" si="19"/>
        <v/>
      </c>
      <c r="P36" s="43" t="str">
        <f t="shared" ca="1" si="6"/>
        <v/>
      </c>
      <c r="Q36" s="6"/>
      <c r="R36" s="40">
        <f t="shared" si="7"/>
        <v>0</v>
      </c>
      <c r="S36" s="44" t="str">
        <f>IF(D36="Sim",0,IF((OR(WEEKDAY(C36)=2,WEEKDAY(C36)=3,WEEKDAY(C36)=4,WEEKDAY(C36)=5,WEEKDAY(C36)=6))=TRUE,M36,IF(AND(WEEKDAY(C36)=7,Configurações!$C$11&gt;0)=TRUE,M36,IF(AND(WEEKDAY(C36)=1,Configurações!$C$12&gt;0)=TRUE,M36,0))))</f>
        <v/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8"/>
        <v>0</v>
      </c>
      <c r="W36" s="44">
        <f t="shared" si="9"/>
        <v>0</v>
      </c>
      <c r="X36" s="45">
        <f t="shared" si="10"/>
        <v>0</v>
      </c>
      <c r="Y36" s="44">
        <f t="shared" si="20"/>
        <v>0</v>
      </c>
      <c r="Z36" s="45">
        <f t="shared" si="11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2"/>
        <v/>
      </c>
      <c r="AE36" s="11" t="str">
        <f t="shared" si="13"/>
        <v/>
      </c>
      <c r="AF36" s="83">
        <f t="shared" si="14"/>
        <v>0</v>
      </c>
      <c r="AG36" s="84">
        <f t="shared" si="15"/>
        <v>0</v>
      </c>
      <c r="AH36" s="84">
        <f t="shared" si="16"/>
        <v>0</v>
      </c>
      <c r="AI36" s="84">
        <f t="shared" si="17"/>
        <v>0</v>
      </c>
      <c r="AJ36" s="84">
        <f t="shared" si="18"/>
        <v>0</v>
      </c>
    </row>
    <row r="37" spans="1:36" x14ac:dyDescent="0.25">
      <c r="A37" s="106"/>
      <c r="B37" s="37">
        <f t="shared" si="3"/>
        <v>41419</v>
      </c>
      <c r="C37" s="38">
        <f t="shared" si="0"/>
        <v>41419</v>
      </c>
      <c r="D37" s="39" t="str">
        <f>IF(B37="","",IF(VerificaSeFeriado(B37),"Sim",""))</f>
        <v/>
      </c>
      <c r="E37" s="5"/>
      <c r="F37" s="5"/>
      <c r="G37" s="5"/>
      <c r="H37" s="5"/>
      <c r="I37" s="5"/>
      <c r="J37" s="5"/>
      <c r="K37" s="5"/>
      <c r="L37" s="5"/>
      <c r="M37" s="41" t="str">
        <f t="shared" si="4"/>
        <v/>
      </c>
      <c r="N37" s="42" t="str">
        <f t="shared" si="5"/>
        <v/>
      </c>
      <c r="O37" s="43" t="str">
        <f t="shared" si="19"/>
        <v/>
      </c>
      <c r="P37" s="43" t="str">
        <f t="shared" ca="1" si="6"/>
        <v/>
      </c>
      <c r="Q37" s="6"/>
      <c r="R37" s="40">
        <f t="shared" si="7"/>
        <v>0</v>
      </c>
      <c r="S37" s="44" t="str">
        <f>IF(D37="Sim",0,IF((OR(WEEKDAY(C37)=2,WEEKDAY(C37)=3,WEEKDAY(C37)=4,WEEKDAY(C37)=5,WEEKDAY(C37)=6))=TRUE,M37,IF(AND(WEEKDAY(C37)=7,Configurações!$C$11&gt;0)=TRUE,M37,IF(AND(WEEKDAY(C37)=1,Configurações!$C$12&gt;0)=TRUE,M37,0))))</f>
        <v/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8"/>
        <v>0</v>
      </c>
      <c r="W37" s="44">
        <f t="shared" si="9"/>
        <v>0</v>
      </c>
      <c r="X37" s="45">
        <f t="shared" si="10"/>
        <v>0</v>
      </c>
      <c r="Y37" s="44">
        <f t="shared" si="20"/>
        <v>0</v>
      </c>
      <c r="Z37" s="45">
        <f t="shared" si="11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2"/>
        <v/>
      </c>
      <c r="AE37" s="11" t="str">
        <f t="shared" si="13"/>
        <v/>
      </c>
      <c r="AF37" s="83">
        <f t="shared" si="14"/>
        <v>0</v>
      </c>
      <c r="AG37" s="84">
        <f t="shared" si="15"/>
        <v>0</v>
      </c>
      <c r="AH37" s="84">
        <f t="shared" si="16"/>
        <v>0</v>
      </c>
      <c r="AI37" s="84">
        <f t="shared" si="17"/>
        <v>0</v>
      </c>
      <c r="AJ37" s="84">
        <f t="shared" si="18"/>
        <v>0</v>
      </c>
    </row>
    <row r="38" spans="1:36" x14ac:dyDescent="0.25">
      <c r="A38" s="106"/>
      <c r="B38" s="37">
        <f t="shared" si="3"/>
        <v>41420</v>
      </c>
      <c r="C38" s="38">
        <f t="shared" si="0"/>
        <v>41420</v>
      </c>
      <c r="D38" s="39" t="str">
        <f>IF(B38="","",IF(VerificaSeFeriado(B38),"Sim",""))</f>
        <v/>
      </c>
      <c r="E38" s="5"/>
      <c r="F38" s="5"/>
      <c r="G38" s="5"/>
      <c r="H38" s="5"/>
      <c r="I38" s="5"/>
      <c r="J38" s="5"/>
      <c r="K38" s="5"/>
      <c r="L38" s="5"/>
      <c r="M38" s="41" t="str">
        <f t="shared" si="4"/>
        <v/>
      </c>
      <c r="N38" s="42" t="str">
        <f t="shared" si="5"/>
        <v/>
      </c>
      <c r="O38" s="43" t="str">
        <f t="shared" si="19"/>
        <v/>
      </c>
      <c r="P38" s="43" t="str">
        <f t="shared" ca="1" si="6"/>
        <v/>
      </c>
      <c r="Q38" s="6"/>
      <c r="R38" s="40">
        <f t="shared" si="7"/>
        <v>0</v>
      </c>
      <c r="S38" s="44">
        <f>IF(D38="Sim",0,IF((OR(WEEKDAY(C38)=2,WEEKDAY(C38)=3,WEEKDAY(C38)=4,WEEKDAY(C38)=5,WEEKDAY(C38)=6))=TRUE,M38,IF(AND(WEEKDAY(C38)=7,Configurações!$C$11&gt;0)=TRUE,M38,IF(AND(WEEKDAY(C38)=1,Configurações!$C$12&gt;0)=TRUE,M38,0))))</f>
        <v>0</v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8"/>
        <v>0</v>
      </c>
      <c r="W38" s="44">
        <f t="shared" si="9"/>
        <v>0</v>
      </c>
      <c r="X38" s="45">
        <f t="shared" si="10"/>
        <v>0</v>
      </c>
      <c r="Y38" s="44">
        <f t="shared" si="20"/>
        <v>0</v>
      </c>
      <c r="Z38" s="45">
        <f t="shared" si="11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2"/>
        <v/>
      </c>
      <c r="AE38" s="11" t="str">
        <f t="shared" si="13"/>
        <v/>
      </c>
      <c r="AF38" s="83">
        <f t="shared" si="14"/>
        <v>0</v>
      </c>
      <c r="AG38" s="84">
        <f t="shared" si="15"/>
        <v>0</v>
      </c>
      <c r="AH38" s="84">
        <f t="shared" si="16"/>
        <v>0</v>
      </c>
      <c r="AI38" s="84">
        <f t="shared" si="17"/>
        <v>0</v>
      </c>
      <c r="AJ38" s="84">
        <f t="shared" si="18"/>
        <v>0</v>
      </c>
    </row>
    <row r="39" spans="1:36" x14ac:dyDescent="0.25">
      <c r="A39" s="106"/>
      <c r="B39" s="37">
        <f t="shared" si="3"/>
        <v>41421</v>
      </c>
      <c r="C39" s="38">
        <f t="shared" si="0"/>
        <v>41421</v>
      </c>
      <c r="D39" s="39" t="str">
        <f>IF(B39="","",IF(VerificaSeFeriado(B39),"Sim",""))</f>
        <v/>
      </c>
      <c r="E39" s="5"/>
      <c r="F39" s="5"/>
      <c r="G39" s="5"/>
      <c r="H39" s="5"/>
      <c r="I39" s="5"/>
      <c r="J39" s="5"/>
      <c r="K39" s="5"/>
      <c r="L39" s="5"/>
      <c r="M39" s="41" t="str">
        <f t="shared" si="4"/>
        <v/>
      </c>
      <c r="N39" s="42" t="str">
        <f t="shared" si="5"/>
        <v/>
      </c>
      <c r="O39" s="43" t="str">
        <f t="shared" si="19"/>
        <v/>
      </c>
      <c r="P39" s="43" t="str">
        <f t="shared" ca="1" si="6"/>
        <v/>
      </c>
      <c r="Q39" s="6"/>
      <c r="R39" s="40">
        <f t="shared" si="7"/>
        <v>0</v>
      </c>
      <c r="S39" s="44">
        <f>IF(D39="Sim",0,IF((OR(WEEKDAY(C39)=2,WEEKDAY(C39)=3,WEEKDAY(C39)=4,WEEKDAY(C39)=5,WEEKDAY(C39)=6))=TRUE,M39,IF(AND(WEEKDAY(C39)=7,Configurações!$C$11&gt;0)=TRUE,M39,IF(AND(WEEKDAY(C39)=1,Configurações!$C$12&gt;0)=TRUE,M39,0))))</f>
        <v>0</v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8"/>
        <v>0</v>
      </c>
      <c r="W39" s="44">
        <f t="shared" si="9"/>
        <v>0</v>
      </c>
      <c r="X39" s="45">
        <f t="shared" si="10"/>
        <v>0</v>
      </c>
      <c r="Y39" s="44">
        <f t="shared" si="20"/>
        <v>0</v>
      </c>
      <c r="Z39" s="45">
        <f t="shared" si="11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2"/>
        <v/>
      </c>
      <c r="AE39" s="11" t="str">
        <f t="shared" si="13"/>
        <v/>
      </c>
      <c r="AF39" s="83">
        <f t="shared" si="14"/>
        <v>0</v>
      </c>
      <c r="AG39" s="84">
        <f t="shared" si="15"/>
        <v>0</v>
      </c>
      <c r="AH39" s="84">
        <f t="shared" si="16"/>
        <v>0</v>
      </c>
      <c r="AI39" s="84">
        <f t="shared" si="17"/>
        <v>0</v>
      </c>
      <c r="AJ39" s="84">
        <f t="shared" si="18"/>
        <v>0</v>
      </c>
    </row>
    <row r="40" spans="1:36" x14ac:dyDescent="0.25">
      <c r="A40" s="106"/>
      <c r="B40" s="37">
        <f t="shared" si="3"/>
        <v>41422</v>
      </c>
      <c r="C40" s="38">
        <f t="shared" si="0"/>
        <v>41422</v>
      </c>
      <c r="D40" s="39" t="str">
        <f>IF(B40="","",IF(VerificaSeFeriado(B40),"Sim",""))</f>
        <v/>
      </c>
      <c r="E40" s="5"/>
      <c r="F40" s="5"/>
      <c r="G40" s="5"/>
      <c r="H40" s="5"/>
      <c r="I40" s="5"/>
      <c r="J40" s="5"/>
      <c r="K40" s="5"/>
      <c r="L40" s="5"/>
      <c r="M40" s="41" t="str">
        <f t="shared" si="4"/>
        <v/>
      </c>
      <c r="N40" s="42" t="str">
        <f t="shared" si="5"/>
        <v/>
      </c>
      <c r="O40" s="43" t="str">
        <f t="shared" si="19"/>
        <v/>
      </c>
      <c r="P40" s="43" t="str">
        <f t="shared" ca="1" si="6"/>
        <v/>
      </c>
      <c r="Q40" s="6"/>
      <c r="R40" s="40">
        <f t="shared" si="7"/>
        <v>0</v>
      </c>
      <c r="S40" s="44" t="str">
        <f>IF(D40="Sim",0,IF((OR(WEEKDAY(C40)=2,WEEKDAY(C40)=3,WEEKDAY(C40)=4,WEEKDAY(C40)=5,WEEKDAY(C40)=6))=TRUE,M40,IF(AND(WEEKDAY(C40)=7,Configurações!$C$11&gt;0)=TRUE,M40,IF(AND(WEEKDAY(C40)=1,Configurações!$C$12&gt;0)=TRUE,M40,0))))</f>
        <v/>
      </c>
      <c r="T40" s="44">
        <f>IF(D40="Sim",0,IF(AND(WEEKDAY(C40)=7,Configurações!$C$11&lt;=0)=TRUE,R40,0))</f>
        <v>0</v>
      </c>
      <c r="U40" s="44">
        <f>IF(D40="Sim",0,IF(AND(WEEKDAY(C40)=1,Configurações!$C$12&lt;=0)=TRUE,R40,0))</f>
        <v>0</v>
      </c>
      <c r="V40" s="44">
        <f t="shared" si="8"/>
        <v>0</v>
      </c>
      <c r="W40" s="44">
        <f t="shared" si="9"/>
        <v>0</v>
      </c>
      <c r="X40" s="45">
        <f t="shared" si="10"/>
        <v>0</v>
      </c>
      <c r="Y40" s="44">
        <f t="shared" si="20"/>
        <v>0</v>
      </c>
      <c r="Z40" s="45">
        <f t="shared" si="11"/>
        <v>0</v>
      </c>
      <c r="AA40" s="12" t="str">
        <f>IF(D40="Sim","Não",IF(AND(WEEKDAY(C40)=1,Configurações!$C$12&gt;0),"Sim",IF(AND(WEEKDAY(C40)=2,Configurações!$C$6&gt;0),"Sim",IF(AND(WEEKDAY(C40)=3,Configurações!$C$7&gt;0),"Sim",IF(AND(WEEKDAY(C40)=4,Configurações!$C$8&gt;0),"Sim",IF(AND(WEEKDAY(C40)=5,Configurações!$C$9&gt;0),"Sim",IF(AND(WEEKDAY(C40)=6,Configurações!$C$10&gt;0),"Sim",IF(AND(WEEKDAY(C40)=7,Configurações!$C$11&gt;0),"Sim","Não"))))))))</f>
        <v>Não</v>
      </c>
      <c r="AB40" s="44">
        <f>IF(D40="Sim",0,IF(WEEKDAY(C40)=2,Configurações!$C$6-Configurações!$E$6,IF(WEEKDAY(C40)=3,Configurações!$C$7-Configurações!$E$7,IF(WEEKDAY(C40)=4,Configurações!$C$8-Configurações!$E$8,IF(WEEKDAY(C40)=5,Configurações!$C$9-Configurações!$E$9,IF(WEEKDAY(C40)=6,Configurações!$C$10-Configurações!$E$10,IF(WEEKDAY(C40)=7,Configurações!$C$11-Configurações!$E$11,IF(WEEKDAY(C40)=1,Configurações!$C$12-Configurações!$E$12,""))))))))</f>
        <v>0</v>
      </c>
      <c r="AC40" s="44">
        <f>IF(D40="Sim",0,IF(WEEKDAY(C40)=2,Configurações!$E$6,IF(WEEKDAY(C40)=3,Configurações!$E$7,IF(WEEKDAY(C40)=4,Configurações!$E$8,IF(WEEKDAY(C40)=5,Configurações!$E$9,IF(WEEKDAY(C40)=6,Configurações!$E$10,IF(WEEKDAY(C40)=7,Configurações!$E$11,IF(WEEKDAY(C40)=1,Configurações!$E$12,""))))))))</f>
        <v>0</v>
      </c>
      <c r="AD40" s="11" t="str">
        <f t="shared" si="12"/>
        <v/>
      </c>
      <c r="AE40" s="11" t="str">
        <f t="shared" si="13"/>
        <v/>
      </c>
      <c r="AF40" s="83">
        <f t="shared" si="14"/>
        <v>0</v>
      </c>
      <c r="AG40" s="84">
        <f t="shared" si="15"/>
        <v>0</v>
      </c>
      <c r="AH40" s="84">
        <f t="shared" si="16"/>
        <v>0</v>
      </c>
      <c r="AI40" s="84">
        <f t="shared" si="17"/>
        <v>0</v>
      </c>
      <c r="AJ40" s="84">
        <f t="shared" si="18"/>
        <v>0</v>
      </c>
    </row>
    <row r="41" spans="1:36" x14ac:dyDescent="0.25">
      <c r="A41" s="106"/>
      <c r="B41" s="37">
        <f t="shared" si="3"/>
        <v>41423</v>
      </c>
      <c r="C41" s="38">
        <f t="shared" si="0"/>
        <v>41423</v>
      </c>
      <c r="D41" s="39" t="str">
        <f>IF(B41="","",IF(VerificaSeFeriado(B41),"Sim",""))</f>
        <v/>
      </c>
      <c r="E41" s="5"/>
      <c r="F41" s="5"/>
      <c r="G41" s="5"/>
      <c r="H41" s="5"/>
      <c r="I41" s="5"/>
      <c r="J41" s="5"/>
      <c r="K41" s="5"/>
      <c r="L41" s="5"/>
      <c r="M41" s="41" t="str">
        <f t="shared" si="4"/>
        <v/>
      </c>
      <c r="N41" s="42" t="str">
        <f t="shared" si="5"/>
        <v/>
      </c>
      <c r="O41" s="43" t="str">
        <f t="shared" si="19"/>
        <v/>
      </c>
      <c r="P41" s="43" t="str">
        <f t="shared" ca="1" si="6"/>
        <v/>
      </c>
      <c r="Q41" s="6"/>
      <c r="R41" s="40">
        <f t="shared" si="7"/>
        <v>0</v>
      </c>
      <c r="S41" s="44" t="str">
        <f>IF(D41="Sim",0,IF((OR(WEEKDAY(C41)=2,WEEKDAY(C41)=3,WEEKDAY(C41)=4,WEEKDAY(C41)=5,WEEKDAY(C41)=6))=TRUE,M41,IF(AND(WEEKDAY(C41)=7,Configurações!$C$11&gt;0)=TRUE,M41,IF(AND(WEEKDAY(C41)=1,Configurações!$C$12&gt;0)=TRUE,M41,0))))</f>
        <v/>
      </c>
      <c r="T41" s="44">
        <f>IF(D41="Sim",0,IF(AND(WEEKDAY(C41)=7,Configurações!$C$11&lt;=0)=TRUE,R41,0))</f>
        <v>0</v>
      </c>
      <c r="U41" s="44">
        <f>IF(D41="Sim",0,IF(AND(WEEKDAY(C41)=1,Configurações!$C$12&lt;=0)=TRUE,R41,0))</f>
        <v>0</v>
      </c>
      <c r="V41" s="44">
        <f t="shared" si="8"/>
        <v>0</v>
      </c>
      <c r="W41" s="44">
        <f t="shared" si="9"/>
        <v>0</v>
      </c>
      <c r="X41" s="45">
        <f t="shared" si="10"/>
        <v>0</v>
      </c>
      <c r="Y41" s="44">
        <f t="shared" si="20"/>
        <v>0</v>
      </c>
      <c r="Z41" s="45">
        <f t="shared" si="11"/>
        <v>0</v>
      </c>
      <c r="AA41" s="12" t="str">
        <f>IF(D41="Sim","Não",IF(AND(WEEKDAY(C41)=1,Configurações!$C$12&gt;0),"Sim",IF(AND(WEEKDAY(C41)=2,Configurações!$C$6&gt;0),"Sim",IF(AND(WEEKDAY(C41)=3,Configurações!$C$7&gt;0),"Sim",IF(AND(WEEKDAY(C41)=4,Configurações!$C$8&gt;0),"Sim",IF(AND(WEEKDAY(C41)=5,Configurações!$C$9&gt;0),"Sim",IF(AND(WEEKDAY(C41)=6,Configurações!$C$10&gt;0),"Sim",IF(AND(WEEKDAY(C41)=7,Configurações!$C$11&gt;0),"Sim","Não"))))))))</f>
        <v>Não</v>
      </c>
      <c r="AB41" s="44">
        <f>IF(D41="Sim",0,IF(WEEKDAY(C41)=2,Configurações!$C$6-Configurações!$E$6,IF(WEEKDAY(C41)=3,Configurações!$C$7-Configurações!$E$7,IF(WEEKDAY(C41)=4,Configurações!$C$8-Configurações!$E$8,IF(WEEKDAY(C41)=5,Configurações!$C$9-Configurações!$E$9,IF(WEEKDAY(C41)=6,Configurações!$C$10-Configurações!$E$10,IF(WEEKDAY(C41)=7,Configurações!$C$11-Configurações!$E$11,IF(WEEKDAY(C41)=1,Configurações!$C$12-Configurações!$E$12,""))))))))</f>
        <v>0</v>
      </c>
      <c r="AC41" s="44">
        <f>IF(D41="Sim",0,IF(WEEKDAY(C41)=2,Configurações!$E$6,IF(WEEKDAY(C41)=3,Configurações!$E$7,IF(WEEKDAY(C41)=4,Configurações!$E$8,IF(WEEKDAY(C41)=5,Configurações!$E$9,IF(WEEKDAY(C41)=6,Configurações!$E$10,IF(WEEKDAY(C41)=7,Configurações!$E$11,IF(WEEKDAY(C41)=1,Configurações!$E$12,""))))))))</f>
        <v>0</v>
      </c>
      <c r="AD41" s="11" t="str">
        <f t="shared" si="12"/>
        <v/>
      </c>
      <c r="AE41" s="11" t="str">
        <f t="shared" si="13"/>
        <v/>
      </c>
      <c r="AF41" s="83">
        <f t="shared" si="14"/>
        <v>0</v>
      </c>
      <c r="AG41" s="84">
        <f t="shared" si="15"/>
        <v>0</v>
      </c>
      <c r="AH41" s="84">
        <f t="shared" si="16"/>
        <v>0</v>
      </c>
      <c r="AI41" s="84">
        <f t="shared" si="17"/>
        <v>0</v>
      </c>
      <c r="AJ41" s="84">
        <f t="shared" si="18"/>
        <v>0</v>
      </c>
    </row>
    <row r="42" spans="1:36" x14ac:dyDescent="0.25">
      <c r="A42" s="106"/>
      <c r="B42" s="37">
        <f t="shared" si="3"/>
        <v>41424</v>
      </c>
      <c r="C42" s="38">
        <f t="shared" si="0"/>
        <v>41424</v>
      </c>
      <c r="D42" s="39" t="str">
        <f>IF(B42="","",IF(VerificaSeFeriado(B42),"Sim",""))</f>
        <v/>
      </c>
      <c r="E42" s="5"/>
      <c r="F42" s="5"/>
      <c r="G42" s="5"/>
      <c r="H42" s="5"/>
      <c r="I42" s="5"/>
      <c r="J42" s="5"/>
      <c r="K42" s="5"/>
      <c r="L42" s="5"/>
      <c r="M42" s="41" t="str">
        <f t="shared" si="4"/>
        <v/>
      </c>
      <c r="N42" s="42" t="str">
        <f t="shared" si="5"/>
        <v/>
      </c>
      <c r="O42" s="43" t="str">
        <f t="shared" si="19"/>
        <v/>
      </c>
      <c r="P42" s="43" t="str">
        <f t="shared" ca="1" si="6"/>
        <v/>
      </c>
      <c r="Q42" s="6"/>
      <c r="R42" s="40">
        <f t="shared" si="7"/>
        <v>0</v>
      </c>
      <c r="S42" s="44" t="str">
        <f>IF(D42="Sim",0,IF((OR(WEEKDAY(C42)=2,WEEKDAY(C42)=3,WEEKDAY(C42)=4,WEEKDAY(C42)=5,WEEKDAY(C42)=6))=TRUE,M42,IF(AND(WEEKDAY(C42)=7,Configurações!$C$11&gt;0)=TRUE,M42,IF(AND(WEEKDAY(C42)=1,Configurações!$C$12&gt;0)=TRUE,M42,0))))</f>
        <v/>
      </c>
      <c r="T42" s="44">
        <f>IF(D42="Sim",0,IF(AND(WEEKDAY(C42)=7,Configurações!$C$11&lt;=0)=TRUE,R42,0))</f>
        <v>0</v>
      </c>
      <c r="U42" s="44">
        <f>IF(D42="Sim",0,IF(AND(WEEKDAY(C42)=1,Configurações!$C$12&lt;=0)=TRUE,R42,0))</f>
        <v>0</v>
      </c>
      <c r="V42" s="44">
        <f t="shared" si="8"/>
        <v>0</v>
      </c>
      <c r="W42" s="44">
        <f t="shared" si="9"/>
        <v>0</v>
      </c>
      <c r="X42" s="45">
        <f t="shared" si="10"/>
        <v>0</v>
      </c>
      <c r="Y42" s="44">
        <f t="shared" si="20"/>
        <v>0</v>
      </c>
      <c r="Z42" s="45">
        <f t="shared" si="11"/>
        <v>0</v>
      </c>
      <c r="AA42" s="12" t="str">
        <f>IF(D42="Sim","Não",IF(AND(WEEKDAY(C42)=1,Configurações!$C$12&gt;0),"Sim",IF(AND(WEEKDAY(C42)=2,Configurações!$C$6&gt;0),"Sim",IF(AND(WEEKDAY(C42)=3,Configurações!$C$7&gt;0),"Sim",IF(AND(WEEKDAY(C42)=4,Configurações!$C$8&gt;0),"Sim",IF(AND(WEEKDAY(C42)=5,Configurações!$C$9&gt;0),"Sim",IF(AND(WEEKDAY(C42)=6,Configurações!$C$10&gt;0),"Sim",IF(AND(WEEKDAY(C42)=7,Configurações!$C$11&gt;0),"Sim","Não"))))))))</f>
        <v>Não</v>
      </c>
      <c r="AB42" s="44">
        <f>IF(D42="Sim",0,IF(WEEKDAY(C42)=2,Configurações!$C$6-Configurações!$E$6,IF(WEEKDAY(C42)=3,Configurações!$C$7-Configurações!$E$7,IF(WEEKDAY(C42)=4,Configurações!$C$8-Configurações!$E$8,IF(WEEKDAY(C42)=5,Configurações!$C$9-Configurações!$E$9,IF(WEEKDAY(C42)=6,Configurações!$C$10-Configurações!$E$10,IF(WEEKDAY(C42)=7,Configurações!$C$11-Configurações!$E$11,IF(WEEKDAY(C42)=1,Configurações!$C$12-Configurações!$E$12,""))))))))</f>
        <v>0</v>
      </c>
      <c r="AC42" s="44">
        <f>IF(D42="Sim",0,IF(WEEKDAY(C42)=2,Configurações!$E$6,IF(WEEKDAY(C42)=3,Configurações!$E$7,IF(WEEKDAY(C42)=4,Configurações!$E$8,IF(WEEKDAY(C42)=5,Configurações!$E$9,IF(WEEKDAY(C42)=6,Configurações!$E$10,IF(WEEKDAY(C42)=7,Configurações!$E$11,IF(WEEKDAY(C42)=1,Configurações!$E$12,""))))))))</f>
        <v>0</v>
      </c>
      <c r="AD42" s="11" t="str">
        <f t="shared" si="12"/>
        <v/>
      </c>
      <c r="AE42" s="11" t="str">
        <f t="shared" si="13"/>
        <v/>
      </c>
      <c r="AF42" s="83">
        <f t="shared" si="14"/>
        <v>0</v>
      </c>
      <c r="AG42" s="84">
        <f t="shared" si="15"/>
        <v>0</v>
      </c>
      <c r="AH42" s="84">
        <f t="shared" si="16"/>
        <v>0</v>
      </c>
      <c r="AI42" s="84">
        <f t="shared" si="17"/>
        <v>0</v>
      </c>
      <c r="AJ42" s="84">
        <f t="shared" si="18"/>
        <v>0</v>
      </c>
    </row>
    <row r="43" spans="1:36" x14ac:dyDescent="0.25">
      <c r="B43" s="46"/>
    </row>
    <row r="45" spans="1:36" x14ac:dyDescent="0.25">
      <c r="C45" s="32"/>
      <c r="D45" s="32"/>
    </row>
    <row r="46" spans="1:36" x14ac:dyDescent="0.25">
      <c r="C46" s="32"/>
      <c r="D46" s="32"/>
    </row>
    <row r="47" spans="1:36" x14ac:dyDescent="0.25">
      <c r="C47" s="32"/>
      <c r="D47" s="32"/>
    </row>
    <row r="48" spans="1:36" x14ac:dyDescent="0.25">
      <c r="C48" s="32"/>
      <c r="D48" s="32"/>
    </row>
    <row r="49" spans="3:4" x14ac:dyDescent="0.25">
      <c r="C49" s="32"/>
      <c r="D49" s="32"/>
    </row>
    <row r="50" spans="3:4" x14ac:dyDescent="0.25">
      <c r="C50" s="32"/>
      <c r="D50" s="32"/>
    </row>
  </sheetData>
  <sheetProtection algorithmName="SHA-512" hashValue="7OIsa9NSGnLIfMQw1u+S56M4vVS0T9sj9NxRkjLT7P+Jd0CaFoyZs/tBtFjUgx0QeofgHlpyHH6U4RLZEOQHlg==" saltValue="lPzYD8Vz5tkgJaZ22q/uMA==" spinCount="100000" sheet="1" objects="1" scenarios="1" selectLockedCells="1"/>
  <mergeCells count="18">
    <mergeCell ref="L4:M4"/>
    <mergeCell ref="O4:Q4"/>
    <mergeCell ref="E5:F5"/>
    <mergeCell ref="O5:P5"/>
    <mergeCell ref="E6:F6"/>
    <mergeCell ref="A11:A42"/>
    <mergeCell ref="F11:G11"/>
    <mergeCell ref="J11:K11"/>
    <mergeCell ref="A2:D2"/>
    <mergeCell ref="A3:D7"/>
    <mergeCell ref="E4:G4"/>
    <mergeCell ref="I4:J4"/>
    <mergeCell ref="E7:F7"/>
    <mergeCell ref="O7:P7"/>
    <mergeCell ref="E8:F8"/>
    <mergeCell ref="L8:M8"/>
    <mergeCell ref="E9:F9"/>
    <mergeCell ref="L9:M9"/>
  </mergeCells>
  <conditionalFormatting sqref="G5">
    <cfRule type="expression" dxfId="239" priority="28">
      <formula>$G$5&lt;=0</formula>
    </cfRule>
    <cfRule type="expression" dxfId="238" priority="29">
      <formula>$G$5&gt;0</formula>
    </cfRule>
  </conditionalFormatting>
  <conditionalFormatting sqref="G6">
    <cfRule type="expression" dxfId="237" priority="26">
      <formula>$G$6&gt;=0</formula>
    </cfRule>
    <cfRule type="expression" dxfId="236" priority="27">
      <formula>$G$6&lt;0</formula>
    </cfRule>
  </conditionalFormatting>
  <conditionalFormatting sqref="P9">
    <cfRule type="expression" dxfId="235" priority="23">
      <formula>$P$9&lt;0</formula>
    </cfRule>
    <cfRule type="expression" dxfId="234" priority="24">
      <formula>$P$9=0</formula>
    </cfRule>
    <cfRule type="expression" dxfId="233" priority="25">
      <formula>$P$9&gt;0</formula>
    </cfRule>
  </conditionalFormatting>
  <conditionalFormatting sqref="P8">
    <cfRule type="expression" dxfId="232" priority="20">
      <formula>$P$8&lt;0</formula>
    </cfRule>
    <cfRule type="expression" dxfId="231" priority="21">
      <formula>$P$8=0</formula>
    </cfRule>
    <cfRule type="expression" dxfId="230" priority="22">
      <formula>$P$8&gt;0</formula>
    </cfRule>
  </conditionalFormatting>
  <conditionalFormatting sqref="G9">
    <cfRule type="expression" dxfId="229" priority="17">
      <formula>$G$9&lt;0</formula>
    </cfRule>
    <cfRule type="expression" priority="18">
      <formula>$G$9=0</formula>
    </cfRule>
    <cfRule type="expression" dxfId="228" priority="19">
      <formula>$G$9&gt;0</formula>
    </cfRule>
  </conditionalFormatting>
  <conditionalFormatting sqref="P12:P42">
    <cfRule type="expression" dxfId="227" priority="16">
      <formula>$P12=0</formula>
    </cfRule>
  </conditionalFormatting>
  <conditionalFormatting sqref="G5:G9">
    <cfRule type="expression" dxfId="226" priority="13">
      <formula>$G5=0</formula>
    </cfRule>
    <cfRule type="expression" dxfId="225" priority="14">
      <formula>$G5&lt;0</formula>
    </cfRule>
    <cfRule type="expression" dxfId="224" priority="15">
      <formula>$G5&gt;0</formula>
    </cfRule>
  </conditionalFormatting>
  <conditionalFormatting sqref="B12:R42">
    <cfRule type="expression" dxfId="223" priority="7">
      <formula>$B12=""</formula>
    </cfRule>
    <cfRule type="expression" dxfId="222" priority="8">
      <formula>$D12="Sim"</formula>
    </cfRule>
    <cfRule type="expression" dxfId="221" priority="11">
      <formula>MOD(ROW(),2)=0</formula>
    </cfRule>
    <cfRule type="expression" dxfId="220" priority="12">
      <formula>MOD(ROW(),2)=1</formula>
    </cfRule>
  </conditionalFormatting>
  <conditionalFormatting sqref="M12:N42">
    <cfRule type="expression" dxfId="219" priority="5">
      <formula>$M12=0</formula>
    </cfRule>
  </conditionalFormatting>
  <conditionalFormatting sqref="L9:N9">
    <cfRule type="expression" dxfId="218" priority="2">
      <formula>$L$9&gt;0</formula>
    </cfRule>
    <cfRule type="expression" dxfId="217" priority="3">
      <formula>$L$9=0</formula>
    </cfRule>
    <cfRule type="expression" dxfId="216" priority="4">
      <formula>$L$9&lt;0</formula>
    </cfRule>
  </conditionalFormatting>
  <conditionalFormatting sqref="N5 M6">
    <cfRule type="expression" dxfId="215" priority="30">
      <formula>$M$6&lt;0</formula>
    </cfRule>
  </conditionalFormatting>
  <conditionalFormatting sqref="N4 M5">
    <cfRule type="expression" dxfId="214" priority="31">
      <formula>$M$5&gt;0</formula>
    </cfRule>
  </conditionalFormatting>
  <conditionalFormatting sqref="J5:J9">
    <cfRule type="expression" dxfId="213" priority="1">
      <formula>$J5&gt;0</formula>
    </cfRule>
  </conditionalFormatting>
  <dataValidations count="2"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42">
      <formula1>AB12</formula1>
    </dataValidation>
    <dataValidation operator="greaterThanOrEqual" allowBlank="1" showInputMessage="1" showErrorMessage="1" sqref="E12:P42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D46958B4-C40D-4580-B76B-494EFCAC8363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0" id="{ECBEAD35-5ADF-4EFA-8FBB-04A8BD2AC7F2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B12:R42</xm:sqref>
        </x14:conditionalFormatting>
        <x14:conditionalFormatting xmlns:xm="http://schemas.microsoft.com/office/excel/2006/main">
          <x14:cfRule type="expression" priority="6" id="{152D28B7-B8B3-41F6-A6F8-FEA5310DC070}">
            <xm:f>AND(Configurações!$C$11&gt;0,WEEKDAY($C12)=7,MOD(ROW(),2)=1)</xm:f>
            <x14:dxf>
              <fill>
                <patternFill>
                  <bgColor theme="4" tint="0.59996337778862885"/>
                </patternFill>
              </fill>
            </x14:dxf>
          </x14:cfRule>
          <xm:sqref>C14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2:AJ49"/>
  <sheetViews>
    <sheetView showGridLines="0" zoomScaleNormal="100" workbookViewId="0">
      <selection activeCell="P8" sqref="P8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16384" width="9.140625" style="10"/>
  </cols>
  <sheetData>
    <row r="2" spans="1:36" x14ac:dyDescent="0.25">
      <c r="A2" s="109" t="str">
        <f>IF(Configurações!C17 = 0,"",Configurações!C17)</f>
        <v/>
      </c>
      <c r="B2" s="109"/>
      <c r="C2" s="109"/>
      <c r="D2" s="109"/>
    </row>
    <row r="3" spans="1:36" ht="15.75" customHeight="1" thickBot="1" x14ac:dyDescent="0.3">
      <c r="A3" s="110" t="s">
        <v>90</v>
      </c>
      <c r="B3" s="110"/>
      <c r="C3" s="110"/>
      <c r="D3" s="110"/>
    </row>
    <row r="4" spans="1:36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36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SUM(M12:M41)</f>
        <v>0</v>
      </c>
      <c r="H5" s="13"/>
      <c r="I5" s="81" t="s">
        <v>31</v>
      </c>
      <c r="J5" s="16">
        <f>(SUM(S12:S41)*24)*Configurações!E15*(Configurações!I7+1)</f>
        <v>0</v>
      </c>
      <c r="K5" s="13"/>
      <c r="L5" s="81" t="s">
        <v>68</v>
      </c>
      <c r="M5" s="17">
        <f>SUM(J5:J9)</f>
        <v>0</v>
      </c>
      <c r="N5" s="14"/>
      <c r="O5" s="102" t="s">
        <v>44</v>
      </c>
      <c r="P5" s="103"/>
      <c r="Q5" s="18">
        <f>SUM(R12:R41)</f>
        <v>0</v>
      </c>
      <c r="W5" s="19"/>
    </row>
    <row r="6" spans="1:36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SUM(O12:O41)</f>
        <v>0</v>
      </c>
      <c r="H6" s="13"/>
      <c r="I6" s="81" t="s">
        <v>34</v>
      </c>
      <c r="J6" s="16">
        <f>(SUM(T12:T41)*24)*Configurações!E15*(Configurações!I10+1)</f>
        <v>0</v>
      </c>
      <c r="K6" s="13"/>
      <c r="L6" s="82" t="s">
        <v>69</v>
      </c>
      <c r="M6" s="21">
        <f ca="1">((G7*24)+(G6*24))*Configurações!E15</f>
        <v>0</v>
      </c>
      <c r="U6" s="19"/>
      <c r="W6" s="22"/>
    </row>
    <row r="7" spans="1:36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SUM(P12:P41)</f>
        <v>0</v>
      </c>
      <c r="H7" s="13"/>
      <c r="I7" s="81" t="s">
        <v>32</v>
      </c>
      <c r="J7" s="16">
        <f>(SUM(U12:U41)*24)*Configurações!E15*(Configurações!I9+1)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36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SUM(Q12:Q41)</f>
        <v>0</v>
      </c>
      <c r="H8" s="13"/>
      <c r="I8" s="81" t="s">
        <v>33</v>
      </c>
      <c r="J8" s="16">
        <f>(SUM(V12:V41)*24)*Configurações!E15*(Configurações!I8+1)</f>
        <v>0</v>
      </c>
      <c r="K8" s="13"/>
      <c r="L8" s="116" t="s">
        <v>63</v>
      </c>
      <c r="M8" s="117"/>
      <c r="N8" s="25"/>
      <c r="O8" s="81" t="s">
        <v>26</v>
      </c>
      <c r="P8" s="7">
        <v>0</v>
      </c>
    </row>
    <row r="9" spans="1:36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0</v>
      </c>
      <c r="H9" s="13"/>
      <c r="I9" s="82" t="s">
        <v>30</v>
      </c>
      <c r="J9" s="27">
        <f>((((SUM(N12:N41)*24)*Configurações!E15*(Configurações!I6+1)))-(SUM(N12:N41)*24)*Configurações!E15)</f>
        <v>0</v>
      </c>
      <c r="K9" s="13"/>
      <c r="L9" s="120">
        <f ca="1">SUM(M5:M6)</f>
        <v>0</v>
      </c>
      <c r="M9" s="121"/>
      <c r="N9" s="28"/>
      <c r="O9" s="82" t="s">
        <v>25</v>
      </c>
      <c r="P9" s="26">
        <f ca="1">SUM(P8,G9)</f>
        <v>0</v>
      </c>
    </row>
    <row r="10" spans="1:36" x14ac:dyDescent="0.25">
      <c r="B10" s="29">
        <v>41425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36" x14ac:dyDescent="0.25">
      <c r="A11" s="106" t="s">
        <v>78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36" x14ac:dyDescent="0.25">
      <c r="A12" s="106"/>
      <c r="B12" s="37">
        <f>IF(MONTH($B$10+ROW()-ROW($B$10)-2) = MONTH($B$10),$B$10+ROW()-ROW($B$10)-2,"")</f>
        <v>41425</v>
      </c>
      <c r="C12" s="38">
        <f t="shared" ref="C12:C41" si="0">B12</f>
        <v>41425</v>
      </c>
      <c r="D12" s="39" t="str">
        <f>IF(B12="","",IF(VerificaSeFeriado(B12),"Sim",""))</f>
        <v/>
      </c>
      <c r="E12" s="5"/>
      <c r="F12" s="5"/>
      <c r="G12" s="5"/>
      <c r="H12" s="5"/>
      <c r="I12" s="5"/>
      <c r="J12" s="5"/>
      <c r="K12" s="5"/>
      <c r="L12" s="5"/>
      <c r="M12" s="41" t="str">
        <f>IFERROR(IF((R12-AB12)&gt;(1*"00:00:01"),(R12-AB12),""),"")</f>
        <v/>
      </c>
      <c r="N12" s="42" t="str">
        <f>IF(SUM(W12:X12)*(1/52.5*60)&gt;0,SUM(W12:X12)*(1/52.5*60),"")</f>
        <v/>
      </c>
      <c r="O12" s="43" t="str">
        <f t="shared" ref="O12:O15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6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</v>
      </c>
      <c r="S12" s="44" t="str">
        <f>IF(D12="Sim",0,IF((OR(WEEKDAY(C12)=2,WEEKDAY(C12)=3,WEEKDAY(C12)=4,WEEKDAY(C12)=5,WEEKDAY(C12)=6))=TRUE,M12,IF(AND(WEEKDAY(C12)=7,Configurações!$C$11&gt;0)=TRUE,M12,IF(AND(WEEKDAY(C12)=1,Configurações!$C$12&gt;0)=TRUE,M12,0))))</f>
        <v/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:Y25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</row>
    <row r="13" spans="1:36" x14ac:dyDescent="0.25">
      <c r="A13" s="106"/>
      <c r="B13" s="37">
        <f t="shared" ref="B13:B41" si="3">IF(MONTH($B$10+ROW()-ROW($B$10)-2) = MONTH($B$10),$B$10+ROW()-ROW($B$10)-2,"")</f>
        <v>41426</v>
      </c>
      <c r="C13" s="38">
        <f t="shared" si="0"/>
        <v>41426</v>
      </c>
      <c r="D13" s="39" t="str">
        <f>IF(B13="","",IF(VerificaSeFeriado(B13),"Sim",""))</f>
        <v/>
      </c>
      <c r="E13" s="5"/>
      <c r="F13" s="5"/>
      <c r="G13" s="5"/>
      <c r="H13" s="5"/>
      <c r="I13" s="5"/>
      <c r="J13" s="5"/>
      <c r="K13" s="5"/>
      <c r="L13" s="5"/>
      <c r="M13" s="41" t="str">
        <f t="shared" ref="M13:M41" si="4">IFERROR(IF((R13-AB13)&gt;(1*"00:00:01"),(R13-AB13),""),"")</f>
        <v/>
      </c>
      <c r="N13" s="42" t="str">
        <f t="shared" ref="N13:N41" si="5">IF(SUM(W13:X13)*(1/52.5*60)&gt;0,SUM(W13:X13)*(1/52.5*60),"")</f>
        <v/>
      </c>
      <c r="O13" s="43" t="str">
        <f t="shared" si="1"/>
        <v/>
      </c>
      <c r="P13" s="43" t="str">
        <f t="shared" ref="P13:P41" ca="1" si="6">IF(TODAY()&lt;=B13,"",IF(D13="Sim","",IF(AND(AA13="Sim",E13="",G13="",I13="",K13="")=TRUE,IF(Q13-AB13&lt;0,Q13-AB13,""),"")))</f>
        <v/>
      </c>
      <c r="Q13" s="6"/>
      <c r="R13" s="40">
        <f t="shared" ref="R13:R41" si="7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 t="str">
        <f>IF(D13="Sim",0,IF((OR(WEEKDAY(C13)=2,WEEKDAY(C13)=3,WEEKDAY(C13)=4,WEEKDAY(C13)=5,WEEKDAY(C13)=6))=TRUE,M13,IF(AND(WEEKDAY(C13)=7,Configurações!$C$11&gt;0)=TRUE,M13,IF(AND(WEEKDAY(C13)=1,Configurações!$C$12&gt;0)=TRUE,M13,0))))</f>
        <v/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41" si="8">IF(D13="Sim",R13,0)</f>
        <v>0</v>
      </c>
      <c r="W13" s="44">
        <f t="shared" ref="W13:W41" si="9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41" si="10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si="2"/>
        <v>0</v>
      </c>
      <c r="Z13" s="45">
        <f t="shared" ref="Z13:Z41" si="11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41" si="12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41" si="13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41" si="14">IF(SUM(AG13:AH13)*(1/52.5*60)&gt;0,(SUM(AG13:AH13)*(1/52.5*60))-(SUM(AG13:AH13)),0)</f>
        <v>0</v>
      </c>
      <c r="AG13" s="84">
        <f t="shared" ref="AG13:AG41" si="15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41" si="16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41" si="17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41" si="18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36" x14ac:dyDescent="0.25">
      <c r="A14" s="106"/>
      <c r="B14" s="37">
        <f t="shared" si="3"/>
        <v>41427</v>
      </c>
      <c r="C14" s="38">
        <f t="shared" si="0"/>
        <v>41427</v>
      </c>
      <c r="D14" s="39" t="str">
        <f>IF(B14="","",IF(VerificaSeFeriado(B14),"Sim",""))</f>
        <v/>
      </c>
      <c r="E14" s="5"/>
      <c r="F14" s="5"/>
      <c r="G14" s="5"/>
      <c r="H14" s="5"/>
      <c r="I14" s="5"/>
      <c r="J14" s="5"/>
      <c r="K14" s="5"/>
      <c r="L14" s="5"/>
      <c r="M14" s="41" t="str">
        <f t="shared" si="4"/>
        <v/>
      </c>
      <c r="N14" s="42" t="str">
        <f t="shared" si="5"/>
        <v/>
      </c>
      <c r="O14" s="43" t="str">
        <f t="shared" si="1"/>
        <v/>
      </c>
      <c r="P14" s="43" t="str">
        <f t="shared" ca="1" si="6"/>
        <v/>
      </c>
      <c r="Q14" s="6"/>
      <c r="R14" s="40">
        <f t="shared" si="7"/>
        <v>0</v>
      </c>
      <c r="S14" s="44">
        <f>IF(D14="Sim",0,IF((OR(WEEKDAY(C14)=2,WEEKDAY(C14)=3,WEEKDAY(C14)=4,WEEKDAY(C14)=5,WEEKDAY(C14)=6))=TRUE,M14,IF(AND(WEEKDAY(C14)=7,Configurações!$C$11&gt;0)=TRUE,M14,IF(AND(WEEKDAY(C14)=1,Configurações!$C$12&gt;0)=TRUE,M14,0))))</f>
        <v>0</v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8"/>
        <v>0</v>
      </c>
      <c r="W14" s="44">
        <f t="shared" si="9"/>
        <v>0</v>
      </c>
      <c r="X14" s="45">
        <f t="shared" si="10"/>
        <v>0</v>
      </c>
      <c r="Y14" s="44">
        <f t="shared" si="2"/>
        <v>0</v>
      </c>
      <c r="Z14" s="45">
        <f t="shared" si="11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2"/>
        <v/>
      </c>
      <c r="AE14" s="11" t="str">
        <f t="shared" si="13"/>
        <v/>
      </c>
      <c r="AF14" s="83">
        <f t="shared" si="14"/>
        <v>0</v>
      </c>
      <c r="AG14" s="84">
        <f t="shared" si="15"/>
        <v>0</v>
      </c>
      <c r="AH14" s="84">
        <f t="shared" si="16"/>
        <v>0</v>
      </c>
      <c r="AI14" s="84">
        <f t="shared" si="17"/>
        <v>0</v>
      </c>
      <c r="AJ14" s="84">
        <f t="shared" si="18"/>
        <v>0</v>
      </c>
    </row>
    <row r="15" spans="1:36" x14ac:dyDescent="0.25">
      <c r="A15" s="106"/>
      <c r="B15" s="37">
        <f t="shared" si="3"/>
        <v>41428</v>
      </c>
      <c r="C15" s="38">
        <f t="shared" si="0"/>
        <v>41428</v>
      </c>
      <c r="D15" s="39" t="str">
        <f>IF(B15="","",IF(VerificaSeFeriado(B15),"Sim",""))</f>
        <v/>
      </c>
      <c r="E15" s="5"/>
      <c r="F15" s="5"/>
      <c r="G15" s="5"/>
      <c r="H15" s="5"/>
      <c r="I15" s="5"/>
      <c r="J15" s="5"/>
      <c r="K15" s="5"/>
      <c r="L15" s="5"/>
      <c r="M15" s="41" t="str">
        <f t="shared" si="4"/>
        <v/>
      </c>
      <c r="N15" s="42" t="str">
        <f t="shared" si="5"/>
        <v/>
      </c>
      <c r="O15" s="43" t="str">
        <f t="shared" si="1"/>
        <v/>
      </c>
      <c r="P15" s="43" t="str">
        <f t="shared" ca="1" si="6"/>
        <v/>
      </c>
      <c r="Q15" s="6"/>
      <c r="R15" s="40">
        <f t="shared" si="7"/>
        <v>0</v>
      </c>
      <c r="S15" s="44">
        <f>IF(D15="Sim",0,IF((OR(WEEKDAY(C15)=2,WEEKDAY(C15)=3,WEEKDAY(C15)=4,WEEKDAY(C15)=5,WEEKDAY(C15)=6))=TRUE,M15,IF(AND(WEEKDAY(C15)=7,Configurações!$C$11&gt;0)=TRUE,M15,IF(AND(WEEKDAY(C15)=1,Configurações!$C$12&gt;0)=TRUE,M15,0))))</f>
        <v>0</v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8"/>
        <v>0</v>
      </c>
      <c r="W15" s="44">
        <f t="shared" si="9"/>
        <v>0</v>
      </c>
      <c r="X15" s="45">
        <f t="shared" si="10"/>
        <v>0</v>
      </c>
      <c r="Y15" s="44">
        <f t="shared" si="2"/>
        <v>0</v>
      </c>
      <c r="Z15" s="45">
        <f t="shared" si="11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2"/>
        <v/>
      </c>
      <c r="AE15" s="11" t="str">
        <f t="shared" si="13"/>
        <v/>
      </c>
      <c r="AF15" s="83">
        <f t="shared" si="14"/>
        <v>0</v>
      </c>
      <c r="AG15" s="84">
        <f t="shared" si="15"/>
        <v>0</v>
      </c>
      <c r="AH15" s="84">
        <f t="shared" si="16"/>
        <v>0</v>
      </c>
      <c r="AI15" s="84">
        <f t="shared" si="17"/>
        <v>0</v>
      </c>
      <c r="AJ15" s="84">
        <f t="shared" si="18"/>
        <v>0</v>
      </c>
    </row>
    <row r="16" spans="1:36" x14ac:dyDescent="0.25">
      <c r="A16" s="106"/>
      <c r="B16" s="37">
        <f t="shared" si="3"/>
        <v>41429</v>
      </c>
      <c r="C16" s="38">
        <f t="shared" si="0"/>
        <v>41429</v>
      </c>
      <c r="D16" s="39" t="str">
        <f>IF(B16="","",IF(VerificaSeFeriado(B16),"Sim",""))</f>
        <v/>
      </c>
      <c r="E16" s="5"/>
      <c r="F16" s="5"/>
      <c r="G16" s="5"/>
      <c r="H16" s="5"/>
      <c r="I16" s="5"/>
      <c r="J16" s="5"/>
      <c r="K16" s="5"/>
      <c r="L16" s="5"/>
      <c r="M16" s="41" t="str">
        <f t="shared" si="4"/>
        <v/>
      </c>
      <c r="N16" s="42" t="str">
        <f t="shared" si="5"/>
        <v/>
      </c>
      <c r="O16" s="43" t="str">
        <f>IF(OR(D16="Sim",E16="")=TRUE,"",IF((R16-AB16)&gt;=(-"00:00:01"),"",(R16-AB16)))</f>
        <v/>
      </c>
      <c r="P16" s="43" t="str">
        <f t="shared" ca="1" si="6"/>
        <v/>
      </c>
      <c r="Q16" s="6"/>
      <c r="R16" s="40">
        <f t="shared" si="7"/>
        <v>0</v>
      </c>
      <c r="S16" s="44" t="str">
        <f>IF(D16="Sim",0,IF((OR(WEEKDAY(C16)=2,WEEKDAY(C16)=3,WEEKDAY(C16)=4,WEEKDAY(C16)=5,WEEKDAY(C16)=6))=TRUE,M16,IF(AND(WEEKDAY(C16)=7,Configurações!$C$11&gt;0)=TRUE,M16,IF(AND(WEEKDAY(C16)=1,Configurações!$C$12&gt;0)=TRUE,M16,0))))</f>
        <v/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8"/>
        <v>0</v>
      </c>
      <c r="W16" s="44">
        <f t="shared" si="9"/>
        <v>0</v>
      </c>
      <c r="X16" s="45">
        <f t="shared" si="10"/>
        <v>0</v>
      </c>
      <c r="Y16" s="44">
        <f t="shared" si="2"/>
        <v>0</v>
      </c>
      <c r="Z16" s="45">
        <f t="shared" si="11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2"/>
        <v/>
      </c>
      <c r="AE16" s="11" t="str">
        <f t="shared" si="13"/>
        <v/>
      </c>
      <c r="AF16" s="83">
        <f t="shared" si="14"/>
        <v>0</v>
      </c>
      <c r="AG16" s="84">
        <f t="shared" si="15"/>
        <v>0</v>
      </c>
      <c r="AH16" s="84">
        <f t="shared" si="16"/>
        <v>0</v>
      </c>
      <c r="AI16" s="84">
        <f t="shared" si="17"/>
        <v>0</v>
      </c>
      <c r="AJ16" s="84">
        <f t="shared" si="18"/>
        <v>0</v>
      </c>
    </row>
    <row r="17" spans="1:36" x14ac:dyDescent="0.25">
      <c r="A17" s="106"/>
      <c r="B17" s="37">
        <f t="shared" si="3"/>
        <v>41430</v>
      </c>
      <c r="C17" s="38">
        <f t="shared" si="0"/>
        <v>41430</v>
      </c>
      <c r="D17" s="39" t="str">
        <f>IF(B17="","",IF(VerificaSeFeriado(B17),"Sim",""))</f>
        <v/>
      </c>
      <c r="E17" s="5"/>
      <c r="F17" s="5"/>
      <c r="G17" s="5"/>
      <c r="H17" s="5"/>
      <c r="I17" s="5"/>
      <c r="J17" s="5"/>
      <c r="K17" s="5"/>
      <c r="L17" s="5"/>
      <c r="M17" s="41" t="str">
        <f t="shared" si="4"/>
        <v/>
      </c>
      <c r="N17" s="42" t="str">
        <f t="shared" si="5"/>
        <v/>
      </c>
      <c r="O17" s="43" t="str">
        <f>IF(OR(D17="Sim",E17="")=TRUE,"",IF((R17-AB17)&gt;=(-"00:00:01"),"",(R17-AB17)))</f>
        <v/>
      </c>
      <c r="P17" s="43" t="str">
        <f t="shared" ca="1" si="6"/>
        <v/>
      </c>
      <c r="Q17" s="6"/>
      <c r="R17" s="40">
        <f t="shared" si="7"/>
        <v>0</v>
      </c>
      <c r="S17" s="44" t="str">
        <f>IF(D17="Sim",0,IF((OR(WEEKDAY(C17)=2,WEEKDAY(C17)=3,WEEKDAY(C17)=4,WEEKDAY(C17)=5,WEEKDAY(C17)=6))=TRUE,M17,IF(AND(WEEKDAY(C17)=7,Configurações!$C$11&gt;0)=TRUE,M17,IF(AND(WEEKDAY(C17)=1,Configurações!$C$12&gt;0)=TRUE,M17,0))))</f>
        <v/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8"/>
        <v>0</v>
      </c>
      <c r="W17" s="44">
        <f t="shared" si="9"/>
        <v>0</v>
      </c>
      <c r="X17" s="45">
        <f t="shared" si="10"/>
        <v>0</v>
      </c>
      <c r="Y17" s="44">
        <f t="shared" si="2"/>
        <v>0</v>
      </c>
      <c r="Z17" s="45">
        <f t="shared" si="11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2"/>
        <v/>
      </c>
      <c r="AE17" s="11" t="str">
        <f t="shared" si="13"/>
        <v/>
      </c>
      <c r="AF17" s="83">
        <f t="shared" si="14"/>
        <v>0</v>
      </c>
      <c r="AG17" s="84">
        <f t="shared" si="15"/>
        <v>0</v>
      </c>
      <c r="AH17" s="84">
        <f t="shared" si="16"/>
        <v>0</v>
      </c>
      <c r="AI17" s="84">
        <f t="shared" si="17"/>
        <v>0</v>
      </c>
      <c r="AJ17" s="84">
        <f t="shared" si="18"/>
        <v>0</v>
      </c>
    </row>
    <row r="18" spans="1:36" x14ac:dyDescent="0.25">
      <c r="A18" s="106"/>
      <c r="B18" s="37">
        <f t="shared" si="3"/>
        <v>41431</v>
      </c>
      <c r="C18" s="38">
        <f t="shared" si="0"/>
        <v>41431</v>
      </c>
      <c r="D18" s="39" t="str">
        <f>IF(B18="","",IF(VerificaSeFeriado(B18),"Sim",""))</f>
        <v/>
      </c>
      <c r="E18" s="5"/>
      <c r="F18" s="5"/>
      <c r="G18" s="5"/>
      <c r="H18" s="5"/>
      <c r="I18" s="5"/>
      <c r="J18" s="5"/>
      <c r="K18" s="5"/>
      <c r="L18" s="5"/>
      <c r="M18" s="41" t="str">
        <f t="shared" si="4"/>
        <v/>
      </c>
      <c r="N18" s="42" t="str">
        <f t="shared" si="5"/>
        <v/>
      </c>
      <c r="O18" s="43" t="str">
        <f t="shared" ref="O18:O41" si="19">IF(OR(D18="Sim",E18="")=TRUE,"",IF((R18-AB18)&gt;=(-"00:00:01"),"",(R18-AB18)))</f>
        <v/>
      </c>
      <c r="P18" s="43" t="str">
        <f t="shared" ca="1" si="6"/>
        <v/>
      </c>
      <c r="Q18" s="6"/>
      <c r="R18" s="40">
        <f t="shared" si="7"/>
        <v>0</v>
      </c>
      <c r="S18" s="44" t="str">
        <f>IF(D18="Sim",0,IF((OR(WEEKDAY(C18)=2,WEEKDAY(C18)=3,WEEKDAY(C18)=4,WEEKDAY(C18)=5,WEEKDAY(C18)=6))=TRUE,M18,IF(AND(WEEKDAY(C18)=7,Configurações!$C$11&gt;0)=TRUE,M18,IF(AND(WEEKDAY(C18)=1,Configurações!$C$12&gt;0)=TRUE,M18,0))))</f>
        <v/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8"/>
        <v>0</v>
      </c>
      <c r="W18" s="44">
        <f t="shared" si="9"/>
        <v>0</v>
      </c>
      <c r="X18" s="45">
        <f t="shared" si="10"/>
        <v>0</v>
      </c>
      <c r="Y18" s="44">
        <f t="shared" si="2"/>
        <v>0</v>
      </c>
      <c r="Z18" s="45">
        <f t="shared" si="11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2"/>
        <v/>
      </c>
      <c r="AE18" s="11" t="str">
        <f t="shared" si="13"/>
        <v/>
      </c>
      <c r="AF18" s="83">
        <f t="shared" si="14"/>
        <v>0</v>
      </c>
      <c r="AG18" s="84">
        <f t="shared" si="15"/>
        <v>0</v>
      </c>
      <c r="AH18" s="84">
        <f t="shared" si="16"/>
        <v>0</v>
      </c>
      <c r="AI18" s="84">
        <f t="shared" si="17"/>
        <v>0</v>
      </c>
      <c r="AJ18" s="84">
        <f t="shared" si="18"/>
        <v>0</v>
      </c>
    </row>
    <row r="19" spans="1:36" x14ac:dyDescent="0.25">
      <c r="A19" s="106"/>
      <c r="B19" s="37">
        <f t="shared" si="3"/>
        <v>41432</v>
      </c>
      <c r="C19" s="38">
        <f t="shared" si="0"/>
        <v>41432</v>
      </c>
      <c r="D19" s="39" t="str">
        <f>IF(B19="","",IF(VerificaSeFeriado(B19),"Sim",""))</f>
        <v/>
      </c>
      <c r="E19" s="5"/>
      <c r="F19" s="5"/>
      <c r="G19" s="5"/>
      <c r="H19" s="5"/>
      <c r="I19" s="5"/>
      <c r="J19" s="5"/>
      <c r="K19" s="5"/>
      <c r="L19" s="5"/>
      <c r="M19" s="41" t="str">
        <f t="shared" si="4"/>
        <v/>
      </c>
      <c r="N19" s="42" t="str">
        <f t="shared" si="5"/>
        <v/>
      </c>
      <c r="O19" s="43" t="str">
        <f t="shared" si="19"/>
        <v/>
      </c>
      <c r="P19" s="43" t="str">
        <f t="shared" ca="1" si="6"/>
        <v/>
      </c>
      <c r="Q19" s="6"/>
      <c r="R19" s="40">
        <f t="shared" si="7"/>
        <v>0</v>
      </c>
      <c r="S19" s="44" t="str">
        <f>IF(D19="Sim",0,IF((OR(WEEKDAY(C19)=2,WEEKDAY(C19)=3,WEEKDAY(C19)=4,WEEKDAY(C19)=5,WEEKDAY(C19)=6))=TRUE,M19,IF(AND(WEEKDAY(C19)=7,Configurações!$C$11&gt;0)=TRUE,M19,IF(AND(WEEKDAY(C19)=1,Configurações!$C$12&gt;0)=TRUE,M19,0))))</f>
        <v/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8"/>
        <v>0</v>
      </c>
      <c r="W19" s="44">
        <f t="shared" si="9"/>
        <v>0</v>
      </c>
      <c r="X19" s="45">
        <f t="shared" si="10"/>
        <v>0</v>
      </c>
      <c r="Y19" s="44">
        <f t="shared" si="2"/>
        <v>0</v>
      </c>
      <c r="Z19" s="45">
        <f t="shared" si="11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2"/>
        <v/>
      </c>
      <c r="AE19" s="11" t="str">
        <f t="shared" si="13"/>
        <v/>
      </c>
      <c r="AF19" s="83">
        <f t="shared" si="14"/>
        <v>0</v>
      </c>
      <c r="AG19" s="84">
        <f t="shared" si="15"/>
        <v>0</v>
      </c>
      <c r="AH19" s="84">
        <f t="shared" si="16"/>
        <v>0</v>
      </c>
      <c r="AI19" s="84">
        <f t="shared" si="17"/>
        <v>0</v>
      </c>
      <c r="AJ19" s="84">
        <f t="shared" si="18"/>
        <v>0</v>
      </c>
    </row>
    <row r="20" spans="1:36" x14ac:dyDescent="0.25">
      <c r="A20" s="106"/>
      <c r="B20" s="37">
        <f t="shared" si="3"/>
        <v>41433</v>
      </c>
      <c r="C20" s="38">
        <f t="shared" si="0"/>
        <v>41433</v>
      </c>
      <c r="D20" s="39" t="str">
        <f>IF(B20="","",IF(VerificaSeFeriado(B20),"Sim",""))</f>
        <v/>
      </c>
      <c r="E20" s="5"/>
      <c r="F20" s="5"/>
      <c r="G20" s="5"/>
      <c r="H20" s="5"/>
      <c r="I20" s="5"/>
      <c r="J20" s="5"/>
      <c r="K20" s="5"/>
      <c r="L20" s="5"/>
      <c r="M20" s="41" t="str">
        <f t="shared" si="4"/>
        <v/>
      </c>
      <c r="N20" s="42" t="str">
        <f t="shared" si="5"/>
        <v/>
      </c>
      <c r="O20" s="43" t="str">
        <f t="shared" si="19"/>
        <v/>
      </c>
      <c r="P20" s="43" t="str">
        <f t="shared" ca="1" si="6"/>
        <v/>
      </c>
      <c r="Q20" s="6"/>
      <c r="R20" s="40">
        <f t="shared" si="7"/>
        <v>0</v>
      </c>
      <c r="S20" s="44" t="str">
        <f>IF(D20="Sim",0,IF((OR(WEEKDAY(C20)=2,WEEKDAY(C20)=3,WEEKDAY(C20)=4,WEEKDAY(C20)=5,WEEKDAY(C20)=6))=TRUE,M20,IF(AND(WEEKDAY(C20)=7,Configurações!$C$11&gt;0)=TRUE,M20,IF(AND(WEEKDAY(C20)=1,Configurações!$C$12&gt;0)=TRUE,M20,0))))</f>
        <v/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8"/>
        <v>0</v>
      </c>
      <c r="W20" s="44">
        <f t="shared" si="9"/>
        <v>0</v>
      </c>
      <c r="X20" s="45">
        <f t="shared" si="10"/>
        <v>0</v>
      </c>
      <c r="Y20" s="44">
        <f t="shared" si="2"/>
        <v>0</v>
      </c>
      <c r="Z20" s="45">
        <f t="shared" si="11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2"/>
        <v/>
      </c>
      <c r="AE20" s="11" t="str">
        <f t="shared" si="13"/>
        <v/>
      </c>
      <c r="AF20" s="83">
        <f t="shared" si="14"/>
        <v>0</v>
      </c>
      <c r="AG20" s="84">
        <f t="shared" si="15"/>
        <v>0</v>
      </c>
      <c r="AH20" s="84">
        <f t="shared" si="16"/>
        <v>0</v>
      </c>
      <c r="AI20" s="84">
        <f t="shared" si="17"/>
        <v>0</v>
      </c>
      <c r="AJ20" s="84">
        <f t="shared" si="18"/>
        <v>0</v>
      </c>
    </row>
    <row r="21" spans="1:36" x14ac:dyDescent="0.25">
      <c r="A21" s="106"/>
      <c r="B21" s="37">
        <f t="shared" si="3"/>
        <v>41434</v>
      </c>
      <c r="C21" s="38">
        <f t="shared" si="0"/>
        <v>41434</v>
      </c>
      <c r="D21" s="39" t="str">
        <f>IF(B21="","",IF(VerificaSeFeriado(B21),"Sim",""))</f>
        <v/>
      </c>
      <c r="E21" s="5"/>
      <c r="F21" s="5"/>
      <c r="G21" s="5"/>
      <c r="H21" s="5"/>
      <c r="I21" s="5"/>
      <c r="J21" s="5"/>
      <c r="K21" s="5"/>
      <c r="L21" s="5"/>
      <c r="M21" s="41" t="str">
        <f t="shared" si="4"/>
        <v/>
      </c>
      <c r="N21" s="42" t="str">
        <f t="shared" si="5"/>
        <v/>
      </c>
      <c r="O21" s="43" t="str">
        <f t="shared" si="19"/>
        <v/>
      </c>
      <c r="P21" s="43" t="str">
        <f t="shared" ca="1" si="6"/>
        <v/>
      </c>
      <c r="Q21" s="6"/>
      <c r="R21" s="40">
        <f t="shared" si="7"/>
        <v>0</v>
      </c>
      <c r="S21" s="44">
        <f>IF(D21="Sim",0,IF((OR(WEEKDAY(C21)=2,WEEKDAY(C21)=3,WEEKDAY(C21)=4,WEEKDAY(C21)=5,WEEKDAY(C21)=6))=TRUE,M21,IF(AND(WEEKDAY(C21)=7,Configurações!$C$11&gt;0)=TRUE,M21,IF(AND(WEEKDAY(C21)=1,Configurações!$C$12&gt;0)=TRUE,M21,0))))</f>
        <v>0</v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8"/>
        <v>0</v>
      </c>
      <c r="W21" s="44">
        <f t="shared" si="9"/>
        <v>0</v>
      </c>
      <c r="X21" s="45">
        <f t="shared" si="10"/>
        <v>0</v>
      </c>
      <c r="Y21" s="44">
        <f t="shared" si="2"/>
        <v>0</v>
      </c>
      <c r="Z21" s="45">
        <f t="shared" si="11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2"/>
        <v/>
      </c>
      <c r="AE21" s="11" t="str">
        <f t="shared" si="13"/>
        <v/>
      </c>
      <c r="AF21" s="83">
        <f t="shared" si="14"/>
        <v>0</v>
      </c>
      <c r="AG21" s="84">
        <f t="shared" si="15"/>
        <v>0</v>
      </c>
      <c r="AH21" s="84">
        <f t="shared" si="16"/>
        <v>0</v>
      </c>
      <c r="AI21" s="84">
        <f t="shared" si="17"/>
        <v>0</v>
      </c>
      <c r="AJ21" s="84">
        <f t="shared" si="18"/>
        <v>0</v>
      </c>
    </row>
    <row r="22" spans="1:36" x14ac:dyDescent="0.25">
      <c r="A22" s="106"/>
      <c r="B22" s="37">
        <f t="shared" si="3"/>
        <v>41435</v>
      </c>
      <c r="C22" s="38">
        <f t="shared" si="0"/>
        <v>41435</v>
      </c>
      <c r="D22" s="39" t="str">
        <f>IF(B22="","",IF(VerificaSeFeriado(B22),"Sim",""))</f>
        <v/>
      </c>
      <c r="E22" s="5"/>
      <c r="F22" s="5"/>
      <c r="G22" s="5"/>
      <c r="H22" s="5"/>
      <c r="I22" s="5"/>
      <c r="J22" s="5"/>
      <c r="K22" s="5"/>
      <c r="L22" s="5"/>
      <c r="M22" s="41" t="str">
        <f t="shared" si="4"/>
        <v/>
      </c>
      <c r="N22" s="42" t="str">
        <f t="shared" si="5"/>
        <v/>
      </c>
      <c r="O22" s="43" t="str">
        <f>IF(OR(D22="Sim",E22="")=TRUE,"",IF((R22-AB22)&gt;=(-"00:00:01"),"",(R22-AB22)))</f>
        <v/>
      </c>
      <c r="P22" s="43" t="str">
        <f ca="1">IF(TODAY()&lt;=B22,"",IF(D22="Sim","",IF(AND(AA22="Sim",E22="",G22="",I22="",K22="")=TRUE,IF(Q22-AB22&lt;0,Q22-AB22,""),"")))</f>
        <v/>
      </c>
      <c r="Q22" s="6"/>
      <c r="R22" s="40">
        <f t="shared" si="7"/>
        <v>0</v>
      </c>
      <c r="S22" s="44">
        <f>IF(D22="Sim",0,IF((OR(WEEKDAY(C22)=2,WEEKDAY(C22)=3,WEEKDAY(C22)=4,WEEKDAY(C22)=5,WEEKDAY(C22)=6))=TRUE,M22,IF(AND(WEEKDAY(C22)=7,Configurações!$C$11&gt;0)=TRUE,M22,IF(AND(WEEKDAY(C22)=1,Configurações!$C$12&gt;0)=TRUE,M22,0))))</f>
        <v>0</v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8"/>
        <v>0</v>
      </c>
      <c r="W22" s="44">
        <f t="shared" si="9"/>
        <v>0</v>
      </c>
      <c r="X22" s="45">
        <f t="shared" si="10"/>
        <v>0</v>
      </c>
      <c r="Y22" s="44">
        <f t="shared" si="2"/>
        <v>0</v>
      </c>
      <c r="Z22" s="45">
        <f t="shared" si="11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>IF(E22="","",IF(OR(AND(E22&gt;=(1*"22:00"),((1*"29:00")-E22-Y22)&gt;=AB22)=TRUE,AND(AND(E22&gt;=0,E22&lt;=(1*"5:00"))=TRUE,(1*"5:00")-E22-Y22&gt;=AB22)=TRUE)=TRUE,"Sumula",IF(OR(E22&gt;=(1*"22:00"),AND(E22&lt;(1*"5:00"),E22&gt;=(1*"0:00"))=TRUE)=TRUE,"Noite",IF(OR(H22&lt;E22,H22&gt;(1*"22:00"))=TRUE,"Dia",""))))</f>
        <v/>
      </c>
      <c r="AE22" s="11" t="str">
        <f t="shared" si="13"/>
        <v/>
      </c>
      <c r="AF22" s="83">
        <f t="shared" si="14"/>
        <v>0</v>
      </c>
      <c r="AG22" s="84">
        <f t="shared" si="15"/>
        <v>0</v>
      </c>
      <c r="AH22" s="84">
        <f t="shared" si="16"/>
        <v>0</v>
      </c>
      <c r="AI22" s="84">
        <f t="shared" si="17"/>
        <v>0</v>
      </c>
      <c r="AJ22" s="84">
        <f t="shared" si="18"/>
        <v>0</v>
      </c>
    </row>
    <row r="23" spans="1:36" x14ac:dyDescent="0.25">
      <c r="A23" s="106"/>
      <c r="B23" s="37">
        <f t="shared" si="3"/>
        <v>41436</v>
      </c>
      <c r="C23" s="38">
        <f t="shared" si="0"/>
        <v>41436</v>
      </c>
      <c r="D23" s="39" t="str">
        <f>IF(B23="","",IF(VerificaSeFeriado(B23),"Sim",""))</f>
        <v/>
      </c>
      <c r="E23" s="5"/>
      <c r="F23" s="5"/>
      <c r="G23" s="5"/>
      <c r="H23" s="5"/>
      <c r="I23" s="5"/>
      <c r="J23" s="5"/>
      <c r="K23" s="5"/>
      <c r="L23" s="5"/>
      <c r="M23" s="41" t="str">
        <f t="shared" si="4"/>
        <v/>
      </c>
      <c r="N23" s="42" t="str">
        <f t="shared" si="5"/>
        <v/>
      </c>
      <c r="O23" s="43" t="str">
        <f t="shared" si="19"/>
        <v/>
      </c>
      <c r="P23" s="43" t="str">
        <f t="shared" ca="1" si="6"/>
        <v/>
      </c>
      <c r="Q23" s="6"/>
      <c r="R23" s="40">
        <f t="shared" si="7"/>
        <v>0</v>
      </c>
      <c r="S23" s="44" t="str">
        <f>IF(D23="Sim",0,IF((OR(WEEKDAY(C23)=2,WEEKDAY(C23)=3,WEEKDAY(C23)=4,WEEKDAY(C23)=5,WEEKDAY(C23)=6))=TRUE,M23,IF(AND(WEEKDAY(C23)=7,Configurações!$C$11&gt;0)=TRUE,M23,IF(AND(WEEKDAY(C23)=1,Configurações!$C$12&gt;0)=TRUE,M23,0))))</f>
        <v/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8"/>
        <v>0</v>
      </c>
      <c r="W23" s="44">
        <f t="shared" si="9"/>
        <v>0</v>
      </c>
      <c r="X23" s="45">
        <f t="shared" si="10"/>
        <v>0</v>
      </c>
      <c r="Y23" s="44">
        <f t="shared" si="2"/>
        <v>0</v>
      </c>
      <c r="Z23" s="45">
        <f t="shared" si="11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2"/>
        <v/>
      </c>
      <c r="AE23" s="11" t="str">
        <f t="shared" si="13"/>
        <v/>
      </c>
      <c r="AF23" s="83">
        <f t="shared" si="14"/>
        <v>0</v>
      </c>
      <c r="AG23" s="84">
        <f t="shared" si="15"/>
        <v>0</v>
      </c>
      <c r="AH23" s="84">
        <f t="shared" si="16"/>
        <v>0</v>
      </c>
      <c r="AI23" s="84">
        <f t="shared" si="17"/>
        <v>0</v>
      </c>
      <c r="AJ23" s="84">
        <f t="shared" si="18"/>
        <v>0</v>
      </c>
    </row>
    <row r="24" spans="1:36" x14ac:dyDescent="0.25">
      <c r="A24" s="106"/>
      <c r="B24" s="37">
        <f t="shared" si="3"/>
        <v>41437</v>
      </c>
      <c r="C24" s="38">
        <f t="shared" si="0"/>
        <v>41437</v>
      </c>
      <c r="D24" s="39" t="str">
        <f>IF(B24="","",IF(VerificaSeFeriado(B24),"Sim",""))</f>
        <v/>
      </c>
      <c r="E24" s="5"/>
      <c r="F24" s="5"/>
      <c r="G24" s="5"/>
      <c r="H24" s="5"/>
      <c r="I24" s="5"/>
      <c r="J24" s="5"/>
      <c r="K24" s="5"/>
      <c r="L24" s="5"/>
      <c r="M24" s="41" t="str">
        <f t="shared" si="4"/>
        <v/>
      </c>
      <c r="N24" s="42" t="str">
        <f t="shared" si="5"/>
        <v/>
      </c>
      <c r="O24" s="43" t="str">
        <f t="shared" si="19"/>
        <v/>
      </c>
      <c r="P24" s="43" t="str">
        <f t="shared" ca="1" si="6"/>
        <v/>
      </c>
      <c r="Q24" s="6"/>
      <c r="R24" s="40">
        <f t="shared" si="7"/>
        <v>0</v>
      </c>
      <c r="S24" s="44" t="str">
        <f>IF(D24="Sim",0,IF((OR(WEEKDAY(C24)=2,WEEKDAY(C24)=3,WEEKDAY(C24)=4,WEEKDAY(C24)=5,WEEKDAY(C24)=6))=TRUE,M24,IF(AND(WEEKDAY(C24)=7,Configurações!$C$11&gt;0)=TRUE,M24,IF(AND(WEEKDAY(C24)=1,Configurações!$C$12&gt;0)=TRUE,M24,0))))</f>
        <v/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8"/>
        <v>0</v>
      </c>
      <c r="W24" s="44">
        <f t="shared" si="9"/>
        <v>0</v>
      </c>
      <c r="X24" s="45">
        <f t="shared" si="10"/>
        <v>0</v>
      </c>
      <c r="Y24" s="44">
        <f t="shared" si="2"/>
        <v>0</v>
      </c>
      <c r="Z24" s="45">
        <f t="shared" si="11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2"/>
        <v/>
      </c>
      <c r="AE24" s="11" t="str">
        <f t="shared" si="13"/>
        <v/>
      </c>
      <c r="AF24" s="83">
        <f t="shared" si="14"/>
        <v>0</v>
      </c>
      <c r="AG24" s="84">
        <f t="shared" si="15"/>
        <v>0</v>
      </c>
      <c r="AH24" s="84">
        <f t="shared" si="16"/>
        <v>0</v>
      </c>
      <c r="AI24" s="84">
        <f t="shared" si="17"/>
        <v>0</v>
      </c>
      <c r="AJ24" s="84">
        <f t="shared" si="18"/>
        <v>0</v>
      </c>
    </row>
    <row r="25" spans="1:36" x14ac:dyDescent="0.25">
      <c r="A25" s="106"/>
      <c r="B25" s="37">
        <f t="shared" si="3"/>
        <v>41438</v>
      </c>
      <c r="C25" s="38">
        <f t="shared" si="0"/>
        <v>41438</v>
      </c>
      <c r="D25" s="39" t="str">
        <f>IF(B25="","",IF(VerificaSeFeriado(B25),"Sim",""))</f>
        <v/>
      </c>
      <c r="E25" s="5"/>
      <c r="F25" s="5"/>
      <c r="G25" s="5"/>
      <c r="H25" s="5"/>
      <c r="I25" s="5"/>
      <c r="J25" s="5"/>
      <c r="K25" s="5"/>
      <c r="L25" s="5"/>
      <c r="M25" s="41" t="str">
        <f>IFERROR(IF((R25-AB25)&gt;(1*"00:00:01"),(R25-AB25),""),"")</f>
        <v/>
      </c>
      <c r="N25" s="42" t="str">
        <f t="shared" si="5"/>
        <v/>
      </c>
      <c r="O25" s="43" t="str">
        <f t="shared" si="19"/>
        <v/>
      </c>
      <c r="P25" s="43" t="str">
        <f t="shared" ca="1" si="6"/>
        <v/>
      </c>
      <c r="Q25" s="6"/>
      <c r="R25" s="40">
        <f t="shared" si="7"/>
        <v>0</v>
      </c>
      <c r="S25" s="44" t="str">
        <f>IF(D25="Sim",0,IF((OR(WEEKDAY(C25)=2,WEEKDAY(C25)=3,WEEKDAY(C25)=4,WEEKDAY(C25)=5,WEEKDAY(C25)=6))=TRUE,M25,IF(AND(WEEKDAY(C25)=7,Configurações!$C$11&gt;0)=TRUE,M25,IF(AND(WEEKDAY(C25)=1,Configurações!$C$12&gt;0)=TRUE,M25,0))))</f>
        <v/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8"/>
        <v>0</v>
      </c>
      <c r="W25" s="44">
        <f t="shared" si="9"/>
        <v>0</v>
      </c>
      <c r="X25" s="45">
        <f t="shared" si="10"/>
        <v>0</v>
      </c>
      <c r="Y25" s="44">
        <f t="shared" si="2"/>
        <v>0</v>
      </c>
      <c r="Z25" s="45">
        <f t="shared" si="11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2"/>
        <v/>
      </c>
      <c r="AE25" s="11" t="str">
        <f t="shared" si="13"/>
        <v/>
      </c>
      <c r="AF25" s="83">
        <f t="shared" si="14"/>
        <v>0</v>
      </c>
      <c r="AG25" s="84">
        <f t="shared" si="15"/>
        <v>0</v>
      </c>
      <c r="AH25" s="84">
        <f t="shared" si="16"/>
        <v>0</v>
      </c>
      <c r="AI25" s="84">
        <f t="shared" si="17"/>
        <v>0</v>
      </c>
      <c r="AJ25" s="84">
        <f t="shared" si="18"/>
        <v>0</v>
      </c>
    </row>
    <row r="26" spans="1:36" x14ac:dyDescent="0.25">
      <c r="A26" s="106"/>
      <c r="B26" s="37">
        <f t="shared" si="3"/>
        <v>41439</v>
      </c>
      <c r="C26" s="38">
        <f t="shared" si="0"/>
        <v>41439</v>
      </c>
      <c r="D26" s="39" t="str">
        <f>IF(B26="","",IF(VerificaSeFeriado(B26),"Sim",""))</f>
        <v>Sim</v>
      </c>
      <c r="E26" s="5"/>
      <c r="F26" s="5"/>
      <c r="G26" s="5"/>
      <c r="H26" s="5"/>
      <c r="I26" s="5"/>
      <c r="J26" s="5"/>
      <c r="K26" s="5"/>
      <c r="L26" s="5"/>
      <c r="M26" s="41" t="str">
        <f t="shared" si="4"/>
        <v/>
      </c>
      <c r="N26" s="42" t="str">
        <f t="shared" si="5"/>
        <v/>
      </c>
      <c r="O26" s="43" t="str">
        <f t="shared" si="19"/>
        <v/>
      </c>
      <c r="P26" s="43" t="str">
        <f t="shared" ca="1" si="6"/>
        <v/>
      </c>
      <c r="Q26" s="6"/>
      <c r="R26" s="40">
        <f t="shared" si="7"/>
        <v>0</v>
      </c>
      <c r="S26" s="44">
        <f>IF(D26="Sim",0,IF((OR(WEEKDAY(C26)=2,WEEKDAY(C26)=3,WEEKDAY(C26)=4,WEEKDAY(C26)=5,WEEKDAY(C26)=6))=TRUE,M26,IF(AND(WEEKDAY(C26)=7,Configurações!$C$11&gt;0)=TRUE,M26,IF(AND(WEEKDAY(C26)=1,Configurações!$C$12&gt;0)=TRUE,M26,0))))</f>
        <v>0</v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8"/>
        <v>0</v>
      </c>
      <c r="W26" s="44">
        <f t="shared" si="9"/>
        <v>0</v>
      </c>
      <c r="X26" s="45">
        <f t="shared" si="10"/>
        <v>0</v>
      </c>
      <c r="Y26" s="44">
        <f>IF(F26="",0,IF(AND(F26&lt;(1*"22:00"),F26&gt;=(1*"5:00"),G26&lt;(1*"22:00"),G26&gt;(1*"5:00"))=TRUE,0,IF(F26&gt;=(1*"22:00"),IF(G26&gt;F26,G26-F26,G26+(1*"24:00")-F26),IF(F26&lt;(1*"5:00"),IF(G26&lt;(1*"5:00"),G26-F26,(1*"5:00")-F26),IF(G26&gt;F26,G26-(1*"22:00"),G26+(1*"24:00")-(1*"22:00"))))))</f>
        <v>0</v>
      </c>
      <c r="Z26" s="45">
        <f t="shared" si="11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2"/>
        <v/>
      </c>
      <c r="AE26" s="11" t="str">
        <f t="shared" si="13"/>
        <v/>
      </c>
      <c r="AF26" s="83">
        <f t="shared" si="14"/>
        <v>0</v>
      </c>
      <c r="AG26" s="84">
        <f t="shared" si="15"/>
        <v>0</v>
      </c>
      <c r="AH26" s="84">
        <f t="shared" si="16"/>
        <v>0</v>
      </c>
      <c r="AI26" s="84">
        <f t="shared" si="17"/>
        <v>0</v>
      </c>
      <c r="AJ26" s="84">
        <f t="shared" si="18"/>
        <v>0</v>
      </c>
    </row>
    <row r="27" spans="1:36" x14ac:dyDescent="0.25">
      <c r="A27" s="106"/>
      <c r="B27" s="37">
        <f t="shared" si="3"/>
        <v>41440</v>
      </c>
      <c r="C27" s="38">
        <f t="shared" si="0"/>
        <v>41440</v>
      </c>
      <c r="D27" s="39" t="str">
        <f>IF(B27="","",IF(VerificaSeFeriado(B27),"Sim",""))</f>
        <v/>
      </c>
      <c r="E27" s="5"/>
      <c r="F27" s="5"/>
      <c r="G27" s="5"/>
      <c r="H27" s="5"/>
      <c r="I27" s="5"/>
      <c r="J27" s="5"/>
      <c r="K27" s="5"/>
      <c r="L27" s="5"/>
      <c r="M27" s="41" t="str">
        <f t="shared" si="4"/>
        <v/>
      </c>
      <c r="N27" s="42" t="str">
        <f t="shared" si="5"/>
        <v/>
      </c>
      <c r="O27" s="43" t="str">
        <f t="shared" si="19"/>
        <v/>
      </c>
      <c r="P27" s="43" t="str">
        <f t="shared" ca="1" si="6"/>
        <v/>
      </c>
      <c r="Q27" s="6"/>
      <c r="R27" s="40">
        <f t="shared" si="7"/>
        <v>0</v>
      </c>
      <c r="S27" s="44" t="str">
        <f>IF(D27="Sim",0,IF((OR(WEEKDAY(C27)=2,WEEKDAY(C27)=3,WEEKDAY(C27)=4,WEEKDAY(C27)=5,WEEKDAY(C27)=6))=TRUE,M27,IF(AND(WEEKDAY(C27)=7,Configurações!$C$11&gt;0)=TRUE,M27,IF(AND(WEEKDAY(C27)=1,Configurações!$C$12&gt;0)=TRUE,M27,0))))</f>
        <v/>
      </c>
      <c r="T27" s="44">
        <f>IF(D27="Sim",0,IF(AND(WEEKDAY(C27)=7,Configurações!$C$11&lt;=0)=TRUE,R27,0))</f>
        <v>0</v>
      </c>
      <c r="U27" s="44">
        <f>IF(D27="Sim",0,IF(AND(WEEKDAY(C27)=1,Configurações!$C$12&lt;=0)=TRUE,R27,0))</f>
        <v>0</v>
      </c>
      <c r="V27" s="44">
        <f t="shared" si="8"/>
        <v>0</v>
      </c>
      <c r="W27" s="44">
        <f t="shared" si="9"/>
        <v>0</v>
      </c>
      <c r="X27" s="45">
        <f t="shared" si="10"/>
        <v>0</v>
      </c>
      <c r="Y27" s="44">
        <f t="shared" ref="Y27:Y41" si="20">IF(F27="",0,IF(AND(F27&lt;(1*"22:00"),F27&gt;=(1*"5:00"),G27&lt;(1*"22:00"),G27&gt;(1*"5:00"))=TRUE,0,IF(F27&gt;=(1*"22:00"),IF(G27&gt;F27,G27-F27,G27+(1*"24:00")-F27),IF(F27&lt;(1*"5:00"),IF(G27&lt;(1*"5:00"),G27-F27,(1*"5:00")-F27),IF(G27&gt;F27,G27-(1*"22:00"),G27+(1*"24:00")-(1*"22:00"))))))</f>
        <v>0</v>
      </c>
      <c r="Z27" s="45">
        <f t="shared" si="11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2"/>
        <v/>
      </c>
      <c r="AE27" s="11" t="str">
        <f t="shared" si="13"/>
        <v/>
      </c>
      <c r="AF27" s="83">
        <f t="shared" si="14"/>
        <v>0</v>
      </c>
      <c r="AG27" s="84">
        <f t="shared" si="15"/>
        <v>0</v>
      </c>
      <c r="AH27" s="84">
        <f t="shared" si="16"/>
        <v>0</v>
      </c>
      <c r="AI27" s="84">
        <f t="shared" si="17"/>
        <v>0</v>
      </c>
      <c r="AJ27" s="84">
        <f t="shared" si="18"/>
        <v>0</v>
      </c>
    </row>
    <row r="28" spans="1:36" x14ac:dyDescent="0.25">
      <c r="A28" s="106"/>
      <c r="B28" s="37">
        <f t="shared" si="3"/>
        <v>41441</v>
      </c>
      <c r="C28" s="38">
        <f t="shared" si="0"/>
        <v>41441</v>
      </c>
      <c r="D28" s="39" t="str">
        <f>IF(B28="","",IF(VerificaSeFeriado(B28),"Sim",""))</f>
        <v/>
      </c>
      <c r="E28" s="5"/>
      <c r="F28" s="5"/>
      <c r="G28" s="5"/>
      <c r="H28" s="5"/>
      <c r="I28" s="5"/>
      <c r="J28" s="5"/>
      <c r="K28" s="5"/>
      <c r="L28" s="5"/>
      <c r="M28" s="41" t="str">
        <f t="shared" si="4"/>
        <v/>
      </c>
      <c r="N28" s="42" t="str">
        <f t="shared" si="5"/>
        <v/>
      </c>
      <c r="O28" s="43" t="str">
        <f t="shared" si="19"/>
        <v/>
      </c>
      <c r="P28" s="43" t="str">
        <f t="shared" ca="1" si="6"/>
        <v/>
      </c>
      <c r="Q28" s="6"/>
      <c r="R28" s="40">
        <f t="shared" si="7"/>
        <v>0</v>
      </c>
      <c r="S28" s="44">
        <f>IF(D28="Sim",0,IF((OR(WEEKDAY(C28)=2,WEEKDAY(C28)=3,WEEKDAY(C28)=4,WEEKDAY(C28)=5,WEEKDAY(C28)=6))=TRUE,M28,IF(AND(WEEKDAY(C28)=7,Configurações!$C$11&gt;0)=TRUE,M28,IF(AND(WEEKDAY(C28)=1,Configurações!$C$12&gt;0)=TRUE,M28,0))))</f>
        <v>0</v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8"/>
        <v>0</v>
      </c>
      <c r="W28" s="44">
        <f t="shared" si="9"/>
        <v>0</v>
      </c>
      <c r="X28" s="45">
        <f t="shared" si="10"/>
        <v>0</v>
      </c>
      <c r="Y28" s="44">
        <f t="shared" si="20"/>
        <v>0</v>
      </c>
      <c r="Z28" s="45">
        <f t="shared" si="11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2"/>
        <v/>
      </c>
      <c r="AE28" s="11" t="str">
        <f t="shared" si="13"/>
        <v/>
      </c>
      <c r="AF28" s="83">
        <f t="shared" si="14"/>
        <v>0</v>
      </c>
      <c r="AG28" s="84">
        <f t="shared" si="15"/>
        <v>0</v>
      </c>
      <c r="AH28" s="84">
        <f t="shared" si="16"/>
        <v>0</v>
      </c>
      <c r="AI28" s="84">
        <f t="shared" si="17"/>
        <v>0</v>
      </c>
      <c r="AJ28" s="84">
        <f t="shared" si="18"/>
        <v>0</v>
      </c>
    </row>
    <row r="29" spans="1:36" x14ac:dyDescent="0.25">
      <c r="A29" s="106"/>
      <c r="B29" s="37">
        <f t="shared" si="3"/>
        <v>41442</v>
      </c>
      <c r="C29" s="38">
        <f t="shared" si="0"/>
        <v>41442</v>
      </c>
      <c r="D29" s="39" t="str">
        <f>IF(B29="","",IF(VerificaSeFeriado(B29),"Sim",""))</f>
        <v/>
      </c>
      <c r="E29" s="5"/>
      <c r="F29" s="5"/>
      <c r="G29" s="5"/>
      <c r="H29" s="5"/>
      <c r="I29" s="5"/>
      <c r="J29" s="5"/>
      <c r="K29" s="5"/>
      <c r="L29" s="5"/>
      <c r="M29" s="41" t="str">
        <f t="shared" si="4"/>
        <v/>
      </c>
      <c r="N29" s="42" t="str">
        <f t="shared" si="5"/>
        <v/>
      </c>
      <c r="O29" s="43" t="str">
        <f t="shared" si="19"/>
        <v/>
      </c>
      <c r="P29" s="43" t="str">
        <f t="shared" ca="1" si="6"/>
        <v/>
      </c>
      <c r="Q29" s="6"/>
      <c r="R29" s="40">
        <f t="shared" si="7"/>
        <v>0</v>
      </c>
      <c r="S29" s="44">
        <f>IF(D29="Sim",0,IF((OR(WEEKDAY(C29)=2,WEEKDAY(C29)=3,WEEKDAY(C29)=4,WEEKDAY(C29)=5,WEEKDAY(C29)=6))=TRUE,M29,IF(AND(WEEKDAY(C29)=7,Configurações!$C$11&gt;0)=TRUE,M29,IF(AND(WEEKDAY(C29)=1,Configurações!$C$12&gt;0)=TRUE,M29,0))))</f>
        <v>0</v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8"/>
        <v>0</v>
      </c>
      <c r="W29" s="44">
        <f t="shared" si="9"/>
        <v>0</v>
      </c>
      <c r="X29" s="45">
        <f t="shared" si="10"/>
        <v>0</v>
      </c>
      <c r="Y29" s="44">
        <f t="shared" si="20"/>
        <v>0</v>
      </c>
      <c r="Z29" s="45">
        <f t="shared" si="11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2"/>
        <v/>
      </c>
      <c r="AE29" s="11" t="str">
        <f t="shared" si="13"/>
        <v/>
      </c>
      <c r="AF29" s="83">
        <f t="shared" si="14"/>
        <v>0</v>
      </c>
      <c r="AG29" s="84">
        <f t="shared" si="15"/>
        <v>0</v>
      </c>
      <c r="AH29" s="84">
        <f t="shared" si="16"/>
        <v>0</v>
      </c>
      <c r="AI29" s="84">
        <f t="shared" si="17"/>
        <v>0</v>
      </c>
      <c r="AJ29" s="84">
        <f t="shared" si="18"/>
        <v>0</v>
      </c>
    </row>
    <row r="30" spans="1:36" x14ac:dyDescent="0.25">
      <c r="A30" s="106"/>
      <c r="B30" s="37">
        <f t="shared" si="3"/>
        <v>41443</v>
      </c>
      <c r="C30" s="38">
        <f t="shared" si="0"/>
        <v>41443</v>
      </c>
      <c r="D30" s="39" t="str">
        <f>IF(B30="","",IF(VerificaSeFeriado(B30),"Sim",""))</f>
        <v/>
      </c>
      <c r="E30" s="5"/>
      <c r="F30" s="5"/>
      <c r="G30" s="5"/>
      <c r="H30" s="5"/>
      <c r="I30" s="5"/>
      <c r="J30" s="5"/>
      <c r="K30" s="5"/>
      <c r="L30" s="5"/>
      <c r="M30" s="41" t="str">
        <f t="shared" si="4"/>
        <v/>
      </c>
      <c r="N30" s="42" t="str">
        <f t="shared" si="5"/>
        <v/>
      </c>
      <c r="O30" s="43" t="str">
        <f t="shared" si="19"/>
        <v/>
      </c>
      <c r="P30" s="43" t="str">
        <f t="shared" ca="1" si="6"/>
        <v/>
      </c>
      <c r="Q30" s="6"/>
      <c r="R30" s="40">
        <f t="shared" si="7"/>
        <v>0</v>
      </c>
      <c r="S30" s="44" t="str">
        <f>IF(D30="Sim",0,IF((OR(WEEKDAY(C30)=2,WEEKDAY(C30)=3,WEEKDAY(C30)=4,WEEKDAY(C30)=5,WEEKDAY(C30)=6))=TRUE,M30,IF(AND(WEEKDAY(C30)=7,Configurações!$C$11&gt;0)=TRUE,M30,IF(AND(WEEKDAY(C30)=1,Configurações!$C$12&gt;0)=TRUE,M30,0))))</f>
        <v/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8"/>
        <v>0</v>
      </c>
      <c r="W30" s="44">
        <f t="shared" si="9"/>
        <v>0</v>
      </c>
      <c r="X30" s="45">
        <f t="shared" si="10"/>
        <v>0</v>
      </c>
      <c r="Y30" s="44">
        <f t="shared" si="20"/>
        <v>0</v>
      </c>
      <c r="Z30" s="45">
        <f t="shared" si="11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2"/>
        <v/>
      </c>
      <c r="AE30" s="11" t="str">
        <f t="shared" si="13"/>
        <v/>
      </c>
      <c r="AF30" s="83">
        <f t="shared" si="14"/>
        <v>0</v>
      </c>
      <c r="AG30" s="84">
        <f t="shared" si="15"/>
        <v>0</v>
      </c>
      <c r="AH30" s="84">
        <f t="shared" si="16"/>
        <v>0</v>
      </c>
      <c r="AI30" s="84">
        <f t="shared" si="17"/>
        <v>0</v>
      </c>
      <c r="AJ30" s="84">
        <f t="shared" si="18"/>
        <v>0</v>
      </c>
    </row>
    <row r="31" spans="1:36" x14ac:dyDescent="0.25">
      <c r="A31" s="106"/>
      <c r="B31" s="37">
        <f t="shared" si="3"/>
        <v>41444</v>
      </c>
      <c r="C31" s="38">
        <f t="shared" si="0"/>
        <v>41444</v>
      </c>
      <c r="D31" s="39" t="str">
        <f>IF(B31="","",IF(VerificaSeFeriado(B31),"Sim",""))</f>
        <v/>
      </c>
      <c r="E31" s="5"/>
      <c r="F31" s="5"/>
      <c r="G31" s="5"/>
      <c r="H31" s="5"/>
      <c r="I31" s="5"/>
      <c r="J31" s="5"/>
      <c r="K31" s="5"/>
      <c r="L31" s="5"/>
      <c r="M31" s="41" t="str">
        <f t="shared" si="4"/>
        <v/>
      </c>
      <c r="N31" s="42" t="str">
        <f t="shared" si="5"/>
        <v/>
      </c>
      <c r="O31" s="43" t="str">
        <f t="shared" si="19"/>
        <v/>
      </c>
      <c r="P31" s="43" t="str">
        <f t="shared" ca="1" si="6"/>
        <v/>
      </c>
      <c r="Q31" s="6"/>
      <c r="R31" s="40">
        <f t="shared" si="7"/>
        <v>0</v>
      </c>
      <c r="S31" s="44" t="str">
        <f>IF(D31="Sim",0,IF((OR(WEEKDAY(C31)=2,WEEKDAY(C31)=3,WEEKDAY(C31)=4,WEEKDAY(C31)=5,WEEKDAY(C31)=6))=TRUE,M31,IF(AND(WEEKDAY(C31)=7,Configurações!$C$11&gt;0)=TRUE,M31,IF(AND(WEEKDAY(C31)=1,Configurações!$C$12&gt;0)=TRUE,M31,0))))</f>
        <v/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8"/>
        <v>0</v>
      </c>
      <c r="W31" s="44">
        <f t="shared" si="9"/>
        <v>0</v>
      </c>
      <c r="X31" s="45">
        <f t="shared" si="10"/>
        <v>0</v>
      </c>
      <c r="Y31" s="44">
        <f t="shared" si="20"/>
        <v>0</v>
      </c>
      <c r="Z31" s="45">
        <f t="shared" si="11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2"/>
        <v/>
      </c>
      <c r="AE31" s="11" t="str">
        <f t="shared" si="13"/>
        <v/>
      </c>
      <c r="AF31" s="83">
        <f t="shared" si="14"/>
        <v>0</v>
      </c>
      <c r="AG31" s="84">
        <f t="shared" si="15"/>
        <v>0</v>
      </c>
      <c r="AH31" s="84">
        <f t="shared" si="16"/>
        <v>0</v>
      </c>
      <c r="AI31" s="84">
        <f t="shared" si="17"/>
        <v>0</v>
      </c>
      <c r="AJ31" s="84">
        <f t="shared" si="18"/>
        <v>0</v>
      </c>
    </row>
    <row r="32" spans="1:36" x14ac:dyDescent="0.25">
      <c r="A32" s="106"/>
      <c r="B32" s="37">
        <f t="shared" si="3"/>
        <v>41445</v>
      </c>
      <c r="C32" s="38">
        <f t="shared" si="0"/>
        <v>41445</v>
      </c>
      <c r="D32" s="39" t="str">
        <f>IF(B32="","",IF(VerificaSeFeriado(B32),"Sim",""))</f>
        <v/>
      </c>
      <c r="E32" s="5"/>
      <c r="F32" s="5"/>
      <c r="G32" s="5"/>
      <c r="H32" s="5"/>
      <c r="I32" s="5"/>
      <c r="J32" s="5"/>
      <c r="K32" s="5"/>
      <c r="L32" s="5"/>
      <c r="M32" s="41" t="str">
        <f t="shared" si="4"/>
        <v/>
      </c>
      <c r="N32" s="42" t="str">
        <f t="shared" si="5"/>
        <v/>
      </c>
      <c r="O32" s="43" t="str">
        <f t="shared" si="19"/>
        <v/>
      </c>
      <c r="P32" s="43" t="str">
        <f t="shared" ca="1" si="6"/>
        <v/>
      </c>
      <c r="Q32" s="6"/>
      <c r="R32" s="40">
        <f t="shared" si="7"/>
        <v>0</v>
      </c>
      <c r="S32" s="44" t="str">
        <f>IF(D32="Sim",0,IF((OR(WEEKDAY(C32)=2,WEEKDAY(C32)=3,WEEKDAY(C32)=4,WEEKDAY(C32)=5,WEEKDAY(C32)=6))=TRUE,M32,IF(AND(WEEKDAY(C32)=7,Configurações!$C$11&gt;0)=TRUE,M32,IF(AND(WEEKDAY(C32)=1,Configurações!$C$12&gt;0)=TRUE,M32,0))))</f>
        <v/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8"/>
        <v>0</v>
      </c>
      <c r="W32" s="44">
        <f t="shared" si="9"/>
        <v>0</v>
      </c>
      <c r="X32" s="45">
        <f t="shared" si="10"/>
        <v>0</v>
      </c>
      <c r="Y32" s="44">
        <f t="shared" si="20"/>
        <v>0</v>
      </c>
      <c r="Z32" s="45">
        <f t="shared" si="11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2"/>
        <v/>
      </c>
      <c r="AE32" s="11" t="str">
        <f t="shared" si="13"/>
        <v/>
      </c>
      <c r="AF32" s="83">
        <f t="shared" si="14"/>
        <v>0</v>
      </c>
      <c r="AG32" s="84">
        <f t="shared" si="15"/>
        <v>0</v>
      </c>
      <c r="AH32" s="84">
        <f t="shared" si="16"/>
        <v>0</v>
      </c>
      <c r="AI32" s="84">
        <f t="shared" si="17"/>
        <v>0</v>
      </c>
      <c r="AJ32" s="84">
        <f t="shared" si="18"/>
        <v>0</v>
      </c>
    </row>
    <row r="33" spans="1:36" x14ac:dyDescent="0.25">
      <c r="A33" s="106"/>
      <c r="B33" s="37">
        <f t="shared" si="3"/>
        <v>41446</v>
      </c>
      <c r="C33" s="38">
        <f t="shared" si="0"/>
        <v>41446</v>
      </c>
      <c r="D33" s="39" t="str">
        <f>IF(B33="","",IF(VerificaSeFeriado(B33),"Sim",""))</f>
        <v/>
      </c>
      <c r="E33" s="5"/>
      <c r="F33" s="5"/>
      <c r="G33" s="5"/>
      <c r="H33" s="5"/>
      <c r="I33" s="5"/>
      <c r="J33" s="5"/>
      <c r="K33" s="5"/>
      <c r="L33" s="5"/>
      <c r="M33" s="41" t="str">
        <f t="shared" si="4"/>
        <v/>
      </c>
      <c r="N33" s="42" t="str">
        <f t="shared" si="5"/>
        <v/>
      </c>
      <c r="O33" s="43" t="str">
        <f t="shared" si="19"/>
        <v/>
      </c>
      <c r="P33" s="43" t="str">
        <f t="shared" ca="1" si="6"/>
        <v/>
      </c>
      <c r="Q33" s="6"/>
      <c r="R33" s="40">
        <f t="shared" si="7"/>
        <v>0</v>
      </c>
      <c r="S33" s="44" t="str">
        <f>IF(D33="Sim",0,IF((OR(WEEKDAY(C33)=2,WEEKDAY(C33)=3,WEEKDAY(C33)=4,WEEKDAY(C33)=5,WEEKDAY(C33)=6))=TRUE,M33,IF(AND(WEEKDAY(C33)=7,Configurações!$C$11&gt;0)=TRUE,M33,IF(AND(WEEKDAY(C33)=1,Configurações!$C$12&gt;0)=TRUE,M33,0))))</f>
        <v/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8"/>
        <v>0</v>
      </c>
      <c r="W33" s="44">
        <f t="shared" si="9"/>
        <v>0</v>
      </c>
      <c r="X33" s="45">
        <f t="shared" si="10"/>
        <v>0</v>
      </c>
      <c r="Y33" s="44">
        <f t="shared" si="20"/>
        <v>0</v>
      </c>
      <c r="Z33" s="45">
        <f t="shared" si="11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2"/>
        <v/>
      </c>
      <c r="AE33" s="11" t="str">
        <f t="shared" si="13"/>
        <v/>
      </c>
      <c r="AF33" s="83">
        <f t="shared" si="14"/>
        <v>0</v>
      </c>
      <c r="AG33" s="84">
        <f t="shared" si="15"/>
        <v>0</v>
      </c>
      <c r="AH33" s="84">
        <f t="shared" si="16"/>
        <v>0</v>
      </c>
      <c r="AI33" s="84">
        <f t="shared" si="17"/>
        <v>0</v>
      </c>
      <c r="AJ33" s="84">
        <f t="shared" si="18"/>
        <v>0</v>
      </c>
    </row>
    <row r="34" spans="1:36" x14ac:dyDescent="0.25">
      <c r="A34" s="106"/>
      <c r="B34" s="37">
        <f t="shared" si="3"/>
        <v>41447</v>
      </c>
      <c r="C34" s="38">
        <f t="shared" si="0"/>
        <v>41447</v>
      </c>
      <c r="D34" s="39" t="str">
        <f>IF(B34="","",IF(VerificaSeFeriado(B34),"Sim",""))</f>
        <v/>
      </c>
      <c r="E34" s="5"/>
      <c r="F34" s="5"/>
      <c r="G34" s="5"/>
      <c r="H34" s="5"/>
      <c r="I34" s="5"/>
      <c r="J34" s="5"/>
      <c r="K34" s="5"/>
      <c r="L34" s="5"/>
      <c r="M34" s="41" t="str">
        <f t="shared" si="4"/>
        <v/>
      </c>
      <c r="N34" s="42" t="str">
        <f t="shared" si="5"/>
        <v/>
      </c>
      <c r="O34" s="43" t="str">
        <f t="shared" si="19"/>
        <v/>
      </c>
      <c r="P34" s="43" t="str">
        <f t="shared" ca="1" si="6"/>
        <v/>
      </c>
      <c r="Q34" s="6"/>
      <c r="R34" s="40">
        <f t="shared" si="7"/>
        <v>0</v>
      </c>
      <c r="S34" s="44" t="str">
        <f>IF(D34="Sim",0,IF((OR(WEEKDAY(C34)=2,WEEKDAY(C34)=3,WEEKDAY(C34)=4,WEEKDAY(C34)=5,WEEKDAY(C34)=6))=TRUE,M34,IF(AND(WEEKDAY(C34)=7,Configurações!$C$11&gt;0)=TRUE,M34,IF(AND(WEEKDAY(C34)=1,Configurações!$C$12&gt;0)=TRUE,M34,0))))</f>
        <v/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8"/>
        <v>0</v>
      </c>
      <c r="W34" s="44">
        <f t="shared" si="9"/>
        <v>0</v>
      </c>
      <c r="X34" s="45">
        <f t="shared" si="10"/>
        <v>0</v>
      </c>
      <c r="Y34" s="44">
        <f t="shared" si="20"/>
        <v>0</v>
      </c>
      <c r="Z34" s="45">
        <f t="shared" si="11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2"/>
        <v/>
      </c>
      <c r="AE34" s="11" t="str">
        <f t="shared" si="13"/>
        <v/>
      </c>
      <c r="AF34" s="83">
        <f t="shared" si="14"/>
        <v>0</v>
      </c>
      <c r="AG34" s="84">
        <f t="shared" si="15"/>
        <v>0</v>
      </c>
      <c r="AH34" s="84">
        <f t="shared" si="16"/>
        <v>0</v>
      </c>
      <c r="AI34" s="84">
        <f t="shared" si="17"/>
        <v>0</v>
      </c>
      <c r="AJ34" s="84">
        <f t="shared" si="18"/>
        <v>0</v>
      </c>
    </row>
    <row r="35" spans="1:36" x14ac:dyDescent="0.25">
      <c r="A35" s="106"/>
      <c r="B35" s="37">
        <f t="shared" si="3"/>
        <v>41448</v>
      </c>
      <c r="C35" s="38">
        <f t="shared" si="0"/>
        <v>41448</v>
      </c>
      <c r="D35" s="39" t="str">
        <f>IF(B35="","",IF(VerificaSeFeriado(B35),"Sim",""))</f>
        <v/>
      </c>
      <c r="E35" s="5"/>
      <c r="F35" s="5"/>
      <c r="G35" s="5"/>
      <c r="H35" s="5"/>
      <c r="I35" s="5"/>
      <c r="J35" s="5"/>
      <c r="K35" s="5"/>
      <c r="L35" s="5"/>
      <c r="M35" s="41" t="str">
        <f t="shared" si="4"/>
        <v/>
      </c>
      <c r="N35" s="42" t="str">
        <f t="shared" si="5"/>
        <v/>
      </c>
      <c r="O35" s="43" t="str">
        <f t="shared" si="19"/>
        <v/>
      </c>
      <c r="P35" s="43" t="str">
        <f t="shared" ca="1" si="6"/>
        <v/>
      </c>
      <c r="Q35" s="6"/>
      <c r="R35" s="40">
        <f t="shared" si="7"/>
        <v>0</v>
      </c>
      <c r="S35" s="44">
        <f>IF(D35="Sim",0,IF((OR(WEEKDAY(C35)=2,WEEKDAY(C35)=3,WEEKDAY(C35)=4,WEEKDAY(C35)=5,WEEKDAY(C35)=6))=TRUE,M35,IF(AND(WEEKDAY(C35)=7,Configurações!$C$11&gt;0)=TRUE,M35,IF(AND(WEEKDAY(C35)=1,Configurações!$C$12&gt;0)=TRUE,M35,0))))</f>
        <v>0</v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</v>
      </c>
      <c r="V35" s="44">
        <f t="shared" si="8"/>
        <v>0</v>
      </c>
      <c r="W35" s="44">
        <f t="shared" si="9"/>
        <v>0</v>
      </c>
      <c r="X35" s="45">
        <f t="shared" si="10"/>
        <v>0</v>
      </c>
      <c r="Y35" s="44">
        <f t="shared" si="20"/>
        <v>0</v>
      </c>
      <c r="Z35" s="45">
        <f t="shared" si="11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2"/>
        <v/>
      </c>
      <c r="AE35" s="11" t="str">
        <f t="shared" si="13"/>
        <v/>
      </c>
      <c r="AF35" s="83">
        <f t="shared" si="14"/>
        <v>0</v>
      </c>
      <c r="AG35" s="84">
        <f t="shared" si="15"/>
        <v>0</v>
      </c>
      <c r="AH35" s="84">
        <f t="shared" si="16"/>
        <v>0</v>
      </c>
      <c r="AI35" s="84">
        <f t="shared" si="17"/>
        <v>0</v>
      </c>
      <c r="AJ35" s="84">
        <f t="shared" si="18"/>
        <v>0</v>
      </c>
    </row>
    <row r="36" spans="1:36" x14ac:dyDescent="0.25">
      <c r="A36" s="106"/>
      <c r="B36" s="37">
        <f t="shared" si="3"/>
        <v>41449</v>
      </c>
      <c r="C36" s="38">
        <f t="shared" si="0"/>
        <v>41449</v>
      </c>
      <c r="D36" s="39" t="str">
        <f>IF(B36="","",IF(VerificaSeFeriado(B36),"Sim",""))</f>
        <v/>
      </c>
      <c r="E36" s="5"/>
      <c r="F36" s="5"/>
      <c r="G36" s="5"/>
      <c r="H36" s="5"/>
      <c r="I36" s="5"/>
      <c r="J36" s="5"/>
      <c r="K36" s="5"/>
      <c r="L36" s="5"/>
      <c r="M36" s="41" t="str">
        <f t="shared" si="4"/>
        <v/>
      </c>
      <c r="N36" s="42" t="str">
        <f t="shared" si="5"/>
        <v/>
      </c>
      <c r="O36" s="43" t="str">
        <f t="shared" si="19"/>
        <v/>
      </c>
      <c r="P36" s="43" t="str">
        <f t="shared" ca="1" si="6"/>
        <v/>
      </c>
      <c r="Q36" s="6"/>
      <c r="R36" s="40">
        <f t="shared" si="7"/>
        <v>0</v>
      </c>
      <c r="S36" s="44">
        <f>IF(D36="Sim",0,IF((OR(WEEKDAY(C36)=2,WEEKDAY(C36)=3,WEEKDAY(C36)=4,WEEKDAY(C36)=5,WEEKDAY(C36)=6))=TRUE,M36,IF(AND(WEEKDAY(C36)=7,Configurações!$C$11&gt;0)=TRUE,M36,IF(AND(WEEKDAY(C36)=1,Configurações!$C$12&gt;0)=TRUE,M36,0))))</f>
        <v>0</v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8"/>
        <v>0</v>
      </c>
      <c r="W36" s="44">
        <f t="shared" si="9"/>
        <v>0</v>
      </c>
      <c r="X36" s="45">
        <f t="shared" si="10"/>
        <v>0</v>
      </c>
      <c r="Y36" s="44">
        <f t="shared" si="20"/>
        <v>0</v>
      </c>
      <c r="Z36" s="45">
        <f t="shared" si="11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2"/>
        <v/>
      </c>
      <c r="AE36" s="11" t="str">
        <f t="shared" si="13"/>
        <v/>
      </c>
      <c r="AF36" s="83">
        <f t="shared" si="14"/>
        <v>0</v>
      </c>
      <c r="AG36" s="84">
        <f t="shared" si="15"/>
        <v>0</v>
      </c>
      <c r="AH36" s="84">
        <f t="shared" si="16"/>
        <v>0</v>
      </c>
      <c r="AI36" s="84">
        <f t="shared" si="17"/>
        <v>0</v>
      </c>
      <c r="AJ36" s="84">
        <f t="shared" si="18"/>
        <v>0</v>
      </c>
    </row>
    <row r="37" spans="1:36" x14ac:dyDescent="0.25">
      <c r="A37" s="106"/>
      <c r="B37" s="37">
        <f t="shared" si="3"/>
        <v>41450</v>
      </c>
      <c r="C37" s="38">
        <f t="shared" si="0"/>
        <v>41450</v>
      </c>
      <c r="D37" s="39" t="str">
        <f>IF(B37="","",IF(VerificaSeFeriado(B37),"Sim",""))</f>
        <v/>
      </c>
      <c r="E37" s="5"/>
      <c r="F37" s="5"/>
      <c r="G37" s="5"/>
      <c r="H37" s="5"/>
      <c r="I37" s="5"/>
      <c r="J37" s="5"/>
      <c r="K37" s="5"/>
      <c r="L37" s="5"/>
      <c r="M37" s="41" t="str">
        <f t="shared" si="4"/>
        <v/>
      </c>
      <c r="N37" s="42" t="str">
        <f t="shared" si="5"/>
        <v/>
      </c>
      <c r="O37" s="43" t="str">
        <f t="shared" si="19"/>
        <v/>
      </c>
      <c r="P37" s="43" t="str">
        <f t="shared" ca="1" si="6"/>
        <v/>
      </c>
      <c r="Q37" s="6"/>
      <c r="R37" s="40">
        <f t="shared" si="7"/>
        <v>0</v>
      </c>
      <c r="S37" s="44" t="str">
        <f>IF(D37="Sim",0,IF((OR(WEEKDAY(C37)=2,WEEKDAY(C37)=3,WEEKDAY(C37)=4,WEEKDAY(C37)=5,WEEKDAY(C37)=6))=TRUE,M37,IF(AND(WEEKDAY(C37)=7,Configurações!$C$11&gt;0)=TRUE,M37,IF(AND(WEEKDAY(C37)=1,Configurações!$C$12&gt;0)=TRUE,M37,0))))</f>
        <v/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8"/>
        <v>0</v>
      </c>
      <c r="W37" s="44">
        <f t="shared" si="9"/>
        <v>0</v>
      </c>
      <c r="X37" s="45">
        <f t="shared" si="10"/>
        <v>0</v>
      </c>
      <c r="Y37" s="44">
        <f t="shared" si="20"/>
        <v>0</v>
      </c>
      <c r="Z37" s="45">
        <f t="shared" si="11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2"/>
        <v/>
      </c>
      <c r="AE37" s="11" t="str">
        <f t="shared" si="13"/>
        <v/>
      </c>
      <c r="AF37" s="83">
        <f t="shared" si="14"/>
        <v>0</v>
      </c>
      <c r="AG37" s="84">
        <f t="shared" si="15"/>
        <v>0</v>
      </c>
      <c r="AH37" s="84">
        <f t="shared" si="16"/>
        <v>0</v>
      </c>
      <c r="AI37" s="84">
        <f t="shared" si="17"/>
        <v>0</v>
      </c>
      <c r="AJ37" s="84">
        <f t="shared" si="18"/>
        <v>0</v>
      </c>
    </row>
    <row r="38" spans="1:36" x14ac:dyDescent="0.25">
      <c r="A38" s="106"/>
      <c r="B38" s="37">
        <f t="shared" si="3"/>
        <v>41451</v>
      </c>
      <c r="C38" s="38">
        <f t="shared" si="0"/>
        <v>41451</v>
      </c>
      <c r="D38" s="39" t="str">
        <f>IF(B38="","",IF(VerificaSeFeriado(B38),"Sim",""))</f>
        <v/>
      </c>
      <c r="E38" s="5"/>
      <c r="F38" s="5"/>
      <c r="G38" s="5"/>
      <c r="H38" s="5"/>
      <c r="I38" s="5"/>
      <c r="J38" s="5"/>
      <c r="K38" s="5"/>
      <c r="L38" s="5"/>
      <c r="M38" s="41" t="str">
        <f t="shared" si="4"/>
        <v/>
      </c>
      <c r="N38" s="42" t="str">
        <f t="shared" si="5"/>
        <v/>
      </c>
      <c r="O38" s="43" t="str">
        <f t="shared" si="19"/>
        <v/>
      </c>
      <c r="P38" s="43" t="str">
        <f t="shared" ca="1" si="6"/>
        <v/>
      </c>
      <c r="Q38" s="6"/>
      <c r="R38" s="40">
        <f t="shared" si="7"/>
        <v>0</v>
      </c>
      <c r="S38" s="44" t="str">
        <f>IF(D38="Sim",0,IF((OR(WEEKDAY(C38)=2,WEEKDAY(C38)=3,WEEKDAY(C38)=4,WEEKDAY(C38)=5,WEEKDAY(C38)=6))=TRUE,M38,IF(AND(WEEKDAY(C38)=7,Configurações!$C$11&gt;0)=TRUE,M38,IF(AND(WEEKDAY(C38)=1,Configurações!$C$12&gt;0)=TRUE,M38,0))))</f>
        <v/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8"/>
        <v>0</v>
      </c>
      <c r="W38" s="44">
        <f t="shared" si="9"/>
        <v>0</v>
      </c>
      <c r="X38" s="45">
        <f t="shared" si="10"/>
        <v>0</v>
      </c>
      <c r="Y38" s="44">
        <f t="shared" si="20"/>
        <v>0</v>
      </c>
      <c r="Z38" s="45">
        <f t="shared" si="11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2"/>
        <v/>
      </c>
      <c r="AE38" s="11" t="str">
        <f t="shared" si="13"/>
        <v/>
      </c>
      <c r="AF38" s="83">
        <f t="shared" si="14"/>
        <v>0</v>
      </c>
      <c r="AG38" s="84">
        <f t="shared" si="15"/>
        <v>0</v>
      </c>
      <c r="AH38" s="84">
        <f t="shared" si="16"/>
        <v>0</v>
      </c>
      <c r="AI38" s="84">
        <f t="shared" si="17"/>
        <v>0</v>
      </c>
      <c r="AJ38" s="84">
        <f t="shared" si="18"/>
        <v>0</v>
      </c>
    </row>
    <row r="39" spans="1:36" x14ac:dyDescent="0.25">
      <c r="A39" s="106"/>
      <c r="B39" s="37">
        <f t="shared" si="3"/>
        <v>41452</v>
      </c>
      <c r="C39" s="38">
        <f t="shared" si="0"/>
        <v>41452</v>
      </c>
      <c r="D39" s="39" t="str">
        <f>IF(B39="","",IF(VerificaSeFeriado(B39),"Sim",""))</f>
        <v/>
      </c>
      <c r="E39" s="5"/>
      <c r="F39" s="5"/>
      <c r="G39" s="5"/>
      <c r="H39" s="5"/>
      <c r="I39" s="5"/>
      <c r="J39" s="5"/>
      <c r="K39" s="5"/>
      <c r="L39" s="5"/>
      <c r="M39" s="41" t="str">
        <f t="shared" si="4"/>
        <v/>
      </c>
      <c r="N39" s="42" t="str">
        <f t="shared" si="5"/>
        <v/>
      </c>
      <c r="O39" s="43" t="str">
        <f t="shared" si="19"/>
        <v/>
      </c>
      <c r="P39" s="43" t="str">
        <f t="shared" ca="1" si="6"/>
        <v/>
      </c>
      <c r="Q39" s="6"/>
      <c r="R39" s="40">
        <f t="shared" si="7"/>
        <v>0</v>
      </c>
      <c r="S39" s="44" t="str">
        <f>IF(D39="Sim",0,IF((OR(WEEKDAY(C39)=2,WEEKDAY(C39)=3,WEEKDAY(C39)=4,WEEKDAY(C39)=5,WEEKDAY(C39)=6))=TRUE,M39,IF(AND(WEEKDAY(C39)=7,Configurações!$C$11&gt;0)=TRUE,M39,IF(AND(WEEKDAY(C39)=1,Configurações!$C$12&gt;0)=TRUE,M39,0))))</f>
        <v/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8"/>
        <v>0</v>
      </c>
      <c r="W39" s="44">
        <f t="shared" si="9"/>
        <v>0</v>
      </c>
      <c r="X39" s="45">
        <f t="shared" si="10"/>
        <v>0</v>
      </c>
      <c r="Y39" s="44">
        <f t="shared" si="20"/>
        <v>0</v>
      </c>
      <c r="Z39" s="45">
        <f t="shared" si="11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2"/>
        <v/>
      </c>
      <c r="AE39" s="11" t="str">
        <f t="shared" si="13"/>
        <v/>
      </c>
      <c r="AF39" s="83">
        <f t="shared" si="14"/>
        <v>0</v>
      </c>
      <c r="AG39" s="84">
        <f t="shared" si="15"/>
        <v>0</v>
      </c>
      <c r="AH39" s="84">
        <f t="shared" si="16"/>
        <v>0</v>
      </c>
      <c r="AI39" s="84">
        <f t="shared" si="17"/>
        <v>0</v>
      </c>
      <c r="AJ39" s="84">
        <f t="shared" si="18"/>
        <v>0</v>
      </c>
    </row>
    <row r="40" spans="1:36" x14ac:dyDescent="0.25">
      <c r="A40" s="106"/>
      <c r="B40" s="37">
        <f t="shared" si="3"/>
        <v>41453</v>
      </c>
      <c r="C40" s="38">
        <f t="shared" si="0"/>
        <v>41453</v>
      </c>
      <c r="D40" s="39" t="str">
        <f>IF(B40="","",IF(VerificaSeFeriado(B40),"Sim",""))</f>
        <v/>
      </c>
      <c r="E40" s="5"/>
      <c r="F40" s="5"/>
      <c r="G40" s="5"/>
      <c r="H40" s="5"/>
      <c r="I40" s="5"/>
      <c r="J40" s="5"/>
      <c r="K40" s="5"/>
      <c r="L40" s="5"/>
      <c r="M40" s="41" t="str">
        <f t="shared" si="4"/>
        <v/>
      </c>
      <c r="N40" s="42" t="str">
        <f t="shared" si="5"/>
        <v/>
      </c>
      <c r="O40" s="43" t="str">
        <f t="shared" si="19"/>
        <v/>
      </c>
      <c r="P40" s="43" t="str">
        <f t="shared" ca="1" si="6"/>
        <v/>
      </c>
      <c r="Q40" s="6"/>
      <c r="R40" s="40">
        <f t="shared" si="7"/>
        <v>0</v>
      </c>
      <c r="S40" s="44" t="str">
        <f>IF(D40="Sim",0,IF((OR(WEEKDAY(C40)=2,WEEKDAY(C40)=3,WEEKDAY(C40)=4,WEEKDAY(C40)=5,WEEKDAY(C40)=6))=TRUE,M40,IF(AND(WEEKDAY(C40)=7,Configurações!$C$11&gt;0)=TRUE,M40,IF(AND(WEEKDAY(C40)=1,Configurações!$C$12&gt;0)=TRUE,M40,0))))</f>
        <v/>
      </c>
      <c r="T40" s="44">
        <f>IF(D40="Sim",0,IF(AND(WEEKDAY(C40)=7,Configurações!$C$11&lt;=0)=TRUE,R40,0))</f>
        <v>0</v>
      </c>
      <c r="U40" s="44">
        <f>IF(D40="Sim",0,IF(AND(WEEKDAY(C40)=1,Configurações!$C$12&lt;=0)=TRUE,R40,0))</f>
        <v>0</v>
      </c>
      <c r="V40" s="44">
        <f t="shared" si="8"/>
        <v>0</v>
      </c>
      <c r="W40" s="44">
        <f t="shared" si="9"/>
        <v>0</v>
      </c>
      <c r="X40" s="45">
        <f t="shared" si="10"/>
        <v>0</v>
      </c>
      <c r="Y40" s="44">
        <f t="shared" si="20"/>
        <v>0</v>
      </c>
      <c r="Z40" s="45">
        <f t="shared" si="11"/>
        <v>0</v>
      </c>
      <c r="AA40" s="12" t="str">
        <f>IF(D40="Sim","Não",IF(AND(WEEKDAY(C40)=1,Configurações!$C$12&gt;0),"Sim",IF(AND(WEEKDAY(C40)=2,Configurações!$C$6&gt;0),"Sim",IF(AND(WEEKDAY(C40)=3,Configurações!$C$7&gt;0),"Sim",IF(AND(WEEKDAY(C40)=4,Configurações!$C$8&gt;0),"Sim",IF(AND(WEEKDAY(C40)=5,Configurações!$C$9&gt;0),"Sim",IF(AND(WEEKDAY(C40)=6,Configurações!$C$10&gt;0),"Sim",IF(AND(WEEKDAY(C40)=7,Configurações!$C$11&gt;0),"Sim","Não"))))))))</f>
        <v>Não</v>
      </c>
      <c r="AB40" s="44">
        <f>IF(D40="Sim",0,IF(WEEKDAY(C40)=2,Configurações!$C$6-Configurações!$E$6,IF(WEEKDAY(C40)=3,Configurações!$C$7-Configurações!$E$7,IF(WEEKDAY(C40)=4,Configurações!$C$8-Configurações!$E$8,IF(WEEKDAY(C40)=5,Configurações!$C$9-Configurações!$E$9,IF(WEEKDAY(C40)=6,Configurações!$C$10-Configurações!$E$10,IF(WEEKDAY(C40)=7,Configurações!$C$11-Configurações!$E$11,IF(WEEKDAY(C40)=1,Configurações!$C$12-Configurações!$E$12,""))))))))</f>
        <v>0</v>
      </c>
      <c r="AC40" s="44">
        <f>IF(D40="Sim",0,IF(WEEKDAY(C40)=2,Configurações!$E$6,IF(WEEKDAY(C40)=3,Configurações!$E$7,IF(WEEKDAY(C40)=4,Configurações!$E$8,IF(WEEKDAY(C40)=5,Configurações!$E$9,IF(WEEKDAY(C40)=6,Configurações!$E$10,IF(WEEKDAY(C40)=7,Configurações!$E$11,IF(WEEKDAY(C40)=1,Configurações!$E$12,""))))))))</f>
        <v>0</v>
      </c>
      <c r="AD40" s="11" t="str">
        <f t="shared" si="12"/>
        <v/>
      </c>
      <c r="AE40" s="11" t="str">
        <f t="shared" si="13"/>
        <v/>
      </c>
      <c r="AF40" s="83">
        <f t="shared" si="14"/>
        <v>0</v>
      </c>
      <c r="AG40" s="84">
        <f t="shared" si="15"/>
        <v>0</v>
      </c>
      <c r="AH40" s="84">
        <f t="shared" si="16"/>
        <v>0</v>
      </c>
      <c r="AI40" s="84">
        <f t="shared" si="17"/>
        <v>0</v>
      </c>
      <c r="AJ40" s="84">
        <f t="shared" si="18"/>
        <v>0</v>
      </c>
    </row>
    <row r="41" spans="1:36" x14ac:dyDescent="0.25">
      <c r="A41" s="106"/>
      <c r="B41" s="37">
        <f t="shared" si="3"/>
        <v>41454</v>
      </c>
      <c r="C41" s="38">
        <f t="shared" si="0"/>
        <v>41454</v>
      </c>
      <c r="D41" s="39" t="str">
        <f>IF(B41="","",IF(VerificaSeFeriado(B41),"Sim",""))</f>
        <v/>
      </c>
      <c r="E41" s="5"/>
      <c r="F41" s="5"/>
      <c r="G41" s="5"/>
      <c r="H41" s="5"/>
      <c r="I41" s="5"/>
      <c r="J41" s="5"/>
      <c r="K41" s="5"/>
      <c r="L41" s="5"/>
      <c r="M41" s="41" t="str">
        <f t="shared" si="4"/>
        <v/>
      </c>
      <c r="N41" s="42" t="str">
        <f t="shared" si="5"/>
        <v/>
      </c>
      <c r="O41" s="43" t="str">
        <f t="shared" si="19"/>
        <v/>
      </c>
      <c r="P41" s="43" t="str">
        <f t="shared" ca="1" si="6"/>
        <v/>
      </c>
      <c r="Q41" s="6"/>
      <c r="R41" s="40">
        <f t="shared" si="7"/>
        <v>0</v>
      </c>
      <c r="S41" s="44" t="str">
        <f>IF(D41="Sim",0,IF((OR(WEEKDAY(C41)=2,WEEKDAY(C41)=3,WEEKDAY(C41)=4,WEEKDAY(C41)=5,WEEKDAY(C41)=6))=TRUE,M41,IF(AND(WEEKDAY(C41)=7,Configurações!$C$11&gt;0)=TRUE,M41,IF(AND(WEEKDAY(C41)=1,Configurações!$C$12&gt;0)=TRUE,M41,0))))</f>
        <v/>
      </c>
      <c r="T41" s="44">
        <f>IF(D41="Sim",0,IF(AND(WEEKDAY(C41)=7,Configurações!$C$11&lt;=0)=TRUE,R41,0))</f>
        <v>0</v>
      </c>
      <c r="U41" s="44">
        <f>IF(D41="Sim",0,IF(AND(WEEKDAY(C41)=1,Configurações!$C$12&lt;=0)=TRUE,R41,0))</f>
        <v>0</v>
      </c>
      <c r="V41" s="44">
        <f t="shared" si="8"/>
        <v>0</v>
      </c>
      <c r="W41" s="44">
        <f t="shared" si="9"/>
        <v>0</v>
      </c>
      <c r="X41" s="45">
        <f t="shared" si="10"/>
        <v>0</v>
      </c>
      <c r="Y41" s="44">
        <f t="shared" si="20"/>
        <v>0</v>
      </c>
      <c r="Z41" s="45">
        <f t="shared" si="11"/>
        <v>0</v>
      </c>
      <c r="AA41" s="12" t="str">
        <f>IF(D41="Sim","Não",IF(AND(WEEKDAY(C41)=1,Configurações!$C$12&gt;0),"Sim",IF(AND(WEEKDAY(C41)=2,Configurações!$C$6&gt;0),"Sim",IF(AND(WEEKDAY(C41)=3,Configurações!$C$7&gt;0),"Sim",IF(AND(WEEKDAY(C41)=4,Configurações!$C$8&gt;0),"Sim",IF(AND(WEEKDAY(C41)=5,Configurações!$C$9&gt;0),"Sim",IF(AND(WEEKDAY(C41)=6,Configurações!$C$10&gt;0),"Sim",IF(AND(WEEKDAY(C41)=7,Configurações!$C$11&gt;0),"Sim","Não"))))))))</f>
        <v>Não</v>
      </c>
      <c r="AB41" s="44">
        <f>IF(D41="Sim",0,IF(WEEKDAY(C41)=2,Configurações!$C$6-Configurações!$E$6,IF(WEEKDAY(C41)=3,Configurações!$C$7-Configurações!$E$7,IF(WEEKDAY(C41)=4,Configurações!$C$8-Configurações!$E$8,IF(WEEKDAY(C41)=5,Configurações!$C$9-Configurações!$E$9,IF(WEEKDAY(C41)=6,Configurações!$C$10-Configurações!$E$10,IF(WEEKDAY(C41)=7,Configurações!$C$11-Configurações!$E$11,IF(WEEKDAY(C41)=1,Configurações!$C$12-Configurações!$E$12,""))))))))</f>
        <v>0</v>
      </c>
      <c r="AC41" s="44">
        <f>IF(D41="Sim",0,IF(WEEKDAY(C41)=2,Configurações!$E$6,IF(WEEKDAY(C41)=3,Configurações!$E$7,IF(WEEKDAY(C41)=4,Configurações!$E$8,IF(WEEKDAY(C41)=5,Configurações!$E$9,IF(WEEKDAY(C41)=6,Configurações!$E$10,IF(WEEKDAY(C41)=7,Configurações!$E$11,IF(WEEKDAY(C41)=1,Configurações!$E$12,""))))))))</f>
        <v>0</v>
      </c>
      <c r="AD41" s="11" t="str">
        <f t="shared" si="12"/>
        <v/>
      </c>
      <c r="AE41" s="11" t="str">
        <f t="shared" si="13"/>
        <v/>
      </c>
      <c r="AF41" s="83">
        <f t="shared" si="14"/>
        <v>0</v>
      </c>
      <c r="AG41" s="84">
        <f t="shared" si="15"/>
        <v>0</v>
      </c>
      <c r="AH41" s="84">
        <f t="shared" si="16"/>
        <v>0</v>
      </c>
      <c r="AI41" s="84">
        <f t="shared" si="17"/>
        <v>0</v>
      </c>
      <c r="AJ41" s="84">
        <f t="shared" si="18"/>
        <v>0</v>
      </c>
    </row>
    <row r="42" spans="1:36" x14ac:dyDescent="0.25">
      <c r="B42" s="46"/>
    </row>
    <row r="44" spans="1:36" x14ac:dyDescent="0.25">
      <c r="C44" s="32"/>
      <c r="D44" s="32"/>
    </row>
    <row r="45" spans="1:36" x14ac:dyDescent="0.25">
      <c r="C45" s="32"/>
      <c r="D45" s="32"/>
    </row>
    <row r="46" spans="1:36" x14ac:dyDescent="0.25">
      <c r="C46" s="32"/>
      <c r="D46" s="32"/>
    </row>
    <row r="47" spans="1:36" x14ac:dyDescent="0.25">
      <c r="C47" s="32"/>
      <c r="D47" s="32"/>
    </row>
    <row r="48" spans="1:36" s="9" customFormat="1" x14ac:dyDescent="0.25">
      <c r="A48" s="10"/>
      <c r="C48" s="32"/>
      <c r="D48" s="32"/>
      <c r="M48" s="10"/>
      <c r="N48" s="10"/>
      <c r="O48" s="10"/>
      <c r="P48" s="10"/>
      <c r="Q48" s="10"/>
      <c r="S48" s="11"/>
      <c r="T48" s="11"/>
      <c r="U48" s="11"/>
      <c r="V48" s="11"/>
      <c r="W48" s="11"/>
      <c r="X48" s="11"/>
      <c r="Y48" s="11"/>
      <c r="Z48" s="11"/>
      <c r="AA48" s="12"/>
      <c r="AB48" s="12"/>
      <c r="AC48" s="12"/>
      <c r="AD48" s="11"/>
      <c r="AE48" s="11"/>
      <c r="AF48" s="10"/>
    </row>
    <row r="49" spans="1:32" s="9" customFormat="1" x14ac:dyDescent="0.25">
      <c r="A49" s="10"/>
      <c r="C49" s="32"/>
      <c r="D49" s="32"/>
      <c r="M49" s="10"/>
      <c r="N49" s="10"/>
      <c r="O49" s="10"/>
      <c r="P49" s="10"/>
      <c r="Q49" s="10"/>
      <c r="S49" s="11"/>
      <c r="T49" s="11"/>
      <c r="U49" s="11"/>
      <c r="V49" s="11"/>
      <c r="W49" s="11"/>
      <c r="X49" s="11"/>
      <c r="Y49" s="11"/>
      <c r="Z49" s="11"/>
      <c r="AA49" s="12"/>
      <c r="AB49" s="12"/>
      <c r="AC49" s="12"/>
      <c r="AD49" s="11"/>
      <c r="AE49" s="11"/>
      <c r="AF49" s="10"/>
    </row>
  </sheetData>
  <sheetProtection algorithmName="SHA-512" hashValue="Nc8NkdLA0I1BszRtR1cq8zpftjt9yVL8UlX7M0VoJ/X21ST692TrqV0Lv2IEY3JGAYwDjIHaxbrr101aNOj+Hw==" saltValue="FdET1pCZ3goxM+2dTUG3Og==" spinCount="100000" sheet="1" objects="1" scenarios="1" selectLockedCells="1"/>
  <mergeCells count="18">
    <mergeCell ref="L4:M4"/>
    <mergeCell ref="O4:Q4"/>
    <mergeCell ref="E5:F5"/>
    <mergeCell ref="O5:P5"/>
    <mergeCell ref="E6:F6"/>
    <mergeCell ref="A11:A41"/>
    <mergeCell ref="F11:G11"/>
    <mergeCell ref="J11:K11"/>
    <mergeCell ref="A2:D2"/>
    <mergeCell ref="A3:D7"/>
    <mergeCell ref="E4:G4"/>
    <mergeCell ref="I4:J4"/>
    <mergeCell ref="E7:F7"/>
    <mergeCell ref="O7:P7"/>
    <mergeCell ref="E8:F8"/>
    <mergeCell ref="L8:M8"/>
    <mergeCell ref="E9:F9"/>
    <mergeCell ref="L9:M9"/>
  </mergeCells>
  <conditionalFormatting sqref="G5">
    <cfRule type="expression" dxfId="209" priority="28">
      <formula>$G$5&lt;=0</formula>
    </cfRule>
    <cfRule type="expression" dxfId="208" priority="29">
      <formula>$G$5&gt;0</formula>
    </cfRule>
  </conditionalFormatting>
  <conditionalFormatting sqref="G6">
    <cfRule type="expression" dxfId="207" priority="26">
      <formula>$G$6&gt;=0</formula>
    </cfRule>
    <cfRule type="expression" dxfId="206" priority="27">
      <formula>$G$6&lt;0</formula>
    </cfRule>
  </conditionalFormatting>
  <conditionalFormatting sqref="P9">
    <cfRule type="expression" dxfId="205" priority="23">
      <formula>$P$9&lt;0</formula>
    </cfRule>
    <cfRule type="expression" dxfId="204" priority="24">
      <formula>$P$9=0</formula>
    </cfRule>
    <cfRule type="expression" dxfId="203" priority="25">
      <formula>$P$9&gt;0</formula>
    </cfRule>
  </conditionalFormatting>
  <conditionalFormatting sqref="P8">
    <cfRule type="expression" dxfId="202" priority="20">
      <formula>$P$8&lt;0</formula>
    </cfRule>
    <cfRule type="expression" dxfId="201" priority="21">
      <formula>$P$8=0</formula>
    </cfRule>
    <cfRule type="expression" dxfId="200" priority="22">
      <formula>$P$8&gt;0</formula>
    </cfRule>
  </conditionalFormatting>
  <conditionalFormatting sqref="G9">
    <cfRule type="expression" dxfId="199" priority="17">
      <formula>$G$9&lt;0</formula>
    </cfRule>
    <cfRule type="expression" priority="18">
      <formula>$G$9=0</formula>
    </cfRule>
    <cfRule type="expression" dxfId="198" priority="19">
      <formula>$G$9&gt;0</formula>
    </cfRule>
  </conditionalFormatting>
  <conditionalFormatting sqref="P12:P41">
    <cfRule type="expression" dxfId="197" priority="16">
      <formula>$P12=0</formula>
    </cfRule>
  </conditionalFormatting>
  <conditionalFormatting sqref="G5:G9">
    <cfRule type="expression" dxfId="196" priority="13">
      <formula>$G5=0</formula>
    </cfRule>
    <cfRule type="expression" dxfId="195" priority="14">
      <formula>$G5&lt;0</formula>
    </cfRule>
    <cfRule type="expression" dxfId="194" priority="15">
      <formula>$G5&gt;0</formula>
    </cfRule>
  </conditionalFormatting>
  <conditionalFormatting sqref="B12:R41">
    <cfRule type="expression" dxfId="193" priority="7">
      <formula>$B12=""</formula>
    </cfRule>
    <cfRule type="expression" dxfId="192" priority="8">
      <formula>$D12="Sim"</formula>
    </cfRule>
    <cfRule type="expression" dxfId="191" priority="11">
      <formula>MOD(ROW(),2)=0</formula>
    </cfRule>
    <cfRule type="expression" dxfId="190" priority="12">
      <formula>MOD(ROW(),2)=1</formula>
    </cfRule>
  </conditionalFormatting>
  <conditionalFormatting sqref="M12:N41">
    <cfRule type="expression" dxfId="189" priority="5">
      <formula>$M12=0</formula>
    </cfRule>
  </conditionalFormatting>
  <conditionalFormatting sqref="L9:N9">
    <cfRule type="expression" dxfId="188" priority="2">
      <formula>$L$9&gt;0</formula>
    </cfRule>
    <cfRule type="expression" dxfId="187" priority="3">
      <formula>$L$9=0</formula>
    </cfRule>
    <cfRule type="expression" dxfId="186" priority="4">
      <formula>$L$9&lt;0</formula>
    </cfRule>
  </conditionalFormatting>
  <conditionalFormatting sqref="N5 M6">
    <cfRule type="expression" dxfId="185" priority="30">
      <formula>$M$6&lt;0</formula>
    </cfRule>
  </conditionalFormatting>
  <conditionalFormatting sqref="N4 M5">
    <cfRule type="expression" dxfId="184" priority="31">
      <formula>$M$5&gt;0</formula>
    </cfRule>
  </conditionalFormatting>
  <conditionalFormatting sqref="J5:J9">
    <cfRule type="expression" dxfId="183" priority="1">
      <formula>$J5&gt;0</formula>
    </cfRule>
  </conditionalFormatting>
  <dataValidations count="2">
    <dataValidation operator="greaterThanOrEqual" allowBlank="1" showInputMessage="1" showErrorMessage="1" sqref="E12:P41"/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41">
      <formula1>AB12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CC13C4C8-CC35-411B-8183-F3489FECF497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0" id="{00259E2D-7155-419D-9FF4-33B6F8497395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B12:R41</xm:sqref>
        </x14:conditionalFormatting>
        <x14:conditionalFormatting xmlns:xm="http://schemas.microsoft.com/office/excel/2006/main">
          <x14:cfRule type="expression" priority="6" id="{E5C8694B-875F-49CA-A5B3-6E0D4CF3E3C2}">
            <xm:f>AND(Configurações!$C$11&gt;0,WEEKDAY($C12)=7,MOD(ROW(),2)=1)</xm:f>
            <x14:dxf>
              <fill>
                <patternFill>
                  <bgColor theme="4" tint="0.59996337778862885"/>
                </patternFill>
              </fill>
            </x14:dxf>
          </x14:cfRule>
          <xm:sqref>C14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/>
  <dimension ref="A2:AJ50"/>
  <sheetViews>
    <sheetView showGridLines="0" zoomScaleNormal="100" workbookViewId="0">
      <selection activeCell="P8" sqref="P8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16384" width="9.140625" style="10"/>
  </cols>
  <sheetData>
    <row r="2" spans="1:36" x14ac:dyDescent="0.25">
      <c r="A2" s="109" t="str">
        <f>IF(Configurações!C17 = 0,"",Configurações!C17)</f>
        <v/>
      </c>
      <c r="B2" s="109"/>
      <c r="C2" s="109"/>
      <c r="D2" s="109"/>
    </row>
    <row r="3" spans="1:36" ht="15.75" customHeight="1" thickBot="1" x14ac:dyDescent="0.3">
      <c r="A3" s="110" t="s">
        <v>90</v>
      </c>
      <c r="B3" s="110"/>
      <c r="C3" s="110"/>
      <c r="D3" s="110"/>
    </row>
    <row r="4" spans="1:36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36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SUM(M12:M42)</f>
        <v>0</v>
      </c>
      <c r="H5" s="13"/>
      <c r="I5" s="81" t="s">
        <v>31</v>
      </c>
      <c r="J5" s="16">
        <f>(SUM(S12:S42)*24)*Configurações!E15*(Configurações!I7+1)</f>
        <v>0</v>
      </c>
      <c r="K5" s="13"/>
      <c r="L5" s="81" t="s">
        <v>68</v>
      </c>
      <c r="M5" s="17">
        <f>SUM(J5:J9)</f>
        <v>0</v>
      </c>
      <c r="N5" s="14"/>
      <c r="O5" s="102" t="s">
        <v>44</v>
      </c>
      <c r="P5" s="103"/>
      <c r="Q5" s="18">
        <f>SUM(R12:R42)</f>
        <v>0</v>
      </c>
      <c r="W5" s="19"/>
    </row>
    <row r="6" spans="1:36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SUM(O12:O42)</f>
        <v>0</v>
      </c>
      <c r="H6" s="13"/>
      <c r="I6" s="81" t="s">
        <v>34</v>
      </c>
      <c r="J6" s="16">
        <f>(SUM(T12:T42)*24)*Configurações!E15*(Configurações!I10+1)</f>
        <v>0</v>
      </c>
      <c r="K6" s="13"/>
      <c r="L6" s="82" t="s">
        <v>69</v>
      </c>
      <c r="M6" s="21">
        <f ca="1">((G7*24)+(G6*24))*Configurações!E15</f>
        <v>0</v>
      </c>
      <c r="U6" s="19"/>
      <c r="W6" s="22"/>
    </row>
    <row r="7" spans="1:36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SUM(P12:P42)</f>
        <v>0</v>
      </c>
      <c r="H7" s="13"/>
      <c r="I7" s="81" t="s">
        <v>32</v>
      </c>
      <c r="J7" s="16">
        <f>(SUM(U12:U42)*24)*Configurações!E15*(Configurações!I9+1)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36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SUM(Q12:Q42)</f>
        <v>0</v>
      </c>
      <c r="H8" s="13"/>
      <c r="I8" s="81" t="s">
        <v>33</v>
      </c>
      <c r="J8" s="16">
        <f>(SUM(V12:V42)*24)*Configurações!E15*(Configurações!I8+1)</f>
        <v>0</v>
      </c>
      <c r="K8" s="13"/>
      <c r="L8" s="116" t="s">
        <v>63</v>
      </c>
      <c r="M8" s="117"/>
      <c r="N8" s="25"/>
      <c r="O8" s="81" t="s">
        <v>26</v>
      </c>
      <c r="P8" s="7">
        <v>0</v>
      </c>
    </row>
    <row r="9" spans="1:36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0</v>
      </c>
      <c r="H9" s="13"/>
      <c r="I9" s="82" t="s">
        <v>30</v>
      </c>
      <c r="J9" s="27">
        <f>((((SUM(N12:N42)*24)*Configurações!E15*(Configurações!I6+1)))-(SUM(N12:N42)*24)*Configurações!E15)</f>
        <v>0</v>
      </c>
      <c r="K9" s="13"/>
      <c r="L9" s="120">
        <f ca="1">SUM(M5:M6)</f>
        <v>0</v>
      </c>
      <c r="M9" s="121"/>
      <c r="N9" s="28"/>
      <c r="O9" s="82" t="s">
        <v>25</v>
      </c>
      <c r="P9" s="26">
        <f ca="1">SUM(P8,G9)</f>
        <v>0</v>
      </c>
    </row>
    <row r="10" spans="1:36" x14ac:dyDescent="0.25">
      <c r="B10" s="29">
        <v>41455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36" x14ac:dyDescent="0.25">
      <c r="A11" s="106" t="s">
        <v>79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36" x14ac:dyDescent="0.25">
      <c r="A12" s="106"/>
      <c r="B12" s="37">
        <f>IF(MONTH($B$10+ROW()-ROW($B$10)-2) = MONTH($B$10),$B$10+ROW()-ROW($B$10)-2,"")</f>
        <v>41455</v>
      </c>
      <c r="C12" s="38">
        <f t="shared" ref="C12:C42" si="0">B12</f>
        <v>41455</v>
      </c>
      <c r="D12" s="39" t="str">
        <f>IF(B12="","",IF(VerificaSeFeriado(B12),"Sim",""))</f>
        <v/>
      </c>
      <c r="E12" s="5"/>
      <c r="F12" s="5"/>
      <c r="G12" s="5"/>
      <c r="H12" s="5"/>
      <c r="I12" s="5"/>
      <c r="J12" s="5"/>
      <c r="K12" s="5"/>
      <c r="L12" s="5"/>
      <c r="M12" s="41" t="str">
        <f>IFERROR(IF((R12-AB12)&gt;(1*"00:00:01"),(R12-AB12),""),"")</f>
        <v/>
      </c>
      <c r="N12" s="42" t="str">
        <f>IF(SUM(W12:X12)*(1/52.5*60)&gt;0,SUM(W12:X12)*(1/52.5*60),"")</f>
        <v/>
      </c>
      <c r="O12" s="43" t="str">
        <f t="shared" ref="O12:O15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6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</v>
      </c>
      <c r="S12" s="44">
        <f>IF(D12="Sim",0,IF((OR(WEEKDAY(C12)=2,WEEKDAY(C12)=3,WEEKDAY(C12)=4,WEEKDAY(C12)=5,WEEKDAY(C12)=6))=TRUE,M12,IF(AND(WEEKDAY(C12)=7,Configurações!$C$11&gt;0)=TRUE,M12,IF(AND(WEEKDAY(C12)=1,Configurações!$C$12&gt;0)=TRUE,M12,0))))</f>
        <v>0</v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:Y25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</row>
    <row r="13" spans="1:36" x14ac:dyDescent="0.25">
      <c r="A13" s="106"/>
      <c r="B13" s="37">
        <f t="shared" ref="B13:B42" si="3">IF(MONTH($B$10+ROW()-ROW($B$10)-2) = MONTH($B$10),$B$10+ROW()-ROW($B$10)-2,"")</f>
        <v>41456</v>
      </c>
      <c r="C13" s="38">
        <f t="shared" si="0"/>
        <v>41456</v>
      </c>
      <c r="D13" s="39" t="str">
        <f>IF(B13="","",IF(VerificaSeFeriado(B13),"Sim",""))</f>
        <v/>
      </c>
      <c r="E13" s="5"/>
      <c r="F13" s="5"/>
      <c r="G13" s="5"/>
      <c r="H13" s="5"/>
      <c r="I13" s="5"/>
      <c r="J13" s="5"/>
      <c r="K13" s="5"/>
      <c r="L13" s="5"/>
      <c r="M13" s="41" t="str">
        <f t="shared" ref="M13:M42" si="4">IFERROR(IF((R13-AB13)&gt;(1*"00:00:01"),(R13-AB13),""),"")</f>
        <v/>
      </c>
      <c r="N13" s="42" t="str">
        <f t="shared" ref="N13:N42" si="5">IF(SUM(W13:X13)*(1/52.5*60)&gt;0,SUM(W13:X13)*(1/52.5*60),"")</f>
        <v/>
      </c>
      <c r="O13" s="43" t="str">
        <f t="shared" si="1"/>
        <v/>
      </c>
      <c r="P13" s="43" t="str">
        <f t="shared" ref="P13:P42" ca="1" si="6">IF(TODAY()&lt;=B13,"",IF(D13="Sim","",IF(AND(AA13="Sim",E13="",G13="",I13="",K13="")=TRUE,IF(Q13-AB13&lt;0,Q13-AB13,""),"")))</f>
        <v/>
      </c>
      <c r="Q13" s="6"/>
      <c r="R13" s="40">
        <f t="shared" ref="R13:R42" si="7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>
        <f>IF(D13="Sim",0,IF((OR(WEEKDAY(C13)=2,WEEKDAY(C13)=3,WEEKDAY(C13)=4,WEEKDAY(C13)=5,WEEKDAY(C13)=6))=TRUE,M13,IF(AND(WEEKDAY(C13)=7,Configurações!$C$11&gt;0)=TRUE,M13,IF(AND(WEEKDAY(C13)=1,Configurações!$C$12&gt;0)=TRUE,M13,0))))</f>
        <v>0</v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42" si="8">IF(D13="Sim",R13,0)</f>
        <v>0</v>
      </c>
      <c r="W13" s="44">
        <f t="shared" ref="W13:W42" si="9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42" si="10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si="2"/>
        <v>0</v>
      </c>
      <c r="Z13" s="45">
        <f t="shared" ref="Z13:Z42" si="11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42" si="12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42" si="13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42" si="14">IF(SUM(AG13:AH13)*(1/52.5*60)&gt;0,(SUM(AG13:AH13)*(1/52.5*60))-(SUM(AG13:AH13)),0)</f>
        <v>0</v>
      </c>
      <c r="AG13" s="84">
        <f t="shared" ref="AG13:AG42" si="15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42" si="16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42" si="17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42" si="18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36" x14ac:dyDescent="0.25">
      <c r="A14" s="106"/>
      <c r="B14" s="37">
        <f t="shared" si="3"/>
        <v>41457</v>
      </c>
      <c r="C14" s="38">
        <f t="shared" si="0"/>
        <v>41457</v>
      </c>
      <c r="D14" s="39" t="str">
        <f>IF(B14="","",IF(VerificaSeFeriado(B14),"Sim",""))</f>
        <v/>
      </c>
      <c r="E14" s="5"/>
      <c r="F14" s="5"/>
      <c r="G14" s="5"/>
      <c r="H14" s="5"/>
      <c r="I14" s="5"/>
      <c r="J14" s="5"/>
      <c r="K14" s="5"/>
      <c r="L14" s="5"/>
      <c r="M14" s="41" t="str">
        <f t="shared" si="4"/>
        <v/>
      </c>
      <c r="N14" s="42" t="str">
        <f t="shared" si="5"/>
        <v/>
      </c>
      <c r="O14" s="43" t="str">
        <f t="shared" si="1"/>
        <v/>
      </c>
      <c r="P14" s="43" t="str">
        <f t="shared" ca="1" si="6"/>
        <v/>
      </c>
      <c r="Q14" s="6"/>
      <c r="R14" s="40">
        <f t="shared" si="7"/>
        <v>0</v>
      </c>
      <c r="S14" s="44" t="str">
        <f>IF(D14="Sim",0,IF((OR(WEEKDAY(C14)=2,WEEKDAY(C14)=3,WEEKDAY(C14)=4,WEEKDAY(C14)=5,WEEKDAY(C14)=6))=TRUE,M14,IF(AND(WEEKDAY(C14)=7,Configurações!$C$11&gt;0)=TRUE,M14,IF(AND(WEEKDAY(C14)=1,Configurações!$C$12&gt;0)=TRUE,M14,0))))</f>
        <v/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8"/>
        <v>0</v>
      </c>
      <c r="W14" s="44">
        <f t="shared" si="9"/>
        <v>0</v>
      </c>
      <c r="X14" s="45">
        <f t="shared" si="10"/>
        <v>0</v>
      </c>
      <c r="Y14" s="44">
        <f t="shared" si="2"/>
        <v>0</v>
      </c>
      <c r="Z14" s="45">
        <f t="shared" si="11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2"/>
        <v/>
      </c>
      <c r="AE14" s="11" t="str">
        <f t="shared" si="13"/>
        <v/>
      </c>
      <c r="AF14" s="83">
        <f t="shared" si="14"/>
        <v>0</v>
      </c>
      <c r="AG14" s="84">
        <f t="shared" si="15"/>
        <v>0</v>
      </c>
      <c r="AH14" s="84">
        <f t="shared" si="16"/>
        <v>0</v>
      </c>
      <c r="AI14" s="84">
        <f t="shared" si="17"/>
        <v>0</v>
      </c>
      <c r="AJ14" s="84">
        <f t="shared" si="18"/>
        <v>0</v>
      </c>
    </row>
    <row r="15" spans="1:36" x14ac:dyDescent="0.25">
      <c r="A15" s="106"/>
      <c r="B15" s="37">
        <f t="shared" si="3"/>
        <v>41458</v>
      </c>
      <c r="C15" s="38">
        <f t="shared" si="0"/>
        <v>41458</v>
      </c>
      <c r="D15" s="39" t="str">
        <f>IF(B15="","",IF(VerificaSeFeriado(B15),"Sim",""))</f>
        <v/>
      </c>
      <c r="E15" s="5"/>
      <c r="F15" s="5"/>
      <c r="G15" s="5"/>
      <c r="H15" s="5"/>
      <c r="I15" s="5"/>
      <c r="J15" s="5"/>
      <c r="K15" s="5"/>
      <c r="L15" s="5"/>
      <c r="M15" s="41" t="str">
        <f t="shared" si="4"/>
        <v/>
      </c>
      <c r="N15" s="42" t="str">
        <f t="shared" si="5"/>
        <v/>
      </c>
      <c r="O15" s="43" t="str">
        <f t="shared" si="1"/>
        <v/>
      </c>
      <c r="P15" s="43" t="str">
        <f t="shared" ca="1" si="6"/>
        <v/>
      </c>
      <c r="Q15" s="6"/>
      <c r="R15" s="40">
        <f t="shared" si="7"/>
        <v>0</v>
      </c>
      <c r="S15" s="44" t="str">
        <f>IF(D15="Sim",0,IF((OR(WEEKDAY(C15)=2,WEEKDAY(C15)=3,WEEKDAY(C15)=4,WEEKDAY(C15)=5,WEEKDAY(C15)=6))=TRUE,M15,IF(AND(WEEKDAY(C15)=7,Configurações!$C$11&gt;0)=TRUE,M15,IF(AND(WEEKDAY(C15)=1,Configurações!$C$12&gt;0)=TRUE,M15,0))))</f>
        <v/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8"/>
        <v>0</v>
      </c>
      <c r="W15" s="44">
        <f t="shared" si="9"/>
        <v>0</v>
      </c>
      <c r="X15" s="45">
        <f t="shared" si="10"/>
        <v>0</v>
      </c>
      <c r="Y15" s="44">
        <f t="shared" si="2"/>
        <v>0</v>
      </c>
      <c r="Z15" s="45">
        <f t="shared" si="11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2"/>
        <v/>
      </c>
      <c r="AE15" s="11" t="str">
        <f t="shared" si="13"/>
        <v/>
      </c>
      <c r="AF15" s="83">
        <f t="shared" si="14"/>
        <v>0</v>
      </c>
      <c r="AG15" s="84">
        <f t="shared" si="15"/>
        <v>0</v>
      </c>
      <c r="AH15" s="84">
        <f t="shared" si="16"/>
        <v>0</v>
      </c>
      <c r="AI15" s="84">
        <f t="shared" si="17"/>
        <v>0</v>
      </c>
      <c r="AJ15" s="84">
        <f t="shared" si="18"/>
        <v>0</v>
      </c>
    </row>
    <row r="16" spans="1:36" x14ac:dyDescent="0.25">
      <c r="A16" s="106"/>
      <c r="B16" s="37">
        <f t="shared" si="3"/>
        <v>41459</v>
      </c>
      <c r="C16" s="38">
        <f t="shared" si="0"/>
        <v>41459</v>
      </c>
      <c r="D16" s="39" t="str">
        <f>IF(B16="","",IF(VerificaSeFeriado(B16),"Sim",""))</f>
        <v/>
      </c>
      <c r="E16" s="5"/>
      <c r="F16" s="5"/>
      <c r="G16" s="5"/>
      <c r="H16" s="5"/>
      <c r="I16" s="5"/>
      <c r="J16" s="5"/>
      <c r="K16" s="5"/>
      <c r="L16" s="5"/>
      <c r="M16" s="41" t="str">
        <f t="shared" si="4"/>
        <v/>
      </c>
      <c r="N16" s="42" t="str">
        <f t="shared" si="5"/>
        <v/>
      </c>
      <c r="O16" s="43" t="str">
        <f>IF(OR(D16="Sim",E16="")=TRUE,"",IF((R16-AB16)&gt;=(-"00:00:01"),"",(R16-AB16)))</f>
        <v/>
      </c>
      <c r="P16" s="43" t="str">
        <f t="shared" ca="1" si="6"/>
        <v/>
      </c>
      <c r="Q16" s="6"/>
      <c r="R16" s="40">
        <f t="shared" si="7"/>
        <v>0</v>
      </c>
      <c r="S16" s="44" t="str">
        <f>IF(D16="Sim",0,IF((OR(WEEKDAY(C16)=2,WEEKDAY(C16)=3,WEEKDAY(C16)=4,WEEKDAY(C16)=5,WEEKDAY(C16)=6))=TRUE,M16,IF(AND(WEEKDAY(C16)=7,Configurações!$C$11&gt;0)=TRUE,M16,IF(AND(WEEKDAY(C16)=1,Configurações!$C$12&gt;0)=TRUE,M16,0))))</f>
        <v/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8"/>
        <v>0</v>
      </c>
      <c r="W16" s="44">
        <f t="shared" si="9"/>
        <v>0</v>
      </c>
      <c r="X16" s="45">
        <f t="shared" si="10"/>
        <v>0</v>
      </c>
      <c r="Y16" s="44">
        <f t="shared" si="2"/>
        <v>0</v>
      </c>
      <c r="Z16" s="45">
        <f t="shared" si="11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2"/>
        <v/>
      </c>
      <c r="AE16" s="11" t="str">
        <f t="shared" si="13"/>
        <v/>
      </c>
      <c r="AF16" s="83">
        <f t="shared" si="14"/>
        <v>0</v>
      </c>
      <c r="AG16" s="84">
        <f t="shared" si="15"/>
        <v>0</v>
      </c>
      <c r="AH16" s="84">
        <f t="shared" si="16"/>
        <v>0</v>
      </c>
      <c r="AI16" s="84">
        <f t="shared" si="17"/>
        <v>0</v>
      </c>
      <c r="AJ16" s="84">
        <f t="shared" si="18"/>
        <v>0</v>
      </c>
    </row>
    <row r="17" spans="1:36" x14ac:dyDescent="0.25">
      <c r="A17" s="106"/>
      <c r="B17" s="37">
        <f t="shared" si="3"/>
        <v>41460</v>
      </c>
      <c r="C17" s="38">
        <f t="shared" si="0"/>
        <v>41460</v>
      </c>
      <c r="D17" s="39" t="str">
        <f>IF(B17="","",IF(VerificaSeFeriado(B17),"Sim",""))</f>
        <v/>
      </c>
      <c r="E17" s="5"/>
      <c r="F17" s="5"/>
      <c r="G17" s="5"/>
      <c r="H17" s="5"/>
      <c r="I17" s="5"/>
      <c r="J17" s="5"/>
      <c r="K17" s="5"/>
      <c r="L17" s="5"/>
      <c r="M17" s="41" t="str">
        <f t="shared" si="4"/>
        <v/>
      </c>
      <c r="N17" s="42" t="str">
        <f t="shared" si="5"/>
        <v/>
      </c>
      <c r="O17" s="43" t="str">
        <f>IF(OR(D17="Sim",E17="")=TRUE,"",IF((R17-AB17)&gt;=(-"00:00:01"),"",(R17-AB17)))</f>
        <v/>
      </c>
      <c r="P17" s="43" t="str">
        <f t="shared" ca="1" si="6"/>
        <v/>
      </c>
      <c r="Q17" s="6"/>
      <c r="R17" s="40">
        <f t="shared" si="7"/>
        <v>0</v>
      </c>
      <c r="S17" s="44" t="str">
        <f>IF(D17="Sim",0,IF((OR(WEEKDAY(C17)=2,WEEKDAY(C17)=3,WEEKDAY(C17)=4,WEEKDAY(C17)=5,WEEKDAY(C17)=6))=TRUE,M17,IF(AND(WEEKDAY(C17)=7,Configurações!$C$11&gt;0)=TRUE,M17,IF(AND(WEEKDAY(C17)=1,Configurações!$C$12&gt;0)=TRUE,M17,0))))</f>
        <v/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8"/>
        <v>0</v>
      </c>
      <c r="W17" s="44">
        <f t="shared" si="9"/>
        <v>0</v>
      </c>
      <c r="X17" s="45">
        <f t="shared" si="10"/>
        <v>0</v>
      </c>
      <c r="Y17" s="44">
        <f t="shared" si="2"/>
        <v>0</v>
      </c>
      <c r="Z17" s="45">
        <f t="shared" si="11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2"/>
        <v/>
      </c>
      <c r="AE17" s="11" t="str">
        <f t="shared" si="13"/>
        <v/>
      </c>
      <c r="AF17" s="83">
        <f t="shared" si="14"/>
        <v>0</v>
      </c>
      <c r="AG17" s="84">
        <f t="shared" si="15"/>
        <v>0</v>
      </c>
      <c r="AH17" s="84">
        <f t="shared" si="16"/>
        <v>0</v>
      </c>
      <c r="AI17" s="84">
        <f t="shared" si="17"/>
        <v>0</v>
      </c>
      <c r="AJ17" s="84">
        <f t="shared" si="18"/>
        <v>0</v>
      </c>
    </row>
    <row r="18" spans="1:36" x14ac:dyDescent="0.25">
      <c r="A18" s="106"/>
      <c r="B18" s="37">
        <f t="shared" si="3"/>
        <v>41461</v>
      </c>
      <c r="C18" s="38">
        <f t="shared" si="0"/>
        <v>41461</v>
      </c>
      <c r="D18" s="39" t="str">
        <f>IF(B18="","",IF(VerificaSeFeriado(B18),"Sim",""))</f>
        <v/>
      </c>
      <c r="E18" s="5"/>
      <c r="F18" s="5"/>
      <c r="G18" s="5"/>
      <c r="H18" s="5"/>
      <c r="I18" s="5"/>
      <c r="J18" s="5"/>
      <c r="K18" s="5"/>
      <c r="L18" s="5"/>
      <c r="M18" s="41" t="str">
        <f t="shared" si="4"/>
        <v/>
      </c>
      <c r="N18" s="42" t="str">
        <f t="shared" si="5"/>
        <v/>
      </c>
      <c r="O18" s="43" t="str">
        <f t="shared" ref="O18:O42" si="19">IF(OR(D18="Sim",E18="")=TRUE,"",IF((R18-AB18)&gt;=(-"00:00:01"),"",(R18-AB18)))</f>
        <v/>
      </c>
      <c r="P18" s="43" t="str">
        <f t="shared" ca="1" si="6"/>
        <v/>
      </c>
      <c r="Q18" s="6"/>
      <c r="R18" s="40">
        <f t="shared" si="7"/>
        <v>0</v>
      </c>
      <c r="S18" s="44" t="str">
        <f>IF(D18="Sim",0,IF((OR(WEEKDAY(C18)=2,WEEKDAY(C18)=3,WEEKDAY(C18)=4,WEEKDAY(C18)=5,WEEKDAY(C18)=6))=TRUE,M18,IF(AND(WEEKDAY(C18)=7,Configurações!$C$11&gt;0)=TRUE,M18,IF(AND(WEEKDAY(C18)=1,Configurações!$C$12&gt;0)=TRUE,M18,0))))</f>
        <v/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8"/>
        <v>0</v>
      </c>
      <c r="W18" s="44">
        <f t="shared" si="9"/>
        <v>0</v>
      </c>
      <c r="X18" s="45">
        <f t="shared" si="10"/>
        <v>0</v>
      </c>
      <c r="Y18" s="44">
        <f t="shared" si="2"/>
        <v>0</v>
      </c>
      <c r="Z18" s="45">
        <f t="shared" si="11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2"/>
        <v/>
      </c>
      <c r="AE18" s="11" t="str">
        <f t="shared" si="13"/>
        <v/>
      </c>
      <c r="AF18" s="83">
        <f t="shared" si="14"/>
        <v>0</v>
      </c>
      <c r="AG18" s="84">
        <f t="shared" si="15"/>
        <v>0</v>
      </c>
      <c r="AH18" s="84">
        <f t="shared" si="16"/>
        <v>0</v>
      </c>
      <c r="AI18" s="84">
        <f t="shared" si="17"/>
        <v>0</v>
      </c>
      <c r="AJ18" s="84">
        <f t="shared" si="18"/>
        <v>0</v>
      </c>
    </row>
    <row r="19" spans="1:36" x14ac:dyDescent="0.25">
      <c r="A19" s="106"/>
      <c r="B19" s="37">
        <f t="shared" si="3"/>
        <v>41462</v>
      </c>
      <c r="C19" s="38">
        <f t="shared" si="0"/>
        <v>41462</v>
      </c>
      <c r="D19" s="39" t="str">
        <f>IF(B19="","",IF(VerificaSeFeriado(B19),"Sim",""))</f>
        <v/>
      </c>
      <c r="E19" s="5"/>
      <c r="F19" s="5"/>
      <c r="G19" s="5"/>
      <c r="H19" s="5"/>
      <c r="I19" s="5"/>
      <c r="J19" s="5"/>
      <c r="K19" s="5"/>
      <c r="L19" s="5"/>
      <c r="M19" s="41" t="str">
        <f t="shared" si="4"/>
        <v/>
      </c>
      <c r="N19" s="42" t="str">
        <f t="shared" si="5"/>
        <v/>
      </c>
      <c r="O19" s="43" t="str">
        <f t="shared" si="19"/>
        <v/>
      </c>
      <c r="P19" s="43" t="str">
        <f t="shared" ca="1" si="6"/>
        <v/>
      </c>
      <c r="Q19" s="6"/>
      <c r="R19" s="40">
        <f t="shared" si="7"/>
        <v>0</v>
      </c>
      <c r="S19" s="44">
        <f>IF(D19="Sim",0,IF((OR(WEEKDAY(C19)=2,WEEKDAY(C19)=3,WEEKDAY(C19)=4,WEEKDAY(C19)=5,WEEKDAY(C19)=6))=TRUE,M19,IF(AND(WEEKDAY(C19)=7,Configurações!$C$11&gt;0)=TRUE,M19,IF(AND(WEEKDAY(C19)=1,Configurações!$C$12&gt;0)=TRUE,M19,0))))</f>
        <v>0</v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8"/>
        <v>0</v>
      </c>
      <c r="W19" s="44">
        <f t="shared" si="9"/>
        <v>0</v>
      </c>
      <c r="X19" s="45">
        <f t="shared" si="10"/>
        <v>0</v>
      </c>
      <c r="Y19" s="44">
        <f t="shared" si="2"/>
        <v>0</v>
      </c>
      <c r="Z19" s="45">
        <f t="shared" si="11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2"/>
        <v/>
      </c>
      <c r="AE19" s="11" t="str">
        <f t="shared" si="13"/>
        <v/>
      </c>
      <c r="AF19" s="83">
        <f t="shared" si="14"/>
        <v>0</v>
      </c>
      <c r="AG19" s="84">
        <f t="shared" si="15"/>
        <v>0</v>
      </c>
      <c r="AH19" s="84">
        <f t="shared" si="16"/>
        <v>0</v>
      </c>
      <c r="AI19" s="84">
        <f t="shared" si="17"/>
        <v>0</v>
      </c>
      <c r="AJ19" s="84">
        <f t="shared" si="18"/>
        <v>0</v>
      </c>
    </row>
    <row r="20" spans="1:36" x14ac:dyDescent="0.25">
      <c r="A20" s="106"/>
      <c r="B20" s="37">
        <f t="shared" si="3"/>
        <v>41463</v>
      </c>
      <c r="C20" s="38">
        <f t="shared" si="0"/>
        <v>41463</v>
      </c>
      <c r="D20" s="39" t="str">
        <f>IF(B20="","",IF(VerificaSeFeriado(B20),"Sim",""))</f>
        <v/>
      </c>
      <c r="E20" s="5"/>
      <c r="F20" s="5"/>
      <c r="G20" s="5"/>
      <c r="H20" s="5"/>
      <c r="I20" s="5"/>
      <c r="J20" s="5"/>
      <c r="K20" s="5"/>
      <c r="L20" s="5"/>
      <c r="M20" s="41" t="str">
        <f t="shared" si="4"/>
        <v/>
      </c>
      <c r="N20" s="42" t="str">
        <f t="shared" si="5"/>
        <v/>
      </c>
      <c r="O20" s="43" t="str">
        <f t="shared" si="19"/>
        <v/>
      </c>
      <c r="P20" s="43" t="str">
        <f t="shared" ca="1" si="6"/>
        <v/>
      </c>
      <c r="Q20" s="6"/>
      <c r="R20" s="40">
        <f t="shared" si="7"/>
        <v>0</v>
      </c>
      <c r="S20" s="44">
        <f>IF(D20="Sim",0,IF((OR(WEEKDAY(C20)=2,WEEKDAY(C20)=3,WEEKDAY(C20)=4,WEEKDAY(C20)=5,WEEKDAY(C20)=6))=TRUE,M20,IF(AND(WEEKDAY(C20)=7,Configurações!$C$11&gt;0)=TRUE,M20,IF(AND(WEEKDAY(C20)=1,Configurações!$C$12&gt;0)=TRUE,M20,0))))</f>
        <v>0</v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8"/>
        <v>0</v>
      </c>
      <c r="W20" s="44">
        <f t="shared" si="9"/>
        <v>0</v>
      </c>
      <c r="X20" s="45">
        <f t="shared" si="10"/>
        <v>0</v>
      </c>
      <c r="Y20" s="44">
        <f t="shared" si="2"/>
        <v>0</v>
      </c>
      <c r="Z20" s="45">
        <f t="shared" si="11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2"/>
        <v/>
      </c>
      <c r="AE20" s="11" t="str">
        <f t="shared" si="13"/>
        <v/>
      </c>
      <c r="AF20" s="83">
        <f t="shared" si="14"/>
        <v>0</v>
      </c>
      <c r="AG20" s="84">
        <f t="shared" si="15"/>
        <v>0</v>
      </c>
      <c r="AH20" s="84">
        <f t="shared" si="16"/>
        <v>0</v>
      </c>
      <c r="AI20" s="84">
        <f t="shared" si="17"/>
        <v>0</v>
      </c>
      <c r="AJ20" s="84">
        <f t="shared" si="18"/>
        <v>0</v>
      </c>
    </row>
    <row r="21" spans="1:36" x14ac:dyDescent="0.25">
      <c r="A21" s="106"/>
      <c r="B21" s="37">
        <f t="shared" si="3"/>
        <v>41464</v>
      </c>
      <c r="C21" s="38">
        <f t="shared" si="0"/>
        <v>41464</v>
      </c>
      <c r="D21" s="39" t="str">
        <f>IF(B21="","",IF(VerificaSeFeriado(B21),"Sim",""))</f>
        <v/>
      </c>
      <c r="E21" s="5"/>
      <c r="F21" s="5"/>
      <c r="G21" s="5"/>
      <c r="H21" s="5"/>
      <c r="I21" s="5"/>
      <c r="J21" s="5"/>
      <c r="K21" s="5"/>
      <c r="L21" s="5"/>
      <c r="M21" s="41" t="str">
        <f t="shared" si="4"/>
        <v/>
      </c>
      <c r="N21" s="42" t="str">
        <f t="shared" si="5"/>
        <v/>
      </c>
      <c r="O21" s="43" t="str">
        <f t="shared" si="19"/>
        <v/>
      </c>
      <c r="P21" s="43" t="str">
        <f t="shared" ca="1" si="6"/>
        <v/>
      </c>
      <c r="Q21" s="6"/>
      <c r="R21" s="40">
        <f t="shared" si="7"/>
        <v>0</v>
      </c>
      <c r="S21" s="44" t="str">
        <f>IF(D21="Sim",0,IF((OR(WEEKDAY(C21)=2,WEEKDAY(C21)=3,WEEKDAY(C21)=4,WEEKDAY(C21)=5,WEEKDAY(C21)=6))=TRUE,M21,IF(AND(WEEKDAY(C21)=7,Configurações!$C$11&gt;0)=TRUE,M21,IF(AND(WEEKDAY(C21)=1,Configurações!$C$12&gt;0)=TRUE,M21,0))))</f>
        <v/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8"/>
        <v>0</v>
      </c>
      <c r="W21" s="44">
        <f t="shared" si="9"/>
        <v>0</v>
      </c>
      <c r="X21" s="45">
        <f t="shared" si="10"/>
        <v>0</v>
      </c>
      <c r="Y21" s="44">
        <f t="shared" si="2"/>
        <v>0</v>
      </c>
      <c r="Z21" s="45">
        <f t="shared" si="11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2"/>
        <v/>
      </c>
      <c r="AE21" s="11" t="str">
        <f t="shared" si="13"/>
        <v/>
      </c>
      <c r="AF21" s="83">
        <f t="shared" si="14"/>
        <v>0</v>
      </c>
      <c r="AG21" s="84">
        <f t="shared" si="15"/>
        <v>0</v>
      </c>
      <c r="AH21" s="84">
        <f t="shared" si="16"/>
        <v>0</v>
      </c>
      <c r="AI21" s="84">
        <f t="shared" si="17"/>
        <v>0</v>
      </c>
      <c r="AJ21" s="84">
        <f t="shared" si="18"/>
        <v>0</v>
      </c>
    </row>
    <row r="22" spans="1:36" x14ac:dyDescent="0.25">
      <c r="A22" s="106"/>
      <c r="B22" s="37">
        <f t="shared" si="3"/>
        <v>41465</v>
      </c>
      <c r="C22" s="38">
        <f t="shared" si="0"/>
        <v>41465</v>
      </c>
      <c r="D22" s="39" t="str">
        <f>IF(B22="","",IF(VerificaSeFeriado(B22),"Sim",""))</f>
        <v/>
      </c>
      <c r="E22" s="5"/>
      <c r="F22" s="5"/>
      <c r="G22" s="5"/>
      <c r="H22" s="5"/>
      <c r="I22" s="5"/>
      <c r="J22" s="5"/>
      <c r="K22" s="5"/>
      <c r="L22" s="5"/>
      <c r="M22" s="41" t="str">
        <f t="shared" si="4"/>
        <v/>
      </c>
      <c r="N22" s="42" t="str">
        <f t="shared" si="5"/>
        <v/>
      </c>
      <c r="O22" s="43" t="str">
        <f>IF(OR(D22="Sim",E22="")=TRUE,"",IF((R22-AB22)&gt;=(-"00:00:01"),"",(R22-AB22)))</f>
        <v/>
      </c>
      <c r="P22" s="43" t="str">
        <f ca="1">IF(TODAY()&lt;=B22,"",IF(D22="Sim","",IF(AND(AA22="Sim",E22="",G22="",I22="",K22="")=TRUE,IF(Q22-AB22&lt;0,Q22-AB22,""),"")))</f>
        <v/>
      </c>
      <c r="Q22" s="6"/>
      <c r="R22" s="40">
        <f t="shared" si="7"/>
        <v>0</v>
      </c>
      <c r="S22" s="44" t="str">
        <f>IF(D22="Sim",0,IF((OR(WEEKDAY(C22)=2,WEEKDAY(C22)=3,WEEKDAY(C22)=4,WEEKDAY(C22)=5,WEEKDAY(C22)=6))=TRUE,M22,IF(AND(WEEKDAY(C22)=7,Configurações!$C$11&gt;0)=TRUE,M22,IF(AND(WEEKDAY(C22)=1,Configurações!$C$12&gt;0)=TRUE,M22,0))))</f>
        <v/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8"/>
        <v>0</v>
      </c>
      <c r="W22" s="44">
        <f t="shared" si="9"/>
        <v>0</v>
      </c>
      <c r="X22" s="45">
        <f t="shared" si="10"/>
        <v>0</v>
      </c>
      <c r="Y22" s="44">
        <f t="shared" si="2"/>
        <v>0</v>
      </c>
      <c r="Z22" s="45">
        <f t="shared" si="11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>IF(E22="","",IF(OR(AND(E22&gt;=(1*"22:00"),((1*"29:00")-E22-Y22)&gt;=AB22)=TRUE,AND(AND(E22&gt;=0,E22&lt;=(1*"5:00"))=TRUE,(1*"5:00")-E22-Y22&gt;=AB22)=TRUE)=TRUE,"Sumula",IF(OR(E22&gt;=(1*"22:00"),AND(E22&lt;(1*"5:00"),E22&gt;=(1*"0:00"))=TRUE)=TRUE,"Noite",IF(OR(H22&lt;E22,H22&gt;(1*"22:00"))=TRUE,"Dia",""))))</f>
        <v/>
      </c>
      <c r="AE22" s="11" t="str">
        <f t="shared" si="13"/>
        <v/>
      </c>
      <c r="AF22" s="83">
        <f t="shared" si="14"/>
        <v>0</v>
      </c>
      <c r="AG22" s="84">
        <f t="shared" si="15"/>
        <v>0</v>
      </c>
      <c r="AH22" s="84">
        <f t="shared" si="16"/>
        <v>0</v>
      </c>
      <c r="AI22" s="84">
        <f t="shared" si="17"/>
        <v>0</v>
      </c>
      <c r="AJ22" s="84">
        <f t="shared" si="18"/>
        <v>0</v>
      </c>
    </row>
    <row r="23" spans="1:36" x14ac:dyDescent="0.25">
      <c r="A23" s="106"/>
      <c r="B23" s="37">
        <f t="shared" si="3"/>
        <v>41466</v>
      </c>
      <c r="C23" s="38">
        <f t="shared" si="0"/>
        <v>41466</v>
      </c>
      <c r="D23" s="39" t="str">
        <f>IF(B23="","",IF(VerificaSeFeriado(B23),"Sim",""))</f>
        <v/>
      </c>
      <c r="E23" s="5"/>
      <c r="F23" s="5"/>
      <c r="G23" s="5"/>
      <c r="H23" s="5"/>
      <c r="I23" s="5"/>
      <c r="J23" s="5"/>
      <c r="K23" s="5"/>
      <c r="L23" s="5"/>
      <c r="M23" s="41" t="str">
        <f t="shared" si="4"/>
        <v/>
      </c>
      <c r="N23" s="42" t="str">
        <f t="shared" si="5"/>
        <v/>
      </c>
      <c r="O23" s="43" t="str">
        <f t="shared" si="19"/>
        <v/>
      </c>
      <c r="P23" s="43" t="str">
        <f t="shared" ca="1" si="6"/>
        <v/>
      </c>
      <c r="Q23" s="6"/>
      <c r="R23" s="40">
        <f t="shared" si="7"/>
        <v>0</v>
      </c>
      <c r="S23" s="44" t="str">
        <f>IF(D23="Sim",0,IF((OR(WEEKDAY(C23)=2,WEEKDAY(C23)=3,WEEKDAY(C23)=4,WEEKDAY(C23)=5,WEEKDAY(C23)=6))=TRUE,M23,IF(AND(WEEKDAY(C23)=7,Configurações!$C$11&gt;0)=TRUE,M23,IF(AND(WEEKDAY(C23)=1,Configurações!$C$12&gt;0)=TRUE,M23,0))))</f>
        <v/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8"/>
        <v>0</v>
      </c>
      <c r="W23" s="44">
        <f t="shared" si="9"/>
        <v>0</v>
      </c>
      <c r="X23" s="45">
        <f t="shared" si="10"/>
        <v>0</v>
      </c>
      <c r="Y23" s="44">
        <f t="shared" si="2"/>
        <v>0</v>
      </c>
      <c r="Z23" s="45">
        <f t="shared" si="11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2"/>
        <v/>
      </c>
      <c r="AE23" s="11" t="str">
        <f t="shared" si="13"/>
        <v/>
      </c>
      <c r="AF23" s="83">
        <f t="shared" si="14"/>
        <v>0</v>
      </c>
      <c r="AG23" s="84">
        <f t="shared" si="15"/>
        <v>0</v>
      </c>
      <c r="AH23" s="84">
        <f t="shared" si="16"/>
        <v>0</v>
      </c>
      <c r="AI23" s="84">
        <f t="shared" si="17"/>
        <v>0</v>
      </c>
      <c r="AJ23" s="84">
        <f t="shared" si="18"/>
        <v>0</v>
      </c>
    </row>
    <row r="24" spans="1:36" x14ac:dyDescent="0.25">
      <c r="A24" s="106"/>
      <c r="B24" s="37">
        <f t="shared" si="3"/>
        <v>41467</v>
      </c>
      <c r="C24" s="38">
        <f t="shared" si="0"/>
        <v>41467</v>
      </c>
      <c r="D24" s="39" t="str">
        <f>IF(B24="","",IF(VerificaSeFeriado(B24),"Sim",""))</f>
        <v/>
      </c>
      <c r="E24" s="5"/>
      <c r="F24" s="5"/>
      <c r="G24" s="5"/>
      <c r="H24" s="5"/>
      <c r="I24" s="5"/>
      <c r="J24" s="5"/>
      <c r="K24" s="5"/>
      <c r="L24" s="5"/>
      <c r="M24" s="41" t="str">
        <f t="shared" si="4"/>
        <v/>
      </c>
      <c r="N24" s="42" t="str">
        <f t="shared" si="5"/>
        <v/>
      </c>
      <c r="O24" s="43" t="str">
        <f t="shared" si="19"/>
        <v/>
      </c>
      <c r="P24" s="43" t="str">
        <f t="shared" ca="1" si="6"/>
        <v/>
      </c>
      <c r="Q24" s="6"/>
      <c r="R24" s="40">
        <f t="shared" si="7"/>
        <v>0</v>
      </c>
      <c r="S24" s="44" t="str">
        <f>IF(D24="Sim",0,IF((OR(WEEKDAY(C24)=2,WEEKDAY(C24)=3,WEEKDAY(C24)=4,WEEKDAY(C24)=5,WEEKDAY(C24)=6))=TRUE,M24,IF(AND(WEEKDAY(C24)=7,Configurações!$C$11&gt;0)=TRUE,M24,IF(AND(WEEKDAY(C24)=1,Configurações!$C$12&gt;0)=TRUE,M24,0))))</f>
        <v/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8"/>
        <v>0</v>
      </c>
      <c r="W24" s="44">
        <f t="shared" si="9"/>
        <v>0</v>
      </c>
      <c r="X24" s="45">
        <f t="shared" si="10"/>
        <v>0</v>
      </c>
      <c r="Y24" s="44">
        <f t="shared" si="2"/>
        <v>0</v>
      </c>
      <c r="Z24" s="45">
        <f t="shared" si="11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2"/>
        <v/>
      </c>
      <c r="AE24" s="11" t="str">
        <f t="shared" si="13"/>
        <v/>
      </c>
      <c r="AF24" s="83">
        <f t="shared" si="14"/>
        <v>0</v>
      </c>
      <c r="AG24" s="84">
        <f t="shared" si="15"/>
        <v>0</v>
      </c>
      <c r="AH24" s="84">
        <f t="shared" si="16"/>
        <v>0</v>
      </c>
      <c r="AI24" s="84">
        <f t="shared" si="17"/>
        <v>0</v>
      </c>
      <c r="AJ24" s="84">
        <f t="shared" si="18"/>
        <v>0</v>
      </c>
    </row>
    <row r="25" spans="1:36" x14ac:dyDescent="0.25">
      <c r="A25" s="106"/>
      <c r="B25" s="37">
        <f t="shared" si="3"/>
        <v>41468</v>
      </c>
      <c r="C25" s="38">
        <f t="shared" si="0"/>
        <v>41468</v>
      </c>
      <c r="D25" s="39" t="str">
        <f>IF(B25="","",IF(VerificaSeFeriado(B25),"Sim",""))</f>
        <v/>
      </c>
      <c r="E25" s="5"/>
      <c r="F25" s="5"/>
      <c r="G25" s="5"/>
      <c r="H25" s="5"/>
      <c r="I25" s="5"/>
      <c r="J25" s="5"/>
      <c r="K25" s="5"/>
      <c r="L25" s="5"/>
      <c r="M25" s="41" t="str">
        <f>IFERROR(IF((R25-AB25)&gt;(1*"00:00:01"),(R25-AB25),""),"")</f>
        <v/>
      </c>
      <c r="N25" s="42" t="str">
        <f t="shared" si="5"/>
        <v/>
      </c>
      <c r="O25" s="43" t="str">
        <f t="shared" si="19"/>
        <v/>
      </c>
      <c r="P25" s="43" t="str">
        <f t="shared" ca="1" si="6"/>
        <v/>
      </c>
      <c r="Q25" s="6"/>
      <c r="R25" s="40">
        <f t="shared" si="7"/>
        <v>0</v>
      </c>
      <c r="S25" s="44" t="str">
        <f>IF(D25="Sim",0,IF((OR(WEEKDAY(C25)=2,WEEKDAY(C25)=3,WEEKDAY(C25)=4,WEEKDAY(C25)=5,WEEKDAY(C25)=6))=TRUE,M25,IF(AND(WEEKDAY(C25)=7,Configurações!$C$11&gt;0)=TRUE,M25,IF(AND(WEEKDAY(C25)=1,Configurações!$C$12&gt;0)=TRUE,M25,0))))</f>
        <v/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8"/>
        <v>0</v>
      </c>
      <c r="W25" s="44">
        <f t="shared" si="9"/>
        <v>0</v>
      </c>
      <c r="X25" s="45">
        <f t="shared" si="10"/>
        <v>0</v>
      </c>
      <c r="Y25" s="44">
        <f t="shared" si="2"/>
        <v>0</v>
      </c>
      <c r="Z25" s="45">
        <f t="shared" si="11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2"/>
        <v/>
      </c>
      <c r="AE25" s="11" t="str">
        <f t="shared" si="13"/>
        <v/>
      </c>
      <c r="AF25" s="83">
        <f t="shared" si="14"/>
        <v>0</v>
      </c>
      <c r="AG25" s="84">
        <f t="shared" si="15"/>
        <v>0</v>
      </c>
      <c r="AH25" s="84">
        <f t="shared" si="16"/>
        <v>0</v>
      </c>
      <c r="AI25" s="84">
        <f t="shared" si="17"/>
        <v>0</v>
      </c>
      <c r="AJ25" s="84">
        <f t="shared" si="18"/>
        <v>0</v>
      </c>
    </row>
    <row r="26" spans="1:36" x14ac:dyDescent="0.25">
      <c r="A26" s="106"/>
      <c r="B26" s="37">
        <f t="shared" si="3"/>
        <v>41469</v>
      </c>
      <c r="C26" s="38">
        <f t="shared" si="0"/>
        <v>41469</v>
      </c>
      <c r="D26" s="39" t="str">
        <f>IF(B26="","",IF(VerificaSeFeriado(B26),"Sim",""))</f>
        <v/>
      </c>
      <c r="E26" s="5"/>
      <c r="F26" s="5"/>
      <c r="G26" s="5"/>
      <c r="H26" s="5"/>
      <c r="I26" s="5"/>
      <c r="J26" s="5"/>
      <c r="K26" s="5"/>
      <c r="L26" s="5"/>
      <c r="M26" s="41" t="str">
        <f t="shared" si="4"/>
        <v/>
      </c>
      <c r="N26" s="42" t="str">
        <f t="shared" si="5"/>
        <v/>
      </c>
      <c r="O26" s="43" t="str">
        <f t="shared" si="19"/>
        <v/>
      </c>
      <c r="P26" s="43" t="str">
        <f t="shared" ca="1" si="6"/>
        <v/>
      </c>
      <c r="Q26" s="6"/>
      <c r="R26" s="40">
        <f t="shared" si="7"/>
        <v>0</v>
      </c>
      <c r="S26" s="44">
        <f>IF(D26="Sim",0,IF((OR(WEEKDAY(C26)=2,WEEKDAY(C26)=3,WEEKDAY(C26)=4,WEEKDAY(C26)=5,WEEKDAY(C26)=6))=TRUE,M26,IF(AND(WEEKDAY(C26)=7,Configurações!$C$11&gt;0)=TRUE,M26,IF(AND(WEEKDAY(C26)=1,Configurações!$C$12&gt;0)=TRUE,M26,0))))</f>
        <v>0</v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8"/>
        <v>0</v>
      </c>
      <c r="W26" s="44">
        <f t="shared" si="9"/>
        <v>0</v>
      </c>
      <c r="X26" s="45">
        <f t="shared" si="10"/>
        <v>0</v>
      </c>
      <c r="Y26" s="44">
        <f>IF(F26="",0,IF(AND(F26&lt;(1*"22:00"),F26&gt;=(1*"5:00"),G26&lt;(1*"22:00"),G26&gt;(1*"5:00"))=TRUE,0,IF(F26&gt;=(1*"22:00"),IF(G26&gt;F26,G26-F26,G26+(1*"24:00")-F26),IF(F26&lt;(1*"5:00"),IF(G26&lt;(1*"5:00"),G26-F26,(1*"5:00")-F26),IF(G26&gt;F26,G26-(1*"22:00"),G26+(1*"24:00")-(1*"22:00"))))))</f>
        <v>0</v>
      </c>
      <c r="Z26" s="45">
        <f t="shared" si="11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2"/>
        <v/>
      </c>
      <c r="AE26" s="11" t="str">
        <f t="shared" si="13"/>
        <v/>
      </c>
      <c r="AF26" s="83">
        <f t="shared" si="14"/>
        <v>0</v>
      </c>
      <c r="AG26" s="84">
        <f t="shared" si="15"/>
        <v>0</v>
      </c>
      <c r="AH26" s="84">
        <f t="shared" si="16"/>
        <v>0</v>
      </c>
      <c r="AI26" s="84">
        <f t="shared" si="17"/>
        <v>0</v>
      </c>
      <c r="AJ26" s="84">
        <f t="shared" si="18"/>
        <v>0</v>
      </c>
    </row>
    <row r="27" spans="1:36" x14ac:dyDescent="0.25">
      <c r="A27" s="106"/>
      <c r="B27" s="37">
        <f t="shared" si="3"/>
        <v>41470</v>
      </c>
      <c r="C27" s="38">
        <f t="shared" si="0"/>
        <v>41470</v>
      </c>
      <c r="D27" s="39" t="str">
        <f>IF(B27="","",IF(VerificaSeFeriado(B27),"Sim",""))</f>
        <v/>
      </c>
      <c r="E27" s="5"/>
      <c r="F27" s="5"/>
      <c r="G27" s="5"/>
      <c r="H27" s="5"/>
      <c r="I27" s="5"/>
      <c r="J27" s="5"/>
      <c r="K27" s="5"/>
      <c r="L27" s="5"/>
      <c r="M27" s="41" t="str">
        <f t="shared" si="4"/>
        <v/>
      </c>
      <c r="N27" s="42" t="str">
        <f t="shared" si="5"/>
        <v/>
      </c>
      <c r="O27" s="43" t="str">
        <f t="shared" si="19"/>
        <v/>
      </c>
      <c r="P27" s="43" t="str">
        <f t="shared" ca="1" si="6"/>
        <v/>
      </c>
      <c r="Q27" s="6"/>
      <c r="R27" s="40">
        <f t="shared" si="7"/>
        <v>0</v>
      </c>
      <c r="S27" s="44">
        <f>IF(D27="Sim",0,IF((OR(WEEKDAY(C27)=2,WEEKDAY(C27)=3,WEEKDAY(C27)=4,WEEKDAY(C27)=5,WEEKDAY(C27)=6))=TRUE,M27,IF(AND(WEEKDAY(C27)=7,Configurações!$C$11&gt;0)=TRUE,M27,IF(AND(WEEKDAY(C27)=1,Configurações!$C$12&gt;0)=TRUE,M27,0))))</f>
        <v>0</v>
      </c>
      <c r="T27" s="44">
        <f>IF(D27="Sim",0,IF(AND(WEEKDAY(C27)=7,Configurações!$C$11&lt;=0)=TRUE,R27,0))</f>
        <v>0</v>
      </c>
      <c r="U27" s="44">
        <f>IF(D27="Sim",0,IF(AND(WEEKDAY(C27)=1,Configurações!$C$12&lt;=0)=TRUE,R27,0))</f>
        <v>0</v>
      </c>
      <c r="V27" s="44">
        <f t="shared" si="8"/>
        <v>0</v>
      </c>
      <c r="W27" s="44">
        <f t="shared" si="9"/>
        <v>0</v>
      </c>
      <c r="X27" s="45">
        <f t="shared" si="10"/>
        <v>0</v>
      </c>
      <c r="Y27" s="44">
        <f t="shared" ref="Y27:Y42" si="20">IF(F27="",0,IF(AND(F27&lt;(1*"22:00"),F27&gt;=(1*"5:00"),G27&lt;(1*"22:00"),G27&gt;(1*"5:00"))=TRUE,0,IF(F27&gt;=(1*"22:00"),IF(G27&gt;F27,G27-F27,G27+(1*"24:00")-F27),IF(F27&lt;(1*"5:00"),IF(G27&lt;(1*"5:00"),G27-F27,(1*"5:00")-F27),IF(G27&gt;F27,G27-(1*"22:00"),G27+(1*"24:00")-(1*"22:00"))))))</f>
        <v>0</v>
      </c>
      <c r="Z27" s="45">
        <f t="shared" si="11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2"/>
        <v/>
      </c>
      <c r="AE27" s="11" t="str">
        <f t="shared" si="13"/>
        <v/>
      </c>
      <c r="AF27" s="83">
        <f t="shared" si="14"/>
        <v>0</v>
      </c>
      <c r="AG27" s="84">
        <f t="shared" si="15"/>
        <v>0</v>
      </c>
      <c r="AH27" s="84">
        <f t="shared" si="16"/>
        <v>0</v>
      </c>
      <c r="AI27" s="84">
        <f t="shared" si="17"/>
        <v>0</v>
      </c>
      <c r="AJ27" s="84">
        <f t="shared" si="18"/>
        <v>0</v>
      </c>
    </row>
    <row r="28" spans="1:36" x14ac:dyDescent="0.25">
      <c r="A28" s="106"/>
      <c r="B28" s="37">
        <f t="shared" si="3"/>
        <v>41471</v>
      </c>
      <c r="C28" s="38">
        <f t="shared" si="0"/>
        <v>41471</v>
      </c>
      <c r="D28" s="39" t="str">
        <f>IF(B28="","",IF(VerificaSeFeriado(B28),"Sim",""))</f>
        <v/>
      </c>
      <c r="E28" s="5"/>
      <c r="F28" s="5"/>
      <c r="G28" s="5"/>
      <c r="H28" s="5"/>
      <c r="I28" s="5"/>
      <c r="J28" s="5"/>
      <c r="K28" s="5"/>
      <c r="L28" s="5"/>
      <c r="M28" s="41" t="str">
        <f t="shared" si="4"/>
        <v/>
      </c>
      <c r="N28" s="42" t="str">
        <f t="shared" si="5"/>
        <v/>
      </c>
      <c r="O28" s="43" t="str">
        <f t="shared" si="19"/>
        <v/>
      </c>
      <c r="P28" s="43" t="str">
        <f t="shared" ca="1" si="6"/>
        <v/>
      </c>
      <c r="Q28" s="6"/>
      <c r="R28" s="40">
        <f t="shared" si="7"/>
        <v>0</v>
      </c>
      <c r="S28" s="44" t="str">
        <f>IF(D28="Sim",0,IF((OR(WEEKDAY(C28)=2,WEEKDAY(C28)=3,WEEKDAY(C28)=4,WEEKDAY(C28)=5,WEEKDAY(C28)=6))=TRUE,M28,IF(AND(WEEKDAY(C28)=7,Configurações!$C$11&gt;0)=TRUE,M28,IF(AND(WEEKDAY(C28)=1,Configurações!$C$12&gt;0)=TRUE,M28,0))))</f>
        <v/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8"/>
        <v>0</v>
      </c>
      <c r="W28" s="44">
        <f t="shared" si="9"/>
        <v>0</v>
      </c>
      <c r="X28" s="45">
        <f t="shared" si="10"/>
        <v>0</v>
      </c>
      <c r="Y28" s="44">
        <f t="shared" si="20"/>
        <v>0</v>
      </c>
      <c r="Z28" s="45">
        <f t="shared" si="11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2"/>
        <v/>
      </c>
      <c r="AE28" s="11" t="str">
        <f t="shared" si="13"/>
        <v/>
      </c>
      <c r="AF28" s="83">
        <f t="shared" si="14"/>
        <v>0</v>
      </c>
      <c r="AG28" s="84">
        <f t="shared" si="15"/>
        <v>0</v>
      </c>
      <c r="AH28" s="84">
        <f t="shared" si="16"/>
        <v>0</v>
      </c>
      <c r="AI28" s="84">
        <f t="shared" si="17"/>
        <v>0</v>
      </c>
      <c r="AJ28" s="84">
        <f t="shared" si="18"/>
        <v>0</v>
      </c>
    </row>
    <row r="29" spans="1:36" x14ac:dyDescent="0.25">
      <c r="A29" s="106"/>
      <c r="B29" s="37">
        <f t="shared" si="3"/>
        <v>41472</v>
      </c>
      <c r="C29" s="38">
        <f t="shared" si="0"/>
        <v>41472</v>
      </c>
      <c r="D29" s="39" t="str">
        <f>IF(B29="","",IF(VerificaSeFeriado(B29),"Sim",""))</f>
        <v/>
      </c>
      <c r="E29" s="5"/>
      <c r="F29" s="5"/>
      <c r="G29" s="5"/>
      <c r="H29" s="5"/>
      <c r="I29" s="5"/>
      <c r="J29" s="5"/>
      <c r="K29" s="5"/>
      <c r="L29" s="5"/>
      <c r="M29" s="41" t="str">
        <f t="shared" si="4"/>
        <v/>
      </c>
      <c r="N29" s="42" t="str">
        <f t="shared" si="5"/>
        <v/>
      </c>
      <c r="O29" s="43" t="str">
        <f t="shared" si="19"/>
        <v/>
      </c>
      <c r="P29" s="43" t="str">
        <f t="shared" ca="1" si="6"/>
        <v/>
      </c>
      <c r="Q29" s="6"/>
      <c r="R29" s="40">
        <f t="shared" si="7"/>
        <v>0</v>
      </c>
      <c r="S29" s="44" t="str">
        <f>IF(D29="Sim",0,IF((OR(WEEKDAY(C29)=2,WEEKDAY(C29)=3,WEEKDAY(C29)=4,WEEKDAY(C29)=5,WEEKDAY(C29)=6))=TRUE,M29,IF(AND(WEEKDAY(C29)=7,Configurações!$C$11&gt;0)=TRUE,M29,IF(AND(WEEKDAY(C29)=1,Configurações!$C$12&gt;0)=TRUE,M29,0))))</f>
        <v/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8"/>
        <v>0</v>
      </c>
      <c r="W29" s="44">
        <f t="shared" si="9"/>
        <v>0</v>
      </c>
      <c r="X29" s="45">
        <f t="shared" si="10"/>
        <v>0</v>
      </c>
      <c r="Y29" s="44">
        <f t="shared" si="20"/>
        <v>0</v>
      </c>
      <c r="Z29" s="45">
        <f t="shared" si="11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2"/>
        <v/>
      </c>
      <c r="AE29" s="11" t="str">
        <f t="shared" si="13"/>
        <v/>
      </c>
      <c r="AF29" s="83">
        <f t="shared" si="14"/>
        <v>0</v>
      </c>
      <c r="AG29" s="84">
        <f t="shared" si="15"/>
        <v>0</v>
      </c>
      <c r="AH29" s="84">
        <f t="shared" si="16"/>
        <v>0</v>
      </c>
      <c r="AI29" s="84">
        <f t="shared" si="17"/>
        <v>0</v>
      </c>
      <c r="AJ29" s="84">
        <f t="shared" si="18"/>
        <v>0</v>
      </c>
    </row>
    <row r="30" spans="1:36" x14ac:dyDescent="0.25">
      <c r="A30" s="106"/>
      <c r="B30" s="37">
        <f t="shared" si="3"/>
        <v>41473</v>
      </c>
      <c r="C30" s="38">
        <f t="shared" si="0"/>
        <v>41473</v>
      </c>
      <c r="D30" s="39" t="str">
        <f>IF(B30="","",IF(VerificaSeFeriado(B30),"Sim",""))</f>
        <v/>
      </c>
      <c r="E30" s="5"/>
      <c r="F30" s="5"/>
      <c r="G30" s="5"/>
      <c r="H30" s="5"/>
      <c r="I30" s="5"/>
      <c r="J30" s="5"/>
      <c r="K30" s="5"/>
      <c r="L30" s="5"/>
      <c r="M30" s="41" t="str">
        <f t="shared" si="4"/>
        <v/>
      </c>
      <c r="N30" s="42" t="str">
        <f t="shared" si="5"/>
        <v/>
      </c>
      <c r="O30" s="43" t="str">
        <f t="shared" si="19"/>
        <v/>
      </c>
      <c r="P30" s="43" t="str">
        <f t="shared" ca="1" si="6"/>
        <v/>
      </c>
      <c r="Q30" s="6"/>
      <c r="R30" s="40">
        <f t="shared" si="7"/>
        <v>0</v>
      </c>
      <c r="S30" s="44" t="str">
        <f>IF(D30="Sim",0,IF((OR(WEEKDAY(C30)=2,WEEKDAY(C30)=3,WEEKDAY(C30)=4,WEEKDAY(C30)=5,WEEKDAY(C30)=6))=TRUE,M30,IF(AND(WEEKDAY(C30)=7,Configurações!$C$11&gt;0)=TRUE,M30,IF(AND(WEEKDAY(C30)=1,Configurações!$C$12&gt;0)=TRUE,M30,0))))</f>
        <v/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8"/>
        <v>0</v>
      </c>
      <c r="W30" s="44">
        <f t="shared" si="9"/>
        <v>0</v>
      </c>
      <c r="X30" s="45">
        <f t="shared" si="10"/>
        <v>0</v>
      </c>
      <c r="Y30" s="44">
        <f t="shared" si="20"/>
        <v>0</v>
      </c>
      <c r="Z30" s="45">
        <f t="shared" si="11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2"/>
        <v/>
      </c>
      <c r="AE30" s="11" t="str">
        <f t="shared" si="13"/>
        <v/>
      </c>
      <c r="AF30" s="83">
        <f t="shared" si="14"/>
        <v>0</v>
      </c>
      <c r="AG30" s="84">
        <f t="shared" si="15"/>
        <v>0</v>
      </c>
      <c r="AH30" s="84">
        <f t="shared" si="16"/>
        <v>0</v>
      </c>
      <c r="AI30" s="84">
        <f t="shared" si="17"/>
        <v>0</v>
      </c>
      <c r="AJ30" s="84">
        <f t="shared" si="18"/>
        <v>0</v>
      </c>
    </row>
    <row r="31" spans="1:36" x14ac:dyDescent="0.25">
      <c r="A31" s="106"/>
      <c r="B31" s="37">
        <f t="shared" si="3"/>
        <v>41474</v>
      </c>
      <c r="C31" s="38">
        <f t="shared" si="0"/>
        <v>41474</v>
      </c>
      <c r="D31" s="39" t="str">
        <f>IF(B31="","",IF(VerificaSeFeriado(B31),"Sim",""))</f>
        <v/>
      </c>
      <c r="E31" s="5"/>
      <c r="F31" s="5"/>
      <c r="G31" s="5"/>
      <c r="H31" s="5"/>
      <c r="I31" s="5"/>
      <c r="J31" s="5"/>
      <c r="K31" s="5"/>
      <c r="L31" s="5"/>
      <c r="M31" s="41" t="str">
        <f t="shared" si="4"/>
        <v/>
      </c>
      <c r="N31" s="42" t="str">
        <f t="shared" si="5"/>
        <v/>
      </c>
      <c r="O31" s="43" t="str">
        <f t="shared" si="19"/>
        <v/>
      </c>
      <c r="P31" s="43" t="str">
        <f t="shared" ca="1" si="6"/>
        <v/>
      </c>
      <c r="Q31" s="6"/>
      <c r="R31" s="40">
        <f t="shared" si="7"/>
        <v>0</v>
      </c>
      <c r="S31" s="44" t="str">
        <f>IF(D31="Sim",0,IF((OR(WEEKDAY(C31)=2,WEEKDAY(C31)=3,WEEKDAY(C31)=4,WEEKDAY(C31)=5,WEEKDAY(C31)=6))=TRUE,M31,IF(AND(WEEKDAY(C31)=7,Configurações!$C$11&gt;0)=TRUE,M31,IF(AND(WEEKDAY(C31)=1,Configurações!$C$12&gt;0)=TRUE,M31,0))))</f>
        <v/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8"/>
        <v>0</v>
      </c>
      <c r="W31" s="44">
        <f t="shared" si="9"/>
        <v>0</v>
      </c>
      <c r="X31" s="45">
        <f t="shared" si="10"/>
        <v>0</v>
      </c>
      <c r="Y31" s="44">
        <f t="shared" si="20"/>
        <v>0</v>
      </c>
      <c r="Z31" s="45">
        <f t="shared" si="11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2"/>
        <v/>
      </c>
      <c r="AE31" s="11" t="str">
        <f t="shared" si="13"/>
        <v/>
      </c>
      <c r="AF31" s="83">
        <f t="shared" si="14"/>
        <v>0</v>
      </c>
      <c r="AG31" s="84">
        <f t="shared" si="15"/>
        <v>0</v>
      </c>
      <c r="AH31" s="84">
        <f t="shared" si="16"/>
        <v>0</v>
      </c>
      <c r="AI31" s="84">
        <f t="shared" si="17"/>
        <v>0</v>
      </c>
      <c r="AJ31" s="84">
        <f t="shared" si="18"/>
        <v>0</v>
      </c>
    </row>
    <row r="32" spans="1:36" x14ac:dyDescent="0.25">
      <c r="A32" s="106"/>
      <c r="B32" s="37">
        <f t="shared" si="3"/>
        <v>41475</v>
      </c>
      <c r="C32" s="38">
        <f t="shared" si="0"/>
        <v>41475</v>
      </c>
      <c r="D32" s="39" t="str">
        <f>IF(B32="","",IF(VerificaSeFeriado(B32),"Sim",""))</f>
        <v/>
      </c>
      <c r="E32" s="5"/>
      <c r="F32" s="5"/>
      <c r="G32" s="5"/>
      <c r="H32" s="5"/>
      <c r="I32" s="5"/>
      <c r="J32" s="5"/>
      <c r="K32" s="5"/>
      <c r="L32" s="5"/>
      <c r="M32" s="41" t="str">
        <f t="shared" si="4"/>
        <v/>
      </c>
      <c r="N32" s="42" t="str">
        <f t="shared" si="5"/>
        <v/>
      </c>
      <c r="O32" s="43" t="str">
        <f t="shared" si="19"/>
        <v/>
      </c>
      <c r="P32" s="43" t="str">
        <f t="shared" ca="1" si="6"/>
        <v/>
      </c>
      <c r="Q32" s="6"/>
      <c r="R32" s="40">
        <f t="shared" si="7"/>
        <v>0</v>
      </c>
      <c r="S32" s="44" t="str">
        <f>IF(D32="Sim",0,IF((OR(WEEKDAY(C32)=2,WEEKDAY(C32)=3,WEEKDAY(C32)=4,WEEKDAY(C32)=5,WEEKDAY(C32)=6))=TRUE,M32,IF(AND(WEEKDAY(C32)=7,Configurações!$C$11&gt;0)=TRUE,M32,IF(AND(WEEKDAY(C32)=1,Configurações!$C$12&gt;0)=TRUE,M32,0))))</f>
        <v/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8"/>
        <v>0</v>
      </c>
      <c r="W32" s="44">
        <f t="shared" si="9"/>
        <v>0</v>
      </c>
      <c r="X32" s="45">
        <f t="shared" si="10"/>
        <v>0</v>
      </c>
      <c r="Y32" s="44">
        <f t="shared" si="20"/>
        <v>0</v>
      </c>
      <c r="Z32" s="45">
        <f t="shared" si="11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2"/>
        <v/>
      </c>
      <c r="AE32" s="11" t="str">
        <f t="shared" si="13"/>
        <v/>
      </c>
      <c r="AF32" s="83">
        <f t="shared" si="14"/>
        <v>0</v>
      </c>
      <c r="AG32" s="84">
        <f t="shared" si="15"/>
        <v>0</v>
      </c>
      <c r="AH32" s="84">
        <f t="shared" si="16"/>
        <v>0</v>
      </c>
      <c r="AI32" s="84">
        <f t="shared" si="17"/>
        <v>0</v>
      </c>
      <c r="AJ32" s="84">
        <f t="shared" si="18"/>
        <v>0</v>
      </c>
    </row>
    <row r="33" spans="1:36" x14ac:dyDescent="0.25">
      <c r="A33" s="106"/>
      <c r="B33" s="37">
        <f t="shared" si="3"/>
        <v>41476</v>
      </c>
      <c r="C33" s="38">
        <f t="shared" si="0"/>
        <v>41476</v>
      </c>
      <c r="D33" s="39" t="str">
        <f>IF(B33="","",IF(VerificaSeFeriado(B33),"Sim",""))</f>
        <v/>
      </c>
      <c r="E33" s="5"/>
      <c r="F33" s="5"/>
      <c r="G33" s="5"/>
      <c r="H33" s="5"/>
      <c r="I33" s="5"/>
      <c r="J33" s="5"/>
      <c r="K33" s="5"/>
      <c r="L33" s="5"/>
      <c r="M33" s="41" t="str">
        <f t="shared" si="4"/>
        <v/>
      </c>
      <c r="N33" s="42" t="str">
        <f t="shared" si="5"/>
        <v/>
      </c>
      <c r="O33" s="43" t="str">
        <f t="shared" si="19"/>
        <v/>
      </c>
      <c r="P33" s="43" t="str">
        <f t="shared" ca="1" si="6"/>
        <v/>
      </c>
      <c r="Q33" s="6"/>
      <c r="R33" s="40">
        <f t="shared" si="7"/>
        <v>0</v>
      </c>
      <c r="S33" s="44">
        <f>IF(D33="Sim",0,IF((OR(WEEKDAY(C33)=2,WEEKDAY(C33)=3,WEEKDAY(C33)=4,WEEKDAY(C33)=5,WEEKDAY(C33)=6))=TRUE,M33,IF(AND(WEEKDAY(C33)=7,Configurações!$C$11&gt;0)=TRUE,M33,IF(AND(WEEKDAY(C33)=1,Configurações!$C$12&gt;0)=TRUE,M33,0))))</f>
        <v>0</v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8"/>
        <v>0</v>
      </c>
      <c r="W33" s="44">
        <f t="shared" si="9"/>
        <v>0</v>
      </c>
      <c r="X33" s="45">
        <f t="shared" si="10"/>
        <v>0</v>
      </c>
      <c r="Y33" s="44">
        <f t="shared" si="20"/>
        <v>0</v>
      </c>
      <c r="Z33" s="45">
        <f t="shared" si="11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2"/>
        <v/>
      </c>
      <c r="AE33" s="11" t="str">
        <f t="shared" si="13"/>
        <v/>
      </c>
      <c r="AF33" s="83">
        <f t="shared" si="14"/>
        <v>0</v>
      </c>
      <c r="AG33" s="84">
        <f t="shared" si="15"/>
        <v>0</v>
      </c>
      <c r="AH33" s="84">
        <f t="shared" si="16"/>
        <v>0</v>
      </c>
      <c r="AI33" s="84">
        <f t="shared" si="17"/>
        <v>0</v>
      </c>
      <c r="AJ33" s="84">
        <f t="shared" si="18"/>
        <v>0</v>
      </c>
    </row>
    <row r="34" spans="1:36" x14ac:dyDescent="0.25">
      <c r="A34" s="106"/>
      <c r="B34" s="37">
        <f t="shared" si="3"/>
        <v>41477</v>
      </c>
      <c r="C34" s="38">
        <f t="shared" si="0"/>
        <v>41477</v>
      </c>
      <c r="D34" s="39" t="str">
        <f>IF(B34="","",IF(VerificaSeFeriado(B34),"Sim",""))</f>
        <v/>
      </c>
      <c r="E34" s="5"/>
      <c r="F34" s="5"/>
      <c r="G34" s="5"/>
      <c r="H34" s="5"/>
      <c r="I34" s="5"/>
      <c r="J34" s="5"/>
      <c r="K34" s="5"/>
      <c r="L34" s="5"/>
      <c r="M34" s="41" t="str">
        <f t="shared" si="4"/>
        <v/>
      </c>
      <c r="N34" s="42" t="str">
        <f t="shared" si="5"/>
        <v/>
      </c>
      <c r="O34" s="43" t="str">
        <f t="shared" si="19"/>
        <v/>
      </c>
      <c r="P34" s="43" t="str">
        <f t="shared" ca="1" si="6"/>
        <v/>
      </c>
      <c r="Q34" s="6"/>
      <c r="R34" s="40">
        <f t="shared" si="7"/>
        <v>0</v>
      </c>
      <c r="S34" s="44">
        <f>IF(D34="Sim",0,IF((OR(WEEKDAY(C34)=2,WEEKDAY(C34)=3,WEEKDAY(C34)=4,WEEKDAY(C34)=5,WEEKDAY(C34)=6))=TRUE,M34,IF(AND(WEEKDAY(C34)=7,Configurações!$C$11&gt;0)=TRUE,M34,IF(AND(WEEKDAY(C34)=1,Configurações!$C$12&gt;0)=TRUE,M34,0))))</f>
        <v>0</v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8"/>
        <v>0</v>
      </c>
      <c r="W34" s="44">
        <f t="shared" si="9"/>
        <v>0</v>
      </c>
      <c r="X34" s="45">
        <f t="shared" si="10"/>
        <v>0</v>
      </c>
      <c r="Y34" s="44">
        <f t="shared" si="20"/>
        <v>0</v>
      </c>
      <c r="Z34" s="45">
        <f t="shared" si="11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2"/>
        <v/>
      </c>
      <c r="AE34" s="11" t="str">
        <f t="shared" si="13"/>
        <v/>
      </c>
      <c r="AF34" s="83">
        <f t="shared" si="14"/>
        <v>0</v>
      </c>
      <c r="AG34" s="84">
        <f t="shared" si="15"/>
        <v>0</v>
      </c>
      <c r="AH34" s="84">
        <f t="shared" si="16"/>
        <v>0</v>
      </c>
      <c r="AI34" s="84">
        <f t="shared" si="17"/>
        <v>0</v>
      </c>
      <c r="AJ34" s="84">
        <f t="shared" si="18"/>
        <v>0</v>
      </c>
    </row>
    <row r="35" spans="1:36" x14ac:dyDescent="0.25">
      <c r="A35" s="106"/>
      <c r="B35" s="37">
        <f t="shared" si="3"/>
        <v>41478</v>
      </c>
      <c r="C35" s="38">
        <f t="shared" si="0"/>
        <v>41478</v>
      </c>
      <c r="D35" s="39" t="str">
        <f>IF(B35="","",IF(VerificaSeFeriado(B35),"Sim",""))</f>
        <v/>
      </c>
      <c r="E35" s="5"/>
      <c r="F35" s="5"/>
      <c r="G35" s="5"/>
      <c r="H35" s="5"/>
      <c r="I35" s="5"/>
      <c r="J35" s="5"/>
      <c r="K35" s="5"/>
      <c r="L35" s="5"/>
      <c r="M35" s="41" t="str">
        <f t="shared" si="4"/>
        <v/>
      </c>
      <c r="N35" s="42" t="str">
        <f t="shared" si="5"/>
        <v/>
      </c>
      <c r="O35" s="43" t="str">
        <f t="shared" si="19"/>
        <v/>
      </c>
      <c r="P35" s="43" t="str">
        <f t="shared" ca="1" si="6"/>
        <v/>
      </c>
      <c r="Q35" s="6"/>
      <c r="R35" s="40">
        <f t="shared" si="7"/>
        <v>0</v>
      </c>
      <c r="S35" s="44" t="str">
        <f>IF(D35="Sim",0,IF((OR(WEEKDAY(C35)=2,WEEKDAY(C35)=3,WEEKDAY(C35)=4,WEEKDAY(C35)=5,WEEKDAY(C35)=6))=TRUE,M35,IF(AND(WEEKDAY(C35)=7,Configurações!$C$11&gt;0)=TRUE,M35,IF(AND(WEEKDAY(C35)=1,Configurações!$C$12&gt;0)=TRUE,M35,0))))</f>
        <v/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</v>
      </c>
      <c r="V35" s="44">
        <f t="shared" si="8"/>
        <v>0</v>
      </c>
      <c r="W35" s="44">
        <f t="shared" si="9"/>
        <v>0</v>
      </c>
      <c r="X35" s="45">
        <f t="shared" si="10"/>
        <v>0</v>
      </c>
      <c r="Y35" s="44">
        <f t="shared" si="20"/>
        <v>0</v>
      </c>
      <c r="Z35" s="45">
        <f t="shared" si="11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2"/>
        <v/>
      </c>
      <c r="AE35" s="11" t="str">
        <f t="shared" si="13"/>
        <v/>
      </c>
      <c r="AF35" s="83">
        <f t="shared" si="14"/>
        <v>0</v>
      </c>
      <c r="AG35" s="84">
        <f t="shared" si="15"/>
        <v>0</v>
      </c>
      <c r="AH35" s="84">
        <f t="shared" si="16"/>
        <v>0</v>
      </c>
      <c r="AI35" s="84">
        <f t="shared" si="17"/>
        <v>0</v>
      </c>
      <c r="AJ35" s="84">
        <f t="shared" si="18"/>
        <v>0</v>
      </c>
    </row>
    <row r="36" spans="1:36" x14ac:dyDescent="0.25">
      <c r="A36" s="106"/>
      <c r="B36" s="37">
        <f t="shared" si="3"/>
        <v>41479</v>
      </c>
      <c r="C36" s="38">
        <f t="shared" si="0"/>
        <v>41479</v>
      </c>
      <c r="D36" s="39" t="str">
        <f>IF(B36="","",IF(VerificaSeFeriado(B36),"Sim",""))</f>
        <v/>
      </c>
      <c r="E36" s="5"/>
      <c r="F36" s="5"/>
      <c r="G36" s="5"/>
      <c r="H36" s="5"/>
      <c r="I36" s="5"/>
      <c r="J36" s="5"/>
      <c r="K36" s="5"/>
      <c r="L36" s="5"/>
      <c r="M36" s="41" t="str">
        <f t="shared" si="4"/>
        <v/>
      </c>
      <c r="N36" s="42" t="str">
        <f t="shared" si="5"/>
        <v/>
      </c>
      <c r="O36" s="43" t="str">
        <f t="shared" si="19"/>
        <v/>
      </c>
      <c r="P36" s="43" t="str">
        <f t="shared" ca="1" si="6"/>
        <v/>
      </c>
      <c r="Q36" s="6"/>
      <c r="R36" s="40">
        <f t="shared" si="7"/>
        <v>0</v>
      </c>
      <c r="S36" s="44" t="str">
        <f>IF(D36="Sim",0,IF((OR(WEEKDAY(C36)=2,WEEKDAY(C36)=3,WEEKDAY(C36)=4,WEEKDAY(C36)=5,WEEKDAY(C36)=6))=TRUE,M36,IF(AND(WEEKDAY(C36)=7,Configurações!$C$11&gt;0)=TRUE,M36,IF(AND(WEEKDAY(C36)=1,Configurações!$C$12&gt;0)=TRUE,M36,0))))</f>
        <v/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8"/>
        <v>0</v>
      </c>
      <c r="W36" s="44">
        <f t="shared" si="9"/>
        <v>0</v>
      </c>
      <c r="X36" s="45">
        <f t="shared" si="10"/>
        <v>0</v>
      </c>
      <c r="Y36" s="44">
        <f t="shared" si="20"/>
        <v>0</v>
      </c>
      <c r="Z36" s="45">
        <f t="shared" si="11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2"/>
        <v/>
      </c>
      <c r="AE36" s="11" t="str">
        <f t="shared" si="13"/>
        <v/>
      </c>
      <c r="AF36" s="83">
        <f t="shared" si="14"/>
        <v>0</v>
      </c>
      <c r="AG36" s="84">
        <f t="shared" si="15"/>
        <v>0</v>
      </c>
      <c r="AH36" s="84">
        <f t="shared" si="16"/>
        <v>0</v>
      </c>
      <c r="AI36" s="84">
        <f t="shared" si="17"/>
        <v>0</v>
      </c>
      <c r="AJ36" s="84">
        <f t="shared" si="18"/>
        <v>0</v>
      </c>
    </row>
    <row r="37" spans="1:36" x14ac:dyDescent="0.25">
      <c r="A37" s="106"/>
      <c r="B37" s="37">
        <f t="shared" si="3"/>
        <v>41480</v>
      </c>
      <c r="C37" s="38">
        <f t="shared" si="0"/>
        <v>41480</v>
      </c>
      <c r="D37" s="39" t="str">
        <f>IF(B37="","",IF(VerificaSeFeriado(B37),"Sim",""))</f>
        <v/>
      </c>
      <c r="E37" s="5"/>
      <c r="F37" s="5"/>
      <c r="G37" s="5"/>
      <c r="H37" s="5"/>
      <c r="I37" s="5"/>
      <c r="J37" s="5"/>
      <c r="K37" s="5"/>
      <c r="L37" s="5"/>
      <c r="M37" s="41" t="str">
        <f t="shared" si="4"/>
        <v/>
      </c>
      <c r="N37" s="42" t="str">
        <f t="shared" si="5"/>
        <v/>
      </c>
      <c r="O37" s="43" t="str">
        <f t="shared" si="19"/>
        <v/>
      </c>
      <c r="P37" s="43" t="str">
        <f t="shared" ca="1" si="6"/>
        <v/>
      </c>
      <c r="Q37" s="6"/>
      <c r="R37" s="40">
        <f t="shared" si="7"/>
        <v>0</v>
      </c>
      <c r="S37" s="44" t="str">
        <f>IF(D37="Sim",0,IF((OR(WEEKDAY(C37)=2,WEEKDAY(C37)=3,WEEKDAY(C37)=4,WEEKDAY(C37)=5,WEEKDAY(C37)=6))=TRUE,M37,IF(AND(WEEKDAY(C37)=7,Configurações!$C$11&gt;0)=TRUE,M37,IF(AND(WEEKDAY(C37)=1,Configurações!$C$12&gt;0)=TRUE,M37,0))))</f>
        <v/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8"/>
        <v>0</v>
      </c>
      <c r="W37" s="44">
        <f t="shared" si="9"/>
        <v>0</v>
      </c>
      <c r="X37" s="45">
        <f t="shared" si="10"/>
        <v>0</v>
      </c>
      <c r="Y37" s="44">
        <f t="shared" si="20"/>
        <v>0</v>
      </c>
      <c r="Z37" s="45">
        <f t="shared" si="11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2"/>
        <v/>
      </c>
      <c r="AE37" s="11" t="str">
        <f t="shared" si="13"/>
        <v/>
      </c>
      <c r="AF37" s="83">
        <f t="shared" si="14"/>
        <v>0</v>
      </c>
      <c r="AG37" s="84">
        <f t="shared" si="15"/>
        <v>0</v>
      </c>
      <c r="AH37" s="84">
        <f t="shared" si="16"/>
        <v>0</v>
      </c>
      <c r="AI37" s="84">
        <f t="shared" si="17"/>
        <v>0</v>
      </c>
      <c r="AJ37" s="84">
        <f t="shared" si="18"/>
        <v>0</v>
      </c>
    </row>
    <row r="38" spans="1:36" x14ac:dyDescent="0.25">
      <c r="A38" s="106"/>
      <c r="B38" s="37">
        <f t="shared" si="3"/>
        <v>41481</v>
      </c>
      <c r="C38" s="38">
        <f t="shared" si="0"/>
        <v>41481</v>
      </c>
      <c r="D38" s="39" t="str">
        <f>IF(B38="","",IF(VerificaSeFeriado(B38),"Sim",""))</f>
        <v/>
      </c>
      <c r="E38" s="5"/>
      <c r="F38" s="5"/>
      <c r="G38" s="5"/>
      <c r="H38" s="5"/>
      <c r="I38" s="5"/>
      <c r="J38" s="5"/>
      <c r="K38" s="5"/>
      <c r="L38" s="5"/>
      <c r="M38" s="41" t="str">
        <f t="shared" si="4"/>
        <v/>
      </c>
      <c r="N38" s="42" t="str">
        <f t="shared" si="5"/>
        <v/>
      </c>
      <c r="O38" s="43" t="str">
        <f t="shared" si="19"/>
        <v/>
      </c>
      <c r="P38" s="43" t="str">
        <f t="shared" ca="1" si="6"/>
        <v/>
      </c>
      <c r="Q38" s="6"/>
      <c r="R38" s="40">
        <f t="shared" si="7"/>
        <v>0</v>
      </c>
      <c r="S38" s="44" t="str">
        <f>IF(D38="Sim",0,IF((OR(WEEKDAY(C38)=2,WEEKDAY(C38)=3,WEEKDAY(C38)=4,WEEKDAY(C38)=5,WEEKDAY(C38)=6))=TRUE,M38,IF(AND(WEEKDAY(C38)=7,Configurações!$C$11&gt;0)=TRUE,M38,IF(AND(WEEKDAY(C38)=1,Configurações!$C$12&gt;0)=TRUE,M38,0))))</f>
        <v/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8"/>
        <v>0</v>
      </c>
      <c r="W38" s="44">
        <f t="shared" si="9"/>
        <v>0</v>
      </c>
      <c r="X38" s="45">
        <f t="shared" si="10"/>
        <v>0</v>
      </c>
      <c r="Y38" s="44">
        <f t="shared" si="20"/>
        <v>0</v>
      </c>
      <c r="Z38" s="45">
        <f t="shared" si="11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2"/>
        <v/>
      </c>
      <c r="AE38" s="11" t="str">
        <f t="shared" si="13"/>
        <v/>
      </c>
      <c r="AF38" s="83">
        <f t="shared" si="14"/>
        <v>0</v>
      </c>
      <c r="AG38" s="84">
        <f t="shared" si="15"/>
        <v>0</v>
      </c>
      <c r="AH38" s="84">
        <f t="shared" si="16"/>
        <v>0</v>
      </c>
      <c r="AI38" s="84">
        <f t="shared" si="17"/>
        <v>0</v>
      </c>
      <c r="AJ38" s="84">
        <f t="shared" si="18"/>
        <v>0</v>
      </c>
    </row>
    <row r="39" spans="1:36" x14ac:dyDescent="0.25">
      <c r="A39" s="106"/>
      <c r="B39" s="37">
        <f t="shared" si="3"/>
        <v>41482</v>
      </c>
      <c r="C39" s="38">
        <f t="shared" si="0"/>
        <v>41482</v>
      </c>
      <c r="D39" s="39" t="str">
        <f>IF(B39="","",IF(VerificaSeFeriado(B39),"Sim",""))</f>
        <v/>
      </c>
      <c r="E39" s="5"/>
      <c r="F39" s="5"/>
      <c r="G39" s="5"/>
      <c r="H39" s="5"/>
      <c r="I39" s="5"/>
      <c r="J39" s="5"/>
      <c r="K39" s="5"/>
      <c r="L39" s="5"/>
      <c r="M39" s="41" t="str">
        <f t="shared" si="4"/>
        <v/>
      </c>
      <c r="N39" s="42" t="str">
        <f t="shared" si="5"/>
        <v/>
      </c>
      <c r="O39" s="43" t="str">
        <f t="shared" si="19"/>
        <v/>
      </c>
      <c r="P39" s="43" t="str">
        <f t="shared" ca="1" si="6"/>
        <v/>
      </c>
      <c r="Q39" s="6"/>
      <c r="R39" s="40">
        <f t="shared" si="7"/>
        <v>0</v>
      </c>
      <c r="S39" s="44" t="str">
        <f>IF(D39="Sim",0,IF((OR(WEEKDAY(C39)=2,WEEKDAY(C39)=3,WEEKDAY(C39)=4,WEEKDAY(C39)=5,WEEKDAY(C39)=6))=TRUE,M39,IF(AND(WEEKDAY(C39)=7,Configurações!$C$11&gt;0)=TRUE,M39,IF(AND(WEEKDAY(C39)=1,Configurações!$C$12&gt;0)=TRUE,M39,0))))</f>
        <v/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8"/>
        <v>0</v>
      </c>
      <c r="W39" s="44">
        <f t="shared" si="9"/>
        <v>0</v>
      </c>
      <c r="X39" s="45">
        <f t="shared" si="10"/>
        <v>0</v>
      </c>
      <c r="Y39" s="44">
        <f t="shared" si="20"/>
        <v>0</v>
      </c>
      <c r="Z39" s="45">
        <f t="shared" si="11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2"/>
        <v/>
      </c>
      <c r="AE39" s="11" t="str">
        <f t="shared" si="13"/>
        <v/>
      </c>
      <c r="AF39" s="83">
        <f t="shared" si="14"/>
        <v>0</v>
      </c>
      <c r="AG39" s="84">
        <f t="shared" si="15"/>
        <v>0</v>
      </c>
      <c r="AH39" s="84">
        <f t="shared" si="16"/>
        <v>0</v>
      </c>
      <c r="AI39" s="84">
        <f t="shared" si="17"/>
        <v>0</v>
      </c>
      <c r="AJ39" s="84">
        <f t="shared" si="18"/>
        <v>0</v>
      </c>
    </row>
    <row r="40" spans="1:36" x14ac:dyDescent="0.25">
      <c r="A40" s="106"/>
      <c r="B40" s="37">
        <f t="shared" si="3"/>
        <v>41483</v>
      </c>
      <c r="C40" s="38">
        <f t="shared" si="0"/>
        <v>41483</v>
      </c>
      <c r="D40" s="39" t="str">
        <f>IF(B40="","",IF(VerificaSeFeriado(B40),"Sim",""))</f>
        <v/>
      </c>
      <c r="E40" s="5"/>
      <c r="F40" s="5"/>
      <c r="G40" s="5"/>
      <c r="H40" s="5"/>
      <c r="I40" s="5"/>
      <c r="J40" s="5"/>
      <c r="K40" s="5"/>
      <c r="L40" s="5"/>
      <c r="M40" s="41" t="str">
        <f t="shared" si="4"/>
        <v/>
      </c>
      <c r="N40" s="42" t="str">
        <f t="shared" si="5"/>
        <v/>
      </c>
      <c r="O40" s="43" t="str">
        <f t="shared" si="19"/>
        <v/>
      </c>
      <c r="P40" s="43" t="str">
        <f t="shared" ca="1" si="6"/>
        <v/>
      </c>
      <c r="Q40" s="6"/>
      <c r="R40" s="40">
        <f t="shared" si="7"/>
        <v>0</v>
      </c>
      <c r="S40" s="44">
        <f>IF(D40="Sim",0,IF((OR(WEEKDAY(C40)=2,WEEKDAY(C40)=3,WEEKDAY(C40)=4,WEEKDAY(C40)=5,WEEKDAY(C40)=6))=TRUE,M40,IF(AND(WEEKDAY(C40)=7,Configurações!$C$11&gt;0)=TRUE,M40,IF(AND(WEEKDAY(C40)=1,Configurações!$C$12&gt;0)=TRUE,M40,0))))</f>
        <v>0</v>
      </c>
      <c r="T40" s="44">
        <f>IF(D40="Sim",0,IF(AND(WEEKDAY(C40)=7,Configurações!$C$11&lt;=0)=TRUE,R40,0))</f>
        <v>0</v>
      </c>
      <c r="U40" s="44">
        <f>IF(D40="Sim",0,IF(AND(WEEKDAY(C40)=1,Configurações!$C$12&lt;=0)=TRUE,R40,0))</f>
        <v>0</v>
      </c>
      <c r="V40" s="44">
        <f t="shared" si="8"/>
        <v>0</v>
      </c>
      <c r="W40" s="44">
        <f t="shared" si="9"/>
        <v>0</v>
      </c>
      <c r="X40" s="45">
        <f t="shared" si="10"/>
        <v>0</v>
      </c>
      <c r="Y40" s="44">
        <f t="shared" si="20"/>
        <v>0</v>
      </c>
      <c r="Z40" s="45">
        <f t="shared" si="11"/>
        <v>0</v>
      </c>
      <c r="AA40" s="12" t="str">
        <f>IF(D40="Sim","Não",IF(AND(WEEKDAY(C40)=1,Configurações!$C$12&gt;0),"Sim",IF(AND(WEEKDAY(C40)=2,Configurações!$C$6&gt;0),"Sim",IF(AND(WEEKDAY(C40)=3,Configurações!$C$7&gt;0),"Sim",IF(AND(WEEKDAY(C40)=4,Configurações!$C$8&gt;0),"Sim",IF(AND(WEEKDAY(C40)=5,Configurações!$C$9&gt;0),"Sim",IF(AND(WEEKDAY(C40)=6,Configurações!$C$10&gt;0),"Sim",IF(AND(WEEKDAY(C40)=7,Configurações!$C$11&gt;0),"Sim","Não"))))))))</f>
        <v>Não</v>
      </c>
      <c r="AB40" s="44">
        <f>IF(D40="Sim",0,IF(WEEKDAY(C40)=2,Configurações!$C$6-Configurações!$E$6,IF(WEEKDAY(C40)=3,Configurações!$C$7-Configurações!$E$7,IF(WEEKDAY(C40)=4,Configurações!$C$8-Configurações!$E$8,IF(WEEKDAY(C40)=5,Configurações!$C$9-Configurações!$E$9,IF(WEEKDAY(C40)=6,Configurações!$C$10-Configurações!$E$10,IF(WEEKDAY(C40)=7,Configurações!$C$11-Configurações!$E$11,IF(WEEKDAY(C40)=1,Configurações!$C$12-Configurações!$E$12,""))))))))</f>
        <v>0</v>
      </c>
      <c r="AC40" s="44">
        <f>IF(D40="Sim",0,IF(WEEKDAY(C40)=2,Configurações!$E$6,IF(WEEKDAY(C40)=3,Configurações!$E$7,IF(WEEKDAY(C40)=4,Configurações!$E$8,IF(WEEKDAY(C40)=5,Configurações!$E$9,IF(WEEKDAY(C40)=6,Configurações!$E$10,IF(WEEKDAY(C40)=7,Configurações!$E$11,IF(WEEKDAY(C40)=1,Configurações!$E$12,""))))))))</f>
        <v>0</v>
      </c>
      <c r="AD40" s="11" t="str">
        <f t="shared" si="12"/>
        <v/>
      </c>
      <c r="AE40" s="11" t="str">
        <f t="shared" si="13"/>
        <v/>
      </c>
      <c r="AF40" s="83">
        <f t="shared" si="14"/>
        <v>0</v>
      </c>
      <c r="AG40" s="84">
        <f t="shared" si="15"/>
        <v>0</v>
      </c>
      <c r="AH40" s="84">
        <f t="shared" si="16"/>
        <v>0</v>
      </c>
      <c r="AI40" s="84">
        <f t="shared" si="17"/>
        <v>0</v>
      </c>
      <c r="AJ40" s="84">
        <f t="shared" si="18"/>
        <v>0</v>
      </c>
    </row>
    <row r="41" spans="1:36" x14ac:dyDescent="0.25">
      <c r="A41" s="106"/>
      <c r="B41" s="37">
        <f t="shared" si="3"/>
        <v>41484</v>
      </c>
      <c r="C41" s="38">
        <f t="shared" si="0"/>
        <v>41484</v>
      </c>
      <c r="D41" s="39" t="str">
        <f>IF(B41="","",IF(VerificaSeFeriado(B41),"Sim",""))</f>
        <v/>
      </c>
      <c r="E41" s="5"/>
      <c r="F41" s="5"/>
      <c r="G41" s="5"/>
      <c r="H41" s="5"/>
      <c r="I41" s="5"/>
      <c r="J41" s="5"/>
      <c r="K41" s="5"/>
      <c r="L41" s="5"/>
      <c r="M41" s="41" t="str">
        <f t="shared" si="4"/>
        <v/>
      </c>
      <c r="N41" s="42" t="str">
        <f t="shared" si="5"/>
        <v/>
      </c>
      <c r="O41" s="43" t="str">
        <f t="shared" si="19"/>
        <v/>
      </c>
      <c r="P41" s="43" t="str">
        <f t="shared" ca="1" si="6"/>
        <v/>
      </c>
      <c r="Q41" s="6"/>
      <c r="R41" s="40">
        <f t="shared" si="7"/>
        <v>0</v>
      </c>
      <c r="S41" s="44">
        <f>IF(D41="Sim",0,IF((OR(WEEKDAY(C41)=2,WEEKDAY(C41)=3,WEEKDAY(C41)=4,WEEKDAY(C41)=5,WEEKDAY(C41)=6))=TRUE,M41,IF(AND(WEEKDAY(C41)=7,Configurações!$C$11&gt;0)=TRUE,M41,IF(AND(WEEKDAY(C41)=1,Configurações!$C$12&gt;0)=TRUE,M41,0))))</f>
        <v>0</v>
      </c>
      <c r="T41" s="44">
        <f>IF(D41="Sim",0,IF(AND(WEEKDAY(C41)=7,Configurações!$C$11&lt;=0)=TRUE,R41,0))</f>
        <v>0</v>
      </c>
      <c r="U41" s="44">
        <f>IF(D41="Sim",0,IF(AND(WEEKDAY(C41)=1,Configurações!$C$12&lt;=0)=TRUE,R41,0))</f>
        <v>0</v>
      </c>
      <c r="V41" s="44">
        <f t="shared" si="8"/>
        <v>0</v>
      </c>
      <c r="W41" s="44">
        <f t="shared" si="9"/>
        <v>0</v>
      </c>
      <c r="X41" s="45">
        <f t="shared" si="10"/>
        <v>0</v>
      </c>
      <c r="Y41" s="44">
        <f t="shared" si="20"/>
        <v>0</v>
      </c>
      <c r="Z41" s="45">
        <f t="shared" si="11"/>
        <v>0</v>
      </c>
      <c r="AA41" s="12" t="str">
        <f>IF(D41="Sim","Não",IF(AND(WEEKDAY(C41)=1,Configurações!$C$12&gt;0),"Sim",IF(AND(WEEKDAY(C41)=2,Configurações!$C$6&gt;0),"Sim",IF(AND(WEEKDAY(C41)=3,Configurações!$C$7&gt;0),"Sim",IF(AND(WEEKDAY(C41)=4,Configurações!$C$8&gt;0),"Sim",IF(AND(WEEKDAY(C41)=5,Configurações!$C$9&gt;0),"Sim",IF(AND(WEEKDAY(C41)=6,Configurações!$C$10&gt;0),"Sim",IF(AND(WEEKDAY(C41)=7,Configurações!$C$11&gt;0),"Sim","Não"))))))))</f>
        <v>Não</v>
      </c>
      <c r="AB41" s="44">
        <f>IF(D41="Sim",0,IF(WEEKDAY(C41)=2,Configurações!$C$6-Configurações!$E$6,IF(WEEKDAY(C41)=3,Configurações!$C$7-Configurações!$E$7,IF(WEEKDAY(C41)=4,Configurações!$C$8-Configurações!$E$8,IF(WEEKDAY(C41)=5,Configurações!$C$9-Configurações!$E$9,IF(WEEKDAY(C41)=6,Configurações!$C$10-Configurações!$E$10,IF(WEEKDAY(C41)=7,Configurações!$C$11-Configurações!$E$11,IF(WEEKDAY(C41)=1,Configurações!$C$12-Configurações!$E$12,""))))))))</f>
        <v>0</v>
      </c>
      <c r="AC41" s="44">
        <f>IF(D41="Sim",0,IF(WEEKDAY(C41)=2,Configurações!$E$6,IF(WEEKDAY(C41)=3,Configurações!$E$7,IF(WEEKDAY(C41)=4,Configurações!$E$8,IF(WEEKDAY(C41)=5,Configurações!$E$9,IF(WEEKDAY(C41)=6,Configurações!$E$10,IF(WEEKDAY(C41)=7,Configurações!$E$11,IF(WEEKDAY(C41)=1,Configurações!$E$12,""))))))))</f>
        <v>0</v>
      </c>
      <c r="AD41" s="11" t="str">
        <f t="shared" si="12"/>
        <v/>
      </c>
      <c r="AE41" s="11" t="str">
        <f t="shared" si="13"/>
        <v/>
      </c>
      <c r="AF41" s="83">
        <f t="shared" si="14"/>
        <v>0</v>
      </c>
      <c r="AG41" s="84">
        <f t="shared" si="15"/>
        <v>0</v>
      </c>
      <c r="AH41" s="84">
        <f t="shared" si="16"/>
        <v>0</v>
      </c>
      <c r="AI41" s="84">
        <f t="shared" si="17"/>
        <v>0</v>
      </c>
      <c r="AJ41" s="84">
        <f t="shared" si="18"/>
        <v>0</v>
      </c>
    </row>
    <row r="42" spans="1:36" x14ac:dyDescent="0.25">
      <c r="A42" s="106"/>
      <c r="B42" s="37">
        <f t="shared" si="3"/>
        <v>41485</v>
      </c>
      <c r="C42" s="38">
        <f t="shared" si="0"/>
        <v>41485</v>
      </c>
      <c r="D42" s="39" t="str">
        <f>IF(B42="","",IF(VerificaSeFeriado(B42),"Sim",""))</f>
        <v/>
      </c>
      <c r="E42" s="5"/>
      <c r="F42" s="5"/>
      <c r="G42" s="5"/>
      <c r="H42" s="5"/>
      <c r="I42" s="5"/>
      <c r="J42" s="5"/>
      <c r="K42" s="5"/>
      <c r="L42" s="5"/>
      <c r="M42" s="41" t="str">
        <f t="shared" si="4"/>
        <v/>
      </c>
      <c r="N42" s="42" t="str">
        <f t="shared" si="5"/>
        <v/>
      </c>
      <c r="O42" s="43" t="str">
        <f t="shared" si="19"/>
        <v/>
      </c>
      <c r="P42" s="43" t="str">
        <f t="shared" ca="1" si="6"/>
        <v/>
      </c>
      <c r="Q42" s="6"/>
      <c r="R42" s="40">
        <f t="shared" si="7"/>
        <v>0</v>
      </c>
      <c r="S42" s="44" t="str">
        <f>IF(D42="Sim",0,IF((OR(WEEKDAY(C42)=2,WEEKDAY(C42)=3,WEEKDAY(C42)=4,WEEKDAY(C42)=5,WEEKDAY(C42)=6))=TRUE,M42,IF(AND(WEEKDAY(C42)=7,Configurações!$C$11&gt;0)=TRUE,M42,IF(AND(WEEKDAY(C42)=1,Configurações!$C$12&gt;0)=TRUE,M42,0))))</f>
        <v/>
      </c>
      <c r="T42" s="44">
        <f>IF(D42="Sim",0,IF(AND(WEEKDAY(C42)=7,Configurações!$C$11&lt;=0)=TRUE,R42,0))</f>
        <v>0</v>
      </c>
      <c r="U42" s="44">
        <f>IF(D42="Sim",0,IF(AND(WEEKDAY(C42)=1,Configurações!$C$12&lt;=0)=TRUE,R42,0))</f>
        <v>0</v>
      </c>
      <c r="V42" s="44">
        <f t="shared" si="8"/>
        <v>0</v>
      </c>
      <c r="W42" s="44">
        <f t="shared" si="9"/>
        <v>0</v>
      </c>
      <c r="X42" s="45">
        <f t="shared" si="10"/>
        <v>0</v>
      </c>
      <c r="Y42" s="44">
        <f t="shared" si="20"/>
        <v>0</v>
      </c>
      <c r="Z42" s="45">
        <f t="shared" si="11"/>
        <v>0</v>
      </c>
      <c r="AA42" s="12" t="str">
        <f>IF(D42="Sim","Não",IF(AND(WEEKDAY(C42)=1,Configurações!$C$12&gt;0),"Sim",IF(AND(WEEKDAY(C42)=2,Configurações!$C$6&gt;0),"Sim",IF(AND(WEEKDAY(C42)=3,Configurações!$C$7&gt;0),"Sim",IF(AND(WEEKDAY(C42)=4,Configurações!$C$8&gt;0),"Sim",IF(AND(WEEKDAY(C42)=5,Configurações!$C$9&gt;0),"Sim",IF(AND(WEEKDAY(C42)=6,Configurações!$C$10&gt;0),"Sim",IF(AND(WEEKDAY(C42)=7,Configurações!$C$11&gt;0),"Sim","Não"))))))))</f>
        <v>Não</v>
      </c>
      <c r="AB42" s="44">
        <f>IF(D42="Sim",0,IF(WEEKDAY(C42)=2,Configurações!$C$6-Configurações!$E$6,IF(WEEKDAY(C42)=3,Configurações!$C$7-Configurações!$E$7,IF(WEEKDAY(C42)=4,Configurações!$C$8-Configurações!$E$8,IF(WEEKDAY(C42)=5,Configurações!$C$9-Configurações!$E$9,IF(WEEKDAY(C42)=6,Configurações!$C$10-Configurações!$E$10,IF(WEEKDAY(C42)=7,Configurações!$C$11-Configurações!$E$11,IF(WEEKDAY(C42)=1,Configurações!$C$12-Configurações!$E$12,""))))))))</f>
        <v>0</v>
      </c>
      <c r="AC42" s="44">
        <f>IF(D42="Sim",0,IF(WEEKDAY(C42)=2,Configurações!$E$6,IF(WEEKDAY(C42)=3,Configurações!$E$7,IF(WEEKDAY(C42)=4,Configurações!$E$8,IF(WEEKDAY(C42)=5,Configurações!$E$9,IF(WEEKDAY(C42)=6,Configurações!$E$10,IF(WEEKDAY(C42)=7,Configurações!$E$11,IF(WEEKDAY(C42)=1,Configurações!$E$12,""))))))))</f>
        <v>0</v>
      </c>
      <c r="AD42" s="11" t="str">
        <f t="shared" si="12"/>
        <v/>
      </c>
      <c r="AE42" s="11" t="str">
        <f t="shared" si="13"/>
        <v/>
      </c>
      <c r="AF42" s="83">
        <f t="shared" si="14"/>
        <v>0</v>
      </c>
      <c r="AG42" s="84">
        <f t="shared" si="15"/>
        <v>0</v>
      </c>
      <c r="AH42" s="84">
        <f t="shared" si="16"/>
        <v>0</v>
      </c>
      <c r="AI42" s="84">
        <f t="shared" si="17"/>
        <v>0</v>
      </c>
      <c r="AJ42" s="84">
        <f t="shared" si="18"/>
        <v>0</v>
      </c>
    </row>
    <row r="43" spans="1:36" x14ac:dyDescent="0.25">
      <c r="B43" s="46"/>
    </row>
    <row r="45" spans="1:36" x14ac:dyDescent="0.25">
      <c r="C45" s="32"/>
      <c r="D45" s="32"/>
    </row>
    <row r="46" spans="1:36" x14ac:dyDescent="0.25">
      <c r="C46" s="32"/>
      <c r="D46" s="32"/>
    </row>
    <row r="47" spans="1:36" x14ac:dyDescent="0.25">
      <c r="C47" s="32"/>
      <c r="D47" s="32"/>
    </row>
    <row r="48" spans="1:36" x14ac:dyDescent="0.25">
      <c r="C48" s="32"/>
      <c r="D48" s="32"/>
    </row>
    <row r="49" spans="3:4" x14ac:dyDescent="0.25">
      <c r="C49" s="32"/>
      <c r="D49" s="32"/>
    </row>
    <row r="50" spans="3:4" x14ac:dyDescent="0.25">
      <c r="C50" s="32"/>
      <c r="D50" s="32"/>
    </row>
  </sheetData>
  <sheetProtection algorithmName="SHA-512" hashValue="5qe1aL3Swb0uQfcs2zz3j6DuwJAHp3nUhLcTg3XIopeKT3LaQTHuenZFJOsZ/zU2aoVSCBlI86F1RVD/9fNBKQ==" saltValue="2ny+N0uDPHQ4AcrJK0cvrQ==" spinCount="100000" sheet="1" objects="1" scenarios="1" selectLockedCells="1"/>
  <mergeCells count="18">
    <mergeCell ref="L4:M4"/>
    <mergeCell ref="O4:Q4"/>
    <mergeCell ref="E5:F5"/>
    <mergeCell ref="O5:P5"/>
    <mergeCell ref="E6:F6"/>
    <mergeCell ref="A11:A42"/>
    <mergeCell ref="F11:G11"/>
    <mergeCell ref="J11:K11"/>
    <mergeCell ref="A2:D2"/>
    <mergeCell ref="A3:D7"/>
    <mergeCell ref="E4:G4"/>
    <mergeCell ref="I4:J4"/>
    <mergeCell ref="E7:F7"/>
    <mergeCell ref="O7:P7"/>
    <mergeCell ref="E8:F8"/>
    <mergeCell ref="L8:M8"/>
    <mergeCell ref="E9:F9"/>
    <mergeCell ref="L9:M9"/>
  </mergeCells>
  <conditionalFormatting sqref="G5">
    <cfRule type="expression" dxfId="179" priority="28">
      <formula>$G$5&lt;=0</formula>
    </cfRule>
    <cfRule type="expression" dxfId="178" priority="29">
      <formula>$G$5&gt;0</formula>
    </cfRule>
  </conditionalFormatting>
  <conditionalFormatting sqref="G6">
    <cfRule type="expression" dxfId="177" priority="26">
      <formula>$G$6&gt;=0</formula>
    </cfRule>
    <cfRule type="expression" dxfId="176" priority="27">
      <formula>$G$6&lt;0</formula>
    </cfRule>
  </conditionalFormatting>
  <conditionalFormatting sqref="P9">
    <cfRule type="expression" dxfId="175" priority="23">
      <formula>$P$9&lt;0</formula>
    </cfRule>
    <cfRule type="expression" dxfId="174" priority="24">
      <formula>$P$9=0</formula>
    </cfRule>
    <cfRule type="expression" dxfId="173" priority="25">
      <formula>$P$9&gt;0</formula>
    </cfRule>
  </conditionalFormatting>
  <conditionalFormatting sqref="P8">
    <cfRule type="expression" dxfId="172" priority="20">
      <formula>$P$8&lt;0</formula>
    </cfRule>
    <cfRule type="expression" dxfId="171" priority="21">
      <formula>$P$8=0</formula>
    </cfRule>
    <cfRule type="expression" dxfId="170" priority="22">
      <formula>$P$8&gt;0</formula>
    </cfRule>
  </conditionalFormatting>
  <conditionalFormatting sqref="G9">
    <cfRule type="expression" dxfId="169" priority="17">
      <formula>$G$9&lt;0</formula>
    </cfRule>
    <cfRule type="expression" priority="18">
      <formula>$G$9=0</formula>
    </cfRule>
    <cfRule type="expression" dxfId="168" priority="19">
      <formula>$G$9&gt;0</formula>
    </cfRule>
  </conditionalFormatting>
  <conditionalFormatting sqref="P12:P42">
    <cfRule type="expression" dxfId="167" priority="16">
      <formula>$P12=0</formula>
    </cfRule>
  </conditionalFormatting>
  <conditionalFormatting sqref="G5:G9">
    <cfRule type="expression" dxfId="166" priority="13">
      <formula>$G5=0</formula>
    </cfRule>
    <cfRule type="expression" dxfId="165" priority="14">
      <formula>$G5&lt;0</formula>
    </cfRule>
    <cfRule type="expression" dxfId="164" priority="15">
      <formula>$G5&gt;0</formula>
    </cfRule>
  </conditionalFormatting>
  <conditionalFormatting sqref="B12:R42">
    <cfRule type="expression" dxfId="163" priority="7">
      <formula>$B12=""</formula>
    </cfRule>
    <cfRule type="expression" dxfId="162" priority="8">
      <formula>$D12="Sim"</formula>
    </cfRule>
    <cfRule type="expression" dxfId="161" priority="11">
      <formula>MOD(ROW(),2)=0</formula>
    </cfRule>
    <cfRule type="expression" dxfId="160" priority="12">
      <formula>MOD(ROW(),2)=1</formula>
    </cfRule>
  </conditionalFormatting>
  <conditionalFormatting sqref="M12:N42">
    <cfRule type="expression" dxfId="159" priority="5">
      <formula>$M12=0</formula>
    </cfRule>
  </conditionalFormatting>
  <conditionalFormatting sqref="L9:N9">
    <cfRule type="expression" dxfId="158" priority="2">
      <formula>$L$9&gt;0</formula>
    </cfRule>
    <cfRule type="expression" dxfId="157" priority="3">
      <formula>$L$9=0</formula>
    </cfRule>
    <cfRule type="expression" dxfId="156" priority="4">
      <formula>$L$9&lt;0</formula>
    </cfRule>
  </conditionalFormatting>
  <conditionalFormatting sqref="N5 M6">
    <cfRule type="expression" dxfId="155" priority="30">
      <formula>$M$6&lt;0</formula>
    </cfRule>
  </conditionalFormatting>
  <conditionalFormatting sqref="N4 M5">
    <cfRule type="expression" dxfId="154" priority="31">
      <formula>$M$5&gt;0</formula>
    </cfRule>
  </conditionalFormatting>
  <conditionalFormatting sqref="J5:J9">
    <cfRule type="expression" dxfId="153" priority="1">
      <formula>$J5&gt;0</formula>
    </cfRule>
  </conditionalFormatting>
  <dataValidations count="2"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42">
      <formula1>AB12</formula1>
    </dataValidation>
    <dataValidation operator="greaterThanOrEqual" allowBlank="1" showInputMessage="1" showErrorMessage="1" sqref="E12:P42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0CEC643A-2C92-4B85-8D6C-37A396D3E2BA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0" id="{5075CB6B-DF9C-45DD-835A-B9ACFDB832AF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B12:R42</xm:sqref>
        </x14:conditionalFormatting>
        <x14:conditionalFormatting xmlns:xm="http://schemas.microsoft.com/office/excel/2006/main">
          <x14:cfRule type="expression" priority="6" id="{38CB0E3D-68B7-4D1E-9CCD-6823DAEA798B}">
            <xm:f>AND(Configurações!$C$11&gt;0,WEEKDAY($C12)=7,MOD(ROW(),2)=1)</xm:f>
            <x14:dxf>
              <fill>
                <patternFill>
                  <bgColor theme="4" tint="0.59996337778862885"/>
                </patternFill>
              </fill>
            </x14:dxf>
          </x14:cfRule>
          <xm:sqref>C14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9"/>
  <dimension ref="A2:AJ50"/>
  <sheetViews>
    <sheetView showGridLines="0" zoomScaleNormal="100" workbookViewId="0">
      <selection activeCell="P8" sqref="P8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16384" width="9.140625" style="10"/>
  </cols>
  <sheetData>
    <row r="2" spans="1:36" x14ac:dyDescent="0.25">
      <c r="A2" s="109" t="str">
        <f>IF(Configurações!C17 = 0,"",Configurações!C17)</f>
        <v/>
      </c>
      <c r="B2" s="109"/>
      <c r="C2" s="109"/>
      <c r="D2" s="109"/>
    </row>
    <row r="3" spans="1:36" ht="15.75" customHeight="1" thickBot="1" x14ac:dyDescent="0.3">
      <c r="A3" s="110" t="s">
        <v>90</v>
      </c>
      <c r="B3" s="110"/>
      <c r="C3" s="110"/>
      <c r="D3" s="110"/>
    </row>
    <row r="4" spans="1:36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36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SUM(M12:M42)</f>
        <v>0</v>
      </c>
      <c r="H5" s="13"/>
      <c r="I5" s="81" t="s">
        <v>31</v>
      </c>
      <c r="J5" s="16">
        <f>(SUM(S12:S42)*24)*Configurações!E15*(Configurações!I7+1)</f>
        <v>0</v>
      </c>
      <c r="K5" s="13"/>
      <c r="L5" s="81" t="s">
        <v>68</v>
      </c>
      <c r="M5" s="17">
        <f>SUM(J5:J9)</f>
        <v>0</v>
      </c>
      <c r="N5" s="14"/>
      <c r="O5" s="102" t="s">
        <v>44</v>
      </c>
      <c r="P5" s="103"/>
      <c r="Q5" s="18">
        <f>SUM(R12:R42)</f>
        <v>0</v>
      </c>
      <c r="W5" s="19"/>
    </row>
    <row r="6" spans="1:36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SUM(O12:O42)</f>
        <v>0</v>
      </c>
      <c r="H6" s="13"/>
      <c r="I6" s="81" t="s">
        <v>34</v>
      </c>
      <c r="J6" s="16">
        <f>(SUM(T12:T42)*24)*Configurações!E15*(Configurações!I10+1)</f>
        <v>0</v>
      </c>
      <c r="K6" s="13"/>
      <c r="L6" s="82" t="s">
        <v>69</v>
      </c>
      <c r="M6" s="21">
        <f ca="1">((G7*24)+(G6*24))*Configurações!E15</f>
        <v>0</v>
      </c>
      <c r="U6" s="19"/>
      <c r="W6" s="22"/>
    </row>
    <row r="7" spans="1:36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SUM(P12:P42)</f>
        <v>0</v>
      </c>
      <c r="H7" s="13"/>
      <c r="I7" s="81" t="s">
        <v>32</v>
      </c>
      <c r="J7" s="16">
        <f>(SUM(U12:U42)*24)*Configurações!E15*(Configurações!I9+1)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36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SUM(Q12:Q42)</f>
        <v>0</v>
      </c>
      <c r="H8" s="13"/>
      <c r="I8" s="81" t="s">
        <v>33</v>
      </c>
      <c r="J8" s="16">
        <f>(SUM(V12:V42)*24)*Configurações!E15*(Configurações!I8+1)</f>
        <v>0</v>
      </c>
      <c r="K8" s="13"/>
      <c r="L8" s="116" t="s">
        <v>63</v>
      </c>
      <c r="M8" s="117"/>
      <c r="N8" s="25"/>
      <c r="O8" s="81" t="s">
        <v>26</v>
      </c>
      <c r="P8" s="7">
        <v>0</v>
      </c>
    </row>
    <row r="9" spans="1:36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0</v>
      </c>
      <c r="H9" s="13"/>
      <c r="I9" s="82" t="s">
        <v>30</v>
      </c>
      <c r="J9" s="27">
        <f>((((SUM(N12:N42)*24)*Configurações!E15*(Configurações!I6+1)))-(SUM(N12:N42)*24)*Configurações!E15)</f>
        <v>0</v>
      </c>
      <c r="K9" s="13"/>
      <c r="L9" s="120">
        <f ca="1">SUM(M5:M6)</f>
        <v>0</v>
      </c>
      <c r="M9" s="121"/>
      <c r="N9" s="28"/>
      <c r="O9" s="82" t="s">
        <v>25</v>
      </c>
      <c r="P9" s="26">
        <f ca="1">SUM(P8,G9)</f>
        <v>0</v>
      </c>
    </row>
    <row r="10" spans="1:36" x14ac:dyDescent="0.25">
      <c r="B10" s="29">
        <v>41486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36" x14ac:dyDescent="0.25">
      <c r="A11" s="106" t="s">
        <v>80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36" x14ac:dyDescent="0.25">
      <c r="A12" s="106"/>
      <c r="B12" s="37">
        <f>IF(MONTH($B$10+ROW()-ROW($B$10)-2) = MONTH($B$10),$B$10+ROW()-ROW($B$10)-2,"")</f>
        <v>41486</v>
      </c>
      <c r="C12" s="38">
        <f t="shared" ref="C12:C42" si="0">B12</f>
        <v>41486</v>
      </c>
      <c r="D12" s="39" t="str">
        <f>IF(B12="","",IF(VerificaSeFeriado(B12),"Sim",""))</f>
        <v/>
      </c>
      <c r="E12" s="5"/>
      <c r="F12" s="5"/>
      <c r="G12" s="5"/>
      <c r="H12" s="5"/>
      <c r="I12" s="5"/>
      <c r="J12" s="5"/>
      <c r="K12" s="5"/>
      <c r="L12" s="5"/>
      <c r="M12" s="41" t="str">
        <f>IFERROR(IF((R12-AB12)&gt;(1*"00:00:01"),(R12-AB12),""),"")</f>
        <v/>
      </c>
      <c r="N12" s="42" t="str">
        <f>IF(SUM(W12:X12)*(1/52.5*60)&gt;0,SUM(W12:X12)*(1/52.5*60),"")</f>
        <v/>
      </c>
      <c r="O12" s="43" t="str">
        <f t="shared" ref="O12:O15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6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</v>
      </c>
      <c r="S12" s="44" t="str">
        <f>IF(D12="Sim",0,IF((OR(WEEKDAY(C12)=2,WEEKDAY(C12)=3,WEEKDAY(C12)=4,WEEKDAY(C12)=5,WEEKDAY(C12)=6))=TRUE,M12,IF(AND(WEEKDAY(C12)=7,Configurações!$C$11&gt;0)=TRUE,M12,IF(AND(WEEKDAY(C12)=1,Configurações!$C$12&gt;0)=TRUE,M12,0))))</f>
        <v/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:Y25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</row>
    <row r="13" spans="1:36" x14ac:dyDescent="0.25">
      <c r="A13" s="106"/>
      <c r="B13" s="37">
        <f t="shared" ref="B13:B42" si="3">IF(MONTH($B$10+ROW()-ROW($B$10)-2) = MONTH($B$10),$B$10+ROW()-ROW($B$10)-2,"")</f>
        <v>41487</v>
      </c>
      <c r="C13" s="38">
        <f t="shared" si="0"/>
        <v>41487</v>
      </c>
      <c r="D13" s="39" t="str">
        <f>IF(B13="","",IF(VerificaSeFeriado(B13),"Sim",""))</f>
        <v/>
      </c>
      <c r="E13" s="5"/>
      <c r="F13" s="5"/>
      <c r="G13" s="5"/>
      <c r="H13" s="5"/>
      <c r="I13" s="5"/>
      <c r="J13" s="5"/>
      <c r="K13" s="5"/>
      <c r="L13" s="5"/>
      <c r="M13" s="41" t="str">
        <f t="shared" ref="M13:M42" si="4">IFERROR(IF((R13-AB13)&gt;(1*"00:00:01"),(R13-AB13),""),"")</f>
        <v/>
      </c>
      <c r="N13" s="42" t="str">
        <f t="shared" ref="N13:N42" si="5">IF(SUM(W13:X13)*(1/52.5*60)&gt;0,SUM(W13:X13)*(1/52.5*60),"")</f>
        <v/>
      </c>
      <c r="O13" s="43" t="str">
        <f t="shared" si="1"/>
        <v/>
      </c>
      <c r="P13" s="43" t="str">
        <f t="shared" ref="P13:P42" ca="1" si="6">IF(TODAY()&lt;=B13,"",IF(D13="Sim","",IF(AND(AA13="Sim",E13="",G13="",I13="",K13="")=TRUE,IF(Q13-AB13&lt;0,Q13-AB13,""),"")))</f>
        <v/>
      </c>
      <c r="Q13" s="6"/>
      <c r="R13" s="40">
        <f t="shared" ref="R13:R42" si="7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 t="str">
        <f>IF(D13="Sim",0,IF((OR(WEEKDAY(C13)=2,WEEKDAY(C13)=3,WEEKDAY(C13)=4,WEEKDAY(C13)=5,WEEKDAY(C13)=6))=TRUE,M13,IF(AND(WEEKDAY(C13)=7,Configurações!$C$11&gt;0)=TRUE,M13,IF(AND(WEEKDAY(C13)=1,Configurações!$C$12&gt;0)=TRUE,M13,0))))</f>
        <v/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42" si="8">IF(D13="Sim",R13,0)</f>
        <v>0</v>
      </c>
      <c r="W13" s="44">
        <f t="shared" ref="W13:W42" si="9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42" si="10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si="2"/>
        <v>0</v>
      </c>
      <c r="Z13" s="45">
        <f t="shared" ref="Z13:Z42" si="11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42" si="12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42" si="13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42" si="14">IF(SUM(AG13:AH13)*(1/52.5*60)&gt;0,(SUM(AG13:AH13)*(1/52.5*60))-(SUM(AG13:AH13)),0)</f>
        <v>0</v>
      </c>
      <c r="AG13" s="84">
        <f t="shared" ref="AG13:AG42" si="15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42" si="16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42" si="17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42" si="18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36" x14ac:dyDescent="0.25">
      <c r="A14" s="106"/>
      <c r="B14" s="37">
        <f t="shared" si="3"/>
        <v>41488</v>
      </c>
      <c r="C14" s="38">
        <f t="shared" si="0"/>
        <v>41488</v>
      </c>
      <c r="D14" s="39" t="str">
        <f>IF(B14="","",IF(VerificaSeFeriado(B14),"Sim",""))</f>
        <v/>
      </c>
      <c r="E14" s="5"/>
      <c r="F14" s="5"/>
      <c r="G14" s="5"/>
      <c r="H14" s="5"/>
      <c r="I14" s="5"/>
      <c r="J14" s="5"/>
      <c r="K14" s="5"/>
      <c r="L14" s="5"/>
      <c r="M14" s="41" t="str">
        <f t="shared" si="4"/>
        <v/>
      </c>
      <c r="N14" s="42" t="str">
        <f t="shared" si="5"/>
        <v/>
      </c>
      <c r="O14" s="43" t="str">
        <f t="shared" si="1"/>
        <v/>
      </c>
      <c r="P14" s="43" t="str">
        <f t="shared" ca="1" si="6"/>
        <v/>
      </c>
      <c r="Q14" s="6"/>
      <c r="R14" s="40">
        <f t="shared" si="7"/>
        <v>0</v>
      </c>
      <c r="S14" s="44" t="str">
        <f>IF(D14="Sim",0,IF((OR(WEEKDAY(C14)=2,WEEKDAY(C14)=3,WEEKDAY(C14)=4,WEEKDAY(C14)=5,WEEKDAY(C14)=6))=TRUE,M14,IF(AND(WEEKDAY(C14)=7,Configurações!$C$11&gt;0)=TRUE,M14,IF(AND(WEEKDAY(C14)=1,Configurações!$C$12&gt;0)=TRUE,M14,0))))</f>
        <v/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8"/>
        <v>0</v>
      </c>
      <c r="W14" s="44">
        <f t="shared" si="9"/>
        <v>0</v>
      </c>
      <c r="X14" s="45">
        <f t="shared" si="10"/>
        <v>0</v>
      </c>
      <c r="Y14" s="44">
        <f t="shared" si="2"/>
        <v>0</v>
      </c>
      <c r="Z14" s="45">
        <f t="shared" si="11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2"/>
        <v/>
      </c>
      <c r="AE14" s="11" t="str">
        <f t="shared" si="13"/>
        <v/>
      </c>
      <c r="AF14" s="83">
        <f t="shared" si="14"/>
        <v>0</v>
      </c>
      <c r="AG14" s="84">
        <f t="shared" si="15"/>
        <v>0</v>
      </c>
      <c r="AH14" s="84">
        <f t="shared" si="16"/>
        <v>0</v>
      </c>
      <c r="AI14" s="84">
        <f t="shared" si="17"/>
        <v>0</v>
      </c>
      <c r="AJ14" s="84">
        <f t="shared" si="18"/>
        <v>0</v>
      </c>
    </row>
    <row r="15" spans="1:36" x14ac:dyDescent="0.25">
      <c r="A15" s="106"/>
      <c r="B15" s="37">
        <f t="shared" si="3"/>
        <v>41489</v>
      </c>
      <c r="C15" s="38">
        <f t="shared" si="0"/>
        <v>41489</v>
      </c>
      <c r="D15" s="39" t="str">
        <f>IF(B15="","",IF(VerificaSeFeriado(B15),"Sim",""))</f>
        <v/>
      </c>
      <c r="E15" s="5"/>
      <c r="F15" s="5"/>
      <c r="G15" s="5"/>
      <c r="H15" s="5"/>
      <c r="I15" s="5"/>
      <c r="J15" s="5"/>
      <c r="K15" s="5"/>
      <c r="L15" s="5"/>
      <c r="M15" s="41" t="str">
        <f t="shared" si="4"/>
        <v/>
      </c>
      <c r="N15" s="42" t="str">
        <f t="shared" si="5"/>
        <v/>
      </c>
      <c r="O15" s="43" t="str">
        <f t="shared" si="1"/>
        <v/>
      </c>
      <c r="P15" s="43" t="str">
        <f t="shared" ca="1" si="6"/>
        <v/>
      </c>
      <c r="Q15" s="6"/>
      <c r="R15" s="40">
        <f t="shared" si="7"/>
        <v>0</v>
      </c>
      <c r="S15" s="44" t="str">
        <f>IF(D15="Sim",0,IF((OR(WEEKDAY(C15)=2,WEEKDAY(C15)=3,WEEKDAY(C15)=4,WEEKDAY(C15)=5,WEEKDAY(C15)=6))=TRUE,M15,IF(AND(WEEKDAY(C15)=7,Configurações!$C$11&gt;0)=TRUE,M15,IF(AND(WEEKDAY(C15)=1,Configurações!$C$12&gt;0)=TRUE,M15,0))))</f>
        <v/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8"/>
        <v>0</v>
      </c>
      <c r="W15" s="44">
        <f t="shared" si="9"/>
        <v>0</v>
      </c>
      <c r="X15" s="45">
        <f t="shared" si="10"/>
        <v>0</v>
      </c>
      <c r="Y15" s="44">
        <f t="shared" si="2"/>
        <v>0</v>
      </c>
      <c r="Z15" s="45">
        <f t="shared" si="11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2"/>
        <v/>
      </c>
      <c r="AE15" s="11" t="str">
        <f t="shared" si="13"/>
        <v/>
      </c>
      <c r="AF15" s="83">
        <f t="shared" si="14"/>
        <v>0</v>
      </c>
      <c r="AG15" s="84">
        <f t="shared" si="15"/>
        <v>0</v>
      </c>
      <c r="AH15" s="84">
        <f t="shared" si="16"/>
        <v>0</v>
      </c>
      <c r="AI15" s="84">
        <f t="shared" si="17"/>
        <v>0</v>
      </c>
      <c r="AJ15" s="84">
        <f t="shared" si="18"/>
        <v>0</v>
      </c>
    </row>
    <row r="16" spans="1:36" x14ac:dyDescent="0.25">
      <c r="A16" s="106"/>
      <c r="B16" s="37">
        <f t="shared" si="3"/>
        <v>41490</v>
      </c>
      <c r="C16" s="38">
        <f t="shared" si="0"/>
        <v>41490</v>
      </c>
      <c r="D16" s="39" t="str">
        <f>IF(B16="","",IF(VerificaSeFeriado(B16),"Sim",""))</f>
        <v/>
      </c>
      <c r="E16" s="5"/>
      <c r="F16" s="5"/>
      <c r="G16" s="5"/>
      <c r="H16" s="5"/>
      <c r="I16" s="5"/>
      <c r="J16" s="5"/>
      <c r="K16" s="5"/>
      <c r="L16" s="5"/>
      <c r="M16" s="41" t="str">
        <f t="shared" si="4"/>
        <v/>
      </c>
      <c r="N16" s="42" t="str">
        <f t="shared" si="5"/>
        <v/>
      </c>
      <c r="O16" s="43" t="str">
        <f>IF(OR(D16="Sim",E16="")=TRUE,"",IF((R16-AB16)&gt;=(-"00:00:01"),"",(R16-AB16)))</f>
        <v/>
      </c>
      <c r="P16" s="43" t="str">
        <f t="shared" ca="1" si="6"/>
        <v/>
      </c>
      <c r="Q16" s="6"/>
      <c r="R16" s="40">
        <f t="shared" si="7"/>
        <v>0</v>
      </c>
      <c r="S16" s="44">
        <f>IF(D16="Sim",0,IF((OR(WEEKDAY(C16)=2,WEEKDAY(C16)=3,WEEKDAY(C16)=4,WEEKDAY(C16)=5,WEEKDAY(C16)=6))=TRUE,M16,IF(AND(WEEKDAY(C16)=7,Configurações!$C$11&gt;0)=TRUE,M16,IF(AND(WEEKDAY(C16)=1,Configurações!$C$12&gt;0)=TRUE,M16,0))))</f>
        <v>0</v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8"/>
        <v>0</v>
      </c>
      <c r="W16" s="44">
        <f t="shared" si="9"/>
        <v>0</v>
      </c>
      <c r="X16" s="45">
        <f t="shared" si="10"/>
        <v>0</v>
      </c>
      <c r="Y16" s="44">
        <f t="shared" si="2"/>
        <v>0</v>
      </c>
      <c r="Z16" s="45">
        <f t="shared" si="11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2"/>
        <v/>
      </c>
      <c r="AE16" s="11" t="str">
        <f t="shared" si="13"/>
        <v/>
      </c>
      <c r="AF16" s="83">
        <f t="shared" si="14"/>
        <v>0</v>
      </c>
      <c r="AG16" s="84">
        <f t="shared" si="15"/>
        <v>0</v>
      </c>
      <c r="AH16" s="84">
        <f t="shared" si="16"/>
        <v>0</v>
      </c>
      <c r="AI16" s="84">
        <f t="shared" si="17"/>
        <v>0</v>
      </c>
      <c r="AJ16" s="84">
        <f t="shared" si="18"/>
        <v>0</v>
      </c>
    </row>
    <row r="17" spans="1:36" x14ac:dyDescent="0.25">
      <c r="A17" s="106"/>
      <c r="B17" s="37">
        <f t="shared" si="3"/>
        <v>41491</v>
      </c>
      <c r="C17" s="38">
        <f t="shared" si="0"/>
        <v>41491</v>
      </c>
      <c r="D17" s="39" t="str">
        <f>IF(B17="","",IF(VerificaSeFeriado(B17),"Sim",""))</f>
        <v/>
      </c>
      <c r="E17" s="5"/>
      <c r="F17" s="5"/>
      <c r="G17" s="5"/>
      <c r="H17" s="5"/>
      <c r="I17" s="5"/>
      <c r="J17" s="5"/>
      <c r="K17" s="5"/>
      <c r="L17" s="5"/>
      <c r="M17" s="41" t="str">
        <f t="shared" si="4"/>
        <v/>
      </c>
      <c r="N17" s="42" t="str">
        <f t="shared" si="5"/>
        <v/>
      </c>
      <c r="O17" s="43" t="str">
        <f>IF(OR(D17="Sim",E17="")=TRUE,"",IF((R17-AB17)&gt;=(-"00:00:01"),"",(R17-AB17)))</f>
        <v/>
      </c>
      <c r="P17" s="43" t="str">
        <f t="shared" ca="1" si="6"/>
        <v/>
      </c>
      <c r="Q17" s="6"/>
      <c r="R17" s="40">
        <f t="shared" si="7"/>
        <v>0</v>
      </c>
      <c r="S17" s="44">
        <f>IF(D17="Sim",0,IF((OR(WEEKDAY(C17)=2,WEEKDAY(C17)=3,WEEKDAY(C17)=4,WEEKDAY(C17)=5,WEEKDAY(C17)=6))=TRUE,M17,IF(AND(WEEKDAY(C17)=7,Configurações!$C$11&gt;0)=TRUE,M17,IF(AND(WEEKDAY(C17)=1,Configurações!$C$12&gt;0)=TRUE,M17,0))))</f>
        <v>0</v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8"/>
        <v>0</v>
      </c>
      <c r="W17" s="44">
        <f t="shared" si="9"/>
        <v>0</v>
      </c>
      <c r="X17" s="45">
        <f t="shared" si="10"/>
        <v>0</v>
      </c>
      <c r="Y17" s="44">
        <f t="shared" si="2"/>
        <v>0</v>
      </c>
      <c r="Z17" s="45">
        <f t="shared" si="11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2"/>
        <v/>
      </c>
      <c r="AE17" s="11" t="str">
        <f t="shared" si="13"/>
        <v/>
      </c>
      <c r="AF17" s="83">
        <f t="shared" si="14"/>
        <v>0</v>
      </c>
      <c r="AG17" s="84">
        <f t="shared" si="15"/>
        <v>0</v>
      </c>
      <c r="AH17" s="84">
        <f t="shared" si="16"/>
        <v>0</v>
      </c>
      <c r="AI17" s="84">
        <f t="shared" si="17"/>
        <v>0</v>
      </c>
      <c r="AJ17" s="84">
        <f t="shared" si="18"/>
        <v>0</v>
      </c>
    </row>
    <row r="18" spans="1:36" x14ac:dyDescent="0.25">
      <c r="A18" s="106"/>
      <c r="B18" s="37">
        <f t="shared" si="3"/>
        <v>41492</v>
      </c>
      <c r="C18" s="38">
        <f t="shared" si="0"/>
        <v>41492</v>
      </c>
      <c r="D18" s="39" t="str">
        <f>IF(B18="","",IF(VerificaSeFeriado(B18),"Sim",""))</f>
        <v/>
      </c>
      <c r="E18" s="5"/>
      <c r="F18" s="5"/>
      <c r="G18" s="5"/>
      <c r="H18" s="5"/>
      <c r="I18" s="5"/>
      <c r="J18" s="5"/>
      <c r="K18" s="5"/>
      <c r="L18" s="5"/>
      <c r="M18" s="41" t="str">
        <f t="shared" si="4"/>
        <v/>
      </c>
      <c r="N18" s="42" t="str">
        <f t="shared" si="5"/>
        <v/>
      </c>
      <c r="O18" s="43" t="str">
        <f t="shared" ref="O18:O42" si="19">IF(OR(D18="Sim",E18="")=TRUE,"",IF((R18-AB18)&gt;=(-"00:00:01"),"",(R18-AB18)))</f>
        <v/>
      </c>
      <c r="P18" s="43" t="str">
        <f t="shared" ca="1" si="6"/>
        <v/>
      </c>
      <c r="Q18" s="6"/>
      <c r="R18" s="40">
        <f t="shared" si="7"/>
        <v>0</v>
      </c>
      <c r="S18" s="44" t="str">
        <f>IF(D18="Sim",0,IF((OR(WEEKDAY(C18)=2,WEEKDAY(C18)=3,WEEKDAY(C18)=4,WEEKDAY(C18)=5,WEEKDAY(C18)=6))=TRUE,M18,IF(AND(WEEKDAY(C18)=7,Configurações!$C$11&gt;0)=TRUE,M18,IF(AND(WEEKDAY(C18)=1,Configurações!$C$12&gt;0)=TRUE,M18,0))))</f>
        <v/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8"/>
        <v>0</v>
      </c>
      <c r="W18" s="44">
        <f t="shared" si="9"/>
        <v>0</v>
      </c>
      <c r="X18" s="45">
        <f t="shared" si="10"/>
        <v>0</v>
      </c>
      <c r="Y18" s="44">
        <f t="shared" si="2"/>
        <v>0</v>
      </c>
      <c r="Z18" s="45">
        <f t="shared" si="11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2"/>
        <v/>
      </c>
      <c r="AE18" s="11" t="str">
        <f t="shared" si="13"/>
        <v/>
      </c>
      <c r="AF18" s="83">
        <f t="shared" si="14"/>
        <v>0</v>
      </c>
      <c r="AG18" s="84">
        <f t="shared" si="15"/>
        <v>0</v>
      </c>
      <c r="AH18" s="84">
        <f t="shared" si="16"/>
        <v>0</v>
      </c>
      <c r="AI18" s="84">
        <f t="shared" si="17"/>
        <v>0</v>
      </c>
      <c r="AJ18" s="84">
        <f t="shared" si="18"/>
        <v>0</v>
      </c>
    </row>
    <row r="19" spans="1:36" x14ac:dyDescent="0.25">
      <c r="A19" s="106"/>
      <c r="B19" s="37">
        <f t="shared" si="3"/>
        <v>41493</v>
      </c>
      <c r="C19" s="38">
        <f t="shared" si="0"/>
        <v>41493</v>
      </c>
      <c r="D19" s="39" t="str">
        <f>IF(B19="","",IF(VerificaSeFeriado(B19),"Sim",""))</f>
        <v/>
      </c>
      <c r="E19" s="5"/>
      <c r="F19" s="5"/>
      <c r="G19" s="5"/>
      <c r="H19" s="5"/>
      <c r="I19" s="5"/>
      <c r="J19" s="5"/>
      <c r="K19" s="5"/>
      <c r="L19" s="5"/>
      <c r="M19" s="41" t="str">
        <f t="shared" si="4"/>
        <v/>
      </c>
      <c r="N19" s="42" t="str">
        <f t="shared" si="5"/>
        <v/>
      </c>
      <c r="O19" s="43" t="str">
        <f t="shared" si="19"/>
        <v/>
      </c>
      <c r="P19" s="43" t="str">
        <f t="shared" ca="1" si="6"/>
        <v/>
      </c>
      <c r="Q19" s="6"/>
      <c r="R19" s="40">
        <f t="shared" si="7"/>
        <v>0</v>
      </c>
      <c r="S19" s="44" t="str">
        <f>IF(D19="Sim",0,IF((OR(WEEKDAY(C19)=2,WEEKDAY(C19)=3,WEEKDAY(C19)=4,WEEKDAY(C19)=5,WEEKDAY(C19)=6))=TRUE,M19,IF(AND(WEEKDAY(C19)=7,Configurações!$C$11&gt;0)=TRUE,M19,IF(AND(WEEKDAY(C19)=1,Configurações!$C$12&gt;0)=TRUE,M19,0))))</f>
        <v/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8"/>
        <v>0</v>
      </c>
      <c r="W19" s="44">
        <f t="shared" si="9"/>
        <v>0</v>
      </c>
      <c r="X19" s="45">
        <f t="shared" si="10"/>
        <v>0</v>
      </c>
      <c r="Y19" s="44">
        <f t="shared" si="2"/>
        <v>0</v>
      </c>
      <c r="Z19" s="45">
        <f t="shared" si="11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2"/>
        <v/>
      </c>
      <c r="AE19" s="11" t="str">
        <f t="shared" si="13"/>
        <v/>
      </c>
      <c r="AF19" s="83">
        <f t="shared" si="14"/>
        <v>0</v>
      </c>
      <c r="AG19" s="84">
        <f t="shared" si="15"/>
        <v>0</v>
      </c>
      <c r="AH19" s="84">
        <f t="shared" si="16"/>
        <v>0</v>
      </c>
      <c r="AI19" s="84">
        <f t="shared" si="17"/>
        <v>0</v>
      </c>
      <c r="AJ19" s="84">
        <f t="shared" si="18"/>
        <v>0</v>
      </c>
    </row>
    <row r="20" spans="1:36" x14ac:dyDescent="0.25">
      <c r="A20" s="106"/>
      <c r="B20" s="37">
        <f t="shared" si="3"/>
        <v>41494</v>
      </c>
      <c r="C20" s="38">
        <f t="shared" si="0"/>
        <v>41494</v>
      </c>
      <c r="D20" s="39" t="str">
        <f>IF(B20="","",IF(VerificaSeFeriado(B20),"Sim",""))</f>
        <v/>
      </c>
      <c r="E20" s="5"/>
      <c r="F20" s="5"/>
      <c r="G20" s="5"/>
      <c r="H20" s="5"/>
      <c r="I20" s="5"/>
      <c r="J20" s="5"/>
      <c r="K20" s="5"/>
      <c r="L20" s="5"/>
      <c r="M20" s="41" t="str">
        <f t="shared" si="4"/>
        <v/>
      </c>
      <c r="N20" s="42" t="str">
        <f t="shared" si="5"/>
        <v/>
      </c>
      <c r="O20" s="43" t="str">
        <f t="shared" si="19"/>
        <v/>
      </c>
      <c r="P20" s="43" t="str">
        <f t="shared" ca="1" si="6"/>
        <v/>
      </c>
      <c r="Q20" s="6"/>
      <c r="R20" s="40">
        <f t="shared" si="7"/>
        <v>0</v>
      </c>
      <c r="S20" s="44" t="str">
        <f>IF(D20="Sim",0,IF((OR(WEEKDAY(C20)=2,WEEKDAY(C20)=3,WEEKDAY(C20)=4,WEEKDAY(C20)=5,WEEKDAY(C20)=6))=TRUE,M20,IF(AND(WEEKDAY(C20)=7,Configurações!$C$11&gt;0)=TRUE,M20,IF(AND(WEEKDAY(C20)=1,Configurações!$C$12&gt;0)=TRUE,M20,0))))</f>
        <v/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8"/>
        <v>0</v>
      </c>
      <c r="W20" s="44">
        <f t="shared" si="9"/>
        <v>0</v>
      </c>
      <c r="X20" s="45">
        <f t="shared" si="10"/>
        <v>0</v>
      </c>
      <c r="Y20" s="44">
        <f t="shared" si="2"/>
        <v>0</v>
      </c>
      <c r="Z20" s="45">
        <f t="shared" si="11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2"/>
        <v/>
      </c>
      <c r="AE20" s="11" t="str">
        <f t="shared" si="13"/>
        <v/>
      </c>
      <c r="AF20" s="83">
        <f t="shared" si="14"/>
        <v>0</v>
      </c>
      <c r="AG20" s="84">
        <f t="shared" si="15"/>
        <v>0</v>
      </c>
      <c r="AH20" s="84">
        <f t="shared" si="16"/>
        <v>0</v>
      </c>
      <c r="AI20" s="84">
        <f t="shared" si="17"/>
        <v>0</v>
      </c>
      <c r="AJ20" s="84">
        <f t="shared" si="18"/>
        <v>0</v>
      </c>
    </row>
    <row r="21" spans="1:36" x14ac:dyDescent="0.25">
      <c r="A21" s="106"/>
      <c r="B21" s="37">
        <f t="shared" si="3"/>
        <v>41495</v>
      </c>
      <c r="C21" s="38">
        <f t="shared" si="0"/>
        <v>41495</v>
      </c>
      <c r="D21" s="39" t="str">
        <f>IF(B21="","",IF(VerificaSeFeriado(B21),"Sim",""))</f>
        <v/>
      </c>
      <c r="E21" s="5"/>
      <c r="F21" s="5"/>
      <c r="G21" s="5"/>
      <c r="H21" s="5"/>
      <c r="I21" s="5"/>
      <c r="J21" s="5"/>
      <c r="K21" s="5"/>
      <c r="L21" s="5"/>
      <c r="M21" s="41" t="str">
        <f t="shared" si="4"/>
        <v/>
      </c>
      <c r="N21" s="42" t="str">
        <f t="shared" si="5"/>
        <v/>
      </c>
      <c r="O21" s="43" t="str">
        <f t="shared" si="19"/>
        <v/>
      </c>
      <c r="P21" s="43" t="str">
        <f t="shared" ca="1" si="6"/>
        <v/>
      </c>
      <c r="Q21" s="6"/>
      <c r="R21" s="40">
        <f t="shared" si="7"/>
        <v>0</v>
      </c>
      <c r="S21" s="44" t="str">
        <f>IF(D21="Sim",0,IF((OR(WEEKDAY(C21)=2,WEEKDAY(C21)=3,WEEKDAY(C21)=4,WEEKDAY(C21)=5,WEEKDAY(C21)=6))=TRUE,M21,IF(AND(WEEKDAY(C21)=7,Configurações!$C$11&gt;0)=TRUE,M21,IF(AND(WEEKDAY(C21)=1,Configurações!$C$12&gt;0)=TRUE,M21,0))))</f>
        <v/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8"/>
        <v>0</v>
      </c>
      <c r="W21" s="44">
        <f t="shared" si="9"/>
        <v>0</v>
      </c>
      <c r="X21" s="45">
        <f t="shared" si="10"/>
        <v>0</v>
      </c>
      <c r="Y21" s="44">
        <f t="shared" si="2"/>
        <v>0</v>
      </c>
      <c r="Z21" s="45">
        <f t="shared" si="11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2"/>
        <v/>
      </c>
      <c r="AE21" s="11" t="str">
        <f t="shared" si="13"/>
        <v/>
      </c>
      <c r="AF21" s="83">
        <f t="shared" si="14"/>
        <v>0</v>
      </c>
      <c r="AG21" s="84">
        <f t="shared" si="15"/>
        <v>0</v>
      </c>
      <c r="AH21" s="84">
        <f t="shared" si="16"/>
        <v>0</v>
      </c>
      <c r="AI21" s="84">
        <f t="shared" si="17"/>
        <v>0</v>
      </c>
      <c r="AJ21" s="84">
        <f t="shared" si="18"/>
        <v>0</v>
      </c>
    </row>
    <row r="22" spans="1:36" x14ac:dyDescent="0.25">
      <c r="A22" s="106"/>
      <c r="B22" s="37">
        <f t="shared" si="3"/>
        <v>41496</v>
      </c>
      <c r="C22" s="38">
        <f t="shared" si="0"/>
        <v>41496</v>
      </c>
      <c r="D22" s="39" t="str">
        <f>IF(B22="","",IF(VerificaSeFeriado(B22),"Sim",""))</f>
        <v/>
      </c>
      <c r="E22" s="5"/>
      <c r="F22" s="5"/>
      <c r="G22" s="5"/>
      <c r="H22" s="5"/>
      <c r="I22" s="5"/>
      <c r="J22" s="5"/>
      <c r="K22" s="5"/>
      <c r="L22" s="5"/>
      <c r="M22" s="41" t="str">
        <f t="shared" si="4"/>
        <v/>
      </c>
      <c r="N22" s="42" t="str">
        <f t="shared" si="5"/>
        <v/>
      </c>
      <c r="O22" s="43" t="str">
        <f>IF(OR(D22="Sim",E22="")=TRUE,"",IF((R22-AB22)&gt;=(-"00:00:01"),"",(R22-AB22)))</f>
        <v/>
      </c>
      <c r="P22" s="43" t="str">
        <f ca="1">IF(TODAY()&lt;=B22,"",IF(D22="Sim","",IF(AND(AA22="Sim",E22="",G22="",I22="",K22="")=TRUE,IF(Q22-AB22&lt;0,Q22-AB22,""),"")))</f>
        <v/>
      </c>
      <c r="Q22" s="6"/>
      <c r="R22" s="40">
        <f t="shared" si="7"/>
        <v>0</v>
      </c>
      <c r="S22" s="44" t="str">
        <f>IF(D22="Sim",0,IF((OR(WEEKDAY(C22)=2,WEEKDAY(C22)=3,WEEKDAY(C22)=4,WEEKDAY(C22)=5,WEEKDAY(C22)=6))=TRUE,M22,IF(AND(WEEKDAY(C22)=7,Configurações!$C$11&gt;0)=TRUE,M22,IF(AND(WEEKDAY(C22)=1,Configurações!$C$12&gt;0)=TRUE,M22,0))))</f>
        <v/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8"/>
        <v>0</v>
      </c>
      <c r="W22" s="44">
        <f t="shared" si="9"/>
        <v>0</v>
      </c>
      <c r="X22" s="45">
        <f t="shared" si="10"/>
        <v>0</v>
      </c>
      <c r="Y22" s="44">
        <f t="shared" si="2"/>
        <v>0</v>
      </c>
      <c r="Z22" s="45">
        <f t="shared" si="11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>IF(E22="","",IF(OR(AND(E22&gt;=(1*"22:00"),((1*"29:00")-E22-Y22)&gt;=AB22)=TRUE,AND(AND(E22&gt;=0,E22&lt;=(1*"5:00"))=TRUE,(1*"5:00")-E22-Y22&gt;=AB22)=TRUE)=TRUE,"Sumula",IF(OR(E22&gt;=(1*"22:00"),AND(E22&lt;(1*"5:00"),E22&gt;=(1*"0:00"))=TRUE)=TRUE,"Noite",IF(OR(H22&lt;E22,H22&gt;(1*"22:00"))=TRUE,"Dia",""))))</f>
        <v/>
      </c>
      <c r="AE22" s="11" t="str">
        <f t="shared" si="13"/>
        <v/>
      </c>
      <c r="AF22" s="83">
        <f t="shared" si="14"/>
        <v>0</v>
      </c>
      <c r="AG22" s="84">
        <f t="shared" si="15"/>
        <v>0</v>
      </c>
      <c r="AH22" s="84">
        <f t="shared" si="16"/>
        <v>0</v>
      </c>
      <c r="AI22" s="84">
        <f t="shared" si="17"/>
        <v>0</v>
      </c>
      <c r="AJ22" s="84">
        <f t="shared" si="18"/>
        <v>0</v>
      </c>
    </row>
    <row r="23" spans="1:36" x14ac:dyDescent="0.25">
      <c r="A23" s="106"/>
      <c r="B23" s="37">
        <f t="shared" si="3"/>
        <v>41497</v>
      </c>
      <c r="C23" s="38">
        <f t="shared" si="0"/>
        <v>41497</v>
      </c>
      <c r="D23" s="39" t="str">
        <f>IF(B23="","",IF(VerificaSeFeriado(B23),"Sim",""))</f>
        <v/>
      </c>
      <c r="E23" s="5"/>
      <c r="F23" s="5"/>
      <c r="G23" s="5"/>
      <c r="H23" s="5"/>
      <c r="I23" s="5"/>
      <c r="J23" s="5"/>
      <c r="K23" s="5"/>
      <c r="L23" s="5"/>
      <c r="M23" s="41" t="str">
        <f t="shared" si="4"/>
        <v/>
      </c>
      <c r="N23" s="42" t="str">
        <f t="shared" si="5"/>
        <v/>
      </c>
      <c r="O23" s="43" t="str">
        <f t="shared" si="19"/>
        <v/>
      </c>
      <c r="P23" s="43" t="str">
        <f t="shared" ca="1" si="6"/>
        <v/>
      </c>
      <c r="Q23" s="6"/>
      <c r="R23" s="40">
        <f t="shared" si="7"/>
        <v>0</v>
      </c>
      <c r="S23" s="44">
        <f>IF(D23="Sim",0,IF((OR(WEEKDAY(C23)=2,WEEKDAY(C23)=3,WEEKDAY(C23)=4,WEEKDAY(C23)=5,WEEKDAY(C23)=6))=TRUE,M23,IF(AND(WEEKDAY(C23)=7,Configurações!$C$11&gt;0)=TRUE,M23,IF(AND(WEEKDAY(C23)=1,Configurações!$C$12&gt;0)=TRUE,M23,0))))</f>
        <v>0</v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8"/>
        <v>0</v>
      </c>
      <c r="W23" s="44">
        <f t="shared" si="9"/>
        <v>0</v>
      </c>
      <c r="X23" s="45">
        <f t="shared" si="10"/>
        <v>0</v>
      </c>
      <c r="Y23" s="44">
        <f t="shared" si="2"/>
        <v>0</v>
      </c>
      <c r="Z23" s="45">
        <f t="shared" si="11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2"/>
        <v/>
      </c>
      <c r="AE23" s="11" t="str">
        <f t="shared" si="13"/>
        <v/>
      </c>
      <c r="AF23" s="83">
        <f t="shared" si="14"/>
        <v>0</v>
      </c>
      <c r="AG23" s="84">
        <f t="shared" si="15"/>
        <v>0</v>
      </c>
      <c r="AH23" s="84">
        <f t="shared" si="16"/>
        <v>0</v>
      </c>
      <c r="AI23" s="84">
        <f t="shared" si="17"/>
        <v>0</v>
      </c>
      <c r="AJ23" s="84">
        <f t="shared" si="18"/>
        <v>0</v>
      </c>
    </row>
    <row r="24" spans="1:36" x14ac:dyDescent="0.25">
      <c r="A24" s="106"/>
      <c r="B24" s="37">
        <f t="shared" si="3"/>
        <v>41498</v>
      </c>
      <c r="C24" s="38">
        <f t="shared" si="0"/>
        <v>41498</v>
      </c>
      <c r="D24" s="39" t="str">
        <f>IF(B24="","",IF(VerificaSeFeriado(B24),"Sim",""))</f>
        <v/>
      </c>
      <c r="E24" s="5"/>
      <c r="F24" s="5"/>
      <c r="G24" s="5"/>
      <c r="H24" s="5"/>
      <c r="I24" s="5"/>
      <c r="J24" s="5"/>
      <c r="K24" s="5"/>
      <c r="L24" s="5"/>
      <c r="M24" s="41" t="str">
        <f t="shared" si="4"/>
        <v/>
      </c>
      <c r="N24" s="42" t="str">
        <f t="shared" si="5"/>
        <v/>
      </c>
      <c r="O24" s="43" t="str">
        <f t="shared" si="19"/>
        <v/>
      </c>
      <c r="P24" s="43" t="str">
        <f t="shared" ca="1" si="6"/>
        <v/>
      </c>
      <c r="Q24" s="6"/>
      <c r="R24" s="40">
        <f t="shared" si="7"/>
        <v>0</v>
      </c>
      <c r="S24" s="44">
        <f>IF(D24="Sim",0,IF((OR(WEEKDAY(C24)=2,WEEKDAY(C24)=3,WEEKDAY(C24)=4,WEEKDAY(C24)=5,WEEKDAY(C24)=6))=TRUE,M24,IF(AND(WEEKDAY(C24)=7,Configurações!$C$11&gt;0)=TRUE,M24,IF(AND(WEEKDAY(C24)=1,Configurações!$C$12&gt;0)=TRUE,M24,0))))</f>
        <v>0</v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8"/>
        <v>0</v>
      </c>
      <c r="W24" s="44">
        <f t="shared" si="9"/>
        <v>0</v>
      </c>
      <c r="X24" s="45">
        <f t="shared" si="10"/>
        <v>0</v>
      </c>
      <c r="Y24" s="44">
        <f t="shared" si="2"/>
        <v>0</v>
      </c>
      <c r="Z24" s="45">
        <f t="shared" si="11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2"/>
        <v/>
      </c>
      <c r="AE24" s="11" t="str">
        <f t="shared" si="13"/>
        <v/>
      </c>
      <c r="AF24" s="83">
        <f t="shared" si="14"/>
        <v>0</v>
      </c>
      <c r="AG24" s="84">
        <f t="shared" si="15"/>
        <v>0</v>
      </c>
      <c r="AH24" s="84">
        <f t="shared" si="16"/>
        <v>0</v>
      </c>
      <c r="AI24" s="84">
        <f t="shared" si="17"/>
        <v>0</v>
      </c>
      <c r="AJ24" s="84">
        <f t="shared" si="18"/>
        <v>0</v>
      </c>
    </row>
    <row r="25" spans="1:36" x14ac:dyDescent="0.25">
      <c r="A25" s="106"/>
      <c r="B25" s="37">
        <f t="shared" si="3"/>
        <v>41499</v>
      </c>
      <c r="C25" s="38">
        <f t="shared" si="0"/>
        <v>41499</v>
      </c>
      <c r="D25" s="39" t="str">
        <f>IF(B25="","",IF(VerificaSeFeriado(B25),"Sim",""))</f>
        <v/>
      </c>
      <c r="E25" s="5"/>
      <c r="F25" s="5"/>
      <c r="G25" s="5"/>
      <c r="H25" s="5"/>
      <c r="I25" s="5"/>
      <c r="J25" s="5"/>
      <c r="K25" s="5"/>
      <c r="L25" s="5"/>
      <c r="M25" s="41" t="str">
        <f>IFERROR(IF((R25-AB25)&gt;(1*"00:00:01"),(R25-AB25),""),"")</f>
        <v/>
      </c>
      <c r="N25" s="42" t="str">
        <f t="shared" si="5"/>
        <v/>
      </c>
      <c r="O25" s="43" t="str">
        <f t="shared" si="19"/>
        <v/>
      </c>
      <c r="P25" s="43" t="str">
        <f t="shared" ca="1" si="6"/>
        <v/>
      </c>
      <c r="Q25" s="6"/>
      <c r="R25" s="40">
        <f t="shared" si="7"/>
        <v>0</v>
      </c>
      <c r="S25" s="44" t="str">
        <f>IF(D25="Sim",0,IF((OR(WEEKDAY(C25)=2,WEEKDAY(C25)=3,WEEKDAY(C25)=4,WEEKDAY(C25)=5,WEEKDAY(C25)=6))=TRUE,M25,IF(AND(WEEKDAY(C25)=7,Configurações!$C$11&gt;0)=TRUE,M25,IF(AND(WEEKDAY(C25)=1,Configurações!$C$12&gt;0)=TRUE,M25,0))))</f>
        <v/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8"/>
        <v>0</v>
      </c>
      <c r="W25" s="44">
        <f t="shared" si="9"/>
        <v>0</v>
      </c>
      <c r="X25" s="45">
        <f t="shared" si="10"/>
        <v>0</v>
      </c>
      <c r="Y25" s="44">
        <f t="shared" si="2"/>
        <v>0</v>
      </c>
      <c r="Z25" s="45">
        <f t="shared" si="11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2"/>
        <v/>
      </c>
      <c r="AE25" s="11" t="str">
        <f t="shared" si="13"/>
        <v/>
      </c>
      <c r="AF25" s="83">
        <f t="shared" si="14"/>
        <v>0</v>
      </c>
      <c r="AG25" s="84">
        <f t="shared" si="15"/>
        <v>0</v>
      </c>
      <c r="AH25" s="84">
        <f t="shared" si="16"/>
        <v>0</v>
      </c>
      <c r="AI25" s="84">
        <f t="shared" si="17"/>
        <v>0</v>
      </c>
      <c r="AJ25" s="84">
        <f t="shared" si="18"/>
        <v>0</v>
      </c>
    </row>
    <row r="26" spans="1:36" x14ac:dyDescent="0.25">
      <c r="A26" s="106"/>
      <c r="B26" s="37">
        <f t="shared" si="3"/>
        <v>41500</v>
      </c>
      <c r="C26" s="38">
        <f t="shared" si="0"/>
        <v>41500</v>
      </c>
      <c r="D26" s="39" t="str">
        <f>IF(B26="","",IF(VerificaSeFeriado(B26),"Sim",""))</f>
        <v/>
      </c>
      <c r="E26" s="5"/>
      <c r="F26" s="5"/>
      <c r="G26" s="5"/>
      <c r="H26" s="5"/>
      <c r="I26" s="5"/>
      <c r="J26" s="5"/>
      <c r="K26" s="5"/>
      <c r="L26" s="5"/>
      <c r="M26" s="41" t="str">
        <f t="shared" si="4"/>
        <v/>
      </c>
      <c r="N26" s="42" t="str">
        <f t="shared" si="5"/>
        <v/>
      </c>
      <c r="O26" s="43" t="str">
        <f t="shared" si="19"/>
        <v/>
      </c>
      <c r="P26" s="43" t="str">
        <f t="shared" ca="1" si="6"/>
        <v/>
      </c>
      <c r="Q26" s="6"/>
      <c r="R26" s="40">
        <f t="shared" si="7"/>
        <v>0</v>
      </c>
      <c r="S26" s="44" t="str">
        <f>IF(D26="Sim",0,IF((OR(WEEKDAY(C26)=2,WEEKDAY(C26)=3,WEEKDAY(C26)=4,WEEKDAY(C26)=5,WEEKDAY(C26)=6))=TRUE,M26,IF(AND(WEEKDAY(C26)=7,Configurações!$C$11&gt;0)=TRUE,M26,IF(AND(WEEKDAY(C26)=1,Configurações!$C$12&gt;0)=TRUE,M26,0))))</f>
        <v/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8"/>
        <v>0</v>
      </c>
      <c r="W26" s="44">
        <f t="shared" si="9"/>
        <v>0</v>
      </c>
      <c r="X26" s="45">
        <f t="shared" si="10"/>
        <v>0</v>
      </c>
      <c r="Y26" s="44">
        <f>IF(F26="",0,IF(AND(F26&lt;(1*"22:00"),F26&gt;=(1*"5:00"),G26&lt;(1*"22:00"),G26&gt;(1*"5:00"))=TRUE,0,IF(F26&gt;=(1*"22:00"),IF(G26&gt;F26,G26-F26,G26+(1*"24:00")-F26),IF(F26&lt;(1*"5:00"),IF(G26&lt;(1*"5:00"),G26-F26,(1*"5:00")-F26),IF(G26&gt;F26,G26-(1*"22:00"),G26+(1*"24:00")-(1*"22:00"))))))</f>
        <v>0</v>
      </c>
      <c r="Z26" s="45">
        <f t="shared" si="11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2"/>
        <v/>
      </c>
      <c r="AE26" s="11" t="str">
        <f t="shared" si="13"/>
        <v/>
      </c>
      <c r="AF26" s="83">
        <f t="shared" si="14"/>
        <v>0</v>
      </c>
      <c r="AG26" s="84">
        <f t="shared" si="15"/>
        <v>0</v>
      </c>
      <c r="AH26" s="84">
        <f t="shared" si="16"/>
        <v>0</v>
      </c>
      <c r="AI26" s="84">
        <f t="shared" si="17"/>
        <v>0</v>
      </c>
      <c r="AJ26" s="84">
        <f t="shared" si="18"/>
        <v>0</v>
      </c>
    </row>
    <row r="27" spans="1:36" x14ac:dyDescent="0.25">
      <c r="A27" s="106"/>
      <c r="B27" s="37">
        <f t="shared" si="3"/>
        <v>41501</v>
      </c>
      <c r="C27" s="38">
        <f t="shared" si="0"/>
        <v>41501</v>
      </c>
      <c r="D27" s="39" t="str">
        <f>IF(B27="","",IF(VerificaSeFeriado(B27),"Sim",""))</f>
        <v/>
      </c>
      <c r="E27" s="5"/>
      <c r="F27" s="5"/>
      <c r="G27" s="5"/>
      <c r="H27" s="5"/>
      <c r="I27" s="5"/>
      <c r="J27" s="5"/>
      <c r="K27" s="5"/>
      <c r="L27" s="5"/>
      <c r="M27" s="41" t="str">
        <f t="shared" si="4"/>
        <v/>
      </c>
      <c r="N27" s="42" t="str">
        <f t="shared" si="5"/>
        <v/>
      </c>
      <c r="O27" s="43" t="str">
        <f t="shared" si="19"/>
        <v/>
      </c>
      <c r="P27" s="43" t="str">
        <f t="shared" ca="1" si="6"/>
        <v/>
      </c>
      <c r="Q27" s="6"/>
      <c r="R27" s="40">
        <f t="shared" si="7"/>
        <v>0</v>
      </c>
      <c r="S27" s="44" t="str">
        <f>IF(D27="Sim",0,IF((OR(WEEKDAY(C27)=2,WEEKDAY(C27)=3,WEEKDAY(C27)=4,WEEKDAY(C27)=5,WEEKDAY(C27)=6))=TRUE,M27,IF(AND(WEEKDAY(C27)=7,Configurações!$C$11&gt;0)=TRUE,M27,IF(AND(WEEKDAY(C27)=1,Configurações!$C$12&gt;0)=TRUE,M27,0))))</f>
        <v/>
      </c>
      <c r="T27" s="44">
        <f>IF(D27="Sim",0,IF(AND(WEEKDAY(C27)=7,Configurações!$C$11&lt;=0)=TRUE,R27,0))</f>
        <v>0</v>
      </c>
      <c r="U27" s="44">
        <f>IF(D27="Sim",0,IF(AND(WEEKDAY(C27)=1,Configurações!$C$12&lt;=0)=TRUE,R27,0))</f>
        <v>0</v>
      </c>
      <c r="V27" s="44">
        <f t="shared" si="8"/>
        <v>0</v>
      </c>
      <c r="W27" s="44">
        <f t="shared" si="9"/>
        <v>0</v>
      </c>
      <c r="X27" s="45">
        <f t="shared" si="10"/>
        <v>0</v>
      </c>
      <c r="Y27" s="44">
        <f t="shared" ref="Y27:Y42" si="20">IF(F27="",0,IF(AND(F27&lt;(1*"22:00"),F27&gt;=(1*"5:00"),G27&lt;(1*"22:00"),G27&gt;(1*"5:00"))=TRUE,0,IF(F27&gt;=(1*"22:00"),IF(G27&gt;F27,G27-F27,G27+(1*"24:00")-F27),IF(F27&lt;(1*"5:00"),IF(G27&lt;(1*"5:00"),G27-F27,(1*"5:00")-F27),IF(G27&gt;F27,G27-(1*"22:00"),G27+(1*"24:00")-(1*"22:00"))))))</f>
        <v>0</v>
      </c>
      <c r="Z27" s="45">
        <f t="shared" si="11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2"/>
        <v/>
      </c>
      <c r="AE27" s="11" t="str">
        <f t="shared" si="13"/>
        <v/>
      </c>
      <c r="AF27" s="83">
        <f t="shared" si="14"/>
        <v>0</v>
      </c>
      <c r="AG27" s="84">
        <f t="shared" si="15"/>
        <v>0</v>
      </c>
      <c r="AH27" s="84">
        <f t="shared" si="16"/>
        <v>0</v>
      </c>
      <c r="AI27" s="84">
        <f t="shared" si="17"/>
        <v>0</v>
      </c>
      <c r="AJ27" s="84">
        <f t="shared" si="18"/>
        <v>0</v>
      </c>
    </row>
    <row r="28" spans="1:36" x14ac:dyDescent="0.25">
      <c r="A28" s="106"/>
      <c r="B28" s="37">
        <f t="shared" si="3"/>
        <v>41502</v>
      </c>
      <c r="C28" s="38">
        <f t="shared" si="0"/>
        <v>41502</v>
      </c>
      <c r="D28" s="39" t="str">
        <f>IF(B28="","",IF(VerificaSeFeriado(B28),"Sim",""))</f>
        <v/>
      </c>
      <c r="E28" s="5"/>
      <c r="F28" s="5"/>
      <c r="G28" s="5"/>
      <c r="H28" s="5"/>
      <c r="I28" s="5"/>
      <c r="J28" s="5"/>
      <c r="K28" s="5"/>
      <c r="L28" s="5"/>
      <c r="M28" s="41" t="str">
        <f t="shared" si="4"/>
        <v/>
      </c>
      <c r="N28" s="42" t="str">
        <f t="shared" si="5"/>
        <v/>
      </c>
      <c r="O28" s="43" t="str">
        <f t="shared" si="19"/>
        <v/>
      </c>
      <c r="P28" s="43" t="str">
        <f t="shared" ca="1" si="6"/>
        <v/>
      </c>
      <c r="Q28" s="6"/>
      <c r="R28" s="40">
        <f t="shared" si="7"/>
        <v>0</v>
      </c>
      <c r="S28" s="44" t="str">
        <f>IF(D28="Sim",0,IF((OR(WEEKDAY(C28)=2,WEEKDAY(C28)=3,WEEKDAY(C28)=4,WEEKDAY(C28)=5,WEEKDAY(C28)=6))=TRUE,M28,IF(AND(WEEKDAY(C28)=7,Configurações!$C$11&gt;0)=TRUE,M28,IF(AND(WEEKDAY(C28)=1,Configurações!$C$12&gt;0)=TRUE,M28,0))))</f>
        <v/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8"/>
        <v>0</v>
      </c>
      <c r="W28" s="44">
        <f t="shared" si="9"/>
        <v>0</v>
      </c>
      <c r="X28" s="45">
        <f t="shared" si="10"/>
        <v>0</v>
      </c>
      <c r="Y28" s="44">
        <f t="shared" si="20"/>
        <v>0</v>
      </c>
      <c r="Z28" s="45">
        <f t="shared" si="11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2"/>
        <v/>
      </c>
      <c r="AE28" s="11" t="str">
        <f t="shared" si="13"/>
        <v/>
      </c>
      <c r="AF28" s="83">
        <f t="shared" si="14"/>
        <v>0</v>
      </c>
      <c r="AG28" s="84">
        <f t="shared" si="15"/>
        <v>0</v>
      </c>
      <c r="AH28" s="84">
        <f t="shared" si="16"/>
        <v>0</v>
      </c>
      <c r="AI28" s="84">
        <f t="shared" si="17"/>
        <v>0</v>
      </c>
      <c r="AJ28" s="84">
        <f t="shared" si="18"/>
        <v>0</v>
      </c>
    </row>
    <row r="29" spans="1:36" x14ac:dyDescent="0.25">
      <c r="A29" s="106"/>
      <c r="B29" s="37">
        <f t="shared" si="3"/>
        <v>41503</v>
      </c>
      <c r="C29" s="38">
        <f t="shared" si="0"/>
        <v>41503</v>
      </c>
      <c r="D29" s="39" t="str">
        <f>IF(B29="","",IF(VerificaSeFeriado(B29),"Sim",""))</f>
        <v/>
      </c>
      <c r="E29" s="5"/>
      <c r="F29" s="5"/>
      <c r="G29" s="5"/>
      <c r="H29" s="5"/>
      <c r="I29" s="5"/>
      <c r="J29" s="5"/>
      <c r="K29" s="5"/>
      <c r="L29" s="5"/>
      <c r="M29" s="41" t="str">
        <f t="shared" si="4"/>
        <v/>
      </c>
      <c r="N29" s="42" t="str">
        <f t="shared" si="5"/>
        <v/>
      </c>
      <c r="O29" s="43" t="str">
        <f t="shared" si="19"/>
        <v/>
      </c>
      <c r="P29" s="43" t="str">
        <f t="shared" ca="1" si="6"/>
        <v/>
      </c>
      <c r="Q29" s="6"/>
      <c r="R29" s="40">
        <f t="shared" si="7"/>
        <v>0</v>
      </c>
      <c r="S29" s="44" t="str">
        <f>IF(D29="Sim",0,IF((OR(WEEKDAY(C29)=2,WEEKDAY(C29)=3,WEEKDAY(C29)=4,WEEKDAY(C29)=5,WEEKDAY(C29)=6))=TRUE,M29,IF(AND(WEEKDAY(C29)=7,Configurações!$C$11&gt;0)=TRUE,M29,IF(AND(WEEKDAY(C29)=1,Configurações!$C$12&gt;0)=TRUE,M29,0))))</f>
        <v/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8"/>
        <v>0</v>
      </c>
      <c r="W29" s="44">
        <f t="shared" si="9"/>
        <v>0</v>
      </c>
      <c r="X29" s="45">
        <f t="shared" si="10"/>
        <v>0</v>
      </c>
      <c r="Y29" s="44">
        <f t="shared" si="20"/>
        <v>0</v>
      </c>
      <c r="Z29" s="45">
        <f t="shared" si="11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2"/>
        <v/>
      </c>
      <c r="AE29" s="11" t="str">
        <f t="shared" si="13"/>
        <v/>
      </c>
      <c r="AF29" s="83">
        <f t="shared" si="14"/>
        <v>0</v>
      </c>
      <c r="AG29" s="84">
        <f t="shared" si="15"/>
        <v>0</v>
      </c>
      <c r="AH29" s="84">
        <f t="shared" si="16"/>
        <v>0</v>
      </c>
      <c r="AI29" s="84">
        <f t="shared" si="17"/>
        <v>0</v>
      </c>
      <c r="AJ29" s="84">
        <f t="shared" si="18"/>
        <v>0</v>
      </c>
    </row>
    <row r="30" spans="1:36" x14ac:dyDescent="0.25">
      <c r="A30" s="106"/>
      <c r="B30" s="37">
        <f t="shared" si="3"/>
        <v>41504</v>
      </c>
      <c r="C30" s="38">
        <f t="shared" si="0"/>
        <v>41504</v>
      </c>
      <c r="D30" s="39" t="str">
        <f>IF(B30="","",IF(VerificaSeFeriado(B30),"Sim",""))</f>
        <v/>
      </c>
      <c r="E30" s="5"/>
      <c r="F30" s="5"/>
      <c r="G30" s="5"/>
      <c r="H30" s="5"/>
      <c r="I30" s="5"/>
      <c r="J30" s="5"/>
      <c r="K30" s="5"/>
      <c r="L30" s="5"/>
      <c r="M30" s="41" t="str">
        <f t="shared" si="4"/>
        <v/>
      </c>
      <c r="N30" s="42" t="str">
        <f t="shared" si="5"/>
        <v/>
      </c>
      <c r="O30" s="43" t="str">
        <f t="shared" si="19"/>
        <v/>
      </c>
      <c r="P30" s="43" t="str">
        <f t="shared" ca="1" si="6"/>
        <v/>
      </c>
      <c r="Q30" s="6"/>
      <c r="R30" s="40">
        <f t="shared" si="7"/>
        <v>0</v>
      </c>
      <c r="S30" s="44">
        <f>IF(D30="Sim",0,IF((OR(WEEKDAY(C30)=2,WEEKDAY(C30)=3,WEEKDAY(C30)=4,WEEKDAY(C30)=5,WEEKDAY(C30)=6))=TRUE,M30,IF(AND(WEEKDAY(C30)=7,Configurações!$C$11&gt;0)=TRUE,M30,IF(AND(WEEKDAY(C30)=1,Configurações!$C$12&gt;0)=TRUE,M30,0))))</f>
        <v>0</v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8"/>
        <v>0</v>
      </c>
      <c r="W30" s="44">
        <f t="shared" si="9"/>
        <v>0</v>
      </c>
      <c r="X30" s="45">
        <f t="shared" si="10"/>
        <v>0</v>
      </c>
      <c r="Y30" s="44">
        <f t="shared" si="20"/>
        <v>0</v>
      </c>
      <c r="Z30" s="45">
        <f t="shared" si="11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2"/>
        <v/>
      </c>
      <c r="AE30" s="11" t="str">
        <f t="shared" si="13"/>
        <v/>
      </c>
      <c r="AF30" s="83">
        <f t="shared" si="14"/>
        <v>0</v>
      </c>
      <c r="AG30" s="84">
        <f t="shared" si="15"/>
        <v>0</v>
      </c>
      <c r="AH30" s="84">
        <f t="shared" si="16"/>
        <v>0</v>
      </c>
      <c r="AI30" s="84">
        <f t="shared" si="17"/>
        <v>0</v>
      </c>
      <c r="AJ30" s="84">
        <f t="shared" si="18"/>
        <v>0</v>
      </c>
    </row>
    <row r="31" spans="1:36" x14ac:dyDescent="0.25">
      <c r="A31" s="106"/>
      <c r="B31" s="37">
        <f t="shared" si="3"/>
        <v>41505</v>
      </c>
      <c r="C31" s="38">
        <f t="shared" si="0"/>
        <v>41505</v>
      </c>
      <c r="D31" s="39" t="str">
        <f>IF(B31="","",IF(VerificaSeFeriado(B31),"Sim",""))</f>
        <v/>
      </c>
      <c r="E31" s="5"/>
      <c r="F31" s="5"/>
      <c r="G31" s="5"/>
      <c r="H31" s="5"/>
      <c r="I31" s="5"/>
      <c r="J31" s="5"/>
      <c r="K31" s="5"/>
      <c r="L31" s="5"/>
      <c r="M31" s="41" t="str">
        <f t="shared" si="4"/>
        <v/>
      </c>
      <c r="N31" s="42" t="str">
        <f t="shared" si="5"/>
        <v/>
      </c>
      <c r="O31" s="43" t="str">
        <f t="shared" si="19"/>
        <v/>
      </c>
      <c r="P31" s="43" t="str">
        <f t="shared" ca="1" si="6"/>
        <v/>
      </c>
      <c r="Q31" s="6"/>
      <c r="R31" s="40">
        <f t="shared" si="7"/>
        <v>0</v>
      </c>
      <c r="S31" s="44">
        <f>IF(D31="Sim",0,IF((OR(WEEKDAY(C31)=2,WEEKDAY(C31)=3,WEEKDAY(C31)=4,WEEKDAY(C31)=5,WEEKDAY(C31)=6))=TRUE,M31,IF(AND(WEEKDAY(C31)=7,Configurações!$C$11&gt;0)=TRUE,M31,IF(AND(WEEKDAY(C31)=1,Configurações!$C$12&gt;0)=TRUE,M31,0))))</f>
        <v>0</v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8"/>
        <v>0</v>
      </c>
      <c r="W31" s="44">
        <f t="shared" si="9"/>
        <v>0</v>
      </c>
      <c r="X31" s="45">
        <f t="shared" si="10"/>
        <v>0</v>
      </c>
      <c r="Y31" s="44">
        <f t="shared" si="20"/>
        <v>0</v>
      </c>
      <c r="Z31" s="45">
        <f t="shared" si="11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2"/>
        <v/>
      </c>
      <c r="AE31" s="11" t="str">
        <f t="shared" si="13"/>
        <v/>
      </c>
      <c r="AF31" s="83">
        <f t="shared" si="14"/>
        <v>0</v>
      </c>
      <c r="AG31" s="84">
        <f t="shared" si="15"/>
        <v>0</v>
      </c>
      <c r="AH31" s="84">
        <f t="shared" si="16"/>
        <v>0</v>
      </c>
      <c r="AI31" s="84">
        <f t="shared" si="17"/>
        <v>0</v>
      </c>
      <c r="AJ31" s="84">
        <f t="shared" si="18"/>
        <v>0</v>
      </c>
    </row>
    <row r="32" spans="1:36" x14ac:dyDescent="0.25">
      <c r="A32" s="106"/>
      <c r="B32" s="37">
        <f t="shared" si="3"/>
        <v>41506</v>
      </c>
      <c r="C32" s="38">
        <f t="shared" si="0"/>
        <v>41506</v>
      </c>
      <c r="D32" s="39" t="str">
        <f>IF(B32="","",IF(VerificaSeFeriado(B32),"Sim",""))</f>
        <v/>
      </c>
      <c r="E32" s="5"/>
      <c r="F32" s="5"/>
      <c r="G32" s="5"/>
      <c r="H32" s="5"/>
      <c r="I32" s="5"/>
      <c r="J32" s="5"/>
      <c r="K32" s="5"/>
      <c r="L32" s="5"/>
      <c r="M32" s="41" t="str">
        <f t="shared" si="4"/>
        <v/>
      </c>
      <c r="N32" s="42" t="str">
        <f t="shared" si="5"/>
        <v/>
      </c>
      <c r="O32" s="43" t="str">
        <f t="shared" si="19"/>
        <v/>
      </c>
      <c r="P32" s="43" t="str">
        <f t="shared" ca="1" si="6"/>
        <v/>
      </c>
      <c r="Q32" s="6"/>
      <c r="R32" s="40">
        <f t="shared" si="7"/>
        <v>0</v>
      </c>
      <c r="S32" s="44" t="str">
        <f>IF(D32="Sim",0,IF((OR(WEEKDAY(C32)=2,WEEKDAY(C32)=3,WEEKDAY(C32)=4,WEEKDAY(C32)=5,WEEKDAY(C32)=6))=TRUE,M32,IF(AND(WEEKDAY(C32)=7,Configurações!$C$11&gt;0)=TRUE,M32,IF(AND(WEEKDAY(C32)=1,Configurações!$C$12&gt;0)=TRUE,M32,0))))</f>
        <v/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8"/>
        <v>0</v>
      </c>
      <c r="W32" s="44">
        <f t="shared" si="9"/>
        <v>0</v>
      </c>
      <c r="X32" s="45">
        <f t="shared" si="10"/>
        <v>0</v>
      </c>
      <c r="Y32" s="44">
        <f t="shared" si="20"/>
        <v>0</v>
      </c>
      <c r="Z32" s="45">
        <f t="shared" si="11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2"/>
        <v/>
      </c>
      <c r="AE32" s="11" t="str">
        <f t="shared" si="13"/>
        <v/>
      </c>
      <c r="AF32" s="83">
        <f t="shared" si="14"/>
        <v>0</v>
      </c>
      <c r="AG32" s="84">
        <f t="shared" si="15"/>
        <v>0</v>
      </c>
      <c r="AH32" s="84">
        <f t="shared" si="16"/>
        <v>0</v>
      </c>
      <c r="AI32" s="84">
        <f t="shared" si="17"/>
        <v>0</v>
      </c>
      <c r="AJ32" s="84">
        <f t="shared" si="18"/>
        <v>0</v>
      </c>
    </row>
    <row r="33" spans="1:36" x14ac:dyDescent="0.25">
      <c r="A33" s="106"/>
      <c r="B33" s="37">
        <f t="shared" si="3"/>
        <v>41507</v>
      </c>
      <c r="C33" s="38">
        <f t="shared" si="0"/>
        <v>41507</v>
      </c>
      <c r="D33" s="39" t="str">
        <f>IF(B33="","",IF(VerificaSeFeriado(B33),"Sim",""))</f>
        <v/>
      </c>
      <c r="E33" s="5"/>
      <c r="F33" s="5"/>
      <c r="G33" s="5"/>
      <c r="H33" s="5"/>
      <c r="I33" s="5"/>
      <c r="J33" s="5"/>
      <c r="K33" s="5"/>
      <c r="L33" s="5"/>
      <c r="M33" s="41" t="str">
        <f t="shared" si="4"/>
        <v/>
      </c>
      <c r="N33" s="42" t="str">
        <f t="shared" si="5"/>
        <v/>
      </c>
      <c r="O33" s="43" t="str">
        <f t="shared" si="19"/>
        <v/>
      </c>
      <c r="P33" s="43" t="str">
        <f t="shared" ca="1" si="6"/>
        <v/>
      </c>
      <c r="Q33" s="6"/>
      <c r="R33" s="40">
        <f t="shared" si="7"/>
        <v>0</v>
      </c>
      <c r="S33" s="44" t="str">
        <f>IF(D33="Sim",0,IF((OR(WEEKDAY(C33)=2,WEEKDAY(C33)=3,WEEKDAY(C33)=4,WEEKDAY(C33)=5,WEEKDAY(C33)=6))=TRUE,M33,IF(AND(WEEKDAY(C33)=7,Configurações!$C$11&gt;0)=TRUE,M33,IF(AND(WEEKDAY(C33)=1,Configurações!$C$12&gt;0)=TRUE,M33,0))))</f>
        <v/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8"/>
        <v>0</v>
      </c>
      <c r="W33" s="44">
        <f t="shared" si="9"/>
        <v>0</v>
      </c>
      <c r="X33" s="45">
        <f t="shared" si="10"/>
        <v>0</v>
      </c>
      <c r="Y33" s="44">
        <f t="shared" si="20"/>
        <v>0</v>
      </c>
      <c r="Z33" s="45">
        <f t="shared" si="11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2"/>
        <v/>
      </c>
      <c r="AE33" s="11" t="str">
        <f t="shared" si="13"/>
        <v/>
      </c>
      <c r="AF33" s="83">
        <f t="shared" si="14"/>
        <v>0</v>
      </c>
      <c r="AG33" s="84">
        <f t="shared" si="15"/>
        <v>0</v>
      </c>
      <c r="AH33" s="84">
        <f t="shared" si="16"/>
        <v>0</v>
      </c>
      <c r="AI33" s="84">
        <f t="shared" si="17"/>
        <v>0</v>
      </c>
      <c r="AJ33" s="84">
        <f t="shared" si="18"/>
        <v>0</v>
      </c>
    </row>
    <row r="34" spans="1:36" x14ac:dyDescent="0.25">
      <c r="A34" s="106"/>
      <c r="B34" s="37">
        <f t="shared" si="3"/>
        <v>41508</v>
      </c>
      <c r="C34" s="38">
        <f t="shared" si="0"/>
        <v>41508</v>
      </c>
      <c r="D34" s="39" t="str">
        <f>IF(B34="","",IF(VerificaSeFeriado(B34),"Sim",""))</f>
        <v/>
      </c>
      <c r="E34" s="5"/>
      <c r="F34" s="5"/>
      <c r="G34" s="5"/>
      <c r="H34" s="5"/>
      <c r="I34" s="5"/>
      <c r="J34" s="5"/>
      <c r="K34" s="5"/>
      <c r="L34" s="5"/>
      <c r="M34" s="41" t="str">
        <f t="shared" si="4"/>
        <v/>
      </c>
      <c r="N34" s="42" t="str">
        <f t="shared" si="5"/>
        <v/>
      </c>
      <c r="O34" s="43" t="str">
        <f t="shared" si="19"/>
        <v/>
      </c>
      <c r="P34" s="43" t="str">
        <f t="shared" ca="1" si="6"/>
        <v/>
      </c>
      <c r="Q34" s="6"/>
      <c r="R34" s="40">
        <f t="shared" si="7"/>
        <v>0</v>
      </c>
      <c r="S34" s="44" t="str">
        <f>IF(D34="Sim",0,IF((OR(WEEKDAY(C34)=2,WEEKDAY(C34)=3,WEEKDAY(C34)=4,WEEKDAY(C34)=5,WEEKDAY(C34)=6))=TRUE,M34,IF(AND(WEEKDAY(C34)=7,Configurações!$C$11&gt;0)=TRUE,M34,IF(AND(WEEKDAY(C34)=1,Configurações!$C$12&gt;0)=TRUE,M34,0))))</f>
        <v/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8"/>
        <v>0</v>
      </c>
      <c r="W34" s="44">
        <f t="shared" si="9"/>
        <v>0</v>
      </c>
      <c r="X34" s="45">
        <f t="shared" si="10"/>
        <v>0</v>
      </c>
      <c r="Y34" s="44">
        <f t="shared" si="20"/>
        <v>0</v>
      </c>
      <c r="Z34" s="45">
        <f t="shared" si="11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2"/>
        <v/>
      </c>
      <c r="AE34" s="11" t="str">
        <f t="shared" si="13"/>
        <v/>
      </c>
      <c r="AF34" s="83">
        <f t="shared" si="14"/>
        <v>0</v>
      </c>
      <c r="AG34" s="84">
        <f t="shared" si="15"/>
        <v>0</v>
      </c>
      <c r="AH34" s="84">
        <f t="shared" si="16"/>
        <v>0</v>
      </c>
      <c r="AI34" s="84">
        <f t="shared" si="17"/>
        <v>0</v>
      </c>
      <c r="AJ34" s="84">
        <f t="shared" si="18"/>
        <v>0</v>
      </c>
    </row>
    <row r="35" spans="1:36" x14ac:dyDescent="0.25">
      <c r="A35" s="106"/>
      <c r="B35" s="37">
        <f t="shared" si="3"/>
        <v>41509</v>
      </c>
      <c r="C35" s="38">
        <f t="shared" si="0"/>
        <v>41509</v>
      </c>
      <c r="D35" s="39" t="str">
        <f>IF(B35="","",IF(VerificaSeFeriado(B35),"Sim",""))</f>
        <v/>
      </c>
      <c r="E35" s="5"/>
      <c r="F35" s="5"/>
      <c r="G35" s="5"/>
      <c r="H35" s="5"/>
      <c r="I35" s="5"/>
      <c r="J35" s="5"/>
      <c r="K35" s="5"/>
      <c r="L35" s="5"/>
      <c r="M35" s="41" t="str">
        <f t="shared" si="4"/>
        <v/>
      </c>
      <c r="N35" s="42" t="str">
        <f t="shared" si="5"/>
        <v/>
      </c>
      <c r="O35" s="43" t="str">
        <f t="shared" si="19"/>
        <v/>
      </c>
      <c r="P35" s="43" t="str">
        <f t="shared" ca="1" si="6"/>
        <v/>
      </c>
      <c r="Q35" s="6"/>
      <c r="R35" s="40">
        <f t="shared" si="7"/>
        <v>0</v>
      </c>
      <c r="S35" s="44" t="str">
        <f>IF(D35="Sim",0,IF((OR(WEEKDAY(C35)=2,WEEKDAY(C35)=3,WEEKDAY(C35)=4,WEEKDAY(C35)=5,WEEKDAY(C35)=6))=TRUE,M35,IF(AND(WEEKDAY(C35)=7,Configurações!$C$11&gt;0)=TRUE,M35,IF(AND(WEEKDAY(C35)=1,Configurações!$C$12&gt;0)=TRUE,M35,0))))</f>
        <v/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</v>
      </c>
      <c r="V35" s="44">
        <f t="shared" si="8"/>
        <v>0</v>
      </c>
      <c r="W35" s="44">
        <f t="shared" si="9"/>
        <v>0</v>
      </c>
      <c r="X35" s="45">
        <f t="shared" si="10"/>
        <v>0</v>
      </c>
      <c r="Y35" s="44">
        <f t="shared" si="20"/>
        <v>0</v>
      </c>
      <c r="Z35" s="45">
        <f t="shared" si="11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2"/>
        <v/>
      </c>
      <c r="AE35" s="11" t="str">
        <f t="shared" si="13"/>
        <v/>
      </c>
      <c r="AF35" s="83">
        <f t="shared" si="14"/>
        <v>0</v>
      </c>
      <c r="AG35" s="84">
        <f t="shared" si="15"/>
        <v>0</v>
      </c>
      <c r="AH35" s="84">
        <f t="shared" si="16"/>
        <v>0</v>
      </c>
      <c r="AI35" s="84">
        <f t="shared" si="17"/>
        <v>0</v>
      </c>
      <c r="AJ35" s="84">
        <f t="shared" si="18"/>
        <v>0</v>
      </c>
    </row>
    <row r="36" spans="1:36" x14ac:dyDescent="0.25">
      <c r="A36" s="106"/>
      <c r="B36" s="37">
        <f t="shared" si="3"/>
        <v>41510</v>
      </c>
      <c r="C36" s="38">
        <f t="shared" si="0"/>
        <v>41510</v>
      </c>
      <c r="D36" s="39" t="str">
        <f>IF(B36="","",IF(VerificaSeFeriado(B36),"Sim",""))</f>
        <v/>
      </c>
      <c r="E36" s="5"/>
      <c r="F36" s="5"/>
      <c r="G36" s="5"/>
      <c r="H36" s="5"/>
      <c r="I36" s="5"/>
      <c r="J36" s="5"/>
      <c r="K36" s="5"/>
      <c r="L36" s="5"/>
      <c r="M36" s="41" t="str">
        <f t="shared" si="4"/>
        <v/>
      </c>
      <c r="N36" s="42" t="str">
        <f t="shared" si="5"/>
        <v/>
      </c>
      <c r="O36" s="43" t="str">
        <f t="shared" si="19"/>
        <v/>
      </c>
      <c r="P36" s="43" t="str">
        <f t="shared" ca="1" si="6"/>
        <v/>
      </c>
      <c r="Q36" s="6"/>
      <c r="R36" s="40">
        <f t="shared" si="7"/>
        <v>0</v>
      </c>
      <c r="S36" s="44" t="str">
        <f>IF(D36="Sim",0,IF((OR(WEEKDAY(C36)=2,WEEKDAY(C36)=3,WEEKDAY(C36)=4,WEEKDAY(C36)=5,WEEKDAY(C36)=6))=TRUE,M36,IF(AND(WEEKDAY(C36)=7,Configurações!$C$11&gt;0)=TRUE,M36,IF(AND(WEEKDAY(C36)=1,Configurações!$C$12&gt;0)=TRUE,M36,0))))</f>
        <v/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8"/>
        <v>0</v>
      </c>
      <c r="W36" s="44">
        <f t="shared" si="9"/>
        <v>0</v>
      </c>
      <c r="X36" s="45">
        <f t="shared" si="10"/>
        <v>0</v>
      </c>
      <c r="Y36" s="44">
        <f t="shared" si="20"/>
        <v>0</v>
      </c>
      <c r="Z36" s="45">
        <f t="shared" si="11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2"/>
        <v/>
      </c>
      <c r="AE36" s="11" t="str">
        <f t="shared" si="13"/>
        <v/>
      </c>
      <c r="AF36" s="83">
        <f t="shared" si="14"/>
        <v>0</v>
      </c>
      <c r="AG36" s="84">
        <f t="shared" si="15"/>
        <v>0</v>
      </c>
      <c r="AH36" s="84">
        <f t="shared" si="16"/>
        <v>0</v>
      </c>
      <c r="AI36" s="84">
        <f t="shared" si="17"/>
        <v>0</v>
      </c>
      <c r="AJ36" s="84">
        <f t="shared" si="18"/>
        <v>0</v>
      </c>
    </row>
    <row r="37" spans="1:36" x14ac:dyDescent="0.25">
      <c r="A37" s="106"/>
      <c r="B37" s="37">
        <f t="shared" si="3"/>
        <v>41511</v>
      </c>
      <c r="C37" s="38">
        <f t="shared" si="0"/>
        <v>41511</v>
      </c>
      <c r="D37" s="39" t="str">
        <f>IF(B37="","",IF(VerificaSeFeriado(B37),"Sim",""))</f>
        <v/>
      </c>
      <c r="E37" s="5"/>
      <c r="F37" s="5"/>
      <c r="G37" s="5"/>
      <c r="H37" s="5"/>
      <c r="I37" s="5"/>
      <c r="J37" s="5"/>
      <c r="K37" s="5"/>
      <c r="L37" s="5"/>
      <c r="M37" s="41" t="str">
        <f t="shared" si="4"/>
        <v/>
      </c>
      <c r="N37" s="42" t="str">
        <f t="shared" si="5"/>
        <v/>
      </c>
      <c r="O37" s="43" t="str">
        <f t="shared" si="19"/>
        <v/>
      </c>
      <c r="P37" s="43" t="str">
        <f t="shared" ca="1" si="6"/>
        <v/>
      </c>
      <c r="Q37" s="6"/>
      <c r="R37" s="40">
        <f t="shared" si="7"/>
        <v>0</v>
      </c>
      <c r="S37" s="44">
        <f>IF(D37="Sim",0,IF((OR(WEEKDAY(C37)=2,WEEKDAY(C37)=3,WEEKDAY(C37)=4,WEEKDAY(C37)=5,WEEKDAY(C37)=6))=TRUE,M37,IF(AND(WEEKDAY(C37)=7,Configurações!$C$11&gt;0)=TRUE,M37,IF(AND(WEEKDAY(C37)=1,Configurações!$C$12&gt;0)=TRUE,M37,0))))</f>
        <v>0</v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8"/>
        <v>0</v>
      </c>
      <c r="W37" s="44">
        <f t="shared" si="9"/>
        <v>0</v>
      </c>
      <c r="X37" s="45">
        <f t="shared" si="10"/>
        <v>0</v>
      </c>
      <c r="Y37" s="44">
        <f t="shared" si="20"/>
        <v>0</v>
      </c>
      <c r="Z37" s="45">
        <f t="shared" si="11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2"/>
        <v/>
      </c>
      <c r="AE37" s="11" t="str">
        <f t="shared" si="13"/>
        <v/>
      </c>
      <c r="AF37" s="83">
        <f t="shared" si="14"/>
        <v>0</v>
      </c>
      <c r="AG37" s="84">
        <f t="shared" si="15"/>
        <v>0</v>
      </c>
      <c r="AH37" s="84">
        <f t="shared" si="16"/>
        <v>0</v>
      </c>
      <c r="AI37" s="84">
        <f t="shared" si="17"/>
        <v>0</v>
      </c>
      <c r="AJ37" s="84">
        <f t="shared" si="18"/>
        <v>0</v>
      </c>
    </row>
    <row r="38" spans="1:36" x14ac:dyDescent="0.25">
      <c r="A38" s="106"/>
      <c r="B38" s="37">
        <f t="shared" si="3"/>
        <v>41512</v>
      </c>
      <c r="C38" s="38">
        <f t="shared" si="0"/>
        <v>41512</v>
      </c>
      <c r="D38" s="39" t="str">
        <f>IF(B38="","",IF(VerificaSeFeriado(B38),"Sim",""))</f>
        <v/>
      </c>
      <c r="E38" s="5"/>
      <c r="F38" s="5"/>
      <c r="G38" s="5"/>
      <c r="H38" s="5"/>
      <c r="I38" s="5"/>
      <c r="J38" s="5"/>
      <c r="K38" s="5"/>
      <c r="L38" s="5"/>
      <c r="M38" s="41" t="str">
        <f t="shared" si="4"/>
        <v/>
      </c>
      <c r="N38" s="42" t="str">
        <f t="shared" si="5"/>
        <v/>
      </c>
      <c r="O38" s="43" t="str">
        <f t="shared" si="19"/>
        <v/>
      </c>
      <c r="P38" s="43" t="str">
        <f t="shared" ca="1" si="6"/>
        <v/>
      </c>
      <c r="Q38" s="6"/>
      <c r="R38" s="40">
        <f t="shared" si="7"/>
        <v>0</v>
      </c>
      <c r="S38" s="44">
        <f>IF(D38="Sim",0,IF((OR(WEEKDAY(C38)=2,WEEKDAY(C38)=3,WEEKDAY(C38)=4,WEEKDAY(C38)=5,WEEKDAY(C38)=6))=TRUE,M38,IF(AND(WEEKDAY(C38)=7,Configurações!$C$11&gt;0)=TRUE,M38,IF(AND(WEEKDAY(C38)=1,Configurações!$C$12&gt;0)=TRUE,M38,0))))</f>
        <v>0</v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8"/>
        <v>0</v>
      </c>
      <c r="W38" s="44">
        <f t="shared" si="9"/>
        <v>0</v>
      </c>
      <c r="X38" s="45">
        <f t="shared" si="10"/>
        <v>0</v>
      </c>
      <c r="Y38" s="44">
        <f t="shared" si="20"/>
        <v>0</v>
      </c>
      <c r="Z38" s="45">
        <f t="shared" si="11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2"/>
        <v/>
      </c>
      <c r="AE38" s="11" t="str">
        <f t="shared" si="13"/>
        <v/>
      </c>
      <c r="AF38" s="83">
        <f t="shared" si="14"/>
        <v>0</v>
      </c>
      <c r="AG38" s="84">
        <f t="shared" si="15"/>
        <v>0</v>
      </c>
      <c r="AH38" s="84">
        <f t="shared" si="16"/>
        <v>0</v>
      </c>
      <c r="AI38" s="84">
        <f t="shared" si="17"/>
        <v>0</v>
      </c>
      <c r="AJ38" s="84">
        <f t="shared" si="18"/>
        <v>0</v>
      </c>
    </row>
    <row r="39" spans="1:36" x14ac:dyDescent="0.25">
      <c r="A39" s="106"/>
      <c r="B39" s="37">
        <f t="shared" si="3"/>
        <v>41513</v>
      </c>
      <c r="C39" s="38">
        <f t="shared" si="0"/>
        <v>41513</v>
      </c>
      <c r="D39" s="39" t="str">
        <f>IF(B39="","",IF(VerificaSeFeriado(B39),"Sim",""))</f>
        <v/>
      </c>
      <c r="E39" s="5"/>
      <c r="F39" s="5"/>
      <c r="G39" s="5"/>
      <c r="H39" s="5"/>
      <c r="I39" s="5"/>
      <c r="J39" s="5"/>
      <c r="K39" s="5"/>
      <c r="L39" s="5"/>
      <c r="M39" s="41" t="str">
        <f t="shared" si="4"/>
        <v/>
      </c>
      <c r="N39" s="42" t="str">
        <f t="shared" si="5"/>
        <v/>
      </c>
      <c r="O39" s="43" t="str">
        <f t="shared" si="19"/>
        <v/>
      </c>
      <c r="P39" s="43" t="str">
        <f t="shared" ca="1" si="6"/>
        <v/>
      </c>
      <c r="Q39" s="6"/>
      <c r="R39" s="40">
        <f t="shared" si="7"/>
        <v>0</v>
      </c>
      <c r="S39" s="44" t="str">
        <f>IF(D39="Sim",0,IF((OR(WEEKDAY(C39)=2,WEEKDAY(C39)=3,WEEKDAY(C39)=4,WEEKDAY(C39)=5,WEEKDAY(C39)=6))=TRUE,M39,IF(AND(WEEKDAY(C39)=7,Configurações!$C$11&gt;0)=TRUE,M39,IF(AND(WEEKDAY(C39)=1,Configurações!$C$12&gt;0)=TRUE,M39,0))))</f>
        <v/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8"/>
        <v>0</v>
      </c>
      <c r="W39" s="44">
        <f t="shared" si="9"/>
        <v>0</v>
      </c>
      <c r="X39" s="45">
        <f t="shared" si="10"/>
        <v>0</v>
      </c>
      <c r="Y39" s="44">
        <f t="shared" si="20"/>
        <v>0</v>
      </c>
      <c r="Z39" s="45">
        <f t="shared" si="11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2"/>
        <v/>
      </c>
      <c r="AE39" s="11" t="str">
        <f t="shared" si="13"/>
        <v/>
      </c>
      <c r="AF39" s="83">
        <f t="shared" si="14"/>
        <v>0</v>
      </c>
      <c r="AG39" s="84">
        <f t="shared" si="15"/>
        <v>0</v>
      </c>
      <c r="AH39" s="84">
        <f t="shared" si="16"/>
        <v>0</v>
      </c>
      <c r="AI39" s="84">
        <f t="shared" si="17"/>
        <v>0</v>
      </c>
      <c r="AJ39" s="84">
        <f t="shared" si="18"/>
        <v>0</v>
      </c>
    </row>
    <row r="40" spans="1:36" x14ac:dyDescent="0.25">
      <c r="A40" s="106"/>
      <c r="B40" s="37">
        <f t="shared" si="3"/>
        <v>41514</v>
      </c>
      <c r="C40" s="38">
        <f t="shared" si="0"/>
        <v>41514</v>
      </c>
      <c r="D40" s="39" t="str">
        <f>IF(B40="","",IF(VerificaSeFeriado(B40),"Sim",""))</f>
        <v/>
      </c>
      <c r="E40" s="5"/>
      <c r="F40" s="5"/>
      <c r="G40" s="5"/>
      <c r="H40" s="5"/>
      <c r="I40" s="5"/>
      <c r="J40" s="5"/>
      <c r="K40" s="5"/>
      <c r="L40" s="5"/>
      <c r="M40" s="41" t="str">
        <f t="shared" si="4"/>
        <v/>
      </c>
      <c r="N40" s="42" t="str">
        <f t="shared" si="5"/>
        <v/>
      </c>
      <c r="O40" s="43" t="str">
        <f t="shared" si="19"/>
        <v/>
      </c>
      <c r="P40" s="43" t="str">
        <f t="shared" ca="1" si="6"/>
        <v/>
      </c>
      <c r="Q40" s="6"/>
      <c r="R40" s="40">
        <f t="shared" si="7"/>
        <v>0</v>
      </c>
      <c r="S40" s="44" t="str">
        <f>IF(D40="Sim",0,IF((OR(WEEKDAY(C40)=2,WEEKDAY(C40)=3,WEEKDAY(C40)=4,WEEKDAY(C40)=5,WEEKDAY(C40)=6))=TRUE,M40,IF(AND(WEEKDAY(C40)=7,Configurações!$C$11&gt;0)=TRUE,M40,IF(AND(WEEKDAY(C40)=1,Configurações!$C$12&gt;0)=TRUE,M40,0))))</f>
        <v/>
      </c>
      <c r="T40" s="44">
        <f>IF(D40="Sim",0,IF(AND(WEEKDAY(C40)=7,Configurações!$C$11&lt;=0)=TRUE,R40,0))</f>
        <v>0</v>
      </c>
      <c r="U40" s="44">
        <f>IF(D40="Sim",0,IF(AND(WEEKDAY(C40)=1,Configurações!$C$12&lt;=0)=TRUE,R40,0))</f>
        <v>0</v>
      </c>
      <c r="V40" s="44">
        <f t="shared" si="8"/>
        <v>0</v>
      </c>
      <c r="W40" s="44">
        <f t="shared" si="9"/>
        <v>0</v>
      </c>
      <c r="X40" s="45">
        <f t="shared" si="10"/>
        <v>0</v>
      </c>
      <c r="Y40" s="44">
        <f t="shared" si="20"/>
        <v>0</v>
      </c>
      <c r="Z40" s="45">
        <f t="shared" si="11"/>
        <v>0</v>
      </c>
      <c r="AA40" s="12" t="str">
        <f>IF(D40="Sim","Não",IF(AND(WEEKDAY(C40)=1,Configurações!$C$12&gt;0),"Sim",IF(AND(WEEKDAY(C40)=2,Configurações!$C$6&gt;0),"Sim",IF(AND(WEEKDAY(C40)=3,Configurações!$C$7&gt;0),"Sim",IF(AND(WEEKDAY(C40)=4,Configurações!$C$8&gt;0),"Sim",IF(AND(WEEKDAY(C40)=5,Configurações!$C$9&gt;0),"Sim",IF(AND(WEEKDAY(C40)=6,Configurações!$C$10&gt;0),"Sim",IF(AND(WEEKDAY(C40)=7,Configurações!$C$11&gt;0),"Sim","Não"))))))))</f>
        <v>Não</v>
      </c>
      <c r="AB40" s="44">
        <f>IF(D40="Sim",0,IF(WEEKDAY(C40)=2,Configurações!$C$6-Configurações!$E$6,IF(WEEKDAY(C40)=3,Configurações!$C$7-Configurações!$E$7,IF(WEEKDAY(C40)=4,Configurações!$C$8-Configurações!$E$8,IF(WEEKDAY(C40)=5,Configurações!$C$9-Configurações!$E$9,IF(WEEKDAY(C40)=6,Configurações!$C$10-Configurações!$E$10,IF(WEEKDAY(C40)=7,Configurações!$C$11-Configurações!$E$11,IF(WEEKDAY(C40)=1,Configurações!$C$12-Configurações!$E$12,""))))))))</f>
        <v>0</v>
      </c>
      <c r="AC40" s="44">
        <f>IF(D40="Sim",0,IF(WEEKDAY(C40)=2,Configurações!$E$6,IF(WEEKDAY(C40)=3,Configurações!$E$7,IF(WEEKDAY(C40)=4,Configurações!$E$8,IF(WEEKDAY(C40)=5,Configurações!$E$9,IF(WEEKDAY(C40)=6,Configurações!$E$10,IF(WEEKDAY(C40)=7,Configurações!$E$11,IF(WEEKDAY(C40)=1,Configurações!$E$12,""))))))))</f>
        <v>0</v>
      </c>
      <c r="AD40" s="11" t="str">
        <f t="shared" si="12"/>
        <v/>
      </c>
      <c r="AE40" s="11" t="str">
        <f t="shared" si="13"/>
        <v/>
      </c>
      <c r="AF40" s="83">
        <f t="shared" si="14"/>
        <v>0</v>
      </c>
      <c r="AG40" s="84">
        <f t="shared" si="15"/>
        <v>0</v>
      </c>
      <c r="AH40" s="84">
        <f t="shared" si="16"/>
        <v>0</v>
      </c>
      <c r="AI40" s="84">
        <f t="shared" si="17"/>
        <v>0</v>
      </c>
      <c r="AJ40" s="84">
        <f t="shared" si="18"/>
        <v>0</v>
      </c>
    </row>
    <row r="41" spans="1:36" x14ac:dyDescent="0.25">
      <c r="A41" s="106"/>
      <c r="B41" s="37">
        <f t="shared" si="3"/>
        <v>41515</v>
      </c>
      <c r="C41" s="38">
        <f t="shared" si="0"/>
        <v>41515</v>
      </c>
      <c r="D41" s="39" t="str">
        <f>IF(B41="","",IF(VerificaSeFeriado(B41),"Sim",""))</f>
        <v/>
      </c>
      <c r="E41" s="5"/>
      <c r="F41" s="5"/>
      <c r="G41" s="5"/>
      <c r="H41" s="5"/>
      <c r="I41" s="5"/>
      <c r="J41" s="5"/>
      <c r="K41" s="5"/>
      <c r="L41" s="5"/>
      <c r="M41" s="41" t="str">
        <f t="shared" si="4"/>
        <v/>
      </c>
      <c r="N41" s="42" t="str">
        <f t="shared" si="5"/>
        <v/>
      </c>
      <c r="O41" s="43" t="str">
        <f t="shared" si="19"/>
        <v/>
      </c>
      <c r="P41" s="43" t="str">
        <f t="shared" ca="1" si="6"/>
        <v/>
      </c>
      <c r="Q41" s="6"/>
      <c r="R41" s="40">
        <f t="shared" si="7"/>
        <v>0</v>
      </c>
      <c r="S41" s="44" t="str">
        <f>IF(D41="Sim",0,IF((OR(WEEKDAY(C41)=2,WEEKDAY(C41)=3,WEEKDAY(C41)=4,WEEKDAY(C41)=5,WEEKDAY(C41)=6))=TRUE,M41,IF(AND(WEEKDAY(C41)=7,Configurações!$C$11&gt;0)=TRUE,M41,IF(AND(WEEKDAY(C41)=1,Configurações!$C$12&gt;0)=TRUE,M41,0))))</f>
        <v/>
      </c>
      <c r="T41" s="44">
        <f>IF(D41="Sim",0,IF(AND(WEEKDAY(C41)=7,Configurações!$C$11&lt;=0)=TRUE,R41,0))</f>
        <v>0</v>
      </c>
      <c r="U41" s="44">
        <f>IF(D41="Sim",0,IF(AND(WEEKDAY(C41)=1,Configurações!$C$12&lt;=0)=TRUE,R41,0))</f>
        <v>0</v>
      </c>
      <c r="V41" s="44">
        <f t="shared" si="8"/>
        <v>0</v>
      </c>
      <c r="W41" s="44">
        <f t="shared" si="9"/>
        <v>0</v>
      </c>
      <c r="X41" s="45">
        <f t="shared" si="10"/>
        <v>0</v>
      </c>
      <c r="Y41" s="44">
        <f t="shared" si="20"/>
        <v>0</v>
      </c>
      <c r="Z41" s="45">
        <f t="shared" si="11"/>
        <v>0</v>
      </c>
      <c r="AA41" s="12" t="str">
        <f>IF(D41="Sim","Não",IF(AND(WEEKDAY(C41)=1,Configurações!$C$12&gt;0),"Sim",IF(AND(WEEKDAY(C41)=2,Configurações!$C$6&gt;0),"Sim",IF(AND(WEEKDAY(C41)=3,Configurações!$C$7&gt;0),"Sim",IF(AND(WEEKDAY(C41)=4,Configurações!$C$8&gt;0),"Sim",IF(AND(WEEKDAY(C41)=5,Configurações!$C$9&gt;0),"Sim",IF(AND(WEEKDAY(C41)=6,Configurações!$C$10&gt;0),"Sim",IF(AND(WEEKDAY(C41)=7,Configurações!$C$11&gt;0),"Sim","Não"))))))))</f>
        <v>Não</v>
      </c>
      <c r="AB41" s="44">
        <f>IF(D41="Sim",0,IF(WEEKDAY(C41)=2,Configurações!$C$6-Configurações!$E$6,IF(WEEKDAY(C41)=3,Configurações!$C$7-Configurações!$E$7,IF(WEEKDAY(C41)=4,Configurações!$C$8-Configurações!$E$8,IF(WEEKDAY(C41)=5,Configurações!$C$9-Configurações!$E$9,IF(WEEKDAY(C41)=6,Configurações!$C$10-Configurações!$E$10,IF(WEEKDAY(C41)=7,Configurações!$C$11-Configurações!$E$11,IF(WEEKDAY(C41)=1,Configurações!$C$12-Configurações!$E$12,""))))))))</f>
        <v>0</v>
      </c>
      <c r="AC41" s="44">
        <f>IF(D41="Sim",0,IF(WEEKDAY(C41)=2,Configurações!$E$6,IF(WEEKDAY(C41)=3,Configurações!$E$7,IF(WEEKDAY(C41)=4,Configurações!$E$8,IF(WEEKDAY(C41)=5,Configurações!$E$9,IF(WEEKDAY(C41)=6,Configurações!$E$10,IF(WEEKDAY(C41)=7,Configurações!$E$11,IF(WEEKDAY(C41)=1,Configurações!$E$12,""))))))))</f>
        <v>0</v>
      </c>
      <c r="AD41" s="11" t="str">
        <f t="shared" si="12"/>
        <v/>
      </c>
      <c r="AE41" s="11" t="str">
        <f t="shared" si="13"/>
        <v/>
      </c>
      <c r="AF41" s="83">
        <f t="shared" si="14"/>
        <v>0</v>
      </c>
      <c r="AG41" s="84">
        <f t="shared" si="15"/>
        <v>0</v>
      </c>
      <c r="AH41" s="84">
        <f t="shared" si="16"/>
        <v>0</v>
      </c>
      <c r="AI41" s="84">
        <f t="shared" si="17"/>
        <v>0</v>
      </c>
      <c r="AJ41" s="84">
        <f t="shared" si="18"/>
        <v>0</v>
      </c>
    </row>
    <row r="42" spans="1:36" x14ac:dyDescent="0.25">
      <c r="A42" s="106"/>
      <c r="B42" s="37">
        <f t="shared" si="3"/>
        <v>41516</v>
      </c>
      <c r="C42" s="38">
        <f t="shared" si="0"/>
        <v>41516</v>
      </c>
      <c r="D42" s="39" t="str">
        <f>IF(B42="","",IF(VerificaSeFeriado(B42),"Sim",""))</f>
        <v/>
      </c>
      <c r="E42" s="5"/>
      <c r="F42" s="5"/>
      <c r="G42" s="5"/>
      <c r="H42" s="5"/>
      <c r="I42" s="5"/>
      <c r="J42" s="5"/>
      <c r="K42" s="5"/>
      <c r="L42" s="5"/>
      <c r="M42" s="41" t="str">
        <f t="shared" si="4"/>
        <v/>
      </c>
      <c r="N42" s="42" t="str">
        <f t="shared" si="5"/>
        <v/>
      </c>
      <c r="O42" s="43" t="str">
        <f t="shared" si="19"/>
        <v/>
      </c>
      <c r="P42" s="43" t="str">
        <f t="shared" ca="1" si="6"/>
        <v/>
      </c>
      <c r="Q42" s="6"/>
      <c r="R42" s="40">
        <f t="shared" si="7"/>
        <v>0</v>
      </c>
      <c r="S42" s="44" t="str">
        <f>IF(D42="Sim",0,IF((OR(WEEKDAY(C42)=2,WEEKDAY(C42)=3,WEEKDAY(C42)=4,WEEKDAY(C42)=5,WEEKDAY(C42)=6))=TRUE,M42,IF(AND(WEEKDAY(C42)=7,Configurações!$C$11&gt;0)=TRUE,M42,IF(AND(WEEKDAY(C42)=1,Configurações!$C$12&gt;0)=TRUE,M42,0))))</f>
        <v/>
      </c>
      <c r="T42" s="44">
        <f>IF(D42="Sim",0,IF(AND(WEEKDAY(C42)=7,Configurações!$C$11&lt;=0)=TRUE,R42,0))</f>
        <v>0</v>
      </c>
      <c r="U42" s="44">
        <f>IF(D42="Sim",0,IF(AND(WEEKDAY(C42)=1,Configurações!$C$12&lt;=0)=TRUE,R42,0))</f>
        <v>0</v>
      </c>
      <c r="V42" s="44">
        <f t="shared" si="8"/>
        <v>0</v>
      </c>
      <c r="W42" s="44">
        <f t="shared" si="9"/>
        <v>0</v>
      </c>
      <c r="X42" s="45">
        <f t="shared" si="10"/>
        <v>0</v>
      </c>
      <c r="Y42" s="44">
        <f t="shared" si="20"/>
        <v>0</v>
      </c>
      <c r="Z42" s="45">
        <f t="shared" si="11"/>
        <v>0</v>
      </c>
      <c r="AA42" s="12" t="str">
        <f>IF(D42="Sim","Não",IF(AND(WEEKDAY(C42)=1,Configurações!$C$12&gt;0),"Sim",IF(AND(WEEKDAY(C42)=2,Configurações!$C$6&gt;0),"Sim",IF(AND(WEEKDAY(C42)=3,Configurações!$C$7&gt;0),"Sim",IF(AND(WEEKDAY(C42)=4,Configurações!$C$8&gt;0),"Sim",IF(AND(WEEKDAY(C42)=5,Configurações!$C$9&gt;0),"Sim",IF(AND(WEEKDAY(C42)=6,Configurações!$C$10&gt;0),"Sim",IF(AND(WEEKDAY(C42)=7,Configurações!$C$11&gt;0),"Sim","Não"))))))))</f>
        <v>Não</v>
      </c>
      <c r="AB42" s="44">
        <f>IF(D42="Sim",0,IF(WEEKDAY(C42)=2,Configurações!$C$6-Configurações!$E$6,IF(WEEKDAY(C42)=3,Configurações!$C$7-Configurações!$E$7,IF(WEEKDAY(C42)=4,Configurações!$C$8-Configurações!$E$8,IF(WEEKDAY(C42)=5,Configurações!$C$9-Configurações!$E$9,IF(WEEKDAY(C42)=6,Configurações!$C$10-Configurações!$E$10,IF(WEEKDAY(C42)=7,Configurações!$C$11-Configurações!$E$11,IF(WEEKDAY(C42)=1,Configurações!$C$12-Configurações!$E$12,""))))))))</f>
        <v>0</v>
      </c>
      <c r="AC42" s="44">
        <f>IF(D42="Sim",0,IF(WEEKDAY(C42)=2,Configurações!$E$6,IF(WEEKDAY(C42)=3,Configurações!$E$7,IF(WEEKDAY(C42)=4,Configurações!$E$8,IF(WEEKDAY(C42)=5,Configurações!$E$9,IF(WEEKDAY(C42)=6,Configurações!$E$10,IF(WEEKDAY(C42)=7,Configurações!$E$11,IF(WEEKDAY(C42)=1,Configurações!$E$12,""))))))))</f>
        <v>0</v>
      </c>
      <c r="AD42" s="11" t="str">
        <f t="shared" si="12"/>
        <v/>
      </c>
      <c r="AE42" s="11" t="str">
        <f t="shared" si="13"/>
        <v/>
      </c>
      <c r="AF42" s="83">
        <f t="shared" si="14"/>
        <v>0</v>
      </c>
      <c r="AG42" s="84">
        <f t="shared" si="15"/>
        <v>0</v>
      </c>
      <c r="AH42" s="84">
        <f t="shared" si="16"/>
        <v>0</v>
      </c>
      <c r="AI42" s="84">
        <f t="shared" si="17"/>
        <v>0</v>
      </c>
      <c r="AJ42" s="84">
        <f t="shared" si="18"/>
        <v>0</v>
      </c>
    </row>
    <row r="43" spans="1:36" x14ac:dyDescent="0.25">
      <c r="B43" s="46"/>
    </row>
    <row r="45" spans="1:36" x14ac:dyDescent="0.25">
      <c r="C45" s="32"/>
      <c r="D45" s="32"/>
    </row>
    <row r="46" spans="1:36" x14ac:dyDescent="0.25">
      <c r="C46" s="32"/>
      <c r="D46" s="32"/>
    </row>
    <row r="47" spans="1:36" x14ac:dyDescent="0.25">
      <c r="C47" s="32"/>
      <c r="D47" s="32"/>
    </row>
    <row r="48" spans="1:36" x14ac:dyDescent="0.25">
      <c r="C48" s="32"/>
      <c r="D48" s="32"/>
    </row>
    <row r="49" spans="3:4" x14ac:dyDescent="0.25">
      <c r="C49" s="32"/>
      <c r="D49" s="32"/>
    </row>
    <row r="50" spans="3:4" x14ac:dyDescent="0.25">
      <c r="C50" s="32"/>
      <c r="D50" s="32"/>
    </row>
  </sheetData>
  <sheetProtection algorithmName="SHA-512" hashValue="SohtpZpxiFH8KLcGK+RePyaeOb4PoUEjK/RfRQZurR38lbgLYwaBuWwvmd0L4pGbnc1S/EUvXbqWX+jIHs0TQw==" saltValue="0o4oKNEejyPrnvh54GzEhA==" spinCount="100000" sheet="1" objects="1" scenarios="1" selectLockedCells="1"/>
  <mergeCells count="18">
    <mergeCell ref="L4:M4"/>
    <mergeCell ref="O4:Q4"/>
    <mergeCell ref="E5:F5"/>
    <mergeCell ref="O5:P5"/>
    <mergeCell ref="E6:F6"/>
    <mergeCell ref="A11:A42"/>
    <mergeCell ref="F11:G11"/>
    <mergeCell ref="J11:K11"/>
    <mergeCell ref="A2:D2"/>
    <mergeCell ref="A3:D7"/>
    <mergeCell ref="E4:G4"/>
    <mergeCell ref="I4:J4"/>
    <mergeCell ref="E7:F7"/>
    <mergeCell ref="O7:P7"/>
    <mergeCell ref="E8:F8"/>
    <mergeCell ref="L8:M8"/>
    <mergeCell ref="E9:F9"/>
    <mergeCell ref="L9:M9"/>
  </mergeCells>
  <conditionalFormatting sqref="G5">
    <cfRule type="expression" dxfId="149" priority="28">
      <formula>$G$5&lt;=0</formula>
    </cfRule>
    <cfRule type="expression" dxfId="148" priority="29">
      <formula>$G$5&gt;0</formula>
    </cfRule>
  </conditionalFormatting>
  <conditionalFormatting sqref="G6">
    <cfRule type="expression" dxfId="147" priority="26">
      <formula>$G$6&gt;=0</formula>
    </cfRule>
    <cfRule type="expression" dxfId="146" priority="27">
      <formula>$G$6&lt;0</formula>
    </cfRule>
  </conditionalFormatting>
  <conditionalFormatting sqref="P9">
    <cfRule type="expression" dxfId="145" priority="23">
      <formula>$P$9&lt;0</formula>
    </cfRule>
    <cfRule type="expression" dxfId="144" priority="24">
      <formula>$P$9=0</formula>
    </cfRule>
    <cfRule type="expression" dxfId="143" priority="25">
      <formula>$P$9&gt;0</formula>
    </cfRule>
  </conditionalFormatting>
  <conditionalFormatting sqref="P8">
    <cfRule type="expression" dxfId="142" priority="20">
      <formula>$P$8&lt;0</formula>
    </cfRule>
    <cfRule type="expression" dxfId="141" priority="21">
      <formula>$P$8=0</formula>
    </cfRule>
    <cfRule type="expression" dxfId="140" priority="22">
      <formula>$P$8&gt;0</formula>
    </cfRule>
  </conditionalFormatting>
  <conditionalFormatting sqref="G9">
    <cfRule type="expression" dxfId="139" priority="17">
      <formula>$G$9&lt;0</formula>
    </cfRule>
    <cfRule type="expression" priority="18">
      <formula>$G$9=0</formula>
    </cfRule>
    <cfRule type="expression" dxfId="138" priority="19">
      <formula>$G$9&gt;0</formula>
    </cfRule>
  </conditionalFormatting>
  <conditionalFormatting sqref="P12:P42">
    <cfRule type="expression" dxfId="137" priority="16">
      <formula>$P12=0</formula>
    </cfRule>
  </conditionalFormatting>
  <conditionalFormatting sqref="G5:G9">
    <cfRule type="expression" dxfId="136" priority="13">
      <formula>$G5=0</formula>
    </cfRule>
    <cfRule type="expression" dxfId="135" priority="14">
      <formula>$G5&lt;0</formula>
    </cfRule>
    <cfRule type="expression" dxfId="134" priority="15">
      <formula>$G5&gt;0</formula>
    </cfRule>
  </conditionalFormatting>
  <conditionalFormatting sqref="B12:R42">
    <cfRule type="expression" dxfId="133" priority="7">
      <formula>$B12=""</formula>
    </cfRule>
    <cfRule type="expression" dxfId="132" priority="8">
      <formula>$D12="Sim"</formula>
    </cfRule>
    <cfRule type="expression" dxfId="131" priority="11">
      <formula>MOD(ROW(),2)=0</formula>
    </cfRule>
    <cfRule type="expression" dxfId="130" priority="12">
      <formula>MOD(ROW(),2)=1</formula>
    </cfRule>
  </conditionalFormatting>
  <conditionalFormatting sqref="M12:N42">
    <cfRule type="expression" dxfId="129" priority="5">
      <formula>$M12=0</formula>
    </cfRule>
  </conditionalFormatting>
  <conditionalFormatting sqref="L9:N9">
    <cfRule type="expression" dxfId="128" priority="2">
      <formula>$L$9&gt;0</formula>
    </cfRule>
    <cfRule type="expression" dxfId="127" priority="3">
      <formula>$L$9=0</formula>
    </cfRule>
    <cfRule type="expression" dxfId="126" priority="4">
      <formula>$L$9&lt;0</formula>
    </cfRule>
  </conditionalFormatting>
  <conditionalFormatting sqref="N5 M6">
    <cfRule type="expression" dxfId="125" priority="30">
      <formula>$M$6&lt;0</formula>
    </cfRule>
  </conditionalFormatting>
  <conditionalFormatting sqref="N4 M5">
    <cfRule type="expression" dxfId="124" priority="31">
      <formula>$M$5&gt;0</formula>
    </cfRule>
  </conditionalFormatting>
  <conditionalFormatting sqref="J5:J9">
    <cfRule type="expression" dxfId="123" priority="1">
      <formula>$J5&gt;0</formula>
    </cfRule>
  </conditionalFormatting>
  <dataValidations count="2"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42">
      <formula1>AB12</formula1>
    </dataValidation>
    <dataValidation operator="greaterThanOrEqual" allowBlank="1" showInputMessage="1" showErrorMessage="1" sqref="E12:P42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7D7EE024-9BCC-4444-A47A-469A8EF984DC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0" id="{E9D06869-F890-4028-9932-6DDDC0F3997C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B12:R42</xm:sqref>
        </x14:conditionalFormatting>
        <x14:conditionalFormatting xmlns:xm="http://schemas.microsoft.com/office/excel/2006/main">
          <x14:cfRule type="expression" priority="6" id="{418A2DA8-8FAB-4E7A-8D2A-1F0A9C2E7724}">
            <xm:f>AND(Configurações!$C$11&gt;0,WEEKDAY($C12)=7,MOD(ROW(),2)=1)</xm:f>
            <x14:dxf>
              <fill>
                <patternFill>
                  <bgColor theme="4" tint="0.59996337778862885"/>
                </patternFill>
              </fill>
            </x14:dxf>
          </x14:cfRule>
          <xm:sqref>C14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0"/>
  <dimension ref="A2:AJ49"/>
  <sheetViews>
    <sheetView showGridLines="0" zoomScaleNormal="100" workbookViewId="0">
      <selection activeCell="P8" sqref="P8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16384" width="9.140625" style="10"/>
  </cols>
  <sheetData>
    <row r="2" spans="1:36" x14ac:dyDescent="0.25">
      <c r="A2" s="109" t="str">
        <f>IF(Configurações!C17 = 0,"",Configurações!C17)</f>
        <v/>
      </c>
      <c r="B2" s="109"/>
      <c r="C2" s="109"/>
      <c r="D2" s="109"/>
    </row>
    <row r="3" spans="1:36" ht="15.75" customHeight="1" thickBot="1" x14ac:dyDescent="0.3">
      <c r="A3" s="110" t="s">
        <v>90</v>
      </c>
      <c r="B3" s="110"/>
      <c r="C3" s="110"/>
      <c r="D3" s="110"/>
    </row>
    <row r="4" spans="1:36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36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SUM(M12:M41)</f>
        <v>0</v>
      </c>
      <c r="H5" s="13"/>
      <c r="I5" s="81" t="s">
        <v>31</v>
      </c>
      <c r="J5" s="16">
        <f>(SUM(S12:S41)*24)*Configurações!E15*(Configurações!I7+1)</f>
        <v>0</v>
      </c>
      <c r="K5" s="13"/>
      <c r="L5" s="81" t="s">
        <v>68</v>
      </c>
      <c r="M5" s="17">
        <f>SUM(J5:J9)</f>
        <v>0</v>
      </c>
      <c r="N5" s="14"/>
      <c r="O5" s="102" t="s">
        <v>44</v>
      </c>
      <c r="P5" s="103"/>
      <c r="Q5" s="18">
        <f>SUM(R12:R41)</f>
        <v>0</v>
      </c>
      <c r="W5" s="19"/>
    </row>
    <row r="6" spans="1:36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SUM(O12:O41)</f>
        <v>0</v>
      </c>
      <c r="H6" s="13"/>
      <c r="I6" s="81" t="s">
        <v>34</v>
      </c>
      <c r="J6" s="16">
        <f>(SUM(T12:T41)*24)*Configurações!E15*(Configurações!I10+1)</f>
        <v>0</v>
      </c>
      <c r="K6" s="13"/>
      <c r="L6" s="82" t="s">
        <v>69</v>
      </c>
      <c r="M6" s="21">
        <f ca="1">((G7*24)+(G6*24))*Configurações!E15</f>
        <v>0</v>
      </c>
      <c r="U6" s="19"/>
      <c r="W6" s="22"/>
    </row>
    <row r="7" spans="1:36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SUM(P12:P41)</f>
        <v>0</v>
      </c>
      <c r="H7" s="13"/>
      <c r="I7" s="81" t="s">
        <v>32</v>
      </c>
      <c r="J7" s="16">
        <f>(SUM(U12:U41)*24)*Configurações!E15*(Configurações!I9+1)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36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SUM(Q12:Q41)</f>
        <v>0</v>
      </c>
      <c r="H8" s="13"/>
      <c r="I8" s="81" t="s">
        <v>33</v>
      </c>
      <c r="J8" s="16">
        <f>(SUM(V12:V41)*24)*Configurações!E15*(Configurações!I8+1)</f>
        <v>0</v>
      </c>
      <c r="K8" s="13"/>
      <c r="L8" s="116" t="s">
        <v>63</v>
      </c>
      <c r="M8" s="117"/>
      <c r="N8" s="25"/>
      <c r="O8" s="81" t="s">
        <v>26</v>
      </c>
      <c r="P8" s="7">
        <v>0</v>
      </c>
    </row>
    <row r="9" spans="1:36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0</v>
      </c>
      <c r="H9" s="13"/>
      <c r="I9" s="82" t="s">
        <v>30</v>
      </c>
      <c r="J9" s="27">
        <f>((((SUM(N12:N41)*24)*Configurações!E15*(Configurações!I6+1)))-(SUM(N12:N41)*24)*Configurações!E15)</f>
        <v>0</v>
      </c>
      <c r="K9" s="13"/>
      <c r="L9" s="120">
        <f ca="1">SUM(M5:M6)</f>
        <v>0</v>
      </c>
      <c r="M9" s="121"/>
      <c r="N9" s="28"/>
      <c r="O9" s="82" t="s">
        <v>25</v>
      </c>
      <c r="P9" s="26">
        <f ca="1">SUM(P8,G9)</f>
        <v>0</v>
      </c>
    </row>
    <row r="10" spans="1:36" x14ac:dyDescent="0.25">
      <c r="B10" s="29">
        <v>41517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36" x14ac:dyDescent="0.25">
      <c r="A11" s="106" t="s">
        <v>81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36" x14ac:dyDescent="0.25">
      <c r="A12" s="106"/>
      <c r="B12" s="37">
        <f>IF(MONTH($B$10+ROW()-ROW($B$10)-2) = MONTH($B$10),$B$10+ROW()-ROW($B$10)-2,"")</f>
        <v>41517</v>
      </c>
      <c r="C12" s="38">
        <f t="shared" ref="C12:C41" si="0">B12</f>
        <v>41517</v>
      </c>
      <c r="D12" s="39" t="str">
        <f>IF(B12="","",IF(VerificaSeFeriado(B12),"Sim",""))</f>
        <v/>
      </c>
      <c r="E12" s="5"/>
      <c r="F12" s="5"/>
      <c r="G12" s="5"/>
      <c r="H12" s="5"/>
      <c r="I12" s="5"/>
      <c r="J12" s="5"/>
      <c r="K12" s="5"/>
      <c r="L12" s="5"/>
      <c r="M12" s="41" t="str">
        <f>IFERROR(IF((R12-AB12)&gt;(1*"00:00:01"),(R12-AB12),""),"")</f>
        <v/>
      </c>
      <c r="N12" s="42" t="str">
        <f>IF(SUM(W12:X12)*(1/52.5*60)&gt;0,SUM(W12:X12)*(1/52.5*60),"")</f>
        <v/>
      </c>
      <c r="O12" s="43" t="str">
        <f t="shared" ref="O12:O15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6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</v>
      </c>
      <c r="S12" s="44" t="str">
        <f>IF(D12="Sim",0,IF((OR(WEEKDAY(C12)=2,WEEKDAY(C12)=3,WEEKDAY(C12)=4,WEEKDAY(C12)=5,WEEKDAY(C12)=6))=TRUE,M12,IF(AND(WEEKDAY(C12)=7,Configurações!$C$11&gt;0)=TRUE,M12,IF(AND(WEEKDAY(C12)=1,Configurações!$C$12&gt;0)=TRUE,M12,0))))</f>
        <v/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:Y25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</row>
    <row r="13" spans="1:36" x14ac:dyDescent="0.25">
      <c r="A13" s="106"/>
      <c r="B13" s="37">
        <f t="shared" ref="B13:B41" si="3">IF(MONTH($B$10+ROW()-ROW($B$10)-2) = MONTH($B$10),$B$10+ROW()-ROW($B$10)-2,"")</f>
        <v>41518</v>
      </c>
      <c r="C13" s="38">
        <f t="shared" si="0"/>
        <v>41518</v>
      </c>
      <c r="D13" s="39" t="str">
        <f>IF(B13="","",IF(VerificaSeFeriado(B13),"Sim",""))</f>
        <v/>
      </c>
      <c r="E13" s="5"/>
      <c r="F13" s="5"/>
      <c r="G13" s="5"/>
      <c r="H13" s="5"/>
      <c r="I13" s="5"/>
      <c r="J13" s="5"/>
      <c r="K13" s="5"/>
      <c r="L13" s="5"/>
      <c r="M13" s="41" t="str">
        <f t="shared" ref="M13:M41" si="4">IFERROR(IF((R13-AB13)&gt;(1*"00:00:01"),(R13-AB13),""),"")</f>
        <v/>
      </c>
      <c r="N13" s="42" t="str">
        <f t="shared" ref="N13:N41" si="5">IF(SUM(W13:X13)*(1/52.5*60)&gt;0,SUM(W13:X13)*(1/52.5*60),"")</f>
        <v/>
      </c>
      <c r="O13" s="43" t="str">
        <f t="shared" si="1"/>
        <v/>
      </c>
      <c r="P13" s="43" t="str">
        <f t="shared" ref="P13:P41" ca="1" si="6">IF(TODAY()&lt;=B13,"",IF(D13="Sim","",IF(AND(AA13="Sim",E13="",G13="",I13="",K13="")=TRUE,IF(Q13-AB13&lt;0,Q13-AB13,""),"")))</f>
        <v/>
      </c>
      <c r="Q13" s="6"/>
      <c r="R13" s="40">
        <f t="shared" ref="R13:R41" si="7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>
        <f>IF(D13="Sim",0,IF((OR(WEEKDAY(C13)=2,WEEKDAY(C13)=3,WEEKDAY(C13)=4,WEEKDAY(C13)=5,WEEKDAY(C13)=6))=TRUE,M13,IF(AND(WEEKDAY(C13)=7,Configurações!$C$11&gt;0)=TRUE,M13,IF(AND(WEEKDAY(C13)=1,Configurações!$C$12&gt;0)=TRUE,M13,0))))</f>
        <v>0</v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41" si="8">IF(D13="Sim",R13,0)</f>
        <v>0</v>
      </c>
      <c r="W13" s="44">
        <f t="shared" ref="W13:W41" si="9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41" si="10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si="2"/>
        <v>0</v>
      </c>
      <c r="Z13" s="45">
        <f t="shared" ref="Z13:Z41" si="11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41" si="12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41" si="13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41" si="14">IF(SUM(AG13:AH13)*(1/52.5*60)&gt;0,(SUM(AG13:AH13)*(1/52.5*60))-(SUM(AG13:AH13)),0)</f>
        <v>0</v>
      </c>
      <c r="AG13" s="84">
        <f t="shared" ref="AG13:AG41" si="15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41" si="16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41" si="17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41" si="18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36" x14ac:dyDescent="0.25">
      <c r="A14" s="106"/>
      <c r="B14" s="37">
        <f t="shared" si="3"/>
        <v>41519</v>
      </c>
      <c r="C14" s="38">
        <f t="shared" si="0"/>
        <v>41519</v>
      </c>
      <c r="D14" s="39" t="str">
        <f>IF(B14="","",IF(VerificaSeFeriado(B14),"Sim",""))</f>
        <v/>
      </c>
      <c r="E14" s="5"/>
      <c r="F14" s="5"/>
      <c r="G14" s="5"/>
      <c r="H14" s="5"/>
      <c r="I14" s="5"/>
      <c r="J14" s="5"/>
      <c r="K14" s="5"/>
      <c r="L14" s="5"/>
      <c r="M14" s="41" t="str">
        <f t="shared" si="4"/>
        <v/>
      </c>
      <c r="N14" s="42" t="str">
        <f t="shared" si="5"/>
        <v/>
      </c>
      <c r="O14" s="43" t="str">
        <f t="shared" si="1"/>
        <v/>
      </c>
      <c r="P14" s="43" t="str">
        <f t="shared" ca="1" si="6"/>
        <v/>
      </c>
      <c r="Q14" s="6"/>
      <c r="R14" s="40">
        <f t="shared" si="7"/>
        <v>0</v>
      </c>
      <c r="S14" s="44">
        <f>IF(D14="Sim",0,IF((OR(WEEKDAY(C14)=2,WEEKDAY(C14)=3,WEEKDAY(C14)=4,WEEKDAY(C14)=5,WEEKDAY(C14)=6))=TRUE,M14,IF(AND(WEEKDAY(C14)=7,Configurações!$C$11&gt;0)=TRUE,M14,IF(AND(WEEKDAY(C14)=1,Configurações!$C$12&gt;0)=TRUE,M14,0))))</f>
        <v>0</v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8"/>
        <v>0</v>
      </c>
      <c r="W14" s="44">
        <f t="shared" si="9"/>
        <v>0</v>
      </c>
      <c r="X14" s="45">
        <f t="shared" si="10"/>
        <v>0</v>
      </c>
      <c r="Y14" s="44">
        <f t="shared" si="2"/>
        <v>0</v>
      </c>
      <c r="Z14" s="45">
        <f t="shared" si="11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2"/>
        <v/>
      </c>
      <c r="AE14" s="11" t="str">
        <f t="shared" si="13"/>
        <v/>
      </c>
      <c r="AF14" s="83">
        <f t="shared" si="14"/>
        <v>0</v>
      </c>
      <c r="AG14" s="84">
        <f t="shared" si="15"/>
        <v>0</v>
      </c>
      <c r="AH14" s="84">
        <f t="shared" si="16"/>
        <v>0</v>
      </c>
      <c r="AI14" s="84">
        <f t="shared" si="17"/>
        <v>0</v>
      </c>
      <c r="AJ14" s="84">
        <f t="shared" si="18"/>
        <v>0</v>
      </c>
    </row>
    <row r="15" spans="1:36" x14ac:dyDescent="0.25">
      <c r="A15" s="106"/>
      <c r="B15" s="37">
        <f t="shared" si="3"/>
        <v>41520</v>
      </c>
      <c r="C15" s="38">
        <f t="shared" si="0"/>
        <v>41520</v>
      </c>
      <c r="D15" s="39" t="str">
        <f>IF(B15="","",IF(VerificaSeFeriado(B15),"Sim",""))</f>
        <v/>
      </c>
      <c r="E15" s="5"/>
      <c r="F15" s="5"/>
      <c r="G15" s="5"/>
      <c r="H15" s="5"/>
      <c r="I15" s="5"/>
      <c r="J15" s="5"/>
      <c r="K15" s="5"/>
      <c r="L15" s="5"/>
      <c r="M15" s="41" t="str">
        <f t="shared" si="4"/>
        <v/>
      </c>
      <c r="N15" s="42" t="str">
        <f t="shared" si="5"/>
        <v/>
      </c>
      <c r="O15" s="43" t="str">
        <f t="shared" si="1"/>
        <v/>
      </c>
      <c r="P15" s="43" t="str">
        <f t="shared" ca="1" si="6"/>
        <v/>
      </c>
      <c r="Q15" s="6"/>
      <c r="R15" s="40">
        <f t="shared" si="7"/>
        <v>0</v>
      </c>
      <c r="S15" s="44" t="str">
        <f>IF(D15="Sim",0,IF((OR(WEEKDAY(C15)=2,WEEKDAY(C15)=3,WEEKDAY(C15)=4,WEEKDAY(C15)=5,WEEKDAY(C15)=6))=TRUE,M15,IF(AND(WEEKDAY(C15)=7,Configurações!$C$11&gt;0)=TRUE,M15,IF(AND(WEEKDAY(C15)=1,Configurações!$C$12&gt;0)=TRUE,M15,0))))</f>
        <v/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8"/>
        <v>0</v>
      </c>
      <c r="W15" s="44">
        <f t="shared" si="9"/>
        <v>0</v>
      </c>
      <c r="X15" s="45">
        <f t="shared" si="10"/>
        <v>0</v>
      </c>
      <c r="Y15" s="44">
        <f t="shared" si="2"/>
        <v>0</v>
      </c>
      <c r="Z15" s="45">
        <f t="shared" si="11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2"/>
        <v/>
      </c>
      <c r="AE15" s="11" t="str">
        <f t="shared" si="13"/>
        <v/>
      </c>
      <c r="AF15" s="83">
        <f t="shared" si="14"/>
        <v>0</v>
      </c>
      <c r="AG15" s="84">
        <f t="shared" si="15"/>
        <v>0</v>
      </c>
      <c r="AH15" s="84">
        <f t="shared" si="16"/>
        <v>0</v>
      </c>
      <c r="AI15" s="84">
        <f t="shared" si="17"/>
        <v>0</v>
      </c>
      <c r="AJ15" s="84">
        <f t="shared" si="18"/>
        <v>0</v>
      </c>
    </row>
    <row r="16" spans="1:36" x14ac:dyDescent="0.25">
      <c r="A16" s="106"/>
      <c r="B16" s="37">
        <f t="shared" si="3"/>
        <v>41521</v>
      </c>
      <c r="C16" s="38">
        <f t="shared" si="0"/>
        <v>41521</v>
      </c>
      <c r="D16" s="39" t="str">
        <f>IF(B16="","",IF(VerificaSeFeriado(B16),"Sim",""))</f>
        <v/>
      </c>
      <c r="E16" s="5"/>
      <c r="F16" s="5"/>
      <c r="G16" s="5"/>
      <c r="H16" s="5"/>
      <c r="I16" s="5"/>
      <c r="J16" s="5"/>
      <c r="K16" s="5"/>
      <c r="L16" s="5"/>
      <c r="M16" s="41" t="str">
        <f t="shared" si="4"/>
        <v/>
      </c>
      <c r="N16" s="42" t="str">
        <f t="shared" si="5"/>
        <v/>
      </c>
      <c r="O16" s="43" t="str">
        <f>IF(OR(D16="Sim",E16="")=TRUE,"",IF((R16-AB16)&gt;=(-"00:00:01"),"",(R16-AB16)))</f>
        <v/>
      </c>
      <c r="P16" s="43" t="str">
        <f t="shared" ca="1" si="6"/>
        <v/>
      </c>
      <c r="Q16" s="6"/>
      <c r="R16" s="40">
        <f t="shared" si="7"/>
        <v>0</v>
      </c>
      <c r="S16" s="44" t="str">
        <f>IF(D16="Sim",0,IF((OR(WEEKDAY(C16)=2,WEEKDAY(C16)=3,WEEKDAY(C16)=4,WEEKDAY(C16)=5,WEEKDAY(C16)=6))=TRUE,M16,IF(AND(WEEKDAY(C16)=7,Configurações!$C$11&gt;0)=TRUE,M16,IF(AND(WEEKDAY(C16)=1,Configurações!$C$12&gt;0)=TRUE,M16,0))))</f>
        <v/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8"/>
        <v>0</v>
      </c>
      <c r="W16" s="44">
        <f t="shared" si="9"/>
        <v>0</v>
      </c>
      <c r="X16" s="45">
        <f t="shared" si="10"/>
        <v>0</v>
      </c>
      <c r="Y16" s="44">
        <f t="shared" si="2"/>
        <v>0</v>
      </c>
      <c r="Z16" s="45">
        <f t="shared" si="11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2"/>
        <v/>
      </c>
      <c r="AE16" s="11" t="str">
        <f t="shared" si="13"/>
        <v/>
      </c>
      <c r="AF16" s="83">
        <f t="shared" si="14"/>
        <v>0</v>
      </c>
      <c r="AG16" s="84">
        <f t="shared" si="15"/>
        <v>0</v>
      </c>
      <c r="AH16" s="84">
        <f t="shared" si="16"/>
        <v>0</v>
      </c>
      <c r="AI16" s="84">
        <f t="shared" si="17"/>
        <v>0</v>
      </c>
      <c r="AJ16" s="84">
        <f t="shared" si="18"/>
        <v>0</v>
      </c>
    </row>
    <row r="17" spans="1:36" x14ac:dyDescent="0.25">
      <c r="A17" s="106"/>
      <c r="B17" s="37">
        <f t="shared" si="3"/>
        <v>41522</v>
      </c>
      <c r="C17" s="38">
        <f t="shared" si="0"/>
        <v>41522</v>
      </c>
      <c r="D17" s="39" t="str">
        <f>IF(B17="","",IF(VerificaSeFeriado(B17),"Sim",""))</f>
        <v/>
      </c>
      <c r="E17" s="5"/>
      <c r="F17" s="5"/>
      <c r="G17" s="5"/>
      <c r="H17" s="5"/>
      <c r="I17" s="5"/>
      <c r="J17" s="5"/>
      <c r="K17" s="5"/>
      <c r="L17" s="5"/>
      <c r="M17" s="41" t="str">
        <f t="shared" si="4"/>
        <v/>
      </c>
      <c r="N17" s="42" t="str">
        <f t="shared" si="5"/>
        <v/>
      </c>
      <c r="O17" s="43" t="str">
        <f>IF(OR(D17="Sim",E17="")=TRUE,"",IF((R17-AB17)&gt;=(-"00:00:01"),"",(R17-AB17)))</f>
        <v/>
      </c>
      <c r="P17" s="43" t="str">
        <f t="shared" ca="1" si="6"/>
        <v/>
      </c>
      <c r="Q17" s="6"/>
      <c r="R17" s="40">
        <f t="shared" si="7"/>
        <v>0</v>
      </c>
      <c r="S17" s="44" t="str">
        <f>IF(D17="Sim",0,IF((OR(WEEKDAY(C17)=2,WEEKDAY(C17)=3,WEEKDAY(C17)=4,WEEKDAY(C17)=5,WEEKDAY(C17)=6))=TRUE,M17,IF(AND(WEEKDAY(C17)=7,Configurações!$C$11&gt;0)=TRUE,M17,IF(AND(WEEKDAY(C17)=1,Configurações!$C$12&gt;0)=TRUE,M17,0))))</f>
        <v/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8"/>
        <v>0</v>
      </c>
      <c r="W17" s="44">
        <f t="shared" si="9"/>
        <v>0</v>
      </c>
      <c r="X17" s="45">
        <f t="shared" si="10"/>
        <v>0</v>
      </c>
      <c r="Y17" s="44">
        <f t="shared" si="2"/>
        <v>0</v>
      </c>
      <c r="Z17" s="45">
        <f t="shared" si="11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2"/>
        <v/>
      </c>
      <c r="AE17" s="11" t="str">
        <f t="shared" si="13"/>
        <v/>
      </c>
      <c r="AF17" s="83">
        <f t="shared" si="14"/>
        <v>0</v>
      </c>
      <c r="AG17" s="84">
        <f t="shared" si="15"/>
        <v>0</v>
      </c>
      <c r="AH17" s="84">
        <f t="shared" si="16"/>
        <v>0</v>
      </c>
      <c r="AI17" s="84">
        <f t="shared" si="17"/>
        <v>0</v>
      </c>
      <c r="AJ17" s="84">
        <f t="shared" si="18"/>
        <v>0</v>
      </c>
    </row>
    <row r="18" spans="1:36" x14ac:dyDescent="0.25">
      <c r="A18" s="106"/>
      <c r="B18" s="37">
        <f t="shared" si="3"/>
        <v>41523</v>
      </c>
      <c r="C18" s="38">
        <f t="shared" si="0"/>
        <v>41523</v>
      </c>
      <c r="D18" s="39" t="str">
        <f>IF(B18="","",IF(VerificaSeFeriado(B18),"Sim",""))</f>
        <v>Sim</v>
      </c>
      <c r="E18" s="5"/>
      <c r="F18" s="5"/>
      <c r="G18" s="5"/>
      <c r="H18" s="5"/>
      <c r="I18" s="5"/>
      <c r="J18" s="5"/>
      <c r="K18" s="5"/>
      <c r="L18" s="5"/>
      <c r="M18" s="41" t="str">
        <f t="shared" si="4"/>
        <v/>
      </c>
      <c r="N18" s="42" t="str">
        <f t="shared" si="5"/>
        <v/>
      </c>
      <c r="O18" s="43" t="str">
        <f t="shared" ref="O18:O41" si="19">IF(OR(D18="Sim",E18="")=TRUE,"",IF((R18-AB18)&gt;=(-"00:00:01"),"",(R18-AB18)))</f>
        <v/>
      </c>
      <c r="P18" s="43" t="str">
        <f t="shared" ca="1" si="6"/>
        <v/>
      </c>
      <c r="Q18" s="6"/>
      <c r="R18" s="40">
        <f t="shared" si="7"/>
        <v>0</v>
      </c>
      <c r="S18" s="44">
        <f>IF(D18="Sim",0,IF((OR(WEEKDAY(C18)=2,WEEKDAY(C18)=3,WEEKDAY(C18)=4,WEEKDAY(C18)=5,WEEKDAY(C18)=6))=TRUE,M18,IF(AND(WEEKDAY(C18)=7,Configurações!$C$11&gt;0)=TRUE,M18,IF(AND(WEEKDAY(C18)=1,Configurações!$C$12&gt;0)=TRUE,M18,0))))</f>
        <v>0</v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8"/>
        <v>0</v>
      </c>
      <c r="W18" s="44">
        <f t="shared" si="9"/>
        <v>0</v>
      </c>
      <c r="X18" s="45">
        <f t="shared" si="10"/>
        <v>0</v>
      </c>
      <c r="Y18" s="44">
        <f t="shared" si="2"/>
        <v>0</v>
      </c>
      <c r="Z18" s="45">
        <f t="shared" si="11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2"/>
        <v/>
      </c>
      <c r="AE18" s="11" t="str">
        <f t="shared" si="13"/>
        <v/>
      </c>
      <c r="AF18" s="83">
        <f t="shared" si="14"/>
        <v>0</v>
      </c>
      <c r="AG18" s="84">
        <f t="shared" si="15"/>
        <v>0</v>
      </c>
      <c r="AH18" s="84">
        <f t="shared" si="16"/>
        <v>0</v>
      </c>
      <c r="AI18" s="84">
        <f t="shared" si="17"/>
        <v>0</v>
      </c>
      <c r="AJ18" s="84">
        <f t="shared" si="18"/>
        <v>0</v>
      </c>
    </row>
    <row r="19" spans="1:36" x14ac:dyDescent="0.25">
      <c r="A19" s="106"/>
      <c r="B19" s="37">
        <f t="shared" si="3"/>
        <v>41524</v>
      </c>
      <c r="C19" s="38">
        <f t="shared" si="0"/>
        <v>41524</v>
      </c>
      <c r="D19" s="39" t="str">
        <f>IF(B19="","",IF(VerificaSeFeriado(B19),"Sim",""))</f>
        <v/>
      </c>
      <c r="E19" s="5"/>
      <c r="F19" s="5"/>
      <c r="G19" s="5"/>
      <c r="H19" s="5"/>
      <c r="I19" s="5"/>
      <c r="J19" s="5"/>
      <c r="K19" s="5"/>
      <c r="L19" s="5"/>
      <c r="M19" s="41" t="str">
        <f t="shared" si="4"/>
        <v/>
      </c>
      <c r="N19" s="42" t="str">
        <f t="shared" si="5"/>
        <v/>
      </c>
      <c r="O19" s="43" t="str">
        <f t="shared" si="19"/>
        <v/>
      </c>
      <c r="P19" s="43" t="str">
        <f t="shared" ca="1" si="6"/>
        <v/>
      </c>
      <c r="Q19" s="6"/>
      <c r="R19" s="40">
        <f t="shared" si="7"/>
        <v>0</v>
      </c>
      <c r="S19" s="44" t="str">
        <f>IF(D19="Sim",0,IF((OR(WEEKDAY(C19)=2,WEEKDAY(C19)=3,WEEKDAY(C19)=4,WEEKDAY(C19)=5,WEEKDAY(C19)=6))=TRUE,M19,IF(AND(WEEKDAY(C19)=7,Configurações!$C$11&gt;0)=TRUE,M19,IF(AND(WEEKDAY(C19)=1,Configurações!$C$12&gt;0)=TRUE,M19,0))))</f>
        <v/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8"/>
        <v>0</v>
      </c>
      <c r="W19" s="44">
        <f t="shared" si="9"/>
        <v>0</v>
      </c>
      <c r="X19" s="45">
        <f t="shared" si="10"/>
        <v>0</v>
      </c>
      <c r="Y19" s="44">
        <f t="shared" si="2"/>
        <v>0</v>
      </c>
      <c r="Z19" s="45">
        <f t="shared" si="11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2"/>
        <v/>
      </c>
      <c r="AE19" s="11" t="str">
        <f t="shared" si="13"/>
        <v/>
      </c>
      <c r="AF19" s="83">
        <f t="shared" si="14"/>
        <v>0</v>
      </c>
      <c r="AG19" s="84">
        <f t="shared" si="15"/>
        <v>0</v>
      </c>
      <c r="AH19" s="84">
        <f t="shared" si="16"/>
        <v>0</v>
      </c>
      <c r="AI19" s="84">
        <f t="shared" si="17"/>
        <v>0</v>
      </c>
      <c r="AJ19" s="84">
        <f t="shared" si="18"/>
        <v>0</v>
      </c>
    </row>
    <row r="20" spans="1:36" x14ac:dyDescent="0.25">
      <c r="A20" s="106"/>
      <c r="B20" s="37">
        <f t="shared" si="3"/>
        <v>41525</v>
      </c>
      <c r="C20" s="38">
        <f t="shared" si="0"/>
        <v>41525</v>
      </c>
      <c r="D20" s="39" t="str">
        <f>IF(B20="","",IF(VerificaSeFeriado(B20),"Sim",""))</f>
        <v/>
      </c>
      <c r="E20" s="5"/>
      <c r="F20" s="5"/>
      <c r="G20" s="5"/>
      <c r="H20" s="5"/>
      <c r="I20" s="5"/>
      <c r="J20" s="5"/>
      <c r="K20" s="5"/>
      <c r="L20" s="5"/>
      <c r="M20" s="41" t="str">
        <f t="shared" si="4"/>
        <v/>
      </c>
      <c r="N20" s="42" t="str">
        <f t="shared" si="5"/>
        <v/>
      </c>
      <c r="O20" s="43" t="str">
        <f t="shared" si="19"/>
        <v/>
      </c>
      <c r="P20" s="43" t="str">
        <f t="shared" ca="1" si="6"/>
        <v/>
      </c>
      <c r="Q20" s="6"/>
      <c r="R20" s="40">
        <f t="shared" si="7"/>
        <v>0</v>
      </c>
      <c r="S20" s="44">
        <f>IF(D20="Sim",0,IF((OR(WEEKDAY(C20)=2,WEEKDAY(C20)=3,WEEKDAY(C20)=4,WEEKDAY(C20)=5,WEEKDAY(C20)=6))=TRUE,M20,IF(AND(WEEKDAY(C20)=7,Configurações!$C$11&gt;0)=TRUE,M20,IF(AND(WEEKDAY(C20)=1,Configurações!$C$12&gt;0)=TRUE,M20,0))))</f>
        <v>0</v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8"/>
        <v>0</v>
      </c>
      <c r="W20" s="44">
        <f t="shared" si="9"/>
        <v>0</v>
      </c>
      <c r="X20" s="45">
        <f t="shared" si="10"/>
        <v>0</v>
      </c>
      <c r="Y20" s="44">
        <f t="shared" si="2"/>
        <v>0</v>
      </c>
      <c r="Z20" s="45">
        <f t="shared" si="11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2"/>
        <v/>
      </c>
      <c r="AE20" s="11" t="str">
        <f t="shared" si="13"/>
        <v/>
      </c>
      <c r="AF20" s="83">
        <f t="shared" si="14"/>
        <v>0</v>
      </c>
      <c r="AG20" s="84">
        <f t="shared" si="15"/>
        <v>0</v>
      </c>
      <c r="AH20" s="84">
        <f t="shared" si="16"/>
        <v>0</v>
      </c>
      <c r="AI20" s="84">
        <f t="shared" si="17"/>
        <v>0</v>
      </c>
      <c r="AJ20" s="84">
        <f t="shared" si="18"/>
        <v>0</v>
      </c>
    </row>
    <row r="21" spans="1:36" x14ac:dyDescent="0.25">
      <c r="A21" s="106"/>
      <c r="B21" s="37">
        <f t="shared" si="3"/>
        <v>41526</v>
      </c>
      <c r="C21" s="38">
        <f t="shared" si="0"/>
        <v>41526</v>
      </c>
      <c r="D21" s="39" t="str">
        <f>IF(B21="","",IF(VerificaSeFeriado(B21),"Sim",""))</f>
        <v/>
      </c>
      <c r="E21" s="5"/>
      <c r="F21" s="5"/>
      <c r="G21" s="5"/>
      <c r="H21" s="5"/>
      <c r="I21" s="5"/>
      <c r="J21" s="5"/>
      <c r="K21" s="5"/>
      <c r="L21" s="5"/>
      <c r="M21" s="41" t="str">
        <f t="shared" si="4"/>
        <v/>
      </c>
      <c r="N21" s="42" t="str">
        <f t="shared" si="5"/>
        <v/>
      </c>
      <c r="O21" s="43" t="str">
        <f t="shared" si="19"/>
        <v/>
      </c>
      <c r="P21" s="43" t="str">
        <f t="shared" ca="1" si="6"/>
        <v/>
      </c>
      <c r="Q21" s="6"/>
      <c r="R21" s="40">
        <f t="shared" si="7"/>
        <v>0</v>
      </c>
      <c r="S21" s="44">
        <f>IF(D21="Sim",0,IF((OR(WEEKDAY(C21)=2,WEEKDAY(C21)=3,WEEKDAY(C21)=4,WEEKDAY(C21)=5,WEEKDAY(C21)=6))=TRUE,M21,IF(AND(WEEKDAY(C21)=7,Configurações!$C$11&gt;0)=TRUE,M21,IF(AND(WEEKDAY(C21)=1,Configurações!$C$12&gt;0)=TRUE,M21,0))))</f>
        <v>0</v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8"/>
        <v>0</v>
      </c>
      <c r="W21" s="44">
        <f t="shared" si="9"/>
        <v>0</v>
      </c>
      <c r="X21" s="45">
        <f t="shared" si="10"/>
        <v>0</v>
      </c>
      <c r="Y21" s="44">
        <f t="shared" si="2"/>
        <v>0</v>
      </c>
      <c r="Z21" s="45">
        <f t="shared" si="11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2"/>
        <v/>
      </c>
      <c r="AE21" s="11" t="str">
        <f t="shared" si="13"/>
        <v/>
      </c>
      <c r="AF21" s="83">
        <f t="shared" si="14"/>
        <v>0</v>
      </c>
      <c r="AG21" s="84">
        <f t="shared" si="15"/>
        <v>0</v>
      </c>
      <c r="AH21" s="84">
        <f t="shared" si="16"/>
        <v>0</v>
      </c>
      <c r="AI21" s="84">
        <f t="shared" si="17"/>
        <v>0</v>
      </c>
      <c r="AJ21" s="84">
        <f t="shared" si="18"/>
        <v>0</v>
      </c>
    </row>
    <row r="22" spans="1:36" x14ac:dyDescent="0.25">
      <c r="A22" s="106"/>
      <c r="B22" s="37">
        <f t="shared" si="3"/>
        <v>41527</v>
      </c>
      <c r="C22" s="38">
        <f t="shared" si="0"/>
        <v>41527</v>
      </c>
      <c r="D22" s="39" t="str">
        <f>IF(B22="","",IF(VerificaSeFeriado(B22),"Sim",""))</f>
        <v/>
      </c>
      <c r="E22" s="5"/>
      <c r="F22" s="5"/>
      <c r="G22" s="5"/>
      <c r="H22" s="5"/>
      <c r="I22" s="5"/>
      <c r="J22" s="5"/>
      <c r="K22" s="5"/>
      <c r="L22" s="5"/>
      <c r="M22" s="41" t="str">
        <f t="shared" si="4"/>
        <v/>
      </c>
      <c r="N22" s="42" t="str">
        <f t="shared" si="5"/>
        <v/>
      </c>
      <c r="O22" s="43" t="str">
        <f>IF(OR(D22="Sim",E22="")=TRUE,"",IF((R22-AB22)&gt;=(-"00:00:01"),"",(R22-AB22)))</f>
        <v/>
      </c>
      <c r="P22" s="43" t="str">
        <f ca="1">IF(TODAY()&lt;=B22,"",IF(D22="Sim","",IF(AND(AA22="Sim",E22="",G22="",I22="",K22="")=TRUE,IF(Q22-AB22&lt;0,Q22-AB22,""),"")))</f>
        <v/>
      </c>
      <c r="Q22" s="6"/>
      <c r="R22" s="40">
        <f t="shared" si="7"/>
        <v>0</v>
      </c>
      <c r="S22" s="44" t="str">
        <f>IF(D22="Sim",0,IF((OR(WEEKDAY(C22)=2,WEEKDAY(C22)=3,WEEKDAY(C22)=4,WEEKDAY(C22)=5,WEEKDAY(C22)=6))=TRUE,M22,IF(AND(WEEKDAY(C22)=7,Configurações!$C$11&gt;0)=TRUE,M22,IF(AND(WEEKDAY(C22)=1,Configurações!$C$12&gt;0)=TRUE,M22,0))))</f>
        <v/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8"/>
        <v>0</v>
      </c>
      <c r="W22" s="44">
        <f t="shared" si="9"/>
        <v>0</v>
      </c>
      <c r="X22" s="45">
        <f t="shared" si="10"/>
        <v>0</v>
      </c>
      <c r="Y22" s="44">
        <f t="shared" si="2"/>
        <v>0</v>
      </c>
      <c r="Z22" s="45">
        <f t="shared" si="11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>IF(E22="","",IF(OR(AND(E22&gt;=(1*"22:00"),((1*"29:00")-E22-Y22)&gt;=AB22)=TRUE,AND(AND(E22&gt;=0,E22&lt;=(1*"5:00"))=TRUE,(1*"5:00")-E22-Y22&gt;=AB22)=TRUE)=TRUE,"Sumula",IF(OR(E22&gt;=(1*"22:00"),AND(E22&lt;(1*"5:00"),E22&gt;=(1*"0:00"))=TRUE)=TRUE,"Noite",IF(OR(H22&lt;E22,H22&gt;(1*"22:00"))=TRUE,"Dia",""))))</f>
        <v/>
      </c>
      <c r="AE22" s="11" t="str">
        <f t="shared" si="13"/>
        <v/>
      </c>
      <c r="AF22" s="83">
        <f t="shared" si="14"/>
        <v>0</v>
      </c>
      <c r="AG22" s="84">
        <f t="shared" si="15"/>
        <v>0</v>
      </c>
      <c r="AH22" s="84">
        <f t="shared" si="16"/>
        <v>0</v>
      </c>
      <c r="AI22" s="84">
        <f t="shared" si="17"/>
        <v>0</v>
      </c>
      <c r="AJ22" s="84">
        <f t="shared" si="18"/>
        <v>0</v>
      </c>
    </row>
    <row r="23" spans="1:36" x14ac:dyDescent="0.25">
      <c r="A23" s="106"/>
      <c r="B23" s="37">
        <f t="shared" si="3"/>
        <v>41528</v>
      </c>
      <c r="C23" s="38">
        <f t="shared" si="0"/>
        <v>41528</v>
      </c>
      <c r="D23" s="39" t="str">
        <f>IF(B23="","",IF(VerificaSeFeriado(B23),"Sim",""))</f>
        <v/>
      </c>
      <c r="E23" s="5"/>
      <c r="F23" s="5"/>
      <c r="G23" s="5"/>
      <c r="H23" s="5"/>
      <c r="I23" s="5"/>
      <c r="J23" s="5"/>
      <c r="K23" s="5"/>
      <c r="L23" s="5"/>
      <c r="M23" s="41" t="str">
        <f t="shared" si="4"/>
        <v/>
      </c>
      <c r="N23" s="42" t="str">
        <f t="shared" si="5"/>
        <v/>
      </c>
      <c r="O23" s="43" t="str">
        <f t="shared" si="19"/>
        <v/>
      </c>
      <c r="P23" s="43" t="str">
        <f t="shared" ca="1" si="6"/>
        <v/>
      </c>
      <c r="Q23" s="6"/>
      <c r="R23" s="40">
        <f t="shared" si="7"/>
        <v>0</v>
      </c>
      <c r="S23" s="44" t="str">
        <f>IF(D23="Sim",0,IF((OR(WEEKDAY(C23)=2,WEEKDAY(C23)=3,WEEKDAY(C23)=4,WEEKDAY(C23)=5,WEEKDAY(C23)=6))=TRUE,M23,IF(AND(WEEKDAY(C23)=7,Configurações!$C$11&gt;0)=TRUE,M23,IF(AND(WEEKDAY(C23)=1,Configurações!$C$12&gt;0)=TRUE,M23,0))))</f>
        <v/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8"/>
        <v>0</v>
      </c>
      <c r="W23" s="44">
        <f t="shared" si="9"/>
        <v>0</v>
      </c>
      <c r="X23" s="45">
        <f t="shared" si="10"/>
        <v>0</v>
      </c>
      <c r="Y23" s="44">
        <f t="shared" si="2"/>
        <v>0</v>
      </c>
      <c r="Z23" s="45">
        <f t="shared" si="11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2"/>
        <v/>
      </c>
      <c r="AE23" s="11" t="str">
        <f t="shared" si="13"/>
        <v/>
      </c>
      <c r="AF23" s="83">
        <f t="shared" si="14"/>
        <v>0</v>
      </c>
      <c r="AG23" s="84">
        <f t="shared" si="15"/>
        <v>0</v>
      </c>
      <c r="AH23" s="84">
        <f t="shared" si="16"/>
        <v>0</v>
      </c>
      <c r="AI23" s="84">
        <f t="shared" si="17"/>
        <v>0</v>
      </c>
      <c r="AJ23" s="84">
        <f t="shared" si="18"/>
        <v>0</v>
      </c>
    </row>
    <row r="24" spans="1:36" x14ac:dyDescent="0.25">
      <c r="A24" s="106"/>
      <c r="B24" s="37">
        <f t="shared" si="3"/>
        <v>41529</v>
      </c>
      <c r="C24" s="38">
        <f t="shared" si="0"/>
        <v>41529</v>
      </c>
      <c r="D24" s="39" t="str">
        <f>IF(B24="","",IF(VerificaSeFeriado(B24),"Sim",""))</f>
        <v/>
      </c>
      <c r="E24" s="5"/>
      <c r="F24" s="5"/>
      <c r="G24" s="5"/>
      <c r="H24" s="5"/>
      <c r="I24" s="5"/>
      <c r="J24" s="5"/>
      <c r="K24" s="5"/>
      <c r="L24" s="5"/>
      <c r="M24" s="41" t="str">
        <f t="shared" si="4"/>
        <v/>
      </c>
      <c r="N24" s="42" t="str">
        <f t="shared" si="5"/>
        <v/>
      </c>
      <c r="O24" s="43" t="str">
        <f t="shared" si="19"/>
        <v/>
      </c>
      <c r="P24" s="43" t="str">
        <f t="shared" ca="1" si="6"/>
        <v/>
      </c>
      <c r="Q24" s="6"/>
      <c r="R24" s="40">
        <f t="shared" si="7"/>
        <v>0</v>
      </c>
      <c r="S24" s="44" t="str">
        <f>IF(D24="Sim",0,IF((OR(WEEKDAY(C24)=2,WEEKDAY(C24)=3,WEEKDAY(C24)=4,WEEKDAY(C24)=5,WEEKDAY(C24)=6))=TRUE,M24,IF(AND(WEEKDAY(C24)=7,Configurações!$C$11&gt;0)=TRUE,M24,IF(AND(WEEKDAY(C24)=1,Configurações!$C$12&gt;0)=TRUE,M24,0))))</f>
        <v/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8"/>
        <v>0</v>
      </c>
      <c r="W24" s="44">
        <f t="shared" si="9"/>
        <v>0</v>
      </c>
      <c r="X24" s="45">
        <f t="shared" si="10"/>
        <v>0</v>
      </c>
      <c r="Y24" s="44">
        <f t="shared" si="2"/>
        <v>0</v>
      </c>
      <c r="Z24" s="45">
        <f t="shared" si="11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2"/>
        <v/>
      </c>
      <c r="AE24" s="11" t="str">
        <f t="shared" si="13"/>
        <v/>
      </c>
      <c r="AF24" s="83">
        <f t="shared" si="14"/>
        <v>0</v>
      </c>
      <c r="AG24" s="84">
        <f t="shared" si="15"/>
        <v>0</v>
      </c>
      <c r="AH24" s="84">
        <f t="shared" si="16"/>
        <v>0</v>
      </c>
      <c r="AI24" s="84">
        <f t="shared" si="17"/>
        <v>0</v>
      </c>
      <c r="AJ24" s="84">
        <f t="shared" si="18"/>
        <v>0</v>
      </c>
    </row>
    <row r="25" spans="1:36" x14ac:dyDescent="0.25">
      <c r="A25" s="106"/>
      <c r="B25" s="37">
        <f t="shared" si="3"/>
        <v>41530</v>
      </c>
      <c r="C25" s="38">
        <f t="shared" si="0"/>
        <v>41530</v>
      </c>
      <c r="D25" s="39" t="str">
        <f>IF(B25="","",IF(VerificaSeFeriado(B25),"Sim",""))</f>
        <v/>
      </c>
      <c r="E25" s="5"/>
      <c r="F25" s="5"/>
      <c r="G25" s="5"/>
      <c r="H25" s="5"/>
      <c r="I25" s="5"/>
      <c r="J25" s="5"/>
      <c r="K25" s="5"/>
      <c r="L25" s="5"/>
      <c r="M25" s="41" t="str">
        <f>IFERROR(IF((R25-AB25)&gt;(1*"00:00:01"),(R25-AB25),""),"")</f>
        <v/>
      </c>
      <c r="N25" s="42" t="str">
        <f t="shared" si="5"/>
        <v/>
      </c>
      <c r="O25" s="43" t="str">
        <f t="shared" si="19"/>
        <v/>
      </c>
      <c r="P25" s="43" t="str">
        <f t="shared" ca="1" si="6"/>
        <v/>
      </c>
      <c r="Q25" s="6"/>
      <c r="R25" s="40">
        <f t="shared" si="7"/>
        <v>0</v>
      </c>
      <c r="S25" s="44" t="str">
        <f>IF(D25="Sim",0,IF((OR(WEEKDAY(C25)=2,WEEKDAY(C25)=3,WEEKDAY(C25)=4,WEEKDAY(C25)=5,WEEKDAY(C25)=6))=TRUE,M25,IF(AND(WEEKDAY(C25)=7,Configurações!$C$11&gt;0)=TRUE,M25,IF(AND(WEEKDAY(C25)=1,Configurações!$C$12&gt;0)=TRUE,M25,0))))</f>
        <v/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8"/>
        <v>0</v>
      </c>
      <c r="W25" s="44">
        <f t="shared" si="9"/>
        <v>0</v>
      </c>
      <c r="X25" s="45">
        <f t="shared" si="10"/>
        <v>0</v>
      </c>
      <c r="Y25" s="44">
        <f t="shared" si="2"/>
        <v>0</v>
      </c>
      <c r="Z25" s="45">
        <f t="shared" si="11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2"/>
        <v/>
      </c>
      <c r="AE25" s="11" t="str">
        <f t="shared" si="13"/>
        <v/>
      </c>
      <c r="AF25" s="83">
        <f t="shared" si="14"/>
        <v>0</v>
      </c>
      <c r="AG25" s="84">
        <f t="shared" si="15"/>
        <v>0</v>
      </c>
      <c r="AH25" s="84">
        <f t="shared" si="16"/>
        <v>0</v>
      </c>
      <c r="AI25" s="84">
        <f t="shared" si="17"/>
        <v>0</v>
      </c>
      <c r="AJ25" s="84">
        <f t="shared" si="18"/>
        <v>0</v>
      </c>
    </row>
    <row r="26" spans="1:36" x14ac:dyDescent="0.25">
      <c r="A26" s="106"/>
      <c r="B26" s="37">
        <f t="shared" si="3"/>
        <v>41531</v>
      </c>
      <c r="C26" s="38">
        <f t="shared" si="0"/>
        <v>41531</v>
      </c>
      <c r="D26" s="39" t="str">
        <f>IF(B26="","",IF(VerificaSeFeriado(B26),"Sim",""))</f>
        <v/>
      </c>
      <c r="E26" s="5"/>
      <c r="F26" s="5"/>
      <c r="G26" s="5"/>
      <c r="H26" s="5"/>
      <c r="I26" s="5"/>
      <c r="J26" s="5"/>
      <c r="K26" s="5"/>
      <c r="L26" s="5"/>
      <c r="M26" s="41" t="str">
        <f t="shared" si="4"/>
        <v/>
      </c>
      <c r="N26" s="42" t="str">
        <f t="shared" si="5"/>
        <v/>
      </c>
      <c r="O26" s="43" t="str">
        <f t="shared" si="19"/>
        <v/>
      </c>
      <c r="P26" s="43" t="str">
        <f t="shared" ca="1" si="6"/>
        <v/>
      </c>
      <c r="Q26" s="6"/>
      <c r="R26" s="40">
        <f t="shared" si="7"/>
        <v>0</v>
      </c>
      <c r="S26" s="44" t="str">
        <f>IF(D26="Sim",0,IF((OR(WEEKDAY(C26)=2,WEEKDAY(C26)=3,WEEKDAY(C26)=4,WEEKDAY(C26)=5,WEEKDAY(C26)=6))=TRUE,M26,IF(AND(WEEKDAY(C26)=7,Configurações!$C$11&gt;0)=TRUE,M26,IF(AND(WEEKDAY(C26)=1,Configurações!$C$12&gt;0)=TRUE,M26,0))))</f>
        <v/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8"/>
        <v>0</v>
      </c>
      <c r="W26" s="44">
        <f t="shared" si="9"/>
        <v>0</v>
      </c>
      <c r="X26" s="45">
        <f t="shared" si="10"/>
        <v>0</v>
      </c>
      <c r="Y26" s="44">
        <f>IF(F26="",0,IF(AND(F26&lt;(1*"22:00"),F26&gt;=(1*"5:00"),G26&lt;(1*"22:00"),G26&gt;(1*"5:00"))=TRUE,0,IF(F26&gt;=(1*"22:00"),IF(G26&gt;F26,G26-F26,G26+(1*"24:00")-F26),IF(F26&lt;(1*"5:00"),IF(G26&lt;(1*"5:00"),G26-F26,(1*"5:00")-F26),IF(G26&gt;F26,G26-(1*"22:00"),G26+(1*"24:00")-(1*"22:00"))))))</f>
        <v>0</v>
      </c>
      <c r="Z26" s="45">
        <f t="shared" si="11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2"/>
        <v/>
      </c>
      <c r="AE26" s="11" t="str">
        <f t="shared" si="13"/>
        <v/>
      </c>
      <c r="AF26" s="83">
        <f t="shared" si="14"/>
        <v>0</v>
      </c>
      <c r="AG26" s="84">
        <f t="shared" si="15"/>
        <v>0</v>
      </c>
      <c r="AH26" s="84">
        <f t="shared" si="16"/>
        <v>0</v>
      </c>
      <c r="AI26" s="84">
        <f t="shared" si="17"/>
        <v>0</v>
      </c>
      <c r="AJ26" s="84">
        <f t="shared" si="18"/>
        <v>0</v>
      </c>
    </row>
    <row r="27" spans="1:36" x14ac:dyDescent="0.25">
      <c r="A27" s="106"/>
      <c r="B27" s="37">
        <f t="shared" si="3"/>
        <v>41532</v>
      </c>
      <c r="C27" s="38">
        <f t="shared" si="0"/>
        <v>41532</v>
      </c>
      <c r="D27" s="39" t="str">
        <f>IF(B27="","",IF(VerificaSeFeriado(B27),"Sim",""))</f>
        <v/>
      </c>
      <c r="E27" s="5"/>
      <c r="F27" s="5"/>
      <c r="G27" s="5"/>
      <c r="H27" s="5"/>
      <c r="I27" s="5"/>
      <c r="J27" s="5"/>
      <c r="K27" s="5"/>
      <c r="L27" s="5"/>
      <c r="M27" s="41" t="str">
        <f t="shared" si="4"/>
        <v/>
      </c>
      <c r="N27" s="42" t="str">
        <f t="shared" si="5"/>
        <v/>
      </c>
      <c r="O27" s="43" t="str">
        <f t="shared" si="19"/>
        <v/>
      </c>
      <c r="P27" s="43" t="str">
        <f t="shared" ca="1" si="6"/>
        <v/>
      </c>
      <c r="Q27" s="6"/>
      <c r="R27" s="40">
        <f t="shared" si="7"/>
        <v>0</v>
      </c>
      <c r="S27" s="44">
        <f>IF(D27="Sim",0,IF((OR(WEEKDAY(C27)=2,WEEKDAY(C27)=3,WEEKDAY(C27)=4,WEEKDAY(C27)=5,WEEKDAY(C27)=6))=TRUE,M27,IF(AND(WEEKDAY(C27)=7,Configurações!$C$11&gt;0)=TRUE,M27,IF(AND(WEEKDAY(C27)=1,Configurações!$C$12&gt;0)=TRUE,M27,0))))</f>
        <v>0</v>
      </c>
      <c r="T27" s="44">
        <f>IF(D27="Sim",0,IF(AND(WEEKDAY(C27)=7,Configurações!$C$11&lt;=0)=TRUE,R27,0))</f>
        <v>0</v>
      </c>
      <c r="U27" s="44">
        <f>IF(D27="Sim",0,IF(AND(WEEKDAY(C27)=1,Configurações!$C$12&lt;=0)=TRUE,R27,0))</f>
        <v>0</v>
      </c>
      <c r="V27" s="44">
        <f t="shared" si="8"/>
        <v>0</v>
      </c>
      <c r="W27" s="44">
        <f t="shared" si="9"/>
        <v>0</v>
      </c>
      <c r="X27" s="45">
        <f t="shared" si="10"/>
        <v>0</v>
      </c>
      <c r="Y27" s="44">
        <f t="shared" ref="Y27:Y41" si="20">IF(F27="",0,IF(AND(F27&lt;(1*"22:00"),F27&gt;=(1*"5:00"),G27&lt;(1*"22:00"),G27&gt;(1*"5:00"))=TRUE,0,IF(F27&gt;=(1*"22:00"),IF(G27&gt;F27,G27-F27,G27+(1*"24:00")-F27),IF(F27&lt;(1*"5:00"),IF(G27&lt;(1*"5:00"),G27-F27,(1*"5:00")-F27),IF(G27&gt;F27,G27-(1*"22:00"),G27+(1*"24:00")-(1*"22:00"))))))</f>
        <v>0</v>
      </c>
      <c r="Z27" s="45">
        <f t="shared" si="11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2"/>
        <v/>
      </c>
      <c r="AE27" s="11" t="str">
        <f t="shared" si="13"/>
        <v/>
      </c>
      <c r="AF27" s="83">
        <f t="shared" si="14"/>
        <v>0</v>
      </c>
      <c r="AG27" s="84">
        <f t="shared" si="15"/>
        <v>0</v>
      </c>
      <c r="AH27" s="84">
        <f t="shared" si="16"/>
        <v>0</v>
      </c>
      <c r="AI27" s="84">
        <f t="shared" si="17"/>
        <v>0</v>
      </c>
      <c r="AJ27" s="84">
        <f t="shared" si="18"/>
        <v>0</v>
      </c>
    </row>
    <row r="28" spans="1:36" x14ac:dyDescent="0.25">
      <c r="A28" s="106"/>
      <c r="B28" s="37">
        <f t="shared" si="3"/>
        <v>41533</v>
      </c>
      <c r="C28" s="38">
        <f t="shared" si="0"/>
        <v>41533</v>
      </c>
      <c r="D28" s="39" t="str">
        <f>IF(B28="","",IF(VerificaSeFeriado(B28),"Sim",""))</f>
        <v/>
      </c>
      <c r="E28" s="5"/>
      <c r="F28" s="5"/>
      <c r="G28" s="5"/>
      <c r="H28" s="5"/>
      <c r="I28" s="5"/>
      <c r="J28" s="5"/>
      <c r="K28" s="5"/>
      <c r="L28" s="5"/>
      <c r="M28" s="41" t="str">
        <f t="shared" si="4"/>
        <v/>
      </c>
      <c r="N28" s="42" t="str">
        <f t="shared" si="5"/>
        <v/>
      </c>
      <c r="O28" s="43" t="str">
        <f t="shared" si="19"/>
        <v/>
      </c>
      <c r="P28" s="43" t="str">
        <f t="shared" ca="1" si="6"/>
        <v/>
      </c>
      <c r="Q28" s="6"/>
      <c r="R28" s="40">
        <f t="shared" si="7"/>
        <v>0</v>
      </c>
      <c r="S28" s="44">
        <f>IF(D28="Sim",0,IF((OR(WEEKDAY(C28)=2,WEEKDAY(C28)=3,WEEKDAY(C28)=4,WEEKDAY(C28)=5,WEEKDAY(C28)=6))=TRUE,M28,IF(AND(WEEKDAY(C28)=7,Configurações!$C$11&gt;0)=TRUE,M28,IF(AND(WEEKDAY(C28)=1,Configurações!$C$12&gt;0)=TRUE,M28,0))))</f>
        <v>0</v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8"/>
        <v>0</v>
      </c>
      <c r="W28" s="44">
        <f t="shared" si="9"/>
        <v>0</v>
      </c>
      <c r="X28" s="45">
        <f t="shared" si="10"/>
        <v>0</v>
      </c>
      <c r="Y28" s="44">
        <f t="shared" si="20"/>
        <v>0</v>
      </c>
      <c r="Z28" s="45">
        <f t="shared" si="11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2"/>
        <v/>
      </c>
      <c r="AE28" s="11" t="str">
        <f t="shared" si="13"/>
        <v/>
      </c>
      <c r="AF28" s="83">
        <f t="shared" si="14"/>
        <v>0</v>
      </c>
      <c r="AG28" s="84">
        <f t="shared" si="15"/>
        <v>0</v>
      </c>
      <c r="AH28" s="84">
        <f t="shared" si="16"/>
        <v>0</v>
      </c>
      <c r="AI28" s="84">
        <f t="shared" si="17"/>
        <v>0</v>
      </c>
      <c r="AJ28" s="84">
        <f t="shared" si="18"/>
        <v>0</v>
      </c>
    </row>
    <row r="29" spans="1:36" x14ac:dyDescent="0.25">
      <c r="A29" s="106"/>
      <c r="B29" s="37">
        <f t="shared" si="3"/>
        <v>41534</v>
      </c>
      <c r="C29" s="38">
        <f t="shared" si="0"/>
        <v>41534</v>
      </c>
      <c r="D29" s="39" t="str">
        <f>IF(B29="","",IF(VerificaSeFeriado(B29),"Sim",""))</f>
        <v/>
      </c>
      <c r="E29" s="5"/>
      <c r="F29" s="5"/>
      <c r="G29" s="5"/>
      <c r="H29" s="5"/>
      <c r="I29" s="5"/>
      <c r="J29" s="5"/>
      <c r="K29" s="5"/>
      <c r="L29" s="5"/>
      <c r="M29" s="41" t="str">
        <f t="shared" si="4"/>
        <v/>
      </c>
      <c r="N29" s="42" t="str">
        <f t="shared" si="5"/>
        <v/>
      </c>
      <c r="O29" s="43" t="str">
        <f t="shared" si="19"/>
        <v/>
      </c>
      <c r="P29" s="43" t="str">
        <f t="shared" ca="1" si="6"/>
        <v/>
      </c>
      <c r="Q29" s="6"/>
      <c r="R29" s="40">
        <f t="shared" si="7"/>
        <v>0</v>
      </c>
      <c r="S29" s="44" t="str">
        <f>IF(D29="Sim",0,IF((OR(WEEKDAY(C29)=2,WEEKDAY(C29)=3,WEEKDAY(C29)=4,WEEKDAY(C29)=5,WEEKDAY(C29)=6))=TRUE,M29,IF(AND(WEEKDAY(C29)=7,Configurações!$C$11&gt;0)=TRUE,M29,IF(AND(WEEKDAY(C29)=1,Configurações!$C$12&gt;0)=TRUE,M29,0))))</f>
        <v/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8"/>
        <v>0</v>
      </c>
      <c r="W29" s="44">
        <f t="shared" si="9"/>
        <v>0</v>
      </c>
      <c r="X29" s="45">
        <f t="shared" si="10"/>
        <v>0</v>
      </c>
      <c r="Y29" s="44">
        <f t="shared" si="20"/>
        <v>0</v>
      </c>
      <c r="Z29" s="45">
        <f t="shared" si="11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2"/>
        <v/>
      </c>
      <c r="AE29" s="11" t="str">
        <f t="shared" si="13"/>
        <v/>
      </c>
      <c r="AF29" s="83">
        <f t="shared" si="14"/>
        <v>0</v>
      </c>
      <c r="AG29" s="84">
        <f t="shared" si="15"/>
        <v>0</v>
      </c>
      <c r="AH29" s="84">
        <f t="shared" si="16"/>
        <v>0</v>
      </c>
      <c r="AI29" s="84">
        <f t="shared" si="17"/>
        <v>0</v>
      </c>
      <c r="AJ29" s="84">
        <f t="shared" si="18"/>
        <v>0</v>
      </c>
    </row>
    <row r="30" spans="1:36" x14ac:dyDescent="0.25">
      <c r="A30" s="106"/>
      <c r="B30" s="37">
        <f t="shared" si="3"/>
        <v>41535</v>
      </c>
      <c r="C30" s="38">
        <f t="shared" si="0"/>
        <v>41535</v>
      </c>
      <c r="D30" s="39" t="str">
        <f>IF(B30="","",IF(VerificaSeFeriado(B30),"Sim",""))</f>
        <v/>
      </c>
      <c r="E30" s="5"/>
      <c r="F30" s="5"/>
      <c r="G30" s="5"/>
      <c r="H30" s="5"/>
      <c r="I30" s="5"/>
      <c r="J30" s="5"/>
      <c r="K30" s="5"/>
      <c r="L30" s="5"/>
      <c r="M30" s="41" t="str">
        <f t="shared" si="4"/>
        <v/>
      </c>
      <c r="N30" s="42" t="str">
        <f t="shared" si="5"/>
        <v/>
      </c>
      <c r="O30" s="43" t="str">
        <f t="shared" si="19"/>
        <v/>
      </c>
      <c r="P30" s="43" t="str">
        <f t="shared" ca="1" si="6"/>
        <v/>
      </c>
      <c r="Q30" s="6"/>
      <c r="R30" s="40">
        <f t="shared" si="7"/>
        <v>0</v>
      </c>
      <c r="S30" s="44" t="str">
        <f>IF(D30="Sim",0,IF((OR(WEEKDAY(C30)=2,WEEKDAY(C30)=3,WEEKDAY(C30)=4,WEEKDAY(C30)=5,WEEKDAY(C30)=6))=TRUE,M30,IF(AND(WEEKDAY(C30)=7,Configurações!$C$11&gt;0)=TRUE,M30,IF(AND(WEEKDAY(C30)=1,Configurações!$C$12&gt;0)=TRUE,M30,0))))</f>
        <v/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8"/>
        <v>0</v>
      </c>
      <c r="W30" s="44">
        <f t="shared" si="9"/>
        <v>0</v>
      </c>
      <c r="X30" s="45">
        <f t="shared" si="10"/>
        <v>0</v>
      </c>
      <c r="Y30" s="44">
        <f t="shared" si="20"/>
        <v>0</v>
      </c>
      <c r="Z30" s="45">
        <f t="shared" si="11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2"/>
        <v/>
      </c>
      <c r="AE30" s="11" t="str">
        <f t="shared" si="13"/>
        <v/>
      </c>
      <c r="AF30" s="83">
        <f t="shared" si="14"/>
        <v>0</v>
      </c>
      <c r="AG30" s="84">
        <f t="shared" si="15"/>
        <v>0</v>
      </c>
      <c r="AH30" s="84">
        <f t="shared" si="16"/>
        <v>0</v>
      </c>
      <c r="AI30" s="84">
        <f t="shared" si="17"/>
        <v>0</v>
      </c>
      <c r="AJ30" s="84">
        <f t="shared" si="18"/>
        <v>0</v>
      </c>
    </row>
    <row r="31" spans="1:36" x14ac:dyDescent="0.25">
      <c r="A31" s="106"/>
      <c r="B31" s="37">
        <f t="shared" si="3"/>
        <v>41536</v>
      </c>
      <c r="C31" s="38">
        <f t="shared" si="0"/>
        <v>41536</v>
      </c>
      <c r="D31" s="39" t="str">
        <f>IF(B31="","",IF(VerificaSeFeriado(B31),"Sim",""))</f>
        <v/>
      </c>
      <c r="E31" s="5"/>
      <c r="F31" s="5"/>
      <c r="G31" s="5"/>
      <c r="H31" s="5"/>
      <c r="I31" s="5"/>
      <c r="J31" s="5"/>
      <c r="K31" s="5"/>
      <c r="L31" s="5"/>
      <c r="M31" s="41" t="str">
        <f t="shared" si="4"/>
        <v/>
      </c>
      <c r="N31" s="42" t="str">
        <f t="shared" si="5"/>
        <v/>
      </c>
      <c r="O31" s="43" t="str">
        <f t="shared" si="19"/>
        <v/>
      </c>
      <c r="P31" s="43" t="str">
        <f t="shared" ca="1" si="6"/>
        <v/>
      </c>
      <c r="Q31" s="6"/>
      <c r="R31" s="40">
        <f t="shared" si="7"/>
        <v>0</v>
      </c>
      <c r="S31" s="44" t="str">
        <f>IF(D31="Sim",0,IF((OR(WEEKDAY(C31)=2,WEEKDAY(C31)=3,WEEKDAY(C31)=4,WEEKDAY(C31)=5,WEEKDAY(C31)=6))=TRUE,M31,IF(AND(WEEKDAY(C31)=7,Configurações!$C$11&gt;0)=TRUE,M31,IF(AND(WEEKDAY(C31)=1,Configurações!$C$12&gt;0)=TRUE,M31,0))))</f>
        <v/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8"/>
        <v>0</v>
      </c>
      <c r="W31" s="44">
        <f t="shared" si="9"/>
        <v>0</v>
      </c>
      <c r="X31" s="45">
        <f t="shared" si="10"/>
        <v>0</v>
      </c>
      <c r="Y31" s="44">
        <f t="shared" si="20"/>
        <v>0</v>
      </c>
      <c r="Z31" s="45">
        <f t="shared" si="11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2"/>
        <v/>
      </c>
      <c r="AE31" s="11" t="str">
        <f t="shared" si="13"/>
        <v/>
      </c>
      <c r="AF31" s="83">
        <f t="shared" si="14"/>
        <v>0</v>
      </c>
      <c r="AG31" s="84">
        <f t="shared" si="15"/>
        <v>0</v>
      </c>
      <c r="AH31" s="84">
        <f t="shared" si="16"/>
        <v>0</v>
      </c>
      <c r="AI31" s="84">
        <f t="shared" si="17"/>
        <v>0</v>
      </c>
      <c r="AJ31" s="84">
        <f t="shared" si="18"/>
        <v>0</v>
      </c>
    </row>
    <row r="32" spans="1:36" x14ac:dyDescent="0.25">
      <c r="A32" s="106"/>
      <c r="B32" s="37">
        <f t="shared" si="3"/>
        <v>41537</v>
      </c>
      <c r="C32" s="38">
        <f t="shared" si="0"/>
        <v>41537</v>
      </c>
      <c r="D32" s="39" t="str">
        <f>IF(B32="","",IF(VerificaSeFeriado(B32),"Sim",""))</f>
        <v/>
      </c>
      <c r="E32" s="5"/>
      <c r="F32" s="5"/>
      <c r="G32" s="5"/>
      <c r="H32" s="5"/>
      <c r="I32" s="5"/>
      <c r="J32" s="5"/>
      <c r="K32" s="5"/>
      <c r="L32" s="5"/>
      <c r="M32" s="41" t="str">
        <f t="shared" si="4"/>
        <v/>
      </c>
      <c r="N32" s="42" t="str">
        <f t="shared" si="5"/>
        <v/>
      </c>
      <c r="O32" s="43" t="str">
        <f t="shared" si="19"/>
        <v/>
      </c>
      <c r="P32" s="43" t="str">
        <f t="shared" ca="1" si="6"/>
        <v/>
      </c>
      <c r="Q32" s="6"/>
      <c r="R32" s="40">
        <f t="shared" si="7"/>
        <v>0</v>
      </c>
      <c r="S32" s="44" t="str">
        <f>IF(D32="Sim",0,IF((OR(WEEKDAY(C32)=2,WEEKDAY(C32)=3,WEEKDAY(C32)=4,WEEKDAY(C32)=5,WEEKDAY(C32)=6))=TRUE,M32,IF(AND(WEEKDAY(C32)=7,Configurações!$C$11&gt;0)=TRUE,M32,IF(AND(WEEKDAY(C32)=1,Configurações!$C$12&gt;0)=TRUE,M32,0))))</f>
        <v/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8"/>
        <v>0</v>
      </c>
      <c r="W32" s="44">
        <f t="shared" si="9"/>
        <v>0</v>
      </c>
      <c r="X32" s="45">
        <f t="shared" si="10"/>
        <v>0</v>
      </c>
      <c r="Y32" s="44">
        <f t="shared" si="20"/>
        <v>0</v>
      </c>
      <c r="Z32" s="45">
        <f t="shared" si="11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2"/>
        <v/>
      </c>
      <c r="AE32" s="11" t="str">
        <f t="shared" si="13"/>
        <v/>
      </c>
      <c r="AF32" s="83">
        <f t="shared" si="14"/>
        <v>0</v>
      </c>
      <c r="AG32" s="84">
        <f t="shared" si="15"/>
        <v>0</v>
      </c>
      <c r="AH32" s="84">
        <f t="shared" si="16"/>
        <v>0</v>
      </c>
      <c r="AI32" s="84">
        <f t="shared" si="17"/>
        <v>0</v>
      </c>
      <c r="AJ32" s="84">
        <f t="shared" si="18"/>
        <v>0</v>
      </c>
    </row>
    <row r="33" spans="1:36" x14ac:dyDescent="0.25">
      <c r="A33" s="106"/>
      <c r="B33" s="37">
        <f t="shared" si="3"/>
        <v>41538</v>
      </c>
      <c r="C33" s="38">
        <f t="shared" si="0"/>
        <v>41538</v>
      </c>
      <c r="D33" s="39" t="str">
        <f>IF(B33="","",IF(VerificaSeFeriado(B33),"Sim",""))</f>
        <v/>
      </c>
      <c r="E33" s="5"/>
      <c r="F33" s="5"/>
      <c r="G33" s="5"/>
      <c r="H33" s="5"/>
      <c r="I33" s="5"/>
      <c r="J33" s="5"/>
      <c r="K33" s="5"/>
      <c r="L33" s="5"/>
      <c r="M33" s="41" t="str">
        <f t="shared" si="4"/>
        <v/>
      </c>
      <c r="N33" s="42" t="str">
        <f t="shared" si="5"/>
        <v/>
      </c>
      <c r="O33" s="43" t="str">
        <f t="shared" si="19"/>
        <v/>
      </c>
      <c r="P33" s="43" t="str">
        <f t="shared" ca="1" si="6"/>
        <v/>
      </c>
      <c r="Q33" s="6"/>
      <c r="R33" s="40">
        <f t="shared" si="7"/>
        <v>0</v>
      </c>
      <c r="S33" s="44" t="str">
        <f>IF(D33="Sim",0,IF((OR(WEEKDAY(C33)=2,WEEKDAY(C33)=3,WEEKDAY(C33)=4,WEEKDAY(C33)=5,WEEKDAY(C33)=6))=TRUE,M33,IF(AND(WEEKDAY(C33)=7,Configurações!$C$11&gt;0)=TRUE,M33,IF(AND(WEEKDAY(C33)=1,Configurações!$C$12&gt;0)=TRUE,M33,0))))</f>
        <v/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8"/>
        <v>0</v>
      </c>
      <c r="W33" s="44">
        <f t="shared" si="9"/>
        <v>0</v>
      </c>
      <c r="X33" s="45">
        <f t="shared" si="10"/>
        <v>0</v>
      </c>
      <c r="Y33" s="44">
        <f t="shared" si="20"/>
        <v>0</v>
      </c>
      <c r="Z33" s="45">
        <f t="shared" si="11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2"/>
        <v/>
      </c>
      <c r="AE33" s="11" t="str">
        <f t="shared" si="13"/>
        <v/>
      </c>
      <c r="AF33" s="83">
        <f t="shared" si="14"/>
        <v>0</v>
      </c>
      <c r="AG33" s="84">
        <f t="shared" si="15"/>
        <v>0</v>
      </c>
      <c r="AH33" s="84">
        <f t="shared" si="16"/>
        <v>0</v>
      </c>
      <c r="AI33" s="84">
        <f t="shared" si="17"/>
        <v>0</v>
      </c>
      <c r="AJ33" s="84">
        <f t="shared" si="18"/>
        <v>0</v>
      </c>
    </row>
    <row r="34" spans="1:36" x14ac:dyDescent="0.25">
      <c r="A34" s="106"/>
      <c r="B34" s="37">
        <f t="shared" si="3"/>
        <v>41539</v>
      </c>
      <c r="C34" s="38">
        <f t="shared" si="0"/>
        <v>41539</v>
      </c>
      <c r="D34" s="39" t="str">
        <f>IF(B34="","",IF(VerificaSeFeriado(B34),"Sim",""))</f>
        <v/>
      </c>
      <c r="E34" s="5"/>
      <c r="F34" s="5"/>
      <c r="G34" s="5"/>
      <c r="H34" s="5"/>
      <c r="I34" s="5"/>
      <c r="J34" s="5"/>
      <c r="K34" s="5"/>
      <c r="L34" s="5"/>
      <c r="M34" s="41" t="str">
        <f t="shared" si="4"/>
        <v/>
      </c>
      <c r="N34" s="42" t="str">
        <f t="shared" si="5"/>
        <v/>
      </c>
      <c r="O34" s="43" t="str">
        <f t="shared" si="19"/>
        <v/>
      </c>
      <c r="P34" s="43" t="str">
        <f t="shared" ca="1" si="6"/>
        <v/>
      </c>
      <c r="Q34" s="6"/>
      <c r="R34" s="40">
        <f t="shared" si="7"/>
        <v>0</v>
      </c>
      <c r="S34" s="44">
        <f>IF(D34="Sim",0,IF((OR(WEEKDAY(C34)=2,WEEKDAY(C34)=3,WEEKDAY(C34)=4,WEEKDAY(C34)=5,WEEKDAY(C34)=6))=TRUE,M34,IF(AND(WEEKDAY(C34)=7,Configurações!$C$11&gt;0)=TRUE,M34,IF(AND(WEEKDAY(C34)=1,Configurações!$C$12&gt;0)=TRUE,M34,0))))</f>
        <v>0</v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8"/>
        <v>0</v>
      </c>
      <c r="W34" s="44">
        <f t="shared" si="9"/>
        <v>0</v>
      </c>
      <c r="X34" s="45">
        <f t="shared" si="10"/>
        <v>0</v>
      </c>
      <c r="Y34" s="44">
        <f t="shared" si="20"/>
        <v>0</v>
      </c>
      <c r="Z34" s="45">
        <f t="shared" si="11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2"/>
        <v/>
      </c>
      <c r="AE34" s="11" t="str">
        <f t="shared" si="13"/>
        <v/>
      </c>
      <c r="AF34" s="83">
        <f t="shared" si="14"/>
        <v>0</v>
      </c>
      <c r="AG34" s="84">
        <f t="shared" si="15"/>
        <v>0</v>
      </c>
      <c r="AH34" s="84">
        <f t="shared" si="16"/>
        <v>0</v>
      </c>
      <c r="AI34" s="84">
        <f t="shared" si="17"/>
        <v>0</v>
      </c>
      <c r="AJ34" s="84">
        <f t="shared" si="18"/>
        <v>0</v>
      </c>
    </row>
    <row r="35" spans="1:36" x14ac:dyDescent="0.25">
      <c r="A35" s="106"/>
      <c r="B35" s="37">
        <f t="shared" si="3"/>
        <v>41540</v>
      </c>
      <c r="C35" s="38">
        <f t="shared" si="0"/>
        <v>41540</v>
      </c>
      <c r="D35" s="39" t="str">
        <f>IF(B35="","",IF(VerificaSeFeriado(B35),"Sim",""))</f>
        <v/>
      </c>
      <c r="E35" s="5"/>
      <c r="F35" s="5"/>
      <c r="G35" s="5"/>
      <c r="H35" s="5"/>
      <c r="I35" s="5"/>
      <c r="J35" s="5"/>
      <c r="K35" s="5"/>
      <c r="L35" s="5"/>
      <c r="M35" s="41" t="str">
        <f t="shared" si="4"/>
        <v/>
      </c>
      <c r="N35" s="42" t="str">
        <f t="shared" si="5"/>
        <v/>
      </c>
      <c r="O35" s="43" t="str">
        <f t="shared" si="19"/>
        <v/>
      </c>
      <c r="P35" s="43" t="str">
        <f t="shared" ca="1" si="6"/>
        <v/>
      </c>
      <c r="Q35" s="6"/>
      <c r="R35" s="40">
        <f t="shared" si="7"/>
        <v>0</v>
      </c>
      <c r="S35" s="44">
        <f>IF(D35="Sim",0,IF((OR(WEEKDAY(C35)=2,WEEKDAY(C35)=3,WEEKDAY(C35)=4,WEEKDAY(C35)=5,WEEKDAY(C35)=6))=TRUE,M35,IF(AND(WEEKDAY(C35)=7,Configurações!$C$11&gt;0)=TRUE,M35,IF(AND(WEEKDAY(C35)=1,Configurações!$C$12&gt;0)=TRUE,M35,0))))</f>
        <v>0</v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</v>
      </c>
      <c r="V35" s="44">
        <f t="shared" si="8"/>
        <v>0</v>
      </c>
      <c r="W35" s="44">
        <f t="shared" si="9"/>
        <v>0</v>
      </c>
      <c r="X35" s="45">
        <f t="shared" si="10"/>
        <v>0</v>
      </c>
      <c r="Y35" s="44">
        <f t="shared" si="20"/>
        <v>0</v>
      </c>
      <c r="Z35" s="45">
        <f t="shared" si="11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2"/>
        <v/>
      </c>
      <c r="AE35" s="11" t="str">
        <f t="shared" si="13"/>
        <v/>
      </c>
      <c r="AF35" s="83">
        <f t="shared" si="14"/>
        <v>0</v>
      </c>
      <c r="AG35" s="84">
        <f t="shared" si="15"/>
        <v>0</v>
      </c>
      <c r="AH35" s="84">
        <f t="shared" si="16"/>
        <v>0</v>
      </c>
      <c r="AI35" s="84">
        <f t="shared" si="17"/>
        <v>0</v>
      </c>
      <c r="AJ35" s="84">
        <f t="shared" si="18"/>
        <v>0</v>
      </c>
    </row>
    <row r="36" spans="1:36" x14ac:dyDescent="0.25">
      <c r="A36" s="106"/>
      <c r="B36" s="37">
        <f t="shared" si="3"/>
        <v>41541</v>
      </c>
      <c r="C36" s="38">
        <f t="shared" si="0"/>
        <v>41541</v>
      </c>
      <c r="D36" s="39" t="str">
        <f>IF(B36="","",IF(VerificaSeFeriado(B36),"Sim",""))</f>
        <v/>
      </c>
      <c r="E36" s="5"/>
      <c r="F36" s="5"/>
      <c r="G36" s="5"/>
      <c r="H36" s="5"/>
      <c r="I36" s="5"/>
      <c r="J36" s="5"/>
      <c r="K36" s="5"/>
      <c r="L36" s="5"/>
      <c r="M36" s="41" t="str">
        <f t="shared" si="4"/>
        <v/>
      </c>
      <c r="N36" s="42" t="str">
        <f t="shared" si="5"/>
        <v/>
      </c>
      <c r="O36" s="43" t="str">
        <f t="shared" si="19"/>
        <v/>
      </c>
      <c r="P36" s="43" t="str">
        <f t="shared" ca="1" si="6"/>
        <v/>
      </c>
      <c r="Q36" s="6"/>
      <c r="R36" s="40">
        <f t="shared" si="7"/>
        <v>0</v>
      </c>
      <c r="S36" s="44" t="str">
        <f>IF(D36="Sim",0,IF((OR(WEEKDAY(C36)=2,WEEKDAY(C36)=3,WEEKDAY(C36)=4,WEEKDAY(C36)=5,WEEKDAY(C36)=6))=TRUE,M36,IF(AND(WEEKDAY(C36)=7,Configurações!$C$11&gt;0)=TRUE,M36,IF(AND(WEEKDAY(C36)=1,Configurações!$C$12&gt;0)=TRUE,M36,0))))</f>
        <v/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8"/>
        <v>0</v>
      </c>
      <c r="W36" s="44">
        <f t="shared" si="9"/>
        <v>0</v>
      </c>
      <c r="X36" s="45">
        <f t="shared" si="10"/>
        <v>0</v>
      </c>
      <c r="Y36" s="44">
        <f t="shared" si="20"/>
        <v>0</v>
      </c>
      <c r="Z36" s="45">
        <f t="shared" si="11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2"/>
        <v/>
      </c>
      <c r="AE36" s="11" t="str">
        <f t="shared" si="13"/>
        <v/>
      </c>
      <c r="AF36" s="83">
        <f t="shared" si="14"/>
        <v>0</v>
      </c>
      <c r="AG36" s="84">
        <f t="shared" si="15"/>
        <v>0</v>
      </c>
      <c r="AH36" s="84">
        <f t="shared" si="16"/>
        <v>0</v>
      </c>
      <c r="AI36" s="84">
        <f t="shared" si="17"/>
        <v>0</v>
      </c>
      <c r="AJ36" s="84">
        <f t="shared" si="18"/>
        <v>0</v>
      </c>
    </row>
    <row r="37" spans="1:36" x14ac:dyDescent="0.25">
      <c r="A37" s="106"/>
      <c r="B37" s="37">
        <f t="shared" si="3"/>
        <v>41542</v>
      </c>
      <c r="C37" s="38">
        <f t="shared" si="0"/>
        <v>41542</v>
      </c>
      <c r="D37" s="39" t="str">
        <f>IF(B37="","",IF(VerificaSeFeriado(B37),"Sim",""))</f>
        <v/>
      </c>
      <c r="E37" s="5"/>
      <c r="F37" s="5"/>
      <c r="G37" s="5"/>
      <c r="H37" s="5"/>
      <c r="I37" s="5"/>
      <c r="J37" s="5"/>
      <c r="K37" s="5"/>
      <c r="L37" s="5"/>
      <c r="M37" s="41" t="str">
        <f t="shared" si="4"/>
        <v/>
      </c>
      <c r="N37" s="42" t="str">
        <f t="shared" si="5"/>
        <v/>
      </c>
      <c r="O37" s="43" t="str">
        <f t="shared" si="19"/>
        <v/>
      </c>
      <c r="P37" s="43" t="str">
        <f t="shared" ca="1" si="6"/>
        <v/>
      </c>
      <c r="Q37" s="6"/>
      <c r="R37" s="40">
        <f t="shared" si="7"/>
        <v>0</v>
      </c>
      <c r="S37" s="44" t="str">
        <f>IF(D37="Sim",0,IF((OR(WEEKDAY(C37)=2,WEEKDAY(C37)=3,WEEKDAY(C37)=4,WEEKDAY(C37)=5,WEEKDAY(C37)=6))=TRUE,M37,IF(AND(WEEKDAY(C37)=7,Configurações!$C$11&gt;0)=TRUE,M37,IF(AND(WEEKDAY(C37)=1,Configurações!$C$12&gt;0)=TRUE,M37,0))))</f>
        <v/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8"/>
        <v>0</v>
      </c>
      <c r="W37" s="44">
        <f t="shared" si="9"/>
        <v>0</v>
      </c>
      <c r="X37" s="45">
        <f t="shared" si="10"/>
        <v>0</v>
      </c>
      <c r="Y37" s="44">
        <f t="shared" si="20"/>
        <v>0</v>
      </c>
      <c r="Z37" s="45">
        <f t="shared" si="11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2"/>
        <v/>
      </c>
      <c r="AE37" s="11" t="str">
        <f t="shared" si="13"/>
        <v/>
      </c>
      <c r="AF37" s="83">
        <f t="shared" si="14"/>
        <v>0</v>
      </c>
      <c r="AG37" s="84">
        <f t="shared" si="15"/>
        <v>0</v>
      </c>
      <c r="AH37" s="84">
        <f t="shared" si="16"/>
        <v>0</v>
      </c>
      <c r="AI37" s="84">
        <f t="shared" si="17"/>
        <v>0</v>
      </c>
      <c r="AJ37" s="84">
        <f t="shared" si="18"/>
        <v>0</v>
      </c>
    </row>
    <row r="38" spans="1:36" x14ac:dyDescent="0.25">
      <c r="A38" s="106"/>
      <c r="B38" s="37">
        <f t="shared" si="3"/>
        <v>41543</v>
      </c>
      <c r="C38" s="38">
        <f t="shared" si="0"/>
        <v>41543</v>
      </c>
      <c r="D38" s="39" t="str">
        <f>IF(B38="","",IF(VerificaSeFeriado(B38),"Sim",""))</f>
        <v/>
      </c>
      <c r="E38" s="5"/>
      <c r="F38" s="5"/>
      <c r="G38" s="5"/>
      <c r="H38" s="5"/>
      <c r="I38" s="5"/>
      <c r="J38" s="5"/>
      <c r="K38" s="5"/>
      <c r="L38" s="5"/>
      <c r="M38" s="41" t="str">
        <f t="shared" si="4"/>
        <v/>
      </c>
      <c r="N38" s="42" t="str">
        <f t="shared" si="5"/>
        <v/>
      </c>
      <c r="O38" s="43" t="str">
        <f t="shared" si="19"/>
        <v/>
      </c>
      <c r="P38" s="43" t="str">
        <f t="shared" ca="1" si="6"/>
        <v/>
      </c>
      <c r="Q38" s="6"/>
      <c r="R38" s="40">
        <f t="shared" si="7"/>
        <v>0</v>
      </c>
      <c r="S38" s="44" t="str">
        <f>IF(D38="Sim",0,IF((OR(WEEKDAY(C38)=2,WEEKDAY(C38)=3,WEEKDAY(C38)=4,WEEKDAY(C38)=5,WEEKDAY(C38)=6))=TRUE,M38,IF(AND(WEEKDAY(C38)=7,Configurações!$C$11&gt;0)=TRUE,M38,IF(AND(WEEKDAY(C38)=1,Configurações!$C$12&gt;0)=TRUE,M38,0))))</f>
        <v/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8"/>
        <v>0</v>
      </c>
      <c r="W38" s="44">
        <f t="shared" si="9"/>
        <v>0</v>
      </c>
      <c r="X38" s="45">
        <f t="shared" si="10"/>
        <v>0</v>
      </c>
      <c r="Y38" s="44">
        <f t="shared" si="20"/>
        <v>0</v>
      </c>
      <c r="Z38" s="45">
        <f t="shared" si="11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2"/>
        <v/>
      </c>
      <c r="AE38" s="11" t="str">
        <f t="shared" si="13"/>
        <v/>
      </c>
      <c r="AF38" s="83">
        <f t="shared" si="14"/>
        <v>0</v>
      </c>
      <c r="AG38" s="84">
        <f t="shared" si="15"/>
        <v>0</v>
      </c>
      <c r="AH38" s="84">
        <f t="shared" si="16"/>
        <v>0</v>
      </c>
      <c r="AI38" s="84">
        <f t="shared" si="17"/>
        <v>0</v>
      </c>
      <c r="AJ38" s="84">
        <f t="shared" si="18"/>
        <v>0</v>
      </c>
    </row>
    <row r="39" spans="1:36" x14ac:dyDescent="0.25">
      <c r="A39" s="106"/>
      <c r="B39" s="37">
        <f t="shared" si="3"/>
        <v>41544</v>
      </c>
      <c r="C39" s="38">
        <f t="shared" si="0"/>
        <v>41544</v>
      </c>
      <c r="D39" s="39" t="str">
        <f>IF(B39="","",IF(VerificaSeFeriado(B39),"Sim",""))</f>
        <v/>
      </c>
      <c r="E39" s="5"/>
      <c r="F39" s="5"/>
      <c r="G39" s="5"/>
      <c r="H39" s="5"/>
      <c r="I39" s="5"/>
      <c r="J39" s="5"/>
      <c r="K39" s="5"/>
      <c r="L39" s="5"/>
      <c r="M39" s="41" t="str">
        <f t="shared" si="4"/>
        <v/>
      </c>
      <c r="N39" s="42" t="str">
        <f t="shared" si="5"/>
        <v/>
      </c>
      <c r="O39" s="43" t="str">
        <f t="shared" si="19"/>
        <v/>
      </c>
      <c r="P39" s="43" t="str">
        <f t="shared" ca="1" si="6"/>
        <v/>
      </c>
      <c r="Q39" s="6"/>
      <c r="R39" s="40">
        <f t="shared" si="7"/>
        <v>0</v>
      </c>
      <c r="S39" s="44" t="str">
        <f>IF(D39="Sim",0,IF((OR(WEEKDAY(C39)=2,WEEKDAY(C39)=3,WEEKDAY(C39)=4,WEEKDAY(C39)=5,WEEKDAY(C39)=6))=TRUE,M39,IF(AND(WEEKDAY(C39)=7,Configurações!$C$11&gt;0)=TRUE,M39,IF(AND(WEEKDAY(C39)=1,Configurações!$C$12&gt;0)=TRUE,M39,0))))</f>
        <v/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8"/>
        <v>0</v>
      </c>
      <c r="W39" s="44">
        <f t="shared" si="9"/>
        <v>0</v>
      </c>
      <c r="X39" s="45">
        <f t="shared" si="10"/>
        <v>0</v>
      </c>
      <c r="Y39" s="44">
        <f t="shared" si="20"/>
        <v>0</v>
      </c>
      <c r="Z39" s="45">
        <f t="shared" si="11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2"/>
        <v/>
      </c>
      <c r="AE39" s="11" t="str">
        <f t="shared" si="13"/>
        <v/>
      </c>
      <c r="AF39" s="83">
        <f t="shared" si="14"/>
        <v>0</v>
      </c>
      <c r="AG39" s="84">
        <f t="shared" si="15"/>
        <v>0</v>
      </c>
      <c r="AH39" s="84">
        <f t="shared" si="16"/>
        <v>0</v>
      </c>
      <c r="AI39" s="84">
        <f t="shared" si="17"/>
        <v>0</v>
      </c>
      <c r="AJ39" s="84">
        <f t="shared" si="18"/>
        <v>0</v>
      </c>
    </row>
    <row r="40" spans="1:36" x14ac:dyDescent="0.25">
      <c r="A40" s="106"/>
      <c r="B40" s="37">
        <f t="shared" si="3"/>
        <v>41545</v>
      </c>
      <c r="C40" s="38">
        <f t="shared" si="0"/>
        <v>41545</v>
      </c>
      <c r="D40" s="39" t="str">
        <f>IF(B40="","",IF(VerificaSeFeriado(B40),"Sim",""))</f>
        <v/>
      </c>
      <c r="E40" s="5"/>
      <c r="F40" s="5"/>
      <c r="G40" s="5"/>
      <c r="H40" s="5"/>
      <c r="I40" s="5"/>
      <c r="J40" s="5"/>
      <c r="K40" s="5"/>
      <c r="L40" s="5"/>
      <c r="M40" s="41" t="str">
        <f t="shared" si="4"/>
        <v/>
      </c>
      <c r="N40" s="42" t="str">
        <f t="shared" si="5"/>
        <v/>
      </c>
      <c r="O40" s="43" t="str">
        <f t="shared" si="19"/>
        <v/>
      </c>
      <c r="P40" s="43" t="str">
        <f t="shared" ca="1" si="6"/>
        <v/>
      </c>
      <c r="Q40" s="6"/>
      <c r="R40" s="40">
        <f t="shared" si="7"/>
        <v>0</v>
      </c>
      <c r="S40" s="44" t="str">
        <f>IF(D40="Sim",0,IF((OR(WEEKDAY(C40)=2,WEEKDAY(C40)=3,WEEKDAY(C40)=4,WEEKDAY(C40)=5,WEEKDAY(C40)=6))=TRUE,M40,IF(AND(WEEKDAY(C40)=7,Configurações!$C$11&gt;0)=TRUE,M40,IF(AND(WEEKDAY(C40)=1,Configurações!$C$12&gt;0)=TRUE,M40,0))))</f>
        <v/>
      </c>
      <c r="T40" s="44">
        <f>IF(D40="Sim",0,IF(AND(WEEKDAY(C40)=7,Configurações!$C$11&lt;=0)=TRUE,R40,0))</f>
        <v>0</v>
      </c>
      <c r="U40" s="44">
        <f>IF(D40="Sim",0,IF(AND(WEEKDAY(C40)=1,Configurações!$C$12&lt;=0)=TRUE,R40,0))</f>
        <v>0</v>
      </c>
      <c r="V40" s="44">
        <f t="shared" si="8"/>
        <v>0</v>
      </c>
      <c r="W40" s="44">
        <f t="shared" si="9"/>
        <v>0</v>
      </c>
      <c r="X40" s="45">
        <f t="shared" si="10"/>
        <v>0</v>
      </c>
      <c r="Y40" s="44">
        <f t="shared" si="20"/>
        <v>0</v>
      </c>
      <c r="Z40" s="45">
        <f t="shared" si="11"/>
        <v>0</v>
      </c>
      <c r="AA40" s="12" t="str">
        <f>IF(D40="Sim","Não",IF(AND(WEEKDAY(C40)=1,Configurações!$C$12&gt;0),"Sim",IF(AND(WEEKDAY(C40)=2,Configurações!$C$6&gt;0),"Sim",IF(AND(WEEKDAY(C40)=3,Configurações!$C$7&gt;0),"Sim",IF(AND(WEEKDAY(C40)=4,Configurações!$C$8&gt;0),"Sim",IF(AND(WEEKDAY(C40)=5,Configurações!$C$9&gt;0),"Sim",IF(AND(WEEKDAY(C40)=6,Configurações!$C$10&gt;0),"Sim",IF(AND(WEEKDAY(C40)=7,Configurações!$C$11&gt;0),"Sim","Não"))))))))</f>
        <v>Não</v>
      </c>
      <c r="AB40" s="44">
        <f>IF(D40="Sim",0,IF(WEEKDAY(C40)=2,Configurações!$C$6-Configurações!$E$6,IF(WEEKDAY(C40)=3,Configurações!$C$7-Configurações!$E$7,IF(WEEKDAY(C40)=4,Configurações!$C$8-Configurações!$E$8,IF(WEEKDAY(C40)=5,Configurações!$C$9-Configurações!$E$9,IF(WEEKDAY(C40)=6,Configurações!$C$10-Configurações!$E$10,IF(WEEKDAY(C40)=7,Configurações!$C$11-Configurações!$E$11,IF(WEEKDAY(C40)=1,Configurações!$C$12-Configurações!$E$12,""))))))))</f>
        <v>0</v>
      </c>
      <c r="AC40" s="44">
        <f>IF(D40="Sim",0,IF(WEEKDAY(C40)=2,Configurações!$E$6,IF(WEEKDAY(C40)=3,Configurações!$E$7,IF(WEEKDAY(C40)=4,Configurações!$E$8,IF(WEEKDAY(C40)=5,Configurações!$E$9,IF(WEEKDAY(C40)=6,Configurações!$E$10,IF(WEEKDAY(C40)=7,Configurações!$E$11,IF(WEEKDAY(C40)=1,Configurações!$E$12,""))))))))</f>
        <v>0</v>
      </c>
      <c r="AD40" s="11" t="str">
        <f t="shared" si="12"/>
        <v/>
      </c>
      <c r="AE40" s="11" t="str">
        <f t="shared" si="13"/>
        <v/>
      </c>
      <c r="AF40" s="83">
        <f t="shared" si="14"/>
        <v>0</v>
      </c>
      <c r="AG40" s="84">
        <f t="shared" si="15"/>
        <v>0</v>
      </c>
      <c r="AH40" s="84">
        <f t="shared" si="16"/>
        <v>0</v>
      </c>
      <c r="AI40" s="84">
        <f t="shared" si="17"/>
        <v>0</v>
      </c>
      <c r="AJ40" s="84">
        <f t="shared" si="18"/>
        <v>0</v>
      </c>
    </row>
    <row r="41" spans="1:36" x14ac:dyDescent="0.25">
      <c r="A41" s="106"/>
      <c r="B41" s="37">
        <f t="shared" si="3"/>
        <v>41546</v>
      </c>
      <c r="C41" s="38">
        <f t="shared" si="0"/>
        <v>41546</v>
      </c>
      <c r="D41" s="39" t="str">
        <f>IF(B41="","",IF(VerificaSeFeriado(B41),"Sim",""))</f>
        <v/>
      </c>
      <c r="E41" s="5"/>
      <c r="F41" s="5"/>
      <c r="G41" s="5"/>
      <c r="H41" s="5"/>
      <c r="I41" s="5"/>
      <c r="J41" s="5"/>
      <c r="K41" s="5"/>
      <c r="L41" s="5"/>
      <c r="M41" s="41" t="str">
        <f t="shared" si="4"/>
        <v/>
      </c>
      <c r="N41" s="42" t="str">
        <f t="shared" si="5"/>
        <v/>
      </c>
      <c r="O41" s="43" t="str">
        <f t="shared" si="19"/>
        <v/>
      </c>
      <c r="P41" s="43" t="str">
        <f t="shared" ca="1" si="6"/>
        <v/>
      </c>
      <c r="Q41" s="6"/>
      <c r="R41" s="40">
        <f t="shared" si="7"/>
        <v>0</v>
      </c>
      <c r="S41" s="44">
        <f>IF(D41="Sim",0,IF((OR(WEEKDAY(C41)=2,WEEKDAY(C41)=3,WEEKDAY(C41)=4,WEEKDAY(C41)=5,WEEKDAY(C41)=6))=TRUE,M41,IF(AND(WEEKDAY(C41)=7,Configurações!$C$11&gt;0)=TRUE,M41,IF(AND(WEEKDAY(C41)=1,Configurações!$C$12&gt;0)=TRUE,M41,0))))</f>
        <v>0</v>
      </c>
      <c r="T41" s="44">
        <f>IF(D41="Sim",0,IF(AND(WEEKDAY(C41)=7,Configurações!$C$11&lt;=0)=TRUE,R41,0))</f>
        <v>0</v>
      </c>
      <c r="U41" s="44">
        <f>IF(D41="Sim",0,IF(AND(WEEKDAY(C41)=1,Configurações!$C$12&lt;=0)=TRUE,R41,0))</f>
        <v>0</v>
      </c>
      <c r="V41" s="44">
        <f t="shared" si="8"/>
        <v>0</v>
      </c>
      <c r="W41" s="44">
        <f t="shared" si="9"/>
        <v>0</v>
      </c>
      <c r="X41" s="45">
        <f t="shared" si="10"/>
        <v>0</v>
      </c>
      <c r="Y41" s="44">
        <f t="shared" si="20"/>
        <v>0</v>
      </c>
      <c r="Z41" s="45">
        <f t="shared" si="11"/>
        <v>0</v>
      </c>
      <c r="AA41" s="12" t="str">
        <f>IF(D41="Sim","Não",IF(AND(WEEKDAY(C41)=1,Configurações!$C$12&gt;0),"Sim",IF(AND(WEEKDAY(C41)=2,Configurações!$C$6&gt;0),"Sim",IF(AND(WEEKDAY(C41)=3,Configurações!$C$7&gt;0),"Sim",IF(AND(WEEKDAY(C41)=4,Configurações!$C$8&gt;0),"Sim",IF(AND(WEEKDAY(C41)=5,Configurações!$C$9&gt;0),"Sim",IF(AND(WEEKDAY(C41)=6,Configurações!$C$10&gt;0),"Sim",IF(AND(WEEKDAY(C41)=7,Configurações!$C$11&gt;0),"Sim","Não"))))))))</f>
        <v>Não</v>
      </c>
      <c r="AB41" s="44">
        <f>IF(D41="Sim",0,IF(WEEKDAY(C41)=2,Configurações!$C$6-Configurações!$E$6,IF(WEEKDAY(C41)=3,Configurações!$C$7-Configurações!$E$7,IF(WEEKDAY(C41)=4,Configurações!$C$8-Configurações!$E$8,IF(WEEKDAY(C41)=5,Configurações!$C$9-Configurações!$E$9,IF(WEEKDAY(C41)=6,Configurações!$C$10-Configurações!$E$10,IF(WEEKDAY(C41)=7,Configurações!$C$11-Configurações!$E$11,IF(WEEKDAY(C41)=1,Configurações!$C$12-Configurações!$E$12,""))))))))</f>
        <v>0</v>
      </c>
      <c r="AC41" s="44">
        <f>IF(D41="Sim",0,IF(WEEKDAY(C41)=2,Configurações!$E$6,IF(WEEKDAY(C41)=3,Configurações!$E$7,IF(WEEKDAY(C41)=4,Configurações!$E$8,IF(WEEKDAY(C41)=5,Configurações!$E$9,IF(WEEKDAY(C41)=6,Configurações!$E$10,IF(WEEKDAY(C41)=7,Configurações!$E$11,IF(WEEKDAY(C41)=1,Configurações!$E$12,""))))))))</f>
        <v>0</v>
      </c>
      <c r="AD41" s="11" t="str">
        <f t="shared" si="12"/>
        <v/>
      </c>
      <c r="AE41" s="11" t="str">
        <f t="shared" si="13"/>
        <v/>
      </c>
      <c r="AF41" s="83">
        <f t="shared" si="14"/>
        <v>0</v>
      </c>
      <c r="AG41" s="84">
        <f t="shared" si="15"/>
        <v>0</v>
      </c>
      <c r="AH41" s="84">
        <f t="shared" si="16"/>
        <v>0</v>
      </c>
      <c r="AI41" s="84">
        <f t="shared" si="17"/>
        <v>0</v>
      </c>
      <c r="AJ41" s="84">
        <f t="shared" si="18"/>
        <v>0</v>
      </c>
    </row>
    <row r="42" spans="1:36" x14ac:dyDescent="0.25">
      <c r="B42" s="46"/>
    </row>
    <row r="44" spans="1:36" x14ac:dyDescent="0.25">
      <c r="C44" s="32"/>
      <c r="D44" s="32"/>
    </row>
    <row r="45" spans="1:36" x14ac:dyDescent="0.25">
      <c r="C45" s="32"/>
      <c r="D45" s="32"/>
    </row>
    <row r="46" spans="1:36" x14ac:dyDescent="0.25">
      <c r="C46" s="32"/>
      <c r="D46" s="32"/>
    </row>
    <row r="47" spans="1:36" x14ac:dyDescent="0.25">
      <c r="C47" s="32"/>
      <c r="D47" s="32"/>
    </row>
    <row r="48" spans="1:36" s="9" customFormat="1" x14ac:dyDescent="0.25">
      <c r="A48" s="10"/>
      <c r="C48" s="32"/>
      <c r="D48" s="32"/>
      <c r="M48" s="10"/>
      <c r="N48" s="10"/>
      <c r="O48" s="10"/>
      <c r="P48" s="10"/>
      <c r="Q48" s="10"/>
      <c r="S48" s="11"/>
      <c r="T48" s="11"/>
      <c r="U48" s="11"/>
      <c r="V48" s="11"/>
      <c r="W48" s="11"/>
      <c r="X48" s="11"/>
      <c r="Y48" s="11"/>
      <c r="Z48" s="11"/>
      <c r="AA48" s="12"/>
      <c r="AB48" s="12"/>
      <c r="AC48" s="12"/>
      <c r="AD48" s="11"/>
      <c r="AE48" s="11"/>
      <c r="AF48" s="10"/>
    </row>
    <row r="49" spans="1:32" s="9" customFormat="1" x14ac:dyDescent="0.25">
      <c r="A49" s="10"/>
      <c r="C49" s="32"/>
      <c r="D49" s="32"/>
      <c r="M49" s="10"/>
      <c r="N49" s="10"/>
      <c r="O49" s="10"/>
      <c r="P49" s="10"/>
      <c r="Q49" s="10"/>
      <c r="S49" s="11"/>
      <c r="T49" s="11"/>
      <c r="U49" s="11"/>
      <c r="V49" s="11"/>
      <c r="W49" s="11"/>
      <c r="X49" s="11"/>
      <c r="Y49" s="11"/>
      <c r="Z49" s="11"/>
      <c r="AA49" s="12"/>
      <c r="AB49" s="12"/>
      <c r="AC49" s="12"/>
      <c r="AD49" s="11"/>
      <c r="AE49" s="11"/>
      <c r="AF49" s="10"/>
    </row>
  </sheetData>
  <sheetProtection algorithmName="SHA-512" hashValue="e2OpEW3Iw4kU2nLlKRAvVkg6+R79SlyiUtjUdM+mMYTLS/rG8DI6t/bBNKkiUl+BMJnijO79zjnyQFVFmXFX8w==" saltValue="Ky/jCOIQhX2cok8bA9cUsg==" spinCount="100000" sheet="1" objects="1" scenarios="1" selectLockedCells="1"/>
  <mergeCells count="18">
    <mergeCell ref="L4:M4"/>
    <mergeCell ref="O4:Q4"/>
    <mergeCell ref="E5:F5"/>
    <mergeCell ref="O5:P5"/>
    <mergeCell ref="E6:F6"/>
    <mergeCell ref="A11:A41"/>
    <mergeCell ref="F11:G11"/>
    <mergeCell ref="J11:K11"/>
    <mergeCell ref="A2:D2"/>
    <mergeCell ref="A3:D7"/>
    <mergeCell ref="E4:G4"/>
    <mergeCell ref="I4:J4"/>
    <mergeCell ref="E7:F7"/>
    <mergeCell ref="O7:P7"/>
    <mergeCell ref="E8:F8"/>
    <mergeCell ref="L8:M8"/>
    <mergeCell ref="E9:F9"/>
    <mergeCell ref="L9:M9"/>
  </mergeCells>
  <conditionalFormatting sqref="G5">
    <cfRule type="expression" dxfId="119" priority="28">
      <formula>$G$5&lt;=0</formula>
    </cfRule>
    <cfRule type="expression" dxfId="118" priority="29">
      <formula>$G$5&gt;0</formula>
    </cfRule>
  </conditionalFormatting>
  <conditionalFormatting sqref="G6">
    <cfRule type="expression" dxfId="117" priority="26">
      <formula>$G$6&gt;=0</formula>
    </cfRule>
    <cfRule type="expression" dxfId="116" priority="27">
      <formula>$G$6&lt;0</formula>
    </cfRule>
  </conditionalFormatting>
  <conditionalFormatting sqref="P9">
    <cfRule type="expression" dxfId="115" priority="23">
      <formula>$P$9&lt;0</formula>
    </cfRule>
    <cfRule type="expression" dxfId="114" priority="24">
      <formula>$P$9=0</formula>
    </cfRule>
    <cfRule type="expression" dxfId="113" priority="25">
      <formula>$P$9&gt;0</formula>
    </cfRule>
  </conditionalFormatting>
  <conditionalFormatting sqref="P8">
    <cfRule type="expression" dxfId="112" priority="20">
      <formula>$P$8&lt;0</formula>
    </cfRule>
    <cfRule type="expression" dxfId="111" priority="21">
      <formula>$P$8=0</formula>
    </cfRule>
    <cfRule type="expression" dxfId="110" priority="22">
      <formula>$P$8&gt;0</formula>
    </cfRule>
  </conditionalFormatting>
  <conditionalFormatting sqref="G9">
    <cfRule type="expression" dxfId="109" priority="17">
      <formula>$G$9&lt;0</formula>
    </cfRule>
    <cfRule type="expression" priority="18">
      <formula>$G$9=0</formula>
    </cfRule>
    <cfRule type="expression" dxfId="108" priority="19">
      <formula>$G$9&gt;0</formula>
    </cfRule>
  </conditionalFormatting>
  <conditionalFormatting sqref="P12:P41">
    <cfRule type="expression" dxfId="107" priority="16">
      <formula>$P12=0</formula>
    </cfRule>
  </conditionalFormatting>
  <conditionalFormatting sqref="G5:G9">
    <cfRule type="expression" dxfId="106" priority="13">
      <formula>$G5=0</formula>
    </cfRule>
    <cfRule type="expression" dxfId="105" priority="14">
      <formula>$G5&lt;0</formula>
    </cfRule>
    <cfRule type="expression" dxfId="104" priority="15">
      <formula>$G5&gt;0</formula>
    </cfRule>
  </conditionalFormatting>
  <conditionalFormatting sqref="B12:R41">
    <cfRule type="expression" dxfId="103" priority="7">
      <formula>$B12=""</formula>
    </cfRule>
    <cfRule type="expression" dxfId="102" priority="8">
      <formula>$D12="Sim"</formula>
    </cfRule>
    <cfRule type="expression" dxfId="101" priority="11">
      <formula>MOD(ROW(),2)=0</formula>
    </cfRule>
    <cfRule type="expression" dxfId="100" priority="12">
      <formula>MOD(ROW(),2)=1</formula>
    </cfRule>
  </conditionalFormatting>
  <conditionalFormatting sqref="M12:N41">
    <cfRule type="expression" dxfId="99" priority="5">
      <formula>$M12=0</formula>
    </cfRule>
  </conditionalFormatting>
  <conditionalFormatting sqref="L9:N9">
    <cfRule type="expression" dxfId="98" priority="2">
      <formula>$L$9&gt;0</formula>
    </cfRule>
    <cfRule type="expression" dxfId="97" priority="3">
      <formula>$L$9=0</formula>
    </cfRule>
    <cfRule type="expression" dxfId="96" priority="4">
      <formula>$L$9&lt;0</formula>
    </cfRule>
  </conditionalFormatting>
  <conditionalFormatting sqref="N5 M6">
    <cfRule type="expression" dxfId="95" priority="30">
      <formula>$M$6&lt;0</formula>
    </cfRule>
  </conditionalFormatting>
  <conditionalFormatting sqref="N4 M5">
    <cfRule type="expression" dxfId="94" priority="31">
      <formula>$M$5&gt;0</formula>
    </cfRule>
  </conditionalFormatting>
  <conditionalFormatting sqref="J5:J9">
    <cfRule type="expression" dxfId="93" priority="1">
      <formula>$J5&gt;0</formula>
    </cfRule>
  </conditionalFormatting>
  <dataValidations count="2">
    <dataValidation operator="greaterThanOrEqual" allowBlank="1" showInputMessage="1" showErrorMessage="1" sqref="E12:P41"/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41">
      <formula1>AB12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9640EF4B-90B6-459A-BBA8-FCAD594FF89E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0" id="{E9F8450D-21BC-4161-895B-3EB603334C56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B12:R41</xm:sqref>
        </x14:conditionalFormatting>
        <x14:conditionalFormatting xmlns:xm="http://schemas.microsoft.com/office/excel/2006/main">
          <x14:cfRule type="expression" priority="6" id="{543945FD-2863-43E5-8C5C-EB2337352463}">
            <xm:f>AND(Configurações!$C$11&gt;0,WEEKDAY($C12)=7,MOD(ROW(),2)=1)</xm:f>
            <x14:dxf>
              <fill>
                <patternFill>
                  <bgColor theme="4" tint="0.59996337778862885"/>
                </patternFill>
              </fill>
            </x14:dxf>
          </x14:cfRule>
          <xm:sqref>C14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1"/>
  <dimension ref="A2:AJ50"/>
  <sheetViews>
    <sheetView showGridLines="0" zoomScaleNormal="100" workbookViewId="0">
      <selection activeCell="P8" sqref="P8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16384" width="9.140625" style="10"/>
  </cols>
  <sheetData>
    <row r="2" spans="1:36" x14ac:dyDescent="0.25">
      <c r="A2" s="109" t="str">
        <f>IF(Configurações!C17 = 0,"",Configurações!C17)</f>
        <v/>
      </c>
      <c r="B2" s="109"/>
      <c r="C2" s="109"/>
      <c r="D2" s="109"/>
    </row>
    <row r="3" spans="1:36" ht="15.75" customHeight="1" thickBot="1" x14ac:dyDescent="0.3">
      <c r="A3" s="110" t="s">
        <v>90</v>
      </c>
      <c r="B3" s="110"/>
      <c r="C3" s="110"/>
      <c r="D3" s="110"/>
    </row>
    <row r="4" spans="1:36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36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SUM(M12:M42)</f>
        <v>0</v>
      </c>
      <c r="H5" s="13"/>
      <c r="I5" s="81" t="s">
        <v>31</v>
      </c>
      <c r="J5" s="16">
        <f>(SUM(S12:S42)*24)*Configurações!E15*(Configurações!I7+1)</f>
        <v>0</v>
      </c>
      <c r="K5" s="13"/>
      <c r="L5" s="81" t="s">
        <v>68</v>
      </c>
      <c r="M5" s="17">
        <f>SUM(J5:J9)</f>
        <v>0</v>
      </c>
      <c r="N5" s="14"/>
      <c r="O5" s="102" t="s">
        <v>44</v>
      </c>
      <c r="P5" s="103"/>
      <c r="Q5" s="18">
        <f>SUM(R12:R42)</f>
        <v>0</v>
      </c>
      <c r="W5" s="19"/>
    </row>
    <row r="6" spans="1:36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SUM(O12:O42)</f>
        <v>0</v>
      </c>
      <c r="H6" s="13"/>
      <c r="I6" s="81" t="s">
        <v>34</v>
      </c>
      <c r="J6" s="16">
        <f>(SUM(T12:T42)*24)*Configurações!E15*(Configurações!I10+1)</f>
        <v>0</v>
      </c>
      <c r="K6" s="13"/>
      <c r="L6" s="82" t="s">
        <v>69</v>
      </c>
      <c r="M6" s="21">
        <f ca="1">((G7*24)+(G6*24))*Configurações!E15</f>
        <v>0</v>
      </c>
      <c r="U6" s="19"/>
      <c r="W6" s="22"/>
    </row>
    <row r="7" spans="1:36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SUM(P12:P42)</f>
        <v>0</v>
      </c>
      <c r="H7" s="13"/>
      <c r="I7" s="81" t="s">
        <v>32</v>
      </c>
      <c r="J7" s="16">
        <f>(SUM(U12:U42)*24)*Configurações!E15*(Configurações!I9+1)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36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SUM(Q12:Q42)</f>
        <v>0</v>
      </c>
      <c r="H8" s="13"/>
      <c r="I8" s="81" t="s">
        <v>33</v>
      </c>
      <c r="J8" s="16">
        <f>(SUM(V12:V42)*24)*Configurações!E15*(Configurações!I8+1)</f>
        <v>0</v>
      </c>
      <c r="K8" s="13"/>
      <c r="L8" s="116" t="s">
        <v>63</v>
      </c>
      <c r="M8" s="117"/>
      <c r="N8" s="25"/>
      <c r="O8" s="81" t="s">
        <v>26</v>
      </c>
      <c r="P8" s="7">
        <v>0</v>
      </c>
    </row>
    <row r="9" spans="1:36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0</v>
      </c>
      <c r="H9" s="13"/>
      <c r="I9" s="82" t="s">
        <v>30</v>
      </c>
      <c r="J9" s="27">
        <f>((((SUM(N12:N42)*24)*Configurações!E15*(Configurações!I6+1)))-(SUM(N12:N42)*24)*Configurações!E15)</f>
        <v>0</v>
      </c>
      <c r="K9" s="13"/>
      <c r="L9" s="120">
        <f ca="1">SUM(M5:M6)</f>
        <v>0</v>
      </c>
      <c r="M9" s="121"/>
      <c r="N9" s="28"/>
      <c r="O9" s="82" t="s">
        <v>25</v>
      </c>
      <c r="P9" s="26">
        <f ca="1">SUM(P8,G9)</f>
        <v>0</v>
      </c>
    </row>
    <row r="10" spans="1:36" x14ac:dyDescent="0.25">
      <c r="B10" s="29">
        <v>41547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36" x14ac:dyDescent="0.25">
      <c r="A11" s="106" t="s">
        <v>82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36" x14ac:dyDescent="0.25">
      <c r="A12" s="106"/>
      <c r="B12" s="37">
        <f>IF(MONTH($B$10+ROW()-ROW($B$10)-2) = MONTH($B$10),$B$10+ROW()-ROW($B$10)-2,"")</f>
        <v>41547</v>
      </c>
      <c r="C12" s="38">
        <f t="shared" ref="C12:C42" si="0">B12</f>
        <v>41547</v>
      </c>
      <c r="D12" s="39" t="str">
        <f>IF(B12="","",IF(VerificaSeFeriado(B12),"Sim",""))</f>
        <v/>
      </c>
      <c r="E12" s="5"/>
      <c r="F12" s="5"/>
      <c r="G12" s="5"/>
      <c r="H12" s="5"/>
      <c r="I12" s="5"/>
      <c r="J12" s="5"/>
      <c r="K12" s="5"/>
      <c r="L12" s="5"/>
      <c r="M12" s="41" t="str">
        <f>IFERROR(IF((R12-AB12)&gt;(1*"00:00:01"),(R12-AB12),""),"")</f>
        <v/>
      </c>
      <c r="N12" s="42" t="str">
        <f>IF(SUM(W12:X12)*(1/52.5*60)&gt;0,SUM(W12:X12)*(1/52.5*60),"")</f>
        <v/>
      </c>
      <c r="O12" s="43" t="str">
        <f t="shared" ref="O12:O15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6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</v>
      </c>
      <c r="S12" s="44">
        <f>IF(D12="Sim",0,IF((OR(WEEKDAY(C12)=2,WEEKDAY(C12)=3,WEEKDAY(C12)=4,WEEKDAY(C12)=5,WEEKDAY(C12)=6))=TRUE,M12,IF(AND(WEEKDAY(C12)=7,Configurações!$C$11&gt;0)=TRUE,M12,IF(AND(WEEKDAY(C12)=1,Configurações!$C$12&gt;0)=TRUE,M12,0))))</f>
        <v>0</v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:Y25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</row>
    <row r="13" spans="1:36" x14ac:dyDescent="0.25">
      <c r="A13" s="106"/>
      <c r="B13" s="37">
        <f t="shared" ref="B13:B42" si="3">IF(MONTH($B$10+ROW()-ROW($B$10)-2) = MONTH($B$10),$B$10+ROW()-ROW($B$10)-2,"")</f>
        <v>41548</v>
      </c>
      <c r="C13" s="38">
        <f t="shared" si="0"/>
        <v>41548</v>
      </c>
      <c r="D13" s="39" t="str">
        <f>IF(B13="","",IF(VerificaSeFeriado(B13),"Sim",""))</f>
        <v/>
      </c>
      <c r="E13" s="5"/>
      <c r="F13" s="5"/>
      <c r="G13" s="5"/>
      <c r="H13" s="5"/>
      <c r="I13" s="5"/>
      <c r="J13" s="5"/>
      <c r="K13" s="5"/>
      <c r="L13" s="5"/>
      <c r="M13" s="41" t="str">
        <f t="shared" ref="M13:M42" si="4">IFERROR(IF((R13-AB13)&gt;(1*"00:00:01"),(R13-AB13),""),"")</f>
        <v/>
      </c>
      <c r="N13" s="42" t="str">
        <f t="shared" ref="N13:N42" si="5">IF(SUM(W13:X13)*(1/52.5*60)&gt;0,SUM(W13:X13)*(1/52.5*60),"")</f>
        <v/>
      </c>
      <c r="O13" s="43" t="str">
        <f t="shared" si="1"/>
        <v/>
      </c>
      <c r="P13" s="43" t="str">
        <f t="shared" ref="P13:P42" ca="1" si="6">IF(TODAY()&lt;=B13,"",IF(D13="Sim","",IF(AND(AA13="Sim",E13="",G13="",I13="",K13="")=TRUE,IF(Q13-AB13&lt;0,Q13-AB13,""),"")))</f>
        <v/>
      </c>
      <c r="Q13" s="6"/>
      <c r="R13" s="40">
        <f t="shared" ref="R13:R42" si="7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 t="str">
        <f>IF(D13="Sim",0,IF((OR(WEEKDAY(C13)=2,WEEKDAY(C13)=3,WEEKDAY(C13)=4,WEEKDAY(C13)=5,WEEKDAY(C13)=6))=TRUE,M13,IF(AND(WEEKDAY(C13)=7,Configurações!$C$11&gt;0)=TRUE,M13,IF(AND(WEEKDAY(C13)=1,Configurações!$C$12&gt;0)=TRUE,M13,0))))</f>
        <v/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42" si="8">IF(D13="Sim",R13,0)</f>
        <v>0</v>
      </c>
      <c r="W13" s="44">
        <f t="shared" ref="W13:W42" si="9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42" si="10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si="2"/>
        <v>0</v>
      </c>
      <c r="Z13" s="45">
        <f t="shared" ref="Z13:Z42" si="11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42" si="12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42" si="13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42" si="14">IF(SUM(AG13:AH13)*(1/52.5*60)&gt;0,(SUM(AG13:AH13)*(1/52.5*60))-(SUM(AG13:AH13)),0)</f>
        <v>0</v>
      </c>
      <c r="AG13" s="84">
        <f t="shared" ref="AG13:AG42" si="15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42" si="16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42" si="17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42" si="18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36" x14ac:dyDescent="0.25">
      <c r="A14" s="106"/>
      <c r="B14" s="37">
        <f t="shared" si="3"/>
        <v>41549</v>
      </c>
      <c r="C14" s="38">
        <f t="shared" si="0"/>
        <v>41549</v>
      </c>
      <c r="D14" s="39" t="str">
        <f>IF(B14="","",IF(VerificaSeFeriado(B14),"Sim",""))</f>
        <v/>
      </c>
      <c r="E14" s="5"/>
      <c r="F14" s="5"/>
      <c r="G14" s="5"/>
      <c r="H14" s="5"/>
      <c r="I14" s="5"/>
      <c r="J14" s="5"/>
      <c r="K14" s="5"/>
      <c r="L14" s="5"/>
      <c r="M14" s="41" t="str">
        <f t="shared" si="4"/>
        <v/>
      </c>
      <c r="N14" s="42" t="str">
        <f t="shared" si="5"/>
        <v/>
      </c>
      <c r="O14" s="43" t="str">
        <f t="shared" si="1"/>
        <v/>
      </c>
      <c r="P14" s="43" t="str">
        <f t="shared" ca="1" si="6"/>
        <v/>
      </c>
      <c r="Q14" s="6"/>
      <c r="R14" s="40">
        <f t="shared" si="7"/>
        <v>0</v>
      </c>
      <c r="S14" s="44" t="str">
        <f>IF(D14="Sim",0,IF((OR(WEEKDAY(C14)=2,WEEKDAY(C14)=3,WEEKDAY(C14)=4,WEEKDAY(C14)=5,WEEKDAY(C14)=6))=TRUE,M14,IF(AND(WEEKDAY(C14)=7,Configurações!$C$11&gt;0)=TRUE,M14,IF(AND(WEEKDAY(C14)=1,Configurações!$C$12&gt;0)=TRUE,M14,0))))</f>
        <v/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8"/>
        <v>0</v>
      </c>
      <c r="W14" s="44">
        <f t="shared" si="9"/>
        <v>0</v>
      </c>
      <c r="X14" s="45">
        <f t="shared" si="10"/>
        <v>0</v>
      </c>
      <c r="Y14" s="44">
        <f t="shared" si="2"/>
        <v>0</v>
      </c>
      <c r="Z14" s="45">
        <f t="shared" si="11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2"/>
        <v/>
      </c>
      <c r="AE14" s="11" t="str">
        <f t="shared" si="13"/>
        <v/>
      </c>
      <c r="AF14" s="83">
        <f t="shared" si="14"/>
        <v>0</v>
      </c>
      <c r="AG14" s="84">
        <f t="shared" si="15"/>
        <v>0</v>
      </c>
      <c r="AH14" s="84">
        <f t="shared" si="16"/>
        <v>0</v>
      </c>
      <c r="AI14" s="84">
        <f t="shared" si="17"/>
        <v>0</v>
      </c>
      <c r="AJ14" s="84">
        <f t="shared" si="18"/>
        <v>0</v>
      </c>
    </row>
    <row r="15" spans="1:36" x14ac:dyDescent="0.25">
      <c r="A15" s="106"/>
      <c r="B15" s="37">
        <f t="shared" si="3"/>
        <v>41550</v>
      </c>
      <c r="C15" s="38">
        <f t="shared" si="0"/>
        <v>41550</v>
      </c>
      <c r="D15" s="39" t="str">
        <f>IF(B15="","",IF(VerificaSeFeriado(B15),"Sim",""))</f>
        <v/>
      </c>
      <c r="E15" s="5"/>
      <c r="F15" s="5"/>
      <c r="G15" s="5"/>
      <c r="H15" s="5"/>
      <c r="I15" s="5"/>
      <c r="J15" s="5"/>
      <c r="K15" s="5"/>
      <c r="L15" s="5"/>
      <c r="M15" s="41" t="str">
        <f t="shared" si="4"/>
        <v/>
      </c>
      <c r="N15" s="42" t="str">
        <f t="shared" si="5"/>
        <v/>
      </c>
      <c r="O15" s="43" t="str">
        <f t="shared" si="1"/>
        <v/>
      </c>
      <c r="P15" s="43" t="str">
        <f t="shared" ca="1" si="6"/>
        <v/>
      </c>
      <c r="Q15" s="6"/>
      <c r="R15" s="40">
        <f t="shared" si="7"/>
        <v>0</v>
      </c>
      <c r="S15" s="44" t="str">
        <f>IF(D15="Sim",0,IF((OR(WEEKDAY(C15)=2,WEEKDAY(C15)=3,WEEKDAY(C15)=4,WEEKDAY(C15)=5,WEEKDAY(C15)=6))=TRUE,M15,IF(AND(WEEKDAY(C15)=7,Configurações!$C$11&gt;0)=TRUE,M15,IF(AND(WEEKDAY(C15)=1,Configurações!$C$12&gt;0)=TRUE,M15,0))))</f>
        <v/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8"/>
        <v>0</v>
      </c>
      <c r="W15" s="44">
        <f t="shared" si="9"/>
        <v>0</v>
      </c>
      <c r="X15" s="45">
        <f t="shared" si="10"/>
        <v>0</v>
      </c>
      <c r="Y15" s="44">
        <f t="shared" si="2"/>
        <v>0</v>
      </c>
      <c r="Z15" s="45">
        <f t="shared" si="11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2"/>
        <v/>
      </c>
      <c r="AE15" s="11" t="str">
        <f t="shared" si="13"/>
        <v/>
      </c>
      <c r="AF15" s="83">
        <f t="shared" si="14"/>
        <v>0</v>
      </c>
      <c r="AG15" s="84">
        <f t="shared" si="15"/>
        <v>0</v>
      </c>
      <c r="AH15" s="84">
        <f t="shared" si="16"/>
        <v>0</v>
      </c>
      <c r="AI15" s="84">
        <f t="shared" si="17"/>
        <v>0</v>
      </c>
      <c r="AJ15" s="84">
        <f t="shared" si="18"/>
        <v>0</v>
      </c>
    </row>
    <row r="16" spans="1:36" x14ac:dyDescent="0.25">
      <c r="A16" s="106"/>
      <c r="B16" s="37">
        <f t="shared" si="3"/>
        <v>41551</v>
      </c>
      <c r="C16" s="38">
        <f t="shared" si="0"/>
        <v>41551</v>
      </c>
      <c r="D16" s="39" t="str">
        <f>IF(B16="","",IF(VerificaSeFeriado(B16),"Sim",""))</f>
        <v/>
      </c>
      <c r="E16" s="5"/>
      <c r="F16" s="5"/>
      <c r="G16" s="5"/>
      <c r="H16" s="5"/>
      <c r="I16" s="5"/>
      <c r="J16" s="5"/>
      <c r="K16" s="5"/>
      <c r="L16" s="5"/>
      <c r="M16" s="41" t="str">
        <f t="shared" si="4"/>
        <v/>
      </c>
      <c r="N16" s="42" t="str">
        <f t="shared" si="5"/>
        <v/>
      </c>
      <c r="O16" s="43" t="str">
        <f>IF(OR(D16="Sim",E16="")=TRUE,"",IF((R16-AB16)&gt;=(-"00:00:01"),"",(R16-AB16)))</f>
        <v/>
      </c>
      <c r="P16" s="43" t="str">
        <f t="shared" ca="1" si="6"/>
        <v/>
      </c>
      <c r="Q16" s="6"/>
      <c r="R16" s="40">
        <f t="shared" si="7"/>
        <v>0</v>
      </c>
      <c r="S16" s="44" t="str">
        <f>IF(D16="Sim",0,IF((OR(WEEKDAY(C16)=2,WEEKDAY(C16)=3,WEEKDAY(C16)=4,WEEKDAY(C16)=5,WEEKDAY(C16)=6))=TRUE,M16,IF(AND(WEEKDAY(C16)=7,Configurações!$C$11&gt;0)=TRUE,M16,IF(AND(WEEKDAY(C16)=1,Configurações!$C$12&gt;0)=TRUE,M16,0))))</f>
        <v/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8"/>
        <v>0</v>
      </c>
      <c r="W16" s="44">
        <f t="shared" si="9"/>
        <v>0</v>
      </c>
      <c r="X16" s="45">
        <f t="shared" si="10"/>
        <v>0</v>
      </c>
      <c r="Y16" s="44">
        <f t="shared" si="2"/>
        <v>0</v>
      </c>
      <c r="Z16" s="45">
        <f t="shared" si="11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2"/>
        <v/>
      </c>
      <c r="AE16" s="11" t="str">
        <f t="shared" si="13"/>
        <v/>
      </c>
      <c r="AF16" s="83">
        <f t="shared" si="14"/>
        <v>0</v>
      </c>
      <c r="AG16" s="84">
        <f t="shared" si="15"/>
        <v>0</v>
      </c>
      <c r="AH16" s="84">
        <f t="shared" si="16"/>
        <v>0</v>
      </c>
      <c r="AI16" s="84">
        <f t="shared" si="17"/>
        <v>0</v>
      </c>
      <c r="AJ16" s="84">
        <f t="shared" si="18"/>
        <v>0</v>
      </c>
    </row>
    <row r="17" spans="1:36" x14ac:dyDescent="0.25">
      <c r="A17" s="106"/>
      <c r="B17" s="37">
        <f t="shared" si="3"/>
        <v>41552</v>
      </c>
      <c r="C17" s="38">
        <f t="shared" si="0"/>
        <v>41552</v>
      </c>
      <c r="D17" s="39" t="str">
        <f>IF(B17="","",IF(VerificaSeFeriado(B17),"Sim",""))</f>
        <v/>
      </c>
      <c r="E17" s="5"/>
      <c r="F17" s="5"/>
      <c r="G17" s="5"/>
      <c r="H17" s="5"/>
      <c r="I17" s="5"/>
      <c r="J17" s="5"/>
      <c r="K17" s="5"/>
      <c r="L17" s="5"/>
      <c r="M17" s="41" t="str">
        <f t="shared" si="4"/>
        <v/>
      </c>
      <c r="N17" s="42" t="str">
        <f t="shared" si="5"/>
        <v/>
      </c>
      <c r="O17" s="43" t="str">
        <f>IF(OR(D17="Sim",E17="")=TRUE,"",IF((R17-AB17)&gt;=(-"00:00:01"),"",(R17-AB17)))</f>
        <v/>
      </c>
      <c r="P17" s="43" t="str">
        <f t="shared" ca="1" si="6"/>
        <v/>
      </c>
      <c r="Q17" s="6"/>
      <c r="R17" s="40">
        <f t="shared" si="7"/>
        <v>0</v>
      </c>
      <c r="S17" s="44" t="str">
        <f>IF(D17="Sim",0,IF((OR(WEEKDAY(C17)=2,WEEKDAY(C17)=3,WEEKDAY(C17)=4,WEEKDAY(C17)=5,WEEKDAY(C17)=6))=TRUE,M17,IF(AND(WEEKDAY(C17)=7,Configurações!$C$11&gt;0)=TRUE,M17,IF(AND(WEEKDAY(C17)=1,Configurações!$C$12&gt;0)=TRUE,M17,0))))</f>
        <v/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8"/>
        <v>0</v>
      </c>
      <c r="W17" s="44">
        <f t="shared" si="9"/>
        <v>0</v>
      </c>
      <c r="X17" s="45">
        <f t="shared" si="10"/>
        <v>0</v>
      </c>
      <c r="Y17" s="44">
        <f t="shared" si="2"/>
        <v>0</v>
      </c>
      <c r="Z17" s="45">
        <f t="shared" si="11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2"/>
        <v/>
      </c>
      <c r="AE17" s="11" t="str">
        <f t="shared" si="13"/>
        <v/>
      </c>
      <c r="AF17" s="83">
        <f t="shared" si="14"/>
        <v>0</v>
      </c>
      <c r="AG17" s="84">
        <f t="shared" si="15"/>
        <v>0</v>
      </c>
      <c r="AH17" s="84">
        <f t="shared" si="16"/>
        <v>0</v>
      </c>
      <c r="AI17" s="84">
        <f t="shared" si="17"/>
        <v>0</v>
      </c>
      <c r="AJ17" s="84">
        <f t="shared" si="18"/>
        <v>0</v>
      </c>
    </row>
    <row r="18" spans="1:36" x14ac:dyDescent="0.25">
      <c r="A18" s="106"/>
      <c r="B18" s="37">
        <f t="shared" si="3"/>
        <v>41553</v>
      </c>
      <c r="C18" s="38">
        <f t="shared" si="0"/>
        <v>41553</v>
      </c>
      <c r="D18" s="39" t="str">
        <f>IF(B18="","",IF(VerificaSeFeriado(B18),"Sim",""))</f>
        <v/>
      </c>
      <c r="E18" s="5"/>
      <c r="F18" s="5"/>
      <c r="G18" s="5"/>
      <c r="H18" s="5"/>
      <c r="I18" s="5"/>
      <c r="J18" s="5"/>
      <c r="K18" s="5"/>
      <c r="L18" s="5"/>
      <c r="M18" s="41" t="str">
        <f t="shared" si="4"/>
        <v/>
      </c>
      <c r="N18" s="42" t="str">
        <f t="shared" si="5"/>
        <v/>
      </c>
      <c r="O18" s="43" t="str">
        <f t="shared" ref="O18:O42" si="19">IF(OR(D18="Sim",E18="")=TRUE,"",IF((R18-AB18)&gt;=(-"00:00:01"),"",(R18-AB18)))</f>
        <v/>
      </c>
      <c r="P18" s="43" t="str">
        <f t="shared" ca="1" si="6"/>
        <v/>
      </c>
      <c r="Q18" s="6"/>
      <c r="R18" s="40">
        <f t="shared" si="7"/>
        <v>0</v>
      </c>
      <c r="S18" s="44">
        <f>IF(D18="Sim",0,IF((OR(WEEKDAY(C18)=2,WEEKDAY(C18)=3,WEEKDAY(C18)=4,WEEKDAY(C18)=5,WEEKDAY(C18)=6))=TRUE,M18,IF(AND(WEEKDAY(C18)=7,Configurações!$C$11&gt;0)=TRUE,M18,IF(AND(WEEKDAY(C18)=1,Configurações!$C$12&gt;0)=TRUE,M18,0))))</f>
        <v>0</v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8"/>
        <v>0</v>
      </c>
      <c r="W18" s="44">
        <f t="shared" si="9"/>
        <v>0</v>
      </c>
      <c r="X18" s="45">
        <f t="shared" si="10"/>
        <v>0</v>
      </c>
      <c r="Y18" s="44">
        <f t="shared" si="2"/>
        <v>0</v>
      </c>
      <c r="Z18" s="45">
        <f t="shared" si="11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2"/>
        <v/>
      </c>
      <c r="AE18" s="11" t="str">
        <f t="shared" si="13"/>
        <v/>
      </c>
      <c r="AF18" s="83">
        <f t="shared" si="14"/>
        <v>0</v>
      </c>
      <c r="AG18" s="84">
        <f t="shared" si="15"/>
        <v>0</v>
      </c>
      <c r="AH18" s="84">
        <f t="shared" si="16"/>
        <v>0</v>
      </c>
      <c r="AI18" s="84">
        <f t="shared" si="17"/>
        <v>0</v>
      </c>
      <c r="AJ18" s="84">
        <f t="shared" si="18"/>
        <v>0</v>
      </c>
    </row>
    <row r="19" spans="1:36" x14ac:dyDescent="0.25">
      <c r="A19" s="106"/>
      <c r="B19" s="37">
        <f t="shared" si="3"/>
        <v>41554</v>
      </c>
      <c r="C19" s="38">
        <f t="shared" si="0"/>
        <v>41554</v>
      </c>
      <c r="D19" s="39" t="str">
        <f>IF(B19="","",IF(VerificaSeFeriado(B19),"Sim",""))</f>
        <v/>
      </c>
      <c r="E19" s="5"/>
      <c r="F19" s="5"/>
      <c r="G19" s="5"/>
      <c r="H19" s="5"/>
      <c r="I19" s="5"/>
      <c r="J19" s="5"/>
      <c r="K19" s="5"/>
      <c r="L19" s="5"/>
      <c r="M19" s="41" t="str">
        <f t="shared" si="4"/>
        <v/>
      </c>
      <c r="N19" s="42" t="str">
        <f t="shared" si="5"/>
        <v/>
      </c>
      <c r="O19" s="43" t="str">
        <f t="shared" si="19"/>
        <v/>
      </c>
      <c r="P19" s="43" t="str">
        <f t="shared" ca="1" si="6"/>
        <v/>
      </c>
      <c r="Q19" s="6"/>
      <c r="R19" s="40">
        <f t="shared" si="7"/>
        <v>0</v>
      </c>
      <c r="S19" s="44">
        <f>IF(D19="Sim",0,IF((OR(WEEKDAY(C19)=2,WEEKDAY(C19)=3,WEEKDAY(C19)=4,WEEKDAY(C19)=5,WEEKDAY(C19)=6))=TRUE,M19,IF(AND(WEEKDAY(C19)=7,Configurações!$C$11&gt;0)=TRUE,M19,IF(AND(WEEKDAY(C19)=1,Configurações!$C$12&gt;0)=TRUE,M19,0))))</f>
        <v>0</v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8"/>
        <v>0</v>
      </c>
      <c r="W19" s="44">
        <f t="shared" si="9"/>
        <v>0</v>
      </c>
      <c r="X19" s="45">
        <f t="shared" si="10"/>
        <v>0</v>
      </c>
      <c r="Y19" s="44">
        <f t="shared" si="2"/>
        <v>0</v>
      </c>
      <c r="Z19" s="45">
        <f t="shared" si="11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2"/>
        <v/>
      </c>
      <c r="AE19" s="11" t="str">
        <f t="shared" si="13"/>
        <v/>
      </c>
      <c r="AF19" s="83">
        <f t="shared" si="14"/>
        <v>0</v>
      </c>
      <c r="AG19" s="84">
        <f t="shared" si="15"/>
        <v>0</v>
      </c>
      <c r="AH19" s="84">
        <f t="shared" si="16"/>
        <v>0</v>
      </c>
      <c r="AI19" s="84">
        <f t="shared" si="17"/>
        <v>0</v>
      </c>
      <c r="AJ19" s="84">
        <f t="shared" si="18"/>
        <v>0</v>
      </c>
    </row>
    <row r="20" spans="1:36" x14ac:dyDescent="0.25">
      <c r="A20" s="106"/>
      <c r="B20" s="37">
        <f t="shared" si="3"/>
        <v>41555</v>
      </c>
      <c r="C20" s="38">
        <f t="shared" si="0"/>
        <v>41555</v>
      </c>
      <c r="D20" s="39" t="str">
        <f>IF(B20="","",IF(VerificaSeFeriado(B20),"Sim",""))</f>
        <v/>
      </c>
      <c r="E20" s="5"/>
      <c r="F20" s="5"/>
      <c r="G20" s="5"/>
      <c r="H20" s="5"/>
      <c r="I20" s="5"/>
      <c r="J20" s="5"/>
      <c r="K20" s="5"/>
      <c r="L20" s="5"/>
      <c r="M20" s="41" t="str">
        <f t="shared" si="4"/>
        <v/>
      </c>
      <c r="N20" s="42" t="str">
        <f t="shared" si="5"/>
        <v/>
      </c>
      <c r="O20" s="43" t="str">
        <f t="shared" si="19"/>
        <v/>
      </c>
      <c r="P20" s="43" t="str">
        <f t="shared" ca="1" si="6"/>
        <v/>
      </c>
      <c r="Q20" s="6"/>
      <c r="R20" s="40">
        <f t="shared" si="7"/>
        <v>0</v>
      </c>
      <c r="S20" s="44" t="str">
        <f>IF(D20="Sim",0,IF((OR(WEEKDAY(C20)=2,WEEKDAY(C20)=3,WEEKDAY(C20)=4,WEEKDAY(C20)=5,WEEKDAY(C20)=6))=TRUE,M20,IF(AND(WEEKDAY(C20)=7,Configurações!$C$11&gt;0)=TRUE,M20,IF(AND(WEEKDAY(C20)=1,Configurações!$C$12&gt;0)=TRUE,M20,0))))</f>
        <v/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8"/>
        <v>0</v>
      </c>
      <c r="W20" s="44">
        <f t="shared" si="9"/>
        <v>0</v>
      </c>
      <c r="X20" s="45">
        <f t="shared" si="10"/>
        <v>0</v>
      </c>
      <c r="Y20" s="44">
        <f t="shared" si="2"/>
        <v>0</v>
      </c>
      <c r="Z20" s="45">
        <f t="shared" si="11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2"/>
        <v/>
      </c>
      <c r="AE20" s="11" t="str">
        <f t="shared" si="13"/>
        <v/>
      </c>
      <c r="AF20" s="83">
        <f t="shared" si="14"/>
        <v>0</v>
      </c>
      <c r="AG20" s="84">
        <f t="shared" si="15"/>
        <v>0</v>
      </c>
      <c r="AH20" s="84">
        <f t="shared" si="16"/>
        <v>0</v>
      </c>
      <c r="AI20" s="84">
        <f t="shared" si="17"/>
        <v>0</v>
      </c>
      <c r="AJ20" s="84">
        <f t="shared" si="18"/>
        <v>0</v>
      </c>
    </row>
    <row r="21" spans="1:36" x14ac:dyDescent="0.25">
      <c r="A21" s="106"/>
      <c r="B21" s="37">
        <f t="shared" si="3"/>
        <v>41556</v>
      </c>
      <c r="C21" s="38">
        <f t="shared" si="0"/>
        <v>41556</v>
      </c>
      <c r="D21" s="39" t="str">
        <f>IF(B21="","",IF(VerificaSeFeriado(B21),"Sim",""))</f>
        <v/>
      </c>
      <c r="E21" s="5"/>
      <c r="F21" s="5"/>
      <c r="G21" s="5"/>
      <c r="H21" s="5"/>
      <c r="I21" s="5"/>
      <c r="J21" s="5"/>
      <c r="K21" s="5"/>
      <c r="L21" s="5"/>
      <c r="M21" s="41" t="str">
        <f t="shared" si="4"/>
        <v/>
      </c>
      <c r="N21" s="42" t="str">
        <f t="shared" si="5"/>
        <v/>
      </c>
      <c r="O21" s="43" t="str">
        <f t="shared" si="19"/>
        <v/>
      </c>
      <c r="P21" s="43" t="str">
        <f t="shared" ca="1" si="6"/>
        <v/>
      </c>
      <c r="Q21" s="6"/>
      <c r="R21" s="40">
        <f t="shared" si="7"/>
        <v>0</v>
      </c>
      <c r="S21" s="44" t="str">
        <f>IF(D21="Sim",0,IF((OR(WEEKDAY(C21)=2,WEEKDAY(C21)=3,WEEKDAY(C21)=4,WEEKDAY(C21)=5,WEEKDAY(C21)=6))=TRUE,M21,IF(AND(WEEKDAY(C21)=7,Configurações!$C$11&gt;0)=TRUE,M21,IF(AND(WEEKDAY(C21)=1,Configurações!$C$12&gt;0)=TRUE,M21,0))))</f>
        <v/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8"/>
        <v>0</v>
      </c>
      <c r="W21" s="44">
        <f t="shared" si="9"/>
        <v>0</v>
      </c>
      <c r="X21" s="45">
        <f t="shared" si="10"/>
        <v>0</v>
      </c>
      <c r="Y21" s="44">
        <f t="shared" si="2"/>
        <v>0</v>
      </c>
      <c r="Z21" s="45">
        <f t="shared" si="11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2"/>
        <v/>
      </c>
      <c r="AE21" s="11" t="str">
        <f t="shared" si="13"/>
        <v/>
      </c>
      <c r="AF21" s="83">
        <f t="shared" si="14"/>
        <v>0</v>
      </c>
      <c r="AG21" s="84">
        <f t="shared" si="15"/>
        <v>0</v>
      </c>
      <c r="AH21" s="84">
        <f t="shared" si="16"/>
        <v>0</v>
      </c>
      <c r="AI21" s="84">
        <f t="shared" si="17"/>
        <v>0</v>
      </c>
      <c r="AJ21" s="84">
        <f t="shared" si="18"/>
        <v>0</v>
      </c>
    </row>
    <row r="22" spans="1:36" x14ac:dyDescent="0.25">
      <c r="A22" s="106"/>
      <c r="B22" s="37">
        <f t="shared" si="3"/>
        <v>41557</v>
      </c>
      <c r="C22" s="38">
        <f t="shared" si="0"/>
        <v>41557</v>
      </c>
      <c r="D22" s="39" t="str">
        <f>IF(B22="","",IF(VerificaSeFeriado(B22),"Sim",""))</f>
        <v/>
      </c>
      <c r="E22" s="5"/>
      <c r="F22" s="5"/>
      <c r="G22" s="5"/>
      <c r="H22" s="5"/>
      <c r="I22" s="5"/>
      <c r="J22" s="5"/>
      <c r="K22" s="5"/>
      <c r="L22" s="5"/>
      <c r="M22" s="41" t="str">
        <f t="shared" si="4"/>
        <v/>
      </c>
      <c r="N22" s="42" t="str">
        <f t="shared" si="5"/>
        <v/>
      </c>
      <c r="O22" s="43" t="str">
        <f>IF(OR(D22="Sim",E22="")=TRUE,"",IF((R22-AB22)&gt;=(-"00:00:01"),"",(R22-AB22)))</f>
        <v/>
      </c>
      <c r="P22" s="43" t="str">
        <f ca="1">IF(TODAY()&lt;=B22,"",IF(D22="Sim","",IF(AND(AA22="Sim",E22="",G22="",I22="",K22="")=TRUE,IF(Q22-AB22&lt;0,Q22-AB22,""),"")))</f>
        <v/>
      </c>
      <c r="Q22" s="6"/>
      <c r="R22" s="40">
        <f t="shared" si="7"/>
        <v>0</v>
      </c>
      <c r="S22" s="44" t="str">
        <f>IF(D22="Sim",0,IF((OR(WEEKDAY(C22)=2,WEEKDAY(C22)=3,WEEKDAY(C22)=4,WEEKDAY(C22)=5,WEEKDAY(C22)=6))=TRUE,M22,IF(AND(WEEKDAY(C22)=7,Configurações!$C$11&gt;0)=TRUE,M22,IF(AND(WEEKDAY(C22)=1,Configurações!$C$12&gt;0)=TRUE,M22,0))))</f>
        <v/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8"/>
        <v>0</v>
      </c>
      <c r="W22" s="44">
        <f t="shared" si="9"/>
        <v>0</v>
      </c>
      <c r="X22" s="45">
        <f t="shared" si="10"/>
        <v>0</v>
      </c>
      <c r="Y22" s="44">
        <f t="shared" si="2"/>
        <v>0</v>
      </c>
      <c r="Z22" s="45">
        <f t="shared" si="11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>IF(E22="","",IF(OR(AND(E22&gt;=(1*"22:00"),((1*"29:00")-E22-Y22)&gt;=AB22)=TRUE,AND(AND(E22&gt;=0,E22&lt;=(1*"5:00"))=TRUE,(1*"5:00")-E22-Y22&gt;=AB22)=TRUE)=TRUE,"Sumula",IF(OR(E22&gt;=(1*"22:00"),AND(E22&lt;(1*"5:00"),E22&gt;=(1*"0:00"))=TRUE)=TRUE,"Noite",IF(OR(H22&lt;E22,H22&gt;(1*"22:00"))=TRUE,"Dia",""))))</f>
        <v/>
      </c>
      <c r="AE22" s="11" t="str">
        <f t="shared" si="13"/>
        <v/>
      </c>
      <c r="AF22" s="83">
        <f t="shared" si="14"/>
        <v>0</v>
      </c>
      <c r="AG22" s="84">
        <f t="shared" si="15"/>
        <v>0</v>
      </c>
      <c r="AH22" s="84">
        <f t="shared" si="16"/>
        <v>0</v>
      </c>
      <c r="AI22" s="84">
        <f t="shared" si="17"/>
        <v>0</v>
      </c>
      <c r="AJ22" s="84">
        <f t="shared" si="18"/>
        <v>0</v>
      </c>
    </row>
    <row r="23" spans="1:36" x14ac:dyDescent="0.25">
      <c r="A23" s="106"/>
      <c r="B23" s="37">
        <f t="shared" si="3"/>
        <v>41558</v>
      </c>
      <c r="C23" s="38">
        <f t="shared" si="0"/>
        <v>41558</v>
      </c>
      <c r="D23" s="39" t="str">
        <f>IF(B23="","",IF(VerificaSeFeriado(B23),"Sim",""))</f>
        <v>Sim</v>
      </c>
      <c r="E23" s="5"/>
      <c r="F23" s="5"/>
      <c r="G23" s="5"/>
      <c r="H23" s="5"/>
      <c r="I23" s="5"/>
      <c r="J23" s="5"/>
      <c r="K23" s="5"/>
      <c r="L23" s="5"/>
      <c r="M23" s="41" t="str">
        <f t="shared" si="4"/>
        <v/>
      </c>
      <c r="N23" s="42" t="str">
        <f t="shared" si="5"/>
        <v/>
      </c>
      <c r="O23" s="43" t="str">
        <f t="shared" si="19"/>
        <v/>
      </c>
      <c r="P23" s="43" t="str">
        <f t="shared" ca="1" si="6"/>
        <v/>
      </c>
      <c r="Q23" s="6"/>
      <c r="R23" s="40">
        <f t="shared" si="7"/>
        <v>0</v>
      </c>
      <c r="S23" s="44">
        <f>IF(D23="Sim",0,IF((OR(WEEKDAY(C23)=2,WEEKDAY(C23)=3,WEEKDAY(C23)=4,WEEKDAY(C23)=5,WEEKDAY(C23)=6))=TRUE,M23,IF(AND(WEEKDAY(C23)=7,Configurações!$C$11&gt;0)=TRUE,M23,IF(AND(WEEKDAY(C23)=1,Configurações!$C$12&gt;0)=TRUE,M23,0))))</f>
        <v>0</v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8"/>
        <v>0</v>
      </c>
      <c r="W23" s="44">
        <f t="shared" si="9"/>
        <v>0</v>
      </c>
      <c r="X23" s="45">
        <f t="shared" si="10"/>
        <v>0</v>
      </c>
      <c r="Y23" s="44">
        <f t="shared" si="2"/>
        <v>0</v>
      </c>
      <c r="Z23" s="45">
        <f t="shared" si="11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2"/>
        <v/>
      </c>
      <c r="AE23" s="11" t="str">
        <f t="shared" si="13"/>
        <v/>
      </c>
      <c r="AF23" s="83">
        <f t="shared" si="14"/>
        <v>0</v>
      </c>
      <c r="AG23" s="84">
        <f t="shared" si="15"/>
        <v>0</v>
      </c>
      <c r="AH23" s="84">
        <f t="shared" si="16"/>
        <v>0</v>
      </c>
      <c r="AI23" s="84">
        <f t="shared" si="17"/>
        <v>0</v>
      </c>
      <c r="AJ23" s="84">
        <f t="shared" si="18"/>
        <v>0</v>
      </c>
    </row>
    <row r="24" spans="1:36" x14ac:dyDescent="0.25">
      <c r="A24" s="106"/>
      <c r="B24" s="37">
        <f t="shared" si="3"/>
        <v>41559</v>
      </c>
      <c r="C24" s="38">
        <f t="shared" si="0"/>
        <v>41559</v>
      </c>
      <c r="D24" s="39" t="str">
        <f>IF(B24="","",IF(VerificaSeFeriado(B24),"Sim",""))</f>
        <v/>
      </c>
      <c r="E24" s="5"/>
      <c r="F24" s="5"/>
      <c r="G24" s="5"/>
      <c r="H24" s="5"/>
      <c r="I24" s="5"/>
      <c r="J24" s="5"/>
      <c r="K24" s="5"/>
      <c r="L24" s="5"/>
      <c r="M24" s="41" t="str">
        <f t="shared" si="4"/>
        <v/>
      </c>
      <c r="N24" s="42" t="str">
        <f t="shared" si="5"/>
        <v/>
      </c>
      <c r="O24" s="43" t="str">
        <f t="shared" si="19"/>
        <v/>
      </c>
      <c r="P24" s="43" t="str">
        <f t="shared" ca="1" si="6"/>
        <v/>
      </c>
      <c r="Q24" s="6"/>
      <c r="R24" s="40">
        <f t="shared" si="7"/>
        <v>0</v>
      </c>
      <c r="S24" s="44" t="str">
        <f>IF(D24="Sim",0,IF((OR(WEEKDAY(C24)=2,WEEKDAY(C24)=3,WEEKDAY(C24)=4,WEEKDAY(C24)=5,WEEKDAY(C24)=6))=TRUE,M24,IF(AND(WEEKDAY(C24)=7,Configurações!$C$11&gt;0)=TRUE,M24,IF(AND(WEEKDAY(C24)=1,Configurações!$C$12&gt;0)=TRUE,M24,0))))</f>
        <v/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8"/>
        <v>0</v>
      </c>
      <c r="W24" s="44">
        <f t="shared" si="9"/>
        <v>0</v>
      </c>
      <c r="X24" s="45">
        <f t="shared" si="10"/>
        <v>0</v>
      </c>
      <c r="Y24" s="44">
        <f t="shared" si="2"/>
        <v>0</v>
      </c>
      <c r="Z24" s="45">
        <f t="shared" si="11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2"/>
        <v/>
      </c>
      <c r="AE24" s="11" t="str">
        <f t="shared" si="13"/>
        <v/>
      </c>
      <c r="AF24" s="83">
        <f t="shared" si="14"/>
        <v>0</v>
      </c>
      <c r="AG24" s="84">
        <f t="shared" si="15"/>
        <v>0</v>
      </c>
      <c r="AH24" s="84">
        <f t="shared" si="16"/>
        <v>0</v>
      </c>
      <c r="AI24" s="84">
        <f t="shared" si="17"/>
        <v>0</v>
      </c>
      <c r="AJ24" s="84">
        <f t="shared" si="18"/>
        <v>0</v>
      </c>
    </row>
    <row r="25" spans="1:36" x14ac:dyDescent="0.25">
      <c r="A25" s="106"/>
      <c r="B25" s="37">
        <f t="shared" si="3"/>
        <v>41560</v>
      </c>
      <c r="C25" s="38">
        <f t="shared" si="0"/>
        <v>41560</v>
      </c>
      <c r="D25" s="39" t="str">
        <f>IF(B25="","",IF(VerificaSeFeriado(B25),"Sim",""))</f>
        <v/>
      </c>
      <c r="E25" s="5"/>
      <c r="F25" s="5"/>
      <c r="G25" s="5"/>
      <c r="H25" s="5"/>
      <c r="I25" s="5"/>
      <c r="J25" s="5"/>
      <c r="K25" s="5"/>
      <c r="L25" s="5"/>
      <c r="M25" s="41" t="str">
        <f>IFERROR(IF((R25-AB25)&gt;(1*"00:00:01"),(R25-AB25),""),"")</f>
        <v/>
      </c>
      <c r="N25" s="42" t="str">
        <f t="shared" si="5"/>
        <v/>
      </c>
      <c r="O25" s="43" t="str">
        <f t="shared" si="19"/>
        <v/>
      </c>
      <c r="P25" s="43" t="str">
        <f t="shared" ca="1" si="6"/>
        <v/>
      </c>
      <c r="Q25" s="6"/>
      <c r="R25" s="40">
        <f t="shared" si="7"/>
        <v>0</v>
      </c>
      <c r="S25" s="44">
        <f>IF(D25="Sim",0,IF((OR(WEEKDAY(C25)=2,WEEKDAY(C25)=3,WEEKDAY(C25)=4,WEEKDAY(C25)=5,WEEKDAY(C25)=6))=TRUE,M25,IF(AND(WEEKDAY(C25)=7,Configurações!$C$11&gt;0)=TRUE,M25,IF(AND(WEEKDAY(C25)=1,Configurações!$C$12&gt;0)=TRUE,M25,0))))</f>
        <v>0</v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8"/>
        <v>0</v>
      </c>
      <c r="W25" s="44">
        <f t="shared" si="9"/>
        <v>0</v>
      </c>
      <c r="X25" s="45">
        <f t="shared" si="10"/>
        <v>0</v>
      </c>
      <c r="Y25" s="44">
        <f t="shared" si="2"/>
        <v>0</v>
      </c>
      <c r="Z25" s="45">
        <f t="shared" si="11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2"/>
        <v/>
      </c>
      <c r="AE25" s="11" t="str">
        <f t="shared" si="13"/>
        <v/>
      </c>
      <c r="AF25" s="83">
        <f t="shared" si="14"/>
        <v>0</v>
      </c>
      <c r="AG25" s="84">
        <f t="shared" si="15"/>
        <v>0</v>
      </c>
      <c r="AH25" s="84">
        <f t="shared" si="16"/>
        <v>0</v>
      </c>
      <c r="AI25" s="84">
        <f t="shared" si="17"/>
        <v>0</v>
      </c>
      <c r="AJ25" s="84">
        <f t="shared" si="18"/>
        <v>0</v>
      </c>
    </row>
    <row r="26" spans="1:36" x14ac:dyDescent="0.25">
      <c r="A26" s="106"/>
      <c r="B26" s="37">
        <f t="shared" si="3"/>
        <v>41561</v>
      </c>
      <c r="C26" s="38">
        <f t="shared" si="0"/>
        <v>41561</v>
      </c>
      <c r="D26" s="39" t="str">
        <f>IF(B26="","",IF(VerificaSeFeriado(B26),"Sim",""))</f>
        <v/>
      </c>
      <c r="E26" s="5"/>
      <c r="F26" s="5"/>
      <c r="G26" s="5"/>
      <c r="H26" s="5"/>
      <c r="I26" s="5"/>
      <c r="J26" s="5"/>
      <c r="K26" s="5"/>
      <c r="L26" s="5"/>
      <c r="M26" s="41" t="str">
        <f t="shared" si="4"/>
        <v/>
      </c>
      <c r="N26" s="42" t="str">
        <f t="shared" si="5"/>
        <v/>
      </c>
      <c r="O26" s="43" t="str">
        <f t="shared" si="19"/>
        <v/>
      </c>
      <c r="P26" s="43" t="str">
        <f t="shared" ca="1" si="6"/>
        <v/>
      </c>
      <c r="Q26" s="6"/>
      <c r="R26" s="40">
        <f t="shared" si="7"/>
        <v>0</v>
      </c>
      <c r="S26" s="44">
        <f>IF(D26="Sim",0,IF((OR(WEEKDAY(C26)=2,WEEKDAY(C26)=3,WEEKDAY(C26)=4,WEEKDAY(C26)=5,WEEKDAY(C26)=6))=TRUE,M26,IF(AND(WEEKDAY(C26)=7,Configurações!$C$11&gt;0)=TRUE,M26,IF(AND(WEEKDAY(C26)=1,Configurações!$C$12&gt;0)=TRUE,M26,0))))</f>
        <v>0</v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8"/>
        <v>0</v>
      </c>
      <c r="W26" s="44">
        <f t="shared" si="9"/>
        <v>0</v>
      </c>
      <c r="X26" s="45">
        <f t="shared" si="10"/>
        <v>0</v>
      </c>
      <c r="Y26" s="44">
        <f>IF(F26="",0,IF(AND(F26&lt;(1*"22:00"),F26&gt;=(1*"5:00"),G26&lt;(1*"22:00"),G26&gt;(1*"5:00"))=TRUE,0,IF(F26&gt;=(1*"22:00"),IF(G26&gt;F26,G26-F26,G26+(1*"24:00")-F26),IF(F26&lt;(1*"5:00"),IF(G26&lt;(1*"5:00"),G26-F26,(1*"5:00")-F26),IF(G26&gt;F26,G26-(1*"22:00"),G26+(1*"24:00")-(1*"22:00"))))))</f>
        <v>0</v>
      </c>
      <c r="Z26" s="45">
        <f t="shared" si="11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2"/>
        <v/>
      </c>
      <c r="AE26" s="11" t="str">
        <f t="shared" si="13"/>
        <v/>
      </c>
      <c r="AF26" s="83">
        <f t="shared" si="14"/>
        <v>0</v>
      </c>
      <c r="AG26" s="84">
        <f t="shared" si="15"/>
        <v>0</v>
      </c>
      <c r="AH26" s="84">
        <f t="shared" si="16"/>
        <v>0</v>
      </c>
      <c r="AI26" s="84">
        <f t="shared" si="17"/>
        <v>0</v>
      </c>
      <c r="AJ26" s="84">
        <f t="shared" si="18"/>
        <v>0</v>
      </c>
    </row>
    <row r="27" spans="1:36" x14ac:dyDescent="0.25">
      <c r="A27" s="106"/>
      <c r="B27" s="37">
        <f t="shared" si="3"/>
        <v>41562</v>
      </c>
      <c r="C27" s="38">
        <f t="shared" si="0"/>
        <v>41562</v>
      </c>
      <c r="D27" s="39" t="str">
        <f>IF(B27="","",IF(VerificaSeFeriado(B27),"Sim",""))</f>
        <v/>
      </c>
      <c r="E27" s="5"/>
      <c r="F27" s="5"/>
      <c r="G27" s="5"/>
      <c r="H27" s="5"/>
      <c r="I27" s="5"/>
      <c r="J27" s="5"/>
      <c r="K27" s="5"/>
      <c r="L27" s="5"/>
      <c r="M27" s="41" t="str">
        <f t="shared" si="4"/>
        <v/>
      </c>
      <c r="N27" s="42" t="str">
        <f t="shared" si="5"/>
        <v/>
      </c>
      <c r="O27" s="43" t="str">
        <f t="shared" si="19"/>
        <v/>
      </c>
      <c r="P27" s="43" t="str">
        <f t="shared" ca="1" si="6"/>
        <v/>
      </c>
      <c r="Q27" s="6"/>
      <c r="R27" s="40">
        <f t="shared" si="7"/>
        <v>0</v>
      </c>
      <c r="S27" s="44" t="str">
        <f>IF(D27="Sim",0,IF((OR(WEEKDAY(C27)=2,WEEKDAY(C27)=3,WEEKDAY(C27)=4,WEEKDAY(C27)=5,WEEKDAY(C27)=6))=TRUE,M27,IF(AND(WEEKDAY(C27)=7,Configurações!$C$11&gt;0)=TRUE,M27,IF(AND(WEEKDAY(C27)=1,Configurações!$C$12&gt;0)=TRUE,M27,0))))</f>
        <v/>
      </c>
      <c r="T27" s="44">
        <f>IF(D27="Sim",0,IF(AND(WEEKDAY(C27)=7,Configurações!$C$11&lt;=0)=TRUE,R27,0))</f>
        <v>0</v>
      </c>
      <c r="U27" s="44">
        <f>IF(D27="Sim",0,IF(AND(WEEKDAY(C27)=1,Configurações!$C$12&lt;=0)=TRUE,R27,0))</f>
        <v>0</v>
      </c>
      <c r="V27" s="44">
        <f t="shared" si="8"/>
        <v>0</v>
      </c>
      <c r="W27" s="44">
        <f t="shared" si="9"/>
        <v>0</v>
      </c>
      <c r="X27" s="45">
        <f t="shared" si="10"/>
        <v>0</v>
      </c>
      <c r="Y27" s="44">
        <f t="shared" ref="Y27:Y42" si="20">IF(F27="",0,IF(AND(F27&lt;(1*"22:00"),F27&gt;=(1*"5:00"),G27&lt;(1*"22:00"),G27&gt;(1*"5:00"))=TRUE,0,IF(F27&gt;=(1*"22:00"),IF(G27&gt;F27,G27-F27,G27+(1*"24:00")-F27),IF(F27&lt;(1*"5:00"),IF(G27&lt;(1*"5:00"),G27-F27,(1*"5:00")-F27),IF(G27&gt;F27,G27-(1*"22:00"),G27+(1*"24:00")-(1*"22:00"))))))</f>
        <v>0</v>
      </c>
      <c r="Z27" s="45">
        <f t="shared" si="11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2"/>
        <v/>
      </c>
      <c r="AE27" s="11" t="str">
        <f t="shared" si="13"/>
        <v/>
      </c>
      <c r="AF27" s="83">
        <f t="shared" si="14"/>
        <v>0</v>
      </c>
      <c r="AG27" s="84">
        <f t="shared" si="15"/>
        <v>0</v>
      </c>
      <c r="AH27" s="84">
        <f t="shared" si="16"/>
        <v>0</v>
      </c>
      <c r="AI27" s="84">
        <f t="shared" si="17"/>
        <v>0</v>
      </c>
      <c r="AJ27" s="84">
        <f t="shared" si="18"/>
        <v>0</v>
      </c>
    </row>
    <row r="28" spans="1:36" x14ac:dyDescent="0.25">
      <c r="A28" s="106"/>
      <c r="B28" s="37">
        <f t="shared" si="3"/>
        <v>41563</v>
      </c>
      <c r="C28" s="38">
        <f t="shared" si="0"/>
        <v>41563</v>
      </c>
      <c r="D28" s="39" t="str">
        <f>IF(B28="","",IF(VerificaSeFeriado(B28),"Sim",""))</f>
        <v/>
      </c>
      <c r="E28" s="5"/>
      <c r="F28" s="5"/>
      <c r="G28" s="5"/>
      <c r="H28" s="5"/>
      <c r="I28" s="5"/>
      <c r="J28" s="5"/>
      <c r="K28" s="5"/>
      <c r="L28" s="5"/>
      <c r="M28" s="41" t="str">
        <f t="shared" si="4"/>
        <v/>
      </c>
      <c r="N28" s="42" t="str">
        <f t="shared" si="5"/>
        <v/>
      </c>
      <c r="O28" s="43" t="str">
        <f t="shared" si="19"/>
        <v/>
      </c>
      <c r="P28" s="43" t="str">
        <f t="shared" ca="1" si="6"/>
        <v/>
      </c>
      <c r="Q28" s="6"/>
      <c r="R28" s="40">
        <f t="shared" si="7"/>
        <v>0</v>
      </c>
      <c r="S28" s="44" t="str">
        <f>IF(D28="Sim",0,IF((OR(WEEKDAY(C28)=2,WEEKDAY(C28)=3,WEEKDAY(C28)=4,WEEKDAY(C28)=5,WEEKDAY(C28)=6))=TRUE,M28,IF(AND(WEEKDAY(C28)=7,Configurações!$C$11&gt;0)=TRUE,M28,IF(AND(WEEKDAY(C28)=1,Configurações!$C$12&gt;0)=TRUE,M28,0))))</f>
        <v/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8"/>
        <v>0</v>
      </c>
      <c r="W28" s="44">
        <f t="shared" si="9"/>
        <v>0</v>
      </c>
      <c r="X28" s="45">
        <f t="shared" si="10"/>
        <v>0</v>
      </c>
      <c r="Y28" s="44">
        <f t="shared" si="20"/>
        <v>0</v>
      </c>
      <c r="Z28" s="45">
        <f t="shared" si="11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2"/>
        <v/>
      </c>
      <c r="AE28" s="11" t="str">
        <f t="shared" si="13"/>
        <v/>
      </c>
      <c r="AF28" s="83">
        <f t="shared" si="14"/>
        <v>0</v>
      </c>
      <c r="AG28" s="84">
        <f t="shared" si="15"/>
        <v>0</v>
      </c>
      <c r="AH28" s="84">
        <f t="shared" si="16"/>
        <v>0</v>
      </c>
      <c r="AI28" s="84">
        <f t="shared" si="17"/>
        <v>0</v>
      </c>
      <c r="AJ28" s="84">
        <f t="shared" si="18"/>
        <v>0</v>
      </c>
    </row>
    <row r="29" spans="1:36" x14ac:dyDescent="0.25">
      <c r="A29" s="106"/>
      <c r="B29" s="37">
        <f t="shared" si="3"/>
        <v>41564</v>
      </c>
      <c r="C29" s="38">
        <f t="shared" si="0"/>
        <v>41564</v>
      </c>
      <c r="D29" s="39" t="str">
        <f>IF(B29="","",IF(VerificaSeFeriado(B29),"Sim",""))</f>
        <v/>
      </c>
      <c r="E29" s="5"/>
      <c r="F29" s="5"/>
      <c r="G29" s="5"/>
      <c r="H29" s="5"/>
      <c r="I29" s="5"/>
      <c r="J29" s="5"/>
      <c r="K29" s="5"/>
      <c r="L29" s="5"/>
      <c r="M29" s="41" t="str">
        <f t="shared" si="4"/>
        <v/>
      </c>
      <c r="N29" s="42" t="str">
        <f t="shared" si="5"/>
        <v/>
      </c>
      <c r="O29" s="43" t="str">
        <f t="shared" si="19"/>
        <v/>
      </c>
      <c r="P29" s="43" t="str">
        <f t="shared" ca="1" si="6"/>
        <v/>
      </c>
      <c r="Q29" s="6"/>
      <c r="R29" s="40">
        <f t="shared" si="7"/>
        <v>0</v>
      </c>
      <c r="S29" s="44" t="str">
        <f>IF(D29="Sim",0,IF((OR(WEEKDAY(C29)=2,WEEKDAY(C29)=3,WEEKDAY(C29)=4,WEEKDAY(C29)=5,WEEKDAY(C29)=6))=TRUE,M29,IF(AND(WEEKDAY(C29)=7,Configurações!$C$11&gt;0)=TRUE,M29,IF(AND(WEEKDAY(C29)=1,Configurações!$C$12&gt;0)=TRUE,M29,0))))</f>
        <v/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8"/>
        <v>0</v>
      </c>
      <c r="W29" s="44">
        <f t="shared" si="9"/>
        <v>0</v>
      </c>
      <c r="X29" s="45">
        <f t="shared" si="10"/>
        <v>0</v>
      </c>
      <c r="Y29" s="44">
        <f t="shared" si="20"/>
        <v>0</v>
      </c>
      <c r="Z29" s="45">
        <f t="shared" si="11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2"/>
        <v/>
      </c>
      <c r="AE29" s="11" t="str">
        <f t="shared" si="13"/>
        <v/>
      </c>
      <c r="AF29" s="83">
        <f t="shared" si="14"/>
        <v>0</v>
      </c>
      <c r="AG29" s="84">
        <f t="shared" si="15"/>
        <v>0</v>
      </c>
      <c r="AH29" s="84">
        <f t="shared" si="16"/>
        <v>0</v>
      </c>
      <c r="AI29" s="84">
        <f t="shared" si="17"/>
        <v>0</v>
      </c>
      <c r="AJ29" s="84">
        <f t="shared" si="18"/>
        <v>0</v>
      </c>
    </row>
    <row r="30" spans="1:36" x14ac:dyDescent="0.25">
      <c r="A30" s="106"/>
      <c r="B30" s="37">
        <f t="shared" si="3"/>
        <v>41565</v>
      </c>
      <c r="C30" s="38">
        <f t="shared" si="0"/>
        <v>41565</v>
      </c>
      <c r="D30" s="39" t="str">
        <f>IF(B30="","",IF(VerificaSeFeriado(B30),"Sim",""))</f>
        <v/>
      </c>
      <c r="E30" s="5"/>
      <c r="F30" s="5"/>
      <c r="G30" s="5"/>
      <c r="H30" s="5"/>
      <c r="I30" s="5"/>
      <c r="J30" s="5"/>
      <c r="K30" s="5"/>
      <c r="L30" s="5"/>
      <c r="M30" s="41" t="str">
        <f t="shared" si="4"/>
        <v/>
      </c>
      <c r="N30" s="42" t="str">
        <f t="shared" si="5"/>
        <v/>
      </c>
      <c r="O30" s="43" t="str">
        <f t="shared" si="19"/>
        <v/>
      </c>
      <c r="P30" s="43" t="str">
        <f t="shared" ca="1" si="6"/>
        <v/>
      </c>
      <c r="Q30" s="6"/>
      <c r="R30" s="40">
        <f t="shared" si="7"/>
        <v>0</v>
      </c>
      <c r="S30" s="44" t="str">
        <f>IF(D30="Sim",0,IF((OR(WEEKDAY(C30)=2,WEEKDAY(C30)=3,WEEKDAY(C30)=4,WEEKDAY(C30)=5,WEEKDAY(C30)=6))=TRUE,M30,IF(AND(WEEKDAY(C30)=7,Configurações!$C$11&gt;0)=TRUE,M30,IF(AND(WEEKDAY(C30)=1,Configurações!$C$12&gt;0)=TRUE,M30,0))))</f>
        <v/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8"/>
        <v>0</v>
      </c>
      <c r="W30" s="44">
        <f t="shared" si="9"/>
        <v>0</v>
      </c>
      <c r="X30" s="45">
        <f t="shared" si="10"/>
        <v>0</v>
      </c>
      <c r="Y30" s="44">
        <f t="shared" si="20"/>
        <v>0</v>
      </c>
      <c r="Z30" s="45">
        <f t="shared" si="11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2"/>
        <v/>
      </c>
      <c r="AE30" s="11" t="str">
        <f t="shared" si="13"/>
        <v/>
      </c>
      <c r="AF30" s="83">
        <f t="shared" si="14"/>
        <v>0</v>
      </c>
      <c r="AG30" s="84">
        <f t="shared" si="15"/>
        <v>0</v>
      </c>
      <c r="AH30" s="84">
        <f t="shared" si="16"/>
        <v>0</v>
      </c>
      <c r="AI30" s="84">
        <f t="shared" si="17"/>
        <v>0</v>
      </c>
      <c r="AJ30" s="84">
        <f t="shared" si="18"/>
        <v>0</v>
      </c>
    </row>
    <row r="31" spans="1:36" x14ac:dyDescent="0.25">
      <c r="A31" s="106"/>
      <c r="B31" s="37">
        <f t="shared" si="3"/>
        <v>41566</v>
      </c>
      <c r="C31" s="38">
        <f t="shared" si="0"/>
        <v>41566</v>
      </c>
      <c r="D31" s="39" t="str">
        <f>IF(B31="","",IF(VerificaSeFeriado(B31),"Sim",""))</f>
        <v/>
      </c>
      <c r="E31" s="5"/>
      <c r="F31" s="5"/>
      <c r="G31" s="5"/>
      <c r="H31" s="5"/>
      <c r="I31" s="5"/>
      <c r="J31" s="5"/>
      <c r="K31" s="5"/>
      <c r="L31" s="5"/>
      <c r="M31" s="41" t="str">
        <f t="shared" si="4"/>
        <v/>
      </c>
      <c r="N31" s="42" t="str">
        <f t="shared" si="5"/>
        <v/>
      </c>
      <c r="O31" s="43" t="str">
        <f t="shared" si="19"/>
        <v/>
      </c>
      <c r="P31" s="43" t="str">
        <f t="shared" ca="1" si="6"/>
        <v/>
      </c>
      <c r="Q31" s="6"/>
      <c r="R31" s="40">
        <f t="shared" si="7"/>
        <v>0</v>
      </c>
      <c r="S31" s="44" t="str">
        <f>IF(D31="Sim",0,IF((OR(WEEKDAY(C31)=2,WEEKDAY(C31)=3,WEEKDAY(C31)=4,WEEKDAY(C31)=5,WEEKDAY(C31)=6))=TRUE,M31,IF(AND(WEEKDAY(C31)=7,Configurações!$C$11&gt;0)=TRUE,M31,IF(AND(WEEKDAY(C31)=1,Configurações!$C$12&gt;0)=TRUE,M31,0))))</f>
        <v/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8"/>
        <v>0</v>
      </c>
      <c r="W31" s="44">
        <f t="shared" si="9"/>
        <v>0</v>
      </c>
      <c r="X31" s="45">
        <f t="shared" si="10"/>
        <v>0</v>
      </c>
      <c r="Y31" s="44">
        <f t="shared" si="20"/>
        <v>0</v>
      </c>
      <c r="Z31" s="45">
        <f t="shared" si="11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2"/>
        <v/>
      </c>
      <c r="AE31" s="11" t="str">
        <f t="shared" si="13"/>
        <v/>
      </c>
      <c r="AF31" s="83">
        <f t="shared" si="14"/>
        <v>0</v>
      </c>
      <c r="AG31" s="84">
        <f t="shared" si="15"/>
        <v>0</v>
      </c>
      <c r="AH31" s="84">
        <f t="shared" si="16"/>
        <v>0</v>
      </c>
      <c r="AI31" s="84">
        <f t="shared" si="17"/>
        <v>0</v>
      </c>
      <c r="AJ31" s="84">
        <f t="shared" si="18"/>
        <v>0</v>
      </c>
    </row>
    <row r="32" spans="1:36" x14ac:dyDescent="0.25">
      <c r="A32" s="106"/>
      <c r="B32" s="37">
        <f t="shared" si="3"/>
        <v>41567</v>
      </c>
      <c r="C32" s="38">
        <f t="shared" si="0"/>
        <v>41567</v>
      </c>
      <c r="D32" s="39" t="str">
        <f>IF(B32="","",IF(VerificaSeFeriado(B32),"Sim",""))</f>
        <v/>
      </c>
      <c r="E32" s="5"/>
      <c r="F32" s="5"/>
      <c r="G32" s="5"/>
      <c r="H32" s="5"/>
      <c r="I32" s="5"/>
      <c r="J32" s="5"/>
      <c r="K32" s="5"/>
      <c r="L32" s="5"/>
      <c r="M32" s="41" t="str">
        <f t="shared" si="4"/>
        <v/>
      </c>
      <c r="N32" s="42" t="str">
        <f t="shared" si="5"/>
        <v/>
      </c>
      <c r="O32" s="43" t="str">
        <f t="shared" si="19"/>
        <v/>
      </c>
      <c r="P32" s="43" t="str">
        <f t="shared" ca="1" si="6"/>
        <v/>
      </c>
      <c r="Q32" s="6"/>
      <c r="R32" s="40">
        <f t="shared" si="7"/>
        <v>0</v>
      </c>
      <c r="S32" s="44">
        <f>IF(D32="Sim",0,IF((OR(WEEKDAY(C32)=2,WEEKDAY(C32)=3,WEEKDAY(C32)=4,WEEKDAY(C32)=5,WEEKDAY(C32)=6))=TRUE,M32,IF(AND(WEEKDAY(C32)=7,Configurações!$C$11&gt;0)=TRUE,M32,IF(AND(WEEKDAY(C32)=1,Configurações!$C$12&gt;0)=TRUE,M32,0))))</f>
        <v>0</v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8"/>
        <v>0</v>
      </c>
      <c r="W32" s="44">
        <f t="shared" si="9"/>
        <v>0</v>
      </c>
      <c r="X32" s="45">
        <f t="shared" si="10"/>
        <v>0</v>
      </c>
      <c r="Y32" s="44">
        <f t="shared" si="20"/>
        <v>0</v>
      </c>
      <c r="Z32" s="45">
        <f t="shared" si="11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2"/>
        <v/>
      </c>
      <c r="AE32" s="11" t="str">
        <f t="shared" si="13"/>
        <v/>
      </c>
      <c r="AF32" s="83">
        <f t="shared" si="14"/>
        <v>0</v>
      </c>
      <c r="AG32" s="84">
        <f t="shared" si="15"/>
        <v>0</v>
      </c>
      <c r="AH32" s="84">
        <f t="shared" si="16"/>
        <v>0</v>
      </c>
      <c r="AI32" s="84">
        <f t="shared" si="17"/>
        <v>0</v>
      </c>
      <c r="AJ32" s="84">
        <f t="shared" si="18"/>
        <v>0</v>
      </c>
    </row>
    <row r="33" spans="1:36" x14ac:dyDescent="0.25">
      <c r="A33" s="106"/>
      <c r="B33" s="37">
        <f t="shared" si="3"/>
        <v>41568</v>
      </c>
      <c r="C33" s="38">
        <f t="shared" si="0"/>
        <v>41568</v>
      </c>
      <c r="D33" s="39" t="str">
        <f>IF(B33="","",IF(VerificaSeFeriado(B33),"Sim",""))</f>
        <v/>
      </c>
      <c r="E33" s="5"/>
      <c r="F33" s="5"/>
      <c r="G33" s="5"/>
      <c r="H33" s="5"/>
      <c r="I33" s="5"/>
      <c r="J33" s="5"/>
      <c r="K33" s="5"/>
      <c r="L33" s="5"/>
      <c r="M33" s="41" t="str">
        <f t="shared" si="4"/>
        <v/>
      </c>
      <c r="N33" s="42" t="str">
        <f t="shared" si="5"/>
        <v/>
      </c>
      <c r="O33" s="43" t="str">
        <f t="shared" si="19"/>
        <v/>
      </c>
      <c r="P33" s="43" t="str">
        <f t="shared" ca="1" si="6"/>
        <v/>
      </c>
      <c r="Q33" s="6"/>
      <c r="R33" s="40">
        <f t="shared" si="7"/>
        <v>0</v>
      </c>
      <c r="S33" s="44">
        <f>IF(D33="Sim",0,IF((OR(WEEKDAY(C33)=2,WEEKDAY(C33)=3,WEEKDAY(C33)=4,WEEKDAY(C33)=5,WEEKDAY(C33)=6))=TRUE,M33,IF(AND(WEEKDAY(C33)=7,Configurações!$C$11&gt;0)=TRUE,M33,IF(AND(WEEKDAY(C33)=1,Configurações!$C$12&gt;0)=TRUE,M33,0))))</f>
        <v>0</v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8"/>
        <v>0</v>
      </c>
      <c r="W33" s="44">
        <f t="shared" si="9"/>
        <v>0</v>
      </c>
      <c r="X33" s="45">
        <f t="shared" si="10"/>
        <v>0</v>
      </c>
      <c r="Y33" s="44">
        <f t="shared" si="20"/>
        <v>0</v>
      </c>
      <c r="Z33" s="45">
        <f t="shared" si="11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2"/>
        <v/>
      </c>
      <c r="AE33" s="11" t="str">
        <f t="shared" si="13"/>
        <v/>
      </c>
      <c r="AF33" s="83">
        <f t="shared" si="14"/>
        <v>0</v>
      </c>
      <c r="AG33" s="84">
        <f t="shared" si="15"/>
        <v>0</v>
      </c>
      <c r="AH33" s="84">
        <f t="shared" si="16"/>
        <v>0</v>
      </c>
      <c r="AI33" s="84">
        <f t="shared" si="17"/>
        <v>0</v>
      </c>
      <c r="AJ33" s="84">
        <f t="shared" si="18"/>
        <v>0</v>
      </c>
    </row>
    <row r="34" spans="1:36" x14ac:dyDescent="0.25">
      <c r="A34" s="106"/>
      <c r="B34" s="37">
        <f t="shared" si="3"/>
        <v>41569</v>
      </c>
      <c r="C34" s="38">
        <f t="shared" si="0"/>
        <v>41569</v>
      </c>
      <c r="D34" s="39" t="str">
        <f>IF(B34="","",IF(VerificaSeFeriado(B34),"Sim",""))</f>
        <v/>
      </c>
      <c r="E34" s="5"/>
      <c r="F34" s="5"/>
      <c r="G34" s="5"/>
      <c r="H34" s="5"/>
      <c r="I34" s="5"/>
      <c r="J34" s="5"/>
      <c r="K34" s="5"/>
      <c r="L34" s="5"/>
      <c r="M34" s="41" t="str">
        <f t="shared" si="4"/>
        <v/>
      </c>
      <c r="N34" s="42" t="str">
        <f t="shared" si="5"/>
        <v/>
      </c>
      <c r="O34" s="43" t="str">
        <f t="shared" si="19"/>
        <v/>
      </c>
      <c r="P34" s="43" t="str">
        <f t="shared" ca="1" si="6"/>
        <v/>
      </c>
      <c r="Q34" s="6"/>
      <c r="R34" s="40">
        <f t="shared" si="7"/>
        <v>0</v>
      </c>
      <c r="S34" s="44" t="str">
        <f>IF(D34="Sim",0,IF((OR(WEEKDAY(C34)=2,WEEKDAY(C34)=3,WEEKDAY(C34)=4,WEEKDAY(C34)=5,WEEKDAY(C34)=6))=TRUE,M34,IF(AND(WEEKDAY(C34)=7,Configurações!$C$11&gt;0)=TRUE,M34,IF(AND(WEEKDAY(C34)=1,Configurações!$C$12&gt;0)=TRUE,M34,0))))</f>
        <v/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8"/>
        <v>0</v>
      </c>
      <c r="W34" s="44">
        <f t="shared" si="9"/>
        <v>0</v>
      </c>
      <c r="X34" s="45">
        <f t="shared" si="10"/>
        <v>0</v>
      </c>
      <c r="Y34" s="44">
        <f t="shared" si="20"/>
        <v>0</v>
      </c>
      <c r="Z34" s="45">
        <f t="shared" si="11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2"/>
        <v/>
      </c>
      <c r="AE34" s="11" t="str">
        <f t="shared" si="13"/>
        <v/>
      </c>
      <c r="AF34" s="83">
        <f t="shared" si="14"/>
        <v>0</v>
      </c>
      <c r="AG34" s="84">
        <f t="shared" si="15"/>
        <v>0</v>
      </c>
      <c r="AH34" s="84">
        <f t="shared" si="16"/>
        <v>0</v>
      </c>
      <c r="AI34" s="84">
        <f t="shared" si="17"/>
        <v>0</v>
      </c>
      <c r="AJ34" s="84">
        <f t="shared" si="18"/>
        <v>0</v>
      </c>
    </row>
    <row r="35" spans="1:36" x14ac:dyDescent="0.25">
      <c r="A35" s="106"/>
      <c r="B35" s="37">
        <f t="shared" si="3"/>
        <v>41570</v>
      </c>
      <c r="C35" s="38">
        <f t="shared" si="0"/>
        <v>41570</v>
      </c>
      <c r="D35" s="39" t="str">
        <f>IF(B35="","",IF(VerificaSeFeriado(B35),"Sim",""))</f>
        <v/>
      </c>
      <c r="E35" s="5"/>
      <c r="F35" s="5"/>
      <c r="G35" s="5"/>
      <c r="H35" s="5"/>
      <c r="I35" s="5"/>
      <c r="J35" s="5"/>
      <c r="K35" s="5"/>
      <c r="L35" s="5"/>
      <c r="M35" s="41" t="str">
        <f t="shared" si="4"/>
        <v/>
      </c>
      <c r="N35" s="42" t="str">
        <f t="shared" si="5"/>
        <v/>
      </c>
      <c r="O35" s="43" t="str">
        <f t="shared" si="19"/>
        <v/>
      </c>
      <c r="P35" s="43" t="str">
        <f t="shared" ca="1" si="6"/>
        <v/>
      </c>
      <c r="Q35" s="6"/>
      <c r="R35" s="40">
        <f t="shared" si="7"/>
        <v>0</v>
      </c>
      <c r="S35" s="44" t="str">
        <f>IF(D35="Sim",0,IF((OR(WEEKDAY(C35)=2,WEEKDAY(C35)=3,WEEKDAY(C35)=4,WEEKDAY(C35)=5,WEEKDAY(C35)=6))=TRUE,M35,IF(AND(WEEKDAY(C35)=7,Configurações!$C$11&gt;0)=TRUE,M35,IF(AND(WEEKDAY(C35)=1,Configurações!$C$12&gt;0)=TRUE,M35,0))))</f>
        <v/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</v>
      </c>
      <c r="V35" s="44">
        <f t="shared" si="8"/>
        <v>0</v>
      </c>
      <c r="W35" s="44">
        <f t="shared" si="9"/>
        <v>0</v>
      </c>
      <c r="X35" s="45">
        <f t="shared" si="10"/>
        <v>0</v>
      </c>
      <c r="Y35" s="44">
        <f t="shared" si="20"/>
        <v>0</v>
      </c>
      <c r="Z35" s="45">
        <f t="shared" si="11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2"/>
        <v/>
      </c>
      <c r="AE35" s="11" t="str">
        <f t="shared" si="13"/>
        <v/>
      </c>
      <c r="AF35" s="83">
        <f t="shared" si="14"/>
        <v>0</v>
      </c>
      <c r="AG35" s="84">
        <f t="shared" si="15"/>
        <v>0</v>
      </c>
      <c r="AH35" s="84">
        <f t="shared" si="16"/>
        <v>0</v>
      </c>
      <c r="AI35" s="84">
        <f t="shared" si="17"/>
        <v>0</v>
      </c>
      <c r="AJ35" s="84">
        <f t="shared" si="18"/>
        <v>0</v>
      </c>
    </row>
    <row r="36" spans="1:36" x14ac:dyDescent="0.25">
      <c r="A36" s="106"/>
      <c r="B36" s="37">
        <f t="shared" si="3"/>
        <v>41571</v>
      </c>
      <c r="C36" s="38">
        <f t="shared" si="0"/>
        <v>41571</v>
      </c>
      <c r="D36" s="39" t="str">
        <f>IF(B36="","",IF(VerificaSeFeriado(B36),"Sim",""))</f>
        <v/>
      </c>
      <c r="E36" s="5"/>
      <c r="F36" s="5"/>
      <c r="G36" s="5"/>
      <c r="H36" s="5"/>
      <c r="I36" s="5"/>
      <c r="J36" s="5"/>
      <c r="K36" s="5"/>
      <c r="L36" s="5"/>
      <c r="M36" s="41" t="str">
        <f t="shared" si="4"/>
        <v/>
      </c>
      <c r="N36" s="42" t="str">
        <f t="shared" si="5"/>
        <v/>
      </c>
      <c r="O36" s="43" t="str">
        <f t="shared" si="19"/>
        <v/>
      </c>
      <c r="P36" s="43" t="str">
        <f t="shared" ca="1" si="6"/>
        <v/>
      </c>
      <c r="Q36" s="6"/>
      <c r="R36" s="40">
        <f t="shared" si="7"/>
        <v>0</v>
      </c>
      <c r="S36" s="44" t="str">
        <f>IF(D36="Sim",0,IF((OR(WEEKDAY(C36)=2,WEEKDAY(C36)=3,WEEKDAY(C36)=4,WEEKDAY(C36)=5,WEEKDAY(C36)=6))=TRUE,M36,IF(AND(WEEKDAY(C36)=7,Configurações!$C$11&gt;0)=TRUE,M36,IF(AND(WEEKDAY(C36)=1,Configurações!$C$12&gt;0)=TRUE,M36,0))))</f>
        <v/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8"/>
        <v>0</v>
      </c>
      <c r="W36" s="44">
        <f t="shared" si="9"/>
        <v>0</v>
      </c>
      <c r="X36" s="45">
        <f t="shared" si="10"/>
        <v>0</v>
      </c>
      <c r="Y36" s="44">
        <f t="shared" si="20"/>
        <v>0</v>
      </c>
      <c r="Z36" s="45">
        <f t="shared" si="11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2"/>
        <v/>
      </c>
      <c r="AE36" s="11" t="str">
        <f t="shared" si="13"/>
        <v/>
      </c>
      <c r="AF36" s="83">
        <f t="shared" si="14"/>
        <v>0</v>
      </c>
      <c r="AG36" s="84">
        <f t="shared" si="15"/>
        <v>0</v>
      </c>
      <c r="AH36" s="84">
        <f t="shared" si="16"/>
        <v>0</v>
      </c>
      <c r="AI36" s="84">
        <f t="shared" si="17"/>
        <v>0</v>
      </c>
      <c r="AJ36" s="84">
        <f t="shared" si="18"/>
        <v>0</v>
      </c>
    </row>
    <row r="37" spans="1:36" x14ac:dyDescent="0.25">
      <c r="A37" s="106"/>
      <c r="B37" s="37">
        <f t="shared" si="3"/>
        <v>41572</v>
      </c>
      <c r="C37" s="38">
        <f t="shared" si="0"/>
        <v>41572</v>
      </c>
      <c r="D37" s="39" t="str">
        <f>IF(B37="","",IF(VerificaSeFeriado(B37),"Sim",""))</f>
        <v/>
      </c>
      <c r="E37" s="5"/>
      <c r="F37" s="5"/>
      <c r="G37" s="5"/>
      <c r="H37" s="5"/>
      <c r="I37" s="5"/>
      <c r="J37" s="5"/>
      <c r="K37" s="5"/>
      <c r="L37" s="5"/>
      <c r="M37" s="41" t="str">
        <f t="shared" si="4"/>
        <v/>
      </c>
      <c r="N37" s="42" t="str">
        <f t="shared" si="5"/>
        <v/>
      </c>
      <c r="O37" s="43" t="str">
        <f t="shared" si="19"/>
        <v/>
      </c>
      <c r="P37" s="43" t="str">
        <f t="shared" ca="1" si="6"/>
        <v/>
      </c>
      <c r="Q37" s="6"/>
      <c r="R37" s="40">
        <f t="shared" si="7"/>
        <v>0</v>
      </c>
      <c r="S37" s="44" t="str">
        <f>IF(D37="Sim",0,IF((OR(WEEKDAY(C37)=2,WEEKDAY(C37)=3,WEEKDAY(C37)=4,WEEKDAY(C37)=5,WEEKDAY(C37)=6))=TRUE,M37,IF(AND(WEEKDAY(C37)=7,Configurações!$C$11&gt;0)=TRUE,M37,IF(AND(WEEKDAY(C37)=1,Configurações!$C$12&gt;0)=TRUE,M37,0))))</f>
        <v/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8"/>
        <v>0</v>
      </c>
      <c r="W37" s="44">
        <f t="shared" si="9"/>
        <v>0</v>
      </c>
      <c r="X37" s="45">
        <f t="shared" si="10"/>
        <v>0</v>
      </c>
      <c r="Y37" s="44">
        <f t="shared" si="20"/>
        <v>0</v>
      </c>
      <c r="Z37" s="45">
        <f t="shared" si="11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2"/>
        <v/>
      </c>
      <c r="AE37" s="11" t="str">
        <f t="shared" si="13"/>
        <v/>
      </c>
      <c r="AF37" s="83">
        <f t="shared" si="14"/>
        <v>0</v>
      </c>
      <c r="AG37" s="84">
        <f t="shared" si="15"/>
        <v>0</v>
      </c>
      <c r="AH37" s="84">
        <f t="shared" si="16"/>
        <v>0</v>
      </c>
      <c r="AI37" s="84">
        <f t="shared" si="17"/>
        <v>0</v>
      </c>
      <c r="AJ37" s="84">
        <f t="shared" si="18"/>
        <v>0</v>
      </c>
    </row>
    <row r="38" spans="1:36" x14ac:dyDescent="0.25">
      <c r="A38" s="106"/>
      <c r="B38" s="37">
        <f t="shared" si="3"/>
        <v>41573</v>
      </c>
      <c r="C38" s="38">
        <f t="shared" si="0"/>
        <v>41573</v>
      </c>
      <c r="D38" s="39" t="str">
        <f>IF(B38="","",IF(VerificaSeFeriado(B38),"Sim",""))</f>
        <v/>
      </c>
      <c r="E38" s="5"/>
      <c r="F38" s="5"/>
      <c r="G38" s="5"/>
      <c r="H38" s="5"/>
      <c r="I38" s="5"/>
      <c r="J38" s="5"/>
      <c r="K38" s="5"/>
      <c r="L38" s="5"/>
      <c r="M38" s="41" t="str">
        <f t="shared" si="4"/>
        <v/>
      </c>
      <c r="N38" s="42" t="str">
        <f t="shared" si="5"/>
        <v/>
      </c>
      <c r="O38" s="43" t="str">
        <f t="shared" si="19"/>
        <v/>
      </c>
      <c r="P38" s="43" t="str">
        <f t="shared" ca="1" si="6"/>
        <v/>
      </c>
      <c r="Q38" s="6"/>
      <c r="R38" s="40">
        <f t="shared" si="7"/>
        <v>0</v>
      </c>
      <c r="S38" s="44" t="str">
        <f>IF(D38="Sim",0,IF((OR(WEEKDAY(C38)=2,WEEKDAY(C38)=3,WEEKDAY(C38)=4,WEEKDAY(C38)=5,WEEKDAY(C38)=6))=TRUE,M38,IF(AND(WEEKDAY(C38)=7,Configurações!$C$11&gt;0)=TRUE,M38,IF(AND(WEEKDAY(C38)=1,Configurações!$C$12&gt;0)=TRUE,M38,0))))</f>
        <v/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8"/>
        <v>0</v>
      </c>
      <c r="W38" s="44">
        <f t="shared" si="9"/>
        <v>0</v>
      </c>
      <c r="X38" s="45">
        <f t="shared" si="10"/>
        <v>0</v>
      </c>
      <c r="Y38" s="44">
        <f t="shared" si="20"/>
        <v>0</v>
      </c>
      <c r="Z38" s="45">
        <f t="shared" si="11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2"/>
        <v/>
      </c>
      <c r="AE38" s="11" t="str">
        <f t="shared" si="13"/>
        <v/>
      </c>
      <c r="AF38" s="83">
        <f t="shared" si="14"/>
        <v>0</v>
      </c>
      <c r="AG38" s="84">
        <f t="shared" si="15"/>
        <v>0</v>
      </c>
      <c r="AH38" s="84">
        <f t="shared" si="16"/>
        <v>0</v>
      </c>
      <c r="AI38" s="84">
        <f t="shared" si="17"/>
        <v>0</v>
      </c>
      <c r="AJ38" s="84">
        <f t="shared" si="18"/>
        <v>0</v>
      </c>
    </row>
    <row r="39" spans="1:36" x14ac:dyDescent="0.25">
      <c r="A39" s="106"/>
      <c r="B39" s="37">
        <f t="shared" si="3"/>
        <v>41574</v>
      </c>
      <c r="C39" s="38">
        <f t="shared" si="0"/>
        <v>41574</v>
      </c>
      <c r="D39" s="39" t="str">
        <f>IF(B39="","",IF(VerificaSeFeriado(B39),"Sim",""))</f>
        <v/>
      </c>
      <c r="E39" s="5"/>
      <c r="F39" s="5"/>
      <c r="G39" s="5"/>
      <c r="H39" s="5"/>
      <c r="I39" s="5"/>
      <c r="J39" s="5"/>
      <c r="K39" s="5"/>
      <c r="L39" s="5"/>
      <c r="M39" s="41" t="str">
        <f t="shared" si="4"/>
        <v/>
      </c>
      <c r="N39" s="42" t="str">
        <f t="shared" si="5"/>
        <v/>
      </c>
      <c r="O39" s="43" t="str">
        <f t="shared" si="19"/>
        <v/>
      </c>
      <c r="P39" s="43" t="str">
        <f t="shared" ca="1" si="6"/>
        <v/>
      </c>
      <c r="Q39" s="6"/>
      <c r="R39" s="40">
        <f t="shared" si="7"/>
        <v>0</v>
      </c>
      <c r="S39" s="44">
        <f>IF(D39="Sim",0,IF((OR(WEEKDAY(C39)=2,WEEKDAY(C39)=3,WEEKDAY(C39)=4,WEEKDAY(C39)=5,WEEKDAY(C39)=6))=TRUE,M39,IF(AND(WEEKDAY(C39)=7,Configurações!$C$11&gt;0)=TRUE,M39,IF(AND(WEEKDAY(C39)=1,Configurações!$C$12&gt;0)=TRUE,M39,0))))</f>
        <v>0</v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8"/>
        <v>0</v>
      </c>
      <c r="W39" s="44">
        <f t="shared" si="9"/>
        <v>0</v>
      </c>
      <c r="X39" s="45">
        <f t="shared" si="10"/>
        <v>0</v>
      </c>
      <c r="Y39" s="44">
        <f t="shared" si="20"/>
        <v>0</v>
      </c>
      <c r="Z39" s="45">
        <f t="shared" si="11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2"/>
        <v/>
      </c>
      <c r="AE39" s="11" t="str">
        <f t="shared" si="13"/>
        <v/>
      </c>
      <c r="AF39" s="83">
        <f t="shared" si="14"/>
        <v>0</v>
      </c>
      <c r="AG39" s="84">
        <f t="shared" si="15"/>
        <v>0</v>
      </c>
      <c r="AH39" s="84">
        <f t="shared" si="16"/>
        <v>0</v>
      </c>
      <c r="AI39" s="84">
        <f t="shared" si="17"/>
        <v>0</v>
      </c>
      <c r="AJ39" s="84">
        <f t="shared" si="18"/>
        <v>0</v>
      </c>
    </row>
    <row r="40" spans="1:36" x14ac:dyDescent="0.25">
      <c r="A40" s="106"/>
      <c r="B40" s="37">
        <f t="shared" si="3"/>
        <v>41575</v>
      </c>
      <c r="C40" s="38">
        <f t="shared" si="0"/>
        <v>41575</v>
      </c>
      <c r="D40" s="39" t="str">
        <f>IF(B40="","",IF(VerificaSeFeriado(B40),"Sim",""))</f>
        <v/>
      </c>
      <c r="E40" s="5"/>
      <c r="F40" s="5"/>
      <c r="G40" s="5"/>
      <c r="H40" s="5"/>
      <c r="I40" s="5"/>
      <c r="J40" s="5"/>
      <c r="K40" s="5"/>
      <c r="L40" s="5"/>
      <c r="M40" s="41" t="str">
        <f t="shared" si="4"/>
        <v/>
      </c>
      <c r="N40" s="42" t="str">
        <f t="shared" si="5"/>
        <v/>
      </c>
      <c r="O40" s="43" t="str">
        <f t="shared" si="19"/>
        <v/>
      </c>
      <c r="P40" s="43" t="str">
        <f t="shared" ca="1" si="6"/>
        <v/>
      </c>
      <c r="Q40" s="6"/>
      <c r="R40" s="40">
        <f t="shared" si="7"/>
        <v>0</v>
      </c>
      <c r="S40" s="44">
        <f>IF(D40="Sim",0,IF((OR(WEEKDAY(C40)=2,WEEKDAY(C40)=3,WEEKDAY(C40)=4,WEEKDAY(C40)=5,WEEKDAY(C40)=6))=TRUE,M40,IF(AND(WEEKDAY(C40)=7,Configurações!$C$11&gt;0)=TRUE,M40,IF(AND(WEEKDAY(C40)=1,Configurações!$C$12&gt;0)=TRUE,M40,0))))</f>
        <v>0</v>
      </c>
      <c r="T40" s="44">
        <f>IF(D40="Sim",0,IF(AND(WEEKDAY(C40)=7,Configurações!$C$11&lt;=0)=TRUE,R40,0))</f>
        <v>0</v>
      </c>
      <c r="U40" s="44">
        <f>IF(D40="Sim",0,IF(AND(WEEKDAY(C40)=1,Configurações!$C$12&lt;=0)=TRUE,R40,0))</f>
        <v>0</v>
      </c>
      <c r="V40" s="44">
        <f t="shared" si="8"/>
        <v>0</v>
      </c>
      <c r="W40" s="44">
        <f t="shared" si="9"/>
        <v>0</v>
      </c>
      <c r="X40" s="45">
        <f t="shared" si="10"/>
        <v>0</v>
      </c>
      <c r="Y40" s="44">
        <f t="shared" si="20"/>
        <v>0</v>
      </c>
      <c r="Z40" s="45">
        <f t="shared" si="11"/>
        <v>0</v>
      </c>
      <c r="AA40" s="12" t="str">
        <f>IF(D40="Sim","Não",IF(AND(WEEKDAY(C40)=1,Configurações!$C$12&gt;0),"Sim",IF(AND(WEEKDAY(C40)=2,Configurações!$C$6&gt;0),"Sim",IF(AND(WEEKDAY(C40)=3,Configurações!$C$7&gt;0),"Sim",IF(AND(WEEKDAY(C40)=4,Configurações!$C$8&gt;0),"Sim",IF(AND(WEEKDAY(C40)=5,Configurações!$C$9&gt;0),"Sim",IF(AND(WEEKDAY(C40)=6,Configurações!$C$10&gt;0),"Sim",IF(AND(WEEKDAY(C40)=7,Configurações!$C$11&gt;0),"Sim","Não"))))))))</f>
        <v>Não</v>
      </c>
      <c r="AB40" s="44">
        <f>IF(D40="Sim",0,IF(WEEKDAY(C40)=2,Configurações!$C$6-Configurações!$E$6,IF(WEEKDAY(C40)=3,Configurações!$C$7-Configurações!$E$7,IF(WEEKDAY(C40)=4,Configurações!$C$8-Configurações!$E$8,IF(WEEKDAY(C40)=5,Configurações!$C$9-Configurações!$E$9,IF(WEEKDAY(C40)=6,Configurações!$C$10-Configurações!$E$10,IF(WEEKDAY(C40)=7,Configurações!$C$11-Configurações!$E$11,IF(WEEKDAY(C40)=1,Configurações!$C$12-Configurações!$E$12,""))))))))</f>
        <v>0</v>
      </c>
      <c r="AC40" s="44">
        <f>IF(D40="Sim",0,IF(WEEKDAY(C40)=2,Configurações!$E$6,IF(WEEKDAY(C40)=3,Configurações!$E$7,IF(WEEKDAY(C40)=4,Configurações!$E$8,IF(WEEKDAY(C40)=5,Configurações!$E$9,IF(WEEKDAY(C40)=6,Configurações!$E$10,IF(WEEKDAY(C40)=7,Configurações!$E$11,IF(WEEKDAY(C40)=1,Configurações!$E$12,""))))))))</f>
        <v>0</v>
      </c>
      <c r="AD40" s="11" t="str">
        <f t="shared" si="12"/>
        <v/>
      </c>
      <c r="AE40" s="11" t="str">
        <f t="shared" si="13"/>
        <v/>
      </c>
      <c r="AF40" s="83">
        <f t="shared" si="14"/>
        <v>0</v>
      </c>
      <c r="AG40" s="84">
        <f t="shared" si="15"/>
        <v>0</v>
      </c>
      <c r="AH40" s="84">
        <f t="shared" si="16"/>
        <v>0</v>
      </c>
      <c r="AI40" s="84">
        <f t="shared" si="17"/>
        <v>0</v>
      </c>
      <c r="AJ40" s="84">
        <f t="shared" si="18"/>
        <v>0</v>
      </c>
    </row>
    <row r="41" spans="1:36" x14ac:dyDescent="0.25">
      <c r="A41" s="106"/>
      <c r="B41" s="37">
        <f t="shared" si="3"/>
        <v>41576</v>
      </c>
      <c r="C41" s="38">
        <f t="shared" si="0"/>
        <v>41576</v>
      </c>
      <c r="D41" s="39" t="str">
        <f>IF(B41="","",IF(VerificaSeFeriado(B41),"Sim",""))</f>
        <v/>
      </c>
      <c r="E41" s="5"/>
      <c r="F41" s="5"/>
      <c r="G41" s="5"/>
      <c r="H41" s="5"/>
      <c r="I41" s="5"/>
      <c r="J41" s="5"/>
      <c r="K41" s="5"/>
      <c r="L41" s="5"/>
      <c r="M41" s="41" t="str">
        <f t="shared" si="4"/>
        <v/>
      </c>
      <c r="N41" s="42" t="str">
        <f t="shared" si="5"/>
        <v/>
      </c>
      <c r="O41" s="43" t="str">
        <f t="shared" si="19"/>
        <v/>
      </c>
      <c r="P41" s="43" t="str">
        <f t="shared" ca="1" si="6"/>
        <v/>
      </c>
      <c r="Q41" s="6"/>
      <c r="R41" s="40">
        <f t="shared" si="7"/>
        <v>0</v>
      </c>
      <c r="S41" s="44" t="str">
        <f>IF(D41="Sim",0,IF((OR(WEEKDAY(C41)=2,WEEKDAY(C41)=3,WEEKDAY(C41)=4,WEEKDAY(C41)=5,WEEKDAY(C41)=6))=TRUE,M41,IF(AND(WEEKDAY(C41)=7,Configurações!$C$11&gt;0)=TRUE,M41,IF(AND(WEEKDAY(C41)=1,Configurações!$C$12&gt;0)=TRUE,M41,0))))</f>
        <v/>
      </c>
      <c r="T41" s="44">
        <f>IF(D41="Sim",0,IF(AND(WEEKDAY(C41)=7,Configurações!$C$11&lt;=0)=TRUE,R41,0))</f>
        <v>0</v>
      </c>
      <c r="U41" s="44">
        <f>IF(D41="Sim",0,IF(AND(WEEKDAY(C41)=1,Configurações!$C$12&lt;=0)=TRUE,R41,0))</f>
        <v>0</v>
      </c>
      <c r="V41" s="44">
        <f t="shared" si="8"/>
        <v>0</v>
      </c>
      <c r="W41" s="44">
        <f t="shared" si="9"/>
        <v>0</v>
      </c>
      <c r="X41" s="45">
        <f t="shared" si="10"/>
        <v>0</v>
      </c>
      <c r="Y41" s="44">
        <f t="shared" si="20"/>
        <v>0</v>
      </c>
      <c r="Z41" s="45">
        <f t="shared" si="11"/>
        <v>0</v>
      </c>
      <c r="AA41" s="12" t="str">
        <f>IF(D41="Sim","Não",IF(AND(WEEKDAY(C41)=1,Configurações!$C$12&gt;0),"Sim",IF(AND(WEEKDAY(C41)=2,Configurações!$C$6&gt;0),"Sim",IF(AND(WEEKDAY(C41)=3,Configurações!$C$7&gt;0),"Sim",IF(AND(WEEKDAY(C41)=4,Configurações!$C$8&gt;0),"Sim",IF(AND(WEEKDAY(C41)=5,Configurações!$C$9&gt;0),"Sim",IF(AND(WEEKDAY(C41)=6,Configurações!$C$10&gt;0),"Sim",IF(AND(WEEKDAY(C41)=7,Configurações!$C$11&gt;0),"Sim","Não"))))))))</f>
        <v>Não</v>
      </c>
      <c r="AB41" s="44">
        <f>IF(D41="Sim",0,IF(WEEKDAY(C41)=2,Configurações!$C$6-Configurações!$E$6,IF(WEEKDAY(C41)=3,Configurações!$C$7-Configurações!$E$7,IF(WEEKDAY(C41)=4,Configurações!$C$8-Configurações!$E$8,IF(WEEKDAY(C41)=5,Configurações!$C$9-Configurações!$E$9,IF(WEEKDAY(C41)=6,Configurações!$C$10-Configurações!$E$10,IF(WEEKDAY(C41)=7,Configurações!$C$11-Configurações!$E$11,IF(WEEKDAY(C41)=1,Configurações!$C$12-Configurações!$E$12,""))))))))</f>
        <v>0</v>
      </c>
      <c r="AC41" s="44">
        <f>IF(D41="Sim",0,IF(WEEKDAY(C41)=2,Configurações!$E$6,IF(WEEKDAY(C41)=3,Configurações!$E$7,IF(WEEKDAY(C41)=4,Configurações!$E$8,IF(WEEKDAY(C41)=5,Configurações!$E$9,IF(WEEKDAY(C41)=6,Configurações!$E$10,IF(WEEKDAY(C41)=7,Configurações!$E$11,IF(WEEKDAY(C41)=1,Configurações!$E$12,""))))))))</f>
        <v>0</v>
      </c>
      <c r="AD41" s="11" t="str">
        <f t="shared" si="12"/>
        <v/>
      </c>
      <c r="AE41" s="11" t="str">
        <f t="shared" si="13"/>
        <v/>
      </c>
      <c r="AF41" s="83">
        <f t="shared" si="14"/>
        <v>0</v>
      </c>
      <c r="AG41" s="84">
        <f t="shared" si="15"/>
        <v>0</v>
      </c>
      <c r="AH41" s="84">
        <f t="shared" si="16"/>
        <v>0</v>
      </c>
      <c r="AI41" s="84">
        <f t="shared" si="17"/>
        <v>0</v>
      </c>
      <c r="AJ41" s="84">
        <f t="shared" si="18"/>
        <v>0</v>
      </c>
    </row>
    <row r="42" spans="1:36" x14ac:dyDescent="0.25">
      <c r="A42" s="106"/>
      <c r="B42" s="37">
        <f t="shared" si="3"/>
        <v>41577</v>
      </c>
      <c r="C42" s="38">
        <f t="shared" si="0"/>
        <v>41577</v>
      </c>
      <c r="D42" s="39" t="str">
        <f>IF(B42="","",IF(VerificaSeFeriado(B42),"Sim",""))</f>
        <v/>
      </c>
      <c r="E42" s="5"/>
      <c r="F42" s="5"/>
      <c r="G42" s="5"/>
      <c r="H42" s="5"/>
      <c r="I42" s="5"/>
      <c r="J42" s="5"/>
      <c r="K42" s="5"/>
      <c r="L42" s="5"/>
      <c r="M42" s="41" t="str">
        <f t="shared" si="4"/>
        <v/>
      </c>
      <c r="N42" s="42" t="str">
        <f t="shared" si="5"/>
        <v/>
      </c>
      <c r="O42" s="43" t="str">
        <f t="shared" si="19"/>
        <v/>
      </c>
      <c r="P42" s="43" t="str">
        <f t="shared" ca="1" si="6"/>
        <v/>
      </c>
      <c r="Q42" s="6"/>
      <c r="R42" s="40">
        <f t="shared" si="7"/>
        <v>0</v>
      </c>
      <c r="S42" s="44" t="str">
        <f>IF(D42="Sim",0,IF((OR(WEEKDAY(C42)=2,WEEKDAY(C42)=3,WEEKDAY(C42)=4,WEEKDAY(C42)=5,WEEKDAY(C42)=6))=TRUE,M42,IF(AND(WEEKDAY(C42)=7,Configurações!$C$11&gt;0)=TRUE,M42,IF(AND(WEEKDAY(C42)=1,Configurações!$C$12&gt;0)=TRUE,M42,0))))</f>
        <v/>
      </c>
      <c r="T42" s="44">
        <f>IF(D42="Sim",0,IF(AND(WEEKDAY(C42)=7,Configurações!$C$11&lt;=0)=TRUE,R42,0))</f>
        <v>0</v>
      </c>
      <c r="U42" s="44">
        <f>IF(D42="Sim",0,IF(AND(WEEKDAY(C42)=1,Configurações!$C$12&lt;=0)=TRUE,R42,0))</f>
        <v>0</v>
      </c>
      <c r="V42" s="44">
        <f t="shared" si="8"/>
        <v>0</v>
      </c>
      <c r="W42" s="44">
        <f t="shared" si="9"/>
        <v>0</v>
      </c>
      <c r="X42" s="45">
        <f t="shared" si="10"/>
        <v>0</v>
      </c>
      <c r="Y42" s="44">
        <f t="shared" si="20"/>
        <v>0</v>
      </c>
      <c r="Z42" s="45">
        <f t="shared" si="11"/>
        <v>0</v>
      </c>
      <c r="AA42" s="12" t="str">
        <f>IF(D42="Sim","Não",IF(AND(WEEKDAY(C42)=1,Configurações!$C$12&gt;0),"Sim",IF(AND(WEEKDAY(C42)=2,Configurações!$C$6&gt;0),"Sim",IF(AND(WEEKDAY(C42)=3,Configurações!$C$7&gt;0),"Sim",IF(AND(WEEKDAY(C42)=4,Configurações!$C$8&gt;0),"Sim",IF(AND(WEEKDAY(C42)=5,Configurações!$C$9&gt;0),"Sim",IF(AND(WEEKDAY(C42)=6,Configurações!$C$10&gt;0),"Sim",IF(AND(WEEKDAY(C42)=7,Configurações!$C$11&gt;0),"Sim","Não"))))))))</f>
        <v>Não</v>
      </c>
      <c r="AB42" s="44">
        <f>IF(D42="Sim",0,IF(WEEKDAY(C42)=2,Configurações!$C$6-Configurações!$E$6,IF(WEEKDAY(C42)=3,Configurações!$C$7-Configurações!$E$7,IF(WEEKDAY(C42)=4,Configurações!$C$8-Configurações!$E$8,IF(WEEKDAY(C42)=5,Configurações!$C$9-Configurações!$E$9,IF(WEEKDAY(C42)=6,Configurações!$C$10-Configurações!$E$10,IF(WEEKDAY(C42)=7,Configurações!$C$11-Configurações!$E$11,IF(WEEKDAY(C42)=1,Configurações!$C$12-Configurações!$E$12,""))))))))</f>
        <v>0</v>
      </c>
      <c r="AC42" s="44">
        <f>IF(D42="Sim",0,IF(WEEKDAY(C42)=2,Configurações!$E$6,IF(WEEKDAY(C42)=3,Configurações!$E$7,IF(WEEKDAY(C42)=4,Configurações!$E$8,IF(WEEKDAY(C42)=5,Configurações!$E$9,IF(WEEKDAY(C42)=6,Configurações!$E$10,IF(WEEKDAY(C42)=7,Configurações!$E$11,IF(WEEKDAY(C42)=1,Configurações!$E$12,""))))))))</f>
        <v>0</v>
      </c>
      <c r="AD42" s="11" t="str">
        <f t="shared" si="12"/>
        <v/>
      </c>
      <c r="AE42" s="11" t="str">
        <f t="shared" si="13"/>
        <v/>
      </c>
      <c r="AF42" s="83">
        <f t="shared" si="14"/>
        <v>0</v>
      </c>
      <c r="AG42" s="84">
        <f t="shared" si="15"/>
        <v>0</v>
      </c>
      <c r="AH42" s="84">
        <f t="shared" si="16"/>
        <v>0</v>
      </c>
      <c r="AI42" s="84">
        <f t="shared" si="17"/>
        <v>0</v>
      </c>
      <c r="AJ42" s="84">
        <f t="shared" si="18"/>
        <v>0</v>
      </c>
    </row>
    <row r="43" spans="1:36" x14ac:dyDescent="0.25">
      <c r="B43" s="46"/>
    </row>
    <row r="45" spans="1:36" x14ac:dyDescent="0.25">
      <c r="C45" s="32"/>
      <c r="D45" s="32"/>
    </row>
    <row r="46" spans="1:36" x14ac:dyDescent="0.25">
      <c r="C46" s="32"/>
      <c r="D46" s="32"/>
    </row>
    <row r="47" spans="1:36" x14ac:dyDescent="0.25">
      <c r="C47" s="32"/>
      <c r="D47" s="32"/>
    </row>
    <row r="48" spans="1:36" x14ac:dyDescent="0.25">
      <c r="C48" s="32"/>
      <c r="D48" s="32"/>
    </row>
    <row r="49" spans="3:4" x14ac:dyDescent="0.25">
      <c r="C49" s="32"/>
      <c r="D49" s="32"/>
    </row>
    <row r="50" spans="3:4" x14ac:dyDescent="0.25">
      <c r="C50" s="32"/>
      <c r="D50" s="32"/>
    </row>
  </sheetData>
  <sheetProtection algorithmName="SHA-512" hashValue="RXJdNLOzs2L1PiTA6BlCgKQeIaaR34vHl19arJKxM82hS0jBhnKCKmIeGODxbtHdIujqbGqecixuW+hfoEHwLQ==" saltValue="XRC2IN4wjr6QlXbrsKHx1Q==" spinCount="100000" sheet="1" objects="1" scenarios="1" selectLockedCells="1"/>
  <mergeCells count="18">
    <mergeCell ref="L4:M4"/>
    <mergeCell ref="O4:Q4"/>
    <mergeCell ref="E5:F5"/>
    <mergeCell ref="O5:P5"/>
    <mergeCell ref="E6:F6"/>
    <mergeCell ref="A11:A42"/>
    <mergeCell ref="F11:G11"/>
    <mergeCell ref="J11:K11"/>
    <mergeCell ref="A2:D2"/>
    <mergeCell ref="A3:D7"/>
    <mergeCell ref="E4:G4"/>
    <mergeCell ref="I4:J4"/>
    <mergeCell ref="E7:F7"/>
    <mergeCell ref="O7:P7"/>
    <mergeCell ref="E8:F8"/>
    <mergeCell ref="L8:M8"/>
    <mergeCell ref="E9:F9"/>
    <mergeCell ref="L9:M9"/>
  </mergeCells>
  <conditionalFormatting sqref="G5">
    <cfRule type="expression" dxfId="89" priority="28">
      <formula>$G$5&lt;=0</formula>
    </cfRule>
    <cfRule type="expression" dxfId="88" priority="29">
      <formula>$G$5&gt;0</formula>
    </cfRule>
  </conditionalFormatting>
  <conditionalFormatting sqref="G6">
    <cfRule type="expression" dxfId="87" priority="26">
      <formula>$G$6&gt;=0</formula>
    </cfRule>
    <cfRule type="expression" dxfId="86" priority="27">
      <formula>$G$6&lt;0</formula>
    </cfRule>
  </conditionalFormatting>
  <conditionalFormatting sqref="P9">
    <cfRule type="expression" dxfId="85" priority="23">
      <formula>$P$9&lt;0</formula>
    </cfRule>
    <cfRule type="expression" dxfId="84" priority="24">
      <formula>$P$9=0</formula>
    </cfRule>
    <cfRule type="expression" dxfId="83" priority="25">
      <formula>$P$9&gt;0</formula>
    </cfRule>
  </conditionalFormatting>
  <conditionalFormatting sqref="P8">
    <cfRule type="expression" dxfId="82" priority="20">
      <formula>$P$8&lt;0</formula>
    </cfRule>
    <cfRule type="expression" dxfId="81" priority="21">
      <formula>$P$8=0</formula>
    </cfRule>
    <cfRule type="expression" dxfId="80" priority="22">
      <formula>$P$8&gt;0</formula>
    </cfRule>
  </conditionalFormatting>
  <conditionalFormatting sqref="G9">
    <cfRule type="expression" dxfId="79" priority="17">
      <formula>$G$9&lt;0</formula>
    </cfRule>
    <cfRule type="expression" priority="18">
      <formula>$G$9=0</formula>
    </cfRule>
    <cfRule type="expression" dxfId="78" priority="19">
      <formula>$G$9&gt;0</formula>
    </cfRule>
  </conditionalFormatting>
  <conditionalFormatting sqref="P12:P42">
    <cfRule type="expression" dxfId="77" priority="16">
      <formula>$P12=0</formula>
    </cfRule>
  </conditionalFormatting>
  <conditionalFormatting sqref="G5:G9">
    <cfRule type="expression" dxfId="76" priority="13">
      <formula>$G5=0</formula>
    </cfRule>
    <cfRule type="expression" dxfId="75" priority="14">
      <formula>$G5&lt;0</formula>
    </cfRule>
    <cfRule type="expression" dxfId="74" priority="15">
      <formula>$G5&gt;0</formula>
    </cfRule>
  </conditionalFormatting>
  <conditionalFormatting sqref="B12:R42">
    <cfRule type="expression" dxfId="73" priority="7">
      <formula>$B12=""</formula>
    </cfRule>
    <cfRule type="expression" dxfId="72" priority="8">
      <formula>$D12="Sim"</formula>
    </cfRule>
    <cfRule type="expression" dxfId="71" priority="11">
      <formula>MOD(ROW(),2)=0</formula>
    </cfRule>
    <cfRule type="expression" dxfId="70" priority="12">
      <formula>MOD(ROW(),2)=1</formula>
    </cfRule>
  </conditionalFormatting>
  <conditionalFormatting sqref="M12:N42">
    <cfRule type="expression" dxfId="69" priority="5">
      <formula>$M12=0</formula>
    </cfRule>
  </conditionalFormatting>
  <conditionalFormatting sqref="L9:N9">
    <cfRule type="expression" dxfId="68" priority="2">
      <formula>$L$9&gt;0</formula>
    </cfRule>
    <cfRule type="expression" dxfId="67" priority="3">
      <formula>$L$9=0</formula>
    </cfRule>
    <cfRule type="expression" dxfId="66" priority="4">
      <formula>$L$9&lt;0</formula>
    </cfRule>
  </conditionalFormatting>
  <conditionalFormatting sqref="N5 M6">
    <cfRule type="expression" dxfId="65" priority="30">
      <formula>$M$6&lt;0</formula>
    </cfRule>
  </conditionalFormatting>
  <conditionalFormatting sqref="N4 M5">
    <cfRule type="expression" dxfId="64" priority="31">
      <formula>$M$5&gt;0</formula>
    </cfRule>
  </conditionalFormatting>
  <conditionalFormatting sqref="J5:J9">
    <cfRule type="expression" dxfId="63" priority="1">
      <formula>$J5&gt;0</formula>
    </cfRule>
  </conditionalFormatting>
  <dataValidations count="2"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42">
      <formula1>AB12</formula1>
    </dataValidation>
    <dataValidation operator="greaterThanOrEqual" allowBlank="1" showInputMessage="1" showErrorMessage="1" sqref="E12:P42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3247BAE-613C-487B-8877-D1F5CE124D38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0" id="{8BD5125D-E994-4EC2-B283-C4A9463AC24C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B12:R42</xm:sqref>
        </x14:conditionalFormatting>
        <x14:conditionalFormatting xmlns:xm="http://schemas.microsoft.com/office/excel/2006/main">
          <x14:cfRule type="expression" priority="6" id="{106CD347-5E82-4F99-BAC8-EA575660F85F}">
            <xm:f>AND(Configurações!$C$11&gt;0,WEEKDAY($C12)=7,MOD(ROW(),2)=1)</xm:f>
            <x14:dxf>
              <fill>
                <patternFill>
                  <bgColor theme="4" tint="0.59996337778862885"/>
                </patternFill>
              </fill>
            </x14:dxf>
          </x14:cfRule>
          <xm:sqref>C14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2"/>
  <dimension ref="A2:AJ49"/>
  <sheetViews>
    <sheetView showGridLines="0" zoomScaleNormal="100" workbookViewId="0">
      <selection activeCell="P8" sqref="P8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16384" width="9.140625" style="10"/>
  </cols>
  <sheetData>
    <row r="2" spans="1:36" x14ac:dyDescent="0.25">
      <c r="A2" s="109" t="str">
        <f>IF(Configurações!C17 = 0,"",Configurações!C17)</f>
        <v/>
      </c>
      <c r="B2" s="109"/>
      <c r="C2" s="109"/>
      <c r="D2" s="109"/>
    </row>
    <row r="3" spans="1:36" ht="15.75" customHeight="1" thickBot="1" x14ac:dyDescent="0.3">
      <c r="A3" s="110" t="s">
        <v>90</v>
      </c>
      <c r="B3" s="110"/>
      <c r="C3" s="110"/>
      <c r="D3" s="110"/>
    </row>
    <row r="4" spans="1:36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36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SUM(M12:M41)</f>
        <v>0</v>
      </c>
      <c r="H5" s="13"/>
      <c r="I5" s="81" t="s">
        <v>31</v>
      </c>
      <c r="J5" s="16">
        <f>(SUM(S12:S41)*24)*Configurações!E15*(Configurações!I7+1)</f>
        <v>0</v>
      </c>
      <c r="K5" s="13"/>
      <c r="L5" s="81" t="s">
        <v>68</v>
      </c>
      <c r="M5" s="17">
        <f>SUM(J5:J9)</f>
        <v>0</v>
      </c>
      <c r="N5" s="14"/>
      <c r="O5" s="102" t="s">
        <v>44</v>
      </c>
      <c r="P5" s="103"/>
      <c r="Q5" s="18">
        <f>SUM(R12:R41)</f>
        <v>0</v>
      </c>
      <c r="W5" s="19"/>
    </row>
    <row r="6" spans="1:36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SUM(O12:O41)</f>
        <v>0</v>
      </c>
      <c r="H6" s="13"/>
      <c r="I6" s="81" t="s">
        <v>34</v>
      </c>
      <c r="J6" s="16">
        <f>(SUM(T12:T41)*24)*Configurações!E15*(Configurações!I10+1)</f>
        <v>0</v>
      </c>
      <c r="K6" s="13"/>
      <c r="L6" s="82" t="s">
        <v>69</v>
      </c>
      <c r="M6" s="21">
        <f ca="1">((G7*24)+(G6*24))*Configurações!E15</f>
        <v>0</v>
      </c>
      <c r="U6" s="19"/>
      <c r="W6" s="22"/>
    </row>
    <row r="7" spans="1:36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SUM(P12:P41)</f>
        <v>0</v>
      </c>
      <c r="H7" s="13"/>
      <c r="I7" s="81" t="s">
        <v>32</v>
      </c>
      <c r="J7" s="16">
        <f>(SUM(U12:U41)*24)*Configurações!E15*(Configurações!I9+1)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36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SUM(Q12:Q41)</f>
        <v>0</v>
      </c>
      <c r="H8" s="13"/>
      <c r="I8" s="81" t="s">
        <v>33</v>
      </c>
      <c r="J8" s="16">
        <f>(SUM(V12:V41)*24)*Configurações!E15*(Configurações!I8+1)</f>
        <v>0</v>
      </c>
      <c r="K8" s="13"/>
      <c r="L8" s="116" t="s">
        <v>63</v>
      </c>
      <c r="M8" s="117"/>
      <c r="N8" s="25"/>
      <c r="O8" s="81" t="s">
        <v>26</v>
      </c>
      <c r="P8" s="7">
        <v>0</v>
      </c>
    </row>
    <row r="9" spans="1:36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0</v>
      </c>
      <c r="H9" s="13"/>
      <c r="I9" s="82" t="s">
        <v>30</v>
      </c>
      <c r="J9" s="27">
        <f>((((SUM(N12:N41)*24)*Configurações!E15*(Configurações!I6+1)))-(SUM(N12:N41)*24)*Configurações!E15)</f>
        <v>0</v>
      </c>
      <c r="K9" s="13"/>
      <c r="L9" s="120">
        <f ca="1">SUM(M5:M6)</f>
        <v>0</v>
      </c>
      <c r="M9" s="121"/>
      <c r="N9" s="28"/>
      <c r="O9" s="82" t="s">
        <v>25</v>
      </c>
      <c r="P9" s="26">
        <f ca="1">SUM(P8,G9)</f>
        <v>0</v>
      </c>
    </row>
    <row r="10" spans="1:36" x14ac:dyDescent="0.25">
      <c r="B10" s="29">
        <v>41578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36" x14ac:dyDescent="0.25">
      <c r="A11" s="106" t="s">
        <v>83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36" x14ac:dyDescent="0.25">
      <c r="A12" s="106"/>
      <c r="B12" s="37">
        <f>IF(MONTH($B$10+ROW()-ROW($B$10)-2) = MONTH($B$10),$B$10+ROW()-ROW($B$10)-2,"")</f>
        <v>41578</v>
      </c>
      <c r="C12" s="38">
        <f t="shared" ref="C12:C41" si="0">B12</f>
        <v>41578</v>
      </c>
      <c r="D12" s="39" t="str">
        <f>IF(B12="","",IF(VerificaSeFeriado(B12),"Sim",""))</f>
        <v/>
      </c>
      <c r="E12" s="5"/>
      <c r="F12" s="5"/>
      <c r="G12" s="5"/>
      <c r="H12" s="5"/>
      <c r="I12" s="5"/>
      <c r="J12" s="5"/>
      <c r="K12" s="5"/>
      <c r="L12" s="5"/>
      <c r="M12" s="41" t="str">
        <f>IFERROR(IF((R12-AB12)&gt;(1*"00:00:01"),(R12-AB12),""),"")</f>
        <v/>
      </c>
      <c r="N12" s="42" t="str">
        <f>IF(SUM(W12:X12)*(1/52.5*60)&gt;0,SUM(W12:X12)*(1/52.5*60),"")</f>
        <v/>
      </c>
      <c r="O12" s="43" t="str">
        <f t="shared" ref="O12:O15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6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</v>
      </c>
      <c r="S12" s="44" t="str">
        <f>IF(D12="Sim",0,IF((OR(WEEKDAY(C12)=2,WEEKDAY(C12)=3,WEEKDAY(C12)=4,WEEKDAY(C12)=5,WEEKDAY(C12)=6))=TRUE,M12,IF(AND(WEEKDAY(C12)=7,Configurações!$C$11&gt;0)=TRUE,M12,IF(AND(WEEKDAY(C12)=1,Configurações!$C$12&gt;0)=TRUE,M12,0))))</f>
        <v/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:Y25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</row>
    <row r="13" spans="1:36" x14ac:dyDescent="0.25">
      <c r="A13" s="106"/>
      <c r="B13" s="37">
        <f t="shared" ref="B13:B41" si="3">IF(MONTH($B$10+ROW()-ROW($B$10)-2) = MONTH($B$10),$B$10+ROW()-ROW($B$10)-2,"")</f>
        <v>41579</v>
      </c>
      <c r="C13" s="38">
        <f t="shared" si="0"/>
        <v>41579</v>
      </c>
      <c r="D13" s="39" t="str">
        <f>IF(B13="","",IF(VerificaSeFeriado(B13),"Sim",""))</f>
        <v>Sim</v>
      </c>
      <c r="E13" s="5"/>
      <c r="F13" s="5"/>
      <c r="G13" s="5"/>
      <c r="H13" s="5"/>
      <c r="I13" s="5"/>
      <c r="J13" s="5"/>
      <c r="K13" s="5"/>
      <c r="L13" s="5"/>
      <c r="M13" s="41" t="str">
        <f t="shared" ref="M13:M41" si="4">IFERROR(IF((R13-AB13)&gt;(1*"00:00:01"),(R13-AB13),""),"")</f>
        <v/>
      </c>
      <c r="N13" s="42" t="str">
        <f t="shared" ref="N13:N41" si="5">IF(SUM(W13:X13)*(1/52.5*60)&gt;0,SUM(W13:X13)*(1/52.5*60),"")</f>
        <v/>
      </c>
      <c r="O13" s="43" t="str">
        <f t="shared" si="1"/>
        <v/>
      </c>
      <c r="P13" s="43" t="str">
        <f t="shared" ref="P13:P41" ca="1" si="6">IF(TODAY()&lt;=B13,"",IF(D13="Sim","",IF(AND(AA13="Sim",E13="",G13="",I13="",K13="")=TRUE,IF(Q13-AB13&lt;0,Q13-AB13,""),"")))</f>
        <v/>
      </c>
      <c r="Q13" s="6"/>
      <c r="R13" s="40">
        <f t="shared" ref="R13:R41" si="7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>
        <f>IF(D13="Sim",0,IF((OR(WEEKDAY(C13)=2,WEEKDAY(C13)=3,WEEKDAY(C13)=4,WEEKDAY(C13)=5,WEEKDAY(C13)=6))=TRUE,M13,IF(AND(WEEKDAY(C13)=7,Configurações!$C$11&gt;0)=TRUE,M13,IF(AND(WEEKDAY(C13)=1,Configurações!$C$12&gt;0)=TRUE,M13,0))))</f>
        <v>0</v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41" si="8">IF(D13="Sim",R13,0)</f>
        <v>0</v>
      </c>
      <c r="W13" s="44">
        <f t="shared" ref="W13:W41" si="9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41" si="10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si="2"/>
        <v>0</v>
      </c>
      <c r="Z13" s="45">
        <f t="shared" ref="Z13:Z41" si="11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41" si="12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41" si="13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41" si="14">IF(SUM(AG13:AH13)*(1/52.5*60)&gt;0,(SUM(AG13:AH13)*(1/52.5*60))-(SUM(AG13:AH13)),0)</f>
        <v>0</v>
      </c>
      <c r="AG13" s="84">
        <f t="shared" ref="AG13:AG41" si="15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41" si="16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41" si="17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41" si="18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36" x14ac:dyDescent="0.25">
      <c r="A14" s="106"/>
      <c r="B14" s="37">
        <f t="shared" si="3"/>
        <v>41580</v>
      </c>
      <c r="C14" s="38">
        <f t="shared" si="0"/>
        <v>41580</v>
      </c>
      <c r="D14" s="39" t="str">
        <f>IF(B14="","",IF(VerificaSeFeriado(B14),"Sim",""))</f>
        <v/>
      </c>
      <c r="E14" s="5"/>
      <c r="F14" s="5"/>
      <c r="G14" s="5"/>
      <c r="H14" s="5"/>
      <c r="I14" s="5"/>
      <c r="J14" s="5"/>
      <c r="K14" s="5"/>
      <c r="L14" s="5"/>
      <c r="M14" s="41" t="str">
        <f t="shared" si="4"/>
        <v/>
      </c>
      <c r="N14" s="42" t="str">
        <f t="shared" si="5"/>
        <v/>
      </c>
      <c r="O14" s="43" t="str">
        <f t="shared" si="1"/>
        <v/>
      </c>
      <c r="P14" s="43" t="str">
        <f t="shared" ca="1" si="6"/>
        <v/>
      </c>
      <c r="Q14" s="6"/>
      <c r="R14" s="40">
        <f t="shared" si="7"/>
        <v>0</v>
      </c>
      <c r="S14" s="44" t="str">
        <f>IF(D14="Sim",0,IF((OR(WEEKDAY(C14)=2,WEEKDAY(C14)=3,WEEKDAY(C14)=4,WEEKDAY(C14)=5,WEEKDAY(C14)=6))=TRUE,M14,IF(AND(WEEKDAY(C14)=7,Configurações!$C$11&gt;0)=TRUE,M14,IF(AND(WEEKDAY(C14)=1,Configurações!$C$12&gt;0)=TRUE,M14,0))))</f>
        <v/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8"/>
        <v>0</v>
      </c>
      <c r="W14" s="44">
        <f t="shared" si="9"/>
        <v>0</v>
      </c>
      <c r="X14" s="45">
        <f t="shared" si="10"/>
        <v>0</v>
      </c>
      <c r="Y14" s="44">
        <f t="shared" si="2"/>
        <v>0</v>
      </c>
      <c r="Z14" s="45">
        <f t="shared" si="11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2"/>
        <v/>
      </c>
      <c r="AE14" s="11" t="str">
        <f t="shared" si="13"/>
        <v/>
      </c>
      <c r="AF14" s="83">
        <f t="shared" si="14"/>
        <v>0</v>
      </c>
      <c r="AG14" s="84">
        <f t="shared" si="15"/>
        <v>0</v>
      </c>
      <c r="AH14" s="84">
        <f t="shared" si="16"/>
        <v>0</v>
      </c>
      <c r="AI14" s="84">
        <f t="shared" si="17"/>
        <v>0</v>
      </c>
      <c r="AJ14" s="84">
        <f t="shared" si="18"/>
        <v>0</v>
      </c>
    </row>
    <row r="15" spans="1:36" x14ac:dyDescent="0.25">
      <c r="A15" s="106"/>
      <c r="B15" s="37">
        <f t="shared" si="3"/>
        <v>41581</v>
      </c>
      <c r="C15" s="38">
        <f t="shared" si="0"/>
        <v>41581</v>
      </c>
      <c r="D15" s="39" t="str">
        <f>IF(B15="","",IF(VerificaSeFeriado(B15),"Sim",""))</f>
        <v/>
      </c>
      <c r="E15" s="5"/>
      <c r="F15" s="5"/>
      <c r="G15" s="5"/>
      <c r="H15" s="5"/>
      <c r="I15" s="5"/>
      <c r="J15" s="5"/>
      <c r="K15" s="5"/>
      <c r="L15" s="5"/>
      <c r="M15" s="41" t="str">
        <f t="shared" si="4"/>
        <v/>
      </c>
      <c r="N15" s="42" t="str">
        <f t="shared" si="5"/>
        <v/>
      </c>
      <c r="O15" s="43" t="str">
        <f t="shared" si="1"/>
        <v/>
      </c>
      <c r="P15" s="43" t="str">
        <f t="shared" ca="1" si="6"/>
        <v/>
      </c>
      <c r="Q15" s="6"/>
      <c r="R15" s="40">
        <f t="shared" si="7"/>
        <v>0</v>
      </c>
      <c r="S15" s="44">
        <f>IF(D15="Sim",0,IF((OR(WEEKDAY(C15)=2,WEEKDAY(C15)=3,WEEKDAY(C15)=4,WEEKDAY(C15)=5,WEEKDAY(C15)=6))=TRUE,M15,IF(AND(WEEKDAY(C15)=7,Configurações!$C$11&gt;0)=TRUE,M15,IF(AND(WEEKDAY(C15)=1,Configurações!$C$12&gt;0)=TRUE,M15,0))))</f>
        <v>0</v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8"/>
        <v>0</v>
      </c>
      <c r="W15" s="44">
        <f t="shared" si="9"/>
        <v>0</v>
      </c>
      <c r="X15" s="45">
        <f t="shared" si="10"/>
        <v>0</v>
      </c>
      <c r="Y15" s="44">
        <f t="shared" si="2"/>
        <v>0</v>
      </c>
      <c r="Z15" s="45">
        <f t="shared" si="11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2"/>
        <v/>
      </c>
      <c r="AE15" s="11" t="str">
        <f t="shared" si="13"/>
        <v/>
      </c>
      <c r="AF15" s="83">
        <f t="shared" si="14"/>
        <v>0</v>
      </c>
      <c r="AG15" s="84">
        <f t="shared" si="15"/>
        <v>0</v>
      </c>
      <c r="AH15" s="84">
        <f t="shared" si="16"/>
        <v>0</v>
      </c>
      <c r="AI15" s="84">
        <f t="shared" si="17"/>
        <v>0</v>
      </c>
      <c r="AJ15" s="84">
        <f t="shared" si="18"/>
        <v>0</v>
      </c>
    </row>
    <row r="16" spans="1:36" x14ac:dyDescent="0.25">
      <c r="A16" s="106"/>
      <c r="B16" s="37">
        <f t="shared" si="3"/>
        <v>41582</v>
      </c>
      <c r="C16" s="38">
        <f t="shared" si="0"/>
        <v>41582</v>
      </c>
      <c r="D16" s="39" t="str">
        <f>IF(B16="","",IF(VerificaSeFeriado(B16),"Sim",""))</f>
        <v/>
      </c>
      <c r="E16" s="5"/>
      <c r="F16" s="5"/>
      <c r="G16" s="5"/>
      <c r="H16" s="5"/>
      <c r="I16" s="5"/>
      <c r="J16" s="5"/>
      <c r="K16" s="5"/>
      <c r="L16" s="5"/>
      <c r="M16" s="41" t="str">
        <f t="shared" si="4"/>
        <v/>
      </c>
      <c r="N16" s="42" t="str">
        <f t="shared" si="5"/>
        <v/>
      </c>
      <c r="O16" s="43" t="str">
        <f>IF(OR(D16="Sim",E16="")=TRUE,"",IF((R16-AB16)&gt;=(-"00:00:01"),"",(R16-AB16)))</f>
        <v/>
      </c>
      <c r="P16" s="43" t="str">
        <f t="shared" ca="1" si="6"/>
        <v/>
      </c>
      <c r="Q16" s="6"/>
      <c r="R16" s="40">
        <f t="shared" si="7"/>
        <v>0</v>
      </c>
      <c r="S16" s="44">
        <f>IF(D16="Sim",0,IF((OR(WEEKDAY(C16)=2,WEEKDAY(C16)=3,WEEKDAY(C16)=4,WEEKDAY(C16)=5,WEEKDAY(C16)=6))=TRUE,M16,IF(AND(WEEKDAY(C16)=7,Configurações!$C$11&gt;0)=TRUE,M16,IF(AND(WEEKDAY(C16)=1,Configurações!$C$12&gt;0)=TRUE,M16,0))))</f>
        <v>0</v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8"/>
        <v>0</v>
      </c>
      <c r="W16" s="44">
        <f t="shared" si="9"/>
        <v>0</v>
      </c>
      <c r="X16" s="45">
        <f t="shared" si="10"/>
        <v>0</v>
      </c>
      <c r="Y16" s="44">
        <f t="shared" si="2"/>
        <v>0</v>
      </c>
      <c r="Z16" s="45">
        <f t="shared" si="11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2"/>
        <v/>
      </c>
      <c r="AE16" s="11" t="str">
        <f t="shared" si="13"/>
        <v/>
      </c>
      <c r="AF16" s="83">
        <f t="shared" si="14"/>
        <v>0</v>
      </c>
      <c r="AG16" s="84">
        <f t="shared" si="15"/>
        <v>0</v>
      </c>
      <c r="AH16" s="84">
        <f t="shared" si="16"/>
        <v>0</v>
      </c>
      <c r="AI16" s="84">
        <f t="shared" si="17"/>
        <v>0</v>
      </c>
      <c r="AJ16" s="84">
        <f t="shared" si="18"/>
        <v>0</v>
      </c>
    </row>
    <row r="17" spans="1:36" x14ac:dyDescent="0.25">
      <c r="A17" s="106"/>
      <c r="B17" s="37">
        <f t="shared" si="3"/>
        <v>41583</v>
      </c>
      <c r="C17" s="38">
        <f t="shared" si="0"/>
        <v>41583</v>
      </c>
      <c r="D17" s="39" t="str">
        <f>IF(B17="","",IF(VerificaSeFeriado(B17),"Sim",""))</f>
        <v/>
      </c>
      <c r="E17" s="5"/>
      <c r="F17" s="5"/>
      <c r="G17" s="5"/>
      <c r="H17" s="5"/>
      <c r="I17" s="5"/>
      <c r="J17" s="5"/>
      <c r="K17" s="5"/>
      <c r="L17" s="5"/>
      <c r="M17" s="41" t="str">
        <f t="shared" si="4"/>
        <v/>
      </c>
      <c r="N17" s="42" t="str">
        <f t="shared" si="5"/>
        <v/>
      </c>
      <c r="O17" s="43" t="str">
        <f>IF(OR(D17="Sim",E17="")=TRUE,"",IF((R17-AB17)&gt;=(-"00:00:01"),"",(R17-AB17)))</f>
        <v/>
      </c>
      <c r="P17" s="43" t="str">
        <f t="shared" ca="1" si="6"/>
        <v/>
      </c>
      <c r="Q17" s="6"/>
      <c r="R17" s="40">
        <f t="shared" si="7"/>
        <v>0</v>
      </c>
      <c r="S17" s="44" t="str">
        <f>IF(D17="Sim",0,IF((OR(WEEKDAY(C17)=2,WEEKDAY(C17)=3,WEEKDAY(C17)=4,WEEKDAY(C17)=5,WEEKDAY(C17)=6))=TRUE,M17,IF(AND(WEEKDAY(C17)=7,Configurações!$C$11&gt;0)=TRUE,M17,IF(AND(WEEKDAY(C17)=1,Configurações!$C$12&gt;0)=TRUE,M17,0))))</f>
        <v/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8"/>
        <v>0</v>
      </c>
      <c r="W17" s="44">
        <f t="shared" si="9"/>
        <v>0</v>
      </c>
      <c r="X17" s="45">
        <f t="shared" si="10"/>
        <v>0</v>
      </c>
      <c r="Y17" s="44">
        <f t="shared" si="2"/>
        <v>0</v>
      </c>
      <c r="Z17" s="45">
        <f t="shared" si="11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2"/>
        <v/>
      </c>
      <c r="AE17" s="11" t="str">
        <f t="shared" si="13"/>
        <v/>
      </c>
      <c r="AF17" s="83">
        <f t="shared" si="14"/>
        <v>0</v>
      </c>
      <c r="AG17" s="84">
        <f t="shared" si="15"/>
        <v>0</v>
      </c>
      <c r="AH17" s="84">
        <f t="shared" si="16"/>
        <v>0</v>
      </c>
      <c r="AI17" s="84">
        <f t="shared" si="17"/>
        <v>0</v>
      </c>
      <c r="AJ17" s="84">
        <f t="shared" si="18"/>
        <v>0</v>
      </c>
    </row>
    <row r="18" spans="1:36" x14ac:dyDescent="0.25">
      <c r="A18" s="106"/>
      <c r="B18" s="37">
        <f t="shared" si="3"/>
        <v>41584</v>
      </c>
      <c r="C18" s="38">
        <f t="shared" si="0"/>
        <v>41584</v>
      </c>
      <c r="D18" s="39" t="str">
        <f>IF(B18="","",IF(VerificaSeFeriado(B18),"Sim",""))</f>
        <v/>
      </c>
      <c r="E18" s="5"/>
      <c r="F18" s="5"/>
      <c r="G18" s="5"/>
      <c r="H18" s="5"/>
      <c r="I18" s="5"/>
      <c r="J18" s="5"/>
      <c r="K18" s="5"/>
      <c r="L18" s="5"/>
      <c r="M18" s="41" t="str">
        <f t="shared" si="4"/>
        <v/>
      </c>
      <c r="N18" s="42" t="str">
        <f t="shared" si="5"/>
        <v/>
      </c>
      <c r="O18" s="43" t="str">
        <f t="shared" ref="O18:O41" si="19">IF(OR(D18="Sim",E18="")=TRUE,"",IF((R18-AB18)&gt;=(-"00:00:01"),"",(R18-AB18)))</f>
        <v/>
      </c>
      <c r="P18" s="43" t="str">
        <f t="shared" ca="1" si="6"/>
        <v/>
      </c>
      <c r="Q18" s="6"/>
      <c r="R18" s="40">
        <f t="shared" si="7"/>
        <v>0</v>
      </c>
      <c r="S18" s="44" t="str">
        <f>IF(D18="Sim",0,IF((OR(WEEKDAY(C18)=2,WEEKDAY(C18)=3,WEEKDAY(C18)=4,WEEKDAY(C18)=5,WEEKDAY(C18)=6))=TRUE,M18,IF(AND(WEEKDAY(C18)=7,Configurações!$C$11&gt;0)=TRUE,M18,IF(AND(WEEKDAY(C18)=1,Configurações!$C$12&gt;0)=TRUE,M18,0))))</f>
        <v/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8"/>
        <v>0</v>
      </c>
      <c r="W18" s="44">
        <f t="shared" si="9"/>
        <v>0</v>
      </c>
      <c r="X18" s="45">
        <f t="shared" si="10"/>
        <v>0</v>
      </c>
      <c r="Y18" s="44">
        <f t="shared" si="2"/>
        <v>0</v>
      </c>
      <c r="Z18" s="45">
        <f t="shared" si="11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2"/>
        <v/>
      </c>
      <c r="AE18" s="11" t="str">
        <f t="shared" si="13"/>
        <v/>
      </c>
      <c r="AF18" s="83">
        <f t="shared" si="14"/>
        <v>0</v>
      </c>
      <c r="AG18" s="84">
        <f t="shared" si="15"/>
        <v>0</v>
      </c>
      <c r="AH18" s="84">
        <f t="shared" si="16"/>
        <v>0</v>
      </c>
      <c r="AI18" s="84">
        <f t="shared" si="17"/>
        <v>0</v>
      </c>
      <c r="AJ18" s="84">
        <f t="shared" si="18"/>
        <v>0</v>
      </c>
    </row>
    <row r="19" spans="1:36" x14ac:dyDescent="0.25">
      <c r="A19" s="106"/>
      <c r="B19" s="37">
        <f t="shared" si="3"/>
        <v>41585</v>
      </c>
      <c r="C19" s="38">
        <f t="shared" si="0"/>
        <v>41585</v>
      </c>
      <c r="D19" s="39" t="str">
        <f>IF(B19="","",IF(VerificaSeFeriado(B19),"Sim",""))</f>
        <v/>
      </c>
      <c r="E19" s="5"/>
      <c r="F19" s="5"/>
      <c r="G19" s="5"/>
      <c r="H19" s="5"/>
      <c r="I19" s="5"/>
      <c r="J19" s="5"/>
      <c r="K19" s="5"/>
      <c r="L19" s="5"/>
      <c r="M19" s="41" t="str">
        <f t="shared" si="4"/>
        <v/>
      </c>
      <c r="N19" s="42" t="str">
        <f t="shared" si="5"/>
        <v/>
      </c>
      <c r="O19" s="43" t="str">
        <f t="shared" si="19"/>
        <v/>
      </c>
      <c r="P19" s="43" t="str">
        <f t="shared" ca="1" si="6"/>
        <v/>
      </c>
      <c r="Q19" s="6"/>
      <c r="R19" s="40">
        <f t="shared" si="7"/>
        <v>0</v>
      </c>
      <c r="S19" s="44" t="str">
        <f>IF(D19="Sim",0,IF((OR(WEEKDAY(C19)=2,WEEKDAY(C19)=3,WEEKDAY(C19)=4,WEEKDAY(C19)=5,WEEKDAY(C19)=6))=TRUE,M19,IF(AND(WEEKDAY(C19)=7,Configurações!$C$11&gt;0)=TRUE,M19,IF(AND(WEEKDAY(C19)=1,Configurações!$C$12&gt;0)=TRUE,M19,0))))</f>
        <v/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8"/>
        <v>0</v>
      </c>
      <c r="W19" s="44">
        <f t="shared" si="9"/>
        <v>0</v>
      </c>
      <c r="X19" s="45">
        <f t="shared" si="10"/>
        <v>0</v>
      </c>
      <c r="Y19" s="44">
        <f t="shared" si="2"/>
        <v>0</v>
      </c>
      <c r="Z19" s="45">
        <f t="shared" si="11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2"/>
        <v/>
      </c>
      <c r="AE19" s="11" t="str">
        <f t="shared" si="13"/>
        <v/>
      </c>
      <c r="AF19" s="83">
        <f t="shared" si="14"/>
        <v>0</v>
      </c>
      <c r="AG19" s="84">
        <f t="shared" si="15"/>
        <v>0</v>
      </c>
      <c r="AH19" s="84">
        <f t="shared" si="16"/>
        <v>0</v>
      </c>
      <c r="AI19" s="84">
        <f t="shared" si="17"/>
        <v>0</v>
      </c>
      <c r="AJ19" s="84">
        <f t="shared" si="18"/>
        <v>0</v>
      </c>
    </row>
    <row r="20" spans="1:36" x14ac:dyDescent="0.25">
      <c r="A20" s="106"/>
      <c r="B20" s="37">
        <f t="shared" si="3"/>
        <v>41586</v>
      </c>
      <c r="C20" s="38">
        <f t="shared" si="0"/>
        <v>41586</v>
      </c>
      <c r="D20" s="39" t="str">
        <f>IF(B20="","",IF(VerificaSeFeriado(B20),"Sim",""))</f>
        <v/>
      </c>
      <c r="E20" s="5"/>
      <c r="F20" s="5"/>
      <c r="G20" s="5"/>
      <c r="H20" s="5"/>
      <c r="I20" s="5"/>
      <c r="J20" s="5"/>
      <c r="K20" s="5"/>
      <c r="L20" s="5"/>
      <c r="M20" s="41" t="str">
        <f t="shared" si="4"/>
        <v/>
      </c>
      <c r="N20" s="42" t="str">
        <f t="shared" si="5"/>
        <v/>
      </c>
      <c r="O20" s="43" t="str">
        <f t="shared" si="19"/>
        <v/>
      </c>
      <c r="P20" s="43" t="str">
        <f t="shared" ca="1" si="6"/>
        <v/>
      </c>
      <c r="Q20" s="6"/>
      <c r="R20" s="40">
        <f t="shared" si="7"/>
        <v>0</v>
      </c>
      <c r="S20" s="44" t="str">
        <f>IF(D20="Sim",0,IF((OR(WEEKDAY(C20)=2,WEEKDAY(C20)=3,WEEKDAY(C20)=4,WEEKDAY(C20)=5,WEEKDAY(C20)=6))=TRUE,M20,IF(AND(WEEKDAY(C20)=7,Configurações!$C$11&gt;0)=TRUE,M20,IF(AND(WEEKDAY(C20)=1,Configurações!$C$12&gt;0)=TRUE,M20,0))))</f>
        <v/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8"/>
        <v>0</v>
      </c>
      <c r="W20" s="44">
        <f t="shared" si="9"/>
        <v>0</v>
      </c>
      <c r="X20" s="45">
        <f t="shared" si="10"/>
        <v>0</v>
      </c>
      <c r="Y20" s="44">
        <f t="shared" si="2"/>
        <v>0</v>
      </c>
      <c r="Z20" s="45">
        <f t="shared" si="11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2"/>
        <v/>
      </c>
      <c r="AE20" s="11" t="str">
        <f t="shared" si="13"/>
        <v/>
      </c>
      <c r="AF20" s="83">
        <f t="shared" si="14"/>
        <v>0</v>
      </c>
      <c r="AG20" s="84">
        <f t="shared" si="15"/>
        <v>0</v>
      </c>
      <c r="AH20" s="84">
        <f t="shared" si="16"/>
        <v>0</v>
      </c>
      <c r="AI20" s="84">
        <f t="shared" si="17"/>
        <v>0</v>
      </c>
      <c r="AJ20" s="84">
        <f t="shared" si="18"/>
        <v>0</v>
      </c>
    </row>
    <row r="21" spans="1:36" x14ac:dyDescent="0.25">
      <c r="A21" s="106"/>
      <c r="B21" s="37">
        <f t="shared" si="3"/>
        <v>41587</v>
      </c>
      <c r="C21" s="38">
        <f t="shared" si="0"/>
        <v>41587</v>
      </c>
      <c r="D21" s="39" t="str">
        <f>IF(B21="","",IF(VerificaSeFeriado(B21),"Sim",""))</f>
        <v/>
      </c>
      <c r="E21" s="5"/>
      <c r="F21" s="5"/>
      <c r="G21" s="5"/>
      <c r="H21" s="5"/>
      <c r="I21" s="5"/>
      <c r="J21" s="5"/>
      <c r="K21" s="5"/>
      <c r="L21" s="5"/>
      <c r="M21" s="41" t="str">
        <f t="shared" si="4"/>
        <v/>
      </c>
      <c r="N21" s="42" t="str">
        <f t="shared" si="5"/>
        <v/>
      </c>
      <c r="O21" s="43" t="str">
        <f t="shared" si="19"/>
        <v/>
      </c>
      <c r="P21" s="43" t="str">
        <f t="shared" ca="1" si="6"/>
        <v/>
      </c>
      <c r="Q21" s="6"/>
      <c r="R21" s="40">
        <f t="shared" si="7"/>
        <v>0</v>
      </c>
      <c r="S21" s="44" t="str">
        <f>IF(D21="Sim",0,IF((OR(WEEKDAY(C21)=2,WEEKDAY(C21)=3,WEEKDAY(C21)=4,WEEKDAY(C21)=5,WEEKDAY(C21)=6))=TRUE,M21,IF(AND(WEEKDAY(C21)=7,Configurações!$C$11&gt;0)=TRUE,M21,IF(AND(WEEKDAY(C21)=1,Configurações!$C$12&gt;0)=TRUE,M21,0))))</f>
        <v/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8"/>
        <v>0</v>
      </c>
      <c r="W21" s="44">
        <f t="shared" si="9"/>
        <v>0</v>
      </c>
      <c r="X21" s="45">
        <f t="shared" si="10"/>
        <v>0</v>
      </c>
      <c r="Y21" s="44">
        <f t="shared" si="2"/>
        <v>0</v>
      </c>
      <c r="Z21" s="45">
        <f t="shared" si="11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2"/>
        <v/>
      </c>
      <c r="AE21" s="11" t="str">
        <f t="shared" si="13"/>
        <v/>
      </c>
      <c r="AF21" s="83">
        <f t="shared" si="14"/>
        <v>0</v>
      </c>
      <c r="AG21" s="84">
        <f t="shared" si="15"/>
        <v>0</v>
      </c>
      <c r="AH21" s="84">
        <f t="shared" si="16"/>
        <v>0</v>
      </c>
      <c r="AI21" s="84">
        <f t="shared" si="17"/>
        <v>0</v>
      </c>
      <c r="AJ21" s="84">
        <f t="shared" si="18"/>
        <v>0</v>
      </c>
    </row>
    <row r="22" spans="1:36" x14ac:dyDescent="0.25">
      <c r="A22" s="106"/>
      <c r="B22" s="37">
        <f t="shared" si="3"/>
        <v>41588</v>
      </c>
      <c r="C22" s="38">
        <f t="shared" si="0"/>
        <v>41588</v>
      </c>
      <c r="D22" s="39" t="str">
        <f>IF(B22="","",IF(VerificaSeFeriado(B22),"Sim",""))</f>
        <v/>
      </c>
      <c r="E22" s="5"/>
      <c r="F22" s="5"/>
      <c r="G22" s="5"/>
      <c r="H22" s="5"/>
      <c r="I22" s="5"/>
      <c r="J22" s="5"/>
      <c r="K22" s="5"/>
      <c r="L22" s="5"/>
      <c r="M22" s="41" t="str">
        <f t="shared" si="4"/>
        <v/>
      </c>
      <c r="N22" s="42" t="str">
        <f t="shared" si="5"/>
        <v/>
      </c>
      <c r="O22" s="43" t="str">
        <f>IF(OR(D22="Sim",E22="")=TRUE,"",IF((R22-AB22)&gt;=(-"00:00:01"),"",(R22-AB22)))</f>
        <v/>
      </c>
      <c r="P22" s="43" t="str">
        <f ca="1">IF(TODAY()&lt;=B22,"",IF(D22="Sim","",IF(AND(AA22="Sim",E22="",G22="",I22="",K22="")=TRUE,IF(Q22-AB22&lt;0,Q22-AB22,""),"")))</f>
        <v/>
      </c>
      <c r="Q22" s="6"/>
      <c r="R22" s="40">
        <f t="shared" si="7"/>
        <v>0</v>
      </c>
      <c r="S22" s="44">
        <f>IF(D22="Sim",0,IF((OR(WEEKDAY(C22)=2,WEEKDAY(C22)=3,WEEKDAY(C22)=4,WEEKDAY(C22)=5,WEEKDAY(C22)=6))=TRUE,M22,IF(AND(WEEKDAY(C22)=7,Configurações!$C$11&gt;0)=TRUE,M22,IF(AND(WEEKDAY(C22)=1,Configurações!$C$12&gt;0)=TRUE,M22,0))))</f>
        <v>0</v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8"/>
        <v>0</v>
      </c>
      <c r="W22" s="44">
        <f t="shared" si="9"/>
        <v>0</v>
      </c>
      <c r="X22" s="45">
        <f t="shared" si="10"/>
        <v>0</v>
      </c>
      <c r="Y22" s="44">
        <f t="shared" si="2"/>
        <v>0</v>
      </c>
      <c r="Z22" s="45">
        <f t="shared" si="11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>IF(E22="","",IF(OR(AND(E22&gt;=(1*"22:00"),((1*"29:00")-E22-Y22)&gt;=AB22)=TRUE,AND(AND(E22&gt;=0,E22&lt;=(1*"5:00"))=TRUE,(1*"5:00")-E22-Y22&gt;=AB22)=TRUE)=TRUE,"Sumula",IF(OR(E22&gt;=(1*"22:00"),AND(E22&lt;(1*"5:00"),E22&gt;=(1*"0:00"))=TRUE)=TRUE,"Noite",IF(OR(H22&lt;E22,H22&gt;(1*"22:00"))=TRUE,"Dia",""))))</f>
        <v/>
      </c>
      <c r="AE22" s="11" t="str">
        <f t="shared" si="13"/>
        <v/>
      </c>
      <c r="AF22" s="83">
        <f t="shared" si="14"/>
        <v>0</v>
      </c>
      <c r="AG22" s="84">
        <f t="shared" si="15"/>
        <v>0</v>
      </c>
      <c r="AH22" s="84">
        <f t="shared" si="16"/>
        <v>0</v>
      </c>
      <c r="AI22" s="84">
        <f t="shared" si="17"/>
        <v>0</v>
      </c>
      <c r="AJ22" s="84">
        <f t="shared" si="18"/>
        <v>0</v>
      </c>
    </row>
    <row r="23" spans="1:36" x14ac:dyDescent="0.25">
      <c r="A23" s="106"/>
      <c r="B23" s="37">
        <f t="shared" si="3"/>
        <v>41589</v>
      </c>
      <c r="C23" s="38">
        <f t="shared" si="0"/>
        <v>41589</v>
      </c>
      <c r="D23" s="39" t="str">
        <f>IF(B23="","",IF(VerificaSeFeriado(B23),"Sim",""))</f>
        <v/>
      </c>
      <c r="E23" s="5"/>
      <c r="F23" s="5"/>
      <c r="G23" s="5"/>
      <c r="H23" s="5"/>
      <c r="I23" s="5"/>
      <c r="J23" s="5"/>
      <c r="K23" s="5"/>
      <c r="L23" s="5"/>
      <c r="M23" s="41" t="str">
        <f t="shared" si="4"/>
        <v/>
      </c>
      <c r="N23" s="42" t="str">
        <f t="shared" si="5"/>
        <v/>
      </c>
      <c r="O23" s="43" t="str">
        <f t="shared" si="19"/>
        <v/>
      </c>
      <c r="P23" s="43" t="str">
        <f t="shared" ca="1" si="6"/>
        <v/>
      </c>
      <c r="Q23" s="6"/>
      <c r="R23" s="40">
        <f t="shared" si="7"/>
        <v>0</v>
      </c>
      <c r="S23" s="44">
        <f>IF(D23="Sim",0,IF((OR(WEEKDAY(C23)=2,WEEKDAY(C23)=3,WEEKDAY(C23)=4,WEEKDAY(C23)=5,WEEKDAY(C23)=6))=TRUE,M23,IF(AND(WEEKDAY(C23)=7,Configurações!$C$11&gt;0)=TRUE,M23,IF(AND(WEEKDAY(C23)=1,Configurações!$C$12&gt;0)=TRUE,M23,0))))</f>
        <v>0</v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8"/>
        <v>0</v>
      </c>
      <c r="W23" s="44">
        <f t="shared" si="9"/>
        <v>0</v>
      </c>
      <c r="X23" s="45">
        <f t="shared" si="10"/>
        <v>0</v>
      </c>
      <c r="Y23" s="44">
        <f t="shared" si="2"/>
        <v>0</v>
      </c>
      <c r="Z23" s="45">
        <f t="shared" si="11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2"/>
        <v/>
      </c>
      <c r="AE23" s="11" t="str">
        <f t="shared" si="13"/>
        <v/>
      </c>
      <c r="AF23" s="83">
        <f t="shared" si="14"/>
        <v>0</v>
      </c>
      <c r="AG23" s="84">
        <f t="shared" si="15"/>
        <v>0</v>
      </c>
      <c r="AH23" s="84">
        <f t="shared" si="16"/>
        <v>0</v>
      </c>
      <c r="AI23" s="84">
        <f t="shared" si="17"/>
        <v>0</v>
      </c>
      <c r="AJ23" s="84">
        <f t="shared" si="18"/>
        <v>0</v>
      </c>
    </row>
    <row r="24" spans="1:36" x14ac:dyDescent="0.25">
      <c r="A24" s="106"/>
      <c r="B24" s="37">
        <f t="shared" si="3"/>
        <v>41590</v>
      </c>
      <c r="C24" s="38">
        <f t="shared" si="0"/>
        <v>41590</v>
      </c>
      <c r="D24" s="39" t="str">
        <f>IF(B24="","",IF(VerificaSeFeriado(B24),"Sim",""))</f>
        <v/>
      </c>
      <c r="E24" s="5"/>
      <c r="F24" s="5"/>
      <c r="G24" s="5"/>
      <c r="H24" s="5"/>
      <c r="I24" s="5"/>
      <c r="J24" s="5"/>
      <c r="K24" s="5"/>
      <c r="L24" s="5"/>
      <c r="M24" s="41" t="str">
        <f t="shared" si="4"/>
        <v/>
      </c>
      <c r="N24" s="42" t="str">
        <f t="shared" si="5"/>
        <v/>
      </c>
      <c r="O24" s="43" t="str">
        <f t="shared" si="19"/>
        <v/>
      </c>
      <c r="P24" s="43" t="str">
        <f t="shared" ca="1" si="6"/>
        <v/>
      </c>
      <c r="Q24" s="6"/>
      <c r="R24" s="40">
        <f t="shared" si="7"/>
        <v>0</v>
      </c>
      <c r="S24" s="44" t="str">
        <f>IF(D24="Sim",0,IF((OR(WEEKDAY(C24)=2,WEEKDAY(C24)=3,WEEKDAY(C24)=4,WEEKDAY(C24)=5,WEEKDAY(C24)=6))=TRUE,M24,IF(AND(WEEKDAY(C24)=7,Configurações!$C$11&gt;0)=TRUE,M24,IF(AND(WEEKDAY(C24)=1,Configurações!$C$12&gt;0)=TRUE,M24,0))))</f>
        <v/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8"/>
        <v>0</v>
      </c>
      <c r="W24" s="44">
        <f t="shared" si="9"/>
        <v>0</v>
      </c>
      <c r="X24" s="45">
        <f t="shared" si="10"/>
        <v>0</v>
      </c>
      <c r="Y24" s="44">
        <f t="shared" si="2"/>
        <v>0</v>
      </c>
      <c r="Z24" s="45">
        <f t="shared" si="11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2"/>
        <v/>
      </c>
      <c r="AE24" s="11" t="str">
        <f t="shared" si="13"/>
        <v/>
      </c>
      <c r="AF24" s="83">
        <f t="shared" si="14"/>
        <v>0</v>
      </c>
      <c r="AG24" s="84">
        <f t="shared" si="15"/>
        <v>0</v>
      </c>
      <c r="AH24" s="84">
        <f t="shared" si="16"/>
        <v>0</v>
      </c>
      <c r="AI24" s="84">
        <f t="shared" si="17"/>
        <v>0</v>
      </c>
      <c r="AJ24" s="84">
        <f t="shared" si="18"/>
        <v>0</v>
      </c>
    </row>
    <row r="25" spans="1:36" x14ac:dyDescent="0.25">
      <c r="A25" s="106"/>
      <c r="B25" s="37">
        <f t="shared" si="3"/>
        <v>41591</v>
      </c>
      <c r="C25" s="38">
        <f t="shared" si="0"/>
        <v>41591</v>
      </c>
      <c r="D25" s="39" t="str">
        <f>IF(B25="","",IF(VerificaSeFeriado(B25),"Sim",""))</f>
        <v/>
      </c>
      <c r="E25" s="5"/>
      <c r="F25" s="5"/>
      <c r="G25" s="5"/>
      <c r="H25" s="5"/>
      <c r="I25" s="5"/>
      <c r="J25" s="5"/>
      <c r="K25" s="5"/>
      <c r="L25" s="5"/>
      <c r="M25" s="41" t="str">
        <f>IFERROR(IF((R25-AB25)&gt;(1*"00:00:01"),(R25-AB25),""),"")</f>
        <v/>
      </c>
      <c r="N25" s="42" t="str">
        <f t="shared" si="5"/>
        <v/>
      </c>
      <c r="O25" s="43" t="str">
        <f t="shared" si="19"/>
        <v/>
      </c>
      <c r="P25" s="43" t="str">
        <f t="shared" ca="1" si="6"/>
        <v/>
      </c>
      <c r="Q25" s="6"/>
      <c r="R25" s="40">
        <f t="shared" si="7"/>
        <v>0</v>
      </c>
      <c r="S25" s="44" t="str">
        <f>IF(D25="Sim",0,IF((OR(WEEKDAY(C25)=2,WEEKDAY(C25)=3,WEEKDAY(C25)=4,WEEKDAY(C25)=5,WEEKDAY(C25)=6))=TRUE,M25,IF(AND(WEEKDAY(C25)=7,Configurações!$C$11&gt;0)=TRUE,M25,IF(AND(WEEKDAY(C25)=1,Configurações!$C$12&gt;0)=TRUE,M25,0))))</f>
        <v/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8"/>
        <v>0</v>
      </c>
      <c r="W25" s="44">
        <f t="shared" si="9"/>
        <v>0</v>
      </c>
      <c r="X25" s="45">
        <f t="shared" si="10"/>
        <v>0</v>
      </c>
      <c r="Y25" s="44">
        <f t="shared" si="2"/>
        <v>0</v>
      </c>
      <c r="Z25" s="45">
        <f t="shared" si="11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2"/>
        <v/>
      </c>
      <c r="AE25" s="11" t="str">
        <f t="shared" si="13"/>
        <v/>
      </c>
      <c r="AF25" s="83">
        <f t="shared" si="14"/>
        <v>0</v>
      </c>
      <c r="AG25" s="84">
        <f t="shared" si="15"/>
        <v>0</v>
      </c>
      <c r="AH25" s="84">
        <f t="shared" si="16"/>
        <v>0</v>
      </c>
      <c r="AI25" s="84">
        <f t="shared" si="17"/>
        <v>0</v>
      </c>
      <c r="AJ25" s="84">
        <f t="shared" si="18"/>
        <v>0</v>
      </c>
    </row>
    <row r="26" spans="1:36" x14ac:dyDescent="0.25">
      <c r="A26" s="106"/>
      <c r="B26" s="37">
        <f t="shared" si="3"/>
        <v>41592</v>
      </c>
      <c r="C26" s="38">
        <f t="shared" si="0"/>
        <v>41592</v>
      </c>
      <c r="D26" s="39" t="str">
        <f>IF(B26="","",IF(VerificaSeFeriado(B26),"Sim",""))</f>
        <v>Sim</v>
      </c>
      <c r="E26" s="5"/>
      <c r="F26" s="5"/>
      <c r="G26" s="5"/>
      <c r="H26" s="5"/>
      <c r="I26" s="5"/>
      <c r="J26" s="5"/>
      <c r="K26" s="5"/>
      <c r="L26" s="5"/>
      <c r="M26" s="41" t="str">
        <f t="shared" si="4"/>
        <v/>
      </c>
      <c r="N26" s="42" t="str">
        <f t="shared" si="5"/>
        <v/>
      </c>
      <c r="O26" s="43" t="str">
        <f t="shared" si="19"/>
        <v/>
      </c>
      <c r="P26" s="43" t="str">
        <f t="shared" ca="1" si="6"/>
        <v/>
      </c>
      <c r="Q26" s="6"/>
      <c r="R26" s="40">
        <f t="shared" si="7"/>
        <v>0</v>
      </c>
      <c r="S26" s="44">
        <f>IF(D26="Sim",0,IF((OR(WEEKDAY(C26)=2,WEEKDAY(C26)=3,WEEKDAY(C26)=4,WEEKDAY(C26)=5,WEEKDAY(C26)=6))=TRUE,M26,IF(AND(WEEKDAY(C26)=7,Configurações!$C$11&gt;0)=TRUE,M26,IF(AND(WEEKDAY(C26)=1,Configurações!$C$12&gt;0)=TRUE,M26,0))))</f>
        <v>0</v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8"/>
        <v>0</v>
      </c>
      <c r="W26" s="44">
        <f t="shared" si="9"/>
        <v>0</v>
      </c>
      <c r="X26" s="45">
        <f t="shared" si="10"/>
        <v>0</v>
      </c>
      <c r="Y26" s="44">
        <f>IF(F26="",0,IF(AND(F26&lt;(1*"22:00"),F26&gt;=(1*"5:00"),G26&lt;(1*"22:00"),G26&gt;(1*"5:00"))=TRUE,0,IF(F26&gt;=(1*"22:00"),IF(G26&gt;F26,G26-F26,G26+(1*"24:00")-F26),IF(F26&lt;(1*"5:00"),IF(G26&lt;(1*"5:00"),G26-F26,(1*"5:00")-F26),IF(G26&gt;F26,G26-(1*"22:00"),G26+(1*"24:00")-(1*"22:00"))))))</f>
        <v>0</v>
      </c>
      <c r="Z26" s="45">
        <f t="shared" si="11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2"/>
        <v/>
      </c>
      <c r="AE26" s="11" t="str">
        <f t="shared" si="13"/>
        <v/>
      </c>
      <c r="AF26" s="83">
        <f t="shared" si="14"/>
        <v>0</v>
      </c>
      <c r="AG26" s="84">
        <f t="shared" si="15"/>
        <v>0</v>
      </c>
      <c r="AH26" s="84">
        <f t="shared" si="16"/>
        <v>0</v>
      </c>
      <c r="AI26" s="84">
        <f t="shared" si="17"/>
        <v>0</v>
      </c>
      <c r="AJ26" s="84">
        <f t="shared" si="18"/>
        <v>0</v>
      </c>
    </row>
    <row r="27" spans="1:36" x14ac:dyDescent="0.25">
      <c r="A27" s="106"/>
      <c r="B27" s="37">
        <f t="shared" si="3"/>
        <v>41593</v>
      </c>
      <c r="C27" s="38">
        <f t="shared" si="0"/>
        <v>41593</v>
      </c>
      <c r="D27" s="39" t="str">
        <f>IF(B27="","",IF(VerificaSeFeriado(B27),"Sim",""))</f>
        <v/>
      </c>
      <c r="E27" s="5"/>
      <c r="F27" s="5"/>
      <c r="G27" s="5"/>
      <c r="H27" s="5"/>
      <c r="I27" s="5"/>
      <c r="J27" s="5"/>
      <c r="K27" s="5"/>
      <c r="L27" s="5"/>
      <c r="M27" s="41" t="str">
        <f t="shared" si="4"/>
        <v/>
      </c>
      <c r="N27" s="42" t="str">
        <f t="shared" si="5"/>
        <v/>
      </c>
      <c r="O27" s="43" t="str">
        <f t="shared" si="19"/>
        <v/>
      </c>
      <c r="P27" s="43" t="str">
        <f t="shared" ca="1" si="6"/>
        <v/>
      </c>
      <c r="Q27" s="6"/>
      <c r="R27" s="40">
        <f t="shared" si="7"/>
        <v>0</v>
      </c>
      <c r="S27" s="44" t="str">
        <f>IF(D27="Sim",0,IF((OR(WEEKDAY(C27)=2,WEEKDAY(C27)=3,WEEKDAY(C27)=4,WEEKDAY(C27)=5,WEEKDAY(C27)=6))=TRUE,M27,IF(AND(WEEKDAY(C27)=7,Configurações!$C$11&gt;0)=TRUE,M27,IF(AND(WEEKDAY(C27)=1,Configurações!$C$12&gt;0)=TRUE,M27,0))))</f>
        <v/>
      </c>
      <c r="T27" s="44">
        <f>IF(D27="Sim",0,IF(AND(WEEKDAY(C27)=7,Configurações!$C$11&lt;=0)=TRUE,R27,0))</f>
        <v>0</v>
      </c>
      <c r="U27" s="44">
        <f>IF(D27="Sim",0,IF(AND(WEEKDAY(C27)=1,Configurações!$C$12&lt;=0)=TRUE,R27,0))</f>
        <v>0</v>
      </c>
      <c r="V27" s="44">
        <f t="shared" si="8"/>
        <v>0</v>
      </c>
      <c r="W27" s="44">
        <f t="shared" si="9"/>
        <v>0</v>
      </c>
      <c r="X27" s="45">
        <f t="shared" si="10"/>
        <v>0</v>
      </c>
      <c r="Y27" s="44">
        <f t="shared" ref="Y27:Y41" si="20">IF(F27="",0,IF(AND(F27&lt;(1*"22:00"),F27&gt;=(1*"5:00"),G27&lt;(1*"22:00"),G27&gt;(1*"5:00"))=TRUE,0,IF(F27&gt;=(1*"22:00"),IF(G27&gt;F27,G27-F27,G27+(1*"24:00")-F27),IF(F27&lt;(1*"5:00"),IF(G27&lt;(1*"5:00"),G27-F27,(1*"5:00")-F27),IF(G27&gt;F27,G27-(1*"22:00"),G27+(1*"24:00")-(1*"22:00"))))))</f>
        <v>0</v>
      </c>
      <c r="Z27" s="45">
        <f t="shared" si="11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2"/>
        <v/>
      </c>
      <c r="AE27" s="11" t="str">
        <f t="shared" si="13"/>
        <v/>
      </c>
      <c r="AF27" s="83">
        <f t="shared" si="14"/>
        <v>0</v>
      </c>
      <c r="AG27" s="84">
        <f t="shared" si="15"/>
        <v>0</v>
      </c>
      <c r="AH27" s="84">
        <f t="shared" si="16"/>
        <v>0</v>
      </c>
      <c r="AI27" s="84">
        <f t="shared" si="17"/>
        <v>0</v>
      </c>
      <c r="AJ27" s="84">
        <f t="shared" si="18"/>
        <v>0</v>
      </c>
    </row>
    <row r="28" spans="1:36" x14ac:dyDescent="0.25">
      <c r="A28" s="106"/>
      <c r="B28" s="37">
        <f t="shared" si="3"/>
        <v>41594</v>
      </c>
      <c r="C28" s="38">
        <f t="shared" si="0"/>
        <v>41594</v>
      </c>
      <c r="D28" s="39" t="str">
        <f>IF(B28="","",IF(VerificaSeFeriado(B28),"Sim",""))</f>
        <v/>
      </c>
      <c r="E28" s="5"/>
      <c r="F28" s="5"/>
      <c r="G28" s="5"/>
      <c r="H28" s="5"/>
      <c r="I28" s="5"/>
      <c r="J28" s="5"/>
      <c r="K28" s="5"/>
      <c r="L28" s="5"/>
      <c r="M28" s="41" t="str">
        <f t="shared" si="4"/>
        <v/>
      </c>
      <c r="N28" s="42" t="str">
        <f t="shared" si="5"/>
        <v/>
      </c>
      <c r="O28" s="43" t="str">
        <f t="shared" si="19"/>
        <v/>
      </c>
      <c r="P28" s="43" t="str">
        <f t="shared" ca="1" si="6"/>
        <v/>
      </c>
      <c r="Q28" s="6"/>
      <c r="R28" s="40">
        <f t="shared" si="7"/>
        <v>0</v>
      </c>
      <c r="S28" s="44" t="str">
        <f>IF(D28="Sim",0,IF((OR(WEEKDAY(C28)=2,WEEKDAY(C28)=3,WEEKDAY(C28)=4,WEEKDAY(C28)=5,WEEKDAY(C28)=6))=TRUE,M28,IF(AND(WEEKDAY(C28)=7,Configurações!$C$11&gt;0)=TRUE,M28,IF(AND(WEEKDAY(C28)=1,Configurações!$C$12&gt;0)=TRUE,M28,0))))</f>
        <v/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8"/>
        <v>0</v>
      </c>
      <c r="W28" s="44">
        <f t="shared" si="9"/>
        <v>0</v>
      </c>
      <c r="X28" s="45">
        <f t="shared" si="10"/>
        <v>0</v>
      </c>
      <c r="Y28" s="44">
        <f t="shared" si="20"/>
        <v>0</v>
      </c>
      <c r="Z28" s="45">
        <f t="shared" si="11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2"/>
        <v/>
      </c>
      <c r="AE28" s="11" t="str">
        <f t="shared" si="13"/>
        <v/>
      </c>
      <c r="AF28" s="83">
        <f t="shared" si="14"/>
        <v>0</v>
      </c>
      <c r="AG28" s="84">
        <f t="shared" si="15"/>
        <v>0</v>
      </c>
      <c r="AH28" s="84">
        <f t="shared" si="16"/>
        <v>0</v>
      </c>
      <c r="AI28" s="84">
        <f t="shared" si="17"/>
        <v>0</v>
      </c>
      <c r="AJ28" s="84">
        <f t="shared" si="18"/>
        <v>0</v>
      </c>
    </row>
    <row r="29" spans="1:36" x14ac:dyDescent="0.25">
      <c r="A29" s="106"/>
      <c r="B29" s="37">
        <f t="shared" si="3"/>
        <v>41595</v>
      </c>
      <c r="C29" s="38">
        <f t="shared" si="0"/>
        <v>41595</v>
      </c>
      <c r="D29" s="39" t="str">
        <f>IF(B29="","",IF(VerificaSeFeriado(B29),"Sim",""))</f>
        <v/>
      </c>
      <c r="E29" s="5"/>
      <c r="F29" s="5"/>
      <c r="G29" s="5"/>
      <c r="H29" s="5"/>
      <c r="I29" s="5"/>
      <c r="J29" s="5"/>
      <c r="K29" s="5"/>
      <c r="L29" s="5"/>
      <c r="M29" s="41" t="str">
        <f t="shared" si="4"/>
        <v/>
      </c>
      <c r="N29" s="42" t="str">
        <f t="shared" si="5"/>
        <v/>
      </c>
      <c r="O29" s="43" t="str">
        <f t="shared" si="19"/>
        <v/>
      </c>
      <c r="P29" s="43" t="str">
        <f t="shared" ca="1" si="6"/>
        <v/>
      </c>
      <c r="Q29" s="6"/>
      <c r="R29" s="40">
        <f t="shared" si="7"/>
        <v>0</v>
      </c>
      <c r="S29" s="44">
        <f>IF(D29="Sim",0,IF((OR(WEEKDAY(C29)=2,WEEKDAY(C29)=3,WEEKDAY(C29)=4,WEEKDAY(C29)=5,WEEKDAY(C29)=6))=TRUE,M29,IF(AND(WEEKDAY(C29)=7,Configurações!$C$11&gt;0)=TRUE,M29,IF(AND(WEEKDAY(C29)=1,Configurações!$C$12&gt;0)=TRUE,M29,0))))</f>
        <v>0</v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8"/>
        <v>0</v>
      </c>
      <c r="W29" s="44">
        <f t="shared" si="9"/>
        <v>0</v>
      </c>
      <c r="X29" s="45">
        <f t="shared" si="10"/>
        <v>0</v>
      </c>
      <c r="Y29" s="44">
        <f t="shared" si="20"/>
        <v>0</v>
      </c>
      <c r="Z29" s="45">
        <f t="shared" si="11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2"/>
        <v/>
      </c>
      <c r="AE29" s="11" t="str">
        <f t="shared" si="13"/>
        <v/>
      </c>
      <c r="AF29" s="83">
        <f t="shared" si="14"/>
        <v>0</v>
      </c>
      <c r="AG29" s="84">
        <f t="shared" si="15"/>
        <v>0</v>
      </c>
      <c r="AH29" s="84">
        <f t="shared" si="16"/>
        <v>0</v>
      </c>
      <c r="AI29" s="84">
        <f t="shared" si="17"/>
        <v>0</v>
      </c>
      <c r="AJ29" s="84">
        <f t="shared" si="18"/>
        <v>0</v>
      </c>
    </row>
    <row r="30" spans="1:36" x14ac:dyDescent="0.25">
      <c r="A30" s="106"/>
      <c r="B30" s="37">
        <f t="shared" si="3"/>
        <v>41596</v>
      </c>
      <c r="C30" s="38">
        <f t="shared" si="0"/>
        <v>41596</v>
      </c>
      <c r="D30" s="39" t="str">
        <f>IF(B30="","",IF(VerificaSeFeriado(B30),"Sim",""))</f>
        <v/>
      </c>
      <c r="E30" s="5"/>
      <c r="F30" s="5"/>
      <c r="G30" s="5"/>
      <c r="H30" s="5"/>
      <c r="I30" s="5"/>
      <c r="J30" s="5"/>
      <c r="K30" s="5"/>
      <c r="L30" s="5"/>
      <c r="M30" s="41" t="str">
        <f t="shared" si="4"/>
        <v/>
      </c>
      <c r="N30" s="42" t="str">
        <f t="shared" si="5"/>
        <v/>
      </c>
      <c r="O30" s="43" t="str">
        <f t="shared" si="19"/>
        <v/>
      </c>
      <c r="P30" s="43" t="str">
        <f t="shared" ca="1" si="6"/>
        <v/>
      </c>
      <c r="Q30" s="6"/>
      <c r="R30" s="40">
        <f t="shared" si="7"/>
        <v>0</v>
      </c>
      <c r="S30" s="44">
        <f>IF(D30="Sim",0,IF((OR(WEEKDAY(C30)=2,WEEKDAY(C30)=3,WEEKDAY(C30)=4,WEEKDAY(C30)=5,WEEKDAY(C30)=6))=TRUE,M30,IF(AND(WEEKDAY(C30)=7,Configurações!$C$11&gt;0)=TRUE,M30,IF(AND(WEEKDAY(C30)=1,Configurações!$C$12&gt;0)=TRUE,M30,0))))</f>
        <v>0</v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8"/>
        <v>0</v>
      </c>
      <c r="W30" s="44">
        <f t="shared" si="9"/>
        <v>0</v>
      </c>
      <c r="X30" s="45">
        <f t="shared" si="10"/>
        <v>0</v>
      </c>
      <c r="Y30" s="44">
        <f t="shared" si="20"/>
        <v>0</v>
      </c>
      <c r="Z30" s="45">
        <f t="shared" si="11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2"/>
        <v/>
      </c>
      <c r="AE30" s="11" t="str">
        <f t="shared" si="13"/>
        <v/>
      </c>
      <c r="AF30" s="83">
        <f t="shared" si="14"/>
        <v>0</v>
      </c>
      <c r="AG30" s="84">
        <f t="shared" si="15"/>
        <v>0</v>
      </c>
      <c r="AH30" s="84">
        <f t="shared" si="16"/>
        <v>0</v>
      </c>
      <c r="AI30" s="84">
        <f t="shared" si="17"/>
        <v>0</v>
      </c>
      <c r="AJ30" s="84">
        <f t="shared" si="18"/>
        <v>0</v>
      </c>
    </row>
    <row r="31" spans="1:36" x14ac:dyDescent="0.25">
      <c r="A31" s="106"/>
      <c r="B31" s="37">
        <f t="shared" si="3"/>
        <v>41597</v>
      </c>
      <c r="C31" s="38">
        <f t="shared" si="0"/>
        <v>41597</v>
      </c>
      <c r="D31" s="39" t="str">
        <f>IF(B31="","",IF(VerificaSeFeriado(B31),"Sim",""))</f>
        <v/>
      </c>
      <c r="E31" s="5"/>
      <c r="F31" s="5"/>
      <c r="G31" s="5"/>
      <c r="H31" s="5"/>
      <c r="I31" s="5"/>
      <c r="J31" s="5"/>
      <c r="K31" s="5"/>
      <c r="L31" s="5"/>
      <c r="M31" s="41" t="str">
        <f t="shared" si="4"/>
        <v/>
      </c>
      <c r="N31" s="42" t="str">
        <f t="shared" si="5"/>
        <v/>
      </c>
      <c r="O31" s="43" t="str">
        <f t="shared" si="19"/>
        <v/>
      </c>
      <c r="P31" s="43" t="str">
        <f t="shared" ca="1" si="6"/>
        <v/>
      </c>
      <c r="Q31" s="6"/>
      <c r="R31" s="40">
        <f t="shared" si="7"/>
        <v>0</v>
      </c>
      <c r="S31" s="44" t="str">
        <f>IF(D31="Sim",0,IF((OR(WEEKDAY(C31)=2,WEEKDAY(C31)=3,WEEKDAY(C31)=4,WEEKDAY(C31)=5,WEEKDAY(C31)=6))=TRUE,M31,IF(AND(WEEKDAY(C31)=7,Configurações!$C$11&gt;0)=TRUE,M31,IF(AND(WEEKDAY(C31)=1,Configurações!$C$12&gt;0)=TRUE,M31,0))))</f>
        <v/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8"/>
        <v>0</v>
      </c>
      <c r="W31" s="44">
        <f t="shared" si="9"/>
        <v>0</v>
      </c>
      <c r="X31" s="45">
        <f t="shared" si="10"/>
        <v>0</v>
      </c>
      <c r="Y31" s="44">
        <f t="shared" si="20"/>
        <v>0</v>
      </c>
      <c r="Z31" s="45">
        <f t="shared" si="11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2"/>
        <v/>
      </c>
      <c r="AE31" s="11" t="str">
        <f t="shared" si="13"/>
        <v/>
      </c>
      <c r="AF31" s="83">
        <f t="shared" si="14"/>
        <v>0</v>
      </c>
      <c r="AG31" s="84">
        <f t="shared" si="15"/>
        <v>0</v>
      </c>
      <c r="AH31" s="84">
        <f t="shared" si="16"/>
        <v>0</v>
      </c>
      <c r="AI31" s="84">
        <f t="shared" si="17"/>
        <v>0</v>
      </c>
      <c r="AJ31" s="84">
        <f t="shared" si="18"/>
        <v>0</v>
      </c>
    </row>
    <row r="32" spans="1:36" x14ac:dyDescent="0.25">
      <c r="A32" s="106"/>
      <c r="B32" s="37">
        <f t="shared" si="3"/>
        <v>41598</v>
      </c>
      <c r="C32" s="38">
        <f t="shared" si="0"/>
        <v>41598</v>
      </c>
      <c r="D32" s="39" t="str">
        <f>IF(B32="","",IF(VerificaSeFeriado(B32),"Sim",""))</f>
        <v/>
      </c>
      <c r="E32" s="5"/>
      <c r="F32" s="5"/>
      <c r="G32" s="5"/>
      <c r="H32" s="5"/>
      <c r="I32" s="5"/>
      <c r="J32" s="5"/>
      <c r="K32" s="5"/>
      <c r="L32" s="5"/>
      <c r="M32" s="41" t="str">
        <f t="shared" si="4"/>
        <v/>
      </c>
      <c r="N32" s="42" t="str">
        <f t="shared" si="5"/>
        <v/>
      </c>
      <c r="O32" s="43" t="str">
        <f t="shared" si="19"/>
        <v/>
      </c>
      <c r="P32" s="43" t="str">
        <f t="shared" ca="1" si="6"/>
        <v/>
      </c>
      <c r="Q32" s="6"/>
      <c r="R32" s="40">
        <f t="shared" si="7"/>
        <v>0</v>
      </c>
      <c r="S32" s="44" t="str">
        <f>IF(D32="Sim",0,IF((OR(WEEKDAY(C32)=2,WEEKDAY(C32)=3,WEEKDAY(C32)=4,WEEKDAY(C32)=5,WEEKDAY(C32)=6))=TRUE,M32,IF(AND(WEEKDAY(C32)=7,Configurações!$C$11&gt;0)=TRUE,M32,IF(AND(WEEKDAY(C32)=1,Configurações!$C$12&gt;0)=TRUE,M32,0))))</f>
        <v/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8"/>
        <v>0</v>
      </c>
      <c r="W32" s="44">
        <f t="shared" si="9"/>
        <v>0</v>
      </c>
      <c r="X32" s="45">
        <f t="shared" si="10"/>
        <v>0</v>
      </c>
      <c r="Y32" s="44">
        <f t="shared" si="20"/>
        <v>0</v>
      </c>
      <c r="Z32" s="45">
        <f t="shared" si="11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2"/>
        <v/>
      </c>
      <c r="AE32" s="11" t="str">
        <f t="shared" si="13"/>
        <v/>
      </c>
      <c r="AF32" s="83">
        <f t="shared" si="14"/>
        <v>0</v>
      </c>
      <c r="AG32" s="84">
        <f t="shared" si="15"/>
        <v>0</v>
      </c>
      <c r="AH32" s="84">
        <f t="shared" si="16"/>
        <v>0</v>
      </c>
      <c r="AI32" s="84">
        <f t="shared" si="17"/>
        <v>0</v>
      </c>
      <c r="AJ32" s="84">
        <f t="shared" si="18"/>
        <v>0</v>
      </c>
    </row>
    <row r="33" spans="1:36" x14ac:dyDescent="0.25">
      <c r="A33" s="106"/>
      <c r="B33" s="37">
        <f t="shared" si="3"/>
        <v>41599</v>
      </c>
      <c r="C33" s="38">
        <f t="shared" si="0"/>
        <v>41599</v>
      </c>
      <c r="D33" s="39" t="str">
        <f>IF(B33="","",IF(VerificaSeFeriado(B33),"Sim",""))</f>
        <v/>
      </c>
      <c r="E33" s="5"/>
      <c r="F33" s="5"/>
      <c r="G33" s="5"/>
      <c r="H33" s="5"/>
      <c r="I33" s="5"/>
      <c r="J33" s="5"/>
      <c r="K33" s="5"/>
      <c r="L33" s="5"/>
      <c r="M33" s="41" t="str">
        <f t="shared" si="4"/>
        <v/>
      </c>
      <c r="N33" s="42" t="str">
        <f t="shared" si="5"/>
        <v/>
      </c>
      <c r="O33" s="43" t="str">
        <f t="shared" si="19"/>
        <v/>
      </c>
      <c r="P33" s="43" t="str">
        <f t="shared" ca="1" si="6"/>
        <v/>
      </c>
      <c r="Q33" s="6"/>
      <c r="R33" s="40">
        <f t="shared" si="7"/>
        <v>0</v>
      </c>
      <c r="S33" s="44" t="str">
        <f>IF(D33="Sim",0,IF((OR(WEEKDAY(C33)=2,WEEKDAY(C33)=3,WEEKDAY(C33)=4,WEEKDAY(C33)=5,WEEKDAY(C33)=6))=TRUE,M33,IF(AND(WEEKDAY(C33)=7,Configurações!$C$11&gt;0)=TRUE,M33,IF(AND(WEEKDAY(C33)=1,Configurações!$C$12&gt;0)=TRUE,M33,0))))</f>
        <v/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8"/>
        <v>0</v>
      </c>
      <c r="W33" s="44">
        <f t="shared" si="9"/>
        <v>0</v>
      </c>
      <c r="X33" s="45">
        <f t="shared" si="10"/>
        <v>0</v>
      </c>
      <c r="Y33" s="44">
        <f t="shared" si="20"/>
        <v>0</v>
      </c>
      <c r="Z33" s="45">
        <f t="shared" si="11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2"/>
        <v/>
      </c>
      <c r="AE33" s="11" t="str">
        <f t="shared" si="13"/>
        <v/>
      </c>
      <c r="AF33" s="83">
        <f t="shared" si="14"/>
        <v>0</v>
      </c>
      <c r="AG33" s="84">
        <f t="shared" si="15"/>
        <v>0</v>
      </c>
      <c r="AH33" s="84">
        <f t="shared" si="16"/>
        <v>0</v>
      </c>
      <c r="AI33" s="84">
        <f t="shared" si="17"/>
        <v>0</v>
      </c>
      <c r="AJ33" s="84">
        <f t="shared" si="18"/>
        <v>0</v>
      </c>
    </row>
    <row r="34" spans="1:36" x14ac:dyDescent="0.25">
      <c r="A34" s="106"/>
      <c r="B34" s="37">
        <f t="shared" si="3"/>
        <v>41600</v>
      </c>
      <c r="C34" s="38">
        <f t="shared" si="0"/>
        <v>41600</v>
      </c>
      <c r="D34" s="39" t="str">
        <f>IF(B34="","",IF(VerificaSeFeriado(B34),"Sim",""))</f>
        <v/>
      </c>
      <c r="E34" s="5"/>
      <c r="F34" s="5"/>
      <c r="G34" s="5"/>
      <c r="H34" s="5"/>
      <c r="I34" s="5"/>
      <c r="J34" s="5"/>
      <c r="K34" s="5"/>
      <c r="L34" s="5"/>
      <c r="M34" s="41" t="str">
        <f t="shared" si="4"/>
        <v/>
      </c>
      <c r="N34" s="42" t="str">
        <f t="shared" si="5"/>
        <v/>
      </c>
      <c r="O34" s="43" t="str">
        <f t="shared" si="19"/>
        <v/>
      </c>
      <c r="P34" s="43" t="str">
        <f t="shared" ca="1" si="6"/>
        <v/>
      </c>
      <c r="Q34" s="6"/>
      <c r="R34" s="40">
        <f t="shared" si="7"/>
        <v>0</v>
      </c>
      <c r="S34" s="44" t="str">
        <f>IF(D34="Sim",0,IF((OR(WEEKDAY(C34)=2,WEEKDAY(C34)=3,WEEKDAY(C34)=4,WEEKDAY(C34)=5,WEEKDAY(C34)=6))=TRUE,M34,IF(AND(WEEKDAY(C34)=7,Configurações!$C$11&gt;0)=TRUE,M34,IF(AND(WEEKDAY(C34)=1,Configurações!$C$12&gt;0)=TRUE,M34,0))))</f>
        <v/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8"/>
        <v>0</v>
      </c>
      <c r="W34" s="44">
        <f t="shared" si="9"/>
        <v>0</v>
      </c>
      <c r="X34" s="45">
        <f t="shared" si="10"/>
        <v>0</v>
      </c>
      <c r="Y34" s="44">
        <f t="shared" si="20"/>
        <v>0</v>
      </c>
      <c r="Z34" s="45">
        <f t="shared" si="11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2"/>
        <v/>
      </c>
      <c r="AE34" s="11" t="str">
        <f t="shared" si="13"/>
        <v/>
      </c>
      <c r="AF34" s="83">
        <f t="shared" si="14"/>
        <v>0</v>
      </c>
      <c r="AG34" s="84">
        <f t="shared" si="15"/>
        <v>0</v>
      </c>
      <c r="AH34" s="84">
        <f t="shared" si="16"/>
        <v>0</v>
      </c>
      <c r="AI34" s="84">
        <f t="shared" si="17"/>
        <v>0</v>
      </c>
      <c r="AJ34" s="84">
        <f t="shared" si="18"/>
        <v>0</v>
      </c>
    </row>
    <row r="35" spans="1:36" x14ac:dyDescent="0.25">
      <c r="A35" s="106"/>
      <c r="B35" s="37">
        <f t="shared" si="3"/>
        <v>41601</v>
      </c>
      <c r="C35" s="38">
        <f t="shared" si="0"/>
        <v>41601</v>
      </c>
      <c r="D35" s="39" t="str">
        <f>IF(B35="","",IF(VerificaSeFeriado(B35),"Sim",""))</f>
        <v/>
      </c>
      <c r="E35" s="5"/>
      <c r="F35" s="5"/>
      <c r="G35" s="5"/>
      <c r="H35" s="5"/>
      <c r="I35" s="5"/>
      <c r="J35" s="5"/>
      <c r="K35" s="5"/>
      <c r="L35" s="5"/>
      <c r="M35" s="41" t="str">
        <f t="shared" si="4"/>
        <v/>
      </c>
      <c r="N35" s="42" t="str">
        <f t="shared" si="5"/>
        <v/>
      </c>
      <c r="O35" s="43" t="str">
        <f t="shared" si="19"/>
        <v/>
      </c>
      <c r="P35" s="43" t="str">
        <f t="shared" ca="1" si="6"/>
        <v/>
      </c>
      <c r="Q35" s="6"/>
      <c r="R35" s="40">
        <f t="shared" si="7"/>
        <v>0</v>
      </c>
      <c r="S35" s="44" t="str">
        <f>IF(D35="Sim",0,IF((OR(WEEKDAY(C35)=2,WEEKDAY(C35)=3,WEEKDAY(C35)=4,WEEKDAY(C35)=5,WEEKDAY(C35)=6))=TRUE,M35,IF(AND(WEEKDAY(C35)=7,Configurações!$C$11&gt;0)=TRUE,M35,IF(AND(WEEKDAY(C35)=1,Configurações!$C$12&gt;0)=TRUE,M35,0))))</f>
        <v/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</v>
      </c>
      <c r="V35" s="44">
        <f t="shared" si="8"/>
        <v>0</v>
      </c>
      <c r="W35" s="44">
        <f t="shared" si="9"/>
        <v>0</v>
      </c>
      <c r="X35" s="45">
        <f t="shared" si="10"/>
        <v>0</v>
      </c>
      <c r="Y35" s="44">
        <f t="shared" si="20"/>
        <v>0</v>
      </c>
      <c r="Z35" s="45">
        <f t="shared" si="11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2"/>
        <v/>
      </c>
      <c r="AE35" s="11" t="str">
        <f t="shared" si="13"/>
        <v/>
      </c>
      <c r="AF35" s="83">
        <f t="shared" si="14"/>
        <v>0</v>
      </c>
      <c r="AG35" s="84">
        <f t="shared" si="15"/>
        <v>0</v>
      </c>
      <c r="AH35" s="84">
        <f t="shared" si="16"/>
        <v>0</v>
      </c>
      <c r="AI35" s="84">
        <f t="shared" si="17"/>
        <v>0</v>
      </c>
      <c r="AJ35" s="84">
        <f t="shared" si="18"/>
        <v>0</v>
      </c>
    </row>
    <row r="36" spans="1:36" x14ac:dyDescent="0.25">
      <c r="A36" s="106"/>
      <c r="B36" s="37">
        <f t="shared" si="3"/>
        <v>41602</v>
      </c>
      <c r="C36" s="38">
        <f t="shared" si="0"/>
        <v>41602</v>
      </c>
      <c r="D36" s="39" t="str">
        <f>IF(B36="","",IF(VerificaSeFeriado(B36),"Sim",""))</f>
        <v/>
      </c>
      <c r="E36" s="5"/>
      <c r="F36" s="5"/>
      <c r="G36" s="5"/>
      <c r="H36" s="5"/>
      <c r="I36" s="5"/>
      <c r="J36" s="5"/>
      <c r="K36" s="5"/>
      <c r="L36" s="5"/>
      <c r="M36" s="41" t="str">
        <f t="shared" si="4"/>
        <v/>
      </c>
      <c r="N36" s="42" t="str">
        <f t="shared" si="5"/>
        <v/>
      </c>
      <c r="O36" s="43" t="str">
        <f t="shared" si="19"/>
        <v/>
      </c>
      <c r="P36" s="43" t="str">
        <f t="shared" ca="1" si="6"/>
        <v/>
      </c>
      <c r="Q36" s="6"/>
      <c r="R36" s="40">
        <f t="shared" si="7"/>
        <v>0</v>
      </c>
      <c r="S36" s="44">
        <f>IF(D36="Sim",0,IF((OR(WEEKDAY(C36)=2,WEEKDAY(C36)=3,WEEKDAY(C36)=4,WEEKDAY(C36)=5,WEEKDAY(C36)=6))=TRUE,M36,IF(AND(WEEKDAY(C36)=7,Configurações!$C$11&gt;0)=TRUE,M36,IF(AND(WEEKDAY(C36)=1,Configurações!$C$12&gt;0)=TRUE,M36,0))))</f>
        <v>0</v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8"/>
        <v>0</v>
      </c>
      <c r="W36" s="44">
        <f t="shared" si="9"/>
        <v>0</v>
      </c>
      <c r="X36" s="45">
        <f t="shared" si="10"/>
        <v>0</v>
      </c>
      <c r="Y36" s="44">
        <f t="shared" si="20"/>
        <v>0</v>
      </c>
      <c r="Z36" s="45">
        <f t="shared" si="11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2"/>
        <v/>
      </c>
      <c r="AE36" s="11" t="str">
        <f t="shared" si="13"/>
        <v/>
      </c>
      <c r="AF36" s="83">
        <f t="shared" si="14"/>
        <v>0</v>
      </c>
      <c r="AG36" s="84">
        <f t="shared" si="15"/>
        <v>0</v>
      </c>
      <c r="AH36" s="84">
        <f t="shared" si="16"/>
        <v>0</v>
      </c>
      <c r="AI36" s="84">
        <f t="shared" si="17"/>
        <v>0</v>
      </c>
      <c r="AJ36" s="84">
        <f t="shared" si="18"/>
        <v>0</v>
      </c>
    </row>
    <row r="37" spans="1:36" x14ac:dyDescent="0.25">
      <c r="A37" s="106"/>
      <c r="B37" s="37">
        <f t="shared" si="3"/>
        <v>41603</v>
      </c>
      <c r="C37" s="38">
        <f t="shared" si="0"/>
        <v>41603</v>
      </c>
      <c r="D37" s="39" t="str">
        <f>IF(B37="","",IF(VerificaSeFeriado(B37),"Sim",""))</f>
        <v/>
      </c>
      <c r="E37" s="5"/>
      <c r="F37" s="5"/>
      <c r="G37" s="5"/>
      <c r="H37" s="5"/>
      <c r="I37" s="5"/>
      <c r="J37" s="5"/>
      <c r="K37" s="5"/>
      <c r="L37" s="5"/>
      <c r="M37" s="41" t="str">
        <f t="shared" si="4"/>
        <v/>
      </c>
      <c r="N37" s="42" t="str">
        <f t="shared" si="5"/>
        <v/>
      </c>
      <c r="O37" s="43" t="str">
        <f t="shared" si="19"/>
        <v/>
      </c>
      <c r="P37" s="43" t="str">
        <f t="shared" ca="1" si="6"/>
        <v/>
      </c>
      <c r="Q37" s="6"/>
      <c r="R37" s="40">
        <f t="shared" si="7"/>
        <v>0</v>
      </c>
      <c r="S37" s="44">
        <f>IF(D37="Sim",0,IF((OR(WEEKDAY(C37)=2,WEEKDAY(C37)=3,WEEKDAY(C37)=4,WEEKDAY(C37)=5,WEEKDAY(C37)=6))=TRUE,M37,IF(AND(WEEKDAY(C37)=7,Configurações!$C$11&gt;0)=TRUE,M37,IF(AND(WEEKDAY(C37)=1,Configurações!$C$12&gt;0)=TRUE,M37,0))))</f>
        <v>0</v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8"/>
        <v>0</v>
      </c>
      <c r="W37" s="44">
        <f t="shared" si="9"/>
        <v>0</v>
      </c>
      <c r="X37" s="45">
        <f t="shared" si="10"/>
        <v>0</v>
      </c>
      <c r="Y37" s="44">
        <f t="shared" si="20"/>
        <v>0</v>
      </c>
      <c r="Z37" s="45">
        <f t="shared" si="11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2"/>
        <v/>
      </c>
      <c r="AE37" s="11" t="str">
        <f t="shared" si="13"/>
        <v/>
      </c>
      <c r="AF37" s="83">
        <f t="shared" si="14"/>
        <v>0</v>
      </c>
      <c r="AG37" s="84">
        <f t="shared" si="15"/>
        <v>0</v>
      </c>
      <c r="AH37" s="84">
        <f t="shared" si="16"/>
        <v>0</v>
      </c>
      <c r="AI37" s="84">
        <f t="shared" si="17"/>
        <v>0</v>
      </c>
      <c r="AJ37" s="84">
        <f t="shared" si="18"/>
        <v>0</v>
      </c>
    </row>
    <row r="38" spans="1:36" x14ac:dyDescent="0.25">
      <c r="A38" s="106"/>
      <c r="B38" s="37">
        <f t="shared" si="3"/>
        <v>41604</v>
      </c>
      <c r="C38" s="38">
        <f t="shared" si="0"/>
        <v>41604</v>
      </c>
      <c r="D38" s="39" t="str">
        <f>IF(B38="","",IF(VerificaSeFeriado(B38),"Sim",""))</f>
        <v/>
      </c>
      <c r="E38" s="5"/>
      <c r="F38" s="5"/>
      <c r="G38" s="5"/>
      <c r="H38" s="5"/>
      <c r="I38" s="5"/>
      <c r="J38" s="5"/>
      <c r="K38" s="5"/>
      <c r="L38" s="5"/>
      <c r="M38" s="41" t="str">
        <f t="shared" si="4"/>
        <v/>
      </c>
      <c r="N38" s="42" t="str">
        <f t="shared" si="5"/>
        <v/>
      </c>
      <c r="O38" s="43" t="str">
        <f t="shared" si="19"/>
        <v/>
      </c>
      <c r="P38" s="43" t="str">
        <f t="shared" ca="1" si="6"/>
        <v/>
      </c>
      <c r="Q38" s="6"/>
      <c r="R38" s="40">
        <f t="shared" si="7"/>
        <v>0</v>
      </c>
      <c r="S38" s="44" t="str">
        <f>IF(D38="Sim",0,IF((OR(WEEKDAY(C38)=2,WEEKDAY(C38)=3,WEEKDAY(C38)=4,WEEKDAY(C38)=5,WEEKDAY(C38)=6))=TRUE,M38,IF(AND(WEEKDAY(C38)=7,Configurações!$C$11&gt;0)=TRUE,M38,IF(AND(WEEKDAY(C38)=1,Configurações!$C$12&gt;0)=TRUE,M38,0))))</f>
        <v/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8"/>
        <v>0</v>
      </c>
      <c r="W38" s="44">
        <f t="shared" si="9"/>
        <v>0</v>
      </c>
      <c r="X38" s="45">
        <f t="shared" si="10"/>
        <v>0</v>
      </c>
      <c r="Y38" s="44">
        <f t="shared" si="20"/>
        <v>0</v>
      </c>
      <c r="Z38" s="45">
        <f t="shared" si="11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2"/>
        <v/>
      </c>
      <c r="AE38" s="11" t="str">
        <f t="shared" si="13"/>
        <v/>
      </c>
      <c r="AF38" s="83">
        <f t="shared" si="14"/>
        <v>0</v>
      </c>
      <c r="AG38" s="84">
        <f t="shared" si="15"/>
        <v>0</v>
      </c>
      <c r="AH38" s="84">
        <f t="shared" si="16"/>
        <v>0</v>
      </c>
      <c r="AI38" s="84">
        <f t="shared" si="17"/>
        <v>0</v>
      </c>
      <c r="AJ38" s="84">
        <f t="shared" si="18"/>
        <v>0</v>
      </c>
    </row>
    <row r="39" spans="1:36" x14ac:dyDescent="0.25">
      <c r="A39" s="106"/>
      <c r="B39" s="37">
        <f t="shared" si="3"/>
        <v>41605</v>
      </c>
      <c r="C39" s="38">
        <f t="shared" si="0"/>
        <v>41605</v>
      </c>
      <c r="D39" s="39" t="str">
        <f>IF(B39="","",IF(VerificaSeFeriado(B39),"Sim",""))</f>
        <v/>
      </c>
      <c r="E39" s="5"/>
      <c r="F39" s="5"/>
      <c r="G39" s="5"/>
      <c r="H39" s="5"/>
      <c r="I39" s="5"/>
      <c r="J39" s="5"/>
      <c r="K39" s="5"/>
      <c r="L39" s="5"/>
      <c r="M39" s="41" t="str">
        <f t="shared" si="4"/>
        <v/>
      </c>
      <c r="N39" s="42" t="str">
        <f t="shared" si="5"/>
        <v/>
      </c>
      <c r="O39" s="43" t="str">
        <f t="shared" si="19"/>
        <v/>
      </c>
      <c r="P39" s="43" t="str">
        <f t="shared" ca="1" si="6"/>
        <v/>
      </c>
      <c r="Q39" s="6"/>
      <c r="R39" s="40">
        <f t="shared" si="7"/>
        <v>0</v>
      </c>
      <c r="S39" s="44" t="str">
        <f>IF(D39="Sim",0,IF((OR(WEEKDAY(C39)=2,WEEKDAY(C39)=3,WEEKDAY(C39)=4,WEEKDAY(C39)=5,WEEKDAY(C39)=6))=TRUE,M39,IF(AND(WEEKDAY(C39)=7,Configurações!$C$11&gt;0)=TRUE,M39,IF(AND(WEEKDAY(C39)=1,Configurações!$C$12&gt;0)=TRUE,M39,0))))</f>
        <v/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8"/>
        <v>0</v>
      </c>
      <c r="W39" s="44">
        <f t="shared" si="9"/>
        <v>0</v>
      </c>
      <c r="X39" s="45">
        <f t="shared" si="10"/>
        <v>0</v>
      </c>
      <c r="Y39" s="44">
        <f t="shared" si="20"/>
        <v>0</v>
      </c>
      <c r="Z39" s="45">
        <f t="shared" si="11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2"/>
        <v/>
      </c>
      <c r="AE39" s="11" t="str">
        <f t="shared" si="13"/>
        <v/>
      </c>
      <c r="AF39" s="83">
        <f t="shared" si="14"/>
        <v>0</v>
      </c>
      <c r="AG39" s="84">
        <f t="shared" si="15"/>
        <v>0</v>
      </c>
      <c r="AH39" s="84">
        <f t="shared" si="16"/>
        <v>0</v>
      </c>
      <c r="AI39" s="84">
        <f t="shared" si="17"/>
        <v>0</v>
      </c>
      <c r="AJ39" s="84">
        <f t="shared" si="18"/>
        <v>0</v>
      </c>
    </row>
    <row r="40" spans="1:36" x14ac:dyDescent="0.25">
      <c r="A40" s="106"/>
      <c r="B40" s="37">
        <f t="shared" si="3"/>
        <v>41606</v>
      </c>
      <c r="C40" s="38">
        <f t="shared" si="0"/>
        <v>41606</v>
      </c>
      <c r="D40" s="39" t="str">
        <f>IF(B40="","",IF(VerificaSeFeriado(B40),"Sim",""))</f>
        <v/>
      </c>
      <c r="E40" s="5"/>
      <c r="F40" s="5"/>
      <c r="G40" s="5"/>
      <c r="H40" s="5"/>
      <c r="I40" s="5"/>
      <c r="J40" s="5"/>
      <c r="K40" s="5"/>
      <c r="L40" s="5"/>
      <c r="M40" s="41" t="str">
        <f t="shared" si="4"/>
        <v/>
      </c>
      <c r="N40" s="42" t="str">
        <f t="shared" si="5"/>
        <v/>
      </c>
      <c r="O40" s="43" t="str">
        <f t="shared" si="19"/>
        <v/>
      </c>
      <c r="P40" s="43" t="str">
        <f t="shared" ca="1" si="6"/>
        <v/>
      </c>
      <c r="Q40" s="6"/>
      <c r="R40" s="40">
        <f t="shared" si="7"/>
        <v>0</v>
      </c>
      <c r="S40" s="44" t="str">
        <f>IF(D40="Sim",0,IF((OR(WEEKDAY(C40)=2,WEEKDAY(C40)=3,WEEKDAY(C40)=4,WEEKDAY(C40)=5,WEEKDAY(C40)=6))=TRUE,M40,IF(AND(WEEKDAY(C40)=7,Configurações!$C$11&gt;0)=TRUE,M40,IF(AND(WEEKDAY(C40)=1,Configurações!$C$12&gt;0)=TRUE,M40,0))))</f>
        <v/>
      </c>
      <c r="T40" s="44">
        <f>IF(D40="Sim",0,IF(AND(WEEKDAY(C40)=7,Configurações!$C$11&lt;=0)=TRUE,R40,0))</f>
        <v>0</v>
      </c>
      <c r="U40" s="44">
        <f>IF(D40="Sim",0,IF(AND(WEEKDAY(C40)=1,Configurações!$C$12&lt;=0)=TRUE,R40,0))</f>
        <v>0</v>
      </c>
      <c r="V40" s="44">
        <f t="shared" si="8"/>
        <v>0</v>
      </c>
      <c r="W40" s="44">
        <f t="shared" si="9"/>
        <v>0</v>
      </c>
      <c r="X40" s="45">
        <f t="shared" si="10"/>
        <v>0</v>
      </c>
      <c r="Y40" s="44">
        <f t="shared" si="20"/>
        <v>0</v>
      </c>
      <c r="Z40" s="45">
        <f t="shared" si="11"/>
        <v>0</v>
      </c>
      <c r="AA40" s="12" t="str">
        <f>IF(D40="Sim","Não",IF(AND(WEEKDAY(C40)=1,Configurações!$C$12&gt;0),"Sim",IF(AND(WEEKDAY(C40)=2,Configurações!$C$6&gt;0),"Sim",IF(AND(WEEKDAY(C40)=3,Configurações!$C$7&gt;0),"Sim",IF(AND(WEEKDAY(C40)=4,Configurações!$C$8&gt;0),"Sim",IF(AND(WEEKDAY(C40)=5,Configurações!$C$9&gt;0),"Sim",IF(AND(WEEKDAY(C40)=6,Configurações!$C$10&gt;0),"Sim",IF(AND(WEEKDAY(C40)=7,Configurações!$C$11&gt;0),"Sim","Não"))))))))</f>
        <v>Não</v>
      </c>
      <c r="AB40" s="44">
        <f>IF(D40="Sim",0,IF(WEEKDAY(C40)=2,Configurações!$C$6-Configurações!$E$6,IF(WEEKDAY(C40)=3,Configurações!$C$7-Configurações!$E$7,IF(WEEKDAY(C40)=4,Configurações!$C$8-Configurações!$E$8,IF(WEEKDAY(C40)=5,Configurações!$C$9-Configurações!$E$9,IF(WEEKDAY(C40)=6,Configurações!$C$10-Configurações!$E$10,IF(WEEKDAY(C40)=7,Configurações!$C$11-Configurações!$E$11,IF(WEEKDAY(C40)=1,Configurações!$C$12-Configurações!$E$12,""))))))))</f>
        <v>0</v>
      </c>
      <c r="AC40" s="44">
        <f>IF(D40="Sim",0,IF(WEEKDAY(C40)=2,Configurações!$E$6,IF(WEEKDAY(C40)=3,Configurações!$E$7,IF(WEEKDAY(C40)=4,Configurações!$E$8,IF(WEEKDAY(C40)=5,Configurações!$E$9,IF(WEEKDAY(C40)=6,Configurações!$E$10,IF(WEEKDAY(C40)=7,Configurações!$E$11,IF(WEEKDAY(C40)=1,Configurações!$E$12,""))))))))</f>
        <v>0</v>
      </c>
      <c r="AD40" s="11" t="str">
        <f t="shared" si="12"/>
        <v/>
      </c>
      <c r="AE40" s="11" t="str">
        <f t="shared" si="13"/>
        <v/>
      </c>
      <c r="AF40" s="83">
        <f t="shared" si="14"/>
        <v>0</v>
      </c>
      <c r="AG40" s="84">
        <f t="shared" si="15"/>
        <v>0</v>
      </c>
      <c r="AH40" s="84">
        <f t="shared" si="16"/>
        <v>0</v>
      </c>
      <c r="AI40" s="84">
        <f t="shared" si="17"/>
        <v>0</v>
      </c>
      <c r="AJ40" s="84">
        <f t="shared" si="18"/>
        <v>0</v>
      </c>
    </row>
    <row r="41" spans="1:36" x14ac:dyDescent="0.25">
      <c r="A41" s="106"/>
      <c r="B41" s="37">
        <f t="shared" si="3"/>
        <v>41607</v>
      </c>
      <c r="C41" s="38">
        <f t="shared" si="0"/>
        <v>41607</v>
      </c>
      <c r="D41" s="39" t="str">
        <f>IF(B41="","",IF(VerificaSeFeriado(B41),"Sim",""))</f>
        <v/>
      </c>
      <c r="E41" s="5"/>
      <c r="F41" s="5"/>
      <c r="G41" s="5"/>
      <c r="H41" s="5"/>
      <c r="I41" s="5"/>
      <c r="J41" s="5"/>
      <c r="K41" s="5"/>
      <c r="L41" s="5"/>
      <c r="M41" s="41" t="str">
        <f t="shared" si="4"/>
        <v/>
      </c>
      <c r="N41" s="42" t="str">
        <f t="shared" si="5"/>
        <v/>
      </c>
      <c r="O41" s="43" t="str">
        <f t="shared" si="19"/>
        <v/>
      </c>
      <c r="P41" s="43" t="str">
        <f t="shared" ca="1" si="6"/>
        <v/>
      </c>
      <c r="Q41" s="6"/>
      <c r="R41" s="40">
        <f t="shared" si="7"/>
        <v>0</v>
      </c>
      <c r="S41" s="44" t="str">
        <f>IF(D41="Sim",0,IF((OR(WEEKDAY(C41)=2,WEEKDAY(C41)=3,WEEKDAY(C41)=4,WEEKDAY(C41)=5,WEEKDAY(C41)=6))=TRUE,M41,IF(AND(WEEKDAY(C41)=7,Configurações!$C$11&gt;0)=TRUE,M41,IF(AND(WEEKDAY(C41)=1,Configurações!$C$12&gt;0)=TRUE,M41,0))))</f>
        <v/>
      </c>
      <c r="T41" s="44">
        <f>IF(D41="Sim",0,IF(AND(WEEKDAY(C41)=7,Configurações!$C$11&lt;=0)=TRUE,R41,0))</f>
        <v>0</v>
      </c>
      <c r="U41" s="44">
        <f>IF(D41="Sim",0,IF(AND(WEEKDAY(C41)=1,Configurações!$C$12&lt;=0)=TRUE,R41,0))</f>
        <v>0</v>
      </c>
      <c r="V41" s="44">
        <f t="shared" si="8"/>
        <v>0</v>
      </c>
      <c r="W41" s="44">
        <f t="shared" si="9"/>
        <v>0</v>
      </c>
      <c r="X41" s="45">
        <f t="shared" si="10"/>
        <v>0</v>
      </c>
      <c r="Y41" s="44">
        <f t="shared" si="20"/>
        <v>0</v>
      </c>
      <c r="Z41" s="45">
        <f t="shared" si="11"/>
        <v>0</v>
      </c>
      <c r="AA41" s="12" t="str">
        <f>IF(D41="Sim","Não",IF(AND(WEEKDAY(C41)=1,Configurações!$C$12&gt;0),"Sim",IF(AND(WEEKDAY(C41)=2,Configurações!$C$6&gt;0),"Sim",IF(AND(WEEKDAY(C41)=3,Configurações!$C$7&gt;0),"Sim",IF(AND(WEEKDAY(C41)=4,Configurações!$C$8&gt;0),"Sim",IF(AND(WEEKDAY(C41)=5,Configurações!$C$9&gt;0),"Sim",IF(AND(WEEKDAY(C41)=6,Configurações!$C$10&gt;0),"Sim",IF(AND(WEEKDAY(C41)=7,Configurações!$C$11&gt;0),"Sim","Não"))))))))</f>
        <v>Não</v>
      </c>
      <c r="AB41" s="44">
        <f>IF(D41="Sim",0,IF(WEEKDAY(C41)=2,Configurações!$C$6-Configurações!$E$6,IF(WEEKDAY(C41)=3,Configurações!$C$7-Configurações!$E$7,IF(WEEKDAY(C41)=4,Configurações!$C$8-Configurações!$E$8,IF(WEEKDAY(C41)=5,Configurações!$C$9-Configurações!$E$9,IF(WEEKDAY(C41)=6,Configurações!$C$10-Configurações!$E$10,IF(WEEKDAY(C41)=7,Configurações!$C$11-Configurações!$E$11,IF(WEEKDAY(C41)=1,Configurações!$C$12-Configurações!$E$12,""))))))))</f>
        <v>0</v>
      </c>
      <c r="AC41" s="44">
        <f>IF(D41="Sim",0,IF(WEEKDAY(C41)=2,Configurações!$E$6,IF(WEEKDAY(C41)=3,Configurações!$E$7,IF(WEEKDAY(C41)=4,Configurações!$E$8,IF(WEEKDAY(C41)=5,Configurações!$E$9,IF(WEEKDAY(C41)=6,Configurações!$E$10,IF(WEEKDAY(C41)=7,Configurações!$E$11,IF(WEEKDAY(C41)=1,Configurações!$E$12,""))))))))</f>
        <v>0</v>
      </c>
      <c r="AD41" s="11" t="str">
        <f t="shared" si="12"/>
        <v/>
      </c>
      <c r="AE41" s="11" t="str">
        <f t="shared" si="13"/>
        <v/>
      </c>
      <c r="AF41" s="83">
        <f t="shared" si="14"/>
        <v>0</v>
      </c>
      <c r="AG41" s="84">
        <f t="shared" si="15"/>
        <v>0</v>
      </c>
      <c r="AH41" s="84">
        <f t="shared" si="16"/>
        <v>0</v>
      </c>
      <c r="AI41" s="84">
        <f t="shared" si="17"/>
        <v>0</v>
      </c>
      <c r="AJ41" s="84">
        <f t="shared" si="18"/>
        <v>0</v>
      </c>
    </row>
    <row r="42" spans="1:36" x14ac:dyDescent="0.25">
      <c r="B42" s="46"/>
    </row>
    <row r="44" spans="1:36" x14ac:dyDescent="0.25">
      <c r="C44" s="32"/>
      <c r="D44" s="32"/>
    </row>
    <row r="45" spans="1:36" x14ac:dyDescent="0.25">
      <c r="C45" s="32"/>
      <c r="D45" s="32"/>
    </row>
    <row r="46" spans="1:36" x14ac:dyDescent="0.25">
      <c r="C46" s="32"/>
      <c r="D46" s="32"/>
    </row>
    <row r="47" spans="1:36" x14ac:dyDescent="0.25">
      <c r="C47" s="32"/>
      <c r="D47" s="32"/>
    </row>
    <row r="48" spans="1:36" s="9" customFormat="1" x14ac:dyDescent="0.25">
      <c r="A48" s="10"/>
      <c r="C48" s="32"/>
      <c r="D48" s="32"/>
      <c r="M48" s="10"/>
      <c r="N48" s="10"/>
      <c r="O48" s="10"/>
      <c r="P48" s="10"/>
      <c r="Q48" s="10"/>
      <c r="S48" s="11"/>
      <c r="T48" s="11"/>
      <c r="U48" s="11"/>
      <c r="V48" s="11"/>
      <c r="W48" s="11"/>
      <c r="X48" s="11"/>
      <c r="Y48" s="11"/>
      <c r="Z48" s="11"/>
      <c r="AA48" s="12"/>
      <c r="AB48" s="12"/>
      <c r="AC48" s="12"/>
      <c r="AD48" s="11"/>
      <c r="AE48" s="11"/>
      <c r="AF48" s="10"/>
    </row>
    <row r="49" spans="1:32" s="9" customFormat="1" x14ac:dyDescent="0.25">
      <c r="A49" s="10"/>
      <c r="C49" s="32"/>
      <c r="D49" s="32"/>
      <c r="M49" s="10"/>
      <c r="N49" s="10"/>
      <c r="O49" s="10"/>
      <c r="P49" s="10"/>
      <c r="Q49" s="10"/>
      <c r="S49" s="11"/>
      <c r="T49" s="11"/>
      <c r="U49" s="11"/>
      <c r="V49" s="11"/>
      <c r="W49" s="11"/>
      <c r="X49" s="11"/>
      <c r="Y49" s="11"/>
      <c r="Z49" s="11"/>
      <c r="AA49" s="12"/>
      <c r="AB49" s="12"/>
      <c r="AC49" s="12"/>
      <c r="AD49" s="11"/>
      <c r="AE49" s="11"/>
      <c r="AF49" s="10"/>
    </row>
  </sheetData>
  <sheetProtection algorithmName="SHA-512" hashValue="6zl//h+dVLKTza9Ev3xq1yjd50a6Ee7ChJPvcYqx16ro5oqMBlEWTQg+XyVIlGtsFM5+Pgzawf0+WkEWL2dNAg==" saltValue="TPj6sFr/tYlejPSzKk50uQ==" spinCount="100000" sheet="1" objects="1" scenarios="1" selectLockedCells="1"/>
  <mergeCells count="18">
    <mergeCell ref="L4:M4"/>
    <mergeCell ref="O4:Q4"/>
    <mergeCell ref="E5:F5"/>
    <mergeCell ref="O5:P5"/>
    <mergeCell ref="E6:F6"/>
    <mergeCell ref="A11:A41"/>
    <mergeCell ref="F11:G11"/>
    <mergeCell ref="J11:K11"/>
    <mergeCell ref="A2:D2"/>
    <mergeCell ref="A3:D7"/>
    <mergeCell ref="E4:G4"/>
    <mergeCell ref="I4:J4"/>
    <mergeCell ref="E7:F7"/>
    <mergeCell ref="O7:P7"/>
    <mergeCell ref="E8:F8"/>
    <mergeCell ref="L8:M8"/>
    <mergeCell ref="E9:F9"/>
    <mergeCell ref="L9:M9"/>
  </mergeCells>
  <conditionalFormatting sqref="G5">
    <cfRule type="expression" dxfId="59" priority="28">
      <formula>$G$5&lt;=0</formula>
    </cfRule>
    <cfRule type="expression" dxfId="58" priority="29">
      <formula>$G$5&gt;0</formula>
    </cfRule>
  </conditionalFormatting>
  <conditionalFormatting sqref="G6">
    <cfRule type="expression" dxfId="57" priority="26">
      <formula>$G$6&gt;=0</formula>
    </cfRule>
    <cfRule type="expression" dxfId="56" priority="27">
      <formula>$G$6&lt;0</formula>
    </cfRule>
  </conditionalFormatting>
  <conditionalFormatting sqref="P9">
    <cfRule type="expression" dxfId="55" priority="23">
      <formula>$P$9&lt;0</formula>
    </cfRule>
    <cfRule type="expression" dxfId="54" priority="24">
      <formula>$P$9=0</formula>
    </cfRule>
    <cfRule type="expression" dxfId="53" priority="25">
      <formula>$P$9&gt;0</formula>
    </cfRule>
  </conditionalFormatting>
  <conditionalFormatting sqref="P8">
    <cfRule type="expression" dxfId="52" priority="20">
      <formula>$P$8&lt;0</formula>
    </cfRule>
    <cfRule type="expression" dxfId="51" priority="21">
      <formula>$P$8=0</formula>
    </cfRule>
    <cfRule type="expression" dxfId="50" priority="22">
      <formula>$P$8&gt;0</formula>
    </cfRule>
  </conditionalFormatting>
  <conditionalFormatting sqref="G9">
    <cfRule type="expression" dxfId="49" priority="17">
      <formula>$G$9&lt;0</formula>
    </cfRule>
    <cfRule type="expression" priority="18">
      <formula>$G$9=0</formula>
    </cfRule>
    <cfRule type="expression" dxfId="48" priority="19">
      <formula>$G$9&gt;0</formula>
    </cfRule>
  </conditionalFormatting>
  <conditionalFormatting sqref="P12:P41">
    <cfRule type="expression" dxfId="47" priority="16">
      <formula>$P12=0</formula>
    </cfRule>
  </conditionalFormatting>
  <conditionalFormatting sqref="G5:G9">
    <cfRule type="expression" dxfId="46" priority="13">
      <formula>$G5=0</formula>
    </cfRule>
    <cfRule type="expression" dxfId="45" priority="14">
      <formula>$G5&lt;0</formula>
    </cfRule>
    <cfRule type="expression" dxfId="44" priority="15">
      <formula>$G5&gt;0</formula>
    </cfRule>
  </conditionalFormatting>
  <conditionalFormatting sqref="B12:R41">
    <cfRule type="expression" dxfId="43" priority="7">
      <formula>$B12=""</formula>
    </cfRule>
    <cfRule type="expression" dxfId="42" priority="8">
      <formula>$D12="Sim"</formula>
    </cfRule>
    <cfRule type="expression" dxfId="41" priority="11">
      <formula>MOD(ROW(),2)=0</formula>
    </cfRule>
    <cfRule type="expression" dxfId="40" priority="12">
      <formula>MOD(ROW(),2)=1</formula>
    </cfRule>
  </conditionalFormatting>
  <conditionalFormatting sqref="M12:N41">
    <cfRule type="expression" dxfId="39" priority="5">
      <formula>$M12=0</formula>
    </cfRule>
  </conditionalFormatting>
  <conditionalFormatting sqref="L9:N9">
    <cfRule type="expression" dxfId="38" priority="2">
      <formula>$L$9&gt;0</formula>
    </cfRule>
    <cfRule type="expression" dxfId="37" priority="3">
      <formula>$L$9=0</formula>
    </cfRule>
    <cfRule type="expression" dxfId="36" priority="4">
      <formula>$L$9&lt;0</formula>
    </cfRule>
  </conditionalFormatting>
  <conditionalFormatting sqref="N5 M6">
    <cfRule type="expression" dxfId="35" priority="30">
      <formula>$M$6&lt;0</formula>
    </cfRule>
  </conditionalFormatting>
  <conditionalFormatting sqref="N4 M5">
    <cfRule type="expression" dxfId="34" priority="31">
      <formula>$M$5&gt;0</formula>
    </cfRule>
  </conditionalFormatting>
  <conditionalFormatting sqref="J5:J9">
    <cfRule type="expression" dxfId="33" priority="1">
      <formula>$J5&gt;0</formula>
    </cfRule>
  </conditionalFormatting>
  <dataValidations count="2">
    <dataValidation operator="greaterThanOrEqual" allowBlank="1" showInputMessage="1" showErrorMessage="1" sqref="E12:P41"/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41">
      <formula1>AB12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617F2B3-AAA9-4AF3-9031-E5EFCB213077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0" id="{081585B2-007E-499D-A563-485E3DA878D6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B12:R41</xm:sqref>
        </x14:conditionalFormatting>
        <x14:conditionalFormatting xmlns:xm="http://schemas.microsoft.com/office/excel/2006/main">
          <x14:cfRule type="expression" priority="6" id="{B274B058-F8B5-40DF-9569-08060C58705A}">
            <xm:f>AND(Configurações!$C$11&gt;0,WEEKDAY($C12)=7,MOD(ROW(),2)=1)</xm:f>
            <x14:dxf>
              <fill>
                <patternFill>
                  <bgColor theme="4" tint="0.59996337778862885"/>
                </patternFill>
              </fill>
            </x14:dxf>
          </x14:cfRule>
          <xm:sqref>C14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3"/>
  <dimension ref="A2:AJ50"/>
  <sheetViews>
    <sheetView showGridLines="0" zoomScaleNormal="100" workbookViewId="0">
      <selection activeCell="P8" sqref="P8"/>
    </sheetView>
  </sheetViews>
  <sheetFormatPr defaultRowHeight="15" x14ac:dyDescent="0.25"/>
  <cols>
    <col min="1" max="1" width="9.140625" style="10"/>
    <col min="2" max="2" width="10.7109375" style="9" bestFit="1" customWidth="1"/>
    <col min="3" max="3" width="16.42578125" style="9" customWidth="1"/>
    <col min="4" max="4" width="11.7109375" style="9" customWidth="1"/>
    <col min="5" max="12" width="12.7109375" style="9" customWidth="1"/>
    <col min="13" max="17" width="12.7109375" style="10" customWidth="1"/>
    <col min="18" max="18" width="15.85546875" style="9" bestFit="1" customWidth="1"/>
    <col min="19" max="22" width="9.140625" style="11" hidden="1" customWidth="1"/>
    <col min="23" max="24" width="8.85546875" style="11" hidden="1" customWidth="1"/>
    <col min="25" max="26" width="9.42578125" style="11" hidden="1" customWidth="1"/>
    <col min="27" max="27" width="11.5703125" style="12" hidden="1" customWidth="1"/>
    <col min="28" max="29" width="9.140625" style="12" hidden="1" customWidth="1"/>
    <col min="30" max="31" width="8.85546875" style="11" hidden="1" customWidth="1"/>
    <col min="32" max="32" width="9.140625" style="10" hidden="1" customWidth="1"/>
    <col min="33" max="33" width="10" style="9" hidden="1" customWidth="1"/>
    <col min="34" max="34" width="9.85546875" style="9" hidden="1" customWidth="1"/>
    <col min="35" max="36" width="9.140625" style="9" hidden="1" customWidth="1"/>
    <col min="37" max="16384" width="9.140625" style="10"/>
  </cols>
  <sheetData>
    <row r="2" spans="1:36" x14ac:dyDescent="0.25">
      <c r="A2" s="109" t="str">
        <f>IF(Configurações!C17 = 0,"",Configurações!C17)</f>
        <v/>
      </c>
      <c r="B2" s="109"/>
      <c r="C2" s="109"/>
      <c r="D2" s="109"/>
    </row>
    <row r="3" spans="1:36" ht="15.75" customHeight="1" thickBot="1" x14ac:dyDescent="0.3">
      <c r="A3" s="110" t="s">
        <v>90</v>
      </c>
      <c r="B3" s="110"/>
      <c r="C3" s="110"/>
      <c r="D3" s="110"/>
    </row>
    <row r="4" spans="1:36" ht="15" customHeight="1" x14ac:dyDescent="0.25">
      <c r="A4" s="110"/>
      <c r="B4" s="110"/>
      <c r="C4" s="110"/>
      <c r="D4" s="110"/>
      <c r="E4" s="111" t="s">
        <v>67</v>
      </c>
      <c r="F4" s="112"/>
      <c r="G4" s="113"/>
      <c r="H4" s="13"/>
      <c r="I4" s="111" t="s">
        <v>62</v>
      </c>
      <c r="J4" s="113"/>
      <c r="K4" s="13"/>
      <c r="L4" s="95" t="s">
        <v>24</v>
      </c>
      <c r="M4" s="96"/>
      <c r="N4" s="14"/>
      <c r="O4" s="97" t="s">
        <v>35</v>
      </c>
      <c r="P4" s="98"/>
      <c r="Q4" s="99"/>
    </row>
    <row r="5" spans="1:36" ht="15" customHeight="1" thickBot="1" x14ac:dyDescent="0.3">
      <c r="A5" s="110"/>
      <c r="B5" s="110"/>
      <c r="C5" s="110"/>
      <c r="D5" s="110"/>
      <c r="E5" s="100" t="s">
        <v>18</v>
      </c>
      <c r="F5" s="101"/>
      <c r="G5" s="15">
        <f>SUM(M12:M42)</f>
        <v>0</v>
      </c>
      <c r="H5" s="13"/>
      <c r="I5" s="81" t="s">
        <v>31</v>
      </c>
      <c r="J5" s="16">
        <f>(SUM(S12:S42)*24)*Configurações!E15*(Configurações!I7+1)</f>
        <v>0</v>
      </c>
      <c r="K5" s="13"/>
      <c r="L5" s="81" t="s">
        <v>68</v>
      </c>
      <c r="M5" s="17">
        <f>SUM(J5:J9)</f>
        <v>0</v>
      </c>
      <c r="N5" s="14"/>
      <c r="O5" s="102" t="s">
        <v>44</v>
      </c>
      <c r="P5" s="103"/>
      <c r="Q5" s="18">
        <f>SUM(R12:R42)</f>
        <v>0</v>
      </c>
      <c r="W5" s="19"/>
    </row>
    <row r="6" spans="1:36" ht="15" customHeight="1" thickBot="1" x14ac:dyDescent="0.3">
      <c r="A6" s="110"/>
      <c r="B6" s="110"/>
      <c r="C6" s="110"/>
      <c r="D6" s="110"/>
      <c r="E6" s="104" t="s">
        <v>19</v>
      </c>
      <c r="F6" s="105"/>
      <c r="G6" s="20">
        <f>SUM(O12:O42)</f>
        <v>0</v>
      </c>
      <c r="H6" s="13"/>
      <c r="I6" s="81" t="s">
        <v>34</v>
      </c>
      <c r="J6" s="16">
        <f>(SUM(T12:T42)*24)*Configurações!E15*(Configurações!I10+1)</f>
        <v>0</v>
      </c>
      <c r="K6" s="13"/>
      <c r="L6" s="82" t="s">
        <v>69</v>
      </c>
      <c r="M6" s="21">
        <f ca="1">((G7*24)+(G6*24))*Configurações!E15</f>
        <v>0</v>
      </c>
      <c r="U6" s="19"/>
      <c r="W6" s="22"/>
    </row>
    <row r="7" spans="1:36" ht="15" customHeight="1" thickBot="1" x14ac:dyDescent="0.3">
      <c r="A7" s="110"/>
      <c r="B7" s="110"/>
      <c r="C7" s="110"/>
      <c r="D7" s="110"/>
      <c r="E7" s="104" t="s">
        <v>20</v>
      </c>
      <c r="F7" s="105"/>
      <c r="G7" s="20">
        <f ca="1">SUM(P12:P42)</f>
        <v>0</v>
      </c>
      <c r="H7" s="13"/>
      <c r="I7" s="81" t="s">
        <v>32</v>
      </c>
      <c r="J7" s="16">
        <f>(SUM(U12:U42)*24)*Configurações!E15*(Configurações!I9+1)</f>
        <v>0</v>
      </c>
      <c r="K7" s="13"/>
      <c r="O7" s="114" t="s">
        <v>61</v>
      </c>
      <c r="P7" s="115"/>
      <c r="S7" s="77" t="str">
        <f>O17</f>
        <v/>
      </c>
      <c r="U7" s="22"/>
      <c r="W7" s="23"/>
    </row>
    <row r="8" spans="1:36" ht="15" customHeight="1" x14ac:dyDescent="0.25">
      <c r="A8" s="24"/>
      <c r="B8" s="24"/>
      <c r="C8" s="24"/>
      <c r="D8" s="24"/>
      <c r="E8" s="104" t="s">
        <v>21</v>
      </c>
      <c r="F8" s="105"/>
      <c r="G8" s="20">
        <f>SUM(Q12:Q42)</f>
        <v>0</v>
      </c>
      <c r="H8" s="13"/>
      <c r="I8" s="81" t="s">
        <v>33</v>
      </c>
      <c r="J8" s="16">
        <f>(SUM(V12:V42)*24)*Configurações!E15*(Configurações!I8+1)</f>
        <v>0</v>
      </c>
      <c r="K8" s="13"/>
      <c r="L8" s="116" t="s">
        <v>63</v>
      </c>
      <c r="M8" s="117"/>
      <c r="N8" s="25"/>
      <c r="O8" s="81" t="s">
        <v>26</v>
      </c>
      <c r="P8" s="7">
        <v>0</v>
      </c>
    </row>
    <row r="9" spans="1:36" ht="15" customHeight="1" thickBot="1" x14ac:dyDescent="0.3">
      <c r="A9" s="24"/>
      <c r="B9" s="24"/>
      <c r="C9" s="24"/>
      <c r="D9" s="24"/>
      <c r="E9" s="118" t="s">
        <v>27</v>
      </c>
      <c r="F9" s="119"/>
      <c r="G9" s="26">
        <f ca="1">SUM(G5:G7)</f>
        <v>0</v>
      </c>
      <c r="H9" s="13"/>
      <c r="I9" s="82" t="s">
        <v>30</v>
      </c>
      <c r="J9" s="27">
        <f>((((SUM(N12:N42)*24)*Configurações!E15*(Configurações!I6+1)))-(SUM(N12:N42)*24)*Configurações!E15)</f>
        <v>0</v>
      </c>
      <c r="K9" s="13"/>
      <c r="L9" s="120">
        <f ca="1">SUM(M5:M6)</f>
        <v>0</v>
      </c>
      <c r="M9" s="121"/>
      <c r="N9" s="28"/>
      <c r="O9" s="82" t="s">
        <v>25</v>
      </c>
      <c r="P9" s="26">
        <f ca="1">SUM(P8,G9)</f>
        <v>0</v>
      </c>
    </row>
    <row r="10" spans="1:36" x14ac:dyDescent="0.25">
      <c r="B10" s="29">
        <v>41608</v>
      </c>
      <c r="E10" s="30"/>
      <c r="F10" s="30"/>
      <c r="G10" s="30"/>
      <c r="H10" s="30"/>
      <c r="I10" s="30"/>
      <c r="J10" s="30"/>
      <c r="K10" s="30"/>
      <c r="L10" s="30"/>
      <c r="M10" s="31"/>
      <c r="N10" s="78"/>
      <c r="O10" s="31"/>
      <c r="P10" s="31"/>
      <c r="Q10" s="31"/>
      <c r="R10" s="32"/>
      <c r="W10" s="33"/>
      <c r="X10" s="33"/>
    </row>
    <row r="11" spans="1:36" x14ac:dyDescent="0.25">
      <c r="A11" s="106" t="s">
        <v>84</v>
      </c>
      <c r="B11" s="79" t="s">
        <v>0</v>
      </c>
      <c r="C11" s="79" t="s">
        <v>2</v>
      </c>
      <c r="D11" s="80" t="s">
        <v>1</v>
      </c>
      <c r="E11" s="34" t="s">
        <v>3</v>
      </c>
      <c r="F11" s="107" t="s">
        <v>55</v>
      </c>
      <c r="G11" s="108"/>
      <c r="H11" s="34" t="s">
        <v>4</v>
      </c>
      <c r="I11" s="34" t="s">
        <v>5</v>
      </c>
      <c r="J11" s="107" t="s">
        <v>56</v>
      </c>
      <c r="K11" s="108"/>
      <c r="L11" s="34" t="s">
        <v>6</v>
      </c>
      <c r="M11" s="80" t="s">
        <v>8</v>
      </c>
      <c r="N11" s="80" t="s">
        <v>66</v>
      </c>
      <c r="O11" s="80" t="s">
        <v>9</v>
      </c>
      <c r="P11" s="80" t="s">
        <v>10</v>
      </c>
      <c r="Q11" s="34" t="s">
        <v>11</v>
      </c>
      <c r="R11" s="80" t="s">
        <v>43</v>
      </c>
      <c r="S11" s="35" t="s">
        <v>49</v>
      </c>
      <c r="T11" s="36" t="s">
        <v>46</v>
      </c>
      <c r="U11" s="36" t="s">
        <v>47</v>
      </c>
      <c r="V11" s="36" t="s">
        <v>48</v>
      </c>
      <c r="W11" s="36" t="s">
        <v>57</v>
      </c>
      <c r="X11" s="36" t="s">
        <v>58</v>
      </c>
      <c r="Y11" s="36" t="s">
        <v>64</v>
      </c>
      <c r="Z11" s="36" t="s">
        <v>65</v>
      </c>
      <c r="AA11" s="36" t="s">
        <v>54</v>
      </c>
      <c r="AB11" s="36" t="s">
        <v>53</v>
      </c>
      <c r="AC11" s="36" t="s">
        <v>52</v>
      </c>
      <c r="AD11" s="36" t="s">
        <v>59</v>
      </c>
      <c r="AE11" s="36" t="s">
        <v>60</v>
      </c>
      <c r="AF11" s="36" t="s">
        <v>70</v>
      </c>
      <c r="AG11" s="36" t="s">
        <v>73</v>
      </c>
      <c r="AH11" s="36" t="s">
        <v>74</v>
      </c>
      <c r="AI11" s="36" t="s">
        <v>71</v>
      </c>
      <c r="AJ11" s="36" t="s">
        <v>72</v>
      </c>
    </row>
    <row r="12" spans="1:36" x14ac:dyDescent="0.25">
      <c r="A12" s="106"/>
      <c r="B12" s="37">
        <f>IF(MONTH($B$10+ROW()-ROW($B$10)-2) = MONTH($B$10),$B$10+ROW()-ROW($B$10)-2,"")</f>
        <v>41608</v>
      </c>
      <c r="C12" s="38">
        <f t="shared" ref="C12:C42" si="0">B12</f>
        <v>41608</v>
      </c>
      <c r="D12" s="39" t="str">
        <f>IF(B12="","",IF(VerificaSeFeriado(B12),"Sim",""))</f>
        <v/>
      </c>
      <c r="E12" s="5"/>
      <c r="F12" s="5"/>
      <c r="G12" s="5"/>
      <c r="H12" s="5"/>
      <c r="I12" s="5"/>
      <c r="J12" s="5"/>
      <c r="K12" s="5"/>
      <c r="L12" s="5"/>
      <c r="M12" s="41" t="str">
        <f>IFERROR(IF((R12-AB12)&gt;(1*"00:00:01"),(R12-AB12),""),"")</f>
        <v/>
      </c>
      <c r="N12" s="42" t="str">
        <f>IF(SUM(W12:X12)*(1/52.5*60)&gt;0,SUM(W12:X12)*(1/52.5*60),"")</f>
        <v/>
      </c>
      <c r="O12" s="43" t="str">
        <f t="shared" ref="O12:O15" si="1">IF(OR(D12="Sim",E12="")=TRUE,"",IF((R12-AB12)&gt;=(-"00:00:01"),"",(R12-AB12)))</f>
        <v/>
      </c>
      <c r="P12" s="43" t="str">
        <f ca="1">IF(TODAY()&lt;=B12,"",IF(D12="Sim","",IF(AND(AA12="Sim",E12="",G12="",I12="",K12="")=TRUE,IF(Q12-AB12&lt;0,Q12-AB12,""),"")))</f>
        <v/>
      </c>
      <c r="Q12" s="6"/>
      <c r="R12" s="40">
        <f>(IF(E12="",0,IF(F12="",IF(H12&gt;E12,H12-E12,H12+(1*"24:00")-E12),((IF(F12&lt;E12,(F12+(1*"24:00"))-E12,F12-E12))+(IF(H12&lt;G12,(H12+(1*"24:00"))-G12,H12-G12))))+AF12))+(IF(I12="",0,IF(J12="",IF(L12&gt;I12,L12-I12,L12+(1*"24:00")-I12),((IF(J12&lt;I12,(J12+(1*"24:00"))-I12,J12-I12))+(IF(L12&lt;K12,(L12+(1*"24:00"))-K12,L12-K12))))))</f>
        <v>0</v>
      </c>
      <c r="S12" s="44" t="str">
        <f>IF(D12="Sim",0,IF((OR(WEEKDAY(C12)=2,WEEKDAY(C12)=3,WEEKDAY(C12)=4,WEEKDAY(C12)=5,WEEKDAY(C12)=6))=TRUE,M12,IF(AND(WEEKDAY(C12)=7,Configurações!$C$11&gt;0)=TRUE,M12,IF(AND(WEEKDAY(C12)=1,Configurações!$C$12&gt;0)=TRUE,M12,0))))</f>
        <v/>
      </c>
      <c r="T12" s="44">
        <f>IF(D12="Sim",0,IF(AND(WEEKDAY(C12)=7,Configurações!$C$11&lt;=0)=TRUE,R12,0))</f>
        <v>0</v>
      </c>
      <c r="U12" s="44">
        <f>IF(D12="Sim",0,IF(AND(WEEKDAY(C12)=1,Configurações!$C$12&lt;=0)=TRUE,R12,0))</f>
        <v>0</v>
      </c>
      <c r="V12" s="44">
        <f>IF(D12="Sim",R12,0)</f>
        <v>0</v>
      </c>
      <c r="W12" s="4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J12,0))))</f>
        <v>0</v>
      </c>
      <c r="X12" s="45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J12,0))))</f>
        <v>0</v>
      </c>
      <c r="Y12" s="44">
        <f t="shared" ref="Y12:Y25" si="2">IF(F12="",0,IF(AND(F12&lt;(1*"22:00"),F12&gt;=(1*"5:00"),G12&lt;(1*"22:00"),G12&gt;(1*"5:00"))=TRUE,0,IF(F12&gt;=(1*"22:00"),IF(G12&gt;F12,G12-F12,G12+(1*"24:00")-F12),IF(F12&lt;(1*"5:00"),IF(G12&lt;(1*"5:00"),G12-F12,(1*"5:00")-F12),IF(G12&gt;F12,G12-(1*"22:00"),G12+(1*"24:00")-(1*"22:00"))))))</f>
        <v>0</v>
      </c>
      <c r="Z12" s="45">
        <f>IF(J12="",0,IF(AND(J12&lt;(1*"22:00"),J12&gt;=(1*"5:00"),K12&lt;(1*"22:00"),K12&gt;(1*"5:00"))=TRUE,0,IF(J12&gt;=(1*"22:00"),IF(K12&gt;J12,K12-J12,K12+(1*"24:00")-J12),IF(J12&lt;(1*"5:00"),IF(K12&lt;(1*"5:00"),K12-J12,(1*"5:00")-J12),IF(K12&gt;J12,K12-(1*"22:00"),K12+(1*"24:00")-(1*"22:00"))))))</f>
        <v>0</v>
      </c>
      <c r="AA12" s="12" t="str">
        <f>IF(D12="Sim","Não",IF(AND(WEEKDAY(C12)=1,Configurações!$C$12&gt;0),"Sim",IF(AND(WEEKDAY(C12)=2,Configurações!$C$6&gt;0),"Sim",IF(AND(WEEKDAY(C12)=3,Configurações!$C$7&gt;0),"Sim",IF(AND(WEEKDAY(C12)=4,Configurações!$C$8&gt;0),"Sim",IF(AND(WEEKDAY(C12)=5,Configurações!$C$9&gt;0),"Sim",IF(AND(WEEKDAY(C12)=6,Configurações!$C$10&gt;0),"Sim",IF(AND(WEEKDAY(C12)=7,Configurações!$C$11&gt;0),"Sim","Não"))))))))</f>
        <v>Não</v>
      </c>
      <c r="AB12" s="44">
        <f>IF(D12="Sim",0,IF(WEEKDAY(C12)=2,Configurações!$C$6-Configurações!$E$6,IF(WEEKDAY(C12)=3,Configurações!$C$7-Configurações!$E$7,IF(WEEKDAY(C12)=4,Configurações!$C$8-Configurações!$E$8,IF(WEEKDAY(C12)=5,Configurações!$C$9-Configurações!$E$9,IF(WEEKDAY(C12)=6,Configurações!$C$10-Configurações!$E$10,IF(WEEKDAY(C12)=7,Configurações!$C$11-Configurações!$E$11,IF(WEEKDAY(C12)=1,Configurações!$C$12-Configurações!$E$12,""))))))))</f>
        <v>0</v>
      </c>
      <c r="AC12" s="44">
        <f>IF(D12="Sim",0,IF(WEEKDAY(C12)=2,Configurações!$E$6,IF(WEEKDAY(C12)=3,Configurações!$E$7,IF(WEEKDAY(C12)=4,Configurações!$E$8,IF(WEEKDAY(C12)=5,Configurações!$E$9,IF(WEEKDAY(C12)=6,Configurações!$E$10,IF(WEEKDAY(C12)=7,Configurações!$E$11,IF(WEEKDAY(C12)=1,Configurações!$E$12,""))))))))</f>
        <v>0</v>
      </c>
      <c r="AD12" s="11" t="str">
        <f>IF(E12="","",IF(OR(AND(E12&gt;=(1*"22:00"),((1*"29:00")-E12-Y12)&gt;=AB12)=TRUE,AND(AND(E12&gt;=0,E12&lt;=(1*"5:00"))=TRUE,(1*"5:00")-E12-Y12&gt;=AB12)=TRUE)=TRUE,"Sumula",IF(OR(E12&gt;=(1*"22:00"),AND(E12&lt;(1*"5:00"),E12&gt;=(1*"0:00"))=TRUE)=TRUE,"Noite",IF(OR(H12&lt;E12,H12&gt;(1*"22:00"))=TRUE,"Dia",""))))</f>
        <v/>
      </c>
      <c r="AE12" s="11" t="str">
        <f>IF(I12="","",IF(OR(AND(I12&gt;=(1*"22:00"),((1*"29:00")-I12-Z12)&gt;=AB12)=TRUE,AND(AND(I12&gt;=0,I12&lt;=(1*"5:00"))=TRUE,(1*"5:00")-I12-Z12&gt;=AB12)=TRUE)=TRUE,"Sumula",IF(OR(I12&gt;=(1*"22:00"),AND(I12&lt;(1*"5:00"),I12&gt;=(1*"0:00"))=TRUE)=TRUE,"Noite",IF(OR(L12&lt;I12,L12&gt;(1*"22:00"))=TRUE,"Dia",""))))</f>
        <v/>
      </c>
      <c r="AF12" s="83">
        <f>IF(SUM(AG12:AH12)*(1/52.5*60)&gt;0,(SUM(AG12:AH12)*(1/52.5*60))-(SUM(AG12:AH12)),0)</f>
        <v>0</v>
      </c>
      <c r="AG12" s="84">
        <f>IF(E12="",0,IF(AD12="Dia",IF(AND(H12&lt;E12,H12&gt;=(1*"5:00"))=TRUE,(H12+(1*"24:00"))-(1*"22:00")-Y12-(H12-(1*"5:00")),IF(AND(H12&lt;E12,H12&lt;=(1*"5:00"))=TRUE,(H12+(1*"24:00"))-(1*"22:00")-Y12,IF(H12&gt;E12,H12-(1*"22:00")-Y12))),IF(AD12="Noite",IF(OR(H12&gt;(1*"22:00"),H12&lt;=(1*"5:00"))=TRUE,IF(E12&gt;=(1*"22:00"),IF(H12&gt;E12,H12-E12-Y12,(H12+(1*"24:00"))-E12-Y12),H12-E12-Y12),IF(E12&lt;H12,H12+(1*"24:00")-(E12+(1*"24:00"))-Y12-(H12-(1*"5:00")),H12+(1*"24:00")-E12-Y12-(H12-(1*"5:00")))),IF(AD12="Sumula",AI12,0))))</f>
        <v>0</v>
      </c>
      <c r="AH12" s="84">
        <f>IF(I12="",0,IF(AE12="Dia",IF(AND(L12&lt;I12,L12&gt;=(1*"5:00"))=TRUE,(L12+(1*"24:00"))-(1*"22:00")-Z12-(L12-(1*"5:00")),IF(AND(L12&lt;I12,L12&lt;=(1*"5:00"))=TRUE,(L12+(1*"24:00"))-(1*"22:00")-Z12,IF(L12&gt;I12,L12-(1*"22:00")-Z12))),IF(AE12="Noite",IF(OR(L12&gt;(1*"22:00"),L12&lt;=(1*"5:00"))=TRUE,IF(I12&gt;=(1*"22:00"),IF(L12&gt;I12,L12-I12-Z12,(L12+(1*"24:00"))-I12-Z12),L12-I12-Z12),IF(I12&lt;L12,L12+(1*"24:00")-(I12+(1*"24:00"))-Z12-(L12-(1*"5:00")),L12+(1*"24:00")-I12-Z12-(L12-(1*"5:00")))),IF(AE12="Sumula",AI12,0))))</f>
        <v>0</v>
      </c>
      <c r="AI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  <c r="AJ12" s="84">
        <f>(IF(E12="",0,IF(F12="",IF(H12&gt;E12,H12-E12,H12+(1*"24:00")-E12),((IF(F12&lt;E12,(F12+(1*"24:00"))-E12,F12-E12))+(IF(H12&lt;G12,(H12+(1*"24:00"))-G12,H12-G12))))))+(IF(I12="",0,IF(J12="",IF(L12&gt;I12,L12-I12,L12+(1*"24:00")-I12),((IF(J12&lt;I12,(J12+(1*"24:00"))-I12,J12-I12))+(IF(L12&lt;K12,(L12+(1*"24:00"))-K12,L12-K12))))))</f>
        <v>0</v>
      </c>
    </row>
    <row r="13" spans="1:36" x14ac:dyDescent="0.25">
      <c r="A13" s="106"/>
      <c r="B13" s="37">
        <f t="shared" ref="B13:B42" si="3">IF(MONTH($B$10+ROW()-ROW($B$10)-2) = MONTH($B$10),$B$10+ROW()-ROW($B$10)-2,"")</f>
        <v>41609</v>
      </c>
      <c r="C13" s="38">
        <f t="shared" si="0"/>
        <v>41609</v>
      </c>
      <c r="D13" s="39" t="str">
        <f>IF(B13="","",IF(VerificaSeFeriado(B13),"Sim",""))</f>
        <v/>
      </c>
      <c r="E13" s="5"/>
      <c r="F13" s="5"/>
      <c r="G13" s="5"/>
      <c r="H13" s="5"/>
      <c r="I13" s="5"/>
      <c r="J13" s="5"/>
      <c r="K13" s="5"/>
      <c r="L13" s="5"/>
      <c r="M13" s="41" t="str">
        <f t="shared" ref="M13:M42" si="4">IFERROR(IF((R13-AB13)&gt;(1*"00:00:01"),(R13-AB13),""),"")</f>
        <v/>
      </c>
      <c r="N13" s="42" t="str">
        <f t="shared" ref="N13:N42" si="5">IF(SUM(W13:X13)*(1/52.5*60)&gt;0,SUM(W13:X13)*(1/52.5*60),"")</f>
        <v/>
      </c>
      <c r="O13" s="43" t="str">
        <f t="shared" si="1"/>
        <v/>
      </c>
      <c r="P13" s="43" t="str">
        <f t="shared" ref="P13:P42" ca="1" si="6">IF(TODAY()&lt;=B13,"",IF(D13="Sim","",IF(AND(AA13="Sim",E13="",G13="",I13="",K13="")=TRUE,IF(Q13-AB13&lt;0,Q13-AB13,""),"")))</f>
        <v/>
      </c>
      <c r="Q13" s="6"/>
      <c r="R13" s="40">
        <f t="shared" ref="R13:R42" si="7">(IF(E13="",0,IF(F13="",IF(H13&gt;E13,H13-E13,H13+(1*"24:00")-E13),((IF(F13&lt;E13,(F13+(1*"24:00"))-E13,F13-E13))+(IF(H13&lt;G13,(H13+(1*"24:00"))-G13,H13-G13))))+AF13))+(IF(I13="",0,IF(J13="",IF(L13&gt;I13,L13-I13,L13+(1*"24:00")-I13),((IF(J13&lt;I13,(J13+(1*"24:00"))-I13,J13-I13))+(IF(L13&lt;K13,(L13+(1*"24:00"))-K13,L13-K13))))))</f>
        <v>0</v>
      </c>
      <c r="S13" s="44">
        <f>IF(D13="Sim",0,IF((OR(WEEKDAY(C13)=2,WEEKDAY(C13)=3,WEEKDAY(C13)=4,WEEKDAY(C13)=5,WEEKDAY(C13)=6))=TRUE,M13,IF(AND(WEEKDAY(C13)=7,Configurações!$C$11&gt;0)=TRUE,M13,IF(AND(WEEKDAY(C13)=1,Configurações!$C$12&gt;0)=TRUE,M13,0))))</f>
        <v>0</v>
      </c>
      <c r="T13" s="44">
        <f>IF(D13="Sim",0,IF(AND(WEEKDAY(C13)=7,Configurações!$C$11&lt;=0)=TRUE,R13,0))</f>
        <v>0</v>
      </c>
      <c r="U13" s="44">
        <f>IF(D13="Sim",0,IF(AND(WEEKDAY(C13)=1,Configurações!$C$12&lt;=0)=TRUE,R13,0))</f>
        <v>0</v>
      </c>
      <c r="V13" s="44">
        <f t="shared" ref="V13:V42" si="8">IF(D13="Sim",R13,0)</f>
        <v>0</v>
      </c>
      <c r="W13" s="44">
        <f t="shared" ref="W13:W42" si="9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J13,0))))</f>
        <v>0</v>
      </c>
      <c r="X13" s="45">
        <f t="shared" ref="X13:X42" si="10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J13,0))))</f>
        <v>0</v>
      </c>
      <c r="Y13" s="44">
        <f t="shared" si="2"/>
        <v>0</v>
      </c>
      <c r="Z13" s="45">
        <f t="shared" ref="Z13:Z42" si="11">IF(J13="",0,IF(AND(J13&lt;(1*"22:00"),J13&gt;=(1*"5:00"),K13&lt;(1*"22:00"),K13&gt;(1*"5:00"))=TRUE,0,IF(J13&gt;=(1*"22:00"),IF(K13&gt;J13,K13-J13,K13+(1*"24:00")-J13),IF(J13&lt;(1*"5:00"),IF(K13&lt;(1*"5:00"),K13-J13,(1*"5:00")-J13),IF(K13&gt;J13,K13-(1*"22:00"),K13+(1*"24:00")-(1*"22:00"))))))</f>
        <v>0</v>
      </c>
      <c r="AA13" s="12" t="str">
        <f>IF(D13="Sim","Não",IF(AND(WEEKDAY(C13)=1,Configurações!$C$12&gt;0),"Sim",IF(AND(WEEKDAY(C13)=2,Configurações!$C$6&gt;0),"Sim",IF(AND(WEEKDAY(C13)=3,Configurações!$C$7&gt;0),"Sim",IF(AND(WEEKDAY(C13)=4,Configurações!$C$8&gt;0),"Sim",IF(AND(WEEKDAY(C13)=5,Configurações!$C$9&gt;0),"Sim",IF(AND(WEEKDAY(C13)=6,Configurações!$C$10&gt;0),"Sim",IF(AND(WEEKDAY(C13)=7,Configurações!$C$11&gt;0),"Sim","Não"))))))))</f>
        <v>Não</v>
      </c>
      <c r="AB13" s="44">
        <f>IF(D13="Sim",0,IF(WEEKDAY(C13)=2,Configurações!$C$6-Configurações!$E$6,IF(WEEKDAY(C13)=3,Configurações!$C$7-Configurações!$E$7,IF(WEEKDAY(C13)=4,Configurações!$C$8-Configurações!$E$8,IF(WEEKDAY(C13)=5,Configurações!$C$9-Configurações!$E$9,IF(WEEKDAY(C13)=6,Configurações!$C$10-Configurações!$E$10,IF(WEEKDAY(C13)=7,Configurações!$C$11-Configurações!$E$11,IF(WEEKDAY(C13)=1,Configurações!$C$12-Configurações!$E$12,""))))))))</f>
        <v>0</v>
      </c>
      <c r="AC13" s="44">
        <f>IF(D13="Sim",0,IF(WEEKDAY(C13)=2,Configurações!$E$6,IF(WEEKDAY(C13)=3,Configurações!$E$7,IF(WEEKDAY(C13)=4,Configurações!$E$8,IF(WEEKDAY(C13)=5,Configurações!$E$9,IF(WEEKDAY(C13)=6,Configurações!$E$10,IF(WEEKDAY(C13)=7,Configurações!$E$11,IF(WEEKDAY(C13)=1,Configurações!$E$12,""))))))))</f>
        <v>0</v>
      </c>
      <c r="AD13" s="11" t="str">
        <f t="shared" ref="AD13:AD42" si="12">IF(E13="","",IF(OR(AND(E13&gt;=(1*"22:00"),((1*"29:00")-E13-Y13)&gt;=AB13)=TRUE,AND(AND(E13&gt;=0,E13&lt;=(1*"5:00"))=TRUE,(1*"5:00")-E13-Y13&gt;=AB13)=TRUE)=TRUE,"Sumula",IF(OR(E13&gt;=(1*"22:00"),AND(E13&lt;(1*"5:00"),E13&gt;=(1*"0:00"))=TRUE)=TRUE,"Noite",IF(OR(H13&lt;E13,H13&gt;(1*"22:00"))=TRUE,"Dia",""))))</f>
        <v/>
      </c>
      <c r="AE13" s="11" t="str">
        <f t="shared" ref="AE13:AE42" si="13">IF(I13="","",IF(OR(AND(I13&gt;=(1*"22:00"),((1*"29:00")-I13-Z13)&gt;=AB13)=TRUE,AND(AND(I13&gt;=0,I13&lt;=(1*"5:00"))=TRUE,(1*"5:00")-I13-Z13&gt;=AB13)=TRUE)=TRUE,"Sumula",IF(OR(I13&gt;=(1*"22:00"),AND(I13&lt;(1*"5:00"),I13&gt;=(1*"0:00"))=TRUE)=TRUE,"Noite",IF(OR(L13&lt;I13,L13&gt;(1*"22:00"))=TRUE,"Dia",""))))</f>
        <v/>
      </c>
      <c r="AF13" s="83">
        <f t="shared" ref="AF13:AF42" si="14">IF(SUM(AG13:AH13)*(1/52.5*60)&gt;0,(SUM(AG13:AH13)*(1/52.5*60))-(SUM(AG13:AH13)),0)</f>
        <v>0</v>
      </c>
      <c r="AG13" s="84">
        <f t="shared" ref="AG13:AG42" si="15">IF(E13="",0,IF(AD13="Dia",IF(AND(H13&lt;E13,H13&gt;=(1*"5:00"))=TRUE,(H13+(1*"24:00"))-(1*"22:00")-Y13-(H13-(1*"5:00")),IF(AND(H13&lt;E13,H13&lt;=(1*"5:00"))=TRUE,(H13+(1*"24:00"))-(1*"22:00")-Y13,IF(H13&gt;E13,H13-(1*"22:00")-Y13))),IF(AD13="Noite",IF(OR(H13&gt;(1*"22:00"),H13&lt;=(1*"5:00"))=TRUE,IF(E13&gt;=(1*"22:00"),IF(H13&gt;E13,H13-E13-Y13,(H13+(1*"24:00"))-E13-Y13),H13-E13-Y13),IF(E13&lt;H13,H13+(1*"24:00")-(E13+(1*"24:00"))-Y13-(H13-(1*"5:00")),H13+(1*"24:00")-E13-Y13-(H13-(1*"5:00")))),IF(AD13="Sumula",AI13,0))))</f>
        <v>0</v>
      </c>
      <c r="AH13" s="84">
        <f t="shared" ref="AH13:AH42" si="16">IF(I13="",0,IF(AE13="Dia",IF(AND(L13&lt;I13,L13&gt;=(1*"5:00"))=TRUE,(L13+(1*"24:00"))-(1*"22:00")-Z13-(L13-(1*"5:00")),IF(AND(L13&lt;I13,L13&lt;=(1*"5:00"))=TRUE,(L13+(1*"24:00"))-(1*"22:00")-Z13,IF(L13&gt;I13,L13-(1*"22:00")-Z13))),IF(AE13="Noite",IF(OR(L13&gt;(1*"22:00"),L13&lt;=(1*"5:00"))=TRUE,IF(I13&gt;=(1*"22:00"),IF(L13&gt;I13,L13-I13-Z13,(L13+(1*"24:00"))-I13-Z13),L13-I13-Z13),IF(I13&lt;L13,L13+(1*"24:00")-(I13+(1*"24:00"))-Z13-(L13-(1*"5:00")),L13+(1*"24:00")-I13-Z13-(L13-(1*"5:00")))),IF(AE13="Sumula",AI13,0))))</f>
        <v>0</v>
      </c>
      <c r="AI13" s="84">
        <f t="shared" ref="AI13:AI42" si="17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  <c r="AJ13" s="84">
        <f t="shared" ref="AJ13:AJ42" si="18">(IF(E13="",0,IF(F13="",IF(H13&gt;E13,H13-E13,H13+(1*"24:00")-E13),((IF(F13&lt;E13,(F13+(1*"24:00"))-E13,F13-E13))+(IF(H13&lt;G13,(H13+(1*"24:00"))-G13,H13-G13))))))+(IF(I13="",0,IF(J13="",IF(L13&gt;I13,L13-I13,L13+(1*"24:00")-I13),((IF(J13&lt;I13,(J13+(1*"24:00"))-I13,J13-I13))+(IF(L13&lt;K13,(L13+(1*"24:00"))-K13,L13-K13))))))</f>
        <v>0</v>
      </c>
    </row>
    <row r="14" spans="1:36" x14ac:dyDescent="0.25">
      <c r="A14" s="106"/>
      <c r="B14" s="37">
        <f t="shared" si="3"/>
        <v>41610</v>
      </c>
      <c r="C14" s="38">
        <f t="shared" si="0"/>
        <v>41610</v>
      </c>
      <c r="D14" s="39" t="str">
        <f>IF(B14="","",IF(VerificaSeFeriado(B14),"Sim",""))</f>
        <v/>
      </c>
      <c r="E14" s="5"/>
      <c r="F14" s="5"/>
      <c r="G14" s="5"/>
      <c r="H14" s="5"/>
      <c r="I14" s="5"/>
      <c r="J14" s="5"/>
      <c r="K14" s="5"/>
      <c r="L14" s="5"/>
      <c r="M14" s="41" t="str">
        <f t="shared" si="4"/>
        <v/>
      </c>
      <c r="N14" s="42" t="str">
        <f t="shared" si="5"/>
        <v/>
      </c>
      <c r="O14" s="43" t="str">
        <f t="shared" si="1"/>
        <v/>
      </c>
      <c r="P14" s="43" t="str">
        <f t="shared" ca="1" si="6"/>
        <v/>
      </c>
      <c r="Q14" s="6"/>
      <c r="R14" s="40">
        <f t="shared" si="7"/>
        <v>0</v>
      </c>
      <c r="S14" s="44">
        <f>IF(D14="Sim",0,IF((OR(WEEKDAY(C14)=2,WEEKDAY(C14)=3,WEEKDAY(C14)=4,WEEKDAY(C14)=5,WEEKDAY(C14)=6))=TRUE,M14,IF(AND(WEEKDAY(C14)=7,Configurações!$C$11&gt;0)=TRUE,M14,IF(AND(WEEKDAY(C14)=1,Configurações!$C$12&gt;0)=TRUE,M14,0))))</f>
        <v>0</v>
      </c>
      <c r="T14" s="44">
        <f>IF(D14="Sim",0,IF(AND(WEEKDAY(C14)=7,Configurações!$C$11&lt;=0)=TRUE,R14,0))</f>
        <v>0</v>
      </c>
      <c r="U14" s="44">
        <f>IF(D14="Sim",0,IF(AND(WEEKDAY(C14)=1,Configurações!$C$12&lt;=0)=TRUE,R14,0))</f>
        <v>0</v>
      </c>
      <c r="V14" s="44">
        <f t="shared" si="8"/>
        <v>0</v>
      </c>
      <c r="W14" s="44">
        <f t="shared" si="9"/>
        <v>0</v>
      </c>
      <c r="X14" s="45">
        <f t="shared" si="10"/>
        <v>0</v>
      </c>
      <c r="Y14" s="44">
        <f t="shared" si="2"/>
        <v>0</v>
      </c>
      <c r="Z14" s="45">
        <f t="shared" si="11"/>
        <v>0</v>
      </c>
      <c r="AA14" s="12" t="str">
        <f>IF(D14="Sim","Não",IF(AND(WEEKDAY(C14)=1,Configurações!$C$12&gt;0),"Sim",IF(AND(WEEKDAY(C14)=2,Configurações!$C$6&gt;0),"Sim",IF(AND(WEEKDAY(C14)=3,Configurações!$C$7&gt;0),"Sim",IF(AND(WEEKDAY(C14)=4,Configurações!$C$8&gt;0),"Sim",IF(AND(WEEKDAY(C14)=5,Configurações!$C$9&gt;0),"Sim",IF(AND(WEEKDAY(C14)=6,Configurações!$C$10&gt;0),"Sim",IF(AND(WEEKDAY(C14)=7,Configurações!$C$11&gt;0),"Sim","Não"))))))))</f>
        <v>Não</v>
      </c>
      <c r="AB14" s="44">
        <f>IF(D14="Sim",0,IF(WEEKDAY(C14)=2,Configurações!$C$6-Configurações!$E$6,IF(WEEKDAY(C14)=3,Configurações!$C$7-Configurações!$E$7,IF(WEEKDAY(C14)=4,Configurações!$C$8-Configurações!$E$8,IF(WEEKDAY(C14)=5,Configurações!$C$9-Configurações!$E$9,IF(WEEKDAY(C14)=6,Configurações!$C$10-Configurações!$E$10,IF(WEEKDAY(C14)=7,Configurações!$C$11-Configurações!$E$11,IF(WEEKDAY(C14)=1,Configurações!$C$12-Configurações!$E$12,""))))))))</f>
        <v>0</v>
      </c>
      <c r="AC14" s="44">
        <f>IF(D14="Sim",0,IF(WEEKDAY(C14)=2,Configurações!$E$6,IF(WEEKDAY(C14)=3,Configurações!$E$7,IF(WEEKDAY(C14)=4,Configurações!$E$8,IF(WEEKDAY(C14)=5,Configurações!$E$9,IF(WEEKDAY(C14)=6,Configurações!$E$10,IF(WEEKDAY(C14)=7,Configurações!$E$11,IF(WEEKDAY(C14)=1,Configurações!$E$12,""))))))))</f>
        <v>0</v>
      </c>
      <c r="AD14" s="11" t="str">
        <f t="shared" si="12"/>
        <v/>
      </c>
      <c r="AE14" s="11" t="str">
        <f t="shared" si="13"/>
        <v/>
      </c>
      <c r="AF14" s="83">
        <f t="shared" si="14"/>
        <v>0</v>
      </c>
      <c r="AG14" s="84">
        <f t="shared" si="15"/>
        <v>0</v>
      </c>
      <c r="AH14" s="84">
        <f t="shared" si="16"/>
        <v>0</v>
      </c>
      <c r="AI14" s="84">
        <f t="shared" si="17"/>
        <v>0</v>
      </c>
      <c r="AJ14" s="84">
        <f t="shared" si="18"/>
        <v>0</v>
      </c>
    </row>
    <row r="15" spans="1:36" x14ac:dyDescent="0.25">
      <c r="A15" s="106"/>
      <c r="B15" s="37">
        <f t="shared" si="3"/>
        <v>41611</v>
      </c>
      <c r="C15" s="38">
        <f t="shared" si="0"/>
        <v>41611</v>
      </c>
      <c r="D15" s="39" t="str">
        <f>IF(B15="","",IF(VerificaSeFeriado(B15),"Sim",""))</f>
        <v/>
      </c>
      <c r="E15" s="5"/>
      <c r="F15" s="5"/>
      <c r="G15" s="5"/>
      <c r="H15" s="5"/>
      <c r="I15" s="5"/>
      <c r="J15" s="5"/>
      <c r="K15" s="5"/>
      <c r="L15" s="5"/>
      <c r="M15" s="41" t="str">
        <f t="shared" si="4"/>
        <v/>
      </c>
      <c r="N15" s="42" t="str">
        <f t="shared" si="5"/>
        <v/>
      </c>
      <c r="O15" s="43" t="str">
        <f t="shared" si="1"/>
        <v/>
      </c>
      <c r="P15" s="43" t="str">
        <f t="shared" ca="1" si="6"/>
        <v/>
      </c>
      <c r="Q15" s="6"/>
      <c r="R15" s="40">
        <f t="shared" si="7"/>
        <v>0</v>
      </c>
      <c r="S15" s="44" t="str">
        <f>IF(D15="Sim",0,IF((OR(WEEKDAY(C15)=2,WEEKDAY(C15)=3,WEEKDAY(C15)=4,WEEKDAY(C15)=5,WEEKDAY(C15)=6))=TRUE,M15,IF(AND(WEEKDAY(C15)=7,Configurações!$C$11&gt;0)=TRUE,M15,IF(AND(WEEKDAY(C15)=1,Configurações!$C$12&gt;0)=TRUE,M15,0))))</f>
        <v/>
      </c>
      <c r="T15" s="44">
        <f>IF(D15="Sim",0,IF(AND(WEEKDAY(C15)=7,Configurações!$C$11&lt;=0)=TRUE,R15,0))</f>
        <v>0</v>
      </c>
      <c r="U15" s="44">
        <f>IF(D15="Sim",0,IF(AND(WEEKDAY(C15)=1,Configurações!$C$12&lt;=0)=TRUE,R15,0))</f>
        <v>0</v>
      </c>
      <c r="V15" s="44">
        <f t="shared" si="8"/>
        <v>0</v>
      </c>
      <c r="W15" s="44">
        <f t="shared" si="9"/>
        <v>0</v>
      </c>
      <c r="X15" s="45">
        <f t="shared" si="10"/>
        <v>0</v>
      </c>
      <c r="Y15" s="44">
        <f t="shared" si="2"/>
        <v>0</v>
      </c>
      <c r="Z15" s="45">
        <f t="shared" si="11"/>
        <v>0</v>
      </c>
      <c r="AA15" s="12" t="str">
        <f>IF(D15="Sim","Não",IF(AND(WEEKDAY(C15)=1,Configurações!$C$12&gt;0),"Sim",IF(AND(WEEKDAY(C15)=2,Configurações!$C$6&gt;0),"Sim",IF(AND(WEEKDAY(C15)=3,Configurações!$C$7&gt;0),"Sim",IF(AND(WEEKDAY(C15)=4,Configurações!$C$8&gt;0),"Sim",IF(AND(WEEKDAY(C15)=5,Configurações!$C$9&gt;0),"Sim",IF(AND(WEEKDAY(C15)=6,Configurações!$C$10&gt;0),"Sim",IF(AND(WEEKDAY(C15)=7,Configurações!$C$11&gt;0),"Sim","Não"))))))))</f>
        <v>Não</v>
      </c>
      <c r="AB15" s="44">
        <f>IF(D15="Sim",0,IF(WEEKDAY(C15)=2,Configurações!$C$6-Configurações!$E$6,IF(WEEKDAY(C15)=3,Configurações!$C$7-Configurações!$E$7,IF(WEEKDAY(C15)=4,Configurações!$C$8-Configurações!$E$8,IF(WEEKDAY(C15)=5,Configurações!$C$9-Configurações!$E$9,IF(WEEKDAY(C15)=6,Configurações!$C$10-Configurações!$E$10,IF(WEEKDAY(C15)=7,Configurações!$C$11-Configurações!$E$11,IF(WEEKDAY(C15)=1,Configurações!$C$12-Configurações!$E$12,""))))))))</f>
        <v>0</v>
      </c>
      <c r="AC15" s="44">
        <f>IF(D15="Sim",0,IF(WEEKDAY(C15)=2,Configurações!$E$6,IF(WEEKDAY(C15)=3,Configurações!$E$7,IF(WEEKDAY(C15)=4,Configurações!$E$8,IF(WEEKDAY(C15)=5,Configurações!$E$9,IF(WEEKDAY(C15)=6,Configurações!$E$10,IF(WEEKDAY(C15)=7,Configurações!$E$11,IF(WEEKDAY(C15)=1,Configurações!$E$12,""))))))))</f>
        <v>0</v>
      </c>
      <c r="AD15" s="11" t="str">
        <f t="shared" si="12"/>
        <v/>
      </c>
      <c r="AE15" s="11" t="str">
        <f t="shared" si="13"/>
        <v/>
      </c>
      <c r="AF15" s="83">
        <f t="shared" si="14"/>
        <v>0</v>
      </c>
      <c r="AG15" s="84">
        <f t="shared" si="15"/>
        <v>0</v>
      </c>
      <c r="AH15" s="84">
        <f t="shared" si="16"/>
        <v>0</v>
      </c>
      <c r="AI15" s="84">
        <f t="shared" si="17"/>
        <v>0</v>
      </c>
      <c r="AJ15" s="84">
        <f t="shared" si="18"/>
        <v>0</v>
      </c>
    </row>
    <row r="16" spans="1:36" x14ac:dyDescent="0.25">
      <c r="A16" s="106"/>
      <c r="B16" s="37">
        <f t="shared" si="3"/>
        <v>41612</v>
      </c>
      <c r="C16" s="38">
        <f t="shared" si="0"/>
        <v>41612</v>
      </c>
      <c r="D16" s="39" t="str">
        <f>IF(B16="","",IF(VerificaSeFeriado(B16),"Sim",""))</f>
        <v/>
      </c>
      <c r="E16" s="5"/>
      <c r="F16" s="5"/>
      <c r="G16" s="5"/>
      <c r="H16" s="5"/>
      <c r="I16" s="5"/>
      <c r="J16" s="5"/>
      <c r="K16" s="5"/>
      <c r="L16" s="5"/>
      <c r="M16" s="41" t="str">
        <f t="shared" si="4"/>
        <v/>
      </c>
      <c r="N16" s="42" t="str">
        <f t="shared" si="5"/>
        <v/>
      </c>
      <c r="O16" s="43" t="str">
        <f>IF(OR(D16="Sim",E16="")=TRUE,"",IF((R16-AB16)&gt;=(-"00:00:01"),"",(R16-AB16)))</f>
        <v/>
      </c>
      <c r="P16" s="43" t="str">
        <f t="shared" ca="1" si="6"/>
        <v/>
      </c>
      <c r="Q16" s="6"/>
      <c r="R16" s="40">
        <f t="shared" si="7"/>
        <v>0</v>
      </c>
      <c r="S16" s="44" t="str">
        <f>IF(D16="Sim",0,IF((OR(WEEKDAY(C16)=2,WEEKDAY(C16)=3,WEEKDAY(C16)=4,WEEKDAY(C16)=5,WEEKDAY(C16)=6))=TRUE,M16,IF(AND(WEEKDAY(C16)=7,Configurações!$C$11&gt;0)=TRUE,M16,IF(AND(WEEKDAY(C16)=1,Configurações!$C$12&gt;0)=TRUE,M16,0))))</f>
        <v/>
      </c>
      <c r="T16" s="44">
        <f>IF(D16="Sim",0,IF(AND(WEEKDAY(C16)=7,Configurações!$C$11&lt;=0)=TRUE,R16,0))</f>
        <v>0</v>
      </c>
      <c r="U16" s="44">
        <f>IF(D16="Sim",0,IF(AND(WEEKDAY(C16)=1,Configurações!$C$12&lt;=0)=TRUE,R16,0))</f>
        <v>0</v>
      </c>
      <c r="V16" s="44">
        <f t="shared" si="8"/>
        <v>0</v>
      </c>
      <c r="W16" s="44">
        <f t="shared" si="9"/>
        <v>0</v>
      </c>
      <c r="X16" s="45">
        <f t="shared" si="10"/>
        <v>0</v>
      </c>
      <c r="Y16" s="44">
        <f t="shared" si="2"/>
        <v>0</v>
      </c>
      <c r="Z16" s="45">
        <f t="shared" si="11"/>
        <v>0</v>
      </c>
      <c r="AA16" s="12" t="str">
        <f>IF(D16="Sim","Não",IF(AND(WEEKDAY(C16)=1,Configurações!$C$12&gt;0),"Sim",IF(AND(WEEKDAY(C16)=2,Configurações!$C$6&gt;0),"Sim",IF(AND(WEEKDAY(C16)=3,Configurações!$C$7&gt;0),"Sim",IF(AND(WEEKDAY(C16)=4,Configurações!$C$8&gt;0),"Sim",IF(AND(WEEKDAY(C16)=5,Configurações!$C$9&gt;0),"Sim",IF(AND(WEEKDAY(C16)=6,Configurações!$C$10&gt;0),"Sim",IF(AND(WEEKDAY(C16)=7,Configurações!$C$11&gt;0),"Sim","Não"))))))))</f>
        <v>Não</v>
      </c>
      <c r="AB16" s="44">
        <f>IF(D16="Sim",0,IF(WEEKDAY(C16)=2,Configurações!$C$6-Configurações!$E$6,IF(WEEKDAY(C16)=3,Configurações!$C$7-Configurações!$E$7,IF(WEEKDAY(C16)=4,Configurações!$C$8-Configurações!$E$8,IF(WEEKDAY(C16)=5,Configurações!$C$9-Configurações!$E$9,IF(WEEKDAY(C16)=6,Configurações!$C$10-Configurações!$E$10,IF(WEEKDAY(C16)=7,Configurações!$C$11-Configurações!$E$11,IF(WEEKDAY(C16)=1,Configurações!$C$12-Configurações!$E$12,""))))))))</f>
        <v>0</v>
      </c>
      <c r="AC16" s="44">
        <f>IF(D16="Sim",0,IF(WEEKDAY(C16)=2,Configurações!$E$6,IF(WEEKDAY(C16)=3,Configurações!$E$7,IF(WEEKDAY(C16)=4,Configurações!$E$8,IF(WEEKDAY(C16)=5,Configurações!$E$9,IF(WEEKDAY(C16)=6,Configurações!$E$10,IF(WEEKDAY(C16)=7,Configurações!$E$11,IF(WEEKDAY(C16)=1,Configurações!$E$12,""))))))))</f>
        <v>0</v>
      </c>
      <c r="AD16" s="11" t="str">
        <f t="shared" si="12"/>
        <v/>
      </c>
      <c r="AE16" s="11" t="str">
        <f t="shared" si="13"/>
        <v/>
      </c>
      <c r="AF16" s="83">
        <f t="shared" si="14"/>
        <v>0</v>
      </c>
      <c r="AG16" s="84">
        <f t="shared" si="15"/>
        <v>0</v>
      </c>
      <c r="AH16" s="84">
        <f t="shared" si="16"/>
        <v>0</v>
      </c>
      <c r="AI16" s="84">
        <f t="shared" si="17"/>
        <v>0</v>
      </c>
      <c r="AJ16" s="84">
        <f t="shared" si="18"/>
        <v>0</v>
      </c>
    </row>
    <row r="17" spans="1:36" x14ac:dyDescent="0.25">
      <c r="A17" s="106"/>
      <c r="B17" s="37">
        <f t="shared" si="3"/>
        <v>41613</v>
      </c>
      <c r="C17" s="38">
        <f t="shared" si="0"/>
        <v>41613</v>
      </c>
      <c r="D17" s="39" t="str">
        <f>IF(B17="","",IF(VerificaSeFeriado(B17),"Sim",""))</f>
        <v/>
      </c>
      <c r="E17" s="5"/>
      <c r="F17" s="5"/>
      <c r="G17" s="5"/>
      <c r="H17" s="5"/>
      <c r="I17" s="5"/>
      <c r="J17" s="5"/>
      <c r="K17" s="5"/>
      <c r="L17" s="5"/>
      <c r="M17" s="41" t="str">
        <f t="shared" si="4"/>
        <v/>
      </c>
      <c r="N17" s="42" t="str">
        <f t="shared" si="5"/>
        <v/>
      </c>
      <c r="O17" s="43" t="str">
        <f>IF(OR(D17="Sim",E17="")=TRUE,"",IF((R17-AB17)&gt;=(-"00:00:01"),"",(R17-AB17)))</f>
        <v/>
      </c>
      <c r="P17" s="43" t="str">
        <f t="shared" ca="1" si="6"/>
        <v/>
      </c>
      <c r="Q17" s="6"/>
      <c r="R17" s="40">
        <f t="shared" si="7"/>
        <v>0</v>
      </c>
      <c r="S17" s="44" t="str">
        <f>IF(D17="Sim",0,IF((OR(WEEKDAY(C17)=2,WEEKDAY(C17)=3,WEEKDAY(C17)=4,WEEKDAY(C17)=5,WEEKDAY(C17)=6))=TRUE,M17,IF(AND(WEEKDAY(C17)=7,Configurações!$C$11&gt;0)=TRUE,M17,IF(AND(WEEKDAY(C17)=1,Configurações!$C$12&gt;0)=TRUE,M17,0))))</f>
        <v/>
      </c>
      <c r="T17" s="44">
        <f>IF(D17="Sim",0,IF(AND(WEEKDAY(C17)=7,Configurações!$C$11&lt;=0)=TRUE,R17,0))</f>
        <v>0</v>
      </c>
      <c r="U17" s="44">
        <f>IF(D17="Sim",0,IF(AND(WEEKDAY(C17)=1,Configurações!$C$12&lt;=0)=TRUE,R17,0))</f>
        <v>0</v>
      </c>
      <c r="V17" s="44">
        <f t="shared" si="8"/>
        <v>0</v>
      </c>
      <c r="W17" s="44">
        <f t="shared" si="9"/>
        <v>0</v>
      </c>
      <c r="X17" s="45">
        <f t="shared" si="10"/>
        <v>0</v>
      </c>
      <c r="Y17" s="44">
        <f t="shared" si="2"/>
        <v>0</v>
      </c>
      <c r="Z17" s="45">
        <f t="shared" si="11"/>
        <v>0</v>
      </c>
      <c r="AA17" s="12" t="str">
        <f>IF(D17="Sim","Não",IF(AND(WEEKDAY(C17)=1,Configurações!$C$12&gt;0),"Sim",IF(AND(WEEKDAY(C17)=2,Configurações!$C$6&gt;0),"Sim",IF(AND(WEEKDAY(C17)=3,Configurações!$C$7&gt;0),"Sim",IF(AND(WEEKDAY(C17)=4,Configurações!$C$8&gt;0),"Sim",IF(AND(WEEKDAY(C17)=5,Configurações!$C$9&gt;0),"Sim",IF(AND(WEEKDAY(C17)=6,Configurações!$C$10&gt;0),"Sim",IF(AND(WEEKDAY(C17)=7,Configurações!$C$11&gt;0),"Sim","Não"))))))))</f>
        <v>Não</v>
      </c>
      <c r="AB17" s="44">
        <f>IF(D17="Sim",0,IF(WEEKDAY(C17)=2,Configurações!$C$6-Configurações!$E$6,IF(WEEKDAY(C17)=3,Configurações!$C$7-Configurações!$E$7,IF(WEEKDAY(C17)=4,Configurações!$C$8-Configurações!$E$8,IF(WEEKDAY(C17)=5,Configurações!$C$9-Configurações!$E$9,IF(WEEKDAY(C17)=6,Configurações!$C$10-Configurações!$E$10,IF(WEEKDAY(C17)=7,Configurações!$C$11-Configurações!$E$11,IF(WEEKDAY(C17)=1,Configurações!$C$12-Configurações!$E$12,""))))))))</f>
        <v>0</v>
      </c>
      <c r="AC17" s="44">
        <f>IF(D17="Sim",0,IF(WEEKDAY(C17)=2,Configurações!$E$6,IF(WEEKDAY(C17)=3,Configurações!$E$7,IF(WEEKDAY(C17)=4,Configurações!$E$8,IF(WEEKDAY(C17)=5,Configurações!$E$9,IF(WEEKDAY(C17)=6,Configurações!$E$10,IF(WEEKDAY(C17)=7,Configurações!$E$11,IF(WEEKDAY(C17)=1,Configurações!$E$12,""))))))))</f>
        <v>0</v>
      </c>
      <c r="AD17" s="11" t="str">
        <f t="shared" si="12"/>
        <v/>
      </c>
      <c r="AE17" s="11" t="str">
        <f t="shared" si="13"/>
        <v/>
      </c>
      <c r="AF17" s="83">
        <f t="shared" si="14"/>
        <v>0</v>
      </c>
      <c r="AG17" s="84">
        <f t="shared" si="15"/>
        <v>0</v>
      </c>
      <c r="AH17" s="84">
        <f t="shared" si="16"/>
        <v>0</v>
      </c>
      <c r="AI17" s="84">
        <f t="shared" si="17"/>
        <v>0</v>
      </c>
      <c r="AJ17" s="84">
        <f t="shared" si="18"/>
        <v>0</v>
      </c>
    </row>
    <row r="18" spans="1:36" x14ac:dyDescent="0.25">
      <c r="A18" s="106"/>
      <c r="B18" s="37">
        <f t="shared" si="3"/>
        <v>41614</v>
      </c>
      <c r="C18" s="38">
        <f t="shared" si="0"/>
        <v>41614</v>
      </c>
      <c r="D18" s="39" t="str">
        <f>IF(B18="","",IF(VerificaSeFeriado(B18),"Sim",""))</f>
        <v/>
      </c>
      <c r="E18" s="5"/>
      <c r="F18" s="5"/>
      <c r="G18" s="5"/>
      <c r="H18" s="5"/>
      <c r="I18" s="5"/>
      <c r="J18" s="5"/>
      <c r="K18" s="5"/>
      <c r="L18" s="5"/>
      <c r="M18" s="41" t="str">
        <f t="shared" si="4"/>
        <v/>
      </c>
      <c r="N18" s="42" t="str">
        <f t="shared" si="5"/>
        <v/>
      </c>
      <c r="O18" s="43" t="str">
        <f t="shared" ref="O18:O42" si="19">IF(OR(D18="Sim",E18="")=TRUE,"",IF((R18-AB18)&gt;=(-"00:00:01"),"",(R18-AB18)))</f>
        <v/>
      </c>
      <c r="P18" s="43" t="str">
        <f t="shared" ca="1" si="6"/>
        <v/>
      </c>
      <c r="Q18" s="6"/>
      <c r="R18" s="40">
        <f t="shared" si="7"/>
        <v>0</v>
      </c>
      <c r="S18" s="44" t="str">
        <f>IF(D18="Sim",0,IF((OR(WEEKDAY(C18)=2,WEEKDAY(C18)=3,WEEKDAY(C18)=4,WEEKDAY(C18)=5,WEEKDAY(C18)=6))=TRUE,M18,IF(AND(WEEKDAY(C18)=7,Configurações!$C$11&gt;0)=TRUE,M18,IF(AND(WEEKDAY(C18)=1,Configurações!$C$12&gt;0)=TRUE,M18,0))))</f>
        <v/>
      </c>
      <c r="T18" s="44">
        <f>IF(D18="Sim",0,IF(AND(WEEKDAY(C18)=7,Configurações!$C$11&lt;=0)=TRUE,R18,0))</f>
        <v>0</v>
      </c>
      <c r="U18" s="44">
        <f>IF(D18="Sim",0,IF(AND(WEEKDAY(C18)=1,Configurações!$C$12&lt;=0)=TRUE,R18,0))</f>
        <v>0</v>
      </c>
      <c r="V18" s="44">
        <f t="shared" si="8"/>
        <v>0</v>
      </c>
      <c r="W18" s="44">
        <f t="shared" si="9"/>
        <v>0</v>
      </c>
      <c r="X18" s="45">
        <f t="shared" si="10"/>
        <v>0</v>
      </c>
      <c r="Y18" s="44">
        <f t="shared" si="2"/>
        <v>0</v>
      </c>
      <c r="Z18" s="45">
        <f t="shared" si="11"/>
        <v>0</v>
      </c>
      <c r="AA18" s="12" t="str">
        <f>IF(D18="Sim","Não",IF(AND(WEEKDAY(C18)=1,Configurações!$C$12&gt;0),"Sim",IF(AND(WEEKDAY(C18)=2,Configurações!$C$6&gt;0),"Sim",IF(AND(WEEKDAY(C18)=3,Configurações!$C$7&gt;0),"Sim",IF(AND(WEEKDAY(C18)=4,Configurações!$C$8&gt;0),"Sim",IF(AND(WEEKDAY(C18)=5,Configurações!$C$9&gt;0),"Sim",IF(AND(WEEKDAY(C18)=6,Configurações!$C$10&gt;0),"Sim",IF(AND(WEEKDAY(C18)=7,Configurações!$C$11&gt;0),"Sim","Não"))))))))</f>
        <v>Não</v>
      </c>
      <c r="AB18" s="44">
        <f>IF(D18="Sim",0,IF(WEEKDAY(C18)=2,Configurações!$C$6-Configurações!$E$6,IF(WEEKDAY(C18)=3,Configurações!$C$7-Configurações!$E$7,IF(WEEKDAY(C18)=4,Configurações!$C$8-Configurações!$E$8,IF(WEEKDAY(C18)=5,Configurações!$C$9-Configurações!$E$9,IF(WEEKDAY(C18)=6,Configurações!$C$10-Configurações!$E$10,IF(WEEKDAY(C18)=7,Configurações!$C$11-Configurações!$E$11,IF(WEEKDAY(C18)=1,Configurações!$C$12-Configurações!$E$12,""))))))))</f>
        <v>0</v>
      </c>
      <c r="AC18" s="44">
        <f>IF(D18="Sim",0,IF(WEEKDAY(C18)=2,Configurações!$E$6,IF(WEEKDAY(C18)=3,Configurações!$E$7,IF(WEEKDAY(C18)=4,Configurações!$E$8,IF(WEEKDAY(C18)=5,Configurações!$E$9,IF(WEEKDAY(C18)=6,Configurações!$E$10,IF(WEEKDAY(C18)=7,Configurações!$E$11,IF(WEEKDAY(C18)=1,Configurações!$E$12,""))))))))</f>
        <v>0</v>
      </c>
      <c r="AD18" s="11" t="str">
        <f t="shared" si="12"/>
        <v/>
      </c>
      <c r="AE18" s="11" t="str">
        <f t="shared" si="13"/>
        <v/>
      </c>
      <c r="AF18" s="83">
        <f t="shared" si="14"/>
        <v>0</v>
      </c>
      <c r="AG18" s="84">
        <f t="shared" si="15"/>
        <v>0</v>
      </c>
      <c r="AH18" s="84">
        <f t="shared" si="16"/>
        <v>0</v>
      </c>
      <c r="AI18" s="84">
        <f t="shared" si="17"/>
        <v>0</v>
      </c>
      <c r="AJ18" s="84">
        <f t="shared" si="18"/>
        <v>0</v>
      </c>
    </row>
    <row r="19" spans="1:36" x14ac:dyDescent="0.25">
      <c r="A19" s="106"/>
      <c r="B19" s="37">
        <f t="shared" si="3"/>
        <v>41615</v>
      </c>
      <c r="C19" s="38">
        <f t="shared" si="0"/>
        <v>41615</v>
      </c>
      <c r="D19" s="39" t="str">
        <f>IF(B19="","",IF(VerificaSeFeriado(B19),"Sim",""))</f>
        <v/>
      </c>
      <c r="E19" s="5"/>
      <c r="F19" s="5"/>
      <c r="G19" s="5"/>
      <c r="H19" s="5"/>
      <c r="I19" s="5"/>
      <c r="J19" s="5"/>
      <c r="K19" s="5"/>
      <c r="L19" s="5"/>
      <c r="M19" s="41" t="str">
        <f t="shared" si="4"/>
        <v/>
      </c>
      <c r="N19" s="42" t="str">
        <f t="shared" si="5"/>
        <v/>
      </c>
      <c r="O19" s="43" t="str">
        <f t="shared" si="19"/>
        <v/>
      </c>
      <c r="P19" s="43" t="str">
        <f t="shared" ca="1" si="6"/>
        <v/>
      </c>
      <c r="Q19" s="6"/>
      <c r="R19" s="40">
        <f t="shared" si="7"/>
        <v>0</v>
      </c>
      <c r="S19" s="44" t="str">
        <f>IF(D19="Sim",0,IF((OR(WEEKDAY(C19)=2,WEEKDAY(C19)=3,WEEKDAY(C19)=4,WEEKDAY(C19)=5,WEEKDAY(C19)=6))=TRUE,M19,IF(AND(WEEKDAY(C19)=7,Configurações!$C$11&gt;0)=TRUE,M19,IF(AND(WEEKDAY(C19)=1,Configurações!$C$12&gt;0)=TRUE,M19,0))))</f>
        <v/>
      </c>
      <c r="T19" s="44">
        <f>IF(D19="Sim",0,IF(AND(WEEKDAY(C19)=7,Configurações!$C$11&lt;=0)=TRUE,R19,0))</f>
        <v>0</v>
      </c>
      <c r="U19" s="44">
        <f>IF(D19="Sim",0,IF(AND(WEEKDAY(C19)=1,Configurações!$C$12&lt;=0)=TRUE,R19,0))</f>
        <v>0</v>
      </c>
      <c r="V19" s="44">
        <f t="shared" si="8"/>
        <v>0</v>
      </c>
      <c r="W19" s="44">
        <f t="shared" si="9"/>
        <v>0</v>
      </c>
      <c r="X19" s="45">
        <f t="shared" si="10"/>
        <v>0</v>
      </c>
      <c r="Y19" s="44">
        <f t="shared" si="2"/>
        <v>0</v>
      </c>
      <c r="Z19" s="45">
        <f t="shared" si="11"/>
        <v>0</v>
      </c>
      <c r="AA19" s="12" t="str">
        <f>IF(D19="Sim","Não",IF(AND(WEEKDAY(C19)=1,Configurações!$C$12&gt;0),"Sim",IF(AND(WEEKDAY(C19)=2,Configurações!$C$6&gt;0),"Sim",IF(AND(WEEKDAY(C19)=3,Configurações!$C$7&gt;0),"Sim",IF(AND(WEEKDAY(C19)=4,Configurações!$C$8&gt;0),"Sim",IF(AND(WEEKDAY(C19)=5,Configurações!$C$9&gt;0),"Sim",IF(AND(WEEKDAY(C19)=6,Configurações!$C$10&gt;0),"Sim",IF(AND(WEEKDAY(C19)=7,Configurações!$C$11&gt;0),"Sim","Não"))))))))</f>
        <v>Não</v>
      </c>
      <c r="AB19" s="44">
        <f>IF(D19="Sim",0,IF(WEEKDAY(C19)=2,Configurações!$C$6-Configurações!$E$6,IF(WEEKDAY(C19)=3,Configurações!$C$7-Configurações!$E$7,IF(WEEKDAY(C19)=4,Configurações!$C$8-Configurações!$E$8,IF(WEEKDAY(C19)=5,Configurações!$C$9-Configurações!$E$9,IF(WEEKDAY(C19)=6,Configurações!$C$10-Configurações!$E$10,IF(WEEKDAY(C19)=7,Configurações!$C$11-Configurações!$E$11,IF(WEEKDAY(C19)=1,Configurações!$C$12-Configurações!$E$12,""))))))))</f>
        <v>0</v>
      </c>
      <c r="AC19" s="44">
        <f>IF(D19="Sim",0,IF(WEEKDAY(C19)=2,Configurações!$E$6,IF(WEEKDAY(C19)=3,Configurações!$E$7,IF(WEEKDAY(C19)=4,Configurações!$E$8,IF(WEEKDAY(C19)=5,Configurações!$E$9,IF(WEEKDAY(C19)=6,Configurações!$E$10,IF(WEEKDAY(C19)=7,Configurações!$E$11,IF(WEEKDAY(C19)=1,Configurações!$E$12,""))))))))</f>
        <v>0</v>
      </c>
      <c r="AD19" s="11" t="str">
        <f t="shared" si="12"/>
        <v/>
      </c>
      <c r="AE19" s="11" t="str">
        <f t="shared" si="13"/>
        <v/>
      </c>
      <c r="AF19" s="83">
        <f t="shared" si="14"/>
        <v>0</v>
      </c>
      <c r="AG19" s="84">
        <f t="shared" si="15"/>
        <v>0</v>
      </c>
      <c r="AH19" s="84">
        <f t="shared" si="16"/>
        <v>0</v>
      </c>
      <c r="AI19" s="84">
        <f t="shared" si="17"/>
        <v>0</v>
      </c>
      <c r="AJ19" s="84">
        <f t="shared" si="18"/>
        <v>0</v>
      </c>
    </row>
    <row r="20" spans="1:36" x14ac:dyDescent="0.25">
      <c r="A20" s="106"/>
      <c r="B20" s="37">
        <f t="shared" si="3"/>
        <v>41616</v>
      </c>
      <c r="C20" s="38">
        <f t="shared" si="0"/>
        <v>41616</v>
      </c>
      <c r="D20" s="39" t="str">
        <f>IF(B20="","",IF(VerificaSeFeriado(B20),"Sim",""))</f>
        <v/>
      </c>
      <c r="E20" s="5"/>
      <c r="F20" s="5"/>
      <c r="G20" s="5"/>
      <c r="H20" s="5"/>
      <c r="I20" s="5"/>
      <c r="J20" s="5"/>
      <c r="K20" s="5"/>
      <c r="L20" s="5"/>
      <c r="M20" s="41" t="str">
        <f t="shared" si="4"/>
        <v/>
      </c>
      <c r="N20" s="42" t="str">
        <f t="shared" si="5"/>
        <v/>
      </c>
      <c r="O20" s="43" t="str">
        <f t="shared" si="19"/>
        <v/>
      </c>
      <c r="P20" s="43" t="str">
        <f t="shared" ca="1" si="6"/>
        <v/>
      </c>
      <c r="Q20" s="6"/>
      <c r="R20" s="40">
        <f t="shared" si="7"/>
        <v>0</v>
      </c>
      <c r="S20" s="44">
        <f>IF(D20="Sim",0,IF((OR(WEEKDAY(C20)=2,WEEKDAY(C20)=3,WEEKDAY(C20)=4,WEEKDAY(C20)=5,WEEKDAY(C20)=6))=TRUE,M20,IF(AND(WEEKDAY(C20)=7,Configurações!$C$11&gt;0)=TRUE,M20,IF(AND(WEEKDAY(C20)=1,Configurações!$C$12&gt;0)=TRUE,M20,0))))</f>
        <v>0</v>
      </c>
      <c r="T20" s="44">
        <f>IF(D20="Sim",0,IF(AND(WEEKDAY(C20)=7,Configurações!$C$11&lt;=0)=TRUE,R20,0))</f>
        <v>0</v>
      </c>
      <c r="U20" s="44">
        <f>IF(D20="Sim",0,IF(AND(WEEKDAY(C20)=1,Configurações!$C$12&lt;=0)=TRUE,R20,0))</f>
        <v>0</v>
      </c>
      <c r="V20" s="44">
        <f t="shared" si="8"/>
        <v>0</v>
      </c>
      <c r="W20" s="44">
        <f t="shared" si="9"/>
        <v>0</v>
      </c>
      <c r="X20" s="45">
        <f t="shared" si="10"/>
        <v>0</v>
      </c>
      <c r="Y20" s="44">
        <f t="shared" si="2"/>
        <v>0</v>
      </c>
      <c r="Z20" s="45">
        <f t="shared" si="11"/>
        <v>0</v>
      </c>
      <c r="AA20" s="12" t="str">
        <f>IF(D20="Sim","Não",IF(AND(WEEKDAY(C20)=1,Configurações!$C$12&gt;0),"Sim",IF(AND(WEEKDAY(C20)=2,Configurações!$C$6&gt;0),"Sim",IF(AND(WEEKDAY(C20)=3,Configurações!$C$7&gt;0),"Sim",IF(AND(WEEKDAY(C20)=4,Configurações!$C$8&gt;0),"Sim",IF(AND(WEEKDAY(C20)=5,Configurações!$C$9&gt;0),"Sim",IF(AND(WEEKDAY(C20)=6,Configurações!$C$10&gt;0),"Sim",IF(AND(WEEKDAY(C20)=7,Configurações!$C$11&gt;0),"Sim","Não"))))))))</f>
        <v>Não</v>
      </c>
      <c r="AB20" s="44">
        <f>IF(D20="Sim",0,IF(WEEKDAY(C20)=2,Configurações!$C$6-Configurações!$E$6,IF(WEEKDAY(C20)=3,Configurações!$C$7-Configurações!$E$7,IF(WEEKDAY(C20)=4,Configurações!$C$8-Configurações!$E$8,IF(WEEKDAY(C20)=5,Configurações!$C$9-Configurações!$E$9,IF(WEEKDAY(C20)=6,Configurações!$C$10-Configurações!$E$10,IF(WEEKDAY(C20)=7,Configurações!$C$11-Configurações!$E$11,IF(WEEKDAY(C20)=1,Configurações!$C$12-Configurações!$E$12,""))))))))</f>
        <v>0</v>
      </c>
      <c r="AC20" s="44">
        <f>IF(D20="Sim",0,IF(WEEKDAY(C20)=2,Configurações!$E$6,IF(WEEKDAY(C20)=3,Configurações!$E$7,IF(WEEKDAY(C20)=4,Configurações!$E$8,IF(WEEKDAY(C20)=5,Configurações!$E$9,IF(WEEKDAY(C20)=6,Configurações!$E$10,IF(WEEKDAY(C20)=7,Configurações!$E$11,IF(WEEKDAY(C20)=1,Configurações!$E$12,""))))))))</f>
        <v>0</v>
      </c>
      <c r="AD20" s="11" t="str">
        <f t="shared" si="12"/>
        <v/>
      </c>
      <c r="AE20" s="11" t="str">
        <f t="shared" si="13"/>
        <v/>
      </c>
      <c r="AF20" s="83">
        <f t="shared" si="14"/>
        <v>0</v>
      </c>
      <c r="AG20" s="84">
        <f t="shared" si="15"/>
        <v>0</v>
      </c>
      <c r="AH20" s="84">
        <f t="shared" si="16"/>
        <v>0</v>
      </c>
      <c r="AI20" s="84">
        <f t="shared" si="17"/>
        <v>0</v>
      </c>
      <c r="AJ20" s="84">
        <f t="shared" si="18"/>
        <v>0</v>
      </c>
    </row>
    <row r="21" spans="1:36" x14ac:dyDescent="0.25">
      <c r="A21" s="106"/>
      <c r="B21" s="37">
        <f t="shared" si="3"/>
        <v>41617</v>
      </c>
      <c r="C21" s="38">
        <f t="shared" si="0"/>
        <v>41617</v>
      </c>
      <c r="D21" s="39" t="str">
        <f>IF(B21="","",IF(VerificaSeFeriado(B21),"Sim",""))</f>
        <v/>
      </c>
      <c r="E21" s="5"/>
      <c r="F21" s="5"/>
      <c r="G21" s="5"/>
      <c r="H21" s="5"/>
      <c r="I21" s="5"/>
      <c r="J21" s="5"/>
      <c r="K21" s="5"/>
      <c r="L21" s="5"/>
      <c r="M21" s="41" t="str">
        <f t="shared" si="4"/>
        <v/>
      </c>
      <c r="N21" s="42" t="str">
        <f t="shared" si="5"/>
        <v/>
      </c>
      <c r="O21" s="43" t="str">
        <f t="shared" si="19"/>
        <v/>
      </c>
      <c r="P21" s="43" t="str">
        <f t="shared" ca="1" si="6"/>
        <v/>
      </c>
      <c r="Q21" s="6"/>
      <c r="R21" s="40">
        <f t="shared" si="7"/>
        <v>0</v>
      </c>
      <c r="S21" s="44">
        <f>IF(D21="Sim",0,IF((OR(WEEKDAY(C21)=2,WEEKDAY(C21)=3,WEEKDAY(C21)=4,WEEKDAY(C21)=5,WEEKDAY(C21)=6))=TRUE,M21,IF(AND(WEEKDAY(C21)=7,Configurações!$C$11&gt;0)=TRUE,M21,IF(AND(WEEKDAY(C21)=1,Configurações!$C$12&gt;0)=TRUE,M21,0))))</f>
        <v>0</v>
      </c>
      <c r="T21" s="44">
        <f>IF(D21="Sim",0,IF(AND(WEEKDAY(C21)=7,Configurações!$C$11&lt;=0)=TRUE,R21,0))</f>
        <v>0</v>
      </c>
      <c r="U21" s="44">
        <f>IF(D21="Sim",0,IF(AND(WEEKDAY(C21)=1,Configurações!$C$12&lt;=0)=TRUE,R21,0))</f>
        <v>0</v>
      </c>
      <c r="V21" s="44">
        <f t="shared" si="8"/>
        <v>0</v>
      </c>
      <c r="W21" s="44">
        <f t="shared" si="9"/>
        <v>0</v>
      </c>
      <c r="X21" s="45">
        <f t="shared" si="10"/>
        <v>0</v>
      </c>
      <c r="Y21" s="44">
        <f t="shared" si="2"/>
        <v>0</v>
      </c>
      <c r="Z21" s="45">
        <f t="shared" si="11"/>
        <v>0</v>
      </c>
      <c r="AA21" s="12" t="str">
        <f>IF(D21="Sim","Não",IF(AND(WEEKDAY(C21)=1,Configurações!$C$12&gt;0),"Sim",IF(AND(WEEKDAY(C21)=2,Configurações!$C$6&gt;0),"Sim",IF(AND(WEEKDAY(C21)=3,Configurações!$C$7&gt;0),"Sim",IF(AND(WEEKDAY(C21)=4,Configurações!$C$8&gt;0),"Sim",IF(AND(WEEKDAY(C21)=5,Configurações!$C$9&gt;0),"Sim",IF(AND(WEEKDAY(C21)=6,Configurações!$C$10&gt;0),"Sim",IF(AND(WEEKDAY(C21)=7,Configurações!$C$11&gt;0),"Sim","Não"))))))))</f>
        <v>Não</v>
      </c>
      <c r="AB21" s="44">
        <f>IF(D21="Sim",0,IF(WEEKDAY(C21)=2,Configurações!$C$6-Configurações!$E$6,IF(WEEKDAY(C21)=3,Configurações!$C$7-Configurações!$E$7,IF(WEEKDAY(C21)=4,Configurações!$C$8-Configurações!$E$8,IF(WEEKDAY(C21)=5,Configurações!$C$9-Configurações!$E$9,IF(WEEKDAY(C21)=6,Configurações!$C$10-Configurações!$E$10,IF(WEEKDAY(C21)=7,Configurações!$C$11-Configurações!$E$11,IF(WEEKDAY(C21)=1,Configurações!$C$12-Configurações!$E$12,""))))))))</f>
        <v>0</v>
      </c>
      <c r="AC21" s="44">
        <f>IF(D21="Sim",0,IF(WEEKDAY(C21)=2,Configurações!$E$6,IF(WEEKDAY(C21)=3,Configurações!$E$7,IF(WEEKDAY(C21)=4,Configurações!$E$8,IF(WEEKDAY(C21)=5,Configurações!$E$9,IF(WEEKDAY(C21)=6,Configurações!$E$10,IF(WEEKDAY(C21)=7,Configurações!$E$11,IF(WEEKDAY(C21)=1,Configurações!$E$12,""))))))))</f>
        <v>0</v>
      </c>
      <c r="AD21" s="11" t="str">
        <f t="shared" si="12"/>
        <v/>
      </c>
      <c r="AE21" s="11" t="str">
        <f t="shared" si="13"/>
        <v/>
      </c>
      <c r="AF21" s="83">
        <f t="shared" si="14"/>
        <v>0</v>
      </c>
      <c r="AG21" s="84">
        <f t="shared" si="15"/>
        <v>0</v>
      </c>
      <c r="AH21" s="84">
        <f t="shared" si="16"/>
        <v>0</v>
      </c>
      <c r="AI21" s="84">
        <f t="shared" si="17"/>
        <v>0</v>
      </c>
      <c r="AJ21" s="84">
        <f t="shared" si="18"/>
        <v>0</v>
      </c>
    </row>
    <row r="22" spans="1:36" x14ac:dyDescent="0.25">
      <c r="A22" s="106"/>
      <c r="B22" s="37">
        <f t="shared" si="3"/>
        <v>41618</v>
      </c>
      <c r="C22" s="38">
        <f t="shared" si="0"/>
        <v>41618</v>
      </c>
      <c r="D22" s="39" t="str">
        <f>IF(B22="","",IF(VerificaSeFeriado(B22),"Sim",""))</f>
        <v/>
      </c>
      <c r="E22" s="5"/>
      <c r="F22" s="5"/>
      <c r="G22" s="5"/>
      <c r="H22" s="5"/>
      <c r="I22" s="5"/>
      <c r="J22" s="5"/>
      <c r="K22" s="5"/>
      <c r="L22" s="5"/>
      <c r="M22" s="41" t="str">
        <f t="shared" si="4"/>
        <v/>
      </c>
      <c r="N22" s="42" t="str">
        <f t="shared" si="5"/>
        <v/>
      </c>
      <c r="O22" s="43" t="str">
        <f>IF(OR(D22="Sim",E22="")=TRUE,"",IF((R22-AB22)&gt;=(-"00:00:01"),"",(R22-AB22)))</f>
        <v/>
      </c>
      <c r="P22" s="43" t="str">
        <f ca="1">IF(TODAY()&lt;=B22,"",IF(D22="Sim","",IF(AND(AA22="Sim",E22="",G22="",I22="",K22="")=TRUE,IF(Q22-AB22&lt;0,Q22-AB22,""),"")))</f>
        <v/>
      </c>
      <c r="Q22" s="6"/>
      <c r="R22" s="40">
        <f t="shared" si="7"/>
        <v>0</v>
      </c>
      <c r="S22" s="44" t="str">
        <f>IF(D22="Sim",0,IF((OR(WEEKDAY(C22)=2,WEEKDAY(C22)=3,WEEKDAY(C22)=4,WEEKDAY(C22)=5,WEEKDAY(C22)=6))=TRUE,M22,IF(AND(WEEKDAY(C22)=7,Configurações!$C$11&gt;0)=TRUE,M22,IF(AND(WEEKDAY(C22)=1,Configurações!$C$12&gt;0)=TRUE,M22,0))))</f>
        <v/>
      </c>
      <c r="T22" s="44">
        <f>IF(D22="Sim",0,IF(AND(WEEKDAY(C22)=7,Configurações!$C$11&lt;=0)=TRUE,R22,0))</f>
        <v>0</v>
      </c>
      <c r="U22" s="44">
        <f>IF(D22="Sim",0,IF(AND(WEEKDAY(C22)=1,Configurações!$C$12&lt;=0)=TRUE,R22,0))</f>
        <v>0</v>
      </c>
      <c r="V22" s="44">
        <f t="shared" si="8"/>
        <v>0</v>
      </c>
      <c r="W22" s="44">
        <f t="shared" si="9"/>
        <v>0</v>
      </c>
      <c r="X22" s="45">
        <f t="shared" si="10"/>
        <v>0</v>
      </c>
      <c r="Y22" s="44">
        <f t="shared" si="2"/>
        <v>0</v>
      </c>
      <c r="Z22" s="45">
        <f t="shared" si="11"/>
        <v>0</v>
      </c>
      <c r="AA22" s="12" t="str">
        <f>IF(D22="Sim","Não",IF(AND(WEEKDAY(C22)=1,Configurações!$C$12&gt;0),"Sim",IF(AND(WEEKDAY(C22)=2,Configurações!$C$6&gt;0),"Sim",IF(AND(WEEKDAY(C22)=3,Configurações!$C$7&gt;0),"Sim",IF(AND(WEEKDAY(C22)=4,Configurações!$C$8&gt;0),"Sim",IF(AND(WEEKDAY(C22)=5,Configurações!$C$9&gt;0),"Sim",IF(AND(WEEKDAY(C22)=6,Configurações!$C$10&gt;0),"Sim",IF(AND(WEEKDAY(C22)=7,Configurações!$C$11&gt;0),"Sim","Não"))))))))</f>
        <v>Não</v>
      </c>
      <c r="AB22" s="44">
        <f>IF(D22="Sim",0,IF(WEEKDAY(C22)=2,Configurações!$C$6-Configurações!$E$6,IF(WEEKDAY(C22)=3,Configurações!$C$7-Configurações!$E$7,IF(WEEKDAY(C22)=4,Configurações!$C$8-Configurações!$E$8,IF(WEEKDAY(C22)=5,Configurações!$C$9-Configurações!$E$9,IF(WEEKDAY(C22)=6,Configurações!$C$10-Configurações!$E$10,IF(WEEKDAY(C22)=7,Configurações!$C$11-Configurações!$E$11,IF(WEEKDAY(C22)=1,Configurações!$C$12-Configurações!$E$12,""))))))))</f>
        <v>0</v>
      </c>
      <c r="AC22" s="44">
        <f>IF(D22="Sim",0,IF(WEEKDAY(C22)=2,Configurações!$E$6,IF(WEEKDAY(C22)=3,Configurações!$E$7,IF(WEEKDAY(C22)=4,Configurações!$E$8,IF(WEEKDAY(C22)=5,Configurações!$E$9,IF(WEEKDAY(C22)=6,Configurações!$E$10,IF(WEEKDAY(C22)=7,Configurações!$E$11,IF(WEEKDAY(C22)=1,Configurações!$E$12,""))))))))</f>
        <v>0</v>
      </c>
      <c r="AD22" s="11" t="str">
        <f>IF(E22="","",IF(OR(AND(E22&gt;=(1*"22:00"),((1*"29:00")-E22-Y22)&gt;=AB22)=TRUE,AND(AND(E22&gt;=0,E22&lt;=(1*"5:00"))=TRUE,(1*"5:00")-E22-Y22&gt;=AB22)=TRUE)=TRUE,"Sumula",IF(OR(E22&gt;=(1*"22:00"),AND(E22&lt;(1*"5:00"),E22&gt;=(1*"0:00"))=TRUE)=TRUE,"Noite",IF(OR(H22&lt;E22,H22&gt;(1*"22:00"))=TRUE,"Dia",""))))</f>
        <v/>
      </c>
      <c r="AE22" s="11" t="str">
        <f t="shared" si="13"/>
        <v/>
      </c>
      <c r="AF22" s="83">
        <f t="shared" si="14"/>
        <v>0</v>
      </c>
      <c r="AG22" s="84">
        <f t="shared" si="15"/>
        <v>0</v>
      </c>
      <c r="AH22" s="84">
        <f t="shared" si="16"/>
        <v>0</v>
      </c>
      <c r="AI22" s="84">
        <f t="shared" si="17"/>
        <v>0</v>
      </c>
      <c r="AJ22" s="84">
        <f t="shared" si="18"/>
        <v>0</v>
      </c>
    </row>
    <row r="23" spans="1:36" x14ac:dyDescent="0.25">
      <c r="A23" s="106"/>
      <c r="B23" s="37">
        <f t="shared" si="3"/>
        <v>41619</v>
      </c>
      <c r="C23" s="38">
        <f t="shared" si="0"/>
        <v>41619</v>
      </c>
      <c r="D23" s="39" t="str">
        <f>IF(B23="","",IF(VerificaSeFeriado(B23),"Sim",""))</f>
        <v/>
      </c>
      <c r="E23" s="5"/>
      <c r="F23" s="5"/>
      <c r="G23" s="5"/>
      <c r="H23" s="5"/>
      <c r="I23" s="5"/>
      <c r="J23" s="5"/>
      <c r="K23" s="5"/>
      <c r="L23" s="5"/>
      <c r="M23" s="41" t="str">
        <f t="shared" si="4"/>
        <v/>
      </c>
      <c r="N23" s="42" t="str">
        <f t="shared" si="5"/>
        <v/>
      </c>
      <c r="O23" s="43" t="str">
        <f t="shared" si="19"/>
        <v/>
      </c>
      <c r="P23" s="43" t="str">
        <f t="shared" ca="1" si="6"/>
        <v/>
      </c>
      <c r="Q23" s="6"/>
      <c r="R23" s="40">
        <f t="shared" si="7"/>
        <v>0</v>
      </c>
      <c r="S23" s="44" t="str">
        <f>IF(D23="Sim",0,IF((OR(WEEKDAY(C23)=2,WEEKDAY(C23)=3,WEEKDAY(C23)=4,WEEKDAY(C23)=5,WEEKDAY(C23)=6))=TRUE,M23,IF(AND(WEEKDAY(C23)=7,Configurações!$C$11&gt;0)=TRUE,M23,IF(AND(WEEKDAY(C23)=1,Configurações!$C$12&gt;0)=TRUE,M23,0))))</f>
        <v/>
      </c>
      <c r="T23" s="44">
        <f>IF(D23="Sim",0,IF(AND(WEEKDAY(C23)=7,Configurações!$C$11&lt;=0)=TRUE,R23,0))</f>
        <v>0</v>
      </c>
      <c r="U23" s="44">
        <f>IF(D23="Sim",0,IF(AND(WEEKDAY(C23)=1,Configurações!$C$12&lt;=0)=TRUE,R23,0))</f>
        <v>0</v>
      </c>
      <c r="V23" s="44">
        <f t="shared" si="8"/>
        <v>0</v>
      </c>
      <c r="W23" s="44">
        <f t="shared" si="9"/>
        <v>0</v>
      </c>
      <c r="X23" s="45">
        <f t="shared" si="10"/>
        <v>0</v>
      </c>
      <c r="Y23" s="44">
        <f t="shared" si="2"/>
        <v>0</v>
      </c>
      <c r="Z23" s="45">
        <f t="shared" si="11"/>
        <v>0</v>
      </c>
      <c r="AA23" s="12" t="str">
        <f>IF(D23="Sim","Não",IF(AND(WEEKDAY(C23)=1,Configurações!$C$12&gt;0),"Sim",IF(AND(WEEKDAY(C23)=2,Configurações!$C$6&gt;0),"Sim",IF(AND(WEEKDAY(C23)=3,Configurações!$C$7&gt;0),"Sim",IF(AND(WEEKDAY(C23)=4,Configurações!$C$8&gt;0),"Sim",IF(AND(WEEKDAY(C23)=5,Configurações!$C$9&gt;0),"Sim",IF(AND(WEEKDAY(C23)=6,Configurações!$C$10&gt;0),"Sim",IF(AND(WEEKDAY(C23)=7,Configurações!$C$11&gt;0),"Sim","Não"))))))))</f>
        <v>Não</v>
      </c>
      <c r="AB23" s="44">
        <f>IF(D23="Sim",0,IF(WEEKDAY(C23)=2,Configurações!$C$6-Configurações!$E$6,IF(WEEKDAY(C23)=3,Configurações!$C$7-Configurações!$E$7,IF(WEEKDAY(C23)=4,Configurações!$C$8-Configurações!$E$8,IF(WEEKDAY(C23)=5,Configurações!$C$9-Configurações!$E$9,IF(WEEKDAY(C23)=6,Configurações!$C$10-Configurações!$E$10,IF(WEEKDAY(C23)=7,Configurações!$C$11-Configurações!$E$11,IF(WEEKDAY(C23)=1,Configurações!$C$12-Configurações!$E$12,""))))))))</f>
        <v>0</v>
      </c>
      <c r="AC23" s="44">
        <f>IF(D23="Sim",0,IF(WEEKDAY(C23)=2,Configurações!$E$6,IF(WEEKDAY(C23)=3,Configurações!$E$7,IF(WEEKDAY(C23)=4,Configurações!$E$8,IF(WEEKDAY(C23)=5,Configurações!$E$9,IF(WEEKDAY(C23)=6,Configurações!$E$10,IF(WEEKDAY(C23)=7,Configurações!$E$11,IF(WEEKDAY(C23)=1,Configurações!$E$12,""))))))))</f>
        <v>0</v>
      </c>
      <c r="AD23" s="11" t="str">
        <f t="shared" si="12"/>
        <v/>
      </c>
      <c r="AE23" s="11" t="str">
        <f t="shared" si="13"/>
        <v/>
      </c>
      <c r="AF23" s="83">
        <f t="shared" si="14"/>
        <v>0</v>
      </c>
      <c r="AG23" s="84">
        <f t="shared" si="15"/>
        <v>0</v>
      </c>
      <c r="AH23" s="84">
        <f t="shared" si="16"/>
        <v>0</v>
      </c>
      <c r="AI23" s="84">
        <f t="shared" si="17"/>
        <v>0</v>
      </c>
      <c r="AJ23" s="84">
        <f t="shared" si="18"/>
        <v>0</v>
      </c>
    </row>
    <row r="24" spans="1:36" x14ac:dyDescent="0.25">
      <c r="A24" s="106"/>
      <c r="B24" s="37">
        <f t="shared" si="3"/>
        <v>41620</v>
      </c>
      <c r="C24" s="38">
        <f t="shared" si="0"/>
        <v>41620</v>
      </c>
      <c r="D24" s="39" t="str">
        <f>IF(B24="","",IF(VerificaSeFeriado(B24),"Sim",""))</f>
        <v/>
      </c>
      <c r="E24" s="5"/>
      <c r="F24" s="5"/>
      <c r="G24" s="5"/>
      <c r="H24" s="5"/>
      <c r="I24" s="5"/>
      <c r="J24" s="5"/>
      <c r="K24" s="5"/>
      <c r="L24" s="5"/>
      <c r="M24" s="41" t="str">
        <f t="shared" si="4"/>
        <v/>
      </c>
      <c r="N24" s="42" t="str">
        <f t="shared" si="5"/>
        <v/>
      </c>
      <c r="O24" s="43" t="str">
        <f t="shared" si="19"/>
        <v/>
      </c>
      <c r="P24" s="43" t="str">
        <f t="shared" ca="1" si="6"/>
        <v/>
      </c>
      <c r="Q24" s="6"/>
      <c r="R24" s="40">
        <f t="shared" si="7"/>
        <v>0</v>
      </c>
      <c r="S24" s="44" t="str">
        <f>IF(D24="Sim",0,IF((OR(WEEKDAY(C24)=2,WEEKDAY(C24)=3,WEEKDAY(C24)=4,WEEKDAY(C24)=5,WEEKDAY(C24)=6))=TRUE,M24,IF(AND(WEEKDAY(C24)=7,Configurações!$C$11&gt;0)=TRUE,M24,IF(AND(WEEKDAY(C24)=1,Configurações!$C$12&gt;0)=TRUE,M24,0))))</f>
        <v/>
      </c>
      <c r="T24" s="44">
        <f>IF(D24="Sim",0,IF(AND(WEEKDAY(C24)=7,Configurações!$C$11&lt;=0)=TRUE,R24,0))</f>
        <v>0</v>
      </c>
      <c r="U24" s="44">
        <f>IF(D24="Sim",0,IF(AND(WEEKDAY(C24)=1,Configurações!$C$12&lt;=0)=TRUE,R24,0))</f>
        <v>0</v>
      </c>
      <c r="V24" s="44">
        <f t="shared" si="8"/>
        <v>0</v>
      </c>
      <c r="W24" s="44">
        <f t="shared" si="9"/>
        <v>0</v>
      </c>
      <c r="X24" s="45">
        <f t="shared" si="10"/>
        <v>0</v>
      </c>
      <c r="Y24" s="44">
        <f t="shared" si="2"/>
        <v>0</v>
      </c>
      <c r="Z24" s="45">
        <f t="shared" si="11"/>
        <v>0</v>
      </c>
      <c r="AA24" s="12" t="str">
        <f>IF(D24="Sim","Não",IF(AND(WEEKDAY(C24)=1,Configurações!$C$12&gt;0),"Sim",IF(AND(WEEKDAY(C24)=2,Configurações!$C$6&gt;0),"Sim",IF(AND(WEEKDAY(C24)=3,Configurações!$C$7&gt;0),"Sim",IF(AND(WEEKDAY(C24)=4,Configurações!$C$8&gt;0),"Sim",IF(AND(WEEKDAY(C24)=5,Configurações!$C$9&gt;0),"Sim",IF(AND(WEEKDAY(C24)=6,Configurações!$C$10&gt;0),"Sim",IF(AND(WEEKDAY(C24)=7,Configurações!$C$11&gt;0),"Sim","Não"))))))))</f>
        <v>Não</v>
      </c>
      <c r="AB24" s="44">
        <f>IF(D24="Sim",0,IF(WEEKDAY(C24)=2,Configurações!$C$6-Configurações!$E$6,IF(WEEKDAY(C24)=3,Configurações!$C$7-Configurações!$E$7,IF(WEEKDAY(C24)=4,Configurações!$C$8-Configurações!$E$8,IF(WEEKDAY(C24)=5,Configurações!$C$9-Configurações!$E$9,IF(WEEKDAY(C24)=6,Configurações!$C$10-Configurações!$E$10,IF(WEEKDAY(C24)=7,Configurações!$C$11-Configurações!$E$11,IF(WEEKDAY(C24)=1,Configurações!$C$12-Configurações!$E$12,""))))))))</f>
        <v>0</v>
      </c>
      <c r="AC24" s="44">
        <f>IF(D24="Sim",0,IF(WEEKDAY(C24)=2,Configurações!$E$6,IF(WEEKDAY(C24)=3,Configurações!$E$7,IF(WEEKDAY(C24)=4,Configurações!$E$8,IF(WEEKDAY(C24)=5,Configurações!$E$9,IF(WEEKDAY(C24)=6,Configurações!$E$10,IF(WEEKDAY(C24)=7,Configurações!$E$11,IF(WEEKDAY(C24)=1,Configurações!$E$12,""))))))))</f>
        <v>0</v>
      </c>
      <c r="AD24" s="11" t="str">
        <f t="shared" si="12"/>
        <v/>
      </c>
      <c r="AE24" s="11" t="str">
        <f t="shared" si="13"/>
        <v/>
      </c>
      <c r="AF24" s="83">
        <f t="shared" si="14"/>
        <v>0</v>
      </c>
      <c r="AG24" s="84">
        <f t="shared" si="15"/>
        <v>0</v>
      </c>
      <c r="AH24" s="84">
        <f t="shared" si="16"/>
        <v>0</v>
      </c>
      <c r="AI24" s="84">
        <f t="shared" si="17"/>
        <v>0</v>
      </c>
      <c r="AJ24" s="84">
        <f t="shared" si="18"/>
        <v>0</v>
      </c>
    </row>
    <row r="25" spans="1:36" x14ac:dyDescent="0.25">
      <c r="A25" s="106"/>
      <c r="B25" s="37">
        <f t="shared" si="3"/>
        <v>41621</v>
      </c>
      <c r="C25" s="38">
        <f t="shared" si="0"/>
        <v>41621</v>
      </c>
      <c r="D25" s="39" t="str">
        <f>IF(B25="","",IF(VerificaSeFeriado(B25),"Sim",""))</f>
        <v/>
      </c>
      <c r="E25" s="5"/>
      <c r="F25" s="5"/>
      <c r="G25" s="5"/>
      <c r="H25" s="5"/>
      <c r="I25" s="5"/>
      <c r="J25" s="5"/>
      <c r="K25" s="5"/>
      <c r="L25" s="5"/>
      <c r="M25" s="41" t="str">
        <f>IFERROR(IF((R25-AB25)&gt;(1*"00:00:01"),(R25-AB25),""),"")</f>
        <v/>
      </c>
      <c r="N25" s="42" t="str">
        <f t="shared" si="5"/>
        <v/>
      </c>
      <c r="O25" s="43" t="str">
        <f t="shared" si="19"/>
        <v/>
      </c>
      <c r="P25" s="43" t="str">
        <f t="shared" ca="1" si="6"/>
        <v/>
      </c>
      <c r="Q25" s="6"/>
      <c r="R25" s="40">
        <f t="shared" si="7"/>
        <v>0</v>
      </c>
      <c r="S25" s="44" t="str">
        <f>IF(D25="Sim",0,IF((OR(WEEKDAY(C25)=2,WEEKDAY(C25)=3,WEEKDAY(C25)=4,WEEKDAY(C25)=5,WEEKDAY(C25)=6))=TRUE,M25,IF(AND(WEEKDAY(C25)=7,Configurações!$C$11&gt;0)=TRUE,M25,IF(AND(WEEKDAY(C25)=1,Configurações!$C$12&gt;0)=TRUE,M25,0))))</f>
        <v/>
      </c>
      <c r="T25" s="44">
        <f>IF(D25="Sim",0,IF(AND(WEEKDAY(C25)=7,Configurações!$C$11&lt;=0)=TRUE,R25,0))</f>
        <v>0</v>
      </c>
      <c r="U25" s="44">
        <f>IF(D25="Sim",0,IF(AND(WEEKDAY(C25)=1,Configurações!$C$12&lt;=0)=TRUE,R25,0))</f>
        <v>0</v>
      </c>
      <c r="V25" s="44">
        <f t="shared" si="8"/>
        <v>0</v>
      </c>
      <c r="W25" s="44">
        <f t="shared" si="9"/>
        <v>0</v>
      </c>
      <c r="X25" s="45">
        <f t="shared" si="10"/>
        <v>0</v>
      </c>
      <c r="Y25" s="44">
        <f t="shared" si="2"/>
        <v>0</v>
      </c>
      <c r="Z25" s="45">
        <f t="shared" si="11"/>
        <v>0</v>
      </c>
      <c r="AA25" s="12" t="str">
        <f>IF(D25="Sim","Não",IF(AND(WEEKDAY(C25)=1,Configurações!$C$12&gt;0),"Sim",IF(AND(WEEKDAY(C25)=2,Configurações!$C$6&gt;0),"Sim",IF(AND(WEEKDAY(C25)=3,Configurações!$C$7&gt;0),"Sim",IF(AND(WEEKDAY(C25)=4,Configurações!$C$8&gt;0),"Sim",IF(AND(WEEKDAY(C25)=5,Configurações!$C$9&gt;0),"Sim",IF(AND(WEEKDAY(C25)=6,Configurações!$C$10&gt;0),"Sim",IF(AND(WEEKDAY(C25)=7,Configurações!$C$11&gt;0),"Sim","Não"))))))))</f>
        <v>Não</v>
      </c>
      <c r="AB25" s="44">
        <f>IF(D25="Sim",0,IF(WEEKDAY(C25)=2,Configurações!$C$6-Configurações!$E$6,IF(WEEKDAY(C25)=3,Configurações!$C$7-Configurações!$E$7,IF(WEEKDAY(C25)=4,Configurações!$C$8-Configurações!$E$8,IF(WEEKDAY(C25)=5,Configurações!$C$9-Configurações!$E$9,IF(WEEKDAY(C25)=6,Configurações!$C$10-Configurações!$E$10,IF(WEEKDAY(C25)=7,Configurações!$C$11-Configurações!$E$11,IF(WEEKDAY(C25)=1,Configurações!$C$12-Configurações!$E$12,""))))))))</f>
        <v>0</v>
      </c>
      <c r="AC25" s="44">
        <f>IF(D25="Sim",0,IF(WEEKDAY(C25)=2,Configurações!$E$6,IF(WEEKDAY(C25)=3,Configurações!$E$7,IF(WEEKDAY(C25)=4,Configurações!$E$8,IF(WEEKDAY(C25)=5,Configurações!$E$9,IF(WEEKDAY(C25)=6,Configurações!$E$10,IF(WEEKDAY(C25)=7,Configurações!$E$11,IF(WEEKDAY(C25)=1,Configurações!$E$12,""))))))))</f>
        <v>0</v>
      </c>
      <c r="AD25" s="11" t="str">
        <f t="shared" si="12"/>
        <v/>
      </c>
      <c r="AE25" s="11" t="str">
        <f t="shared" si="13"/>
        <v/>
      </c>
      <c r="AF25" s="83">
        <f t="shared" si="14"/>
        <v>0</v>
      </c>
      <c r="AG25" s="84">
        <f t="shared" si="15"/>
        <v>0</v>
      </c>
      <c r="AH25" s="84">
        <f t="shared" si="16"/>
        <v>0</v>
      </c>
      <c r="AI25" s="84">
        <f t="shared" si="17"/>
        <v>0</v>
      </c>
      <c r="AJ25" s="84">
        <f t="shared" si="18"/>
        <v>0</v>
      </c>
    </row>
    <row r="26" spans="1:36" x14ac:dyDescent="0.25">
      <c r="A26" s="106"/>
      <c r="B26" s="37">
        <f t="shared" si="3"/>
        <v>41622</v>
      </c>
      <c r="C26" s="38">
        <f t="shared" si="0"/>
        <v>41622</v>
      </c>
      <c r="D26" s="39" t="str">
        <f>IF(B26="","",IF(VerificaSeFeriado(B26),"Sim",""))</f>
        <v/>
      </c>
      <c r="E26" s="5"/>
      <c r="F26" s="5"/>
      <c r="G26" s="5"/>
      <c r="H26" s="5"/>
      <c r="I26" s="5"/>
      <c r="J26" s="5"/>
      <c r="K26" s="5"/>
      <c r="L26" s="5"/>
      <c r="M26" s="41" t="str">
        <f t="shared" si="4"/>
        <v/>
      </c>
      <c r="N26" s="42" t="str">
        <f t="shared" si="5"/>
        <v/>
      </c>
      <c r="O26" s="43" t="str">
        <f t="shared" si="19"/>
        <v/>
      </c>
      <c r="P26" s="43" t="str">
        <f t="shared" ca="1" si="6"/>
        <v/>
      </c>
      <c r="Q26" s="6"/>
      <c r="R26" s="40">
        <f t="shared" si="7"/>
        <v>0</v>
      </c>
      <c r="S26" s="44" t="str">
        <f>IF(D26="Sim",0,IF((OR(WEEKDAY(C26)=2,WEEKDAY(C26)=3,WEEKDAY(C26)=4,WEEKDAY(C26)=5,WEEKDAY(C26)=6))=TRUE,M26,IF(AND(WEEKDAY(C26)=7,Configurações!$C$11&gt;0)=TRUE,M26,IF(AND(WEEKDAY(C26)=1,Configurações!$C$12&gt;0)=TRUE,M26,0))))</f>
        <v/>
      </c>
      <c r="T26" s="44">
        <f>IF(D26="Sim",0,IF(AND(WEEKDAY(C26)=7,Configurações!$C$11&lt;=0)=TRUE,R26,0))</f>
        <v>0</v>
      </c>
      <c r="U26" s="44">
        <f>IF(D26="Sim",0,IF(AND(WEEKDAY(C26)=1,Configurações!$C$12&lt;=0)=TRUE,R26,0))</f>
        <v>0</v>
      </c>
      <c r="V26" s="44">
        <f t="shared" si="8"/>
        <v>0</v>
      </c>
      <c r="W26" s="44">
        <f t="shared" si="9"/>
        <v>0</v>
      </c>
      <c r="X26" s="45">
        <f t="shared" si="10"/>
        <v>0</v>
      </c>
      <c r="Y26" s="44">
        <f>IF(F26="",0,IF(AND(F26&lt;(1*"22:00"),F26&gt;=(1*"5:00"),G26&lt;(1*"22:00"),G26&gt;(1*"5:00"))=TRUE,0,IF(F26&gt;=(1*"22:00"),IF(G26&gt;F26,G26-F26,G26+(1*"24:00")-F26),IF(F26&lt;(1*"5:00"),IF(G26&lt;(1*"5:00"),G26-F26,(1*"5:00")-F26),IF(G26&gt;F26,G26-(1*"22:00"),G26+(1*"24:00")-(1*"22:00"))))))</f>
        <v>0</v>
      </c>
      <c r="Z26" s="45">
        <f t="shared" si="11"/>
        <v>0</v>
      </c>
      <c r="AA26" s="12" t="str">
        <f>IF(D26="Sim","Não",IF(AND(WEEKDAY(C26)=1,Configurações!$C$12&gt;0),"Sim",IF(AND(WEEKDAY(C26)=2,Configurações!$C$6&gt;0),"Sim",IF(AND(WEEKDAY(C26)=3,Configurações!$C$7&gt;0),"Sim",IF(AND(WEEKDAY(C26)=4,Configurações!$C$8&gt;0),"Sim",IF(AND(WEEKDAY(C26)=5,Configurações!$C$9&gt;0),"Sim",IF(AND(WEEKDAY(C26)=6,Configurações!$C$10&gt;0),"Sim",IF(AND(WEEKDAY(C26)=7,Configurações!$C$11&gt;0),"Sim","Não"))))))))</f>
        <v>Não</v>
      </c>
      <c r="AB26" s="44">
        <f>IF(D26="Sim",0,IF(WEEKDAY(C26)=2,Configurações!$C$6-Configurações!$E$6,IF(WEEKDAY(C26)=3,Configurações!$C$7-Configurações!$E$7,IF(WEEKDAY(C26)=4,Configurações!$C$8-Configurações!$E$8,IF(WEEKDAY(C26)=5,Configurações!$C$9-Configurações!$E$9,IF(WEEKDAY(C26)=6,Configurações!$C$10-Configurações!$E$10,IF(WEEKDAY(C26)=7,Configurações!$C$11-Configurações!$E$11,IF(WEEKDAY(C26)=1,Configurações!$C$12-Configurações!$E$12,""))))))))</f>
        <v>0</v>
      </c>
      <c r="AC26" s="44">
        <f>IF(D26="Sim",0,IF(WEEKDAY(C26)=2,Configurações!$E$6,IF(WEEKDAY(C26)=3,Configurações!$E$7,IF(WEEKDAY(C26)=4,Configurações!$E$8,IF(WEEKDAY(C26)=5,Configurações!$E$9,IF(WEEKDAY(C26)=6,Configurações!$E$10,IF(WEEKDAY(C26)=7,Configurações!$E$11,IF(WEEKDAY(C26)=1,Configurações!$E$12,""))))))))</f>
        <v>0</v>
      </c>
      <c r="AD26" s="11" t="str">
        <f t="shared" si="12"/>
        <v/>
      </c>
      <c r="AE26" s="11" t="str">
        <f t="shared" si="13"/>
        <v/>
      </c>
      <c r="AF26" s="83">
        <f t="shared" si="14"/>
        <v>0</v>
      </c>
      <c r="AG26" s="84">
        <f t="shared" si="15"/>
        <v>0</v>
      </c>
      <c r="AH26" s="84">
        <f t="shared" si="16"/>
        <v>0</v>
      </c>
      <c r="AI26" s="84">
        <f t="shared" si="17"/>
        <v>0</v>
      </c>
      <c r="AJ26" s="84">
        <f t="shared" si="18"/>
        <v>0</v>
      </c>
    </row>
    <row r="27" spans="1:36" x14ac:dyDescent="0.25">
      <c r="A27" s="106"/>
      <c r="B27" s="37">
        <f t="shared" si="3"/>
        <v>41623</v>
      </c>
      <c r="C27" s="38">
        <f t="shared" si="0"/>
        <v>41623</v>
      </c>
      <c r="D27" s="39" t="str">
        <f>IF(B27="","",IF(VerificaSeFeriado(B27),"Sim",""))</f>
        <v/>
      </c>
      <c r="E27" s="5"/>
      <c r="F27" s="5"/>
      <c r="G27" s="5"/>
      <c r="H27" s="5"/>
      <c r="I27" s="5"/>
      <c r="J27" s="5"/>
      <c r="K27" s="5"/>
      <c r="L27" s="5"/>
      <c r="M27" s="41" t="str">
        <f t="shared" si="4"/>
        <v/>
      </c>
      <c r="N27" s="42" t="str">
        <f t="shared" si="5"/>
        <v/>
      </c>
      <c r="O27" s="43" t="str">
        <f t="shared" si="19"/>
        <v/>
      </c>
      <c r="P27" s="43" t="str">
        <f t="shared" ca="1" si="6"/>
        <v/>
      </c>
      <c r="Q27" s="6"/>
      <c r="R27" s="40">
        <f t="shared" si="7"/>
        <v>0</v>
      </c>
      <c r="S27" s="44">
        <f>IF(D27="Sim",0,IF((OR(WEEKDAY(C27)=2,WEEKDAY(C27)=3,WEEKDAY(C27)=4,WEEKDAY(C27)=5,WEEKDAY(C27)=6))=TRUE,M27,IF(AND(WEEKDAY(C27)=7,Configurações!$C$11&gt;0)=TRUE,M27,IF(AND(WEEKDAY(C27)=1,Configurações!$C$12&gt;0)=TRUE,M27,0))))</f>
        <v>0</v>
      </c>
      <c r="T27" s="44">
        <f>IF(D27="Sim",0,IF(AND(WEEKDAY(C27)=7,Configurações!$C$11&lt;=0)=TRUE,R27,0))</f>
        <v>0</v>
      </c>
      <c r="U27" s="44">
        <f>IF(D27="Sim",0,IF(AND(WEEKDAY(C27)=1,Configurações!$C$12&lt;=0)=TRUE,R27,0))</f>
        <v>0</v>
      </c>
      <c r="V27" s="44">
        <f t="shared" si="8"/>
        <v>0</v>
      </c>
      <c r="W27" s="44">
        <f t="shared" si="9"/>
        <v>0</v>
      </c>
      <c r="X27" s="45">
        <f t="shared" si="10"/>
        <v>0</v>
      </c>
      <c r="Y27" s="44">
        <f t="shared" ref="Y27:Y42" si="20">IF(F27="",0,IF(AND(F27&lt;(1*"22:00"),F27&gt;=(1*"5:00"),G27&lt;(1*"22:00"),G27&gt;(1*"5:00"))=TRUE,0,IF(F27&gt;=(1*"22:00"),IF(G27&gt;F27,G27-F27,G27+(1*"24:00")-F27),IF(F27&lt;(1*"5:00"),IF(G27&lt;(1*"5:00"),G27-F27,(1*"5:00")-F27),IF(G27&gt;F27,G27-(1*"22:00"),G27+(1*"24:00")-(1*"22:00"))))))</f>
        <v>0</v>
      </c>
      <c r="Z27" s="45">
        <f t="shared" si="11"/>
        <v>0</v>
      </c>
      <c r="AA27" s="12" t="str">
        <f>IF(D27="Sim","Não",IF(AND(WEEKDAY(C27)=1,Configurações!$C$12&gt;0),"Sim",IF(AND(WEEKDAY(C27)=2,Configurações!$C$6&gt;0),"Sim",IF(AND(WEEKDAY(C27)=3,Configurações!$C$7&gt;0),"Sim",IF(AND(WEEKDAY(C27)=4,Configurações!$C$8&gt;0),"Sim",IF(AND(WEEKDAY(C27)=5,Configurações!$C$9&gt;0),"Sim",IF(AND(WEEKDAY(C27)=6,Configurações!$C$10&gt;0),"Sim",IF(AND(WEEKDAY(C27)=7,Configurações!$C$11&gt;0),"Sim","Não"))))))))</f>
        <v>Não</v>
      </c>
      <c r="AB27" s="44">
        <f>IF(D27="Sim",0,IF(WEEKDAY(C27)=2,Configurações!$C$6-Configurações!$E$6,IF(WEEKDAY(C27)=3,Configurações!$C$7-Configurações!$E$7,IF(WEEKDAY(C27)=4,Configurações!$C$8-Configurações!$E$8,IF(WEEKDAY(C27)=5,Configurações!$C$9-Configurações!$E$9,IF(WEEKDAY(C27)=6,Configurações!$C$10-Configurações!$E$10,IF(WEEKDAY(C27)=7,Configurações!$C$11-Configurações!$E$11,IF(WEEKDAY(C27)=1,Configurações!$C$12-Configurações!$E$12,""))))))))</f>
        <v>0</v>
      </c>
      <c r="AC27" s="44">
        <f>IF(D27="Sim",0,IF(WEEKDAY(C27)=2,Configurações!$E$6,IF(WEEKDAY(C27)=3,Configurações!$E$7,IF(WEEKDAY(C27)=4,Configurações!$E$8,IF(WEEKDAY(C27)=5,Configurações!$E$9,IF(WEEKDAY(C27)=6,Configurações!$E$10,IF(WEEKDAY(C27)=7,Configurações!$E$11,IF(WEEKDAY(C27)=1,Configurações!$E$12,""))))))))</f>
        <v>0</v>
      </c>
      <c r="AD27" s="11" t="str">
        <f t="shared" si="12"/>
        <v/>
      </c>
      <c r="AE27" s="11" t="str">
        <f t="shared" si="13"/>
        <v/>
      </c>
      <c r="AF27" s="83">
        <f t="shared" si="14"/>
        <v>0</v>
      </c>
      <c r="AG27" s="84">
        <f t="shared" si="15"/>
        <v>0</v>
      </c>
      <c r="AH27" s="84">
        <f t="shared" si="16"/>
        <v>0</v>
      </c>
      <c r="AI27" s="84">
        <f t="shared" si="17"/>
        <v>0</v>
      </c>
      <c r="AJ27" s="84">
        <f t="shared" si="18"/>
        <v>0</v>
      </c>
    </row>
    <row r="28" spans="1:36" x14ac:dyDescent="0.25">
      <c r="A28" s="106"/>
      <c r="B28" s="37">
        <f t="shared" si="3"/>
        <v>41624</v>
      </c>
      <c r="C28" s="38">
        <f t="shared" si="0"/>
        <v>41624</v>
      </c>
      <c r="D28" s="39" t="str">
        <f>IF(B28="","",IF(VerificaSeFeriado(B28),"Sim",""))</f>
        <v/>
      </c>
      <c r="E28" s="5"/>
      <c r="F28" s="5"/>
      <c r="G28" s="5"/>
      <c r="H28" s="5"/>
      <c r="I28" s="5"/>
      <c r="J28" s="5"/>
      <c r="K28" s="5"/>
      <c r="L28" s="5"/>
      <c r="M28" s="41" t="str">
        <f t="shared" si="4"/>
        <v/>
      </c>
      <c r="N28" s="42" t="str">
        <f t="shared" si="5"/>
        <v/>
      </c>
      <c r="O28" s="43" t="str">
        <f t="shared" si="19"/>
        <v/>
      </c>
      <c r="P28" s="43" t="str">
        <f t="shared" ca="1" si="6"/>
        <v/>
      </c>
      <c r="Q28" s="6"/>
      <c r="R28" s="40">
        <f t="shared" si="7"/>
        <v>0</v>
      </c>
      <c r="S28" s="44">
        <f>IF(D28="Sim",0,IF((OR(WEEKDAY(C28)=2,WEEKDAY(C28)=3,WEEKDAY(C28)=4,WEEKDAY(C28)=5,WEEKDAY(C28)=6))=TRUE,M28,IF(AND(WEEKDAY(C28)=7,Configurações!$C$11&gt;0)=TRUE,M28,IF(AND(WEEKDAY(C28)=1,Configurações!$C$12&gt;0)=TRUE,M28,0))))</f>
        <v>0</v>
      </c>
      <c r="T28" s="44">
        <f>IF(D28="Sim",0,IF(AND(WEEKDAY(C28)=7,Configurações!$C$11&lt;=0)=TRUE,R28,0))</f>
        <v>0</v>
      </c>
      <c r="U28" s="44">
        <f>IF(D28="Sim",0,IF(AND(WEEKDAY(C28)=1,Configurações!$C$12&lt;=0)=TRUE,R28,0))</f>
        <v>0</v>
      </c>
      <c r="V28" s="44">
        <f t="shared" si="8"/>
        <v>0</v>
      </c>
      <c r="W28" s="44">
        <f t="shared" si="9"/>
        <v>0</v>
      </c>
      <c r="X28" s="45">
        <f t="shared" si="10"/>
        <v>0</v>
      </c>
      <c r="Y28" s="44">
        <f t="shared" si="20"/>
        <v>0</v>
      </c>
      <c r="Z28" s="45">
        <f t="shared" si="11"/>
        <v>0</v>
      </c>
      <c r="AA28" s="12" t="str">
        <f>IF(D28="Sim","Não",IF(AND(WEEKDAY(C28)=1,Configurações!$C$12&gt;0),"Sim",IF(AND(WEEKDAY(C28)=2,Configurações!$C$6&gt;0),"Sim",IF(AND(WEEKDAY(C28)=3,Configurações!$C$7&gt;0),"Sim",IF(AND(WEEKDAY(C28)=4,Configurações!$C$8&gt;0),"Sim",IF(AND(WEEKDAY(C28)=5,Configurações!$C$9&gt;0),"Sim",IF(AND(WEEKDAY(C28)=6,Configurações!$C$10&gt;0),"Sim",IF(AND(WEEKDAY(C28)=7,Configurações!$C$11&gt;0),"Sim","Não"))))))))</f>
        <v>Não</v>
      </c>
      <c r="AB28" s="44">
        <f>IF(D28="Sim",0,IF(WEEKDAY(C28)=2,Configurações!$C$6-Configurações!$E$6,IF(WEEKDAY(C28)=3,Configurações!$C$7-Configurações!$E$7,IF(WEEKDAY(C28)=4,Configurações!$C$8-Configurações!$E$8,IF(WEEKDAY(C28)=5,Configurações!$C$9-Configurações!$E$9,IF(WEEKDAY(C28)=6,Configurações!$C$10-Configurações!$E$10,IF(WEEKDAY(C28)=7,Configurações!$C$11-Configurações!$E$11,IF(WEEKDAY(C28)=1,Configurações!$C$12-Configurações!$E$12,""))))))))</f>
        <v>0</v>
      </c>
      <c r="AC28" s="44">
        <f>IF(D28="Sim",0,IF(WEEKDAY(C28)=2,Configurações!$E$6,IF(WEEKDAY(C28)=3,Configurações!$E$7,IF(WEEKDAY(C28)=4,Configurações!$E$8,IF(WEEKDAY(C28)=5,Configurações!$E$9,IF(WEEKDAY(C28)=6,Configurações!$E$10,IF(WEEKDAY(C28)=7,Configurações!$E$11,IF(WEEKDAY(C28)=1,Configurações!$E$12,""))))))))</f>
        <v>0</v>
      </c>
      <c r="AD28" s="11" t="str">
        <f t="shared" si="12"/>
        <v/>
      </c>
      <c r="AE28" s="11" t="str">
        <f t="shared" si="13"/>
        <v/>
      </c>
      <c r="AF28" s="83">
        <f t="shared" si="14"/>
        <v>0</v>
      </c>
      <c r="AG28" s="84">
        <f t="shared" si="15"/>
        <v>0</v>
      </c>
      <c r="AH28" s="84">
        <f t="shared" si="16"/>
        <v>0</v>
      </c>
      <c r="AI28" s="84">
        <f t="shared" si="17"/>
        <v>0</v>
      </c>
      <c r="AJ28" s="84">
        <f t="shared" si="18"/>
        <v>0</v>
      </c>
    </row>
    <row r="29" spans="1:36" x14ac:dyDescent="0.25">
      <c r="A29" s="106"/>
      <c r="B29" s="37">
        <f t="shared" si="3"/>
        <v>41625</v>
      </c>
      <c r="C29" s="38">
        <f t="shared" si="0"/>
        <v>41625</v>
      </c>
      <c r="D29" s="39" t="str">
        <f>IF(B29="","",IF(VerificaSeFeriado(B29),"Sim",""))</f>
        <v/>
      </c>
      <c r="E29" s="5"/>
      <c r="F29" s="5"/>
      <c r="G29" s="5"/>
      <c r="H29" s="5"/>
      <c r="I29" s="5"/>
      <c r="J29" s="5"/>
      <c r="K29" s="5"/>
      <c r="L29" s="5"/>
      <c r="M29" s="41" t="str">
        <f t="shared" si="4"/>
        <v/>
      </c>
      <c r="N29" s="42" t="str">
        <f t="shared" si="5"/>
        <v/>
      </c>
      <c r="O29" s="43" t="str">
        <f t="shared" si="19"/>
        <v/>
      </c>
      <c r="P29" s="43" t="str">
        <f t="shared" ca="1" si="6"/>
        <v/>
      </c>
      <c r="Q29" s="6"/>
      <c r="R29" s="40">
        <f t="shared" si="7"/>
        <v>0</v>
      </c>
      <c r="S29" s="44" t="str">
        <f>IF(D29="Sim",0,IF((OR(WEEKDAY(C29)=2,WEEKDAY(C29)=3,WEEKDAY(C29)=4,WEEKDAY(C29)=5,WEEKDAY(C29)=6))=TRUE,M29,IF(AND(WEEKDAY(C29)=7,Configurações!$C$11&gt;0)=TRUE,M29,IF(AND(WEEKDAY(C29)=1,Configurações!$C$12&gt;0)=TRUE,M29,0))))</f>
        <v/>
      </c>
      <c r="T29" s="44">
        <f>IF(D29="Sim",0,IF(AND(WEEKDAY(C29)=7,Configurações!$C$11&lt;=0)=TRUE,R29,0))</f>
        <v>0</v>
      </c>
      <c r="U29" s="44">
        <f>IF(D29="Sim",0,IF(AND(WEEKDAY(C29)=1,Configurações!$C$12&lt;=0)=TRUE,R29,0))</f>
        <v>0</v>
      </c>
      <c r="V29" s="44">
        <f t="shared" si="8"/>
        <v>0</v>
      </c>
      <c r="W29" s="44">
        <f t="shared" si="9"/>
        <v>0</v>
      </c>
      <c r="X29" s="45">
        <f t="shared" si="10"/>
        <v>0</v>
      </c>
      <c r="Y29" s="44">
        <f t="shared" si="20"/>
        <v>0</v>
      </c>
      <c r="Z29" s="45">
        <f t="shared" si="11"/>
        <v>0</v>
      </c>
      <c r="AA29" s="12" t="str">
        <f>IF(D29="Sim","Não",IF(AND(WEEKDAY(C29)=1,Configurações!$C$12&gt;0),"Sim",IF(AND(WEEKDAY(C29)=2,Configurações!$C$6&gt;0),"Sim",IF(AND(WEEKDAY(C29)=3,Configurações!$C$7&gt;0),"Sim",IF(AND(WEEKDAY(C29)=4,Configurações!$C$8&gt;0),"Sim",IF(AND(WEEKDAY(C29)=5,Configurações!$C$9&gt;0),"Sim",IF(AND(WEEKDAY(C29)=6,Configurações!$C$10&gt;0),"Sim",IF(AND(WEEKDAY(C29)=7,Configurações!$C$11&gt;0),"Sim","Não"))))))))</f>
        <v>Não</v>
      </c>
      <c r="AB29" s="44">
        <f>IF(D29="Sim",0,IF(WEEKDAY(C29)=2,Configurações!$C$6-Configurações!$E$6,IF(WEEKDAY(C29)=3,Configurações!$C$7-Configurações!$E$7,IF(WEEKDAY(C29)=4,Configurações!$C$8-Configurações!$E$8,IF(WEEKDAY(C29)=5,Configurações!$C$9-Configurações!$E$9,IF(WEEKDAY(C29)=6,Configurações!$C$10-Configurações!$E$10,IF(WEEKDAY(C29)=7,Configurações!$C$11-Configurações!$E$11,IF(WEEKDAY(C29)=1,Configurações!$C$12-Configurações!$E$12,""))))))))</f>
        <v>0</v>
      </c>
      <c r="AC29" s="44">
        <f>IF(D29="Sim",0,IF(WEEKDAY(C29)=2,Configurações!$E$6,IF(WEEKDAY(C29)=3,Configurações!$E$7,IF(WEEKDAY(C29)=4,Configurações!$E$8,IF(WEEKDAY(C29)=5,Configurações!$E$9,IF(WEEKDAY(C29)=6,Configurações!$E$10,IF(WEEKDAY(C29)=7,Configurações!$E$11,IF(WEEKDAY(C29)=1,Configurações!$E$12,""))))))))</f>
        <v>0</v>
      </c>
      <c r="AD29" s="11" t="str">
        <f t="shared" si="12"/>
        <v/>
      </c>
      <c r="AE29" s="11" t="str">
        <f t="shared" si="13"/>
        <v/>
      </c>
      <c r="AF29" s="83">
        <f t="shared" si="14"/>
        <v>0</v>
      </c>
      <c r="AG29" s="84">
        <f t="shared" si="15"/>
        <v>0</v>
      </c>
      <c r="AH29" s="84">
        <f t="shared" si="16"/>
        <v>0</v>
      </c>
      <c r="AI29" s="84">
        <f t="shared" si="17"/>
        <v>0</v>
      </c>
      <c r="AJ29" s="84">
        <f t="shared" si="18"/>
        <v>0</v>
      </c>
    </row>
    <row r="30" spans="1:36" x14ac:dyDescent="0.25">
      <c r="A30" s="106"/>
      <c r="B30" s="37">
        <f t="shared" si="3"/>
        <v>41626</v>
      </c>
      <c r="C30" s="38">
        <f t="shared" si="0"/>
        <v>41626</v>
      </c>
      <c r="D30" s="39" t="str">
        <f>IF(B30="","",IF(VerificaSeFeriado(B30),"Sim",""))</f>
        <v/>
      </c>
      <c r="E30" s="5"/>
      <c r="F30" s="5"/>
      <c r="G30" s="5"/>
      <c r="H30" s="5"/>
      <c r="I30" s="5"/>
      <c r="J30" s="5"/>
      <c r="K30" s="5"/>
      <c r="L30" s="5"/>
      <c r="M30" s="41" t="str">
        <f t="shared" si="4"/>
        <v/>
      </c>
      <c r="N30" s="42" t="str">
        <f t="shared" si="5"/>
        <v/>
      </c>
      <c r="O30" s="43" t="str">
        <f t="shared" si="19"/>
        <v/>
      </c>
      <c r="P30" s="43" t="str">
        <f t="shared" ca="1" si="6"/>
        <v/>
      </c>
      <c r="Q30" s="6"/>
      <c r="R30" s="40">
        <f t="shared" si="7"/>
        <v>0</v>
      </c>
      <c r="S30" s="44" t="str">
        <f>IF(D30="Sim",0,IF((OR(WEEKDAY(C30)=2,WEEKDAY(C30)=3,WEEKDAY(C30)=4,WEEKDAY(C30)=5,WEEKDAY(C30)=6))=TRUE,M30,IF(AND(WEEKDAY(C30)=7,Configurações!$C$11&gt;0)=TRUE,M30,IF(AND(WEEKDAY(C30)=1,Configurações!$C$12&gt;0)=TRUE,M30,0))))</f>
        <v/>
      </c>
      <c r="T30" s="44">
        <f>IF(D30="Sim",0,IF(AND(WEEKDAY(C30)=7,Configurações!$C$11&lt;=0)=TRUE,R30,0))</f>
        <v>0</v>
      </c>
      <c r="U30" s="44">
        <f>IF(D30="Sim",0,IF(AND(WEEKDAY(C30)=1,Configurações!$C$12&lt;=0)=TRUE,R30,0))</f>
        <v>0</v>
      </c>
      <c r="V30" s="44">
        <f t="shared" si="8"/>
        <v>0</v>
      </c>
      <c r="W30" s="44">
        <f t="shared" si="9"/>
        <v>0</v>
      </c>
      <c r="X30" s="45">
        <f t="shared" si="10"/>
        <v>0</v>
      </c>
      <c r="Y30" s="44">
        <f t="shared" si="20"/>
        <v>0</v>
      </c>
      <c r="Z30" s="45">
        <f t="shared" si="11"/>
        <v>0</v>
      </c>
      <c r="AA30" s="12" t="str">
        <f>IF(D30="Sim","Não",IF(AND(WEEKDAY(C30)=1,Configurações!$C$12&gt;0),"Sim",IF(AND(WEEKDAY(C30)=2,Configurações!$C$6&gt;0),"Sim",IF(AND(WEEKDAY(C30)=3,Configurações!$C$7&gt;0),"Sim",IF(AND(WEEKDAY(C30)=4,Configurações!$C$8&gt;0),"Sim",IF(AND(WEEKDAY(C30)=5,Configurações!$C$9&gt;0),"Sim",IF(AND(WEEKDAY(C30)=6,Configurações!$C$10&gt;0),"Sim",IF(AND(WEEKDAY(C30)=7,Configurações!$C$11&gt;0),"Sim","Não"))))))))</f>
        <v>Não</v>
      </c>
      <c r="AB30" s="44">
        <f>IF(D30="Sim",0,IF(WEEKDAY(C30)=2,Configurações!$C$6-Configurações!$E$6,IF(WEEKDAY(C30)=3,Configurações!$C$7-Configurações!$E$7,IF(WEEKDAY(C30)=4,Configurações!$C$8-Configurações!$E$8,IF(WEEKDAY(C30)=5,Configurações!$C$9-Configurações!$E$9,IF(WEEKDAY(C30)=6,Configurações!$C$10-Configurações!$E$10,IF(WEEKDAY(C30)=7,Configurações!$C$11-Configurações!$E$11,IF(WEEKDAY(C30)=1,Configurações!$C$12-Configurações!$E$12,""))))))))</f>
        <v>0</v>
      </c>
      <c r="AC30" s="44">
        <f>IF(D30="Sim",0,IF(WEEKDAY(C30)=2,Configurações!$E$6,IF(WEEKDAY(C30)=3,Configurações!$E$7,IF(WEEKDAY(C30)=4,Configurações!$E$8,IF(WEEKDAY(C30)=5,Configurações!$E$9,IF(WEEKDAY(C30)=6,Configurações!$E$10,IF(WEEKDAY(C30)=7,Configurações!$E$11,IF(WEEKDAY(C30)=1,Configurações!$E$12,""))))))))</f>
        <v>0</v>
      </c>
      <c r="AD30" s="11" t="str">
        <f t="shared" si="12"/>
        <v/>
      </c>
      <c r="AE30" s="11" t="str">
        <f t="shared" si="13"/>
        <v/>
      </c>
      <c r="AF30" s="83">
        <f t="shared" si="14"/>
        <v>0</v>
      </c>
      <c r="AG30" s="84">
        <f t="shared" si="15"/>
        <v>0</v>
      </c>
      <c r="AH30" s="84">
        <f t="shared" si="16"/>
        <v>0</v>
      </c>
      <c r="AI30" s="84">
        <f t="shared" si="17"/>
        <v>0</v>
      </c>
      <c r="AJ30" s="84">
        <f t="shared" si="18"/>
        <v>0</v>
      </c>
    </row>
    <row r="31" spans="1:36" x14ac:dyDescent="0.25">
      <c r="A31" s="106"/>
      <c r="B31" s="37">
        <f t="shared" si="3"/>
        <v>41627</v>
      </c>
      <c r="C31" s="38">
        <f t="shared" si="0"/>
        <v>41627</v>
      </c>
      <c r="D31" s="39" t="str">
        <f>IF(B31="","",IF(VerificaSeFeriado(B31),"Sim",""))</f>
        <v/>
      </c>
      <c r="E31" s="5"/>
      <c r="F31" s="5"/>
      <c r="G31" s="5"/>
      <c r="H31" s="5"/>
      <c r="I31" s="5"/>
      <c r="J31" s="5"/>
      <c r="K31" s="5"/>
      <c r="L31" s="5"/>
      <c r="M31" s="41" t="str">
        <f t="shared" si="4"/>
        <v/>
      </c>
      <c r="N31" s="42" t="str">
        <f t="shared" si="5"/>
        <v/>
      </c>
      <c r="O31" s="43" t="str">
        <f t="shared" si="19"/>
        <v/>
      </c>
      <c r="P31" s="43" t="str">
        <f t="shared" ca="1" si="6"/>
        <v/>
      </c>
      <c r="Q31" s="6"/>
      <c r="R31" s="40">
        <f t="shared" si="7"/>
        <v>0</v>
      </c>
      <c r="S31" s="44" t="str">
        <f>IF(D31="Sim",0,IF((OR(WEEKDAY(C31)=2,WEEKDAY(C31)=3,WEEKDAY(C31)=4,WEEKDAY(C31)=5,WEEKDAY(C31)=6))=TRUE,M31,IF(AND(WEEKDAY(C31)=7,Configurações!$C$11&gt;0)=TRUE,M31,IF(AND(WEEKDAY(C31)=1,Configurações!$C$12&gt;0)=TRUE,M31,0))))</f>
        <v/>
      </c>
      <c r="T31" s="44">
        <f>IF(D31="Sim",0,IF(AND(WEEKDAY(C31)=7,Configurações!$C$11&lt;=0)=TRUE,R31,0))</f>
        <v>0</v>
      </c>
      <c r="U31" s="44">
        <f>IF(D31="Sim",0,IF(AND(WEEKDAY(C31)=1,Configurações!$C$12&lt;=0)=TRUE,R31,0))</f>
        <v>0</v>
      </c>
      <c r="V31" s="44">
        <f t="shared" si="8"/>
        <v>0</v>
      </c>
      <c r="W31" s="44">
        <f t="shared" si="9"/>
        <v>0</v>
      </c>
      <c r="X31" s="45">
        <f t="shared" si="10"/>
        <v>0</v>
      </c>
      <c r="Y31" s="44">
        <f t="shared" si="20"/>
        <v>0</v>
      </c>
      <c r="Z31" s="45">
        <f t="shared" si="11"/>
        <v>0</v>
      </c>
      <c r="AA31" s="12" t="str">
        <f>IF(D31="Sim","Não",IF(AND(WEEKDAY(C31)=1,Configurações!$C$12&gt;0),"Sim",IF(AND(WEEKDAY(C31)=2,Configurações!$C$6&gt;0),"Sim",IF(AND(WEEKDAY(C31)=3,Configurações!$C$7&gt;0),"Sim",IF(AND(WEEKDAY(C31)=4,Configurações!$C$8&gt;0),"Sim",IF(AND(WEEKDAY(C31)=5,Configurações!$C$9&gt;0),"Sim",IF(AND(WEEKDAY(C31)=6,Configurações!$C$10&gt;0),"Sim",IF(AND(WEEKDAY(C31)=7,Configurações!$C$11&gt;0),"Sim","Não"))))))))</f>
        <v>Não</v>
      </c>
      <c r="AB31" s="44">
        <f>IF(D31="Sim",0,IF(WEEKDAY(C31)=2,Configurações!$C$6-Configurações!$E$6,IF(WEEKDAY(C31)=3,Configurações!$C$7-Configurações!$E$7,IF(WEEKDAY(C31)=4,Configurações!$C$8-Configurações!$E$8,IF(WEEKDAY(C31)=5,Configurações!$C$9-Configurações!$E$9,IF(WEEKDAY(C31)=6,Configurações!$C$10-Configurações!$E$10,IF(WEEKDAY(C31)=7,Configurações!$C$11-Configurações!$E$11,IF(WEEKDAY(C31)=1,Configurações!$C$12-Configurações!$E$12,""))))))))</f>
        <v>0</v>
      </c>
      <c r="AC31" s="44">
        <f>IF(D31="Sim",0,IF(WEEKDAY(C31)=2,Configurações!$E$6,IF(WEEKDAY(C31)=3,Configurações!$E$7,IF(WEEKDAY(C31)=4,Configurações!$E$8,IF(WEEKDAY(C31)=5,Configurações!$E$9,IF(WEEKDAY(C31)=6,Configurações!$E$10,IF(WEEKDAY(C31)=7,Configurações!$E$11,IF(WEEKDAY(C31)=1,Configurações!$E$12,""))))))))</f>
        <v>0</v>
      </c>
      <c r="AD31" s="11" t="str">
        <f t="shared" si="12"/>
        <v/>
      </c>
      <c r="AE31" s="11" t="str">
        <f t="shared" si="13"/>
        <v/>
      </c>
      <c r="AF31" s="83">
        <f t="shared" si="14"/>
        <v>0</v>
      </c>
      <c r="AG31" s="84">
        <f t="shared" si="15"/>
        <v>0</v>
      </c>
      <c r="AH31" s="84">
        <f t="shared" si="16"/>
        <v>0</v>
      </c>
      <c r="AI31" s="84">
        <f t="shared" si="17"/>
        <v>0</v>
      </c>
      <c r="AJ31" s="84">
        <f t="shared" si="18"/>
        <v>0</v>
      </c>
    </row>
    <row r="32" spans="1:36" x14ac:dyDescent="0.25">
      <c r="A32" s="106"/>
      <c r="B32" s="37">
        <f t="shared" si="3"/>
        <v>41628</v>
      </c>
      <c r="C32" s="38">
        <f t="shared" si="0"/>
        <v>41628</v>
      </c>
      <c r="D32" s="39" t="str">
        <f>IF(B32="","",IF(VerificaSeFeriado(B32),"Sim",""))</f>
        <v/>
      </c>
      <c r="E32" s="5"/>
      <c r="F32" s="5"/>
      <c r="G32" s="5"/>
      <c r="H32" s="5"/>
      <c r="I32" s="5"/>
      <c r="J32" s="5"/>
      <c r="K32" s="5"/>
      <c r="L32" s="5"/>
      <c r="M32" s="41" t="str">
        <f t="shared" si="4"/>
        <v/>
      </c>
      <c r="N32" s="42" t="str">
        <f t="shared" si="5"/>
        <v/>
      </c>
      <c r="O32" s="43" t="str">
        <f t="shared" si="19"/>
        <v/>
      </c>
      <c r="P32" s="43" t="str">
        <f t="shared" ca="1" si="6"/>
        <v/>
      </c>
      <c r="Q32" s="6"/>
      <c r="R32" s="40">
        <f t="shared" si="7"/>
        <v>0</v>
      </c>
      <c r="S32" s="44" t="str">
        <f>IF(D32="Sim",0,IF((OR(WEEKDAY(C32)=2,WEEKDAY(C32)=3,WEEKDAY(C32)=4,WEEKDAY(C32)=5,WEEKDAY(C32)=6))=TRUE,M32,IF(AND(WEEKDAY(C32)=7,Configurações!$C$11&gt;0)=TRUE,M32,IF(AND(WEEKDAY(C32)=1,Configurações!$C$12&gt;0)=TRUE,M32,0))))</f>
        <v/>
      </c>
      <c r="T32" s="44">
        <f>IF(D32="Sim",0,IF(AND(WEEKDAY(C32)=7,Configurações!$C$11&lt;=0)=TRUE,R32,0))</f>
        <v>0</v>
      </c>
      <c r="U32" s="44">
        <f>IF(D32="Sim",0,IF(AND(WEEKDAY(C32)=1,Configurações!$C$12&lt;=0)=TRUE,R32,0))</f>
        <v>0</v>
      </c>
      <c r="V32" s="44">
        <f t="shared" si="8"/>
        <v>0</v>
      </c>
      <c r="W32" s="44">
        <f t="shared" si="9"/>
        <v>0</v>
      </c>
      <c r="X32" s="45">
        <f t="shared" si="10"/>
        <v>0</v>
      </c>
      <c r="Y32" s="44">
        <f t="shared" si="20"/>
        <v>0</v>
      </c>
      <c r="Z32" s="45">
        <f t="shared" si="11"/>
        <v>0</v>
      </c>
      <c r="AA32" s="12" t="str">
        <f>IF(D32="Sim","Não",IF(AND(WEEKDAY(C32)=1,Configurações!$C$12&gt;0),"Sim",IF(AND(WEEKDAY(C32)=2,Configurações!$C$6&gt;0),"Sim",IF(AND(WEEKDAY(C32)=3,Configurações!$C$7&gt;0),"Sim",IF(AND(WEEKDAY(C32)=4,Configurações!$C$8&gt;0),"Sim",IF(AND(WEEKDAY(C32)=5,Configurações!$C$9&gt;0),"Sim",IF(AND(WEEKDAY(C32)=6,Configurações!$C$10&gt;0),"Sim",IF(AND(WEEKDAY(C32)=7,Configurações!$C$11&gt;0),"Sim","Não"))))))))</f>
        <v>Não</v>
      </c>
      <c r="AB32" s="44">
        <f>IF(D32="Sim",0,IF(WEEKDAY(C32)=2,Configurações!$C$6-Configurações!$E$6,IF(WEEKDAY(C32)=3,Configurações!$C$7-Configurações!$E$7,IF(WEEKDAY(C32)=4,Configurações!$C$8-Configurações!$E$8,IF(WEEKDAY(C32)=5,Configurações!$C$9-Configurações!$E$9,IF(WEEKDAY(C32)=6,Configurações!$C$10-Configurações!$E$10,IF(WEEKDAY(C32)=7,Configurações!$C$11-Configurações!$E$11,IF(WEEKDAY(C32)=1,Configurações!$C$12-Configurações!$E$12,""))))))))</f>
        <v>0</v>
      </c>
      <c r="AC32" s="44">
        <f>IF(D32="Sim",0,IF(WEEKDAY(C32)=2,Configurações!$E$6,IF(WEEKDAY(C32)=3,Configurações!$E$7,IF(WEEKDAY(C32)=4,Configurações!$E$8,IF(WEEKDAY(C32)=5,Configurações!$E$9,IF(WEEKDAY(C32)=6,Configurações!$E$10,IF(WEEKDAY(C32)=7,Configurações!$E$11,IF(WEEKDAY(C32)=1,Configurações!$E$12,""))))))))</f>
        <v>0</v>
      </c>
      <c r="AD32" s="11" t="str">
        <f t="shared" si="12"/>
        <v/>
      </c>
      <c r="AE32" s="11" t="str">
        <f t="shared" si="13"/>
        <v/>
      </c>
      <c r="AF32" s="83">
        <f t="shared" si="14"/>
        <v>0</v>
      </c>
      <c r="AG32" s="84">
        <f t="shared" si="15"/>
        <v>0</v>
      </c>
      <c r="AH32" s="84">
        <f t="shared" si="16"/>
        <v>0</v>
      </c>
      <c r="AI32" s="84">
        <f t="shared" si="17"/>
        <v>0</v>
      </c>
      <c r="AJ32" s="84">
        <f t="shared" si="18"/>
        <v>0</v>
      </c>
    </row>
    <row r="33" spans="1:36" x14ac:dyDescent="0.25">
      <c r="A33" s="106"/>
      <c r="B33" s="37">
        <f t="shared" si="3"/>
        <v>41629</v>
      </c>
      <c r="C33" s="38">
        <f t="shared" si="0"/>
        <v>41629</v>
      </c>
      <c r="D33" s="39" t="str">
        <f>IF(B33="","",IF(VerificaSeFeriado(B33),"Sim",""))</f>
        <v/>
      </c>
      <c r="E33" s="5"/>
      <c r="F33" s="5"/>
      <c r="G33" s="5"/>
      <c r="H33" s="5"/>
      <c r="I33" s="5"/>
      <c r="J33" s="5"/>
      <c r="K33" s="5"/>
      <c r="L33" s="5"/>
      <c r="M33" s="41" t="str">
        <f t="shared" si="4"/>
        <v/>
      </c>
      <c r="N33" s="42" t="str">
        <f t="shared" si="5"/>
        <v/>
      </c>
      <c r="O33" s="43" t="str">
        <f t="shared" si="19"/>
        <v/>
      </c>
      <c r="P33" s="43" t="str">
        <f t="shared" ca="1" si="6"/>
        <v/>
      </c>
      <c r="Q33" s="6"/>
      <c r="R33" s="40">
        <f t="shared" si="7"/>
        <v>0</v>
      </c>
      <c r="S33" s="44" t="str">
        <f>IF(D33="Sim",0,IF((OR(WEEKDAY(C33)=2,WEEKDAY(C33)=3,WEEKDAY(C33)=4,WEEKDAY(C33)=5,WEEKDAY(C33)=6))=TRUE,M33,IF(AND(WEEKDAY(C33)=7,Configurações!$C$11&gt;0)=TRUE,M33,IF(AND(WEEKDAY(C33)=1,Configurações!$C$12&gt;0)=TRUE,M33,0))))</f>
        <v/>
      </c>
      <c r="T33" s="44">
        <f>IF(D33="Sim",0,IF(AND(WEEKDAY(C33)=7,Configurações!$C$11&lt;=0)=TRUE,R33,0))</f>
        <v>0</v>
      </c>
      <c r="U33" s="44">
        <f>IF(D33="Sim",0,IF(AND(WEEKDAY(C33)=1,Configurações!$C$12&lt;=0)=TRUE,R33,0))</f>
        <v>0</v>
      </c>
      <c r="V33" s="44">
        <f t="shared" si="8"/>
        <v>0</v>
      </c>
      <c r="W33" s="44">
        <f t="shared" si="9"/>
        <v>0</v>
      </c>
      <c r="X33" s="45">
        <f t="shared" si="10"/>
        <v>0</v>
      </c>
      <c r="Y33" s="44">
        <f t="shared" si="20"/>
        <v>0</v>
      </c>
      <c r="Z33" s="45">
        <f t="shared" si="11"/>
        <v>0</v>
      </c>
      <c r="AA33" s="12" t="str">
        <f>IF(D33="Sim","Não",IF(AND(WEEKDAY(C33)=1,Configurações!$C$12&gt;0),"Sim",IF(AND(WEEKDAY(C33)=2,Configurações!$C$6&gt;0),"Sim",IF(AND(WEEKDAY(C33)=3,Configurações!$C$7&gt;0),"Sim",IF(AND(WEEKDAY(C33)=4,Configurações!$C$8&gt;0),"Sim",IF(AND(WEEKDAY(C33)=5,Configurações!$C$9&gt;0),"Sim",IF(AND(WEEKDAY(C33)=6,Configurações!$C$10&gt;0),"Sim",IF(AND(WEEKDAY(C33)=7,Configurações!$C$11&gt;0),"Sim","Não"))))))))</f>
        <v>Não</v>
      </c>
      <c r="AB33" s="44">
        <f>IF(D33="Sim",0,IF(WEEKDAY(C33)=2,Configurações!$C$6-Configurações!$E$6,IF(WEEKDAY(C33)=3,Configurações!$C$7-Configurações!$E$7,IF(WEEKDAY(C33)=4,Configurações!$C$8-Configurações!$E$8,IF(WEEKDAY(C33)=5,Configurações!$C$9-Configurações!$E$9,IF(WEEKDAY(C33)=6,Configurações!$C$10-Configurações!$E$10,IF(WEEKDAY(C33)=7,Configurações!$C$11-Configurações!$E$11,IF(WEEKDAY(C33)=1,Configurações!$C$12-Configurações!$E$12,""))))))))</f>
        <v>0</v>
      </c>
      <c r="AC33" s="44">
        <f>IF(D33="Sim",0,IF(WEEKDAY(C33)=2,Configurações!$E$6,IF(WEEKDAY(C33)=3,Configurações!$E$7,IF(WEEKDAY(C33)=4,Configurações!$E$8,IF(WEEKDAY(C33)=5,Configurações!$E$9,IF(WEEKDAY(C33)=6,Configurações!$E$10,IF(WEEKDAY(C33)=7,Configurações!$E$11,IF(WEEKDAY(C33)=1,Configurações!$E$12,""))))))))</f>
        <v>0</v>
      </c>
      <c r="AD33" s="11" t="str">
        <f t="shared" si="12"/>
        <v/>
      </c>
      <c r="AE33" s="11" t="str">
        <f t="shared" si="13"/>
        <v/>
      </c>
      <c r="AF33" s="83">
        <f t="shared" si="14"/>
        <v>0</v>
      </c>
      <c r="AG33" s="84">
        <f t="shared" si="15"/>
        <v>0</v>
      </c>
      <c r="AH33" s="84">
        <f t="shared" si="16"/>
        <v>0</v>
      </c>
      <c r="AI33" s="84">
        <f t="shared" si="17"/>
        <v>0</v>
      </c>
      <c r="AJ33" s="84">
        <f t="shared" si="18"/>
        <v>0</v>
      </c>
    </row>
    <row r="34" spans="1:36" x14ac:dyDescent="0.25">
      <c r="A34" s="106"/>
      <c r="B34" s="37">
        <f t="shared" si="3"/>
        <v>41630</v>
      </c>
      <c r="C34" s="38">
        <f t="shared" si="0"/>
        <v>41630</v>
      </c>
      <c r="D34" s="39" t="str">
        <f>IF(B34="","",IF(VerificaSeFeriado(B34),"Sim",""))</f>
        <v/>
      </c>
      <c r="E34" s="5"/>
      <c r="F34" s="5"/>
      <c r="G34" s="5"/>
      <c r="H34" s="5"/>
      <c r="I34" s="5"/>
      <c r="J34" s="5"/>
      <c r="K34" s="5"/>
      <c r="L34" s="5"/>
      <c r="M34" s="41" t="str">
        <f t="shared" si="4"/>
        <v/>
      </c>
      <c r="N34" s="42" t="str">
        <f t="shared" si="5"/>
        <v/>
      </c>
      <c r="O34" s="43" t="str">
        <f t="shared" si="19"/>
        <v/>
      </c>
      <c r="P34" s="43" t="str">
        <f t="shared" ca="1" si="6"/>
        <v/>
      </c>
      <c r="Q34" s="6"/>
      <c r="R34" s="40">
        <f t="shared" si="7"/>
        <v>0</v>
      </c>
      <c r="S34" s="44">
        <f>IF(D34="Sim",0,IF((OR(WEEKDAY(C34)=2,WEEKDAY(C34)=3,WEEKDAY(C34)=4,WEEKDAY(C34)=5,WEEKDAY(C34)=6))=TRUE,M34,IF(AND(WEEKDAY(C34)=7,Configurações!$C$11&gt;0)=TRUE,M34,IF(AND(WEEKDAY(C34)=1,Configurações!$C$12&gt;0)=TRUE,M34,0))))</f>
        <v>0</v>
      </c>
      <c r="T34" s="44">
        <f>IF(D34="Sim",0,IF(AND(WEEKDAY(C34)=7,Configurações!$C$11&lt;=0)=TRUE,R34,0))</f>
        <v>0</v>
      </c>
      <c r="U34" s="44">
        <f>IF(D34="Sim",0,IF(AND(WEEKDAY(C34)=1,Configurações!$C$12&lt;=0)=TRUE,R34,0))</f>
        <v>0</v>
      </c>
      <c r="V34" s="44">
        <f t="shared" si="8"/>
        <v>0</v>
      </c>
      <c r="W34" s="44">
        <f t="shared" si="9"/>
        <v>0</v>
      </c>
      <c r="X34" s="45">
        <f t="shared" si="10"/>
        <v>0</v>
      </c>
      <c r="Y34" s="44">
        <f t="shared" si="20"/>
        <v>0</v>
      </c>
      <c r="Z34" s="45">
        <f t="shared" si="11"/>
        <v>0</v>
      </c>
      <c r="AA34" s="12" t="str">
        <f>IF(D34="Sim","Não",IF(AND(WEEKDAY(C34)=1,Configurações!$C$12&gt;0),"Sim",IF(AND(WEEKDAY(C34)=2,Configurações!$C$6&gt;0),"Sim",IF(AND(WEEKDAY(C34)=3,Configurações!$C$7&gt;0),"Sim",IF(AND(WEEKDAY(C34)=4,Configurações!$C$8&gt;0),"Sim",IF(AND(WEEKDAY(C34)=5,Configurações!$C$9&gt;0),"Sim",IF(AND(WEEKDAY(C34)=6,Configurações!$C$10&gt;0),"Sim",IF(AND(WEEKDAY(C34)=7,Configurações!$C$11&gt;0),"Sim","Não"))))))))</f>
        <v>Não</v>
      </c>
      <c r="AB34" s="44">
        <f>IF(D34="Sim",0,IF(WEEKDAY(C34)=2,Configurações!$C$6-Configurações!$E$6,IF(WEEKDAY(C34)=3,Configurações!$C$7-Configurações!$E$7,IF(WEEKDAY(C34)=4,Configurações!$C$8-Configurações!$E$8,IF(WEEKDAY(C34)=5,Configurações!$C$9-Configurações!$E$9,IF(WEEKDAY(C34)=6,Configurações!$C$10-Configurações!$E$10,IF(WEEKDAY(C34)=7,Configurações!$C$11-Configurações!$E$11,IF(WEEKDAY(C34)=1,Configurações!$C$12-Configurações!$E$12,""))))))))</f>
        <v>0</v>
      </c>
      <c r="AC34" s="44">
        <f>IF(D34="Sim",0,IF(WEEKDAY(C34)=2,Configurações!$E$6,IF(WEEKDAY(C34)=3,Configurações!$E$7,IF(WEEKDAY(C34)=4,Configurações!$E$8,IF(WEEKDAY(C34)=5,Configurações!$E$9,IF(WEEKDAY(C34)=6,Configurações!$E$10,IF(WEEKDAY(C34)=7,Configurações!$E$11,IF(WEEKDAY(C34)=1,Configurações!$E$12,""))))))))</f>
        <v>0</v>
      </c>
      <c r="AD34" s="11" t="str">
        <f t="shared" si="12"/>
        <v/>
      </c>
      <c r="AE34" s="11" t="str">
        <f t="shared" si="13"/>
        <v/>
      </c>
      <c r="AF34" s="83">
        <f t="shared" si="14"/>
        <v>0</v>
      </c>
      <c r="AG34" s="84">
        <f t="shared" si="15"/>
        <v>0</v>
      </c>
      <c r="AH34" s="84">
        <f t="shared" si="16"/>
        <v>0</v>
      </c>
      <c r="AI34" s="84">
        <f t="shared" si="17"/>
        <v>0</v>
      </c>
      <c r="AJ34" s="84">
        <f t="shared" si="18"/>
        <v>0</v>
      </c>
    </row>
    <row r="35" spans="1:36" x14ac:dyDescent="0.25">
      <c r="A35" s="106"/>
      <c r="B35" s="37">
        <f t="shared" si="3"/>
        <v>41631</v>
      </c>
      <c r="C35" s="38">
        <f t="shared" si="0"/>
        <v>41631</v>
      </c>
      <c r="D35" s="39" t="str">
        <f>IF(B35="","",IF(VerificaSeFeriado(B35),"Sim",""))</f>
        <v/>
      </c>
      <c r="E35" s="5"/>
      <c r="F35" s="5"/>
      <c r="G35" s="5"/>
      <c r="H35" s="5"/>
      <c r="I35" s="5"/>
      <c r="J35" s="5"/>
      <c r="K35" s="5"/>
      <c r="L35" s="5"/>
      <c r="M35" s="41" t="str">
        <f t="shared" si="4"/>
        <v/>
      </c>
      <c r="N35" s="42" t="str">
        <f t="shared" si="5"/>
        <v/>
      </c>
      <c r="O35" s="43" t="str">
        <f t="shared" si="19"/>
        <v/>
      </c>
      <c r="P35" s="43" t="str">
        <f t="shared" ca="1" si="6"/>
        <v/>
      </c>
      <c r="Q35" s="6"/>
      <c r="R35" s="40">
        <f t="shared" si="7"/>
        <v>0</v>
      </c>
      <c r="S35" s="44">
        <f>IF(D35="Sim",0,IF((OR(WEEKDAY(C35)=2,WEEKDAY(C35)=3,WEEKDAY(C35)=4,WEEKDAY(C35)=5,WEEKDAY(C35)=6))=TRUE,M35,IF(AND(WEEKDAY(C35)=7,Configurações!$C$11&gt;0)=TRUE,M35,IF(AND(WEEKDAY(C35)=1,Configurações!$C$12&gt;0)=TRUE,M35,0))))</f>
        <v>0</v>
      </c>
      <c r="T35" s="44">
        <f>IF(D35="Sim",0,IF(AND(WEEKDAY(C35)=7,Configurações!$C$11&lt;=0)=TRUE,R35,0))</f>
        <v>0</v>
      </c>
      <c r="U35" s="44">
        <f>IF(D35="Sim",0,IF(AND(WEEKDAY(C35)=1,Configurações!$C$12&lt;=0)=TRUE,R35,0))</f>
        <v>0</v>
      </c>
      <c r="V35" s="44">
        <f t="shared" si="8"/>
        <v>0</v>
      </c>
      <c r="W35" s="44">
        <f t="shared" si="9"/>
        <v>0</v>
      </c>
      <c r="X35" s="45">
        <f t="shared" si="10"/>
        <v>0</v>
      </c>
      <c r="Y35" s="44">
        <f t="shared" si="20"/>
        <v>0</v>
      </c>
      <c r="Z35" s="45">
        <f t="shared" si="11"/>
        <v>0</v>
      </c>
      <c r="AA35" s="12" t="str">
        <f>IF(D35="Sim","Não",IF(AND(WEEKDAY(C35)=1,Configurações!$C$12&gt;0),"Sim",IF(AND(WEEKDAY(C35)=2,Configurações!$C$6&gt;0),"Sim",IF(AND(WEEKDAY(C35)=3,Configurações!$C$7&gt;0),"Sim",IF(AND(WEEKDAY(C35)=4,Configurações!$C$8&gt;0),"Sim",IF(AND(WEEKDAY(C35)=5,Configurações!$C$9&gt;0),"Sim",IF(AND(WEEKDAY(C35)=6,Configurações!$C$10&gt;0),"Sim",IF(AND(WEEKDAY(C35)=7,Configurações!$C$11&gt;0),"Sim","Não"))))))))</f>
        <v>Não</v>
      </c>
      <c r="AB35" s="44">
        <f>IF(D35="Sim",0,IF(WEEKDAY(C35)=2,Configurações!$C$6-Configurações!$E$6,IF(WEEKDAY(C35)=3,Configurações!$C$7-Configurações!$E$7,IF(WEEKDAY(C35)=4,Configurações!$C$8-Configurações!$E$8,IF(WEEKDAY(C35)=5,Configurações!$C$9-Configurações!$E$9,IF(WEEKDAY(C35)=6,Configurações!$C$10-Configurações!$E$10,IF(WEEKDAY(C35)=7,Configurações!$C$11-Configurações!$E$11,IF(WEEKDAY(C35)=1,Configurações!$C$12-Configurações!$E$12,""))))))))</f>
        <v>0</v>
      </c>
      <c r="AC35" s="44">
        <f>IF(D35="Sim",0,IF(WEEKDAY(C35)=2,Configurações!$E$6,IF(WEEKDAY(C35)=3,Configurações!$E$7,IF(WEEKDAY(C35)=4,Configurações!$E$8,IF(WEEKDAY(C35)=5,Configurações!$E$9,IF(WEEKDAY(C35)=6,Configurações!$E$10,IF(WEEKDAY(C35)=7,Configurações!$E$11,IF(WEEKDAY(C35)=1,Configurações!$E$12,""))))))))</f>
        <v>0</v>
      </c>
      <c r="AD35" s="11" t="str">
        <f t="shared" si="12"/>
        <v/>
      </c>
      <c r="AE35" s="11" t="str">
        <f t="shared" si="13"/>
        <v/>
      </c>
      <c r="AF35" s="83">
        <f t="shared" si="14"/>
        <v>0</v>
      </c>
      <c r="AG35" s="84">
        <f t="shared" si="15"/>
        <v>0</v>
      </c>
      <c r="AH35" s="84">
        <f t="shared" si="16"/>
        <v>0</v>
      </c>
      <c r="AI35" s="84">
        <f t="shared" si="17"/>
        <v>0</v>
      </c>
      <c r="AJ35" s="84">
        <f t="shared" si="18"/>
        <v>0</v>
      </c>
    </row>
    <row r="36" spans="1:36" x14ac:dyDescent="0.25">
      <c r="A36" s="106"/>
      <c r="B36" s="37">
        <f t="shared" si="3"/>
        <v>41632</v>
      </c>
      <c r="C36" s="38">
        <f t="shared" si="0"/>
        <v>41632</v>
      </c>
      <c r="D36" s="39" t="str">
        <f>IF(B36="","",IF(VerificaSeFeriado(B36),"Sim",""))</f>
        <v>Sim</v>
      </c>
      <c r="E36" s="5"/>
      <c r="F36" s="5"/>
      <c r="G36" s="5"/>
      <c r="H36" s="5"/>
      <c r="I36" s="5"/>
      <c r="J36" s="5"/>
      <c r="K36" s="5"/>
      <c r="L36" s="5"/>
      <c r="M36" s="41" t="str">
        <f t="shared" si="4"/>
        <v/>
      </c>
      <c r="N36" s="42" t="str">
        <f t="shared" si="5"/>
        <v/>
      </c>
      <c r="O36" s="43" t="str">
        <f t="shared" si="19"/>
        <v/>
      </c>
      <c r="P36" s="43" t="str">
        <f t="shared" ca="1" si="6"/>
        <v/>
      </c>
      <c r="Q36" s="6"/>
      <c r="R36" s="40">
        <f t="shared" si="7"/>
        <v>0</v>
      </c>
      <c r="S36" s="44">
        <f>IF(D36="Sim",0,IF((OR(WEEKDAY(C36)=2,WEEKDAY(C36)=3,WEEKDAY(C36)=4,WEEKDAY(C36)=5,WEEKDAY(C36)=6))=TRUE,M36,IF(AND(WEEKDAY(C36)=7,Configurações!$C$11&gt;0)=TRUE,M36,IF(AND(WEEKDAY(C36)=1,Configurações!$C$12&gt;0)=TRUE,M36,0))))</f>
        <v>0</v>
      </c>
      <c r="T36" s="44">
        <f>IF(D36="Sim",0,IF(AND(WEEKDAY(C36)=7,Configurações!$C$11&lt;=0)=TRUE,R36,0))</f>
        <v>0</v>
      </c>
      <c r="U36" s="44">
        <f>IF(D36="Sim",0,IF(AND(WEEKDAY(C36)=1,Configurações!$C$12&lt;=0)=TRUE,R36,0))</f>
        <v>0</v>
      </c>
      <c r="V36" s="44">
        <f t="shared" si="8"/>
        <v>0</v>
      </c>
      <c r="W36" s="44">
        <f t="shared" si="9"/>
        <v>0</v>
      </c>
      <c r="X36" s="45">
        <f t="shared" si="10"/>
        <v>0</v>
      </c>
      <c r="Y36" s="44">
        <f t="shared" si="20"/>
        <v>0</v>
      </c>
      <c r="Z36" s="45">
        <f t="shared" si="11"/>
        <v>0</v>
      </c>
      <c r="AA36" s="12" t="str">
        <f>IF(D36="Sim","Não",IF(AND(WEEKDAY(C36)=1,Configurações!$C$12&gt;0),"Sim",IF(AND(WEEKDAY(C36)=2,Configurações!$C$6&gt;0),"Sim",IF(AND(WEEKDAY(C36)=3,Configurações!$C$7&gt;0),"Sim",IF(AND(WEEKDAY(C36)=4,Configurações!$C$8&gt;0),"Sim",IF(AND(WEEKDAY(C36)=5,Configurações!$C$9&gt;0),"Sim",IF(AND(WEEKDAY(C36)=6,Configurações!$C$10&gt;0),"Sim",IF(AND(WEEKDAY(C36)=7,Configurações!$C$11&gt;0),"Sim","Não"))))))))</f>
        <v>Não</v>
      </c>
      <c r="AB36" s="44">
        <f>IF(D36="Sim",0,IF(WEEKDAY(C36)=2,Configurações!$C$6-Configurações!$E$6,IF(WEEKDAY(C36)=3,Configurações!$C$7-Configurações!$E$7,IF(WEEKDAY(C36)=4,Configurações!$C$8-Configurações!$E$8,IF(WEEKDAY(C36)=5,Configurações!$C$9-Configurações!$E$9,IF(WEEKDAY(C36)=6,Configurações!$C$10-Configurações!$E$10,IF(WEEKDAY(C36)=7,Configurações!$C$11-Configurações!$E$11,IF(WEEKDAY(C36)=1,Configurações!$C$12-Configurações!$E$12,""))))))))</f>
        <v>0</v>
      </c>
      <c r="AC36" s="44">
        <f>IF(D36="Sim",0,IF(WEEKDAY(C36)=2,Configurações!$E$6,IF(WEEKDAY(C36)=3,Configurações!$E$7,IF(WEEKDAY(C36)=4,Configurações!$E$8,IF(WEEKDAY(C36)=5,Configurações!$E$9,IF(WEEKDAY(C36)=6,Configurações!$E$10,IF(WEEKDAY(C36)=7,Configurações!$E$11,IF(WEEKDAY(C36)=1,Configurações!$E$12,""))))))))</f>
        <v>0</v>
      </c>
      <c r="AD36" s="11" t="str">
        <f t="shared" si="12"/>
        <v/>
      </c>
      <c r="AE36" s="11" t="str">
        <f t="shared" si="13"/>
        <v/>
      </c>
      <c r="AF36" s="83">
        <f t="shared" si="14"/>
        <v>0</v>
      </c>
      <c r="AG36" s="84">
        <f t="shared" si="15"/>
        <v>0</v>
      </c>
      <c r="AH36" s="84">
        <f t="shared" si="16"/>
        <v>0</v>
      </c>
      <c r="AI36" s="84">
        <f t="shared" si="17"/>
        <v>0</v>
      </c>
      <c r="AJ36" s="84">
        <f t="shared" si="18"/>
        <v>0</v>
      </c>
    </row>
    <row r="37" spans="1:36" x14ac:dyDescent="0.25">
      <c r="A37" s="106"/>
      <c r="B37" s="37">
        <f t="shared" si="3"/>
        <v>41633</v>
      </c>
      <c r="C37" s="38">
        <f t="shared" si="0"/>
        <v>41633</v>
      </c>
      <c r="D37" s="39" t="str">
        <f>IF(B37="","",IF(VerificaSeFeriado(B37),"Sim",""))</f>
        <v/>
      </c>
      <c r="E37" s="5"/>
      <c r="F37" s="5"/>
      <c r="G37" s="5"/>
      <c r="H37" s="5"/>
      <c r="I37" s="5"/>
      <c r="J37" s="5"/>
      <c r="K37" s="5"/>
      <c r="L37" s="5"/>
      <c r="M37" s="41" t="str">
        <f t="shared" si="4"/>
        <v/>
      </c>
      <c r="N37" s="42" t="str">
        <f t="shared" si="5"/>
        <v/>
      </c>
      <c r="O37" s="43" t="str">
        <f t="shared" si="19"/>
        <v/>
      </c>
      <c r="P37" s="43" t="str">
        <f t="shared" ca="1" si="6"/>
        <v/>
      </c>
      <c r="Q37" s="6"/>
      <c r="R37" s="40">
        <f t="shared" si="7"/>
        <v>0</v>
      </c>
      <c r="S37" s="44" t="str">
        <f>IF(D37="Sim",0,IF((OR(WEEKDAY(C37)=2,WEEKDAY(C37)=3,WEEKDAY(C37)=4,WEEKDAY(C37)=5,WEEKDAY(C37)=6))=TRUE,M37,IF(AND(WEEKDAY(C37)=7,Configurações!$C$11&gt;0)=TRUE,M37,IF(AND(WEEKDAY(C37)=1,Configurações!$C$12&gt;0)=TRUE,M37,0))))</f>
        <v/>
      </c>
      <c r="T37" s="44">
        <f>IF(D37="Sim",0,IF(AND(WEEKDAY(C37)=7,Configurações!$C$11&lt;=0)=TRUE,R37,0))</f>
        <v>0</v>
      </c>
      <c r="U37" s="44">
        <f>IF(D37="Sim",0,IF(AND(WEEKDAY(C37)=1,Configurações!$C$12&lt;=0)=TRUE,R37,0))</f>
        <v>0</v>
      </c>
      <c r="V37" s="44">
        <f t="shared" si="8"/>
        <v>0</v>
      </c>
      <c r="W37" s="44">
        <f t="shared" si="9"/>
        <v>0</v>
      </c>
      <c r="X37" s="45">
        <f t="shared" si="10"/>
        <v>0</v>
      </c>
      <c r="Y37" s="44">
        <f t="shared" si="20"/>
        <v>0</v>
      </c>
      <c r="Z37" s="45">
        <f t="shared" si="11"/>
        <v>0</v>
      </c>
      <c r="AA37" s="12" t="str">
        <f>IF(D37="Sim","Não",IF(AND(WEEKDAY(C37)=1,Configurações!$C$12&gt;0),"Sim",IF(AND(WEEKDAY(C37)=2,Configurações!$C$6&gt;0),"Sim",IF(AND(WEEKDAY(C37)=3,Configurações!$C$7&gt;0),"Sim",IF(AND(WEEKDAY(C37)=4,Configurações!$C$8&gt;0),"Sim",IF(AND(WEEKDAY(C37)=5,Configurações!$C$9&gt;0),"Sim",IF(AND(WEEKDAY(C37)=6,Configurações!$C$10&gt;0),"Sim",IF(AND(WEEKDAY(C37)=7,Configurações!$C$11&gt;0),"Sim","Não"))))))))</f>
        <v>Não</v>
      </c>
      <c r="AB37" s="44">
        <f>IF(D37="Sim",0,IF(WEEKDAY(C37)=2,Configurações!$C$6-Configurações!$E$6,IF(WEEKDAY(C37)=3,Configurações!$C$7-Configurações!$E$7,IF(WEEKDAY(C37)=4,Configurações!$C$8-Configurações!$E$8,IF(WEEKDAY(C37)=5,Configurações!$C$9-Configurações!$E$9,IF(WEEKDAY(C37)=6,Configurações!$C$10-Configurações!$E$10,IF(WEEKDAY(C37)=7,Configurações!$C$11-Configurações!$E$11,IF(WEEKDAY(C37)=1,Configurações!$C$12-Configurações!$E$12,""))))))))</f>
        <v>0</v>
      </c>
      <c r="AC37" s="44">
        <f>IF(D37="Sim",0,IF(WEEKDAY(C37)=2,Configurações!$E$6,IF(WEEKDAY(C37)=3,Configurações!$E$7,IF(WEEKDAY(C37)=4,Configurações!$E$8,IF(WEEKDAY(C37)=5,Configurações!$E$9,IF(WEEKDAY(C37)=6,Configurações!$E$10,IF(WEEKDAY(C37)=7,Configurações!$E$11,IF(WEEKDAY(C37)=1,Configurações!$E$12,""))))))))</f>
        <v>0</v>
      </c>
      <c r="AD37" s="11" t="str">
        <f t="shared" si="12"/>
        <v/>
      </c>
      <c r="AE37" s="11" t="str">
        <f t="shared" si="13"/>
        <v/>
      </c>
      <c r="AF37" s="83">
        <f t="shared" si="14"/>
        <v>0</v>
      </c>
      <c r="AG37" s="84">
        <f t="shared" si="15"/>
        <v>0</v>
      </c>
      <c r="AH37" s="84">
        <f t="shared" si="16"/>
        <v>0</v>
      </c>
      <c r="AI37" s="84">
        <f t="shared" si="17"/>
        <v>0</v>
      </c>
      <c r="AJ37" s="84">
        <f t="shared" si="18"/>
        <v>0</v>
      </c>
    </row>
    <row r="38" spans="1:36" x14ac:dyDescent="0.25">
      <c r="A38" s="106"/>
      <c r="B38" s="37">
        <f t="shared" si="3"/>
        <v>41634</v>
      </c>
      <c r="C38" s="38">
        <f t="shared" si="0"/>
        <v>41634</v>
      </c>
      <c r="D38" s="39" t="str">
        <f>IF(B38="","",IF(VerificaSeFeriado(B38),"Sim",""))</f>
        <v/>
      </c>
      <c r="E38" s="5"/>
      <c r="F38" s="5"/>
      <c r="G38" s="5"/>
      <c r="H38" s="5"/>
      <c r="I38" s="5"/>
      <c r="J38" s="5"/>
      <c r="K38" s="5"/>
      <c r="L38" s="5"/>
      <c r="M38" s="41" t="str">
        <f t="shared" si="4"/>
        <v/>
      </c>
      <c r="N38" s="42" t="str">
        <f t="shared" si="5"/>
        <v/>
      </c>
      <c r="O38" s="43" t="str">
        <f t="shared" si="19"/>
        <v/>
      </c>
      <c r="P38" s="43" t="str">
        <f t="shared" ca="1" si="6"/>
        <v/>
      </c>
      <c r="Q38" s="6"/>
      <c r="R38" s="40">
        <f t="shared" si="7"/>
        <v>0</v>
      </c>
      <c r="S38" s="44" t="str">
        <f>IF(D38="Sim",0,IF((OR(WEEKDAY(C38)=2,WEEKDAY(C38)=3,WEEKDAY(C38)=4,WEEKDAY(C38)=5,WEEKDAY(C38)=6))=TRUE,M38,IF(AND(WEEKDAY(C38)=7,Configurações!$C$11&gt;0)=TRUE,M38,IF(AND(WEEKDAY(C38)=1,Configurações!$C$12&gt;0)=TRUE,M38,0))))</f>
        <v/>
      </c>
      <c r="T38" s="44">
        <f>IF(D38="Sim",0,IF(AND(WEEKDAY(C38)=7,Configurações!$C$11&lt;=0)=TRUE,R38,0))</f>
        <v>0</v>
      </c>
      <c r="U38" s="44">
        <f>IF(D38="Sim",0,IF(AND(WEEKDAY(C38)=1,Configurações!$C$12&lt;=0)=TRUE,R38,0))</f>
        <v>0</v>
      </c>
      <c r="V38" s="44">
        <f t="shared" si="8"/>
        <v>0</v>
      </c>
      <c r="W38" s="44">
        <f t="shared" si="9"/>
        <v>0</v>
      </c>
      <c r="X38" s="45">
        <f t="shared" si="10"/>
        <v>0</v>
      </c>
      <c r="Y38" s="44">
        <f t="shared" si="20"/>
        <v>0</v>
      </c>
      <c r="Z38" s="45">
        <f t="shared" si="11"/>
        <v>0</v>
      </c>
      <c r="AA38" s="12" t="str">
        <f>IF(D38="Sim","Não",IF(AND(WEEKDAY(C38)=1,Configurações!$C$12&gt;0),"Sim",IF(AND(WEEKDAY(C38)=2,Configurações!$C$6&gt;0),"Sim",IF(AND(WEEKDAY(C38)=3,Configurações!$C$7&gt;0),"Sim",IF(AND(WEEKDAY(C38)=4,Configurações!$C$8&gt;0),"Sim",IF(AND(WEEKDAY(C38)=5,Configurações!$C$9&gt;0),"Sim",IF(AND(WEEKDAY(C38)=6,Configurações!$C$10&gt;0),"Sim",IF(AND(WEEKDAY(C38)=7,Configurações!$C$11&gt;0),"Sim","Não"))))))))</f>
        <v>Não</v>
      </c>
      <c r="AB38" s="44">
        <f>IF(D38="Sim",0,IF(WEEKDAY(C38)=2,Configurações!$C$6-Configurações!$E$6,IF(WEEKDAY(C38)=3,Configurações!$C$7-Configurações!$E$7,IF(WEEKDAY(C38)=4,Configurações!$C$8-Configurações!$E$8,IF(WEEKDAY(C38)=5,Configurações!$C$9-Configurações!$E$9,IF(WEEKDAY(C38)=6,Configurações!$C$10-Configurações!$E$10,IF(WEEKDAY(C38)=7,Configurações!$C$11-Configurações!$E$11,IF(WEEKDAY(C38)=1,Configurações!$C$12-Configurações!$E$12,""))))))))</f>
        <v>0</v>
      </c>
      <c r="AC38" s="44">
        <f>IF(D38="Sim",0,IF(WEEKDAY(C38)=2,Configurações!$E$6,IF(WEEKDAY(C38)=3,Configurações!$E$7,IF(WEEKDAY(C38)=4,Configurações!$E$8,IF(WEEKDAY(C38)=5,Configurações!$E$9,IF(WEEKDAY(C38)=6,Configurações!$E$10,IF(WEEKDAY(C38)=7,Configurações!$E$11,IF(WEEKDAY(C38)=1,Configurações!$E$12,""))))))))</f>
        <v>0</v>
      </c>
      <c r="AD38" s="11" t="str">
        <f t="shared" si="12"/>
        <v/>
      </c>
      <c r="AE38" s="11" t="str">
        <f t="shared" si="13"/>
        <v/>
      </c>
      <c r="AF38" s="83">
        <f t="shared" si="14"/>
        <v>0</v>
      </c>
      <c r="AG38" s="84">
        <f t="shared" si="15"/>
        <v>0</v>
      </c>
      <c r="AH38" s="84">
        <f t="shared" si="16"/>
        <v>0</v>
      </c>
      <c r="AI38" s="84">
        <f t="shared" si="17"/>
        <v>0</v>
      </c>
      <c r="AJ38" s="84">
        <f t="shared" si="18"/>
        <v>0</v>
      </c>
    </row>
    <row r="39" spans="1:36" x14ac:dyDescent="0.25">
      <c r="A39" s="106"/>
      <c r="B39" s="37">
        <f t="shared" si="3"/>
        <v>41635</v>
      </c>
      <c r="C39" s="38">
        <f t="shared" si="0"/>
        <v>41635</v>
      </c>
      <c r="D39" s="39" t="str">
        <f>IF(B39="","",IF(VerificaSeFeriado(B39),"Sim",""))</f>
        <v/>
      </c>
      <c r="E39" s="5"/>
      <c r="F39" s="5"/>
      <c r="G39" s="5"/>
      <c r="H39" s="5"/>
      <c r="I39" s="5"/>
      <c r="J39" s="5"/>
      <c r="K39" s="5"/>
      <c r="L39" s="5"/>
      <c r="M39" s="41" t="str">
        <f t="shared" si="4"/>
        <v/>
      </c>
      <c r="N39" s="42" t="str">
        <f t="shared" si="5"/>
        <v/>
      </c>
      <c r="O39" s="43" t="str">
        <f t="shared" si="19"/>
        <v/>
      </c>
      <c r="P39" s="43" t="str">
        <f t="shared" ca="1" si="6"/>
        <v/>
      </c>
      <c r="Q39" s="6"/>
      <c r="R39" s="40">
        <f t="shared" si="7"/>
        <v>0</v>
      </c>
      <c r="S39" s="44" t="str">
        <f>IF(D39="Sim",0,IF((OR(WEEKDAY(C39)=2,WEEKDAY(C39)=3,WEEKDAY(C39)=4,WEEKDAY(C39)=5,WEEKDAY(C39)=6))=TRUE,M39,IF(AND(WEEKDAY(C39)=7,Configurações!$C$11&gt;0)=TRUE,M39,IF(AND(WEEKDAY(C39)=1,Configurações!$C$12&gt;0)=TRUE,M39,0))))</f>
        <v/>
      </c>
      <c r="T39" s="44">
        <f>IF(D39="Sim",0,IF(AND(WEEKDAY(C39)=7,Configurações!$C$11&lt;=0)=TRUE,R39,0))</f>
        <v>0</v>
      </c>
      <c r="U39" s="44">
        <f>IF(D39="Sim",0,IF(AND(WEEKDAY(C39)=1,Configurações!$C$12&lt;=0)=TRUE,R39,0))</f>
        <v>0</v>
      </c>
      <c r="V39" s="44">
        <f t="shared" si="8"/>
        <v>0</v>
      </c>
      <c r="W39" s="44">
        <f t="shared" si="9"/>
        <v>0</v>
      </c>
      <c r="X39" s="45">
        <f t="shared" si="10"/>
        <v>0</v>
      </c>
      <c r="Y39" s="44">
        <f t="shared" si="20"/>
        <v>0</v>
      </c>
      <c r="Z39" s="45">
        <f t="shared" si="11"/>
        <v>0</v>
      </c>
      <c r="AA39" s="12" t="str">
        <f>IF(D39="Sim","Não",IF(AND(WEEKDAY(C39)=1,Configurações!$C$12&gt;0),"Sim",IF(AND(WEEKDAY(C39)=2,Configurações!$C$6&gt;0),"Sim",IF(AND(WEEKDAY(C39)=3,Configurações!$C$7&gt;0),"Sim",IF(AND(WEEKDAY(C39)=4,Configurações!$C$8&gt;0),"Sim",IF(AND(WEEKDAY(C39)=5,Configurações!$C$9&gt;0),"Sim",IF(AND(WEEKDAY(C39)=6,Configurações!$C$10&gt;0),"Sim",IF(AND(WEEKDAY(C39)=7,Configurações!$C$11&gt;0),"Sim","Não"))))))))</f>
        <v>Não</v>
      </c>
      <c r="AB39" s="44">
        <f>IF(D39="Sim",0,IF(WEEKDAY(C39)=2,Configurações!$C$6-Configurações!$E$6,IF(WEEKDAY(C39)=3,Configurações!$C$7-Configurações!$E$7,IF(WEEKDAY(C39)=4,Configurações!$C$8-Configurações!$E$8,IF(WEEKDAY(C39)=5,Configurações!$C$9-Configurações!$E$9,IF(WEEKDAY(C39)=6,Configurações!$C$10-Configurações!$E$10,IF(WEEKDAY(C39)=7,Configurações!$C$11-Configurações!$E$11,IF(WEEKDAY(C39)=1,Configurações!$C$12-Configurações!$E$12,""))))))))</f>
        <v>0</v>
      </c>
      <c r="AC39" s="44">
        <f>IF(D39="Sim",0,IF(WEEKDAY(C39)=2,Configurações!$E$6,IF(WEEKDAY(C39)=3,Configurações!$E$7,IF(WEEKDAY(C39)=4,Configurações!$E$8,IF(WEEKDAY(C39)=5,Configurações!$E$9,IF(WEEKDAY(C39)=6,Configurações!$E$10,IF(WEEKDAY(C39)=7,Configurações!$E$11,IF(WEEKDAY(C39)=1,Configurações!$E$12,""))))))))</f>
        <v>0</v>
      </c>
      <c r="AD39" s="11" t="str">
        <f t="shared" si="12"/>
        <v/>
      </c>
      <c r="AE39" s="11" t="str">
        <f t="shared" si="13"/>
        <v/>
      </c>
      <c r="AF39" s="83">
        <f t="shared" si="14"/>
        <v>0</v>
      </c>
      <c r="AG39" s="84">
        <f t="shared" si="15"/>
        <v>0</v>
      </c>
      <c r="AH39" s="84">
        <f t="shared" si="16"/>
        <v>0</v>
      </c>
      <c r="AI39" s="84">
        <f t="shared" si="17"/>
        <v>0</v>
      </c>
      <c r="AJ39" s="84">
        <f t="shared" si="18"/>
        <v>0</v>
      </c>
    </row>
    <row r="40" spans="1:36" x14ac:dyDescent="0.25">
      <c r="A40" s="106"/>
      <c r="B40" s="37">
        <f t="shared" si="3"/>
        <v>41636</v>
      </c>
      <c r="C40" s="38">
        <f t="shared" si="0"/>
        <v>41636</v>
      </c>
      <c r="D40" s="39" t="str">
        <f>IF(B40="","",IF(VerificaSeFeriado(B40),"Sim",""))</f>
        <v/>
      </c>
      <c r="E40" s="5"/>
      <c r="F40" s="5"/>
      <c r="G40" s="5"/>
      <c r="H40" s="5"/>
      <c r="I40" s="5"/>
      <c r="J40" s="5"/>
      <c r="K40" s="5"/>
      <c r="L40" s="5"/>
      <c r="M40" s="41" t="str">
        <f t="shared" si="4"/>
        <v/>
      </c>
      <c r="N40" s="42" t="str">
        <f t="shared" si="5"/>
        <v/>
      </c>
      <c r="O40" s="43" t="str">
        <f t="shared" si="19"/>
        <v/>
      </c>
      <c r="P40" s="43" t="str">
        <f t="shared" ca="1" si="6"/>
        <v/>
      </c>
      <c r="Q40" s="6"/>
      <c r="R40" s="40">
        <f t="shared" si="7"/>
        <v>0</v>
      </c>
      <c r="S40" s="44" t="str">
        <f>IF(D40="Sim",0,IF((OR(WEEKDAY(C40)=2,WEEKDAY(C40)=3,WEEKDAY(C40)=4,WEEKDAY(C40)=5,WEEKDAY(C40)=6))=TRUE,M40,IF(AND(WEEKDAY(C40)=7,Configurações!$C$11&gt;0)=TRUE,M40,IF(AND(WEEKDAY(C40)=1,Configurações!$C$12&gt;0)=TRUE,M40,0))))</f>
        <v/>
      </c>
      <c r="T40" s="44">
        <f>IF(D40="Sim",0,IF(AND(WEEKDAY(C40)=7,Configurações!$C$11&lt;=0)=TRUE,R40,0))</f>
        <v>0</v>
      </c>
      <c r="U40" s="44">
        <f>IF(D40="Sim",0,IF(AND(WEEKDAY(C40)=1,Configurações!$C$12&lt;=0)=TRUE,R40,0))</f>
        <v>0</v>
      </c>
      <c r="V40" s="44">
        <f t="shared" si="8"/>
        <v>0</v>
      </c>
      <c r="W40" s="44">
        <f t="shared" si="9"/>
        <v>0</v>
      </c>
      <c r="X40" s="45">
        <f t="shared" si="10"/>
        <v>0</v>
      </c>
      <c r="Y40" s="44">
        <f t="shared" si="20"/>
        <v>0</v>
      </c>
      <c r="Z40" s="45">
        <f t="shared" si="11"/>
        <v>0</v>
      </c>
      <c r="AA40" s="12" t="str">
        <f>IF(D40="Sim","Não",IF(AND(WEEKDAY(C40)=1,Configurações!$C$12&gt;0),"Sim",IF(AND(WEEKDAY(C40)=2,Configurações!$C$6&gt;0),"Sim",IF(AND(WEEKDAY(C40)=3,Configurações!$C$7&gt;0),"Sim",IF(AND(WEEKDAY(C40)=4,Configurações!$C$8&gt;0),"Sim",IF(AND(WEEKDAY(C40)=5,Configurações!$C$9&gt;0),"Sim",IF(AND(WEEKDAY(C40)=6,Configurações!$C$10&gt;0),"Sim",IF(AND(WEEKDAY(C40)=7,Configurações!$C$11&gt;0),"Sim","Não"))))))))</f>
        <v>Não</v>
      </c>
      <c r="AB40" s="44">
        <f>IF(D40="Sim",0,IF(WEEKDAY(C40)=2,Configurações!$C$6-Configurações!$E$6,IF(WEEKDAY(C40)=3,Configurações!$C$7-Configurações!$E$7,IF(WEEKDAY(C40)=4,Configurações!$C$8-Configurações!$E$8,IF(WEEKDAY(C40)=5,Configurações!$C$9-Configurações!$E$9,IF(WEEKDAY(C40)=6,Configurações!$C$10-Configurações!$E$10,IF(WEEKDAY(C40)=7,Configurações!$C$11-Configurações!$E$11,IF(WEEKDAY(C40)=1,Configurações!$C$12-Configurações!$E$12,""))))))))</f>
        <v>0</v>
      </c>
      <c r="AC40" s="44">
        <f>IF(D40="Sim",0,IF(WEEKDAY(C40)=2,Configurações!$E$6,IF(WEEKDAY(C40)=3,Configurações!$E$7,IF(WEEKDAY(C40)=4,Configurações!$E$8,IF(WEEKDAY(C40)=5,Configurações!$E$9,IF(WEEKDAY(C40)=6,Configurações!$E$10,IF(WEEKDAY(C40)=7,Configurações!$E$11,IF(WEEKDAY(C40)=1,Configurações!$E$12,""))))))))</f>
        <v>0</v>
      </c>
      <c r="AD40" s="11" t="str">
        <f t="shared" si="12"/>
        <v/>
      </c>
      <c r="AE40" s="11" t="str">
        <f t="shared" si="13"/>
        <v/>
      </c>
      <c r="AF40" s="83">
        <f t="shared" si="14"/>
        <v>0</v>
      </c>
      <c r="AG40" s="84">
        <f t="shared" si="15"/>
        <v>0</v>
      </c>
      <c r="AH40" s="84">
        <f t="shared" si="16"/>
        <v>0</v>
      </c>
      <c r="AI40" s="84">
        <f t="shared" si="17"/>
        <v>0</v>
      </c>
      <c r="AJ40" s="84">
        <f t="shared" si="18"/>
        <v>0</v>
      </c>
    </row>
    <row r="41" spans="1:36" x14ac:dyDescent="0.25">
      <c r="A41" s="106"/>
      <c r="B41" s="37">
        <f t="shared" si="3"/>
        <v>41637</v>
      </c>
      <c r="C41" s="38">
        <f t="shared" si="0"/>
        <v>41637</v>
      </c>
      <c r="D41" s="39" t="str">
        <f>IF(B41="","",IF(VerificaSeFeriado(B41),"Sim",""))</f>
        <v/>
      </c>
      <c r="E41" s="5"/>
      <c r="F41" s="5"/>
      <c r="G41" s="5"/>
      <c r="H41" s="5"/>
      <c r="I41" s="5"/>
      <c r="J41" s="5"/>
      <c r="K41" s="5"/>
      <c r="L41" s="5"/>
      <c r="M41" s="41" t="str">
        <f t="shared" si="4"/>
        <v/>
      </c>
      <c r="N41" s="42" t="str">
        <f t="shared" si="5"/>
        <v/>
      </c>
      <c r="O41" s="43" t="str">
        <f t="shared" si="19"/>
        <v/>
      </c>
      <c r="P41" s="43" t="str">
        <f t="shared" ca="1" si="6"/>
        <v/>
      </c>
      <c r="Q41" s="6"/>
      <c r="R41" s="40">
        <f t="shared" si="7"/>
        <v>0</v>
      </c>
      <c r="S41" s="44">
        <f>IF(D41="Sim",0,IF((OR(WEEKDAY(C41)=2,WEEKDAY(C41)=3,WEEKDAY(C41)=4,WEEKDAY(C41)=5,WEEKDAY(C41)=6))=TRUE,M41,IF(AND(WEEKDAY(C41)=7,Configurações!$C$11&gt;0)=TRUE,M41,IF(AND(WEEKDAY(C41)=1,Configurações!$C$12&gt;0)=TRUE,M41,0))))</f>
        <v>0</v>
      </c>
      <c r="T41" s="44">
        <f>IF(D41="Sim",0,IF(AND(WEEKDAY(C41)=7,Configurações!$C$11&lt;=0)=TRUE,R41,0))</f>
        <v>0</v>
      </c>
      <c r="U41" s="44">
        <f>IF(D41="Sim",0,IF(AND(WEEKDAY(C41)=1,Configurações!$C$12&lt;=0)=TRUE,R41,0))</f>
        <v>0</v>
      </c>
      <c r="V41" s="44">
        <f t="shared" si="8"/>
        <v>0</v>
      </c>
      <c r="W41" s="44">
        <f t="shared" si="9"/>
        <v>0</v>
      </c>
      <c r="X41" s="45">
        <f t="shared" si="10"/>
        <v>0</v>
      </c>
      <c r="Y41" s="44">
        <f t="shared" si="20"/>
        <v>0</v>
      </c>
      <c r="Z41" s="45">
        <f t="shared" si="11"/>
        <v>0</v>
      </c>
      <c r="AA41" s="12" t="str">
        <f>IF(D41="Sim","Não",IF(AND(WEEKDAY(C41)=1,Configurações!$C$12&gt;0),"Sim",IF(AND(WEEKDAY(C41)=2,Configurações!$C$6&gt;0),"Sim",IF(AND(WEEKDAY(C41)=3,Configurações!$C$7&gt;0),"Sim",IF(AND(WEEKDAY(C41)=4,Configurações!$C$8&gt;0),"Sim",IF(AND(WEEKDAY(C41)=5,Configurações!$C$9&gt;0),"Sim",IF(AND(WEEKDAY(C41)=6,Configurações!$C$10&gt;0),"Sim",IF(AND(WEEKDAY(C41)=7,Configurações!$C$11&gt;0),"Sim","Não"))))))))</f>
        <v>Não</v>
      </c>
      <c r="AB41" s="44">
        <f>IF(D41="Sim",0,IF(WEEKDAY(C41)=2,Configurações!$C$6-Configurações!$E$6,IF(WEEKDAY(C41)=3,Configurações!$C$7-Configurações!$E$7,IF(WEEKDAY(C41)=4,Configurações!$C$8-Configurações!$E$8,IF(WEEKDAY(C41)=5,Configurações!$C$9-Configurações!$E$9,IF(WEEKDAY(C41)=6,Configurações!$C$10-Configurações!$E$10,IF(WEEKDAY(C41)=7,Configurações!$C$11-Configurações!$E$11,IF(WEEKDAY(C41)=1,Configurações!$C$12-Configurações!$E$12,""))))))))</f>
        <v>0</v>
      </c>
      <c r="AC41" s="44">
        <f>IF(D41="Sim",0,IF(WEEKDAY(C41)=2,Configurações!$E$6,IF(WEEKDAY(C41)=3,Configurações!$E$7,IF(WEEKDAY(C41)=4,Configurações!$E$8,IF(WEEKDAY(C41)=5,Configurações!$E$9,IF(WEEKDAY(C41)=6,Configurações!$E$10,IF(WEEKDAY(C41)=7,Configurações!$E$11,IF(WEEKDAY(C41)=1,Configurações!$E$12,""))))))))</f>
        <v>0</v>
      </c>
      <c r="AD41" s="11" t="str">
        <f t="shared" si="12"/>
        <v/>
      </c>
      <c r="AE41" s="11" t="str">
        <f t="shared" si="13"/>
        <v/>
      </c>
      <c r="AF41" s="83">
        <f t="shared" si="14"/>
        <v>0</v>
      </c>
      <c r="AG41" s="84">
        <f t="shared" si="15"/>
        <v>0</v>
      </c>
      <c r="AH41" s="84">
        <f t="shared" si="16"/>
        <v>0</v>
      </c>
      <c r="AI41" s="84">
        <f t="shared" si="17"/>
        <v>0</v>
      </c>
      <c r="AJ41" s="84">
        <f t="shared" si="18"/>
        <v>0</v>
      </c>
    </row>
    <row r="42" spans="1:36" x14ac:dyDescent="0.25">
      <c r="A42" s="106"/>
      <c r="B42" s="37">
        <f t="shared" si="3"/>
        <v>41638</v>
      </c>
      <c r="C42" s="38">
        <f t="shared" si="0"/>
        <v>41638</v>
      </c>
      <c r="D42" s="39" t="str">
        <f>IF(B42="","",IF(VerificaSeFeriado(B42),"Sim",""))</f>
        <v/>
      </c>
      <c r="E42" s="5"/>
      <c r="F42" s="5"/>
      <c r="G42" s="5"/>
      <c r="H42" s="5"/>
      <c r="I42" s="5"/>
      <c r="J42" s="5"/>
      <c r="K42" s="5"/>
      <c r="L42" s="5"/>
      <c r="M42" s="41" t="str">
        <f t="shared" si="4"/>
        <v/>
      </c>
      <c r="N42" s="42" t="str">
        <f t="shared" si="5"/>
        <v/>
      </c>
      <c r="O42" s="43" t="str">
        <f t="shared" si="19"/>
        <v/>
      </c>
      <c r="P42" s="43" t="str">
        <f t="shared" ca="1" si="6"/>
        <v/>
      </c>
      <c r="Q42" s="6"/>
      <c r="R42" s="40">
        <f t="shared" si="7"/>
        <v>0</v>
      </c>
      <c r="S42" s="44">
        <f>IF(D42="Sim",0,IF((OR(WEEKDAY(C42)=2,WEEKDAY(C42)=3,WEEKDAY(C42)=4,WEEKDAY(C42)=5,WEEKDAY(C42)=6))=TRUE,M42,IF(AND(WEEKDAY(C42)=7,Configurações!$C$11&gt;0)=TRUE,M42,IF(AND(WEEKDAY(C42)=1,Configurações!$C$12&gt;0)=TRUE,M42,0))))</f>
        <v>0</v>
      </c>
      <c r="T42" s="44">
        <f>IF(D42="Sim",0,IF(AND(WEEKDAY(C42)=7,Configurações!$C$11&lt;=0)=TRUE,R42,0))</f>
        <v>0</v>
      </c>
      <c r="U42" s="44">
        <f>IF(D42="Sim",0,IF(AND(WEEKDAY(C42)=1,Configurações!$C$12&lt;=0)=TRUE,R42,0))</f>
        <v>0</v>
      </c>
      <c r="V42" s="44">
        <f t="shared" si="8"/>
        <v>0</v>
      </c>
      <c r="W42" s="44">
        <f t="shared" si="9"/>
        <v>0</v>
      </c>
      <c r="X42" s="45">
        <f t="shared" si="10"/>
        <v>0</v>
      </c>
      <c r="Y42" s="44">
        <f t="shared" si="20"/>
        <v>0</v>
      </c>
      <c r="Z42" s="45">
        <f t="shared" si="11"/>
        <v>0</v>
      </c>
      <c r="AA42" s="12" t="str">
        <f>IF(D42="Sim","Não",IF(AND(WEEKDAY(C42)=1,Configurações!$C$12&gt;0),"Sim",IF(AND(WEEKDAY(C42)=2,Configurações!$C$6&gt;0),"Sim",IF(AND(WEEKDAY(C42)=3,Configurações!$C$7&gt;0),"Sim",IF(AND(WEEKDAY(C42)=4,Configurações!$C$8&gt;0),"Sim",IF(AND(WEEKDAY(C42)=5,Configurações!$C$9&gt;0),"Sim",IF(AND(WEEKDAY(C42)=6,Configurações!$C$10&gt;0),"Sim",IF(AND(WEEKDAY(C42)=7,Configurações!$C$11&gt;0),"Sim","Não"))))))))</f>
        <v>Não</v>
      </c>
      <c r="AB42" s="44">
        <f>IF(D42="Sim",0,IF(WEEKDAY(C42)=2,Configurações!$C$6-Configurações!$E$6,IF(WEEKDAY(C42)=3,Configurações!$C$7-Configurações!$E$7,IF(WEEKDAY(C42)=4,Configurações!$C$8-Configurações!$E$8,IF(WEEKDAY(C42)=5,Configurações!$C$9-Configurações!$E$9,IF(WEEKDAY(C42)=6,Configurações!$C$10-Configurações!$E$10,IF(WEEKDAY(C42)=7,Configurações!$C$11-Configurações!$E$11,IF(WEEKDAY(C42)=1,Configurações!$C$12-Configurações!$E$12,""))))))))</f>
        <v>0</v>
      </c>
      <c r="AC42" s="44">
        <f>IF(D42="Sim",0,IF(WEEKDAY(C42)=2,Configurações!$E$6,IF(WEEKDAY(C42)=3,Configurações!$E$7,IF(WEEKDAY(C42)=4,Configurações!$E$8,IF(WEEKDAY(C42)=5,Configurações!$E$9,IF(WEEKDAY(C42)=6,Configurações!$E$10,IF(WEEKDAY(C42)=7,Configurações!$E$11,IF(WEEKDAY(C42)=1,Configurações!$E$12,""))))))))</f>
        <v>0</v>
      </c>
      <c r="AD42" s="11" t="str">
        <f t="shared" si="12"/>
        <v/>
      </c>
      <c r="AE42" s="11" t="str">
        <f t="shared" si="13"/>
        <v/>
      </c>
      <c r="AF42" s="83">
        <f t="shared" si="14"/>
        <v>0</v>
      </c>
      <c r="AG42" s="84">
        <f t="shared" si="15"/>
        <v>0</v>
      </c>
      <c r="AH42" s="84">
        <f t="shared" si="16"/>
        <v>0</v>
      </c>
      <c r="AI42" s="84">
        <f t="shared" si="17"/>
        <v>0</v>
      </c>
      <c r="AJ42" s="84">
        <f t="shared" si="18"/>
        <v>0</v>
      </c>
    </row>
    <row r="43" spans="1:36" x14ac:dyDescent="0.25">
      <c r="B43" s="46"/>
    </row>
    <row r="45" spans="1:36" x14ac:dyDescent="0.25">
      <c r="C45" s="32"/>
      <c r="D45" s="32"/>
    </row>
    <row r="46" spans="1:36" x14ac:dyDescent="0.25">
      <c r="C46" s="32"/>
      <c r="D46" s="32"/>
    </row>
    <row r="47" spans="1:36" x14ac:dyDescent="0.25">
      <c r="C47" s="32"/>
      <c r="D47" s="32"/>
    </row>
    <row r="48" spans="1:36" x14ac:dyDescent="0.25">
      <c r="C48" s="32"/>
      <c r="D48" s="32"/>
    </row>
    <row r="49" spans="3:4" x14ac:dyDescent="0.25">
      <c r="C49" s="32"/>
      <c r="D49" s="32"/>
    </row>
    <row r="50" spans="3:4" x14ac:dyDescent="0.25">
      <c r="C50" s="32"/>
      <c r="D50" s="32"/>
    </row>
  </sheetData>
  <sheetProtection algorithmName="SHA-512" hashValue="MsJwq5PBWJNZhNOg5AyB4BjfiSR/tfX4uGQiPWVX0XR76zU38/cqqPv6i3ENOow97usnAGYtLaSi7lPwmWbUWw==" saltValue="sX4IEEThpjX9dqwbwmM/8w==" spinCount="100000" sheet="1" objects="1" scenarios="1" selectLockedCells="1"/>
  <mergeCells count="18">
    <mergeCell ref="L4:M4"/>
    <mergeCell ref="O4:Q4"/>
    <mergeCell ref="E5:F5"/>
    <mergeCell ref="O5:P5"/>
    <mergeCell ref="E6:F6"/>
    <mergeCell ref="A11:A42"/>
    <mergeCell ref="F11:G11"/>
    <mergeCell ref="J11:K11"/>
    <mergeCell ref="A2:D2"/>
    <mergeCell ref="A3:D7"/>
    <mergeCell ref="E4:G4"/>
    <mergeCell ref="I4:J4"/>
    <mergeCell ref="E7:F7"/>
    <mergeCell ref="O7:P7"/>
    <mergeCell ref="E8:F8"/>
    <mergeCell ref="L8:M8"/>
    <mergeCell ref="E9:F9"/>
    <mergeCell ref="L9:M9"/>
  </mergeCells>
  <conditionalFormatting sqref="G5">
    <cfRule type="expression" dxfId="29" priority="28">
      <formula>$G$5&lt;=0</formula>
    </cfRule>
    <cfRule type="expression" dxfId="28" priority="29">
      <formula>$G$5&gt;0</formula>
    </cfRule>
  </conditionalFormatting>
  <conditionalFormatting sqref="G6">
    <cfRule type="expression" dxfId="27" priority="26">
      <formula>$G$6&gt;=0</formula>
    </cfRule>
    <cfRule type="expression" dxfId="26" priority="27">
      <formula>$G$6&lt;0</formula>
    </cfRule>
  </conditionalFormatting>
  <conditionalFormatting sqref="P9">
    <cfRule type="expression" dxfId="25" priority="23">
      <formula>$P$9&lt;0</formula>
    </cfRule>
    <cfRule type="expression" dxfId="24" priority="24">
      <formula>$P$9=0</formula>
    </cfRule>
    <cfRule type="expression" dxfId="23" priority="25">
      <formula>$P$9&gt;0</formula>
    </cfRule>
  </conditionalFormatting>
  <conditionalFormatting sqref="P8">
    <cfRule type="expression" dxfId="22" priority="20">
      <formula>$P$8&lt;0</formula>
    </cfRule>
    <cfRule type="expression" dxfId="21" priority="21">
      <formula>$P$8=0</formula>
    </cfRule>
    <cfRule type="expression" dxfId="20" priority="22">
      <formula>$P$8&gt;0</formula>
    </cfRule>
  </conditionalFormatting>
  <conditionalFormatting sqref="G9">
    <cfRule type="expression" dxfId="19" priority="17">
      <formula>$G$9&lt;0</formula>
    </cfRule>
    <cfRule type="expression" priority="18">
      <formula>$G$9=0</formula>
    </cfRule>
    <cfRule type="expression" dxfId="18" priority="19">
      <formula>$G$9&gt;0</formula>
    </cfRule>
  </conditionalFormatting>
  <conditionalFormatting sqref="P12:P42">
    <cfRule type="expression" dxfId="17" priority="16">
      <formula>$P12=0</formula>
    </cfRule>
  </conditionalFormatting>
  <conditionalFormatting sqref="G5:G9">
    <cfRule type="expression" dxfId="16" priority="13">
      <formula>$G5=0</formula>
    </cfRule>
    <cfRule type="expression" dxfId="15" priority="14">
      <formula>$G5&lt;0</formula>
    </cfRule>
    <cfRule type="expression" dxfId="14" priority="15">
      <formula>$G5&gt;0</formula>
    </cfRule>
  </conditionalFormatting>
  <conditionalFormatting sqref="B12:R42">
    <cfRule type="expression" dxfId="13" priority="7">
      <formula>$B12=""</formula>
    </cfRule>
    <cfRule type="expression" dxfId="12" priority="8">
      <formula>$D12="Sim"</formula>
    </cfRule>
    <cfRule type="expression" dxfId="11" priority="11">
      <formula>MOD(ROW(),2)=0</formula>
    </cfRule>
    <cfRule type="expression" dxfId="10" priority="12">
      <formula>MOD(ROW(),2)=1</formula>
    </cfRule>
  </conditionalFormatting>
  <conditionalFormatting sqref="M12:N42">
    <cfRule type="expression" dxfId="9" priority="5">
      <formula>$M12=0</formula>
    </cfRule>
  </conditionalFormatting>
  <conditionalFormatting sqref="L9:N9">
    <cfRule type="expression" dxfId="8" priority="2">
      <formula>$L$9&gt;0</formula>
    </cfRule>
    <cfRule type="expression" dxfId="7" priority="3">
      <formula>$L$9=0</formula>
    </cfRule>
    <cfRule type="expression" dxfId="6" priority="4">
      <formula>$L$9&lt;0</formula>
    </cfRule>
  </conditionalFormatting>
  <conditionalFormatting sqref="N5 M6">
    <cfRule type="expression" dxfId="5" priority="30">
      <formula>$M$6&lt;0</formula>
    </cfRule>
  </conditionalFormatting>
  <conditionalFormatting sqref="N4 M5">
    <cfRule type="expression" dxfId="4" priority="31">
      <formula>$M$5&gt;0</formula>
    </cfRule>
  </conditionalFormatting>
  <conditionalFormatting sqref="J5:J9">
    <cfRule type="expression" dxfId="3" priority="1">
      <formula>$J5&gt;0</formula>
    </cfRule>
  </conditionalFormatting>
  <dataValidations count="2">
    <dataValidation type="time" operator="lessThanOrEqual" allowBlank="1" showInputMessage="1" showErrorMessage="1" errorTitle="Hora inválida" error="As horas abonadas tem que ser igual ou menor a jornada de trabalho do dia (descontado o valor do intervalo)._x000a_Exemplo: se a jornada é de 5 horas e o intervalo é de 15 minutos, o abono tem que ser igual ou menor a 4h45min" sqref="Q12:Q42">
      <formula1>AB12</formula1>
    </dataValidation>
    <dataValidation operator="greaterThanOrEqual" allowBlank="1" showInputMessage="1" showErrorMessage="1" sqref="E12:P42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D0C3145C-EFFA-4143-B9AA-7E86B09D3756}">
            <xm:f>AND(WEEKDAY($C12)=7,Configurações!$C$11&lt;=0)=TRUE</xm:f>
            <x14:dxf>
              <fill>
                <patternFill>
                  <bgColor theme="3" tint="0.59996337778862885"/>
                </patternFill>
              </fill>
            </x14:dxf>
          </x14:cfRule>
          <x14:cfRule type="expression" priority="10" id="{31491712-D787-4170-95DC-9F6BC4A470F2}">
            <xm:f>AND(WEEKDAY($C12)=1,Configurações!$C$12&lt;=0)=TRUE</xm:f>
            <x14:dxf>
              <fill>
                <patternFill>
                  <bgColor theme="3" tint="0.59996337778862885"/>
                </patternFill>
              </fill>
            </x14:dxf>
          </x14:cfRule>
          <xm:sqref>B12:R42</xm:sqref>
        </x14:conditionalFormatting>
        <x14:conditionalFormatting xmlns:xm="http://schemas.microsoft.com/office/excel/2006/main">
          <x14:cfRule type="expression" priority="6" id="{425A7C72-DE57-46F6-829E-72DF48CDE4CF}">
            <xm:f>AND(Configurações!$C$11&gt;0,WEEKDAY($C12)=7,MOD(ROW(),2)=1)</xm:f>
            <x14:dxf>
              <fill>
                <patternFill>
                  <bgColor theme="4" tint="0.59996337778862885"/>
                </patternFill>
              </fill>
            </x14:dxf>
          </x14:cfRule>
          <xm:sqref>C14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Tutorial</vt:lpstr>
      <vt:lpstr>Configurações</vt:lpstr>
      <vt:lpstr>HorasExtras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Marcandal</dc:creator>
  <cp:lastModifiedBy>Eduardo Marcandal</cp:lastModifiedBy>
  <dcterms:created xsi:type="dcterms:W3CDTF">2016-03-27T01:13:50Z</dcterms:created>
  <dcterms:modified xsi:type="dcterms:W3CDTF">2017-04-11T15:32:31Z</dcterms:modified>
</cp:coreProperties>
</file>