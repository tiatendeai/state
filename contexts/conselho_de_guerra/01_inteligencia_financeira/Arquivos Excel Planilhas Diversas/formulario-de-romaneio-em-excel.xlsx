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apSilver\Desktop\Smart Planilhas\Planilhas Grátis Gui\Formulários\"/>
    </mc:Choice>
  </mc:AlternateContent>
  <xr:revisionPtr revIDLastSave="0" documentId="13_ncr:1_{50E22851-4023-434F-881D-4E8884E6A4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DIDO" sheetId="1" r:id="rId1"/>
    <sheet name="Sobre" sheetId="3" r:id="rId2"/>
  </sheets>
  <externalReferences>
    <externalReference r:id="rId3"/>
    <externalReference r:id="rId4"/>
    <externalReference r:id="rId5"/>
  </externalReferences>
  <definedNames>
    <definedName name="_xlnm.Print_Area" localSheetId="0">PEDIDO!$A$1:$L$68</definedName>
    <definedName name="Data">OFFSET(#REF!,0,0,COUNT(#REF!),1)</definedName>
    <definedName name="Empresa">OFFSET('[2]Base de dados'!$I$2,0,0,COUNTA('[2]Base de dados'!$I:$I)-1,1)</definedName>
    <definedName name="Empresas">OFFSET('[3]Cadastro de empresas'!$A$2,0,0,COUNTA('[3]Cadastro de empresas'!$A:$A)-1,1)</definedName>
    <definedName name="FrasesComplementares">OFFSET('[3]Frases complementares'!$A$2,0,0,COUNTA('[3]Frases complementares'!$A:$A)-1,1)</definedName>
    <definedName name="FrasesPerigo">OFFSET('[3]Frases de perigo'!$A$2,0,0,COUNTA('[3]Frases de perigo'!$A:$A)-1,1)</definedName>
    <definedName name="FrasesPrecaucao">OFFSET('[3]Frases de precaução'!$A$2,0,0,COUNTA('[3]Frases de precaução'!$A:$A)-1,1)</definedName>
    <definedName name="Matricula">OFFSET(#REF!,0,0,COUNTA(#REF!)-2,1)</definedName>
    <definedName name="Matriculas">#REF!</definedName>
    <definedName name="Pictograma1">INDEX([3]Pictogramas!$B:$B,MATCH([3]Cálculos!$B$1,[3]Pictogramas!$A:$A,0))</definedName>
    <definedName name="Pictograma2">INDEX([3]Pictogramas!$B:$B,MATCH([3]Cálculos!$B$2,[3]Pictogramas!$A:$A,0))</definedName>
    <definedName name="Pictograma3">INDEX([3]Pictogramas!$B:$B,MATCH([3]Cálculos!$B$3,[3]Pictogramas!$A:$A,0))</definedName>
    <definedName name="Pictograma4">INDEX([3]Pictogramas!$B:$B,MATCH([3]Cálculos!$B$4,[3]Pictogramas!$A:$A,0))</definedName>
    <definedName name="Pictogramas">OFFSET([3]Pictogramas!$A$2,0,0,COUNTA([3]Pictogramas!$A:$A)-1,1)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1" l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19" i="1"/>
  <c r="V20" i="1"/>
  <c r="V21" i="1"/>
  <c r="V22" i="1"/>
  <c r="V23" i="1"/>
  <c r="V18" i="1"/>
  <c r="K3" i="1"/>
  <c r="I42" i="1" l="1"/>
</calcChain>
</file>

<file path=xl/sharedStrings.xml><?xml version="1.0" encoding="utf-8"?>
<sst xmlns="http://schemas.openxmlformats.org/spreadsheetml/2006/main" count="55" uniqueCount="53">
  <si>
    <t>Nº</t>
  </si>
  <si>
    <t>Emissão</t>
  </si>
  <si>
    <t>DISTRIBUIDORA 4</t>
  </si>
  <si>
    <t>AVENIDA INDUSTRIAL, N 1000, ZONA SUL, INDAIATUBA-SP</t>
  </si>
  <si>
    <t>18XXX-004</t>
  </si>
  <si>
    <t>XX.000.000/0001-XX</t>
  </si>
  <si>
    <t>10XX0000-04</t>
  </si>
  <si>
    <t>(XX) 30XX-XX04</t>
  </si>
  <si>
    <t>CÓDIGO</t>
  </si>
  <si>
    <t>DESCRIÇÃO</t>
  </si>
  <si>
    <t>VALOR TOTAL</t>
  </si>
  <si>
    <t>OBSERVAÇÃO</t>
  </si>
  <si>
    <t>Solicitado ao comprado</t>
  </si>
  <si>
    <t>Romaneio</t>
  </si>
  <si>
    <t>SAÍDA</t>
  </si>
  <si>
    <t>HORA DE SAÍDA</t>
  </si>
  <si>
    <t>ALTURA</t>
  </si>
  <si>
    <t>LARGURA</t>
  </si>
  <si>
    <t>COMP</t>
  </si>
  <si>
    <t>VALOR</t>
  </si>
  <si>
    <t>DESTINATÁRIO</t>
  </si>
  <si>
    <t>NATUREZA DE OPERAÇÃO:</t>
  </si>
  <si>
    <t>VENDA</t>
  </si>
  <si>
    <t xml:space="preserve">VOL    </t>
  </si>
  <si>
    <t>QTDE</t>
  </si>
  <si>
    <t>CAIXA DE PEÇAS</t>
  </si>
  <si>
    <t>ACESSÓRIOS</t>
  </si>
  <si>
    <t>PEÇAS DA PARTE SUPERIOR</t>
  </si>
  <si>
    <t>PEÇAS PARTE INFERIOR</t>
  </si>
  <si>
    <t>PACOTE</t>
  </si>
  <si>
    <t>EMBALAGEM AB</t>
  </si>
  <si>
    <t>50CM</t>
  </si>
  <si>
    <t>60CM</t>
  </si>
  <si>
    <t>1M</t>
  </si>
  <si>
    <t>55CM</t>
  </si>
  <si>
    <t>45CM</t>
  </si>
  <si>
    <t>54CM</t>
  </si>
  <si>
    <t>1.5M</t>
  </si>
  <si>
    <t>58CM</t>
  </si>
  <si>
    <t>48CM</t>
  </si>
  <si>
    <t>2M</t>
  </si>
  <si>
    <t>68M</t>
  </si>
  <si>
    <t>70M</t>
  </si>
  <si>
    <t>56M</t>
  </si>
  <si>
    <t>1,7M</t>
  </si>
  <si>
    <t>1,5M</t>
  </si>
  <si>
    <t>1,8M</t>
  </si>
  <si>
    <t>Recebemos da Empresa</t>
  </si>
  <si>
    <t>AJC Empresa de Equipamentos</t>
  </si>
  <si>
    <t>Data do Recebimento</t>
  </si>
  <si>
    <t>Assinatura do Recebedor</t>
  </si>
  <si>
    <t>N° RMNO</t>
  </si>
  <si>
    <t>ROMANEO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</si>
</sst>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;[Red]0"/>
    <numFmt numFmtId="165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8"/>
      <name val="Arial"/>
      <family val="2"/>
    </font>
    <font>
      <sz val="14"/>
      <color rgb="FFFF0000"/>
      <name val="Calibri"/>
      <family val="2"/>
      <scheme val="minor"/>
    </font>
    <font>
      <b/>
      <sz val="9"/>
      <name val="Arial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indexed="62"/>
      <name val="Verdana"/>
      <family val="2"/>
    </font>
    <font>
      <sz val="8"/>
      <color indexed="22"/>
      <name val="Verdana"/>
      <family val="2"/>
    </font>
    <font>
      <b/>
      <sz val="9"/>
      <name val="Verdana"/>
      <family val="2"/>
    </font>
    <font>
      <b/>
      <sz val="1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u/>
      <sz val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 tint="4.9989318521683403E-2"/>
      <name val="Verdana"/>
      <family val="2"/>
    </font>
    <font>
      <u/>
      <sz val="8"/>
      <color theme="1" tint="4.9989318521683403E-2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Dashed">
        <color theme="2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0" fillId="0" borderId="0"/>
  </cellStyleXfs>
  <cellXfs count="89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43" fontId="0" fillId="0" borderId="0" xfId="0" applyNumberFormat="1"/>
    <xf numFmtId="0" fontId="0" fillId="2" borderId="0" xfId="0" applyFill="1" applyBorder="1"/>
    <xf numFmtId="0" fontId="2" fillId="2" borderId="0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14" fontId="0" fillId="2" borderId="0" xfId="0" applyNumberFormat="1" applyFill="1" applyBorder="1" applyAlignment="1">
      <alignment horizontal="center" vertical="center"/>
    </xf>
    <xf numFmtId="14" fontId="0" fillId="2" borderId="0" xfId="0" applyNumberForma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2" borderId="2" xfId="0" applyFont="1" applyFill="1" applyBorder="1"/>
    <xf numFmtId="0" fontId="7" fillId="2" borderId="0" xfId="0" applyFont="1" applyFill="1" applyBorder="1"/>
    <xf numFmtId="0" fontId="6" fillId="2" borderId="0" xfId="0" applyFont="1" applyFill="1" applyBorder="1"/>
    <xf numFmtId="0" fontId="6" fillId="2" borderId="3" xfId="0" applyFont="1" applyFill="1" applyBorder="1"/>
    <xf numFmtId="0" fontId="8" fillId="2" borderId="0" xfId="0" applyFont="1" applyFill="1" applyBorder="1"/>
    <xf numFmtId="0" fontId="8" fillId="2" borderId="3" xfId="0" applyFont="1" applyFill="1" applyBorder="1"/>
    <xf numFmtId="0" fontId="8" fillId="2" borderId="0" xfId="0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8" fillId="2" borderId="5" xfId="0" applyFont="1" applyFill="1" applyBorder="1"/>
    <xf numFmtId="0" fontId="8" fillId="2" borderId="5" xfId="0" applyFont="1" applyFill="1" applyBorder="1" applyAlignment="1">
      <alignment horizontal="right"/>
    </xf>
    <xf numFmtId="0" fontId="10" fillId="2" borderId="6" xfId="0" applyFont="1" applyFill="1" applyBorder="1"/>
    <xf numFmtId="14" fontId="8" fillId="2" borderId="0" xfId="0" applyNumberFormat="1" applyFont="1" applyFill="1" applyBorder="1" applyAlignment="1">
      <alignment horizontal="left"/>
    </xf>
    <xf numFmtId="20" fontId="8" fillId="2" borderId="0" xfId="0" applyNumberFormat="1" applyFont="1" applyFill="1" applyBorder="1" applyAlignment="1">
      <alignment horizontal="left"/>
    </xf>
    <xf numFmtId="0" fontId="6" fillId="2" borderId="5" xfId="0" applyFont="1" applyFill="1" applyBorder="1"/>
    <xf numFmtId="0" fontId="11" fillId="2" borderId="2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4" fillId="2" borderId="0" xfId="0" applyFont="1" applyFill="1" applyBorder="1" applyAlignment="1" applyProtection="1">
      <alignment horizontal="center" vertical="center"/>
      <protection locked="0"/>
    </xf>
    <xf numFmtId="165" fontId="14" fillId="2" borderId="0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NumberFormat="1" applyFont="1" applyFill="1" applyBorder="1" applyAlignment="1" applyProtection="1">
      <alignment horizontal="center" vertical="center"/>
      <protection locked="0"/>
    </xf>
    <xf numFmtId="165" fontId="14" fillId="2" borderId="3" xfId="0" applyNumberFormat="1" applyFont="1" applyFill="1" applyBorder="1" applyAlignment="1">
      <alignment vertical="center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65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NumberFormat="1" applyFont="1" applyFill="1" applyBorder="1" applyAlignment="1" applyProtection="1">
      <alignment horizontal="center" vertical="center"/>
      <protection locked="0"/>
    </xf>
    <xf numFmtId="165" fontId="14" fillId="2" borderId="11" xfId="0" applyNumberFormat="1" applyFont="1" applyFill="1" applyBorder="1" applyAlignment="1">
      <alignment vertical="center"/>
    </xf>
    <xf numFmtId="165" fontId="14" fillId="2" borderId="3" xfId="0" applyNumberFormat="1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Border="1" applyAlignment="1" applyProtection="1">
      <alignment horizontal="right" vertical="center"/>
      <protection locked="0"/>
    </xf>
    <xf numFmtId="165" fontId="14" fillId="2" borderId="0" xfId="0" applyNumberFormat="1" applyFont="1" applyFill="1" applyBorder="1" applyAlignment="1" applyProtection="1">
      <alignment horizontal="left" vertical="center"/>
      <protection locked="0"/>
    </xf>
    <xf numFmtId="0" fontId="14" fillId="2" borderId="0" xfId="0" applyFont="1" applyFill="1" applyBorder="1" applyAlignment="1" applyProtection="1">
      <alignment horizontal="lef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0" fontId="17" fillId="2" borderId="2" xfId="0" applyFont="1" applyFill="1" applyBorder="1"/>
    <xf numFmtId="14" fontId="0" fillId="0" borderId="14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8" fillId="2" borderId="0" xfId="0" applyFont="1" applyFill="1" applyBorder="1" applyAlignment="1" applyProtection="1">
      <alignment horizontal="left" vertical="center" indent="1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Border="1" applyAlignment="1" applyProtection="1">
      <alignment horizontal="center" vertical="center"/>
      <protection locked="0"/>
    </xf>
    <xf numFmtId="0" fontId="16" fillId="2" borderId="7" xfId="0" applyFont="1" applyFill="1" applyBorder="1" applyAlignment="1">
      <alignment horizontal="left" vertical="top"/>
    </xf>
    <xf numFmtId="0" fontId="16" fillId="2" borderId="8" xfId="0" applyFont="1" applyFill="1" applyBorder="1" applyAlignment="1">
      <alignment horizontal="left" vertical="top"/>
    </xf>
    <xf numFmtId="0" fontId="16" fillId="2" borderId="9" xfId="0" applyFont="1" applyFill="1" applyBorder="1" applyAlignment="1">
      <alignment horizontal="left" vertical="top"/>
    </xf>
    <xf numFmtId="0" fontId="16" fillId="2" borderId="2" xfId="0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16" fillId="2" borderId="4" xfId="0" applyFont="1" applyFill="1" applyBorder="1" applyAlignment="1">
      <alignment horizontal="left" vertical="top"/>
    </xf>
    <xf numFmtId="0" fontId="16" fillId="2" borderId="5" xfId="0" applyFont="1" applyFill="1" applyBorder="1" applyAlignment="1">
      <alignment horizontal="left" vertical="top"/>
    </xf>
    <xf numFmtId="0" fontId="16" fillId="2" borderId="6" xfId="0" applyFont="1" applyFill="1" applyBorder="1" applyAlignment="1">
      <alignment horizontal="left" vertical="top"/>
    </xf>
    <xf numFmtId="0" fontId="14" fillId="2" borderId="10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left" vertical="center" indent="1"/>
      <protection locked="0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6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Border="1" applyAlignment="1" applyProtection="1">
      <alignment horizontal="left" vertical="center"/>
      <protection locked="0"/>
    </xf>
    <xf numFmtId="0" fontId="13" fillId="2" borderId="10" xfId="0" applyFont="1" applyFill="1" applyBorder="1" applyAlignment="1">
      <alignment horizontal="center"/>
    </xf>
    <xf numFmtId="165" fontId="14" fillId="2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20" fillId="3" borderId="0" xfId="1" applyFill="1"/>
    <xf numFmtId="0" fontId="20" fillId="0" borderId="0" xfId="1"/>
  </cellXfs>
  <cellStyles count="2">
    <cellStyle name="Normal" xfId="0" builtinId="0"/>
    <cellStyle name="Normal 4" xfId="1" xr:uid="{EB705054-94D5-4006-A690-2502ECCB41BA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114300</xdr:rowOff>
    </xdr:from>
    <xdr:to>
      <xdr:col>3</xdr:col>
      <xdr:colOff>47625</xdr:colOff>
      <xdr:row>2</xdr:row>
      <xdr:rowOff>85725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825" y="723900"/>
          <a:ext cx="14478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rgbClr val="00B0F0"/>
              </a:solidFill>
              <a:latin typeface="Arial Black" panose="020B0A04020102020204" pitchFamily="34" charset="0"/>
            </a:rPr>
            <a:t>SEU</a:t>
          </a:r>
          <a:r>
            <a:rPr lang="pt-BR" sz="1600" baseline="0"/>
            <a:t> | </a:t>
          </a:r>
          <a:r>
            <a:rPr lang="pt-BR" sz="1600" baseline="0">
              <a:solidFill>
                <a:schemeClr val="tx1">
                  <a:lumMod val="65000"/>
                  <a:lumOff val="35000"/>
                </a:schemeClr>
              </a:solidFill>
            </a:rPr>
            <a:t>LOGO</a:t>
          </a:r>
          <a:endParaRPr lang="pt-BR" sz="16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57151</xdr:colOff>
      <xdr:row>0</xdr:row>
      <xdr:rowOff>85725</xdr:rowOff>
    </xdr:from>
    <xdr:to>
      <xdr:col>11</xdr:col>
      <xdr:colOff>95251</xdr:colOff>
      <xdr:row>3</xdr:row>
      <xdr:rowOff>142875</xdr:rowOff>
    </xdr:to>
    <xdr:sp macro="" textlink="">
      <xdr:nvSpPr>
        <xdr:cNvPr id="8" name="Retângulo de cantos arredondado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7151" y="85725"/>
          <a:ext cx="7877175" cy="7715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</xdr:colOff>
      <xdr:row>40</xdr:row>
      <xdr:rowOff>114299</xdr:rowOff>
    </xdr:from>
    <xdr:to>
      <xdr:col>11</xdr:col>
      <xdr:colOff>81602</xdr:colOff>
      <xdr:row>42</xdr:row>
      <xdr:rowOff>0</xdr:rowOff>
    </xdr:to>
    <xdr:sp macro="" textlink="">
      <xdr:nvSpPr>
        <xdr:cNvPr id="9" name="Retângulo de cantos arredondado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81602" y="5219699"/>
          <a:ext cx="2520000" cy="216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D06EFD7-D29B-4D78-A82D-79D62035FBAA}"/>
            </a:ext>
          </a:extLst>
        </xdr:cNvPr>
        <xdr:cNvSpPr/>
      </xdr:nvSpPr>
      <xdr:spPr>
        <a:xfrm>
          <a:off x="0" y="0"/>
          <a:ext cx="12199620" cy="670470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152202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CD80AA-A67B-4D11-AB21-790B49015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29050"/>
          <a:ext cx="4173081" cy="974712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37</xdr:row>
      <xdr:rowOff>71237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2F75BF6-0074-408F-96E2-A847E4605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23638"/>
          <a:ext cx="6649630" cy="5532219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38</xdr:row>
      <xdr:rowOff>124430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8E52031-3C1D-4356-A224-B2FA7243B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14998"/>
          <a:ext cx="6606812" cy="5369312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7125E2A4-CB1A-434B-A159-5675BB63893A}"/>
            </a:ext>
          </a:extLst>
        </xdr:cNvPr>
        <xdr:cNvSpPr txBox="1"/>
      </xdr:nvSpPr>
      <xdr:spPr>
        <a:xfrm>
          <a:off x="591185" y="1569294"/>
          <a:ext cx="6320111" cy="4305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121951</xdr:colOff>
      <xdr:row>22</xdr:row>
      <xdr:rowOff>177300</xdr:rowOff>
    </xdr:from>
    <xdr:to>
      <xdr:col>19</xdr:col>
      <xdr:colOff>212147</xdr:colOff>
      <xdr:row>26</xdr:row>
      <xdr:rowOff>130757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69435DE7-CA9E-4675-9362-16AD6608D8B7}"/>
            </a:ext>
          </a:extLst>
        </xdr:cNvPr>
        <xdr:cNvSpPr txBox="1"/>
      </xdr:nvSpPr>
      <xdr:spPr>
        <a:xfrm>
          <a:off x="8046751" y="4033020"/>
          <a:ext cx="3747796" cy="6544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361262</xdr:colOff>
      <xdr:row>24</xdr:row>
      <xdr:rowOff>48208</xdr:rowOff>
    </xdr:from>
    <xdr:to>
      <xdr:col>18</xdr:col>
      <xdr:colOff>340659</xdr:colOff>
      <xdr:row>27</xdr:row>
      <xdr:rowOff>78046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12AE61E8-B316-479B-BA26-9B8BBBFA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4462" y="4254448"/>
          <a:ext cx="588997" cy="55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86C34C-938E-4133-8925-BE7F433D844E}"/>
            </a:ext>
          </a:extLst>
        </xdr:cNvPr>
        <xdr:cNvSpPr/>
      </xdr:nvSpPr>
      <xdr:spPr>
        <a:xfrm>
          <a:off x="8207135" y="5853411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1B722A-5F76-4CE5-9AA7-5C13A59655BA}"/>
            </a:ext>
          </a:extLst>
        </xdr:cNvPr>
        <xdr:cNvSpPr/>
      </xdr:nvSpPr>
      <xdr:spPr>
        <a:xfrm>
          <a:off x="9400423" y="5853410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0F5328-17E4-48C9-A549-4899F37B3BDF}"/>
            </a:ext>
          </a:extLst>
        </xdr:cNvPr>
        <xdr:cNvSpPr/>
      </xdr:nvSpPr>
      <xdr:spPr>
        <a:xfrm>
          <a:off x="10567042" y="5853409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8</xdr:row>
      <xdr:rowOff>44438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DD7D722-EB5C-4E1D-912B-ED35E4AA79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23846"/>
          <a:ext cx="1203908" cy="1122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9</xdr:row>
      <xdr:rowOff>21393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4095A73D-A991-4EF1-BC62-37B26EF833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67107"/>
          <a:ext cx="974697" cy="133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F479DEE2-A615-4FED-A8F3-C7A686D409C4}"/>
            </a:ext>
          </a:extLst>
        </xdr:cNvPr>
        <xdr:cNvSpPr/>
      </xdr:nvSpPr>
      <xdr:spPr>
        <a:xfrm>
          <a:off x="10448484" y="229050"/>
          <a:ext cx="952123" cy="9996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74946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7180CE7-2648-4A29-BF6A-4BECB095A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06306"/>
          <a:ext cx="659417" cy="82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C20EED40-5DAE-4EA5-ABA1-EBFD912AEC29}"/>
            </a:ext>
          </a:extLst>
        </xdr:cNvPr>
        <xdr:cNvSpPr txBox="1"/>
      </xdr:nvSpPr>
      <xdr:spPr>
        <a:xfrm>
          <a:off x="7734207" y="1471051"/>
          <a:ext cx="4145735" cy="17597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75E07AE-F611-4AC1-ABD1-3282447DDE6B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AEB4CC11-B158-47DC-9009-3202BA9D7632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BF936A59-1586-4A6E-AE7D-0F6EB8A4C3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107570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5752827-1E35-4E7B-A02B-CB9F1A7A8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4999128"/>
          <a:ext cx="394280" cy="54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134470</xdr:colOff>
      <xdr:row>27</xdr:row>
      <xdr:rowOff>71716</xdr:rowOff>
    </xdr:from>
    <xdr:to>
      <xdr:col>19</xdr:col>
      <xdr:colOff>224666</xdr:colOff>
      <xdr:row>29</xdr:row>
      <xdr:rowOff>78549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F5005A31-BFFB-4C3F-93A1-78C4B1FFABB1}"/>
            </a:ext>
          </a:extLst>
        </xdr:cNvPr>
        <xdr:cNvSpPr txBox="1"/>
      </xdr:nvSpPr>
      <xdr:spPr>
        <a:xfrm>
          <a:off x="8059270" y="4803736"/>
          <a:ext cx="3747796" cy="357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  <xdr:twoCellAnchor>
    <xdr:from>
      <xdr:col>13</xdr:col>
      <xdr:colOff>259976</xdr:colOff>
      <xdr:row>30</xdr:row>
      <xdr:rowOff>152400</xdr:rowOff>
    </xdr:from>
    <xdr:to>
      <xdr:col>19</xdr:col>
      <xdr:colOff>17929</xdr:colOff>
      <xdr:row>33</xdr:row>
      <xdr:rowOff>12008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D191348-8236-4AD8-A666-2102EEE1D3AA}"/>
            </a:ext>
          </a:extLst>
        </xdr:cNvPr>
        <xdr:cNvSpPr/>
      </xdr:nvSpPr>
      <xdr:spPr>
        <a:xfrm>
          <a:off x="8184776" y="5410200"/>
          <a:ext cx="3415553" cy="385388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0"/>
            <a:t>CPF:</a:t>
          </a:r>
          <a:r>
            <a:rPr lang="pt-BR" sz="1400" b="0" baseline="0"/>
            <a:t> 384.929.288-67</a:t>
          </a:r>
          <a:endParaRPr lang="pt-BR" sz="1400" b="0"/>
        </a:p>
      </xdr:txBody>
    </xdr:sp>
    <xdr:clientData/>
  </xdr:twoCellAnchor>
  <xdr:twoCellAnchor>
    <xdr:from>
      <xdr:col>13</xdr:col>
      <xdr:colOff>259977</xdr:colOff>
      <xdr:row>29</xdr:row>
      <xdr:rowOff>116542</xdr:rowOff>
    </xdr:from>
    <xdr:to>
      <xdr:col>14</xdr:col>
      <xdr:colOff>439271</xdr:colOff>
      <xdr:row>31</xdr:row>
      <xdr:rowOff>116541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8C97546E-0252-4F5C-86C4-3BE1B6815809}"/>
            </a:ext>
          </a:extLst>
        </xdr:cNvPr>
        <xdr:cNvSpPr txBox="1"/>
      </xdr:nvSpPr>
      <xdr:spPr>
        <a:xfrm>
          <a:off x="8184777" y="5199082"/>
          <a:ext cx="788894" cy="350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PIX</a:t>
          </a:r>
        </a:p>
      </xdr:txBody>
    </xdr:sp>
    <xdr:clientData/>
  </xdr:twoCellAnchor>
  <xdr:twoCellAnchor>
    <xdr:from>
      <xdr:col>18</xdr:col>
      <xdr:colOff>582706</xdr:colOff>
      <xdr:row>31</xdr:row>
      <xdr:rowOff>89647</xdr:rowOff>
    </xdr:from>
    <xdr:to>
      <xdr:col>21</xdr:col>
      <xdr:colOff>0</xdr:colOff>
      <xdr:row>33</xdr:row>
      <xdr:rowOff>89647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5ED65B75-9F5E-47DE-9968-2F038E4570AF}"/>
            </a:ext>
          </a:extLst>
        </xdr:cNvPr>
        <xdr:cNvSpPr txBox="1"/>
      </xdr:nvSpPr>
      <xdr:spPr>
        <a:xfrm>
          <a:off x="11555506" y="5522707"/>
          <a:ext cx="743174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OU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-de-Holerite-Recibo-Gr&#225;t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YF%20Automa&#231;&#227;o/Planilha/Sistema%20de%20gera&#231;&#227;o%20de%20listas%20de%20etiquetas%202.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Andreia%20Harter/AP16%20-%20MSDS%20Sheet%20for%20MSDS%20Solu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rite Colorido"/>
      <sheetName val="Sobr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Layout"/>
      <sheetName val="Configurações"/>
      <sheetName val="Lista do cliente (2)"/>
      <sheetName val="Cadastro de layouts"/>
      <sheetName val="Base de dados"/>
      <sheetName val="Lista do cli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Empresa</v>
          </cell>
        </row>
        <row r="2">
          <cell r="I2" t="str">
            <v>RENNER</v>
          </cell>
        </row>
        <row r="3">
          <cell r="I3" t="str">
            <v>Teste2</v>
          </cell>
        </row>
        <row r="4">
          <cell r="I4" t="str">
            <v>BlueTextil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visão 4"/>
      <sheetName val="Impressão"/>
      <sheetName val="Pictogramas"/>
      <sheetName val="Frases de perigo"/>
      <sheetName val="Frases de precaução"/>
      <sheetName val="Frases complementares"/>
      <sheetName val="Cadastro da etiqueta"/>
      <sheetName val="Cadastro de empresas"/>
      <sheetName val="Cál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Código</v>
          </cell>
          <cell r="B1" t="str">
            <v>Pictograma</v>
          </cell>
        </row>
        <row r="2">
          <cell r="A2" t="str">
            <v>Alerta</v>
          </cell>
        </row>
        <row r="3">
          <cell r="A3" t="str">
            <v>Aquático</v>
          </cell>
        </row>
        <row r="4">
          <cell r="A4" t="str">
            <v>Corrosivo</v>
          </cell>
        </row>
        <row r="5">
          <cell r="A5" t="str">
            <v>Explosivo</v>
          </cell>
        </row>
        <row r="6">
          <cell r="A6" t="str">
            <v>Gás</v>
          </cell>
        </row>
        <row r="7">
          <cell r="A7" t="str">
            <v>Inflamável</v>
          </cell>
        </row>
        <row r="8">
          <cell r="A8" t="str">
            <v>Oxidantes</v>
          </cell>
        </row>
        <row r="9">
          <cell r="A9" t="str">
            <v>Sensib.</v>
          </cell>
        </row>
        <row r="10">
          <cell r="A10" t="str">
            <v>Sól. Infl.</v>
          </cell>
        </row>
        <row r="11">
          <cell r="A11" t="str">
            <v>Tóxico</v>
          </cell>
        </row>
        <row r="12">
          <cell r="A12" t="str">
            <v>Vazio</v>
          </cell>
        </row>
      </sheetData>
      <sheetData sheetId="4">
        <row r="1">
          <cell r="A1" t="str">
            <v>Código</v>
          </cell>
        </row>
        <row r="2">
          <cell r="A2" t="str">
            <v>H200</v>
          </cell>
        </row>
        <row r="3">
          <cell r="A3" t="str">
            <v>H201</v>
          </cell>
        </row>
        <row r="4">
          <cell r="A4" t="str">
            <v>H202</v>
          </cell>
        </row>
        <row r="5">
          <cell r="A5" t="str">
            <v>H203</v>
          </cell>
        </row>
        <row r="6">
          <cell r="A6" t="str">
            <v>H204</v>
          </cell>
        </row>
        <row r="7">
          <cell r="A7" t="str">
            <v>H205</v>
          </cell>
        </row>
        <row r="8">
          <cell r="A8" t="str">
            <v>H220</v>
          </cell>
        </row>
        <row r="9">
          <cell r="A9" t="str">
            <v>H221</v>
          </cell>
        </row>
        <row r="10">
          <cell r="A10" t="str">
            <v>H222</v>
          </cell>
        </row>
        <row r="11">
          <cell r="A11" t="str">
            <v>H223</v>
          </cell>
        </row>
        <row r="12">
          <cell r="A12" t="str">
            <v>H224</v>
          </cell>
        </row>
        <row r="13">
          <cell r="A13" t="str">
            <v>H225</v>
          </cell>
        </row>
        <row r="14">
          <cell r="A14" t="str">
            <v>H226</v>
          </cell>
        </row>
        <row r="15">
          <cell r="A15" t="str">
            <v>H227</v>
          </cell>
        </row>
        <row r="16">
          <cell r="A16" t="str">
            <v>H228</v>
          </cell>
        </row>
        <row r="17">
          <cell r="A17" t="str">
            <v>H229</v>
          </cell>
        </row>
        <row r="18">
          <cell r="A18" t="str">
            <v>H230</v>
          </cell>
        </row>
        <row r="19">
          <cell r="A19" t="str">
            <v>H231</v>
          </cell>
        </row>
        <row r="20">
          <cell r="A20" t="str">
            <v>H240</v>
          </cell>
        </row>
        <row r="21">
          <cell r="A21" t="str">
            <v>H241</v>
          </cell>
        </row>
        <row r="22">
          <cell r="A22" t="str">
            <v>H242</v>
          </cell>
        </row>
        <row r="23">
          <cell r="A23" t="str">
            <v>H250</v>
          </cell>
        </row>
        <row r="24">
          <cell r="A24" t="str">
            <v>H251</v>
          </cell>
        </row>
        <row r="25">
          <cell r="A25" t="str">
            <v>H252</v>
          </cell>
        </row>
        <row r="26">
          <cell r="A26" t="str">
            <v xml:space="preserve">H260 </v>
          </cell>
        </row>
        <row r="27">
          <cell r="A27" t="str">
            <v>H261</v>
          </cell>
        </row>
        <row r="28">
          <cell r="A28" t="str">
            <v>H270</v>
          </cell>
        </row>
        <row r="29">
          <cell r="A29" t="str">
            <v>H271</v>
          </cell>
        </row>
        <row r="30">
          <cell r="A30" t="str">
            <v>H272</v>
          </cell>
        </row>
        <row r="31">
          <cell r="A31" t="str">
            <v>H280</v>
          </cell>
        </row>
        <row r="32">
          <cell r="A32" t="str">
            <v>H281</v>
          </cell>
        </row>
        <row r="33">
          <cell r="A33" t="str">
            <v>H290</v>
          </cell>
        </row>
        <row r="34">
          <cell r="A34" t="str">
            <v>H300</v>
          </cell>
        </row>
        <row r="35">
          <cell r="A35" t="str">
            <v>H301</v>
          </cell>
        </row>
        <row r="36">
          <cell r="A36" t="str">
            <v>H302</v>
          </cell>
        </row>
        <row r="37">
          <cell r="A37" t="str">
            <v>H303</v>
          </cell>
        </row>
        <row r="38">
          <cell r="A38" t="str">
            <v>H304</v>
          </cell>
        </row>
        <row r="39">
          <cell r="A39" t="str">
            <v>H305</v>
          </cell>
        </row>
        <row r="40">
          <cell r="A40" t="str">
            <v>H310</v>
          </cell>
        </row>
        <row r="41">
          <cell r="A41" t="str">
            <v>H311</v>
          </cell>
        </row>
        <row r="42">
          <cell r="A42" t="str">
            <v>H312</v>
          </cell>
        </row>
        <row r="43">
          <cell r="A43" t="str">
            <v>H313</v>
          </cell>
        </row>
        <row r="44">
          <cell r="A44" t="str">
            <v>H314</v>
          </cell>
        </row>
        <row r="45">
          <cell r="A45" t="str">
            <v>H315</v>
          </cell>
        </row>
        <row r="46">
          <cell r="A46" t="str">
            <v>H316</v>
          </cell>
        </row>
        <row r="47">
          <cell r="A47" t="str">
            <v>H317</v>
          </cell>
        </row>
        <row r="48">
          <cell r="A48" t="str">
            <v>H318</v>
          </cell>
        </row>
        <row r="49">
          <cell r="A49" t="str">
            <v>H319</v>
          </cell>
        </row>
        <row r="50">
          <cell r="A50" t="str">
            <v>H320</v>
          </cell>
        </row>
        <row r="51">
          <cell r="A51" t="str">
            <v>H330</v>
          </cell>
        </row>
        <row r="52">
          <cell r="A52" t="str">
            <v>H331</v>
          </cell>
        </row>
        <row r="53">
          <cell r="A53" t="str">
            <v>H332</v>
          </cell>
        </row>
        <row r="54">
          <cell r="A54" t="str">
            <v>H333</v>
          </cell>
        </row>
        <row r="55">
          <cell r="A55" t="str">
            <v>H334</v>
          </cell>
        </row>
        <row r="56">
          <cell r="A56" t="str">
            <v>H335</v>
          </cell>
        </row>
        <row r="57">
          <cell r="A57" t="str">
            <v>H336</v>
          </cell>
        </row>
        <row r="58">
          <cell r="A58" t="str">
            <v>H340</v>
          </cell>
        </row>
        <row r="59">
          <cell r="A59" t="str">
            <v>H341</v>
          </cell>
        </row>
        <row r="60">
          <cell r="A60" t="str">
            <v>H350</v>
          </cell>
        </row>
        <row r="61">
          <cell r="A61" t="str">
            <v>H351</v>
          </cell>
        </row>
        <row r="62">
          <cell r="A62" t="str">
            <v>H360</v>
          </cell>
        </row>
        <row r="63">
          <cell r="A63" t="str">
            <v>h361</v>
          </cell>
        </row>
        <row r="64">
          <cell r="A64" t="str">
            <v>H362</v>
          </cell>
        </row>
        <row r="65">
          <cell r="A65" t="str">
            <v>H370</v>
          </cell>
        </row>
        <row r="66">
          <cell r="A66" t="str">
            <v>H371</v>
          </cell>
        </row>
        <row r="67">
          <cell r="A67" t="str">
            <v>H372</v>
          </cell>
        </row>
        <row r="68">
          <cell r="A68" t="str">
            <v>H373</v>
          </cell>
        </row>
        <row r="69">
          <cell r="A69" t="str">
            <v>H400</v>
          </cell>
        </row>
        <row r="70">
          <cell r="A70" t="str">
            <v>H401</v>
          </cell>
        </row>
        <row r="71">
          <cell r="A71" t="str">
            <v>H402</v>
          </cell>
        </row>
        <row r="72">
          <cell r="A72" t="str">
            <v>H410</v>
          </cell>
        </row>
        <row r="73">
          <cell r="A73" t="str">
            <v>H411</v>
          </cell>
        </row>
        <row r="74">
          <cell r="A74" t="str">
            <v>H412</v>
          </cell>
        </row>
        <row r="75">
          <cell r="A75" t="str">
            <v>H413</v>
          </cell>
        </row>
        <row r="76">
          <cell r="A76" t="str">
            <v>H420</v>
          </cell>
        </row>
      </sheetData>
      <sheetData sheetId="5">
        <row r="1">
          <cell r="A1" t="str">
            <v>Código</v>
          </cell>
        </row>
        <row r="2">
          <cell r="A2" t="str">
            <v>P101</v>
          </cell>
        </row>
        <row r="3">
          <cell r="A3" t="str">
            <v>P102</v>
          </cell>
        </row>
        <row r="4">
          <cell r="A4" t="str">
            <v>P103</v>
          </cell>
        </row>
        <row r="5">
          <cell r="A5" t="str">
            <v>P201</v>
          </cell>
        </row>
        <row r="6">
          <cell r="A6" t="str">
            <v>P202</v>
          </cell>
        </row>
        <row r="7">
          <cell r="A7" t="str">
            <v>P210</v>
          </cell>
        </row>
        <row r="8">
          <cell r="A8" t="str">
            <v>P211</v>
          </cell>
        </row>
        <row r="9">
          <cell r="A9" t="str">
            <v>P220</v>
          </cell>
        </row>
        <row r="10">
          <cell r="A10" t="str">
            <v>P221</v>
          </cell>
        </row>
        <row r="11">
          <cell r="A11" t="str">
            <v>P222</v>
          </cell>
        </row>
        <row r="12">
          <cell r="A12" t="str">
            <v>P223</v>
          </cell>
        </row>
        <row r="13">
          <cell r="A13" t="str">
            <v>P230</v>
          </cell>
        </row>
        <row r="14">
          <cell r="A14" t="str">
            <v>P231</v>
          </cell>
        </row>
        <row r="15">
          <cell r="A15" t="str">
            <v>P231 + P232</v>
          </cell>
        </row>
        <row r="16">
          <cell r="A16" t="str">
            <v>P232</v>
          </cell>
        </row>
        <row r="17">
          <cell r="A17" t="str">
            <v>P233</v>
          </cell>
        </row>
        <row r="18">
          <cell r="A18" t="str">
            <v>P234</v>
          </cell>
        </row>
        <row r="19">
          <cell r="A19" t="str">
            <v>P235</v>
          </cell>
        </row>
        <row r="20">
          <cell r="A20" t="str">
            <v>P235 + P410</v>
          </cell>
        </row>
        <row r="21">
          <cell r="A21" t="str">
            <v>P240</v>
          </cell>
        </row>
        <row r="22">
          <cell r="A22" t="str">
            <v>P241</v>
          </cell>
        </row>
        <row r="23">
          <cell r="A23" t="str">
            <v>P242</v>
          </cell>
        </row>
        <row r="24">
          <cell r="A24" t="str">
            <v>P243</v>
          </cell>
        </row>
        <row r="25">
          <cell r="A25" t="str">
            <v>P244</v>
          </cell>
        </row>
        <row r="26">
          <cell r="A26" t="str">
            <v>P250</v>
          </cell>
        </row>
        <row r="27">
          <cell r="A27" t="str">
            <v>P251</v>
          </cell>
        </row>
        <row r="28">
          <cell r="A28" t="str">
            <v>P260</v>
          </cell>
        </row>
        <row r="29">
          <cell r="A29" t="str">
            <v>P261</v>
          </cell>
        </row>
        <row r="30">
          <cell r="A30" t="str">
            <v>P262</v>
          </cell>
        </row>
        <row r="31">
          <cell r="A31" t="str">
            <v>P263</v>
          </cell>
        </row>
        <row r="32">
          <cell r="A32" t="str">
            <v>P264</v>
          </cell>
        </row>
        <row r="33">
          <cell r="A33" t="str">
            <v>P270</v>
          </cell>
        </row>
        <row r="34">
          <cell r="A34" t="str">
            <v>P271</v>
          </cell>
        </row>
        <row r="35">
          <cell r="A35" t="str">
            <v>P272</v>
          </cell>
        </row>
        <row r="36">
          <cell r="A36" t="str">
            <v>P273</v>
          </cell>
        </row>
        <row r="37">
          <cell r="A37" t="str">
            <v>P280</v>
          </cell>
        </row>
        <row r="38">
          <cell r="A38" t="str">
            <v>P282</v>
          </cell>
        </row>
        <row r="39">
          <cell r="A39" t="str">
            <v>P283</v>
          </cell>
        </row>
        <row r="40">
          <cell r="A40" t="str">
            <v>P284</v>
          </cell>
        </row>
        <row r="41">
          <cell r="A41" t="str">
            <v>P301</v>
          </cell>
        </row>
        <row r="42">
          <cell r="A42" t="str">
            <v>P302</v>
          </cell>
        </row>
        <row r="43">
          <cell r="A43" t="str">
            <v>P303</v>
          </cell>
        </row>
        <row r="44">
          <cell r="A44" t="str">
            <v>P304</v>
          </cell>
        </row>
        <row r="45">
          <cell r="A45" t="str">
            <v>P305</v>
          </cell>
        </row>
        <row r="46">
          <cell r="A46" t="str">
            <v>P306</v>
          </cell>
        </row>
        <row r="47">
          <cell r="A47" t="str">
            <v>P307</v>
          </cell>
        </row>
        <row r="48">
          <cell r="A48" t="str">
            <v>P308</v>
          </cell>
        </row>
        <row r="49">
          <cell r="A49" t="str">
            <v>P310</v>
          </cell>
        </row>
        <row r="50">
          <cell r="A50" t="str">
            <v>P311</v>
          </cell>
        </row>
        <row r="51">
          <cell r="A51" t="str">
            <v>P312</v>
          </cell>
        </row>
        <row r="52">
          <cell r="A52" t="str">
            <v>P313</v>
          </cell>
        </row>
        <row r="53">
          <cell r="A53" t="str">
            <v>P314</v>
          </cell>
        </row>
        <row r="54">
          <cell r="A54" t="str">
            <v>P315</v>
          </cell>
        </row>
        <row r="55">
          <cell r="A55" t="str">
            <v>P320</v>
          </cell>
        </row>
        <row r="56">
          <cell r="A56" t="str">
            <v>P321</v>
          </cell>
        </row>
        <row r="57">
          <cell r="A57" t="str">
            <v>P330</v>
          </cell>
        </row>
        <row r="58">
          <cell r="A58" t="str">
            <v>P331</v>
          </cell>
        </row>
        <row r="59">
          <cell r="A59" t="str">
            <v>P332</v>
          </cell>
        </row>
        <row r="60">
          <cell r="A60" t="str">
            <v>P333</v>
          </cell>
        </row>
        <row r="61">
          <cell r="A61" t="str">
            <v>P333 + P313</v>
          </cell>
        </row>
        <row r="62">
          <cell r="A62" t="str">
            <v>P334</v>
          </cell>
        </row>
        <row r="63">
          <cell r="A63" t="str">
            <v>P335</v>
          </cell>
        </row>
        <row r="64">
          <cell r="A64" t="str">
            <v>P335 + P334</v>
          </cell>
        </row>
        <row r="65">
          <cell r="A65" t="str">
            <v>P336</v>
          </cell>
        </row>
        <row r="66">
          <cell r="A66" t="str">
            <v>P337</v>
          </cell>
        </row>
        <row r="67">
          <cell r="A67" t="str">
            <v xml:space="preserve">P337 + P313 </v>
          </cell>
        </row>
        <row r="68">
          <cell r="A68" t="str">
            <v>P342 + P311</v>
          </cell>
        </row>
        <row r="69">
          <cell r="A69" t="str">
            <v>P361 + P364</v>
          </cell>
        </row>
        <row r="70">
          <cell r="A70" t="str">
            <v>P370 + P376</v>
          </cell>
        </row>
        <row r="71">
          <cell r="A71" t="str">
            <v>P370 + P378</v>
          </cell>
        </row>
        <row r="72">
          <cell r="A72" t="str">
            <v>P370 + P380</v>
          </cell>
        </row>
        <row r="73">
          <cell r="A73" t="str">
            <v>P370 + P380 + P375</v>
          </cell>
        </row>
        <row r="74">
          <cell r="A74" t="str">
            <v>P371 + P380 + P375</v>
          </cell>
        </row>
        <row r="75">
          <cell r="A75" t="str">
            <v>P402 + P404</v>
          </cell>
        </row>
        <row r="76">
          <cell r="A76" t="str">
            <v>P403 + P233</v>
          </cell>
        </row>
        <row r="77">
          <cell r="A77" t="str">
            <v>P403 + P235</v>
          </cell>
        </row>
        <row r="78">
          <cell r="A78" t="str">
            <v>P407</v>
          </cell>
        </row>
        <row r="79">
          <cell r="A79" t="str">
            <v>P410</v>
          </cell>
        </row>
        <row r="80">
          <cell r="A80" t="str">
            <v>P410 + P403</v>
          </cell>
        </row>
        <row r="81">
          <cell r="A81" t="str">
            <v>P410 + P412</v>
          </cell>
        </row>
        <row r="82">
          <cell r="A82" t="str">
            <v>P411</v>
          </cell>
        </row>
        <row r="83">
          <cell r="A83" t="str">
            <v>P411 + P235</v>
          </cell>
        </row>
        <row r="84">
          <cell r="A84" t="str">
            <v>P412</v>
          </cell>
        </row>
        <row r="85">
          <cell r="A85" t="str">
            <v>P413</v>
          </cell>
        </row>
        <row r="86">
          <cell r="A86" t="str">
            <v>P420</v>
          </cell>
        </row>
        <row r="87">
          <cell r="A87" t="str">
            <v>P422</v>
          </cell>
        </row>
        <row r="88">
          <cell r="A88" t="str">
            <v>P501</v>
          </cell>
        </row>
        <row r="89">
          <cell r="A89" t="str">
            <v>P502</v>
          </cell>
        </row>
      </sheetData>
      <sheetData sheetId="6">
        <row r="1">
          <cell r="A1" t="str">
            <v>Código</v>
          </cell>
        </row>
        <row r="2">
          <cell r="A2" t="str">
            <v>EUH 001</v>
          </cell>
        </row>
        <row r="3">
          <cell r="A3" t="str">
            <v>EUH 006</v>
          </cell>
        </row>
        <row r="4">
          <cell r="A4" t="str">
            <v>EUH 014</v>
          </cell>
        </row>
        <row r="5">
          <cell r="A5" t="str">
            <v>EUH 018</v>
          </cell>
        </row>
        <row r="6">
          <cell r="A6" t="str">
            <v>EUH 019</v>
          </cell>
        </row>
        <row r="7">
          <cell r="A7" t="str">
            <v>EUH 044</v>
          </cell>
        </row>
        <row r="8">
          <cell r="A8" t="str">
            <v>EUH 029</v>
          </cell>
        </row>
        <row r="9">
          <cell r="A9" t="str">
            <v>EUH 031</v>
          </cell>
        </row>
        <row r="10">
          <cell r="A10" t="str">
            <v>EUH 032</v>
          </cell>
        </row>
        <row r="11">
          <cell r="A11" t="str">
            <v>EUH 066</v>
          </cell>
        </row>
        <row r="12">
          <cell r="A12" t="str">
            <v>EUH 070</v>
          </cell>
        </row>
        <row r="13">
          <cell r="A13" t="str">
            <v>EUH 071</v>
          </cell>
        </row>
        <row r="14">
          <cell r="A14" t="str">
            <v>EUH 059</v>
          </cell>
        </row>
        <row r="15">
          <cell r="A15" t="str">
            <v>EUH 201/201A</v>
          </cell>
        </row>
        <row r="16">
          <cell r="A16" t="str">
            <v>EUH 202</v>
          </cell>
        </row>
        <row r="17">
          <cell r="A17" t="str">
            <v>EUH 203</v>
          </cell>
        </row>
        <row r="18">
          <cell r="A18" t="str">
            <v>EUH 204</v>
          </cell>
        </row>
        <row r="19">
          <cell r="A19" t="str">
            <v>EUH 205</v>
          </cell>
        </row>
        <row r="20">
          <cell r="A20" t="str">
            <v>EUH 206</v>
          </cell>
        </row>
        <row r="21">
          <cell r="A21" t="str">
            <v>EUH 207</v>
          </cell>
        </row>
        <row r="22">
          <cell r="A22" t="str">
            <v>EUH 208</v>
          </cell>
        </row>
        <row r="23">
          <cell r="A23" t="str">
            <v>EUH 209/209A</v>
          </cell>
        </row>
        <row r="24">
          <cell r="A24" t="str">
            <v>EUH 210</v>
          </cell>
        </row>
        <row r="25">
          <cell r="A25" t="str">
            <v>EUH 401</v>
          </cell>
        </row>
      </sheetData>
      <sheetData sheetId="7" refreshError="1"/>
      <sheetData sheetId="8">
        <row r="1">
          <cell r="A1" t="str">
            <v>Empresa</v>
          </cell>
        </row>
        <row r="2">
          <cell r="A2" t="str">
            <v>UBV LTDA</v>
          </cell>
        </row>
      </sheetData>
      <sheetData sheetId="9">
        <row r="1">
          <cell r="B1" t="str">
            <v>Explosivo</v>
          </cell>
        </row>
        <row r="2">
          <cell r="B2" t="str">
            <v>Aquático</v>
          </cell>
        </row>
        <row r="3">
          <cell r="B3" t="str">
            <v>Vazio</v>
          </cell>
        </row>
        <row r="4">
          <cell r="B4" t="str">
            <v>Vazio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V83"/>
  <sheetViews>
    <sheetView showGridLines="0" tabSelected="1" zoomScaleNormal="100" workbookViewId="0">
      <selection activeCell="E6" sqref="E6"/>
    </sheetView>
  </sheetViews>
  <sheetFormatPr defaultColWidth="0" defaultRowHeight="14.4" zeroHeight="1" x14ac:dyDescent="0.3"/>
  <cols>
    <col min="1" max="1" width="3" customWidth="1"/>
    <col min="2" max="2" width="9" customWidth="1"/>
    <col min="3" max="4" width="9.109375" customWidth="1"/>
    <col min="5" max="5" width="30.33203125" customWidth="1"/>
    <col min="6" max="6" width="9.88671875" customWidth="1"/>
    <col min="7" max="8" width="10.5546875" customWidth="1"/>
    <col min="9" max="9" width="6.33203125" customWidth="1"/>
    <col min="10" max="10" width="7" customWidth="1"/>
    <col min="11" max="11" width="12.6640625" customWidth="1"/>
    <col min="12" max="12" width="1.88671875" customWidth="1"/>
    <col min="13" max="15" width="9.109375" customWidth="1"/>
    <col min="16" max="21" width="9.109375" hidden="1" customWidth="1"/>
    <col min="22" max="22" width="9.5546875" hidden="1" customWidth="1"/>
    <col min="23" max="16384" width="9.109375" hidden="1"/>
  </cols>
  <sheetData>
    <row r="1" spans="1:15" ht="18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5" ht="18.75" customHeight="1" x14ac:dyDescent="0.3">
      <c r="A2" s="7"/>
      <c r="B2" s="7"/>
      <c r="C2" s="7"/>
      <c r="D2" s="57" t="s">
        <v>13</v>
      </c>
      <c r="E2" s="57"/>
      <c r="F2" s="57"/>
      <c r="G2" s="57"/>
      <c r="H2" s="8"/>
      <c r="I2" s="9" t="s">
        <v>0</v>
      </c>
      <c r="J2" s="8"/>
      <c r="K2" s="10">
        <v>3215</v>
      </c>
      <c r="L2" s="11"/>
      <c r="M2" s="2"/>
      <c r="O2" s="3"/>
    </row>
    <row r="3" spans="1:15" ht="18.75" customHeight="1" x14ac:dyDescent="0.3">
      <c r="A3" s="6"/>
      <c r="B3" s="6"/>
      <c r="C3" s="6"/>
      <c r="D3" s="57"/>
      <c r="E3" s="57"/>
      <c r="F3" s="57"/>
      <c r="G3" s="57"/>
      <c r="H3" s="8"/>
      <c r="I3" s="12" t="s">
        <v>1</v>
      </c>
      <c r="J3" s="8"/>
      <c r="K3" s="13">
        <f ca="1">TODAY()</f>
        <v>44522</v>
      </c>
      <c r="L3" s="14"/>
      <c r="M3" s="4"/>
    </row>
    <row r="4" spans="1:15" ht="18.75" customHeight="1" x14ac:dyDescent="0.3">
      <c r="A4" s="6"/>
      <c r="B4" s="6"/>
      <c r="C4" s="6"/>
      <c r="D4" s="6"/>
      <c r="E4" s="6"/>
      <c r="F4" s="6"/>
      <c r="G4" s="6"/>
      <c r="H4" s="15"/>
      <c r="I4" s="15"/>
      <c r="J4" s="15"/>
      <c r="K4" s="15"/>
      <c r="L4" s="6"/>
    </row>
    <row r="5" spans="1:15" ht="6" customHeight="1" thickBot="1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"/>
    </row>
    <row r="6" spans="1:15" ht="15" thickTop="1" x14ac:dyDescent="0.3">
      <c r="A6" s="17"/>
      <c r="B6" s="6"/>
      <c r="C6" s="6"/>
      <c r="D6" s="6"/>
      <c r="E6" s="6"/>
      <c r="F6" s="6"/>
      <c r="G6" s="6"/>
      <c r="H6" s="6"/>
      <c r="I6" s="6"/>
      <c r="J6" s="6"/>
      <c r="K6" s="6"/>
      <c r="L6" s="18"/>
      <c r="M6" s="1"/>
    </row>
    <row r="7" spans="1:15" ht="14.25" customHeight="1" x14ac:dyDescent="0.3">
      <c r="A7" s="19"/>
      <c r="B7" s="20" t="s">
        <v>20</v>
      </c>
      <c r="C7" s="21"/>
      <c r="D7" s="21"/>
      <c r="E7" s="21"/>
      <c r="F7" s="21"/>
      <c r="G7" s="21"/>
      <c r="H7" s="21"/>
      <c r="I7" s="21"/>
      <c r="J7" s="21"/>
      <c r="K7" s="21"/>
      <c r="L7" s="22"/>
      <c r="M7" s="1"/>
    </row>
    <row r="8" spans="1:15" x14ac:dyDescent="0.3">
      <c r="A8" s="19"/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4"/>
      <c r="M8" s="1"/>
    </row>
    <row r="9" spans="1:15" x14ac:dyDescent="0.3">
      <c r="A9" s="19"/>
      <c r="B9" s="23" t="s">
        <v>3</v>
      </c>
      <c r="C9" s="23"/>
      <c r="D9" s="23"/>
      <c r="E9" s="23"/>
      <c r="F9" s="25"/>
      <c r="G9" s="23" t="s">
        <v>4</v>
      </c>
      <c r="H9" s="23"/>
      <c r="I9" s="23"/>
      <c r="J9" s="23"/>
      <c r="K9" s="23"/>
      <c r="L9" s="26"/>
      <c r="M9" s="1"/>
    </row>
    <row r="10" spans="1:15" x14ac:dyDescent="0.3">
      <c r="A10" s="27"/>
      <c r="B10" s="23" t="s">
        <v>5</v>
      </c>
      <c r="C10" s="23"/>
      <c r="D10" s="23"/>
      <c r="E10" s="23" t="s">
        <v>6</v>
      </c>
      <c r="F10" s="25"/>
      <c r="G10" s="23" t="s">
        <v>7</v>
      </c>
      <c r="H10" s="23"/>
      <c r="I10" s="23"/>
      <c r="J10" s="23"/>
      <c r="K10" s="23"/>
      <c r="L10" s="28"/>
      <c r="M10" s="1"/>
    </row>
    <row r="11" spans="1:15" ht="9" customHeight="1" x14ac:dyDescent="0.3">
      <c r="A11" s="29"/>
      <c r="B11" s="30"/>
      <c r="C11" s="30"/>
      <c r="D11" s="30"/>
      <c r="E11" s="30"/>
      <c r="F11" s="31"/>
      <c r="G11" s="30"/>
      <c r="H11" s="30"/>
      <c r="I11" s="30"/>
      <c r="J11" s="30"/>
      <c r="K11" s="30"/>
      <c r="L11" s="32"/>
      <c r="M11" s="1"/>
    </row>
    <row r="12" spans="1:15" x14ac:dyDescent="0.3">
      <c r="A12" s="27"/>
      <c r="B12" s="23" t="s">
        <v>21</v>
      </c>
      <c r="C12" s="23"/>
      <c r="D12" s="23"/>
      <c r="E12" s="23" t="s">
        <v>22</v>
      </c>
      <c r="F12" s="25"/>
      <c r="G12" s="23"/>
      <c r="H12" s="23"/>
      <c r="I12" s="23"/>
      <c r="J12" s="23"/>
      <c r="K12" s="23"/>
      <c r="L12" s="28"/>
      <c r="M12" s="1"/>
    </row>
    <row r="13" spans="1:15" x14ac:dyDescent="0.3">
      <c r="A13" s="27"/>
      <c r="B13" s="23" t="s">
        <v>14</v>
      </c>
      <c r="C13" s="23"/>
      <c r="D13" s="23"/>
      <c r="E13" s="33">
        <v>43900</v>
      </c>
      <c r="F13" s="25"/>
      <c r="G13" s="23"/>
      <c r="H13" s="23"/>
      <c r="I13" s="23"/>
      <c r="J13" s="23"/>
      <c r="K13" s="23"/>
      <c r="L13" s="28"/>
      <c r="M13" s="1"/>
    </row>
    <row r="14" spans="1:15" x14ac:dyDescent="0.3">
      <c r="A14" s="27"/>
      <c r="B14" s="23" t="s">
        <v>15</v>
      </c>
      <c r="C14" s="23"/>
      <c r="D14" s="23"/>
      <c r="E14" s="34">
        <v>0.38541666666666669</v>
      </c>
      <c r="F14" s="25"/>
      <c r="G14" s="23"/>
      <c r="H14" s="23"/>
      <c r="I14" s="23"/>
      <c r="J14" s="23"/>
      <c r="K14" s="23"/>
      <c r="L14" s="28"/>
      <c r="M14" s="1"/>
    </row>
    <row r="15" spans="1:15" ht="13.5" customHeight="1" x14ac:dyDescent="0.3">
      <c r="A15" s="29"/>
      <c r="B15" s="30"/>
      <c r="C15" s="35"/>
      <c r="D15" s="35"/>
      <c r="E15" s="35"/>
      <c r="F15" s="35"/>
      <c r="G15" s="35"/>
      <c r="H15" s="35"/>
      <c r="I15" s="35"/>
      <c r="J15" s="35"/>
      <c r="K15" s="35"/>
      <c r="L15" s="32"/>
      <c r="M15" s="1"/>
    </row>
    <row r="16" spans="1:15" x14ac:dyDescent="0.3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28"/>
      <c r="M16" s="1"/>
    </row>
    <row r="17" spans="1:22" ht="15" thickBot="1" x14ac:dyDescent="0.35">
      <c r="A17" s="78" t="s">
        <v>8</v>
      </c>
      <c r="B17" s="58"/>
      <c r="C17" s="58" t="s">
        <v>9</v>
      </c>
      <c r="D17" s="58"/>
      <c r="E17" s="58"/>
      <c r="F17" s="38" t="s">
        <v>16</v>
      </c>
      <c r="G17" s="38" t="s">
        <v>17</v>
      </c>
      <c r="H17" s="38" t="s">
        <v>18</v>
      </c>
      <c r="I17" s="38" t="s">
        <v>23</v>
      </c>
      <c r="J17" s="38" t="s">
        <v>24</v>
      </c>
      <c r="K17" s="38" t="s">
        <v>19</v>
      </c>
      <c r="L17" s="39"/>
      <c r="M17" s="1"/>
    </row>
    <row r="18" spans="1:22" ht="15" thickTop="1" x14ac:dyDescent="0.3">
      <c r="A18" s="74">
        <v>6245</v>
      </c>
      <c r="B18" s="75"/>
      <c r="C18" s="59" t="s">
        <v>25</v>
      </c>
      <c r="D18" s="59"/>
      <c r="E18" s="59"/>
      <c r="F18" s="40" t="s">
        <v>31</v>
      </c>
      <c r="G18" s="40" t="s">
        <v>32</v>
      </c>
      <c r="H18" s="41" t="s">
        <v>33</v>
      </c>
      <c r="I18" s="42">
        <v>2.1</v>
      </c>
      <c r="J18" s="42">
        <v>1</v>
      </c>
      <c r="K18" s="41">
        <v>2500</v>
      </c>
      <c r="L18" s="43"/>
      <c r="M18" s="1"/>
      <c r="V18" s="5">
        <f>K18*J18</f>
        <v>2500</v>
      </c>
    </row>
    <row r="19" spans="1:22" x14ac:dyDescent="0.3">
      <c r="A19" s="60">
        <v>3548</v>
      </c>
      <c r="B19" s="61"/>
      <c r="C19" s="59" t="s">
        <v>26</v>
      </c>
      <c r="D19" s="59"/>
      <c r="E19" s="59"/>
      <c r="F19" s="40" t="s">
        <v>35</v>
      </c>
      <c r="G19" s="40" t="s">
        <v>36</v>
      </c>
      <c r="H19" s="41" t="s">
        <v>37</v>
      </c>
      <c r="I19" s="41">
        <v>2.4900000000000002</v>
      </c>
      <c r="J19" s="42">
        <v>2</v>
      </c>
      <c r="K19" s="41">
        <v>1250</v>
      </c>
      <c r="L19" s="43"/>
      <c r="M19" s="1"/>
      <c r="V19" s="5">
        <f t="shared" ref="V19:V40" si="0">K19*J19</f>
        <v>2500</v>
      </c>
    </row>
    <row r="20" spans="1:22" x14ac:dyDescent="0.3">
      <c r="A20" s="60">
        <v>9652</v>
      </c>
      <c r="B20" s="61"/>
      <c r="C20" s="59" t="s">
        <v>27</v>
      </c>
      <c r="D20" s="59"/>
      <c r="E20" s="59"/>
      <c r="F20" s="40" t="s">
        <v>34</v>
      </c>
      <c r="G20" s="40" t="s">
        <v>41</v>
      </c>
      <c r="H20" s="41" t="s">
        <v>44</v>
      </c>
      <c r="I20" s="41">
        <v>2.9299999999999997</v>
      </c>
      <c r="J20" s="42">
        <v>1</v>
      </c>
      <c r="K20" s="41">
        <v>1500</v>
      </c>
      <c r="L20" s="43"/>
      <c r="M20" s="1"/>
      <c r="V20" s="5">
        <f t="shared" si="0"/>
        <v>1500</v>
      </c>
    </row>
    <row r="21" spans="1:22" x14ac:dyDescent="0.3">
      <c r="A21" s="60">
        <v>4851</v>
      </c>
      <c r="B21" s="61"/>
      <c r="C21" s="59" t="s">
        <v>28</v>
      </c>
      <c r="D21" s="59"/>
      <c r="E21" s="59"/>
      <c r="F21" s="40" t="s">
        <v>38</v>
      </c>
      <c r="G21" s="40" t="s">
        <v>41</v>
      </c>
      <c r="H21" s="41" t="s">
        <v>45</v>
      </c>
      <c r="I21" s="41">
        <v>2.76</v>
      </c>
      <c r="J21" s="42">
        <v>1</v>
      </c>
      <c r="K21" s="41">
        <v>1750</v>
      </c>
      <c r="L21" s="43"/>
      <c r="M21" s="1"/>
      <c r="V21" s="5">
        <f t="shared" si="0"/>
        <v>1750</v>
      </c>
    </row>
    <row r="22" spans="1:22" x14ac:dyDescent="0.3">
      <c r="A22" s="60">
        <v>7541</v>
      </c>
      <c r="B22" s="61"/>
      <c r="C22" s="59" t="s">
        <v>29</v>
      </c>
      <c r="D22" s="59"/>
      <c r="E22" s="59"/>
      <c r="F22" s="40" t="s">
        <v>32</v>
      </c>
      <c r="G22" s="40" t="s">
        <v>42</v>
      </c>
      <c r="H22" s="41" t="s">
        <v>40</v>
      </c>
      <c r="I22" s="41">
        <v>3.3</v>
      </c>
      <c r="J22" s="42">
        <v>2</v>
      </c>
      <c r="K22" s="41">
        <v>2000</v>
      </c>
      <c r="L22" s="43"/>
      <c r="M22" s="1"/>
      <c r="V22" s="5">
        <f t="shared" si="0"/>
        <v>4000</v>
      </c>
    </row>
    <row r="23" spans="1:22" x14ac:dyDescent="0.3">
      <c r="A23" s="60">
        <v>7852</v>
      </c>
      <c r="B23" s="61"/>
      <c r="C23" s="59" t="s">
        <v>30</v>
      </c>
      <c r="D23" s="59"/>
      <c r="E23" s="59"/>
      <c r="F23" s="40" t="s">
        <v>39</v>
      </c>
      <c r="G23" s="40" t="s">
        <v>43</v>
      </c>
      <c r="H23" s="41" t="s">
        <v>46</v>
      </c>
      <c r="I23" s="41">
        <v>2.84</v>
      </c>
      <c r="J23" s="42">
        <v>2</v>
      </c>
      <c r="K23" s="41">
        <v>2500</v>
      </c>
      <c r="L23" s="43"/>
      <c r="M23" s="1"/>
      <c r="V23" s="5">
        <f t="shared" si="0"/>
        <v>5000</v>
      </c>
    </row>
    <row r="24" spans="1:22" x14ac:dyDescent="0.3">
      <c r="A24" s="60"/>
      <c r="B24" s="61"/>
      <c r="C24" s="59"/>
      <c r="D24" s="59"/>
      <c r="E24" s="59"/>
      <c r="F24" s="40"/>
      <c r="G24" s="40"/>
      <c r="H24" s="41"/>
      <c r="I24" s="41"/>
      <c r="J24" s="42"/>
      <c r="K24" s="41"/>
      <c r="L24" s="43"/>
      <c r="M24" s="1"/>
      <c r="V24" s="5">
        <f t="shared" si="0"/>
        <v>0</v>
      </c>
    </row>
    <row r="25" spans="1:22" x14ac:dyDescent="0.3">
      <c r="A25" s="60"/>
      <c r="B25" s="61"/>
      <c r="C25" s="59"/>
      <c r="D25" s="59"/>
      <c r="E25" s="59"/>
      <c r="F25" s="40"/>
      <c r="G25" s="40"/>
      <c r="H25" s="41"/>
      <c r="I25" s="41"/>
      <c r="J25" s="42"/>
      <c r="K25" s="41"/>
      <c r="L25" s="43"/>
      <c r="M25" s="1"/>
      <c r="V25" s="5">
        <f t="shared" si="0"/>
        <v>0</v>
      </c>
    </row>
    <row r="26" spans="1:22" x14ac:dyDescent="0.3">
      <c r="A26" s="60"/>
      <c r="B26" s="61"/>
      <c r="C26" s="59"/>
      <c r="D26" s="59"/>
      <c r="E26" s="59"/>
      <c r="F26" s="40"/>
      <c r="G26" s="40"/>
      <c r="H26" s="41"/>
      <c r="I26" s="41"/>
      <c r="J26" s="42"/>
      <c r="K26" s="41"/>
      <c r="L26" s="43"/>
      <c r="M26" s="1"/>
      <c r="V26" s="5">
        <f t="shared" si="0"/>
        <v>0</v>
      </c>
    </row>
    <row r="27" spans="1:22" x14ac:dyDescent="0.3">
      <c r="A27" s="60"/>
      <c r="B27" s="61"/>
      <c r="C27" s="59"/>
      <c r="D27" s="59"/>
      <c r="E27" s="59"/>
      <c r="F27" s="40"/>
      <c r="G27" s="40"/>
      <c r="H27" s="41"/>
      <c r="I27" s="41"/>
      <c r="J27" s="42"/>
      <c r="K27" s="41"/>
      <c r="L27" s="43"/>
      <c r="M27" s="1"/>
      <c r="V27" s="5">
        <f t="shared" si="0"/>
        <v>0</v>
      </c>
    </row>
    <row r="28" spans="1:22" x14ac:dyDescent="0.3">
      <c r="A28" s="60"/>
      <c r="B28" s="61"/>
      <c r="C28" s="59"/>
      <c r="D28" s="59"/>
      <c r="E28" s="59"/>
      <c r="F28" s="40"/>
      <c r="G28" s="40"/>
      <c r="H28" s="41"/>
      <c r="I28" s="41"/>
      <c r="J28" s="42"/>
      <c r="K28" s="41"/>
      <c r="L28" s="43"/>
      <c r="M28" s="1"/>
      <c r="V28" s="5">
        <f t="shared" si="0"/>
        <v>0</v>
      </c>
    </row>
    <row r="29" spans="1:22" x14ac:dyDescent="0.3">
      <c r="A29" s="60"/>
      <c r="B29" s="61"/>
      <c r="C29" s="59"/>
      <c r="D29" s="59"/>
      <c r="E29" s="59"/>
      <c r="F29" s="40"/>
      <c r="G29" s="40"/>
      <c r="H29" s="41"/>
      <c r="I29" s="41"/>
      <c r="J29" s="42"/>
      <c r="K29" s="41"/>
      <c r="L29" s="43"/>
      <c r="M29" s="1"/>
      <c r="V29" s="5">
        <f t="shared" si="0"/>
        <v>0</v>
      </c>
    </row>
    <row r="30" spans="1:22" x14ac:dyDescent="0.3">
      <c r="A30" s="60"/>
      <c r="B30" s="61"/>
      <c r="C30" s="59"/>
      <c r="D30" s="59"/>
      <c r="E30" s="59"/>
      <c r="F30" s="40"/>
      <c r="G30" s="40"/>
      <c r="H30" s="41"/>
      <c r="I30" s="41"/>
      <c r="J30" s="42"/>
      <c r="K30" s="41"/>
      <c r="L30" s="43"/>
      <c r="M30" s="1"/>
      <c r="V30" s="5">
        <f t="shared" si="0"/>
        <v>0</v>
      </c>
    </row>
    <row r="31" spans="1:22" x14ac:dyDescent="0.3">
      <c r="A31" s="60"/>
      <c r="B31" s="61"/>
      <c r="C31" s="59"/>
      <c r="D31" s="59"/>
      <c r="E31" s="59"/>
      <c r="F31" s="40"/>
      <c r="G31" s="40"/>
      <c r="H31" s="41"/>
      <c r="I31" s="41"/>
      <c r="J31" s="42"/>
      <c r="K31" s="41"/>
      <c r="L31" s="43"/>
      <c r="M31" s="1"/>
      <c r="V31" s="5">
        <f t="shared" si="0"/>
        <v>0</v>
      </c>
    </row>
    <row r="32" spans="1:22" x14ac:dyDescent="0.3">
      <c r="A32" s="60"/>
      <c r="B32" s="61"/>
      <c r="C32" s="59"/>
      <c r="D32" s="59"/>
      <c r="E32" s="59"/>
      <c r="F32" s="40"/>
      <c r="G32" s="40"/>
      <c r="H32" s="41"/>
      <c r="I32" s="41"/>
      <c r="J32" s="42"/>
      <c r="K32" s="41"/>
      <c r="L32" s="43"/>
      <c r="M32" s="1"/>
      <c r="V32" s="5">
        <f t="shared" si="0"/>
        <v>0</v>
      </c>
    </row>
    <row r="33" spans="1:22" x14ac:dyDescent="0.3">
      <c r="A33" s="60"/>
      <c r="B33" s="61"/>
      <c r="C33" s="59"/>
      <c r="D33" s="59"/>
      <c r="E33" s="59"/>
      <c r="F33" s="40"/>
      <c r="G33" s="40"/>
      <c r="H33" s="41"/>
      <c r="I33" s="41"/>
      <c r="J33" s="42"/>
      <c r="K33" s="41"/>
      <c r="L33" s="43"/>
      <c r="M33" s="1"/>
      <c r="V33" s="5">
        <f t="shared" si="0"/>
        <v>0</v>
      </c>
    </row>
    <row r="34" spans="1:22" x14ac:dyDescent="0.3">
      <c r="A34" s="60"/>
      <c r="B34" s="61"/>
      <c r="C34" s="59"/>
      <c r="D34" s="59"/>
      <c r="E34" s="59"/>
      <c r="F34" s="40"/>
      <c r="G34" s="40"/>
      <c r="H34" s="41"/>
      <c r="I34" s="41"/>
      <c r="J34" s="42"/>
      <c r="K34" s="41"/>
      <c r="L34" s="43"/>
      <c r="M34" s="1"/>
      <c r="V34" s="5">
        <f t="shared" si="0"/>
        <v>0</v>
      </c>
    </row>
    <row r="35" spans="1:22" x14ac:dyDescent="0.3">
      <c r="A35" s="60"/>
      <c r="B35" s="61"/>
      <c r="C35" s="59"/>
      <c r="D35" s="59"/>
      <c r="E35" s="59"/>
      <c r="F35" s="40"/>
      <c r="G35" s="40"/>
      <c r="H35" s="41"/>
      <c r="I35" s="41"/>
      <c r="J35" s="42"/>
      <c r="K35" s="41"/>
      <c r="L35" s="43"/>
      <c r="M35" s="1"/>
      <c r="V35" s="5">
        <f t="shared" si="0"/>
        <v>0</v>
      </c>
    </row>
    <row r="36" spans="1:22" x14ac:dyDescent="0.3">
      <c r="A36" s="60"/>
      <c r="B36" s="61"/>
      <c r="C36" s="59"/>
      <c r="D36" s="59"/>
      <c r="E36" s="59"/>
      <c r="F36" s="40"/>
      <c r="G36" s="40"/>
      <c r="H36" s="41"/>
      <c r="I36" s="41"/>
      <c r="J36" s="42"/>
      <c r="K36" s="41"/>
      <c r="L36" s="43"/>
      <c r="M36" s="1"/>
      <c r="V36" s="5">
        <f t="shared" si="0"/>
        <v>0</v>
      </c>
    </row>
    <row r="37" spans="1:22" x14ac:dyDescent="0.3">
      <c r="A37" s="60"/>
      <c r="B37" s="61"/>
      <c r="C37" s="59"/>
      <c r="D37" s="59"/>
      <c r="E37" s="59"/>
      <c r="F37" s="40"/>
      <c r="G37" s="40"/>
      <c r="H37" s="41"/>
      <c r="I37" s="41"/>
      <c r="J37" s="42"/>
      <c r="K37" s="41"/>
      <c r="L37" s="43"/>
      <c r="M37" s="1"/>
      <c r="V37" s="5">
        <f t="shared" si="0"/>
        <v>0</v>
      </c>
    </row>
    <row r="38" spans="1:22" x14ac:dyDescent="0.3">
      <c r="A38" s="60"/>
      <c r="B38" s="61"/>
      <c r="C38" s="59"/>
      <c r="D38" s="59"/>
      <c r="E38" s="59"/>
      <c r="F38" s="40"/>
      <c r="G38" s="40"/>
      <c r="H38" s="41"/>
      <c r="I38" s="41"/>
      <c r="J38" s="42"/>
      <c r="K38" s="41"/>
      <c r="L38" s="43"/>
      <c r="M38" s="1"/>
      <c r="V38" s="5">
        <f t="shared" si="0"/>
        <v>0</v>
      </c>
    </row>
    <row r="39" spans="1:22" x14ac:dyDescent="0.3">
      <c r="A39" s="60"/>
      <c r="B39" s="61"/>
      <c r="C39" s="59"/>
      <c r="D39" s="59"/>
      <c r="E39" s="59"/>
      <c r="F39" s="40"/>
      <c r="G39" s="40"/>
      <c r="H39" s="41"/>
      <c r="I39" s="41"/>
      <c r="J39" s="42"/>
      <c r="K39" s="41"/>
      <c r="L39" s="43"/>
      <c r="M39" s="1"/>
      <c r="V39" s="5">
        <f t="shared" si="0"/>
        <v>0</v>
      </c>
    </row>
    <row r="40" spans="1:22" ht="15" thickBot="1" x14ac:dyDescent="0.35">
      <c r="A40" s="71"/>
      <c r="B40" s="72"/>
      <c r="C40" s="73"/>
      <c r="D40" s="73"/>
      <c r="E40" s="73"/>
      <c r="F40" s="44"/>
      <c r="G40" s="44"/>
      <c r="H40" s="45"/>
      <c r="I40" s="45"/>
      <c r="J40" s="46"/>
      <c r="K40" s="45"/>
      <c r="L40" s="47"/>
      <c r="M40" s="1"/>
      <c r="V40" s="5">
        <f t="shared" si="0"/>
        <v>0</v>
      </c>
    </row>
    <row r="41" spans="1:22" ht="9.75" customHeight="1" thickTop="1" x14ac:dyDescent="0.3">
      <c r="A41" s="74"/>
      <c r="B41" s="75"/>
      <c r="C41" s="76"/>
      <c r="D41" s="76"/>
      <c r="E41" s="76"/>
      <c r="F41" s="40"/>
      <c r="G41" s="40"/>
      <c r="H41" s="41"/>
      <c r="I41" s="41"/>
      <c r="J41" s="41"/>
      <c r="K41" s="41"/>
      <c r="L41" s="48"/>
      <c r="M41" s="1"/>
    </row>
    <row r="42" spans="1:22" x14ac:dyDescent="0.3">
      <c r="A42" s="49"/>
      <c r="B42" s="6"/>
      <c r="C42" s="50"/>
      <c r="D42" s="77"/>
      <c r="E42" s="77"/>
      <c r="F42" s="40"/>
      <c r="G42" s="51" t="s">
        <v>10</v>
      </c>
      <c r="H42" s="51"/>
      <c r="I42" s="79">
        <f>SUM(V18:V40)</f>
        <v>17250</v>
      </c>
      <c r="J42" s="79"/>
      <c r="K42" s="79"/>
      <c r="L42" s="48">
        <v>2502</v>
      </c>
      <c r="M42" s="1"/>
    </row>
    <row r="43" spans="1:22" x14ac:dyDescent="0.3">
      <c r="A43" s="49"/>
      <c r="B43" s="6"/>
      <c r="C43" s="50"/>
      <c r="D43" s="52"/>
      <c r="E43" s="52"/>
      <c r="F43" s="40"/>
      <c r="G43" s="51"/>
      <c r="H43" s="51"/>
      <c r="I43" s="51"/>
      <c r="J43" s="51"/>
      <c r="K43" s="41"/>
      <c r="L43" s="48"/>
      <c r="M43" s="1"/>
    </row>
    <row r="44" spans="1:22" x14ac:dyDescent="0.3">
      <c r="A44" s="53" t="s">
        <v>11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18"/>
      <c r="M44" s="1"/>
    </row>
    <row r="45" spans="1:22" x14ac:dyDescent="0.3">
      <c r="A45" s="62" t="s">
        <v>12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4"/>
      <c r="M45" s="1"/>
    </row>
    <row r="46" spans="1:22" x14ac:dyDescent="0.3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7"/>
      <c r="M46" s="1"/>
    </row>
    <row r="47" spans="1:22" x14ac:dyDescent="0.3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7"/>
      <c r="M47" s="1"/>
    </row>
    <row r="48" spans="1:22" x14ac:dyDescent="0.3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7"/>
      <c r="M48" s="1"/>
    </row>
    <row r="49" spans="1:13" x14ac:dyDescent="0.3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7"/>
      <c r="M49" s="1"/>
    </row>
    <row r="50" spans="1:13" x14ac:dyDescent="0.3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7"/>
      <c r="M50" s="1"/>
    </row>
    <row r="51" spans="1:13" x14ac:dyDescent="0.3">
      <c r="A51" s="68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70"/>
      <c r="M51" s="1"/>
    </row>
    <row r="52" spans="1:13" x14ac:dyDescent="0.3">
      <c r="A52" s="54"/>
      <c r="B52" s="6"/>
      <c r="C52" s="6"/>
      <c r="D52" s="6"/>
      <c r="E52" s="6"/>
      <c r="F52" s="6"/>
      <c r="G52" s="6"/>
      <c r="H52" s="6"/>
      <c r="I52" s="6"/>
      <c r="J52" s="6"/>
      <c r="K52" s="6"/>
      <c r="L52" s="18"/>
      <c r="M52" s="1"/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3" ht="15" thickBot="1" x14ac:dyDescent="0.3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" customHeight="1" x14ac:dyDescent="0.3">
      <c r="A66" s="80" t="s">
        <v>47</v>
      </c>
      <c r="B66" s="81"/>
      <c r="C66" s="81"/>
      <c r="D66" s="82"/>
      <c r="E66" s="80" t="s">
        <v>48</v>
      </c>
      <c r="F66" s="81"/>
      <c r="G66" s="81"/>
      <c r="H66" s="81"/>
      <c r="I66" s="86" t="s">
        <v>51</v>
      </c>
      <c r="J66" s="86"/>
      <c r="K66" s="86"/>
      <c r="L66" s="86"/>
    </row>
    <row r="67" spans="1:12" ht="18" customHeight="1" x14ac:dyDescent="0.3">
      <c r="A67" s="80" t="s">
        <v>49</v>
      </c>
      <c r="B67" s="81"/>
      <c r="C67" s="81"/>
      <c r="D67" s="82"/>
      <c r="E67" s="55">
        <v>43900</v>
      </c>
      <c r="F67" s="80" t="s">
        <v>50</v>
      </c>
      <c r="G67" s="81"/>
      <c r="H67" s="82"/>
      <c r="I67" s="83" t="s">
        <v>52</v>
      </c>
      <c r="J67" s="84"/>
      <c r="K67" s="84"/>
      <c r="L67" s="85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/>
    <row r="77" spans="1:12" x14ac:dyDescent="0.3"/>
    <row r="78" spans="1:12" x14ac:dyDescent="0.3"/>
    <row r="79" spans="1:12" x14ac:dyDescent="0.3"/>
    <row r="80" spans="1:12" x14ac:dyDescent="0.3"/>
    <row r="81" x14ac:dyDescent="0.3"/>
    <row r="82" x14ac:dyDescent="0.3"/>
    <row r="83" x14ac:dyDescent="0.3"/>
  </sheetData>
  <mergeCells count="60">
    <mergeCell ref="A66:D66"/>
    <mergeCell ref="A67:D67"/>
    <mergeCell ref="F67:H67"/>
    <mergeCell ref="I67:L67"/>
    <mergeCell ref="E66:H66"/>
    <mergeCell ref="I66:L66"/>
    <mergeCell ref="C36:E36"/>
    <mergeCell ref="C37:E37"/>
    <mergeCell ref="I42:K42"/>
    <mergeCell ref="A35:B35"/>
    <mergeCell ref="A36:B36"/>
    <mergeCell ref="A37:B37"/>
    <mergeCell ref="C35:E35"/>
    <mergeCell ref="A18:B18"/>
    <mergeCell ref="A17:B17"/>
    <mergeCell ref="C23:E23"/>
    <mergeCell ref="C25:E25"/>
    <mergeCell ref="C24:E24"/>
    <mergeCell ref="C26:E26"/>
    <mergeCell ref="A23:B23"/>
    <mergeCell ref="A24:B24"/>
    <mergeCell ref="A25:B25"/>
    <mergeCell ref="A26:B26"/>
    <mergeCell ref="A30:B30"/>
    <mergeCell ref="C30:E30"/>
    <mergeCell ref="A22:B22"/>
    <mergeCell ref="C22:E22"/>
    <mergeCell ref="C28:E28"/>
    <mergeCell ref="A45:L51"/>
    <mergeCell ref="C27:E27"/>
    <mergeCell ref="A27:B27"/>
    <mergeCell ref="A28:B28"/>
    <mergeCell ref="A29:B29"/>
    <mergeCell ref="A40:B40"/>
    <mergeCell ref="C40:E40"/>
    <mergeCell ref="A41:B41"/>
    <mergeCell ref="C41:E41"/>
    <mergeCell ref="D42:E42"/>
    <mergeCell ref="A38:B38"/>
    <mergeCell ref="C38:E38"/>
    <mergeCell ref="A39:B39"/>
    <mergeCell ref="C39:E39"/>
    <mergeCell ref="A31:B31"/>
    <mergeCell ref="A32:B32"/>
    <mergeCell ref="D2:G3"/>
    <mergeCell ref="C17:E17"/>
    <mergeCell ref="C18:E18"/>
    <mergeCell ref="A33:B33"/>
    <mergeCell ref="A34:B34"/>
    <mergeCell ref="A19:B19"/>
    <mergeCell ref="C19:E19"/>
    <mergeCell ref="A20:B20"/>
    <mergeCell ref="C20:E20"/>
    <mergeCell ref="A21:B21"/>
    <mergeCell ref="C21:E21"/>
    <mergeCell ref="C34:E34"/>
    <mergeCell ref="C29:E29"/>
    <mergeCell ref="C31:E31"/>
    <mergeCell ref="C32:E32"/>
    <mergeCell ref="C33:E33"/>
  </mergeCells>
  <conditionalFormatting sqref="D42:D43 F42:F43 C18:F41">
    <cfRule type="cellIs" dxfId="0" priority="4" stopIfTrue="1" operator="equal">
      <formula>0</formula>
    </cfRule>
  </conditionalFormatting>
  <pageMargins left="0.31496062992125984" right="0.31496062992125984" top="0.19685039370078741" bottom="0.19685039370078741" header="0.31496062992125984" footer="0.31496062992125984"/>
  <pageSetup paperSize="9" scale="81" orientation="portrait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00FB-11CE-4977-9232-F8BCAE7101A3}">
  <dimension ref="A1:U45"/>
  <sheetViews>
    <sheetView zoomScale="85" zoomScaleNormal="85" workbookViewId="0">
      <selection activeCell="U14" sqref="U14"/>
    </sheetView>
  </sheetViews>
  <sheetFormatPr defaultColWidth="0" defaultRowHeight="15" customHeight="1" zeroHeight="1" x14ac:dyDescent="0.3"/>
  <cols>
    <col min="1" max="19" width="8.88671875" style="88" customWidth="1"/>
    <col min="20" max="20" width="9" style="88" customWidth="1"/>
    <col min="21" max="21" width="1.44140625" style="88" customWidth="1"/>
    <col min="22" max="16384" width="8.88671875" style="88" hidden="1"/>
  </cols>
  <sheetData>
    <row r="1" spans="1:21" ht="14.4" x14ac:dyDescent="0.3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1" ht="14.4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</row>
    <row r="3" spans="1:21" ht="14.4" x14ac:dyDescent="0.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</row>
    <row r="4" spans="1:21" ht="14.4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</row>
    <row r="5" spans="1:21" ht="14.4" x14ac:dyDescent="0.3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ht="14.4" x14ac:dyDescent="0.3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spans="1:21" ht="14.4" x14ac:dyDescent="0.3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</row>
    <row r="8" spans="1:21" ht="14.4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</row>
    <row r="9" spans="1:21" ht="14.4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</row>
    <row r="10" spans="1:21" ht="14.4" x14ac:dyDescent="0.3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</row>
    <row r="11" spans="1:21" ht="14.4" x14ac:dyDescent="0.3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</row>
    <row r="12" spans="1:21" ht="14.4" x14ac:dyDescent="0.3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</row>
    <row r="13" spans="1:21" ht="14.4" x14ac:dyDescent="0.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</row>
    <row r="14" spans="1:21" ht="14.4" x14ac:dyDescent="0.3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</row>
    <row r="15" spans="1:21" ht="14.4" x14ac:dyDescent="0.3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</row>
    <row r="16" spans="1:21" ht="14.4" x14ac:dyDescent="0.3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ht="14.4" x14ac:dyDescent="0.3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</row>
    <row r="18" spans="1:21" ht="14.4" x14ac:dyDescent="0.3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</row>
    <row r="19" spans="1:21" ht="14.4" x14ac:dyDescent="0.3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</row>
    <row r="20" spans="1:21" ht="14.4" x14ac:dyDescent="0.3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</row>
    <row r="21" spans="1:21" ht="14.4" x14ac:dyDescent="0.3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</row>
    <row r="22" spans="1:21" ht="14.4" x14ac:dyDescent="0.3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</row>
    <row r="23" spans="1:21" ht="14.4" x14ac:dyDescent="0.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</row>
    <row r="24" spans="1:21" ht="14.4" x14ac:dyDescent="0.3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</row>
    <row r="25" spans="1:21" ht="14.4" x14ac:dyDescent="0.3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</row>
    <row r="26" spans="1:21" ht="14.4" x14ac:dyDescent="0.3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</row>
    <row r="27" spans="1:21" ht="14.4" x14ac:dyDescent="0.3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</row>
    <row r="28" spans="1:21" ht="14.4" x14ac:dyDescent="0.3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</row>
    <row r="29" spans="1:21" ht="14.4" x14ac:dyDescent="0.3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</row>
    <row r="30" spans="1:21" ht="14.4" x14ac:dyDescent="0.3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</row>
    <row r="31" spans="1:21" ht="14.4" x14ac:dyDescent="0.3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</row>
    <row r="32" spans="1:21" ht="14.4" x14ac:dyDescent="0.3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 spans="1:21" ht="14.4" x14ac:dyDescent="0.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</row>
    <row r="34" spans="1:21" ht="14.4" x14ac:dyDescent="0.3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</row>
    <row r="35" spans="1:21" ht="14.4" x14ac:dyDescent="0.3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  <row r="36" spans="1:21" ht="14.4" x14ac:dyDescent="0.3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 spans="1:21" ht="14.4" x14ac:dyDescent="0.3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 spans="1:21" ht="14.4" x14ac:dyDescent="0.3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</row>
    <row r="39" spans="1:21" ht="14.4" x14ac:dyDescent="0.3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gCzkGsLksy1vJ8LGPW0PUkz7lVzVP3oL2mPTNJbTyHWpwbFWtlPpn0o0eTuZWsxBJBTXaen7ujQ4WgvloIkTHA==" saltValue="Sx2m6hEzAo4qgz33Dagv1Q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PEDIDO</vt:lpstr>
      <vt:lpstr>Sobre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 de Oliveira</dc:creator>
  <cp:lastModifiedBy>CapSilver</cp:lastModifiedBy>
  <cp:lastPrinted>2020-03-10T13:23:53Z</cp:lastPrinted>
  <dcterms:created xsi:type="dcterms:W3CDTF">2020-03-10T11:24:10Z</dcterms:created>
  <dcterms:modified xsi:type="dcterms:W3CDTF">2021-11-22T18:03:24Z</dcterms:modified>
</cp:coreProperties>
</file>