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lecir\Documents\Excel\CRIAR DASHBOARD\Varios Tipos de Dashboards\"/>
    </mc:Choice>
  </mc:AlternateContent>
  <xr:revisionPtr revIDLastSave="0" documentId="13_ncr:1_{546C9390-CC56-442B-B1FB-D8DDD449523A}" xr6:coauthVersionLast="46" xr6:coauthVersionMax="46" xr10:uidLastSave="{00000000-0000-0000-0000-000000000000}"/>
  <bookViews>
    <workbookView xWindow="-120" yWindow="-120" windowWidth="20730" windowHeight="11160" activeTab="4" xr2:uid="{A5F0E0E2-25E5-4EDB-AC4E-11E3799E6122}"/>
  </bookViews>
  <sheets>
    <sheet name="Brasileirão" sheetId="2" r:id="rId1"/>
    <sheet name="Escudos" sheetId="3" r:id="rId2"/>
    <sheet name="Base" sheetId="5" r:id="rId3"/>
    <sheet name="Apoio" sheetId="4" r:id="rId4"/>
    <sheet name="Dasboard" sheetId="6" r:id="rId5"/>
  </sheets>
  <externalReferences>
    <externalReference r:id="rId6"/>
  </externalReferences>
  <definedNames>
    <definedName name="_xlnm._FilterDatabase" localSheetId="0" hidden="1">Brasileirão!$A$1:$L$241</definedName>
    <definedName name="_xlchart.v1.0" hidden="1">Apoio!$G$4:$G$15</definedName>
    <definedName name="_xlchart.v1.1" hidden="1">Apoio!$H$3</definedName>
    <definedName name="_xlchart.v1.10" hidden="1">Apoio!$I$3</definedName>
    <definedName name="_xlchart.v1.11" hidden="1">Apoio!$I$4:$I$15</definedName>
    <definedName name="_xlchart.v1.12" hidden="1">Apoio!$J$3</definedName>
    <definedName name="_xlchart.v1.13" hidden="1">Apoio!$J$4:$J$15</definedName>
    <definedName name="_xlchart.v1.14" hidden="1">Apoio!$B$61:$B$65</definedName>
    <definedName name="_xlchart.v1.15" hidden="1">Apoio!$C$61:$C$65</definedName>
    <definedName name="_xlchart.v1.2" hidden="1">Apoio!$H$4:$H$15</definedName>
    <definedName name="_xlchart.v1.3" hidden="1">Apoio!$I$3</definedName>
    <definedName name="_xlchart.v1.4" hidden="1">Apoio!$I$4:$I$15</definedName>
    <definedName name="_xlchart.v1.5" hidden="1">Apoio!$J$3</definedName>
    <definedName name="_xlchart.v1.6" hidden="1">Apoio!$J$4:$J$15</definedName>
    <definedName name="_xlchart.v1.7" hidden="1">Apoio!$G$4:$G$15</definedName>
    <definedName name="_xlchart.v1.8" hidden="1">Apoio!$H$3</definedName>
    <definedName name="_xlchart.v1.9" hidden="1">Apoio!$H$4:$H$15</definedName>
    <definedName name="Base">Tabela3[]</definedName>
    <definedName name="Escudo">INDEX(Escudos!$C$1:$C34,MATCH(Apoio!$C$1,Escudos!$B$1:$B$34,0))</definedName>
    <definedName name="G5_1">INDEX(Escudos!$C$1:$C34,MATCH(Apoio!$B$61,Escudos!$B$1:$B$34,0))</definedName>
    <definedName name="G5_2">INDEX(Escudos!$C$1:$C34,MATCH(Apoio!$B$62,Escudos!$B$1:$B$34,0))</definedName>
    <definedName name="G5_3">INDEX(Escudos!$C$1:$C34,MATCH(Apoio!$B$63,Escudos!$B$1:$B$34,0))</definedName>
    <definedName name="G5_4">INDEX(Escudos!$C$1:$C34,MATCH(Apoio!$B$64,Escudos!$B$1:$B$34,0))</definedName>
    <definedName name="G5_5">INDEX(Escudos!$C$1:$C34,MATCH(Apoio!$B$65,Escudos!$B$1:$B$34,0))</definedName>
    <definedName name="Reb_1">INDEX(Escudos!$C$1:$C34,MATCH(Apoio!$B$78,Escudos!$B$1:$B$34,0))</definedName>
    <definedName name="Reb_2">INDEX(Escudos!$C$1:$C34,MATCH(Apoio!$B$79,Escudos!$B$1:$B$34,0))</definedName>
    <definedName name="Reb_3">INDEX(Escudos!$C$1:$C34,MATCH(Apoio!$B$80,Escudos!$B$1:$B$34,0))</definedName>
    <definedName name="Reb_4">INDEX(Escudos!$C$1:$C34,MATCH(Apoio!$B$81,Escudos!$B$1:$B$34,0))</definedName>
    <definedName name="Reb_5">INDEX(Escudos!$C$1:$C33,MATCH(Apoio!$B$82,Escudos!$B$1:$B$34,0))</definedName>
    <definedName name="ref_1">INDIRECT("Escudos!A"&amp;MATCH([1]Apoio!$D$14,[1]Apoio!$A:$A,0)-1)</definedName>
    <definedName name="ref_16">INDIRECT("Escudos!A"&amp;MATCH([1]Apoio!$D$29,[1]Apoio!$A:$A,0)-1)</definedName>
    <definedName name="ref_17">INDIRECT("Escudos!A"&amp;MATCH([1]Apoio!$D$30,[1]Apoio!$A:$A,0)-1)</definedName>
    <definedName name="ref_18">INDIRECT("Escudos!A"&amp;MATCH([1]Apoio!$D$31,[1]Apoio!$A:$A,0)-1)</definedName>
    <definedName name="ref_19">INDIRECT("Escudos!A"&amp;MATCH([1]Apoio!$D$32,[1]Apoio!$A:$A,0)-1)</definedName>
    <definedName name="ref_2">INDIRECT("Escudos!A"&amp;MATCH([1]Apoio!$D$15,[1]Apoio!$A:$A,0)-1)</definedName>
    <definedName name="ref_20">INDIRECT("Escudos!A"&amp;MATCH([1]Apoio!$D$33,[1]Apoio!$A:$A,0)-1)</definedName>
    <definedName name="ref_3">INDIRECT("Escudos!A"&amp;MATCH([1]Apoio!$D$16,[1]Apoio!$A:$A,0)-1)</definedName>
    <definedName name="ref_4">INDIRECT("Escudos!A"&amp;MATCH([1]Apoio!$D$17,[1]Apoio!$A:$A,0)-1)</definedName>
    <definedName name="ref_5">INDIRECT("Escudos!A"&amp;MATCH([1]Apoio!$D$18,[1]Apoio!$A:$A,0)-1)</definedName>
    <definedName name="ref_imagem">INDIRECT("Escudos!A"&amp;[1]Apoio!$I$1)</definedName>
    <definedName name="SegmentaçãodeDados_Ano">#N/A</definedName>
    <definedName name="SegmentaçãodeDados_Time">#N/A</definedName>
  </definedNames>
  <calcPr calcId="181029"/>
  <pivotCaches>
    <pivotCache cacheId="5" r:id="rId7"/>
  </pivotCaches>
  <fileRecoveryPr repairLoad="1"/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4" l="1"/>
  <c r="I4" i="4"/>
  <c r="J4" i="4"/>
  <c r="I5" i="4"/>
  <c r="J5" i="4"/>
  <c r="H6" i="4"/>
  <c r="H5" i="4"/>
  <c r="H8" i="4"/>
  <c r="I8" i="4"/>
  <c r="J8" i="4"/>
  <c r="H12" i="4"/>
  <c r="I12" i="4"/>
  <c r="J12" i="4"/>
  <c r="H13" i="4"/>
  <c r="I13" i="4"/>
  <c r="J13" i="4"/>
  <c r="H14" i="4"/>
  <c r="I14" i="4"/>
  <c r="J14" i="4"/>
  <c r="H15" i="4"/>
  <c r="I15" i="4"/>
  <c r="J15" i="4"/>
  <c r="F65" i="4"/>
  <c r="F64" i="4"/>
  <c r="F63" i="4"/>
  <c r="F62" i="4"/>
  <c r="F61" i="4"/>
  <c r="F79" i="4"/>
  <c r="F80" i="4"/>
  <c r="F81" i="4"/>
  <c r="F82" i="4"/>
  <c r="F78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94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95" i="4"/>
  <c r="H94" i="4"/>
  <c r="G92" i="4"/>
  <c r="J94" i="4" s="1"/>
  <c r="F76" i="4"/>
  <c r="F59" i="4"/>
  <c r="H20" i="4" l="1"/>
  <c r="H23" i="4"/>
  <c r="H22" i="4"/>
  <c r="H21" i="4"/>
  <c r="G41" i="4"/>
  <c r="J41" i="4"/>
  <c r="I41" i="4"/>
  <c r="H41" i="4"/>
  <c r="I6" i="4"/>
  <c r="J6" i="4"/>
  <c r="H7" i="4"/>
  <c r="I7" i="4"/>
  <c r="J7" i="4"/>
  <c r="H9" i="4"/>
  <c r="I9" i="4"/>
  <c r="J9" i="4"/>
  <c r="H10" i="4"/>
  <c r="I10" i="4"/>
  <c r="J10" i="4"/>
  <c r="H11" i="4"/>
  <c r="I11" i="4"/>
  <c r="J11" i="4"/>
  <c r="I21" i="4" l="1"/>
  <c r="I22" i="4"/>
  <c r="I23" i="4"/>
</calcChain>
</file>

<file path=xl/sharedStrings.xml><?xml version="1.0" encoding="utf-8"?>
<sst xmlns="http://schemas.openxmlformats.org/spreadsheetml/2006/main" count="1102" uniqueCount="92">
  <si>
    <t>Ano</t>
  </si>
  <si>
    <t>Posição</t>
  </si>
  <si>
    <t>Time</t>
  </si>
  <si>
    <t>PG</t>
  </si>
  <si>
    <t>J</t>
  </si>
  <si>
    <t>V</t>
  </si>
  <si>
    <t>E</t>
  </si>
  <si>
    <t>D</t>
  </si>
  <si>
    <t>GP</t>
  </si>
  <si>
    <t>GC</t>
  </si>
  <si>
    <t>SG</t>
  </si>
  <si>
    <t>%</t>
  </si>
  <si>
    <t>1°</t>
  </si>
  <si>
    <t>Flamengo</t>
  </si>
  <si>
    <t>2°</t>
  </si>
  <si>
    <t>Inter-RS</t>
  </si>
  <si>
    <t>3°</t>
  </si>
  <si>
    <t>Atlético-MG</t>
  </si>
  <si>
    <t>4°</t>
  </si>
  <si>
    <t>São Paulo</t>
  </si>
  <si>
    <t>5°</t>
  </si>
  <si>
    <t>Fluminense</t>
  </si>
  <si>
    <t>6°</t>
  </si>
  <si>
    <t>Grêmio</t>
  </si>
  <si>
    <t>7°</t>
  </si>
  <si>
    <t>Palmeiras</t>
  </si>
  <si>
    <t>8°</t>
  </si>
  <si>
    <t>Santos</t>
  </si>
  <si>
    <t>9°</t>
  </si>
  <si>
    <t>Athletico-PR</t>
  </si>
  <si>
    <t>10°</t>
  </si>
  <si>
    <t>Bragantino</t>
  </si>
  <si>
    <t>11°</t>
  </si>
  <si>
    <t>Ceará</t>
  </si>
  <si>
    <t>12°</t>
  </si>
  <si>
    <t>Corinthians</t>
  </si>
  <si>
    <t>13°</t>
  </si>
  <si>
    <t>Atlético-GO</t>
  </si>
  <si>
    <t>14°</t>
  </si>
  <si>
    <t>Bahia</t>
  </si>
  <si>
    <t>15°</t>
  </si>
  <si>
    <t>Sport</t>
  </si>
  <si>
    <t>16°</t>
  </si>
  <si>
    <t>Fortaleza</t>
  </si>
  <si>
    <t>17°</t>
  </si>
  <si>
    <t>Vasco</t>
  </si>
  <si>
    <t>18°</t>
  </si>
  <si>
    <t>Goiás</t>
  </si>
  <si>
    <t>19°</t>
  </si>
  <si>
    <t>Coritiba</t>
  </si>
  <si>
    <t>20°</t>
  </si>
  <si>
    <t>Botafogo</t>
  </si>
  <si>
    <t>Cruzeiro</t>
  </si>
  <si>
    <t>CSA</t>
  </si>
  <si>
    <t>Chapecoense</t>
  </si>
  <si>
    <t>Avaí</t>
  </si>
  <si>
    <t>Internacional</t>
  </si>
  <si>
    <t>América-MG</t>
  </si>
  <si>
    <t>Vitória</t>
  </si>
  <si>
    <t>Atlético-PR</t>
  </si>
  <si>
    <t>Paraná Clube</t>
  </si>
  <si>
    <t>Ponte Preta</t>
  </si>
  <si>
    <t>Figueirense</t>
  </si>
  <si>
    <t>Santa Cruz-PE</t>
  </si>
  <si>
    <t>Joinville</t>
  </si>
  <si>
    <t>Criciúma</t>
  </si>
  <si>
    <t>Portuguesa</t>
  </si>
  <si>
    <t>Náutico</t>
  </si>
  <si>
    <t>Guarani</t>
  </si>
  <si>
    <t>Grêmio Barueri</t>
  </si>
  <si>
    <t>Santo André</t>
  </si>
  <si>
    <t>Rótulos de Linha</t>
  </si>
  <si>
    <t>Total Geral</t>
  </si>
  <si>
    <t>Soma de V</t>
  </si>
  <si>
    <t>Soma de E</t>
  </si>
  <si>
    <t>Soma de D</t>
  </si>
  <si>
    <t>Soma de GP</t>
  </si>
  <si>
    <t>Soma de GC</t>
  </si>
  <si>
    <t>Soma de SG</t>
  </si>
  <si>
    <t>TABELA FIXA, SEM SEGMENTAÇÃO</t>
  </si>
  <si>
    <t>Vitórias</t>
  </si>
  <si>
    <t>Empates</t>
  </si>
  <si>
    <t>Derrotas</t>
  </si>
  <si>
    <t>Soma de PG</t>
  </si>
  <si>
    <t>TIT. GRÁFICO</t>
  </si>
  <si>
    <t>Pontuação</t>
  </si>
  <si>
    <t>Resultado</t>
  </si>
  <si>
    <t>Vice-Campeão</t>
  </si>
  <si>
    <t>Rebaixado</t>
  </si>
  <si>
    <t>Gols Pró</t>
  </si>
  <si>
    <t>Gols Contra</t>
  </si>
  <si>
    <t>Saldo de Gols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</si>
</sst>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333333"/>
      <name val="Verdana"/>
      <family val="2"/>
    </font>
    <font>
      <b/>
      <sz val="11"/>
      <color rgb="FF242424"/>
      <name val="Arial"/>
      <family val="2"/>
    </font>
    <font>
      <sz val="11"/>
      <color rgb="FF242424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E6E6E6"/>
      </left>
      <right/>
      <top/>
      <bottom style="medium">
        <color indexed="64"/>
      </bottom>
      <diagonal/>
    </border>
    <border>
      <left/>
      <right style="medium">
        <color rgb="FFE6E6E6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E6E6E6"/>
      </left>
      <right style="thick">
        <color rgb="FF008000"/>
      </right>
      <top style="medium">
        <color indexed="64"/>
      </top>
      <bottom/>
      <diagonal/>
    </border>
    <border>
      <left style="medium">
        <color rgb="FFE6E6E6"/>
      </left>
      <right/>
      <top style="medium">
        <color indexed="64"/>
      </top>
      <bottom/>
      <diagonal/>
    </border>
    <border>
      <left style="medium">
        <color rgb="FFE6E6E6"/>
      </left>
      <right style="thick">
        <color rgb="FF008000"/>
      </right>
      <top style="medium">
        <color rgb="FFE6E6E6"/>
      </top>
      <bottom/>
      <diagonal/>
    </border>
    <border>
      <left/>
      <right/>
      <top style="medium">
        <color rgb="FFE6E6E6"/>
      </top>
      <bottom/>
      <diagonal/>
    </border>
    <border>
      <left style="medium">
        <color rgb="FFE6E6E6"/>
      </left>
      <right/>
      <top style="medium">
        <color rgb="FFE6E6E6"/>
      </top>
      <bottom/>
      <diagonal/>
    </border>
    <border>
      <left style="medium">
        <color rgb="FFE6E6E6"/>
      </left>
      <right style="thick">
        <color rgb="FFFFA500"/>
      </right>
      <top style="medium">
        <color rgb="FFE6E6E6"/>
      </top>
      <bottom/>
      <diagonal/>
    </border>
    <border>
      <left style="medium">
        <color rgb="FFE6E6E6"/>
      </left>
      <right style="thick">
        <color rgb="FFE9E9E9"/>
      </right>
      <top style="medium">
        <color rgb="FFE6E6E6"/>
      </top>
      <bottom/>
      <diagonal/>
    </border>
    <border>
      <left style="medium">
        <color rgb="FFE6E6E6"/>
      </left>
      <right style="thick">
        <color rgb="FFB21D21"/>
      </right>
      <top style="medium">
        <color rgb="FFE6E6E6"/>
      </top>
      <bottom/>
      <diagonal/>
    </border>
    <border>
      <left style="medium">
        <color rgb="FFE6E6E6"/>
      </left>
      <right style="thick">
        <color rgb="FFB21D21"/>
      </right>
      <top style="medium">
        <color rgb="FFE6E6E6"/>
      </top>
      <bottom style="medium">
        <color indexed="64"/>
      </bottom>
      <diagonal/>
    </border>
    <border>
      <left/>
      <right/>
      <top style="medium">
        <color rgb="FFE6E6E6"/>
      </top>
      <bottom style="medium">
        <color indexed="64"/>
      </bottom>
      <diagonal/>
    </border>
    <border>
      <left style="medium">
        <color rgb="FFE6E6E6"/>
      </left>
      <right/>
      <top style="medium">
        <color rgb="FFE6E6E6"/>
      </top>
      <bottom style="medium">
        <color indexed="64"/>
      </bottom>
      <diagonal/>
    </border>
    <border>
      <left style="medium">
        <color rgb="FFE6E6E6"/>
      </left>
      <right/>
      <top/>
      <bottom/>
      <diagonal/>
    </border>
    <border>
      <left style="medium">
        <color rgb="FFE6E6E6"/>
      </left>
      <right style="thick">
        <color rgb="FFE9E9E9"/>
      </right>
      <top style="medium">
        <color rgb="FFE6E6E6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4" fillId="0" borderId="1" xfId="0" applyFont="1" applyBorder="1"/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4" xfId="0" applyBorder="1"/>
    <xf numFmtId="0" fontId="6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0" fillId="0" borderId="1" xfId="0" applyBorder="1"/>
    <xf numFmtId="0" fontId="6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16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164" fontId="0" fillId="0" borderId="0" xfId="0" applyNumberFormat="1"/>
    <xf numFmtId="0" fontId="6" fillId="2" borderId="17" xfId="0" applyFont="1" applyFill="1" applyBorder="1" applyAlignment="1">
      <alignment horizontal="center" vertical="center"/>
    </xf>
    <xf numFmtId="0" fontId="0" fillId="3" borderId="20" xfId="0" applyFill="1" applyBorder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4" borderId="2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164" fontId="0" fillId="0" borderId="0" xfId="1" applyNumberFormat="1" applyFont="1"/>
    <xf numFmtId="0" fontId="3" fillId="5" borderId="0" xfId="0" applyFont="1" applyFill="1"/>
    <xf numFmtId="0" fontId="0" fillId="0" borderId="0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64" fontId="0" fillId="0" borderId="0" xfId="0" applyNumberFormat="1" applyBorder="1"/>
    <xf numFmtId="0" fontId="8" fillId="6" borderId="21" xfId="0" applyFont="1" applyFill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0" fontId="8" fillId="6" borderId="24" xfId="0" applyFont="1" applyFill="1" applyBorder="1" applyAlignment="1">
      <alignment horizontal="left"/>
    </xf>
    <xf numFmtId="10" fontId="0" fillId="0" borderId="0" xfId="2" applyNumberFormat="1" applyFont="1" applyBorder="1"/>
    <xf numFmtId="164" fontId="0" fillId="0" borderId="1" xfId="0" applyNumberFormat="1" applyBorder="1"/>
    <xf numFmtId="10" fontId="0" fillId="0" borderId="1" xfId="2" applyNumberFormat="1" applyFont="1" applyBorder="1"/>
    <xf numFmtId="0" fontId="3" fillId="0" borderId="0" xfId="0" applyFont="1"/>
    <xf numFmtId="0" fontId="0" fillId="0" borderId="28" xfId="0" applyBorder="1"/>
    <xf numFmtId="0" fontId="8" fillId="6" borderId="26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6" borderId="27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0" xfId="0" applyFont="1"/>
    <xf numFmtId="0" fontId="2" fillId="4" borderId="23" xfId="0" quotePrefix="1" applyFont="1" applyFill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44">
    <dxf>
      <numFmt numFmtId="164" formatCode="_-* #,##0_-;\-* #,##0_-;_-* &quot;-&quot;??_-;_-@_-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164" formatCode="_-* #,##0_-;\-* #,##0_-;_-* &quot;-&quot;??_-;_-@_-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medium">
          <color rgb="FFE6E6E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E6E6E6"/>
        </left>
        <right style="thick">
          <color rgb="FFE9E9E9"/>
        </right>
        <top style="medium">
          <color rgb="FFE6E6E6"/>
        </top>
        <bottom/>
        <vertical/>
        <horizontal/>
      </border>
    </dxf>
    <dxf>
      <alignment horizontal="general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Verdan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7951856385148918E-2"/>
          <c:y val="4.6487034376779243E-2"/>
          <c:w val="0.9640962872297022"/>
          <c:h val="0.760055823837730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Apoio!$H$3</c:f>
              <c:strCache>
                <c:ptCount val="1"/>
                <c:pt idx="0">
                  <c:v>Vitórias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rgbClr val="002060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Apoio!$G$4:$G$15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Apoio!$H$4:$H$15</c:f>
              <c:numCache>
                <c:formatCode>General</c:formatCode>
                <c:ptCount val="12"/>
                <c:pt idx="0">
                  <c:v>#N/A</c:v>
                </c:pt>
                <c:pt idx="1">
                  <c:v>11</c:v>
                </c:pt>
                <c:pt idx="2">
                  <c:v>19</c:v>
                </c:pt>
                <c:pt idx="3">
                  <c:v>16</c:v>
                </c:pt>
                <c:pt idx="4">
                  <c:v>11</c:v>
                </c:pt>
                <c:pt idx="5">
                  <c:v>#N/A</c:v>
                </c:pt>
                <c:pt idx="6">
                  <c:v>10</c:v>
                </c:pt>
                <c:pt idx="7">
                  <c:v>#N/A</c:v>
                </c:pt>
                <c:pt idx="8">
                  <c:v>15</c:v>
                </c:pt>
                <c:pt idx="9">
                  <c:v>6</c:v>
                </c:pt>
                <c:pt idx="10">
                  <c:v>12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4-4E63-8BD4-08CE94307A20}"/>
            </c:ext>
          </c:extLst>
        </c:ser>
        <c:ser>
          <c:idx val="1"/>
          <c:order val="1"/>
          <c:tx>
            <c:strRef>
              <c:f>Apoio!$I$3</c:f>
              <c:strCache>
                <c:ptCount val="1"/>
                <c:pt idx="0">
                  <c:v>Empates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rgbClr val="0070C0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Apoio!$I$4:$I$15</c:f>
              <c:numCache>
                <c:formatCode>General</c:formatCode>
                <c:ptCount val="12"/>
                <c:pt idx="0">
                  <c:v>#N/A</c:v>
                </c:pt>
                <c:pt idx="1">
                  <c:v>16</c:v>
                </c:pt>
                <c:pt idx="2">
                  <c:v>12</c:v>
                </c:pt>
                <c:pt idx="3">
                  <c:v>10</c:v>
                </c:pt>
                <c:pt idx="4">
                  <c:v>11</c:v>
                </c:pt>
                <c:pt idx="5">
                  <c:v>#N/A</c:v>
                </c:pt>
                <c:pt idx="6">
                  <c:v>11</c:v>
                </c:pt>
                <c:pt idx="7">
                  <c:v>#N/A</c:v>
                </c:pt>
                <c:pt idx="8">
                  <c:v>11</c:v>
                </c:pt>
                <c:pt idx="9">
                  <c:v>6</c:v>
                </c:pt>
                <c:pt idx="10">
                  <c:v>13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4-4E63-8BD4-08CE94307A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2084885343"/>
        <c:axId val="2084894079"/>
      </c:barChart>
      <c:lineChart>
        <c:grouping val="standard"/>
        <c:varyColors val="0"/>
        <c:ser>
          <c:idx val="2"/>
          <c:order val="2"/>
          <c:tx>
            <c:strRef>
              <c:f>Apoio!$J$3</c:f>
              <c:strCache>
                <c:ptCount val="1"/>
                <c:pt idx="0">
                  <c:v>Derrotas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lumMod val="50000"/>
                </a:schemeClr>
              </a:soli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bg1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Apoio!$J$4:$J$15</c:f>
              <c:numCache>
                <c:formatCode>General</c:formatCode>
                <c:ptCount val="12"/>
                <c:pt idx="0">
                  <c:v>#N/A</c:v>
                </c:pt>
                <c:pt idx="1">
                  <c:v>11</c:v>
                </c:pt>
                <c:pt idx="2">
                  <c:v>7</c:v>
                </c:pt>
                <c:pt idx="3">
                  <c:v>12</c:v>
                </c:pt>
                <c:pt idx="4">
                  <c:v>16</c:v>
                </c:pt>
                <c:pt idx="5">
                  <c:v>#N/A</c:v>
                </c:pt>
                <c:pt idx="6">
                  <c:v>17</c:v>
                </c:pt>
                <c:pt idx="7">
                  <c:v>#N/A</c:v>
                </c:pt>
                <c:pt idx="8">
                  <c:v>12</c:v>
                </c:pt>
                <c:pt idx="9">
                  <c:v>7</c:v>
                </c:pt>
                <c:pt idx="10">
                  <c:v>13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C4-4E63-8BD4-08CE94307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1006672"/>
        <c:axId val="1320997520"/>
      </c:lineChart>
      <c:catAx>
        <c:axId val="2084885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pt-BR"/>
          </a:p>
        </c:txPr>
        <c:crossAx val="2084894079"/>
        <c:crosses val="autoZero"/>
        <c:auto val="1"/>
        <c:lblAlgn val="ctr"/>
        <c:lblOffset val="100"/>
        <c:noMultiLvlLbl val="0"/>
      </c:catAx>
      <c:valAx>
        <c:axId val="20848940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84885343"/>
        <c:crosses val="autoZero"/>
        <c:crossBetween val="between"/>
      </c:valAx>
      <c:valAx>
        <c:axId val="132099752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21006672"/>
        <c:crosses val="max"/>
        <c:crossBetween val="between"/>
      </c:valAx>
      <c:catAx>
        <c:axId val="1321006672"/>
        <c:scaling>
          <c:orientation val="minMax"/>
        </c:scaling>
        <c:delete val="1"/>
        <c:axPos val="b"/>
        <c:majorTickMark val="out"/>
        <c:minorTickMark val="none"/>
        <c:tickLblPos val="nextTo"/>
        <c:crossAx val="13209975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002060"/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2700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Apoio!$G$21</c:f>
              <c:strCache>
                <c:ptCount val="1"/>
                <c:pt idx="0">
                  <c:v>Vitórias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scene3d>
              <a:camera prst="orthographicFront"/>
              <a:lightRig rig="threePt" dir="t"/>
            </a:scene3d>
            <a:sp3d>
              <a:bevelT w="139700" h="139700"/>
            </a:sp3d>
          </c:spPr>
          <c:explosion val="4"/>
          <c:dPt>
            <c:idx val="0"/>
            <c:bubble3D val="0"/>
            <c:spPr>
              <a:solidFill>
                <a:srgbClr val="00206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  <c:extLst>
              <c:ext xmlns:c16="http://schemas.microsoft.com/office/drawing/2014/chart" uri="{C3380CC4-5D6E-409C-BE32-E72D297353CC}">
                <c16:uniqueId val="{00000001-A06D-47C5-9B74-417F763475B5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  <c:extLst>
              <c:ext xmlns:c16="http://schemas.microsoft.com/office/drawing/2014/chart" uri="{C3380CC4-5D6E-409C-BE32-E72D297353CC}">
                <c16:uniqueId val="{00000003-A06D-47C5-9B74-417F763475B5}"/>
              </c:ext>
            </c:extLst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  <c:extLst>
              <c:ext xmlns:c16="http://schemas.microsoft.com/office/drawing/2014/chart" uri="{C3380CC4-5D6E-409C-BE32-E72D297353CC}">
                <c16:uniqueId val="{00000005-A06D-47C5-9B74-417F763475B5}"/>
              </c:ext>
            </c:extLst>
          </c:dPt>
          <c:dLbls>
            <c:dLbl>
              <c:idx val="0"/>
              <c:layout>
                <c:manualLayout>
                  <c:x val="7.1765838152420769E-2"/>
                  <c:y val="0.138888888888888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6D-47C5-9B74-417F763475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Apoio!$G$21:$G$23</c:f>
              <c:strCache>
                <c:ptCount val="3"/>
                <c:pt idx="0">
                  <c:v>Vitórias</c:v>
                </c:pt>
                <c:pt idx="1">
                  <c:v>Empates</c:v>
                </c:pt>
                <c:pt idx="2">
                  <c:v>Derrotas</c:v>
                </c:pt>
              </c:strCache>
            </c:strRef>
          </c:cat>
          <c:val>
            <c:numRef>
              <c:f>Apoio!$I$21:$I$23</c:f>
              <c:numCache>
                <c:formatCode>0.00%</c:formatCode>
                <c:ptCount val="3"/>
                <c:pt idx="0">
                  <c:v>0.26315789473684209</c:v>
                </c:pt>
                <c:pt idx="1">
                  <c:v>0.28947368421052633</c:v>
                </c:pt>
                <c:pt idx="2">
                  <c:v>0.44736842105263158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6D-47C5-9B74-417F763475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bg1"/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Apoio!$H$40:$J$40</c:f>
              <c:strCache>
                <c:ptCount val="3"/>
                <c:pt idx="0">
                  <c:v>Gols Pró</c:v>
                </c:pt>
                <c:pt idx="1">
                  <c:v>Gols Contra</c:v>
                </c:pt>
                <c:pt idx="2">
                  <c:v>Saldo de Gols</c:v>
                </c:pt>
              </c:strCache>
            </c:strRef>
          </c:tx>
          <c:spPr>
            <a:ln>
              <a:noFill/>
            </a:ln>
            <a:scene3d>
              <a:camera prst="orthographicFront"/>
              <a:lightRig rig="threePt" dir="t"/>
            </a:scene3d>
            <a:sp3d>
              <a:bevelT w="190500" h="38100"/>
            </a:sp3d>
          </c:spPr>
          <c:explosion val="3"/>
          <c:dPt>
            <c:idx val="0"/>
            <c:bubble3D val="0"/>
            <c:spPr>
              <a:solidFill>
                <a:srgbClr val="00206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B276-435C-B5AA-A0251C147965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B276-435C-B5AA-A0251C147965}"/>
              </c:ext>
            </c:extLst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B276-435C-B5AA-A0251C147965}"/>
              </c:ext>
            </c:extLst>
          </c:dPt>
          <c:dLbls>
            <c:dLbl>
              <c:idx val="0"/>
              <c:layout>
                <c:manualLayout>
                  <c:x val="0.11388888888888879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76-435C-B5AA-A0251C147965}"/>
                </c:ext>
              </c:extLst>
            </c:dLbl>
            <c:dLbl>
              <c:idx val="1"/>
              <c:layout>
                <c:manualLayout>
                  <c:x val="-0.1500000000000000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76-435C-B5AA-A0251C147965}"/>
                </c:ext>
              </c:extLst>
            </c:dLbl>
            <c:dLbl>
              <c:idx val="2"/>
              <c:layout>
                <c:manualLayout>
                  <c:x val="-5.0925337632079971E-17"/>
                  <c:y val="-9.72222222222222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76-435C-B5AA-A0251C1479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Apoio!$H$40:$J$40</c:f>
              <c:strCache>
                <c:ptCount val="3"/>
                <c:pt idx="0">
                  <c:v>Gols Pró</c:v>
                </c:pt>
                <c:pt idx="1">
                  <c:v>Gols Contra</c:v>
                </c:pt>
                <c:pt idx="2">
                  <c:v>Saldo de Gols</c:v>
                </c:pt>
              </c:strCache>
            </c:strRef>
          </c:cat>
          <c:val>
            <c:numRef>
              <c:f>Apoio!$H$41:$J$41</c:f>
              <c:numCache>
                <c:formatCode>_-* #,##0_-;\-* #,##0_-;_-* "-"??_-;_-@_-</c:formatCode>
                <c:ptCount val="3"/>
                <c:pt idx="0">
                  <c:v>37</c:v>
                </c:pt>
                <c:pt idx="1">
                  <c:v>56</c:v>
                </c:pt>
                <c:pt idx="2">
                  <c:v>-19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76-435C-B5AA-A0251C1479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840534775876872E-2"/>
          <c:y val="0.79587416156313795"/>
          <c:w val="0.90384475467526815"/>
          <c:h val="0.17634806065908429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bg1"/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Apoio!$F$76</c:f>
          <c:strCache>
            <c:ptCount val="1"/>
            <c:pt idx="0">
              <c:v>Grupo de Rebaixamento (2020)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1"/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409556094316548E-2"/>
          <c:y val="0.12037037037037036"/>
          <c:w val="0.90825949208664991"/>
          <c:h val="0.61945246427529888"/>
        </c:manualLayout>
      </c:layout>
      <c:barChart>
        <c:barDir val="col"/>
        <c:grouping val="clustered"/>
        <c:varyColors val="0"/>
        <c:ser>
          <c:idx val="0"/>
          <c:order val="0"/>
          <c:tx>
            <c:v>G5</c:v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0-40F1-4107-818D-A960A8EE370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40F1-4107-818D-A960A8EE370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2-40F1-4107-818D-A960A8EE370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40F1-4107-818D-A960A8EE370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27B8370-C178-40AC-A310-6494980C937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0F1-4107-818D-A960A8EE370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46BB7CF-9664-4451-BCB4-F43980D5649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0F1-4107-818D-A960A8EE370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DD27AC2-DEDB-41D4-BBDE-704AD9E10A6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0F1-4107-818D-A960A8EE370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AB5ECEA-4BF6-46EE-9E73-46F122D3FFE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0F1-4107-818D-A960A8EE370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9932CB1-EB56-45B4-BD15-390E6CB670B2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0F1-4107-818D-A960A8EE37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Apoio!$B$78:$B$82</c:f>
              <c:strCache>
                <c:ptCount val="5"/>
                <c:pt idx="0">
                  <c:v>Vasco</c:v>
                </c:pt>
                <c:pt idx="1">
                  <c:v>Fortaleza</c:v>
                </c:pt>
                <c:pt idx="2">
                  <c:v>Goiás</c:v>
                </c:pt>
                <c:pt idx="3">
                  <c:v>Coritiba</c:v>
                </c:pt>
                <c:pt idx="4">
                  <c:v>Botafogo</c:v>
                </c:pt>
              </c:strCache>
            </c:strRef>
          </c:cat>
          <c:val>
            <c:numRef>
              <c:f>Apoio!$C$78:$C$82</c:f>
              <c:numCache>
                <c:formatCode>General</c:formatCode>
                <c:ptCount val="5"/>
                <c:pt idx="0">
                  <c:v>41</c:v>
                </c:pt>
                <c:pt idx="1">
                  <c:v>41</c:v>
                </c:pt>
                <c:pt idx="2">
                  <c:v>37</c:v>
                </c:pt>
                <c:pt idx="3">
                  <c:v>31</c:v>
                </c:pt>
                <c:pt idx="4">
                  <c:v>27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Apoio!$F$78:$F$82</c15:f>
                <c15:dlblRangeCache>
                  <c:ptCount val="5"/>
                  <c:pt idx="0">
                    <c:v>41 pts</c:v>
                  </c:pt>
                  <c:pt idx="1">
                    <c:v>41 pts</c:v>
                  </c:pt>
                  <c:pt idx="2">
                    <c:v>37 pts</c:v>
                  </c:pt>
                  <c:pt idx="3">
                    <c:v>31 pts</c:v>
                  </c:pt>
                  <c:pt idx="4">
                    <c:v>27 pts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40F1-4107-818D-A960A8EE37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2084898655"/>
        <c:axId val="2084895743"/>
      </c:barChart>
      <c:catAx>
        <c:axId val="2084898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4895743"/>
        <c:crosses val="autoZero"/>
        <c:auto val="1"/>
        <c:lblAlgn val="ctr"/>
        <c:lblOffset val="100"/>
        <c:noMultiLvlLbl val="0"/>
      </c:catAx>
      <c:valAx>
        <c:axId val="20848957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489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Apoio!$F$59</c:f>
          <c:strCache>
            <c:ptCount val="1"/>
            <c:pt idx="0">
              <c:v>G5 (2020)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1"/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409556094316548E-2"/>
          <c:y val="0.12037037037037036"/>
          <c:w val="0.90825949208664991"/>
          <c:h val="0.61945246427529888"/>
        </c:manualLayout>
      </c:layout>
      <c:barChart>
        <c:barDir val="col"/>
        <c:grouping val="clustered"/>
        <c:varyColors val="0"/>
        <c:ser>
          <c:idx val="0"/>
          <c:order val="0"/>
          <c:tx>
            <c:v>G5</c:v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0-40F1-4107-818D-A960A8EE370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40F1-4107-818D-A960A8EE370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2-40F1-4107-818D-A960A8EE370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40F1-4107-818D-A960A8EE370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4-40F1-4107-818D-A960A8EE370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B567712-5E5A-4F47-AD99-70FE21DBEAA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0F1-4107-818D-A960A8EE370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88D7383-3CCA-4081-A218-78ACC0085068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0F1-4107-818D-A960A8EE370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17273D6-AB91-42E0-832D-162162318F29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0F1-4107-818D-A960A8EE370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B53648D-AD32-44CF-B2FC-69A8A99DB4FC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0F1-4107-818D-A960A8EE370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9B3E3B7-BDE4-425C-93E6-3D8AD62BC97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0F1-4107-818D-A960A8EE37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Apoio!$B$61:$B$65</c:f>
              <c:strCache>
                <c:ptCount val="5"/>
                <c:pt idx="0">
                  <c:v>Flamengo</c:v>
                </c:pt>
                <c:pt idx="1">
                  <c:v>Inter-RS</c:v>
                </c:pt>
                <c:pt idx="2">
                  <c:v>Atlético-MG</c:v>
                </c:pt>
                <c:pt idx="3">
                  <c:v>São Paulo</c:v>
                </c:pt>
                <c:pt idx="4">
                  <c:v>Fluminense</c:v>
                </c:pt>
              </c:strCache>
            </c:strRef>
          </c:cat>
          <c:val>
            <c:numRef>
              <c:f>Apoio!$C$61:$C$65</c:f>
              <c:numCache>
                <c:formatCode>General</c:formatCode>
                <c:ptCount val="5"/>
                <c:pt idx="0">
                  <c:v>71</c:v>
                </c:pt>
                <c:pt idx="1">
                  <c:v>70</c:v>
                </c:pt>
                <c:pt idx="2">
                  <c:v>68</c:v>
                </c:pt>
                <c:pt idx="3">
                  <c:v>66</c:v>
                </c:pt>
                <c:pt idx="4">
                  <c:v>64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Apoio!$F$61:$F$65</c15:f>
                <c15:dlblRangeCache>
                  <c:ptCount val="5"/>
                  <c:pt idx="0">
                    <c:v>71 pts</c:v>
                  </c:pt>
                  <c:pt idx="1">
                    <c:v>70 pts</c:v>
                  </c:pt>
                  <c:pt idx="2">
                    <c:v>68 pts</c:v>
                  </c:pt>
                  <c:pt idx="3">
                    <c:v>66 pts</c:v>
                  </c:pt>
                  <c:pt idx="4">
                    <c:v>64 pts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40F1-4107-818D-A960A8EE37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2084898655"/>
        <c:axId val="2084895743"/>
      </c:barChart>
      <c:catAx>
        <c:axId val="2084898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4895743"/>
        <c:crosses val="autoZero"/>
        <c:auto val="1"/>
        <c:lblAlgn val="ctr"/>
        <c:lblOffset val="100"/>
        <c:noMultiLvlLbl val="0"/>
      </c:catAx>
      <c:valAx>
        <c:axId val="20848957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489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emf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emf"/><Relationship Id="rId13" Type="http://schemas.openxmlformats.org/officeDocument/2006/relationships/chart" Target="../charts/chart5.xml"/><Relationship Id="rId18" Type="http://schemas.openxmlformats.org/officeDocument/2006/relationships/image" Target="../media/image49.emf"/><Relationship Id="rId3" Type="http://schemas.openxmlformats.org/officeDocument/2006/relationships/image" Target="../media/image38.png"/><Relationship Id="rId21" Type="http://schemas.microsoft.com/office/2007/relationships/hdphoto" Target="../media/hdphoto1.wdp"/><Relationship Id="rId7" Type="http://schemas.openxmlformats.org/officeDocument/2006/relationships/image" Target="../media/image40.emf"/><Relationship Id="rId12" Type="http://schemas.openxmlformats.org/officeDocument/2006/relationships/chart" Target="../charts/chart4.xml"/><Relationship Id="rId17" Type="http://schemas.openxmlformats.org/officeDocument/2006/relationships/image" Target="../media/image48.emf"/><Relationship Id="rId2" Type="http://schemas.openxmlformats.org/officeDocument/2006/relationships/chart" Target="../charts/chart1.xml"/><Relationship Id="rId16" Type="http://schemas.openxmlformats.org/officeDocument/2006/relationships/image" Target="../media/image47.emf"/><Relationship Id="rId20" Type="http://schemas.openxmlformats.org/officeDocument/2006/relationships/image" Target="../media/image51.png"/><Relationship Id="rId1" Type="http://schemas.openxmlformats.org/officeDocument/2006/relationships/image" Target="../media/image37.png"/><Relationship Id="rId6" Type="http://schemas.openxmlformats.org/officeDocument/2006/relationships/chart" Target="../charts/chart3.xml"/><Relationship Id="rId11" Type="http://schemas.openxmlformats.org/officeDocument/2006/relationships/image" Target="../media/image44.emf"/><Relationship Id="rId5" Type="http://schemas.openxmlformats.org/officeDocument/2006/relationships/chart" Target="../charts/chart2.xml"/><Relationship Id="rId15" Type="http://schemas.openxmlformats.org/officeDocument/2006/relationships/image" Target="../media/image46.emf"/><Relationship Id="rId10" Type="http://schemas.openxmlformats.org/officeDocument/2006/relationships/image" Target="../media/image43.emf"/><Relationship Id="rId19" Type="http://schemas.openxmlformats.org/officeDocument/2006/relationships/image" Target="../media/image50.png"/><Relationship Id="rId4" Type="http://schemas.openxmlformats.org/officeDocument/2006/relationships/image" Target="../media/image35.emf"/><Relationship Id="rId9" Type="http://schemas.openxmlformats.org/officeDocument/2006/relationships/image" Target="../media/image42.emf"/><Relationship Id="rId14" Type="http://schemas.openxmlformats.org/officeDocument/2006/relationships/image" Target="../media/image4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6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58.emf"/><Relationship Id="rId3" Type="http://schemas.openxmlformats.org/officeDocument/2006/relationships/image" Target="../media/image53.emf"/><Relationship Id="rId7" Type="http://schemas.openxmlformats.org/officeDocument/2006/relationships/image" Target="../media/image57.emf"/><Relationship Id="rId2" Type="http://schemas.openxmlformats.org/officeDocument/2006/relationships/image" Target="../media/image52.emf"/><Relationship Id="rId1" Type="http://schemas.openxmlformats.org/officeDocument/2006/relationships/image" Target="../media/image36.emf"/><Relationship Id="rId6" Type="http://schemas.openxmlformats.org/officeDocument/2006/relationships/image" Target="../media/image56.emf"/><Relationship Id="rId11" Type="http://schemas.openxmlformats.org/officeDocument/2006/relationships/image" Target="../media/image61.emf"/><Relationship Id="rId5" Type="http://schemas.openxmlformats.org/officeDocument/2006/relationships/image" Target="../media/image55.emf"/><Relationship Id="rId10" Type="http://schemas.openxmlformats.org/officeDocument/2006/relationships/image" Target="../media/image60.emf"/><Relationship Id="rId4" Type="http://schemas.openxmlformats.org/officeDocument/2006/relationships/image" Target="../media/image54.emf"/><Relationship Id="rId9" Type="http://schemas.openxmlformats.org/officeDocument/2006/relationships/image" Target="../media/image5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0</xdr:row>
      <xdr:rowOff>389405</xdr:rowOff>
    </xdr:from>
    <xdr:to>
      <xdr:col>2</xdr:col>
      <xdr:colOff>2466975</xdr:colOff>
      <xdr:row>0</xdr:row>
      <xdr:rowOff>2537293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2F6F87D-B6FC-4BC6-AF89-A3232E347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89405"/>
          <a:ext cx="2143125" cy="2147888"/>
        </a:xfrm>
        <a:prstGeom prst="rect">
          <a:avLst/>
        </a:prstGeom>
      </xdr:spPr>
    </xdr:pic>
    <xdr:clientData/>
  </xdr:twoCellAnchor>
  <xdr:twoCellAnchor editAs="oneCell">
    <xdr:from>
      <xdr:col>2</xdr:col>
      <xdr:colOff>285031</xdr:colOff>
      <xdr:row>1</xdr:row>
      <xdr:rowOff>417261</xdr:rowOff>
    </xdr:from>
    <xdr:to>
      <xdr:col>2</xdr:col>
      <xdr:colOff>2428156</xdr:colOff>
      <xdr:row>1</xdr:row>
      <xdr:rowOff>2565149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C4BA327-377C-4913-83B8-EB4E763C6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031" y="3341436"/>
          <a:ext cx="2143125" cy="2147888"/>
        </a:xfrm>
        <a:prstGeom prst="rect">
          <a:avLst/>
        </a:prstGeom>
      </xdr:spPr>
    </xdr:pic>
    <xdr:clientData/>
  </xdr:twoCellAnchor>
  <xdr:twoCellAnchor editAs="oneCell">
    <xdr:from>
      <xdr:col>2</xdr:col>
      <xdr:colOff>391328</xdr:colOff>
      <xdr:row>2</xdr:row>
      <xdr:rowOff>255176</xdr:rowOff>
    </xdr:from>
    <xdr:to>
      <xdr:col>2</xdr:col>
      <xdr:colOff>2320981</xdr:colOff>
      <xdr:row>2</xdr:row>
      <xdr:rowOff>2608411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C890F2B-BF4A-4953-809C-E7E03CD34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328" y="6103526"/>
          <a:ext cx="1929653" cy="2353235"/>
        </a:xfrm>
        <a:prstGeom prst="rect">
          <a:avLst/>
        </a:prstGeom>
      </xdr:spPr>
    </xdr:pic>
    <xdr:clientData/>
  </xdr:twoCellAnchor>
  <xdr:twoCellAnchor editAs="oneCell">
    <xdr:from>
      <xdr:col>2</xdr:col>
      <xdr:colOff>307126</xdr:colOff>
      <xdr:row>3</xdr:row>
      <xdr:rowOff>402374</xdr:rowOff>
    </xdr:from>
    <xdr:to>
      <xdr:col>2</xdr:col>
      <xdr:colOff>2478826</xdr:colOff>
      <xdr:row>3</xdr:row>
      <xdr:rowOff>2550262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B93989F-79D6-4AF9-A04F-F8F54FCCA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126" y="9174899"/>
          <a:ext cx="2171700" cy="2147888"/>
        </a:xfrm>
        <a:prstGeom prst="rect">
          <a:avLst/>
        </a:prstGeom>
      </xdr:spPr>
    </xdr:pic>
    <xdr:clientData/>
  </xdr:twoCellAnchor>
  <xdr:twoCellAnchor editAs="oneCell">
    <xdr:from>
      <xdr:col>2</xdr:col>
      <xdr:colOff>272228</xdr:colOff>
      <xdr:row>4</xdr:row>
      <xdr:rowOff>472533</xdr:rowOff>
    </xdr:from>
    <xdr:to>
      <xdr:col>2</xdr:col>
      <xdr:colOff>2443928</xdr:colOff>
      <xdr:row>4</xdr:row>
      <xdr:rowOff>2620421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7550363-3A9F-4D54-B48E-B6E5E4ABF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228" y="12169233"/>
          <a:ext cx="2171700" cy="2147888"/>
        </a:xfrm>
        <a:prstGeom prst="rect">
          <a:avLst/>
        </a:prstGeom>
      </xdr:spPr>
    </xdr:pic>
    <xdr:clientData/>
  </xdr:twoCellAnchor>
  <xdr:twoCellAnchor editAs="oneCell">
    <xdr:from>
      <xdr:col>2</xdr:col>
      <xdr:colOff>324178</xdr:colOff>
      <xdr:row>5</xdr:row>
      <xdr:rowOff>405418</xdr:rowOff>
    </xdr:from>
    <xdr:to>
      <xdr:col>2</xdr:col>
      <xdr:colOff>2505403</xdr:colOff>
      <xdr:row>5</xdr:row>
      <xdr:rowOff>2553306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7D0F311-2FF5-4E64-A637-638216826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178" y="15026293"/>
          <a:ext cx="2181225" cy="2147888"/>
        </a:xfrm>
        <a:prstGeom prst="rect">
          <a:avLst/>
        </a:prstGeom>
      </xdr:spPr>
    </xdr:pic>
    <xdr:clientData/>
  </xdr:twoCellAnchor>
  <xdr:twoCellAnchor editAs="oneCell">
    <xdr:from>
      <xdr:col>2</xdr:col>
      <xdr:colOff>399938</xdr:colOff>
      <xdr:row>6</xdr:row>
      <xdr:rowOff>376126</xdr:rowOff>
    </xdr:from>
    <xdr:to>
      <xdr:col>2</xdr:col>
      <xdr:colOff>2466863</xdr:colOff>
      <xdr:row>6</xdr:row>
      <xdr:rowOff>2638314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11EA7BEB-3E01-4827-8A6D-1A7F434CF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938" y="17921176"/>
          <a:ext cx="2066925" cy="2262188"/>
        </a:xfrm>
        <a:prstGeom prst="rect">
          <a:avLst/>
        </a:prstGeom>
      </xdr:spPr>
    </xdr:pic>
    <xdr:clientData/>
  </xdr:twoCellAnchor>
  <xdr:twoCellAnchor editAs="oneCell">
    <xdr:from>
      <xdr:col>2</xdr:col>
      <xdr:colOff>353556</xdr:colOff>
      <xdr:row>7</xdr:row>
      <xdr:rowOff>314613</xdr:rowOff>
    </xdr:from>
    <xdr:to>
      <xdr:col>2</xdr:col>
      <xdr:colOff>2410956</xdr:colOff>
      <xdr:row>7</xdr:row>
      <xdr:rowOff>2581563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7A40325-203D-45EE-ADC5-DC256CDE4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556" y="20783838"/>
          <a:ext cx="2057400" cy="226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261229</xdr:colOff>
      <xdr:row>8</xdr:row>
      <xdr:rowOff>374967</xdr:rowOff>
    </xdr:from>
    <xdr:to>
      <xdr:col>2</xdr:col>
      <xdr:colOff>2518654</xdr:colOff>
      <xdr:row>8</xdr:row>
      <xdr:rowOff>2441892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E065303-CA01-4AAC-BF50-07474404A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229" y="23768367"/>
          <a:ext cx="2257425" cy="2066925"/>
        </a:xfrm>
        <a:prstGeom prst="rect">
          <a:avLst/>
        </a:prstGeom>
      </xdr:spPr>
    </xdr:pic>
    <xdr:clientData/>
  </xdr:twoCellAnchor>
  <xdr:twoCellAnchor editAs="oneCell">
    <xdr:from>
      <xdr:col>2</xdr:col>
      <xdr:colOff>408427</xdr:colOff>
      <xdr:row>9</xdr:row>
      <xdr:rowOff>253222</xdr:rowOff>
    </xdr:from>
    <xdr:to>
      <xdr:col>2</xdr:col>
      <xdr:colOff>2332477</xdr:colOff>
      <xdr:row>9</xdr:row>
      <xdr:rowOff>2672572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4A91CEDE-D11D-4A6F-B22C-DD085ECD1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427" y="26570797"/>
          <a:ext cx="1924050" cy="2419350"/>
        </a:xfrm>
        <a:prstGeom prst="rect">
          <a:avLst/>
        </a:prstGeom>
      </xdr:spPr>
    </xdr:pic>
    <xdr:clientData/>
  </xdr:twoCellAnchor>
  <xdr:twoCellAnchor editAs="oneCell">
    <xdr:from>
      <xdr:col>2</xdr:col>
      <xdr:colOff>279680</xdr:colOff>
      <xdr:row>10</xdr:row>
      <xdr:rowOff>416391</xdr:rowOff>
    </xdr:from>
    <xdr:to>
      <xdr:col>2</xdr:col>
      <xdr:colOff>2460905</xdr:colOff>
      <xdr:row>10</xdr:row>
      <xdr:rowOff>2554753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23160313-A693-407B-9120-0243BDF79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680" y="29658141"/>
          <a:ext cx="2181225" cy="2138362"/>
        </a:xfrm>
        <a:prstGeom prst="rect">
          <a:avLst/>
        </a:prstGeom>
      </xdr:spPr>
    </xdr:pic>
    <xdr:clientData/>
  </xdr:twoCellAnchor>
  <xdr:twoCellAnchor editAs="oneCell">
    <xdr:from>
      <xdr:col>2</xdr:col>
      <xdr:colOff>98826</xdr:colOff>
      <xdr:row>11</xdr:row>
      <xdr:rowOff>500556</xdr:rowOff>
    </xdr:from>
    <xdr:to>
      <xdr:col>2</xdr:col>
      <xdr:colOff>2651526</xdr:colOff>
      <xdr:row>11</xdr:row>
      <xdr:rowOff>2324593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5751BF4E-F7A5-4A61-BC1A-A9500E832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26" y="32666481"/>
          <a:ext cx="2552700" cy="1824037"/>
        </a:xfrm>
        <a:prstGeom prst="rect">
          <a:avLst/>
        </a:prstGeom>
      </xdr:spPr>
    </xdr:pic>
    <xdr:clientData/>
  </xdr:twoCellAnchor>
  <xdr:twoCellAnchor editAs="oneCell">
    <xdr:from>
      <xdr:col>2</xdr:col>
      <xdr:colOff>56925</xdr:colOff>
      <xdr:row>12</xdr:row>
      <xdr:rowOff>158901</xdr:rowOff>
    </xdr:from>
    <xdr:to>
      <xdr:col>2</xdr:col>
      <xdr:colOff>2683471</xdr:colOff>
      <xdr:row>12</xdr:row>
      <xdr:rowOff>2756647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FC583FE-B984-4F87-BF93-F592BF641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25" y="35249001"/>
          <a:ext cx="2626546" cy="2597746"/>
        </a:xfrm>
        <a:prstGeom prst="rect">
          <a:avLst/>
        </a:prstGeom>
      </xdr:spPr>
    </xdr:pic>
    <xdr:clientData/>
  </xdr:twoCellAnchor>
  <xdr:twoCellAnchor editAs="oneCell">
    <xdr:from>
      <xdr:col>2</xdr:col>
      <xdr:colOff>420638</xdr:colOff>
      <xdr:row>13</xdr:row>
      <xdr:rowOff>262475</xdr:rowOff>
    </xdr:from>
    <xdr:to>
      <xdr:col>2</xdr:col>
      <xdr:colOff>2364441</xdr:colOff>
      <xdr:row>13</xdr:row>
      <xdr:rowOff>2654399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FABE3ECF-DF6E-41F5-BA33-89FC6806C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638" y="38276750"/>
          <a:ext cx="1943803" cy="2391924"/>
        </a:xfrm>
        <a:prstGeom prst="rect">
          <a:avLst/>
        </a:prstGeom>
      </xdr:spPr>
    </xdr:pic>
    <xdr:clientData/>
  </xdr:twoCellAnchor>
  <xdr:twoCellAnchor editAs="oneCell">
    <xdr:from>
      <xdr:col>2</xdr:col>
      <xdr:colOff>287289</xdr:colOff>
      <xdr:row>14</xdr:row>
      <xdr:rowOff>338034</xdr:rowOff>
    </xdr:from>
    <xdr:to>
      <xdr:col>2</xdr:col>
      <xdr:colOff>2454088</xdr:colOff>
      <xdr:row>14</xdr:row>
      <xdr:rowOff>2628066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52543700-3D1E-49EF-968E-B3EA0DB2F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289" y="41276484"/>
          <a:ext cx="2166799" cy="2290032"/>
        </a:xfrm>
        <a:prstGeom prst="rect">
          <a:avLst/>
        </a:prstGeom>
      </xdr:spPr>
    </xdr:pic>
    <xdr:clientData/>
  </xdr:twoCellAnchor>
  <xdr:twoCellAnchor editAs="oneCell">
    <xdr:from>
      <xdr:col>2</xdr:col>
      <xdr:colOff>382715</xdr:colOff>
      <xdr:row>15</xdr:row>
      <xdr:rowOff>225717</xdr:rowOff>
    </xdr:from>
    <xdr:to>
      <xdr:col>2</xdr:col>
      <xdr:colOff>2375647</xdr:colOff>
      <xdr:row>15</xdr:row>
      <xdr:rowOff>2660836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6AF32DB7-FC9F-48D2-8B88-59675D460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715" y="44088342"/>
          <a:ext cx="1992932" cy="2435119"/>
        </a:xfrm>
        <a:prstGeom prst="rect">
          <a:avLst/>
        </a:prstGeom>
      </xdr:spPr>
    </xdr:pic>
    <xdr:clientData/>
  </xdr:twoCellAnchor>
  <xdr:twoCellAnchor editAs="oneCell">
    <xdr:from>
      <xdr:col>2</xdr:col>
      <xdr:colOff>332276</xdr:colOff>
      <xdr:row>16</xdr:row>
      <xdr:rowOff>316266</xdr:rowOff>
    </xdr:from>
    <xdr:to>
      <xdr:col>2</xdr:col>
      <xdr:colOff>2442883</xdr:colOff>
      <xdr:row>16</xdr:row>
      <xdr:rowOff>2621898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3A8963E5-E26C-459D-81BF-C79565322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76" y="47103066"/>
          <a:ext cx="2110607" cy="2305632"/>
        </a:xfrm>
        <a:prstGeom prst="rect">
          <a:avLst/>
        </a:prstGeom>
      </xdr:spPr>
    </xdr:pic>
    <xdr:clientData/>
  </xdr:twoCellAnchor>
  <xdr:twoCellAnchor editAs="oneCell">
    <xdr:from>
      <xdr:col>2</xdr:col>
      <xdr:colOff>455133</xdr:colOff>
      <xdr:row>18</xdr:row>
      <xdr:rowOff>142386</xdr:rowOff>
    </xdr:from>
    <xdr:to>
      <xdr:col>2</xdr:col>
      <xdr:colOff>2243175</xdr:colOff>
      <xdr:row>18</xdr:row>
      <xdr:rowOff>2750534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CE58D02D-813E-46CC-A649-DF1669C7D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133" y="52777536"/>
          <a:ext cx="1788042" cy="2608148"/>
        </a:xfrm>
        <a:prstGeom prst="rect">
          <a:avLst/>
        </a:prstGeom>
      </xdr:spPr>
    </xdr:pic>
    <xdr:clientData/>
  </xdr:twoCellAnchor>
  <xdr:twoCellAnchor editAs="oneCell">
    <xdr:from>
      <xdr:col>2</xdr:col>
      <xdr:colOff>213072</xdr:colOff>
      <xdr:row>17</xdr:row>
      <xdr:rowOff>158718</xdr:rowOff>
    </xdr:from>
    <xdr:to>
      <xdr:col>2</xdr:col>
      <xdr:colOff>2573730</xdr:colOff>
      <xdr:row>17</xdr:row>
      <xdr:rowOff>2649682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978B8184-A208-43CE-A323-ACB8353EE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72" y="49869693"/>
          <a:ext cx="2360658" cy="2490964"/>
        </a:xfrm>
        <a:prstGeom prst="rect">
          <a:avLst/>
        </a:prstGeom>
      </xdr:spPr>
    </xdr:pic>
    <xdr:clientData/>
  </xdr:twoCellAnchor>
  <xdr:twoCellAnchor editAs="oneCell">
    <xdr:from>
      <xdr:col>2</xdr:col>
      <xdr:colOff>330638</xdr:colOff>
      <xdr:row>19</xdr:row>
      <xdr:rowOff>332038</xdr:rowOff>
    </xdr:from>
    <xdr:to>
      <xdr:col>2</xdr:col>
      <xdr:colOff>2468295</xdr:colOff>
      <xdr:row>19</xdr:row>
      <xdr:rowOff>2599764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860FA29A-4DAB-47AC-AC16-21703BF1F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38" y="55891363"/>
          <a:ext cx="2137657" cy="2267726"/>
        </a:xfrm>
        <a:prstGeom prst="rect">
          <a:avLst/>
        </a:prstGeom>
      </xdr:spPr>
    </xdr:pic>
    <xdr:clientData/>
  </xdr:twoCellAnchor>
  <xdr:twoCellAnchor editAs="oneCell">
    <xdr:from>
      <xdr:col>2</xdr:col>
      <xdr:colOff>302464</xdr:colOff>
      <xdr:row>20</xdr:row>
      <xdr:rowOff>283134</xdr:rowOff>
    </xdr:from>
    <xdr:to>
      <xdr:col>2</xdr:col>
      <xdr:colOff>2472394</xdr:colOff>
      <xdr:row>20</xdr:row>
      <xdr:rowOff>2610970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82AE0880-4F8B-4DAB-A322-73C09EEE7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64" y="58766634"/>
          <a:ext cx="2169930" cy="2327836"/>
        </a:xfrm>
        <a:prstGeom prst="rect">
          <a:avLst/>
        </a:prstGeom>
      </xdr:spPr>
    </xdr:pic>
    <xdr:clientData/>
  </xdr:twoCellAnchor>
  <xdr:twoCellAnchor editAs="oneCell">
    <xdr:from>
      <xdr:col>2</xdr:col>
      <xdr:colOff>511294</xdr:colOff>
      <xdr:row>21</xdr:row>
      <xdr:rowOff>84351</xdr:rowOff>
    </xdr:from>
    <xdr:to>
      <xdr:col>2</xdr:col>
      <xdr:colOff>2267483</xdr:colOff>
      <xdr:row>21</xdr:row>
      <xdr:rowOff>2622177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150A258E-BE01-47BA-8A3D-BB820C839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294" y="61492026"/>
          <a:ext cx="1756189" cy="2537826"/>
        </a:xfrm>
        <a:prstGeom prst="rect">
          <a:avLst/>
        </a:prstGeom>
      </xdr:spPr>
    </xdr:pic>
    <xdr:clientData/>
  </xdr:twoCellAnchor>
  <xdr:twoCellAnchor editAs="oneCell">
    <xdr:from>
      <xdr:col>2</xdr:col>
      <xdr:colOff>222863</xdr:colOff>
      <xdr:row>22</xdr:row>
      <xdr:rowOff>234911</xdr:rowOff>
    </xdr:from>
    <xdr:to>
      <xdr:col>2</xdr:col>
      <xdr:colOff>2499018</xdr:colOff>
      <xdr:row>22</xdr:row>
      <xdr:rowOff>2633383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D3807740-ACD0-4EA4-B22B-1F32388F4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63" y="64566761"/>
          <a:ext cx="2276155" cy="2398472"/>
        </a:xfrm>
        <a:prstGeom prst="rect">
          <a:avLst/>
        </a:prstGeom>
      </xdr:spPr>
    </xdr:pic>
    <xdr:clientData/>
  </xdr:twoCellAnchor>
  <xdr:twoCellAnchor editAs="oneCell">
    <xdr:from>
      <xdr:col>2</xdr:col>
      <xdr:colOff>112327</xdr:colOff>
      <xdr:row>23</xdr:row>
      <xdr:rowOff>162193</xdr:rowOff>
    </xdr:from>
    <xdr:to>
      <xdr:col>2</xdr:col>
      <xdr:colOff>2621916</xdr:colOff>
      <xdr:row>23</xdr:row>
      <xdr:rowOff>2801470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4EE69492-AEEE-4546-91F9-0C6D6EE30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27" y="67418218"/>
          <a:ext cx="2509589" cy="2639277"/>
        </a:xfrm>
        <a:prstGeom prst="rect">
          <a:avLst/>
        </a:prstGeom>
      </xdr:spPr>
    </xdr:pic>
    <xdr:clientData/>
  </xdr:twoCellAnchor>
  <xdr:twoCellAnchor editAs="oneCell">
    <xdr:from>
      <xdr:col>2</xdr:col>
      <xdr:colOff>580014</xdr:colOff>
      <xdr:row>24</xdr:row>
      <xdr:rowOff>50257</xdr:rowOff>
    </xdr:from>
    <xdr:to>
      <xdr:col>2</xdr:col>
      <xdr:colOff>2175979</xdr:colOff>
      <xdr:row>24</xdr:row>
      <xdr:rowOff>2879912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C9D9D0EE-CA1F-44C5-AC28-9E9C7B169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14" y="70230457"/>
          <a:ext cx="1595965" cy="2829655"/>
        </a:xfrm>
        <a:prstGeom prst="rect">
          <a:avLst/>
        </a:prstGeom>
      </xdr:spPr>
    </xdr:pic>
    <xdr:clientData/>
  </xdr:twoCellAnchor>
  <xdr:twoCellAnchor editAs="oneCell">
    <xdr:from>
      <xdr:col>2</xdr:col>
      <xdr:colOff>412048</xdr:colOff>
      <xdr:row>25</xdr:row>
      <xdr:rowOff>211462</xdr:rowOff>
    </xdr:from>
    <xdr:to>
      <xdr:col>2</xdr:col>
      <xdr:colOff>2375647</xdr:colOff>
      <xdr:row>25</xdr:row>
      <xdr:rowOff>2693939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8E352703-FF5C-4407-9FEF-9D935297B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048" y="73315837"/>
          <a:ext cx="1963599" cy="2482477"/>
        </a:xfrm>
        <a:prstGeom prst="rect">
          <a:avLst/>
        </a:prstGeom>
      </xdr:spPr>
    </xdr:pic>
    <xdr:clientData/>
  </xdr:twoCellAnchor>
  <xdr:twoCellAnchor editAs="oneCell">
    <xdr:from>
      <xdr:col>2</xdr:col>
      <xdr:colOff>381352</xdr:colOff>
      <xdr:row>26</xdr:row>
      <xdr:rowOff>159755</xdr:rowOff>
    </xdr:from>
    <xdr:to>
      <xdr:col>2</xdr:col>
      <xdr:colOff>2431676</xdr:colOff>
      <xdr:row>26</xdr:row>
      <xdr:rowOff>2780788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D5083219-4AA9-4812-A7AB-CD96253BE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352" y="76188305"/>
          <a:ext cx="2050324" cy="2621033"/>
        </a:xfrm>
        <a:prstGeom prst="rect">
          <a:avLst/>
        </a:prstGeom>
      </xdr:spPr>
    </xdr:pic>
    <xdr:clientData/>
  </xdr:twoCellAnchor>
  <xdr:twoCellAnchor editAs="oneCell">
    <xdr:from>
      <xdr:col>2</xdr:col>
      <xdr:colOff>221790</xdr:colOff>
      <xdr:row>27</xdr:row>
      <xdr:rowOff>341974</xdr:rowOff>
    </xdr:from>
    <xdr:to>
      <xdr:col>2</xdr:col>
      <xdr:colOff>2480425</xdr:colOff>
      <xdr:row>27</xdr:row>
      <xdr:rowOff>2610970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6B11720F-5D64-4BF3-A239-9A1E63E22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790" y="79294699"/>
          <a:ext cx="2258635" cy="2268996"/>
        </a:xfrm>
        <a:prstGeom prst="rect">
          <a:avLst/>
        </a:prstGeom>
      </xdr:spPr>
    </xdr:pic>
    <xdr:clientData/>
  </xdr:twoCellAnchor>
  <xdr:twoCellAnchor editAs="oneCell">
    <xdr:from>
      <xdr:col>2</xdr:col>
      <xdr:colOff>448235</xdr:colOff>
      <xdr:row>28</xdr:row>
      <xdr:rowOff>209024</xdr:rowOff>
    </xdr:from>
    <xdr:to>
      <xdr:col>2</xdr:col>
      <xdr:colOff>2375647</xdr:colOff>
      <xdr:row>28</xdr:row>
      <xdr:rowOff>2769309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DF2D7582-0960-4644-A2BB-969F5555F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35" y="82085924"/>
          <a:ext cx="1927412" cy="2560285"/>
        </a:xfrm>
        <a:prstGeom prst="rect">
          <a:avLst/>
        </a:prstGeom>
      </xdr:spPr>
    </xdr:pic>
    <xdr:clientData/>
  </xdr:twoCellAnchor>
  <xdr:twoCellAnchor editAs="oneCell">
    <xdr:from>
      <xdr:col>2</xdr:col>
      <xdr:colOff>371632</xdr:colOff>
      <xdr:row>29</xdr:row>
      <xdr:rowOff>427660</xdr:rowOff>
    </xdr:from>
    <xdr:to>
      <xdr:col>2</xdr:col>
      <xdr:colOff>2421771</xdr:colOff>
      <xdr:row>29</xdr:row>
      <xdr:rowOff>2622175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AF2E446-84E4-4546-8208-0E6B33EC8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632" y="85228735"/>
          <a:ext cx="2050139" cy="2194515"/>
        </a:xfrm>
        <a:prstGeom prst="rect">
          <a:avLst/>
        </a:prstGeom>
      </xdr:spPr>
    </xdr:pic>
    <xdr:clientData/>
  </xdr:twoCellAnchor>
  <xdr:twoCellAnchor editAs="oneCell">
    <xdr:from>
      <xdr:col>2</xdr:col>
      <xdr:colOff>318525</xdr:colOff>
      <xdr:row>30</xdr:row>
      <xdr:rowOff>349341</xdr:rowOff>
    </xdr:from>
    <xdr:to>
      <xdr:col>2</xdr:col>
      <xdr:colOff>2433051</xdr:colOff>
      <xdr:row>30</xdr:row>
      <xdr:rowOff>2610971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6B3652ED-965B-441B-83D5-B38EFA053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525" y="88074591"/>
          <a:ext cx="2114526" cy="2261630"/>
        </a:xfrm>
        <a:prstGeom prst="rect">
          <a:avLst/>
        </a:prstGeom>
      </xdr:spPr>
    </xdr:pic>
    <xdr:clientData/>
  </xdr:twoCellAnchor>
  <xdr:twoCellAnchor editAs="oneCell">
    <xdr:from>
      <xdr:col>2</xdr:col>
      <xdr:colOff>134471</xdr:colOff>
      <xdr:row>31</xdr:row>
      <xdr:rowOff>73517</xdr:rowOff>
    </xdr:from>
    <xdr:to>
      <xdr:col>2</xdr:col>
      <xdr:colOff>2622177</xdr:colOff>
      <xdr:row>31</xdr:row>
      <xdr:rowOff>2793329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C171139D-F3B7-428A-B4AB-6DB6A7486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90722942"/>
          <a:ext cx="2487706" cy="2719812"/>
        </a:xfrm>
        <a:prstGeom prst="rect">
          <a:avLst/>
        </a:prstGeom>
      </xdr:spPr>
    </xdr:pic>
    <xdr:clientData/>
  </xdr:twoCellAnchor>
  <xdr:twoCellAnchor editAs="oneCell">
    <xdr:from>
      <xdr:col>2</xdr:col>
      <xdr:colOff>475370</xdr:colOff>
      <xdr:row>32</xdr:row>
      <xdr:rowOff>213712</xdr:rowOff>
    </xdr:from>
    <xdr:to>
      <xdr:col>2</xdr:col>
      <xdr:colOff>2297206</xdr:colOff>
      <xdr:row>32</xdr:row>
      <xdr:rowOff>2683994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AEC6B6FB-A00C-4974-AE33-F08568CA0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370" y="93787312"/>
          <a:ext cx="1821836" cy="2470282"/>
        </a:xfrm>
        <a:prstGeom prst="rect">
          <a:avLst/>
        </a:prstGeom>
      </xdr:spPr>
    </xdr:pic>
    <xdr:clientData/>
  </xdr:twoCellAnchor>
  <xdr:twoCellAnchor editAs="oneCell">
    <xdr:from>
      <xdr:col>2</xdr:col>
      <xdr:colOff>429267</xdr:colOff>
      <xdr:row>33</xdr:row>
      <xdr:rowOff>225040</xdr:rowOff>
    </xdr:from>
    <xdr:to>
      <xdr:col>2</xdr:col>
      <xdr:colOff>2330824</xdr:colOff>
      <xdr:row>33</xdr:row>
      <xdr:rowOff>2685582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56F9CAA1-2ED4-464D-B99E-134FF04C2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267" y="96722815"/>
          <a:ext cx="1901557" cy="246054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462396</xdr:colOff>
          <xdr:row>0</xdr:row>
          <xdr:rowOff>112314</xdr:rowOff>
        </xdr:from>
        <xdr:to>
          <xdr:col>9</xdr:col>
          <xdr:colOff>341169</xdr:colOff>
          <xdr:row>1</xdr:row>
          <xdr:rowOff>112314</xdr:rowOff>
        </xdr:to>
        <xdr:pic>
          <xdr:nvPicPr>
            <xdr:cNvPr id="36" name="Imagem 35">
              <a:extLst>
                <a:ext uri="{FF2B5EF4-FFF2-40B4-BE49-F238E27FC236}">
                  <a16:creationId xmlns:a16="http://schemas.microsoft.com/office/drawing/2014/main" id="{BBB5A65E-8AFC-48F9-9FBD-9EAFF90294E7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Escudo" spid="_x0000_s1044"/>
                </a:ext>
              </a:extLst>
            </xdr:cNvPicPr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190260" y="112314"/>
              <a:ext cx="2909455" cy="2926773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10899</xdr:rowOff>
    </xdr:from>
    <xdr:to>
      <xdr:col>20</xdr:col>
      <xdr:colOff>571500</xdr:colOff>
      <xdr:row>33</xdr:row>
      <xdr:rowOff>95250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8539AFF-677F-4AF4-8C8E-34D73A649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99"/>
          <a:ext cx="12763500" cy="6370851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0</xdr:row>
      <xdr:rowOff>0</xdr:rowOff>
    </xdr:from>
    <xdr:to>
      <xdr:col>15</xdr:col>
      <xdr:colOff>76200</xdr:colOff>
      <xdr:row>16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AE0B0CD-800E-45E5-AF8E-8464EA753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220800</xdr:colOff>
      <xdr:row>10</xdr:row>
      <xdr:rowOff>75000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Time -GPGCSG">
              <a:extLst>
                <a:ext uri="{FF2B5EF4-FFF2-40B4-BE49-F238E27FC236}">
                  <a16:creationId xmlns:a16="http://schemas.microsoft.com/office/drawing/2014/main" id="{4EECB899-47D0-405F-8B58-A2CEF59553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me -GPGCSG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440000" cy="19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10</xdr:row>
      <xdr:rowOff>77577</xdr:rowOff>
    </xdr:from>
    <xdr:to>
      <xdr:col>2</xdr:col>
      <xdr:colOff>220800</xdr:colOff>
      <xdr:row>25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Time-GPGCSG">
              <a:extLst>
                <a:ext uri="{FF2B5EF4-FFF2-40B4-BE49-F238E27FC236}">
                  <a16:creationId xmlns:a16="http://schemas.microsoft.com/office/drawing/2014/main" id="{6E05D9F7-74A1-4BD0-9BE8-337F285230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me-GPGCSG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82577"/>
              <a:ext cx="1440000" cy="29132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26</xdr:row>
      <xdr:rowOff>28575</xdr:rowOff>
    </xdr:from>
    <xdr:to>
      <xdr:col>2</xdr:col>
      <xdr:colOff>221501</xdr:colOff>
      <xdr:row>33</xdr:row>
      <xdr:rowOff>49002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9140F8C-C142-4017-BE6B-6EBF2C8C7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81575"/>
          <a:ext cx="1440701" cy="135392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552451</xdr:colOff>
          <xdr:row>0</xdr:row>
          <xdr:rowOff>60770</xdr:rowOff>
        </xdr:from>
        <xdr:to>
          <xdr:col>20</xdr:col>
          <xdr:colOff>506055</xdr:colOff>
          <xdr:row>3</xdr:row>
          <xdr:rowOff>19050</xdr:rowOff>
        </xdr:to>
        <xdr:pic>
          <xdr:nvPicPr>
            <xdr:cNvPr id="8" name="Imagem 7">
              <a:extLst>
                <a:ext uri="{FF2B5EF4-FFF2-40B4-BE49-F238E27FC236}">
                  <a16:creationId xmlns:a16="http://schemas.microsoft.com/office/drawing/2014/main" id="{3D6D0968-9A77-4760-89AB-6315A60C8B33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Escudo" spid="_x0000_s5197"/>
                </a:ext>
              </a:extLst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134851" y="60770"/>
              <a:ext cx="563204" cy="529780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>
    <xdr:from>
      <xdr:col>15</xdr:col>
      <xdr:colOff>228600</xdr:colOff>
      <xdr:row>0</xdr:row>
      <xdr:rowOff>0</xdr:rowOff>
    </xdr:from>
    <xdr:to>
      <xdr:col>20</xdr:col>
      <xdr:colOff>514350</xdr:colOff>
      <xdr:row>16</xdr:row>
      <xdr:rowOff>104775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7CD2E8A-2E7D-469E-BF32-A73116CC4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342901</xdr:colOff>
      <xdr:row>16</xdr:row>
      <xdr:rowOff>144249</xdr:rowOff>
    </xdr:from>
    <xdr:to>
      <xdr:col>7</xdr:col>
      <xdr:colOff>428625</xdr:colOff>
      <xdr:row>31</xdr:row>
      <xdr:rowOff>29949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94ED2BC-7893-4AA3-AC99-1C021CEA4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304800</xdr:colOff>
      <xdr:row>16</xdr:row>
      <xdr:rowOff>182349</xdr:rowOff>
    </xdr:from>
    <xdr:to>
      <xdr:col>20</xdr:col>
      <xdr:colOff>428625</xdr:colOff>
      <xdr:row>31</xdr:row>
      <xdr:rowOff>68049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40FF130E-1D5D-421D-84E9-77ECB3AA3A25}"/>
            </a:ext>
          </a:extLst>
        </xdr:cNvPr>
        <xdr:cNvGrpSpPr/>
      </xdr:nvGrpSpPr>
      <xdr:grpSpPr>
        <a:xfrm>
          <a:off x="8839200" y="3230349"/>
          <a:ext cx="3781425" cy="2743200"/>
          <a:chOff x="8486775" y="3230349"/>
          <a:chExt cx="3781425" cy="2743200"/>
        </a:xfrm>
      </xdr:grpSpPr>
      <mc:AlternateContent xmlns:mc="http://schemas.openxmlformats.org/markup-compatibility/2006">
        <mc:Choice xmlns:a14="http://schemas.microsoft.com/office/drawing/2010/main" Requires="a14">
          <xdr:pic>
            <xdr:nvPicPr>
              <xdr:cNvPr id="20" name="Imagem 19">
                <a:extLst>
                  <a:ext uri="{FF2B5EF4-FFF2-40B4-BE49-F238E27FC236}">
                    <a16:creationId xmlns:a16="http://schemas.microsoft.com/office/drawing/2014/main" id="{C16111B4-B0ED-42E6-86E8-C6F60112C2D3}"/>
                  </a:ext>
                </a:extLst>
              </xdr:cNvPr>
              <xdr:cNvPicPr>
                <a:picLocks noChangeAspect="1"/>
                <a:extLst>
                  <a:ext uri="{84589F7E-364E-4C9E-8A38-B11213B215E9}">
                    <a14:cameraTool cellRange="Reb_1" spid="_x0000_s5198"/>
                  </a:ext>
                </a:extLst>
              </xdr:cNvPicPr>
            </xdr:nvPicPr>
            <xdr:blipFill>
              <a:blip xmlns:r="http://schemas.openxmlformats.org/officeDocument/2006/relationships" r:embed="rId7"/>
              <a:stretch>
                <a:fillRect/>
              </a:stretch>
            </xdr:blipFill>
            <xdr:spPr>
              <a:xfrm>
                <a:off x="8705850" y="5381625"/>
                <a:ext cx="528821" cy="565638"/>
              </a:xfrm>
              <a:prstGeom prst="rect">
                <a:avLst/>
              </a:prstGeom>
            </xdr:spPr>
          </xdr:pic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pic>
            <xdr:nvPicPr>
              <xdr:cNvPr id="21" name="Imagem 20">
                <a:extLst>
                  <a:ext uri="{FF2B5EF4-FFF2-40B4-BE49-F238E27FC236}">
                    <a16:creationId xmlns:a16="http://schemas.microsoft.com/office/drawing/2014/main" id="{7F5CE095-41F3-4C9F-96F4-16508552A1AB}"/>
                  </a:ext>
                </a:extLst>
              </xdr:cNvPr>
              <xdr:cNvPicPr>
                <a:picLocks noChangeAspect="1"/>
                <a:extLst>
                  <a:ext uri="{84589F7E-364E-4C9E-8A38-B11213B215E9}">
                    <a14:cameraTool cellRange="Reb_2" spid="_x0000_s5199"/>
                  </a:ext>
                </a:extLst>
              </xdr:cNvPicPr>
            </xdr:nvPicPr>
            <xdr:blipFill>
              <a:blip xmlns:r="http://schemas.openxmlformats.org/officeDocument/2006/relationships" r:embed="rId8"/>
              <a:stretch>
                <a:fillRect/>
              </a:stretch>
            </xdr:blipFill>
            <xdr:spPr>
              <a:xfrm>
                <a:off x="9408103" y="5381625"/>
                <a:ext cx="528821" cy="565638"/>
              </a:xfrm>
              <a:prstGeom prst="rect">
                <a:avLst/>
              </a:prstGeom>
            </xdr:spPr>
          </xdr:pic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pic>
            <xdr:nvPicPr>
              <xdr:cNvPr id="22" name="Imagem 21">
                <a:extLst>
                  <a:ext uri="{FF2B5EF4-FFF2-40B4-BE49-F238E27FC236}">
                    <a16:creationId xmlns:a16="http://schemas.microsoft.com/office/drawing/2014/main" id="{68C1964D-8E7C-4CBF-A3A2-4BF742D717DA}"/>
                  </a:ext>
                </a:extLst>
              </xdr:cNvPr>
              <xdr:cNvPicPr>
                <a:picLocks noChangeAspect="1"/>
                <a:extLst>
                  <a:ext uri="{84589F7E-364E-4C9E-8A38-B11213B215E9}">
                    <a14:cameraTool cellRange="Reb_3" spid="_x0000_s5200"/>
                  </a:ext>
                </a:extLst>
              </xdr:cNvPicPr>
            </xdr:nvPicPr>
            <xdr:blipFill>
              <a:blip xmlns:r="http://schemas.openxmlformats.org/officeDocument/2006/relationships" r:embed="rId9"/>
              <a:stretch>
                <a:fillRect/>
              </a:stretch>
            </xdr:blipFill>
            <xdr:spPr>
              <a:xfrm>
                <a:off x="10113819" y="5381625"/>
                <a:ext cx="528821" cy="565638"/>
              </a:xfrm>
              <a:prstGeom prst="rect">
                <a:avLst/>
              </a:prstGeom>
            </xdr:spPr>
          </xdr:pic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pic>
            <xdr:nvPicPr>
              <xdr:cNvPr id="23" name="Imagem 22">
                <a:extLst>
                  <a:ext uri="{FF2B5EF4-FFF2-40B4-BE49-F238E27FC236}">
                    <a16:creationId xmlns:a16="http://schemas.microsoft.com/office/drawing/2014/main" id="{5540B1D4-84B2-4D36-9589-0960B4243D2B}"/>
                  </a:ext>
                </a:extLst>
              </xdr:cNvPr>
              <xdr:cNvPicPr>
                <a:picLocks noChangeAspect="1"/>
                <a:extLst>
                  <a:ext uri="{84589F7E-364E-4C9E-8A38-B11213B215E9}">
                    <a14:cameraTool cellRange="Reb_4" spid="_x0000_s5201"/>
                  </a:ext>
                </a:extLst>
              </xdr:cNvPicPr>
            </xdr:nvPicPr>
            <xdr:blipFill>
              <a:blip xmlns:r="http://schemas.openxmlformats.org/officeDocument/2006/relationships" r:embed="rId10"/>
              <a:stretch>
                <a:fillRect/>
              </a:stretch>
            </xdr:blipFill>
            <xdr:spPr>
              <a:xfrm>
                <a:off x="10795290" y="5372100"/>
                <a:ext cx="528821" cy="565638"/>
              </a:xfrm>
              <a:prstGeom prst="rect">
                <a:avLst/>
              </a:prstGeom>
            </xdr:spPr>
          </xdr:pic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pic>
            <xdr:nvPicPr>
              <xdr:cNvPr id="24" name="Imagem 23">
                <a:extLst>
                  <a:ext uri="{FF2B5EF4-FFF2-40B4-BE49-F238E27FC236}">
                    <a16:creationId xmlns:a16="http://schemas.microsoft.com/office/drawing/2014/main" id="{DD4BD31C-B2A5-4E22-86B1-C20B8B32D8D3}"/>
                  </a:ext>
                </a:extLst>
              </xdr:cNvPr>
              <xdr:cNvPicPr>
                <a:picLocks noChangeAspect="1"/>
                <a:extLst>
                  <a:ext uri="{84589F7E-364E-4C9E-8A38-B11213B215E9}">
                    <a14:cameraTool cellRange="Reb_5" spid="_x0000_s5202"/>
                  </a:ext>
                </a:extLst>
              </xdr:cNvPicPr>
            </xdr:nvPicPr>
            <xdr:blipFill>
              <a:blip xmlns:r="http://schemas.openxmlformats.org/officeDocument/2006/relationships" r:embed="rId11"/>
              <a:stretch>
                <a:fillRect/>
              </a:stretch>
            </xdr:blipFill>
            <xdr:spPr>
              <a:xfrm>
                <a:off x="11498408" y="5372100"/>
                <a:ext cx="528821" cy="565638"/>
              </a:xfrm>
              <a:prstGeom prst="rect">
                <a:avLst/>
              </a:prstGeom>
            </xdr:spPr>
          </xdr:pic>
        </mc:Choice>
        <mc:Fallback/>
      </mc:AlternateContent>
      <xdr:graphicFrame macro="">
        <xdr:nvGraphicFramePr>
          <xdr:cNvPr id="25" name="Gráfico 24">
            <a:extLst>
              <a:ext uri="{FF2B5EF4-FFF2-40B4-BE49-F238E27FC236}">
                <a16:creationId xmlns:a16="http://schemas.microsoft.com/office/drawing/2014/main" id="{4B0A7BD0-A28C-408C-BEB7-0CDBF1558484}"/>
              </a:ext>
            </a:extLst>
          </xdr:cNvPr>
          <xdr:cNvGraphicFramePr>
            <a:graphicFrameLocks/>
          </xdr:cNvGraphicFramePr>
        </xdr:nvGraphicFramePr>
        <xdr:xfrm>
          <a:off x="8486775" y="3230349"/>
          <a:ext cx="378142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8</xdr:col>
      <xdr:colOff>9525</xdr:colOff>
      <xdr:row>16</xdr:row>
      <xdr:rowOff>182349</xdr:rowOff>
    </xdr:from>
    <xdr:to>
      <xdr:col>14</xdr:col>
      <xdr:colOff>133350</xdr:colOff>
      <xdr:row>31</xdr:row>
      <xdr:rowOff>68049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9049C353-5E5F-49DF-B405-4A7C2272D0A7}"/>
            </a:ext>
          </a:extLst>
        </xdr:cNvPr>
        <xdr:cNvGrpSpPr/>
      </xdr:nvGrpSpPr>
      <xdr:grpSpPr>
        <a:xfrm>
          <a:off x="4886325" y="3230349"/>
          <a:ext cx="3781425" cy="2743200"/>
          <a:chOff x="4638675" y="3230349"/>
          <a:chExt cx="3781425" cy="2743200"/>
        </a:xfrm>
      </xdr:grpSpPr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id="{26C20BBA-3235-4EEC-A8BC-3091A83D3486}"/>
              </a:ext>
            </a:extLst>
          </xdr:cNvPr>
          <xdr:cNvGraphicFramePr>
            <a:graphicFrameLocks/>
          </xdr:cNvGraphicFramePr>
        </xdr:nvGraphicFramePr>
        <xdr:xfrm>
          <a:off x="4638675" y="3230349"/>
          <a:ext cx="378142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pic>
            <xdr:nvPicPr>
              <xdr:cNvPr id="15" name="Imagem 14">
                <a:extLst>
                  <a:ext uri="{FF2B5EF4-FFF2-40B4-BE49-F238E27FC236}">
                    <a16:creationId xmlns:a16="http://schemas.microsoft.com/office/drawing/2014/main" id="{6F8556FC-A0EC-441D-8F21-48C5A8C038BD}"/>
                  </a:ext>
                </a:extLst>
              </xdr:cNvPr>
              <xdr:cNvPicPr>
                <a:picLocks noChangeAspect="1"/>
                <a:extLst>
                  <a:ext uri="{84589F7E-364E-4C9E-8A38-B11213B215E9}">
                    <a14:cameraTool cellRange="G5_1" spid="_x0000_s5203"/>
                  </a:ext>
                </a:extLst>
              </xdr:cNvPicPr>
            </xdr:nvPicPr>
            <xdr:blipFill>
              <a:blip xmlns:r="http://schemas.openxmlformats.org/officeDocument/2006/relationships" r:embed="rId14"/>
              <a:stretch>
                <a:fillRect/>
              </a:stretch>
            </xdr:blipFill>
            <xdr:spPr>
              <a:xfrm>
                <a:off x="4857750" y="5381625"/>
                <a:ext cx="528821" cy="565638"/>
              </a:xfrm>
              <a:prstGeom prst="rect">
                <a:avLst/>
              </a:prstGeom>
            </xdr:spPr>
          </xdr:pic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pic>
            <xdr:nvPicPr>
              <xdr:cNvPr id="16" name="Imagem 15">
                <a:extLst>
                  <a:ext uri="{FF2B5EF4-FFF2-40B4-BE49-F238E27FC236}">
                    <a16:creationId xmlns:a16="http://schemas.microsoft.com/office/drawing/2014/main" id="{D5696BDA-CCCE-4476-B9BB-06120A48E123}"/>
                  </a:ext>
                </a:extLst>
              </xdr:cNvPr>
              <xdr:cNvPicPr>
                <a:picLocks noChangeAspect="1"/>
                <a:extLst>
                  <a:ext uri="{84589F7E-364E-4C9E-8A38-B11213B215E9}">
                    <a14:cameraTool cellRange="G5_2" spid="_x0000_s5204"/>
                  </a:ext>
                </a:extLst>
              </xdr:cNvPicPr>
            </xdr:nvPicPr>
            <xdr:blipFill>
              <a:blip xmlns:r="http://schemas.openxmlformats.org/officeDocument/2006/relationships" r:embed="rId15"/>
              <a:stretch>
                <a:fillRect/>
              </a:stretch>
            </xdr:blipFill>
            <xdr:spPr>
              <a:xfrm>
                <a:off x="5527098" y="5372100"/>
                <a:ext cx="528821" cy="565638"/>
              </a:xfrm>
              <a:prstGeom prst="rect">
                <a:avLst/>
              </a:prstGeom>
            </xdr:spPr>
          </xdr:pic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pic>
            <xdr:nvPicPr>
              <xdr:cNvPr id="17" name="Imagem 16">
                <a:extLst>
                  <a:ext uri="{FF2B5EF4-FFF2-40B4-BE49-F238E27FC236}">
                    <a16:creationId xmlns:a16="http://schemas.microsoft.com/office/drawing/2014/main" id="{C8EBADC1-537E-423E-A860-097D7D0D7E75}"/>
                  </a:ext>
                </a:extLst>
              </xdr:cNvPr>
              <xdr:cNvPicPr>
                <a:picLocks noChangeAspect="1"/>
                <a:extLst>
                  <a:ext uri="{84589F7E-364E-4C9E-8A38-B11213B215E9}">
                    <a14:cameraTool cellRange="G5_3" spid="_x0000_s5205"/>
                  </a:ext>
                </a:extLst>
              </xdr:cNvPicPr>
            </xdr:nvPicPr>
            <xdr:blipFill>
              <a:blip xmlns:r="http://schemas.openxmlformats.org/officeDocument/2006/relationships" r:embed="rId16"/>
              <a:stretch>
                <a:fillRect/>
              </a:stretch>
            </xdr:blipFill>
            <xdr:spPr>
              <a:xfrm>
                <a:off x="6233680" y="5372100"/>
                <a:ext cx="528821" cy="565638"/>
              </a:xfrm>
              <a:prstGeom prst="rect">
                <a:avLst/>
              </a:prstGeom>
            </xdr:spPr>
          </xdr:pic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pic>
            <xdr:nvPicPr>
              <xdr:cNvPr id="18" name="Imagem 17">
                <a:extLst>
                  <a:ext uri="{FF2B5EF4-FFF2-40B4-BE49-F238E27FC236}">
                    <a16:creationId xmlns:a16="http://schemas.microsoft.com/office/drawing/2014/main" id="{56C1B870-133D-41BC-A8D7-A0544BE17754}"/>
                  </a:ext>
                </a:extLst>
              </xdr:cNvPr>
              <xdr:cNvPicPr>
                <a:picLocks noChangeAspect="1"/>
                <a:extLst>
                  <a:ext uri="{84589F7E-364E-4C9E-8A38-B11213B215E9}">
                    <a14:cameraTool cellRange="G5_4" spid="_x0000_s5206"/>
                  </a:ext>
                </a:extLst>
              </xdr:cNvPicPr>
            </xdr:nvPicPr>
            <xdr:blipFill>
              <a:blip xmlns:r="http://schemas.openxmlformats.org/officeDocument/2006/relationships" r:embed="rId17"/>
              <a:stretch>
                <a:fillRect/>
              </a:stretch>
            </xdr:blipFill>
            <xdr:spPr>
              <a:xfrm>
                <a:off x="6906491" y="5372100"/>
                <a:ext cx="528821" cy="565638"/>
              </a:xfrm>
              <a:prstGeom prst="rect">
                <a:avLst/>
              </a:prstGeom>
            </xdr:spPr>
          </xdr:pic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pic>
            <xdr:nvPicPr>
              <xdr:cNvPr id="19" name="Imagem 18">
                <a:extLst>
                  <a:ext uri="{FF2B5EF4-FFF2-40B4-BE49-F238E27FC236}">
                    <a16:creationId xmlns:a16="http://schemas.microsoft.com/office/drawing/2014/main" id="{38A00CE8-AB00-474E-97EF-6AA628B856E7}"/>
                  </a:ext>
                </a:extLst>
              </xdr:cNvPr>
              <xdr:cNvPicPr>
                <a:picLocks noChangeAspect="1"/>
                <a:extLst>
                  <a:ext uri="{84589F7E-364E-4C9E-8A38-B11213B215E9}">
                    <a14:cameraTool cellRange="G5_5" spid="_x0000_s5207"/>
                  </a:ext>
                </a:extLst>
              </xdr:cNvPicPr>
            </xdr:nvPicPr>
            <xdr:blipFill>
              <a:blip xmlns:r="http://schemas.openxmlformats.org/officeDocument/2006/relationships" r:embed="rId18"/>
              <a:stretch>
                <a:fillRect/>
              </a:stretch>
            </xdr:blipFill>
            <xdr:spPr>
              <a:xfrm>
                <a:off x="7620000" y="5362575"/>
                <a:ext cx="528821" cy="565638"/>
              </a:xfrm>
              <a:prstGeom prst="rect">
                <a:avLst/>
              </a:prstGeom>
            </xdr:spPr>
          </xdr:pic>
        </mc:Choice>
        <mc:Fallback/>
      </mc:AlternateContent>
      <xdr:pic>
        <xdr:nvPicPr>
          <xdr:cNvPr id="26" name="Imagem 25">
            <a:extLst>
              <a:ext uri="{FF2B5EF4-FFF2-40B4-BE49-F238E27FC236}">
                <a16:creationId xmlns:a16="http://schemas.microsoft.com/office/drawing/2014/main" id="{DB228559-D59E-461E-9DE1-2C89E7671C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6350" y="5581650"/>
            <a:ext cx="344429" cy="372868"/>
          </a:xfrm>
          <a:prstGeom prst="rect">
            <a:avLst/>
          </a:prstGeom>
        </xdr:spPr>
      </xdr:pic>
      <xdr:pic>
        <xdr:nvPicPr>
          <xdr:cNvPr id="27" name="Imagem 26">
            <a:extLst>
              <a:ext uri="{FF2B5EF4-FFF2-40B4-BE49-F238E27FC236}">
                <a16:creationId xmlns:a16="http://schemas.microsoft.com/office/drawing/2014/main" id="{248F4409-0D75-4CFE-916E-1194606876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BEBA8EAE-BF5A-486C-A8C5-ECC9F3942E4B}">
                <a14:imgProps xmlns:a14="http://schemas.microsoft.com/office/drawing/2010/main">
                  <a14:imgLayer r:embed="rId21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73603" y="5581650"/>
            <a:ext cx="344429" cy="372868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337214</xdr:colOff>
      <xdr:row>29</xdr:row>
      <xdr:rowOff>57150</xdr:rowOff>
    </xdr:from>
    <xdr:to>
      <xdr:col>11</xdr:col>
      <xdr:colOff>72043</xdr:colOff>
      <xdr:row>31</xdr:row>
      <xdr:rowOff>49018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2C739F08-C0F6-4E29-83A0-BF50FA630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3214" y="5581650"/>
          <a:ext cx="344429" cy="372868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0.33542</cdr:x>
      <cdr:y>0.03299</cdr:y>
    </cdr:from>
    <cdr:to>
      <cdr:x>0.69583</cdr:x>
      <cdr:y>0.13368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DE5B2EF0-C400-4ACE-AFCE-C55801B95E9C}"/>
            </a:ext>
          </a:extLst>
        </cdr:cNvPr>
        <cdr:cNvSpPr txBox="1"/>
      </cdr:nvSpPr>
      <cdr:spPr>
        <a:xfrm xmlns:a="http://schemas.openxmlformats.org/drawingml/2006/main">
          <a:off x="1533525" y="90488"/>
          <a:ext cx="16478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0.33542</cdr:x>
      <cdr:y>0.03299</cdr:y>
    </cdr:from>
    <cdr:to>
      <cdr:x>0.69583</cdr:x>
      <cdr:y>0.13368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DE5B2EF0-C400-4ACE-AFCE-C55801B95E9C}"/>
            </a:ext>
          </a:extLst>
        </cdr:cNvPr>
        <cdr:cNvSpPr txBox="1"/>
      </cdr:nvSpPr>
      <cdr:spPr>
        <a:xfrm xmlns:a="http://schemas.openxmlformats.org/drawingml/2006/main">
          <a:off x="1533525" y="90488"/>
          <a:ext cx="16478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ecir/Desktop/Dashboard%20Brasileir&#227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sileirão"/>
      <sheetName val="Apoio"/>
      <sheetName val="Escudos"/>
      <sheetName val="Dashboard"/>
    </sheetNames>
    <sheetDataSet>
      <sheetData sheetId="0"/>
      <sheetData sheetId="1">
        <row r="1">
          <cell r="A1" t="str">
            <v>Time</v>
          </cell>
          <cell r="I1">
            <v>2</v>
          </cell>
        </row>
        <row r="2">
          <cell r="A2" t="str">
            <v>América-MG</v>
          </cell>
        </row>
        <row r="3">
          <cell r="A3" t="str">
            <v>Atlético-GO</v>
          </cell>
        </row>
        <row r="4">
          <cell r="A4" t="str">
            <v>Atlético-MG</v>
          </cell>
        </row>
        <row r="5">
          <cell r="A5" t="str">
            <v>Atlético-PR</v>
          </cell>
        </row>
        <row r="6">
          <cell r="A6" t="str">
            <v>Avaí</v>
          </cell>
        </row>
        <row r="7">
          <cell r="A7" t="str">
            <v>Bahia</v>
          </cell>
        </row>
        <row r="8">
          <cell r="A8" t="str">
            <v>Botafogo</v>
          </cell>
        </row>
        <row r="9">
          <cell r="A9" t="str">
            <v>Ceará</v>
          </cell>
        </row>
        <row r="10">
          <cell r="A10" t="str">
            <v>Chapecoense</v>
          </cell>
        </row>
        <row r="11">
          <cell r="A11" t="str">
            <v>Corinthians</v>
          </cell>
        </row>
        <row r="12">
          <cell r="A12" t="str">
            <v>Coritiba</v>
          </cell>
        </row>
        <row r="13">
          <cell r="A13" t="str">
            <v>Criciúma</v>
          </cell>
        </row>
        <row r="14">
          <cell r="A14" t="str">
            <v>Cruzeiro</v>
          </cell>
          <cell r="D14" t="str">
            <v>Corinthians</v>
          </cell>
        </row>
        <row r="15">
          <cell r="A15" t="str">
            <v>Figueirense</v>
          </cell>
          <cell r="D15" t="str">
            <v>Palmeiras</v>
          </cell>
        </row>
        <row r="16">
          <cell r="A16" t="str">
            <v>Flamengo</v>
          </cell>
          <cell r="D16" t="str">
            <v>Santos</v>
          </cell>
        </row>
        <row r="17">
          <cell r="A17" t="str">
            <v>Fluminense</v>
          </cell>
          <cell r="D17" t="str">
            <v>Grêmio</v>
          </cell>
        </row>
        <row r="18">
          <cell r="A18" t="str">
            <v>Goiás</v>
          </cell>
          <cell r="D18" t="str">
            <v>Cruzeiro</v>
          </cell>
        </row>
        <row r="19">
          <cell r="A19" t="str">
            <v>Grêmio</v>
          </cell>
        </row>
        <row r="20">
          <cell r="A20" t="str">
            <v>Grêmio Barueri</v>
          </cell>
        </row>
        <row r="21">
          <cell r="A21" t="str">
            <v>Guarani</v>
          </cell>
        </row>
        <row r="22">
          <cell r="A22" t="str">
            <v>Internacional</v>
          </cell>
        </row>
        <row r="23">
          <cell r="A23" t="str">
            <v>Joinville</v>
          </cell>
        </row>
        <row r="24">
          <cell r="A24" t="str">
            <v>Náutico</v>
          </cell>
        </row>
        <row r="25">
          <cell r="A25" t="str">
            <v>Palmeiras</v>
          </cell>
        </row>
        <row r="26">
          <cell r="A26" t="str">
            <v>Paraná Clube</v>
          </cell>
        </row>
        <row r="27">
          <cell r="A27" t="str">
            <v>Ponte Preta</v>
          </cell>
        </row>
        <row r="28">
          <cell r="A28" t="str">
            <v>Portuguesa</v>
          </cell>
        </row>
        <row r="29">
          <cell r="A29" t="str">
            <v>Santa Cruz-PE</v>
          </cell>
          <cell r="D29" t="str">
            <v>Vitória</v>
          </cell>
        </row>
        <row r="30">
          <cell r="A30" t="str">
            <v>Santo André</v>
          </cell>
          <cell r="D30" t="str">
            <v>Coritiba</v>
          </cell>
        </row>
        <row r="31">
          <cell r="A31" t="str">
            <v>Santos</v>
          </cell>
          <cell r="D31" t="str">
            <v>Avaí</v>
          </cell>
        </row>
        <row r="32">
          <cell r="A32" t="str">
            <v>São Paulo</v>
          </cell>
          <cell r="D32" t="str">
            <v>Ponte Preta</v>
          </cell>
        </row>
        <row r="33">
          <cell r="A33" t="str">
            <v>Sport</v>
          </cell>
          <cell r="D33" t="str">
            <v>Atlético-GO</v>
          </cell>
        </row>
        <row r="34">
          <cell r="A34" t="str">
            <v>Vasco</v>
          </cell>
        </row>
        <row r="35">
          <cell r="A35" t="str">
            <v>Vitória</v>
          </cell>
        </row>
      </sheetData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ecir Lisboa" refreshedDate="44279.790695138887" createdVersion="6" refreshedVersion="6" minRefreshableVersion="3" recordCount="240" xr:uid="{53045CC9-43D7-4D5A-B249-C6A50967D911}">
  <cacheSource type="worksheet">
    <worksheetSource name="base"/>
  </cacheSource>
  <cacheFields count="12">
    <cacheField name="Ano" numFmtId="0">
      <sharedItems containsSemiMixedTypes="0" containsString="0" containsNumber="1" containsInteger="1" minValue="2009" maxValue="2020" count="12">
        <n v="2020"/>
        <n v="2019"/>
        <n v="2018"/>
        <n v="2017"/>
        <n v="2016"/>
        <n v="2015"/>
        <n v="2014"/>
        <n v="2013"/>
        <n v="2012"/>
        <n v="2011"/>
        <n v="2010"/>
        <n v="2009"/>
      </sharedItems>
    </cacheField>
    <cacheField name="Posição" numFmtId="0">
      <sharedItems count="20">
        <s v="1°"/>
        <s v="2°"/>
        <s v="3°"/>
        <s v="4°"/>
        <s v="5°"/>
        <s v="6°"/>
        <s v="7°"/>
        <s v="8°"/>
        <s v="9°"/>
        <s v="10°"/>
        <s v="11°"/>
        <s v="12°"/>
        <s v="13°"/>
        <s v="14°"/>
        <s v="15°"/>
        <s v="16°"/>
        <s v="17°"/>
        <s v="18°"/>
        <s v="19°"/>
        <s v="20°"/>
      </sharedItems>
    </cacheField>
    <cacheField name="Time" numFmtId="0">
      <sharedItems count="39">
        <s v="Flamengo"/>
        <s v="Inter-RS"/>
        <s v="Atlético-MG"/>
        <s v="São Paulo"/>
        <s v="Fluminense"/>
        <s v="Grêmio"/>
        <s v="Palmeiras"/>
        <s v="Santos"/>
        <s v="Atlético-PR"/>
        <s v="Bragantino"/>
        <s v="Ceará"/>
        <s v="Corinthians"/>
        <s v="Atlético-GO"/>
        <s v="Bahia"/>
        <s v="Sport"/>
        <s v="Fortaleza"/>
        <s v="Vasco"/>
        <s v="Goiás"/>
        <s v="Coritiba"/>
        <s v="Botafogo"/>
        <s v="Cruzeiro"/>
        <s v="CSA"/>
        <s v="Chapecoense"/>
        <s v="Avaí"/>
        <s v="Internacional"/>
        <s v="América-MG"/>
        <s v="Vitória"/>
        <s v="Paraná Clube"/>
        <s v="Ponte Preta"/>
        <s v="Figueirense"/>
        <s v="Santa Cruz-PE"/>
        <s v="Joinville"/>
        <s v="Criciúma"/>
        <s v="Portuguesa"/>
        <s v="Náutico"/>
        <s v="Guarani"/>
        <s v="Grêmio Barueri"/>
        <s v="Santo André"/>
        <s v="Athletico-PR" u="1"/>
      </sharedItems>
    </cacheField>
    <cacheField name="PG" numFmtId="0">
      <sharedItems containsSemiMixedTypes="0" containsString="0" containsNumber="1" containsInteger="1" minValue="15" maxValue="90" count="59">
        <n v="71"/>
        <n v="70"/>
        <n v="68"/>
        <n v="66"/>
        <n v="64"/>
        <n v="59"/>
        <n v="58"/>
        <n v="54"/>
        <n v="53"/>
        <n v="52"/>
        <n v="51"/>
        <n v="50"/>
        <n v="44"/>
        <n v="42"/>
        <n v="41"/>
        <n v="37"/>
        <n v="31"/>
        <n v="27"/>
        <n v="90"/>
        <n v="74"/>
        <n v="65"/>
        <n v="63"/>
        <n v="57"/>
        <n v="56"/>
        <n v="49"/>
        <n v="48"/>
        <n v="46"/>
        <n v="43"/>
        <n v="39"/>
        <n v="36"/>
        <n v="32"/>
        <n v="20"/>
        <n v="45"/>
        <n v="34"/>
        <n v="30"/>
        <n v="29"/>
        <n v="26"/>
        <n v="25"/>
        <n v="24"/>
        <n v="22"/>
        <n v="21"/>
        <n v="17"/>
        <n v="15"/>
        <n v="72"/>
        <n v="62"/>
        <n v="47"/>
        <n v="80"/>
        <n v="55"/>
        <n v="28"/>
        <n v="81"/>
        <n v="69"/>
        <n v="60"/>
        <n v="38"/>
        <n v="61"/>
        <n v="40"/>
        <n v="76"/>
        <n v="77"/>
        <n v="33"/>
        <n v="67"/>
      </sharedItems>
    </cacheField>
    <cacheField name="J" numFmtId="0">
      <sharedItems containsSemiMixedTypes="0" containsString="0" containsNumber="1" containsInteger="1" minValue="19" maxValue="38"/>
    </cacheField>
    <cacheField name="V" numFmtId="0">
      <sharedItems containsSemiMixedTypes="0" containsString="0" containsNumber="1" containsInteger="1" minValue="3" maxValue="28"/>
    </cacheField>
    <cacheField name="E" numFmtId="0">
      <sharedItems containsSemiMixedTypes="0" containsString="0" containsNumber="1" containsInteger="1" minValue="3" maxValue="17"/>
    </cacheField>
    <cacheField name="D" numFmtId="0">
      <sharedItems containsSemiMixedTypes="0" containsString="0" containsNumber="1" containsInteger="1" minValue="2" maxValue="28"/>
    </cacheField>
    <cacheField name="GP" numFmtId="0">
      <sharedItems containsSemiMixedTypes="0" containsString="0" containsNumber="1" containsInteger="1" minValue="10" maxValue="86"/>
    </cacheField>
    <cacheField name="GC" numFmtId="0">
      <sharedItems containsSemiMixedTypes="0" containsString="0" containsNumber="1" containsInteger="1" minValue="11" maxValue="79"/>
    </cacheField>
    <cacheField name="SG" numFmtId="0">
      <sharedItems containsSemiMixedTypes="0" containsString="0" containsNumber="1" containsInteger="1" minValue="-57" maxValue="49"/>
    </cacheField>
    <cacheField name="%" numFmtId="0">
      <sharedItems containsSemiMixedTypes="0" containsString="0" containsNumber="1" minValue="0.1754" maxValue="71"/>
    </cacheField>
  </cacheFields>
  <extLst>
    <ext xmlns:x14="http://schemas.microsoft.com/office/spreadsheetml/2009/9/main" uri="{725AE2AE-9491-48be-B2B4-4EB974FC3084}">
      <x14:pivotCacheDefinition pivotCacheId="17578800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x v="0"/>
    <x v="0"/>
    <n v="38"/>
    <n v="21"/>
    <n v="8"/>
    <n v="9"/>
    <n v="68"/>
    <n v="48"/>
    <n v="20"/>
    <n v="62.28"/>
  </r>
  <r>
    <x v="0"/>
    <x v="1"/>
    <x v="1"/>
    <x v="1"/>
    <n v="38"/>
    <n v="20"/>
    <n v="10"/>
    <n v="8"/>
    <n v="61"/>
    <n v="35"/>
    <n v="26"/>
    <n v="61.4"/>
  </r>
  <r>
    <x v="0"/>
    <x v="2"/>
    <x v="2"/>
    <x v="2"/>
    <n v="38"/>
    <n v="20"/>
    <n v="8"/>
    <n v="10"/>
    <n v="64"/>
    <n v="45"/>
    <n v="19"/>
    <n v="59.650000000000006"/>
  </r>
  <r>
    <x v="0"/>
    <x v="3"/>
    <x v="3"/>
    <x v="3"/>
    <n v="38"/>
    <n v="18"/>
    <n v="12"/>
    <n v="8"/>
    <n v="59"/>
    <n v="41"/>
    <n v="18"/>
    <n v="57.89"/>
  </r>
  <r>
    <x v="0"/>
    <x v="4"/>
    <x v="4"/>
    <x v="4"/>
    <n v="38"/>
    <n v="18"/>
    <n v="10"/>
    <n v="10"/>
    <n v="55"/>
    <n v="42"/>
    <n v="13"/>
    <n v="56.14"/>
  </r>
  <r>
    <x v="0"/>
    <x v="5"/>
    <x v="5"/>
    <x v="5"/>
    <n v="38"/>
    <n v="14"/>
    <n v="17"/>
    <n v="7"/>
    <n v="53"/>
    <n v="40"/>
    <n v="13"/>
    <n v="51.749999999999993"/>
  </r>
  <r>
    <x v="0"/>
    <x v="6"/>
    <x v="6"/>
    <x v="6"/>
    <n v="38"/>
    <n v="15"/>
    <n v="13"/>
    <n v="10"/>
    <n v="51"/>
    <n v="37"/>
    <n v="14"/>
    <n v="50.88"/>
  </r>
  <r>
    <x v="0"/>
    <x v="7"/>
    <x v="7"/>
    <x v="7"/>
    <n v="38"/>
    <n v="14"/>
    <n v="12"/>
    <n v="12"/>
    <n v="52"/>
    <n v="51"/>
    <n v="1"/>
    <n v="47.370000000000005"/>
  </r>
  <r>
    <x v="0"/>
    <x v="8"/>
    <x v="8"/>
    <x v="8"/>
    <n v="38"/>
    <n v="15"/>
    <n v="8"/>
    <n v="15"/>
    <n v="38"/>
    <n v="36"/>
    <n v="2"/>
    <n v="46.489999999999995"/>
  </r>
  <r>
    <x v="0"/>
    <x v="9"/>
    <x v="9"/>
    <x v="8"/>
    <n v="38"/>
    <n v="13"/>
    <n v="14"/>
    <n v="11"/>
    <n v="50"/>
    <n v="40"/>
    <n v="10"/>
    <n v="46.489999999999995"/>
  </r>
  <r>
    <x v="0"/>
    <x v="10"/>
    <x v="10"/>
    <x v="9"/>
    <n v="38"/>
    <n v="14"/>
    <n v="10"/>
    <n v="14"/>
    <n v="54"/>
    <n v="51"/>
    <n v="3"/>
    <n v="45.61"/>
  </r>
  <r>
    <x v="0"/>
    <x v="11"/>
    <x v="11"/>
    <x v="10"/>
    <n v="38"/>
    <n v="13"/>
    <n v="12"/>
    <n v="13"/>
    <n v="45"/>
    <n v="45"/>
    <n v="0"/>
    <n v="44.74"/>
  </r>
  <r>
    <x v="0"/>
    <x v="12"/>
    <x v="12"/>
    <x v="11"/>
    <n v="38"/>
    <n v="12"/>
    <n v="14"/>
    <n v="12"/>
    <n v="40"/>
    <n v="45"/>
    <n v="-5"/>
    <n v="43.86"/>
  </r>
  <r>
    <x v="0"/>
    <x v="13"/>
    <x v="13"/>
    <x v="12"/>
    <n v="38"/>
    <n v="12"/>
    <n v="8"/>
    <n v="18"/>
    <n v="48"/>
    <n v="59"/>
    <n v="-11"/>
    <n v="38.6"/>
  </r>
  <r>
    <x v="0"/>
    <x v="14"/>
    <x v="14"/>
    <x v="13"/>
    <n v="38"/>
    <n v="12"/>
    <n v="6"/>
    <n v="20"/>
    <n v="31"/>
    <n v="50"/>
    <n v="-19"/>
    <n v="36.840000000000003"/>
  </r>
  <r>
    <x v="0"/>
    <x v="15"/>
    <x v="15"/>
    <x v="14"/>
    <n v="38"/>
    <n v="10"/>
    <n v="11"/>
    <n v="17"/>
    <n v="34"/>
    <n v="44"/>
    <n v="-10"/>
    <n v="35.96"/>
  </r>
  <r>
    <x v="0"/>
    <x v="16"/>
    <x v="16"/>
    <x v="14"/>
    <n v="38"/>
    <n v="10"/>
    <n v="11"/>
    <n v="17"/>
    <n v="37"/>
    <n v="56"/>
    <n v="-19"/>
    <n v="35.96"/>
  </r>
  <r>
    <x v="0"/>
    <x v="17"/>
    <x v="17"/>
    <x v="15"/>
    <n v="38"/>
    <n v="9"/>
    <n v="10"/>
    <n v="19"/>
    <n v="41"/>
    <n v="62"/>
    <n v="-21"/>
    <n v="32.46"/>
  </r>
  <r>
    <x v="0"/>
    <x v="18"/>
    <x v="18"/>
    <x v="16"/>
    <n v="38"/>
    <n v="7"/>
    <n v="10"/>
    <n v="21"/>
    <n v="30"/>
    <n v="54"/>
    <n v="-24"/>
    <n v="27.189999999999998"/>
  </r>
  <r>
    <x v="0"/>
    <x v="19"/>
    <x v="19"/>
    <x v="17"/>
    <n v="38"/>
    <n v="5"/>
    <n v="12"/>
    <n v="21"/>
    <n v="32"/>
    <n v="62"/>
    <n v="-30"/>
    <n v="23.68"/>
  </r>
  <r>
    <x v="1"/>
    <x v="0"/>
    <x v="0"/>
    <x v="18"/>
    <n v="38"/>
    <n v="28"/>
    <n v="6"/>
    <n v="4"/>
    <n v="86"/>
    <n v="37"/>
    <n v="49"/>
    <n v="0.78949999999999998"/>
  </r>
  <r>
    <x v="1"/>
    <x v="1"/>
    <x v="7"/>
    <x v="19"/>
    <n v="38"/>
    <n v="22"/>
    <n v="8"/>
    <n v="8"/>
    <n v="60"/>
    <n v="33"/>
    <n v="27"/>
    <n v="0.64910000000000001"/>
  </r>
  <r>
    <x v="1"/>
    <x v="2"/>
    <x v="6"/>
    <x v="19"/>
    <n v="38"/>
    <n v="21"/>
    <n v="11"/>
    <n v="6"/>
    <n v="61"/>
    <n v="32"/>
    <n v="29"/>
    <n v="0.64910000000000001"/>
  </r>
  <r>
    <x v="1"/>
    <x v="3"/>
    <x v="5"/>
    <x v="20"/>
    <n v="38"/>
    <n v="19"/>
    <n v="8"/>
    <n v="11"/>
    <n v="64"/>
    <n v="39"/>
    <n v="25"/>
    <n v="0.57020000000000004"/>
  </r>
  <r>
    <x v="1"/>
    <x v="4"/>
    <x v="8"/>
    <x v="4"/>
    <n v="38"/>
    <n v="18"/>
    <n v="10"/>
    <n v="10"/>
    <n v="49"/>
    <n v="32"/>
    <n v="17"/>
    <n v="0.56140000000000001"/>
  </r>
  <r>
    <x v="1"/>
    <x v="5"/>
    <x v="3"/>
    <x v="21"/>
    <n v="38"/>
    <n v="17"/>
    <n v="12"/>
    <n v="9"/>
    <n v="39"/>
    <n v="30"/>
    <n v="9"/>
    <n v="0.55259999999999998"/>
  </r>
  <r>
    <x v="1"/>
    <x v="6"/>
    <x v="1"/>
    <x v="22"/>
    <n v="38"/>
    <n v="16"/>
    <n v="9"/>
    <n v="13"/>
    <n v="44"/>
    <n v="39"/>
    <n v="5"/>
    <n v="0.5"/>
  </r>
  <r>
    <x v="1"/>
    <x v="7"/>
    <x v="11"/>
    <x v="23"/>
    <n v="38"/>
    <n v="14"/>
    <n v="14"/>
    <n v="10"/>
    <n v="42"/>
    <n v="34"/>
    <n v="8"/>
    <n v="0.49120000000000003"/>
  </r>
  <r>
    <x v="1"/>
    <x v="8"/>
    <x v="15"/>
    <x v="8"/>
    <n v="38"/>
    <n v="15"/>
    <n v="8"/>
    <n v="15"/>
    <n v="50"/>
    <n v="47"/>
    <n v="3"/>
    <n v="0.46489999999999998"/>
  </r>
  <r>
    <x v="1"/>
    <x v="9"/>
    <x v="17"/>
    <x v="9"/>
    <n v="38"/>
    <n v="15"/>
    <n v="7"/>
    <n v="16"/>
    <n v="46"/>
    <n v="64"/>
    <n v="-18"/>
    <n v="0.45610000000000001"/>
  </r>
  <r>
    <x v="1"/>
    <x v="10"/>
    <x v="13"/>
    <x v="24"/>
    <n v="38"/>
    <n v="12"/>
    <n v="13"/>
    <n v="13"/>
    <n v="44"/>
    <n v="43"/>
    <n v="1"/>
    <n v="0.42980000000000002"/>
  </r>
  <r>
    <x v="1"/>
    <x v="11"/>
    <x v="16"/>
    <x v="24"/>
    <n v="38"/>
    <n v="12"/>
    <n v="13"/>
    <n v="13"/>
    <n v="39"/>
    <n v="45"/>
    <n v="-6"/>
    <n v="0.42980000000000002"/>
  </r>
  <r>
    <x v="1"/>
    <x v="12"/>
    <x v="2"/>
    <x v="25"/>
    <n v="38"/>
    <n v="13"/>
    <n v="9"/>
    <n v="16"/>
    <n v="45"/>
    <n v="49"/>
    <n v="-4"/>
    <n v="0.42109999999999997"/>
  </r>
  <r>
    <x v="1"/>
    <x v="13"/>
    <x v="4"/>
    <x v="26"/>
    <n v="38"/>
    <n v="12"/>
    <n v="10"/>
    <n v="16"/>
    <n v="38"/>
    <n v="46"/>
    <n v="-8"/>
    <n v="0.40350000000000003"/>
  </r>
  <r>
    <x v="1"/>
    <x v="14"/>
    <x v="19"/>
    <x v="27"/>
    <n v="38"/>
    <n v="13"/>
    <n v="4"/>
    <n v="21"/>
    <n v="31"/>
    <n v="45"/>
    <n v="-14"/>
    <n v="0.37719999999999998"/>
  </r>
  <r>
    <x v="1"/>
    <x v="15"/>
    <x v="10"/>
    <x v="28"/>
    <n v="38"/>
    <n v="10"/>
    <n v="9"/>
    <n v="19"/>
    <n v="36"/>
    <n v="41"/>
    <n v="-5"/>
    <n v="0.34210000000000002"/>
  </r>
  <r>
    <x v="1"/>
    <x v="16"/>
    <x v="20"/>
    <x v="29"/>
    <n v="38"/>
    <n v="7"/>
    <n v="15"/>
    <n v="16"/>
    <n v="27"/>
    <n v="46"/>
    <n v="-19"/>
    <n v="0.31580000000000003"/>
  </r>
  <r>
    <x v="1"/>
    <x v="17"/>
    <x v="21"/>
    <x v="30"/>
    <n v="38"/>
    <n v="8"/>
    <n v="8"/>
    <n v="22"/>
    <n v="24"/>
    <n v="58"/>
    <n v="-34"/>
    <n v="0.28070000000000001"/>
  </r>
  <r>
    <x v="1"/>
    <x v="18"/>
    <x v="22"/>
    <x v="30"/>
    <n v="38"/>
    <n v="7"/>
    <n v="11"/>
    <n v="20"/>
    <n v="31"/>
    <n v="52"/>
    <n v="-21"/>
    <n v="0.28070000000000001"/>
  </r>
  <r>
    <x v="1"/>
    <x v="19"/>
    <x v="23"/>
    <x v="31"/>
    <n v="38"/>
    <n v="3"/>
    <n v="11"/>
    <n v="24"/>
    <n v="18"/>
    <n v="62"/>
    <n v="-44"/>
    <n v="0.1754"/>
  </r>
  <r>
    <x v="2"/>
    <x v="0"/>
    <x v="3"/>
    <x v="32"/>
    <n v="21"/>
    <n v="13"/>
    <n v="6"/>
    <n v="2"/>
    <n v="34"/>
    <n v="17"/>
    <n v="17"/>
    <n v="71"/>
  </r>
  <r>
    <x v="2"/>
    <x v="1"/>
    <x v="24"/>
    <x v="13"/>
    <n v="21"/>
    <n v="12"/>
    <n v="6"/>
    <n v="3"/>
    <n v="28"/>
    <n v="12"/>
    <n v="16"/>
    <n v="67"/>
  </r>
  <r>
    <x v="2"/>
    <x v="2"/>
    <x v="0"/>
    <x v="14"/>
    <n v="21"/>
    <n v="12"/>
    <n v="5"/>
    <n v="4"/>
    <n v="32"/>
    <n v="17"/>
    <n v="15"/>
    <n v="65"/>
  </r>
  <r>
    <x v="2"/>
    <x v="3"/>
    <x v="6"/>
    <x v="15"/>
    <n v="21"/>
    <n v="10"/>
    <n v="7"/>
    <n v="4"/>
    <n v="31"/>
    <n v="15"/>
    <n v="16"/>
    <n v="59"/>
  </r>
  <r>
    <x v="2"/>
    <x v="4"/>
    <x v="5"/>
    <x v="15"/>
    <n v="21"/>
    <n v="10"/>
    <n v="7"/>
    <n v="4"/>
    <n v="25"/>
    <n v="11"/>
    <n v="14"/>
    <n v="59"/>
  </r>
  <r>
    <x v="2"/>
    <x v="5"/>
    <x v="2"/>
    <x v="33"/>
    <n v="21"/>
    <n v="10"/>
    <n v="4"/>
    <n v="7"/>
    <n v="36"/>
    <n v="27"/>
    <n v="9"/>
    <n v="54"/>
  </r>
  <r>
    <x v="2"/>
    <x v="6"/>
    <x v="20"/>
    <x v="34"/>
    <n v="21"/>
    <n v="8"/>
    <n v="6"/>
    <n v="7"/>
    <n v="18"/>
    <n v="18"/>
    <n v="0"/>
    <n v="48"/>
  </r>
  <r>
    <x v="2"/>
    <x v="7"/>
    <x v="11"/>
    <x v="35"/>
    <n v="21"/>
    <n v="8"/>
    <n v="5"/>
    <n v="8"/>
    <n v="23"/>
    <n v="17"/>
    <n v="6"/>
    <n v="46"/>
  </r>
  <r>
    <x v="2"/>
    <x v="8"/>
    <x v="25"/>
    <x v="36"/>
    <n v="21"/>
    <n v="7"/>
    <n v="5"/>
    <n v="9"/>
    <n v="22"/>
    <n v="26"/>
    <n v="-4"/>
    <n v="41"/>
  </r>
  <r>
    <x v="2"/>
    <x v="9"/>
    <x v="4"/>
    <x v="36"/>
    <n v="21"/>
    <n v="7"/>
    <n v="5"/>
    <n v="9"/>
    <n v="21"/>
    <n v="26"/>
    <n v="-5"/>
    <n v="41"/>
  </r>
  <r>
    <x v="2"/>
    <x v="10"/>
    <x v="19"/>
    <x v="37"/>
    <n v="21"/>
    <n v="6"/>
    <n v="7"/>
    <n v="8"/>
    <n v="20"/>
    <n v="27"/>
    <n v="-7"/>
    <n v="40"/>
  </r>
  <r>
    <x v="2"/>
    <x v="11"/>
    <x v="7"/>
    <x v="38"/>
    <n v="20"/>
    <n v="6"/>
    <n v="6"/>
    <n v="8"/>
    <n v="23"/>
    <n v="23"/>
    <n v="0"/>
    <n v="40"/>
  </r>
  <r>
    <x v="2"/>
    <x v="12"/>
    <x v="16"/>
    <x v="38"/>
    <n v="19"/>
    <n v="6"/>
    <n v="6"/>
    <n v="7"/>
    <n v="25"/>
    <n v="28"/>
    <n v="-3"/>
    <n v="42"/>
  </r>
  <r>
    <x v="2"/>
    <x v="13"/>
    <x v="26"/>
    <x v="39"/>
    <n v="21"/>
    <n v="6"/>
    <n v="4"/>
    <n v="11"/>
    <n v="21"/>
    <n v="40"/>
    <n v="-19"/>
    <n v="35"/>
  </r>
  <r>
    <x v="2"/>
    <x v="14"/>
    <x v="13"/>
    <x v="39"/>
    <n v="20"/>
    <n v="5"/>
    <n v="7"/>
    <n v="8"/>
    <n v="20"/>
    <n v="26"/>
    <n v="-6"/>
    <n v="37"/>
  </r>
  <r>
    <x v="2"/>
    <x v="15"/>
    <x v="8"/>
    <x v="40"/>
    <n v="19"/>
    <n v="5"/>
    <n v="6"/>
    <n v="8"/>
    <n v="22"/>
    <n v="20"/>
    <n v="2"/>
    <n v="37"/>
  </r>
  <r>
    <x v="2"/>
    <x v="16"/>
    <x v="22"/>
    <x v="40"/>
    <n v="20"/>
    <n v="4"/>
    <n v="9"/>
    <n v="7"/>
    <n v="20"/>
    <n v="29"/>
    <n v="-9"/>
    <n v="35"/>
  </r>
  <r>
    <x v="2"/>
    <x v="17"/>
    <x v="14"/>
    <x v="31"/>
    <n v="21"/>
    <n v="5"/>
    <n v="5"/>
    <n v="11"/>
    <n v="19"/>
    <n v="34"/>
    <n v="-15"/>
    <n v="32"/>
  </r>
  <r>
    <x v="2"/>
    <x v="18"/>
    <x v="10"/>
    <x v="41"/>
    <n v="20"/>
    <n v="3"/>
    <n v="8"/>
    <n v="9"/>
    <n v="12"/>
    <n v="22"/>
    <n v="-10"/>
    <n v="28"/>
  </r>
  <r>
    <x v="2"/>
    <x v="19"/>
    <x v="27"/>
    <x v="42"/>
    <n v="21"/>
    <n v="3"/>
    <n v="6"/>
    <n v="12"/>
    <n v="10"/>
    <n v="27"/>
    <n v="-17"/>
    <n v="24"/>
  </r>
  <r>
    <x v="3"/>
    <x v="0"/>
    <x v="11"/>
    <x v="43"/>
    <n v="38"/>
    <n v="21"/>
    <n v="9"/>
    <n v="8"/>
    <n v="50"/>
    <n v="30"/>
    <n v="20"/>
    <n v="63"/>
  </r>
  <r>
    <x v="3"/>
    <x v="1"/>
    <x v="6"/>
    <x v="21"/>
    <n v="38"/>
    <n v="19"/>
    <n v="6"/>
    <n v="13"/>
    <n v="61"/>
    <n v="45"/>
    <n v="16"/>
    <n v="55"/>
  </r>
  <r>
    <x v="3"/>
    <x v="2"/>
    <x v="7"/>
    <x v="21"/>
    <n v="38"/>
    <n v="17"/>
    <n v="12"/>
    <n v="9"/>
    <n v="42"/>
    <n v="32"/>
    <n v="10"/>
    <n v="55"/>
  </r>
  <r>
    <x v="3"/>
    <x v="3"/>
    <x v="5"/>
    <x v="44"/>
    <n v="38"/>
    <n v="18"/>
    <n v="8"/>
    <n v="12"/>
    <n v="55"/>
    <n v="36"/>
    <n v="19"/>
    <n v="54"/>
  </r>
  <r>
    <x v="3"/>
    <x v="4"/>
    <x v="20"/>
    <x v="22"/>
    <n v="38"/>
    <n v="15"/>
    <n v="12"/>
    <n v="11"/>
    <n v="47"/>
    <n v="39"/>
    <n v="8"/>
    <n v="50"/>
  </r>
  <r>
    <x v="3"/>
    <x v="5"/>
    <x v="0"/>
    <x v="23"/>
    <n v="38"/>
    <n v="15"/>
    <n v="11"/>
    <n v="12"/>
    <n v="49"/>
    <n v="38"/>
    <n v="11"/>
    <n v="49"/>
  </r>
  <r>
    <x v="3"/>
    <x v="6"/>
    <x v="16"/>
    <x v="23"/>
    <n v="38"/>
    <n v="15"/>
    <n v="11"/>
    <n v="12"/>
    <n v="40"/>
    <n v="47"/>
    <n v="-7"/>
    <n v="49"/>
  </r>
  <r>
    <x v="3"/>
    <x v="7"/>
    <x v="22"/>
    <x v="7"/>
    <n v="38"/>
    <n v="15"/>
    <n v="9"/>
    <n v="14"/>
    <n v="47"/>
    <n v="49"/>
    <n v="-2"/>
    <n v="47"/>
  </r>
  <r>
    <x v="3"/>
    <x v="8"/>
    <x v="2"/>
    <x v="7"/>
    <n v="38"/>
    <n v="14"/>
    <n v="12"/>
    <n v="12"/>
    <n v="52"/>
    <n v="49"/>
    <n v="3"/>
    <n v="47"/>
  </r>
  <r>
    <x v="3"/>
    <x v="9"/>
    <x v="19"/>
    <x v="8"/>
    <n v="38"/>
    <n v="14"/>
    <n v="11"/>
    <n v="13"/>
    <n v="45"/>
    <n v="42"/>
    <n v="3"/>
    <n v="46"/>
  </r>
  <r>
    <x v="3"/>
    <x v="10"/>
    <x v="8"/>
    <x v="10"/>
    <n v="38"/>
    <n v="14"/>
    <n v="9"/>
    <n v="15"/>
    <n v="45"/>
    <n v="43"/>
    <n v="2"/>
    <n v="45"/>
  </r>
  <r>
    <x v="3"/>
    <x v="11"/>
    <x v="13"/>
    <x v="11"/>
    <n v="38"/>
    <n v="13"/>
    <n v="11"/>
    <n v="14"/>
    <n v="50"/>
    <n v="48"/>
    <n v="2"/>
    <n v="44"/>
  </r>
  <r>
    <x v="3"/>
    <x v="12"/>
    <x v="3"/>
    <x v="11"/>
    <n v="38"/>
    <n v="13"/>
    <n v="11"/>
    <n v="14"/>
    <n v="48"/>
    <n v="49"/>
    <n v="-1"/>
    <n v="44"/>
  </r>
  <r>
    <x v="3"/>
    <x v="13"/>
    <x v="4"/>
    <x v="45"/>
    <n v="38"/>
    <n v="11"/>
    <n v="14"/>
    <n v="13"/>
    <n v="50"/>
    <n v="53"/>
    <n v="-3"/>
    <n v="41"/>
  </r>
  <r>
    <x v="3"/>
    <x v="14"/>
    <x v="14"/>
    <x v="32"/>
    <n v="38"/>
    <n v="12"/>
    <n v="9"/>
    <n v="17"/>
    <n v="46"/>
    <n v="58"/>
    <n v="-12"/>
    <n v="39"/>
  </r>
  <r>
    <x v="3"/>
    <x v="15"/>
    <x v="26"/>
    <x v="27"/>
    <n v="38"/>
    <n v="11"/>
    <n v="10"/>
    <n v="17"/>
    <n v="50"/>
    <n v="58"/>
    <n v="-8"/>
    <n v="38"/>
  </r>
  <r>
    <x v="3"/>
    <x v="16"/>
    <x v="18"/>
    <x v="27"/>
    <n v="38"/>
    <n v="11"/>
    <n v="10"/>
    <n v="17"/>
    <n v="42"/>
    <n v="51"/>
    <n v="-9"/>
    <n v="38"/>
  </r>
  <r>
    <x v="3"/>
    <x v="17"/>
    <x v="23"/>
    <x v="27"/>
    <n v="38"/>
    <n v="10"/>
    <n v="13"/>
    <n v="15"/>
    <n v="29"/>
    <n v="48"/>
    <n v="-19"/>
    <n v="38"/>
  </r>
  <r>
    <x v="3"/>
    <x v="18"/>
    <x v="28"/>
    <x v="28"/>
    <n v="38"/>
    <n v="10"/>
    <n v="9"/>
    <n v="19"/>
    <n v="37"/>
    <n v="52"/>
    <n v="-15"/>
    <n v="34"/>
  </r>
  <r>
    <x v="3"/>
    <x v="19"/>
    <x v="12"/>
    <x v="29"/>
    <n v="38"/>
    <n v="9"/>
    <n v="9"/>
    <n v="20"/>
    <n v="38"/>
    <n v="56"/>
    <n v="-18"/>
    <n v="32"/>
  </r>
  <r>
    <x v="4"/>
    <x v="0"/>
    <x v="6"/>
    <x v="46"/>
    <n v="38"/>
    <n v="24"/>
    <n v="8"/>
    <n v="6"/>
    <n v="62"/>
    <n v="32"/>
    <n v="30"/>
    <n v="70"/>
  </r>
  <r>
    <x v="4"/>
    <x v="1"/>
    <x v="7"/>
    <x v="0"/>
    <n v="38"/>
    <n v="22"/>
    <n v="5"/>
    <n v="11"/>
    <n v="59"/>
    <n v="35"/>
    <n v="24"/>
    <n v="62"/>
  </r>
  <r>
    <x v="4"/>
    <x v="2"/>
    <x v="0"/>
    <x v="0"/>
    <n v="38"/>
    <n v="20"/>
    <n v="11"/>
    <n v="7"/>
    <n v="52"/>
    <n v="35"/>
    <n v="17"/>
    <n v="62"/>
  </r>
  <r>
    <x v="4"/>
    <x v="3"/>
    <x v="2"/>
    <x v="44"/>
    <n v="38"/>
    <n v="17"/>
    <n v="11"/>
    <n v="10"/>
    <n v="61"/>
    <n v="53"/>
    <n v="8"/>
    <n v="54"/>
  </r>
  <r>
    <x v="4"/>
    <x v="4"/>
    <x v="19"/>
    <x v="5"/>
    <n v="38"/>
    <n v="17"/>
    <n v="8"/>
    <n v="13"/>
    <n v="43"/>
    <n v="39"/>
    <n v="4"/>
    <n v="52"/>
  </r>
  <r>
    <x v="4"/>
    <x v="5"/>
    <x v="8"/>
    <x v="22"/>
    <n v="38"/>
    <n v="17"/>
    <n v="6"/>
    <n v="15"/>
    <n v="38"/>
    <n v="32"/>
    <n v="6"/>
    <n v="50"/>
  </r>
  <r>
    <x v="4"/>
    <x v="6"/>
    <x v="11"/>
    <x v="47"/>
    <n v="38"/>
    <n v="15"/>
    <n v="10"/>
    <n v="13"/>
    <n v="48"/>
    <n v="42"/>
    <n v="6"/>
    <n v="48"/>
  </r>
  <r>
    <x v="4"/>
    <x v="7"/>
    <x v="28"/>
    <x v="8"/>
    <n v="38"/>
    <n v="15"/>
    <n v="8"/>
    <n v="15"/>
    <n v="48"/>
    <n v="52"/>
    <n v="-4"/>
    <n v="46"/>
  </r>
  <r>
    <x v="4"/>
    <x v="8"/>
    <x v="5"/>
    <x v="8"/>
    <n v="38"/>
    <n v="14"/>
    <n v="11"/>
    <n v="13"/>
    <n v="41"/>
    <n v="44"/>
    <n v="-3"/>
    <n v="46"/>
  </r>
  <r>
    <x v="4"/>
    <x v="9"/>
    <x v="3"/>
    <x v="9"/>
    <n v="38"/>
    <n v="14"/>
    <n v="10"/>
    <n v="14"/>
    <n v="44"/>
    <n v="36"/>
    <n v="8"/>
    <n v="46"/>
  </r>
  <r>
    <x v="4"/>
    <x v="10"/>
    <x v="22"/>
    <x v="9"/>
    <n v="38"/>
    <n v="13"/>
    <n v="13"/>
    <n v="12"/>
    <n v="49"/>
    <n v="56"/>
    <n v="-7"/>
    <n v="46"/>
  </r>
  <r>
    <x v="4"/>
    <x v="11"/>
    <x v="20"/>
    <x v="10"/>
    <n v="38"/>
    <n v="14"/>
    <n v="9"/>
    <n v="15"/>
    <n v="48"/>
    <n v="49"/>
    <n v="-1"/>
    <n v="45"/>
  </r>
  <r>
    <x v="4"/>
    <x v="12"/>
    <x v="4"/>
    <x v="11"/>
    <n v="38"/>
    <n v="13"/>
    <n v="11"/>
    <n v="14"/>
    <n v="45"/>
    <n v="45"/>
    <n v="0"/>
    <n v="44"/>
  </r>
  <r>
    <x v="4"/>
    <x v="13"/>
    <x v="14"/>
    <x v="45"/>
    <n v="38"/>
    <n v="13"/>
    <n v="8"/>
    <n v="17"/>
    <n v="49"/>
    <n v="55"/>
    <n v="-6"/>
    <n v="41"/>
  </r>
  <r>
    <x v="4"/>
    <x v="14"/>
    <x v="18"/>
    <x v="26"/>
    <n v="38"/>
    <n v="11"/>
    <n v="13"/>
    <n v="14"/>
    <n v="41"/>
    <n v="42"/>
    <n v="-1"/>
    <n v="40"/>
  </r>
  <r>
    <x v="4"/>
    <x v="15"/>
    <x v="26"/>
    <x v="32"/>
    <n v="38"/>
    <n v="12"/>
    <n v="9"/>
    <n v="17"/>
    <n v="51"/>
    <n v="53"/>
    <n v="-2"/>
    <n v="39"/>
  </r>
  <r>
    <x v="4"/>
    <x v="16"/>
    <x v="24"/>
    <x v="27"/>
    <n v="38"/>
    <n v="11"/>
    <n v="10"/>
    <n v="17"/>
    <n v="35"/>
    <n v="41"/>
    <n v="-6"/>
    <n v="38"/>
  </r>
  <r>
    <x v="4"/>
    <x v="17"/>
    <x v="29"/>
    <x v="15"/>
    <n v="38"/>
    <n v="8"/>
    <n v="13"/>
    <n v="17"/>
    <n v="30"/>
    <n v="50"/>
    <n v="-20"/>
    <n v="32"/>
  </r>
  <r>
    <x v="4"/>
    <x v="18"/>
    <x v="30"/>
    <x v="16"/>
    <n v="38"/>
    <n v="8"/>
    <n v="7"/>
    <n v="23"/>
    <n v="45"/>
    <n v="69"/>
    <n v="-24"/>
    <n v="27"/>
  </r>
  <r>
    <x v="4"/>
    <x v="19"/>
    <x v="25"/>
    <x v="48"/>
    <n v="38"/>
    <n v="7"/>
    <n v="7"/>
    <n v="24"/>
    <n v="23"/>
    <n v="58"/>
    <n v="-35"/>
    <n v="25"/>
  </r>
  <r>
    <x v="5"/>
    <x v="0"/>
    <x v="11"/>
    <x v="49"/>
    <n v="38"/>
    <n v="24"/>
    <n v="9"/>
    <n v="5"/>
    <n v="71"/>
    <n v="31"/>
    <n v="40"/>
    <n v="71"/>
  </r>
  <r>
    <x v="5"/>
    <x v="1"/>
    <x v="2"/>
    <x v="50"/>
    <n v="38"/>
    <n v="21"/>
    <n v="6"/>
    <n v="11"/>
    <n v="65"/>
    <n v="47"/>
    <n v="18"/>
    <n v="61"/>
  </r>
  <r>
    <x v="5"/>
    <x v="2"/>
    <x v="5"/>
    <x v="2"/>
    <n v="38"/>
    <n v="20"/>
    <n v="8"/>
    <n v="10"/>
    <n v="52"/>
    <n v="32"/>
    <n v="20"/>
    <n v="60"/>
  </r>
  <r>
    <x v="5"/>
    <x v="3"/>
    <x v="3"/>
    <x v="44"/>
    <n v="38"/>
    <n v="18"/>
    <n v="8"/>
    <n v="12"/>
    <n v="53"/>
    <n v="47"/>
    <n v="6"/>
    <n v="54"/>
  </r>
  <r>
    <x v="5"/>
    <x v="4"/>
    <x v="24"/>
    <x v="51"/>
    <n v="38"/>
    <n v="17"/>
    <n v="9"/>
    <n v="12"/>
    <n v="39"/>
    <n v="38"/>
    <n v="1"/>
    <n v="53"/>
  </r>
  <r>
    <x v="5"/>
    <x v="5"/>
    <x v="14"/>
    <x v="5"/>
    <n v="38"/>
    <n v="15"/>
    <n v="14"/>
    <n v="9"/>
    <n v="53"/>
    <n v="38"/>
    <n v="15"/>
    <n v="52"/>
  </r>
  <r>
    <x v="5"/>
    <x v="6"/>
    <x v="7"/>
    <x v="6"/>
    <n v="38"/>
    <n v="16"/>
    <n v="10"/>
    <n v="12"/>
    <n v="59"/>
    <n v="41"/>
    <n v="18"/>
    <n v="51"/>
  </r>
  <r>
    <x v="5"/>
    <x v="7"/>
    <x v="20"/>
    <x v="47"/>
    <n v="38"/>
    <n v="15"/>
    <n v="10"/>
    <n v="13"/>
    <n v="44"/>
    <n v="35"/>
    <n v="9"/>
    <n v="48"/>
  </r>
  <r>
    <x v="5"/>
    <x v="8"/>
    <x v="6"/>
    <x v="8"/>
    <n v="38"/>
    <n v="15"/>
    <n v="8"/>
    <n v="15"/>
    <n v="60"/>
    <n v="51"/>
    <n v="9"/>
    <n v="46"/>
  </r>
  <r>
    <x v="5"/>
    <x v="9"/>
    <x v="8"/>
    <x v="10"/>
    <n v="38"/>
    <n v="14"/>
    <n v="9"/>
    <n v="15"/>
    <n v="43"/>
    <n v="48"/>
    <n v="-5"/>
    <n v="45"/>
  </r>
  <r>
    <x v="5"/>
    <x v="10"/>
    <x v="28"/>
    <x v="10"/>
    <n v="38"/>
    <n v="13"/>
    <n v="12"/>
    <n v="13"/>
    <n v="41"/>
    <n v="40"/>
    <n v="1"/>
    <n v="45"/>
  </r>
  <r>
    <x v="5"/>
    <x v="11"/>
    <x v="0"/>
    <x v="24"/>
    <n v="38"/>
    <n v="15"/>
    <n v="4"/>
    <n v="19"/>
    <n v="45"/>
    <n v="53"/>
    <n v="-8"/>
    <n v="43"/>
  </r>
  <r>
    <x v="5"/>
    <x v="12"/>
    <x v="4"/>
    <x v="45"/>
    <n v="38"/>
    <n v="14"/>
    <n v="5"/>
    <n v="19"/>
    <n v="40"/>
    <n v="49"/>
    <n v="-9"/>
    <n v="41"/>
  </r>
  <r>
    <x v="5"/>
    <x v="13"/>
    <x v="22"/>
    <x v="45"/>
    <n v="38"/>
    <n v="12"/>
    <n v="11"/>
    <n v="15"/>
    <n v="34"/>
    <n v="44"/>
    <n v="-10"/>
    <n v="41"/>
  </r>
  <r>
    <x v="5"/>
    <x v="14"/>
    <x v="18"/>
    <x v="12"/>
    <n v="38"/>
    <n v="11"/>
    <n v="11"/>
    <n v="16"/>
    <n v="31"/>
    <n v="42"/>
    <n v="-11"/>
    <n v="39"/>
  </r>
  <r>
    <x v="5"/>
    <x v="15"/>
    <x v="29"/>
    <x v="27"/>
    <n v="38"/>
    <n v="11"/>
    <n v="10"/>
    <n v="17"/>
    <n v="36"/>
    <n v="50"/>
    <n v="-14"/>
    <n v="38"/>
  </r>
  <r>
    <x v="5"/>
    <x v="16"/>
    <x v="23"/>
    <x v="13"/>
    <n v="38"/>
    <n v="11"/>
    <n v="9"/>
    <n v="18"/>
    <n v="38"/>
    <n v="60"/>
    <n v="-22"/>
    <n v="37"/>
  </r>
  <r>
    <x v="5"/>
    <x v="17"/>
    <x v="16"/>
    <x v="14"/>
    <n v="38"/>
    <n v="10"/>
    <n v="11"/>
    <n v="17"/>
    <n v="28"/>
    <n v="54"/>
    <n v="-26"/>
    <n v="36"/>
  </r>
  <r>
    <x v="5"/>
    <x v="18"/>
    <x v="17"/>
    <x v="52"/>
    <n v="38"/>
    <n v="10"/>
    <n v="8"/>
    <n v="20"/>
    <n v="39"/>
    <n v="49"/>
    <n v="-10"/>
    <n v="33"/>
  </r>
  <r>
    <x v="5"/>
    <x v="19"/>
    <x v="31"/>
    <x v="16"/>
    <n v="38"/>
    <n v="7"/>
    <n v="10"/>
    <n v="21"/>
    <n v="26"/>
    <n v="48"/>
    <n v="-22"/>
    <n v="27"/>
  </r>
  <r>
    <x v="6"/>
    <x v="0"/>
    <x v="20"/>
    <x v="46"/>
    <n v="38"/>
    <n v="24"/>
    <n v="8"/>
    <n v="6"/>
    <n v="67"/>
    <n v="38"/>
    <n v="29"/>
    <n v="70"/>
  </r>
  <r>
    <x v="6"/>
    <x v="1"/>
    <x v="3"/>
    <x v="1"/>
    <n v="38"/>
    <n v="20"/>
    <n v="10"/>
    <n v="8"/>
    <n v="59"/>
    <n v="40"/>
    <n v="19"/>
    <n v="61"/>
  </r>
  <r>
    <x v="6"/>
    <x v="2"/>
    <x v="24"/>
    <x v="50"/>
    <n v="38"/>
    <n v="21"/>
    <n v="6"/>
    <n v="11"/>
    <n v="53"/>
    <n v="41"/>
    <n v="12"/>
    <n v="61"/>
  </r>
  <r>
    <x v="6"/>
    <x v="3"/>
    <x v="11"/>
    <x v="50"/>
    <n v="38"/>
    <n v="19"/>
    <n v="12"/>
    <n v="7"/>
    <n v="49"/>
    <n v="31"/>
    <n v="18"/>
    <n v="61"/>
  </r>
  <r>
    <x v="6"/>
    <x v="4"/>
    <x v="2"/>
    <x v="44"/>
    <n v="38"/>
    <n v="17"/>
    <n v="11"/>
    <n v="10"/>
    <n v="51"/>
    <n v="38"/>
    <n v="13"/>
    <n v="54"/>
  </r>
  <r>
    <x v="6"/>
    <x v="5"/>
    <x v="4"/>
    <x v="53"/>
    <n v="38"/>
    <n v="17"/>
    <n v="10"/>
    <n v="11"/>
    <n v="61"/>
    <n v="42"/>
    <n v="19"/>
    <n v="54"/>
  </r>
  <r>
    <x v="6"/>
    <x v="6"/>
    <x v="5"/>
    <x v="53"/>
    <n v="38"/>
    <n v="17"/>
    <n v="10"/>
    <n v="11"/>
    <n v="36"/>
    <n v="24"/>
    <n v="12"/>
    <n v="54"/>
  </r>
  <r>
    <x v="6"/>
    <x v="7"/>
    <x v="8"/>
    <x v="7"/>
    <n v="38"/>
    <n v="15"/>
    <n v="9"/>
    <n v="14"/>
    <n v="43"/>
    <n v="42"/>
    <n v="1"/>
    <n v="47"/>
  </r>
  <r>
    <x v="6"/>
    <x v="8"/>
    <x v="7"/>
    <x v="8"/>
    <n v="38"/>
    <n v="15"/>
    <n v="8"/>
    <n v="15"/>
    <n v="42"/>
    <n v="35"/>
    <n v="7"/>
    <n v="46"/>
  </r>
  <r>
    <x v="6"/>
    <x v="9"/>
    <x v="0"/>
    <x v="9"/>
    <n v="38"/>
    <n v="14"/>
    <n v="10"/>
    <n v="14"/>
    <n v="46"/>
    <n v="47"/>
    <n v="-1"/>
    <n v="46"/>
  </r>
  <r>
    <x v="6"/>
    <x v="10"/>
    <x v="14"/>
    <x v="9"/>
    <n v="38"/>
    <n v="14"/>
    <n v="10"/>
    <n v="14"/>
    <n v="36"/>
    <n v="46"/>
    <n v="-10"/>
    <n v="46"/>
  </r>
  <r>
    <x v="6"/>
    <x v="11"/>
    <x v="17"/>
    <x v="45"/>
    <n v="38"/>
    <n v="13"/>
    <n v="8"/>
    <n v="17"/>
    <n v="38"/>
    <n v="40"/>
    <n v="-2"/>
    <n v="41"/>
  </r>
  <r>
    <x v="6"/>
    <x v="12"/>
    <x v="29"/>
    <x v="45"/>
    <n v="38"/>
    <n v="13"/>
    <n v="8"/>
    <n v="17"/>
    <n v="37"/>
    <n v="47"/>
    <n v="-10"/>
    <n v="41"/>
  </r>
  <r>
    <x v="6"/>
    <x v="13"/>
    <x v="18"/>
    <x v="45"/>
    <n v="38"/>
    <n v="12"/>
    <n v="11"/>
    <n v="15"/>
    <n v="42"/>
    <n v="45"/>
    <n v="-3"/>
    <n v="41"/>
  </r>
  <r>
    <x v="6"/>
    <x v="14"/>
    <x v="22"/>
    <x v="27"/>
    <n v="38"/>
    <n v="11"/>
    <n v="10"/>
    <n v="17"/>
    <n v="39"/>
    <n v="44"/>
    <n v="-5"/>
    <n v="38"/>
  </r>
  <r>
    <x v="6"/>
    <x v="15"/>
    <x v="6"/>
    <x v="54"/>
    <n v="38"/>
    <n v="11"/>
    <n v="7"/>
    <n v="20"/>
    <n v="34"/>
    <n v="59"/>
    <n v="-25"/>
    <n v="35"/>
  </r>
  <r>
    <x v="6"/>
    <x v="16"/>
    <x v="26"/>
    <x v="52"/>
    <n v="38"/>
    <n v="10"/>
    <n v="8"/>
    <n v="20"/>
    <n v="37"/>
    <n v="54"/>
    <n v="-17"/>
    <n v="33"/>
  </r>
  <r>
    <x v="6"/>
    <x v="17"/>
    <x v="13"/>
    <x v="15"/>
    <n v="38"/>
    <n v="9"/>
    <n v="10"/>
    <n v="19"/>
    <n v="31"/>
    <n v="43"/>
    <n v="-12"/>
    <n v="32"/>
  </r>
  <r>
    <x v="6"/>
    <x v="18"/>
    <x v="19"/>
    <x v="33"/>
    <n v="38"/>
    <n v="9"/>
    <n v="7"/>
    <n v="22"/>
    <n v="31"/>
    <n v="48"/>
    <n v="-17"/>
    <n v="30"/>
  </r>
  <r>
    <x v="6"/>
    <x v="19"/>
    <x v="32"/>
    <x v="30"/>
    <n v="38"/>
    <n v="7"/>
    <n v="11"/>
    <n v="20"/>
    <n v="28"/>
    <n v="56"/>
    <n v="-28"/>
    <n v="28"/>
  </r>
  <r>
    <x v="7"/>
    <x v="0"/>
    <x v="20"/>
    <x v="55"/>
    <n v="38"/>
    <n v="23"/>
    <n v="7"/>
    <n v="8"/>
    <n v="77"/>
    <n v="37"/>
    <n v="40"/>
    <n v="67"/>
  </r>
  <r>
    <x v="7"/>
    <x v="1"/>
    <x v="5"/>
    <x v="20"/>
    <n v="38"/>
    <n v="18"/>
    <n v="11"/>
    <n v="9"/>
    <n v="42"/>
    <n v="35"/>
    <n v="7"/>
    <n v="57"/>
  </r>
  <r>
    <x v="7"/>
    <x v="2"/>
    <x v="8"/>
    <x v="4"/>
    <n v="38"/>
    <n v="18"/>
    <n v="10"/>
    <n v="10"/>
    <n v="65"/>
    <n v="49"/>
    <n v="16"/>
    <n v="56"/>
  </r>
  <r>
    <x v="7"/>
    <x v="3"/>
    <x v="19"/>
    <x v="53"/>
    <n v="38"/>
    <n v="17"/>
    <n v="10"/>
    <n v="11"/>
    <n v="55"/>
    <n v="41"/>
    <n v="14"/>
    <n v="54"/>
  </r>
  <r>
    <x v="7"/>
    <x v="4"/>
    <x v="26"/>
    <x v="5"/>
    <n v="38"/>
    <n v="16"/>
    <n v="11"/>
    <n v="11"/>
    <n v="59"/>
    <n v="53"/>
    <n v="6"/>
    <n v="52"/>
  </r>
  <r>
    <x v="7"/>
    <x v="5"/>
    <x v="17"/>
    <x v="5"/>
    <n v="38"/>
    <n v="16"/>
    <n v="11"/>
    <n v="11"/>
    <n v="48"/>
    <n v="44"/>
    <n v="4"/>
    <n v="52"/>
  </r>
  <r>
    <x v="7"/>
    <x v="6"/>
    <x v="7"/>
    <x v="22"/>
    <n v="38"/>
    <n v="15"/>
    <n v="12"/>
    <n v="11"/>
    <n v="51"/>
    <n v="38"/>
    <n v="13"/>
    <n v="50"/>
  </r>
  <r>
    <x v="7"/>
    <x v="7"/>
    <x v="2"/>
    <x v="22"/>
    <n v="38"/>
    <n v="15"/>
    <n v="12"/>
    <n v="11"/>
    <n v="49"/>
    <n v="38"/>
    <n v="11"/>
    <n v="50"/>
  </r>
  <r>
    <x v="7"/>
    <x v="8"/>
    <x v="3"/>
    <x v="11"/>
    <n v="38"/>
    <n v="14"/>
    <n v="8"/>
    <n v="16"/>
    <n v="39"/>
    <n v="40"/>
    <n v="-1"/>
    <n v="44"/>
  </r>
  <r>
    <x v="7"/>
    <x v="9"/>
    <x v="11"/>
    <x v="11"/>
    <n v="38"/>
    <n v="11"/>
    <n v="17"/>
    <n v="10"/>
    <n v="27"/>
    <n v="22"/>
    <n v="5"/>
    <n v="44"/>
  </r>
  <r>
    <x v="7"/>
    <x v="10"/>
    <x v="18"/>
    <x v="25"/>
    <n v="38"/>
    <n v="12"/>
    <n v="12"/>
    <n v="14"/>
    <n v="42"/>
    <n v="45"/>
    <n v="-3"/>
    <n v="42"/>
  </r>
  <r>
    <x v="7"/>
    <x v="11"/>
    <x v="13"/>
    <x v="25"/>
    <n v="38"/>
    <n v="12"/>
    <n v="12"/>
    <n v="14"/>
    <n v="37"/>
    <n v="45"/>
    <n v="-8"/>
    <n v="42"/>
  </r>
  <r>
    <x v="7"/>
    <x v="12"/>
    <x v="24"/>
    <x v="25"/>
    <n v="38"/>
    <n v="11"/>
    <n v="15"/>
    <n v="12"/>
    <n v="51"/>
    <n v="52"/>
    <n v="-1"/>
    <n v="42"/>
  </r>
  <r>
    <x v="7"/>
    <x v="13"/>
    <x v="32"/>
    <x v="26"/>
    <n v="38"/>
    <n v="13"/>
    <n v="7"/>
    <n v="18"/>
    <n v="49"/>
    <n v="63"/>
    <n v="-14"/>
    <n v="40"/>
  </r>
  <r>
    <x v="7"/>
    <x v="14"/>
    <x v="4"/>
    <x v="26"/>
    <n v="38"/>
    <n v="12"/>
    <n v="10"/>
    <n v="16"/>
    <n v="43"/>
    <n v="47"/>
    <n v="-4"/>
    <n v="40"/>
  </r>
  <r>
    <x v="7"/>
    <x v="15"/>
    <x v="0"/>
    <x v="32"/>
    <n v="38"/>
    <n v="12"/>
    <n v="13"/>
    <n v="13"/>
    <n v="43"/>
    <n v="46"/>
    <n v="-3"/>
    <n v="39"/>
  </r>
  <r>
    <x v="7"/>
    <x v="16"/>
    <x v="33"/>
    <x v="12"/>
    <n v="38"/>
    <n v="12"/>
    <n v="12"/>
    <n v="14"/>
    <n v="50"/>
    <n v="46"/>
    <n v="4"/>
    <n v="39"/>
  </r>
  <r>
    <x v="7"/>
    <x v="17"/>
    <x v="16"/>
    <x v="12"/>
    <n v="38"/>
    <n v="11"/>
    <n v="11"/>
    <n v="16"/>
    <n v="50"/>
    <n v="61"/>
    <n v="-11"/>
    <n v="39"/>
  </r>
  <r>
    <x v="7"/>
    <x v="18"/>
    <x v="28"/>
    <x v="15"/>
    <n v="38"/>
    <n v="9"/>
    <n v="10"/>
    <n v="19"/>
    <n v="37"/>
    <n v="55"/>
    <n v="-18"/>
    <n v="32"/>
  </r>
  <r>
    <x v="7"/>
    <x v="19"/>
    <x v="34"/>
    <x v="31"/>
    <n v="38"/>
    <n v="5"/>
    <n v="5"/>
    <n v="28"/>
    <n v="22"/>
    <n v="79"/>
    <n v="-57"/>
    <n v="18"/>
  </r>
  <r>
    <x v="8"/>
    <x v="0"/>
    <x v="4"/>
    <x v="56"/>
    <n v="38"/>
    <n v="22"/>
    <n v="11"/>
    <n v="5"/>
    <n v="61"/>
    <n v="33"/>
    <n v="28"/>
    <n v="68"/>
  </r>
  <r>
    <x v="8"/>
    <x v="1"/>
    <x v="2"/>
    <x v="43"/>
    <n v="38"/>
    <n v="20"/>
    <n v="12"/>
    <n v="6"/>
    <n v="64"/>
    <n v="37"/>
    <n v="27"/>
    <n v="63"/>
  </r>
  <r>
    <x v="8"/>
    <x v="2"/>
    <x v="5"/>
    <x v="0"/>
    <n v="38"/>
    <n v="20"/>
    <n v="11"/>
    <n v="7"/>
    <n v="56"/>
    <n v="33"/>
    <n v="23"/>
    <n v="62"/>
  </r>
  <r>
    <x v="8"/>
    <x v="3"/>
    <x v="3"/>
    <x v="3"/>
    <n v="38"/>
    <n v="20"/>
    <n v="6"/>
    <n v="12"/>
    <n v="59"/>
    <n v="37"/>
    <n v="22"/>
    <n v="58"/>
  </r>
  <r>
    <x v="8"/>
    <x v="4"/>
    <x v="16"/>
    <x v="6"/>
    <n v="38"/>
    <n v="16"/>
    <n v="10"/>
    <n v="12"/>
    <n v="45"/>
    <n v="44"/>
    <n v="1"/>
    <n v="51"/>
  </r>
  <r>
    <x v="8"/>
    <x v="5"/>
    <x v="11"/>
    <x v="22"/>
    <n v="38"/>
    <n v="15"/>
    <n v="12"/>
    <n v="11"/>
    <n v="51"/>
    <n v="39"/>
    <n v="12"/>
    <n v="50"/>
  </r>
  <r>
    <x v="8"/>
    <x v="6"/>
    <x v="19"/>
    <x v="47"/>
    <n v="38"/>
    <n v="15"/>
    <n v="10"/>
    <n v="13"/>
    <n v="60"/>
    <n v="50"/>
    <n v="10"/>
    <n v="48"/>
  </r>
  <r>
    <x v="8"/>
    <x v="7"/>
    <x v="7"/>
    <x v="8"/>
    <n v="38"/>
    <n v="13"/>
    <n v="14"/>
    <n v="11"/>
    <n v="50"/>
    <n v="44"/>
    <n v="6"/>
    <n v="46"/>
  </r>
  <r>
    <x v="8"/>
    <x v="8"/>
    <x v="20"/>
    <x v="9"/>
    <n v="38"/>
    <n v="15"/>
    <n v="7"/>
    <n v="16"/>
    <n v="47"/>
    <n v="51"/>
    <n v="-4"/>
    <n v="46"/>
  </r>
  <r>
    <x v="8"/>
    <x v="9"/>
    <x v="24"/>
    <x v="9"/>
    <n v="38"/>
    <n v="13"/>
    <n v="13"/>
    <n v="12"/>
    <n v="44"/>
    <n v="40"/>
    <n v="4"/>
    <n v="46"/>
  </r>
  <r>
    <x v="8"/>
    <x v="10"/>
    <x v="0"/>
    <x v="11"/>
    <n v="38"/>
    <n v="12"/>
    <n v="14"/>
    <n v="12"/>
    <n v="39"/>
    <n v="46"/>
    <n v="-7"/>
    <n v="44"/>
  </r>
  <r>
    <x v="8"/>
    <x v="11"/>
    <x v="34"/>
    <x v="24"/>
    <n v="38"/>
    <n v="14"/>
    <n v="7"/>
    <n v="17"/>
    <n v="44"/>
    <n v="51"/>
    <n v="-7"/>
    <n v="43"/>
  </r>
  <r>
    <x v="8"/>
    <x v="12"/>
    <x v="18"/>
    <x v="25"/>
    <n v="38"/>
    <n v="14"/>
    <n v="6"/>
    <n v="18"/>
    <n v="53"/>
    <n v="60"/>
    <n v="-7"/>
    <n v="42"/>
  </r>
  <r>
    <x v="8"/>
    <x v="13"/>
    <x v="28"/>
    <x v="25"/>
    <n v="38"/>
    <n v="12"/>
    <n v="12"/>
    <n v="14"/>
    <n v="37"/>
    <n v="44"/>
    <n v="-7"/>
    <n v="42"/>
  </r>
  <r>
    <x v="8"/>
    <x v="14"/>
    <x v="13"/>
    <x v="45"/>
    <n v="38"/>
    <n v="11"/>
    <n v="14"/>
    <n v="13"/>
    <n v="37"/>
    <n v="41"/>
    <n v="-4"/>
    <n v="41"/>
  </r>
  <r>
    <x v="8"/>
    <x v="15"/>
    <x v="33"/>
    <x v="32"/>
    <n v="38"/>
    <n v="10"/>
    <n v="15"/>
    <n v="13"/>
    <n v="39"/>
    <n v="41"/>
    <n v="-2"/>
    <n v="39"/>
  </r>
  <r>
    <x v="8"/>
    <x v="16"/>
    <x v="14"/>
    <x v="14"/>
    <n v="38"/>
    <n v="10"/>
    <n v="11"/>
    <n v="17"/>
    <n v="39"/>
    <n v="56"/>
    <n v="-17"/>
    <n v="36"/>
  </r>
  <r>
    <x v="8"/>
    <x v="17"/>
    <x v="6"/>
    <x v="33"/>
    <n v="38"/>
    <n v="9"/>
    <n v="7"/>
    <n v="22"/>
    <n v="39"/>
    <n v="54"/>
    <n v="-15"/>
    <n v="30"/>
  </r>
  <r>
    <x v="8"/>
    <x v="18"/>
    <x v="12"/>
    <x v="34"/>
    <n v="38"/>
    <n v="7"/>
    <n v="9"/>
    <n v="22"/>
    <n v="37"/>
    <n v="67"/>
    <n v="-30"/>
    <n v="26"/>
  </r>
  <r>
    <x v="8"/>
    <x v="19"/>
    <x v="29"/>
    <x v="34"/>
    <n v="38"/>
    <n v="7"/>
    <n v="9"/>
    <n v="22"/>
    <n v="39"/>
    <n v="72"/>
    <n v="-33"/>
    <n v="26"/>
  </r>
  <r>
    <x v="9"/>
    <x v="0"/>
    <x v="11"/>
    <x v="0"/>
    <n v="38"/>
    <n v="21"/>
    <n v="8"/>
    <n v="9"/>
    <n v="53"/>
    <n v="36"/>
    <n v="17"/>
    <n v="62"/>
  </r>
  <r>
    <x v="9"/>
    <x v="1"/>
    <x v="16"/>
    <x v="50"/>
    <n v="38"/>
    <n v="19"/>
    <n v="12"/>
    <n v="7"/>
    <n v="57"/>
    <n v="40"/>
    <n v="17"/>
    <n v="61"/>
  </r>
  <r>
    <x v="9"/>
    <x v="2"/>
    <x v="4"/>
    <x v="21"/>
    <n v="38"/>
    <n v="20"/>
    <n v="3"/>
    <n v="15"/>
    <n v="60"/>
    <n v="51"/>
    <n v="9"/>
    <n v="55"/>
  </r>
  <r>
    <x v="9"/>
    <x v="3"/>
    <x v="0"/>
    <x v="53"/>
    <n v="38"/>
    <n v="15"/>
    <n v="16"/>
    <n v="7"/>
    <n v="59"/>
    <n v="47"/>
    <n v="12"/>
    <n v="54"/>
  </r>
  <r>
    <x v="9"/>
    <x v="4"/>
    <x v="24"/>
    <x v="51"/>
    <n v="38"/>
    <n v="16"/>
    <n v="12"/>
    <n v="10"/>
    <n v="57"/>
    <n v="43"/>
    <n v="14"/>
    <n v="53"/>
  </r>
  <r>
    <x v="9"/>
    <x v="5"/>
    <x v="3"/>
    <x v="5"/>
    <n v="38"/>
    <n v="16"/>
    <n v="11"/>
    <n v="11"/>
    <n v="57"/>
    <n v="46"/>
    <n v="11"/>
    <n v="52"/>
  </r>
  <r>
    <x v="9"/>
    <x v="6"/>
    <x v="29"/>
    <x v="6"/>
    <n v="38"/>
    <n v="15"/>
    <n v="13"/>
    <n v="10"/>
    <n v="46"/>
    <n v="45"/>
    <n v="1"/>
    <n v="51"/>
  </r>
  <r>
    <x v="9"/>
    <x v="7"/>
    <x v="18"/>
    <x v="22"/>
    <n v="38"/>
    <n v="16"/>
    <n v="9"/>
    <n v="13"/>
    <n v="57"/>
    <n v="41"/>
    <n v="16"/>
    <n v="50"/>
  </r>
  <r>
    <x v="9"/>
    <x v="8"/>
    <x v="19"/>
    <x v="23"/>
    <n v="38"/>
    <n v="16"/>
    <n v="8"/>
    <n v="14"/>
    <n v="52"/>
    <n v="49"/>
    <n v="3"/>
    <n v="49"/>
  </r>
  <r>
    <x v="9"/>
    <x v="9"/>
    <x v="7"/>
    <x v="8"/>
    <n v="38"/>
    <n v="15"/>
    <n v="8"/>
    <n v="15"/>
    <n v="55"/>
    <n v="55"/>
    <n v="0"/>
    <n v="46"/>
  </r>
  <r>
    <x v="9"/>
    <x v="10"/>
    <x v="6"/>
    <x v="11"/>
    <n v="38"/>
    <n v="11"/>
    <n v="17"/>
    <n v="10"/>
    <n v="43"/>
    <n v="39"/>
    <n v="4"/>
    <n v="44"/>
  </r>
  <r>
    <x v="9"/>
    <x v="11"/>
    <x v="5"/>
    <x v="25"/>
    <n v="38"/>
    <n v="13"/>
    <n v="9"/>
    <n v="16"/>
    <n v="49"/>
    <n v="57"/>
    <n v="-8"/>
    <n v="42"/>
  </r>
  <r>
    <x v="9"/>
    <x v="12"/>
    <x v="12"/>
    <x v="25"/>
    <n v="38"/>
    <n v="12"/>
    <n v="12"/>
    <n v="14"/>
    <n v="50"/>
    <n v="45"/>
    <n v="5"/>
    <n v="42"/>
  </r>
  <r>
    <x v="9"/>
    <x v="13"/>
    <x v="13"/>
    <x v="26"/>
    <n v="38"/>
    <n v="11"/>
    <n v="13"/>
    <n v="14"/>
    <n v="43"/>
    <n v="49"/>
    <n v="-6"/>
    <n v="40"/>
  </r>
  <r>
    <x v="9"/>
    <x v="14"/>
    <x v="2"/>
    <x v="32"/>
    <n v="38"/>
    <n v="13"/>
    <n v="6"/>
    <n v="19"/>
    <n v="50"/>
    <n v="60"/>
    <n v="-10"/>
    <n v="39"/>
  </r>
  <r>
    <x v="9"/>
    <x v="15"/>
    <x v="20"/>
    <x v="27"/>
    <n v="38"/>
    <n v="11"/>
    <n v="10"/>
    <n v="17"/>
    <n v="48"/>
    <n v="51"/>
    <n v="-3"/>
    <n v="38"/>
  </r>
  <r>
    <x v="9"/>
    <x v="16"/>
    <x v="8"/>
    <x v="14"/>
    <n v="38"/>
    <n v="10"/>
    <n v="11"/>
    <n v="17"/>
    <n v="38"/>
    <n v="55"/>
    <n v="-17"/>
    <n v="36"/>
  </r>
  <r>
    <x v="9"/>
    <x v="17"/>
    <x v="10"/>
    <x v="28"/>
    <n v="38"/>
    <n v="10"/>
    <n v="9"/>
    <n v="19"/>
    <n v="47"/>
    <n v="64"/>
    <n v="-17"/>
    <n v="34"/>
  </r>
  <r>
    <x v="9"/>
    <x v="18"/>
    <x v="25"/>
    <x v="15"/>
    <n v="38"/>
    <n v="8"/>
    <n v="13"/>
    <n v="17"/>
    <n v="51"/>
    <n v="69"/>
    <n v="-18"/>
    <n v="32"/>
  </r>
  <r>
    <x v="9"/>
    <x v="19"/>
    <x v="23"/>
    <x v="16"/>
    <n v="38"/>
    <n v="7"/>
    <n v="10"/>
    <n v="21"/>
    <n v="45"/>
    <n v="75"/>
    <n v="-30"/>
    <n v="27"/>
  </r>
  <r>
    <x v="10"/>
    <x v="0"/>
    <x v="4"/>
    <x v="0"/>
    <n v="38"/>
    <n v="20"/>
    <n v="11"/>
    <n v="7"/>
    <n v="62"/>
    <n v="36"/>
    <n v="26"/>
    <n v="62"/>
  </r>
  <r>
    <x v="10"/>
    <x v="1"/>
    <x v="20"/>
    <x v="50"/>
    <n v="38"/>
    <n v="20"/>
    <n v="9"/>
    <n v="9"/>
    <n v="53"/>
    <n v="38"/>
    <n v="15"/>
    <n v="61"/>
  </r>
  <r>
    <x v="10"/>
    <x v="2"/>
    <x v="11"/>
    <x v="2"/>
    <n v="38"/>
    <n v="19"/>
    <n v="11"/>
    <n v="8"/>
    <n v="65"/>
    <n v="41"/>
    <n v="24"/>
    <n v="60"/>
  </r>
  <r>
    <x v="10"/>
    <x v="3"/>
    <x v="5"/>
    <x v="21"/>
    <n v="38"/>
    <n v="17"/>
    <n v="12"/>
    <n v="9"/>
    <n v="68"/>
    <n v="43"/>
    <n v="25"/>
    <n v="55"/>
  </r>
  <r>
    <x v="10"/>
    <x v="4"/>
    <x v="8"/>
    <x v="51"/>
    <n v="38"/>
    <n v="17"/>
    <n v="9"/>
    <n v="12"/>
    <n v="43"/>
    <n v="45"/>
    <n v="-2"/>
    <n v="53"/>
  </r>
  <r>
    <x v="10"/>
    <x v="5"/>
    <x v="19"/>
    <x v="5"/>
    <n v="38"/>
    <n v="14"/>
    <n v="17"/>
    <n v="7"/>
    <n v="54"/>
    <n v="42"/>
    <n v="12"/>
    <n v="52"/>
  </r>
  <r>
    <x v="10"/>
    <x v="6"/>
    <x v="24"/>
    <x v="6"/>
    <n v="38"/>
    <n v="16"/>
    <n v="10"/>
    <n v="12"/>
    <n v="48"/>
    <n v="41"/>
    <n v="7"/>
    <n v="51"/>
  </r>
  <r>
    <x v="10"/>
    <x v="7"/>
    <x v="7"/>
    <x v="23"/>
    <n v="38"/>
    <n v="15"/>
    <n v="11"/>
    <n v="12"/>
    <n v="63"/>
    <n v="50"/>
    <n v="13"/>
    <n v="49"/>
  </r>
  <r>
    <x v="10"/>
    <x v="8"/>
    <x v="3"/>
    <x v="47"/>
    <n v="38"/>
    <n v="15"/>
    <n v="10"/>
    <n v="13"/>
    <n v="54"/>
    <n v="54"/>
    <n v="0"/>
    <n v="48"/>
  </r>
  <r>
    <x v="10"/>
    <x v="9"/>
    <x v="6"/>
    <x v="11"/>
    <n v="38"/>
    <n v="12"/>
    <n v="14"/>
    <n v="12"/>
    <n v="42"/>
    <n v="43"/>
    <n v="-1"/>
    <n v="44"/>
  </r>
  <r>
    <x v="10"/>
    <x v="10"/>
    <x v="16"/>
    <x v="24"/>
    <n v="38"/>
    <n v="11"/>
    <n v="16"/>
    <n v="11"/>
    <n v="43"/>
    <n v="45"/>
    <n v="-2"/>
    <n v="43"/>
  </r>
  <r>
    <x v="10"/>
    <x v="11"/>
    <x v="10"/>
    <x v="45"/>
    <n v="38"/>
    <n v="10"/>
    <n v="17"/>
    <n v="11"/>
    <n v="35"/>
    <n v="44"/>
    <n v="-9"/>
    <n v="41"/>
  </r>
  <r>
    <x v="10"/>
    <x v="12"/>
    <x v="2"/>
    <x v="32"/>
    <n v="38"/>
    <n v="13"/>
    <n v="6"/>
    <n v="19"/>
    <n v="52"/>
    <n v="64"/>
    <n v="-12"/>
    <n v="39"/>
  </r>
  <r>
    <x v="10"/>
    <x v="13"/>
    <x v="0"/>
    <x v="12"/>
    <n v="38"/>
    <n v="9"/>
    <n v="17"/>
    <n v="12"/>
    <n v="41"/>
    <n v="44"/>
    <n v="-3"/>
    <n v="39"/>
  </r>
  <r>
    <x v="10"/>
    <x v="14"/>
    <x v="23"/>
    <x v="27"/>
    <n v="38"/>
    <n v="11"/>
    <n v="10"/>
    <n v="17"/>
    <n v="49"/>
    <n v="58"/>
    <n v="-9"/>
    <n v="38"/>
  </r>
  <r>
    <x v="10"/>
    <x v="15"/>
    <x v="12"/>
    <x v="13"/>
    <n v="38"/>
    <n v="11"/>
    <n v="9"/>
    <n v="18"/>
    <n v="51"/>
    <n v="57"/>
    <n v="-6"/>
    <n v="37"/>
  </r>
  <r>
    <x v="10"/>
    <x v="16"/>
    <x v="26"/>
    <x v="13"/>
    <n v="38"/>
    <n v="9"/>
    <n v="15"/>
    <n v="14"/>
    <n v="42"/>
    <n v="48"/>
    <n v="-6"/>
    <n v="37"/>
  </r>
  <r>
    <x v="10"/>
    <x v="17"/>
    <x v="35"/>
    <x v="15"/>
    <n v="38"/>
    <n v="8"/>
    <n v="13"/>
    <n v="17"/>
    <n v="33"/>
    <n v="53"/>
    <n v="-20"/>
    <n v="32"/>
  </r>
  <r>
    <x v="10"/>
    <x v="18"/>
    <x v="17"/>
    <x v="57"/>
    <n v="38"/>
    <n v="8"/>
    <n v="9"/>
    <n v="21"/>
    <n v="41"/>
    <n v="68"/>
    <n v="-27"/>
    <n v="29"/>
  </r>
  <r>
    <x v="10"/>
    <x v="19"/>
    <x v="36"/>
    <x v="48"/>
    <n v="38"/>
    <n v="7"/>
    <n v="10"/>
    <n v="21"/>
    <n v="39"/>
    <n v="64"/>
    <n v="-25"/>
    <n v="25"/>
  </r>
  <r>
    <x v="11"/>
    <x v="0"/>
    <x v="0"/>
    <x v="58"/>
    <n v="38"/>
    <n v="19"/>
    <n v="10"/>
    <n v="9"/>
    <n v="58"/>
    <n v="44"/>
    <n v="14"/>
    <n v="59"/>
  </r>
  <r>
    <x v="11"/>
    <x v="1"/>
    <x v="24"/>
    <x v="20"/>
    <n v="38"/>
    <n v="19"/>
    <n v="8"/>
    <n v="11"/>
    <n v="65"/>
    <n v="44"/>
    <n v="21"/>
    <n v="57"/>
  </r>
  <r>
    <x v="11"/>
    <x v="2"/>
    <x v="3"/>
    <x v="20"/>
    <n v="38"/>
    <n v="18"/>
    <n v="11"/>
    <n v="9"/>
    <n v="57"/>
    <n v="42"/>
    <n v="15"/>
    <n v="57"/>
  </r>
  <r>
    <x v="11"/>
    <x v="3"/>
    <x v="20"/>
    <x v="44"/>
    <n v="38"/>
    <n v="18"/>
    <n v="8"/>
    <n v="12"/>
    <n v="58"/>
    <n v="53"/>
    <n v="5"/>
    <n v="54"/>
  </r>
  <r>
    <x v="11"/>
    <x v="4"/>
    <x v="6"/>
    <x v="44"/>
    <n v="38"/>
    <n v="17"/>
    <n v="11"/>
    <n v="10"/>
    <n v="58"/>
    <n v="45"/>
    <n v="13"/>
    <n v="54"/>
  </r>
  <r>
    <x v="11"/>
    <x v="5"/>
    <x v="23"/>
    <x v="22"/>
    <n v="38"/>
    <n v="15"/>
    <n v="12"/>
    <n v="11"/>
    <n v="61"/>
    <n v="52"/>
    <n v="9"/>
    <n v="50"/>
  </r>
  <r>
    <x v="11"/>
    <x v="6"/>
    <x v="2"/>
    <x v="23"/>
    <n v="38"/>
    <n v="16"/>
    <n v="8"/>
    <n v="14"/>
    <n v="55"/>
    <n v="56"/>
    <n v="-1"/>
    <n v="49"/>
  </r>
  <r>
    <x v="11"/>
    <x v="7"/>
    <x v="5"/>
    <x v="47"/>
    <n v="38"/>
    <n v="15"/>
    <n v="10"/>
    <n v="13"/>
    <n v="67"/>
    <n v="46"/>
    <n v="21"/>
    <n v="48"/>
  </r>
  <r>
    <x v="11"/>
    <x v="8"/>
    <x v="17"/>
    <x v="47"/>
    <n v="38"/>
    <n v="15"/>
    <n v="10"/>
    <n v="13"/>
    <n v="64"/>
    <n v="65"/>
    <n v="-1"/>
    <n v="48"/>
  </r>
  <r>
    <x v="11"/>
    <x v="9"/>
    <x v="11"/>
    <x v="9"/>
    <n v="38"/>
    <n v="14"/>
    <n v="10"/>
    <n v="14"/>
    <n v="50"/>
    <n v="54"/>
    <n v="-4"/>
    <n v="46"/>
  </r>
  <r>
    <x v="11"/>
    <x v="10"/>
    <x v="36"/>
    <x v="24"/>
    <n v="38"/>
    <n v="12"/>
    <n v="13"/>
    <n v="13"/>
    <n v="59"/>
    <n v="52"/>
    <n v="7"/>
    <n v="43"/>
  </r>
  <r>
    <x v="11"/>
    <x v="11"/>
    <x v="7"/>
    <x v="24"/>
    <n v="38"/>
    <n v="12"/>
    <n v="13"/>
    <n v="13"/>
    <n v="58"/>
    <n v="58"/>
    <n v="0"/>
    <n v="43"/>
  </r>
  <r>
    <x v="11"/>
    <x v="12"/>
    <x v="26"/>
    <x v="25"/>
    <n v="38"/>
    <n v="13"/>
    <n v="9"/>
    <n v="16"/>
    <n v="51"/>
    <n v="57"/>
    <n v="-6"/>
    <n v="42"/>
  </r>
  <r>
    <x v="11"/>
    <x v="13"/>
    <x v="8"/>
    <x v="25"/>
    <n v="38"/>
    <n v="13"/>
    <n v="9"/>
    <n v="16"/>
    <n v="42"/>
    <n v="49"/>
    <n v="-7"/>
    <n v="42"/>
  </r>
  <r>
    <x v="11"/>
    <x v="14"/>
    <x v="19"/>
    <x v="45"/>
    <n v="38"/>
    <n v="11"/>
    <n v="14"/>
    <n v="13"/>
    <n v="52"/>
    <n v="58"/>
    <n v="-6"/>
    <n v="41"/>
  </r>
  <r>
    <x v="11"/>
    <x v="15"/>
    <x v="4"/>
    <x v="26"/>
    <n v="38"/>
    <n v="11"/>
    <n v="13"/>
    <n v="14"/>
    <n v="49"/>
    <n v="56"/>
    <n v="-7"/>
    <n v="40"/>
  </r>
  <r>
    <x v="11"/>
    <x v="16"/>
    <x v="18"/>
    <x v="32"/>
    <n v="38"/>
    <n v="12"/>
    <n v="9"/>
    <n v="17"/>
    <n v="48"/>
    <n v="60"/>
    <n v="-12"/>
    <n v="39"/>
  </r>
  <r>
    <x v="11"/>
    <x v="17"/>
    <x v="37"/>
    <x v="14"/>
    <n v="38"/>
    <n v="11"/>
    <n v="8"/>
    <n v="19"/>
    <n v="46"/>
    <n v="61"/>
    <n v="-15"/>
    <n v="36"/>
  </r>
  <r>
    <x v="11"/>
    <x v="18"/>
    <x v="34"/>
    <x v="52"/>
    <n v="38"/>
    <n v="10"/>
    <n v="8"/>
    <n v="20"/>
    <n v="48"/>
    <n v="71"/>
    <n v="-23"/>
    <n v="33"/>
  </r>
  <r>
    <x v="11"/>
    <x v="19"/>
    <x v="14"/>
    <x v="16"/>
    <n v="38"/>
    <n v="7"/>
    <n v="10"/>
    <n v="21"/>
    <n v="48"/>
    <n v="71"/>
    <n v="-23"/>
    <n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94AA6-87FD-4A8E-B956-92C4FB1A6E0F}" name="Tabela dinâmica3" cacheId="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>
  <location ref="B93:C113" firstHeaderRow="1" firstDataRow="1" firstDataCol="1" rowPageCount="1" colPageCount="1"/>
  <pivotFields count="12">
    <pivotField axis="axisPage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Row" showAll="0" sortType="descending">
      <items count="40">
        <item x="13"/>
        <item x="10"/>
        <item x="17"/>
        <item x="3"/>
        <item x="25"/>
        <item m="1" x="38"/>
        <item x="12"/>
        <item x="2"/>
        <item x="8"/>
        <item x="23"/>
        <item x="19"/>
        <item x="9"/>
        <item x="22"/>
        <item x="11"/>
        <item x="18"/>
        <item x="32"/>
        <item x="20"/>
        <item x="21"/>
        <item x="29"/>
        <item x="0"/>
        <item x="4"/>
        <item x="15"/>
        <item x="5"/>
        <item x="36"/>
        <item x="35"/>
        <item x="24"/>
        <item x="1"/>
        <item x="31"/>
        <item x="34"/>
        <item x="6"/>
        <item x="27"/>
        <item x="28"/>
        <item x="33"/>
        <item x="30"/>
        <item x="37"/>
        <item x="7"/>
        <item x="14"/>
        <item x="16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0">
    <i>
      <x v="19"/>
    </i>
    <i>
      <x v="26"/>
    </i>
    <i>
      <x v="7"/>
    </i>
    <i>
      <x v="3"/>
    </i>
    <i>
      <x v="20"/>
    </i>
    <i>
      <x v="22"/>
    </i>
    <i>
      <x v="29"/>
    </i>
    <i>
      <x v="35"/>
    </i>
    <i>
      <x v="8"/>
    </i>
    <i>
      <x v="11"/>
    </i>
    <i>
      <x v="1"/>
    </i>
    <i>
      <x v="13"/>
    </i>
    <i>
      <x v="6"/>
    </i>
    <i>
      <x/>
    </i>
    <i>
      <x v="36"/>
    </i>
    <i>
      <x v="21"/>
    </i>
    <i>
      <x v="37"/>
    </i>
    <i>
      <x v="2"/>
    </i>
    <i>
      <x v="14"/>
    </i>
    <i>
      <x v="10"/>
    </i>
  </rowItems>
  <colItems count="1">
    <i/>
  </colItems>
  <pageFields count="1">
    <pageField fld="0" item="11" hier="-1"/>
  </pageFields>
  <dataFields count="1">
    <dataField name="Soma de PG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1B52D-4991-4440-8F37-90E077855640}" name="Rebaixamento" cacheId="5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5">
  <location ref="B77:C82" firstHeaderRow="1" firstDataRow="1" firstDataCol="1" rowPageCount="1" colPageCount="1"/>
  <pivotFields count="12">
    <pivotField axis="axisPage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Row" showAll="0" measureFilter="1" sortType="descending">
      <items count="40">
        <item x="13"/>
        <item x="10"/>
        <item x="17"/>
        <item x="3"/>
        <item x="25"/>
        <item m="1" x="38"/>
        <item x="12"/>
        <item x="2"/>
        <item x="8"/>
        <item x="23"/>
        <item x="19"/>
        <item x="9"/>
        <item x="22"/>
        <item x="11"/>
        <item x="18"/>
        <item x="32"/>
        <item x="20"/>
        <item x="21"/>
        <item x="29"/>
        <item x="0"/>
        <item x="4"/>
        <item x="15"/>
        <item x="5"/>
        <item x="36"/>
        <item x="35"/>
        <item x="24"/>
        <item x="1"/>
        <item x="31"/>
        <item x="34"/>
        <item x="6"/>
        <item x="27"/>
        <item x="28"/>
        <item x="33"/>
        <item x="30"/>
        <item x="37"/>
        <item x="7"/>
        <item x="14"/>
        <item x="16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37"/>
    </i>
    <i>
      <x v="21"/>
    </i>
    <i>
      <x v="2"/>
    </i>
    <i>
      <x v="14"/>
    </i>
    <i>
      <x v="10"/>
    </i>
  </rowItems>
  <colItems count="1">
    <i/>
  </colItems>
  <pageFields count="1">
    <pageField fld="0" item="11" hier="-1"/>
  </pageFields>
  <dataFields count="1">
    <dataField name="Soma de PG" fld="3" baseField="0" baseItem="0"/>
  </dataFields>
  <chartFormats count="22"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71008-190B-471E-B34D-7C6413E79B8E}" name="Tabela dinâmica5" cacheId="5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>
  <location ref="B21:D22" firstHeaderRow="0" firstDataRow="1" firstDataCol="0" rowPageCount="2" colPageCount="1"/>
  <pivotFields count="12">
    <pivotField axis="axisPage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Page" showAll="0">
      <items count="40">
        <item x="13"/>
        <item x="10"/>
        <item x="17"/>
        <item x="3"/>
        <item x="25"/>
        <item m="1" x="38"/>
        <item x="12"/>
        <item x="2"/>
        <item x="8"/>
        <item x="23"/>
        <item x="19"/>
        <item x="9"/>
        <item x="22"/>
        <item x="11"/>
        <item x="18"/>
        <item x="32"/>
        <item x="20"/>
        <item x="21"/>
        <item x="29"/>
        <item x="0"/>
        <item x="4"/>
        <item x="15"/>
        <item x="5"/>
        <item x="36"/>
        <item x="35"/>
        <item x="24"/>
        <item x="1"/>
        <item x="31"/>
        <item x="34"/>
        <item x="6"/>
        <item x="27"/>
        <item x="28"/>
        <item x="33"/>
        <item x="30"/>
        <item x="37"/>
        <item x="7"/>
        <item x="14"/>
        <item x="16"/>
        <item x="26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2">
    <pageField fld="2" item="37" hier="-1"/>
    <pageField fld="0" item="11" hier="-1"/>
  </pageFields>
  <dataFields count="3">
    <dataField name="Soma de V" fld="5" baseField="0" baseItem="2"/>
    <dataField name="Soma de E" fld="6" baseField="0" baseItem="0"/>
    <dataField name="Soma de D" fld="7" baseField="0" baseItem="0"/>
  </dataFields>
  <formats count="2">
    <format dxfId="25">
      <pivotArea outline="0" collapsedLevelsAreSubtotals="1" fieldPosition="0"/>
    </format>
    <format dxfId="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5D89F-D895-4653-BF9A-51309EDC09C1}" name="G5" cacheId="5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>
  <location ref="B60:C65" firstHeaderRow="1" firstDataRow="1" firstDataCol="1" rowPageCount="1" colPageCount="1"/>
  <pivotFields count="12">
    <pivotField axis="axisPage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 measureFilter="1" sortType="descending">
      <items count="2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40">
        <item x="13"/>
        <item x="10"/>
        <item x="17"/>
        <item x="3"/>
        <item x="25"/>
        <item m="1" x="38"/>
        <item x="12"/>
        <item x="2"/>
        <item x="8"/>
        <item x="23"/>
        <item x="19"/>
        <item x="9"/>
        <item x="22"/>
        <item x="11"/>
        <item x="18"/>
        <item x="32"/>
        <item x="20"/>
        <item x="21"/>
        <item x="29"/>
        <item x="0"/>
        <item x="4"/>
        <item x="15"/>
        <item x="5"/>
        <item x="36"/>
        <item x="35"/>
        <item x="24"/>
        <item x="1"/>
        <item x="31"/>
        <item x="34"/>
        <item x="6"/>
        <item x="27"/>
        <item x="28"/>
        <item x="33"/>
        <item x="30"/>
        <item x="37"/>
        <item x="7"/>
        <item x="14"/>
        <item x="16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19"/>
    </i>
    <i>
      <x v="26"/>
    </i>
    <i>
      <x v="7"/>
    </i>
    <i>
      <x v="3"/>
    </i>
    <i>
      <x v="20"/>
    </i>
  </rowItems>
  <colItems count="1">
    <i/>
  </colItems>
  <pageFields count="1">
    <pageField fld="0" item="11" hier="-1"/>
  </pageFields>
  <dataFields count="1">
    <dataField name="Soma de PG" fld="3" baseField="0" baseItem="0"/>
  </dataFields>
  <pivotTableStyleInfo name="PivotStyleLight16" showRowHeaders="1" showColHeaders="1" showRowStripes="0" showColStripes="0" showLastColumn="1"/>
  <filters count="2">
    <filter fld="1" type="count" evalOrder="-1" id="1" iMeasureFld="0">
      <autoFilter ref="A1">
        <filterColumn colId="0">
          <top10 val="5" filterVal="5"/>
        </filterColumn>
      </autoFilter>
    </filter>
    <filter fld="2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E5CDF-B735-42CC-8E1C-0AFBB5835A40}" name="gogcsg" cacheId="5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>
  <location ref="B40:E42" firstHeaderRow="0" firstDataRow="1" firstDataCol="1" rowPageCount="1" colPageCount="1"/>
  <pivotFields count="12">
    <pivotField axis="axisRow" showAll="0">
      <items count="13"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t="default"/>
      </items>
    </pivotField>
    <pivotField showAll="0"/>
    <pivotField axis="axisPage" showAll="0">
      <items count="40">
        <item x="13"/>
        <item x="10"/>
        <item x="17"/>
        <item x="3"/>
        <item x="25"/>
        <item m="1" x="38"/>
        <item x="12"/>
        <item x="2"/>
        <item x="8"/>
        <item x="23"/>
        <item x="19"/>
        <item x="9"/>
        <item x="22"/>
        <item x="11"/>
        <item x="18"/>
        <item x="32"/>
        <item x="20"/>
        <item x="21"/>
        <item x="29"/>
        <item x="0"/>
        <item x="4"/>
        <item x="15"/>
        <item x="5"/>
        <item x="36"/>
        <item x="35"/>
        <item x="24"/>
        <item x="1"/>
        <item x="31"/>
        <item x="34"/>
        <item x="6"/>
        <item x="27"/>
        <item x="28"/>
        <item x="33"/>
        <item x="30"/>
        <item x="37"/>
        <item x="7"/>
        <item x="14"/>
        <item x="16"/>
        <item x="26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0"/>
  </rowFields>
  <rowItems count="2"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37" hier="-1"/>
  </pageFields>
  <dataFields count="3">
    <dataField name="Soma de GP" fld="8" baseField="0" baseItem="0"/>
    <dataField name="Soma de GC" fld="9" baseField="0" baseItem="0"/>
    <dataField name="Soma de SG" fld="10" baseField="0" baseItem="0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6F8ED-F2EE-450C-9112-9A8178E02D34}" name="VitoriaseEmpates" cacheId="5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>
  <location ref="B3:E13" firstHeaderRow="0" firstDataRow="1" firstDataCol="1" rowPageCount="1" colPageCount="1"/>
  <pivotFields count="12">
    <pivotField axis="axisRow" showAll="0" sortType="a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Page" showAll="0">
      <items count="40">
        <item x="13"/>
        <item x="10"/>
        <item x="17"/>
        <item x="3"/>
        <item x="25"/>
        <item m="1" x="38"/>
        <item x="12"/>
        <item x="2"/>
        <item x="8"/>
        <item x="23"/>
        <item x="19"/>
        <item x="9"/>
        <item x="22"/>
        <item x="11"/>
        <item x="18"/>
        <item x="32"/>
        <item x="20"/>
        <item x="21"/>
        <item x="29"/>
        <item x="0"/>
        <item x="4"/>
        <item x="15"/>
        <item x="5"/>
        <item x="36"/>
        <item x="35"/>
        <item x="24"/>
        <item x="1"/>
        <item x="31"/>
        <item x="34"/>
        <item x="6"/>
        <item x="27"/>
        <item x="28"/>
        <item x="33"/>
        <item x="30"/>
        <item x="37"/>
        <item x="7"/>
        <item x="14"/>
        <item x="16"/>
        <item x="26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0"/>
  </rowFields>
  <rowItems count="10"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37" hier="-1"/>
  </pageFields>
  <dataFields count="3">
    <dataField name="Soma de V" fld="5" baseField="0" baseItem="0"/>
    <dataField name="Soma de E" fld="6" baseField="0" baseItem="0"/>
    <dataField name="Soma de 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709BB939-F415-42CC-9AE2-A2C79A3DD32F}" sourceName="Ano">
  <pivotTables>
    <pivotTable tabId="4" name="gogcsg"/>
    <pivotTable tabId="4" name="Tabela dinâmica5"/>
    <pivotTable tabId="4" name="G5"/>
    <pivotTable tabId="4" name="Rebaixamento"/>
    <pivotTable tabId="4" name="Tabela dinâmica3"/>
  </pivotTables>
  <data>
    <tabular pivotCacheId="1757880024">
      <items count="12">
        <i x="11"/>
        <i x="10"/>
        <i x="9"/>
        <i x="8"/>
        <i x="7"/>
        <i x="6"/>
        <i x="5"/>
        <i x="4"/>
        <i x="3"/>
        <i x="2"/>
        <i x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me" xr10:uid="{F405136D-54BC-4550-9C6A-24AB8B867ED5}" sourceName="Time">
  <pivotTables>
    <pivotTable tabId="4" name="gogcsg"/>
    <pivotTable tabId="4" name="Tabela dinâmica5"/>
    <pivotTable tabId="4" name="VitoriaseEmpates"/>
  </pivotTables>
  <data>
    <tabular pivotCacheId="1757880024">
      <items count="39">
        <i x="13"/>
        <i x="10"/>
        <i x="17"/>
        <i x="3"/>
        <i x="25"/>
        <i x="12"/>
        <i x="2"/>
        <i x="8"/>
        <i x="23"/>
        <i x="19"/>
        <i x="9"/>
        <i x="22"/>
        <i x="11"/>
        <i x="18"/>
        <i x="32"/>
        <i x="20"/>
        <i x="21"/>
        <i x="29"/>
        <i x="0"/>
        <i x="4"/>
        <i x="15"/>
        <i x="5"/>
        <i x="36"/>
        <i x="35"/>
        <i x="24"/>
        <i x="1"/>
        <i x="31"/>
        <i x="34"/>
        <i x="6"/>
        <i x="27"/>
        <i x="28"/>
        <i x="33"/>
        <i x="30"/>
        <i x="37"/>
        <i x="7"/>
        <i x="14"/>
        <i x="16" s="1"/>
        <i x="26"/>
        <i x="38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me -GPGCSG" xr10:uid="{923AD018-5E1E-4674-9CF4-8396D6C7E3F9}" cache="SegmentaçãodeDados_Ano" caption="Ano" startItem="6" rowHeight="241300"/>
  <slicer name="Time-GPGCSG" xr10:uid="{116BB5E6-CA41-4A8B-A542-57A5D0F90468}" cache="SegmentaçãodeDados_Time" caption="Time" startItem="29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3CDBF-4158-4697-A6A1-82056C627542}" name="dados" displayName="dados" ref="A1:L241" totalsRowShown="0" headerRowDxfId="43" dataDxfId="41" headerRowBorderDxfId="42" tableBorderDxfId="40">
  <autoFilter ref="A1:L241" xr:uid="{81D9B61E-4969-4914-A8BF-78EDC9CC1EBF}"/>
  <tableColumns count="12">
    <tableColumn id="1" xr3:uid="{941A3FC6-3061-43B8-9678-95B8B5E4A3B5}" name="Ano" dataDxfId="39"/>
    <tableColumn id="2" xr3:uid="{4616033D-F7B4-4732-8569-155328220B41}" name="Posição" dataDxfId="38"/>
    <tableColumn id="3" xr3:uid="{C9018019-E1E5-4AA5-85FC-1CC0E21859C3}" name="Time" dataDxfId="37"/>
    <tableColumn id="4" xr3:uid="{D37B4B9E-AA5B-4970-AE61-8B1B5314C860}" name="PG" dataDxfId="36"/>
    <tableColumn id="5" xr3:uid="{A70B8186-8C21-4C37-9157-CF4E4BEA24C4}" name="J" dataDxfId="35"/>
    <tableColumn id="6" xr3:uid="{301EF8E9-8BC4-40B4-8CB3-61FBD2760757}" name="V" dataDxfId="34"/>
    <tableColumn id="7" xr3:uid="{F14D27FA-4B49-402A-8B34-A247D5FC7384}" name="E" dataDxfId="33"/>
    <tableColumn id="8" xr3:uid="{77CCA53F-E1CA-4334-A473-5EBB064B0D86}" name="D" dataDxfId="32"/>
    <tableColumn id="9" xr3:uid="{BA9AE502-8F09-41CE-BA71-6869358A8445}" name="GP" dataDxfId="31"/>
    <tableColumn id="10" xr3:uid="{8A0C353D-155B-4605-AB4C-5C971B3F481B}" name="GC" dataDxfId="30"/>
    <tableColumn id="11" xr3:uid="{5A54B7C1-5A03-4657-AF41-CB35E9776DB3}" name="SG" dataDxfId="29"/>
    <tableColumn id="12" xr3:uid="{0F4C0A20-760E-468A-83BD-B4690BB5493E}" name="%" dataDxfId="2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0C33D0-51A2-45DC-9915-752D1D33CE08}" name="Tabela3" displayName="Tabela3" ref="A1:L241" totalsRowShown="0" headerRowDxfId="27">
  <autoFilter ref="A1:L241" xr:uid="{556893CA-349D-400F-9DDE-7B2FFFF07C7E}"/>
  <tableColumns count="12">
    <tableColumn id="1" xr3:uid="{591BDE5E-3CF8-4C50-B209-35436E1E11BA}" name="Ano"/>
    <tableColumn id="2" xr3:uid="{2DB6B5A8-327F-4F66-9AD6-7ECA28D2C869}" name="Posição"/>
    <tableColumn id="3" xr3:uid="{F29133A9-EE17-4973-AE90-81E2202C5FA0}" name="Time"/>
    <tableColumn id="4" xr3:uid="{00BB3ADA-C5FB-4E06-9E2A-F61378D7BB06}" name="PG"/>
    <tableColumn id="5" xr3:uid="{65D3A34E-C985-4028-952A-50E64660D246}" name="J"/>
    <tableColumn id="6" xr3:uid="{86AB29E9-4059-4789-90C6-8400E66B77C3}" name="V"/>
    <tableColumn id="7" xr3:uid="{CA4E158F-99E2-4BDF-8682-4644F6616A73}" name="E"/>
    <tableColumn id="8" xr3:uid="{B20E0E7D-2AB3-4327-92CF-1434624A4B7A}" name="D"/>
    <tableColumn id="9" xr3:uid="{251236CC-0F6F-474E-9452-C223666B8694}" name="GP"/>
    <tableColumn id="10" xr3:uid="{74324071-EE53-4201-BF69-7E6B2EF2FB4E}" name="GC"/>
    <tableColumn id="11" xr3:uid="{B6C34169-F144-4F04-B9CA-13354664A10E}" name="SG"/>
    <tableColumn id="12" xr3:uid="{290E3D81-4928-4146-A2FC-E532C5C603D4}" name="%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68A2-8D28-46C3-9F2C-375FD9CD8768}">
  <sheetPr codeName="Planilha2"/>
  <dimension ref="A1:AA241"/>
  <sheetViews>
    <sheetView zoomScaleNormal="100" workbookViewId="0">
      <selection activeCell="D142" sqref="D142"/>
    </sheetView>
  </sheetViews>
  <sheetFormatPr defaultRowHeight="15" x14ac:dyDescent="0.25"/>
  <cols>
    <col min="1" max="1" width="7.140625" customWidth="1"/>
    <col min="2" max="2" width="11.140625" customWidth="1"/>
    <col min="3" max="3" width="15.28515625" bestFit="1" customWidth="1"/>
    <col min="4" max="4" width="8.5703125" bestFit="1" customWidth="1"/>
    <col min="5" max="5" width="6.85546875" bestFit="1" customWidth="1"/>
    <col min="6" max="6" width="7.28515625" bestFit="1" customWidth="1"/>
    <col min="7" max="7" width="7.140625" bestFit="1" customWidth="1"/>
    <col min="8" max="8" width="7.28515625" bestFit="1" customWidth="1"/>
    <col min="9" max="9" width="8.5703125" bestFit="1" customWidth="1"/>
    <col min="10" max="10" width="8.7109375" bestFit="1" customWidth="1"/>
    <col min="11" max="11" width="8.5703125" bestFit="1" customWidth="1"/>
    <col min="12" max="12" width="8.28515625" bestFit="1" customWidth="1"/>
    <col min="13" max="13" width="3.140625" customWidth="1"/>
    <col min="17" max="17" width="12.140625" bestFit="1" customWidth="1"/>
  </cols>
  <sheetData>
    <row r="1" spans="1:12" ht="15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5.75" thickBot="1" x14ac:dyDescent="0.3">
      <c r="A2" s="5">
        <v>2020</v>
      </c>
      <c r="B2" s="6" t="s">
        <v>12</v>
      </c>
      <c r="C2" s="7" t="s">
        <v>13</v>
      </c>
      <c r="D2" s="8">
        <v>71</v>
      </c>
      <c r="E2" s="9">
        <v>38</v>
      </c>
      <c r="F2" s="9">
        <v>21</v>
      </c>
      <c r="G2" s="9">
        <v>8</v>
      </c>
      <c r="H2" s="9">
        <v>9</v>
      </c>
      <c r="I2" s="9">
        <v>68</v>
      </c>
      <c r="J2" s="9">
        <v>48</v>
      </c>
      <c r="K2" s="9">
        <v>20</v>
      </c>
      <c r="L2" s="9">
        <v>62.28</v>
      </c>
    </row>
    <row r="3" spans="1:12" ht="15.75" thickBot="1" x14ac:dyDescent="0.3">
      <c r="A3">
        <v>2020</v>
      </c>
      <c r="B3" s="10" t="s">
        <v>14</v>
      </c>
      <c r="C3" s="11" t="s">
        <v>15</v>
      </c>
      <c r="D3" s="12">
        <v>70</v>
      </c>
      <c r="E3" s="13">
        <v>38</v>
      </c>
      <c r="F3" s="13">
        <v>20</v>
      </c>
      <c r="G3" s="13">
        <v>10</v>
      </c>
      <c r="H3" s="13">
        <v>8</v>
      </c>
      <c r="I3" s="13">
        <v>61</v>
      </c>
      <c r="J3" s="13">
        <v>35</v>
      </c>
      <c r="K3" s="13">
        <v>26</v>
      </c>
      <c r="L3" s="13">
        <v>61.4</v>
      </c>
    </row>
    <row r="4" spans="1:12" ht="15.75" thickBot="1" x14ac:dyDescent="0.3">
      <c r="A4">
        <v>2020</v>
      </c>
      <c r="B4" s="10" t="s">
        <v>16</v>
      </c>
      <c r="C4" s="11" t="s">
        <v>17</v>
      </c>
      <c r="D4" s="12">
        <v>68</v>
      </c>
      <c r="E4" s="13">
        <v>38</v>
      </c>
      <c r="F4" s="13">
        <v>20</v>
      </c>
      <c r="G4" s="13">
        <v>8</v>
      </c>
      <c r="H4" s="13">
        <v>10</v>
      </c>
      <c r="I4" s="13">
        <v>64</v>
      </c>
      <c r="J4" s="13">
        <v>45</v>
      </c>
      <c r="K4" s="13">
        <v>19</v>
      </c>
      <c r="L4" s="13">
        <v>59.650000000000006</v>
      </c>
    </row>
    <row r="5" spans="1:12" ht="15.75" thickBot="1" x14ac:dyDescent="0.3">
      <c r="A5">
        <v>2020</v>
      </c>
      <c r="B5" s="10" t="s">
        <v>18</v>
      </c>
      <c r="C5" s="11" t="s">
        <v>19</v>
      </c>
      <c r="D5" s="12">
        <v>66</v>
      </c>
      <c r="E5" s="13">
        <v>38</v>
      </c>
      <c r="F5" s="13">
        <v>18</v>
      </c>
      <c r="G5" s="13">
        <v>12</v>
      </c>
      <c r="H5" s="13">
        <v>8</v>
      </c>
      <c r="I5" s="13">
        <v>59</v>
      </c>
      <c r="J5" s="13">
        <v>41</v>
      </c>
      <c r="K5" s="13">
        <v>18</v>
      </c>
      <c r="L5" s="13">
        <v>57.89</v>
      </c>
    </row>
    <row r="6" spans="1:12" ht="15.75" thickBot="1" x14ac:dyDescent="0.3">
      <c r="A6">
        <v>2020</v>
      </c>
      <c r="B6" s="10" t="s">
        <v>20</v>
      </c>
      <c r="C6" s="11" t="s">
        <v>21</v>
      </c>
      <c r="D6" s="12">
        <v>64</v>
      </c>
      <c r="E6" s="13">
        <v>38</v>
      </c>
      <c r="F6" s="13">
        <v>18</v>
      </c>
      <c r="G6" s="13">
        <v>10</v>
      </c>
      <c r="H6" s="13">
        <v>10</v>
      </c>
      <c r="I6" s="13">
        <v>55</v>
      </c>
      <c r="J6" s="13">
        <v>42</v>
      </c>
      <c r="K6" s="13">
        <v>13</v>
      </c>
      <c r="L6" s="13">
        <v>56.14</v>
      </c>
    </row>
    <row r="7" spans="1:12" ht="15.75" thickBot="1" x14ac:dyDescent="0.3">
      <c r="A7">
        <v>2020</v>
      </c>
      <c r="B7" s="10" t="s">
        <v>22</v>
      </c>
      <c r="C7" s="11" t="s">
        <v>23</v>
      </c>
      <c r="D7" s="12">
        <v>59</v>
      </c>
      <c r="E7" s="13">
        <v>38</v>
      </c>
      <c r="F7" s="13">
        <v>14</v>
      </c>
      <c r="G7" s="13">
        <v>17</v>
      </c>
      <c r="H7" s="13">
        <v>7</v>
      </c>
      <c r="I7" s="13">
        <v>53</v>
      </c>
      <c r="J7" s="13">
        <v>40</v>
      </c>
      <c r="K7" s="13">
        <v>13</v>
      </c>
      <c r="L7" s="13">
        <v>51.749999999999993</v>
      </c>
    </row>
    <row r="8" spans="1:12" ht="15.75" thickBot="1" x14ac:dyDescent="0.3">
      <c r="A8">
        <v>2020</v>
      </c>
      <c r="B8" s="14" t="s">
        <v>24</v>
      </c>
      <c r="C8" s="11" t="s">
        <v>25</v>
      </c>
      <c r="D8" s="12">
        <v>58</v>
      </c>
      <c r="E8" s="13">
        <v>38</v>
      </c>
      <c r="F8" s="13">
        <v>15</v>
      </c>
      <c r="G8" s="13">
        <v>13</v>
      </c>
      <c r="H8" s="13">
        <v>10</v>
      </c>
      <c r="I8" s="13">
        <v>51</v>
      </c>
      <c r="J8" s="13">
        <v>37</v>
      </c>
      <c r="K8" s="13">
        <v>14</v>
      </c>
      <c r="L8" s="13">
        <v>50.88</v>
      </c>
    </row>
    <row r="9" spans="1:12" ht="15.75" thickBot="1" x14ac:dyDescent="0.3">
      <c r="A9">
        <v>2020</v>
      </c>
      <c r="B9" s="14" t="s">
        <v>26</v>
      </c>
      <c r="C9" s="11" t="s">
        <v>27</v>
      </c>
      <c r="D9" s="12">
        <v>54</v>
      </c>
      <c r="E9" s="13">
        <v>38</v>
      </c>
      <c r="F9" s="13">
        <v>14</v>
      </c>
      <c r="G9" s="13">
        <v>12</v>
      </c>
      <c r="H9" s="13">
        <v>12</v>
      </c>
      <c r="I9" s="13">
        <v>52</v>
      </c>
      <c r="J9" s="13">
        <v>51</v>
      </c>
      <c r="K9" s="13">
        <v>1</v>
      </c>
      <c r="L9" s="13">
        <v>47.370000000000005</v>
      </c>
    </row>
    <row r="10" spans="1:12" ht="15.75" thickBot="1" x14ac:dyDescent="0.3">
      <c r="A10">
        <v>2020</v>
      </c>
      <c r="B10" s="14" t="s">
        <v>28</v>
      </c>
      <c r="C10" s="11" t="s">
        <v>29</v>
      </c>
      <c r="D10" s="12">
        <v>53</v>
      </c>
      <c r="E10" s="13">
        <v>38</v>
      </c>
      <c r="F10" s="13">
        <v>15</v>
      </c>
      <c r="G10" s="13">
        <v>8</v>
      </c>
      <c r="H10" s="13">
        <v>15</v>
      </c>
      <c r="I10" s="13">
        <v>38</v>
      </c>
      <c r="J10" s="13">
        <v>36</v>
      </c>
      <c r="K10" s="13">
        <v>2</v>
      </c>
      <c r="L10" s="13">
        <v>46.489999999999995</v>
      </c>
    </row>
    <row r="11" spans="1:12" ht="15.75" thickBot="1" x14ac:dyDescent="0.3">
      <c r="A11">
        <v>2020</v>
      </c>
      <c r="B11" s="14" t="s">
        <v>30</v>
      </c>
      <c r="C11" s="11" t="s">
        <v>31</v>
      </c>
      <c r="D11" s="12">
        <v>53</v>
      </c>
      <c r="E11" s="13">
        <v>38</v>
      </c>
      <c r="F11" s="13">
        <v>13</v>
      </c>
      <c r="G11" s="13">
        <v>14</v>
      </c>
      <c r="H11" s="13">
        <v>11</v>
      </c>
      <c r="I11" s="13">
        <v>50</v>
      </c>
      <c r="J11" s="13">
        <v>40</v>
      </c>
      <c r="K11" s="13">
        <v>10</v>
      </c>
      <c r="L11" s="13">
        <v>46.489999999999995</v>
      </c>
    </row>
    <row r="12" spans="1:12" ht="15.75" thickBot="1" x14ac:dyDescent="0.3">
      <c r="A12">
        <v>2020</v>
      </c>
      <c r="B12" s="14" t="s">
        <v>32</v>
      </c>
      <c r="C12" s="11" t="s">
        <v>33</v>
      </c>
      <c r="D12" s="12">
        <v>52</v>
      </c>
      <c r="E12" s="13">
        <v>38</v>
      </c>
      <c r="F12" s="13">
        <v>14</v>
      </c>
      <c r="G12" s="13">
        <v>10</v>
      </c>
      <c r="H12" s="13">
        <v>14</v>
      </c>
      <c r="I12" s="13">
        <v>54</v>
      </c>
      <c r="J12" s="13">
        <v>51</v>
      </c>
      <c r="K12" s="13">
        <v>3</v>
      </c>
      <c r="L12" s="13">
        <v>45.61</v>
      </c>
    </row>
    <row r="13" spans="1:12" ht="15.75" thickBot="1" x14ac:dyDescent="0.3">
      <c r="A13">
        <v>2020</v>
      </c>
      <c r="B13" s="14" t="s">
        <v>34</v>
      </c>
      <c r="C13" s="11" t="s">
        <v>35</v>
      </c>
      <c r="D13" s="12">
        <v>51</v>
      </c>
      <c r="E13" s="13">
        <v>38</v>
      </c>
      <c r="F13" s="13">
        <v>13</v>
      </c>
      <c r="G13" s="13">
        <v>12</v>
      </c>
      <c r="H13" s="13">
        <v>13</v>
      </c>
      <c r="I13" s="13">
        <v>45</v>
      </c>
      <c r="J13" s="13">
        <v>45</v>
      </c>
      <c r="K13" s="13">
        <v>0</v>
      </c>
      <c r="L13" s="13">
        <v>44.74</v>
      </c>
    </row>
    <row r="14" spans="1:12" ht="15.75" thickBot="1" x14ac:dyDescent="0.3">
      <c r="A14">
        <v>2020</v>
      </c>
      <c r="B14" s="15" t="s">
        <v>36</v>
      </c>
      <c r="C14" s="11" t="s">
        <v>37</v>
      </c>
      <c r="D14" s="12">
        <v>50</v>
      </c>
      <c r="E14" s="13">
        <v>38</v>
      </c>
      <c r="F14" s="13">
        <v>12</v>
      </c>
      <c r="G14" s="13">
        <v>14</v>
      </c>
      <c r="H14" s="13">
        <v>12</v>
      </c>
      <c r="I14" s="13">
        <v>40</v>
      </c>
      <c r="J14" s="13">
        <v>45</v>
      </c>
      <c r="K14" s="13">
        <v>-5</v>
      </c>
      <c r="L14" s="13">
        <v>43.86</v>
      </c>
    </row>
    <row r="15" spans="1:12" ht="15.75" thickBot="1" x14ac:dyDescent="0.3">
      <c r="A15">
        <v>2020</v>
      </c>
      <c r="B15" s="15" t="s">
        <v>38</v>
      </c>
      <c r="C15" s="11" t="s">
        <v>39</v>
      </c>
      <c r="D15" s="12">
        <v>44</v>
      </c>
      <c r="E15" s="13">
        <v>38</v>
      </c>
      <c r="F15" s="13">
        <v>12</v>
      </c>
      <c r="G15" s="13">
        <v>8</v>
      </c>
      <c r="H15" s="13">
        <v>18</v>
      </c>
      <c r="I15" s="13">
        <v>48</v>
      </c>
      <c r="J15" s="13">
        <v>59</v>
      </c>
      <c r="K15" s="13">
        <v>-11</v>
      </c>
      <c r="L15" s="13">
        <v>38.6</v>
      </c>
    </row>
    <row r="16" spans="1:12" ht="15.75" thickBot="1" x14ac:dyDescent="0.3">
      <c r="A16">
        <v>2020</v>
      </c>
      <c r="B16" s="15" t="s">
        <v>40</v>
      </c>
      <c r="C16" s="11" t="s">
        <v>41</v>
      </c>
      <c r="D16" s="12">
        <v>42</v>
      </c>
      <c r="E16" s="13">
        <v>38</v>
      </c>
      <c r="F16" s="13">
        <v>12</v>
      </c>
      <c r="G16" s="13">
        <v>6</v>
      </c>
      <c r="H16" s="13">
        <v>20</v>
      </c>
      <c r="I16" s="13">
        <v>31</v>
      </c>
      <c r="J16" s="13">
        <v>50</v>
      </c>
      <c r="K16" s="13">
        <v>-19</v>
      </c>
      <c r="L16" s="13">
        <v>36.840000000000003</v>
      </c>
    </row>
    <row r="17" spans="1:12" ht="15.75" thickBot="1" x14ac:dyDescent="0.3">
      <c r="A17">
        <v>2020</v>
      </c>
      <c r="B17" s="15" t="s">
        <v>42</v>
      </c>
      <c r="C17" s="11" t="s">
        <v>43</v>
      </c>
      <c r="D17" s="12">
        <v>41</v>
      </c>
      <c r="E17" s="13">
        <v>38</v>
      </c>
      <c r="F17" s="13">
        <v>10</v>
      </c>
      <c r="G17" s="13">
        <v>11</v>
      </c>
      <c r="H17" s="13">
        <v>17</v>
      </c>
      <c r="I17" s="13">
        <v>34</v>
      </c>
      <c r="J17" s="13">
        <v>44</v>
      </c>
      <c r="K17" s="13">
        <v>-10</v>
      </c>
      <c r="L17" s="13">
        <v>35.96</v>
      </c>
    </row>
    <row r="18" spans="1:12" ht="15.75" thickBot="1" x14ac:dyDescent="0.3">
      <c r="A18">
        <v>2020</v>
      </c>
      <c r="B18" s="16" t="s">
        <v>44</v>
      </c>
      <c r="C18" s="11" t="s">
        <v>45</v>
      </c>
      <c r="D18" s="12">
        <v>41</v>
      </c>
      <c r="E18" s="13">
        <v>38</v>
      </c>
      <c r="F18" s="13">
        <v>10</v>
      </c>
      <c r="G18" s="13">
        <v>11</v>
      </c>
      <c r="H18" s="13">
        <v>17</v>
      </c>
      <c r="I18" s="13">
        <v>37</v>
      </c>
      <c r="J18" s="13">
        <v>56</v>
      </c>
      <c r="K18" s="13">
        <v>-19</v>
      </c>
      <c r="L18" s="13">
        <v>35.96</v>
      </c>
    </row>
    <row r="19" spans="1:12" ht="15.75" thickBot="1" x14ac:dyDescent="0.3">
      <c r="A19">
        <v>2020</v>
      </c>
      <c r="B19" s="16" t="s">
        <v>46</v>
      </c>
      <c r="C19" s="11" t="s">
        <v>47</v>
      </c>
      <c r="D19" s="12">
        <v>37</v>
      </c>
      <c r="E19" s="13">
        <v>38</v>
      </c>
      <c r="F19" s="13">
        <v>9</v>
      </c>
      <c r="G19" s="13">
        <v>10</v>
      </c>
      <c r="H19" s="13">
        <v>19</v>
      </c>
      <c r="I19" s="13">
        <v>41</v>
      </c>
      <c r="J19" s="13">
        <v>62</v>
      </c>
      <c r="K19" s="13">
        <v>-21</v>
      </c>
      <c r="L19" s="13">
        <v>32.46</v>
      </c>
    </row>
    <row r="20" spans="1:12" ht="15.75" thickBot="1" x14ac:dyDescent="0.3">
      <c r="A20">
        <v>2020</v>
      </c>
      <c r="B20" s="16" t="s">
        <v>48</v>
      </c>
      <c r="C20" s="11" t="s">
        <v>49</v>
      </c>
      <c r="D20" s="12">
        <v>31</v>
      </c>
      <c r="E20" s="13">
        <v>38</v>
      </c>
      <c r="F20" s="13">
        <v>7</v>
      </c>
      <c r="G20" s="13">
        <v>10</v>
      </c>
      <c r="H20" s="13">
        <v>21</v>
      </c>
      <c r="I20" s="13">
        <v>30</v>
      </c>
      <c r="J20" s="13">
        <v>54</v>
      </c>
      <c r="K20" s="13">
        <v>-24</v>
      </c>
      <c r="L20" s="13">
        <v>27.189999999999998</v>
      </c>
    </row>
    <row r="21" spans="1:12" ht="15.75" thickBot="1" x14ac:dyDescent="0.3">
      <c r="A21" s="17">
        <v>2020</v>
      </c>
      <c r="B21" s="18" t="s">
        <v>50</v>
      </c>
      <c r="C21" s="19" t="s">
        <v>51</v>
      </c>
      <c r="D21" s="20">
        <v>27</v>
      </c>
      <c r="E21" s="21">
        <v>38</v>
      </c>
      <c r="F21" s="21">
        <v>5</v>
      </c>
      <c r="G21" s="21">
        <v>12</v>
      </c>
      <c r="H21" s="21">
        <v>21</v>
      </c>
      <c r="I21" s="21">
        <v>32</v>
      </c>
      <c r="J21" s="21">
        <v>62</v>
      </c>
      <c r="K21" s="21">
        <v>-30</v>
      </c>
      <c r="L21" s="21">
        <v>23.68</v>
      </c>
    </row>
    <row r="22" spans="1:12" ht="15.75" thickBot="1" x14ac:dyDescent="0.3">
      <c r="A22">
        <v>2019</v>
      </c>
      <c r="B22" s="6" t="s">
        <v>12</v>
      </c>
      <c r="C22" s="22" t="s">
        <v>13</v>
      </c>
      <c r="D22" s="23">
        <v>90</v>
      </c>
      <c r="E22" s="24">
        <v>38</v>
      </c>
      <c r="F22" s="24">
        <v>28</v>
      </c>
      <c r="G22" s="24">
        <v>6</v>
      </c>
      <c r="H22" s="24">
        <v>4</v>
      </c>
      <c r="I22" s="24">
        <v>86</v>
      </c>
      <c r="J22" s="24">
        <v>37</v>
      </c>
      <c r="K22" s="24">
        <v>49</v>
      </c>
      <c r="L22" s="24">
        <v>0.78949999999999998</v>
      </c>
    </row>
    <row r="23" spans="1:12" ht="15.75" thickBot="1" x14ac:dyDescent="0.3">
      <c r="A23">
        <v>2019</v>
      </c>
      <c r="B23" s="10" t="s">
        <v>14</v>
      </c>
      <c r="C23" s="22" t="s">
        <v>27</v>
      </c>
      <c r="D23" s="23">
        <v>74</v>
      </c>
      <c r="E23" s="24">
        <v>38</v>
      </c>
      <c r="F23" s="24">
        <v>22</v>
      </c>
      <c r="G23" s="24">
        <v>8</v>
      </c>
      <c r="H23" s="24">
        <v>8</v>
      </c>
      <c r="I23" s="24">
        <v>60</v>
      </c>
      <c r="J23" s="24">
        <v>33</v>
      </c>
      <c r="K23" s="24">
        <v>27</v>
      </c>
      <c r="L23" s="24">
        <v>0.64910000000000001</v>
      </c>
    </row>
    <row r="24" spans="1:12" ht="15.75" thickBot="1" x14ac:dyDescent="0.3">
      <c r="A24">
        <v>2019</v>
      </c>
      <c r="B24" s="10" t="s">
        <v>16</v>
      </c>
      <c r="C24" s="22" t="s">
        <v>25</v>
      </c>
      <c r="D24" s="23">
        <v>74</v>
      </c>
      <c r="E24" s="24">
        <v>38</v>
      </c>
      <c r="F24" s="24">
        <v>21</v>
      </c>
      <c r="G24" s="24">
        <v>11</v>
      </c>
      <c r="H24" s="24">
        <v>6</v>
      </c>
      <c r="I24" s="24">
        <v>61</v>
      </c>
      <c r="J24" s="24">
        <v>32</v>
      </c>
      <c r="K24" s="24">
        <v>29</v>
      </c>
      <c r="L24" s="24">
        <v>0.64910000000000001</v>
      </c>
    </row>
    <row r="25" spans="1:12" ht="15.75" thickBot="1" x14ac:dyDescent="0.3">
      <c r="A25">
        <v>2019</v>
      </c>
      <c r="B25" s="10" t="s">
        <v>18</v>
      </c>
      <c r="C25" s="22" t="s">
        <v>23</v>
      </c>
      <c r="D25" s="23">
        <v>65</v>
      </c>
      <c r="E25" s="24">
        <v>38</v>
      </c>
      <c r="F25" s="24">
        <v>19</v>
      </c>
      <c r="G25" s="24">
        <v>8</v>
      </c>
      <c r="H25" s="24">
        <v>11</v>
      </c>
      <c r="I25" s="24">
        <v>64</v>
      </c>
      <c r="J25" s="24">
        <v>39</v>
      </c>
      <c r="K25" s="24">
        <v>25</v>
      </c>
      <c r="L25" s="24">
        <v>0.57020000000000004</v>
      </c>
    </row>
    <row r="26" spans="1:12" ht="15.75" thickBot="1" x14ac:dyDescent="0.3">
      <c r="A26">
        <v>2019</v>
      </c>
      <c r="B26" s="10" t="s">
        <v>20</v>
      </c>
      <c r="C26" s="22" t="s">
        <v>29</v>
      </c>
      <c r="D26" s="23">
        <v>64</v>
      </c>
      <c r="E26" s="24">
        <v>38</v>
      </c>
      <c r="F26" s="24">
        <v>18</v>
      </c>
      <c r="G26" s="24">
        <v>10</v>
      </c>
      <c r="H26" s="24">
        <v>10</v>
      </c>
      <c r="I26" s="24">
        <v>49</v>
      </c>
      <c r="J26" s="24">
        <v>32</v>
      </c>
      <c r="K26" s="24">
        <v>17</v>
      </c>
      <c r="L26" s="24">
        <v>0.56140000000000001</v>
      </c>
    </row>
    <row r="27" spans="1:12" ht="15.75" thickBot="1" x14ac:dyDescent="0.3">
      <c r="A27">
        <v>2019</v>
      </c>
      <c r="B27" s="10" t="s">
        <v>22</v>
      </c>
      <c r="C27" s="22" t="s">
        <v>19</v>
      </c>
      <c r="D27" s="23">
        <v>63</v>
      </c>
      <c r="E27" s="24">
        <v>38</v>
      </c>
      <c r="F27" s="24">
        <v>17</v>
      </c>
      <c r="G27" s="24">
        <v>12</v>
      </c>
      <c r="H27" s="24">
        <v>9</v>
      </c>
      <c r="I27" s="24">
        <v>39</v>
      </c>
      <c r="J27" s="24">
        <v>30</v>
      </c>
      <c r="K27" s="24">
        <v>9</v>
      </c>
      <c r="L27" s="24">
        <v>0.55259999999999998</v>
      </c>
    </row>
    <row r="28" spans="1:12" ht="15.75" thickBot="1" x14ac:dyDescent="0.3">
      <c r="A28">
        <v>2019</v>
      </c>
      <c r="B28" s="14" t="s">
        <v>24</v>
      </c>
      <c r="C28" s="22" t="s">
        <v>15</v>
      </c>
      <c r="D28" s="23">
        <v>57</v>
      </c>
      <c r="E28" s="24">
        <v>38</v>
      </c>
      <c r="F28" s="24">
        <v>16</v>
      </c>
      <c r="G28" s="24">
        <v>9</v>
      </c>
      <c r="H28" s="24">
        <v>13</v>
      </c>
      <c r="I28" s="24">
        <v>44</v>
      </c>
      <c r="J28" s="24">
        <v>39</v>
      </c>
      <c r="K28" s="24">
        <v>5</v>
      </c>
      <c r="L28" s="24">
        <v>0.5</v>
      </c>
    </row>
    <row r="29" spans="1:12" ht="15.75" thickBot="1" x14ac:dyDescent="0.3">
      <c r="A29">
        <v>2019</v>
      </c>
      <c r="B29" s="14" t="s">
        <v>26</v>
      </c>
      <c r="C29" s="22" t="s">
        <v>35</v>
      </c>
      <c r="D29" s="23">
        <v>56</v>
      </c>
      <c r="E29" s="24">
        <v>38</v>
      </c>
      <c r="F29" s="24">
        <v>14</v>
      </c>
      <c r="G29" s="24">
        <v>14</v>
      </c>
      <c r="H29" s="24">
        <v>10</v>
      </c>
      <c r="I29" s="24">
        <v>42</v>
      </c>
      <c r="J29" s="24">
        <v>34</v>
      </c>
      <c r="K29" s="24">
        <v>8</v>
      </c>
      <c r="L29" s="24">
        <v>0.49120000000000003</v>
      </c>
    </row>
    <row r="30" spans="1:12" ht="15.75" thickBot="1" x14ac:dyDescent="0.3">
      <c r="A30">
        <v>2019</v>
      </c>
      <c r="B30" s="14" t="s">
        <v>28</v>
      </c>
      <c r="C30" s="22" t="s">
        <v>43</v>
      </c>
      <c r="D30" s="23">
        <v>53</v>
      </c>
      <c r="E30" s="24">
        <v>38</v>
      </c>
      <c r="F30" s="24">
        <v>15</v>
      </c>
      <c r="G30" s="24">
        <v>8</v>
      </c>
      <c r="H30" s="24">
        <v>15</v>
      </c>
      <c r="I30" s="24">
        <v>50</v>
      </c>
      <c r="J30" s="24">
        <v>47</v>
      </c>
      <c r="K30" s="24">
        <v>3</v>
      </c>
      <c r="L30" s="24">
        <v>0.46489999999999998</v>
      </c>
    </row>
    <row r="31" spans="1:12" ht="15.75" thickBot="1" x14ac:dyDescent="0.3">
      <c r="A31">
        <v>2019</v>
      </c>
      <c r="B31" s="14" t="s">
        <v>30</v>
      </c>
      <c r="C31" s="22" t="s">
        <v>47</v>
      </c>
      <c r="D31" s="23">
        <v>52</v>
      </c>
      <c r="E31" s="24">
        <v>38</v>
      </c>
      <c r="F31" s="24">
        <v>15</v>
      </c>
      <c r="G31" s="24">
        <v>7</v>
      </c>
      <c r="H31" s="24">
        <v>16</v>
      </c>
      <c r="I31" s="24">
        <v>46</v>
      </c>
      <c r="J31" s="24">
        <v>64</v>
      </c>
      <c r="K31" s="24">
        <v>-18</v>
      </c>
      <c r="L31" s="24">
        <v>0.45610000000000001</v>
      </c>
    </row>
    <row r="32" spans="1:12" ht="15.75" thickBot="1" x14ac:dyDescent="0.3">
      <c r="A32">
        <v>2019</v>
      </c>
      <c r="B32" s="14" t="s">
        <v>32</v>
      </c>
      <c r="C32" s="22" t="s">
        <v>39</v>
      </c>
      <c r="D32" s="23">
        <v>49</v>
      </c>
      <c r="E32" s="24">
        <v>38</v>
      </c>
      <c r="F32" s="24">
        <v>12</v>
      </c>
      <c r="G32" s="24">
        <v>13</v>
      </c>
      <c r="H32" s="24">
        <v>13</v>
      </c>
      <c r="I32" s="24">
        <v>44</v>
      </c>
      <c r="J32" s="24">
        <v>43</v>
      </c>
      <c r="K32" s="24">
        <v>1</v>
      </c>
      <c r="L32" s="24">
        <v>0.42980000000000002</v>
      </c>
    </row>
    <row r="33" spans="1:27" ht="15.75" thickBot="1" x14ac:dyDescent="0.3">
      <c r="A33">
        <v>2019</v>
      </c>
      <c r="B33" s="14" t="s">
        <v>34</v>
      </c>
      <c r="C33" s="22" t="s">
        <v>45</v>
      </c>
      <c r="D33" s="23">
        <v>49</v>
      </c>
      <c r="E33" s="24">
        <v>38</v>
      </c>
      <c r="F33" s="24">
        <v>12</v>
      </c>
      <c r="G33" s="24">
        <v>13</v>
      </c>
      <c r="H33" s="24">
        <v>13</v>
      </c>
      <c r="I33" s="24">
        <v>39</v>
      </c>
      <c r="J33" s="24">
        <v>45</v>
      </c>
      <c r="K33" s="24">
        <v>-6</v>
      </c>
      <c r="L33" s="24">
        <v>0.42980000000000002</v>
      </c>
    </row>
    <row r="34" spans="1:27" ht="15.75" thickBot="1" x14ac:dyDescent="0.3">
      <c r="A34">
        <v>2019</v>
      </c>
      <c r="B34" s="15" t="s">
        <v>36</v>
      </c>
      <c r="C34" s="22" t="s">
        <v>17</v>
      </c>
      <c r="D34" s="23">
        <v>48</v>
      </c>
      <c r="E34" s="24">
        <v>38</v>
      </c>
      <c r="F34" s="24">
        <v>13</v>
      </c>
      <c r="G34" s="24">
        <v>9</v>
      </c>
      <c r="H34" s="24">
        <v>16</v>
      </c>
      <c r="I34" s="24">
        <v>45</v>
      </c>
      <c r="J34" s="24">
        <v>49</v>
      </c>
      <c r="K34" s="24">
        <v>-4</v>
      </c>
      <c r="L34" s="24">
        <v>0.42109999999999997</v>
      </c>
    </row>
    <row r="35" spans="1:27" ht="15.75" thickBot="1" x14ac:dyDescent="0.3">
      <c r="A35">
        <v>2019</v>
      </c>
      <c r="B35" s="15" t="s">
        <v>38</v>
      </c>
      <c r="C35" s="22" t="s">
        <v>21</v>
      </c>
      <c r="D35" s="23">
        <v>46</v>
      </c>
      <c r="E35" s="24">
        <v>38</v>
      </c>
      <c r="F35" s="24">
        <v>12</v>
      </c>
      <c r="G35" s="24">
        <v>10</v>
      </c>
      <c r="H35" s="24">
        <v>16</v>
      </c>
      <c r="I35" s="24">
        <v>38</v>
      </c>
      <c r="J35" s="24">
        <v>46</v>
      </c>
      <c r="K35" s="24">
        <v>-8</v>
      </c>
      <c r="L35" s="24">
        <v>0.40350000000000003</v>
      </c>
    </row>
    <row r="36" spans="1:27" ht="15.75" thickBot="1" x14ac:dyDescent="0.3">
      <c r="A36">
        <v>2019</v>
      </c>
      <c r="B36" s="15" t="s">
        <v>40</v>
      </c>
      <c r="C36" s="22" t="s">
        <v>51</v>
      </c>
      <c r="D36" s="23">
        <v>43</v>
      </c>
      <c r="E36" s="24">
        <v>38</v>
      </c>
      <c r="F36" s="24">
        <v>13</v>
      </c>
      <c r="G36" s="24">
        <v>4</v>
      </c>
      <c r="H36" s="24">
        <v>21</v>
      </c>
      <c r="I36" s="24">
        <v>31</v>
      </c>
      <c r="J36" s="24">
        <v>45</v>
      </c>
      <c r="K36" s="24">
        <v>-14</v>
      </c>
      <c r="L36" s="24">
        <v>0.37719999999999998</v>
      </c>
    </row>
    <row r="37" spans="1:27" ht="15.75" thickBot="1" x14ac:dyDescent="0.3">
      <c r="A37">
        <v>2019</v>
      </c>
      <c r="B37" s="15" t="s">
        <v>42</v>
      </c>
      <c r="C37" s="22" t="s">
        <v>33</v>
      </c>
      <c r="D37" s="23">
        <v>39</v>
      </c>
      <c r="E37" s="24">
        <v>38</v>
      </c>
      <c r="F37" s="24">
        <v>10</v>
      </c>
      <c r="G37" s="24">
        <v>9</v>
      </c>
      <c r="H37" s="24">
        <v>19</v>
      </c>
      <c r="I37" s="24">
        <v>36</v>
      </c>
      <c r="J37" s="24">
        <v>41</v>
      </c>
      <c r="K37" s="24">
        <v>-5</v>
      </c>
      <c r="L37" s="24">
        <v>0.34210000000000002</v>
      </c>
    </row>
    <row r="38" spans="1:27" ht="15.75" thickBot="1" x14ac:dyDescent="0.3">
      <c r="A38">
        <v>2019</v>
      </c>
      <c r="B38" s="16" t="s">
        <v>44</v>
      </c>
      <c r="C38" s="22" t="s">
        <v>52</v>
      </c>
      <c r="D38" s="23">
        <v>36</v>
      </c>
      <c r="E38" s="24">
        <v>38</v>
      </c>
      <c r="F38" s="24">
        <v>7</v>
      </c>
      <c r="G38" s="24">
        <v>15</v>
      </c>
      <c r="H38" s="24">
        <v>16</v>
      </c>
      <c r="I38" s="24">
        <v>27</v>
      </c>
      <c r="J38" s="24">
        <v>46</v>
      </c>
      <c r="K38" s="24">
        <v>-19</v>
      </c>
      <c r="L38" s="24">
        <v>0.31580000000000003</v>
      </c>
    </row>
    <row r="39" spans="1:27" ht="15.75" thickBot="1" x14ac:dyDescent="0.3">
      <c r="A39">
        <v>2019</v>
      </c>
      <c r="B39" s="16" t="s">
        <v>46</v>
      </c>
      <c r="C39" s="22" t="s">
        <v>53</v>
      </c>
      <c r="D39" s="23">
        <v>32</v>
      </c>
      <c r="E39" s="24">
        <v>38</v>
      </c>
      <c r="F39" s="24">
        <v>8</v>
      </c>
      <c r="G39" s="24">
        <v>8</v>
      </c>
      <c r="H39" s="24">
        <v>22</v>
      </c>
      <c r="I39" s="24">
        <v>24</v>
      </c>
      <c r="J39" s="24">
        <v>58</v>
      </c>
      <c r="K39" s="24">
        <v>-34</v>
      </c>
      <c r="L39" s="24">
        <v>0.28070000000000001</v>
      </c>
    </row>
    <row r="40" spans="1:27" ht="15.75" thickBot="1" x14ac:dyDescent="0.3">
      <c r="A40">
        <v>2019</v>
      </c>
      <c r="B40" s="16" t="s">
        <v>48</v>
      </c>
      <c r="C40" s="22" t="s">
        <v>54</v>
      </c>
      <c r="D40" s="23">
        <v>32</v>
      </c>
      <c r="E40" s="24">
        <v>38</v>
      </c>
      <c r="F40" s="24">
        <v>7</v>
      </c>
      <c r="G40" s="24">
        <v>11</v>
      </c>
      <c r="H40" s="24">
        <v>20</v>
      </c>
      <c r="I40" s="24">
        <v>31</v>
      </c>
      <c r="J40" s="24">
        <v>52</v>
      </c>
      <c r="K40" s="24">
        <v>-21</v>
      </c>
      <c r="L40" s="24">
        <v>0.28070000000000001</v>
      </c>
    </row>
    <row r="41" spans="1:27" ht="15.75" thickBot="1" x14ac:dyDescent="0.3">
      <c r="A41">
        <v>2019</v>
      </c>
      <c r="B41" s="18" t="s">
        <v>50</v>
      </c>
      <c r="C41" s="22" t="s">
        <v>55</v>
      </c>
      <c r="D41" s="23">
        <v>20</v>
      </c>
      <c r="E41" s="24">
        <v>38</v>
      </c>
      <c r="F41" s="24">
        <v>3</v>
      </c>
      <c r="G41" s="24">
        <v>11</v>
      </c>
      <c r="H41" s="24">
        <v>24</v>
      </c>
      <c r="I41" s="24">
        <v>18</v>
      </c>
      <c r="J41" s="24">
        <v>62</v>
      </c>
      <c r="K41" s="24">
        <v>-44</v>
      </c>
      <c r="L41" s="24">
        <v>0.1754</v>
      </c>
    </row>
    <row r="42" spans="1:27" ht="15.75" thickBot="1" x14ac:dyDescent="0.3">
      <c r="A42" s="5">
        <v>2018</v>
      </c>
      <c r="B42" s="6" t="s">
        <v>12</v>
      </c>
      <c r="C42" s="7" t="s">
        <v>19</v>
      </c>
      <c r="D42" s="8">
        <v>45</v>
      </c>
      <c r="E42" s="9">
        <v>21</v>
      </c>
      <c r="F42" s="9">
        <v>13</v>
      </c>
      <c r="G42" s="9">
        <v>6</v>
      </c>
      <c r="H42" s="9">
        <v>2</v>
      </c>
      <c r="I42" s="9">
        <v>34</v>
      </c>
      <c r="J42" s="9">
        <v>17</v>
      </c>
      <c r="K42" s="9">
        <v>17</v>
      </c>
      <c r="L42" s="9">
        <v>71</v>
      </c>
      <c r="AA42" s="25"/>
    </row>
    <row r="43" spans="1:27" ht="15.75" thickBot="1" x14ac:dyDescent="0.3">
      <c r="A43">
        <v>2018</v>
      </c>
      <c r="B43" s="10" t="s">
        <v>14</v>
      </c>
      <c r="C43" s="11" t="s">
        <v>56</v>
      </c>
      <c r="D43" s="12">
        <v>42</v>
      </c>
      <c r="E43" s="13">
        <v>21</v>
      </c>
      <c r="F43" s="13">
        <v>12</v>
      </c>
      <c r="G43" s="13">
        <v>6</v>
      </c>
      <c r="H43" s="13">
        <v>3</v>
      </c>
      <c r="I43" s="13">
        <v>28</v>
      </c>
      <c r="J43" s="13">
        <v>12</v>
      </c>
      <c r="K43" s="13">
        <v>16</v>
      </c>
      <c r="L43" s="13">
        <v>67</v>
      </c>
      <c r="AA43" s="25"/>
    </row>
    <row r="44" spans="1:27" ht="15.75" thickBot="1" x14ac:dyDescent="0.3">
      <c r="A44">
        <v>2018</v>
      </c>
      <c r="B44" s="10" t="s">
        <v>16</v>
      </c>
      <c r="C44" s="11" t="s">
        <v>13</v>
      </c>
      <c r="D44" s="12">
        <v>41</v>
      </c>
      <c r="E44" s="13">
        <v>21</v>
      </c>
      <c r="F44" s="13">
        <v>12</v>
      </c>
      <c r="G44" s="13">
        <v>5</v>
      </c>
      <c r="H44" s="13">
        <v>4</v>
      </c>
      <c r="I44" s="13">
        <v>32</v>
      </c>
      <c r="J44" s="13">
        <v>17</v>
      </c>
      <c r="K44" s="13">
        <v>15</v>
      </c>
      <c r="L44" s="13">
        <v>65</v>
      </c>
      <c r="AA44" s="25"/>
    </row>
    <row r="45" spans="1:27" ht="15.75" thickBot="1" x14ac:dyDescent="0.3">
      <c r="A45">
        <v>2018</v>
      </c>
      <c r="B45" s="10" t="s">
        <v>18</v>
      </c>
      <c r="C45" s="11" t="s">
        <v>25</v>
      </c>
      <c r="D45" s="12">
        <v>37</v>
      </c>
      <c r="E45" s="13">
        <v>21</v>
      </c>
      <c r="F45" s="13">
        <v>10</v>
      </c>
      <c r="G45" s="13">
        <v>7</v>
      </c>
      <c r="H45" s="13">
        <v>4</v>
      </c>
      <c r="I45" s="13">
        <v>31</v>
      </c>
      <c r="J45" s="13">
        <v>15</v>
      </c>
      <c r="K45" s="13">
        <v>16</v>
      </c>
      <c r="L45" s="13">
        <v>59</v>
      </c>
      <c r="AA45" s="25"/>
    </row>
    <row r="46" spans="1:27" ht="15.75" thickBot="1" x14ac:dyDescent="0.3">
      <c r="A46">
        <v>2018</v>
      </c>
      <c r="B46" s="10" t="s">
        <v>20</v>
      </c>
      <c r="C46" s="11" t="s">
        <v>23</v>
      </c>
      <c r="D46" s="12">
        <v>37</v>
      </c>
      <c r="E46" s="13">
        <v>21</v>
      </c>
      <c r="F46" s="13">
        <v>10</v>
      </c>
      <c r="G46" s="13">
        <v>7</v>
      </c>
      <c r="H46" s="13">
        <v>4</v>
      </c>
      <c r="I46" s="13">
        <v>25</v>
      </c>
      <c r="J46" s="13">
        <v>11</v>
      </c>
      <c r="K46" s="13">
        <v>14</v>
      </c>
      <c r="L46" s="13">
        <v>59</v>
      </c>
      <c r="AA46" s="25"/>
    </row>
    <row r="47" spans="1:27" ht="15.75" thickBot="1" x14ac:dyDescent="0.3">
      <c r="A47">
        <v>2018</v>
      </c>
      <c r="B47" s="10" t="s">
        <v>22</v>
      </c>
      <c r="C47" s="11" t="s">
        <v>17</v>
      </c>
      <c r="D47" s="12">
        <v>34</v>
      </c>
      <c r="E47" s="13">
        <v>21</v>
      </c>
      <c r="F47" s="13">
        <v>10</v>
      </c>
      <c r="G47" s="13">
        <v>4</v>
      </c>
      <c r="H47" s="13">
        <v>7</v>
      </c>
      <c r="I47" s="13">
        <v>36</v>
      </c>
      <c r="J47" s="13">
        <v>27</v>
      </c>
      <c r="K47" s="13">
        <v>9</v>
      </c>
      <c r="L47" s="13">
        <v>54</v>
      </c>
      <c r="AA47" s="25"/>
    </row>
    <row r="48" spans="1:27" ht="15.75" thickBot="1" x14ac:dyDescent="0.3">
      <c r="A48">
        <v>2018</v>
      </c>
      <c r="B48" s="10" t="s">
        <v>24</v>
      </c>
      <c r="C48" s="11" t="s">
        <v>52</v>
      </c>
      <c r="D48" s="12">
        <v>30</v>
      </c>
      <c r="E48" s="13">
        <v>21</v>
      </c>
      <c r="F48" s="13">
        <v>8</v>
      </c>
      <c r="G48" s="13">
        <v>6</v>
      </c>
      <c r="H48" s="13">
        <v>7</v>
      </c>
      <c r="I48" s="13">
        <v>18</v>
      </c>
      <c r="J48" s="13">
        <v>18</v>
      </c>
      <c r="K48" s="13">
        <v>0</v>
      </c>
      <c r="L48" s="13">
        <v>48</v>
      </c>
      <c r="AA48" s="25"/>
    </row>
    <row r="49" spans="1:27" ht="15.75" thickBot="1" x14ac:dyDescent="0.3">
      <c r="A49">
        <v>2018</v>
      </c>
      <c r="B49" s="10" t="s">
        <v>26</v>
      </c>
      <c r="C49" s="11" t="s">
        <v>35</v>
      </c>
      <c r="D49" s="12">
        <v>29</v>
      </c>
      <c r="E49" s="13">
        <v>21</v>
      </c>
      <c r="F49" s="13">
        <v>8</v>
      </c>
      <c r="G49" s="13">
        <v>5</v>
      </c>
      <c r="H49" s="13">
        <v>8</v>
      </c>
      <c r="I49" s="13">
        <v>23</v>
      </c>
      <c r="J49" s="13">
        <v>17</v>
      </c>
      <c r="K49" s="13">
        <v>6</v>
      </c>
      <c r="L49" s="13">
        <v>46</v>
      </c>
      <c r="AA49" s="25"/>
    </row>
    <row r="50" spans="1:27" ht="15.75" thickBot="1" x14ac:dyDescent="0.3">
      <c r="A50">
        <v>2018</v>
      </c>
      <c r="B50" s="14" t="s">
        <v>28</v>
      </c>
      <c r="C50" s="11" t="s">
        <v>57</v>
      </c>
      <c r="D50" s="12">
        <v>26</v>
      </c>
      <c r="E50" s="13">
        <v>21</v>
      </c>
      <c r="F50" s="13">
        <v>7</v>
      </c>
      <c r="G50" s="13">
        <v>5</v>
      </c>
      <c r="H50" s="13">
        <v>9</v>
      </c>
      <c r="I50" s="13">
        <v>22</v>
      </c>
      <c r="J50" s="13">
        <v>26</v>
      </c>
      <c r="K50" s="13">
        <v>-4</v>
      </c>
      <c r="L50" s="13">
        <v>41</v>
      </c>
      <c r="AA50" s="25"/>
    </row>
    <row r="51" spans="1:27" ht="15.75" thickBot="1" x14ac:dyDescent="0.3">
      <c r="A51">
        <v>2018</v>
      </c>
      <c r="B51" s="14" t="s">
        <v>30</v>
      </c>
      <c r="C51" s="11" t="s">
        <v>21</v>
      </c>
      <c r="D51" s="12">
        <v>26</v>
      </c>
      <c r="E51" s="13">
        <v>21</v>
      </c>
      <c r="F51" s="13">
        <v>7</v>
      </c>
      <c r="G51" s="13">
        <v>5</v>
      </c>
      <c r="H51" s="13">
        <v>9</v>
      </c>
      <c r="I51" s="13">
        <v>21</v>
      </c>
      <c r="J51" s="13">
        <v>26</v>
      </c>
      <c r="K51" s="13">
        <v>-5</v>
      </c>
      <c r="L51" s="13">
        <v>41</v>
      </c>
      <c r="AA51" s="25"/>
    </row>
    <row r="52" spans="1:27" ht="15.75" thickBot="1" x14ac:dyDescent="0.3">
      <c r="A52">
        <v>2018</v>
      </c>
      <c r="B52" s="14" t="s">
        <v>32</v>
      </c>
      <c r="C52" s="11" t="s">
        <v>51</v>
      </c>
      <c r="D52" s="12">
        <v>25</v>
      </c>
      <c r="E52" s="13">
        <v>21</v>
      </c>
      <c r="F52" s="13">
        <v>6</v>
      </c>
      <c r="G52" s="13">
        <v>7</v>
      </c>
      <c r="H52" s="13">
        <v>8</v>
      </c>
      <c r="I52" s="13">
        <v>20</v>
      </c>
      <c r="J52" s="13">
        <v>27</v>
      </c>
      <c r="K52" s="13">
        <v>-7</v>
      </c>
      <c r="L52" s="13">
        <v>40</v>
      </c>
      <c r="AA52" s="25"/>
    </row>
    <row r="53" spans="1:27" ht="15.75" thickBot="1" x14ac:dyDescent="0.3">
      <c r="A53">
        <v>2018</v>
      </c>
      <c r="B53" s="14" t="s">
        <v>34</v>
      </c>
      <c r="C53" s="11" t="s">
        <v>27</v>
      </c>
      <c r="D53" s="12">
        <v>24</v>
      </c>
      <c r="E53" s="13">
        <v>20</v>
      </c>
      <c r="F53" s="13">
        <v>6</v>
      </c>
      <c r="G53" s="13">
        <v>6</v>
      </c>
      <c r="H53" s="13">
        <v>8</v>
      </c>
      <c r="I53" s="13">
        <v>23</v>
      </c>
      <c r="J53" s="13">
        <v>23</v>
      </c>
      <c r="K53" s="13">
        <v>0</v>
      </c>
      <c r="L53" s="13">
        <v>40</v>
      </c>
      <c r="AA53" s="25"/>
    </row>
    <row r="54" spans="1:27" ht="15.75" thickBot="1" x14ac:dyDescent="0.3">
      <c r="A54">
        <v>2018</v>
      </c>
      <c r="B54" s="14" t="s">
        <v>36</v>
      </c>
      <c r="C54" s="11" t="s">
        <v>45</v>
      </c>
      <c r="D54" s="12">
        <v>24</v>
      </c>
      <c r="E54" s="13">
        <v>19</v>
      </c>
      <c r="F54" s="13">
        <v>6</v>
      </c>
      <c r="G54" s="13">
        <v>6</v>
      </c>
      <c r="H54" s="13">
        <v>7</v>
      </c>
      <c r="I54" s="13">
        <v>25</v>
      </c>
      <c r="J54" s="13">
        <v>28</v>
      </c>
      <c r="K54" s="13">
        <v>-3</v>
      </c>
      <c r="L54" s="13">
        <v>42</v>
      </c>
      <c r="AA54" s="25"/>
    </row>
    <row r="55" spans="1:27" ht="15.75" thickBot="1" x14ac:dyDescent="0.3">
      <c r="A55">
        <v>2018</v>
      </c>
      <c r="B55" s="14" t="s">
        <v>38</v>
      </c>
      <c r="C55" s="11" t="s">
        <v>58</v>
      </c>
      <c r="D55" s="12">
        <v>22</v>
      </c>
      <c r="E55" s="13">
        <v>21</v>
      </c>
      <c r="F55" s="13">
        <v>6</v>
      </c>
      <c r="G55" s="13">
        <v>4</v>
      </c>
      <c r="H55" s="13">
        <v>11</v>
      </c>
      <c r="I55" s="13">
        <v>21</v>
      </c>
      <c r="J55" s="13">
        <v>40</v>
      </c>
      <c r="K55" s="13">
        <v>-19</v>
      </c>
      <c r="L55" s="13">
        <v>35</v>
      </c>
      <c r="AA55" s="25"/>
    </row>
    <row r="56" spans="1:27" ht="15.75" thickBot="1" x14ac:dyDescent="0.3">
      <c r="A56">
        <v>2018</v>
      </c>
      <c r="B56" s="15" t="s">
        <v>40</v>
      </c>
      <c r="C56" s="11" t="s">
        <v>39</v>
      </c>
      <c r="D56" s="12">
        <v>22</v>
      </c>
      <c r="E56" s="13">
        <v>20</v>
      </c>
      <c r="F56" s="13">
        <v>5</v>
      </c>
      <c r="G56" s="13">
        <v>7</v>
      </c>
      <c r="H56" s="13">
        <v>8</v>
      </c>
      <c r="I56" s="13">
        <v>20</v>
      </c>
      <c r="J56" s="13">
        <v>26</v>
      </c>
      <c r="K56" s="13">
        <v>-6</v>
      </c>
      <c r="L56" s="13">
        <v>37</v>
      </c>
      <c r="AA56" s="25"/>
    </row>
    <row r="57" spans="1:27" ht="15.75" thickBot="1" x14ac:dyDescent="0.3">
      <c r="A57">
        <v>2018</v>
      </c>
      <c r="B57" s="15" t="s">
        <v>42</v>
      </c>
      <c r="C57" s="11" t="s">
        <v>59</v>
      </c>
      <c r="D57" s="12">
        <v>21</v>
      </c>
      <c r="E57" s="13">
        <v>19</v>
      </c>
      <c r="F57" s="13">
        <v>5</v>
      </c>
      <c r="G57" s="13">
        <v>6</v>
      </c>
      <c r="H57" s="13">
        <v>8</v>
      </c>
      <c r="I57" s="13">
        <v>22</v>
      </c>
      <c r="J57" s="13">
        <v>20</v>
      </c>
      <c r="K57" s="13">
        <v>2</v>
      </c>
      <c r="L57" s="13">
        <v>37</v>
      </c>
      <c r="AA57" s="25"/>
    </row>
    <row r="58" spans="1:27" ht="15.75" thickBot="1" x14ac:dyDescent="0.3">
      <c r="A58">
        <v>2018</v>
      </c>
      <c r="B58" s="16" t="s">
        <v>44</v>
      </c>
      <c r="C58" s="11" t="s">
        <v>54</v>
      </c>
      <c r="D58" s="12">
        <v>21</v>
      </c>
      <c r="E58" s="13">
        <v>20</v>
      </c>
      <c r="F58" s="13">
        <v>4</v>
      </c>
      <c r="G58" s="13">
        <v>9</v>
      </c>
      <c r="H58" s="13">
        <v>7</v>
      </c>
      <c r="I58" s="13">
        <v>20</v>
      </c>
      <c r="J58" s="13">
        <v>29</v>
      </c>
      <c r="K58" s="13">
        <v>-9</v>
      </c>
      <c r="L58" s="13">
        <v>35</v>
      </c>
      <c r="AA58" s="25"/>
    </row>
    <row r="59" spans="1:27" ht="15.75" thickBot="1" x14ac:dyDescent="0.3">
      <c r="A59">
        <v>2018</v>
      </c>
      <c r="B59" s="16" t="s">
        <v>46</v>
      </c>
      <c r="C59" s="11" t="s">
        <v>41</v>
      </c>
      <c r="D59" s="12">
        <v>20</v>
      </c>
      <c r="E59" s="13">
        <v>21</v>
      </c>
      <c r="F59" s="13">
        <v>5</v>
      </c>
      <c r="G59" s="13">
        <v>5</v>
      </c>
      <c r="H59" s="13">
        <v>11</v>
      </c>
      <c r="I59" s="13">
        <v>19</v>
      </c>
      <c r="J59" s="13">
        <v>34</v>
      </c>
      <c r="K59" s="13">
        <v>-15</v>
      </c>
      <c r="L59" s="13">
        <v>32</v>
      </c>
      <c r="AA59" s="25"/>
    </row>
    <row r="60" spans="1:27" ht="15.75" thickBot="1" x14ac:dyDescent="0.3">
      <c r="A60">
        <v>2018</v>
      </c>
      <c r="B60" s="16" t="s">
        <v>48</v>
      </c>
      <c r="C60" s="11" t="s">
        <v>33</v>
      </c>
      <c r="D60" s="12">
        <v>17</v>
      </c>
      <c r="E60" s="13">
        <v>20</v>
      </c>
      <c r="F60" s="13">
        <v>3</v>
      </c>
      <c r="G60" s="13">
        <v>8</v>
      </c>
      <c r="H60" s="13">
        <v>9</v>
      </c>
      <c r="I60" s="13">
        <v>12</v>
      </c>
      <c r="J60" s="13">
        <v>22</v>
      </c>
      <c r="K60" s="13">
        <v>-10</v>
      </c>
      <c r="L60" s="13">
        <v>28</v>
      </c>
      <c r="AA60" s="25"/>
    </row>
    <row r="61" spans="1:27" ht="15.75" thickBot="1" x14ac:dyDescent="0.3">
      <c r="A61" s="17">
        <v>2018</v>
      </c>
      <c r="B61" s="18" t="s">
        <v>50</v>
      </c>
      <c r="C61" s="19" t="s">
        <v>60</v>
      </c>
      <c r="D61" s="20">
        <v>15</v>
      </c>
      <c r="E61" s="21">
        <v>21</v>
      </c>
      <c r="F61" s="21">
        <v>3</v>
      </c>
      <c r="G61" s="21">
        <v>6</v>
      </c>
      <c r="H61" s="21">
        <v>12</v>
      </c>
      <c r="I61" s="21">
        <v>10</v>
      </c>
      <c r="J61" s="21">
        <v>27</v>
      </c>
      <c r="K61" s="21">
        <v>-17</v>
      </c>
      <c r="L61" s="21">
        <v>24</v>
      </c>
      <c r="AA61" s="25"/>
    </row>
    <row r="62" spans="1:27" ht="15.75" thickBot="1" x14ac:dyDescent="0.3">
      <c r="A62" s="5">
        <v>2017</v>
      </c>
      <c r="B62" s="6" t="s">
        <v>12</v>
      </c>
      <c r="C62" s="7" t="s">
        <v>35</v>
      </c>
      <c r="D62" s="8">
        <v>72</v>
      </c>
      <c r="E62" s="9">
        <v>38</v>
      </c>
      <c r="F62" s="9">
        <v>21</v>
      </c>
      <c r="G62" s="9">
        <v>9</v>
      </c>
      <c r="H62" s="9">
        <v>8</v>
      </c>
      <c r="I62" s="9">
        <v>50</v>
      </c>
      <c r="J62" s="9">
        <v>30</v>
      </c>
      <c r="K62" s="9">
        <v>20</v>
      </c>
      <c r="L62" s="9">
        <v>63</v>
      </c>
    </row>
    <row r="63" spans="1:27" ht="15.75" thickBot="1" x14ac:dyDescent="0.3">
      <c r="A63">
        <v>2017</v>
      </c>
      <c r="B63" s="10" t="s">
        <v>14</v>
      </c>
      <c r="C63" s="11" t="s">
        <v>25</v>
      </c>
      <c r="D63" s="12">
        <v>63</v>
      </c>
      <c r="E63" s="13">
        <v>38</v>
      </c>
      <c r="F63" s="13">
        <v>19</v>
      </c>
      <c r="G63" s="13">
        <v>6</v>
      </c>
      <c r="H63" s="13">
        <v>13</v>
      </c>
      <c r="I63" s="13">
        <v>61</v>
      </c>
      <c r="J63" s="13">
        <v>45</v>
      </c>
      <c r="K63" s="13">
        <v>16</v>
      </c>
      <c r="L63" s="13">
        <v>55</v>
      </c>
    </row>
    <row r="64" spans="1:27" ht="15.75" thickBot="1" x14ac:dyDescent="0.3">
      <c r="A64">
        <v>2017</v>
      </c>
      <c r="B64" s="10" t="s">
        <v>16</v>
      </c>
      <c r="C64" s="11" t="s">
        <v>27</v>
      </c>
      <c r="D64" s="12">
        <v>63</v>
      </c>
      <c r="E64" s="13">
        <v>38</v>
      </c>
      <c r="F64" s="13">
        <v>17</v>
      </c>
      <c r="G64" s="13">
        <v>12</v>
      </c>
      <c r="H64" s="13">
        <v>9</v>
      </c>
      <c r="I64" s="13">
        <v>42</v>
      </c>
      <c r="J64" s="13">
        <v>32</v>
      </c>
      <c r="K64" s="13">
        <v>10</v>
      </c>
      <c r="L64" s="13">
        <v>55</v>
      </c>
    </row>
    <row r="65" spans="1:12" ht="15.75" thickBot="1" x14ac:dyDescent="0.3">
      <c r="A65">
        <v>2017</v>
      </c>
      <c r="B65" s="10" t="s">
        <v>18</v>
      </c>
      <c r="C65" s="11" t="s">
        <v>23</v>
      </c>
      <c r="D65" s="12">
        <v>62</v>
      </c>
      <c r="E65" s="13">
        <v>38</v>
      </c>
      <c r="F65" s="13">
        <v>18</v>
      </c>
      <c r="G65" s="13">
        <v>8</v>
      </c>
      <c r="H65" s="13">
        <v>12</v>
      </c>
      <c r="I65" s="13">
        <v>55</v>
      </c>
      <c r="J65" s="13">
        <v>36</v>
      </c>
      <c r="K65" s="13">
        <v>19</v>
      </c>
      <c r="L65" s="13">
        <v>54</v>
      </c>
    </row>
    <row r="66" spans="1:12" ht="15.75" thickBot="1" x14ac:dyDescent="0.3">
      <c r="A66">
        <v>2017</v>
      </c>
      <c r="B66" s="14" t="s">
        <v>20</v>
      </c>
      <c r="C66" s="11" t="s">
        <v>52</v>
      </c>
      <c r="D66" s="12">
        <v>57</v>
      </c>
      <c r="E66" s="13">
        <v>38</v>
      </c>
      <c r="F66" s="13">
        <v>15</v>
      </c>
      <c r="G66" s="13">
        <v>12</v>
      </c>
      <c r="H66" s="13">
        <v>11</v>
      </c>
      <c r="I66" s="13">
        <v>47</v>
      </c>
      <c r="J66" s="13">
        <v>39</v>
      </c>
      <c r="K66" s="13">
        <v>8</v>
      </c>
      <c r="L66" s="13">
        <v>50</v>
      </c>
    </row>
    <row r="67" spans="1:12" ht="15.75" thickBot="1" x14ac:dyDescent="0.3">
      <c r="A67">
        <v>2017</v>
      </c>
      <c r="B67" s="14" t="s">
        <v>22</v>
      </c>
      <c r="C67" s="11" t="s">
        <v>13</v>
      </c>
      <c r="D67" s="12">
        <v>56</v>
      </c>
      <c r="E67" s="13">
        <v>38</v>
      </c>
      <c r="F67" s="13">
        <v>15</v>
      </c>
      <c r="G67" s="13">
        <v>11</v>
      </c>
      <c r="H67" s="13">
        <v>12</v>
      </c>
      <c r="I67" s="13">
        <v>49</v>
      </c>
      <c r="J67" s="13">
        <v>38</v>
      </c>
      <c r="K67" s="13">
        <v>11</v>
      </c>
      <c r="L67" s="13">
        <v>49</v>
      </c>
    </row>
    <row r="68" spans="1:12" ht="15.75" thickBot="1" x14ac:dyDescent="0.3">
      <c r="A68">
        <v>2017</v>
      </c>
      <c r="B68" s="15" t="s">
        <v>24</v>
      </c>
      <c r="C68" s="11" t="s">
        <v>45</v>
      </c>
      <c r="D68" s="12">
        <v>56</v>
      </c>
      <c r="E68" s="13">
        <v>38</v>
      </c>
      <c r="F68" s="13">
        <v>15</v>
      </c>
      <c r="G68" s="13">
        <v>11</v>
      </c>
      <c r="H68" s="13">
        <v>12</v>
      </c>
      <c r="I68" s="13">
        <v>40</v>
      </c>
      <c r="J68" s="13">
        <v>47</v>
      </c>
      <c r="K68" s="13">
        <v>-7</v>
      </c>
      <c r="L68" s="13">
        <v>49</v>
      </c>
    </row>
    <row r="69" spans="1:12" ht="15.75" thickBot="1" x14ac:dyDescent="0.3">
      <c r="A69">
        <v>2017</v>
      </c>
      <c r="B69" s="15" t="s">
        <v>26</v>
      </c>
      <c r="C69" s="11" t="s">
        <v>54</v>
      </c>
      <c r="D69" s="12">
        <v>54</v>
      </c>
      <c r="E69" s="13">
        <v>38</v>
      </c>
      <c r="F69" s="13">
        <v>15</v>
      </c>
      <c r="G69" s="13">
        <v>9</v>
      </c>
      <c r="H69" s="13">
        <v>14</v>
      </c>
      <c r="I69" s="13">
        <v>47</v>
      </c>
      <c r="J69" s="13">
        <v>49</v>
      </c>
      <c r="K69" s="13">
        <v>-2</v>
      </c>
      <c r="L69" s="13">
        <v>47</v>
      </c>
    </row>
    <row r="70" spans="1:12" ht="15.75" thickBot="1" x14ac:dyDescent="0.3">
      <c r="A70">
        <v>2017</v>
      </c>
      <c r="B70" s="15" t="s">
        <v>28</v>
      </c>
      <c r="C70" s="11" t="s">
        <v>17</v>
      </c>
      <c r="D70" s="12">
        <v>54</v>
      </c>
      <c r="E70" s="13">
        <v>38</v>
      </c>
      <c r="F70" s="13">
        <v>14</v>
      </c>
      <c r="G70" s="13">
        <v>12</v>
      </c>
      <c r="H70" s="13">
        <v>12</v>
      </c>
      <c r="I70" s="13">
        <v>52</v>
      </c>
      <c r="J70" s="13">
        <v>49</v>
      </c>
      <c r="K70" s="13">
        <v>3</v>
      </c>
      <c r="L70" s="13">
        <v>47</v>
      </c>
    </row>
    <row r="71" spans="1:12" ht="15.75" thickBot="1" x14ac:dyDescent="0.3">
      <c r="A71">
        <v>2017</v>
      </c>
      <c r="B71" s="15" t="s">
        <v>30</v>
      </c>
      <c r="C71" s="11" t="s">
        <v>51</v>
      </c>
      <c r="D71" s="12">
        <v>53</v>
      </c>
      <c r="E71" s="13">
        <v>38</v>
      </c>
      <c r="F71" s="13">
        <v>14</v>
      </c>
      <c r="G71" s="13">
        <v>11</v>
      </c>
      <c r="H71" s="13">
        <v>13</v>
      </c>
      <c r="I71" s="13">
        <v>45</v>
      </c>
      <c r="J71" s="13">
        <v>42</v>
      </c>
      <c r="K71" s="13">
        <v>3</v>
      </c>
      <c r="L71" s="13">
        <v>46</v>
      </c>
    </row>
    <row r="72" spans="1:12" ht="15.75" thickBot="1" x14ac:dyDescent="0.3">
      <c r="A72">
        <v>2017</v>
      </c>
      <c r="B72" s="15" t="s">
        <v>32</v>
      </c>
      <c r="C72" s="11" t="s">
        <v>59</v>
      </c>
      <c r="D72" s="12">
        <v>51</v>
      </c>
      <c r="E72" s="13">
        <v>38</v>
      </c>
      <c r="F72" s="13">
        <v>14</v>
      </c>
      <c r="G72" s="13">
        <v>9</v>
      </c>
      <c r="H72" s="13">
        <v>15</v>
      </c>
      <c r="I72" s="13">
        <v>45</v>
      </c>
      <c r="J72" s="13">
        <v>43</v>
      </c>
      <c r="K72" s="13">
        <v>2</v>
      </c>
      <c r="L72" s="13">
        <v>45</v>
      </c>
    </row>
    <row r="73" spans="1:12" ht="15.75" thickBot="1" x14ac:dyDescent="0.3">
      <c r="A73">
        <v>2017</v>
      </c>
      <c r="B73" s="15" t="s">
        <v>34</v>
      </c>
      <c r="C73" s="11" t="s">
        <v>39</v>
      </c>
      <c r="D73" s="12">
        <v>50</v>
      </c>
      <c r="E73" s="13">
        <v>38</v>
      </c>
      <c r="F73" s="13">
        <v>13</v>
      </c>
      <c r="G73" s="13">
        <v>11</v>
      </c>
      <c r="H73" s="13">
        <v>14</v>
      </c>
      <c r="I73" s="13">
        <v>50</v>
      </c>
      <c r="J73" s="13">
        <v>48</v>
      </c>
      <c r="K73" s="13">
        <v>2</v>
      </c>
      <c r="L73" s="13">
        <v>44</v>
      </c>
    </row>
    <row r="74" spans="1:12" ht="15.75" thickBot="1" x14ac:dyDescent="0.3">
      <c r="A74">
        <v>2017</v>
      </c>
      <c r="B74" s="15" t="s">
        <v>36</v>
      </c>
      <c r="C74" s="11" t="s">
        <v>19</v>
      </c>
      <c r="D74" s="12">
        <v>50</v>
      </c>
      <c r="E74" s="13">
        <v>38</v>
      </c>
      <c r="F74" s="13">
        <v>13</v>
      </c>
      <c r="G74" s="13">
        <v>11</v>
      </c>
      <c r="H74" s="13">
        <v>14</v>
      </c>
      <c r="I74" s="13">
        <v>48</v>
      </c>
      <c r="J74" s="13">
        <v>49</v>
      </c>
      <c r="K74" s="13">
        <v>-1</v>
      </c>
      <c r="L74" s="13">
        <v>44</v>
      </c>
    </row>
    <row r="75" spans="1:12" ht="15.75" thickBot="1" x14ac:dyDescent="0.3">
      <c r="A75">
        <v>2017</v>
      </c>
      <c r="B75" s="15" t="s">
        <v>38</v>
      </c>
      <c r="C75" s="11" t="s">
        <v>21</v>
      </c>
      <c r="D75" s="12">
        <v>47</v>
      </c>
      <c r="E75" s="13">
        <v>38</v>
      </c>
      <c r="F75" s="13">
        <v>11</v>
      </c>
      <c r="G75" s="13">
        <v>14</v>
      </c>
      <c r="H75" s="13">
        <v>13</v>
      </c>
      <c r="I75" s="13">
        <v>50</v>
      </c>
      <c r="J75" s="13">
        <v>53</v>
      </c>
      <c r="K75" s="13">
        <v>-3</v>
      </c>
      <c r="L75" s="13">
        <v>41</v>
      </c>
    </row>
    <row r="76" spans="1:12" ht="15.75" thickBot="1" x14ac:dyDescent="0.3">
      <c r="A76">
        <v>2017</v>
      </c>
      <c r="B76" s="15" t="s">
        <v>40</v>
      </c>
      <c r="C76" s="11" t="s">
        <v>41</v>
      </c>
      <c r="D76" s="12">
        <v>45</v>
      </c>
      <c r="E76" s="13">
        <v>38</v>
      </c>
      <c r="F76" s="13">
        <v>12</v>
      </c>
      <c r="G76" s="13">
        <v>9</v>
      </c>
      <c r="H76" s="13">
        <v>17</v>
      </c>
      <c r="I76" s="13">
        <v>46</v>
      </c>
      <c r="J76" s="13">
        <v>58</v>
      </c>
      <c r="K76" s="13">
        <v>-12</v>
      </c>
      <c r="L76" s="13">
        <v>39</v>
      </c>
    </row>
    <row r="77" spans="1:12" ht="15.75" thickBot="1" x14ac:dyDescent="0.3">
      <c r="A77">
        <v>2017</v>
      </c>
      <c r="B77" s="15" t="s">
        <v>42</v>
      </c>
      <c r="C77" s="11" t="s">
        <v>58</v>
      </c>
      <c r="D77" s="12">
        <v>43</v>
      </c>
      <c r="E77" s="13">
        <v>38</v>
      </c>
      <c r="F77" s="13">
        <v>11</v>
      </c>
      <c r="G77" s="13">
        <v>10</v>
      </c>
      <c r="H77" s="13">
        <v>17</v>
      </c>
      <c r="I77" s="13">
        <v>50</v>
      </c>
      <c r="J77" s="13">
        <v>58</v>
      </c>
      <c r="K77" s="13">
        <v>-8</v>
      </c>
      <c r="L77" s="13">
        <v>38</v>
      </c>
    </row>
    <row r="78" spans="1:12" ht="15.75" thickBot="1" x14ac:dyDescent="0.3">
      <c r="A78">
        <v>2017</v>
      </c>
      <c r="B78" s="16" t="s">
        <v>44</v>
      </c>
      <c r="C78" s="11" t="s">
        <v>49</v>
      </c>
      <c r="D78" s="12">
        <v>43</v>
      </c>
      <c r="E78" s="13">
        <v>38</v>
      </c>
      <c r="F78" s="13">
        <v>11</v>
      </c>
      <c r="G78" s="13">
        <v>10</v>
      </c>
      <c r="H78" s="13">
        <v>17</v>
      </c>
      <c r="I78" s="13">
        <v>42</v>
      </c>
      <c r="J78" s="13">
        <v>51</v>
      </c>
      <c r="K78" s="13">
        <v>-9</v>
      </c>
      <c r="L78" s="13">
        <v>38</v>
      </c>
    </row>
    <row r="79" spans="1:12" ht="15.75" thickBot="1" x14ac:dyDescent="0.3">
      <c r="A79">
        <v>2017</v>
      </c>
      <c r="B79" s="16" t="s">
        <v>46</v>
      </c>
      <c r="C79" s="11" t="s">
        <v>55</v>
      </c>
      <c r="D79" s="12">
        <v>43</v>
      </c>
      <c r="E79" s="13">
        <v>38</v>
      </c>
      <c r="F79" s="13">
        <v>10</v>
      </c>
      <c r="G79" s="13">
        <v>13</v>
      </c>
      <c r="H79" s="13">
        <v>15</v>
      </c>
      <c r="I79" s="13">
        <v>29</v>
      </c>
      <c r="J79" s="13">
        <v>48</v>
      </c>
      <c r="K79" s="13">
        <v>-19</v>
      </c>
      <c r="L79" s="13">
        <v>38</v>
      </c>
    </row>
    <row r="80" spans="1:12" ht="15.75" thickBot="1" x14ac:dyDescent="0.3">
      <c r="A80">
        <v>2017</v>
      </c>
      <c r="B80" s="16" t="s">
        <v>48</v>
      </c>
      <c r="C80" s="11" t="s">
        <v>61</v>
      </c>
      <c r="D80" s="12">
        <v>39</v>
      </c>
      <c r="E80" s="13">
        <v>38</v>
      </c>
      <c r="F80" s="13">
        <v>10</v>
      </c>
      <c r="G80" s="13">
        <v>9</v>
      </c>
      <c r="H80" s="13">
        <v>19</v>
      </c>
      <c r="I80" s="13">
        <v>37</v>
      </c>
      <c r="J80" s="13">
        <v>52</v>
      </c>
      <c r="K80" s="13">
        <v>-15</v>
      </c>
      <c r="L80" s="13">
        <v>34</v>
      </c>
    </row>
    <row r="81" spans="1:12" ht="15.75" thickBot="1" x14ac:dyDescent="0.3">
      <c r="A81" s="17">
        <v>2017</v>
      </c>
      <c r="B81" s="18" t="s">
        <v>50</v>
      </c>
      <c r="C81" s="19" t="s">
        <v>37</v>
      </c>
      <c r="D81" s="20">
        <v>36</v>
      </c>
      <c r="E81" s="21">
        <v>38</v>
      </c>
      <c r="F81" s="21">
        <v>9</v>
      </c>
      <c r="G81" s="21">
        <v>9</v>
      </c>
      <c r="H81" s="21">
        <v>20</v>
      </c>
      <c r="I81" s="21">
        <v>38</v>
      </c>
      <c r="J81" s="21">
        <v>56</v>
      </c>
      <c r="K81" s="21">
        <v>-18</v>
      </c>
      <c r="L81" s="21">
        <v>32</v>
      </c>
    </row>
    <row r="82" spans="1:12" ht="15.75" thickBot="1" x14ac:dyDescent="0.3">
      <c r="A82" s="5">
        <v>2016</v>
      </c>
      <c r="B82" s="6" t="s">
        <v>12</v>
      </c>
      <c r="C82" s="7" t="s">
        <v>25</v>
      </c>
      <c r="D82" s="8">
        <v>80</v>
      </c>
      <c r="E82" s="9">
        <v>38</v>
      </c>
      <c r="F82" s="9">
        <v>24</v>
      </c>
      <c r="G82" s="9">
        <v>8</v>
      </c>
      <c r="H82" s="9">
        <v>6</v>
      </c>
      <c r="I82" s="9">
        <v>62</v>
      </c>
      <c r="J82" s="9">
        <v>32</v>
      </c>
      <c r="K82" s="9">
        <v>30</v>
      </c>
      <c r="L82" s="9">
        <v>70</v>
      </c>
    </row>
    <row r="83" spans="1:12" ht="15.75" thickBot="1" x14ac:dyDescent="0.3">
      <c r="A83">
        <v>2016</v>
      </c>
      <c r="B83" s="10" t="s">
        <v>14</v>
      </c>
      <c r="C83" s="11" t="s">
        <v>27</v>
      </c>
      <c r="D83" s="12">
        <v>71</v>
      </c>
      <c r="E83" s="13">
        <v>38</v>
      </c>
      <c r="F83" s="13">
        <v>22</v>
      </c>
      <c r="G83" s="13">
        <v>5</v>
      </c>
      <c r="H83" s="13">
        <v>11</v>
      </c>
      <c r="I83" s="13">
        <v>59</v>
      </c>
      <c r="J83" s="13">
        <v>35</v>
      </c>
      <c r="K83" s="13">
        <v>24</v>
      </c>
      <c r="L83" s="13">
        <v>62</v>
      </c>
    </row>
    <row r="84" spans="1:12" ht="15.75" thickBot="1" x14ac:dyDescent="0.3">
      <c r="A84">
        <v>2016</v>
      </c>
      <c r="B84" s="10" t="s">
        <v>16</v>
      </c>
      <c r="C84" s="11" t="s">
        <v>13</v>
      </c>
      <c r="D84" s="12">
        <v>71</v>
      </c>
      <c r="E84" s="13">
        <v>38</v>
      </c>
      <c r="F84" s="13">
        <v>20</v>
      </c>
      <c r="G84" s="13">
        <v>11</v>
      </c>
      <c r="H84" s="13">
        <v>7</v>
      </c>
      <c r="I84" s="13">
        <v>52</v>
      </c>
      <c r="J84" s="13">
        <v>35</v>
      </c>
      <c r="K84" s="13">
        <v>17</v>
      </c>
      <c r="L84" s="13">
        <v>62</v>
      </c>
    </row>
    <row r="85" spans="1:12" ht="15.75" thickBot="1" x14ac:dyDescent="0.3">
      <c r="A85">
        <v>2016</v>
      </c>
      <c r="B85" s="10" t="s">
        <v>18</v>
      </c>
      <c r="C85" s="11" t="s">
        <v>17</v>
      </c>
      <c r="D85" s="12">
        <v>62</v>
      </c>
      <c r="E85" s="13">
        <v>38</v>
      </c>
      <c r="F85" s="13">
        <v>17</v>
      </c>
      <c r="G85" s="13">
        <v>11</v>
      </c>
      <c r="H85" s="13">
        <v>10</v>
      </c>
      <c r="I85" s="13">
        <v>61</v>
      </c>
      <c r="J85" s="13">
        <v>53</v>
      </c>
      <c r="K85" s="13">
        <v>8</v>
      </c>
      <c r="L85" s="13">
        <v>54</v>
      </c>
    </row>
    <row r="86" spans="1:12" ht="15.75" thickBot="1" x14ac:dyDescent="0.3">
      <c r="A86">
        <v>2016</v>
      </c>
      <c r="B86" s="15" t="s">
        <v>20</v>
      </c>
      <c r="C86" s="11" t="s">
        <v>51</v>
      </c>
      <c r="D86" s="12">
        <v>59</v>
      </c>
      <c r="E86" s="13">
        <v>38</v>
      </c>
      <c r="F86" s="13">
        <v>17</v>
      </c>
      <c r="G86" s="13">
        <v>8</v>
      </c>
      <c r="H86" s="13">
        <v>13</v>
      </c>
      <c r="I86" s="13">
        <v>43</v>
      </c>
      <c r="J86" s="13">
        <v>39</v>
      </c>
      <c r="K86" s="13">
        <v>4</v>
      </c>
      <c r="L86" s="13">
        <v>52</v>
      </c>
    </row>
    <row r="87" spans="1:12" ht="15.75" thickBot="1" x14ac:dyDescent="0.3">
      <c r="A87">
        <v>2016</v>
      </c>
      <c r="B87" s="15" t="s">
        <v>22</v>
      </c>
      <c r="C87" s="11" t="s">
        <v>59</v>
      </c>
      <c r="D87" s="12">
        <v>57</v>
      </c>
      <c r="E87" s="13">
        <v>38</v>
      </c>
      <c r="F87" s="13">
        <v>17</v>
      </c>
      <c r="G87" s="13">
        <v>6</v>
      </c>
      <c r="H87" s="13">
        <v>15</v>
      </c>
      <c r="I87" s="13">
        <v>38</v>
      </c>
      <c r="J87" s="13">
        <v>32</v>
      </c>
      <c r="K87" s="13">
        <v>6</v>
      </c>
      <c r="L87" s="13">
        <v>50</v>
      </c>
    </row>
    <row r="88" spans="1:12" ht="15.75" thickBot="1" x14ac:dyDescent="0.3">
      <c r="A88">
        <v>2016</v>
      </c>
      <c r="B88" s="15" t="s">
        <v>24</v>
      </c>
      <c r="C88" s="11" t="s">
        <v>35</v>
      </c>
      <c r="D88" s="12">
        <v>55</v>
      </c>
      <c r="E88" s="13">
        <v>38</v>
      </c>
      <c r="F88" s="13">
        <v>15</v>
      </c>
      <c r="G88" s="13">
        <v>10</v>
      </c>
      <c r="H88" s="13">
        <v>13</v>
      </c>
      <c r="I88" s="13">
        <v>48</v>
      </c>
      <c r="J88" s="13">
        <v>42</v>
      </c>
      <c r="K88" s="13">
        <v>6</v>
      </c>
      <c r="L88" s="13">
        <v>48</v>
      </c>
    </row>
    <row r="89" spans="1:12" ht="15.75" thickBot="1" x14ac:dyDescent="0.3">
      <c r="A89">
        <v>2016</v>
      </c>
      <c r="B89" s="15" t="s">
        <v>26</v>
      </c>
      <c r="C89" s="11" t="s">
        <v>61</v>
      </c>
      <c r="D89" s="12">
        <v>53</v>
      </c>
      <c r="E89" s="13">
        <v>38</v>
      </c>
      <c r="F89" s="13">
        <v>15</v>
      </c>
      <c r="G89" s="13">
        <v>8</v>
      </c>
      <c r="H89" s="13">
        <v>15</v>
      </c>
      <c r="I89" s="13">
        <v>48</v>
      </c>
      <c r="J89" s="13">
        <v>52</v>
      </c>
      <c r="K89" s="13">
        <v>-4</v>
      </c>
      <c r="L89" s="13">
        <v>46</v>
      </c>
    </row>
    <row r="90" spans="1:12" ht="15.75" thickBot="1" x14ac:dyDescent="0.3">
      <c r="A90">
        <v>2016</v>
      </c>
      <c r="B90" s="14" t="s">
        <v>28</v>
      </c>
      <c r="C90" s="11" t="s">
        <v>23</v>
      </c>
      <c r="D90" s="12">
        <v>53</v>
      </c>
      <c r="E90" s="13">
        <v>38</v>
      </c>
      <c r="F90" s="13">
        <v>14</v>
      </c>
      <c r="G90" s="13">
        <v>11</v>
      </c>
      <c r="H90" s="13">
        <v>13</v>
      </c>
      <c r="I90" s="13">
        <v>41</v>
      </c>
      <c r="J90" s="13">
        <v>44</v>
      </c>
      <c r="K90" s="13">
        <v>-3</v>
      </c>
      <c r="L90" s="13">
        <v>46</v>
      </c>
    </row>
    <row r="91" spans="1:12" ht="15.75" thickBot="1" x14ac:dyDescent="0.3">
      <c r="A91">
        <v>2016</v>
      </c>
      <c r="B91" s="15" t="s">
        <v>30</v>
      </c>
      <c r="C91" s="11" t="s">
        <v>19</v>
      </c>
      <c r="D91" s="12">
        <v>52</v>
      </c>
      <c r="E91" s="13">
        <v>38</v>
      </c>
      <c r="F91" s="13">
        <v>14</v>
      </c>
      <c r="G91" s="13">
        <v>10</v>
      </c>
      <c r="H91" s="13">
        <v>14</v>
      </c>
      <c r="I91" s="13">
        <v>44</v>
      </c>
      <c r="J91" s="13">
        <v>36</v>
      </c>
      <c r="K91" s="13">
        <v>8</v>
      </c>
      <c r="L91" s="13">
        <v>46</v>
      </c>
    </row>
    <row r="92" spans="1:12" ht="15.75" thickBot="1" x14ac:dyDescent="0.3">
      <c r="A92">
        <v>2016</v>
      </c>
      <c r="B92" s="15" t="s">
        <v>32</v>
      </c>
      <c r="C92" s="11" t="s">
        <v>54</v>
      </c>
      <c r="D92" s="12">
        <v>52</v>
      </c>
      <c r="E92" s="13">
        <v>38</v>
      </c>
      <c r="F92" s="13">
        <v>13</v>
      </c>
      <c r="G92" s="13">
        <v>13</v>
      </c>
      <c r="H92" s="13">
        <v>12</v>
      </c>
      <c r="I92" s="13">
        <v>49</v>
      </c>
      <c r="J92" s="13">
        <v>56</v>
      </c>
      <c r="K92" s="13">
        <v>-7</v>
      </c>
      <c r="L92" s="13">
        <v>46</v>
      </c>
    </row>
    <row r="93" spans="1:12" ht="15.75" thickBot="1" x14ac:dyDescent="0.3">
      <c r="A93">
        <v>2016</v>
      </c>
      <c r="B93" s="15" t="s">
        <v>34</v>
      </c>
      <c r="C93" s="11" t="s">
        <v>52</v>
      </c>
      <c r="D93" s="12">
        <v>51</v>
      </c>
      <c r="E93" s="13">
        <v>38</v>
      </c>
      <c r="F93" s="13">
        <v>14</v>
      </c>
      <c r="G93" s="13">
        <v>9</v>
      </c>
      <c r="H93" s="13">
        <v>15</v>
      </c>
      <c r="I93" s="13">
        <v>48</v>
      </c>
      <c r="J93" s="13">
        <v>49</v>
      </c>
      <c r="K93" s="13">
        <v>-1</v>
      </c>
      <c r="L93" s="13">
        <v>45</v>
      </c>
    </row>
    <row r="94" spans="1:12" ht="15.75" thickBot="1" x14ac:dyDescent="0.3">
      <c r="A94">
        <v>2016</v>
      </c>
      <c r="B94" s="15" t="s">
        <v>36</v>
      </c>
      <c r="C94" s="11" t="s">
        <v>21</v>
      </c>
      <c r="D94" s="12">
        <v>50</v>
      </c>
      <c r="E94" s="13">
        <v>38</v>
      </c>
      <c r="F94" s="13">
        <v>13</v>
      </c>
      <c r="G94" s="13">
        <v>11</v>
      </c>
      <c r="H94" s="13">
        <v>14</v>
      </c>
      <c r="I94" s="13">
        <v>45</v>
      </c>
      <c r="J94" s="13">
        <v>45</v>
      </c>
      <c r="K94" s="13">
        <v>0</v>
      </c>
      <c r="L94" s="13">
        <v>44</v>
      </c>
    </row>
    <row r="95" spans="1:12" ht="15.75" thickBot="1" x14ac:dyDescent="0.3">
      <c r="A95">
        <v>2016</v>
      </c>
      <c r="B95" s="15" t="s">
        <v>38</v>
      </c>
      <c r="C95" s="11" t="s">
        <v>41</v>
      </c>
      <c r="D95" s="12">
        <v>47</v>
      </c>
      <c r="E95" s="13">
        <v>38</v>
      </c>
      <c r="F95" s="13">
        <v>13</v>
      </c>
      <c r="G95" s="13">
        <v>8</v>
      </c>
      <c r="H95" s="13">
        <v>17</v>
      </c>
      <c r="I95" s="13">
        <v>49</v>
      </c>
      <c r="J95" s="13">
        <v>55</v>
      </c>
      <c r="K95" s="13">
        <v>-6</v>
      </c>
      <c r="L95" s="13">
        <v>41</v>
      </c>
    </row>
    <row r="96" spans="1:12" ht="15.75" thickBot="1" x14ac:dyDescent="0.3">
      <c r="A96">
        <v>2016</v>
      </c>
      <c r="B96" s="15" t="s">
        <v>40</v>
      </c>
      <c r="C96" s="11" t="s">
        <v>49</v>
      </c>
      <c r="D96" s="12">
        <v>46</v>
      </c>
      <c r="E96" s="13">
        <v>38</v>
      </c>
      <c r="F96" s="13">
        <v>11</v>
      </c>
      <c r="G96" s="13">
        <v>13</v>
      </c>
      <c r="H96" s="13">
        <v>14</v>
      </c>
      <c r="I96" s="13">
        <v>41</v>
      </c>
      <c r="J96" s="13">
        <v>42</v>
      </c>
      <c r="K96" s="13">
        <v>-1</v>
      </c>
      <c r="L96" s="13">
        <v>40</v>
      </c>
    </row>
    <row r="97" spans="1:12" ht="15.75" thickBot="1" x14ac:dyDescent="0.3">
      <c r="A97">
        <v>2016</v>
      </c>
      <c r="B97" s="15" t="s">
        <v>42</v>
      </c>
      <c r="C97" s="11" t="s">
        <v>58</v>
      </c>
      <c r="D97" s="12">
        <v>45</v>
      </c>
      <c r="E97" s="13">
        <v>38</v>
      </c>
      <c r="F97" s="13">
        <v>12</v>
      </c>
      <c r="G97" s="13">
        <v>9</v>
      </c>
      <c r="H97" s="13">
        <v>17</v>
      </c>
      <c r="I97" s="13">
        <v>51</v>
      </c>
      <c r="J97" s="13">
        <v>53</v>
      </c>
      <c r="K97" s="13">
        <v>-2</v>
      </c>
      <c r="L97" s="13">
        <v>39</v>
      </c>
    </row>
    <row r="98" spans="1:12" ht="15.75" thickBot="1" x14ac:dyDescent="0.3">
      <c r="A98">
        <v>2016</v>
      </c>
      <c r="B98" s="16" t="s">
        <v>44</v>
      </c>
      <c r="C98" s="11" t="s">
        <v>56</v>
      </c>
      <c r="D98" s="12">
        <v>43</v>
      </c>
      <c r="E98" s="13">
        <v>38</v>
      </c>
      <c r="F98" s="13">
        <v>11</v>
      </c>
      <c r="G98" s="13">
        <v>10</v>
      </c>
      <c r="H98" s="13">
        <v>17</v>
      </c>
      <c r="I98" s="13">
        <v>35</v>
      </c>
      <c r="J98" s="13">
        <v>41</v>
      </c>
      <c r="K98" s="13">
        <v>-6</v>
      </c>
      <c r="L98" s="13">
        <v>38</v>
      </c>
    </row>
    <row r="99" spans="1:12" ht="15.75" thickBot="1" x14ac:dyDescent="0.3">
      <c r="A99">
        <v>2016</v>
      </c>
      <c r="B99" s="16" t="s">
        <v>46</v>
      </c>
      <c r="C99" s="11" t="s">
        <v>62</v>
      </c>
      <c r="D99" s="12">
        <v>37</v>
      </c>
      <c r="E99" s="13">
        <v>38</v>
      </c>
      <c r="F99" s="13">
        <v>8</v>
      </c>
      <c r="G99" s="13">
        <v>13</v>
      </c>
      <c r="H99" s="13">
        <v>17</v>
      </c>
      <c r="I99" s="13">
        <v>30</v>
      </c>
      <c r="J99" s="13">
        <v>50</v>
      </c>
      <c r="K99" s="13">
        <v>-20</v>
      </c>
      <c r="L99" s="13">
        <v>32</v>
      </c>
    </row>
    <row r="100" spans="1:12" ht="15.75" thickBot="1" x14ac:dyDescent="0.3">
      <c r="A100">
        <v>2016</v>
      </c>
      <c r="B100" s="16" t="s">
        <v>48</v>
      </c>
      <c r="C100" s="11" t="s">
        <v>63</v>
      </c>
      <c r="D100" s="12">
        <v>31</v>
      </c>
      <c r="E100" s="13">
        <v>38</v>
      </c>
      <c r="F100" s="13">
        <v>8</v>
      </c>
      <c r="G100" s="13">
        <v>7</v>
      </c>
      <c r="H100" s="13">
        <v>23</v>
      </c>
      <c r="I100" s="13">
        <v>45</v>
      </c>
      <c r="J100" s="13">
        <v>69</v>
      </c>
      <c r="K100" s="13">
        <v>-24</v>
      </c>
      <c r="L100" s="13">
        <v>27</v>
      </c>
    </row>
    <row r="101" spans="1:12" ht="15.75" thickBot="1" x14ac:dyDescent="0.3">
      <c r="A101" s="17">
        <v>2016</v>
      </c>
      <c r="B101" s="18" t="s">
        <v>50</v>
      </c>
      <c r="C101" s="19" t="s">
        <v>57</v>
      </c>
      <c r="D101" s="20">
        <v>28</v>
      </c>
      <c r="E101" s="21">
        <v>38</v>
      </c>
      <c r="F101" s="21">
        <v>7</v>
      </c>
      <c r="G101" s="21">
        <v>7</v>
      </c>
      <c r="H101" s="21">
        <v>24</v>
      </c>
      <c r="I101" s="21">
        <v>23</v>
      </c>
      <c r="J101" s="21">
        <v>58</v>
      </c>
      <c r="K101" s="21">
        <v>-35</v>
      </c>
      <c r="L101" s="21">
        <v>25</v>
      </c>
    </row>
    <row r="102" spans="1:12" ht="15.75" thickBot="1" x14ac:dyDescent="0.3">
      <c r="A102" s="5">
        <v>2015</v>
      </c>
      <c r="B102" s="6" t="s">
        <v>12</v>
      </c>
      <c r="C102" s="7" t="s">
        <v>35</v>
      </c>
      <c r="D102" s="8">
        <v>81</v>
      </c>
      <c r="E102" s="9">
        <v>38</v>
      </c>
      <c r="F102" s="9">
        <v>24</v>
      </c>
      <c r="G102" s="9">
        <v>9</v>
      </c>
      <c r="H102" s="9">
        <v>5</v>
      </c>
      <c r="I102" s="9">
        <v>71</v>
      </c>
      <c r="J102" s="9">
        <v>31</v>
      </c>
      <c r="K102" s="9">
        <v>40</v>
      </c>
      <c r="L102" s="9">
        <v>71</v>
      </c>
    </row>
    <row r="103" spans="1:12" ht="15.75" thickBot="1" x14ac:dyDescent="0.3">
      <c r="A103">
        <v>2015</v>
      </c>
      <c r="B103" s="10" t="s">
        <v>14</v>
      </c>
      <c r="C103" s="11" t="s">
        <v>17</v>
      </c>
      <c r="D103" s="12">
        <v>69</v>
      </c>
      <c r="E103" s="13">
        <v>38</v>
      </c>
      <c r="F103" s="13">
        <v>21</v>
      </c>
      <c r="G103" s="13">
        <v>6</v>
      </c>
      <c r="H103" s="13">
        <v>11</v>
      </c>
      <c r="I103" s="13">
        <v>65</v>
      </c>
      <c r="J103" s="13">
        <v>47</v>
      </c>
      <c r="K103" s="13">
        <v>18</v>
      </c>
      <c r="L103" s="13">
        <v>61</v>
      </c>
    </row>
    <row r="104" spans="1:12" ht="15.75" thickBot="1" x14ac:dyDescent="0.3">
      <c r="A104">
        <v>2015</v>
      </c>
      <c r="B104" s="10" t="s">
        <v>16</v>
      </c>
      <c r="C104" s="11" t="s">
        <v>23</v>
      </c>
      <c r="D104" s="12">
        <v>68</v>
      </c>
      <c r="E104" s="13">
        <v>38</v>
      </c>
      <c r="F104" s="13">
        <v>20</v>
      </c>
      <c r="G104" s="13">
        <v>8</v>
      </c>
      <c r="H104" s="13">
        <v>10</v>
      </c>
      <c r="I104" s="13">
        <v>52</v>
      </c>
      <c r="J104" s="13">
        <v>32</v>
      </c>
      <c r="K104" s="13">
        <v>20</v>
      </c>
      <c r="L104" s="13">
        <v>60</v>
      </c>
    </row>
    <row r="105" spans="1:12" ht="15.75" thickBot="1" x14ac:dyDescent="0.3">
      <c r="A105">
        <v>2015</v>
      </c>
      <c r="B105" s="10" t="s">
        <v>18</v>
      </c>
      <c r="C105" s="11" t="s">
        <v>19</v>
      </c>
      <c r="D105" s="12">
        <v>62</v>
      </c>
      <c r="E105" s="13">
        <v>38</v>
      </c>
      <c r="F105" s="13">
        <v>18</v>
      </c>
      <c r="G105" s="13">
        <v>8</v>
      </c>
      <c r="H105" s="13">
        <v>12</v>
      </c>
      <c r="I105" s="13">
        <v>53</v>
      </c>
      <c r="J105" s="13">
        <v>47</v>
      </c>
      <c r="K105" s="13">
        <v>6</v>
      </c>
      <c r="L105" s="13">
        <v>54</v>
      </c>
    </row>
    <row r="106" spans="1:12" ht="15.75" thickBot="1" x14ac:dyDescent="0.3">
      <c r="A106">
        <v>2015</v>
      </c>
      <c r="B106" s="15" t="s">
        <v>20</v>
      </c>
      <c r="C106" s="11" t="s">
        <v>56</v>
      </c>
      <c r="D106" s="12">
        <v>60</v>
      </c>
      <c r="E106" s="13">
        <v>38</v>
      </c>
      <c r="F106" s="13">
        <v>17</v>
      </c>
      <c r="G106" s="13">
        <v>9</v>
      </c>
      <c r="H106" s="13">
        <v>12</v>
      </c>
      <c r="I106" s="13">
        <v>39</v>
      </c>
      <c r="J106" s="13">
        <v>38</v>
      </c>
      <c r="K106" s="13">
        <v>1</v>
      </c>
      <c r="L106" s="13">
        <v>53</v>
      </c>
    </row>
    <row r="107" spans="1:12" ht="15.75" thickBot="1" x14ac:dyDescent="0.3">
      <c r="A107">
        <v>2015</v>
      </c>
      <c r="B107" s="15" t="s">
        <v>22</v>
      </c>
      <c r="C107" s="11" t="s">
        <v>41</v>
      </c>
      <c r="D107" s="12">
        <v>59</v>
      </c>
      <c r="E107" s="13">
        <v>38</v>
      </c>
      <c r="F107" s="13">
        <v>15</v>
      </c>
      <c r="G107" s="13">
        <v>14</v>
      </c>
      <c r="H107" s="13">
        <v>9</v>
      </c>
      <c r="I107" s="13">
        <v>53</v>
      </c>
      <c r="J107" s="13">
        <v>38</v>
      </c>
      <c r="K107" s="13">
        <v>15</v>
      </c>
      <c r="L107" s="13">
        <v>52</v>
      </c>
    </row>
    <row r="108" spans="1:12" ht="15.75" thickBot="1" x14ac:dyDescent="0.3">
      <c r="A108">
        <v>2015</v>
      </c>
      <c r="B108" s="15" t="s">
        <v>24</v>
      </c>
      <c r="C108" s="11" t="s">
        <v>27</v>
      </c>
      <c r="D108" s="12">
        <v>58</v>
      </c>
      <c r="E108" s="13">
        <v>38</v>
      </c>
      <c r="F108" s="13">
        <v>16</v>
      </c>
      <c r="G108" s="13">
        <v>10</v>
      </c>
      <c r="H108" s="13">
        <v>12</v>
      </c>
      <c r="I108" s="13">
        <v>59</v>
      </c>
      <c r="J108" s="13">
        <v>41</v>
      </c>
      <c r="K108" s="13">
        <v>18</v>
      </c>
      <c r="L108" s="13">
        <v>51</v>
      </c>
    </row>
    <row r="109" spans="1:12" ht="15.75" thickBot="1" x14ac:dyDescent="0.3">
      <c r="A109">
        <v>2015</v>
      </c>
      <c r="B109" s="15" t="s">
        <v>26</v>
      </c>
      <c r="C109" s="11" t="s">
        <v>52</v>
      </c>
      <c r="D109" s="12">
        <v>55</v>
      </c>
      <c r="E109" s="13">
        <v>38</v>
      </c>
      <c r="F109" s="13">
        <v>15</v>
      </c>
      <c r="G109" s="13">
        <v>10</v>
      </c>
      <c r="H109" s="13">
        <v>13</v>
      </c>
      <c r="I109" s="13">
        <v>44</v>
      </c>
      <c r="J109" s="13">
        <v>35</v>
      </c>
      <c r="K109" s="13">
        <v>9</v>
      </c>
      <c r="L109" s="13">
        <v>48</v>
      </c>
    </row>
    <row r="110" spans="1:12" ht="15.75" thickBot="1" x14ac:dyDescent="0.3">
      <c r="A110">
        <v>2015</v>
      </c>
      <c r="B110" s="15" t="s">
        <v>28</v>
      </c>
      <c r="C110" s="11" t="s">
        <v>25</v>
      </c>
      <c r="D110" s="12">
        <v>53</v>
      </c>
      <c r="E110" s="13">
        <v>38</v>
      </c>
      <c r="F110" s="13">
        <v>15</v>
      </c>
      <c r="G110" s="13">
        <v>8</v>
      </c>
      <c r="H110" s="13">
        <v>15</v>
      </c>
      <c r="I110" s="13">
        <v>60</v>
      </c>
      <c r="J110" s="13">
        <v>51</v>
      </c>
      <c r="K110" s="13">
        <v>9</v>
      </c>
      <c r="L110" s="13">
        <v>46</v>
      </c>
    </row>
    <row r="111" spans="1:12" ht="15.75" thickBot="1" x14ac:dyDescent="0.3">
      <c r="A111">
        <v>2015</v>
      </c>
      <c r="B111" s="15" t="s">
        <v>30</v>
      </c>
      <c r="C111" s="11" t="s">
        <v>59</v>
      </c>
      <c r="D111" s="12">
        <v>51</v>
      </c>
      <c r="E111" s="13">
        <v>38</v>
      </c>
      <c r="F111" s="13">
        <v>14</v>
      </c>
      <c r="G111" s="13">
        <v>9</v>
      </c>
      <c r="H111" s="13">
        <v>15</v>
      </c>
      <c r="I111" s="13">
        <v>43</v>
      </c>
      <c r="J111" s="13">
        <v>48</v>
      </c>
      <c r="K111" s="13">
        <v>-5</v>
      </c>
      <c r="L111" s="13">
        <v>45</v>
      </c>
    </row>
    <row r="112" spans="1:12" ht="15.75" thickBot="1" x14ac:dyDescent="0.3">
      <c r="A112">
        <v>2015</v>
      </c>
      <c r="B112" s="15" t="s">
        <v>32</v>
      </c>
      <c r="C112" s="11" t="s">
        <v>61</v>
      </c>
      <c r="D112" s="12">
        <v>51</v>
      </c>
      <c r="E112" s="13">
        <v>38</v>
      </c>
      <c r="F112" s="13">
        <v>13</v>
      </c>
      <c r="G112" s="13">
        <v>12</v>
      </c>
      <c r="H112" s="13">
        <v>13</v>
      </c>
      <c r="I112" s="13">
        <v>41</v>
      </c>
      <c r="J112" s="13">
        <v>40</v>
      </c>
      <c r="K112" s="13">
        <v>1</v>
      </c>
      <c r="L112" s="13">
        <v>45</v>
      </c>
    </row>
    <row r="113" spans="1:12" ht="15.75" thickBot="1" x14ac:dyDescent="0.3">
      <c r="A113">
        <v>2015</v>
      </c>
      <c r="B113" s="15" t="s">
        <v>34</v>
      </c>
      <c r="C113" s="11" t="s">
        <v>13</v>
      </c>
      <c r="D113" s="12">
        <v>49</v>
      </c>
      <c r="E113" s="13">
        <v>38</v>
      </c>
      <c r="F113" s="13">
        <v>15</v>
      </c>
      <c r="G113" s="13">
        <v>4</v>
      </c>
      <c r="H113" s="13">
        <v>19</v>
      </c>
      <c r="I113" s="13">
        <v>45</v>
      </c>
      <c r="J113" s="13">
        <v>53</v>
      </c>
      <c r="K113" s="13">
        <v>-8</v>
      </c>
      <c r="L113" s="13">
        <v>43</v>
      </c>
    </row>
    <row r="114" spans="1:12" ht="15.75" thickBot="1" x14ac:dyDescent="0.3">
      <c r="A114">
        <v>2015</v>
      </c>
      <c r="B114" s="15" t="s">
        <v>36</v>
      </c>
      <c r="C114" s="11" t="s">
        <v>21</v>
      </c>
      <c r="D114" s="12">
        <v>47</v>
      </c>
      <c r="E114" s="13">
        <v>38</v>
      </c>
      <c r="F114" s="13">
        <v>14</v>
      </c>
      <c r="G114" s="13">
        <v>5</v>
      </c>
      <c r="H114" s="13">
        <v>19</v>
      </c>
      <c r="I114" s="13">
        <v>40</v>
      </c>
      <c r="J114" s="13">
        <v>49</v>
      </c>
      <c r="K114" s="13">
        <v>-9</v>
      </c>
      <c r="L114" s="13">
        <v>41</v>
      </c>
    </row>
    <row r="115" spans="1:12" ht="15.75" thickBot="1" x14ac:dyDescent="0.3">
      <c r="A115">
        <v>2015</v>
      </c>
      <c r="B115" s="15" t="s">
        <v>38</v>
      </c>
      <c r="C115" s="11" t="s">
        <v>54</v>
      </c>
      <c r="D115" s="12">
        <v>47</v>
      </c>
      <c r="E115" s="13">
        <v>38</v>
      </c>
      <c r="F115" s="13">
        <v>12</v>
      </c>
      <c r="G115" s="13">
        <v>11</v>
      </c>
      <c r="H115" s="13">
        <v>15</v>
      </c>
      <c r="I115" s="13">
        <v>34</v>
      </c>
      <c r="J115" s="13">
        <v>44</v>
      </c>
      <c r="K115" s="13">
        <v>-10</v>
      </c>
      <c r="L115" s="13">
        <v>41</v>
      </c>
    </row>
    <row r="116" spans="1:12" ht="15.75" thickBot="1" x14ac:dyDescent="0.3">
      <c r="A116">
        <v>2015</v>
      </c>
      <c r="B116" s="15" t="s">
        <v>40</v>
      </c>
      <c r="C116" s="11" t="s">
        <v>49</v>
      </c>
      <c r="D116" s="12">
        <v>44</v>
      </c>
      <c r="E116" s="13">
        <v>38</v>
      </c>
      <c r="F116" s="13">
        <v>11</v>
      </c>
      <c r="G116" s="13">
        <v>11</v>
      </c>
      <c r="H116" s="13">
        <v>16</v>
      </c>
      <c r="I116" s="13">
        <v>31</v>
      </c>
      <c r="J116" s="13">
        <v>42</v>
      </c>
      <c r="K116" s="13">
        <v>-11</v>
      </c>
      <c r="L116" s="13">
        <v>39</v>
      </c>
    </row>
    <row r="117" spans="1:12" ht="15.75" thickBot="1" x14ac:dyDescent="0.3">
      <c r="A117">
        <v>2015</v>
      </c>
      <c r="B117" s="15" t="s">
        <v>42</v>
      </c>
      <c r="C117" s="11" t="s">
        <v>62</v>
      </c>
      <c r="D117" s="12">
        <v>43</v>
      </c>
      <c r="E117" s="13">
        <v>38</v>
      </c>
      <c r="F117" s="13">
        <v>11</v>
      </c>
      <c r="G117" s="13">
        <v>10</v>
      </c>
      <c r="H117" s="13">
        <v>17</v>
      </c>
      <c r="I117" s="13">
        <v>36</v>
      </c>
      <c r="J117" s="13">
        <v>50</v>
      </c>
      <c r="K117" s="13">
        <v>-14</v>
      </c>
      <c r="L117" s="13">
        <v>38</v>
      </c>
    </row>
    <row r="118" spans="1:12" ht="15.75" thickBot="1" x14ac:dyDescent="0.3">
      <c r="A118">
        <v>2015</v>
      </c>
      <c r="B118" s="16" t="s">
        <v>44</v>
      </c>
      <c r="C118" s="11" t="s">
        <v>55</v>
      </c>
      <c r="D118" s="12">
        <v>42</v>
      </c>
      <c r="E118" s="13">
        <v>38</v>
      </c>
      <c r="F118" s="13">
        <v>11</v>
      </c>
      <c r="G118" s="13">
        <v>9</v>
      </c>
      <c r="H118" s="13">
        <v>18</v>
      </c>
      <c r="I118" s="13">
        <v>38</v>
      </c>
      <c r="J118" s="13">
        <v>60</v>
      </c>
      <c r="K118" s="13">
        <v>-22</v>
      </c>
      <c r="L118" s="13">
        <v>37</v>
      </c>
    </row>
    <row r="119" spans="1:12" ht="15.75" thickBot="1" x14ac:dyDescent="0.3">
      <c r="A119">
        <v>2015</v>
      </c>
      <c r="B119" s="16" t="s">
        <v>46</v>
      </c>
      <c r="C119" s="11" t="s">
        <v>45</v>
      </c>
      <c r="D119" s="12">
        <v>41</v>
      </c>
      <c r="E119" s="13">
        <v>38</v>
      </c>
      <c r="F119" s="13">
        <v>10</v>
      </c>
      <c r="G119" s="13">
        <v>11</v>
      </c>
      <c r="H119" s="13">
        <v>17</v>
      </c>
      <c r="I119" s="13">
        <v>28</v>
      </c>
      <c r="J119" s="13">
        <v>54</v>
      </c>
      <c r="K119" s="13">
        <v>-26</v>
      </c>
      <c r="L119" s="13">
        <v>36</v>
      </c>
    </row>
    <row r="120" spans="1:12" ht="15.75" thickBot="1" x14ac:dyDescent="0.3">
      <c r="A120">
        <v>2015</v>
      </c>
      <c r="B120" s="16" t="s">
        <v>48</v>
      </c>
      <c r="C120" s="11" t="s">
        <v>47</v>
      </c>
      <c r="D120" s="12">
        <v>38</v>
      </c>
      <c r="E120" s="13">
        <v>38</v>
      </c>
      <c r="F120" s="13">
        <v>10</v>
      </c>
      <c r="G120" s="13">
        <v>8</v>
      </c>
      <c r="H120" s="13">
        <v>20</v>
      </c>
      <c r="I120" s="13">
        <v>39</v>
      </c>
      <c r="J120" s="13">
        <v>49</v>
      </c>
      <c r="K120" s="13">
        <v>-10</v>
      </c>
      <c r="L120" s="13">
        <v>33</v>
      </c>
    </row>
    <row r="121" spans="1:12" ht="15.75" thickBot="1" x14ac:dyDescent="0.3">
      <c r="A121" s="17">
        <v>2015</v>
      </c>
      <c r="B121" s="18" t="s">
        <v>50</v>
      </c>
      <c r="C121" s="19" t="s">
        <v>64</v>
      </c>
      <c r="D121" s="20">
        <v>31</v>
      </c>
      <c r="E121" s="21">
        <v>38</v>
      </c>
      <c r="F121" s="21">
        <v>7</v>
      </c>
      <c r="G121" s="21">
        <v>10</v>
      </c>
      <c r="H121" s="21">
        <v>21</v>
      </c>
      <c r="I121" s="21">
        <v>26</v>
      </c>
      <c r="J121" s="21">
        <v>48</v>
      </c>
      <c r="K121" s="21">
        <v>-22</v>
      </c>
      <c r="L121" s="21">
        <v>27</v>
      </c>
    </row>
    <row r="122" spans="1:12" ht="15.75" thickBot="1" x14ac:dyDescent="0.3">
      <c r="A122" s="5">
        <v>2014</v>
      </c>
      <c r="B122" s="6" t="s">
        <v>12</v>
      </c>
      <c r="C122" s="7" t="s">
        <v>52</v>
      </c>
      <c r="D122" s="8">
        <v>80</v>
      </c>
      <c r="E122" s="9">
        <v>38</v>
      </c>
      <c r="F122" s="9">
        <v>24</v>
      </c>
      <c r="G122" s="9">
        <v>8</v>
      </c>
      <c r="H122" s="9">
        <v>6</v>
      </c>
      <c r="I122" s="9">
        <v>67</v>
      </c>
      <c r="J122" s="9">
        <v>38</v>
      </c>
      <c r="K122" s="9">
        <v>29</v>
      </c>
      <c r="L122" s="9">
        <v>70</v>
      </c>
    </row>
    <row r="123" spans="1:12" ht="15.75" thickBot="1" x14ac:dyDescent="0.3">
      <c r="A123">
        <v>2014</v>
      </c>
      <c r="B123" s="10" t="s">
        <v>14</v>
      </c>
      <c r="C123" s="11" t="s">
        <v>19</v>
      </c>
      <c r="D123" s="12">
        <v>70</v>
      </c>
      <c r="E123" s="13">
        <v>38</v>
      </c>
      <c r="F123" s="13">
        <v>20</v>
      </c>
      <c r="G123" s="13">
        <v>10</v>
      </c>
      <c r="H123" s="13">
        <v>8</v>
      </c>
      <c r="I123" s="13">
        <v>59</v>
      </c>
      <c r="J123" s="13">
        <v>40</v>
      </c>
      <c r="K123" s="13">
        <v>19</v>
      </c>
      <c r="L123" s="13">
        <v>61</v>
      </c>
    </row>
    <row r="124" spans="1:12" ht="15.75" thickBot="1" x14ac:dyDescent="0.3">
      <c r="A124">
        <v>2014</v>
      </c>
      <c r="B124" s="10" t="s">
        <v>16</v>
      </c>
      <c r="C124" s="11" t="s">
        <v>56</v>
      </c>
      <c r="D124" s="12">
        <v>69</v>
      </c>
      <c r="E124" s="13">
        <v>38</v>
      </c>
      <c r="F124" s="13">
        <v>21</v>
      </c>
      <c r="G124" s="13">
        <v>6</v>
      </c>
      <c r="H124" s="13">
        <v>11</v>
      </c>
      <c r="I124" s="13">
        <v>53</v>
      </c>
      <c r="J124" s="13">
        <v>41</v>
      </c>
      <c r="K124" s="13">
        <v>12</v>
      </c>
      <c r="L124" s="13">
        <v>61</v>
      </c>
    </row>
    <row r="125" spans="1:12" ht="15.75" thickBot="1" x14ac:dyDescent="0.3">
      <c r="A125">
        <v>2014</v>
      </c>
      <c r="B125" s="10" t="s">
        <v>18</v>
      </c>
      <c r="C125" s="11" t="s">
        <v>35</v>
      </c>
      <c r="D125" s="12">
        <v>69</v>
      </c>
      <c r="E125" s="13">
        <v>38</v>
      </c>
      <c r="F125" s="13">
        <v>19</v>
      </c>
      <c r="G125" s="13">
        <v>12</v>
      </c>
      <c r="H125" s="13">
        <v>7</v>
      </c>
      <c r="I125" s="13">
        <v>49</v>
      </c>
      <c r="J125" s="13">
        <v>31</v>
      </c>
      <c r="K125" s="13">
        <v>18</v>
      </c>
      <c r="L125" s="13">
        <v>61</v>
      </c>
    </row>
    <row r="126" spans="1:12" ht="15.75" thickBot="1" x14ac:dyDescent="0.3">
      <c r="A126">
        <v>2014</v>
      </c>
      <c r="B126" s="15" t="s">
        <v>20</v>
      </c>
      <c r="C126" s="11" t="s">
        <v>17</v>
      </c>
      <c r="D126" s="12">
        <v>62</v>
      </c>
      <c r="E126" s="13">
        <v>38</v>
      </c>
      <c r="F126" s="13">
        <v>17</v>
      </c>
      <c r="G126" s="13">
        <v>11</v>
      </c>
      <c r="H126" s="13">
        <v>10</v>
      </c>
      <c r="I126" s="13">
        <v>51</v>
      </c>
      <c r="J126" s="13">
        <v>38</v>
      </c>
      <c r="K126" s="13">
        <v>13</v>
      </c>
      <c r="L126" s="13">
        <v>54</v>
      </c>
    </row>
    <row r="127" spans="1:12" ht="15.75" thickBot="1" x14ac:dyDescent="0.3">
      <c r="A127">
        <v>2014</v>
      </c>
      <c r="B127" s="15" t="s">
        <v>22</v>
      </c>
      <c r="C127" s="11" t="s">
        <v>21</v>
      </c>
      <c r="D127" s="12">
        <v>61</v>
      </c>
      <c r="E127" s="13">
        <v>38</v>
      </c>
      <c r="F127" s="13">
        <v>17</v>
      </c>
      <c r="G127" s="13">
        <v>10</v>
      </c>
      <c r="H127" s="13">
        <v>11</v>
      </c>
      <c r="I127" s="13">
        <v>61</v>
      </c>
      <c r="J127" s="13">
        <v>42</v>
      </c>
      <c r="K127" s="13">
        <v>19</v>
      </c>
      <c r="L127" s="13">
        <v>54</v>
      </c>
    </row>
    <row r="128" spans="1:12" ht="15.75" thickBot="1" x14ac:dyDescent="0.3">
      <c r="A128">
        <v>2014</v>
      </c>
      <c r="B128" s="15" t="s">
        <v>24</v>
      </c>
      <c r="C128" s="11" t="s">
        <v>23</v>
      </c>
      <c r="D128" s="12">
        <v>61</v>
      </c>
      <c r="E128" s="13">
        <v>38</v>
      </c>
      <c r="F128" s="13">
        <v>17</v>
      </c>
      <c r="G128" s="13">
        <v>10</v>
      </c>
      <c r="H128" s="13">
        <v>11</v>
      </c>
      <c r="I128" s="13">
        <v>36</v>
      </c>
      <c r="J128" s="13">
        <v>24</v>
      </c>
      <c r="K128" s="13">
        <v>12</v>
      </c>
      <c r="L128" s="13">
        <v>54</v>
      </c>
    </row>
    <row r="129" spans="1:12" ht="15.75" thickBot="1" x14ac:dyDescent="0.3">
      <c r="A129">
        <v>2014</v>
      </c>
      <c r="B129" s="15" t="s">
        <v>26</v>
      </c>
      <c r="C129" s="11" t="s">
        <v>59</v>
      </c>
      <c r="D129" s="12">
        <v>54</v>
      </c>
      <c r="E129" s="13">
        <v>38</v>
      </c>
      <c r="F129" s="13">
        <v>15</v>
      </c>
      <c r="G129" s="13">
        <v>9</v>
      </c>
      <c r="H129" s="13">
        <v>14</v>
      </c>
      <c r="I129" s="13">
        <v>43</v>
      </c>
      <c r="J129" s="13">
        <v>42</v>
      </c>
      <c r="K129" s="13">
        <v>1</v>
      </c>
      <c r="L129" s="13">
        <v>47</v>
      </c>
    </row>
    <row r="130" spans="1:12" ht="15.75" thickBot="1" x14ac:dyDescent="0.3">
      <c r="A130">
        <v>2014</v>
      </c>
      <c r="B130" s="15" t="s">
        <v>28</v>
      </c>
      <c r="C130" s="11" t="s">
        <v>27</v>
      </c>
      <c r="D130" s="12">
        <v>53</v>
      </c>
      <c r="E130" s="13">
        <v>38</v>
      </c>
      <c r="F130" s="13">
        <v>15</v>
      </c>
      <c r="G130" s="13">
        <v>8</v>
      </c>
      <c r="H130" s="13">
        <v>15</v>
      </c>
      <c r="I130" s="13">
        <v>42</v>
      </c>
      <c r="J130" s="13">
        <v>35</v>
      </c>
      <c r="K130" s="13">
        <v>7</v>
      </c>
      <c r="L130" s="13">
        <v>46</v>
      </c>
    </row>
    <row r="131" spans="1:12" ht="15.75" thickBot="1" x14ac:dyDescent="0.3">
      <c r="A131">
        <v>2014</v>
      </c>
      <c r="B131" s="15" t="s">
        <v>30</v>
      </c>
      <c r="C131" s="11" t="s">
        <v>13</v>
      </c>
      <c r="D131" s="12">
        <v>52</v>
      </c>
      <c r="E131" s="13">
        <v>38</v>
      </c>
      <c r="F131" s="13">
        <v>14</v>
      </c>
      <c r="G131" s="13">
        <v>10</v>
      </c>
      <c r="H131" s="13">
        <v>14</v>
      </c>
      <c r="I131" s="13">
        <v>46</v>
      </c>
      <c r="J131" s="13">
        <v>47</v>
      </c>
      <c r="K131" s="13">
        <v>-1</v>
      </c>
      <c r="L131" s="13">
        <v>46</v>
      </c>
    </row>
    <row r="132" spans="1:12" ht="15.75" thickBot="1" x14ac:dyDescent="0.3">
      <c r="A132">
        <v>2014</v>
      </c>
      <c r="B132" s="15" t="s">
        <v>32</v>
      </c>
      <c r="C132" s="11" t="s">
        <v>41</v>
      </c>
      <c r="D132" s="12">
        <v>52</v>
      </c>
      <c r="E132" s="13">
        <v>38</v>
      </c>
      <c r="F132" s="13">
        <v>14</v>
      </c>
      <c r="G132" s="13">
        <v>10</v>
      </c>
      <c r="H132" s="13">
        <v>14</v>
      </c>
      <c r="I132" s="13">
        <v>36</v>
      </c>
      <c r="J132" s="13">
        <v>46</v>
      </c>
      <c r="K132" s="13">
        <v>-10</v>
      </c>
      <c r="L132" s="13">
        <v>46</v>
      </c>
    </row>
    <row r="133" spans="1:12" ht="15.75" thickBot="1" x14ac:dyDescent="0.3">
      <c r="A133">
        <v>2014</v>
      </c>
      <c r="B133" s="15" t="s">
        <v>34</v>
      </c>
      <c r="C133" s="11" t="s">
        <v>47</v>
      </c>
      <c r="D133" s="12">
        <v>47</v>
      </c>
      <c r="E133" s="13">
        <v>38</v>
      </c>
      <c r="F133" s="13">
        <v>13</v>
      </c>
      <c r="G133" s="13">
        <v>8</v>
      </c>
      <c r="H133" s="13">
        <v>17</v>
      </c>
      <c r="I133" s="13">
        <v>38</v>
      </c>
      <c r="J133" s="13">
        <v>40</v>
      </c>
      <c r="K133" s="13">
        <v>-2</v>
      </c>
      <c r="L133" s="13">
        <v>41</v>
      </c>
    </row>
    <row r="134" spans="1:12" ht="15.75" thickBot="1" x14ac:dyDescent="0.3">
      <c r="A134">
        <v>2014</v>
      </c>
      <c r="B134" s="15" t="s">
        <v>36</v>
      </c>
      <c r="C134" s="11" t="s">
        <v>62</v>
      </c>
      <c r="D134" s="12">
        <v>47</v>
      </c>
      <c r="E134" s="13">
        <v>38</v>
      </c>
      <c r="F134" s="13">
        <v>13</v>
      </c>
      <c r="G134" s="13">
        <v>8</v>
      </c>
      <c r="H134" s="13">
        <v>17</v>
      </c>
      <c r="I134" s="13">
        <v>37</v>
      </c>
      <c r="J134" s="13">
        <v>47</v>
      </c>
      <c r="K134" s="13">
        <v>-10</v>
      </c>
      <c r="L134" s="13">
        <v>41</v>
      </c>
    </row>
    <row r="135" spans="1:12" ht="15.75" thickBot="1" x14ac:dyDescent="0.3">
      <c r="A135">
        <v>2014</v>
      </c>
      <c r="B135" s="15" t="s">
        <v>38</v>
      </c>
      <c r="C135" s="11" t="s">
        <v>49</v>
      </c>
      <c r="D135" s="12">
        <v>47</v>
      </c>
      <c r="E135" s="13">
        <v>38</v>
      </c>
      <c r="F135" s="13">
        <v>12</v>
      </c>
      <c r="G135" s="13">
        <v>11</v>
      </c>
      <c r="H135" s="13">
        <v>15</v>
      </c>
      <c r="I135" s="13">
        <v>42</v>
      </c>
      <c r="J135" s="13">
        <v>45</v>
      </c>
      <c r="K135" s="13">
        <v>-3</v>
      </c>
      <c r="L135" s="13">
        <v>41</v>
      </c>
    </row>
    <row r="136" spans="1:12" ht="15.75" thickBot="1" x14ac:dyDescent="0.3">
      <c r="A136">
        <v>2014</v>
      </c>
      <c r="B136" s="15" t="s">
        <v>40</v>
      </c>
      <c r="C136" s="11" t="s">
        <v>54</v>
      </c>
      <c r="D136" s="12">
        <v>43</v>
      </c>
      <c r="E136" s="13">
        <v>38</v>
      </c>
      <c r="F136" s="13">
        <v>11</v>
      </c>
      <c r="G136" s="13">
        <v>10</v>
      </c>
      <c r="H136" s="13">
        <v>17</v>
      </c>
      <c r="I136" s="13">
        <v>39</v>
      </c>
      <c r="J136" s="13">
        <v>44</v>
      </c>
      <c r="K136" s="13">
        <v>-5</v>
      </c>
      <c r="L136" s="13">
        <v>38</v>
      </c>
    </row>
    <row r="137" spans="1:12" ht="15.75" thickBot="1" x14ac:dyDescent="0.3">
      <c r="A137">
        <v>2014</v>
      </c>
      <c r="B137" s="15" t="s">
        <v>42</v>
      </c>
      <c r="C137" s="11" t="s">
        <v>25</v>
      </c>
      <c r="D137" s="12">
        <v>40</v>
      </c>
      <c r="E137" s="13">
        <v>38</v>
      </c>
      <c r="F137" s="13">
        <v>11</v>
      </c>
      <c r="G137" s="13">
        <v>7</v>
      </c>
      <c r="H137" s="13">
        <v>20</v>
      </c>
      <c r="I137" s="13">
        <v>34</v>
      </c>
      <c r="J137" s="13">
        <v>59</v>
      </c>
      <c r="K137" s="13">
        <v>-25</v>
      </c>
      <c r="L137" s="13">
        <v>35</v>
      </c>
    </row>
    <row r="138" spans="1:12" ht="15.75" thickBot="1" x14ac:dyDescent="0.3">
      <c r="A138">
        <v>2014</v>
      </c>
      <c r="B138" s="16" t="s">
        <v>44</v>
      </c>
      <c r="C138" s="11" t="s">
        <v>58</v>
      </c>
      <c r="D138" s="12">
        <v>38</v>
      </c>
      <c r="E138" s="13">
        <v>38</v>
      </c>
      <c r="F138" s="13">
        <v>10</v>
      </c>
      <c r="G138" s="13">
        <v>8</v>
      </c>
      <c r="H138" s="13">
        <v>20</v>
      </c>
      <c r="I138" s="13">
        <v>37</v>
      </c>
      <c r="J138" s="13">
        <v>54</v>
      </c>
      <c r="K138" s="13">
        <v>-17</v>
      </c>
      <c r="L138" s="13">
        <v>33</v>
      </c>
    </row>
    <row r="139" spans="1:12" ht="15.75" thickBot="1" x14ac:dyDescent="0.3">
      <c r="A139">
        <v>2014</v>
      </c>
      <c r="B139" s="16" t="s">
        <v>46</v>
      </c>
      <c r="C139" s="11" t="s">
        <v>39</v>
      </c>
      <c r="D139" s="12">
        <v>37</v>
      </c>
      <c r="E139" s="13">
        <v>38</v>
      </c>
      <c r="F139" s="13">
        <v>9</v>
      </c>
      <c r="G139" s="13">
        <v>10</v>
      </c>
      <c r="H139" s="13">
        <v>19</v>
      </c>
      <c r="I139" s="13">
        <v>31</v>
      </c>
      <c r="J139" s="13">
        <v>43</v>
      </c>
      <c r="K139" s="13">
        <v>-12</v>
      </c>
      <c r="L139" s="13">
        <v>32</v>
      </c>
    </row>
    <row r="140" spans="1:12" ht="15.75" thickBot="1" x14ac:dyDescent="0.3">
      <c r="A140">
        <v>2014</v>
      </c>
      <c r="B140" s="16" t="s">
        <v>48</v>
      </c>
      <c r="C140" s="11" t="s">
        <v>51</v>
      </c>
      <c r="D140" s="12">
        <v>34</v>
      </c>
      <c r="E140" s="13">
        <v>38</v>
      </c>
      <c r="F140" s="13">
        <v>9</v>
      </c>
      <c r="G140" s="13">
        <v>7</v>
      </c>
      <c r="H140" s="13">
        <v>22</v>
      </c>
      <c r="I140" s="13">
        <v>31</v>
      </c>
      <c r="J140" s="13">
        <v>48</v>
      </c>
      <c r="K140" s="13">
        <v>-17</v>
      </c>
      <c r="L140" s="13">
        <v>30</v>
      </c>
    </row>
    <row r="141" spans="1:12" ht="15.75" thickBot="1" x14ac:dyDescent="0.3">
      <c r="A141" s="17">
        <v>2014</v>
      </c>
      <c r="B141" s="18" t="s">
        <v>50</v>
      </c>
      <c r="C141" s="19" t="s">
        <v>65</v>
      </c>
      <c r="D141" s="20">
        <v>32</v>
      </c>
      <c r="E141" s="21">
        <v>38</v>
      </c>
      <c r="F141" s="21">
        <v>7</v>
      </c>
      <c r="G141" s="21">
        <v>11</v>
      </c>
      <c r="H141" s="21">
        <v>20</v>
      </c>
      <c r="I141" s="21">
        <v>28</v>
      </c>
      <c r="J141" s="21">
        <v>56</v>
      </c>
      <c r="K141" s="21">
        <v>-28</v>
      </c>
      <c r="L141" s="21">
        <v>28</v>
      </c>
    </row>
    <row r="142" spans="1:12" ht="15.75" thickBot="1" x14ac:dyDescent="0.3">
      <c r="A142" s="5">
        <v>2013</v>
      </c>
      <c r="B142" s="6" t="s">
        <v>12</v>
      </c>
      <c r="C142" s="7" t="s">
        <v>52</v>
      </c>
      <c r="D142" s="8">
        <v>76</v>
      </c>
      <c r="E142" s="9">
        <v>38</v>
      </c>
      <c r="F142" s="9">
        <v>23</v>
      </c>
      <c r="G142" s="9">
        <v>7</v>
      </c>
      <c r="H142" s="9">
        <v>8</v>
      </c>
      <c r="I142" s="9">
        <v>77</v>
      </c>
      <c r="J142" s="9">
        <v>37</v>
      </c>
      <c r="K142" s="9">
        <v>40</v>
      </c>
      <c r="L142" s="9">
        <v>67</v>
      </c>
    </row>
    <row r="143" spans="1:12" ht="15.75" thickBot="1" x14ac:dyDescent="0.3">
      <c r="A143">
        <v>2013</v>
      </c>
      <c r="B143" s="10" t="s">
        <v>14</v>
      </c>
      <c r="C143" s="11" t="s">
        <v>23</v>
      </c>
      <c r="D143" s="12">
        <v>65</v>
      </c>
      <c r="E143" s="13">
        <v>38</v>
      </c>
      <c r="F143" s="13">
        <v>18</v>
      </c>
      <c r="G143" s="13">
        <v>11</v>
      </c>
      <c r="H143" s="13">
        <v>9</v>
      </c>
      <c r="I143" s="13">
        <v>42</v>
      </c>
      <c r="J143" s="13">
        <v>35</v>
      </c>
      <c r="K143" s="13">
        <v>7</v>
      </c>
      <c r="L143" s="13">
        <v>57</v>
      </c>
    </row>
    <row r="144" spans="1:12" ht="15.75" thickBot="1" x14ac:dyDescent="0.3">
      <c r="A144">
        <v>2013</v>
      </c>
      <c r="B144" s="10" t="s">
        <v>16</v>
      </c>
      <c r="C144" s="11" t="s">
        <v>59</v>
      </c>
      <c r="D144" s="12">
        <v>64</v>
      </c>
      <c r="E144" s="13">
        <v>38</v>
      </c>
      <c r="F144" s="13">
        <v>18</v>
      </c>
      <c r="G144" s="13">
        <v>10</v>
      </c>
      <c r="H144" s="13">
        <v>10</v>
      </c>
      <c r="I144" s="13">
        <v>65</v>
      </c>
      <c r="J144" s="13">
        <v>49</v>
      </c>
      <c r="K144" s="13">
        <v>16</v>
      </c>
      <c r="L144" s="13">
        <v>56</v>
      </c>
    </row>
    <row r="145" spans="1:12" ht="15.75" thickBot="1" x14ac:dyDescent="0.3">
      <c r="A145">
        <v>2013</v>
      </c>
      <c r="B145" s="16" t="s">
        <v>18</v>
      </c>
      <c r="C145" s="11" t="s">
        <v>51</v>
      </c>
      <c r="D145" s="12">
        <v>61</v>
      </c>
      <c r="E145" s="13">
        <v>38</v>
      </c>
      <c r="F145" s="13">
        <v>17</v>
      </c>
      <c r="G145" s="13">
        <v>10</v>
      </c>
      <c r="H145" s="13">
        <v>11</v>
      </c>
      <c r="I145" s="13">
        <v>55</v>
      </c>
      <c r="J145" s="13">
        <v>41</v>
      </c>
      <c r="K145" s="13">
        <v>14</v>
      </c>
      <c r="L145" s="13">
        <v>54</v>
      </c>
    </row>
    <row r="146" spans="1:12" ht="15.75" thickBot="1" x14ac:dyDescent="0.3">
      <c r="A146">
        <v>2013</v>
      </c>
      <c r="B146" s="15" t="s">
        <v>20</v>
      </c>
      <c r="C146" s="11" t="s">
        <v>58</v>
      </c>
      <c r="D146" s="12">
        <v>59</v>
      </c>
      <c r="E146" s="13">
        <v>38</v>
      </c>
      <c r="F146" s="13">
        <v>16</v>
      </c>
      <c r="G146" s="13">
        <v>11</v>
      </c>
      <c r="H146" s="13">
        <v>11</v>
      </c>
      <c r="I146" s="13">
        <v>59</v>
      </c>
      <c r="J146" s="13">
        <v>53</v>
      </c>
      <c r="K146" s="13">
        <v>6</v>
      </c>
      <c r="L146" s="13">
        <v>52</v>
      </c>
    </row>
    <row r="147" spans="1:12" ht="15.75" thickBot="1" x14ac:dyDescent="0.3">
      <c r="A147">
        <v>2013</v>
      </c>
      <c r="B147" s="15" t="s">
        <v>22</v>
      </c>
      <c r="C147" s="11" t="s">
        <v>47</v>
      </c>
      <c r="D147" s="12">
        <v>59</v>
      </c>
      <c r="E147" s="13">
        <v>38</v>
      </c>
      <c r="F147" s="13">
        <v>16</v>
      </c>
      <c r="G147" s="13">
        <v>11</v>
      </c>
      <c r="H147" s="13">
        <v>11</v>
      </c>
      <c r="I147" s="13">
        <v>48</v>
      </c>
      <c r="J147" s="13">
        <v>44</v>
      </c>
      <c r="K147" s="13">
        <v>4</v>
      </c>
      <c r="L147" s="13">
        <v>52</v>
      </c>
    </row>
    <row r="148" spans="1:12" ht="15.75" thickBot="1" x14ac:dyDescent="0.3">
      <c r="A148">
        <v>2013</v>
      </c>
      <c r="B148" s="15" t="s">
        <v>24</v>
      </c>
      <c r="C148" s="11" t="s">
        <v>27</v>
      </c>
      <c r="D148" s="12">
        <v>57</v>
      </c>
      <c r="E148" s="13">
        <v>38</v>
      </c>
      <c r="F148" s="13">
        <v>15</v>
      </c>
      <c r="G148" s="13">
        <v>12</v>
      </c>
      <c r="H148" s="13">
        <v>11</v>
      </c>
      <c r="I148" s="13">
        <v>51</v>
      </c>
      <c r="J148" s="13">
        <v>38</v>
      </c>
      <c r="K148" s="13">
        <v>13</v>
      </c>
      <c r="L148" s="13">
        <v>50</v>
      </c>
    </row>
    <row r="149" spans="1:12" ht="15.75" thickBot="1" x14ac:dyDescent="0.3">
      <c r="A149">
        <v>2013</v>
      </c>
      <c r="B149" s="15" t="s">
        <v>26</v>
      </c>
      <c r="C149" s="11" t="s">
        <v>17</v>
      </c>
      <c r="D149" s="12">
        <v>57</v>
      </c>
      <c r="E149" s="13">
        <v>38</v>
      </c>
      <c r="F149" s="13">
        <v>15</v>
      </c>
      <c r="G149" s="13">
        <v>12</v>
      </c>
      <c r="H149" s="13">
        <v>11</v>
      </c>
      <c r="I149" s="13">
        <v>49</v>
      </c>
      <c r="J149" s="13">
        <v>38</v>
      </c>
      <c r="K149" s="13">
        <v>11</v>
      </c>
      <c r="L149" s="13">
        <v>50</v>
      </c>
    </row>
    <row r="150" spans="1:12" ht="15.75" thickBot="1" x14ac:dyDescent="0.3">
      <c r="A150">
        <v>2013</v>
      </c>
      <c r="B150" s="15" t="s">
        <v>28</v>
      </c>
      <c r="C150" s="11" t="s">
        <v>19</v>
      </c>
      <c r="D150" s="12">
        <v>50</v>
      </c>
      <c r="E150" s="13">
        <v>38</v>
      </c>
      <c r="F150" s="13">
        <v>14</v>
      </c>
      <c r="G150" s="13">
        <v>8</v>
      </c>
      <c r="H150" s="13">
        <v>16</v>
      </c>
      <c r="I150" s="13">
        <v>39</v>
      </c>
      <c r="J150" s="13">
        <v>40</v>
      </c>
      <c r="K150" s="13">
        <v>-1</v>
      </c>
      <c r="L150" s="13">
        <v>44</v>
      </c>
    </row>
    <row r="151" spans="1:12" ht="15.75" thickBot="1" x14ac:dyDescent="0.3">
      <c r="A151">
        <v>2013</v>
      </c>
      <c r="B151" s="15" t="s">
        <v>30</v>
      </c>
      <c r="C151" s="11" t="s">
        <v>35</v>
      </c>
      <c r="D151" s="12">
        <v>50</v>
      </c>
      <c r="E151" s="13">
        <v>38</v>
      </c>
      <c r="F151" s="13">
        <v>11</v>
      </c>
      <c r="G151" s="13">
        <v>17</v>
      </c>
      <c r="H151" s="13">
        <v>10</v>
      </c>
      <c r="I151" s="13">
        <v>27</v>
      </c>
      <c r="J151" s="13">
        <v>22</v>
      </c>
      <c r="K151" s="13">
        <v>5</v>
      </c>
      <c r="L151" s="13">
        <v>44</v>
      </c>
    </row>
    <row r="152" spans="1:12" ht="15.75" thickBot="1" x14ac:dyDescent="0.3">
      <c r="A152">
        <v>2013</v>
      </c>
      <c r="B152" s="15" t="s">
        <v>32</v>
      </c>
      <c r="C152" s="11" t="s">
        <v>49</v>
      </c>
      <c r="D152" s="12">
        <v>48</v>
      </c>
      <c r="E152" s="13">
        <v>38</v>
      </c>
      <c r="F152" s="13">
        <v>12</v>
      </c>
      <c r="G152" s="13">
        <v>12</v>
      </c>
      <c r="H152" s="13">
        <v>14</v>
      </c>
      <c r="I152" s="13">
        <v>42</v>
      </c>
      <c r="J152" s="13">
        <v>45</v>
      </c>
      <c r="K152" s="13">
        <v>-3</v>
      </c>
      <c r="L152" s="13">
        <v>42</v>
      </c>
    </row>
    <row r="153" spans="1:12" ht="15.75" thickBot="1" x14ac:dyDescent="0.3">
      <c r="A153">
        <v>2013</v>
      </c>
      <c r="B153" s="15" t="s">
        <v>34</v>
      </c>
      <c r="C153" s="11" t="s">
        <v>39</v>
      </c>
      <c r="D153" s="12">
        <v>48</v>
      </c>
      <c r="E153" s="13">
        <v>38</v>
      </c>
      <c r="F153" s="13">
        <v>12</v>
      </c>
      <c r="G153" s="13">
        <v>12</v>
      </c>
      <c r="H153" s="13">
        <v>14</v>
      </c>
      <c r="I153" s="13">
        <v>37</v>
      </c>
      <c r="J153" s="13">
        <v>45</v>
      </c>
      <c r="K153" s="13">
        <v>-8</v>
      </c>
      <c r="L153" s="13">
        <v>42</v>
      </c>
    </row>
    <row r="154" spans="1:12" ht="15.75" thickBot="1" x14ac:dyDescent="0.3">
      <c r="A154">
        <v>2013</v>
      </c>
      <c r="B154" s="15" t="s">
        <v>36</v>
      </c>
      <c r="C154" s="11" t="s">
        <v>56</v>
      </c>
      <c r="D154" s="12">
        <v>48</v>
      </c>
      <c r="E154" s="13">
        <v>38</v>
      </c>
      <c r="F154" s="13">
        <v>11</v>
      </c>
      <c r="G154" s="13">
        <v>15</v>
      </c>
      <c r="H154" s="13">
        <v>12</v>
      </c>
      <c r="I154" s="13">
        <v>51</v>
      </c>
      <c r="J154" s="13">
        <v>52</v>
      </c>
      <c r="K154" s="13">
        <v>-1</v>
      </c>
      <c r="L154" s="13">
        <v>42</v>
      </c>
    </row>
    <row r="155" spans="1:12" ht="15.75" thickBot="1" x14ac:dyDescent="0.3">
      <c r="A155">
        <v>2013</v>
      </c>
      <c r="B155" s="15" t="s">
        <v>38</v>
      </c>
      <c r="C155" s="11" t="s">
        <v>65</v>
      </c>
      <c r="D155" s="12">
        <v>46</v>
      </c>
      <c r="E155" s="13">
        <v>38</v>
      </c>
      <c r="F155" s="13">
        <v>13</v>
      </c>
      <c r="G155" s="13">
        <v>7</v>
      </c>
      <c r="H155" s="13">
        <v>18</v>
      </c>
      <c r="I155" s="13">
        <v>49</v>
      </c>
      <c r="J155" s="13">
        <v>63</v>
      </c>
      <c r="K155" s="13">
        <v>-14</v>
      </c>
      <c r="L155" s="13">
        <v>40</v>
      </c>
    </row>
    <row r="156" spans="1:12" ht="15.75" thickBot="1" x14ac:dyDescent="0.3">
      <c r="A156">
        <v>2013</v>
      </c>
      <c r="B156" s="15" t="s">
        <v>40</v>
      </c>
      <c r="C156" s="11" t="s">
        <v>21</v>
      </c>
      <c r="D156" s="12">
        <v>46</v>
      </c>
      <c r="E156" s="13">
        <v>38</v>
      </c>
      <c r="F156" s="13">
        <v>12</v>
      </c>
      <c r="G156" s="13">
        <v>10</v>
      </c>
      <c r="H156" s="13">
        <v>16</v>
      </c>
      <c r="I156" s="13">
        <v>43</v>
      </c>
      <c r="J156" s="13">
        <v>47</v>
      </c>
      <c r="K156" s="13">
        <v>-4</v>
      </c>
      <c r="L156" s="13">
        <v>40</v>
      </c>
    </row>
    <row r="157" spans="1:12" ht="15.75" thickBot="1" x14ac:dyDescent="0.3">
      <c r="A157">
        <v>2013</v>
      </c>
      <c r="B157" s="15" t="s">
        <v>42</v>
      </c>
      <c r="C157" s="11" t="s">
        <v>13</v>
      </c>
      <c r="D157" s="12">
        <v>45</v>
      </c>
      <c r="E157" s="13">
        <v>38</v>
      </c>
      <c r="F157" s="13">
        <v>12</v>
      </c>
      <c r="G157" s="13">
        <v>13</v>
      </c>
      <c r="H157" s="13">
        <v>13</v>
      </c>
      <c r="I157" s="13">
        <v>43</v>
      </c>
      <c r="J157" s="13">
        <v>46</v>
      </c>
      <c r="K157" s="13">
        <v>-3</v>
      </c>
      <c r="L157" s="13">
        <v>39</v>
      </c>
    </row>
    <row r="158" spans="1:12" ht="15.75" thickBot="1" x14ac:dyDescent="0.3">
      <c r="A158">
        <v>2013</v>
      </c>
      <c r="B158" s="15" t="s">
        <v>44</v>
      </c>
      <c r="C158" s="11" t="s">
        <v>66</v>
      </c>
      <c r="D158" s="12">
        <v>44</v>
      </c>
      <c r="E158" s="13">
        <v>38</v>
      </c>
      <c r="F158" s="13">
        <v>12</v>
      </c>
      <c r="G158" s="13">
        <v>12</v>
      </c>
      <c r="H158" s="13">
        <v>14</v>
      </c>
      <c r="I158" s="13">
        <v>50</v>
      </c>
      <c r="J158" s="13">
        <v>46</v>
      </c>
      <c r="K158" s="13">
        <v>4</v>
      </c>
      <c r="L158" s="13">
        <v>39</v>
      </c>
    </row>
    <row r="159" spans="1:12" ht="15.75" thickBot="1" x14ac:dyDescent="0.3">
      <c r="A159">
        <v>2013</v>
      </c>
      <c r="B159" s="15" t="s">
        <v>46</v>
      </c>
      <c r="C159" s="11" t="s">
        <v>45</v>
      </c>
      <c r="D159" s="12">
        <v>44</v>
      </c>
      <c r="E159" s="13">
        <v>38</v>
      </c>
      <c r="F159" s="13">
        <v>11</v>
      </c>
      <c r="G159" s="13">
        <v>11</v>
      </c>
      <c r="H159" s="13">
        <v>16</v>
      </c>
      <c r="I159" s="13">
        <v>50</v>
      </c>
      <c r="J159" s="13">
        <v>61</v>
      </c>
      <c r="K159" s="13">
        <v>-11</v>
      </c>
      <c r="L159" s="13">
        <v>39</v>
      </c>
    </row>
    <row r="160" spans="1:12" ht="15.75" thickBot="1" x14ac:dyDescent="0.3">
      <c r="A160">
        <v>2013</v>
      </c>
      <c r="B160" s="15" t="s">
        <v>48</v>
      </c>
      <c r="C160" s="11" t="s">
        <v>61</v>
      </c>
      <c r="D160" s="12">
        <v>37</v>
      </c>
      <c r="E160" s="13">
        <v>38</v>
      </c>
      <c r="F160" s="13">
        <v>9</v>
      </c>
      <c r="G160" s="13">
        <v>10</v>
      </c>
      <c r="H160" s="13">
        <v>19</v>
      </c>
      <c r="I160" s="13">
        <v>37</v>
      </c>
      <c r="J160" s="13">
        <v>55</v>
      </c>
      <c r="K160" s="13">
        <v>-18</v>
      </c>
      <c r="L160" s="13">
        <v>32</v>
      </c>
    </row>
    <row r="161" spans="1:12" ht="15.75" thickBot="1" x14ac:dyDescent="0.3">
      <c r="A161" s="17">
        <v>2013</v>
      </c>
      <c r="B161" s="26" t="s">
        <v>50</v>
      </c>
      <c r="C161" s="19" t="s">
        <v>67</v>
      </c>
      <c r="D161" s="20">
        <v>20</v>
      </c>
      <c r="E161" s="21">
        <v>38</v>
      </c>
      <c r="F161" s="21">
        <v>5</v>
      </c>
      <c r="G161" s="21">
        <v>5</v>
      </c>
      <c r="H161" s="21">
        <v>28</v>
      </c>
      <c r="I161" s="21">
        <v>22</v>
      </c>
      <c r="J161" s="21">
        <v>79</v>
      </c>
      <c r="K161" s="21">
        <v>-57</v>
      </c>
      <c r="L161" s="21">
        <v>18</v>
      </c>
    </row>
    <row r="162" spans="1:12" ht="15.75" thickBot="1" x14ac:dyDescent="0.3">
      <c r="A162" s="5">
        <v>2012</v>
      </c>
      <c r="B162" s="6" t="s">
        <v>12</v>
      </c>
      <c r="C162" s="7" t="s">
        <v>21</v>
      </c>
      <c r="D162" s="8">
        <v>77</v>
      </c>
      <c r="E162" s="9">
        <v>38</v>
      </c>
      <c r="F162" s="9">
        <v>22</v>
      </c>
      <c r="G162" s="9">
        <v>11</v>
      </c>
      <c r="H162" s="9">
        <v>5</v>
      </c>
      <c r="I162" s="9">
        <v>61</v>
      </c>
      <c r="J162" s="9">
        <v>33</v>
      </c>
      <c r="K162" s="9">
        <v>28</v>
      </c>
      <c r="L162" s="9">
        <v>68</v>
      </c>
    </row>
    <row r="163" spans="1:12" ht="15.75" thickBot="1" x14ac:dyDescent="0.3">
      <c r="A163">
        <v>2012</v>
      </c>
      <c r="B163" s="10" t="s">
        <v>14</v>
      </c>
      <c r="C163" s="11" t="s">
        <v>17</v>
      </c>
      <c r="D163" s="12">
        <v>72</v>
      </c>
      <c r="E163" s="13">
        <v>38</v>
      </c>
      <c r="F163" s="13">
        <v>20</v>
      </c>
      <c r="G163" s="13">
        <v>12</v>
      </c>
      <c r="H163" s="13">
        <v>6</v>
      </c>
      <c r="I163" s="13">
        <v>64</v>
      </c>
      <c r="J163" s="13">
        <v>37</v>
      </c>
      <c r="K163" s="13">
        <v>27</v>
      </c>
      <c r="L163" s="13">
        <v>63</v>
      </c>
    </row>
    <row r="164" spans="1:12" ht="15.75" thickBot="1" x14ac:dyDescent="0.3">
      <c r="A164">
        <v>2012</v>
      </c>
      <c r="B164" s="10" t="s">
        <v>16</v>
      </c>
      <c r="C164" s="11" t="s">
        <v>23</v>
      </c>
      <c r="D164" s="12">
        <v>71</v>
      </c>
      <c r="E164" s="13">
        <v>38</v>
      </c>
      <c r="F164" s="13">
        <v>20</v>
      </c>
      <c r="G164" s="13">
        <v>11</v>
      </c>
      <c r="H164" s="13">
        <v>7</v>
      </c>
      <c r="I164" s="13">
        <v>56</v>
      </c>
      <c r="J164" s="13">
        <v>33</v>
      </c>
      <c r="K164" s="13">
        <v>23</v>
      </c>
      <c r="L164" s="13">
        <v>62</v>
      </c>
    </row>
    <row r="165" spans="1:12" ht="15.75" thickBot="1" x14ac:dyDescent="0.3">
      <c r="A165">
        <v>2012</v>
      </c>
      <c r="B165" s="16" t="s">
        <v>18</v>
      </c>
      <c r="C165" s="11" t="s">
        <v>19</v>
      </c>
      <c r="D165" s="12">
        <v>66</v>
      </c>
      <c r="E165" s="13">
        <v>38</v>
      </c>
      <c r="F165" s="13">
        <v>20</v>
      </c>
      <c r="G165" s="13">
        <v>6</v>
      </c>
      <c r="H165" s="13">
        <v>12</v>
      </c>
      <c r="I165" s="13">
        <v>59</v>
      </c>
      <c r="J165" s="13">
        <v>37</v>
      </c>
      <c r="K165" s="13">
        <v>22</v>
      </c>
      <c r="L165" s="13">
        <v>58</v>
      </c>
    </row>
    <row r="166" spans="1:12" ht="15.75" thickBot="1" x14ac:dyDescent="0.3">
      <c r="A166">
        <v>2012</v>
      </c>
      <c r="B166" s="14" t="s">
        <v>20</v>
      </c>
      <c r="C166" s="11" t="s">
        <v>45</v>
      </c>
      <c r="D166" s="12">
        <v>58</v>
      </c>
      <c r="E166" s="13">
        <v>38</v>
      </c>
      <c r="F166" s="13">
        <v>16</v>
      </c>
      <c r="G166" s="13">
        <v>10</v>
      </c>
      <c r="H166" s="13">
        <v>12</v>
      </c>
      <c r="I166" s="13">
        <v>45</v>
      </c>
      <c r="J166" s="13">
        <v>44</v>
      </c>
      <c r="K166" s="13">
        <v>1</v>
      </c>
      <c r="L166" s="13">
        <v>51</v>
      </c>
    </row>
    <row r="167" spans="1:12" ht="15.75" thickBot="1" x14ac:dyDescent="0.3">
      <c r="A167">
        <v>2012</v>
      </c>
      <c r="B167" s="14" t="s">
        <v>22</v>
      </c>
      <c r="C167" s="11" t="s">
        <v>35</v>
      </c>
      <c r="D167" s="12">
        <v>57</v>
      </c>
      <c r="E167" s="13">
        <v>38</v>
      </c>
      <c r="F167" s="13">
        <v>15</v>
      </c>
      <c r="G167" s="13">
        <v>12</v>
      </c>
      <c r="H167" s="13">
        <v>11</v>
      </c>
      <c r="I167" s="13">
        <v>51</v>
      </c>
      <c r="J167" s="13">
        <v>39</v>
      </c>
      <c r="K167" s="13">
        <v>12</v>
      </c>
      <c r="L167" s="13">
        <v>50</v>
      </c>
    </row>
    <row r="168" spans="1:12" ht="15.75" thickBot="1" x14ac:dyDescent="0.3">
      <c r="A168">
        <v>2012</v>
      </c>
      <c r="B168" s="14" t="s">
        <v>24</v>
      </c>
      <c r="C168" s="11" t="s">
        <v>51</v>
      </c>
      <c r="D168" s="12">
        <v>55</v>
      </c>
      <c r="E168" s="13">
        <v>38</v>
      </c>
      <c r="F168" s="13">
        <v>15</v>
      </c>
      <c r="G168" s="13">
        <v>10</v>
      </c>
      <c r="H168" s="13">
        <v>13</v>
      </c>
      <c r="I168" s="13">
        <v>60</v>
      </c>
      <c r="J168" s="13">
        <v>50</v>
      </c>
      <c r="K168" s="13">
        <v>10</v>
      </c>
      <c r="L168" s="13">
        <v>48</v>
      </c>
    </row>
    <row r="169" spans="1:12" ht="15.75" thickBot="1" x14ac:dyDescent="0.3">
      <c r="A169">
        <v>2012</v>
      </c>
      <c r="B169" s="14" t="s">
        <v>26</v>
      </c>
      <c r="C169" s="11" t="s">
        <v>27</v>
      </c>
      <c r="D169" s="12">
        <v>53</v>
      </c>
      <c r="E169" s="13">
        <v>38</v>
      </c>
      <c r="F169" s="13">
        <v>13</v>
      </c>
      <c r="G169" s="13">
        <v>14</v>
      </c>
      <c r="H169" s="13">
        <v>11</v>
      </c>
      <c r="I169" s="13">
        <v>50</v>
      </c>
      <c r="J169" s="13">
        <v>44</v>
      </c>
      <c r="K169" s="13">
        <v>6</v>
      </c>
      <c r="L169" s="13">
        <v>46</v>
      </c>
    </row>
    <row r="170" spans="1:12" ht="15.75" thickBot="1" x14ac:dyDescent="0.3">
      <c r="A170">
        <v>2012</v>
      </c>
      <c r="B170" s="14" t="s">
        <v>28</v>
      </c>
      <c r="C170" s="11" t="s">
        <v>52</v>
      </c>
      <c r="D170" s="12">
        <v>52</v>
      </c>
      <c r="E170" s="13">
        <v>38</v>
      </c>
      <c r="F170" s="13">
        <v>15</v>
      </c>
      <c r="G170" s="13">
        <v>7</v>
      </c>
      <c r="H170" s="13">
        <v>16</v>
      </c>
      <c r="I170" s="13">
        <v>47</v>
      </c>
      <c r="J170" s="13">
        <v>51</v>
      </c>
      <c r="K170" s="13">
        <v>-4</v>
      </c>
      <c r="L170" s="13">
        <v>46</v>
      </c>
    </row>
    <row r="171" spans="1:12" ht="15.75" thickBot="1" x14ac:dyDescent="0.3">
      <c r="A171">
        <v>2012</v>
      </c>
      <c r="B171" s="14" t="s">
        <v>30</v>
      </c>
      <c r="C171" s="11" t="s">
        <v>56</v>
      </c>
      <c r="D171" s="12">
        <v>52</v>
      </c>
      <c r="E171" s="13">
        <v>38</v>
      </c>
      <c r="F171" s="13">
        <v>13</v>
      </c>
      <c r="G171" s="13">
        <v>13</v>
      </c>
      <c r="H171" s="13">
        <v>12</v>
      </c>
      <c r="I171" s="13">
        <v>44</v>
      </c>
      <c r="J171" s="13">
        <v>40</v>
      </c>
      <c r="K171" s="13">
        <v>4</v>
      </c>
      <c r="L171" s="13">
        <v>46</v>
      </c>
    </row>
    <row r="172" spans="1:12" ht="15.75" thickBot="1" x14ac:dyDescent="0.3">
      <c r="A172">
        <v>2012</v>
      </c>
      <c r="B172" s="14" t="s">
        <v>32</v>
      </c>
      <c r="C172" s="11" t="s">
        <v>13</v>
      </c>
      <c r="D172" s="12">
        <v>50</v>
      </c>
      <c r="E172" s="13">
        <v>38</v>
      </c>
      <c r="F172" s="13">
        <v>12</v>
      </c>
      <c r="G172" s="13">
        <v>14</v>
      </c>
      <c r="H172" s="13">
        <v>12</v>
      </c>
      <c r="I172" s="13">
        <v>39</v>
      </c>
      <c r="J172" s="13">
        <v>46</v>
      </c>
      <c r="K172" s="13">
        <v>-7</v>
      </c>
      <c r="L172" s="13">
        <v>44</v>
      </c>
    </row>
    <row r="173" spans="1:12" ht="15.75" thickBot="1" x14ac:dyDescent="0.3">
      <c r="A173">
        <v>2012</v>
      </c>
      <c r="B173" s="14" t="s">
        <v>34</v>
      </c>
      <c r="C173" s="11" t="s">
        <v>67</v>
      </c>
      <c r="D173" s="12">
        <v>49</v>
      </c>
      <c r="E173" s="13">
        <v>38</v>
      </c>
      <c r="F173" s="13">
        <v>14</v>
      </c>
      <c r="G173" s="13">
        <v>7</v>
      </c>
      <c r="H173" s="13">
        <v>17</v>
      </c>
      <c r="I173" s="13">
        <v>44</v>
      </c>
      <c r="J173" s="13">
        <v>51</v>
      </c>
      <c r="K173" s="13">
        <v>-7</v>
      </c>
      <c r="L173" s="13">
        <v>43</v>
      </c>
    </row>
    <row r="174" spans="1:12" ht="15.75" thickBot="1" x14ac:dyDescent="0.3">
      <c r="A174">
        <v>2012</v>
      </c>
      <c r="B174" s="15" t="s">
        <v>36</v>
      </c>
      <c r="C174" s="11" t="s">
        <v>49</v>
      </c>
      <c r="D174" s="12">
        <v>48</v>
      </c>
      <c r="E174" s="13">
        <v>38</v>
      </c>
      <c r="F174" s="13">
        <v>14</v>
      </c>
      <c r="G174" s="13">
        <v>6</v>
      </c>
      <c r="H174" s="13">
        <v>18</v>
      </c>
      <c r="I174" s="13">
        <v>53</v>
      </c>
      <c r="J174" s="13">
        <v>60</v>
      </c>
      <c r="K174" s="13">
        <v>-7</v>
      </c>
      <c r="L174" s="13">
        <v>42</v>
      </c>
    </row>
    <row r="175" spans="1:12" ht="15.75" thickBot="1" x14ac:dyDescent="0.3">
      <c r="A175">
        <v>2012</v>
      </c>
      <c r="B175" s="15" t="s">
        <v>38</v>
      </c>
      <c r="C175" s="11" t="s">
        <v>61</v>
      </c>
      <c r="D175" s="12">
        <v>48</v>
      </c>
      <c r="E175" s="13">
        <v>38</v>
      </c>
      <c r="F175" s="13">
        <v>12</v>
      </c>
      <c r="G175" s="13">
        <v>12</v>
      </c>
      <c r="H175" s="13">
        <v>14</v>
      </c>
      <c r="I175" s="13">
        <v>37</v>
      </c>
      <c r="J175" s="13">
        <v>44</v>
      </c>
      <c r="K175" s="13">
        <v>-7</v>
      </c>
      <c r="L175" s="13">
        <v>42</v>
      </c>
    </row>
    <row r="176" spans="1:12" ht="15.75" thickBot="1" x14ac:dyDescent="0.3">
      <c r="A176">
        <v>2012</v>
      </c>
      <c r="B176" s="15" t="s">
        <v>40</v>
      </c>
      <c r="C176" s="11" t="s">
        <v>39</v>
      </c>
      <c r="D176" s="12">
        <v>47</v>
      </c>
      <c r="E176" s="13">
        <v>38</v>
      </c>
      <c r="F176" s="13">
        <v>11</v>
      </c>
      <c r="G176" s="13">
        <v>14</v>
      </c>
      <c r="H176" s="13">
        <v>13</v>
      </c>
      <c r="I176" s="13">
        <v>37</v>
      </c>
      <c r="J176" s="13">
        <v>41</v>
      </c>
      <c r="K176" s="13">
        <v>-4</v>
      </c>
      <c r="L176" s="13">
        <v>41</v>
      </c>
    </row>
    <row r="177" spans="1:12" ht="15.75" thickBot="1" x14ac:dyDescent="0.3">
      <c r="A177">
        <v>2012</v>
      </c>
      <c r="B177" s="15" t="s">
        <v>42</v>
      </c>
      <c r="C177" s="11" t="s">
        <v>66</v>
      </c>
      <c r="D177" s="12">
        <v>45</v>
      </c>
      <c r="E177" s="13">
        <v>38</v>
      </c>
      <c r="F177" s="13">
        <v>10</v>
      </c>
      <c r="G177" s="13">
        <v>15</v>
      </c>
      <c r="H177" s="13">
        <v>13</v>
      </c>
      <c r="I177" s="13">
        <v>39</v>
      </c>
      <c r="J177" s="13">
        <v>41</v>
      </c>
      <c r="K177" s="13">
        <v>-2</v>
      </c>
      <c r="L177" s="13">
        <v>39</v>
      </c>
    </row>
    <row r="178" spans="1:12" ht="15.75" thickBot="1" x14ac:dyDescent="0.3">
      <c r="A178">
        <v>2012</v>
      </c>
      <c r="B178" s="15" t="s">
        <v>44</v>
      </c>
      <c r="C178" s="11" t="s">
        <v>41</v>
      </c>
      <c r="D178" s="12">
        <v>41</v>
      </c>
      <c r="E178" s="13">
        <v>38</v>
      </c>
      <c r="F178" s="13">
        <v>10</v>
      </c>
      <c r="G178" s="13">
        <v>11</v>
      </c>
      <c r="H178" s="13">
        <v>17</v>
      </c>
      <c r="I178" s="13">
        <v>39</v>
      </c>
      <c r="J178" s="13">
        <v>56</v>
      </c>
      <c r="K178" s="13">
        <v>-17</v>
      </c>
      <c r="L178" s="13">
        <v>36</v>
      </c>
    </row>
    <row r="179" spans="1:12" ht="15.75" thickBot="1" x14ac:dyDescent="0.3">
      <c r="A179">
        <v>2012</v>
      </c>
      <c r="B179" s="15" t="s">
        <v>46</v>
      </c>
      <c r="C179" s="11" t="s">
        <v>25</v>
      </c>
      <c r="D179" s="12">
        <v>34</v>
      </c>
      <c r="E179" s="13">
        <v>38</v>
      </c>
      <c r="F179" s="13">
        <v>9</v>
      </c>
      <c r="G179" s="13">
        <v>7</v>
      </c>
      <c r="H179" s="13">
        <v>22</v>
      </c>
      <c r="I179" s="13">
        <v>39</v>
      </c>
      <c r="J179" s="13">
        <v>54</v>
      </c>
      <c r="K179" s="13">
        <v>-15</v>
      </c>
      <c r="L179" s="13">
        <v>30</v>
      </c>
    </row>
    <row r="180" spans="1:12" ht="15.75" thickBot="1" x14ac:dyDescent="0.3">
      <c r="A180">
        <v>2012</v>
      </c>
      <c r="B180" s="15" t="s">
        <v>48</v>
      </c>
      <c r="C180" s="11" t="s">
        <v>37</v>
      </c>
      <c r="D180" s="12">
        <v>30</v>
      </c>
      <c r="E180" s="13">
        <v>38</v>
      </c>
      <c r="F180" s="13">
        <v>7</v>
      </c>
      <c r="G180" s="13">
        <v>9</v>
      </c>
      <c r="H180" s="13">
        <v>22</v>
      </c>
      <c r="I180" s="13">
        <v>37</v>
      </c>
      <c r="J180" s="13">
        <v>67</v>
      </c>
      <c r="K180" s="13">
        <v>-30</v>
      </c>
      <c r="L180" s="13">
        <v>26</v>
      </c>
    </row>
    <row r="181" spans="1:12" ht="15.75" thickBot="1" x14ac:dyDescent="0.3">
      <c r="A181" s="17">
        <v>2012</v>
      </c>
      <c r="B181" s="26" t="s">
        <v>50</v>
      </c>
      <c r="C181" s="19" t="s">
        <v>62</v>
      </c>
      <c r="D181" s="20">
        <v>30</v>
      </c>
      <c r="E181" s="21">
        <v>38</v>
      </c>
      <c r="F181" s="21">
        <v>7</v>
      </c>
      <c r="G181" s="21">
        <v>9</v>
      </c>
      <c r="H181" s="21">
        <v>22</v>
      </c>
      <c r="I181" s="21">
        <v>39</v>
      </c>
      <c r="J181" s="21">
        <v>72</v>
      </c>
      <c r="K181" s="21">
        <v>-33</v>
      </c>
      <c r="L181" s="21">
        <v>26</v>
      </c>
    </row>
    <row r="182" spans="1:12" ht="15.75" thickBot="1" x14ac:dyDescent="0.3">
      <c r="A182" s="5">
        <v>2011</v>
      </c>
      <c r="B182" s="6" t="s">
        <v>12</v>
      </c>
      <c r="C182" s="7" t="s">
        <v>35</v>
      </c>
      <c r="D182" s="8">
        <v>71</v>
      </c>
      <c r="E182" s="9">
        <v>38</v>
      </c>
      <c r="F182" s="9">
        <v>21</v>
      </c>
      <c r="G182" s="9">
        <v>8</v>
      </c>
      <c r="H182" s="9">
        <v>9</v>
      </c>
      <c r="I182" s="9">
        <v>53</v>
      </c>
      <c r="J182" s="9">
        <v>36</v>
      </c>
      <c r="K182" s="9">
        <v>17</v>
      </c>
      <c r="L182" s="9">
        <v>62</v>
      </c>
    </row>
    <row r="183" spans="1:12" ht="15.75" thickBot="1" x14ac:dyDescent="0.3">
      <c r="A183">
        <v>2011</v>
      </c>
      <c r="B183" s="10" t="s">
        <v>14</v>
      </c>
      <c r="C183" s="11" t="s">
        <v>45</v>
      </c>
      <c r="D183" s="12">
        <v>69</v>
      </c>
      <c r="E183" s="13">
        <v>38</v>
      </c>
      <c r="F183" s="13">
        <v>19</v>
      </c>
      <c r="G183" s="13">
        <v>12</v>
      </c>
      <c r="H183" s="13">
        <v>7</v>
      </c>
      <c r="I183" s="13">
        <v>57</v>
      </c>
      <c r="J183" s="13">
        <v>40</v>
      </c>
      <c r="K183" s="13">
        <v>17</v>
      </c>
      <c r="L183" s="13">
        <v>61</v>
      </c>
    </row>
    <row r="184" spans="1:12" ht="15.75" thickBot="1" x14ac:dyDescent="0.3">
      <c r="A184">
        <v>2011</v>
      </c>
      <c r="B184" s="10" t="s">
        <v>16</v>
      </c>
      <c r="C184" s="11" t="s">
        <v>21</v>
      </c>
      <c r="D184" s="12">
        <v>63</v>
      </c>
      <c r="E184" s="13">
        <v>38</v>
      </c>
      <c r="F184" s="13">
        <v>20</v>
      </c>
      <c r="G184" s="13">
        <v>3</v>
      </c>
      <c r="H184" s="13">
        <v>15</v>
      </c>
      <c r="I184" s="13">
        <v>60</v>
      </c>
      <c r="J184" s="13">
        <v>51</v>
      </c>
      <c r="K184" s="13">
        <v>9</v>
      </c>
      <c r="L184" s="13">
        <v>55</v>
      </c>
    </row>
    <row r="185" spans="1:12" ht="15.75" thickBot="1" x14ac:dyDescent="0.3">
      <c r="A185">
        <v>2011</v>
      </c>
      <c r="B185" s="16" t="s">
        <v>18</v>
      </c>
      <c r="C185" s="11" t="s">
        <v>13</v>
      </c>
      <c r="D185" s="12">
        <v>61</v>
      </c>
      <c r="E185" s="13">
        <v>38</v>
      </c>
      <c r="F185" s="13">
        <v>15</v>
      </c>
      <c r="G185" s="13">
        <v>16</v>
      </c>
      <c r="H185" s="13">
        <v>7</v>
      </c>
      <c r="I185" s="13">
        <v>59</v>
      </c>
      <c r="J185" s="13">
        <v>47</v>
      </c>
      <c r="K185" s="13">
        <v>12</v>
      </c>
      <c r="L185" s="13">
        <v>54</v>
      </c>
    </row>
    <row r="186" spans="1:12" ht="15.75" thickBot="1" x14ac:dyDescent="0.3">
      <c r="A186">
        <v>2011</v>
      </c>
      <c r="B186" s="14" t="s">
        <v>20</v>
      </c>
      <c r="C186" s="11" t="s">
        <v>56</v>
      </c>
      <c r="D186" s="12">
        <v>60</v>
      </c>
      <c r="E186" s="13">
        <v>38</v>
      </c>
      <c r="F186" s="13">
        <v>16</v>
      </c>
      <c r="G186" s="13">
        <v>12</v>
      </c>
      <c r="H186" s="13">
        <v>10</v>
      </c>
      <c r="I186" s="13">
        <v>57</v>
      </c>
      <c r="J186" s="13">
        <v>43</v>
      </c>
      <c r="K186" s="13">
        <v>14</v>
      </c>
      <c r="L186" s="13">
        <v>53</v>
      </c>
    </row>
    <row r="187" spans="1:12" ht="15.75" thickBot="1" x14ac:dyDescent="0.3">
      <c r="A187">
        <v>2011</v>
      </c>
      <c r="B187" s="14" t="s">
        <v>22</v>
      </c>
      <c r="C187" s="11" t="s">
        <v>19</v>
      </c>
      <c r="D187" s="12">
        <v>59</v>
      </c>
      <c r="E187" s="13">
        <v>38</v>
      </c>
      <c r="F187" s="13">
        <v>16</v>
      </c>
      <c r="G187" s="13">
        <v>11</v>
      </c>
      <c r="H187" s="13">
        <v>11</v>
      </c>
      <c r="I187" s="13">
        <v>57</v>
      </c>
      <c r="J187" s="13">
        <v>46</v>
      </c>
      <c r="K187" s="13">
        <v>11</v>
      </c>
      <c r="L187" s="13">
        <v>52</v>
      </c>
    </row>
    <row r="188" spans="1:12" ht="15.75" thickBot="1" x14ac:dyDescent="0.3">
      <c r="A188">
        <v>2011</v>
      </c>
      <c r="B188" s="14" t="s">
        <v>24</v>
      </c>
      <c r="C188" s="11" t="s">
        <v>62</v>
      </c>
      <c r="D188" s="12">
        <v>58</v>
      </c>
      <c r="E188" s="13">
        <v>38</v>
      </c>
      <c r="F188" s="13">
        <v>15</v>
      </c>
      <c r="G188" s="13">
        <v>13</v>
      </c>
      <c r="H188" s="13">
        <v>10</v>
      </c>
      <c r="I188" s="13">
        <v>46</v>
      </c>
      <c r="J188" s="13">
        <v>45</v>
      </c>
      <c r="K188" s="13">
        <v>1</v>
      </c>
      <c r="L188" s="13">
        <v>51</v>
      </c>
    </row>
    <row r="189" spans="1:12" ht="15.75" thickBot="1" x14ac:dyDescent="0.3">
      <c r="A189">
        <v>2011</v>
      </c>
      <c r="B189" s="14" t="s">
        <v>26</v>
      </c>
      <c r="C189" s="11" t="s">
        <v>49</v>
      </c>
      <c r="D189" s="12">
        <v>57</v>
      </c>
      <c r="E189" s="13">
        <v>38</v>
      </c>
      <c r="F189" s="13">
        <v>16</v>
      </c>
      <c r="G189" s="13">
        <v>9</v>
      </c>
      <c r="H189" s="13">
        <v>13</v>
      </c>
      <c r="I189" s="13">
        <v>57</v>
      </c>
      <c r="J189" s="13">
        <v>41</v>
      </c>
      <c r="K189" s="13">
        <v>16</v>
      </c>
      <c r="L189" s="13">
        <v>50</v>
      </c>
    </row>
    <row r="190" spans="1:12" ht="15.75" thickBot="1" x14ac:dyDescent="0.3">
      <c r="A190">
        <v>2011</v>
      </c>
      <c r="B190" s="14" t="s">
        <v>28</v>
      </c>
      <c r="C190" s="11" t="s">
        <v>51</v>
      </c>
      <c r="D190" s="12">
        <v>56</v>
      </c>
      <c r="E190" s="13">
        <v>38</v>
      </c>
      <c r="F190" s="13">
        <v>16</v>
      </c>
      <c r="G190" s="13">
        <v>8</v>
      </c>
      <c r="H190" s="13">
        <v>14</v>
      </c>
      <c r="I190" s="13">
        <v>52</v>
      </c>
      <c r="J190" s="13">
        <v>49</v>
      </c>
      <c r="K190" s="13">
        <v>3</v>
      </c>
      <c r="L190" s="13">
        <v>49</v>
      </c>
    </row>
    <row r="191" spans="1:12" ht="15.75" thickBot="1" x14ac:dyDescent="0.3">
      <c r="A191">
        <v>2011</v>
      </c>
      <c r="B191" s="14" t="s">
        <v>30</v>
      </c>
      <c r="C191" s="11" t="s">
        <v>27</v>
      </c>
      <c r="D191" s="12">
        <v>53</v>
      </c>
      <c r="E191" s="13">
        <v>38</v>
      </c>
      <c r="F191" s="13">
        <v>15</v>
      </c>
      <c r="G191" s="13">
        <v>8</v>
      </c>
      <c r="H191" s="13">
        <v>15</v>
      </c>
      <c r="I191" s="13">
        <v>55</v>
      </c>
      <c r="J191" s="13">
        <v>55</v>
      </c>
      <c r="K191" s="13">
        <v>0</v>
      </c>
      <c r="L191" s="13">
        <v>46</v>
      </c>
    </row>
    <row r="192" spans="1:12" ht="15.75" thickBot="1" x14ac:dyDescent="0.3">
      <c r="A192">
        <v>2011</v>
      </c>
      <c r="B192" s="14" t="s">
        <v>32</v>
      </c>
      <c r="C192" s="11" t="s">
        <v>25</v>
      </c>
      <c r="D192" s="12">
        <v>50</v>
      </c>
      <c r="E192" s="13">
        <v>38</v>
      </c>
      <c r="F192" s="13">
        <v>11</v>
      </c>
      <c r="G192" s="13">
        <v>17</v>
      </c>
      <c r="H192" s="13">
        <v>10</v>
      </c>
      <c r="I192" s="13">
        <v>43</v>
      </c>
      <c r="J192" s="13">
        <v>39</v>
      </c>
      <c r="K192" s="13">
        <v>4</v>
      </c>
      <c r="L192" s="13">
        <v>44</v>
      </c>
    </row>
    <row r="193" spans="1:12" ht="15.75" thickBot="1" x14ac:dyDescent="0.3">
      <c r="A193">
        <v>2011</v>
      </c>
      <c r="B193" s="14" t="s">
        <v>34</v>
      </c>
      <c r="C193" s="11" t="s">
        <v>23</v>
      </c>
      <c r="D193" s="12">
        <v>48</v>
      </c>
      <c r="E193" s="13">
        <v>38</v>
      </c>
      <c r="F193" s="13">
        <v>13</v>
      </c>
      <c r="G193" s="13">
        <v>9</v>
      </c>
      <c r="H193" s="13">
        <v>16</v>
      </c>
      <c r="I193" s="13">
        <v>49</v>
      </c>
      <c r="J193" s="13">
        <v>57</v>
      </c>
      <c r="K193" s="13">
        <v>-8</v>
      </c>
      <c r="L193" s="13">
        <v>42</v>
      </c>
    </row>
    <row r="194" spans="1:12" ht="15.75" thickBot="1" x14ac:dyDescent="0.3">
      <c r="A194">
        <v>2011</v>
      </c>
      <c r="B194" s="15" t="s">
        <v>36</v>
      </c>
      <c r="C194" s="11" t="s">
        <v>37</v>
      </c>
      <c r="D194" s="12">
        <v>48</v>
      </c>
      <c r="E194" s="13">
        <v>38</v>
      </c>
      <c r="F194" s="13">
        <v>12</v>
      </c>
      <c r="G194" s="13">
        <v>12</v>
      </c>
      <c r="H194" s="13">
        <v>14</v>
      </c>
      <c r="I194" s="13">
        <v>50</v>
      </c>
      <c r="J194" s="13">
        <v>45</v>
      </c>
      <c r="K194" s="13">
        <v>5</v>
      </c>
      <c r="L194" s="13">
        <v>42</v>
      </c>
    </row>
    <row r="195" spans="1:12" ht="15.75" thickBot="1" x14ac:dyDescent="0.3">
      <c r="A195">
        <v>2011</v>
      </c>
      <c r="B195" s="15" t="s">
        <v>38</v>
      </c>
      <c r="C195" s="11" t="s">
        <v>39</v>
      </c>
      <c r="D195" s="12">
        <v>46</v>
      </c>
      <c r="E195" s="13">
        <v>38</v>
      </c>
      <c r="F195" s="13">
        <v>11</v>
      </c>
      <c r="G195" s="13">
        <v>13</v>
      </c>
      <c r="H195" s="13">
        <v>14</v>
      </c>
      <c r="I195" s="13">
        <v>43</v>
      </c>
      <c r="J195" s="13">
        <v>49</v>
      </c>
      <c r="K195" s="13">
        <v>-6</v>
      </c>
      <c r="L195" s="13">
        <v>40</v>
      </c>
    </row>
    <row r="196" spans="1:12" ht="15.75" thickBot="1" x14ac:dyDescent="0.3">
      <c r="A196">
        <v>2011</v>
      </c>
      <c r="B196" s="15" t="s">
        <v>40</v>
      </c>
      <c r="C196" s="11" t="s">
        <v>17</v>
      </c>
      <c r="D196" s="12">
        <v>45</v>
      </c>
      <c r="E196" s="13">
        <v>38</v>
      </c>
      <c r="F196" s="13">
        <v>13</v>
      </c>
      <c r="G196" s="13">
        <v>6</v>
      </c>
      <c r="H196" s="13">
        <v>19</v>
      </c>
      <c r="I196" s="13">
        <v>50</v>
      </c>
      <c r="J196" s="13">
        <v>60</v>
      </c>
      <c r="K196" s="13">
        <v>-10</v>
      </c>
      <c r="L196" s="13">
        <v>39</v>
      </c>
    </row>
    <row r="197" spans="1:12" ht="15.75" thickBot="1" x14ac:dyDescent="0.3">
      <c r="A197">
        <v>2011</v>
      </c>
      <c r="B197" s="15" t="s">
        <v>42</v>
      </c>
      <c r="C197" s="11" t="s">
        <v>52</v>
      </c>
      <c r="D197" s="12">
        <v>43</v>
      </c>
      <c r="E197" s="13">
        <v>38</v>
      </c>
      <c r="F197" s="13">
        <v>11</v>
      </c>
      <c r="G197" s="13">
        <v>10</v>
      </c>
      <c r="H197" s="13">
        <v>17</v>
      </c>
      <c r="I197" s="13">
        <v>48</v>
      </c>
      <c r="J197" s="13">
        <v>51</v>
      </c>
      <c r="K197" s="13">
        <v>-3</v>
      </c>
      <c r="L197" s="13">
        <v>38</v>
      </c>
    </row>
    <row r="198" spans="1:12" ht="15.75" thickBot="1" x14ac:dyDescent="0.3">
      <c r="A198">
        <v>2011</v>
      </c>
      <c r="B198" s="15" t="s">
        <v>44</v>
      </c>
      <c r="C198" s="11" t="s">
        <v>59</v>
      </c>
      <c r="D198" s="12">
        <v>41</v>
      </c>
      <c r="E198" s="13">
        <v>38</v>
      </c>
      <c r="F198" s="13">
        <v>10</v>
      </c>
      <c r="G198" s="13">
        <v>11</v>
      </c>
      <c r="H198" s="13">
        <v>17</v>
      </c>
      <c r="I198" s="13">
        <v>38</v>
      </c>
      <c r="J198" s="13">
        <v>55</v>
      </c>
      <c r="K198" s="13">
        <v>-17</v>
      </c>
      <c r="L198" s="13">
        <v>36</v>
      </c>
    </row>
    <row r="199" spans="1:12" ht="15.75" thickBot="1" x14ac:dyDescent="0.3">
      <c r="A199">
        <v>2011</v>
      </c>
      <c r="B199" s="15" t="s">
        <v>46</v>
      </c>
      <c r="C199" s="11" t="s">
        <v>33</v>
      </c>
      <c r="D199" s="12">
        <v>39</v>
      </c>
      <c r="E199" s="13">
        <v>38</v>
      </c>
      <c r="F199" s="13">
        <v>10</v>
      </c>
      <c r="G199" s="13">
        <v>9</v>
      </c>
      <c r="H199" s="13">
        <v>19</v>
      </c>
      <c r="I199" s="13">
        <v>47</v>
      </c>
      <c r="J199" s="13">
        <v>64</v>
      </c>
      <c r="K199" s="13">
        <v>-17</v>
      </c>
      <c r="L199" s="13">
        <v>34</v>
      </c>
    </row>
    <row r="200" spans="1:12" ht="15.75" thickBot="1" x14ac:dyDescent="0.3">
      <c r="A200">
        <v>2011</v>
      </c>
      <c r="B200" s="15" t="s">
        <v>48</v>
      </c>
      <c r="C200" s="11" t="s">
        <v>57</v>
      </c>
      <c r="D200" s="12">
        <v>37</v>
      </c>
      <c r="E200" s="13">
        <v>38</v>
      </c>
      <c r="F200" s="13">
        <v>8</v>
      </c>
      <c r="G200" s="13">
        <v>13</v>
      </c>
      <c r="H200" s="13">
        <v>17</v>
      </c>
      <c r="I200" s="13">
        <v>51</v>
      </c>
      <c r="J200" s="13">
        <v>69</v>
      </c>
      <c r="K200" s="13">
        <v>-18</v>
      </c>
      <c r="L200" s="13">
        <v>32</v>
      </c>
    </row>
    <row r="201" spans="1:12" ht="15.75" thickBot="1" x14ac:dyDescent="0.3">
      <c r="A201" s="17">
        <v>2011</v>
      </c>
      <c r="B201" s="26" t="s">
        <v>50</v>
      </c>
      <c r="C201" s="19" t="s">
        <v>55</v>
      </c>
      <c r="D201" s="20">
        <v>31</v>
      </c>
      <c r="E201" s="21">
        <v>38</v>
      </c>
      <c r="F201" s="21">
        <v>7</v>
      </c>
      <c r="G201" s="21">
        <v>10</v>
      </c>
      <c r="H201" s="21">
        <v>21</v>
      </c>
      <c r="I201" s="21">
        <v>45</v>
      </c>
      <c r="J201" s="21">
        <v>75</v>
      </c>
      <c r="K201" s="21">
        <v>-30</v>
      </c>
      <c r="L201" s="21">
        <v>27</v>
      </c>
    </row>
    <row r="202" spans="1:12" ht="15.75" thickBot="1" x14ac:dyDescent="0.3">
      <c r="A202" s="5">
        <v>2010</v>
      </c>
      <c r="B202" s="6" t="s">
        <v>12</v>
      </c>
      <c r="C202" s="7" t="s">
        <v>21</v>
      </c>
      <c r="D202" s="8">
        <v>71</v>
      </c>
      <c r="E202" s="9">
        <v>38</v>
      </c>
      <c r="F202" s="9">
        <v>20</v>
      </c>
      <c r="G202" s="9">
        <v>11</v>
      </c>
      <c r="H202" s="9">
        <v>7</v>
      </c>
      <c r="I202" s="9">
        <v>62</v>
      </c>
      <c r="J202" s="9">
        <v>36</v>
      </c>
      <c r="K202" s="9">
        <v>26</v>
      </c>
      <c r="L202" s="9">
        <v>62</v>
      </c>
    </row>
    <row r="203" spans="1:12" ht="15.75" thickBot="1" x14ac:dyDescent="0.3">
      <c r="A203">
        <v>2010</v>
      </c>
      <c r="B203" s="10" t="s">
        <v>14</v>
      </c>
      <c r="C203" s="11" t="s">
        <v>52</v>
      </c>
      <c r="D203" s="12">
        <v>69</v>
      </c>
      <c r="E203" s="13">
        <v>38</v>
      </c>
      <c r="F203" s="13">
        <v>20</v>
      </c>
      <c r="G203" s="13">
        <v>9</v>
      </c>
      <c r="H203" s="13">
        <v>9</v>
      </c>
      <c r="I203" s="13">
        <v>53</v>
      </c>
      <c r="J203" s="13">
        <v>38</v>
      </c>
      <c r="K203" s="13">
        <v>15</v>
      </c>
      <c r="L203" s="13">
        <v>61</v>
      </c>
    </row>
    <row r="204" spans="1:12" ht="15.75" thickBot="1" x14ac:dyDescent="0.3">
      <c r="A204">
        <v>2010</v>
      </c>
      <c r="B204" s="10" t="s">
        <v>16</v>
      </c>
      <c r="C204" s="11" t="s">
        <v>35</v>
      </c>
      <c r="D204" s="12">
        <v>68</v>
      </c>
      <c r="E204" s="13">
        <v>38</v>
      </c>
      <c r="F204" s="13">
        <v>19</v>
      </c>
      <c r="G204" s="13">
        <v>11</v>
      </c>
      <c r="H204" s="13">
        <v>8</v>
      </c>
      <c r="I204" s="13">
        <v>65</v>
      </c>
      <c r="J204" s="13">
        <v>41</v>
      </c>
      <c r="K204" s="13">
        <v>24</v>
      </c>
      <c r="L204" s="13">
        <v>60</v>
      </c>
    </row>
    <row r="205" spans="1:12" ht="15.75" thickBot="1" x14ac:dyDescent="0.3">
      <c r="A205">
        <v>2010</v>
      </c>
      <c r="B205" s="16" t="s">
        <v>18</v>
      </c>
      <c r="C205" s="11" t="s">
        <v>23</v>
      </c>
      <c r="D205" s="12">
        <v>63</v>
      </c>
      <c r="E205" s="13">
        <v>38</v>
      </c>
      <c r="F205" s="13">
        <v>17</v>
      </c>
      <c r="G205" s="13">
        <v>12</v>
      </c>
      <c r="H205" s="13">
        <v>9</v>
      </c>
      <c r="I205" s="13">
        <v>68</v>
      </c>
      <c r="J205" s="13">
        <v>43</v>
      </c>
      <c r="K205" s="13">
        <v>25</v>
      </c>
      <c r="L205" s="13">
        <v>55</v>
      </c>
    </row>
    <row r="206" spans="1:12" ht="15.75" thickBot="1" x14ac:dyDescent="0.3">
      <c r="A206">
        <v>2010</v>
      </c>
      <c r="B206" s="14" t="s">
        <v>20</v>
      </c>
      <c r="C206" s="11" t="s">
        <v>59</v>
      </c>
      <c r="D206" s="12">
        <v>60</v>
      </c>
      <c r="E206" s="13">
        <v>38</v>
      </c>
      <c r="F206" s="13">
        <v>17</v>
      </c>
      <c r="G206" s="13">
        <v>9</v>
      </c>
      <c r="H206" s="13">
        <v>12</v>
      </c>
      <c r="I206" s="13">
        <v>43</v>
      </c>
      <c r="J206" s="13">
        <v>45</v>
      </c>
      <c r="K206" s="13">
        <v>-2</v>
      </c>
      <c r="L206" s="13">
        <v>53</v>
      </c>
    </row>
    <row r="207" spans="1:12" ht="15.75" thickBot="1" x14ac:dyDescent="0.3">
      <c r="A207">
        <v>2010</v>
      </c>
      <c r="B207" s="14" t="s">
        <v>22</v>
      </c>
      <c r="C207" s="11" t="s">
        <v>51</v>
      </c>
      <c r="D207" s="12">
        <v>59</v>
      </c>
      <c r="E207" s="13">
        <v>38</v>
      </c>
      <c r="F207" s="13">
        <v>14</v>
      </c>
      <c r="G207" s="13">
        <v>17</v>
      </c>
      <c r="H207" s="13">
        <v>7</v>
      </c>
      <c r="I207" s="13">
        <v>54</v>
      </c>
      <c r="J207" s="13">
        <v>42</v>
      </c>
      <c r="K207" s="13">
        <v>12</v>
      </c>
      <c r="L207" s="13">
        <v>52</v>
      </c>
    </row>
    <row r="208" spans="1:12" ht="15.75" thickBot="1" x14ac:dyDescent="0.3">
      <c r="A208">
        <v>2010</v>
      </c>
      <c r="B208" s="14" t="s">
        <v>24</v>
      </c>
      <c r="C208" s="11" t="s">
        <v>56</v>
      </c>
      <c r="D208" s="12">
        <v>58</v>
      </c>
      <c r="E208" s="13">
        <v>38</v>
      </c>
      <c r="F208" s="13">
        <v>16</v>
      </c>
      <c r="G208" s="13">
        <v>10</v>
      </c>
      <c r="H208" s="13">
        <v>12</v>
      </c>
      <c r="I208" s="13">
        <v>48</v>
      </c>
      <c r="J208" s="13">
        <v>41</v>
      </c>
      <c r="K208" s="13">
        <v>7</v>
      </c>
      <c r="L208" s="13">
        <v>51</v>
      </c>
    </row>
    <row r="209" spans="1:12" ht="15.75" thickBot="1" x14ac:dyDescent="0.3">
      <c r="A209">
        <v>2010</v>
      </c>
      <c r="B209" s="14" t="s">
        <v>26</v>
      </c>
      <c r="C209" s="11" t="s">
        <v>27</v>
      </c>
      <c r="D209" s="12">
        <v>56</v>
      </c>
      <c r="E209" s="13">
        <v>38</v>
      </c>
      <c r="F209" s="13">
        <v>15</v>
      </c>
      <c r="G209" s="13">
        <v>11</v>
      </c>
      <c r="H209" s="13">
        <v>12</v>
      </c>
      <c r="I209" s="13">
        <v>63</v>
      </c>
      <c r="J209" s="13">
        <v>50</v>
      </c>
      <c r="K209" s="13">
        <v>13</v>
      </c>
      <c r="L209" s="13">
        <v>49</v>
      </c>
    </row>
    <row r="210" spans="1:12" ht="15.75" thickBot="1" x14ac:dyDescent="0.3">
      <c r="A210">
        <v>2010</v>
      </c>
      <c r="B210" s="14" t="s">
        <v>28</v>
      </c>
      <c r="C210" s="11" t="s">
        <v>19</v>
      </c>
      <c r="D210" s="12">
        <v>55</v>
      </c>
      <c r="E210" s="13">
        <v>38</v>
      </c>
      <c r="F210" s="13">
        <v>15</v>
      </c>
      <c r="G210" s="13">
        <v>10</v>
      </c>
      <c r="H210" s="13">
        <v>13</v>
      </c>
      <c r="I210" s="13">
        <v>54</v>
      </c>
      <c r="J210" s="13">
        <v>54</v>
      </c>
      <c r="K210" s="13">
        <v>0</v>
      </c>
      <c r="L210" s="13">
        <v>48</v>
      </c>
    </row>
    <row r="211" spans="1:12" ht="15.75" thickBot="1" x14ac:dyDescent="0.3">
      <c r="A211">
        <v>2010</v>
      </c>
      <c r="B211" s="14" t="s">
        <v>30</v>
      </c>
      <c r="C211" s="11" t="s">
        <v>25</v>
      </c>
      <c r="D211" s="12">
        <v>50</v>
      </c>
      <c r="E211" s="13">
        <v>38</v>
      </c>
      <c r="F211" s="13">
        <v>12</v>
      </c>
      <c r="G211" s="13">
        <v>14</v>
      </c>
      <c r="H211" s="13">
        <v>12</v>
      </c>
      <c r="I211" s="13">
        <v>42</v>
      </c>
      <c r="J211" s="13">
        <v>43</v>
      </c>
      <c r="K211" s="13">
        <v>-1</v>
      </c>
      <c r="L211" s="13">
        <v>44</v>
      </c>
    </row>
    <row r="212" spans="1:12" ht="15.75" thickBot="1" x14ac:dyDescent="0.3">
      <c r="A212">
        <v>2010</v>
      </c>
      <c r="B212" s="14" t="s">
        <v>32</v>
      </c>
      <c r="C212" s="11" t="s">
        <v>45</v>
      </c>
      <c r="D212" s="12">
        <v>49</v>
      </c>
      <c r="E212" s="13">
        <v>38</v>
      </c>
      <c r="F212" s="13">
        <v>11</v>
      </c>
      <c r="G212" s="13">
        <v>16</v>
      </c>
      <c r="H212" s="13">
        <v>11</v>
      </c>
      <c r="I212" s="13">
        <v>43</v>
      </c>
      <c r="J212" s="13">
        <v>45</v>
      </c>
      <c r="K212" s="13">
        <v>-2</v>
      </c>
      <c r="L212" s="13">
        <v>43</v>
      </c>
    </row>
    <row r="213" spans="1:12" ht="15.75" thickBot="1" x14ac:dyDescent="0.3">
      <c r="A213">
        <v>2010</v>
      </c>
      <c r="B213" s="14" t="s">
        <v>34</v>
      </c>
      <c r="C213" s="11" t="s">
        <v>33</v>
      </c>
      <c r="D213" s="12">
        <v>47</v>
      </c>
      <c r="E213" s="13">
        <v>38</v>
      </c>
      <c r="F213" s="13">
        <v>10</v>
      </c>
      <c r="G213" s="13">
        <v>17</v>
      </c>
      <c r="H213" s="13">
        <v>11</v>
      </c>
      <c r="I213" s="13">
        <v>35</v>
      </c>
      <c r="J213" s="13">
        <v>44</v>
      </c>
      <c r="K213" s="13">
        <v>-9</v>
      </c>
      <c r="L213" s="13">
        <v>41</v>
      </c>
    </row>
    <row r="214" spans="1:12" ht="15.75" thickBot="1" x14ac:dyDescent="0.3">
      <c r="A214">
        <v>2010</v>
      </c>
      <c r="B214" s="15" t="s">
        <v>36</v>
      </c>
      <c r="C214" s="11" t="s">
        <v>17</v>
      </c>
      <c r="D214" s="12">
        <v>45</v>
      </c>
      <c r="E214" s="13">
        <v>38</v>
      </c>
      <c r="F214" s="13">
        <v>13</v>
      </c>
      <c r="G214" s="13">
        <v>6</v>
      </c>
      <c r="H214" s="13">
        <v>19</v>
      </c>
      <c r="I214" s="13">
        <v>52</v>
      </c>
      <c r="J214" s="13">
        <v>64</v>
      </c>
      <c r="K214" s="13">
        <v>-12</v>
      </c>
      <c r="L214" s="13">
        <v>39</v>
      </c>
    </row>
    <row r="215" spans="1:12" ht="15.75" thickBot="1" x14ac:dyDescent="0.3">
      <c r="A215">
        <v>2010</v>
      </c>
      <c r="B215" s="15" t="s">
        <v>38</v>
      </c>
      <c r="C215" s="11" t="s">
        <v>13</v>
      </c>
      <c r="D215" s="12">
        <v>44</v>
      </c>
      <c r="E215" s="13">
        <v>38</v>
      </c>
      <c r="F215" s="13">
        <v>9</v>
      </c>
      <c r="G215" s="13">
        <v>17</v>
      </c>
      <c r="H215" s="13">
        <v>12</v>
      </c>
      <c r="I215" s="13">
        <v>41</v>
      </c>
      <c r="J215" s="13">
        <v>44</v>
      </c>
      <c r="K215" s="13">
        <v>-3</v>
      </c>
      <c r="L215" s="13">
        <v>39</v>
      </c>
    </row>
    <row r="216" spans="1:12" ht="15.75" thickBot="1" x14ac:dyDescent="0.3">
      <c r="A216">
        <v>2010</v>
      </c>
      <c r="B216" s="15" t="s">
        <v>40</v>
      </c>
      <c r="C216" s="11" t="s">
        <v>55</v>
      </c>
      <c r="D216" s="12">
        <v>43</v>
      </c>
      <c r="E216" s="13">
        <v>38</v>
      </c>
      <c r="F216" s="13">
        <v>11</v>
      </c>
      <c r="G216" s="13">
        <v>10</v>
      </c>
      <c r="H216" s="13">
        <v>17</v>
      </c>
      <c r="I216" s="13">
        <v>49</v>
      </c>
      <c r="J216" s="13">
        <v>58</v>
      </c>
      <c r="K216" s="13">
        <v>-9</v>
      </c>
      <c r="L216" s="13">
        <v>38</v>
      </c>
    </row>
    <row r="217" spans="1:12" ht="15.75" thickBot="1" x14ac:dyDescent="0.3">
      <c r="A217">
        <v>2010</v>
      </c>
      <c r="B217" s="15" t="s">
        <v>42</v>
      </c>
      <c r="C217" s="11" t="s">
        <v>37</v>
      </c>
      <c r="D217" s="12">
        <v>42</v>
      </c>
      <c r="E217" s="13">
        <v>38</v>
      </c>
      <c r="F217" s="13">
        <v>11</v>
      </c>
      <c r="G217" s="13">
        <v>9</v>
      </c>
      <c r="H217" s="13">
        <v>18</v>
      </c>
      <c r="I217" s="13">
        <v>51</v>
      </c>
      <c r="J217" s="13">
        <v>57</v>
      </c>
      <c r="K217" s="13">
        <v>-6</v>
      </c>
      <c r="L217" s="13">
        <v>37</v>
      </c>
    </row>
    <row r="218" spans="1:12" ht="15.75" thickBot="1" x14ac:dyDescent="0.3">
      <c r="A218">
        <v>2010</v>
      </c>
      <c r="B218" s="15" t="s">
        <v>44</v>
      </c>
      <c r="C218" s="11" t="s">
        <v>58</v>
      </c>
      <c r="D218" s="12">
        <v>42</v>
      </c>
      <c r="E218" s="13">
        <v>38</v>
      </c>
      <c r="F218" s="13">
        <v>9</v>
      </c>
      <c r="G218" s="13">
        <v>15</v>
      </c>
      <c r="H218" s="13">
        <v>14</v>
      </c>
      <c r="I218" s="13">
        <v>42</v>
      </c>
      <c r="J218" s="13">
        <v>48</v>
      </c>
      <c r="K218" s="13">
        <v>-6</v>
      </c>
      <c r="L218" s="13">
        <v>37</v>
      </c>
    </row>
    <row r="219" spans="1:12" ht="15.75" thickBot="1" x14ac:dyDescent="0.3">
      <c r="A219">
        <v>2010</v>
      </c>
      <c r="B219" s="15" t="s">
        <v>46</v>
      </c>
      <c r="C219" s="11" t="s">
        <v>68</v>
      </c>
      <c r="D219" s="12">
        <v>37</v>
      </c>
      <c r="E219" s="13">
        <v>38</v>
      </c>
      <c r="F219" s="13">
        <v>8</v>
      </c>
      <c r="G219" s="13">
        <v>13</v>
      </c>
      <c r="H219" s="13">
        <v>17</v>
      </c>
      <c r="I219" s="13">
        <v>33</v>
      </c>
      <c r="J219" s="13">
        <v>53</v>
      </c>
      <c r="K219" s="13">
        <v>-20</v>
      </c>
      <c r="L219" s="13">
        <v>32</v>
      </c>
    </row>
    <row r="220" spans="1:12" ht="15.75" thickBot="1" x14ac:dyDescent="0.3">
      <c r="A220">
        <v>2010</v>
      </c>
      <c r="B220" s="15" t="s">
        <v>48</v>
      </c>
      <c r="C220" s="11" t="s">
        <v>47</v>
      </c>
      <c r="D220" s="12">
        <v>33</v>
      </c>
      <c r="E220" s="13">
        <v>38</v>
      </c>
      <c r="F220" s="13">
        <v>8</v>
      </c>
      <c r="G220" s="13">
        <v>9</v>
      </c>
      <c r="H220" s="13">
        <v>21</v>
      </c>
      <c r="I220" s="13">
        <v>41</v>
      </c>
      <c r="J220" s="13">
        <v>68</v>
      </c>
      <c r="K220" s="13">
        <v>-27</v>
      </c>
      <c r="L220" s="13">
        <v>29</v>
      </c>
    </row>
    <row r="221" spans="1:12" ht="15.75" thickBot="1" x14ac:dyDescent="0.3">
      <c r="A221" s="17">
        <v>2010</v>
      </c>
      <c r="B221" s="15" t="s">
        <v>50</v>
      </c>
      <c r="C221" s="19" t="s">
        <v>69</v>
      </c>
      <c r="D221" s="20">
        <v>28</v>
      </c>
      <c r="E221" s="21">
        <v>38</v>
      </c>
      <c r="F221" s="21">
        <v>7</v>
      </c>
      <c r="G221" s="21">
        <v>10</v>
      </c>
      <c r="H221" s="21">
        <v>21</v>
      </c>
      <c r="I221" s="21">
        <v>39</v>
      </c>
      <c r="J221" s="21">
        <v>64</v>
      </c>
      <c r="K221" s="21">
        <v>-25</v>
      </c>
      <c r="L221" s="21">
        <v>25</v>
      </c>
    </row>
    <row r="222" spans="1:12" ht="15.75" thickBot="1" x14ac:dyDescent="0.3">
      <c r="A222" s="5">
        <v>2009</v>
      </c>
      <c r="B222" s="6" t="s">
        <v>12</v>
      </c>
      <c r="C222" s="7" t="s">
        <v>13</v>
      </c>
      <c r="D222" s="8">
        <v>67</v>
      </c>
      <c r="E222" s="9">
        <v>38</v>
      </c>
      <c r="F222" s="9">
        <v>19</v>
      </c>
      <c r="G222" s="9">
        <v>10</v>
      </c>
      <c r="H222" s="9">
        <v>9</v>
      </c>
      <c r="I222" s="9">
        <v>58</v>
      </c>
      <c r="J222" s="9">
        <v>44</v>
      </c>
      <c r="K222" s="9">
        <v>14</v>
      </c>
      <c r="L222" s="9">
        <v>59</v>
      </c>
    </row>
    <row r="223" spans="1:12" ht="15.75" thickBot="1" x14ac:dyDescent="0.3">
      <c r="A223">
        <v>2009</v>
      </c>
      <c r="B223" s="10" t="s">
        <v>14</v>
      </c>
      <c r="C223" s="11" t="s">
        <v>56</v>
      </c>
      <c r="D223" s="12">
        <v>65</v>
      </c>
      <c r="E223" s="13">
        <v>38</v>
      </c>
      <c r="F223" s="13">
        <v>19</v>
      </c>
      <c r="G223" s="13">
        <v>8</v>
      </c>
      <c r="H223" s="13">
        <v>11</v>
      </c>
      <c r="I223" s="13">
        <v>65</v>
      </c>
      <c r="J223" s="13">
        <v>44</v>
      </c>
      <c r="K223" s="13">
        <v>21</v>
      </c>
      <c r="L223" s="13">
        <v>57</v>
      </c>
    </row>
    <row r="224" spans="1:12" ht="15.75" thickBot="1" x14ac:dyDescent="0.3">
      <c r="A224">
        <v>2009</v>
      </c>
      <c r="B224" s="10" t="s">
        <v>16</v>
      </c>
      <c r="C224" s="11" t="s">
        <v>19</v>
      </c>
      <c r="D224" s="12">
        <v>65</v>
      </c>
      <c r="E224" s="13">
        <v>38</v>
      </c>
      <c r="F224" s="13">
        <v>18</v>
      </c>
      <c r="G224" s="13">
        <v>11</v>
      </c>
      <c r="H224" s="13">
        <v>9</v>
      </c>
      <c r="I224" s="13">
        <v>57</v>
      </c>
      <c r="J224" s="13">
        <v>42</v>
      </c>
      <c r="K224" s="13">
        <v>15</v>
      </c>
      <c r="L224" s="13">
        <v>57</v>
      </c>
    </row>
    <row r="225" spans="1:12" ht="15.75" thickBot="1" x14ac:dyDescent="0.3">
      <c r="A225">
        <v>2009</v>
      </c>
      <c r="B225" s="16" t="s">
        <v>18</v>
      </c>
      <c r="C225" s="11" t="s">
        <v>52</v>
      </c>
      <c r="D225" s="12">
        <v>62</v>
      </c>
      <c r="E225" s="13">
        <v>38</v>
      </c>
      <c r="F225" s="13">
        <v>18</v>
      </c>
      <c r="G225" s="13">
        <v>8</v>
      </c>
      <c r="H225" s="13">
        <v>12</v>
      </c>
      <c r="I225" s="13">
        <v>58</v>
      </c>
      <c r="J225" s="13">
        <v>53</v>
      </c>
      <c r="K225" s="13">
        <v>5</v>
      </c>
      <c r="L225" s="13">
        <v>54</v>
      </c>
    </row>
    <row r="226" spans="1:12" ht="15.75" thickBot="1" x14ac:dyDescent="0.3">
      <c r="A226">
        <v>2009</v>
      </c>
      <c r="B226" s="14" t="s">
        <v>20</v>
      </c>
      <c r="C226" s="11" t="s">
        <v>25</v>
      </c>
      <c r="D226" s="12">
        <v>62</v>
      </c>
      <c r="E226" s="13">
        <v>38</v>
      </c>
      <c r="F226" s="13">
        <v>17</v>
      </c>
      <c r="G226" s="13">
        <v>11</v>
      </c>
      <c r="H226" s="13">
        <v>10</v>
      </c>
      <c r="I226" s="13">
        <v>58</v>
      </c>
      <c r="J226" s="13">
        <v>45</v>
      </c>
      <c r="K226" s="13">
        <v>13</v>
      </c>
      <c r="L226" s="13">
        <v>54</v>
      </c>
    </row>
    <row r="227" spans="1:12" ht="15.75" thickBot="1" x14ac:dyDescent="0.3">
      <c r="A227">
        <v>2009</v>
      </c>
      <c r="B227" s="14" t="s">
        <v>22</v>
      </c>
      <c r="C227" s="11" t="s">
        <v>55</v>
      </c>
      <c r="D227" s="12">
        <v>57</v>
      </c>
      <c r="E227" s="13">
        <v>38</v>
      </c>
      <c r="F227" s="13">
        <v>15</v>
      </c>
      <c r="G227" s="13">
        <v>12</v>
      </c>
      <c r="H227" s="13">
        <v>11</v>
      </c>
      <c r="I227" s="13">
        <v>61</v>
      </c>
      <c r="J227" s="13">
        <v>52</v>
      </c>
      <c r="K227" s="13">
        <v>9</v>
      </c>
      <c r="L227" s="13">
        <v>50</v>
      </c>
    </row>
    <row r="228" spans="1:12" ht="15.75" thickBot="1" x14ac:dyDescent="0.3">
      <c r="A228">
        <v>2009</v>
      </c>
      <c r="B228" s="14" t="s">
        <v>24</v>
      </c>
      <c r="C228" s="11" t="s">
        <v>17</v>
      </c>
      <c r="D228" s="12">
        <v>56</v>
      </c>
      <c r="E228" s="13">
        <v>38</v>
      </c>
      <c r="F228" s="13">
        <v>16</v>
      </c>
      <c r="G228" s="13">
        <v>8</v>
      </c>
      <c r="H228" s="13">
        <v>14</v>
      </c>
      <c r="I228" s="13">
        <v>55</v>
      </c>
      <c r="J228" s="13">
        <v>56</v>
      </c>
      <c r="K228" s="13">
        <v>-1</v>
      </c>
      <c r="L228" s="13">
        <v>49</v>
      </c>
    </row>
    <row r="229" spans="1:12" ht="15.75" thickBot="1" x14ac:dyDescent="0.3">
      <c r="A229">
        <v>2009</v>
      </c>
      <c r="B229" s="14" t="s">
        <v>26</v>
      </c>
      <c r="C229" s="11" t="s">
        <v>23</v>
      </c>
      <c r="D229" s="12">
        <v>55</v>
      </c>
      <c r="E229" s="13">
        <v>38</v>
      </c>
      <c r="F229" s="13">
        <v>15</v>
      </c>
      <c r="G229" s="13">
        <v>10</v>
      </c>
      <c r="H229" s="13">
        <v>13</v>
      </c>
      <c r="I229" s="13">
        <v>67</v>
      </c>
      <c r="J229" s="13">
        <v>46</v>
      </c>
      <c r="K229" s="13">
        <v>21</v>
      </c>
      <c r="L229" s="13">
        <v>48</v>
      </c>
    </row>
    <row r="230" spans="1:12" ht="15.75" thickBot="1" x14ac:dyDescent="0.3">
      <c r="A230">
        <v>2009</v>
      </c>
      <c r="B230" s="14" t="s">
        <v>28</v>
      </c>
      <c r="C230" s="11" t="s">
        <v>47</v>
      </c>
      <c r="D230" s="12">
        <v>55</v>
      </c>
      <c r="E230" s="13">
        <v>38</v>
      </c>
      <c r="F230" s="13">
        <v>15</v>
      </c>
      <c r="G230" s="13">
        <v>10</v>
      </c>
      <c r="H230" s="13">
        <v>13</v>
      </c>
      <c r="I230" s="13">
        <v>64</v>
      </c>
      <c r="J230" s="13">
        <v>65</v>
      </c>
      <c r="K230" s="13">
        <v>-1</v>
      </c>
      <c r="L230" s="13">
        <v>48</v>
      </c>
    </row>
    <row r="231" spans="1:12" ht="15.75" thickBot="1" x14ac:dyDescent="0.3">
      <c r="A231">
        <v>2009</v>
      </c>
      <c r="B231" s="14" t="s">
        <v>30</v>
      </c>
      <c r="C231" s="11" t="s">
        <v>35</v>
      </c>
      <c r="D231" s="12">
        <v>52</v>
      </c>
      <c r="E231" s="13">
        <v>38</v>
      </c>
      <c r="F231" s="13">
        <v>14</v>
      </c>
      <c r="G231" s="13">
        <v>10</v>
      </c>
      <c r="H231" s="13">
        <v>14</v>
      </c>
      <c r="I231" s="13">
        <v>50</v>
      </c>
      <c r="J231" s="13">
        <v>54</v>
      </c>
      <c r="K231" s="13">
        <v>-4</v>
      </c>
      <c r="L231" s="13">
        <v>46</v>
      </c>
    </row>
    <row r="232" spans="1:12" ht="15.75" thickBot="1" x14ac:dyDescent="0.3">
      <c r="A232">
        <v>2009</v>
      </c>
      <c r="B232" s="14" t="s">
        <v>32</v>
      </c>
      <c r="C232" s="11" t="s">
        <v>69</v>
      </c>
      <c r="D232" s="12">
        <v>49</v>
      </c>
      <c r="E232" s="13">
        <v>38</v>
      </c>
      <c r="F232" s="13">
        <v>12</v>
      </c>
      <c r="G232" s="13">
        <v>13</v>
      </c>
      <c r="H232" s="13">
        <v>13</v>
      </c>
      <c r="I232" s="13">
        <v>59</v>
      </c>
      <c r="J232" s="13">
        <v>52</v>
      </c>
      <c r="K232" s="13">
        <v>7</v>
      </c>
      <c r="L232" s="13">
        <v>43</v>
      </c>
    </row>
    <row r="233" spans="1:12" ht="15.75" thickBot="1" x14ac:dyDescent="0.3">
      <c r="A233">
        <v>2009</v>
      </c>
      <c r="B233" s="14" t="s">
        <v>34</v>
      </c>
      <c r="C233" s="11" t="s">
        <v>27</v>
      </c>
      <c r="D233" s="12">
        <v>49</v>
      </c>
      <c r="E233" s="13">
        <v>38</v>
      </c>
      <c r="F233" s="13">
        <v>12</v>
      </c>
      <c r="G233" s="13">
        <v>13</v>
      </c>
      <c r="H233" s="13">
        <v>13</v>
      </c>
      <c r="I233" s="13">
        <v>58</v>
      </c>
      <c r="J233" s="13">
        <v>58</v>
      </c>
      <c r="K233" s="13">
        <v>0</v>
      </c>
      <c r="L233" s="13">
        <v>43</v>
      </c>
    </row>
    <row r="234" spans="1:12" ht="15.75" thickBot="1" x14ac:dyDescent="0.3">
      <c r="A234">
        <v>2009</v>
      </c>
      <c r="B234" s="15" t="s">
        <v>36</v>
      </c>
      <c r="C234" s="11" t="s">
        <v>58</v>
      </c>
      <c r="D234" s="12">
        <v>48</v>
      </c>
      <c r="E234" s="13">
        <v>38</v>
      </c>
      <c r="F234" s="13">
        <v>13</v>
      </c>
      <c r="G234" s="13">
        <v>9</v>
      </c>
      <c r="H234" s="13">
        <v>16</v>
      </c>
      <c r="I234" s="13">
        <v>51</v>
      </c>
      <c r="J234" s="13">
        <v>57</v>
      </c>
      <c r="K234" s="13">
        <v>-6</v>
      </c>
      <c r="L234" s="13">
        <v>42</v>
      </c>
    </row>
    <row r="235" spans="1:12" ht="15.75" thickBot="1" x14ac:dyDescent="0.3">
      <c r="A235">
        <v>2009</v>
      </c>
      <c r="B235" s="15" t="s">
        <v>38</v>
      </c>
      <c r="C235" s="11" t="s">
        <v>59</v>
      </c>
      <c r="D235" s="12">
        <v>48</v>
      </c>
      <c r="E235" s="13">
        <v>38</v>
      </c>
      <c r="F235" s="13">
        <v>13</v>
      </c>
      <c r="G235" s="13">
        <v>9</v>
      </c>
      <c r="H235" s="13">
        <v>16</v>
      </c>
      <c r="I235" s="13">
        <v>42</v>
      </c>
      <c r="J235" s="13">
        <v>49</v>
      </c>
      <c r="K235" s="13">
        <v>-7</v>
      </c>
      <c r="L235" s="13">
        <v>42</v>
      </c>
    </row>
    <row r="236" spans="1:12" ht="15.75" thickBot="1" x14ac:dyDescent="0.3">
      <c r="A236">
        <v>2009</v>
      </c>
      <c r="B236" s="15" t="s">
        <v>40</v>
      </c>
      <c r="C236" s="11" t="s">
        <v>51</v>
      </c>
      <c r="D236" s="12">
        <v>47</v>
      </c>
      <c r="E236" s="13">
        <v>38</v>
      </c>
      <c r="F236" s="13">
        <v>11</v>
      </c>
      <c r="G236" s="13">
        <v>14</v>
      </c>
      <c r="H236" s="13">
        <v>13</v>
      </c>
      <c r="I236" s="13">
        <v>52</v>
      </c>
      <c r="J236" s="13">
        <v>58</v>
      </c>
      <c r="K236" s="13">
        <v>-6</v>
      </c>
      <c r="L236" s="13">
        <v>41</v>
      </c>
    </row>
    <row r="237" spans="1:12" ht="15.75" thickBot="1" x14ac:dyDescent="0.3">
      <c r="A237">
        <v>2009</v>
      </c>
      <c r="B237" s="15" t="s">
        <v>42</v>
      </c>
      <c r="C237" s="11" t="s">
        <v>21</v>
      </c>
      <c r="D237" s="12">
        <v>46</v>
      </c>
      <c r="E237" s="13">
        <v>38</v>
      </c>
      <c r="F237" s="13">
        <v>11</v>
      </c>
      <c r="G237" s="13">
        <v>13</v>
      </c>
      <c r="H237" s="13">
        <v>14</v>
      </c>
      <c r="I237" s="13">
        <v>49</v>
      </c>
      <c r="J237" s="13">
        <v>56</v>
      </c>
      <c r="K237" s="13">
        <v>-7</v>
      </c>
      <c r="L237" s="13">
        <v>40</v>
      </c>
    </row>
    <row r="238" spans="1:12" ht="15.75" thickBot="1" x14ac:dyDescent="0.3">
      <c r="A238">
        <v>2009</v>
      </c>
      <c r="B238" s="15" t="s">
        <v>44</v>
      </c>
      <c r="C238" s="11" t="s">
        <v>49</v>
      </c>
      <c r="D238" s="12">
        <v>45</v>
      </c>
      <c r="E238" s="13">
        <v>38</v>
      </c>
      <c r="F238" s="13">
        <v>12</v>
      </c>
      <c r="G238" s="13">
        <v>9</v>
      </c>
      <c r="H238" s="13">
        <v>17</v>
      </c>
      <c r="I238" s="13">
        <v>48</v>
      </c>
      <c r="J238" s="13">
        <v>60</v>
      </c>
      <c r="K238" s="13">
        <v>-12</v>
      </c>
      <c r="L238" s="13">
        <v>39</v>
      </c>
    </row>
    <row r="239" spans="1:12" ht="15.75" thickBot="1" x14ac:dyDescent="0.3">
      <c r="A239">
        <v>2009</v>
      </c>
      <c r="B239" s="15" t="s">
        <v>46</v>
      </c>
      <c r="C239" s="11" t="s">
        <v>70</v>
      </c>
      <c r="D239" s="12">
        <v>41</v>
      </c>
      <c r="E239" s="13">
        <v>38</v>
      </c>
      <c r="F239" s="13">
        <v>11</v>
      </c>
      <c r="G239" s="13">
        <v>8</v>
      </c>
      <c r="H239" s="13">
        <v>19</v>
      </c>
      <c r="I239" s="13">
        <v>46</v>
      </c>
      <c r="J239" s="13">
        <v>61</v>
      </c>
      <c r="K239" s="13">
        <v>-15</v>
      </c>
      <c r="L239" s="13">
        <v>36</v>
      </c>
    </row>
    <row r="240" spans="1:12" ht="15.75" thickBot="1" x14ac:dyDescent="0.3">
      <c r="A240">
        <v>2009</v>
      </c>
      <c r="B240" s="15" t="s">
        <v>48</v>
      </c>
      <c r="C240" s="11" t="s">
        <v>67</v>
      </c>
      <c r="D240" s="12">
        <v>38</v>
      </c>
      <c r="E240" s="13">
        <v>38</v>
      </c>
      <c r="F240" s="13">
        <v>10</v>
      </c>
      <c r="G240" s="13">
        <v>8</v>
      </c>
      <c r="H240" s="13">
        <v>20</v>
      </c>
      <c r="I240" s="13">
        <v>48</v>
      </c>
      <c r="J240" s="13">
        <v>71</v>
      </c>
      <c r="K240" s="13">
        <v>-23</v>
      </c>
      <c r="L240" s="13">
        <v>33</v>
      </c>
    </row>
    <row r="241" spans="1:12" x14ac:dyDescent="0.25">
      <c r="A241">
        <v>2009</v>
      </c>
      <c r="B241" s="15" t="s">
        <v>50</v>
      </c>
      <c r="C241" s="11" t="s">
        <v>41</v>
      </c>
      <c r="D241" s="12">
        <v>31</v>
      </c>
      <c r="E241" s="13">
        <v>38</v>
      </c>
      <c r="F241" s="13">
        <v>7</v>
      </c>
      <c r="G241" s="13">
        <v>10</v>
      </c>
      <c r="H241" s="13">
        <v>21</v>
      </c>
      <c r="I241" s="13">
        <v>48</v>
      </c>
      <c r="J241" s="13">
        <v>71</v>
      </c>
      <c r="K241" s="13">
        <v>-23</v>
      </c>
      <c r="L241" s="13">
        <v>27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9A55-396B-424E-95C2-3883548732B8}">
  <sheetPr codeName="Planilha3"/>
  <dimension ref="B1:C42"/>
  <sheetViews>
    <sheetView zoomScale="55" zoomScaleNormal="55" workbookViewId="0">
      <selection activeCell="O2" sqref="O2"/>
    </sheetView>
  </sheetViews>
  <sheetFormatPr defaultRowHeight="16.5" thickTop="1" thickBottom="1" x14ac:dyDescent="0.3"/>
  <cols>
    <col min="2" max="2" width="18.28515625" bestFit="1" customWidth="1"/>
    <col min="3" max="3" width="43.7109375" style="27" customWidth="1"/>
  </cols>
  <sheetData>
    <row r="1" spans="2:2" ht="230.25" customHeight="1" thickTop="1" thickBot="1" x14ac:dyDescent="0.3">
      <c r="B1" s="56" t="s">
        <v>57</v>
      </c>
    </row>
    <row r="2" spans="2:2" ht="230.25" customHeight="1" thickTop="1" thickBot="1" x14ac:dyDescent="0.3">
      <c r="B2" s="56" t="s">
        <v>37</v>
      </c>
    </row>
    <row r="3" spans="2:2" ht="230.25" customHeight="1" thickTop="1" thickBot="1" x14ac:dyDescent="0.3">
      <c r="B3" s="56" t="s">
        <v>17</v>
      </c>
    </row>
    <row r="4" spans="2:2" ht="230.25" customHeight="1" thickTop="1" thickBot="1" x14ac:dyDescent="0.3">
      <c r="B4" s="56" t="s">
        <v>59</v>
      </c>
    </row>
    <row r="5" spans="2:2" ht="230.25" customHeight="1" thickTop="1" thickBot="1" x14ac:dyDescent="0.3">
      <c r="B5" s="56" t="s">
        <v>55</v>
      </c>
    </row>
    <row r="6" spans="2:2" ht="230.25" customHeight="1" thickTop="1" thickBot="1" x14ac:dyDescent="0.3">
      <c r="B6" s="56" t="s">
        <v>39</v>
      </c>
    </row>
    <row r="7" spans="2:2" ht="230.25" customHeight="1" thickTop="1" thickBot="1" x14ac:dyDescent="0.3">
      <c r="B7" s="56" t="s">
        <v>51</v>
      </c>
    </row>
    <row r="8" spans="2:2" ht="230.25" customHeight="1" thickTop="1" thickBot="1" x14ac:dyDescent="0.3">
      <c r="B8" s="56" t="s">
        <v>33</v>
      </c>
    </row>
    <row r="9" spans="2:2" ht="230.25" customHeight="1" thickTop="1" thickBot="1" x14ac:dyDescent="0.3">
      <c r="B9" s="56" t="s">
        <v>54</v>
      </c>
    </row>
    <row r="10" spans="2:2" ht="230.25" customHeight="1" thickTop="1" thickBot="1" x14ac:dyDescent="0.3">
      <c r="B10" s="56" t="s">
        <v>35</v>
      </c>
    </row>
    <row r="11" spans="2:2" ht="230.25" customHeight="1" thickTop="1" thickBot="1" x14ac:dyDescent="0.3">
      <c r="B11" s="56" t="s">
        <v>49</v>
      </c>
    </row>
    <row r="12" spans="2:2" ht="230.25" customHeight="1" thickTop="1" thickBot="1" x14ac:dyDescent="0.3">
      <c r="B12" s="56" t="s">
        <v>65</v>
      </c>
    </row>
    <row r="13" spans="2:2" ht="230.25" customHeight="1" thickTop="1" thickBot="1" x14ac:dyDescent="0.3">
      <c r="B13" s="56" t="s">
        <v>52</v>
      </c>
    </row>
    <row r="14" spans="2:2" ht="230.25" customHeight="1" thickTop="1" thickBot="1" x14ac:dyDescent="0.3">
      <c r="B14" s="56" t="s">
        <v>62</v>
      </c>
    </row>
    <row r="15" spans="2:2" ht="230.25" customHeight="1" thickTop="1" thickBot="1" x14ac:dyDescent="0.3">
      <c r="B15" s="56" t="s">
        <v>13</v>
      </c>
    </row>
    <row r="16" spans="2:2" ht="230.25" customHeight="1" thickTop="1" thickBot="1" x14ac:dyDescent="0.3">
      <c r="B16" s="56" t="s">
        <v>21</v>
      </c>
    </row>
    <row r="17" spans="2:2" ht="230.25" customHeight="1" thickTop="1" thickBot="1" x14ac:dyDescent="0.3">
      <c r="B17" s="56" t="s">
        <v>47</v>
      </c>
    </row>
    <row r="18" spans="2:2" ht="230.25" customHeight="1" thickTop="1" thickBot="1" x14ac:dyDescent="0.3">
      <c r="B18" s="56" t="s">
        <v>23</v>
      </c>
    </row>
    <row r="19" spans="2:2" ht="230.25" customHeight="1" thickTop="1" thickBot="1" x14ac:dyDescent="0.3">
      <c r="B19" s="56" t="s">
        <v>69</v>
      </c>
    </row>
    <row r="20" spans="2:2" ht="230.25" customHeight="1" thickTop="1" thickBot="1" x14ac:dyDescent="0.3">
      <c r="B20" s="56" t="s">
        <v>68</v>
      </c>
    </row>
    <row r="21" spans="2:2" ht="230.25" customHeight="1" thickTop="1" thickBot="1" x14ac:dyDescent="0.3">
      <c r="B21" s="56" t="s">
        <v>56</v>
      </c>
    </row>
    <row r="22" spans="2:2" ht="230.25" customHeight="1" thickTop="1" thickBot="1" x14ac:dyDescent="0.3">
      <c r="B22" s="56" t="s">
        <v>64</v>
      </c>
    </row>
    <row r="23" spans="2:2" ht="230.25" customHeight="1" thickTop="1" thickBot="1" x14ac:dyDescent="0.3">
      <c r="B23" s="56" t="s">
        <v>67</v>
      </c>
    </row>
    <row r="24" spans="2:2" ht="230.25" customHeight="1" thickTop="1" thickBot="1" x14ac:dyDescent="0.3">
      <c r="B24" s="56" t="s">
        <v>25</v>
      </c>
    </row>
    <row r="25" spans="2:2" ht="230.25" customHeight="1" thickTop="1" thickBot="1" x14ac:dyDescent="0.3">
      <c r="B25" s="56" t="s">
        <v>60</v>
      </c>
    </row>
    <row r="26" spans="2:2" ht="230.25" customHeight="1" thickTop="1" thickBot="1" x14ac:dyDescent="0.3">
      <c r="B26" s="56" t="s">
        <v>61</v>
      </c>
    </row>
    <row r="27" spans="2:2" ht="230.25" customHeight="1" thickTop="1" thickBot="1" x14ac:dyDescent="0.3">
      <c r="B27" s="56" t="s">
        <v>66</v>
      </c>
    </row>
    <row r="28" spans="2:2" ht="230.25" customHeight="1" thickTop="1" thickBot="1" x14ac:dyDescent="0.3">
      <c r="B28" s="56" t="s">
        <v>63</v>
      </c>
    </row>
    <row r="29" spans="2:2" ht="230.25" customHeight="1" thickTop="1" thickBot="1" x14ac:dyDescent="0.3">
      <c r="B29" s="56" t="s">
        <v>70</v>
      </c>
    </row>
    <row r="30" spans="2:2" ht="230.25" customHeight="1" thickTop="1" thickBot="1" x14ac:dyDescent="0.3">
      <c r="B30" s="56" t="s">
        <v>27</v>
      </c>
    </row>
    <row r="31" spans="2:2" ht="230.25" customHeight="1" thickTop="1" thickBot="1" x14ac:dyDescent="0.3">
      <c r="B31" s="56" t="s">
        <v>19</v>
      </c>
    </row>
    <row r="32" spans="2:2" ht="230.25" customHeight="1" thickTop="1" thickBot="1" x14ac:dyDescent="0.3">
      <c r="B32" s="56" t="s">
        <v>41</v>
      </c>
    </row>
    <row r="33" spans="2:2" ht="230.25" customHeight="1" thickTop="1" thickBot="1" x14ac:dyDescent="0.3">
      <c r="B33" s="56" t="s">
        <v>45</v>
      </c>
    </row>
    <row r="34" spans="2:2" ht="230.25" customHeight="1" thickTop="1" thickBot="1" x14ac:dyDescent="0.3">
      <c r="B34" s="56" t="s">
        <v>58</v>
      </c>
    </row>
    <row r="35" spans="2:2" ht="230.25" customHeight="1" thickTop="1" thickBot="1" x14ac:dyDescent="0.3"/>
    <row r="36" spans="2:2" ht="230.25" customHeight="1" thickTop="1" thickBot="1" x14ac:dyDescent="0.3"/>
    <row r="37" spans="2:2" ht="230.25" customHeight="1" thickTop="1" thickBot="1" x14ac:dyDescent="0.3"/>
    <row r="38" spans="2:2" ht="230.25" customHeight="1" thickTop="1" thickBot="1" x14ac:dyDescent="0.3"/>
    <row r="39" spans="2:2" ht="230.25" customHeight="1" thickTop="1" thickBot="1" x14ac:dyDescent="0.3"/>
    <row r="40" spans="2:2" ht="230.25" customHeight="1" thickTop="1" thickBot="1" x14ac:dyDescent="0.3"/>
    <row r="41" spans="2:2" ht="230.25" customHeight="1" thickTop="1" thickBot="1" x14ac:dyDescent="0.3"/>
    <row r="42" spans="2:2" ht="230.25" customHeight="1" thickTop="1" thickBot="1" x14ac:dyDescent="0.3"/>
  </sheetData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E4BA-05B2-4A6B-A0DB-0A88F4B5BFC0}">
  <sheetPr codeName="Planilha1"/>
  <dimension ref="A1:L241"/>
  <sheetViews>
    <sheetView zoomScaleNormal="100" workbookViewId="0">
      <selection activeCell="M11" sqref="M11"/>
    </sheetView>
  </sheetViews>
  <sheetFormatPr defaultRowHeight="15" x14ac:dyDescent="0.25"/>
  <cols>
    <col min="2" max="2" width="9.85546875" customWidth="1"/>
    <col min="3" max="3" width="14.5703125" bestFit="1" customWidth="1"/>
  </cols>
  <sheetData>
    <row r="1" spans="1:12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</row>
    <row r="2" spans="1:12" x14ac:dyDescent="0.25">
      <c r="A2">
        <v>2020</v>
      </c>
      <c r="B2" t="s">
        <v>12</v>
      </c>
      <c r="C2" t="s">
        <v>13</v>
      </c>
      <c r="D2">
        <v>71</v>
      </c>
      <c r="E2">
        <v>38</v>
      </c>
      <c r="F2">
        <v>21</v>
      </c>
      <c r="G2">
        <v>8</v>
      </c>
      <c r="H2">
        <v>9</v>
      </c>
      <c r="I2">
        <v>68</v>
      </c>
      <c r="J2">
        <v>48</v>
      </c>
      <c r="K2">
        <v>20</v>
      </c>
      <c r="L2">
        <v>62.28</v>
      </c>
    </row>
    <row r="3" spans="1:12" x14ac:dyDescent="0.25">
      <c r="A3">
        <v>2020</v>
      </c>
      <c r="B3" t="s">
        <v>14</v>
      </c>
      <c r="C3" t="s">
        <v>15</v>
      </c>
      <c r="D3">
        <v>70</v>
      </c>
      <c r="E3">
        <v>38</v>
      </c>
      <c r="F3">
        <v>20</v>
      </c>
      <c r="G3">
        <v>10</v>
      </c>
      <c r="H3">
        <v>8</v>
      </c>
      <c r="I3">
        <v>61</v>
      </c>
      <c r="J3">
        <v>35</v>
      </c>
      <c r="K3">
        <v>26</v>
      </c>
      <c r="L3">
        <v>61.4</v>
      </c>
    </row>
    <row r="4" spans="1:12" x14ac:dyDescent="0.25">
      <c r="A4">
        <v>2020</v>
      </c>
      <c r="B4" t="s">
        <v>16</v>
      </c>
      <c r="C4" t="s">
        <v>17</v>
      </c>
      <c r="D4">
        <v>68</v>
      </c>
      <c r="E4">
        <v>38</v>
      </c>
      <c r="F4">
        <v>20</v>
      </c>
      <c r="G4">
        <v>8</v>
      </c>
      <c r="H4">
        <v>10</v>
      </c>
      <c r="I4">
        <v>64</v>
      </c>
      <c r="J4">
        <v>45</v>
      </c>
      <c r="K4">
        <v>19</v>
      </c>
      <c r="L4">
        <v>59.650000000000006</v>
      </c>
    </row>
    <row r="5" spans="1:12" x14ac:dyDescent="0.25">
      <c r="A5">
        <v>2020</v>
      </c>
      <c r="B5" t="s">
        <v>18</v>
      </c>
      <c r="C5" t="s">
        <v>19</v>
      </c>
      <c r="D5">
        <v>66</v>
      </c>
      <c r="E5">
        <v>38</v>
      </c>
      <c r="F5">
        <v>18</v>
      </c>
      <c r="G5">
        <v>12</v>
      </c>
      <c r="H5">
        <v>8</v>
      </c>
      <c r="I5">
        <v>59</v>
      </c>
      <c r="J5">
        <v>41</v>
      </c>
      <c r="K5">
        <v>18</v>
      </c>
      <c r="L5">
        <v>57.89</v>
      </c>
    </row>
    <row r="6" spans="1:12" x14ac:dyDescent="0.25">
      <c r="A6">
        <v>2020</v>
      </c>
      <c r="B6" t="s">
        <v>20</v>
      </c>
      <c r="C6" t="s">
        <v>21</v>
      </c>
      <c r="D6">
        <v>64</v>
      </c>
      <c r="E6">
        <v>38</v>
      </c>
      <c r="F6">
        <v>18</v>
      </c>
      <c r="G6">
        <v>10</v>
      </c>
      <c r="H6">
        <v>10</v>
      </c>
      <c r="I6">
        <v>55</v>
      </c>
      <c r="J6">
        <v>42</v>
      </c>
      <c r="K6">
        <v>13</v>
      </c>
      <c r="L6">
        <v>56.14</v>
      </c>
    </row>
    <row r="7" spans="1:12" x14ac:dyDescent="0.25">
      <c r="A7">
        <v>2020</v>
      </c>
      <c r="B7" t="s">
        <v>22</v>
      </c>
      <c r="C7" t="s">
        <v>23</v>
      </c>
      <c r="D7">
        <v>59</v>
      </c>
      <c r="E7">
        <v>38</v>
      </c>
      <c r="F7">
        <v>14</v>
      </c>
      <c r="G7">
        <v>17</v>
      </c>
      <c r="H7">
        <v>7</v>
      </c>
      <c r="I7">
        <v>53</v>
      </c>
      <c r="J7">
        <v>40</v>
      </c>
      <c r="K7">
        <v>13</v>
      </c>
      <c r="L7">
        <v>51.749999999999993</v>
      </c>
    </row>
    <row r="8" spans="1:12" x14ac:dyDescent="0.25">
      <c r="A8">
        <v>2020</v>
      </c>
      <c r="B8" t="s">
        <v>24</v>
      </c>
      <c r="C8" t="s">
        <v>25</v>
      </c>
      <c r="D8">
        <v>58</v>
      </c>
      <c r="E8">
        <v>38</v>
      </c>
      <c r="F8">
        <v>15</v>
      </c>
      <c r="G8">
        <v>13</v>
      </c>
      <c r="H8">
        <v>10</v>
      </c>
      <c r="I8">
        <v>51</v>
      </c>
      <c r="J8">
        <v>37</v>
      </c>
      <c r="K8">
        <v>14</v>
      </c>
      <c r="L8">
        <v>50.88</v>
      </c>
    </row>
    <row r="9" spans="1:12" x14ac:dyDescent="0.25">
      <c r="A9">
        <v>2020</v>
      </c>
      <c r="B9" t="s">
        <v>26</v>
      </c>
      <c r="C9" t="s">
        <v>27</v>
      </c>
      <c r="D9">
        <v>54</v>
      </c>
      <c r="E9">
        <v>38</v>
      </c>
      <c r="F9">
        <v>14</v>
      </c>
      <c r="G9">
        <v>12</v>
      </c>
      <c r="H9">
        <v>12</v>
      </c>
      <c r="I9">
        <v>52</v>
      </c>
      <c r="J9">
        <v>51</v>
      </c>
      <c r="K9">
        <v>1</v>
      </c>
      <c r="L9">
        <v>47.370000000000005</v>
      </c>
    </row>
    <row r="10" spans="1:12" x14ac:dyDescent="0.25">
      <c r="A10">
        <v>2020</v>
      </c>
      <c r="B10" t="s">
        <v>28</v>
      </c>
      <c r="C10" t="s">
        <v>59</v>
      </c>
      <c r="D10">
        <v>53</v>
      </c>
      <c r="E10">
        <v>38</v>
      </c>
      <c r="F10">
        <v>15</v>
      </c>
      <c r="G10">
        <v>8</v>
      </c>
      <c r="H10">
        <v>15</v>
      </c>
      <c r="I10">
        <v>38</v>
      </c>
      <c r="J10">
        <v>36</v>
      </c>
      <c r="K10">
        <v>2</v>
      </c>
      <c r="L10">
        <v>46.489999999999995</v>
      </c>
    </row>
    <row r="11" spans="1:12" x14ac:dyDescent="0.25">
      <c r="A11">
        <v>2020</v>
      </c>
      <c r="B11" t="s">
        <v>30</v>
      </c>
      <c r="C11" t="s">
        <v>31</v>
      </c>
      <c r="D11">
        <v>53</v>
      </c>
      <c r="E11">
        <v>38</v>
      </c>
      <c r="F11">
        <v>13</v>
      </c>
      <c r="G11">
        <v>14</v>
      </c>
      <c r="H11">
        <v>11</v>
      </c>
      <c r="I11">
        <v>50</v>
      </c>
      <c r="J11">
        <v>40</v>
      </c>
      <c r="K11">
        <v>10</v>
      </c>
      <c r="L11">
        <v>46.489999999999995</v>
      </c>
    </row>
    <row r="12" spans="1:12" x14ac:dyDescent="0.25">
      <c r="A12">
        <v>2020</v>
      </c>
      <c r="B12" t="s">
        <v>32</v>
      </c>
      <c r="C12" t="s">
        <v>33</v>
      </c>
      <c r="D12">
        <v>52</v>
      </c>
      <c r="E12">
        <v>38</v>
      </c>
      <c r="F12">
        <v>14</v>
      </c>
      <c r="G12">
        <v>10</v>
      </c>
      <c r="H12">
        <v>14</v>
      </c>
      <c r="I12">
        <v>54</v>
      </c>
      <c r="J12">
        <v>51</v>
      </c>
      <c r="K12">
        <v>3</v>
      </c>
      <c r="L12">
        <v>45.61</v>
      </c>
    </row>
    <row r="13" spans="1:12" x14ac:dyDescent="0.25">
      <c r="A13">
        <v>2020</v>
      </c>
      <c r="B13" t="s">
        <v>34</v>
      </c>
      <c r="C13" t="s">
        <v>35</v>
      </c>
      <c r="D13">
        <v>51</v>
      </c>
      <c r="E13">
        <v>38</v>
      </c>
      <c r="F13">
        <v>13</v>
      </c>
      <c r="G13">
        <v>12</v>
      </c>
      <c r="H13">
        <v>13</v>
      </c>
      <c r="I13">
        <v>45</v>
      </c>
      <c r="J13">
        <v>45</v>
      </c>
      <c r="K13">
        <v>0</v>
      </c>
      <c r="L13">
        <v>44.74</v>
      </c>
    </row>
    <row r="14" spans="1:12" x14ac:dyDescent="0.25">
      <c r="A14">
        <v>2020</v>
      </c>
      <c r="B14" t="s">
        <v>36</v>
      </c>
      <c r="C14" t="s">
        <v>37</v>
      </c>
      <c r="D14">
        <v>50</v>
      </c>
      <c r="E14">
        <v>38</v>
      </c>
      <c r="F14">
        <v>12</v>
      </c>
      <c r="G14">
        <v>14</v>
      </c>
      <c r="H14">
        <v>12</v>
      </c>
      <c r="I14">
        <v>40</v>
      </c>
      <c r="J14">
        <v>45</v>
      </c>
      <c r="K14">
        <v>-5</v>
      </c>
      <c r="L14">
        <v>43.86</v>
      </c>
    </row>
    <row r="15" spans="1:12" x14ac:dyDescent="0.25">
      <c r="A15">
        <v>2020</v>
      </c>
      <c r="B15" t="s">
        <v>38</v>
      </c>
      <c r="C15" t="s">
        <v>39</v>
      </c>
      <c r="D15">
        <v>44</v>
      </c>
      <c r="E15">
        <v>38</v>
      </c>
      <c r="F15">
        <v>12</v>
      </c>
      <c r="G15">
        <v>8</v>
      </c>
      <c r="H15">
        <v>18</v>
      </c>
      <c r="I15">
        <v>48</v>
      </c>
      <c r="J15">
        <v>59</v>
      </c>
      <c r="K15">
        <v>-11</v>
      </c>
      <c r="L15">
        <v>38.6</v>
      </c>
    </row>
    <row r="16" spans="1:12" x14ac:dyDescent="0.25">
      <c r="A16">
        <v>2020</v>
      </c>
      <c r="B16" t="s">
        <v>40</v>
      </c>
      <c r="C16" t="s">
        <v>41</v>
      </c>
      <c r="D16">
        <v>42</v>
      </c>
      <c r="E16">
        <v>38</v>
      </c>
      <c r="F16">
        <v>12</v>
      </c>
      <c r="G16">
        <v>6</v>
      </c>
      <c r="H16">
        <v>20</v>
      </c>
      <c r="I16">
        <v>31</v>
      </c>
      <c r="J16">
        <v>50</v>
      </c>
      <c r="K16">
        <v>-19</v>
      </c>
      <c r="L16">
        <v>36.840000000000003</v>
      </c>
    </row>
    <row r="17" spans="1:12" x14ac:dyDescent="0.25">
      <c r="A17">
        <v>2020</v>
      </c>
      <c r="B17" t="s">
        <v>42</v>
      </c>
      <c r="C17" t="s">
        <v>43</v>
      </c>
      <c r="D17">
        <v>41</v>
      </c>
      <c r="E17">
        <v>38</v>
      </c>
      <c r="F17">
        <v>10</v>
      </c>
      <c r="G17">
        <v>11</v>
      </c>
      <c r="H17">
        <v>17</v>
      </c>
      <c r="I17">
        <v>34</v>
      </c>
      <c r="J17">
        <v>44</v>
      </c>
      <c r="K17">
        <v>-10</v>
      </c>
      <c r="L17">
        <v>35.96</v>
      </c>
    </row>
    <row r="18" spans="1:12" x14ac:dyDescent="0.25">
      <c r="A18">
        <v>2020</v>
      </c>
      <c r="B18" t="s">
        <v>44</v>
      </c>
      <c r="C18" t="s">
        <v>45</v>
      </c>
      <c r="D18">
        <v>41</v>
      </c>
      <c r="E18">
        <v>38</v>
      </c>
      <c r="F18">
        <v>10</v>
      </c>
      <c r="G18">
        <v>11</v>
      </c>
      <c r="H18">
        <v>17</v>
      </c>
      <c r="I18">
        <v>37</v>
      </c>
      <c r="J18">
        <v>56</v>
      </c>
      <c r="K18">
        <v>-19</v>
      </c>
      <c r="L18">
        <v>35.96</v>
      </c>
    </row>
    <row r="19" spans="1:12" x14ac:dyDescent="0.25">
      <c r="A19">
        <v>2020</v>
      </c>
      <c r="B19" t="s">
        <v>46</v>
      </c>
      <c r="C19" t="s">
        <v>47</v>
      </c>
      <c r="D19">
        <v>37</v>
      </c>
      <c r="E19">
        <v>38</v>
      </c>
      <c r="F19">
        <v>9</v>
      </c>
      <c r="G19">
        <v>10</v>
      </c>
      <c r="H19">
        <v>19</v>
      </c>
      <c r="I19">
        <v>41</v>
      </c>
      <c r="J19">
        <v>62</v>
      </c>
      <c r="K19">
        <v>-21</v>
      </c>
      <c r="L19">
        <v>32.46</v>
      </c>
    </row>
    <row r="20" spans="1:12" x14ac:dyDescent="0.25">
      <c r="A20">
        <v>2020</v>
      </c>
      <c r="B20" t="s">
        <v>48</v>
      </c>
      <c r="C20" t="s">
        <v>49</v>
      </c>
      <c r="D20">
        <v>31</v>
      </c>
      <c r="E20">
        <v>38</v>
      </c>
      <c r="F20">
        <v>7</v>
      </c>
      <c r="G20">
        <v>10</v>
      </c>
      <c r="H20">
        <v>21</v>
      </c>
      <c r="I20">
        <v>30</v>
      </c>
      <c r="J20">
        <v>54</v>
      </c>
      <c r="K20">
        <v>-24</v>
      </c>
      <c r="L20">
        <v>27.189999999999998</v>
      </c>
    </row>
    <row r="21" spans="1:12" x14ac:dyDescent="0.25">
      <c r="A21">
        <v>2020</v>
      </c>
      <c r="B21" t="s">
        <v>50</v>
      </c>
      <c r="C21" t="s">
        <v>51</v>
      </c>
      <c r="D21">
        <v>27</v>
      </c>
      <c r="E21">
        <v>38</v>
      </c>
      <c r="F21">
        <v>5</v>
      </c>
      <c r="G21">
        <v>12</v>
      </c>
      <c r="H21">
        <v>21</v>
      </c>
      <c r="I21">
        <v>32</v>
      </c>
      <c r="J21">
        <v>62</v>
      </c>
      <c r="K21">
        <v>-30</v>
      </c>
      <c r="L21">
        <v>23.68</v>
      </c>
    </row>
    <row r="22" spans="1:12" x14ac:dyDescent="0.25">
      <c r="A22">
        <v>2019</v>
      </c>
      <c r="B22" t="s">
        <v>12</v>
      </c>
      <c r="C22" t="s">
        <v>13</v>
      </c>
      <c r="D22">
        <v>90</v>
      </c>
      <c r="E22">
        <v>38</v>
      </c>
      <c r="F22">
        <v>28</v>
      </c>
      <c r="G22">
        <v>6</v>
      </c>
      <c r="H22">
        <v>4</v>
      </c>
      <c r="I22">
        <v>86</v>
      </c>
      <c r="J22">
        <v>37</v>
      </c>
      <c r="K22">
        <v>49</v>
      </c>
      <c r="L22">
        <v>0.78949999999999998</v>
      </c>
    </row>
    <row r="23" spans="1:12" x14ac:dyDescent="0.25">
      <c r="A23">
        <v>2019</v>
      </c>
      <c r="B23" t="s">
        <v>14</v>
      </c>
      <c r="C23" t="s">
        <v>27</v>
      </c>
      <c r="D23">
        <v>74</v>
      </c>
      <c r="E23">
        <v>38</v>
      </c>
      <c r="F23">
        <v>22</v>
      </c>
      <c r="G23">
        <v>8</v>
      </c>
      <c r="H23">
        <v>8</v>
      </c>
      <c r="I23">
        <v>60</v>
      </c>
      <c r="J23">
        <v>33</v>
      </c>
      <c r="K23">
        <v>27</v>
      </c>
      <c r="L23">
        <v>0.64910000000000001</v>
      </c>
    </row>
    <row r="24" spans="1:12" x14ac:dyDescent="0.25">
      <c r="A24">
        <v>2019</v>
      </c>
      <c r="B24" t="s">
        <v>16</v>
      </c>
      <c r="C24" t="s">
        <v>25</v>
      </c>
      <c r="D24">
        <v>74</v>
      </c>
      <c r="E24">
        <v>38</v>
      </c>
      <c r="F24">
        <v>21</v>
      </c>
      <c r="G24">
        <v>11</v>
      </c>
      <c r="H24">
        <v>6</v>
      </c>
      <c r="I24">
        <v>61</v>
      </c>
      <c r="J24">
        <v>32</v>
      </c>
      <c r="K24">
        <v>29</v>
      </c>
      <c r="L24">
        <v>0.64910000000000001</v>
      </c>
    </row>
    <row r="25" spans="1:12" x14ac:dyDescent="0.25">
      <c r="A25">
        <v>2019</v>
      </c>
      <c r="B25" t="s">
        <v>18</v>
      </c>
      <c r="C25" t="s">
        <v>23</v>
      </c>
      <c r="D25">
        <v>65</v>
      </c>
      <c r="E25">
        <v>38</v>
      </c>
      <c r="F25">
        <v>19</v>
      </c>
      <c r="G25">
        <v>8</v>
      </c>
      <c r="H25">
        <v>11</v>
      </c>
      <c r="I25">
        <v>64</v>
      </c>
      <c r="J25">
        <v>39</v>
      </c>
      <c r="K25">
        <v>25</v>
      </c>
      <c r="L25">
        <v>0.57020000000000004</v>
      </c>
    </row>
    <row r="26" spans="1:12" x14ac:dyDescent="0.25">
      <c r="A26">
        <v>2019</v>
      </c>
      <c r="B26" t="s">
        <v>20</v>
      </c>
      <c r="C26" t="s">
        <v>59</v>
      </c>
      <c r="D26">
        <v>64</v>
      </c>
      <c r="E26">
        <v>38</v>
      </c>
      <c r="F26">
        <v>18</v>
      </c>
      <c r="G26">
        <v>10</v>
      </c>
      <c r="H26">
        <v>10</v>
      </c>
      <c r="I26">
        <v>49</v>
      </c>
      <c r="J26">
        <v>32</v>
      </c>
      <c r="K26">
        <v>17</v>
      </c>
      <c r="L26">
        <v>0.56140000000000001</v>
      </c>
    </row>
    <row r="27" spans="1:12" x14ac:dyDescent="0.25">
      <c r="A27">
        <v>2019</v>
      </c>
      <c r="B27" t="s">
        <v>22</v>
      </c>
      <c r="C27" t="s">
        <v>19</v>
      </c>
      <c r="D27">
        <v>63</v>
      </c>
      <c r="E27">
        <v>38</v>
      </c>
      <c r="F27">
        <v>17</v>
      </c>
      <c r="G27">
        <v>12</v>
      </c>
      <c r="H27">
        <v>9</v>
      </c>
      <c r="I27">
        <v>39</v>
      </c>
      <c r="J27">
        <v>30</v>
      </c>
      <c r="K27">
        <v>9</v>
      </c>
      <c r="L27">
        <v>0.55259999999999998</v>
      </c>
    </row>
    <row r="28" spans="1:12" x14ac:dyDescent="0.25">
      <c r="A28">
        <v>2019</v>
      </c>
      <c r="B28" t="s">
        <v>24</v>
      </c>
      <c r="C28" t="s">
        <v>15</v>
      </c>
      <c r="D28">
        <v>57</v>
      </c>
      <c r="E28">
        <v>38</v>
      </c>
      <c r="F28">
        <v>16</v>
      </c>
      <c r="G28">
        <v>9</v>
      </c>
      <c r="H28">
        <v>13</v>
      </c>
      <c r="I28">
        <v>44</v>
      </c>
      <c r="J28">
        <v>39</v>
      </c>
      <c r="K28">
        <v>5</v>
      </c>
      <c r="L28">
        <v>0.5</v>
      </c>
    </row>
    <row r="29" spans="1:12" x14ac:dyDescent="0.25">
      <c r="A29">
        <v>2019</v>
      </c>
      <c r="B29" t="s">
        <v>26</v>
      </c>
      <c r="C29" t="s">
        <v>35</v>
      </c>
      <c r="D29">
        <v>56</v>
      </c>
      <c r="E29">
        <v>38</v>
      </c>
      <c r="F29">
        <v>14</v>
      </c>
      <c r="G29">
        <v>14</v>
      </c>
      <c r="H29">
        <v>10</v>
      </c>
      <c r="I29">
        <v>42</v>
      </c>
      <c r="J29">
        <v>34</v>
      </c>
      <c r="K29">
        <v>8</v>
      </c>
      <c r="L29">
        <v>0.49120000000000003</v>
      </c>
    </row>
    <row r="30" spans="1:12" x14ac:dyDescent="0.25">
      <c r="A30">
        <v>2019</v>
      </c>
      <c r="B30" t="s">
        <v>28</v>
      </c>
      <c r="C30" t="s">
        <v>43</v>
      </c>
      <c r="D30">
        <v>53</v>
      </c>
      <c r="E30">
        <v>38</v>
      </c>
      <c r="F30">
        <v>15</v>
      </c>
      <c r="G30">
        <v>8</v>
      </c>
      <c r="H30">
        <v>15</v>
      </c>
      <c r="I30">
        <v>50</v>
      </c>
      <c r="J30">
        <v>47</v>
      </c>
      <c r="K30">
        <v>3</v>
      </c>
      <c r="L30">
        <v>0.46489999999999998</v>
      </c>
    </row>
    <row r="31" spans="1:12" x14ac:dyDescent="0.25">
      <c r="A31">
        <v>2019</v>
      </c>
      <c r="B31" t="s">
        <v>30</v>
      </c>
      <c r="C31" t="s">
        <v>47</v>
      </c>
      <c r="D31">
        <v>52</v>
      </c>
      <c r="E31">
        <v>38</v>
      </c>
      <c r="F31">
        <v>15</v>
      </c>
      <c r="G31">
        <v>7</v>
      </c>
      <c r="H31">
        <v>16</v>
      </c>
      <c r="I31">
        <v>46</v>
      </c>
      <c r="J31">
        <v>64</v>
      </c>
      <c r="K31">
        <v>-18</v>
      </c>
      <c r="L31">
        <v>0.45610000000000001</v>
      </c>
    </row>
    <row r="32" spans="1:12" x14ac:dyDescent="0.25">
      <c r="A32">
        <v>2019</v>
      </c>
      <c r="B32" t="s">
        <v>32</v>
      </c>
      <c r="C32" t="s">
        <v>39</v>
      </c>
      <c r="D32">
        <v>49</v>
      </c>
      <c r="E32">
        <v>38</v>
      </c>
      <c r="F32">
        <v>12</v>
      </c>
      <c r="G32">
        <v>13</v>
      </c>
      <c r="H32">
        <v>13</v>
      </c>
      <c r="I32">
        <v>44</v>
      </c>
      <c r="J32">
        <v>43</v>
      </c>
      <c r="K32">
        <v>1</v>
      </c>
      <c r="L32">
        <v>0.42980000000000002</v>
      </c>
    </row>
    <row r="33" spans="1:12" x14ac:dyDescent="0.25">
      <c r="A33">
        <v>2019</v>
      </c>
      <c r="B33" t="s">
        <v>34</v>
      </c>
      <c r="C33" t="s">
        <v>45</v>
      </c>
      <c r="D33">
        <v>49</v>
      </c>
      <c r="E33">
        <v>38</v>
      </c>
      <c r="F33">
        <v>12</v>
      </c>
      <c r="G33">
        <v>13</v>
      </c>
      <c r="H33">
        <v>13</v>
      </c>
      <c r="I33">
        <v>39</v>
      </c>
      <c r="J33">
        <v>45</v>
      </c>
      <c r="K33">
        <v>-6</v>
      </c>
      <c r="L33">
        <v>0.42980000000000002</v>
      </c>
    </row>
    <row r="34" spans="1:12" x14ac:dyDescent="0.25">
      <c r="A34">
        <v>2019</v>
      </c>
      <c r="B34" t="s">
        <v>36</v>
      </c>
      <c r="C34" t="s">
        <v>17</v>
      </c>
      <c r="D34">
        <v>48</v>
      </c>
      <c r="E34">
        <v>38</v>
      </c>
      <c r="F34">
        <v>13</v>
      </c>
      <c r="G34">
        <v>9</v>
      </c>
      <c r="H34">
        <v>16</v>
      </c>
      <c r="I34">
        <v>45</v>
      </c>
      <c r="J34">
        <v>49</v>
      </c>
      <c r="K34">
        <v>-4</v>
      </c>
      <c r="L34">
        <v>0.42109999999999997</v>
      </c>
    </row>
    <row r="35" spans="1:12" x14ac:dyDescent="0.25">
      <c r="A35">
        <v>2019</v>
      </c>
      <c r="B35" t="s">
        <v>38</v>
      </c>
      <c r="C35" t="s">
        <v>21</v>
      </c>
      <c r="D35">
        <v>46</v>
      </c>
      <c r="E35">
        <v>38</v>
      </c>
      <c r="F35">
        <v>12</v>
      </c>
      <c r="G35">
        <v>10</v>
      </c>
      <c r="H35">
        <v>16</v>
      </c>
      <c r="I35">
        <v>38</v>
      </c>
      <c r="J35">
        <v>46</v>
      </c>
      <c r="K35">
        <v>-8</v>
      </c>
      <c r="L35">
        <v>0.40350000000000003</v>
      </c>
    </row>
    <row r="36" spans="1:12" x14ac:dyDescent="0.25">
      <c r="A36">
        <v>2019</v>
      </c>
      <c r="B36" t="s">
        <v>40</v>
      </c>
      <c r="C36" t="s">
        <v>51</v>
      </c>
      <c r="D36">
        <v>43</v>
      </c>
      <c r="E36">
        <v>38</v>
      </c>
      <c r="F36">
        <v>13</v>
      </c>
      <c r="G36">
        <v>4</v>
      </c>
      <c r="H36">
        <v>21</v>
      </c>
      <c r="I36">
        <v>31</v>
      </c>
      <c r="J36">
        <v>45</v>
      </c>
      <c r="K36">
        <v>-14</v>
      </c>
      <c r="L36">
        <v>0.37719999999999998</v>
      </c>
    </row>
    <row r="37" spans="1:12" x14ac:dyDescent="0.25">
      <c r="A37">
        <v>2019</v>
      </c>
      <c r="B37" t="s">
        <v>42</v>
      </c>
      <c r="C37" t="s">
        <v>33</v>
      </c>
      <c r="D37">
        <v>39</v>
      </c>
      <c r="E37">
        <v>38</v>
      </c>
      <c r="F37">
        <v>10</v>
      </c>
      <c r="G37">
        <v>9</v>
      </c>
      <c r="H37">
        <v>19</v>
      </c>
      <c r="I37">
        <v>36</v>
      </c>
      <c r="J37">
        <v>41</v>
      </c>
      <c r="K37">
        <v>-5</v>
      </c>
      <c r="L37">
        <v>0.34210000000000002</v>
      </c>
    </row>
    <row r="38" spans="1:12" x14ac:dyDescent="0.25">
      <c r="A38">
        <v>2019</v>
      </c>
      <c r="B38" t="s">
        <v>44</v>
      </c>
      <c r="C38" t="s">
        <v>52</v>
      </c>
      <c r="D38">
        <v>36</v>
      </c>
      <c r="E38">
        <v>38</v>
      </c>
      <c r="F38">
        <v>7</v>
      </c>
      <c r="G38">
        <v>15</v>
      </c>
      <c r="H38">
        <v>16</v>
      </c>
      <c r="I38">
        <v>27</v>
      </c>
      <c r="J38">
        <v>46</v>
      </c>
      <c r="K38">
        <v>-19</v>
      </c>
      <c r="L38">
        <v>0.31580000000000003</v>
      </c>
    </row>
    <row r="39" spans="1:12" x14ac:dyDescent="0.25">
      <c r="A39">
        <v>2019</v>
      </c>
      <c r="B39" t="s">
        <v>46</v>
      </c>
      <c r="C39" t="s">
        <v>53</v>
      </c>
      <c r="D39">
        <v>32</v>
      </c>
      <c r="E39">
        <v>38</v>
      </c>
      <c r="F39">
        <v>8</v>
      </c>
      <c r="G39">
        <v>8</v>
      </c>
      <c r="H39">
        <v>22</v>
      </c>
      <c r="I39">
        <v>24</v>
      </c>
      <c r="J39">
        <v>58</v>
      </c>
      <c r="K39">
        <v>-34</v>
      </c>
      <c r="L39">
        <v>0.28070000000000001</v>
      </c>
    </row>
    <row r="40" spans="1:12" x14ac:dyDescent="0.25">
      <c r="A40">
        <v>2019</v>
      </c>
      <c r="B40" t="s">
        <v>48</v>
      </c>
      <c r="C40" t="s">
        <v>54</v>
      </c>
      <c r="D40">
        <v>32</v>
      </c>
      <c r="E40">
        <v>38</v>
      </c>
      <c r="F40">
        <v>7</v>
      </c>
      <c r="G40">
        <v>11</v>
      </c>
      <c r="H40">
        <v>20</v>
      </c>
      <c r="I40">
        <v>31</v>
      </c>
      <c r="J40">
        <v>52</v>
      </c>
      <c r="K40">
        <v>-21</v>
      </c>
      <c r="L40">
        <v>0.28070000000000001</v>
      </c>
    </row>
    <row r="41" spans="1:12" x14ac:dyDescent="0.25">
      <c r="A41">
        <v>2019</v>
      </c>
      <c r="B41" t="s">
        <v>50</v>
      </c>
      <c r="C41" t="s">
        <v>55</v>
      </c>
      <c r="D41">
        <v>20</v>
      </c>
      <c r="E41">
        <v>38</v>
      </c>
      <c r="F41">
        <v>3</v>
      </c>
      <c r="G41">
        <v>11</v>
      </c>
      <c r="H41">
        <v>24</v>
      </c>
      <c r="I41">
        <v>18</v>
      </c>
      <c r="J41">
        <v>62</v>
      </c>
      <c r="K41">
        <v>-44</v>
      </c>
      <c r="L41">
        <v>0.1754</v>
      </c>
    </row>
    <row r="42" spans="1:12" x14ac:dyDescent="0.25">
      <c r="A42">
        <v>2018</v>
      </c>
      <c r="B42" t="s">
        <v>12</v>
      </c>
      <c r="C42" t="s">
        <v>19</v>
      </c>
      <c r="D42">
        <v>45</v>
      </c>
      <c r="E42">
        <v>21</v>
      </c>
      <c r="F42">
        <v>13</v>
      </c>
      <c r="G42">
        <v>6</v>
      </c>
      <c r="H42">
        <v>2</v>
      </c>
      <c r="I42">
        <v>34</v>
      </c>
      <c r="J42">
        <v>17</v>
      </c>
      <c r="K42">
        <v>17</v>
      </c>
      <c r="L42">
        <v>71</v>
      </c>
    </row>
    <row r="43" spans="1:12" x14ac:dyDescent="0.25">
      <c r="A43">
        <v>2018</v>
      </c>
      <c r="B43" t="s">
        <v>14</v>
      </c>
      <c r="C43" t="s">
        <v>56</v>
      </c>
      <c r="D43">
        <v>42</v>
      </c>
      <c r="E43">
        <v>21</v>
      </c>
      <c r="F43">
        <v>12</v>
      </c>
      <c r="G43">
        <v>6</v>
      </c>
      <c r="H43">
        <v>3</v>
      </c>
      <c r="I43">
        <v>28</v>
      </c>
      <c r="J43">
        <v>12</v>
      </c>
      <c r="K43">
        <v>16</v>
      </c>
      <c r="L43">
        <v>67</v>
      </c>
    </row>
    <row r="44" spans="1:12" x14ac:dyDescent="0.25">
      <c r="A44">
        <v>2018</v>
      </c>
      <c r="B44" t="s">
        <v>16</v>
      </c>
      <c r="C44" t="s">
        <v>13</v>
      </c>
      <c r="D44">
        <v>41</v>
      </c>
      <c r="E44">
        <v>21</v>
      </c>
      <c r="F44">
        <v>12</v>
      </c>
      <c r="G44">
        <v>5</v>
      </c>
      <c r="H44">
        <v>4</v>
      </c>
      <c r="I44">
        <v>32</v>
      </c>
      <c r="J44">
        <v>17</v>
      </c>
      <c r="K44">
        <v>15</v>
      </c>
      <c r="L44">
        <v>65</v>
      </c>
    </row>
    <row r="45" spans="1:12" x14ac:dyDescent="0.25">
      <c r="A45">
        <v>2018</v>
      </c>
      <c r="B45" t="s">
        <v>18</v>
      </c>
      <c r="C45" t="s">
        <v>25</v>
      </c>
      <c r="D45">
        <v>37</v>
      </c>
      <c r="E45">
        <v>21</v>
      </c>
      <c r="F45">
        <v>10</v>
      </c>
      <c r="G45">
        <v>7</v>
      </c>
      <c r="H45">
        <v>4</v>
      </c>
      <c r="I45">
        <v>31</v>
      </c>
      <c r="J45">
        <v>15</v>
      </c>
      <c r="K45">
        <v>16</v>
      </c>
      <c r="L45">
        <v>59</v>
      </c>
    </row>
    <row r="46" spans="1:12" x14ac:dyDescent="0.25">
      <c r="A46">
        <v>2018</v>
      </c>
      <c r="B46" t="s">
        <v>20</v>
      </c>
      <c r="C46" t="s">
        <v>23</v>
      </c>
      <c r="D46">
        <v>37</v>
      </c>
      <c r="E46">
        <v>21</v>
      </c>
      <c r="F46">
        <v>10</v>
      </c>
      <c r="G46">
        <v>7</v>
      </c>
      <c r="H46">
        <v>4</v>
      </c>
      <c r="I46">
        <v>25</v>
      </c>
      <c r="J46">
        <v>11</v>
      </c>
      <c r="K46">
        <v>14</v>
      </c>
      <c r="L46">
        <v>59</v>
      </c>
    </row>
    <row r="47" spans="1:12" x14ac:dyDescent="0.25">
      <c r="A47">
        <v>2018</v>
      </c>
      <c r="B47" t="s">
        <v>22</v>
      </c>
      <c r="C47" t="s">
        <v>17</v>
      </c>
      <c r="D47">
        <v>34</v>
      </c>
      <c r="E47">
        <v>21</v>
      </c>
      <c r="F47">
        <v>10</v>
      </c>
      <c r="G47">
        <v>4</v>
      </c>
      <c r="H47">
        <v>7</v>
      </c>
      <c r="I47">
        <v>36</v>
      </c>
      <c r="J47">
        <v>27</v>
      </c>
      <c r="K47">
        <v>9</v>
      </c>
      <c r="L47">
        <v>54</v>
      </c>
    </row>
    <row r="48" spans="1:12" x14ac:dyDescent="0.25">
      <c r="A48">
        <v>2018</v>
      </c>
      <c r="B48" t="s">
        <v>24</v>
      </c>
      <c r="C48" t="s">
        <v>52</v>
      </c>
      <c r="D48">
        <v>30</v>
      </c>
      <c r="E48">
        <v>21</v>
      </c>
      <c r="F48">
        <v>8</v>
      </c>
      <c r="G48">
        <v>6</v>
      </c>
      <c r="H48">
        <v>7</v>
      </c>
      <c r="I48">
        <v>18</v>
      </c>
      <c r="J48">
        <v>18</v>
      </c>
      <c r="K48">
        <v>0</v>
      </c>
      <c r="L48">
        <v>48</v>
      </c>
    </row>
    <row r="49" spans="1:12" x14ac:dyDescent="0.25">
      <c r="A49">
        <v>2018</v>
      </c>
      <c r="B49" t="s">
        <v>26</v>
      </c>
      <c r="C49" t="s">
        <v>35</v>
      </c>
      <c r="D49">
        <v>29</v>
      </c>
      <c r="E49">
        <v>21</v>
      </c>
      <c r="F49">
        <v>8</v>
      </c>
      <c r="G49">
        <v>5</v>
      </c>
      <c r="H49">
        <v>8</v>
      </c>
      <c r="I49">
        <v>23</v>
      </c>
      <c r="J49">
        <v>17</v>
      </c>
      <c r="K49">
        <v>6</v>
      </c>
      <c r="L49">
        <v>46</v>
      </c>
    </row>
    <row r="50" spans="1:12" x14ac:dyDescent="0.25">
      <c r="A50">
        <v>2018</v>
      </c>
      <c r="B50" t="s">
        <v>28</v>
      </c>
      <c r="C50" t="s">
        <v>57</v>
      </c>
      <c r="D50">
        <v>26</v>
      </c>
      <c r="E50">
        <v>21</v>
      </c>
      <c r="F50">
        <v>7</v>
      </c>
      <c r="G50">
        <v>5</v>
      </c>
      <c r="H50">
        <v>9</v>
      </c>
      <c r="I50">
        <v>22</v>
      </c>
      <c r="J50">
        <v>26</v>
      </c>
      <c r="K50">
        <v>-4</v>
      </c>
      <c r="L50">
        <v>41</v>
      </c>
    </row>
    <row r="51" spans="1:12" x14ac:dyDescent="0.25">
      <c r="A51">
        <v>2018</v>
      </c>
      <c r="B51" t="s">
        <v>30</v>
      </c>
      <c r="C51" t="s">
        <v>21</v>
      </c>
      <c r="D51">
        <v>26</v>
      </c>
      <c r="E51">
        <v>21</v>
      </c>
      <c r="F51">
        <v>7</v>
      </c>
      <c r="G51">
        <v>5</v>
      </c>
      <c r="H51">
        <v>9</v>
      </c>
      <c r="I51">
        <v>21</v>
      </c>
      <c r="J51">
        <v>26</v>
      </c>
      <c r="K51">
        <v>-5</v>
      </c>
      <c r="L51">
        <v>41</v>
      </c>
    </row>
    <row r="52" spans="1:12" x14ac:dyDescent="0.25">
      <c r="A52">
        <v>2018</v>
      </c>
      <c r="B52" t="s">
        <v>32</v>
      </c>
      <c r="C52" t="s">
        <v>51</v>
      </c>
      <c r="D52">
        <v>25</v>
      </c>
      <c r="E52">
        <v>21</v>
      </c>
      <c r="F52">
        <v>6</v>
      </c>
      <c r="G52">
        <v>7</v>
      </c>
      <c r="H52">
        <v>8</v>
      </c>
      <c r="I52">
        <v>20</v>
      </c>
      <c r="J52">
        <v>27</v>
      </c>
      <c r="K52">
        <v>-7</v>
      </c>
      <c r="L52">
        <v>40</v>
      </c>
    </row>
    <row r="53" spans="1:12" x14ac:dyDescent="0.25">
      <c r="A53">
        <v>2018</v>
      </c>
      <c r="B53" t="s">
        <v>34</v>
      </c>
      <c r="C53" t="s">
        <v>27</v>
      </c>
      <c r="D53">
        <v>24</v>
      </c>
      <c r="E53">
        <v>20</v>
      </c>
      <c r="F53">
        <v>6</v>
      </c>
      <c r="G53">
        <v>6</v>
      </c>
      <c r="H53">
        <v>8</v>
      </c>
      <c r="I53">
        <v>23</v>
      </c>
      <c r="J53">
        <v>23</v>
      </c>
      <c r="K53">
        <v>0</v>
      </c>
      <c r="L53">
        <v>40</v>
      </c>
    </row>
    <row r="54" spans="1:12" x14ac:dyDescent="0.25">
      <c r="A54">
        <v>2018</v>
      </c>
      <c r="B54" t="s">
        <v>36</v>
      </c>
      <c r="C54" t="s">
        <v>45</v>
      </c>
      <c r="D54">
        <v>24</v>
      </c>
      <c r="E54">
        <v>19</v>
      </c>
      <c r="F54">
        <v>6</v>
      </c>
      <c r="G54">
        <v>6</v>
      </c>
      <c r="H54">
        <v>7</v>
      </c>
      <c r="I54">
        <v>25</v>
      </c>
      <c r="J54">
        <v>28</v>
      </c>
      <c r="K54">
        <v>-3</v>
      </c>
      <c r="L54">
        <v>42</v>
      </c>
    </row>
    <row r="55" spans="1:12" x14ac:dyDescent="0.25">
      <c r="A55">
        <v>2018</v>
      </c>
      <c r="B55" t="s">
        <v>38</v>
      </c>
      <c r="C55" t="s">
        <v>58</v>
      </c>
      <c r="D55">
        <v>22</v>
      </c>
      <c r="E55">
        <v>21</v>
      </c>
      <c r="F55">
        <v>6</v>
      </c>
      <c r="G55">
        <v>4</v>
      </c>
      <c r="H55">
        <v>11</v>
      </c>
      <c r="I55">
        <v>21</v>
      </c>
      <c r="J55">
        <v>40</v>
      </c>
      <c r="K55">
        <v>-19</v>
      </c>
      <c r="L55">
        <v>35</v>
      </c>
    </row>
    <row r="56" spans="1:12" x14ac:dyDescent="0.25">
      <c r="A56">
        <v>2018</v>
      </c>
      <c r="B56" t="s">
        <v>40</v>
      </c>
      <c r="C56" t="s">
        <v>39</v>
      </c>
      <c r="D56">
        <v>22</v>
      </c>
      <c r="E56">
        <v>20</v>
      </c>
      <c r="F56">
        <v>5</v>
      </c>
      <c r="G56">
        <v>7</v>
      </c>
      <c r="H56">
        <v>8</v>
      </c>
      <c r="I56">
        <v>20</v>
      </c>
      <c r="J56">
        <v>26</v>
      </c>
      <c r="K56">
        <v>-6</v>
      </c>
      <c r="L56">
        <v>37</v>
      </c>
    </row>
    <row r="57" spans="1:12" x14ac:dyDescent="0.25">
      <c r="A57">
        <v>2018</v>
      </c>
      <c r="B57" t="s">
        <v>42</v>
      </c>
      <c r="C57" t="s">
        <v>59</v>
      </c>
      <c r="D57">
        <v>21</v>
      </c>
      <c r="E57">
        <v>19</v>
      </c>
      <c r="F57">
        <v>5</v>
      </c>
      <c r="G57">
        <v>6</v>
      </c>
      <c r="H57">
        <v>8</v>
      </c>
      <c r="I57">
        <v>22</v>
      </c>
      <c r="J57">
        <v>20</v>
      </c>
      <c r="K57">
        <v>2</v>
      </c>
      <c r="L57">
        <v>37</v>
      </c>
    </row>
    <row r="58" spans="1:12" x14ac:dyDescent="0.25">
      <c r="A58">
        <v>2018</v>
      </c>
      <c r="B58" t="s">
        <v>44</v>
      </c>
      <c r="C58" t="s">
        <v>54</v>
      </c>
      <c r="D58">
        <v>21</v>
      </c>
      <c r="E58">
        <v>20</v>
      </c>
      <c r="F58">
        <v>4</v>
      </c>
      <c r="G58">
        <v>9</v>
      </c>
      <c r="H58">
        <v>7</v>
      </c>
      <c r="I58">
        <v>20</v>
      </c>
      <c r="J58">
        <v>29</v>
      </c>
      <c r="K58">
        <v>-9</v>
      </c>
      <c r="L58">
        <v>35</v>
      </c>
    </row>
    <row r="59" spans="1:12" x14ac:dyDescent="0.25">
      <c r="A59">
        <v>2018</v>
      </c>
      <c r="B59" t="s">
        <v>46</v>
      </c>
      <c r="C59" t="s">
        <v>41</v>
      </c>
      <c r="D59">
        <v>20</v>
      </c>
      <c r="E59">
        <v>21</v>
      </c>
      <c r="F59">
        <v>5</v>
      </c>
      <c r="G59">
        <v>5</v>
      </c>
      <c r="H59">
        <v>11</v>
      </c>
      <c r="I59">
        <v>19</v>
      </c>
      <c r="J59">
        <v>34</v>
      </c>
      <c r="K59">
        <v>-15</v>
      </c>
      <c r="L59">
        <v>32</v>
      </c>
    </row>
    <row r="60" spans="1:12" x14ac:dyDescent="0.25">
      <c r="A60">
        <v>2018</v>
      </c>
      <c r="B60" t="s">
        <v>48</v>
      </c>
      <c r="C60" t="s">
        <v>33</v>
      </c>
      <c r="D60">
        <v>17</v>
      </c>
      <c r="E60">
        <v>20</v>
      </c>
      <c r="F60">
        <v>3</v>
      </c>
      <c r="G60">
        <v>8</v>
      </c>
      <c r="H60">
        <v>9</v>
      </c>
      <c r="I60">
        <v>12</v>
      </c>
      <c r="J60">
        <v>22</v>
      </c>
      <c r="K60">
        <v>-10</v>
      </c>
      <c r="L60">
        <v>28</v>
      </c>
    </row>
    <row r="61" spans="1:12" x14ac:dyDescent="0.25">
      <c r="A61">
        <v>2018</v>
      </c>
      <c r="B61" t="s">
        <v>50</v>
      </c>
      <c r="C61" t="s">
        <v>60</v>
      </c>
      <c r="D61">
        <v>15</v>
      </c>
      <c r="E61">
        <v>21</v>
      </c>
      <c r="F61">
        <v>3</v>
      </c>
      <c r="G61">
        <v>6</v>
      </c>
      <c r="H61">
        <v>12</v>
      </c>
      <c r="I61">
        <v>10</v>
      </c>
      <c r="J61">
        <v>27</v>
      </c>
      <c r="K61">
        <v>-17</v>
      </c>
      <c r="L61">
        <v>24</v>
      </c>
    </row>
    <row r="62" spans="1:12" x14ac:dyDescent="0.25">
      <c r="A62">
        <v>2017</v>
      </c>
      <c r="B62" t="s">
        <v>12</v>
      </c>
      <c r="C62" t="s">
        <v>35</v>
      </c>
      <c r="D62">
        <v>72</v>
      </c>
      <c r="E62">
        <v>38</v>
      </c>
      <c r="F62">
        <v>21</v>
      </c>
      <c r="G62">
        <v>9</v>
      </c>
      <c r="H62">
        <v>8</v>
      </c>
      <c r="I62">
        <v>50</v>
      </c>
      <c r="J62">
        <v>30</v>
      </c>
      <c r="K62">
        <v>20</v>
      </c>
      <c r="L62">
        <v>63</v>
      </c>
    </row>
    <row r="63" spans="1:12" x14ac:dyDescent="0.25">
      <c r="A63">
        <v>2017</v>
      </c>
      <c r="B63" t="s">
        <v>14</v>
      </c>
      <c r="C63" t="s">
        <v>25</v>
      </c>
      <c r="D63">
        <v>63</v>
      </c>
      <c r="E63">
        <v>38</v>
      </c>
      <c r="F63">
        <v>19</v>
      </c>
      <c r="G63">
        <v>6</v>
      </c>
      <c r="H63">
        <v>13</v>
      </c>
      <c r="I63">
        <v>61</v>
      </c>
      <c r="J63">
        <v>45</v>
      </c>
      <c r="K63">
        <v>16</v>
      </c>
      <c r="L63">
        <v>55</v>
      </c>
    </row>
    <row r="64" spans="1:12" x14ac:dyDescent="0.25">
      <c r="A64">
        <v>2017</v>
      </c>
      <c r="B64" t="s">
        <v>16</v>
      </c>
      <c r="C64" t="s">
        <v>27</v>
      </c>
      <c r="D64">
        <v>63</v>
      </c>
      <c r="E64">
        <v>38</v>
      </c>
      <c r="F64">
        <v>17</v>
      </c>
      <c r="G64">
        <v>12</v>
      </c>
      <c r="H64">
        <v>9</v>
      </c>
      <c r="I64">
        <v>42</v>
      </c>
      <c r="J64">
        <v>32</v>
      </c>
      <c r="K64">
        <v>10</v>
      </c>
      <c r="L64">
        <v>55</v>
      </c>
    </row>
    <row r="65" spans="1:12" x14ac:dyDescent="0.25">
      <c r="A65">
        <v>2017</v>
      </c>
      <c r="B65" t="s">
        <v>18</v>
      </c>
      <c r="C65" t="s">
        <v>23</v>
      </c>
      <c r="D65">
        <v>62</v>
      </c>
      <c r="E65">
        <v>38</v>
      </c>
      <c r="F65">
        <v>18</v>
      </c>
      <c r="G65">
        <v>8</v>
      </c>
      <c r="H65">
        <v>12</v>
      </c>
      <c r="I65">
        <v>55</v>
      </c>
      <c r="J65">
        <v>36</v>
      </c>
      <c r="K65">
        <v>19</v>
      </c>
      <c r="L65">
        <v>54</v>
      </c>
    </row>
    <row r="66" spans="1:12" x14ac:dyDescent="0.25">
      <c r="A66">
        <v>2017</v>
      </c>
      <c r="B66" t="s">
        <v>20</v>
      </c>
      <c r="C66" t="s">
        <v>52</v>
      </c>
      <c r="D66">
        <v>57</v>
      </c>
      <c r="E66">
        <v>38</v>
      </c>
      <c r="F66">
        <v>15</v>
      </c>
      <c r="G66">
        <v>12</v>
      </c>
      <c r="H66">
        <v>11</v>
      </c>
      <c r="I66">
        <v>47</v>
      </c>
      <c r="J66">
        <v>39</v>
      </c>
      <c r="K66">
        <v>8</v>
      </c>
      <c r="L66">
        <v>50</v>
      </c>
    </row>
    <row r="67" spans="1:12" x14ac:dyDescent="0.25">
      <c r="A67">
        <v>2017</v>
      </c>
      <c r="B67" t="s">
        <v>22</v>
      </c>
      <c r="C67" t="s">
        <v>13</v>
      </c>
      <c r="D67">
        <v>56</v>
      </c>
      <c r="E67">
        <v>38</v>
      </c>
      <c r="F67">
        <v>15</v>
      </c>
      <c r="G67">
        <v>11</v>
      </c>
      <c r="H67">
        <v>12</v>
      </c>
      <c r="I67">
        <v>49</v>
      </c>
      <c r="J67">
        <v>38</v>
      </c>
      <c r="K67">
        <v>11</v>
      </c>
      <c r="L67">
        <v>49</v>
      </c>
    </row>
    <row r="68" spans="1:12" x14ac:dyDescent="0.25">
      <c r="A68">
        <v>2017</v>
      </c>
      <c r="B68" t="s">
        <v>24</v>
      </c>
      <c r="C68" t="s">
        <v>45</v>
      </c>
      <c r="D68">
        <v>56</v>
      </c>
      <c r="E68">
        <v>38</v>
      </c>
      <c r="F68">
        <v>15</v>
      </c>
      <c r="G68">
        <v>11</v>
      </c>
      <c r="H68">
        <v>12</v>
      </c>
      <c r="I68">
        <v>40</v>
      </c>
      <c r="J68">
        <v>47</v>
      </c>
      <c r="K68">
        <v>-7</v>
      </c>
      <c r="L68">
        <v>49</v>
      </c>
    </row>
    <row r="69" spans="1:12" x14ac:dyDescent="0.25">
      <c r="A69">
        <v>2017</v>
      </c>
      <c r="B69" t="s">
        <v>26</v>
      </c>
      <c r="C69" t="s">
        <v>54</v>
      </c>
      <c r="D69">
        <v>54</v>
      </c>
      <c r="E69">
        <v>38</v>
      </c>
      <c r="F69">
        <v>15</v>
      </c>
      <c r="G69">
        <v>9</v>
      </c>
      <c r="H69">
        <v>14</v>
      </c>
      <c r="I69">
        <v>47</v>
      </c>
      <c r="J69">
        <v>49</v>
      </c>
      <c r="K69">
        <v>-2</v>
      </c>
      <c r="L69">
        <v>47</v>
      </c>
    </row>
    <row r="70" spans="1:12" x14ac:dyDescent="0.25">
      <c r="A70">
        <v>2017</v>
      </c>
      <c r="B70" t="s">
        <v>28</v>
      </c>
      <c r="C70" t="s">
        <v>17</v>
      </c>
      <c r="D70">
        <v>54</v>
      </c>
      <c r="E70">
        <v>38</v>
      </c>
      <c r="F70">
        <v>14</v>
      </c>
      <c r="G70">
        <v>12</v>
      </c>
      <c r="H70">
        <v>12</v>
      </c>
      <c r="I70">
        <v>52</v>
      </c>
      <c r="J70">
        <v>49</v>
      </c>
      <c r="K70">
        <v>3</v>
      </c>
      <c r="L70">
        <v>47</v>
      </c>
    </row>
    <row r="71" spans="1:12" x14ac:dyDescent="0.25">
      <c r="A71">
        <v>2017</v>
      </c>
      <c r="B71" t="s">
        <v>30</v>
      </c>
      <c r="C71" t="s">
        <v>51</v>
      </c>
      <c r="D71">
        <v>53</v>
      </c>
      <c r="E71">
        <v>38</v>
      </c>
      <c r="F71">
        <v>14</v>
      </c>
      <c r="G71">
        <v>11</v>
      </c>
      <c r="H71">
        <v>13</v>
      </c>
      <c r="I71">
        <v>45</v>
      </c>
      <c r="J71">
        <v>42</v>
      </c>
      <c r="K71">
        <v>3</v>
      </c>
      <c r="L71">
        <v>46</v>
      </c>
    </row>
    <row r="72" spans="1:12" x14ac:dyDescent="0.25">
      <c r="A72">
        <v>2017</v>
      </c>
      <c r="B72" t="s">
        <v>32</v>
      </c>
      <c r="C72" t="s">
        <v>59</v>
      </c>
      <c r="D72">
        <v>51</v>
      </c>
      <c r="E72">
        <v>38</v>
      </c>
      <c r="F72">
        <v>14</v>
      </c>
      <c r="G72">
        <v>9</v>
      </c>
      <c r="H72">
        <v>15</v>
      </c>
      <c r="I72">
        <v>45</v>
      </c>
      <c r="J72">
        <v>43</v>
      </c>
      <c r="K72">
        <v>2</v>
      </c>
      <c r="L72">
        <v>45</v>
      </c>
    </row>
    <row r="73" spans="1:12" x14ac:dyDescent="0.25">
      <c r="A73">
        <v>2017</v>
      </c>
      <c r="B73" t="s">
        <v>34</v>
      </c>
      <c r="C73" t="s">
        <v>39</v>
      </c>
      <c r="D73">
        <v>50</v>
      </c>
      <c r="E73">
        <v>38</v>
      </c>
      <c r="F73">
        <v>13</v>
      </c>
      <c r="G73">
        <v>11</v>
      </c>
      <c r="H73">
        <v>14</v>
      </c>
      <c r="I73">
        <v>50</v>
      </c>
      <c r="J73">
        <v>48</v>
      </c>
      <c r="K73">
        <v>2</v>
      </c>
      <c r="L73">
        <v>44</v>
      </c>
    </row>
    <row r="74" spans="1:12" x14ac:dyDescent="0.25">
      <c r="A74">
        <v>2017</v>
      </c>
      <c r="B74" t="s">
        <v>36</v>
      </c>
      <c r="C74" t="s">
        <v>19</v>
      </c>
      <c r="D74">
        <v>50</v>
      </c>
      <c r="E74">
        <v>38</v>
      </c>
      <c r="F74">
        <v>13</v>
      </c>
      <c r="G74">
        <v>11</v>
      </c>
      <c r="H74">
        <v>14</v>
      </c>
      <c r="I74">
        <v>48</v>
      </c>
      <c r="J74">
        <v>49</v>
      </c>
      <c r="K74">
        <v>-1</v>
      </c>
      <c r="L74">
        <v>44</v>
      </c>
    </row>
    <row r="75" spans="1:12" x14ac:dyDescent="0.25">
      <c r="A75">
        <v>2017</v>
      </c>
      <c r="B75" t="s">
        <v>38</v>
      </c>
      <c r="C75" t="s">
        <v>21</v>
      </c>
      <c r="D75">
        <v>47</v>
      </c>
      <c r="E75">
        <v>38</v>
      </c>
      <c r="F75">
        <v>11</v>
      </c>
      <c r="G75">
        <v>14</v>
      </c>
      <c r="H75">
        <v>13</v>
      </c>
      <c r="I75">
        <v>50</v>
      </c>
      <c r="J75">
        <v>53</v>
      </c>
      <c r="K75">
        <v>-3</v>
      </c>
      <c r="L75">
        <v>41</v>
      </c>
    </row>
    <row r="76" spans="1:12" x14ac:dyDescent="0.25">
      <c r="A76">
        <v>2017</v>
      </c>
      <c r="B76" t="s">
        <v>40</v>
      </c>
      <c r="C76" t="s">
        <v>41</v>
      </c>
      <c r="D76">
        <v>45</v>
      </c>
      <c r="E76">
        <v>38</v>
      </c>
      <c r="F76">
        <v>12</v>
      </c>
      <c r="G76">
        <v>9</v>
      </c>
      <c r="H76">
        <v>17</v>
      </c>
      <c r="I76">
        <v>46</v>
      </c>
      <c r="J76">
        <v>58</v>
      </c>
      <c r="K76">
        <v>-12</v>
      </c>
      <c r="L76">
        <v>39</v>
      </c>
    </row>
    <row r="77" spans="1:12" x14ac:dyDescent="0.25">
      <c r="A77">
        <v>2017</v>
      </c>
      <c r="B77" t="s">
        <v>42</v>
      </c>
      <c r="C77" t="s">
        <v>58</v>
      </c>
      <c r="D77">
        <v>43</v>
      </c>
      <c r="E77">
        <v>38</v>
      </c>
      <c r="F77">
        <v>11</v>
      </c>
      <c r="G77">
        <v>10</v>
      </c>
      <c r="H77">
        <v>17</v>
      </c>
      <c r="I77">
        <v>50</v>
      </c>
      <c r="J77">
        <v>58</v>
      </c>
      <c r="K77">
        <v>-8</v>
      </c>
      <c r="L77">
        <v>38</v>
      </c>
    </row>
    <row r="78" spans="1:12" x14ac:dyDescent="0.25">
      <c r="A78">
        <v>2017</v>
      </c>
      <c r="B78" t="s">
        <v>44</v>
      </c>
      <c r="C78" t="s">
        <v>49</v>
      </c>
      <c r="D78">
        <v>43</v>
      </c>
      <c r="E78">
        <v>38</v>
      </c>
      <c r="F78">
        <v>11</v>
      </c>
      <c r="G78">
        <v>10</v>
      </c>
      <c r="H78">
        <v>17</v>
      </c>
      <c r="I78">
        <v>42</v>
      </c>
      <c r="J78">
        <v>51</v>
      </c>
      <c r="K78">
        <v>-9</v>
      </c>
      <c r="L78">
        <v>38</v>
      </c>
    </row>
    <row r="79" spans="1:12" x14ac:dyDescent="0.25">
      <c r="A79">
        <v>2017</v>
      </c>
      <c r="B79" t="s">
        <v>46</v>
      </c>
      <c r="C79" t="s">
        <v>55</v>
      </c>
      <c r="D79">
        <v>43</v>
      </c>
      <c r="E79">
        <v>38</v>
      </c>
      <c r="F79">
        <v>10</v>
      </c>
      <c r="G79">
        <v>13</v>
      </c>
      <c r="H79">
        <v>15</v>
      </c>
      <c r="I79">
        <v>29</v>
      </c>
      <c r="J79">
        <v>48</v>
      </c>
      <c r="K79">
        <v>-19</v>
      </c>
      <c r="L79">
        <v>38</v>
      </c>
    </row>
    <row r="80" spans="1:12" x14ac:dyDescent="0.25">
      <c r="A80">
        <v>2017</v>
      </c>
      <c r="B80" t="s">
        <v>48</v>
      </c>
      <c r="C80" t="s">
        <v>61</v>
      </c>
      <c r="D80">
        <v>39</v>
      </c>
      <c r="E80">
        <v>38</v>
      </c>
      <c r="F80">
        <v>10</v>
      </c>
      <c r="G80">
        <v>9</v>
      </c>
      <c r="H80">
        <v>19</v>
      </c>
      <c r="I80">
        <v>37</v>
      </c>
      <c r="J80">
        <v>52</v>
      </c>
      <c r="K80">
        <v>-15</v>
      </c>
      <c r="L80">
        <v>34</v>
      </c>
    </row>
    <row r="81" spans="1:12" x14ac:dyDescent="0.25">
      <c r="A81">
        <v>2017</v>
      </c>
      <c r="B81" t="s">
        <v>50</v>
      </c>
      <c r="C81" t="s">
        <v>37</v>
      </c>
      <c r="D81">
        <v>36</v>
      </c>
      <c r="E81">
        <v>38</v>
      </c>
      <c r="F81">
        <v>9</v>
      </c>
      <c r="G81">
        <v>9</v>
      </c>
      <c r="H81">
        <v>20</v>
      </c>
      <c r="I81">
        <v>38</v>
      </c>
      <c r="J81">
        <v>56</v>
      </c>
      <c r="K81">
        <v>-18</v>
      </c>
      <c r="L81">
        <v>32</v>
      </c>
    </row>
    <row r="82" spans="1:12" x14ac:dyDescent="0.25">
      <c r="A82">
        <v>2016</v>
      </c>
      <c r="B82" t="s">
        <v>12</v>
      </c>
      <c r="C82" t="s">
        <v>25</v>
      </c>
      <c r="D82">
        <v>80</v>
      </c>
      <c r="E82">
        <v>38</v>
      </c>
      <c r="F82">
        <v>24</v>
      </c>
      <c r="G82">
        <v>8</v>
      </c>
      <c r="H82">
        <v>6</v>
      </c>
      <c r="I82">
        <v>62</v>
      </c>
      <c r="J82">
        <v>32</v>
      </c>
      <c r="K82">
        <v>30</v>
      </c>
      <c r="L82">
        <v>70</v>
      </c>
    </row>
    <row r="83" spans="1:12" x14ac:dyDescent="0.25">
      <c r="A83">
        <v>2016</v>
      </c>
      <c r="B83" t="s">
        <v>14</v>
      </c>
      <c r="C83" t="s">
        <v>27</v>
      </c>
      <c r="D83">
        <v>71</v>
      </c>
      <c r="E83">
        <v>38</v>
      </c>
      <c r="F83">
        <v>22</v>
      </c>
      <c r="G83">
        <v>5</v>
      </c>
      <c r="H83">
        <v>11</v>
      </c>
      <c r="I83">
        <v>59</v>
      </c>
      <c r="J83">
        <v>35</v>
      </c>
      <c r="K83">
        <v>24</v>
      </c>
      <c r="L83">
        <v>62</v>
      </c>
    </row>
    <row r="84" spans="1:12" x14ac:dyDescent="0.25">
      <c r="A84">
        <v>2016</v>
      </c>
      <c r="B84" t="s">
        <v>16</v>
      </c>
      <c r="C84" t="s">
        <v>13</v>
      </c>
      <c r="D84">
        <v>71</v>
      </c>
      <c r="E84">
        <v>38</v>
      </c>
      <c r="F84">
        <v>20</v>
      </c>
      <c r="G84">
        <v>11</v>
      </c>
      <c r="H84">
        <v>7</v>
      </c>
      <c r="I84">
        <v>52</v>
      </c>
      <c r="J84">
        <v>35</v>
      </c>
      <c r="K84">
        <v>17</v>
      </c>
      <c r="L84">
        <v>62</v>
      </c>
    </row>
    <row r="85" spans="1:12" x14ac:dyDescent="0.25">
      <c r="A85">
        <v>2016</v>
      </c>
      <c r="B85" t="s">
        <v>18</v>
      </c>
      <c r="C85" t="s">
        <v>17</v>
      </c>
      <c r="D85">
        <v>62</v>
      </c>
      <c r="E85">
        <v>38</v>
      </c>
      <c r="F85">
        <v>17</v>
      </c>
      <c r="G85">
        <v>11</v>
      </c>
      <c r="H85">
        <v>10</v>
      </c>
      <c r="I85">
        <v>61</v>
      </c>
      <c r="J85">
        <v>53</v>
      </c>
      <c r="K85">
        <v>8</v>
      </c>
      <c r="L85">
        <v>54</v>
      </c>
    </row>
    <row r="86" spans="1:12" x14ac:dyDescent="0.25">
      <c r="A86">
        <v>2016</v>
      </c>
      <c r="B86" t="s">
        <v>20</v>
      </c>
      <c r="C86" t="s">
        <v>51</v>
      </c>
      <c r="D86">
        <v>59</v>
      </c>
      <c r="E86">
        <v>38</v>
      </c>
      <c r="F86">
        <v>17</v>
      </c>
      <c r="G86">
        <v>8</v>
      </c>
      <c r="H86">
        <v>13</v>
      </c>
      <c r="I86">
        <v>43</v>
      </c>
      <c r="J86">
        <v>39</v>
      </c>
      <c r="K86">
        <v>4</v>
      </c>
      <c r="L86">
        <v>52</v>
      </c>
    </row>
    <row r="87" spans="1:12" x14ac:dyDescent="0.25">
      <c r="A87">
        <v>2016</v>
      </c>
      <c r="B87" t="s">
        <v>22</v>
      </c>
      <c r="C87" t="s">
        <v>59</v>
      </c>
      <c r="D87">
        <v>57</v>
      </c>
      <c r="E87">
        <v>38</v>
      </c>
      <c r="F87">
        <v>17</v>
      </c>
      <c r="G87">
        <v>6</v>
      </c>
      <c r="H87">
        <v>15</v>
      </c>
      <c r="I87">
        <v>38</v>
      </c>
      <c r="J87">
        <v>32</v>
      </c>
      <c r="K87">
        <v>6</v>
      </c>
      <c r="L87">
        <v>50</v>
      </c>
    </row>
    <row r="88" spans="1:12" x14ac:dyDescent="0.25">
      <c r="A88">
        <v>2016</v>
      </c>
      <c r="B88" t="s">
        <v>24</v>
      </c>
      <c r="C88" t="s">
        <v>35</v>
      </c>
      <c r="D88">
        <v>55</v>
      </c>
      <c r="E88">
        <v>38</v>
      </c>
      <c r="F88">
        <v>15</v>
      </c>
      <c r="G88">
        <v>10</v>
      </c>
      <c r="H88">
        <v>13</v>
      </c>
      <c r="I88">
        <v>48</v>
      </c>
      <c r="J88">
        <v>42</v>
      </c>
      <c r="K88">
        <v>6</v>
      </c>
      <c r="L88">
        <v>48</v>
      </c>
    </row>
    <row r="89" spans="1:12" x14ac:dyDescent="0.25">
      <c r="A89">
        <v>2016</v>
      </c>
      <c r="B89" t="s">
        <v>26</v>
      </c>
      <c r="C89" t="s">
        <v>61</v>
      </c>
      <c r="D89">
        <v>53</v>
      </c>
      <c r="E89">
        <v>38</v>
      </c>
      <c r="F89">
        <v>15</v>
      </c>
      <c r="G89">
        <v>8</v>
      </c>
      <c r="H89">
        <v>15</v>
      </c>
      <c r="I89">
        <v>48</v>
      </c>
      <c r="J89">
        <v>52</v>
      </c>
      <c r="K89">
        <v>-4</v>
      </c>
      <c r="L89">
        <v>46</v>
      </c>
    </row>
    <row r="90" spans="1:12" x14ac:dyDescent="0.25">
      <c r="A90">
        <v>2016</v>
      </c>
      <c r="B90" t="s">
        <v>28</v>
      </c>
      <c r="C90" t="s">
        <v>23</v>
      </c>
      <c r="D90">
        <v>53</v>
      </c>
      <c r="E90">
        <v>38</v>
      </c>
      <c r="F90">
        <v>14</v>
      </c>
      <c r="G90">
        <v>11</v>
      </c>
      <c r="H90">
        <v>13</v>
      </c>
      <c r="I90">
        <v>41</v>
      </c>
      <c r="J90">
        <v>44</v>
      </c>
      <c r="K90">
        <v>-3</v>
      </c>
      <c r="L90">
        <v>46</v>
      </c>
    </row>
    <row r="91" spans="1:12" x14ac:dyDescent="0.25">
      <c r="A91">
        <v>2016</v>
      </c>
      <c r="B91" t="s">
        <v>30</v>
      </c>
      <c r="C91" t="s">
        <v>19</v>
      </c>
      <c r="D91">
        <v>52</v>
      </c>
      <c r="E91">
        <v>38</v>
      </c>
      <c r="F91">
        <v>14</v>
      </c>
      <c r="G91">
        <v>10</v>
      </c>
      <c r="H91">
        <v>14</v>
      </c>
      <c r="I91">
        <v>44</v>
      </c>
      <c r="J91">
        <v>36</v>
      </c>
      <c r="K91">
        <v>8</v>
      </c>
      <c r="L91">
        <v>46</v>
      </c>
    </row>
    <row r="92" spans="1:12" x14ac:dyDescent="0.25">
      <c r="A92">
        <v>2016</v>
      </c>
      <c r="B92" t="s">
        <v>32</v>
      </c>
      <c r="C92" t="s">
        <v>54</v>
      </c>
      <c r="D92">
        <v>52</v>
      </c>
      <c r="E92">
        <v>38</v>
      </c>
      <c r="F92">
        <v>13</v>
      </c>
      <c r="G92">
        <v>13</v>
      </c>
      <c r="H92">
        <v>12</v>
      </c>
      <c r="I92">
        <v>49</v>
      </c>
      <c r="J92">
        <v>56</v>
      </c>
      <c r="K92">
        <v>-7</v>
      </c>
      <c r="L92">
        <v>46</v>
      </c>
    </row>
    <row r="93" spans="1:12" x14ac:dyDescent="0.25">
      <c r="A93">
        <v>2016</v>
      </c>
      <c r="B93" t="s">
        <v>34</v>
      </c>
      <c r="C93" t="s">
        <v>52</v>
      </c>
      <c r="D93">
        <v>51</v>
      </c>
      <c r="E93">
        <v>38</v>
      </c>
      <c r="F93">
        <v>14</v>
      </c>
      <c r="G93">
        <v>9</v>
      </c>
      <c r="H93">
        <v>15</v>
      </c>
      <c r="I93">
        <v>48</v>
      </c>
      <c r="J93">
        <v>49</v>
      </c>
      <c r="K93">
        <v>-1</v>
      </c>
      <c r="L93">
        <v>45</v>
      </c>
    </row>
    <row r="94" spans="1:12" x14ac:dyDescent="0.25">
      <c r="A94">
        <v>2016</v>
      </c>
      <c r="B94" t="s">
        <v>36</v>
      </c>
      <c r="C94" t="s">
        <v>21</v>
      </c>
      <c r="D94">
        <v>50</v>
      </c>
      <c r="E94">
        <v>38</v>
      </c>
      <c r="F94">
        <v>13</v>
      </c>
      <c r="G94">
        <v>11</v>
      </c>
      <c r="H94">
        <v>14</v>
      </c>
      <c r="I94">
        <v>45</v>
      </c>
      <c r="J94">
        <v>45</v>
      </c>
      <c r="K94">
        <v>0</v>
      </c>
      <c r="L94">
        <v>44</v>
      </c>
    </row>
    <row r="95" spans="1:12" x14ac:dyDescent="0.25">
      <c r="A95">
        <v>2016</v>
      </c>
      <c r="B95" t="s">
        <v>38</v>
      </c>
      <c r="C95" t="s">
        <v>41</v>
      </c>
      <c r="D95">
        <v>47</v>
      </c>
      <c r="E95">
        <v>38</v>
      </c>
      <c r="F95">
        <v>13</v>
      </c>
      <c r="G95">
        <v>8</v>
      </c>
      <c r="H95">
        <v>17</v>
      </c>
      <c r="I95">
        <v>49</v>
      </c>
      <c r="J95">
        <v>55</v>
      </c>
      <c r="K95">
        <v>-6</v>
      </c>
      <c r="L95">
        <v>41</v>
      </c>
    </row>
    <row r="96" spans="1:12" x14ac:dyDescent="0.25">
      <c r="A96">
        <v>2016</v>
      </c>
      <c r="B96" t="s">
        <v>40</v>
      </c>
      <c r="C96" t="s">
        <v>49</v>
      </c>
      <c r="D96">
        <v>46</v>
      </c>
      <c r="E96">
        <v>38</v>
      </c>
      <c r="F96">
        <v>11</v>
      </c>
      <c r="G96">
        <v>13</v>
      </c>
      <c r="H96">
        <v>14</v>
      </c>
      <c r="I96">
        <v>41</v>
      </c>
      <c r="J96">
        <v>42</v>
      </c>
      <c r="K96">
        <v>-1</v>
      </c>
      <c r="L96">
        <v>40</v>
      </c>
    </row>
    <row r="97" spans="1:12" x14ac:dyDescent="0.25">
      <c r="A97">
        <v>2016</v>
      </c>
      <c r="B97" t="s">
        <v>42</v>
      </c>
      <c r="C97" t="s">
        <v>58</v>
      </c>
      <c r="D97">
        <v>45</v>
      </c>
      <c r="E97">
        <v>38</v>
      </c>
      <c r="F97">
        <v>12</v>
      </c>
      <c r="G97">
        <v>9</v>
      </c>
      <c r="H97">
        <v>17</v>
      </c>
      <c r="I97">
        <v>51</v>
      </c>
      <c r="J97">
        <v>53</v>
      </c>
      <c r="K97">
        <v>-2</v>
      </c>
      <c r="L97">
        <v>39</v>
      </c>
    </row>
    <row r="98" spans="1:12" x14ac:dyDescent="0.25">
      <c r="A98">
        <v>2016</v>
      </c>
      <c r="B98" t="s">
        <v>44</v>
      </c>
      <c r="C98" t="s">
        <v>56</v>
      </c>
      <c r="D98">
        <v>43</v>
      </c>
      <c r="E98">
        <v>38</v>
      </c>
      <c r="F98">
        <v>11</v>
      </c>
      <c r="G98">
        <v>10</v>
      </c>
      <c r="H98">
        <v>17</v>
      </c>
      <c r="I98">
        <v>35</v>
      </c>
      <c r="J98">
        <v>41</v>
      </c>
      <c r="K98">
        <v>-6</v>
      </c>
      <c r="L98">
        <v>38</v>
      </c>
    </row>
    <row r="99" spans="1:12" x14ac:dyDescent="0.25">
      <c r="A99">
        <v>2016</v>
      </c>
      <c r="B99" t="s">
        <v>46</v>
      </c>
      <c r="C99" t="s">
        <v>62</v>
      </c>
      <c r="D99">
        <v>37</v>
      </c>
      <c r="E99">
        <v>38</v>
      </c>
      <c r="F99">
        <v>8</v>
      </c>
      <c r="G99">
        <v>13</v>
      </c>
      <c r="H99">
        <v>17</v>
      </c>
      <c r="I99">
        <v>30</v>
      </c>
      <c r="J99">
        <v>50</v>
      </c>
      <c r="K99">
        <v>-20</v>
      </c>
      <c r="L99">
        <v>32</v>
      </c>
    </row>
    <row r="100" spans="1:12" x14ac:dyDescent="0.25">
      <c r="A100">
        <v>2016</v>
      </c>
      <c r="B100" t="s">
        <v>48</v>
      </c>
      <c r="C100" t="s">
        <v>63</v>
      </c>
      <c r="D100">
        <v>31</v>
      </c>
      <c r="E100">
        <v>38</v>
      </c>
      <c r="F100">
        <v>8</v>
      </c>
      <c r="G100">
        <v>7</v>
      </c>
      <c r="H100">
        <v>23</v>
      </c>
      <c r="I100">
        <v>45</v>
      </c>
      <c r="J100">
        <v>69</v>
      </c>
      <c r="K100">
        <v>-24</v>
      </c>
      <c r="L100">
        <v>27</v>
      </c>
    </row>
    <row r="101" spans="1:12" x14ac:dyDescent="0.25">
      <c r="A101">
        <v>2016</v>
      </c>
      <c r="B101" t="s">
        <v>50</v>
      </c>
      <c r="C101" t="s">
        <v>57</v>
      </c>
      <c r="D101">
        <v>28</v>
      </c>
      <c r="E101">
        <v>38</v>
      </c>
      <c r="F101">
        <v>7</v>
      </c>
      <c r="G101">
        <v>7</v>
      </c>
      <c r="H101">
        <v>24</v>
      </c>
      <c r="I101">
        <v>23</v>
      </c>
      <c r="J101">
        <v>58</v>
      </c>
      <c r="K101">
        <v>-35</v>
      </c>
      <c r="L101">
        <v>25</v>
      </c>
    </row>
    <row r="102" spans="1:12" x14ac:dyDescent="0.25">
      <c r="A102">
        <v>2015</v>
      </c>
      <c r="B102" t="s">
        <v>12</v>
      </c>
      <c r="C102" t="s">
        <v>35</v>
      </c>
      <c r="D102">
        <v>81</v>
      </c>
      <c r="E102">
        <v>38</v>
      </c>
      <c r="F102">
        <v>24</v>
      </c>
      <c r="G102">
        <v>9</v>
      </c>
      <c r="H102">
        <v>5</v>
      </c>
      <c r="I102">
        <v>71</v>
      </c>
      <c r="J102">
        <v>31</v>
      </c>
      <c r="K102">
        <v>40</v>
      </c>
      <c r="L102">
        <v>71</v>
      </c>
    </row>
    <row r="103" spans="1:12" x14ac:dyDescent="0.25">
      <c r="A103">
        <v>2015</v>
      </c>
      <c r="B103" t="s">
        <v>14</v>
      </c>
      <c r="C103" t="s">
        <v>17</v>
      </c>
      <c r="D103">
        <v>69</v>
      </c>
      <c r="E103">
        <v>38</v>
      </c>
      <c r="F103">
        <v>21</v>
      </c>
      <c r="G103">
        <v>6</v>
      </c>
      <c r="H103">
        <v>11</v>
      </c>
      <c r="I103">
        <v>65</v>
      </c>
      <c r="J103">
        <v>47</v>
      </c>
      <c r="K103">
        <v>18</v>
      </c>
      <c r="L103">
        <v>61</v>
      </c>
    </row>
    <row r="104" spans="1:12" x14ac:dyDescent="0.25">
      <c r="A104">
        <v>2015</v>
      </c>
      <c r="B104" t="s">
        <v>16</v>
      </c>
      <c r="C104" t="s">
        <v>23</v>
      </c>
      <c r="D104">
        <v>68</v>
      </c>
      <c r="E104">
        <v>38</v>
      </c>
      <c r="F104">
        <v>20</v>
      </c>
      <c r="G104">
        <v>8</v>
      </c>
      <c r="H104">
        <v>10</v>
      </c>
      <c r="I104">
        <v>52</v>
      </c>
      <c r="J104">
        <v>32</v>
      </c>
      <c r="K104">
        <v>20</v>
      </c>
      <c r="L104">
        <v>60</v>
      </c>
    </row>
    <row r="105" spans="1:12" x14ac:dyDescent="0.25">
      <c r="A105">
        <v>2015</v>
      </c>
      <c r="B105" t="s">
        <v>18</v>
      </c>
      <c r="C105" t="s">
        <v>19</v>
      </c>
      <c r="D105">
        <v>62</v>
      </c>
      <c r="E105">
        <v>38</v>
      </c>
      <c r="F105">
        <v>18</v>
      </c>
      <c r="G105">
        <v>8</v>
      </c>
      <c r="H105">
        <v>12</v>
      </c>
      <c r="I105">
        <v>53</v>
      </c>
      <c r="J105">
        <v>47</v>
      </c>
      <c r="K105">
        <v>6</v>
      </c>
      <c r="L105">
        <v>54</v>
      </c>
    </row>
    <row r="106" spans="1:12" x14ac:dyDescent="0.25">
      <c r="A106">
        <v>2015</v>
      </c>
      <c r="B106" t="s">
        <v>20</v>
      </c>
      <c r="C106" t="s">
        <v>56</v>
      </c>
      <c r="D106">
        <v>60</v>
      </c>
      <c r="E106">
        <v>38</v>
      </c>
      <c r="F106">
        <v>17</v>
      </c>
      <c r="G106">
        <v>9</v>
      </c>
      <c r="H106">
        <v>12</v>
      </c>
      <c r="I106">
        <v>39</v>
      </c>
      <c r="J106">
        <v>38</v>
      </c>
      <c r="K106">
        <v>1</v>
      </c>
      <c r="L106">
        <v>53</v>
      </c>
    </row>
    <row r="107" spans="1:12" x14ac:dyDescent="0.25">
      <c r="A107">
        <v>2015</v>
      </c>
      <c r="B107" t="s">
        <v>22</v>
      </c>
      <c r="C107" t="s">
        <v>41</v>
      </c>
      <c r="D107">
        <v>59</v>
      </c>
      <c r="E107">
        <v>38</v>
      </c>
      <c r="F107">
        <v>15</v>
      </c>
      <c r="G107">
        <v>14</v>
      </c>
      <c r="H107">
        <v>9</v>
      </c>
      <c r="I107">
        <v>53</v>
      </c>
      <c r="J107">
        <v>38</v>
      </c>
      <c r="K107">
        <v>15</v>
      </c>
      <c r="L107">
        <v>52</v>
      </c>
    </row>
    <row r="108" spans="1:12" x14ac:dyDescent="0.25">
      <c r="A108">
        <v>2015</v>
      </c>
      <c r="B108" t="s">
        <v>24</v>
      </c>
      <c r="C108" t="s">
        <v>27</v>
      </c>
      <c r="D108">
        <v>58</v>
      </c>
      <c r="E108">
        <v>38</v>
      </c>
      <c r="F108">
        <v>16</v>
      </c>
      <c r="G108">
        <v>10</v>
      </c>
      <c r="H108">
        <v>12</v>
      </c>
      <c r="I108">
        <v>59</v>
      </c>
      <c r="J108">
        <v>41</v>
      </c>
      <c r="K108">
        <v>18</v>
      </c>
      <c r="L108">
        <v>51</v>
      </c>
    </row>
    <row r="109" spans="1:12" x14ac:dyDescent="0.25">
      <c r="A109">
        <v>2015</v>
      </c>
      <c r="B109" t="s">
        <v>26</v>
      </c>
      <c r="C109" t="s">
        <v>52</v>
      </c>
      <c r="D109">
        <v>55</v>
      </c>
      <c r="E109">
        <v>38</v>
      </c>
      <c r="F109">
        <v>15</v>
      </c>
      <c r="G109">
        <v>10</v>
      </c>
      <c r="H109">
        <v>13</v>
      </c>
      <c r="I109">
        <v>44</v>
      </c>
      <c r="J109">
        <v>35</v>
      </c>
      <c r="K109">
        <v>9</v>
      </c>
      <c r="L109">
        <v>48</v>
      </c>
    </row>
    <row r="110" spans="1:12" x14ac:dyDescent="0.25">
      <c r="A110">
        <v>2015</v>
      </c>
      <c r="B110" t="s">
        <v>28</v>
      </c>
      <c r="C110" t="s">
        <v>25</v>
      </c>
      <c r="D110">
        <v>53</v>
      </c>
      <c r="E110">
        <v>38</v>
      </c>
      <c r="F110">
        <v>15</v>
      </c>
      <c r="G110">
        <v>8</v>
      </c>
      <c r="H110">
        <v>15</v>
      </c>
      <c r="I110">
        <v>60</v>
      </c>
      <c r="J110">
        <v>51</v>
      </c>
      <c r="K110">
        <v>9</v>
      </c>
      <c r="L110">
        <v>46</v>
      </c>
    </row>
    <row r="111" spans="1:12" x14ac:dyDescent="0.25">
      <c r="A111">
        <v>2015</v>
      </c>
      <c r="B111" t="s">
        <v>30</v>
      </c>
      <c r="C111" t="s">
        <v>59</v>
      </c>
      <c r="D111">
        <v>51</v>
      </c>
      <c r="E111">
        <v>38</v>
      </c>
      <c r="F111">
        <v>14</v>
      </c>
      <c r="G111">
        <v>9</v>
      </c>
      <c r="H111">
        <v>15</v>
      </c>
      <c r="I111">
        <v>43</v>
      </c>
      <c r="J111">
        <v>48</v>
      </c>
      <c r="K111">
        <v>-5</v>
      </c>
      <c r="L111">
        <v>45</v>
      </c>
    </row>
    <row r="112" spans="1:12" x14ac:dyDescent="0.25">
      <c r="A112">
        <v>2015</v>
      </c>
      <c r="B112" t="s">
        <v>32</v>
      </c>
      <c r="C112" t="s">
        <v>61</v>
      </c>
      <c r="D112">
        <v>51</v>
      </c>
      <c r="E112">
        <v>38</v>
      </c>
      <c r="F112">
        <v>13</v>
      </c>
      <c r="G112">
        <v>12</v>
      </c>
      <c r="H112">
        <v>13</v>
      </c>
      <c r="I112">
        <v>41</v>
      </c>
      <c r="J112">
        <v>40</v>
      </c>
      <c r="K112">
        <v>1</v>
      </c>
      <c r="L112">
        <v>45</v>
      </c>
    </row>
    <row r="113" spans="1:12" x14ac:dyDescent="0.25">
      <c r="A113">
        <v>2015</v>
      </c>
      <c r="B113" t="s">
        <v>34</v>
      </c>
      <c r="C113" t="s">
        <v>13</v>
      </c>
      <c r="D113">
        <v>49</v>
      </c>
      <c r="E113">
        <v>38</v>
      </c>
      <c r="F113">
        <v>15</v>
      </c>
      <c r="G113">
        <v>4</v>
      </c>
      <c r="H113">
        <v>19</v>
      </c>
      <c r="I113">
        <v>45</v>
      </c>
      <c r="J113">
        <v>53</v>
      </c>
      <c r="K113">
        <v>-8</v>
      </c>
      <c r="L113">
        <v>43</v>
      </c>
    </row>
    <row r="114" spans="1:12" x14ac:dyDescent="0.25">
      <c r="A114">
        <v>2015</v>
      </c>
      <c r="B114" t="s">
        <v>36</v>
      </c>
      <c r="C114" t="s">
        <v>21</v>
      </c>
      <c r="D114">
        <v>47</v>
      </c>
      <c r="E114">
        <v>38</v>
      </c>
      <c r="F114">
        <v>14</v>
      </c>
      <c r="G114">
        <v>5</v>
      </c>
      <c r="H114">
        <v>19</v>
      </c>
      <c r="I114">
        <v>40</v>
      </c>
      <c r="J114">
        <v>49</v>
      </c>
      <c r="K114">
        <v>-9</v>
      </c>
      <c r="L114">
        <v>41</v>
      </c>
    </row>
    <row r="115" spans="1:12" x14ac:dyDescent="0.25">
      <c r="A115">
        <v>2015</v>
      </c>
      <c r="B115" t="s">
        <v>38</v>
      </c>
      <c r="C115" t="s">
        <v>54</v>
      </c>
      <c r="D115">
        <v>47</v>
      </c>
      <c r="E115">
        <v>38</v>
      </c>
      <c r="F115">
        <v>12</v>
      </c>
      <c r="G115">
        <v>11</v>
      </c>
      <c r="H115">
        <v>15</v>
      </c>
      <c r="I115">
        <v>34</v>
      </c>
      <c r="J115">
        <v>44</v>
      </c>
      <c r="K115">
        <v>-10</v>
      </c>
      <c r="L115">
        <v>41</v>
      </c>
    </row>
    <row r="116" spans="1:12" x14ac:dyDescent="0.25">
      <c r="A116">
        <v>2015</v>
      </c>
      <c r="B116" t="s">
        <v>40</v>
      </c>
      <c r="C116" t="s">
        <v>49</v>
      </c>
      <c r="D116">
        <v>44</v>
      </c>
      <c r="E116">
        <v>38</v>
      </c>
      <c r="F116">
        <v>11</v>
      </c>
      <c r="G116">
        <v>11</v>
      </c>
      <c r="H116">
        <v>16</v>
      </c>
      <c r="I116">
        <v>31</v>
      </c>
      <c r="J116">
        <v>42</v>
      </c>
      <c r="K116">
        <v>-11</v>
      </c>
      <c r="L116">
        <v>39</v>
      </c>
    </row>
    <row r="117" spans="1:12" x14ac:dyDescent="0.25">
      <c r="A117">
        <v>2015</v>
      </c>
      <c r="B117" t="s">
        <v>42</v>
      </c>
      <c r="C117" t="s">
        <v>62</v>
      </c>
      <c r="D117">
        <v>43</v>
      </c>
      <c r="E117">
        <v>38</v>
      </c>
      <c r="F117">
        <v>11</v>
      </c>
      <c r="G117">
        <v>10</v>
      </c>
      <c r="H117">
        <v>17</v>
      </c>
      <c r="I117">
        <v>36</v>
      </c>
      <c r="J117">
        <v>50</v>
      </c>
      <c r="K117">
        <v>-14</v>
      </c>
      <c r="L117">
        <v>38</v>
      </c>
    </row>
    <row r="118" spans="1:12" x14ac:dyDescent="0.25">
      <c r="A118">
        <v>2015</v>
      </c>
      <c r="B118" t="s">
        <v>44</v>
      </c>
      <c r="C118" t="s">
        <v>55</v>
      </c>
      <c r="D118">
        <v>42</v>
      </c>
      <c r="E118">
        <v>38</v>
      </c>
      <c r="F118">
        <v>11</v>
      </c>
      <c r="G118">
        <v>9</v>
      </c>
      <c r="H118">
        <v>18</v>
      </c>
      <c r="I118">
        <v>38</v>
      </c>
      <c r="J118">
        <v>60</v>
      </c>
      <c r="K118">
        <v>-22</v>
      </c>
      <c r="L118">
        <v>37</v>
      </c>
    </row>
    <row r="119" spans="1:12" x14ac:dyDescent="0.25">
      <c r="A119">
        <v>2015</v>
      </c>
      <c r="B119" t="s">
        <v>46</v>
      </c>
      <c r="C119" t="s">
        <v>45</v>
      </c>
      <c r="D119">
        <v>41</v>
      </c>
      <c r="E119">
        <v>38</v>
      </c>
      <c r="F119">
        <v>10</v>
      </c>
      <c r="G119">
        <v>11</v>
      </c>
      <c r="H119">
        <v>17</v>
      </c>
      <c r="I119">
        <v>28</v>
      </c>
      <c r="J119">
        <v>54</v>
      </c>
      <c r="K119">
        <v>-26</v>
      </c>
      <c r="L119">
        <v>36</v>
      </c>
    </row>
    <row r="120" spans="1:12" x14ac:dyDescent="0.25">
      <c r="A120">
        <v>2015</v>
      </c>
      <c r="B120" t="s">
        <v>48</v>
      </c>
      <c r="C120" t="s">
        <v>47</v>
      </c>
      <c r="D120">
        <v>38</v>
      </c>
      <c r="E120">
        <v>38</v>
      </c>
      <c r="F120">
        <v>10</v>
      </c>
      <c r="G120">
        <v>8</v>
      </c>
      <c r="H120">
        <v>20</v>
      </c>
      <c r="I120">
        <v>39</v>
      </c>
      <c r="J120">
        <v>49</v>
      </c>
      <c r="K120">
        <v>-10</v>
      </c>
      <c r="L120">
        <v>33</v>
      </c>
    </row>
    <row r="121" spans="1:12" x14ac:dyDescent="0.25">
      <c r="A121">
        <v>2015</v>
      </c>
      <c r="B121" t="s">
        <v>50</v>
      </c>
      <c r="C121" t="s">
        <v>64</v>
      </c>
      <c r="D121">
        <v>31</v>
      </c>
      <c r="E121">
        <v>38</v>
      </c>
      <c r="F121">
        <v>7</v>
      </c>
      <c r="G121">
        <v>10</v>
      </c>
      <c r="H121">
        <v>21</v>
      </c>
      <c r="I121">
        <v>26</v>
      </c>
      <c r="J121">
        <v>48</v>
      </c>
      <c r="K121">
        <v>-22</v>
      </c>
      <c r="L121">
        <v>27</v>
      </c>
    </row>
    <row r="122" spans="1:12" x14ac:dyDescent="0.25">
      <c r="A122">
        <v>2014</v>
      </c>
      <c r="B122" t="s">
        <v>12</v>
      </c>
      <c r="C122" t="s">
        <v>52</v>
      </c>
      <c r="D122">
        <v>80</v>
      </c>
      <c r="E122">
        <v>38</v>
      </c>
      <c r="F122">
        <v>24</v>
      </c>
      <c r="G122">
        <v>8</v>
      </c>
      <c r="H122">
        <v>6</v>
      </c>
      <c r="I122">
        <v>67</v>
      </c>
      <c r="J122">
        <v>38</v>
      </c>
      <c r="K122">
        <v>29</v>
      </c>
      <c r="L122">
        <v>70</v>
      </c>
    </row>
    <row r="123" spans="1:12" x14ac:dyDescent="0.25">
      <c r="A123">
        <v>2014</v>
      </c>
      <c r="B123" t="s">
        <v>14</v>
      </c>
      <c r="C123" t="s">
        <v>19</v>
      </c>
      <c r="D123">
        <v>70</v>
      </c>
      <c r="E123">
        <v>38</v>
      </c>
      <c r="F123">
        <v>20</v>
      </c>
      <c r="G123">
        <v>10</v>
      </c>
      <c r="H123">
        <v>8</v>
      </c>
      <c r="I123">
        <v>59</v>
      </c>
      <c r="J123">
        <v>40</v>
      </c>
      <c r="K123">
        <v>19</v>
      </c>
      <c r="L123">
        <v>61</v>
      </c>
    </row>
    <row r="124" spans="1:12" x14ac:dyDescent="0.25">
      <c r="A124">
        <v>2014</v>
      </c>
      <c r="B124" t="s">
        <v>16</v>
      </c>
      <c r="C124" t="s">
        <v>56</v>
      </c>
      <c r="D124">
        <v>69</v>
      </c>
      <c r="E124">
        <v>38</v>
      </c>
      <c r="F124">
        <v>21</v>
      </c>
      <c r="G124">
        <v>6</v>
      </c>
      <c r="H124">
        <v>11</v>
      </c>
      <c r="I124">
        <v>53</v>
      </c>
      <c r="J124">
        <v>41</v>
      </c>
      <c r="K124">
        <v>12</v>
      </c>
      <c r="L124">
        <v>61</v>
      </c>
    </row>
    <row r="125" spans="1:12" x14ac:dyDescent="0.25">
      <c r="A125">
        <v>2014</v>
      </c>
      <c r="B125" t="s">
        <v>18</v>
      </c>
      <c r="C125" t="s">
        <v>35</v>
      </c>
      <c r="D125">
        <v>69</v>
      </c>
      <c r="E125">
        <v>38</v>
      </c>
      <c r="F125">
        <v>19</v>
      </c>
      <c r="G125">
        <v>12</v>
      </c>
      <c r="H125">
        <v>7</v>
      </c>
      <c r="I125">
        <v>49</v>
      </c>
      <c r="J125">
        <v>31</v>
      </c>
      <c r="K125">
        <v>18</v>
      </c>
      <c r="L125">
        <v>61</v>
      </c>
    </row>
    <row r="126" spans="1:12" x14ac:dyDescent="0.25">
      <c r="A126">
        <v>2014</v>
      </c>
      <c r="B126" t="s">
        <v>20</v>
      </c>
      <c r="C126" t="s">
        <v>17</v>
      </c>
      <c r="D126">
        <v>62</v>
      </c>
      <c r="E126">
        <v>38</v>
      </c>
      <c r="F126">
        <v>17</v>
      </c>
      <c r="G126">
        <v>11</v>
      </c>
      <c r="H126">
        <v>10</v>
      </c>
      <c r="I126">
        <v>51</v>
      </c>
      <c r="J126">
        <v>38</v>
      </c>
      <c r="K126">
        <v>13</v>
      </c>
      <c r="L126">
        <v>54</v>
      </c>
    </row>
    <row r="127" spans="1:12" x14ac:dyDescent="0.25">
      <c r="A127">
        <v>2014</v>
      </c>
      <c r="B127" t="s">
        <v>22</v>
      </c>
      <c r="C127" t="s">
        <v>21</v>
      </c>
      <c r="D127">
        <v>61</v>
      </c>
      <c r="E127">
        <v>38</v>
      </c>
      <c r="F127">
        <v>17</v>
      </c>
      <c r="G127">
        <v>10</v>
      </c>
      <c r="H127">
        <v>11</v>
      </c>
      <c r="I127">
        <v>61</v>
      </c>
      <c r="J127">
        <v>42</v>
      </c>
      <c r="K127">
        <v>19</v>
      </c>
      <c r="L127">
        <v>54</v>
      </c>
    </row>
    <row r="128" spans="1:12" x14ac:dyDescent="0.25">
      <c r="A128">
        <v>2014</v>
      </c>
      <c r="B128" t="s">
        <v>24</v>
      </c>
      <c r="C128" t="s">
        <v>23</v>
      </c>
      <c r="D128">
        <v>61</v>
      </c>
      <c r="E128">
        <v>38</v>
      </c>
      <c r="F128">
        <v>17</v>
      </c>
      <c r="G128">
        <v>10</v>
      </c>
      <c r="H128">
        <v>11</v>
      </c>
      <c r="I128">
        <v>36</v>
      </c>
      <c r="J128">
        <v>24</v>
      </c>
      <c r="K128">
        <v>12</v>
      </c>
      <c r="L128">
        <v>54</v>
      </c>
    </row>
    <row r="129" spans="1:12" x14ac:dyDescent="0.25">
      <c r="A129">
        <v>2014</v>
      </c>
      <c r="B129" t="s">
        <v>26</v>
      </c>
      <c r="C129" t="s">
        <v>59</v>
      </c>
      <c r="D129">
        <v>54</v>
      </c>
      <c r="E129">
        <v>38</v>
      </c>
      <c r="F129">
        <v>15</v>
      </c>
      <c r="G129">
        <v>9</v>
      </c>
      <c r="H129">
        <v>14</v>
      </c>
      <c r="I129">
        <v>43</v>
      </c>
      <c r="J129">
        <v>42</v>
      </c>
      <c r="K129">
        <v>1</v>
      </c>
      <c r="L129">
        <v>47</v>
      </c>
    </row>
    <row r="130" spans="1:12" x14ac:dyDescent="0.25">
      <c r="A130">
        <v>2014</v>
      </c>
      <c r="B130" t="s">
        <v>28</v>
      </c>
      <c r="C130" t="s">
        <v>27</v>
      </c>
      <c r="D130">
        <v>53</v>
      </c>
      <c r="E130">
        <v>38</v>
      </c>
      <c r="F130">
        <v>15</v>
      </c>
      <c r="G130">
        <v>8</v>
      </c>
      <c r="H130">
        <v>15</v>
      </c>
      <c r="I130">
        <v>42</v>
      </c>
      <c r="J130">
        <v>35</v>
      </c>
      <c r="K130">
        <v>7</v>
      </c>
      <c r="L130">
        <v>46</v>
      </c>
    </row>
    <row r="131" spans="1:12" x14ac:dyDescent="0.25">
      <c r="A131">
        <v>2014</v>
      </c>
      <c r="B131" t="s">
        <v>30</v>
      </c>
      <c r="C131" t="s">
        <v>13</v>
      </c>
      <c r="D131">
        <v>52</v>
      </c>
      <c r="E131">
        <v>38</v>
      </c>
      <c r="F131">
        <v>14</v>
      </c>
      <c r="G131">
        <v>10</v>
      </c>
      <c r="H131">
        <v>14</v>
      </c>
      <c r="I131">
        <v>46</v>
      </c>
      <c r="J131">
        <v>47</v>
      </c>
      <c r="K131">
        <v>-1</v>
      </c>
      <c r="L131">
        <v>46</v>
      </c>
    </row>
    <row r="132" spans="1:12" x14ac:dyDescent="0.25">
      <c r="A132">
        <v>2014</v>
      </c>
      <c r="B132" t="s">
        <v>32</v>
      </c>
      <c r="C132" t="s">
        <v>41</v>
      </c>
      <c r="D132">
        <v>52</v>
      </c>
      <c r="E132">
        <v>38</v>
      </c>
      <c r="F132">
        <v>14</v>
      </c>
      <c r="G132">
        <v>10</v>
      </c>
      <c r="H132">
        <v>14</v>
      </c>
      <c r="I132">
        <v>36</v>
      </c>
      <c r="J132">
        <v>46</v>
      </c>
      <c r="K132">
        <v>-10</v>
      </c>
      <c r="L132">
        <v>46</v>
      </c>
    </row>
    <row r="133" spans="1:12" x14ac:dyDescent="0.25">
      <c r="A133">
        <v>2014</v>
      </c>
      <c r="B133" t="s">
        <v>34</v>
      </c>
      <c r="C133" t="s">
        <v>47</v>
      </c>
      <c r="D133">
        <v>47</v>
      </c>
      <c r="E133">
        <v>38</v>
      </c>
      <c r="F133">
        <v>13</v>
      </c>
      <c r="G133">
        <v>8</v>
      </c>
      <c r="H133">
        <v>17</v>
      </c>
      <c r="I133">
        <v>38</v>
      </c>
      <c r="J133">
        <v>40</v>
      </c>
      <c r="K133">
        <v>-2</v>
      </c>
      <c r="L133">
        <v>41</v>
      </c>
    </row>
    <row r="134" spans="1:12" x14ac:dyDescent="0.25">
      <c r="A134">
        <v>2014</v>
      </c>
      <c r="B134" t="s">
        <v>36</v>
      </c>
      <c r="C134" t="s">
        <v>62</v>
      </c>
      <c r="D134">
        <v>47</v>
      </c>
      <c r="E134">
        <v>38</v>
      </c>
      <c r="F134">
        <v>13</v>
      </c>
      <c r="G134">
        <v>8</v>
      </c>
      <c r="H134">
        <v>17</v>
      </c>
      <c r="I134">
        <v>37</v>
      </c>
      <c r="J134">
        <v>47</v>
      </c>
      <c r="K134">
        <v>-10</v>
      </c>
      <c r="L134">
        <v>41</v>
      </c>
    </row>
    <row r="135" spans="1:12" x14ac:dyDescent="0.25">
      <c r="A135">
        <v>2014</v>
      </c>
      <c r="B135" t="s">
        <v>38</v>
      </c>
      <c r="C135" t="s">
        <v>49</v>
      </c>
      <c r="D135">
        <v>47</v>
      </c>
      <c r="E135">
        <v>38</v>
      </c>
      <c r="F135">
        <v>12</v>
      </c>
      <c r="G135">
        <v>11</v>
      </c>
      <c r="H135">
        <v>15</v>
      </c>
      <c r="I135">
        <v>42</v>
      </c>
      <c r="J135">
        <v>45</v>
      </c>
      <c r="K135">
        <v>-3</v>
      </c>
      <c r="L135">
        <v>41</v>
      </c>
    </row>
    <row r="136" spans="1:12" x14ac:dyDescent="0.25">
      <c r="A136">
        <v>2014</v>
      </c>
      <c r="B136" t="s">
        <v>40</v>
      </c>
      <c r="C136" t="s">
        <v>54</v>
      </c>
      <c r="D136">
        <v>43</v>
      </c>
      <c r="E136">
        <v>38</v>
      </c>
      <c r="F136">
        <v>11</v>
      </c>
      <c r="G136">
        <v>10</v>
      </c>
      <c r="H136">
        <v>17</v>
      </c>
      <c r="I136">
        <v>39</v>
      </c>
      <c r="J136">
        <v>44</v>
      </c>
      <c r="K136">
        <v>-5</v>
      </c>
      <c r="L136">
        <v>38</v>
      </c>
    </row>
    <row r="137" spans="1:12" x14ac:dyDescent="0.25">
      <c r="A137">
        <v>2014</v>
      </c>
      <c r="B137" t="s">
        <v>42</v>
      </c>
      <c r="C137" t="s">
        <v>25</v>
      </c>
      <c r="D137">
        <v>40</v>
      </c>
      <c r="E137">
        <v>38</v>
      </c>
      <c r="F137">
        <v>11</v>
      </c>
      <c r="G137">
        <v>7</v>
      </c>
      <c r="H137">
        <v>20</v>
      </c>
      <c r="I137">
        <v>34</v>
      </c>
      <c r="J137">
        <v>59</v>
      </c>
      <c r="K137">
        <v>-25</v>
      </c>
      <c r="L137">
        <v>35</v>
      </c>
    </row>
    <row r="138" spans="1:12" x14ac:dyDescent="0.25">
      <c r="A138">
        <v>2014</v>
      </c>
      <c r="B138" t="s">
        <v>44</v>
      </c>
      <c r="C138" t="s">
        <v>58</v>
      </c>
      <c r="D138">
        <v>38</v>
      </c>
      <c r="E138">
        <v>38</v>
      </c>
      <c r="F138">
        <v>10</v>
      </c>
      <c r="G138">
        <v>8</v>
      </c>
      <c r="H138">
        <v>20</v>
      </c>
      <c r="I138">
        <v>37</v>
      </c>
      <c r="J138">
        <v>54</v>
      </c>
      <c r="K138">
        <v>-17</v>
      </c>
      <c r="L138">
        <v>33</v>
      </c>
    </row>
    <row r="139" spans="1:12" x14ac:dyDescent="0.25">
      <c r="A139">
        <v>2014</v>
      </c>
      <c r="B139" t="s">
        <v>46</v>
      </c>
      <c r="C139" t="s">
        <v>39</v>
      </c>
      <c r="D139">
        <v>37</v>
      </c>
      <c r="E139">
        <v>38</v>
      </c>
      <c r="F139">
        <v>9</v>
      </c>
      <c r="G139">
        <v>10</v>
      </c>
      <c r="H139">
        <v>19</v>
      </c>
      <c r="I139">
        <v>31</v>
      </c>
      <c r="J139">
        <v>43</v>
      </c>
      <c r="K139">
        <v>-12</v>
      </c>
      <c r="L139">
        <v>32</v>
      </c>
    </row>
    <row r="140" spans="1:12" x14ac:dyDescent="0.25">
      <c r="A140">
        <v>2014</v>
      </c>
      <c r="B140" t="s">
        <v>48</v>
      </c>
      <c r="C140" t="s">
        <v>51</v>
      </c>
      <c r="D140">
        <v>34</v>
      </c>
      <c r="E140">
        <v>38</v>
      </c>
      <c r="F140">
        <v>9</v>
      </c>
      <c r="G140">
        <v>7</v>
      </c>
      <c r="H140">
        <v>22</v>
      </c>
      <c r="I140">
        <v>31</v>
      </c>
      <c r="J140">
        <v>48</v>
      </c>
      <c r="K140">
        <v>-17</v>
      </c>
      <c r="L140">
        <v>30</v>
      </c>
    </row>
    <row r="141" spans="1:12" x14ac:dyDescent="0.25">
      <c r="A141">
        <v>2014</v>
      </c>
      <c r="B141" t="s">
        <v>50</v>
      </c>
      <c r="C141" t="s">
        <v>65</v>
      </c>
      <c r="D141">
        <v>32</v>
      </c>
      <c r="E141">
        <v>38</v>
      </c>
      <c r="F141">
        <v>7</v>
      </c>
      <c r="G141">
        <v>11</v>
      </c>
      <c r="H141">
        <v>20</v>
      </c>
      <c r="I141">
        <v>28</v>
      </c>
      <c r="J141">
        <v>56</v>
      </c>
      <c r="K141">
        <v>-28</v>
      </c>
      <c r="L141">
        <v>28</v>
      </c>
    </row>
    <row r="142" spans="1:12" x14ac:dyDescent="0.25">
      <c r="A142">
        <v>2013</v>
      </c>
      <c r="B142" t="s">
        <v>12</v>
      </c>
      <c r="C142" t="s">
        <v>52</v>
      </c>
      <c r="D142">
        <v>76</v>
      </c>
      <c r="E142">
        <v>38</v>
      </c>
      <c r="F142">
        <v>23</v>
      </c>
      <c r="G142">
        <v>7</v>
      </c>
      <c r="H142">
        <v>8</v>
      </c>
      <c r="I142">
        <v>77</v>
      </c>
      <c r="J142">
        <v>37</v>
      </c>
      <c r="K142">
        <v>40</v>
      </c>
      <c r="L142">
        <v>67</v>
      </c>
    </row>
    <row r="143" spans="1:12" x14ac:dyDescent="0.25">
      <c r="A143">
        <v>2013</v>
      </c>
      <c r="B143" t="s">
        <v>14</v>
      </c>
      <c r="C143" t="s">
        <v>23</v>
      </c>
      <c r="D143">
        <v>65</v>
      </c>
      <c r="E143">
        <v>38</v>
      </c>
      <c r="F143">
        <v>18</v>
      </c>
      <c r="G143">
        <v>11</v>
      </c>
      <c r="H143">
        <v>9</v>
      </c>
      <c r="I143">
        <v>42</v>
      </c>
      <c r="J143">
        <v>35</v>
      </c>
      <c r="K143">
        <v>7</v>
      </c>
      <c r="L143">
        <v>57</v>
      </c>
    </row>
    <row r="144" spans="1:12" x14ac:dyDescent="0.25">
      <c r="A144">
        <v>2013</v>
      </c>
      <c r="B144" t="s">
        <v>16</v>
      </c>
      <c r="C144" t="s">
        <v>59</v>
      </c>
      <c r="D144">
        <v>64</v>
      </c>
      <c r="E144">
        <v>38</v>
      </c>
      <c r="F144">
        <v>18</v>
      </c>
      <c r="G144">
        <v>10</v>
      </c>
      <c r="H144">
        <v>10</v>
      </c>
      <c r="I144">
        <v>65</v>
      </c>
      <c r="J144">
        <v>49</v>
      </c>
      <c r="K144">
        <v>16</v>
      </c>
      <c r="L144">
        <v>56</v>
      </c>
    </row>
    <row r="145" spans="1:12" x14ac:dyDescent="0.25">
      <c r="A145">
        <v>2013</v>
      </c>
      <c r="B145" t="s">
        <v>18</v>
      </c>
      <c r="C145" t="s">
        <v>51</v>
      </c>
      <c r="D145">
        <v>61</v>
      </c>
      <c r="E145">
        <v>38</v>
      </c>
      <c r="F145">
        <v>17</v>
      </c>
      <c r="G145">
        <v>10</v>
      </c>
      <c r="H145">
        <v>11</v>
      </c>
      <c r="I145">
        <v>55</v>
      </c>
      <c r="J145">
        <v>41</v>
      </c>
      <c r="K145">
        <v>14</v>
      </c>
      <c r="L145">
        <v>54</v>
      </c>
    </row>
    <row r="146" spans="1:12" x14ac:dyDescent="0.25">
      <c r="A146">
        <v>2013</v>
      </c>
      <c r="B146" t="s">
        <v>20</v>
      </c>
      <c r="C146" t="s">
        <v>58</v>
      </c>
      <c r="D146">
        <v>59</v>
      </c>
      <c r="E146">
        <v>38</v>
      </c>
      <c r="F146">
        <v>16</v>
      </c>
      <c r="G146">
        <v>11</v>
      </c>
      <c r="H146">
        <v>11</v>
      </c>
      <c r="I146">
        <v>59</v>
      </c>
      <c r="J146">
        <v>53</v>
      </c>
      <c r="K146">
        <v>6</v>
      </c>
      <c r="L146">
        <v>52</v>
      </c>
    </row>
    <row r="147" spans="1:12" x14ac:dyDescent="0.25">
      <c r="A147">
        <v>2013</v>
      </c>
      <c r="B147" t="s">
        <v>22</v>
      </c>
      <c r="C147" t="s">
        <v>47</v>
      </c>
      <c r="D147">
        <v>59</v>
      </c>
      <c r="E147">
        <v>38</v>
      </c>
      <c r="F147">
        <v>16</v>
      </c>
      <c r="G147">
        <v>11</v>
      </c>
      <c r="H147">
        <v>11</v>
      </c>
      <c r="I147">
        <v>48</v>
      </c>
      <c r="J147">
        <v>44</v>
      </c>
      <c r="K147">
        <v>4</v>
      </c>
      <c r="L147">
        <v>52</v>
      </c>
    </row>
    <row r="148" spans="1:12" x14ac:dyDescent="0.25">
      <c r="A148">
        <v>2013</v>
      </c>
      <c r="B148" t="s">
        <v>24</v>
      </c>
      <c r="C148" t="s">
        <v>27</v>
      </c>
      <c r="D148">
        <v>57</v>
      </c>
      <c r="E148">
        <v>38</v>
      </c>
      <c r="F148">
        <v>15</v>
      </c>
      <c r="G148">
        <v>12</v>
      </c>
      <c r="H148">
        <v>11</v>
      </c>
      <c r="I148">
        <v>51</v>
      </c>
      <c r="J148">
        <v>38</v>
      </c>
      <c r="K148">
        <v>13</v>
      </c>
      <c r="L148">
        <v>50</v>
      </c>
    </row>
    <row r="149" spans="1:12" x14ac:dyDescent="0.25">
      <c r="A149">
        <v>2013</v>
      </c>
      <c r="B149" t="s">
        <v>26</v>
      </c>
      <c r="C149" t="s">
        <v>17</v>
      </c>
      <c r="D149">
        <v>57</v>
      </c>
      <c r="E149">
        <v>38</v>
      </c>
      <c r="F149">
        <v>15</v>
      </c>
      <c r="G149">
        <v>12</v>
      </c>
      <c r="H149">
        <v>11</v>
      </c>
      <c r="I149">
        <v>49</v>
      </c>
      <c r="J149">
        <v>38</v>
      </c>
      <c r="K149">
        <v>11</v>
      </c>
      <c r="L149">
        <v>50</v>
      </c>
    </row>
    <row r="150" spans="1:12" x14ac:dyDescent="0.25">
      <c r="A150">
        <v>2013</v>
      </c>
      <c r="B150" t="s">
        <v>28</v>
      </c>
      <c r="C150" t="s">
        <v>19</v>
      </c>
      <c r="D150">
        <v>50</v>
      </c>
      <c r="E150">
        <v>38</v>
      </c>
      <c r="F150">
        <v>14</v>
      </c>
      <c r="G150">
        <v>8</v>
      </c>
      <c r="H150">
        <v>16</v>
      </c>
      <c r="I150">
        <v>39</v>
      </c>
      <c r="J150">
        <v>40</v>
      </c>
      <c r="K150">
        <v>-1</v>
      </c>
      <c r="L150">
        <v>44</v>
      </c>
    </row>
    <row r="151" spans="1:12" x14ac:dyDescent="0.25">
      <c r="A151">
        <v>2013</v>
      </c>
      <c r="B151" t="s">
        <v>30</v>
      </c>
      <c r="C151" t="s">
        <v>35</v>
      </c>
      <c r="D151">
        <v>50</v>
      </c>
      <c r="E151">
        <v>38</v>
      </c>
      <c r="F151">
        <v>11</v>
      </c>
      <c r="G151">
        <v>17</v>
      </c>
      <c r="H151">
        <v>10</v>
      </c>
      <c r="I151">
        <v>27</v>
      </c>
      <c r="J151">
        <v>22</v>
      </c>
      <c r="K151">
        <v>5</v>
      </c>
      <c r="L151">
        <v>44</v>
      </c>
    </row>
    <row r="152" spans="1:12" x14ac:dyDescent="0.25">
      <c r="A152">
        <v>2013</v>
      </c>
      <c r="B152" t="s">
        <v>32</v>
      </c>
      <c r="C152" t="s">
        <v>49</v>
      </c>
      <c r="D152">
        <v>48</v>
      </c>
      <c r="E152">
        <v>38</v>
      </c>
      <c r="F152">
        <v>12</v>
      </c>
      <c r="G152">
        <v>12</v>
      </c>
      <c r="H152">
        <v>14</v>
      </c>
      <c r="I152">
        <v>42</v>
      </c>
      <c r="J152">
        <v>45</v>
      </c>
      <c r="K152">
        <v>-3</v>
      </c>
      <c r="L152">
        <v>42</v>
      </c>
    </row>
    <row r="153" spans="1:12" x14ac:dyDescent="0.25">
      <c r="A153">
        <v>2013</v>
      </c>
      <c r="B153" t="s">
        <v>34</v>
      </c>
      <c r="C153" t="s">
        <v>39</v>
      </c>
      <c r="D153">
        <v>48</v>
      </c>
      <c r="E153">
        <v>38</v>
      </c>
      <c r="F153">
        <v>12</v>
      </c>
      <c r="G153">
        <v>12</v>
      </c>
      <c r="H153">
        <v>14</v>
      </c>
      <c r="I153">
        <v>37</v>
      </c>
      <c r="J153">
        <v>45</v>
      </c>
      <c r="K153">
        <v>-8</v>
      </c>
      <c r="L153">
        <v>42</v>
      </c>
    </row>
    <row r="154" spans="1:12" x14ac:dyDescent="0.25">
      <c r="A154">
        <v>2013</v>
      </c>
      <c r="B154" t="s">
        <v>36</v>
      </c>
      <c r="C154" t="s">
        <v>56</v>
      </c>
      <c r="D154">
        <v>48</v>
      </c>
      <c r="E154">
        <v>38</v>
      </c>
      <c r="F154">
        <v>11</v>
      </c>
      <c r="G154">
        <v>15</v>
      </c>
      <c r="H154">
        <v>12</v>
      </c>
      <c r="I154">
        <v>51</v>
      </c>
      <c r="J154">
        <v>52</v>
      </c>
      <c r="K154">
        <v>-1</v>
      </c>
      <c r="L154">
        <v>42</v>
      </c>
    </row>
    <row r="155" spans="1:12" x14ac:dyDescent="0.25">
      <c r="A155">
        <v>2013</v>
      </c>
      <c r="B155" t="s">
        <v>38</v>
      </c>
      <c r="C155" t="s">
        <v>65</v>
      </c>
      <c r="D155">
        <v>46</v>
      </c>
      <c r="E155">
        <v>38</v>
      </c>
      <c r="F155">
        <v>13</v>
      </c>
      <c r="G155">
        <v>7</v>
      </c>
      <c r="H155">
        <v>18</v>
      </c>
      <c r="I155">
        <v>49</v>
      </c>
      <c r="J155">
        <v>63</v>
      </c>
      <c r="K155">
        <v>-14</v>
      </c>
      <c r="L155">
        <v>40</v>
      </c>
    </row>
    <row r="156" spans="1:12" x14ac:dyDescent="0.25">
      <c r="A156">
        <v>2013</v>
      </c>
      <c r="B156" t="s">
        <v>40</v>
      </c>
      <c r="C156" t="s">
        <v>21</v>
      </c>
      <c r="D156">
        <v>46</v>
      </c>
      <c r="E156">
        <v>38</v>
      </c>
      <c r="F156">
        <v>12</v>
      </c>
      <c r="G156">
        <v>10</v>
      </c>
      <c r="H156">
        <v>16</v>
      </c>
      <c r="I156">
        <v>43</v>
      </c>
      <c r="J156">
        <v>47</v>
      </c>
      <c r="K156">
        <v>-4</v>
      </c>
      <c r="L156">
        <v>40</v>
      </c>
    </row>
    <row r="157" spans="1:12" x14ac:dyDescent="0.25">
      <c r="A157">
        <v>2013</v>
      </c>
      <c r="B157" t="s">
        <v>42</v>
      </c>
      <c r="C157" t="s">
        <v>13</v>
      </c>
      <c r="D157">
        <v>45</v>
      </c>
      <c r="E157">
        <v>38</v>
      </c>
      <c r="F157">
        <v>12</v>
      </c>
      <c r="G157">
        <v>13</v>
      </c>
      <c r="H157">
        <v>13</v>
      </c>
      <c r="I157">
        <v>43</v>
      </c>
      <c r="J157">
        <v>46</v>
      </c>
      <c r="K157">
        <v>-3</v>
      </c>
      <c r="L157">
        <v>39</v>
      </c>
    </row>
    <row r="158" spans="1:12" x14ac:dyDescent="0.25">
      <c r="A158">
        <v>2013</v>
      </c>
      <c r="B158" t="s">
        <v>44</v>
      </c>
      <c r="C158" t="s">
        <v>66</v>
      </c>
      <c r="D158">
        <v>44</v>
      </c>
      <c r="E158">
        <v>38</v>
      </c>
      <c r="F158">
        <v>12</v>
      </c>
      <c r="G158">
        <v>12</v>
      </c>
      <c r="H158">
        <v>14</v>
      </c>
      <c r="I158">
        <v>50</v>
      </c>
      <c r="J158">
        <v>46</v>
      </c>
      <c r="K158">
        <v>4</v>
      </c>
      <c r="L158">
        <v>39</v>
      </c>
    </row>
    <row r="159" spans="1:12" x14ac:dyDescent="0.25">
      <c r="A159">
        <v>2013</v>
      </c>
      <c r="B159" t="s">
        <v>46</v>
      </c>
      <c r="C159" t="s">
        <v>45</v>
      </c>
      <c r="D159">
        <v>44</v>
      </c>
      <c r="E159">
        <v>38</v>
      </c>
      <c r="F159">
        <v>11</v>
      </c>
      <c r="G159">
        <v>11</v>
      </c>
      <c r="H159">
        <v>16</v>
      </c>
      <c r="I159">
        <v>50</v>
      </c>
      <c r="J159">
        <v>61</v>
      </c>
      <c r="K159">
        <v>-11</v>
      </c>
      <c r="L159">
        <v>39</v>
      </c>
    </row>
    <row r="160" spans="1:12" x14ac:dyDescent="0.25">
      <c r="A160">
        <v>2013</v>
      </c>
      <c r="B160" t="s">
        <v>48</v>
      </c>
      <c r="C160" t="s">
        <v>61</v>
      </c>
      <c r="D160">
        <v>37</v>
      </c>
      <c r="E160">
        <v>38</v>
      </c>
      <c r="F160">
        <v>9</v>
      </c>
      <c r="G160">
        <v>10</v>
      </c>
      <c r="H160">
        <v>19</v>
      </c>
      <c r="I160">
        <v>37</v>
      </c>
      <c r="J160">
        <v>55</v>
      </c>
      <c r="K160">
        <v>-18</v>
      </c>
      <c r="L160">
        <v>32</v>
      </c>
    </row>
    <row r="161" spans="1:12" x14ac:dyDescent="0.25">
      <c r="A161">
        <v>2013</v>
      </c>
      <c r="B161" t="s">
        <v>50</v>
      </c>
      <c r="C161" t="s">
        <v>67</v>
      </c>
      <c r="D161">
        <v>20</v>
      </c>
      <c r="E161">
        <v>38</v>
      </c>
      <c r="F161">
        <v>5</v>
      </c>
      <c r="G161">
        <v>5</v>
      </c>
      <c r="H161">
        <v>28</v>
      </c>
      <c r="I161">
        <v>22</v>
      </c>
      <c r="J161">
        <v>79</v>
      </c>
      <c r="K161">
        <v>-57</v>
      </c>
      <c r="L161">
        <v>18</v>
      </c>
    </row>
    <row r="162" spans="1:12" x14ac:dyDescent="0.25">
      <c r="A162">
        <v>2012</v>
      </c>
      <c r="B162" t="s">
        <v>12</v>
      </c>
      <c r="C162" t="s">
        <v>21</v>
      </c>
      <c r="D162">
        <v>77</v>
      </c>
      <c r="E162">
        <v>38</v>
      </c>
      <c r="F162">
        <v>22</v>
      </c>
      <c r="G162">
        <v>11</v>
      </c>
      <c r="H162">
        <v>5</v>
      </c>
      <c r="I162">
        <v>61</v>
      </c>
      <c r="J162">
        <v>33</v>
      </c>
      <c r="K162">
        <v>28</v>
      </c>
      <c r="L162">
        <v>68</v>
      </c>
    </row>
    <row r="163" spans="1:12" x14ac:dyDescent="0.25">
      <c r="A163">
        <v>2012</v>
      </c>
      <c r="B163" t="s">
        <v>14</v>
      </c>
      <c r="C163" t="s">
        <v>17</v>
      </c>
      <c r="D163">
        <v>72</v>
      </c>
      <c r="E163">
        <v>38</v>
      </c>
      <c r="F163">
        <v>20</v>
      </c>
      <c r="G163">
        <v>12</v>
      </c>
      <c r="H163">
        <v>6</v>
      </c>
      <c r="I163">
        <v>64</v>
      </c>
      <c r="J163">
        <v>37</v>
      </c>
      <c r="K163">
        <v>27</v>
      </c>
      <c r="L163">
        <v>63</v>
      </c>
    </row>
    <row r="164" spans="1:12" x14ac:dyDescent="0.25">
      <c r="A164">
        <v>2012</v>
      </c>
      <c r="B164" t="s">
        <v>16</v>
      </c>
      <c r="C164" t="s">
        <v>23</v>
      </c>
      <c r="D164">
        <v>71</v>
      </c>
      <c r="E164">
        <v>38</v>
      </c>
      <c r="F164">
        <v>20</v>
      </c>
      <c r="G164">
        <v>11</v>
      </c>
      <c r="H164">
        <v>7</v>
      </c>
      <c r="I164">
        <v>56</v>
      </c>
      <c r="J164">
        <v>33</v>
      </c>
      <c r="K164">
        <v>23</v>
      </c>
      <c r="L164">
        <v>62</v>
      </c>
    </row>
    <row r="165" spans="1:12" x14ac:dyDescent="0.25">
      <c r="A165">
        <v>2012</v>
      </c>
      <c r="B165" t="s">
        <v>18</v>
      </c>
      <c r="C165" t="s">
        <v>19</v>
      </c>
      <c r="D165">
        <v>66</v>
      </c>
      <c r="E165">
        <v>38</v>
      </c>
      <c r="F165">
        <v>20</v>
      </c>
      <c r="G165">
        <v>6</v>
      </c>
      <c r="H165">
        <v>12</v>
      </c>
      <c r="I165">
        <v>59</v>
      </c>
      <c r="J165">
        <v>37</v>
      </c>
      <c r="K165">
        <v>22</v>
      </c>
      <c r="L165">
        <v>58</v>
      </c>
    </row>
    <row r="166" spans="1:12" x14ac:dyDescent="0.25">
      <c r="A166">
        <v>2012</v>
      </c>
      <c r="B166" t="s">
        <v>20</v>
      </c>
      <c r="C166" t="s">
        <v>45</v>
      </c>
      <c r="D166">
        <v>58</v>
      </c>
      <c r="E166">
        <v>38</v>
      </c>
      <c r="F166">
        <v>16</v>
      </c>
      <c r="G166">
        <v>10</v>
      </c>
      <c r="H166">
        <v>12</v>
      </c>
      <c r="I166">
        <v>45</v>
      </c>
      <c r="J166">
        <v>44</v>
      </c>
      <c r="K166">
        <v>1</v>
      </c>
      <c r="L166">
        <v>51</v>
      </c>
    </row>
    <row r="167" spans="1:12" x14ac:dyDescent="0.25">
      <c r="A167">
        <v>2012</v>
      </c>
      <c r="B167" t="s">
        <v>22</v>
      </c>
      <c r="C167" t="s">
        <v>35</v>
      </c>
      <c r="D167">
        <v>57</v>
      </c>
      <c r="E167">
        <v>38</v>
      </c>
      <c r="F167">
        <v>15</v>
      </c>
      <c r="G167">
        <v>12</v>
      </c>
      <c r="H167">
        <v>11</v>
      </c>
      <c r="I167">
        <v>51</v>
      </c>
      <c r="J167">
        <v>39</v>
      </c>
      <c r="K167">
        <v>12</v>
      </c>
      <c r="L167">
        <v>50</v>
      </c>
    </row>
    <row r="168" spans="1:12" x14ac:dyDescent="0.25">
      <c r="A168">
        <v>2012</v>
      </c>
      <c r="B168" t="s">
        <v>24</v>
      </c>
      <c r="C168" t="s">
        <v>51</v>
      </c>
      <c r="D168">
        <v>55</v>
      </c>
      <c r="E168">
        <v>38</v>
      </c>
      <c r="F168">
        <v>15</v>
      </c>
      <c r="G168">
        <v>10</v>
      </c>
      <c r="H168">
        <v>13</v>
      </c>
      <c r="I168">
        <v>60</v>
      </c>
      <c r="J168">
        <v>50</v>
      </c>
      <c r="K168">
        <v>10</v>
      </c>
      <c r="L168">
        <v>48</v>
      </c>
    </row>
    <row r="169" spans="1:12" x14ac:dyDescent="0.25">
      <c r="A169">
        <v>2012</v>
      </c>
      <c r="B169" t="s">
        <v>26</v>
      </c>
      <c r="C169" t="s">
        <v>27</v>
      </c>
      <c r="D169">
        <v>53</v>
      </c>
      <c r="E169">
        <v>38</v>
      </c>
      <c r="F169">
        <v>13</v>
      </c>
      <c r="G169">
        <v>14</v>
      </c>
      <c r="H169">
        <v>11</v>
      </c>
      <c r="I169">
        <v>50</v>
      </c>
      <c r="J169">
        <v>44</v>
      </c>
      <c r="K169">
        <v>6</v>
      </c>
      <c r="L169">
        <v>46</v>
      </c>
    </row>
    <row r="170" spans="1:12" x14ac:dyDescent="0.25">
      <c r="A170">
        <v>2012</v>
      </c>
      <c r="B170" t="s">
        <v>28</v>
      </c>
      <c r="C170" t="s">
        <v>52</v>
      </c>
      <c r="D170">
        <v>52</v>
      </c>
      <c r="E170">
        <v>38</v>
      </c>
      <c r="F170">
        <v>15</v>
      </c>
      <c r="G170">
        <v>7</v>
      </c>
      <c r="H170">
        <v>16</v>
      </c>
      <c r="I170">
        <v>47</v>
      </c>
      <c r="J170">
        <v>51</v>
      </c>
      <c r="K170">
        <v>-4</v>
      </c>
      <c r="L170">
        <v>46</v>
      </c>
    </row>
    <row r="171" spans="1:12" x14ac:dyDescent="0.25">
      <c r="A171">
        <v>2012</v>
      </c>
      <c r="B171" t="s">
        <v>30</v>
      </c>
      <c r="C171" t="s">
        <v>56</v>
      </c>
      <c r="D171">
        <v>52</v>
      </c>
      <c r="E171">
        <v>38</v>
      </c>
      <c r="F171">
        <v>13</v>
      </c>
      <c r="G171">
        <v>13</v>
      </c>
      <c r="H171">
        <v>12</v>
      </c>
      <c r="I171">
        <v>44</v>
      </c>
      <c r="J171">
        <v>40</v>
      </c>
      <c r="K171">
        <v>4</v>
      </c>
      <c r="L171">
        <v>46</v>
      </c>
    </row>
    <row r="172" spans="1:12" x14ac:dyDescent="0.25">
      <c r="A172">
        <v>2012</v>
      </c>
      <c r="B172" t="s">
        <v>32</v>
      </c>
      <c r="C172" t="s">
        <v>13</v>
      </c>
      <c r="D172">
        <v>50</v>
      </c>
      <c r="E172">
        <v>38</v>
      </c>
      <c r="F172">
        <v>12</v>
      </c>
      <c r="G172">
        <v>14</v>
      </c>
      <c r="H172">
        <v>12</v>
      </c>
      <c r="I172">
        <v>39</v>
      </c>
      <c r="J172">
        <v>46</v>
      </c>
      <c r="K172">
        <v>-7</v>
      </c>
      <c r="L172">
        <v>44</v>
      </c>
    </row>
    <row r="173" spans="1:12" x14ac:dyDescent="0.25">
      <c r="A173">
        <v>2012</v>
      </c>
      <c r="B173" t="s">
        <v>34</v>
      </c>
      <c r="C173" t="s">
        <v>67</v>
      </c>
      <c r="D173">
        <v>49</v>
      </c>
      <c r="E173">
        <v>38</v>
      </c>
      <c r="F173">
        <v>14</v>
      </c>
      <c r="G173">
        <v>7</v>
      </c>
      <c r="H173">
        <v>17</v>
      </c>
      <c r="I173">
        <v>44</v>
      </c>
      <c r="J173">
        <v>51</v>
      </c>
      <c r="K173">
        <v>-7</v>
      </c>
      <c r="L173">
        <v>43</v>
      </c>
    </row>
    <row r="174" spans="1:12" x14ac:dyDescent="0.25">
      <c r="A174">
        <v>2012</v>
      </c>
      <c r="B174" t="s">
        <v>36</v>
      </c>
      <c r="C174" t="s">
        <v>49</v>
      </c>
      <c r="D174">
        <v>48</v>
      </c>
      <c r="E174">
        <v>38</v>
      </c>
      <c r="F174">
        <v>14</v>
      </c>
      <c r="G174">
        <v>6</v>
      </c>
      <c r="H174">
        <v>18</v>
      </c>
      <c r="I174">
        <v>53</v>
      </c>
      <c r="J174">
        <v>60</v>
      </c>
      <c r="K174">
        <v>-7</v>
      </c>
      <c r="L174">
        <v>42</v>
      </c>
    </row>
    <row r="175" spans="1:12" x14ac:dyDescent="0.25">
      <c r="A175">
        <v>2012</v>
      </c>
      <c r="B175" t="s">
        <v>38</v>
      </c>
      <c r="C175" t="s">
        <v>61</v>
      </c>
      <c r="D175">
        <v>48</v>
      </c>
      <c r="E175">
        <v>38</v>
      </c>
      <c r="F175">
        <v>12</v>
      </c>
      <c r="G175">
        <v>12</v>
      </c>
      <c r="H175">
        <v>14</v>
      </c>
      <c r="I175">
        <v>37</v>
      </c>
      <c r="J175">
        <v>44</v>
      </c>
      <c r="K175">
        <v>-7</v>
      </c>
      <c r="L175">
        <v>42</v>
      </c>
    </row>
    <row r="176" spans="1:12" x14ac:dyDescent="0.25">
      <c r="A176">
        <v>2012</v>
      </c>
      <c r="B176" t="s">
        <v>40</v>
      </c>
      <c r="C176" t="s">
        <v>39</v>
      </c>
      <c r="D176">
        <v>47</v>
      </c>
      <c r="E176">
        <v>38</v>
      </c>
      <c r="F176">
        <v>11</v>
      </c>
      <c r="G176">
        <v>14</v>
      </c>
      <c r="H176">
        <v>13</v>
      </c>
      <c r="I176">
        <v>37</v>
      </c>
      <c r="J176">
        <v>41</v>
      </c>
      <c r="K176">
        <v>-4</v>
      </c>
      <c r="L176">
        <v>41</v>
      </c>
    </row>
    <row r="177" spans="1:12" x14ac:dyDescent="0.25">
      <c r="A177">
        <v>2012</v>
      </c>
      <c r="B177" t="s">
        <v>42</v>
      </c>
      <c r="C177" t="s">
        <v>66</v>
      </c>
      <c r="D177">
        <v>45</v>
      </c>
      <c r="E177">
        <v>38</v>
      </c>
      <c r="F177">
        <v>10</v>
      </c>
      <c r="G177">
        <v>15</v>
      </c>
      <c r="H177">
        <v>13</v>
      </c>
      <c r="I177">
        <v>39</v>
      </c>
      <c r="J177">
        <v>41</v>
      </c>
      <c r="K177">
        <v>-2</v>
      </c>
      <c r="L177">
        <v>39</v>
      </c>
    </row>
    <row r="178" spans="1:12" x14ac:dyDescent="0.25">
      <c r="A178">
        <v>2012</v>
      </c>
      <c r="B178" t="s">
        <v>44</v>
      </c>
      <c r="C178" t="s">
        <v>41</v>
      </c>
      <c r="D178">
        <v>41</v>
      </c>
      <c r="E178">
        <v>38</v>
      </c>
      <c r="F178">
        <v>10</v>
      </c>
      <c r="G178">
        <v>11</v>
      </c>
      <c r="H178">
        <v>17</v>
      </c>
      <c r="I178">
        <v>39</v>
      </c>
      <c r="J178">
        <v>56</v>
      </c>
      <c r="K178">
        <v>-17</v>
      </c>
      <c r="L178">
        <v>36</v>
      </c>
    </row>
    <row r="179" spans="1:12" x14ac:dyDescent="0.25">
      <c r="A179">
        <v>2012</v>
      </c>
      <c r="B179" t="s">
        <v>46</v>
      </c>
      <c r="C179" t="s">
        <v>25</v>
      </c>
      <c r="D179">
        <v>34</v>
      </c>
      <c r="E179">
        <v>38</v>
      </c>
      <c r="F179">
        <v>9</v>
      </c>
      <c r="G179">
        <v>7</v>
      </c>
      <c r="H179">
        <v>22</v>
      </c>
      <c r="I179">
        <v>39</v>
      </c>
      <c r="J179">
        <v>54</v>
      </c>
      <c r="K179">
        <v>-15</v>
      </c>
      <c r="L179">
        <v>30</v>
      </c>
    </row>
    <row r="180" spans="1:12" x14ac:dyDescent="0.25">
      <c r="A180">
        <v>2012</v>
      </c>
      <c r="B180" t="s">
        <v>48</v>
      </c>
      <c r="C180" t="s">
        <v>37</v>
      </c>
      <c r="D180">
        <v>30</v>
      </c>
      <c r="E180">
        <v>38</v>
      </c>
      <c r="F180">
        <v>7</v>
      </c>
      <c r="G180">
        <v>9</v>
      </c>
      <c r="H180">
        <v>22</v>
      </c>
      <c r="I180">
        <v>37</v>
      </c>
      <c r="J180">
        <v>67</v>
      </c>
      <c r="K180">
        <v>-30</v>
      </c>
      <c r="L180">
        <v>26</v>
      </c>
    </row>
    <row r="181" spans="1:12" x14ac:dyDescent="0.25">
      <c r="A181">
        <v>2012</v>
      </c>
      <c r="B181" t="s">
        <v>50</v>
      </c>
      <c r="C181" t="s">
        <v>62</v>
      </c>
      <c r="D181">
        <v>30</v>
      </c>
      <c r="E181">
        <v>38</v>
      </c>
      <c r="F181">
        <v>7</v>
      </c>
      <c r="G181">
        <v>9</v>
      </c>
      <c r="H181">
        <v>22</v>
      </c>
      <c r="I181">
        <v>39</v>
      </c>
      <c r="J181">
        <v>72</v>
      </c>
      <c r="K181">
        <v>-33</v>
      </c>
      <c r="L181">
        <v>26</v>
      </c>
    </row>
    <row r="182" spans="1:12" x14ac:dyDescent="0.25">
      <c r="A182">
        <v>2011</v>
      </c>
      <c r="B182" t="s">
        <v>12</v>
      </c>
      <c r="C182" t="s">
        <v>35</v>
      </c>
      <c r="D182">
        <v>71</v>
      </c>
      <c r="E182">
        <v>38</v>
      </c>
      <c r="F182">
        <v>21</v>
      </c>
      <c r="G182">
        <v>8</v>
      </c>
      <c r="H182">
        <v>9</v>
      </c>
      <c r="I182">
        <v>53</v>
      </c>
      <c r="J182">
        <v>36</v>
      </c>
      <c r="K182">
        <v>17</v>
      </c>
      <c r="L182">
        <v>62</v>
      </c>
    </row>
    <row r="183" spans="1:12" x14ac:dyDescent="0.25">
      <c r="A183">
        <v>2011</v>
      </c>
      <c r="B183" t="s">
        <v>14</v>
      </c>
      <c r="C183" t="s">
        <v>45</v>
      </c>
      <c r="D183">
        <v>69</v>
      </c>
      <c r="E183">
        <v>38</v>
      </c>
      <c r="F183">
        <v>19</v>
      </c>
      <c r="G183">
        <v>12</v>
      </c>
      <c r="H183">
        <v>7</v>
      </c>
      <c r="I183">
        <v>57</v>
      </c>
      <c r="J183">
        <v>40</v>
      </c>
      <c r="K183">
        <v>17</v>
      </c>
      <c r="L183">
        <v>61</v>
      </c>
    </row>
    <row r="184" spans="1:12" x14ac:dyDescent="0.25">
      <c r="A184">
        <v>2011</v>
      </c>
      <c r="B184" t="s">
        <v>16</v>
      </c>
      <c r="C184" t="s">
        <v>21</v>
      </c>
      <c r="D184">
        <v>63</v>
      </c>
      <c r="E184">
        <v>38</v>
      </c>
      <c r="F184">
        <v>20</v>
      </c>
      <c r="G184">
        <v>3</v>
      </c>
      <c r="H184">
        <v>15</v>
      </c>
      <c r="I184">
        <v>60</v>
      </c>
      <c r="J184">
        <v>51</v>
      </c>
      <c r="K184">
        <v>9</v>
      </c>
      <c r="L184">
        <v>55</v>
      </c>
    </row>
    <row r="185" spans="1:12" x14ac:dyDescent="0.25">
      <c r="A185">
        <v>2011</v>
      </c>
      <c r="B185" t="s">
        <v>18</v>
      </c>
      <c r="C185" t="s">
        <v>13</v>
      </c>
      <c r="D185">
        <v>61</v>
      </c>
      <c r="E185">
        <v>38</v>
      </c>
      <c r="F185">
        <v>15</v>
      </c>
      <c r="G185">
        <v>16</v>
      </c>
      <c r="H185">
        <v>7</v>
      </c>
      <c r="I185">
        <v>59</v>
      </c>
      <c r="J185">
        <v>47</v>
      </c>
      <c r="K185">
        <v>12</v>
      </c>
      <c r="L185">
        <v>54</v>
      </c>
    </row>
    <row r="186" spans="1:12" x14ac:dyDescent="0.25">
      <c r="A186">
        <v>2011</v>
      </c>
      <c r="B186" t="s">
        <v>20</v>
      </c>
      <c r="C186" t="s">
        <v>56</v>
      </c>
      <c r="D186">
        <v>60</v>
      </c>
      <c r="E186">
        <v>38</v>
      </c>
      <c r="F186">
        <v>16</v>
      </c>
      <c r="G186">
        <v>12</v>
      </c>
      <c r="H186">
        <v>10</v>
      </c>
      <c r="I186">
        <v>57</v>
      </c>
      <c r="J186">
        <v>43</v>
      </c>
      <c r="K186">
        <v>14</v>
      </c>
      <c r="L186">
        <v>53</v>
      </c>
    </row>
    <row r="187" spans="1:12" x14ac:dyDescent="0.25">
      <c r="A187">
        <v>2011</v>
      </c>
      <c r="B187" t="s">
        <v>22</v>
      </c>
      <c r="C187" t="s">
        <v>19</v>
      </c>
      <c r="D187">
        <v>59</v>
      </c>
      <c r="E187">
        <v>38</v>
      </c>
      <c r="F187">
        <v>16</v>
      </c>
      <c r="G187">
        <v>11</v>
      </c>
      <c r="H187">
        <v>11</v>
      </c>
      <c r="I187">
        <v>57</v>
      </c>
      <c r="J187">
        <v>46</v>
      </c>
      <c r="K187">
        <v>11</v>
      </c>
      <c r="L187">
        <v>52</v>
      </c>
    </row>
    <row r="188" spans="1:12" x14ac:dyDescent="0.25">
      <c r="A188">
        <v>2011</v>
      </c>
      <c r="B188" t="s">
        <v>24</v>
      </c>
      <c r="C188" t="s">
        <v>62</v>
      </c>
      <c r="D188">
        <v>58</v>
      </c>
      <c r="E188">
        <v>38</v>
      </c>
      <c r="F188">
        <v>15</v>
      </c>
      <c r="G188">
        <v>13</v>
      </c>
      <c r="H188">
        <v>10</v>
      </c>
      <c r="I188">
        <v>46</v>
      </c>
      <c r="J188">
        <v>45</v>
      </c>
      <c r="K188">
        <v>1</v>
      </c>
      <c r="L188">
        <v>51</v>
      </c>
    </row>
    <row r="189" spans="1:12" x14ac:dyDescent="0.25">
      <c r="A189">
        <v>2011</v>
      </c>
      <c r="B189" t="s">
        <v>26</v>
      </c>
      <c r="C189" t="s">
        <v>49</v>
      </c>
      <c r="D189">
        <v>57</v>
      </c>
      <c r="E189">
        <v>38</v>
      </c>
      <c r="F189">
        <v>16</v>
      </c>
      <c r="G189">
        <v>9</v>
      </c>
      <c r="H189">
        <v>13</v>
      </c>
      <c r="I189">
        <v>57</v>
      </c>
      <c r="J189">
        <v>41</v>
      </c>
      <c r="K189">
        <v>16</v>
      </c>
      <c r="L189">
        <v>50</v>
      </c>
    </row>
    <row r="190" spans="1:12" x14ac:dyDescent="0.25">
      <c r="A190">
        <v>2011</v>
      </c>
      <c r="B190" t="s">
        <v>28</v>
      </c>
      <c r="C190" t="s">
        <v>51</v>
      </c>
      <c r="D190">
        <v>56</v>
      </c>
      <c r="E190">
        <v>38</v>
      </c>
      <c r="F190">
        <v>16</v>
      </c>
      <c r="G190">
        <v>8</v>
      </c>
      <c r="H190">
        <v>14</v>
      </c>
      <c r="I190">
        <v>52</v>
      </c>
      <c r="J190">
        <v>49</v>
      </c>
      <c r="K190">
        <v>3</v>
      </c>
      <c r="L190">
        <v>49</v>
      </c>
    </row>
    <row r="191" spans="1:12" x14ac:dyDescent="0.25">
      <c r="A191">
        <v>2011</v>
      </c>
      <c r="B191" t="s">
        <v>30</v>
      </c>
      <c r="C191" t="s">
        <v>27</v>
      </c>
      <c r="D191">
        <v>53</v>
      </c>
      <c r="E191">
        <v>38</v>
      </c>
      <c r="F191">
        <v>15</v>
      </c>
      <c r="G191">
        <v>8</v>
      </c>
      <c r="H191">
        <v>15</v>
      </c>
      <c r="I191">
        <v>55</v>
      </c>
      <c r="J191">
        <v>55</v>
      </c>
      <c r="K191">
        <v>0</v>
      </c>
      <c r="L191">
        <v>46</v>
      </c>
    </row>
    <row r="192" spans="1:12" x14ac:dyDescent="0.25">
      <c r="A192">
        <v>2011</v>
      </c>
      <c r="B192" t="s">
        <v>32</v>
      </c>
      <c r="C192" t="s">
        <v>25</v>
      </c>
      <c r="D192">
        <v>50</v>
      </c>
      <c r="E192">
        <v>38</v>
      </c>
      <c r="F192">
        <v>11</v>
      </c>
      <c r="G192">
        <v>17</v>
      </c>
      <c r="H192">
        <v>10</v>
      </c>
      <c r="I192">
        <v>43</v>
      </c>
      <c r="J192">
        <v>39</v>
      </c>
      <c r="K192">
        <v>4</v>
      </c>
      <c r="L192">
        <v>44</v>
      </c>
    </row>
    <row r="193" spans="1:12" x14ac:dyDescent="0.25">
      <c r="A193">
        <v>2011</v>
      </c>
      <c r="B193" t="s">
        <v>34</v>
      </c>
      <c r="C193" t="s">
        <v>23</v>
      </c>
      <c r="D193">
        <v>48</v>
      </c>
      <c r="E193">
        <v>38</v>
      </c>
      <c r="F193">
        <v>13</v>
      </c>
      <c r="G193">
        <v>9</v>
      </c>
      <c r="H193">
        <v>16</v>
      </c>
      <c r="I193">
        <v>49</v>
      </c>
      <c r="J193">
        <v>57</v>
      </c>
      <c r="K193">
        <v>-8</v>
      </c>
      <c r="L193">
        <v>42</v>
      </c>
    </row>
    <row r="194" spans="1:12" x14ac:dyDescent="0.25">
      <c r="A194">
        <v>2011</v>
      </c>
      <c r="B194" t="s">
        <v>36</v>
      </c>
      <c r="C194" t="s">
        <v>37</v>
      </c>
      <c r="D194">
        <v>48</v>
      </c>
      <c r="E194">
        <v>38</v>
      </c>
      <c r="F194">
        <v>12</v>
      </c>
      <c r="G194">
        <v>12</v>
      </c>
      <c r="H194">
        <v>14</v>
      </c>
      <c r="I194">
        <v>50</v>
      </c>
      <c r="J194">
        <v>45</v>
      </c>
      <c r="K194">
        <v>5</v>
      </c>
      <c r="L194">
        <v>42</v>
      </c>
    </row>
    <row r="195" spans="1:12" x14ac:dyDescent="0.25">
      <c r="A195">
        <v>2011</v>
      </c>
      <c r="B195" t="s">
        <v>38</v>
      </c>
      <c r="C195" t="s">
        <v>39</v>
      </c>
      <c r="D195">
        <v>46</v>
      </c>
      <c r="E195">
        <v>38</v>
      </c>
      <c r="F195">
        <v>11</v>
      </c>
      <c r="G195">
        <v>13</v>
      </c>
      <c r="H195">
        <v>14</v>
      </c>
      <c r="I195">
        <v>43</v>
      </c>
      <c r="J195">
        <v>49</v>
      </c>
      <c r="K195">
        <v>-6</v>
      </c>
      <c r="L195">
        <v>40</v>
      </c>
    </row>
    <row r="196" spans="1:12" x14ac:dyDescent="0.25">
      <c r="A196">
        <v>2011</v>
      </c>
      <c r="B196" t="s">
        <v>40</v>
      </c>
      <c r="C196" t="s">
        <v>17</v>
      </c>
      <c r="D196">
        <v>45</v>
      </c>
      <c r="E196">
        <v>38</v>
      </c>
      <c r="F196">
        <v>13</v>
      </c>
      <c r="G196">
        <v>6</v>
      </c>
      <c r="H196">
        <v>19</v>
      </c>
      <c r="I196">
        <v>50</v>
      </c>
      <c r="J196">
        <v>60</v>
      </c>
      <c r="K196">
        <v>-10</v>
      </c>
      <c r="L196">
        <v>39</v>
      </c>
    </row>
    <row r="197" spans="1:12" x14ac:dyDescent="0.25">
      <c r="A197">
        <v>2011</v>
      </c>
      <c r="B197" t="s">
        <v>42</v>
      </c>
      <c r="C197" t="s">
        <v>52</v>
      </c>
      <c r="D197">
        <v>43</v>
      </c>
      <c r="E197">
        <v>38</v>
      </c>
      <c r="F197">
        <v>11</v>
      </c>
      <c r="G197">
        <v>10</v>
      </c>
      <c r="H197">
        <v>17</v>
      </c>
      <c r="I197">
        <v>48</v>
      </c>
      <c r="J197">
        <v>51</v>
      </c>
      <c r="K197">
        <v>-3</v>
      </c>
      <c r="L197">
        <v>38</v>
      </c>
    </row>
    <row r="198" spans="1:12" x14ac:dyDescent="0.25">
      <c r="A198">
        <v>2011</v>
      </c>
      <c r="B198" t="s">
        <v>44</v>
      </c>
      <c r="C198" t="s">
        <v>59</v>
      </c>
      <c r="D198">
        <v>41</v>
      </c>
      <c r="E198">
        <v>38</v>
      </c>
      <c r="F198">
        <v>10</v>
      </c>
      <c r="G198">
        <v>11</v>
      </c>
      <c r="H198">
        <v>17</v>
      </c>
      <c r="I198">
        <v>38</v>
      </c>
      <c r="J198">
        <v>55</v>
      </c>
      <c r="K198">
        <v>-17</v>
      </c>
      <c r="L198">
        <v>36</v>
      </c>
    </row>
    <row r="199" spans="1:12" x14ac:dyDescent="0.25">
      <c r="A199">
        <v>2011</v>
      </c>
      <c r="B199" t="s">
        <v>46</v>
      </c>
      <c r="C199" t="s">
        <v>33</v>
      </c>
      <c r="D199">
        <v>39</v>
      </c>
      <c r="E199">
        <v>38</v>
      </c>
      <c r="F199">
        <v>10</v>
      </c>
      <c r="G199">
        <v>9</v>
      </c>
      <c r="H199">
        <v>19</v>
      </c>
      <c r="I199">
        <v>47</v>
      </c>
      <c r="J199">
        <v>64</v>
      </c>
      <c r="K199">
        <v>-17</v>
      </c>
      <c r="L199">
        <v>34</v>
      </c>
    </row>
    <row r="200" spans="1:12" x14ac:dyDescent="0.25">
      <c r="A200">
        <v>2011</v>
      </c>
      <c r="B200" t="s">
        <v>48</v>
      </c>
      <c r="C200" t="s">
        <v>57</v>
      </c>
      <c r="D200">
        <v>37</v>
      </c>
      <c r="E200">
        <v>38</v>
      </c>
      <c r="F200">
        <v>8</v>
      </c>
      <c r="G200">
        <v>13</v>
      </c>
      <c r="H200">
        <v>17</v>
      </c>
      <c r="I200">
        <v>51</v>
      </c>
      <c r="J200">
        <v>69</v>
      </c>
      <c r="K200">
        <v>-18</v>
      </c>
      <c r="L200">
        <v>32</v>
      </c>
    </row>
    <row r="201" spans="1:12" x14ac:dyDescent="0.25">
      <c r="A201">
        <v>2011</v>
      </c>
      <c r="B201" t="s">
        <v>50</v>
      </c>
      <c r="C201" t="s">
        <v>55</v>
      </c>
      <c r="D201">
        <v>31</v>
      </c>
      <c r="E201">
        <v>38</v>
      </c>
      <c r="F201">
        <v>7</v>
      </c>
      <c r="G201">
        <v>10</v>
      </c>
      <c r="H201">
        <v>21</v>
      </c>
      <c r="I201">
        <v>45</v>
      </c>
      <c r="J201">
        <v>75</v>
      </c>
      <c r="K201">
        <v>-30</v>
      </c>
      <c r="L201">
        <v>27</v>
      </c>
    </row>
    <row r="202" spans="1:12" x14ac:dyDescent="0.25">
      <c r="A202">
        <v>2010</v>
      </c>
      <c r="B202" t="s">
        <v>12</v>
      </c>
      <c r="C202" t="s">
        <v>21</v>
      </c>
      <c r="D202">
        <v>71</v>
      </c>
      <c r="E202">
        <v>38</v>
      </c>
      <c r="F202">
        <v>20</v>
      </c>
      <c r="G202">
        <v>11</v>
      </c>
      <c r="H202">
        <v>7</v>
      </c>
      <c r="I202">
        <v>62</v>
      </c>
      <c r="J202">
        <v>36</v>
      </c>
      <c r="K202">
        <v>26</v>
      </c>
      <c r="L202">
        <v>62</v>
      </c>
    </row>
    <row r="203" spans="1:12" x14ac:dyDescent="0.25">
      <c r="A203">
        <v>2010</v>
      </c>
      <c r="B203" t="s">
        <v>14</v>
      </c>
      <c r="C203" t="s">
        <v>52</v>
      </c>
      <c r="D203">
        <v>69</v>
      </c>
      <c r="E203">
        <v>38</v>
      </c>
      <c r="F203">
        <v>20</v>
      </c>
      <c r="G203">
        <v>9</v>
      </c>
      <c r="H203">
        <v>9</v>
      </c>
      <c r="I203">
        <v>53</v>
      </c>
      <c r="J203">
        <v>38</v>
      </c>
      <c r="K203">
        <v>15</v>
      </c>
      <c r="L203">
        <v>61</v>
      </c>
    </row>
    <row r="204" spans="1:12" x14ac:dyDescent="0.25">
      <c r="A204">
        <v>2010</v>
      </c>
      <c r="B204" t="s">
        <v>16</v>
      </c>
      <c r="C204" t="s">
        <v>35</v>
      </c>
      <c r="D204">
        <v>68</v>
      </c>
      <c r="E204">
        <v>38</v>
      </c>
      <c r="F204">
        <v>19</v>
      </c>
      <c r="G204">
        <v>11</v>
      </c>
      <c r="H204">
        <v>8</v>
      </c>
      <c r="I204">
        <v>65</v>
      </c>
      <c r="J204">
        <v>41</v>
      </c>
      <c r="K204">
        <v>24</v>
      </c>
      <c r="L204">
        <v>60</v>
      </c>
    </row>
    <row r="205" spans="1:12" x14ac:dyDescent="0.25">
      <c r="A205">
        <v>2010</v>
      </c>
      <c r="B205" t="s">
        <v>18</v>
      </c>
      <c r="C205" t="s">
        <v>23</v>
      </c>
      <c r="D205">
        <v>63</v>
      </c>
      <c r="E205">
        <v>38</v>
      </c>
      <c r="F205">
        <v>17</v>
      </c>
      <c r="G205">
        <v>12</v>
      </c>
      <c r="H205">
        <v>9</v>
      </c>
      <c r="I205">
        <v>68</v>
      </c>
      <c r="J205">
        <v>43</v>
      </c>
      <c r="K205">
        <v>25</v>
      </c>
      <c r="L205">
        <v>55</v>
      </c>
    </row>
    <row r="206" spans="1:12" x14ac:dyDescent="0.25">
      <c r="A206">
        <v>2010</v>
      </c>
      <c r="B206" t="s">
        <v>20</v>
      </c>
      <c r="C206" t="s">
        <v>59</v>
      </c>
      <c r="D206">
        <v>60</v>
      </c>
      <c r="E206">
        <v>38</v>
      </c>
      <c r="F206">
        <v>17</v>
      </c>
      <c r="G206">
        <v>9</v>
      </c>
      <c r="H206">
        <v>12</v>
      </c>
      <c r="I206">
        <v>43</v>
      </c>
      <c r="J206">
        <v>45</v>
      </c>
      <c r="K206">
        <v>-2</v>
      </c>
      <c r="L206">
        <v>53</v>
      </c>
    </row>
    <row r="207" spans="1:12" x14ac:dyDescent="0.25">
      <c r="A207">
        <v>2010</v>
      </c>
      <c r="B207" t="s">
        <v>22</v>
      </c>
      <c r="C207" t="s">
        <v>51</v>
      </c>
      <c r="D207">
        <v>59</v>
      </c>
      <c r="E207">
        <v>38</v>
      </c>
      <c r="F207">
        <v>14</v>
      </c>
      <c r="G207">
        <v>17</v>
      </c>
      <c r="H207">
        <v>7</v>
      </c>
      <c r="I207">
        <v>54</v>
      </c>
      <c r="J207">
        <v>42</v>
      </c>
      <c r="K207">
        <v>12</v>
      </c>
      <c r="L207">
        <v>52</v>
      </c>
    </row>
    <row r="208" spans="1:12" x14ac:dyDescent="0.25">
      <c r="A208">
        <v>2010</v>
      </c>
      <c r="B208" t="s">
        <v>24</v>
      </c>
      <c r="C208" t="s">
        <v>56</v>
      </c>
      <c r="D208">
        <v>58</v>
      </c>
      <c r="E208">
        <v>38</v>
      </c>
      <c r="F208">
        <v>16</v>
      </c>
      <c r="G208">
        <v>10</v>
      </c>
      <c r="H208">
        <v>12</v>
      </c>
      <c r="I208">
        <v>48</v>
      </c>
      <c r="J208">
        <v>41</v>
      </c>
      <c r="K208">
        <v>7</v>
      </c>
      <c r="L208">
        <v>51</v>
      </c>
    </row>
    <row r="209" spans="1:12" x14ac:dyDescent="0.25">
      <c r="A209">
        <v>2010</v>
      </c>
      <c r="B209" t="s">
        <v>26</v>
      </c>
      <c r="C209" t="s">
        <v>27</v>
      </c>
      <c r="D209">
        <v>56</v>
      </c>
      <c r="E209">
        <v>38</v>
      </c>
      <c r="F209">
        <v>15</v>
      </c>
      <c r="G209">
        <v>11</v>
      </c>
      <c r="H209">
        <v>12</v>
      </c>
      <c r="I209">
        <v>63</v>
      </c>
      <c r="J209">
        <v>50</v>
      </c>
      <c r="K209">
        <v>13</v>
      </c>
      <c r="L209">
        <v>49</v>
      </c>
    </row>
    <row r="210" spans="1:12" x14ac:dyDescent="0.25">
      <c r="A210">
        <v>2010</v>
      </c>
      <c r="B210" t="s">
        <v>28</v>
      </c>
      <c r="C210" t="s">
        <v>19</v>
      </c>
      <c r="D210">
        <v>55</v>
      </c>
      <c r="E210">
        <v>38</v>
      </c>
      <c r="F210">
        <v>15</v>
      </c>
      <c r="G210">
        <v>10</v>
      </c>
      <c r="H210">
        <v>13</v>
      </c>
      <c r="I210">
        <v>54</v>
      </c>
      <c r="J210">
        <v>54</v>
      </c>
      <c r="K210">
        <v>0</v>
      </c>
      <c r="L210">
        <v>48</v>
      </c>
    </row>
    <row r="211" spans="1:12" x14ac:dyDescent="0.25">
      <c r="A211">
        <v>2010</v>
      </c>
      <c r="B211" t="s">
        <v>30</v>
      </c>
      <c r="C211" t="s">
        <v>25</v>
      </c>
      <c r="D211">
        <v>50</v>
      </c>
      <c r="E211">
        <v>38</v>
      </c>
      <c r="F211">
        <v>12</v>
      </c>
      <c r="G211">
        <v>14</v>
      </c>
      <c r="H211">
        <v>12</v>
      </c>
      <c r="I211">
        <v>42</v>
      </c>
      <c r="J211">
        <v>43</v>
      </c>
      <c r="K211">
        <v>-1</v>
      </c>
      <c r="L211">
        <v>44</v>
      </c>
    </row>
    <row r="212" spans="1:12" x14ac:dyDescent="0.25">
      <c r="A212">
        <v>2010</v>
      </c>
      <c r="B212" t="s">
        <v>32</v>
      </c>
      <c r="C212" t="s">
        <v>45</v>
      </c>
      <c r="D212">
        <v>49</v>
      </c>
      <c r="E212">
        <v>38</v>
      </c>
      <c r="F212">
        <v>11</v>
      </c>
      <c r="G212">
        <v>16</v>
      </c>
      <c r="H212">
        <v>11</v>
      </c>
      <c r="I212">
        <v>43</v>
      </c>
      <c r="J212">
        <v>45</v>
      </c>
      <c r="K212">
        <v>-2</v>
      </c>
      <c r="L212">
        <v>43</v>
      </c>
    </row>
    <row r="213" spans="1:12" x14ac:dyDescent="0.25">
      <c r="A213">
        <v>2010</v>
      </c>
      <c r="B213" t="s">
        <v>34</v>
      </c>
      <c r="C213" t="s">
        <v>33</v>
      </c>
      <c r="D213">
        <v>47</v>
      </c>
      <c r="E213">
        <v>38</v>
      </c>
      <c r="F213">
        <v>10</v>
      </c>
      <c r="G213">
        <v>17</v>
      </c>
      <c r="H213">
        <v>11</v>
      </c>
      <c r="I213">
        <v>35</v>
      </c>
      <c r="J213">
        <v>44</v>
      </c>
      <c r="K213">
        <v>-9</v>
      </c>
      <c r="L213">
        <v>41</v>
      </c>
    </row>
    <row r="214" spans="1:12" x14ac:dyDescent="0.25">
      <c r="A214">
        <v>2010</v>
      </c>
      <c r="B214" t="s">
        <v>36</v>
      </c>
      <c r="C214" t="s">
        <v>17</v>
      </c>
      <c r="D214">
        <v>45</v>
      </c>
      <c r="E214">
        <v>38</v>
      </c>
      <c r="F214">
        <v>13</v>
      </c>
      <c r="G214">
        <v>6</v>
      </c>
      <c r="H214">
        <v>19</v>
      </c>
      <c r="I214">
        <v>52</v>
      </c>
      <c r="J214">
        <v>64</v>
      </c>
      <c r="K214">
        <v>-12</v>
      </c>
      <c r="L214">
        <v>39</v>
      </c>
    </row>
    <row r="215" spans="1:12" x14ac:dyDescent="0.25">
      <c r="A215">
        <v>2010</v>
      </c>
      <c r="B215" t="s">
        <v>38</v>
      </c>
      <c r="C215" t="s">
        <v>13</v>
      </c>
      <c r="D215">
        <v>44</v>
      </c>
      <c r="E215">
        <v>38</v>
      </c>
      <c r="F215">
        <v>9</v>
      </c>
      <c r="G215">
        <v>17</v>
      </c>
      <c r="H215">
        <v>12</v>
      </c>
      <c r="I215">
        <v>41</v>
      </c>
      <c r="J215">
        <v>44</v>
      </c>
      <c r="K215">
        <v>-3</v>
      </c>
      <c r="L215">
        <v>39</v>
      </c>
    </row>
    <row r="216" spans="1:12" x14ac:dyDescent="0.25">
      <c r="A216">
        <v>2010</v>
      </c>
      <c r="B216" t="s">
        <v>40</v>
      </c>
      <c r="C216" t="s">
        <v>55</v>
      </c>
      <c r="D216">
        <v>43</v>
      </c>
      <c r="E216">
        <v>38</v>
      </c>
      <c r="F216">
        <v>11</v>
      </c>
      <c r="G216">
        <v>10</v>
      </c>
      <c r="H216">
        <v>17</v>
      </c>
      <c r="I216">
        <v>49</v>
      </c>
      <c r="J216">
        <v>58</v>
      </c>
      <c r="K216">
        <v>-9</v>
      </c>
      <c r="L216">
        <v>38</v>
      </c>
    </row>
    <row r="217" spans="1:12" x14ac:dyDescent="0.25">
      <c r="A217">
        <v>2010</v>
      </c>
      <c r="B217" t="s">
        <v>42</v>
      </c>
      <c r="C217" t="s">
        <v>37</v>
      </c>
      <c r="D217">
        <v>42</v>
      </c>
      <c r="E217">
        <v>38</v>
      </c>
      <c r="F217">
        <v>11</v>
      </c>
      <c r="G217">
        <v>9</v>
      </c>
      <c r="H217">
        <v>18</v>
      </c>
      <c r="I217">
        <v>51</v>
      </c>
      <c r="J217">
        <v>57</v>
      </c>
      <c r="K217">
        <v>-6</v>
      </c>
      <c r="L217">
        <v>37</v>
      </c>
    </row>
    <row r="218" spans="1:12" x14ac:dyDescent="0.25">
      <c r="A218">
        <v>2010</v>
      </c>
      <c r="B218" t="s">
        <v>44</v>
      </c>
      <c r="C218" t="s">
        <v>58</v>
      </c>
      <c r="D218">
        <v>42</v>
      </c>
      <c r="E218">
        <v>38</v>
      </c>
      <c r="F218">
        <v>9</v>
      </c>
      <c r="G218">
        <v>15</v>
      </c>
      <c r="H218">
        <v>14</v>
      </c>
      <c r="I218">
        <v>42</v>
      </c>
      <c r="J218">
        <v>48</v>
      </c>
      <c r="K218">
        <v>-6</v>
      </c>
      <c r="L218">
        <v>37</v>
      </c>
    </row>
    <row r="219" spans="1:12" x14ac:dyDescent="0.25">
      <c r="A219">
        <v>2010</v>
      </c>
      <c r="B219" t="s">
        <v>46</v>
      </c>
      <c r="C219" t="s">
        <v>68</v>
      </c>
      <c r="D219">
        <v>37</v>
      </c>
      <c r="E219">
        <v>38</v>
      </c>
      <c r="F219">
        <v>8</v>
      </c>
      <c r="G219">
        <v>13</v>
      </c>
      <c r="H219">
        <v>17</v>
      </c>
      <c r="I219">
        <v>33</v>
      </c>
      <c r="J219">
        <v>53</v>
      </c>
      <c r="K219">
        <v>-20</v>
      </c>
      <c r="L219">
        <v>32</v>
      </c>
    </row>
    <row r="220" spans="1:12" x14ac:dyDescent="0.25">
      <c r="A220">
        <v>2010</v>
      </c>
      <c r="B220" t="s">
        <v>48</v>
      </c>
      <c r="C220" t="s">
        <v>47</v>
      </c>
      <c r="D220">
        <v>33</v>
      </c>
      <c r="E220">
        <v>38</v>
      </c>
      <c r="F220">
        <v>8</v>
      </c>
      <c r="G220">
        <v>9</v>
      </c>
      <c r="H220">
        <v>21</v>
      </c>
      <c r="I220">
        <v>41</v>
      </c>
      <c r="J220">
        <v>68</v>
      </c>
      <c r="K220">
        <v>-27</v>
      </c>
      <c r="L220">
        <v>29</v>
      </c>
    </row>
    <row r="221" spans="1:12" x14ac:dyDescent="0.25">
      <c r="A221">
        <v>2010</v>
      </c>
      <c r="B221" t="s">
        <v>50</v>
      </c>
      <c r="C221" t="s">
        <v>69</v>
      </c>
      <c r="D221">
        <v>28</v>
      </c>
      <c r="E221">
        <v>38</v>
      </c>
      <c r="F221">
        <v>7</v>
      </c>
      <c r="G221">
        <v>10</v>
      </c>
      <c r="H221">
        <v>21</v>
      </c>
      <c r="I221">
        <v>39</v>
      </c>
      <c r="J221">
        <v>64</v>
      </c>
      <c r="K221">
        <v>-25</v>
      </c>
      <c r="L221">
        <v>25</v>
      </c>
    </row>
    <row r="222" spans="1:12" x14ac:dyDescent="0.25">
      <c r="A222">
        <v>2009</v>
      </c>
      <c r="B222" t="s">
        <v>12</v>
      </c>
      <c r="C222" t="s">
        <v>13</v>
      </c>
      <c r="D222">
        <v>67</v>
      </c>
      <c r="E222">
        <v>38</v>
      </c>
      <c r="F222">
        <v>19</v>
      </c>
      <c r="G222">
        <v>10</v>
      </c>
      <c r="H222">
        <v>9</v>
      </c>
      <c r="I222">
        <v>58</v>
      </c>
      <c r="J222">
        <v>44</v>
      </c>
      <c r="K222">
        <v>14</v>
      </c>
      <c r="L222">
        <v>59</v>
      </c>
    </row>
    <row r="223" spans="1:12" x14ac:dyDescent="0.25">
      <c r="A223">
        <v>2009</v>
      </c>
      <c r="B223" t="s">
        <v>14</v>
      </c>
      <c r="C223" t="s">
        <v>56</v>
      </c>
      <c r="D223">
        <v>65</v>
      </c>
      <c r="E223">
        <v>38</v>
      </c>
      <c r="F223">
        <v>19</v>
      </c>
      <c r="G223">
        <v>8</v>
      </c>
      <c r="H223">
        <v>11</v>
      </c>
      <c r="I223">
        <v>65</v>
      </c>
      <c r="J223">
        <v>44</v>
      </c>
      <c r="K223">
        <v>21</v>
      </c>
      <c r="L223">
        <v>57</v>
      </c>
    </row>
    <row r="224" spans="1:12" x14ac:dyDescent="0.25">
      <c r="A224">
        <v>2009</v>
      </c>
      <c r="B224" t="s">
        <v>16</v>
      </c>
      <c r="C224" t="s">
        <v>19</v>
      </c>
      <c r="D224">
        <v>65</v>
      </c>
      <c r="E224">
        <v>38</v>
      </c>
      <c r="F224">
        <v>18</v>
      </c>
      <c r="G224">
        <v>11</v>
      </c>
      <c r="H224">
        <v>9</v>
      </c>
      <c r="I224">
        <v>57</v>
      </c>
      <c r="J224">
        <v>42</v>
      </c>
      <c r="K224">
        <v>15</v>
      </c>
      <c r="L224">
        <v>57</v>
      </c>
    </row>
    <row r="225" spans="1:12" x14ac:dyDescent="0.25">
      <c r="A225">
        <v>2009</v>
      </c>
      <c r="B225" t="s">
        <v>18</v>
      </c>
      <c r="C225" t="s">
        <v>52</v>
      </c>
      <c r="D225">
        <v>62</v>
      </c>
      <c r="E225">
        <v>38</v>
      </c>
      <c r="F225">
        <v>18</v>
      </c>
      <c r="G225">
        <v>8</v>
      </c>
      <c r="H225">
        <v>12</v>
      </c>
      <c r="I225">
        <v>58</v>
      </c>
      <c r="J225">
        <v>53</v>
      </c>
      <c r="K225">
        <v>5</v>
      </c>
      <c r="L225">
        <v>54</v>
      </c>
    </row>
    <row r="226" spans="1:12" x14ac:dyDescent="0.25">
      <c r="A226">
        <v>2009</v>
      </c>
      <c r="B226" t="s">
        <v>20</v>
      </c>
      <c r="C226" t="s">
        <v>25</v>
      </c>
      <c r="D226">
        <v>62</v>
      </c>
      <c r="E226">
        <v>38</v>
      </c>
      <c r="F226">
        <v>17</v>
      </c>
      <c r="G226">
        <v>11</v>
      </c>
      <c r="H226">
        <v>10</v>
      </c>
      <c r="I226">
        <v>58</v>
      </c>
      <c r="J226">
        <v>45</v>
      </c>
      <c r="K226">
        <v>13</v>
      </c>
      <c r="L226">
        <v>54</v>
      </c>
    </row>
    <row r="227" spans="1:12" x14ac:dyDescent="0.25">
      <c r="A227">
        <v>2009</v>
      </c>
      <c r="B227" t="s">
        <v>22</v>
      </c>
      <c r="C227" t="s">
        <v>55</v>
      </c>
      <c r="D227">
        <v>57</v>
      </c>
      <c r="E227">
        <v>38</v>
      </c>
      <c r="F227">
        <v>15</v>
      </c>
      <c r="G227">
        <v>12</v>
      </c>
      <c r="H227">
        <v>11</v>
      </c>
      <c r="I227">
        <v>61</v>
      </c>
      <c r="J227">
        <v>52</v>
      </c>
      <c r="K227">
        <v>9</v>
      </c>
      <c r="L227">
        <v>50</v>
      </c>
    </row>
    <row r="228" spans="1:12" x14ac:dyDescent="0.25">
      <c r="A228">
        <v>2009</v>
      </c>
      <c r="B228" t="s">
        <v>24</v>
      </c>
      <c r="C228" t="s">
        <v>17</v>
      </c>
      <c r="D228">
        <v>56</v>
      </c>
      <c r="E228">
        <v>38</v>
      </c>
      <c r="F228">
        <v>16</v>
      </c>
      <c r="G228">
        <v>8</v>
      </c>
      <c r="H228">
        <v>14</v>
      </c>
      <c r="I228">
        <v>55</v>
      </c>
      <c r="J228">
        <v>56</v>
      </c>
      <c r="K228">
        <v>-1</v>
      </c>
      <c r="L228">
        <v>49</v>
      </c>
    </row>
    <row r="229" spans="1:12" x14ac:dyDescent="0.25">
      <c r="A229">
        <v>2009</v>
      </c>
      <c r="B229" t="s">
        <v>26</v>
      </c>
      <c r="C229" t="s">
        <v>23</v>
      </c>
      <c r="D229">
        <v>55</v>
      </c>
      <c r="E229">
        <v>38</v>
      </c>
      <c r="F229">
        <v>15</v>
      </c>
      <c r="G229">
        <v>10</v>
      </c>
      <c r="H229">
        <v>13</v>
      </c>
      <c r="I229">
        <v>67</v>
      </c>
      <c r="J229">
        <v>46</v>
      </c>
      <c r="K229">
        <v>21</v>
      </c>
      <c r="L229">
        <v>48</v>
      </c>
    </row>
    <row r="230" spans="1:12" x14ac:dyDescent="0.25">
      <c r="A230">
        <v>2009</v>
      </c>
      <c r="B230" t="s">
        <v>28</v>
      </c>
      <c r="C230" t="s">
        <v>47</v>
      </c>
      <c r="D230">
        <v>55</v>
      </c>
      <c r="E230">
        <v>38</v>
      </c>
      <c r="F230">
        <v>15</v>
      </c>
      <c r="G230">
        <v>10</v>
      </c>
      <c r="H230">
        <v>13</v>
      </c>
      <c r="I230">
        <v>64</v>
      </c>
      <c r="J230">
        <v>65</v>
      </c>
      <c r="K230">
        <v>-1</v>
      </c>
      <c r="L230">
        <v>48</v>
      </c>
    </row>
    <row r="231" spans="1:12" x14ac:dyDescent="0.25">
      <c r="A231">
        <v>2009</v>
      </c>
      <c r="B231" t="s">
        <v>30</v>
      </c>
      <c r="C231" t="s">
        <v>35</v>
      </c>
      <c r="D231">
        <v>52</v>
      </c>
      <c r="E231">
        <v>38</v>
      </c>
      <c r="F231">
        <v>14</v>
      </c>
      <c r="G231">
        <v>10</v>
      </c>
      <c r="H231">
        <v>14</v>
      </c>
      <c r="I231">
        <v>50</v>
      </c>
      <c r="J231">
        <v>54</v>
      </c>
      <c r="K231">
        <v>-4</v>
      </c>
      <c r="L231">
        <v>46</v>
      </c>
    </row>
    <row r="232" spans="1:12" x14ac:dyDescent="0.25">
      <c r="A232">
        <v>2009</v>
      </c>
      <c r="B232" t="s">
        <v>32</v>
      </c>
      <c r="C232" t="s">
        <v>69</v>
      </c>
      <c r="D232">
        <v>49</v>
      </c>
      <c r="E232">
        <v>38</v>
      </c>
      <c r="F232">
        <v>12</v>
      </c>
      <c r="G232">
        <v>13</v>
      </c>
      <c r="H232">
        <v>13</v>
      </c>
      <c r="I232">
        <v>59</v>
      </c>
      <c r="J232">
        <v>52</v>
      </c>
      <c r="K232">
        <v>7</v>
      </c>
      <c r="L232">
        <v>43</v>
      </c>
    </row>
    <row r="233" spans="1:12" x14ac:dyDescent="0.25">
      <c r="A233">
        <v>2009</v>
      </c>
      <c r="B233" t="s">
        <v>34</v>
      </c>
      <c r="C233" t="s">
        <v>27</v>
      </c>
      <c r="D233">
        <v>49</v>
      </c>
      <c r="E233">
        <v>38</v>
      </c>
      <c r="F233">
        <v>12</v>
      </c>
      <c r="G233">
        <v>13</v>
      </c>
      <c r="H233">
        <v>13</v>
      </c>
      <c r="I233">
        <v>58</v>
      </c>
      <c r="J233">
        <v>58</v>
      </c>
      <c r="K233">
        <v>0</v>
      </c>
      <c r="L233">
        <v>43</v>
      </c>
    </row>
    <row r="234" spans="1:12" x14ac:dyDescent="0.25">
      <c r="A234">
        <v>2009</v>
      </c>
      <c r="B234" t="s">
        <v>36</v>
      </c>
      <c r="C234" t="s">
        <v>58</v>
      </c>
      <c r="D234">
        <v>48</v>
      </c>
      <c r="E234">
        <v>38</v>
      </c>
      <c r="F234">
        <v>13</v>
      </c>
      <c r="G234">
        <v>9</v>
      </c>
      <c r="H234">
        <v>16</v>
      </c>
      <c r="I234">
        <v>51</v>
      </c>
      <c r="J234">
        <v>57</v>
      </c>
      <c r="K234">
        <v>-6</v>
      </c>
      <c r="L234">
        <v>42</v>
      </c>
    </row>
    <row r="235" spans="1:12" x14ac:dyDescent="0.25">
      <c r="A235">
        <v>2009</v>
      </c>
      <c r="B235" t="s">
        <v>38</v>
      </c>
      <c r="C235" t="s">
        <v>59</v>
      </c>
      <c r="D235">
        <v>48</v>
      </c>
      <c r="E235">
        <v>38</v>
      </c>
      <c r="F235">
        <v>13</v>
      </c>
      <c r="G235">
        <v>9</v>
      </c>
      <c r="H235">
        <v>16</v>
      </c>
      <c r="I235">
        <v>42</v>
      </c>
      <c r="J235">
        <v>49</v>
      </c>
      <c r="K235">
        <v>-7</v>
      </c>
      <c r="L235">
        <v>42</v>
      </c>
    </row>
    <row r="236" spans="1:12" x14ac:dyDescent="0.25">
      <c r="A236">
        <v>2009</v>
      </c>
      <c r="B236" t="s">
        <v>40</v>
      </c>
      <c r="C236" t="s">
        <v>51</v>
      </c>
      <c r="D236">
        <v>47</v>
      </c>
      <c r="E236">
        <v>38</v>
      </c>
      <c r="F236">
        <v>11</v>
      </c>
      <c r="G236">
        <v>14</v>
      </c>
      <c r="H236">
        <v>13</v>
      </c>
      <c r="I236">
        <v>52</v>
      </c>
      <c r="J236">
        <v>58</v>
      </c>
      <c r="K236">
        <v>-6</v>
      </c>
      <c r="L236">
        <v>41</v>
      </c>
    </row>
    <row r="237" spans="1:12" x14ac:dyDescent="0.25">
      <c r="A237">
        <v>2009</v>
      </c>
      <c r="B237" t="s">
        <v>42</v>
      </c>
      <c r="C237" t="s">
        <v>21</v>
      </c>
      <c r="D237">
        <v>46</v>
      </c>
      <c r="E237">
        <v>38</v>
      </c>
      <c r="F237">
        <v>11</v>
      </c>
      <c r="G237">
        <v>13</v>
      </c>
      <c r="H237">
        <v>14</v>
      </c>
      <c r="I237">
        <v>49</v>
      </c>
      <c r="J237">
        <v>56</v>
      </c>
      <c r="K237">
        <v>-7</v>
      </c>
      <c r="L237">
        <v>40</v>
      </c>
    </row>
    <row r="238" spans="1:12" x14ac:dyDescent="0.25">
      <c r="A238">
        <v>2009</v>
      </c>
      <c r="B238" t="s">
        <v>44</v>
      </c>
      <c r="C238" t="s">
        <v>49</v>
      </c>
      <c r="D238">
        <v>45</v>
      </c>
      <c r="E238">
        <v>38</v>
      </c>
      <c r="F238">
        <v>12</v>
      </c>
      <c r="G238">
        <v>9</v>
      </c>
      <c r="H238">
        <v>17</v>
      </c>
      <c r="I238">
        <v>48</v>
      </c>
      <c r="J238">
        <v>60</v>
      </c>
      <c r="K238">
        <v>-12</v>
      </c>
      <c r="L238">
        <v>39</v>
      </c>
    </row>
    <row r="239" spans="1:12" x14ac:dyDescent="0.25">
      <c r="A239">
        <v>2009</v>
      </c>
      <c r="B239" t="s">
        <v>46</v>
      </c>
      <c r="C239" t="s">
        <v>70</v>
      </c>
      <c r="D239">
        <v>41</v>
      </c>
      <c r="E239">
        <v>38</v>
      </c>
      <c r="F239">
        <v>11</v>
      </c>
      <c r="G239">
        <v>8</v>
      </c>
      <c r="H239">
        <v>19</v>
      </c>
      <c r="I239">
        <v>46</v>
      </c>
      <c r="J239">
        <v>61</v>
      </c>
      <c r="K239">
        <v>-15</v>
      </c>
      <c r="L239">
        <v>36</v>
      </c>
    </row>
    <row r="240" spans="1:12" x14ac:dyDescent="0.25">
      <c r="A240">
        <v>2009</v>
      </c>
      <c r="B240" t="s">
        <v>48</v>
      </c>
      <c r="C240" t="s">
        <v>67</v>
      </c>
      <c r="D240">
        <v>38</v>
      </c>
      <c r="E240">
        <v>38</v>
      </c>
      <c r="F240">
        <v>10</v>
      </c>
      <c r="G240">
        <v>8</v>
      </c>
      <c r="H240">
        <v>20</v>
      </c>
      <c r="I240">
        <v>48</v>
      </c>
      <c r="J240">
        <v>71</v>
      </c>
      <c r="K240">
        <v>-23</v>
      </c>
      <c r="L240">
        <v>33</v>
      </c>
    </row>
    <row r="241" spans="1:12" x14ac:dyDescent="0.25">
      <c r="A241">
        <v>2009</v>
      </c>
      <c r="B241" t="s">
        <v>50</v>
      </c>
      <c r="C241" t="s">
        <v>41</v>
      </c>
      <c r="D241">
        <v>31</v>
      </c>
      <c r="E241">
        <v>38</v>
      </c>
      <c r="F241">
        <v>7</v>
      </c>
      <c r="G241">
        <v>10</v>
      </c>
      <c r="H241">
        <v>21</v>
      </c>
      <c r="I241">
        <v>48</v>
      </c>
      <c r="J241">
        <v>71</v>
      </c>
      <c r="K241">
        <v>-23</v>
      </c>
      <c r="L241">
        <v>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A9EC-7463-4593-9B0F-C2C936C0A2F8}">
  <sheetPr codeName="Planilha4"/>
  <dimension ref="A1:R113"/>
  <sheetViews>
    <sheetView topLeftCell="A61" workbookViewId="0">
      <selection activeCell="C61" sqref="C61:C65"/>
    </sheetView>
  </sheetViews>
  <sheetFormatPr defaultRowHeight="15" x14ac:dyDescent="0.25"/>
  <cols>
    <col min="2" max="2" width="18" bestFit="1" customWidth="1"/>
    <col min="3" max="3" width="11.5703125" bestFit="1" customWidth="1"/>
    <col min="4" max="5" width="6" bestFit="1" customWidth="1"/>
    <col min="6" max="6" width="9.5703125" bestFit="1" customWidth="1"/>
    <col min="7" max="7" width="12.28515625" bestFit="1" customWidth="1"/>
    <col min="8" max="8" width="12.85546875" bestFit="1" customWidth="1"/>
    <col min="9" max="9" width="12" bestFit="1" customWidth="1"/>
    <col min="10" max="10" width="16.5703125" bestFit="1" customWidth="1"/>
    <col min="11" max="11" width="4.85546875" bestFit="1" customWidth="1"/>
    <col min="12" max="12" width="9" bestFit="1" customWidth="1"/>
    <col min="13" max="13" width="10.5703125" bestFit="1" customWidth="1"/>
    <col min="14" max="14" width="12.85546875" bestFit="1" customWidth="1"/>
    <col min="15" max="15" width="11.140625" bestFit="1" customWidth="1"/>
    <col min="16" max="16" width="8" bestFit="1" customWidth="1"/>
    <col min="17" max="17" width="8.7109375" bestFit="1" customWidth="1"/>
    <col min="18" max="18" width="8.42578125" bestFit="1" customWidth="1"/>
    <col min="19" max="19" width="4.42578125" bestFit="1" customWidth="1"/>
    <col min="20" max="20" width="11.42578125" bestFit="1" customWidth="1"/>
    <col min="21" max="21" width="9.7109375" bestFit="1" customWidth="1"/>
    <col min="22" max="22" width="11.42578125" bestFit="1" customWidth="1"/>
    <col min="24" max="24" width="7.7109375" bestFit="1" customWidth="1"/>
    <col min="25" max="25" width="14.7109375" bestFit="1" customWidth="1"/>
    <col min="26" max="26" width="8" bestFit="1" customWidth="1"/>
    <col min="27" max="27" width="12.7109375" bestFit="1" customWidth="1"/>
    <col min="28" max="28" width="8.140625" bestFit="1" customWidth="1"/>
    <col min="29" max="29" width="8.42578125" bestFit="1" customWidth="1"/>
    <col min="30" max="30" width="7.85546875" bestFit="1" customWidth="1"/>
    <col min="31" max="31" width="9.7109375" bestFit="1" customWidth="1"/>
    <col min="32" max="32" width="12.5703125" bestFit="1" customWidth="1"/>
    <col min="33" max="33" width="11.42578125" bestFit="1" customWidth="1"/>
    <col min="34" max="34" width="11" bestFit="1" customWidth="1"/>
    <col min="35" max="35" width="13.140625" bestFit="1" customWidth="1"/>
    <col min="36" max="36" width="11.85546875" bestFit="1" customWidth="1"/>
    <col min="37" max="37" width="6.85546875" bestFit="1" customWidth="1"/>
    <col min="38" max="38" width="5.7109375" bestFit="1" customWidth="1"/>
    <col min="39" max="39" width="6.140625" bestFit="1" customWidth="1"/>
    <col min="40" max="40" width="7" bestFit="1" customWidth="1"/>
    <col min="41" max="41" width="10.7109375" bestFit="1" customWidth="1"/>
  </cols>
  <sheetData>
    <row r="1" spans="2:10" x14ac:dyDescent="0.25">
      <c r="B1" s="29" t="s">
        <v>2</v>
      </c>
      <c r="C1" t="s">
        <v>45</v>
      </c>
      <c r="F1" s="35" t="s">
        <v>79</v>
      </c>
    </row>
    <row r="3" spans="2:10" ht="15.75" thickBot="1" x14ac:dyDescent="0.3">
      <c r="B3" s="29" t="s">
        <v>71</v>
      </c>
      <c r="C3" t="s">
        <v>73</v>
      </c>
      <c r="D3" t="s">
        <v>74</v>
      </c>
      <c r="E3" t="s">
        <v>75</v>
      </c>
      <c r="G3" s="32" t="s">
        <v>0</v>
      </c>
      <c r="H3" s="33" t="s">
        <v>80</v>
      </c>
      <c r="I3" s="33" t="s">
        <v>81</v>
      </c>
      <c r="J3" s="33" t="s">
        <v>82</v>
      </c>
    </row>
    <row r="4" spans="2:10" ht="15.75" thickTop="1" x14ac:dyDescent="0.25">
      <c r="B4" s="30">
        <v>2010</v>
      </c>
      <c r="C4" s="31">
        <v>11</v>
      </c>
      <c r="D4" s="31">
        <v>16</v>
      </c>
      <c r="E4" s="31">
        <v>11</v>
      </c>
      <c r="G4" s="30">
        <v>2009</v>
      </c>
      <c r="H4" t="e">
        <f t="shared" ref="H4:H15" ca="1" si="0">IF(OFFSET($B$3,MATCH(G4,$B$4:$B$15,0),1)=0,NA(),OFFSET($B$3,MATCH(G4,$B$4:$B$15,0),1))</f>
        <v>#N/A</v>
      </c>
      <c r="I4" t="e">
        <f t="shared" ref="I4:I15" ca="1" si="1">IF(OFFSET($B$3,MATCH(G4,$B$4:$B$15,0),2)=0,NA(),OFFSET($B$3,MATCH(G4,$B$4:$B$15,0),2))</f>
        <v>#N/A</v>
      </c>
      <c r="J4" t="e">
        <f t="shared" ref="J4:J15" ca="1" si="2">IF(OFFSET($B$3,MATCH(G4,$B$4:$B$15,0),3)=0,NA(),OFFSET($B$3,MATCH(G4,$B$4:$B$15,0),3))</f>
        <v>#N/A</v>
      </c>
    </row>
    <row r="5" spans="2:10" x14ac:dyDescent="0.25">
      <c r="B5" s="30">
        <v>2011</v>
      </c>
      <c r="C5" s="31">
        <v>19</v>
      </c>
      <c r="D5" s="31">
        <v>12</v>
      </c>
      <c r="E5" s="31">
        <v>7</v>
      </c>
      <c r="G5" s="30">
        <v>2010</v>
      </c>
      <c r="H5">
        <f t="shared" ca="1" si="0"/>
        <v>11</v>
      </c>
      <c r="I5">
        <f t="shared" ca="1" si="1"/>
        <v>16</v>
      </c>
      <c r="J5">
        <f t="shared" ca="1" si="2"/>
        <v>11</v>
      </c>
    </row>
    <row r="6" spans="2:10" x14ac:dyDescent="0.25">
      <c r="B6" s="30">
        <v>2012</v>
      </c>
      <c r="C6" s="31">
        <v>16</v>
      </c>
      <c r="D6" s="31">
        <v>10</v>
      </c>
      <c r="E6" s="31">
        <v>12</v>
      </c>
      <c r="G6" s="30">
        <v>2011</v>
      </c>
      <c r="H6">
        <f t="shared" ca="1" si="0"/>
        <v>19</v>
      </c>
      <c r="I6">
        <f t="shared" ca="1" si="1"/>
        <v>12</v>
      </c>
      <c r="J6">
        <f t="shared" ca="1" si="2"/>
        <v>7</v>
      </c>
    </row>
    <row r="7" spans="2:10" x14ac:dyDescent="0.25">
      <c r="B7" s="30">
        <v>2013</v>
      </c>
      <c r="C7" s="31">
        <v>11</v>
      </c>
      <c r="D7" s="31">
        <v>11</v>
      </c>
      <c r="E7" s="31">
        <v>16</v>
      </c>
      <c r="G7" s="30">
        <v>2012</v>
      </c>
      <c r="H7">
        <f t="shared" ca="1" si="0"/>
        <v>16</v>
      </c>
      <c r="I7">
        <f t="shared" ca="1" si="1"/>
        <v>10</v>
      </c>
      <c r="J7">
        <f t="shared" ca="1" si="2"/>
        <v>12</v>
      </c>
    </row>
    <row r="8" spans="2:10" x14ac:dyDescent="0.25">
      <c r="B8" s="30">
        <v>2015</v>
      </c>
      <c r="C8" s="31">
        <v>10</v>
      </c>
      <c r="D8" s="31">
        <v>11</v>
      </c>
      <c r="E8" s="31">
        <v>17</v>
      </c>
      <c r="G8" s="30">
        <v>2013</v>
      </c>
      <c r="H8">
        <f t="shared" ca="1" si="0"/>
        <v>11</v>
      </c>
      <c r="I8">
        <f t="shared" ca="1" si="1"/>
        <v>11</v>
      </c>
      <c r="J8">
        <f t="shared" ca="1" si="2"/>
        <v>16</v>
      </c>
    </row>
    <row r="9" spans="2:10" x14ac:dyDescent="0.25">
      <c r="B9" s="30">
        <v>2017</v>
      </c>
      <c r="C9" s="31">
        <v>15</v>
      </c>
      <c r="D9" s="31">
        <v>11</v>
      </c>
      <c r="E9" s="31">
        <v>12</v>
      </c>
      <c r="G9" s="30">
        <v>2014</v>
      </c>
      <c r="H9" t="e">
        <f t="shared" ca="1" si="0"/>
        <v>#N/A</v>
      </c>
      <c r="I9" t="e">
        <f t="shared" ca="1" si="1"/>
        <v>#N/A</v>
      </c>
      <c r="J9" t="e">
        <f t="shared" ca="1" si="2"/>
        <v>#N/A</v>
      </c>
    </row>
    <row r="10" spans="2:10" x14ac:dyDescent="0.25">
      <c r="B10" s="30">
        <v>2018</v>
      </c>
      <c r="C10" s="31">
        <v>6</v>
      </c>
      <c r="D10" s="31">
        <v>6</v>
      </c>
      <c r="E10" s="31">
        <v>7</v>
      </c>
      <c r="G10" s="30">
        <v>2015</v>
      </c>
      <c r="H10">
        <f t="shared" ca="1" si="0"/>
        <v>10</v>
      </c>
      <c r="I10">
        <f t="shared" ca="1" si="1"/>
        <v>11</v>
      </c>
      <c r="J10">
        <f t="shared" ca="1" si="2"/>
        <v>17</v>
      </c>
    </row>
    <row r="11" spans="2:10" x14ac:dyDescent="0.25">
      <c r="B11" s="30">
        <v>2019</v>
      </c>
      <c r="C11" s="31">
        <v>12</v>
      </c>
      <c r="D11" s="31">
        <v>13</v>
      </c>
      <c r="E11" s="31">
        <v>13</v>
      </c>
      <c r="G11" s="30">
        <v>2016</v>
      </c>
      <c r="H11" t="e">
        <f t="shared" ca="1" si="0"/>
        <v>#N/A</v>
      </c>
      <c r="I11" t="e">
        <f t="shared" ca="1" si="1"/>
        <v>#N/A</v>
      </c>
      <c r="J11" t="e">
        <f t="shared" ca="1" si="2"/>
        <v>#N/A</v>
      </c>
    </row>
    <row r="12" spans="2:10" x14ac:dyDescent="0.25">
      <c r="B12" s="30">
        <v>2020</v>
      </c>
      <c r="C12" s="31">
        <v>10</v>
      </c>
      <c r="D12" s="31">
        <v>11</v>
      </c>
      <c r="E12" s="31">
        <v>17</v>
      </c>
      <c r="G12" s="30">
        <v>2017</v>
      </c>
      <c r="H12">
        <f t="shared" ca="1" si="0"/>
        <v>15</v>
      </c>
      <c r="I12">
        <f t="shared" ca="1" si="1"/>
        <v>11</v>
      </c>
      <c r="J12">
        <f t="shared" ca="1" si="2"/>
        <v>12</v>
      </c>
    </row>
    <row r="13" spans="2:10" x14ac:dyDescent="0.25">
      <c r="B13" s="30" t="s">
        <v>72</v>
      </c>
      <c r="C13" s="31">
        <v>110</v>
      </c>
      <c r="D13" s="31">
        <v>101</v>
      </c>
      <c r="E13" s="31">
        <v>112</v>
      </c>
      <c r="G13" s="30">
        <v>2018</v>
      </c>
      <c r="H13">
        <f t="shared" ca="1" si="0"/>
        <v>6</v>
      </c>
      <c r="I13">
        <f t="shared" ca="1" si="1"/>
        <v>6</v>
      </c>
      <c r="J13">
        <f t="shared" ca="1" si="2"/>
        <v>7</v>
      </c>
    </row>
    <row r="14" spans="2:10" x14ac:dyDescent="0.25">
      <c r="G14" s="30">
        <v>2019</v>
      </c>
      <c r="H14">
        <f t="shared" ca="1" si="0"/>
        <v>12</v>
      </c>
      <c r="I14">
        <f t="shared" ca="1" si="1"/>
        <v>13</v>
      </c>
      <c r="J14">
        <f t="shared" ca="1" si="2"/>
        <v>13</v>
      </c>
    </row>
    <row r="15" spans="2:10" x14ac:dyDescent="0.25">
      <c r="G15" s="30">
        <v>2020</v>
      </c>
      <c r="H15">
        <f t="shared" ca="1" si="0"/>
        <v>10</v>
      </c>
      <c r="I15">
        <f t="shared" ca="1" si="1"/>
        <v>11</v>
      </c>
      <c r="J15">
        <f t="shared" ca="1" si="2"/>
        <v>17</v>
      </c>
    </row>
    <row r="17" spans="1:16" ht="15.75" thickBot="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spans="1:16" x14ac:dyDescent="0.25">
      <c r="A18" s="36"/>
      <c r="B18" s="29" t="s">
        <v>2</v>
      </c>
      <c r="C18" t="s">
        <v>45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 ht="15.75" thickBot="1" x14ac:dyDescent="0.3">
      <c r="A19" s="36"/>
      <c r="B19" s="29" t="s">
        <v>0</v>
      </c>
      <c r="C19" s="30">
        <v>2020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</row>
    <row r="20" spans="1:16" ht="16.5" thickBot="1" x14ac:dyDescent="0.3">
      <c r="A20" s="36"/>
      <c r="B20" s="36"/>
      <c r="C20" s="36"/>
      <c r="D20" s="36"/>
      <c r="E20" s="36"/>
      <c r="F20" s="36"/>
      <c r="G20" s="40" t="s">
        <v>2</v>
      </c>
      <c r="H20" s="42" t="str">
        <f>C18</f>
        <v>Vasco</v>
      </c>
      <c r="I20" s="41" t="s">
        <v>11</v>
      </c>
      <c r="J20" s="36"/>
      <c r="K20" s="36"/>
      <c r="L20" s="36"/>
      <c r="M20" s="36"/>
      <c r="N20" s="36"/>
      <c r="O20" s="36"/>
      <c r="P20" s="36"/>
    </row>
    <row r="21" spans="1:16" x14ac:dyDescent="0.25">
      <c r="A21" s="36"/>
      <c r="B21" t="s">
        <v>73</v>
      </c>
      <c r="C21" t="s">
        <v>74</v>
      </c>
      <c r="D21" t="s">
        <v>75</v>
      </c>
      <c r="E21" s="36"/>
      <c r="F21" s="36"/>
      <c r="G21" s="37" t="s">
        <v>80</v>
      </c>
      <c r="H21" s="36">
        <f>B22</f>
        <v>10</v>
      </c>
      <c r="I21" s="43">
        <f>H21/SUM($H$21:$H$23)</f>
        <v>0.26315789473684209</v>
      </c>
      <c r="J21" s="36"/>
      <c r="K21" s="36"/>
      <c r="L21" s="36"/>
      <c r="M21" s="36"/>
      <c r="N21" s="36"/>
      <c r="O21" s="36"/>
      <c r="P21" s="36"/>
    </row>
    <row r="22" spans="1:16" x14ac:dyDescent="0.25">
      <c r="A22" s="36"/>
      <c r="B22" s="31">
        <v>10</v>
      </c>
      <c r="C22" s="25">
        <v>11</v>
      </c>
      <c r="D22" s="25">
        <v>17</v>
      </c>
      <c r="E22" s="36"/>
      <c r="F22" s="36"/>
      <c r="G22" s="37" t="s">
        <v>81</v>
      </c>
      <c r="H22" s="39">
        <f>C22</f>
        <v>11</v>
      </c>
      <c r="I22" s="43">
        <f>H22/SUM($H$21:$H$23)</f>
        <v>0.28947368421052633</v>
      </c>
      <c r="J22" s="36"/>
      <c r="K22" s="36"/>
      <c r="L22" s="36"/>
      <c r="M22" s="36"/>
      <c r="N22" s="36"/>
      <c r="O22" s="36"/>
      <c r="P22" s="36"/>
    </row>
    <row r="23" spans="1:16" ht="15.75" thickBot="1" x14ac:dyDescent="0.3">
      <c r="A23" s="36"/>
      <c r="E23" s="36"/>
      <c r="F23" s="36"/>
      <c r="G23" s="38" t="s">
        <v>82</v>
      </c>
      <c r="H23" s="44">
        <f>D22</f>
        <v>17</v>
      </c>
      <c r="I23" s="45">
        <f>H23/SUM($H$21:$H$23)</f>
        <v>0.44736842105263158</v>
      </c>
      <c r="J23" s="36"/>
      <c r="K23" s="36"/>
      <c r="L23" s="36"/>
      <c r="M23" s="36"/>
      <c r="N23" s="36"/>
      <c r="O23" s="36"/>
      <c r="P23" s="36"/>
    </row>
    <row r="24" spans="1:16" x14ac:dyDescent="0.25">
      <c r="A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spans="1:16" x14ac:dyDescent="0.25">
      <c r="A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 x14ac:dyDescent="0.25">
      <c r="A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7" spans="1:16" x14ac:dyDescent="0.25">
      <c r="A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</row>
    <row r="28" spans="1:16" x14ac:dyDescent="0.25">
      <c r="A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</row>
    <row r="29" spans="1:16" x14ac:dyDescent="0.25">
      <c r="A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</row>
    <row r="30" spans="1:16" x14ac:dyDescent="0.25">
      <c r="A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</row>
    <row r="31" spans="1:16" x14ac:dyDescent="0.25">
      <c r="A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</row>
    <row r="32" spans="1:16" x14ac:dyDescent="0.25">
      <c r="A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</row>
    <row r="33" spans="1:18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</row>
    <row r="34" spans="1:18" ht="15.75" thickBot="1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</row>
    <row r="35" spans="1:18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</row>
    <row r="36" spans="1:18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</row>
    <row r="37" spans="1:18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</row>
    <row r="38" spans="1:18" x14ac:dyDescent="0.25">
      <c r="B38" s="29" t="s">
        <v>2</v>
      </c>
      <c r="C38" t="s">
        <v>45</v>
      </c>
    </row>
    <row r="40" spans="1:18" ht="15.75" thickBot="1" x14ac:dyDescent="0.3">
      <c r="B40" s="29" t="s">
        <v>71</v>
      </c>
      <c r="C40" t="s">
        <v>76</v>
      </c>
      <c r="D40" t="s">
        <v>77</v>
      </c>
      <c r="E40" t="s">
        <v>78</v>
      </c>
      <c r="G40" s="32" t="s">
        <v>0</v>
      </c>
      <c r="H40" s="57" t="s">
        <v>89</v>
      </c>
      <c r="I40" s="57" t="s">
        <v>90</v>
      </c>
      <c r="J40" s="33" t="s">
        <v>91</v>
      </c>
    </row>
    <row r="41" spans="1:18" ht="15.75" thickTop="1" x14ac:dyDescent="0.25">
      <c r="B41" s="30">
        <v>2020</v>
      </c>
      <c r="C41" s="25">
        <v>37</v>
      </c>
      <c r="D41" s="25">
        <v>56</v>
      </c>
      <c r="E41" s="25">
        <v>-19</v>
      </c>
      <c r="G41" s="30">
        <f>B41</f>
        <v>2020</v>
      </c>
      <c r="H41" s="34">
        <f>C41</f>
        <v>37</v>
      </c>
      <c r="I41" s="34">
        <f>D41</f>
        <v>56</v>
      </c>
      <c r="J41" s="34">
        <f>E41</f>
        <v>-19</v>
      </c>
    </row>
    <row r="42" spans="1:18" x14ac:dyDescent="0.25">
      <c r="B42" s="30" t="s">
        <v>72</v>
      </c>
      <c r="C42" s="25">
        <v>37</v>
      </c>
      <c r="D42" s="25">
        <v>56</v>
      </c>
      <c r="E42" s="25">
        <v>-19</v>
      </c>
      <c r="G42" s="30"/>
      <c r="H42" s="34"/>
      <c r="I42" s="34"/>
      <c r="J42" s="34"/>
    </row>
    <row r="43" spans="1:18" x14ac:dyDescent="0.25">
      <c r="G43" s="30"/>
      <c r="H43" s="34"/>
      <c r="I43" s="34"/>
      <c r="J43" s="34"/>
    </row>
    <row r="44" spans="1:18" x14ac:dyDescent="0.25">
      <c r="G44" s="30"/>
      <c r="H44" s="34"/>
      <c r="I44" s="34"/>
      <c r="J44" s="34"/>
    </row>
    <row r="45" spans="1:18" x14ac:dyDescent="0.25">
      <c r="G45" s="30"/>
      <c r="H45" s="34"/>
      <c r="I45" s="34"/>
      <c r="J45" s="34"/>
    </row>
    <row r="46" spans="1:18" x14ac:dyDescent="0.25">
      <c r="G46" s="30"/>
      <c r="H46" s="34"/>
      <c r="I46" s="34"/>
      <c r="J46" s="34"/>
    </row>
    <row r="47" spans="1:18" x14ac:dyDescent="0.25">
      <c r="G47" s="30"/>
      <c r="H47" s="34"/>
      <c r="I47" s="34"/>
      <c r="J47" s="34"/>
    </row>
    <row r="48" spans="1:18" x14ac:dyDescent="0.25">
      <c r="G48" s="30"/>
      <c r="H48" s="34"/>
      <c r="I48" s="34"/>
      <c r="J48" s="34"/>
    </row>
    <row r="49" spans="1:17" x14ac:dyDescent="0.25">
      <c r="G49" s="30"/>
      <c r="H49" s="34"/>
      <c r="I49" s="34"/>
      <c r="J49" s="34"/>
    </row>
    <row r="50" spans="1:17" x14ac:dyDescent="0.25">
      <c r="G50" s="30"/>
      <c r="H50" s="34"/>
      <c r="I50" s="34"/>
      <c r="J50" s="34"/>
    </row>
    <row r="51" spans="1:17" x14ac:dyDescent="0.25">
      <c r="G51" s="30"/>
      <c r="H51" s="34"/>
      <c r="I51" s="34"/>
      <c r="J51" s="34"/>
    </row>
    <row r="52" spans="1:17" x14ac:dyDescent="0.25">
      <c r="G52" s="30"/>
      <c r="H52" s="34"/>
      <c r="I52" s="34"/>
      <c r="J52" s="34"/>
    </row>
    <row r="55" spans="1:17" ht="15.75" thickBo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8" spans="1:17" x14ac:dyDescent="0.25">
      <c r="B58" s="29" t="s">
        <v>0</v>
      </c>
      <c r="C58" s="30">
        <v>2020</v>
      </c>
      <c r="F58" s="46" t="s">
        <v>84</v>
      </c>
    </row>
    <row r="59" spans="1:17" x14ac:dyDescent="0.25">
      <c r="F59" s="46" t="str">
        <f>"G5 ("&amp;C58&amp;")"</f>
        <v>G5 (2020)</v>
      </c>
    </row>
    <row r="60" spans="1:17" x14ac:dyDescent="0.25">
      <c r="B60" s="29" t="s">
        <v>71</v>
      </c>
      <c r="C60" t="s">
        <v>83</v>
      </c>
    </row>
    <row r="61" spans="1:17" x14ac:dyDescent="0.25">
      <c r="B61" s="30" t="s">
        <v>13</v>
      </c>
      <c r="C61" s="31">
        <v>71</v>
      </c>
      <c r="F61" t="str">
        <f>C61&amp;" pts"</f>
        <v>71 pts</v>
      </c>
    </row>
    <row r="62" spans="1:17" x14ac:dyDescent="0.25">
      <c r="B62" s="30" t="s">
        <v>15</v>
      </c>
      <c r="C62" s="31">
        <v>70</v>
      </c>
      <c r="F62" t="str">
        <f t="shared" ref="F62:F65" si="3">C62&amp;" pts"</f>
        <v>70 pts</v>
      </c>
    </row>
    <row r="63" spans="1:17" x14ac:dyDescent="0.25">
      <c r="B63" s="30" t="s">
        <v>17</v>
      </c>
      <c r="C63" s="31">
        <v>68</v>
      </c>
      <c r="F63" t="str">
        <f t="shared" si="3"/>
        <v>68 pts</v>
      </c>
    </row>
    <row r="64" spans="1:17" x14ac:dyDescent="0.25">
      <c r="B64" s="30" t="s">
        <v>19</v>
      </c>
      <c r="C64" s="31">
        <v>66</v>
      </c>
      <c r="F64" t="str">
        <f t="shared" si="3"/>
        <v>66 pts</v>
      </c>
    </row>
    <row r="65" spans="1:17" x14ac:dyDescent="0.25">
      <c r="B65" s="30" t="s">
        <v>21</v>
      </c>
      <c r="C65" s="31">
        <v>64</v>
      </c>
      <c r="F65" t="str">
        <f t="shared" si="3"/>
        <v>64 pts</v>
      </c>
    </row>
    <row r="73" spans="1:17" ht="15.75" thickBot="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</row>
    <row r="74" spans="1:17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</row>
    <row r="75" spans="1:17" x14ac:dyDescent="0.25">
      <c r="B75" s="29" t="s">
        <v>0</v>
      </c>
      <c r="C75" s="30">
        <v>2020</v>
      </c>
      <c r="F75" s="46" t="s">
        <v>84</v>
      </c>
    </row>
    <row r="76" spans="1:17" x14ac:dyDescent="0.25">
      <c r="F76" s="46" t="str">
        <f>"Grupo de Rebaixamento ("&amp;C75&amp;")"</f>
        <v>Grupo de Rebaixamento (2020)</v>
      </c>
    </row>
    <row r="77" spans="1:17" x14ac:dyDescent="0.25">
      <c r="B77" s="29" t="s">
        <v>71</v>
      </c>
      <c r="C77" t="s">
        <v>83</v>
      </c>
    </row>
    <row r="78" spans="1:17" x14ac:dyDescent="0.25">
      <c r="B78" s="30" t="s">
        <v>45</v>
      </c>
      <c r="C78" s="31">
        <v>41</v>
      </c>
      <c r="F78" t="str">
        <f>C78&amp;" pts"</f>
        <v>41 pts</v>
      </c>
    </row>
    <row r="79" spans="1:17" x14ac:dyDescent="0.25">
      <c r="B79" s="30" t="s">
        <v>43</v>
      </c>
      <c r="C79" s="31">
        <v>41</v>
      </c>
      <c r="F79" t="str">
        <f t="shared" ref="F79:F82" si="4">C79&amp;" pts"</f>
        <v>41 pts</v>
      </c>
    </row>
    <row r="80" spans="1:17" x14ac:dyDescent="0.25">
      <c r="B80" s="30" t="s">
        <v>47</v>
      </c>
      <c r="C80" s="31">
        <v>37</v>
      </c>
      <c r="F80" t="str">
        <f t="shared" si="4"/>
        <v>37 pts</v>
      </c>
    </row>
    <row r="81" spans="1:17" x14ac:dyDescent="0.25">
      <c r="B81" s="30" t="s">
        <v>49</v>
      </c>
      <c r="C81" s="31">
        <v>31</v>
      </c>
      <c r="F81" t="str">
        <f t="shared" si="4"/>
        <v>31 pts</v>
      </c>
    </row>
    <row r="82" spans="1:17" x14ac:dyDescent="0.25">
      <c r="B82" s="30" t="s">
        <v>51</v>
      </c>
      <c r="C82" s="31">
        <v>27</v>
      </c>
      <c r="F82" t="str">
        <f t="shared" si="4"/>
        <v>27 pts</v>
      </c>
    </row>
    <row r="87" spans="1:17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</row>
    <row r="88" spans="1:17" ht="15.75" thickBot="1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</row>
    <row r="89" spans="1:17" x14ac:dyDescent="0.25">
      <c r="B89" s="36"/>
      <c r="C89" s="36"/>
      <c r="D89" s="36"/>
      <c r="G89" s="36"/>
      <c r="H89" s="36"/>
      <c r="I89" s="36"/>
      <c r="J89" s="36"/>
    </row>
    <row r="90" spans="1:17" x14ac:dyDescent="0.25">
      <c r="B90" s="36"/>
      <c r="C90" s="36"/>
      <c r="D90" s="36"/>
      <c r="G90" s="36"/>
      <c r="H90" s="36"/>
      <c r="I90" s="36"/>
      <c r="J90" s="36"/>
    </row>
    <row r="91" spans="1:17" x14ac:dyDescent="0.25">
      <c r="B91" s="29" t="s">
        <v>0</v>
      </c>
      <c r="C91" s="30">
        <v>2020</v>
      </c>
      <c r="D91" s="36"/>
      <c r="G91" s="36"/>
      <c r="H91" s="36"/>
      <c r="I91" s="36"/>
      <c r="J91" s="36"/>
    </row>
    <row r="92" spans="1:17" ht="15.75" thickBot="1" x14ac:dyDescent="0.3">
      <c r="G92">
        <f>C91</f>
        <v>2020</v>
      </c>
    </row>
    <row r="93" spans="1:17" ht="16.5" thickBot="1" x14ac:dyDescent="0.3">
      <c r="B93" s="29" t="s">
        <v>71</v>
      </c>
      <c r="C93" t="s">
        <v>83</v>
      </c>
      <c r="G93" s="48" t="s">
        <v>1</v>
      </c>
      <c r="H93" s="49" t="s">
        <v>2</v>
      </c>
      <c r="I93" s="49" t="s">
        <v>85</v>
      </c>
      <c r="J93" s="50" t="s">
        <v>86</v>
      </c>
    </row>
    <row r="94" spans="1:17" x14ac:dyDescent="0.25">
      <c r="B94" s="30" t="s">
        <v>13</v>
      </c>
      <c r="C94" s="31">
        <v>71</v>
      </c>
      <c r="G94" s="51">
        <v>1</v>
      </c>
      <c r="H94" s="36" t="str">
        <f>B94</f>
        <v>Flamengo</v>
      </c>
      <c r="I94" s="54" t="str">
        <f>C94&amp;" pts"</f>
        <v>71 pts</v>
      </c>
      <c r="J94" s="47" t="str">
        <f>"Campeão de "&amp;G92</f>
        <v>Campeão de 2020</v>
      </c>
    </row>
    <row r="95" spans="1:17" x14ac:dyDescent="0.25">
      <c r="B95" s="30" t="s">
        <v>15</v>
      </c>
      <c r="C95" s="31">
        <v>70</v>
      </c>
      <c r="G95" s="37">
        <v>2</v>
      </c>
      <c r="H95" s="36" t="str">
        <f>B95</f>
        <v>Inter-RS</v>
      </c>
      <c r="I95" s="54" t="str">
        <f t="shared" ref="I95:I113" si="5">C95&amp;" pts"</f>
        <v>70 pts</v>
      </c>
      <c r="J95" s="52" t="s">
        <v>87</v>
      </c>
    </row>
    <row r="96" spans="1:17" x14ac:dyDescent="0.25">
      <c r="B96" s="30" t="s">
        <v>17</v>
      </c>
      <c r="C96" s="31">
        <v>68</v>
      </c>
      <c r="G96" s="37">
        <v>3</v>
      </c>
      <c r="H96" s="36" t="str">
        <f t="shared" ref="H96:H113" si="6">B96</f>
        <v>Atlético-MG</v>
      </c>
      <c r="I96" s="54" t="str">
        <f t="shared" si="5"/>
        <v>68 pts</v>
      </c>
      <c r="J96" s="52" t="str">
        <f>G96&amp;"º colocado"</f>
        <v>3º colocado</v>
      </c>
    </row>
    <row r="97" spans="2:10" x14ac:dyDescent="0.25">
      <c r="B97" s="30" t="s">
        <v>19</v>
      </c>
      <c r="C97" s="31">
        <v>66</v>
      </c>
      <c r="G97" s="37">
        <v>4</v>
      </c>
      <c r="H97" s="36" t="str">
        <f t="shared" si="6"/>
        <v>São Paulo</v>
      </c>
      <c r="I97" s="54" t="str">
        <f t="shared" si="5"/>
        <v>66 pts</v>
      </c>
      <c r="J97" s="52" t="str">
        <f>G97&amp;"º colocado"</f>
        <v>4º colocado</v>
      </c>
    </row>
    <row r="98" spans="2:10" x14ac:dyDescent="0.25">
      <c r="B98" s="30" t="s">
        <v>21</v>
      </c>
      <c r="C98" s="31">
        <v>64</v>
      </c>
      <c r="G98" s="37">
        <v>5</v>
      </c>
      <c r="H98" s="36" t="str">
        <f t="shared" si="6"/>
        <v>Fluminense</v>
      </c>
      <c r="I98" s="54" t="str">
        <f t="shared" si="5"/>
        <v>64 pts</v>
      </c>
      <c r="J98" s="52" t="str">
        <f>G98&amp;"º colocado"</f>
        <v>5º colocado</v>
      </c>
    </row>
    <row r="99" spans="2:10" x14ac:dyDescent="0.25">
      <c r="B99" s="30" t="s">
        <v>23</v>
      </c>
      <c r="C99" s="31">
        <v>59</v>
      </c>
      <c r="G99" s="37">
        <v>6</v>
      </c>
      <c r="H99" s="36" t="str">
        <f t="shared" si="6"/>
        <v>Grêmio</v>
      </c>
      <c r="I99" s="54" t="str">
        <f t="shared" si="5"/>
        <v>59 pts</v>
      </c>
      <c r="J99" s="52" t="str">
        <f t="shared" ref="J99:J109" si="7">G99&amp;"º colocado"</f>
        <v>6º colocado</v>
      </c>
    </row>
    <row r="100" spans="2:10" x14ac:dyDescent="0.25">
      <c r="B100" s="30" t="s">
        <v>25</v>
      </c>
      <c r="C100" s="31">
        <v>58</v>
      </c>
      <c r="G100" s="37">
        <v>7</v>
      </c>
      <c r="H100" s="36" t="str">
        <f t="shared" si="6"/>
        <v>Palmeiras</v>
      </c>
      <c r="I100" s="54" t="str">
        <f t="shared" si="5"/>
        <v>58 pts</v>
      </c>
      <c r="J100" s="52" t="str">
        <f t="shared" si="7"/>
        <v>7º colocado</v>
      </c>
    </row>
    <row r="101" spans="2:10" x14ac:dyDescent="0.25">
      <c r="B101" s="30" t="s">
        <v>27</v>
      </c>
      <c r="C101" s="31">
        <v>54</v>
      </c>
      <c r="G101" s="37">
        <v>8</v>
      </c>
      <c r="H101" s="36" t="str">
        <f t="shared" si="6"/>
        <v>Santos</v>
      </c>
      <c r="I101" s="54" t="str">
        <f t="shared" si="5"/>
        <v>54 pts</v>
      </c>
      <c r="J101" s="52" t="str">
        <f t="shared" si="7"/>
        <v>8º colocado</v>
      </c>
    </row>
    <row r="102" spans="2:10" x14ac:dyDescent="0.25">
      <c r="B102" s="30" t="s">
        <v>59</v>
      </c>
      <c r="C102" s="31">
        <v>53</v>
      </c>
      <c r="G102" s="37">
        <v>9</v>
      </c>
      <c r="H102" s="36" t="str">
        <f t="shared" si="6"/>
        <v>Atlético-PR</v>
      </c>
      <c r="I102" s="54" t="str">
        <f t="shared" si="5"/>
        <v>53 pts</v>
      </c>
      <c r="J102" s="52" t="str">
        <f t="shared" si="7"/>
        <v>9º colocado</v>
      </c>
    </row>
    <row r="103" spans="2:10" x14ac:dyDescent="0.25">
      <c r="B103" s="30" t="s">
        <v>31</v>
      </c>
      <c r="C103" s="31">
        <v>53</v>
      </c>
      <c r="G103" s="37">
        <v>10</v>
      </c>
      <c r="H103" s="36" t="str">
        <f t="shared" si="6"/>
        <v>Bragantino</v>
      </c>
      <c r="I103" s="54" t="str">
        <f t="shared" si="5"/>
        <v>53 pts</v>
      </c>
      <c r="J103" s="52" t="str">
        <f t="shared" si="7"/>
        <v>10º colocado</v>
      </c>
    </row>
    <row r="104" spans="2:10" x14ac:dyDescent="0.25">
      <c r="B104" s="30" t="s">
        <v>33</v>
      </c>
      <c r="C104" s="31">
        <v>52</v>
      </c>
      <c r="G104" s="37">
        <v>11</v>
      </c>
      <c r="H104" s="36" t="str">
        <f t="shared" si="6"/>
        <v>Ceará</v>
      </c>
      <c r="I104" s="54" t="str">
        <f t="shared" si="5"/>
        <v>52 pts</v>
      </c>
      <c r="J104" s="52" t="str">
        <f t="shared" si="7"/>
        <v>11º colocado</v>
      </c>
    </row>
    <row r="105" spans="2:10" x14ac:dyDescent="0.25">
      <c r="B105" s="30" t="s">
        <v>35</v>
      </c>
      <c r="C105" s="31">
        <v>51</v>
      </c>
      <c r="G105" s="37">
        <v>12</v>
      </c>
      <c r="H105" s="36" t="str">
        <f t="shared" si="6"/>
        <v>Corinthians</v>
      </c>
      <c r="I105" s="54" t="str">
        <f t="shared" si="5"/>
        <v>51 pts</v>
      </c>
      <c r="J105" s="52" t="str">
        <f t="shared" si="7"/>
        <v>12º colocado</v>
      </c>
    </row>
    <row r="106" spans="2:10" x14ac:dyDescent="0.25">
      <c r="B106" s="30" t="s">
        <v>37</v>
      </c>
      <c r="C106" s="31">
        <v>50</v>
      </c>
      <c r="G106" s="37">
        <v>13</v>
      </c>
      <c r="H106" s="36" t="str">
        <f t="shared" si="6"/>
        <v>Atlético-GO</v>
      </c>
      <c r="I106" s="54" t="str">
        <f t="shared" si="5"/>
        <v>50 pts</v>
      </c>
      <c r="J106" s="52" t="str">
        <f t="shared" si="7"/>
        <v>13º colocado</v>
      </c>
    </row>
    <row r="107" spans="2:10" x14ac:dyDescent="0.25">
      <c r="B107" s="30" t="s">
        <v>39</v>
      </c>
      <c r="C107" s="31">
        <v>44</v>
      </c>
      <c r="G107" s="37">
        <v>14</v>
      </c>
      <c r="H107" s="36" t="str">
        <f t="shared" si="6"/>
        <v>Bahia</v>
      </c>
      <c r="I107" s="54" t="str">
        <f t="shared" si="5"/>
        <v>44 pts</v>
      </c>
      <c r="J107" s="52" t="str">
        <f t="shared" si="7"/>
        <v>14º colocado</v>
      </c>
    </row>
    <row r="108" spans="2:10" x14ac:dyDescent="0.25">
      <c r="B108" s="30" t="s">
        <v>41</v>
      </c>
      <c r="C108" s="31">
        <v>42</v>
      </c>
      <c r="G108" s="37">
        <v>15</v>
      </c>
      <c r="H108" s="36" t="str">
        <f t="shared" si="6"/>
        <v>Sport</v>
      </c>
      <c r="I108" s="54" t="str">
        <f t="shared" si="5"/>
        <v>42 pts</v>
      </c>
      <c r="J108" s="52" t="str">
        <f t="shared" si="7"/>
        <v>15º colocado</v>
      </c>
    </row>
    <row r="109" spans="2:10" x14ac:dyDescent="0.25">
      <c r="B109" s="30" t="s">
        <v>43</v>
      </c>
      <c r="C109" s="31">
        <v>41</v>
      </c>
      <c r="G109" s="37">
        <v>16</v>
      </c>
      <c r="H109" s="36" t="str">
        <f t="shared" si="6"/>
        <v>Fortaleza</v>
      </c>
      <c r="I109" s="54" t="str">
        <f t="shared" si="5"/>
        <v>41 pts</v>
      </c>
      <c r="J109" s="52" t="str">
        <f t="shared" si="7"/>
        <v>16º colocado</v>
      </c>
    </row>
    <row r="110" spans="2:10" x14ac:dyDescent="0.25">
      <c r="B110" s="30" t="s">
        <v>45</v>
      </c>
      <c r="C110" s="31">
        <v>41</v>
      </c>
      <c r="G110" s="37">
        <v>17</v>
      </c>
      <c r="H110" s="36" t="str">
        <f t="shared" si="6"/>
        <v>Vasco</v>
      </c>
      <c r="I110" s="54" t="str">
        <f t="shared" si="5"/>
        <v>41 pts</v>
      </c>
      <c r="J110" s="52" t="s">
        <v>88</v>
      </c>
    </row>
    <row r="111" spans="2:10" x14ac:dyDescent="0.25">
      <c r="B111" s="30" t="s">
        <v>47</v>
      </c>
      <c r="C111" s="31">
        <v>37</v>
      </c>
      <c r="G111" s="37">
        <v>18</v>
      </c>
      <c r="H111" s="36" t="str">
        <f t="shared" si="6"/>
        <v>Goiás</v>
      </c>
      <c r="I111" s="54" t="str">
        <f t="shared" si="5"/>
        <v>37 pts</v>
      </c>
      <c r="J111" s="52" t="s">
        <v>88</v>
      </c>
    </row>
    <row r="112" spans="2:10" x14ac:dyDescent="0.25">
      <c r="B112" s="30" t="s">
        <v>49</v>
      </c>
      <c r="C112" s="31">
        <v>31</v>
      </c>
      <c r="G112" s="37">
        <v>19</v>
      </c>
      <c r="H112" s="36" t="str">
        <f t="shared" si="6"/>
        <v>Coritiba</v>
      </c>
      <c r="I112" s="54" t="str">
        <f t="shared" si="5"/>
        <v>31 pts</v>
      </c>
      <c r="J112" s="52" t="s">
        <v>88</v>
      </c>
    </row>
    <row r="113" spans="2:10" ht="15.75" thickBot="1" x14ac:dyDescent="0.3">
      <c r="B113" s="30" t="s">
        <v>51</v>
      </c>
      <c r="C113" s="31">
        <v>27</v>
      </c>
      <c r="G113" s="38">
        <v>20</v>
      </c>
      <c r="H113" s="17" t="str">
        <f t="shared" si="6"/>
        <v>Botafogo</v>
      </c>
      <c r="I113" s="55" t="str">
        <f t="shared" si="5"/>
        <v>27 pts</v>
      </c>
      <c r="J113" s="53" t="s">
        <v>88</v>
      </c>
    </row>
  </sheetData>
  <pageMargins left="0.511811024" right="0.511811024" top="0.78740157499999996" bottom="0.78740157499999996" header="0.31496062000000002" footer="0.31496062000000002"/>
  <pageSetup paperSize="9"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ABB0-60F4-4375-ABB7-FB1F67D56D21}">
  <sheetPr codeName="Planilha5"/>
  <dimension ref="A1"/>
  <sheetViews>
    <sheetView showGridLines="0" tabSelected="1" zoomScaleNormal="100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Brasileirão</vt:lpstr>
      <vt:lpstr>Escudos</vt:lpstr>
      <vt:lpstr>Base</vt:lpstr>
      <vt:lpstr>Apoio</vt:lpstr>
      <vt:lpstr>Dasboard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Elecir Lisboa</dc:creator>
  <cp:lastModifiedBy>Elecir Lisboa</cp:lastModifiedBy>
  <dcterms:created xsi:type="dcterms:W3CDTF">2021-03-24T21:20:05Z</dcterms:created>
  <dcterms:modified xsi:type="dcterms:W3CDTF">2021-03-25T03:31:04Z</dcterms:modified>
</cp:coreProperties>
</file>