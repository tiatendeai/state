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/>
  </bookViews>
  <sheets>
    <sheet name="Plan1" sheetId="1" r:id="rId1"/>
    <sheet name="Plan2" sheetId="2" r:id="rId2"/>
    <sheet name="Plan3" sheetId="3" r:id="rId3"/>
  </sheets>
  <definedNames>
    <definedName name="_xlnm.Print_Area" localSheetId="0">Plan1!$B$2:$I$43</definedName>
  </definedNames>
  <calcPr calcId="145621"/>
</workbook>
</file>

<file path=xl/calcChain.xml><?xml version="1.0" encoding="utf-8"?>
<calcChain xmlns="http://schemas.openxmlformats.org/spreadsheetml/2006/main">
  <c r="E5" i="1" l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9" i="1"/>
  <c r="G29" i="1" s="1"/>
  <c r="E30" i="1"/>
  <c r="G30" i="1" s="1"/>
  <c r="E4" i="1"/>
  <c r="G4" i="1" s="1"/>
</calcChain>
</file>

<file path=xl/sharedStrings.xml><?xml version="1.0" encoding="utf-8"?>
<sst xmlns="http://schemas.openxmlformats.org/spreadsheetml/2006/main" count="85" uniqueCount="48">
  <si>
    <t>Estado</t>
  </si>
  <si>
    <t>Alíquota ICMS</t>
  </si>
  <si>
    <t>ALAGOAS</t>
  </si>
  <si>
    <t>ACRE</t>
  </si>
  <si>
    <t>AMAZONAS</t>
  </si>
  <si>
    <t xml:space="preserve">SERGIPE </t>
  </si>
  <si>
    <t>BAHIA</t>
  </si>
  <si>
    <t>PIAUI</t>
  </si>
  <si>
    <t>MARANHÃO</t>
  </si>
  <si>
    <t>PARÁ</t>
  </si>
  <si>
    <t>TOCANTINS</t>
  </si>
  <si>
    <t>GOIÁS</t>
  </si>
  <si>
    <t>RIO GRANDE DO NORTE</t>
  </si>
  <si>
    <t>CEARÁ</t>
  </si>
  <si>
    <t>MATO GROSSO</t>
  </si>
  <si>
    <t>MATO GROSSO DO SUL</t>
  </si>
  <si>
    <t>MINAS GERAIS</t>
  </si>
  <si>
    <t>ESPÍRITO SANTO</t>
  </si>
  <si>
    <t>RIO DE JANEIRO</t>
  </si>
  <si>
    <t>SÃO PAULO</t>
  </si>
  <si>
    <t>RIO GRANDE DO SUL</t>
  </si>
  <si>
    <t>PARANÁ</t>
  </si>
  <si>
    <t>SANTA CATARINA</t>
  </si>
  <si>
    <t>Alíquota Interestadual</t>
  </si>
  <si>
    <t>Diferencial Origem</t>
  </si>
  <si>
    <t>Diferencial Destino</t>
  </si>
  <si>
    <t>RORAIMA</t>
  </si>
  <si>
    <t>RONDÔNIA</t>
  </si>
  <si>
    <t>AMAPÁ</t>
  </si>
  <si>
    <t>PARAÍBA</t>
  </si>
  <si>
    <t>PERNAMBUCO</t>
  </si>
  <si>
    <t>DISTRITO FEDERAL</t>
  </si>
  <si>
    <t>-</t>
  </si>
  <si>
    <t>Alíquota FECP</t>
  </si>
  <si>
    <t>Diferencial</t>
  </si>
  <si>
    <t>A partir de janeiro de 2016, por meio da Emenda Constitucional 87/2015, todas as empresas que vendam produtos destinados a consumidor final fora do Estado de Origem</t>
  </si>
  <si>
    <t>Assim, temos que preencher e recolher uma guia de recolhimento  para cada nota fiscal emitida, seguindo as alíquotas acima apresentadas.</t>
  </si>
  <si>
    <t>Como vemos, temos na primeira coluna o percentual interestadual, na segunda coluna o percentual interno de cada Estado. A terceira coluna está em branco pois, por se</t>
  </si>
  <si>
    <t>tratar de empresa optanto do Simples Nacional, tal alíquota já está embutida no pagamento mensal do Simples. Na quarta coluna temos o percentual destinado ao Estado</t>
  </si>
  <si>
    <t xml:space="preserve">destino da mercadoria, e por fim, na pultima coluna temos o percentual do Fundo Estadual de Combate à Pobreza, que tem uma legislação própria em cada Estado e que </t>
  </si>
  <si>
    <t>deve ser igualmente pago em uma guia à parte.</t>
  </si>
  <si>
    <t xml:space="preserve">Para preenchimento da Guia de Recolhimento - GNRE, será necessário acessar o seguinte site: www.gnre.pe.gov.br </t>
  </si>
  <si>
    <t xml:space="preserve">Para cada venda, deverá ser analisado percentual de diferencial destinado ao Estado de destino bem como o percentual do Fundo Estadual de Combate à Pobreza. </t>
  </si>
  <si>
    <t>Havendo a necessidade de recolhimento dos dois percentais, cada um deverá ser recolhido em guia separada, por meio do portal acima citado, atentando-se para os seguintes</t>
  </si>
  <si>
    <t xml:space="preserve">códigos de recolhimento: </t>
  </si>
  <si>
    <t>10010-2 - Diferencial</t>
  </si>
  <si>
    <t>10012-9 FECP</t>
  </si>
  <si>
    <t>estão obrigadas ao ICMS relativo à diferença entre a alíquota interestadual e a alíquota interna do Estado de destino.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</si>
</sst>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10" xfId="0" applyBorder="1"/>
    <xf numFmtId="9" fontId="0" fillId="0" borderId="14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0" fillId="0" borderId="0" xfId="0" applyAlignment="1"/>
    <xf numFmtId="0" fontId="3" fillId="2" borderId="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9" fontId="2" fillId="0" borderId="16" xfId="1" applyFont="1" applyBorder="1" applyAlignment="1">
      <alignment horizontal="center"/>
    </xf>
    <xf numFmtId="9" fontId="2" fillId="0" borderId="18" xfId="1" applyFont="1" applyBorder="1" applyAlignment="1">
      <alignment horizontal="center"/>
    </xf>
    <xf numFmtId="9" fontId="2" fillId="0" borderId="12" xfId="1" applyFont="1" applyBorder="1" applyAlignment="1">
      <alignment horizontal="center"/>
    </xf>
    <xf numFmtId="9" fontId="2" fillId="0" borderId="6" xfId="1" applyFont="1" applyBorder="1" applyAlignment="1">
      <alignment horizontal="center"/>
    </xf>
    <xf numFmtId="9" fontId="2" fillId="0" borderId="9" xfId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3"/>
  <sheetViews>
    <sheetView tabSelected="1" view="pageLayout" topLeftCell="C1" zoomScaleNormal="100" workbookViewId="0">
      <selection activeCell="H4" sqref="H4"/>
    </sheetView>
  </sheetViews>
  <sheetFormatPr defaultRowHeight="15" x14ac:dyDescent="0.25"/>
  <cols>
    <col min="2" max="2" width="27.85546875" customWidth="1"/>
    <col min="3" max="3" width="21.28515625" customWidth="1"/>
    <col min="4" max="8" width="19.7109375" customWidth="1"/>
    <col min="9" max="9" width="20.85546875" customWidth="1"/>
  </cols>
  <sheetData>
    <row r="2" spans="2:8" ht="15.75" thickBot="1" x14ac:dyDescent="0.3"/>
    <row r="3" spans="2:8" x14ac:dyDescent="0.25">
      <c r="B3" s="14" t="s">
        <v>0</v>
      </c>
      <c r="C3" s="15" t="s">
        <v>23</v>
      </c>
      <c r="D3" s="16" t="s">
        <v>1</v>
      </c>
      <c r="E3" s="17" t="s">
        <v>34</v>
      </c>
      <c r="F3" s="17" t="s">
        <v>24</v>
      </c>
      <c r="G3" s="17" t="s">
        <v>25</v>
      </c>
      <c r="H3" s="18" t="s">
        <v>33</v>
      </c>
    </row>
    <row r="4" spans="2:8" x14ac:dyDescent="0.25">
      <c r="B4" s="3" t="s">
        <v>3</v>
      </c>
      <c r="C4" s="4">
        <v>7.0000000000000007E-2</v>
      </c>
      <c r="D4" s="5">
        <v>0.17</v>
      </c>
      <c r="E4" s="8">
        <f>D4-C4</f>
        <v>0.1</v>
      </c>
      <c r="F4" s="7" t="s">
        <v>32</v>
      </c>
      <c r="G4" s="19">
        <f>E4*0.4</f>
        <v>4.0000000000000008E-2</v>
      </c>
      <c r="H4" s="21">
        <v>0.01</v>
      </c>
    </row>
    <row r="5" spans="2:8" x14ac:dyDescent="0.25">
      <c r="B5" s="1" t="s">
        <v>2</v>
      </c>
      <c r="C5" s="4">
        <v>7.0000000000000007E-2</v>
      </c>
      <c r="D5" s="6">
        <v>0.18</v>
      </c>
      <c r="E5" s="8">
        <f t="shared" ref="E5:E30" si="0">D5-C5</f>
        <v>0.10999999999999999</v>
      </c>
      <c r="F5" s="7" t="s">
        <v>32</v>
      </c>
      <c r="G5" s="19">
        <f t="shared" ref="G5:G30" si="1">E5*0.4</f>
        <v>4.3999999999999997E-2</v>
      </c>
      <c r="H5" s="22" t="s">
        <v>32</v>
      </c>
    </row>
    <row r="6" spans="2:8" x14ac:dyDescent="0.25">
      <c r="B6" s="1" t="s">
        <v>28</v>
      </c>
      <c r="C6" s="4">
        <v>7.0000000000000007E-2</v>
      </c>
      <c r="D6" s="6">
        <v>0.17</v>
      </c>
      <c r="E6" s="8">
        <f t="shared" si="0"/>
        <v>0.1</v>
      </c>
      <c r="F6" s="7" t="s">
        <v>32</v>
      </c>
      <c r="G6" s="19">
        <f t="shared" si="1"/>
        <v>4.0000000000000008E-2</v>
      </c>
      <c r="H6" s="22" t="s">
        <v>32</v>
      </c>
    </row>
    <row r="7" spans="2:8" x14ac:dyDescent="0.25">
      <c r="B7" s="1" t="s">
        <v>4</v>
      </c>
      <c r="C7" s="4">
        <v>7.0000000000000007E-2</v>
      </c>
      <c r="D7" s="6">
        <v>0.18</v>
      </c>
      <c r="E7" s="8">
        <f t="shared" si="0"/>
        <v>0.10999999999999999</v>
      </c>
      <c r="F7" s="7" t="s">
        <v>32</v>
      </c>
      <c r="G7" s="19">
        <f t="shared" si="1"/>
        <v>4.3999999999999997E-2</v>
      </c>
      <c r="H7" s="22" t="s">
        <v>32</v>
      </c>
    </row>
    <row r="8" spans="2:8" x14ac:dyDescent="0.25">
      <c r="B8" s="1" t="s">
        <v>6</v>
      </c>
      <c r="C8" s="4">
        <v>7.0000000000000007E-2</v>
      </c>
      <c r="D8" s="6">
        <v>0.17</v>
      </c>
      <c r="E8" s="8">
        <f t="shared" si="0"/>
        <v>0.1</v>
      </c>
      <c r="F8" s="7" t="s">
        <v>32</v>
      </c>
      <c r="G8" s="19">
        <f t="shared" si="1"/>
        <v>4.0000000000000008E-2</v>
      </c>
      <c r="H8" s="22">
        <v>0.02</v>
      </c>
    </row>
    <row r="9" spans="2:8" x14ac:dyDescent="0.25">
      <c r="B9" s="1" t="s">
        <v>13</v>
      </c>
      <c r="C9" s="4">
        <v>7.0000000000000007E-2</v>
      </c>
      <c r="D9" s="6">
        <v>0.17</v>
      </c>
      <c r="E9" s="8">
        <f t="shared" si="0"/>
        <v>0.1</v>
      </c>
      <c r="F9" s="7" t="s">
        <v>32</v>
      </c>
      <c r="G9" s="19">
        <f t="shared" si="1"/>
        <v>4.0000000000000008E-2</v>
      </c>
      <c r="H9" s="22">
        <v>0.02</v>
      </c>
    </row>
    <row r="10" spans="2:8" x14ac:dyDescent="0.25">
      <c r="B10" s="1" t="s">
        <v>31</v>
      </c>
      <c r="C10" s="4">
        <v>7.0000000000000007E-2</v>
      </c>
      <c r="D10" s="6">
        <v>0.18</v>
      </c>
      <c r="E10" s="8">
        <f t="shared" si="0"/>
        <v>0.10999999999999999</v>
      </c>
      <c r="F10" s="7" t="s">
        <v>32</v>
      </c>
      <c r="G10" s="19">
        <f t="shared" si="1"/>
        <v>4.3999999999999997E-2</v>
      </c>
      <c r="H10" s="22">
        <v>0.02</v>
      </c>
    </row>
    <row r="11" spans="2:8" x14ac:dyDescent="0.25">
      <c r="B11" s="1" t="s">
        <v>17</v>
      </c>
      <c r="C11" s="4">
        <v>7.0000000000000007E-2</v>
      </c>
      <c r="D11" s="6">
        <v>0.17</v>
      </c>
      <c r="E11" s="8">
        <f t="shared" si="0"/>
        <v>0.1</v>
      </c>
      <c r="F11" s="7" t="s">
        <v>32</v>
      </c>
      <c r="G11" s="19">
        <f t="shared" si="1"/>
        <v>4.0000000000000008E-2</v>
      </c>
      <c r="H11" s="22">
        <v>0.02</v>
      </c>
    </row>
    <row r="12" spans="2:8" x14ac:dyDescent="0.25">
      <c r="B12" s="1" t="s">
        <v>11</v>
      </c>
      <c r="C12" s="4">
        <v>7.0000000000000007E-2</v>
      </c>
      <c r="D12" s="6">
        <v>0.17</v>
      </c>
      <c r="E12" s="8">
        <f t="shared" si="0"/>
        <v>0.1</v>
      </c>
      <c r="F12" s="7" t="s">
        <v>32</v>
      </c>
      <c r="G12" s="19">
        <f t="shared" si="1"/>
        <v>4.0000000000000008E-2</v>
      </c>
      <c r="H12" s="22">
        <v>0.01</v>
      </c>
    </row>
    <row r="13" spans="2:8" x14ac:dyDescent="0.25">
      <c r="B13" s="1" t="s">
        <v>8</v>
      </c>
      <c r="C13" s="4">
        <v>7.0000000000000007E-2</v>
      </c>
      <c r="D13" s="6">
        <v>0.18</v>
      </c>
      <c r="E13" s="8">
        <f t="shared" si="0"/>
        <v>0.10999999999999999</v>
      </c>
      <c r="F13" s="7" t="s">
        <v>32</v>
      </c>
      <c r="G13" s="19">
        <f t="shared" si="1"/>
        <v>4.3999999999999997E-2</v>
      </c>
      <c r="H13" s="22">
        <v>0.02</v>
      </c>
    </row>
    <row r="14" spans="2:8" x14ac:dyDescent="0.25">
      <c r="B14" s="1" t="s">
        <v>14</v>
      </c>
      <c r="C14" s="4">
        <v>7.0000000000000007E-2</v>
      </c>
      <c r="D14" s="6">
        <v>0.17</v>
      </c>
      <c r="E14" s="8">
        <f t="shared" si="0"/>
        <v>0.1</v>
      </c>
      <c r="F14" s="7" t="s">
        <v>32</v>
      </c>
      <c r="G14" s="19">
        <f t="shared" si="1"/>
        <v>4.0000000000000008E-2</v>
      </c>
      <c r="H14" s="22">
        <v>0.02</v>
      </c>
    </row>
    <row r="15" spans="2:8" x14ac:dyDescent="0.25">
      <c r="B15" s="1" t="s">
        <v>15</v>
      </c>
      <c r="C15" s="4">
        <v>7.0000000000000007E-2</v>
      </c>
      <c r="D15" s="6">
        <v>0.17</v>
      </c>
      <c r="E15" s="8">
        <f t="shared" si="0"/>
        <v>0.1</v>
      </c>
      <c r="F15" s="7" t="s">
        <v>32</v>
      </c>
      <c r="G15" s="19">
        <f t="shared" si="1"/>
        <v>4.0000000000000008E-2</v>
      </c>
      <c r="H15" s="22">
        <v>0.02</v>
      </c>
    </row>
    <row r="16" spans="2:8" x14ac:dyDescent="0.25">
      <c r="B16" s="1" t="s">
        <v>16</v>
      </c>
      <c r="C16" s="4">
        <v>0.12</v>
      </c>
      <c r="D16" s="6">
        <v>0.18</v>
      </c>
      <c r="E16" s="8">
        <f t="shared" si="0"/>
        <v>0.06</v>
      </c>
      <c r="F16" s="7" t="s">
        <v>32</v>
      </c>
      <c r="G16" s="19">
        <f t="shared" si="1"/>
        <v>2.4E-2</v>
      </c>
      <c r="H16" s="22">
        <v>0.02</v>
      </c>
    </row>
    <row r="17" spans="2:9" x14ac:dyDescent="0.25">
      <c r="B17" s="1" t="s">
        <v>9</v>
      </c>
      <c r="C17" s="4">
        <v>7.0000000000000007E-2</v>
      </c>
      <c r="D17" s="6">
        <v>0.17</v>
      </c>
      <c r="E17" s="8">
        <f t="shared" si="0"/>
        <v>0.1</v>
      </c>
      <c r="F17" s="7" t="s">
        <v>32</v>
      </c>
      <c r="G17" s="19">
        <f t="shared" si="1"/>
        <v>4.0000000000000008E-2</v>
      </c>
      <c r="H17" s="22" t="s">
        <v>32</v>
      </c>
    </row>
    <row r="18" spans="2:9" x14ac:dyDescent="0.25">
      <c r="B18" s="1" t="s">
        <v>29</v>
      </c>
      <c r="C18" s="4">
        <v>7.0000000000000007E-2</v>
      </c>
      <c r="D18" s="6">
        <v>0.18</v>
      </c>
      <c r="E18" s="8">
        <f t="shared" si="0"/>
        <v>0.10999999999999999</v>
      </c>
      <c r="F18" s="7" t="s">
        <v>32</v>
      </c>
      <c r="G18" s="19">
        <f t="shared" si="1"/>
        <v>4.3999999999999997E-2</v>
      </c>
      <c r="H18" s="22">
        <v>0.02</v>
      </c>
    </row>
    <row r="19" spans="2:9" x14ac:dyDescent="0.25">
      <c r="B19" s="1" t="s">
        <v>21</v>
      </c>
      <c r="C19" s="4">
        <v>0.12</v>
      </c>
      <c r="D19" s="6">
        <v>0.18</v>
      </c>
      <c r="E19" s="8">
        <f t="shared" si="0"/>
        <v>0.06</v>
      </c>
      <c r="F19" s="7" t="s">
        <v>32</v>
      </c>
      <c r="G19" s="19">
        <f t="shared" si="1"/>
        <v>2.4E-2</v>
      </c>
      <c r="H19" s="22">
        <v>0.02</v>
      </c>
    </row>
    <row r="20" spans="2:9" x14ac:dyDescent="0.25">
      <c r="B20" s="1" t="s">
        <v>30</v>
      </c>
      <c r="C20" s="4">
        <v>7.0000000000000007E-2</v>
      </c>
      <c r="D20" s="6">
        <v>0.18</v>
      </c>
      <c r="E20" s="8">
        <f t="shared" si="0"/>
        <v>0.10999999999999999</v>
      </c>
      <c r="F20" s="7" t="s">
        <v>32</v>
      </c>
      <c r="G20" s="19">
        <f t="shared" si="1"/>
        <v>4.3999999999999997E-2</v>
      </c>
      <c r="H20" s="22">
        <v>0.02</v>
      </c>
    </row>
    <row r="21" spans="2:9" x14ac:dyDescent="0.25">
      <c r="B21" s="1" t="s">
        <v>7</v>
      </c>
      <c r="C21" s="4">
        <v>7.0000000000000007E-2</v>
      </c>
      <c r="D21" s="6">
        <v>0.17</v>
      </c>
      <c r="E21" s="8">
        <f t="shared" si="0"/>
        <v>0.1</v>
      </c>
      <c r="F21" s="7" t="s">
        <v>32</v>
      </c>
      <c r="G21" s="19">
        <f t="shared" si="1"/>
        <v>4.0000000000000008E-2</v>
      </c>
      <c r="H21" s="22">
        <v>0.02</v>
      </c>
    </row>
    <row r="22" spans="2:9" x14ac:dyDescent="0.25">
      <c r="B22" s="1" t="s">
        <v>18</v>
      </c>
      <c r="C22" s="4">
        <v>0.12</v>
      </c>
      <c r="D22" s="6">
        <v>0.18</v>
      </c>
      <c r="E22" s="8">
        <f t="shared" si="0"/>
        <v>0.06</v>
      </c>
      <c r="F22" s="7" t="s">
        <v>32</v>
      </c>
      <c r="G22" s="19">
        <f t="shared" si="1"/>
        <v>2.4E-2</v>
      </c>
      <c r="H22" s="22">
        <v>0.01</v>
      </c>
    </row>
    <row r="23" spans="2:9" x14ac:dyDescent="0.25">
      <c r="B23" s="1" t="s">
        <v>12</v>
      </c>
      <c r="C23" s="4">
        <v>7.0000000000000007E-2</v>
      </c>
      <c r="D23" s="6">
        <v>0.17</v>
      </c>
      <c r="E23" s="8">
        <f t="shared" si="0"/>
        <v>0.1</v>
      </c>
      <c r="F23" s="7" t="s">
        <v>32</v>
      </c>
      <c r="G23" s="19">
        <f t="shared" si="1"/>
        <v>4.0000000000000008E-2</v>
      </c>
      <c r="H23" s="22">
        <v>0.02</v>
      </c>
    </row>
    <row r="24" spans="2:9" x14ac:dyDescent="0.25">
      <c r="B24" s="1" t="s">
        <v>20</v>
      </c>
      <c r="C24" s="4">
        <v>0.12</v>
      </c>
      <c r="D24" s="6">
        <v>0.18</v>
      </c>
      <c r="E24" s="8">
        <f t="shared" si="0"/>
        <v>0.06</v>
      </c>
      <c r="F24" s="7" t="s">
        <v>32</v>
      </c>
      <c r="G24" s="19">
        <f t="shared" si="1"/>
        <v>2.4E-2</v>
      </c>
      <c r="H24" s="22">
        <v>0.02</v>
      </c>
    </row>
    <row r="25" spans="2:9" x14ac:dyDescent="0.25">
      <c r="B25" s="1" t="s">
        <v>27</v>
      </c>
      <c r="C25" s="4">
        <v>7.0000000000000007E-2</v>
      </c>
      <c r="D25" s="6">
        <v>0.17</v>
      </c>
      <c r="E25" s="8">
        <f t="shared" si="0"/>
        <v>0.1</v>
      </c>
      <c r="F25" s="7" t="s">
        <v>32</v>
      </c>
      <c r="G25" s="19">
        <f t="shared" si="1"/>
        <v>4.0000000000000008E-2</v>
      </c>
      <c r="H25" s="22">
        <v>0.02</v>
      </c>
    </row>
    <row r="26" spans="2:9" x14ac:dyDescent="0.25">
      <c r="B26" s="1" t="s">
        <v>26</v>
      </c>
      <c r="C26" s="4">
        <v>7.0000000000000007E-2</v>
      </c>
      <c r="D26" s="6">
        <v>0.17</v>
      </c>
      <c r="E26" s="8">
        <f t="shared" si="0"/>
        <v>0.1</v>
      </c>
      <c r="F26" s="7" t="s">
        <v>32</v>
      </c>
      <c r="G26" s="19">
        <f t="shared" si="1"/>
        <v>4.0000000000000008E-2</v>
      </c>
      <c r="H26" s="22" t="s">
        <v>32</v>
      </c>
    </row>
    <row r="27" spans="2:9" x14ac:dyDescent="0.25">
      <c r="B27" s="1" t="s">
        <v>22</v>
      </c>
      <c r="C27" s="4">
        <v>0.12</v>
      </c>
      <c r="D27" s="6">
        <v>0.17</v>
      </c>
      <c r="E27" s="8">
        <f t="shared" si="0"/>
        <v>5.0000000000000017E-2</v>
      </c>
      <c r="F27" s="7" t="s">
        <v>32</v>
      </c>
      <c r="G27" s="19">
        <f t="shared" si="1"/>
        <v>2.0000000000000007E-2</v>
      </c>
      <c r="H27" s="22" t="s">
        <v>32</v>
      </c>
    </row>
    <row r="28" spans="2:9" x14ac:dyDescent="0.25">
      <c r="B28" s="1" t="s">
        <v>19</v>
      </c>
      <c r="C28" s="4" t="s">
        <v>32</v>
      </c>
      <c r="D28" s="6" t="s">
        <v>32</v>
      </c>
      <c r="E28" s="8" t="s">
        <v>32</v>
      </c>
      <c r="F28" s="7" t="s">
        <v>32</v>
      </c>
      <c r="G28" s="19" t="s">
        <v>32</v>
      </c>
      <c r="H28" s="22" t="s">
        <v>32</v>
      </c>
    </row>
    <row r="29" spans="2:9" x14ac:dyDescent="0.25">
      <c r="B29" s="1" t="s">
        <v>5</v>
      </c>
      <c r="C29" s="4">
        <v>7.0000000000000007E-2</v>
      </c>
      <c r="D29" s="6">
        <v>0.18</v>
      </c>
      <c r="E29" s="8">
        <f t="shared" si="0"/>
        <v>0.10999999999999999</v>
      </c>
      <c r="F29" s="7" t="s">
        <v>32</v>
      </c>
      <c r="G29" s="19">
        <f t="shared" si="1"/>
        <v>4.3999999999999997E-2</v>
      </c>
      <c r="H29" s="22">
        <v>0.02</v>
      </c>
    </row>
    <row r="30" spans="2:9" ht="15.75" thickBot="1" x14ac:dyDescent="0.3">
      <c r="B30" s="2" t="s">
        <v>10</v>
      </c>
      <c r="C30" s="9">
        <v>7.0000000000000007E-2</v>
      </c>
      <c r="D30" s="10">
        <v>0.18</v>
      </c>
      <c r="E30" s="11">
        <f t="shared" si="0"/>
        <v>0.10999999999999999</v>
      </c>
      <c r="F30" s="12" t="s">
        <v>32</v>
      </c>
      <c r="G30" s="20">
        <f t="shared" si="1"/>
        <v>4.3999999999999997E-2</v>
      </c>
      <c r="H30" s="23">
        <v>0.02</v>
      </c>
    </row>
    <row r="32" spans="2:9" x14ac:dyDescent="0.25">
      <c r="B32" s="13" t="s">
        <v>35</v>
      </c>
      <c r="C32" s="13"/>
      <c r="D32" s="13"/>
      <c r="E32" s="13"/>
      <c r="F32" s="13"/>
      <c r="G32" s="13"/>
      <c r="H32" s="13"/>
      <c r="I32" s="13"/>
    </row>
    <row r="33" spans="2:9" x14ac:dyDescent="0.25">
      <c r="B33" s="13" t="s">
        <v>47</v>
      </c>
      <c r="C33" s="13"/>
      <c r="D33" s="13"/>
      <c r="E33" s="13"/>
      <c r="F33" s="13"/>
      <c r="G33" s="13"/>
      <c r="H33" s="13"/>
      <c r="I33" s="13"/>
    </row>
    <row r="34" spans="2:9" x14ac:dyDescent="0.25">
      <c r="B34" s="13" t="s">
        <v>36</v>
      </c>
      <c r="C34" s="13"/>
      <c r="D34" s="13"/>
      <c r="E34" s="13"/>
      <c r="F34" s="13"/>
      <c r="G34" s="13"/>
      <c r="H34" s="13"/>
      <c r="I34" s="13"/>
    </row>
    <row r="35" spans="2:9" x14ac:dyDescent="0.25">
      <c r="B35" s="13" t="s">
        <v>37</v>
      </c>
      <c r="C35" s="13"/>
      <c r="D35" s="13"/>
      <c r="E35" s="13"/>
      <c r="F35" s="13"/>
      <c r="G35" s="13"/>
      <c r="H35" s="13"/>
      <c r="I35" s="13"/>
    </row>
    <row r="36" spans="2:9" x14ac:dyDescent="0.25">
      <c r="B36" s="13" t="s">
        <v>38</v>
      </c>
      <c r="C36" s="13"/>
      <c r="D36" s="13"/>
      <c r="E36" s="13"/>
      <c r="F36" s="13"/>
      <c r="G36" s="13"/>
      <c r="H36" s="13"/>
      <c r="I36" s="13"/>
    </row>
    <row r="37" spans="2:9" x14ac:dyDescent="0.25">
      <c r="B37" s="13" t="s">
        <v>39</v>
      </c>
      <c r="C37" s="13"/>
      <c r="D37" s="13"/>
      <c r="E37" s="13"/>
      <c r="F37" s="13"/>
      <c r="G37" s="13"/>
      <c r="H37" s="13"/>
      <c r="I37" s="13"/>
    </row>
    <row r="38" spans="2:9" x14ac:dyDescent="0.25">
      <c r="B38" s="13" t="s">
        <v>40</v>
      </c>
      <c r="C38" s="13"/>
      <c r="D38" s="13"/>
      <c r="E38" s="13"/>
      <c r="F38" s="13"/>
      <c r="G38" s="13"/>
      <c r="H38" s="13"/>
      <c r="I38" s="13"/>
    </row>
    <row r="39" spans="2:9" x14ac:dyDescent="0.25">
      <c r="B39" s="13" t="s">
        <v>41</v>
      </c>
      <c r="C39" s="13"/>
      <c r="D39" s="13"/>
      <c r="E39" s="13"/>
      <c r="F39" s="13"/>
      <c r="G39" s="13"/>
      <c r="H39" s="13"/>
      <c r="I39" s="13"/>
    </row>
    <row r="40" spans="2:9" x14ac:dyDescent="0.25">
      <c r="B40" s="13" t="s">
        <v>42</v>
      </c>
      <c r="C40" s="13"/>
      <c r="D40" s="13"/>
      <c r="E40" s="13"/>
      <c r="F40" s="13"/>
      <c r="G40" s="13"/>
      <c r="H40" s="13"/>
      <c r="I40" s="13"/>
    </row>
    <row r="41" spans="2:9" x14ac:dyDescent="0.25">
      <c r="B41" s="13" t="s">
        <v>43</v>
      </c>
      <c r="C41" s="13"/>
      <c r="D41" s="13"/>
      <c r="E41" s="13"/>
      <c r="F41" s="13"/>
      <c r="G41" s="13"/>
      <c r="H41" s="13"/>
      <c r="I41" s="13"/>
    </row>
    <row r="42" spans="2:9" x14ac:dyDescent="0.25">
      <c r="B42" s="13" t="s">
        <v>44</v>
      </c>
      <c r="C42" s="13" t="s">
        <v>45</v>
      </c>
      <c r="D42" s="13"/>
      <c r="E42" s="13"/>
      <c r="F42" s="13"/>
      <c r="G42" s="13"/>
      <c r="H42" s="13"/>
      <c r="I42" s="13"/>
    </row>
    <row r="43" spans="2:9" x14ac:dyDescent="0.25">
      <c r="B43" s="13"/>
      <c r="C43" s="13" t="s">
        <v>46</v>
      </c>
      <c r="D43" s="13"/>
      <c r="E43" s="13"/>
      <c r="F43" s="13"/>
      <c r="G43" s="13"/>
      <c r="H43" s="13"/>
      <c r="I43" s="13"/>
    </row>
  </sheetData>
  <sortState ref="B4:G30">
    <sortCondition ref="B4"/>
  </sortState>
  <pageMargins left="0.511811024" right="0.511811024" top="0.78740157499999996" bottom="0.78740157499999996" header="0.31496062000000002" footer="0.31496062000000002"/>
  <pageSetup paperSize="9" scale="51" orientation="portrait" verticalDpi="0" r:id="rId1"/>
  <headerFooter>
    <oddHeader>&amp;CCIENTE CONTABIL - ASSESSORIA COMERCIAL
Rua Caetano de Campos, 79 - Tatuapé 
Tel: 2294-2350/2941-9011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Claudia</cp:lastModifiedBy>
  <dcterms:created xsi:type="dcterms:W3CDTF">2016-01-19T19:53:37Z</dcterms:created>
  <dcterms:modified xsi:type="dcterms:W3CDTF">2016-01-23T01:15:35Z</dcterms:modified>
</cp:coreProperties>
</file>