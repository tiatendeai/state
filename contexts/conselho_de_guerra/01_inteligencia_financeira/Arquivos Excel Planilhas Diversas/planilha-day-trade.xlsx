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DenioJoseRibeiro\Desktop\"/>
    </mc:Choice>
  </mc:AlternateContent>
  <workbookProtection lockStructure="1"/>
  <bookViews>
    <workbookView xWindow="0" yWindow="0" windowWidth="20490" windowHeight="7620" tabRatio="817"/>
  </bookViews>
  <sheets>
    <sheet name="Operações Normais" sheetId="1" r:id="rId1"/>
    <sheet name="Operações Day Trade" sheetId="2" r:id="rId2"/>
    <sheet name="Normais Índice e Dólar" sheetId="7" r:id="rId3"/>
    <sheet name="Day Trade Índice e Dólar" sheetId="6" r:id="rId4"/>
    <sheet name="Resumo Imposto" sheetId="5" r:id="rId5"/>
    <sheet name="Posições Abertas" sheetId="3" r:id="rId6"/>
    <sheet name="Proventos" sheetId="9" r:id="rId7"/>
    <sheet name="Configurações" sheetId="8" r:id="rId8"/>
  </sheets>
  <definedNames>
    <definedName name="_1_2" localSheetId="7">#REF!</definedName>
    <definedName name="_1_2">#REF!</definedName>
    <definedName name="_2" localSheetId="7">#REF!</definedName>
    <definedName name="_2">#REF!</definedName>
    <definedName name="_GoBack" localSheetId="7">Configurações!#REF!</definedName>
    <definedName name="CotacoesTodosAtivos_3" localSheetId="7">#REF!</definedName>
    <definedName name="CotacoesTodosAtivos_3">#REF!</definedName>
    <definedName name="default_2" localSheetId="7">#REF!</definedName>
    <definedName name="default_2">#REF!</definedName>
  </definedNames>
  <calcPr calcId="162913"/>
</workbook>
</file>

<file path=xl/calcChain.xml><?xml version="1.0" encoding="utf-8"?>
<calcChain xmlns="http://schemas.openxmlformats.org/spreadsheetml/2006/main">
  <c r="E59" i="7" l="1"/>
  <c r="H21" i="6"/>
  <c r="H23" i="6" s="1"/>
  <c r="I24" i="7"/>
  <c r="I26" i="7" s="1"/>
  <c r="H54" i="6" l="1"/>
  <c r="H38" i="6"/>
  <c r="H66" i="6"/>
  <c r="H50" i="6"/>
  <c r="H34" i="6"/>
  <c r="H62" i="6"/>
  <c r="H46" i="6"/>
  <c r="H30" i="6"/>
  <c r="H58" i="6"/>
  <c r="H42" i="6"/>
  <c r="H26" i="6"/>
  <c r="H65" i="6"/>
  <c r="H61" i="6"/>
  <c r="H57" i="6"/>
  <c r="H53" i="6"/>
  <c r="H49" i="6"/>
  <c r="H45" i="6"/>
  <c r="H41" i="6"/>
  <c r="H37" i="6"/>
  <c r="H33" i="6"/>
  <c r="H29" i="6"/>
  <c r="H25" i="6"/>
  <c r="H64" i="6"/>
  <c r="H60" i="6"/>
  <c r="H56" i="6"/>
  <c r="H52" i="6"/>
  <c r="H48" i="6"/>
  <c r="H44" i="6"/>
  <c r="H40" i="6"/>
  <c r="H36" i="6"/>
  <c r="H32" i="6"/>
  <c r="H28" i="6"/>
  <c r="H24" i="6"/>
  <c r="H22" i="6"/>
  <c r="H63" i="6"/>
  <c r="H59" i="6"/>
  <c r="H55" i="6"/>
  <c r="H51" i="6"/>
  <c r="H47" i="6"/>
  <c r="H43" i="6"/>
  <c r="H39" i="6"/>
  <c r="H35" i="6"/>
  <c r="H31" i="6"/>
  <c r="H27" i="6"/>
  <c r="I49" i="7"/>
  <c r="I41" i="7"/>
  <c r="I33" i="7"/>
  <c r="I25" i="7"/>
  <c r="I48" i="7"/>
  <c r="I40" i="7"/>
  <c r="I32" i="7"/>
  <c r="I47" i="7"/>
  <c r="I39" i="7"/>
  <c r="I35" i="7"/>
  <c r="I31" i="7"/>
  <c r="I27" i="7"/>
  <c r="I45" i="7"/>
  <c r="I37" i="7"/>
  <c r="I29" i="7"/>
  <c r="I44" i="7"/>
  <c r="I36" i="7"/>
  <c r="I28" i="7"/>
  <c r="I51" i="7"/>
  <c r="I43" i="7"/>
  <c r="I50" i="7"/>
  <c r="I46" i="7"/>
  <c r="I42" i="7"/>
  <c r="I38" i="7"/>
  <c r="I34" i="7"/>
  <c r="I30" i="7"/>
  <c r="G143" i="3"/>
  <c r="G142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49" i="3"/>
  <c r="G148" i="3"/>
  <c r="G147" i="3"/>
  <c r="G146" i="3"/>
  <c r="G145" i="3"/>
  <c r="G144" i="3"/>
  <c r="G141" i="3"/>
  <c r="G140" i="3"/>
  <c r="G139" i="3"/>
  <c r="G138" i="3"/>
  <c r="G137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68" i="3"/>
  <c r="G67" i="3"/>
  <c r="G66" i="3"/>
  <c r="G65" i="3"/>
  <c r="G64" i="3"/>
  <c r="G63" i="3"/>
  <c r="G62" i="3"/>
  <c r="G61" i="3"/>
  <c r="G60" i="3"/>
  <c r="G59" i="3"/>
  <c r="G58" i="3"/>
  <c r="H142" i="3" l="1"/>
  <c r="I142" i="3"/>
  <c r="J142" i="3"/>
  <c r="H143" i="3"/>
  <c r="I143" i="3"/>
  <c r="J143" i="3"/>
  <c r="H115" i="3"/>
  <c r="I115" i="3"/>
  <c r="J115" i="3"/>
  <c r="H116" i="3"/>
  <c r="I116" i="3"/>
  <c r="J116" i="3"/>
  <c r="H117" i="3"/>
  <c r="I117" i="3"/>
  <c r="J117" i="3"/>
  <c r="H118" i="3"/>
  <c r="I118" i="3"/>
  <c r="J118" i="3"/>
  <c r="H119" i="3"/>
  <c r="I119" i="3"/>
  <c r="J119" i="3"/>
  <c r="H120" i="3"/>
  <c r="I120" i="3"/>
  <c r="J120" i="3"/>
  <c r="H121" i="3"/>
  <c r="I121" i="3"/>
  <c r="J121" i="3"/>
  <c r="H122" i="3"/>
  <c r="I122" i="3"/>
  <c r="J122" i="3"/>
  <c r="H123" i="3"/>
  <c r="I123" i="3"/>
  <c r="J123" i="3"/>
  <c r="H124" i="3"/>
  <c r="I124" i="3"/>
  <c r="J124" i="3"/>
  <c r="H125" i="3"/>
  <c r="I125" i="3"/>
  <c r="J125" i="3"/>
  <c r="H126" i="3"/>
  <c r="I126" i="3"/>
  <c r="J126" i="3"/>
  <c r="H127" i="3"/>
  <c r="I127" i="3"/>
  <c r="J127" i="3"/>
  <c r="H128" i="3"/>
  <c r="I128" i="3"/>
  <c r="J128" i="3"/>
  <c r="H129" i="3"/>
  <c r="I129" i="3"/>
  <c r="J129" i="3"/>
  <c r="H130" i="3"/>
  <c r="I130" i="3"/>
  <c r="J130" i="3"/>
  <c r="H131" i="3"/>
  <c r="I131" i="3"/>
  <c r="J131" i="3"/>
  <c r="H132" i="3"/>
  <c r="I132" i="3"/>
  <c r="J132" i="3"/>
  <c r="H133" i="3"/>
  <c r="I133" i="3"/>
  <c r="J133" i="3"/>
  <c r="H134" i="3"/>
  <c r="I134" i="3"/>
  <c r="J134" i="3"/>
  <c r="H135" i="3"/>
  <c r="I135" i="3"/>
  <c r="J135" i="3"/>
  <c r="H136" i="3"/>
  <c r="I136" i="3"/>
  <c r="J136" i="3"/>
  <c r="H137" i="3"/>
  <c r="I137" i="3"/>
  <c r="J137" i="3"/>
  <c r="H138" i="3"/>
  <c r="I138" i="3"/>
  <c r="J138" i="3"/>
  <c r="H139" i="3"/>
  <c r="I139" i="3"/>
  <c r="J139" i="3"/>
  <c r="H140" i="3"/>
  <c r="I140" i="3"/>
  <c r="J140" i="3"/>
  <c r="H141" i="3"/>
  <c r="I141" i="3"/>
  <c r="J141" i="3"/>
  <c r="H144" i="3"/>
  <c r="I144" i="3"/>
  <c r="J144" i="3"/>
  <c r="H145" i="3"/>
  <c r="I145" i="3"/>
  <c r="J145" i="3"/>
  <c r="H146" i="3"/>
  <c r="I146" i="3"/>
  <c r="J146" i="3"/>
  <c r="H147" i="3"/>
  <c r="I147" i="3"/>
  <c r="J147" i="3"/>
  <c r="H148" i="3"/>
  <c r="I148" i="3"/>
  <c r="J148" i="3"/>
  <c r="H149" i="3"/>
  <c r="I149" i="3"/>
  <c r="J149" i="3"/>
  <c r="H34" i="3"/>
  <c r="I34" i="3"/>
  <c r="J34" i="3"/>
  <c r="H35" i="3"/>
  <c r="I35" i="3"/>
  <c r="J35" i="3"/>
  <c r="H36" i="3"/>
  <c r="I36" i="3"/>
  <c r="J36" i="3"/>
  <c r="H37" i="3"/>
  <c r="I37" i="3"/>
  <c r="J37" i="3"/>
  <c r="H38" i="3"/>
  <c r="I38" i="3"/>
  <c r="J38" i="3"/>
  <c r="H39" i="3"/>
  <c r="I39" i="3"/>
  <c r="J39" i="3"/>
  <c r="H40" i="3"/>
  <c r="I40" i="3"/>
  <c r="J40" i="3"/>
  <c r="H41" i="3"/>
  <c r="I41" i="3"/>
  <c r="J41" i="3"/>
  <c r="H42" i="3"/>
  <c r="I42" i="3"/>
  <c r="J42" i="3"/>
  <c r="H43" i="3"/>
  <c r="I43" i="3"/>
  <c r="J43" i="3"/>
  <c r="H44" i="3"/>
  <c r="I44" i="3"/>
  <c r="J44" i="3"/>
  <c r="H45" i="3"/>
  <c r="I45" i="3"/>
  <c r="J45" i="3"/>
  <c r="H46" i="3"/>
  <c r="I46" i="3"/>
  <c r="J46" i="3"/>
  <c r="H47" i="3"/>
  <c r="I47" i="3"/>
  <c r="J47" i="3"/>
  <c r="H48" i="3"/>
  <c r="I48" i="3"/>
  <c r="J48" i="3"/>
  <c r="H49" i="3"/>
  <c r="I49" i="3"/>
  <c r="J49" i="3"/>
  <c r="H50" i="3"/>
  <c r="I50" i="3"/>
  <c r="J50" i="3"/>
  <c r="H51" i="3"/>
  <c r="I51" i="3"/>
  <c r="J51" i="3"/>
  <c r="H52" i="3"/>
  <c r="I52" i="3"/>
  <c r="J52" i="3"/>
  <c r="H53" i="3"/>
  <c r="I53" i="3"/>
  <c r="J53" i="3"/>
  <c r="H54" i="3"/>
  <c r="I54" i="3"/>
  <c r="J54" i="3"/>
  <c r="H55" i="3"/>
  <c r="I55" i="3"/>
  <c r="J55" i="3"/>
  <c r="H56" i="3"/>
  <c r="I56" i="3"/>
  <c r="J56" i="3"/>
  <c r="H57" i="3"/>
  <c r="I57" i="3"/>
  <c r="J57" i="3"/>
  <c r="H58" i="3"/>
  <c r="I58" i="3"/>
  <c r="J58" i="3"/>
  <c r="H59" i="3"/>
  <c r="I59" i="3"/>
  <c r="J59" i="3"/>
  <c r="H60" i="3"/>
  <c r="I60" i="3"/>
  <c r="J60" i="3"/>
  <c r="H61" i="3"/>
  <c r="I61" i="3"/>
  <c r="J61" i="3"/>
  <c r="H62" i="3"/>
  <c r="I62" i="3"/>
  <c r="J62" i="3"/>
  <c r="H63" i="3"/>
  <c r="I63" i="3"/>
  <c r="J63" i="3"/>
  <c r="H64" i="3"/>
  <c r="I64" i="3"/>
  <c r="J64" i="3"/>
  <c r="H65" i="3"/>
  <c r="I65" i="3"/>
  <c r="J65" i="3"/>
  <c r="H66" i="3"/>
  <c r="I66" i="3"/>
  <c r="J66" i="3"/>
  <c r="H67" i="3"/>
  <c r="I67" i="3"/>
  <c r="J67" i="3"/>
  <c r="H68" i="3"/>
  <c r="I68" i="3"/>
  <c r="J68" i="3"/>
  <c r="N85" i="3"/>
  <c r="N143" i="3" l="1"/>
  <c r="M143" i="3" s="1"/>
  <c r="N142" i="3"/>
  <c r="M142" i="3" s="1"/>
  <c r="N136" i="3"/>
  <c r="M136" i="3" s="1"/>
  <c r="N135" i="3"/>
  <c r="M135" i="3" s="1"/>
  <c r="N134" i="3"/>
  <c r="M134" i="3" s="1"/>
  <c r="N133" i="3"/>
  <c r="M133" i="3" s="1"/>
  <c r="N132" i="3"/>
  <c r="M132" i="3" s="1"/>
  <c r="N131" i="3"/>
  <c r="M131" i="3" s="1"/>
  <c r="N130" i="3"/>
  <c r="M130" i="3" s="1"/>
  <c r="N129" i="3"/>
  <c r="M129" i="3" s="1"/>
  <c r="N128" i="3"/>
  <c r="M128" i="3" s="1"/>
  <c r="N127" i="3"/>
  <c r="M127" i="3" s="1"/>
  <c r="N126" i="3"/>
  <c r="M126" i="3" s="1"/>
  <c r="N125" i="3"/>
  <c r="M125" i="3" s="1"/>
  <c r="N124" i="3"/>
  <c r="M124" i="3" s="1"/>
  <c r="N123" i="3"/>
  <c r="M123" i="3" s="1"/>
  <c r="N122" i="3"/>
  <c r="M122" i="3" s="1"/>
  <c r="N121" i="3"/>
  <c r="M121" i="3" s="1"/>
  <c r="N120" i="3"/>
  <c r="M120" i="3" s="1"/>
  <c r="N119" i="3"/>
  <c r="M119" i="3" s="1"/>
  <c r="N118" i="3"/>
  <c r="M118" i="3" s="1"/>
  <c r="N117" i="3"/>
  <c r="M117" i="3" s="1"/>
  <c r="N116" i="3"/>
  <c r="M116" i="3" s="1"/>
  <c r="N115" i="3"/>
  <c r="M115" i="3" s="1"/>
  <c r="N149" i="3"/>
  <c r="M149" i="3" s="1"/>
  <c r="N148" i="3"/>
  <c r="M148" i="3" s="1"/>
  <c r="N147" i="3"/>
  <c r="M147" i="3" s="1"/>
  <c r="N146" i="3"/>
  <c r="M146" i="3" s="1"/>
  <c r="N145" i="3"/>
  <c r="M145" i="3" s="1"/>
  <c r="N144" i="3"/>
  <c r="M144" i="3" s="1"/>
  <c r="N141" i="3"/>
  <c r="M141" i="3" s="1"/>
  <c r="N140" i="3"/>
  <c r="M140" i="3" s="1"/>
  <c r="N139" i="3"/>
  <c r="M139" i="3" s="1"/>
  <c r="N138" i="3"/>
  <c r="M138" i="3" s="1"/>
  <c r="N137" i="3"/>
  <c r="M137" i="3" s="1"/>
  <c r="AL9" i="1"/>
  <c r="AM9" i="1" s="1"/>
  <c r="AL10" i="1"/>
  <c r="AM10" i="1" s="1"/>
  <c r="AL11" i="1"/>
  <c r="AM11" i="1" s="1"/>
  <c r="AL12" i="1"/>
  <c r="AM12" i="1" s="1"/>
  <c r="AL13" i="1"/>
  <c r="AM13" i="1" s="1"/>
  <c r="AL14" i="1"/>
  <c r="AM14" i="1" s="1"/>
  <c r="AL15" i="1"/>
  <c r="AM15" i="1" s="1"/>
  <c r="AL16" i="1"/>
  <c r="AM16" i="1" s="1"/>
  <c r="AL17" i="1"/>
  <c r="AM17" i="1" s="1"/>
  <c r="AL18" i="1"/>
  <c r="AM18" i="1" s="1"/>
  <c r="AL19" i="1"/>
  <c r="AM19" i="1" s="1"/>
  <c r="AL20" i="1"/>
  <c r="AM20" i="1" s="1"/>
  <c r="AL21" i="1"/>
  <c r="AM21" i="1" s="1"/>
  <c r="AL22" i="1"/>
  <c r="AM22" i="1" s="1"/>
  <c r="AL23" i="1"/>
  <c r="AM23" i="1" s="1"/>
  <c r="AL24" i="1"/>
  <c r="AM24" i="1" s="1"/>
  <c r="AL25" i="1"/>
  <c r="AM25" i="1" s="1"/>
  <c r="AL26" i="1"/>
  <c r="AM26" i="1" s="1"/>
  <c r="AL27" i="1"/>
  <c r="AM27" i="1" s="1"/>
  <c r="AL28" i="1"/>
  <c r="AM28" i="1" s="1"/>
  <c r="AL29" i="1"/>
  <c r="AM29" i="1" s="1"/>
  <c r="AL30" i="1"/>
  <c r="AM30" i="1" s="1"/>
  <c r="AL31" i="1"/>
  <c r="AM31" i="1" s="1"/>
  <c r="AL32" i="1"/>
  <c r="AM32" i="1" s="1"/>
  <c r="AL33" i="1"/>
  <c r="AM33" i="1" s="1"/>
  <c r="AL34" i="1"/>
  <c r="AM34" i="1" s="1"/>
  <c r="AL35" i="1"/>
  <c r="AM35" i="1" s="1"/>
  <c r="AL36" i="1"/>
  <c r="AM36" i="1" s="1"/>
  <c r="AL37" i="1"/>
  <c r="AM37" i="1" s="1"/>
  <c r="AL38" i="1"/>
  <c r="AM38" i="1" s="1"/>
  <c r="AL39" i="1"/>
  <c r="AM39" i="1" s="1"/>
  <c r="AL40" i="1"/>
  <c r="AM40" i="1" s="1"/>
  <c r="AL41" i="1"/>
  <c r="AM41" i="1" s="1"/>
  <c r="AL42" i="1"/>
  <c r="AM42" i="1" s="1"/>
  <c r="AL43" i="1"/>
  <c r="AM43" i="1" s="1"/>
  <c r="AL44" i="1"/>
  <c r="AM44" i="1" s="1"/>
  <c r="AL45" i="1"/>
  <c r="AM45" i="1" s="1"/>
  <c r="AL46" i="1"/>
  <c r="AM46" i="1" s="1"/>
  <c r="AL47" i="1"/>
  <c r="AM47" i="1" s="1"/>
  <c r="AL48" i="1"/>
  <c r="AM48" i="1" s="1"/>
  <c r="AL8" i="1"/>
  <c r="AM8" i="1" s="1"/>
  <c r="AE9" i="1"/>
  <c r="AF9" i="1" s="1"/>
  <c r="AE10" i="1"/>
  <c r="AF10" i="1" s="1"/>
  <c r="AE11" i="1"/>
  <c r="AF11" i="1" s="1"/>
  <c r="AE12" i="1"/>
  <c r="AF12" i="1" s="1"/>
  <c r="AE13" i="1"/>
  <c r="AF13" i="1" s="1"/>
  <c r="AE14" i="1"/>
  <c r="AF14" i="1" s="1"/>
  <c r="AE15" i="1"/>
  <c r="AF15" i="1" s="1"/>
  <c r="AE16" i="1"/>
  <c r="AF16" i="1" s="1"/>
  <c r="AE17" i="1"/>
  <c r="AF17" i="1" s="1"/>
  <c r="AE18" i="1"/>
  <c r="AF18" i="1" s="1"/>
  <c r="AE19" i="1"/>
  <c r="AF19" i="1" s="1"/>
  <c r="AE20" i="1"/>
  <c r="AF20" i="1" s="1"/>
  <c r="AE21" i="1"/>
  <c r="AF21" i="1" s="1"/>
  <c r="AE22" i="1"/>
  <c r="AF22" i="1" s="1"/>
  <c r="AE23" i="1"/>
  <c r="AF23" i="1" s="1"/>
  <c r="AE24" i="1"/>
  <c r="AF24" i="1" s="1"/>
  <c r="AE25" i="1"/>
  <c r="AF25" i="1" s="1"/>
  <c r="AE26" i="1"/>
  <c r="AF26" i="1" s="1"/>
  <c r="AE27" i="1"/>
  <c r="AF27" i="1" s="1"/>
  <c r="AE28" i="1"/>
  <c r="AF28" i="1" s="1"/>
  <c r="AE29" i="1"/>
  <c r="AF29" i="1" s="1"/>
  <c r="AE30" i="1"/>
  <c r="AF30" i="1" s="1"/>
  <c r="AE31" i="1"/>
  <c r="AF31" i="1" s="1"/>
  <c r="AE32" i="1"/>
  <c r="AF32" i="1" s="1"/>
  <c r="AE33" i="1"/>
  <c r="AF33" i="1" s="1"/>
  <c r="AE34" i="1"/>
  <c r="AF34" i="1" s="1"/>
  <c r="AE35" i="1"/>
  <c r="AF35" i="1" s="1"/>
  <c r="AE36" i="1"/>
  <c r="AF36" i="1" s="1"/>
  <c r="AE37" i="1"/>
  <c r="AF37" i="1" s="1"/>
  <c r="AE38" i="1"/>
  <c r="AF38" i="1" s="1"/>
  <c r="AE39" i="1"/>
  <c r="AF39" i="1" s="1"/>
  <c r="AE40" i="1"/>
  <c r="AF40" i="1" s="1"/>
  <c r="AE41" i="1"/>
  <c r="AF41" i="1" s="1"/>
  <c r="AE42" i="1"/>
  <c r="AF42" i="1" s="1"/>
  <c r="AE43" i="1"/>
  <c r="AF43" i="1" s="1"/>
  <c r="AE44" i="1"/>
  <c r="AF44" i="1" s="1"/>
  <c r="AE45" i="1"/>
  <c r="AF45" i="1" s="1"/>
  <c r="AE46" i="1"/>
  <c r="AF46" i="1" s="1"/>
  <c r="AE47" i="1"/>
  <c r="AF47" i="1" s="1"/>
  <c r="AE48" i="1"/>
  <c r="AF48" i="1" s="1"/>
  <c r="AE8" i="1"/>
  <c r="AF8" i="1" s="1"/>
  <c r="N5" i="3"/>
  <c r="V6" i="2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8" i="1"/>
  <c r="N57" i="3" l="1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68" i="3"/>
  <c r="N67" i="3"/>
  <c r="N66" i="3"/>
  <c r="N65" i="3"/>
  <c r="N64" i="3"/>
  <c r="N63" i="3"/>
  <c r="N62" i="3"/>
  <c r="N61" i="3"/>
  <c r="N60" i="3"/>
  <c r="N59" i="3"/>
  <c r="N58" i="3"/>
  <c r="G154" i="3"/>
  <c r="J154" i="3" s="1"/>
  <c r="G153" i="3"/>
  <c r="J153" i="3" s="1"/>
  <c r="G152" i="3"/>
  <c r="J152" i="3" s="1"/>
  <c r="G151" i="3"/>
  <c r="J151" i="3" s="1"/>
  <c r="G150" i="3"/>
  <c r="H150" i="3" s="1"/>
  <c r="G114" i="3"/>
  <c r="J114" i="3" s="1"/>
  <c r="G157" i="3"/>
  <c r="H157" i="3" s="1"/>
  <c r="G156" i="3"/>
  <c r="J156" i="3" s="1"/>
  <c r="G155" i="3"/>
  <c r="H155" i="3" s="1"/>
  <c r="G74" i="3"/>
  <c r="I74" i="3" s="1"/>
  <c r="G73" i="3"/>
  <c r="J73" i="3" s="1"/>
  <c r="G72" i="3"/>
  <c r="J72" i="3" s="1"/>
  <c r="G71" i="3"/>
  <c r="J71" i="3" s="1"/>
  <c r="G70" i="3"/>
  <c r="I70" i="3" s="1"/>
  <c r="G69" i="3"/>
  <c r="J69" i="3" s="1"/>
  <c r="G77" i="3"/>
  <c r="G76" i="3"/>
  <c r="J76" i="3" s="1"/>
  <c r="G75" i="3"/>
  <c r="I75" i="3" s="1"/>
  <c r="I4" i="9"/>
  <c r="D4" i="9"/>
  <c r="H77" i="3" l="1"/>
  <c r="I77" i="3"/>
  <c r="J77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J70" i="3"/>
  <c r="I155" i="3"/>
  <c r="I150" i="3"/>
  <c r="J150" i="3"/>
  <c r="H154" i="3"/>
  <c r="L4" i="9"/>
  <c r="I157" i="3"/>
  <c r="H152" i="3"/>
  <c r="I154" i="3"/>
  <c r="I152" i="3"/>
  <c r="H151" i="3"/>
  <c r="H153" i="3"/>
  <c r="H70" i="3"/>
  <c r="J74" i="3"/>
  <c r="I114" i="3"/>
  <c r="I151" i="3"/>
  <c r="I153" i="3"/>
  <c r="J75" i="3"/>
  <c r="H74" i="3"/>
  <c r="H114" i="3"/>
  <c r="H72" i="3"/>
  <c r="J155" i="3"/>
  <c r="H156" i="3"/>
  <c r="J157" i="3"/>
  <c r="I156" i="3"/>
  <c r="I72" i="3"/>
  <c r="H76" i="3"/>
  <c r="H69" i="3"/>
  <c r="H71" i="3"/>
  <c r="H73" i="3"/>
  <c r="H75" i="3"/>
  <c r="I69" i="3"/>
  <c r="I71" i="3"/>
  <c r="I73" i="3"/>
  <c r="I76" i="3"/>
  <c r="Q84" i="3"/>
  <c r="Q4" i="3"/>
  <c r="P93" i="3" l="1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Q114" i="3"/>
  <c r="P115" i="3"/>
  <c r="Q115" i="3"/>
  <c r="U115" i="3"/>
  <c r="P116" i="3"/>
  <c r="Q116" i="3"/>
  <c r="U116" i="3"/>
  <c r="P117" i="3"/>
  <c r="Q117" i="3"/>
  <c r="U117" i="3"/>
  <c r="P118" i="3"/>
  <c r="Q118" i="3"/>
  <c r="U118" i="3"/>
  <c r="P119" i="3"/>
  <c r="Q119" i="3"/>
  <c r="U119" i="3"/>
  <c r="P120" i="3"/>
  <c r="Q120" i="3"/>
  <c r="U120" i="3"/>
  <c r="P121" i="3"/>
  <c r="Q121" i="3"/>
  <c r="U121" i="3"/>
  <c r="P122" i="3"/>
  <c r="Q122" i="3"/>
  <c r="U122" i="3"/>
  <c r="P123" i="3"/>
  <c r="Q123" i="3"/>
  <c r="U123" i="3"/>
  <c r="P124" i="3"/>
  <c r="Q124" i="3"/>
  <c r="U124" i="3"/>
  <c r="P125" i="3"/>
  <c r="Q125" i="3"/>
  <c r="U125" i="3"/>
  <c r="P126" i="3"/>
  <c r="Q126" i="3"/>
  <c r="U126" i="3"/>
  <c r="P127" i="3"/>
  <c r="Q127" i="3"/>
  <c r="U127" i="3"/>
  <c r="P128" i="3"/>
  <c r="Q128" i="3"/>
  <c r="U128" i="3"/>
  <c r="P129" i="3"/>
  <c r="Q129" i="3"/>
  <c r="U129" i="3"/>
  <c r="P130" i="3"/>
  <c r="Q130" i="3"/>
  <c r="U130" i="3"/>
  <c r="P131" i="3"/>
  <c r="Q131" i="3"/>
  <c r="U131" i="3"/>
  <c r="P132" i="3"/>
  <c r="Q132" i="3"/>
  <c r="U132" i="3"/>
  <c r="P133" i="3"/>
  <c r="Q133" i="3"/>
  <c r="U133" i="3"/>
  <c r="P134" i="3"/>
  <c r="Q134" i="3"/>
  <c r="U134" i="3"/>
  <c r="P135" i="3"/>
  <c r="Q135" i="3"/>
  <c r="U135" i="3"/>
  <c r="P136" i="3"/>
  <c r="Q136" i="3"/>
  <c r="U136" i="3"/>
  <c r="P137" i="3"/>
  <c r="Q137" i="3"/>
  <c r="U137" i="3"/>
  <c r="P138" i="3"/>
  <c r="Q138" i="3"/>
  <c r="U138" i="3"/>
  <c r="P139" i="3"/>
  <c r="Q139" i="3"/>
  <c r="U139" i="3"/>
  <c r="P140" i="3"/>
  <c r="Q140" i="3"/>
  <c r="U140" i="3"/>
  <c r="P141" i="3"/>
  <c r="Q141" i="3"/>
  <c r="U141" i="3"/>
  <c r="P142" i="3"/>
  <c r="Q142" i="3"/>
  <c r="U142" i="3"/>
  <c r="P143" i="3"/>
  <c r="Q143" i="3"/>
  <c r="U143" i="3"/>
  <c r="P144" i="3"/>
  <c r="Q144" i="3"/>
  <c r="U144" i="3"/>
  <c r="P145" i="3"/>
  <c r="Q145" i="3"/>
  <c r="U145" i="3"/>
  <c r="P146" i="3"/>
  <c r="Q146" i="3"/>
  <c r="U146" i="3"/>
  <c r="P147" i="3"/>
  <c r="Q147" i="3"/>
  <c r="U147" i="3"/>
  <c r="P148" i="3"/>
  <c r="Q148" i="3"/>
  <c r="U148" i="3"/>
  <c r="P149" i="3"/>
  <c r="Q149" i="3"/>
  <c r="U149" i="3"/>
  <c r="P150" i="3"/>
  <c r="Q150" i="3"/>
  <c r="P151" i="3"/>
  <c r="Q151" i="3"/>
  <c r="P152" i="3"/>
  <c r="Q152" i="3"/>
  <c r="P153" i="3"/>
  <c r="Q153" i="3"/>
  <c r="P154" i="3"/>
  <c r="Q154" i="3"/>
  <c r="P155" i="3"/>
  <c r="Q155" i="3"/>
  <c r="P156" i="3"/>
  <c r="Q156" i="3"/>
  <c r="P157" i="3"/>
  <c r="Q157" i="3"/>
  <c r="P158" i="3"/>
  <c r="P159" i="3"/>
  <c r="P160" i="3"/>
  <c r="P161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P57" i="3"/>
  <c r="P56" i="3"/>
  <c r="P55" i="3"/>
  <c r="P54" i="3"/>
  <c r="P53" i="3"/>
  <c r="P52" i="3"/>
  <c r="P51" i="3"/>
  <c r="P50" i="3"/>
  <c r="P49" i="3"/>
  <c r="P48" i="3"/>
  <c r="P47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P68" i="3"/>
  <c r="P67" i="3"/>
  <c r="P66" i="3"/>
  <c r="P65" i="3"/>
  <c r="P64" i="3"/>
  <c r="P63" i="3"/>
  <c r="P62" i="3"/>
  <c r="P61" i="3"/>
  <c r="P60" i="3"/>
  <c r="P59" i="3"/>
  <c r="P58" i="3"/>
  <c r="Q58" i="3"/>
  <c r="Q59" i="3"/>
  <c r="Q60" i="3"/>
  <c r="Q61" i="3"/>
  <c r="Q62" i="3"/>
  <c r="Q63" i="3"/>
  <c r="Q64" i="3"/>
  <c r="Q65" i="3"/>
  <c r="Q66" i="3"/>
  <c r="Q67" i="3"/>
  <c r="Q68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P81" i="3"/>
  <c r="P69" i="3"/>
  <c r="P77" i="3"/>
  <c r="P76" i="3"/>
  <c r="Q69" i="3"/>
  <c r="Q76" i="3"/>
  <c r="P75" i="3"/>
  <c r="Q74" i="3"/>
  <c r="Q73" i="3"/>
  <c r="Q72" i="3"/>
  <c r="Q71" i="3"/>
  <c r="Q70" i="3"/>
  <c r="P74" i="3"/>
  <c r="P73" i="3"/>
  <c r="P72" i="3"/>
  <c r="P71" i="3"/>
  <c r="P70" i="3"/>
  <c r="Q77" i="3"/>
  <c r="Q75" i="3"/>
  <c r="P9" i="3"/>
  <c r="P7" i="3"/>
  <c r="R7" i="3" s="1"/>
  <c r="P11" i="3"/>
  <c r="P90" i="3"/>
  <c r="P91" i="3"/>
  <c r="P89" i="3"/>
  <c r="P8" i="3"/>
  <c r="P10" i="3"/>
  <c r="P29" i="3"/>
  <c r="P12" i="3"/>
  <c r="P13" i="3"/>
  <c r="P14" i="3"/>
  <c r="P31" i="3"/>
  <c r="P32" i="3"/>
  <c r="P33" i="3"/>
  <c r="P78" i="3"/>
  <c r="P79" i="3"/>
  <c r="P80" i="3"/>
  <c r="P30" i="3"/>
  <c r="P15" i="3"/>
  <c r="P16" i="3"/>
  <c r="P17" i="3"/>
  <c r="P18" i="3"/>
  <c r="P19" i="3"/>
  <c r="P20" i="3"/>
  <c r="P21" i="3"/>
  <c r="P22" i="3"/>
  <c r="P23" i="3"/>
  <c r="P24" i="3"/>
  <c r="P28" i="3"/>
  <c r="P25" i="3"/>
  <c r="P26" i="3"/>
  <c r="P27" i="3"/>
  <c r="P92" i="3"/>
  <c r="P87" i="3"/>
  <c r="R87" i="3" s="1"/>
  <c r="P88" i="3"/>
  <c r="R8" i="3" l="1"/>
  <c r="R9" i="3" s="1"/>
  <c r="R88" i="3"/>
  <c r="R10" i="3" l="1"/>
  <c r="R11" i="3" s="1"/>
  <c r="R89" i="3"/>
  <c r="R12" i="3" l="1"/>
  <c r="R90" i="3"/>
  <c r="R91" i="3" l="1"/>
  <c r="R13" i="3"/>
  <c r="R14" i="3" l="1"/>
  <c r="R92" i="3"/>
  <c r="R93" i="3" s="1"/>
  <c r="R94" i="3" l="1"/>
  <c r="R15" i="3"/>
  <c r="R95" i="3" l="1"/>
  <c r="R16" i="3"/>
  <c r="R96" i="3" l="1"/>
  <c r="R17" i="3"/>
  <c r="R97" i="3" l="1"/>
  <c r="R18" i="3"/>
  <c r="R98" i="3" l="1"/>
  <c r="R19" i="3"/>
  <c r="R99" i="3" l="1"/>
  <c r="R20" i="3"/>
  <c r="R100" i="3" l="1"/>
  <c r="R21" i="3"/>
  <c r="R101" i="3" l="1"/>
  <c r="R22" i="3"/>
  <c r="R102" i="3" l="1"/>
  <c r="R23" i="3"/>
  <c r="R103" i="3" l="1"/>
  <c r="R24" i="3"/>
  <c r="R104" i="3" l="1"/>
  <c r="R25" i="3"/>
  <c r="R26" i="3" s="1"/>
  <c r="R27" i="3" s="1"/>
  <c r="R28" i="3" s="1"/>
  <c r="R29" i="3" s="1"/>
  <c r="R30" i="3" s="1"/>
  <c r="R105" i="3" l="1"/>
  <c r="R31" i="3"/>
  <c r="R106" i="3" l="1"/>
  <c r="R32" i="3"/>
  <c r="R107" i="3" l="1"/>
  <c r="R33" i="3"/>
  <c r="R108" i="3" l="1"/>
  <c r="R34" i="3"/>
  <c r="R109" i="3" l="1"/>
  <c r="R35" i="3"/>
  <c r="R110" i="3" l="1"/>
  <c r="R36" i="3"/>
  <c r="R111" i="3" l="1"/>
  <c r="R37" i="3"/>
  <c r="G110" i="3"/>
  <c r="Q110" i="3" s="1"/>
  <c r="G109" i="3"/>
  <c r="Q109" i="3" s="1"/>
  <c r="G108" i="3"/>
  <c r="Q108" i="3" s="1"/>
  <c r="G100" i="3"/>
  <c r="Q100" i="3" s="1"/>
  <c r="G99" i="3"/>
  <c r="Q99" i="3" s="1"/>
  <c r="G98" i="3"/>
  <c r="Q98" i="3" s="1"/>
  <c r="G97" i="3"/>
  <c r="Q97" i="3" s="1"/>
  <c r="G96" i="3"/>
  <c r="Q96" i="3" s="1"/>
  <c r="G95" i="3"/>
  <c r="Q95" i="3" s="1"/>
  <c r="G94" i="3"/>
  <c r="Q94" i="3" s="1"/>
  <c r="G93" i="3"/>
  <c r="Q93" i="3" s="1"/>
  <c r="G92" i="3"/>
  <c r="Q92" i="3" s="1"/>
  <c r="G91" i="3"/>
  <c r="Q91" i="3" s="1"/>
  <c r="G90" i="3"/>
  <c r="Q90" i="3" s="1"/>
  <c r="G89" i="3"/>
  <c r="Q89" i="3" s="1"/>
  <c r="G88" i="3"/>
  <c r="Q88" i="3" s="1"/>
  <c r="G33" i="3"/>
  <c r="Q33" i="3" s="1"/>
  <c r="G32" i="3"/>
  <c r="Q32" i="3" s="1"/>
  <c r="G21" i="3"/>
  <c r="Q21" i="3" s="1"/>
  <c r="G20" i="3"/>
  <c r="Q20" i="3" s="1"/>
  <c r="G19" i="3"/>
  <c r="Q19" i="3" s="1"/>
  <c r="G18" i="3"/>
  <c r="Q18" i="3" s="1"/>
  <c r="G17" i="3"/>
  <c r="Q17" i="3" s="1"/>
  <c r="G16" i="3"/>
  <c r="Q16" i="3" s="1"/>
  <c r="G15" i="3"/>
  <c r="Q15" i="3" s="1"/>
  <c r="G14" i="3"/>
  <c r="Q14" i="3" s="1"/>
  <c r="G13" i="3"/>
  <c r="Q13" i="3" s="1"/>
  <c r="G12" i="3"/>
  <c r="Q12" i="3" s="1"/>
  <c r="G11" i="3"/>
  <c r="Q11" i="3" s="1"/>
  <c r="G10" i="3"/>
  <c r="G9" i="3"/>
  <c r="Q9" i="3" s="1"/>
  <c r="G8" i="3"/>
  <c r="Q8" i="3" s="1"/>
  <c r="R112" i="3" l="1"/>
  <c r="R38" i="3"/>
  <c r="Q10" i="3"/>
  <c r="I13" i="3"/>
  <c r="I100" i="3"/>
  <c r="J14" i="3"/>
  <c r="J18" i="3"/>
  <c r="J32" i="3"/>
  <c r="J90" i="3"/>
  <c r="J94" i="3"/>
  <c r="J98" i="3"/>
  <c r="J108" i="3"/>
  <c r="J10" i="3"/>
  <c r="H11" i="3"/>
  <c r="H17" i="3"/>
  <c r="H21" i="3"/>
  <c r="J89" i="3"/>
  <c r="J93" i="3"/>
  <c r="J97" i="3"/>
  <c r="J8" i="3"/>
  <c r="J12" i="3"/>
  <c r="H9" i="3"/>
  <c r="H13" i="3"/>
  <c r="H15" i="3"/>
  <c r="H19" i="3"/>
  <c r="I33" i="3"/>
  <c r="H91" i="3"/>
  <c r="H95" i="3"/>
  <c r="H99" i="3"/>
  <c r="H109" i="3"/>
  <c r="J16" i="3"/>
  <c r="J20" i="3"/>
  <c r="H88" i="3"/>
  <c r="J92" i="3"/>
  <c r="H96" i="3"/>
  <c r="J100" i="3"/>
  <c r="J110" i="3"/>
  <c r="I11" i="3"/>
  <c r="I19" i="3"/>
  <c r="I21" i="3"/>
  <c r="J33" i="3"/>
  <c r="J19" i="3"/>
  <c r="J21" i="3"/>
  <c r="J11" i="3"/>
  <c r="J13" i="3"/>
  <c r="I96" i="3"/>
  <c r="I95" i="3"/>
  <c r="J96" i="3"/>
  <c r="I15" i="3"/>
  <c r="J95" i="3"/>
  <c r="J15" i="3"/>
  <c r="I17" i="3"/>
  <c r="I88" i="3"/>
  <c r="H100" i="3"/>
  <c r="I9" i="3"/>
  <c r="J9" i="3"/>
  <c r="J17" i="3"/>
  <c r="J88" i="3"/>
  <c r="H92" i="3"/>
  <c r="H33" i="3"/>
  <c r="I91" i="3"/>
  <c r="I92" i="3"/>
  <c r="I99" i="3"/>
  <c r="H110" i="3"/>
  <c r="J91" i="3"/>
  <c r="J99" i="3"/>
  <c r="I109" i="3"/>
  <c r="I110" i="3"/>
  <c r="J109" i="3"/>
  <c r="H108" i="3"/>
  <c r="I108" i="3"/>
  <c r="H89" i="3"/>
  <c r="H93" i="3"/>
  <c r="H97" i="3"/>
  <c r="I89" i="3"/>
  <c r="H90" i="3"/>
  <c r="I93" i="3"/>
  <c r="H94" i="3"/>
  <c r="I97" i="3"/>
  <c r="H98" i="3"/>
  <c r="I90" i="3"/>
  <c r="I94" i="3"/>
  <c r="I98" i="3"/>
  <c r="H32" i="3"/>
  <c r="I32" i="3"/>
  <c r="H8" i="3"/>
  <c r="H10" i="3"/>
  <c r="H12" i="3"/>
  <c r="H14" i="3"/>
  <c r="H16" i="3"/>
  <c r="H18" i="3"/>
  <c r="H20" i="3"/>
  <c r="I8" i="3"/>
  <c r="I10" i="3"/>
  <c r="I12" i="3"/>
  <c r="I14" i="3"/>
  <c r="I16" i="3"/>
  <c r="I18" i="3"/>
  <c r="I20" i="3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R113" i="3" l="1"/>
  <c r="R39" i="3"/>
  <c r="E57" i="7"/>
  <c r="R114" i="3" l="1"/>
  <c r="R40" i="3"/>
  <c r="Q66" i="1"/>
  <c r="R115" i="3" l="1"/>
  <c r="R41" i="3"/>
  <c r="N154" i="3"/>
  <c r="U154" i="3" s="1"/>
  <c r="N152" i="3"/>
  <c r="U152" i="3" s="1"/>
  <c r="N150" i="3"/>
  <c r="U150" i="3" s="1"/>
  <c r="N114" i="3"/>
  <c r="U114" i="3" s="1"/>
  <c r="N153" i="3"/>
  <c r="U153" i="3" s="1"/>
  <c r="N151" i="3"/>
  <c r="U151" i="3" s="1"/>
  <c r="N157" i="3"/>
  <c r="U157" i="3" s="1"/>
  <c r="N155" i="3"/>
  <c r="U155" i="3" s="1"/>
  <c r="N156" i="3"/>
  <c r="U156" i="3" s="1"/>
  <c r="N74" i="3"/>
  <c r="U74" i="3" s="1"/>
  <c r="N72" i="3"/>
  <c r="U72" i="3" s="1"/>
  <c r="N70" i="3"/>
  <c r="U70" i="3" s="1"/>
  <c r="N69" i="3"/>
  <c r="U69" i="3" s="1"/>
  <c r="N73" i="3"/>
  <c r="U73" i="3" s="1"/>
  <c r="N71" i="3"/>
  <c r="U71" i="3" s="1"/>
  <c r="N77" i="3"/>
  <c r="U77" i="3" s="1"/>
  <c r="N76" i="3"/>
  <c r="U76" i="3" s="1"/>
  <c r="N75" i="3"/>
  <c r="U75" i="3" s="1"/>
  <c r="N108" i="3"/>
  <c r="U108" i="3" s="1"/>
  <c r="N110" i="3"/>
  <c r="U110" i="3" s="1"/>
  <c r="N109" i="3"/>
  <c r="U109" i="3" s="1"/>
  <c r="N97" i="3"/>
  <c r="U97" i="3" s="1"/>
  <c r="N93" i="3"/>
  <c r="U93" i="3" s="1"/>
  <c r="N89" i="3"/>
  <c r="N90" i="3"/>
  <c r="N100" i="3"/>
  <c r="U100" i="3" s="1"/>
  <c r="N96" i="3"/>
  <c r="N92" i="3"/>
  <c r="N88" i="3"/>
  <c r="M88" i="3" s="1"/>
  <c r="N98" i="3"/>
  <c r="U98" i="3" s="1"/>
  <c r="N94" i="3"/>
  <c r="U94" i="3" s="1"/>
  <c r="N99" i="3"/>
  <c r="U99" i="3" s="1"/>
  <c r="N95" i="3"/>
  <c r="U95" i="3" s="1"/>
  <c r="N91" i="3"/>
  <c r="N32" i="3"/>
  <c r="U32" i="3" s="1"/>
  <c r="N33" i="3"/>
  <c r="U33" i="3" s="1"/>
  <c r="N20" i="3"/>
  <c r="N18" i="3"/>
  <c r="N16" i="3"/>
  <c r="N10" i="3"/>
  <c r="N19" i="3"/>
  <c r="N17" i="3"/>
  <c r="N15" i="3"/>
  <c r="N13" i="3"/>
  <c r="N14" i="3"/>
  <c r="N21" i="3"/>
  <c r="N11" i="3"/>
  <c r="N9" i="3"/>
  <c r="M9" i="3" s="1"/>
  <c r="N12" i="3"/>
  <c r="N8" i="3"/>
  <c r="M8" i="3" s="1"/>
  <c r="N101" i="3"/>
  <c r="N105" i="3"/>
  <c r="N112" i="3"/>
  <c r="N160" i="3"/>
  <c r="N161" i="3"/>
  <c r="N103" i="3"/>
  <c r="N107" i="3"/>
  <c r="N87" i="3"/>
  <c r="N104" i="3"/>
  <c r="N159" i="3"/>
  <c r="N102" i="3"/>
  <c r="N106" i="3"/>
  <c r="N113" i="3"/>
  <c r="N158" i="3"/>
  <c r="N111" i="3"/>
  <c r="V9" i="2"/>
  <c r="V13" i="2"/>
  <c r="V17" i="2"/>
  <c r="V21" i="2"/>
  <c r="V25" i="2"/>
  <c r="V29" i="2"/>
  <c r="V33" i="2"/>
  <c r="V37" i="2"/>
  <c r="V41" i="2"/>
  <c r="V45" i="2"/>
  <c r="V8" i="2"/>
  <c r="V26" i="2"/>
  <c r="V34" i="2"/>
  <c r="V38" i="2"/>
  <c r="V46" i="2"/>
  <c r="V11" i="2"/>
  <c r="V19" i="2"/>
  <c r="V27" i="2"/>
  <c r="V35" i="2"/>
  <c r="V43" i="2"/>
  <c r="V12" i="2"/>
  <c r="V20" i="2"/>
  <c r="V28" i="2"/>
  <c r="V32" i="2"/>
  <c r="V40" i="2"/>
  <c r="V48" i="2"/>
  <c r="V10" i="2"/>
  <c r="V14" i="2"/>
  <c r="V18" i="2"/>
  <c r="V22" i="2"/>
  <c r="V30" i="2"/>
  <c r="V42" i="2"/>
  <c r="V15" i="2"/>
  <c r="V23" i="2"/>
  <c r="V31" i="2"/>
  <c r="V39" i="2"/>
  <c r="V47" i="2"/>
  <c r="V16" i="2"/>
  <c r="V24" i="2"/>
  <c r="V36" i="2"/>
  <c r="V44" i="2"/>
  <c r="N23" i="3"/>
  <c r="N27" i="3"/>
  <c r="N31" i="3"/>
  <c r="N81" i="3"/>
  <c r="N28" i="3"/>
  <c r="N78" i="3"/>
  <c r="N29" i="3"/>
  <c r="N30" i="3"/>
  <c r="N24" i="3"/>
  <c r="N7" i="3"/>
  <c r="N25" i="3"/>
  <c r="N79" i="3"/>
  <c r="N22" i="3"/>
  <c r="N26" i="3"/>
  <c r="N80" i="3"/>
  <c r="U49" i="1"/>
  <c r="M96" i="3" l="1"/>
  <c r="U96" i="3"/>
  <c r="R116" i="3"/>
  <c r="R42" i="3"/>
  <c r="M12" i="3"/>
  <c r="U12" i="3"/>
  <c r="M11" i="3"/>
  <c r="U11" i="3"/>
  <c r="M21" i="3"/>
  <c r="U21" i="3"/>
  <c r="M14" i="3"/>
  <c r="U14" i="3"/>
  <c r="M13" i="3"/>
  <c r="U13" i="3"/>
  <c r="M15" i="3"/>
  <c r="U15" i="3"/>
  <c r="M17" i="3"/>
  <c r="U17" i="3"/>
  <c r="M19" i="3"/>
  <c r="U19" i="3"/>
  <c r="M16" i="3"/>
  <c r="U16" i="3"/>
  <c r="M18" i="3"/>
  <c r="U18" i="3"/>
  <c r="M20" i="3"/>
  <c r="U20" i="3"/>
  <c r="M33" i="3"/>
  <c r="M32" i="3"/>
  <c r="M91" i="3"/>
  <c r="U91" i="3"/>
  <c r="M95" i="3"/>
  <c r="M99" i="3"/>
  <c r="M94" i="3"/>
  <c r="M98" i="3"/>
  <c r="M92" i="3"/>
  <c r="U92" i="3"/>
  <c r="M100" i="3"/>
  <c r="M90" i="3"/>
  <c r="U90" i="3"/>
  <c r="M93" i="3"/>
  <c r="M97" i="3"/>
  <c r="M109" i="3"/>
  <c r="M110" i="3"/>
  <c r="M108" i="3"/>
  <c r="M75" i="3"/>
  <c r="M76" i="3"/>
  <c r="M77" i="3"/>
  <c r="M71" i="3"/>
  <c r="M73" i="3"/>
  <c r="M69" i="3"/>
  <c r="M70" i="3"/>
  <c r="M72" i="3"/>
  <c r="M74" i="3"/>
  <c r="M156" i="3"/>
  <c r="M155" i="3"/>
  <c r="M157" i="3"/>
  <c r="M151" i="3"/>
  <c r="M153" i="3"/>
  <c r="M114" i="3"/>
  <c r="M150" i="3"/>
  <c r="M152" i="3"/>
  <c r="M154" i="3"/>
  <c r="M89" i="3"/>
  <c r="U89" i="3"/>
  <c r="M10" i="3"/>
  <c r="U10" i="3"/>
  <c r="U9" i="3"/>
  <c r="U8" i="3"/>
  <c r="U88" i="3"/>
  <c r="M22" i="6"/>
  <c r="M23" i="6"/>
  <c r="R117" i="3" l="1"/>
  <c r="R43" i="3"/>
  <c r="Q66" i="2"/>
  <c r="M66" i="2"/>
  <c r="I66" i="2"/>
  <c r="E66" i="2"/>
  <c r="M63" i="2"/>
  <c r="I63" i="2"/>
  <c r="M57" i="2"/>
  <c r="I57" i="2"/>
  <c r="E66" i="1"/>
  <c r="I66" i="1"/>
  <c r="M66" i="1"/>
  <c r="R118" i="3" l="1"/>
  <c r="R44" i="3"/>
  <c r="E74" i="6"/>
  <c r="E72" i="6"/>
  <c r="N23" i="6"/>
  <c r="M24" i="6"/>
  <c r="N24" i="6" s="1"/>
  <c r="M25" i="6"/>
  <c r="N25" i="6" s="1"/>
  <c r="M26" i="6"/>
  <c r="N26" i="6" s="1"/>
  <c r="M27" i="6"/>
  <c r="N27" i="6" s="1"/>
  <c r="M28" i="6"/>
  <c r="N28" i="6" s="1"/>
  <c r="M29" i="6"/>
  <c r="N29" i="6" s="1"/>
  <c r="M30" i="6"/>
  <c r="N30" i="6" s="1"/>
  <c r="M31" i="6"/>
  <c r="N31" i="6" s="1"/>
  <c r="M32" i="6"/>
  <c r="N32" i="6" s="1"/>
  <c r="M33" i="6"/>
  <c r="N33" i="6" s="1"/>
  <c r="M34" i="6"/>
  <c r="N34" i="6" s="1"/>
  <c r="M35" i="6"/>
  <c r="N35" i="6" s="1"/>
  <c r="M36" i="6"/>
  <c r="N36" i="6" s="1"/>
  <c r="M37" i="6"/>
  <c r="N37" i="6" s="1"/>
  <c r="M38" i="6"/>
  <c r="N38" i="6" s="1"/>
  <c r="M39" i="6"/>
  <c r="N39" i="6" s="1"/>
  <c r="M40" i="6"/>
  <c r="N40" i="6" s="1"/>
  <c r="M41" i="6"/>
  <c r="N41" i="6" s="1"/>
  <c r="M42" i="6"/>
  <c r="N42" i="6" s="1"/>
  <c r="M43" i="6"/>
  <c r="N43" i="6" s="1"/>
  <c r="M44" i="6"/>
  <c r="N44" i="6" s="1"/>
  <c r="M45" i="6"/>
  <c r="N45" i="6" s="1"/>
  <c r="M46" i="6"/>
  <c r="N46" i="6" s="1"/>
  <c r="M47" i="6"/>
  <c r="N47" i="6" s="1"/>
  <c r="M48" i="6"/>
  <c r="N48" i="6" s="1"/>
  <c r="M49" i="6"/>
  <c r="N49" i="6" s="1"/>
  <c r="M50" i="6"/>
  <c r="N50" i="6" s="1"/>
  <c r="M51" i="6"/>
  <c r="N51" i="6" s="1"/>
  <c r="M52" i="6"/>
  <c r="N52" i="6" s="1"/>
  <c r="M53" i="6"/>
  <c r="N53" i="6" s="1"/>
  <c r="M54" i="6"/>
  <c r="N54" i="6" s="1"/>
  <c r="M55" i="6"/>
  <c r="N55" i="6" s="1"/>
  <c r="M56" i="6"/>
  <c r="N56" i="6" s="1"/>
  <c r="M57" i="6"/>
  <c r="N57" i="6" s="1"/>
  <c r="M58" i="6"/>
  <c r="N58" i="6" s="1"/>
  <c r="M59" i="6"/>
  <c r="N59" i="6" s="1"/>
  <c r="M60" i="6"/>
  <c r="N60" i="6" s="1"/>
  <c r="M61" i="6"/>
  <c r="N61" i="6" s="1"/>
  <c r="M62" i="6"/>
  <c r="N62" i="6" s="1"/>
  <c r="M63" i="6"/>
  <c r="N63" i="6" s="1"/>
  <c r="M64" i="6"/>
  <c r="N64" i="6" s="1"/>
  <c r="M65" i="6"/>
  <c r="N65" i="6" s="1"/>
  <c r="M66" i="6"/>
  <c r="N66" i="6" s="1"/>
  <c r="N22" i="6"/>
  <c r="O26" i="7"/>
  <c r="P26" i="7" s="1"/>
  <c r="O27" i="7"/>
  <c r="P27" i="7" s="1"/>
  <c r="O28" i="7"/>
  <c r="P28" i="7" s="1"/>
  <c r="O29" i="7"/>
  <c r="P29" i="7" s="1"/>
  <c r="O30" i="7"/>
  <c r="P30" i="7" s="1"/>
  <c r="O31" i="7"/>
  <c r="P31" i="7" s="1"/>
  <c r="O32" i="7"/>
  <c r="P32" i="7" s="1"/>
  <c r="O33" i="7"/>
  <c r="P33" i="7" s="1"/>
  <c r="O34" i="7"/>
  <c r="P34" i="7" s="1"/>
  <c r="O35" i="7"/>
  <c r="P35" i="7" s="1"/>
  <c r="O36" i="7"/>
  <c r="P36" i="7" s="1"/>
  <c r="O37" i="7"/>
  <c r="P37" i="7" s="1"/>
  <c r="O38" i="7"/>
  <c r="P38" i="7" s="1"/>
  <c r="O39" i="7"/>
  <c r="P39" i="7" s="1"/>
  <c r="O40" i="7"/>
  <c r="P40" i="7" s="1"/>
  <c r="O41" i="7"/>
  <c r="P41" i="7" s="1"/>
  <c r="O42" i="7"/>
  <c r="P42" i="7" s="1"/>
  <c r="O43" i="7"/>
  <c r="P43" i="7" s="1"/>
  <c r="O44" i="7"/>
  <c r="P44" i="7" s="1"/>
  <c r="O45" i="7"/>
  <c r="P45" i="7" s="1"/>
  <c r="O46" i="7"/>
  <c r="P46" i="7" s="1"/>
  <c r="O47" i="7"/>
  <c r="P47" i="7" s="1"/>
  <c r="O48" i="7"/>
  <c r="P48" i="7" s="1"/>
  <c r="O49" i="7"/>
  <c r="P49" i="7" s="1"/>
  <c r="O50" i="7"/>
  <c r="P50" i="7" s="1"/>
  <c r="O51" i="7"/>
  <c r="P51" i="7" s="1"/>
  <c r="O25" i="7"/>
  <c r="P25" i="7" s="1"/>
  <c r="E62" i="7" s="1"/>
  <c r="F54" i="5" s="1"/>
  <c r="E8" i="7"/>
  <c r="C8" i="7"/>
  <c r="E8" i="6"/>
  <c r="C8" i="6"/>
  <c r="W29" i="1"/>
  <c r="W30" i="1"/>
  <c r="W31" i="1"/>
  <c r="W32" i="1"/>
  <c r="W33" i="1"/>
  <c r="W34" i="1"/>
  <c r="G29" i="2"/>
  <c r="G30" i="2"/>
  <c r="G31" i="2"/>
  <c r="G32" i="2"/>
  <c r="G33" i="2"/>
  <c r="G34" i="2"/>
  <c r="H29" i="2"/>
  <c r="U29" i="2" s="1"/>
  <c r="H30" i="2"/>
  <c r="U30" i="2" s="1"/>
  <c r="H31" i="2"/>
  <c r="U31" i="2" s="1"/>
  <c r="H32" i="2"/>
  <c r="U32" i="2" s="1"/>
  <c r="H33" i="2"/>
  <c r="U33" i="2" s="1"/>
  <c r="H34" i="2"/>
  <c r="U34" i="2" s="1"/>
  <c r="H35" i="2"/>
  <c r="U35" i="2" s="1"/>
  <c r="K29" i="2"/>
  <c r="K30" i="2"/>
  <c r="K31" i="2"/>
  <c r="K32" i="2"/>
  <c r="K33" i="2"/>
  <c r="K34" i="2"/>
  <c r="M29" i="1"/>
  <c r="M30" i="1"/>
  <c r="M31" i="1"/>
  <c r="M32" i="1"/>
  <c r="M33" i="1"/>
  <c r="M34" i="1"/>
  <c r="H29" i="1"/>
  <c r="H30" i="1"/>
  <c r="H31" i="1"/>
  <c r="H32" i="1"/>
  <c r="H33" i="1"/>
  <c r="H34" i="1"/>
  <c r="G161" i="3"/>
  <c r="Q161" i="3" s="1"/>
  <c r="G160" i="3"/>
  <c r="Q160" i="3" s="1"/>
  <c r="G159" i="3"/>
  <c r="Q159" i="3" s="1"/>
  <c r="G158" i="3"/>
  <c r="Q158" i="3" s="1"/>
  <c r="G113" i="3"/>
  <c r="Q113" i="3" s="1"/>
  <c r="G112" i="3"/>
  <c r="Q112" i="3" s="1"/>
  <c r="G111" i="3"/>
  <c r="Q111" i="3" s="1"/>
  <c r="G107" i="3"/>
  <c r="Q107" i="3" s="1"/>
  <c r="G106" i="3"/>
  <c r="Q106" i="3" s="1"/>
  <c r="G105" i="3"/>
  <c r="Q105" i="3" s="1"/>
  <c r="G104" i="3"/>
  <c r="Q104" i="3" s="1"/>
  <c r="G103" i="3"/>
  <c r="Q103" i="3" s="1"/>
  <c r="G102" i="3"/>
  <c r="Q102" i="3" s="1"/>
  <c r="G101" i="3"/>
  <c r="Q101" i="3" s="1"/>
  <c r="G87" i="3"/>
  <c r="E3" i="5"/>
  <c r="C3" i="5"/>
  <c r="E3" i="2"/>
  <c r="C3" i="2"/>
  <c r="M8" i="1"/>
  <c r="G8" i="2"/>
  <c r="H8" i="2"/>
  <c r="U8" i="2" s="1"/>
  <c r="K8" i="2"/>
  <c r="G9" i="2"/>
  <c r="H9" i="2"/>
  <c r="U9" i="2" s="1"/>
  <c r="K9" i="2"/>
  <c r="G10" i="2"/>
  <c r="H10" i="2"/>
  <c r="U10" i="2" s="1"/>
  <c r="K10" i="2"/>
  <c r="G11" i="2"/>
  <c r="H11" i="2"/>
  <c r="U11" i="2" s="1"/>
  <c r="K11" i="2"/>
  <c r="G12" i="2"/>
  <c r="H12" i="2"/>
  <c r="U12" i="2" s="1"/>
  <c r="K12" i="2"/>
  <c r="G13" i="2"/>
  <c r="H13" i="2"/>
  <c r="U13" i="2" s="1"/>
  <c r="K13" i="2"/>
  <c r="G14" i="2"/>
  <c r="H14" i="2"/>
  <c r="U14" i="2" s="1"/>
  <c r="K14" i="2"/>
  <c r="G15" i="2"/>
  <c r="H15" i="2"/>
  <c r="U15" i="2" s="1"/>
  <c r="K15" i="2"/>
  <c r="G16" i="2"/>
  <c r="H16" i="2"/>
  <c r="U16" i="2" s="1"/>
  <c r="K16" i="2"/>
  <c r="G17" i="2"/>
  <c r="H17" i="2"/>
  <c r="U17" i="2" s="1"/>
  <c r="K17" i="2"/>
  <c r="G18" i="2"/>
  <c r="H18" i="2"/>
  <c r="U18" i="2" s="1"/>
  <c r="K18" i="2"/>
  <c r="G19" i="2"/>
  <c r="H19" i="2"/>
  <c r="U19" i="2" s="1"/>
  <c r="K19" i="2"/>
  <c r="G20" i="2"/>
  <c r="H20" i="2"/>
  <c r="U20" i="2" s="1"/>
  <c r="K20" i="2"/>
  <c r="G21" i="2"/>
  <c r="H21" i="2"/>
  <c r="U21" i="2" s="1"/>
  <c r="K21" i="2"/>
  <c r="G22" i="2"/>
  <c r="H22" i="2"/>
  <c r="U22" i="2" s="1"/>
  <c r="K22" i="2"/>
  <c r="G23" i="2"/>
  <c r="H23" i="2"/>
  <c r="U23" i="2" s="1"/>
  <c r="K23" i="2"/>
  <c r="G24" i="2"/>
  <c r="H24" i="2"/>
  <c r="U24" i="2" s="1"/>
  <c r="K24" i="2"/>
  <c r="G25" i="2"/>
  <c r="H25" i="2"/>
  <c r="U25" i="2" s="1"/>
  <c r="K25" i="2"/>
  <c r="G26" i="2"/>
  <c r="H26" i="2"/>
  <c r="U26" i="2" s="1"/>
  <c r="K26" i="2"/>
  <c r="G27" i="2"/>
  <c r="H27" i="2"/>
  <c r="U27" i="2" s="1"/>
  <c r="K27" i="2"/>
  <c r="G28" i="2"/>
  <c r="H28" i="2"/>
  <c r="U28" i="2" s="1"/>
  <c r="K28" i="2"/>
  <c r="G35" i="2"/>
  <c r="K35" i="2"/>
  <c r="G36" i="2"/>
  <c r="H36" i="2"/>
  <c r="U36" i="2" s="1"/>
  <c r="K36" i="2"/>
  <c r="G37" i="2"/>
  <c r="H37" i="2"/>
  <c r="U37" i="2" s="1"/>
  <c r="K37" i="2"/>
  <c r="G38" i="2"/>
  <c r="H38" i="2"/>
  <c r="U38" i="2" s="1"/>
  <c r="K38" i="2"/>
  <c r="G39" i="2"/>
  <c r="H39" i="2"/>
  <c r="U39" i="2" s="1"/>
  <c r="K39" i="2"/>
  <c r="G40" i="2"/>
  <c r="H40" i="2"/>
  <c r="U40" i="2" s="1"/>
  <c r="K40" i="2"/>
  <c r="G41" i="2"/>
  <c r="H41" i="2"/>
  <c r="U41" i="2" s="1"/>
  <c r="K41" i="2"/>
  <c r="G42" i="2"/>
  <c r="H42" i="2"/>
  <c r="U42" i="2" s="1"/>
  <c r="K42" i="2"/>
  <c r="G43" i="2"/>
  <c r="H43" i="2"/>
  <c r="U43" i="2" s="1"/>
  <c r="K43" i="2"/>
  <c r="G44" i="2"/>
  <c r="H44" i="2"/>
  <c r="U44" i="2" s="1"/>
  <c r="K44" i="2"/>
  <c r="G45" i="2"/>
  <c r="H45" i="2"/>
  <c r="U45" i="2" s="1"/>
  <c r="K45" i="2"/>
  <c r="G46" i="2"/>
  <c r="H46" i="2"/>
  <c r="U46" i="2" s="1"/>
  <c r="K46" i="2"/>
  <c r="J46" i="2" s="1"/>
  <c r="G47" i="2"/>
  <c r="H47" i="2"/>
  <c r="U47" i="2" s="1"/>
  <c r="K47" i="2"/>
  <c r="G48" i="2"/>
  <c r="H48" i="2"/>
  <c r="U48" i="2" s="1"/>
  <c r="K48" i="2"/>
  <c r="H8" i="1"/>
  <c r="W8" i="1"/>
  <c r="H9" i="1"/>
  <c r="M9" i="1"/>
  <c r="W9" i="1"/>
  <c r="H10" i="1"/>
  <c r="M10" i="1"/>
  <c r="W10" i="1"/>
  <c r="H11" i="1"/>
  <c r="M11" i="1"/>
  <c r="W11" i="1"/>
  <c r="H12" i="1"/>
  <c r="M12" i="1"/>
  <c r="W12" i="1"/>
  <c r="H13" i="1"/>
  <c r="M13" i="1"/>
  <c r="W13" i="1"/>
  <c r="H14" i="1"/>
  <c r="M14" i="1"/>
  <c r="W14" i="1"/>
  <c r="H15" i="1"/>
  <c r="M15" i="1"/>
  <c r="W15" i="1"/>
  <c r="H16" i="1"/>
  <c r="M16" i="1"/>
  <c r="W16" i="1"/>
  <c r="H17" i="1"/>
  <c r="M17" i="1"/>
  <c r="W17" i="1"/>
  <c r="H18" i="1"/>
  <c r="M18" i="1"/>
  <c r="W18" i="1"/>
  <c r="H19" i="1"/>
  <c r="M19" i="1"/>
  <c r="W19" i="1"/>
  <c r="H20" i="1"/>
  <c r="M20" i="1"/>
  <c r="W20" i="1"/>
  <c r="H21" i="1"/>
  <c r="M21" i="1"/>
  <c r="W21" i="1"/>
  <c r="H22" i="1"/>
  <c r="M22" i="1"/>
  <c r="W22" i="1"/>
  <c r="H23" i="1"/>
  <c r="M23" i="1"/>
  <c r="W23" i="1"/>
  <c r="H24" i="1"/>
  <c r="M24" i="1"/>
  <c r="W24" i="1"/>
  <c r="H25" i="1"/>
  <c r="M25" i="1"/>
  <c r="W25" i="1"/>
  <c r="H26" i="1"/>
  <c r="M26" i="1"/>
  <c r="W26" i="1"/>
  <c r="H27" i="1"/>
  <c r="M27" i="1"/>
  <c r="W27" i="1"/>
  <c r="H28" i="1"/>
  <c r="M28" i="1"/>
  <c r="W28" i="1"/>
  <c r="H35" i="1"/>
  <c r="M35" i="1"/>
  <c r="W35" i="1"/>
  <c r="H36" i="1"/>
  <c r="M36" i="1"/>
  <c r="W36" i="1"/>
  <c r="H37" i="1"/>
  <c r="M37" i="1"/>
  <c r="W37" i="1"/>
  <c r="H38" i="1"/>
  <c r="M38" i="1"/>
  <c r="W38" i="1"/>
  <c r="H39" i="1"/>
  <c r="M39" i="1"/>
  <c r="W39" i="1"/>
  <c r="H40" i="1"/>
  <c r="M40" i="1"/>
  <c r="W40" i="1"/>
  <c r="H41" i="1"/>
  <c r="M41" i="1"/>
  <c r="W41" i="1"/>
  <c r="H42" i="1"/>
  <c r="M42" i="1"/>
  <c r="W42" i="1"/>
  <c r="H43" i="1"/>
  <c r="M43" i="1"/>
  <c r="W43" i="1"/>
  <c r="H44" i="1"/>
  <c r="M44" i="1"/>
  <c r="W44" i="1"/>
  <c r="H45" i="1"/>
  <c r="M45" i="1"/>
  <c r="W45" i="1"/>
  <c r="H46" i="1"/>
  <c r="M46" i="1"/>
  <c r="W46" i="1"/>
  <c r="H47" i="1"/>
  <c r="M47" i="1"/>
  <c r="W47" i="1"/>
  <c r="H48" i="1"/>
  <c r="M48" i="1"/>
  <c r="W48" i="1"/>
  <c r="G7" i="3"/>
  <c r="G22" i="3"/>
  <c r="G23" i="3"/>
  <c r="G24" i="3"/>
  <c r="G25" i="3"/>
  <c r="G26" i="3"/>
  <c r="G27" i="3"/>
  <c r="G28" i="3"/>
  <c r="G29" i="3"/>
  <c r="G30" i="3"/>
  <c r="G31" i="3"/>
  <c r="G78" i="3"/>
  <c r="G79" i="3"/>
  <c r="G80" i="3"/>
  <c r="G81" i="3"/>
  <c r="J32" i="2"/>
  <c r="S49" i="2"/>
  <c r="J20" i="5" s="1"/>
  <c r="E77" i="6"/>
  <c r="H54" i="5" s="1"/>
  <c r="J13" i="2" l="1"/>
  <c r="J14" i="2"/>
  <c r="I79" i="3"/>
  <c r="J79" i="3"/>
  <c r="M79" i="3" s="1"/>
  <c r="H79" i="3"/>
  <c r="H80" i="3"/>
  <c r="I80" i="3"/>
  <c r="J80" i="3"/>
  <c r="M80" i="3" s="1"/>
  <c r="R119" i="3"/>
  <c r="H78" i="3"/>
  <c r="I78" i="3"/>
  <c r="J78" i="3"/>
  <c r="R45" i="3"/>
  <c r="L32" i="2"/>
  <c r="M32" i="2"/>
  <c r="N32" i="2"/>
  <c r="Q81" i="3"/>
  <c r="Q80" i="3"/>
  <c r="Q79" i="3"/>
  <c r="Q78" i="3"/>
  <c r="Q31" i="3"/>
  <c r="Q30" i="3"/>
  <c r="Q29" i="3"/>
  <c r="Q28" i="3"/>
  <c r="Q27" i="3"/>
  <c r="Q26" i="3"/>
  <c r="Q25" i="3"/>
  <c r="Q24" i="3"/>
  <c r="Q23" i="3"/>
  <c r="Q22" i="3"/>
  <c r="L46" i="2"/>
  <c r="M46" i="2"/>
  <c r="N46" i="2"/>
  <c r="L14" i="2"/>
  <c r="M14" i="2"/>
  <c r="N14" i="2"/>
  <c r="L13" i="2"/>
  <c r="M13" i="2"/>
  <c r="N13" i="2"/>
  <c r="Q87" i="3"/>
  <c r="S87" i="3" s="1"/>
  <c r="T87" i="3" s="1"/>
  <c r="S88" i="3" s="1"/>
  <c r="Q7" i="3"/>
  <c r="S7" i="3" s="1"/>
  <c r="T7" i="3" s="1"/>
  <c r="AJ46" i="1"/>
  <c r="AK46" i="1"/>
  <c r="AI46" i="1"/>
  <c r="AK42" i="1"/>
  <c r="AI42" i="1"/>
  <c r="AJ42" i="1"/>
  <c r="AI38" i="1"/>
  <c r="AJ38" i="1"/>
  <c r="AK38" i="1"/>
  <c r="AK28" i="1"/>
  <c r="AI28" i="1"/>
  <c r="AJ28" i="1"/>
  <c r="AK24" i="1"/>
  <c r="AI24" i="1"/>
  <c r="AJ24" i="1"/>
  <c r="AI20" i="1"/>
  <c r="AJ20" i="1"/>
  <c r="AK20" i="1"/>
  <c r="AI16" i="1"/>
  <c r="AJ16" i="1"/>
  <c r="AK16" i="1"/>
  <c r="AI12" i="1"/>
  <c r="AJ12" i="1"/>
  <c r="AK12" i="1"/>
  <c r="L33" i="1"/>
  <c r="O33" i="1" s="1"/>
  <c r="AJ33" i="1"/>
  <c r="AK33" i="1"/>
  <c r="AI33" i="1"/>
  <c r="AJ29" i="1"/>
  <c r="AK29" i="1"/>
  <c r="AI29" i="1"/>
  <c r="AJ47" i="1"/>
  <c r="AI47" i="1"/>
  <c r="AK47" i="1"/>
  <c r="AI43" i="1"/>
  <c r="AK43" i="1"/>
  <c r="AJ43" i="1"/>
  <c r="AK39" i="1"/>
  <c r="AI39" i="1"/>
  <c r="AJ39" i="1"/>
  <c r="AK25" i="1"/>
  <c r="AI25" i="1"/>
  <c r="AJ25" i="1"/>
  <c r="AK21" i="1"/>
  <c r="AI21" i="1"/>
  <c r="AJ21" i="1"/>
  <c r="AI17" i="1"/>
  <c r="AJ17" i="1"/>
  <c r="AK17" i="1"/>
  <c r="AI13" i="1"/>
  <c r="AJ13" i="1"/>
  <c r="AK13" i="1"/>
  <c r="AI9" i="1"/>
  <c r="AJ9" i="1"/>
  <c r="AK9" i="1"/>
  <c r="AJ32" i="1"/>
  <c r="AK32" i="1"/>
  <c r="AI32" i="1"/>
  <c r="AJ48" i="1"/>
  <c r="AK48" i="1"/>
  <c r="AI48" i="1"/>
  <c r="AK44" i="1"/>
  <c r="AI44" i="1"/>
  <c r="AJ44" i="1"/>
  <c r="AI40" i="1"/>
  <c r="AK40" i="1"/>
  <c r="AJ40" i="1"/>
  <c r="AI36" i="1"/>
  <c r="AJ36" i="1"/>
  <c r="AK36" i="1"/>
  <c r="AK26" i="1"/>
  <c r="AI26" i="1"/>
  <c r="AJ26" i="1"/>
  <c r="AK22" i="1"/>
  <c r="AI22" i="1"/>
  <c r="AJ22" i="1"/>
  <c r="AI18" i="1"/>
  <c r="AJ18" i="1"/>
  <c r="AK18" i="1"/>
  <c r="AI14" i="1"/>
  <c r="AJ14" i="1"/>
  <c r="AK14" i="1"/>
  <c r="AI10" i="1"/>
  <c r="AJ10" i="1"/>
  <c r="AK10" i="1"/>
  <c r="AJ31" i="1"/>
  <c r="AI31" i="1"/>
  <c r="AK31" i="1"/>
  <c r="AJ45" i="1"/>
  <c r="AI45" i="1"/>
  <c r="AK45" i="1"/>
  <c r="AI41" i="1"/>
  <c r="AJ41" i="1"/>
  <c r="AK41" i="1"/>
  <c r="AI37" i="1"/>
  <c r="AK37" i="1"/>
  <c r="AJ37" i="1"/>
  <c r="AK27" i="1"/>
  <c r="AJ27" i="1"/>
  <c r="AI27" i="1"/>
  <c r="AK23" i="1"/>
  <c r="AI23" i="1"/>
  <c r="AJ23" i="1"/>
  <c r="AI19" i="1"/>
  <c r="AJ19" i="1"/>
  <c r="AK19" i="1"/>
  <c r="AI15" i="1"/>
  <c r="AJ15" i="1"/>
  <c r="AK15" i="1"/>
  <c r="AI11" i="1"/>
  <c r="AJ11" i="1"/>
  <c r="AK11" i="1"/>
  <c r="AJ34" i="1"/>
  <c r="AK34" i="1"/>
  <c r="AI34" i="1"/>
  <c r="AJ30" i="1"/>
  <c r="AK30" i="1"/>
  <c r="AI30" i="1"/>
  <c r="AI35" i="1"/>
  <c r="AJ35" i="1"/>
  <c r="AK35" i="1"/>
  <c r="AI8" i="1"/>
  <c r="AK8" i="1"/>
  <c r="AJ8" i="1"/>
  <c r="AD46" i="1"/>
  <c r="AB46" i="1"/>
  <c r="AC46" i="1"/>
  <c r="AB20" i="1"/>
  <c r="AC20" i="1"/>
  <c r="AD20" i="1"/>
  <c r="AB12" i="1"/>
  <c r="AC12" i="1"/>
  <c r="AD12" i="1"/>
  <c r="AD34" i="1"/>
  <c r="AC34" i="1"/>
  <c r="AB34" i="1"/>
  <c r="AD30" i="1"/>
  <c r="AB30" i="1"/>
  <c r="AC30" i="1"/>
  <c r="AD45" i="1"/>
  <c r="AB45" i="1"/>
  <c r="AC45" i="1"/>
  <c r="AB41" i="1"/>
  <c r="AC41" i="1"/>
  <c r="AD41" i="1"/>
  <c r="AB37" i="1"/>
  <c r="AD37" i="1"/>
  <c r="AC37" i="1"/>
  <c r="AC27" i="1"/>
  <c r="AD27" i="1"/>
  <c r="AB27" i="1"/>
  <c r="AC23" i="1"/>
  <c r="AD23" i="1"/>
  <c r="AB23" i="1"/>
  <c r="AC19" i="1"/>
  <c r="AB19" i="1"/>
  <c r="AD19" i="1"/>
  <c r="AC15" i="1"/>
  <c r="AD15" i="1"/>
  <c r="AB15" i="1"/>
  <c r="AC11" i="1"/>
  <c r="AD11" i="1"/>
  <c r="AB11" i="1"/>
  <c r="AC8" i="1"/>
  <c r="AD8" i="1"/>
  <c r="AB8" i="1"/>
  <c r="AC31" i="1"/>
  <c r="AB31" i="1"/>
  <c r="AD31" i="1"/>
  <c r="AB24" i="1"/>
  <c r="AC24" i="1"/>
  <c r="AD24" i="1"/>
  <c r="AB16" i="1"/>
  <c r="AC16" i="1"/>
  <c r="AD16" i="1"/>
  <c r="AC47" i="1"/>
  <c r="AD47" i="1"/>
  <c r="AB47" i="1"/>
  <c r="AC43" i="1"/>
  <c r="AD43" i="1"/>
  <c r="AB43" i="1"/>
  <c r="AC39" i="1"/>
  <c r="AD39" i="1"/>
  <c r="AB39" i="1"/>
  <c r="AC35" i="1"/>
  <c r="AB35" i="1"/>
  <c r="AD35" i="1"/>
  <c r="AD25" i="1"/>
  <c r="AB25" i="1"/>
  <c r="AC25" i="1"/>
  <c r="AB21" i="1"/>
  <c r="AC21" i="1"/>
  <c r="AD21" i="1"/>
  <c r="AB17" i="1"/>
  <c r="AC17" i="1"/>
  <c r="AD17" i="1"/>
  <c r="AB13" i="1"/>
  <c r="AC13" i="1"/>
  <c r="AD13" i="1"/>
  <c r="AB9" i="1"/>
  <c r="AC9" i="1"/>
  <c r="AD9" i="1"/>
  <c r="AB33" i="1"/>
  <c r="AC33" i="1"/>
  <c r="AD33" i="1"/>
  <c r="AD29" i="1"/>
  <c r="AB29" i="1"/>
  <c r="AC29" i="1"/>
  <c r="AD42" i="1"/>
  <c r="AC42" i="1"/>
  <c r="AB42" i="1"/>
  <c r="AD38" i="1"/>
  <c r="AC38" i="1"/>
  <c r="AB38" i="1"/>
  <c r="AB28" i="1"/>
  <c r="AC28" i="1"/>
  <c r="AD28" i="1"/>
  <c r="AB48" i="1"/>
  <c r="AC48" i="1"/>
  <c r="AD48" i="1"/>
  <c r="AB44" i="1"/>
  <c r="AC44" i="1"/>
  <c r="AD44" i="1"/>
  <c r="AB40" i="1"/>
  <c r="AC40" i="1"/>
  <c r="AD40" i="1"/>
  <c r="AB36" i="1"/>
  <c r="AC36" i="1"/>
  <c r="AD36" i="1"/>
  <c r="AD26" i="1"/>
  <c r="AB26" i="1"/>
  <c r="AC26" i="1"/>
  <c r="AD22" i="1"/>
  <c r="AC22" i="1"/>
  <c r="AB22" i="1"/>
  <c r="AD18" i="1"/>
  <c r="AB18" i="1"/>
  <c r="AC18" i="1"/>
  <c r="AD14" i="1"/>
  <c r="AC14" i="1"/>
  <c r="AB14" i="1"/>
  <c r="AD10" i="1"/>
  <c r="AB10" i="1"/>
  <c r="AC10" i="1"/>
  <c r="AB32" i="1"/>
  <c r="AC32" i="1"/>
  <c r="AD32" i="1"/>
  <c r="L38" i="1"/>
  <c r="N38" i="1" s="1"/>
  <c r="L24" i="1"/>
  <c r="N24" i="1" s="1"/>
  <c r="L45" i="1"/>
  <c r="P45" i="1" s="1"/>
  <c r="L41" i="1"/>
  <c r="P41" i="1" s="1"/>
  <c r="L37" i="1"/>
  <c r="N37" i="1" s="1"/>
  <c r="H30" i="3"/>
  <c r="I30" i="3"/>
  <c r="J30" i="3"/>
  <c r="J28" i="3"/>
  <c r="I28" i="3"/>
  <c r="H28" i="3"/>
  <c r="H26" i="3"/>
  <c r="I26" i="3"/>
  <c r="J26" i="3"/>
  <c r="J24" i="3"/>
  <c r="I24" i="3"/>
  <c r="H24" i="3"/>
  <c r="H7" i="3"/>
  <c r="J7" i="3"/>
  <c r="I7" i="3"/>
  <c r="H101" i="3"/>
  <c r="I101" i="3"/>
  <c r="J101" i="3"/>
  <c r="I112" i="3"/>
  <c r="H112" i="3"/>
  <c r="J112" i="3"/>
  <c r="M112" i="3" s="1"/>
  <c r="H158" i="3"/>
  <c r="J158" i="3"/>
  <c r="I158" i="3"/>
  <c r="I160" i="3"/>
  <c r="H160" i="3"/>
  <c r="J160" i="3"/>
  <c r="I81" i="3"/>
  <c r="J81" i="3"/>
  <c r="H81" i="3"/>
  <c r="I31" i="3"/>
  <c r="J31" i="3"/>
  <c r="H31" i="3"/>
  <c r="H29" i="3"/>
  <c r="I29" i="3"/>
  <c r="J29" i="3"/>
  <c r="I27" i="3"/>
  <c r="J27" i="3"/>
  <c r="H27" i="3"/>
  <c r="H25" i="3"/>
  <c r="I25" i="3"/>
  <c r="J25" i="3"/>
  <c r="I23" i="3"/>
  <c r="J23" i="3"/>
  <c r="H23" i="3"/>
  <c r="J87" i="3"/>
  <c r="I87" i="3"/>
  <c r="H87" i="3"/>
  <c r="J113" i="3"/>
  <c r="I113" i="3"/>
  <c r="H113" i="3"/>
  <c r="H159" i="3"/>
  <c r="I159" i="3"/>
  <c r="J159" i="3"/>
  <c r="J161" i="3"/>
  <c r="I161" i="3"/>
  <c r="H161" i="3"/>
  <c r="H22" i="3"/>
  <c r="I22" i="3"/>
  <c r="J22" i="3"/>
  <c r="H102" i="3"/>
  <c r="J102" i="3"/>
  <c r="I102" i="3"/>
  <c r="I111" i="3"/>
  <c r="H111" i="3"/>
  <c r="J111" i="3"/>
  <c r="I106" i="3"/>
  <c r="J106" i="3"/>
  <c r="H106" i="3"/>
  <c r="I103" i="3"/>
  <c r="J103" i="3"/>
  <c r="H103" i="3"/>
  <c r="U103" i="3" s="1"/>
  <c r="J105" i="3"/>
  <c r="I105" i="3"/>
  <c r="H105" i="3"/>
  <c r="H107" i="3"/>
  <c r="I107" i="3"/>
  <c r="J107" i="3"/>
  <c r="J104" i="3"/>
  <c r="I104" i="3"/>
  <c r="H104" i="3"/>
  <c r="N33" i="1"/>
  <c r="E55" i="7"/>
  <c r="E64" i="7"/>
  <c r="F55" i="5" s="1"/>
  <c r="L20" i="1"/>
  <c r="L16" i="1"/>
  <c r="L43" i="1"/>
  <c r="L35" i="1"/>
  <c r="L25" i="1"/>
  <c r="L21" i="1"/>
  <c r="L17" i="1"/>
  <c r="L13" i="1"/>
  <c r="J45" i="2"/>
  <c r="J41" i="2"/>
  <c r="J39" i="2"/>
  <c r="J37" i="2"/>
  <c r="J23" i="2"/>
  <c r="J24" i="2"/>
  <c r="J38" i="2"/>
  <c r="J22" i="2"/>
  <c r="J18" i="2"/>
  <c r="J33" i="2"/>
  <c r="J29" i="2"/>
  <c r="J48" i="2"/>
  <c r="E70" i="6"/>
  <c r="E79" i="6"/>
  <c r="H55" i="5" s="1"/>
  <c r="J42" i="2"/>
  <c r="J40" i="2"/>
  <c r="J27" i="2"/>
  <c r="J25" i="2"/>
  <c r="J43" i="2"/>
  <c r="J28" i="2"/>
  <c r="J26" i="2"/>
  <c r="J21" i="2"/>
  <c r="J19" i="2"/>
  <c r="J17" i="2"/>
  <c r="J15" i="2"/>
  <c r="J36" i="2"/>
  <c r="J35" i="2"/>
  <c r="J20" i="2"/>
  <c r="J31" i="2"/>
  <c r="J47" i="2"/>
  <c r="J16" i="2"/>
  <c r="J34" i="2"/>
  <c r="J8" i="2"/>
  <c r="J11" i="2"/>
  <c r="J12" i="2"/>
  <c r="J10" i="2"/>
  <c r="E60" i="2"/>
  <c r="E60" i="1"/>
  <c r="L48" i="1"/>
  <c r="L44" i="1"/>
  <c r="L36" i="1"/>
  <c r="L10" i="1"/>
  <c r="J9" i="2"/>
  <c r="J30" i="2"/>
  <c r="J44" i="2"/>
  <c r="L40" i="1"/>
  <c r="L26" i="1"/>
  <c r="L18" i="1"/>
  <c r="L14" i="1"/>
  <c r="L27" i="1"/>
  <c r="L23" i="1"/>
  <c r="L19" i="1"/>
  <c r="L15" i="1"/>
  <c r="L11" i="1"/>
  <c r="L34" i="1"/>
  <c r="L30" i="1"/>
  <c r="L22" i="1"/>
  <c r="L28" i="1"/>
  <c r="L12" i="1"/>
  <c r="L29" i="1"/>
  <c r="L32" i="1"/>
  <c r="L47" i="1"/>
  <c r="L46" i="1"/>
  <c r="L42" i="1"/>
  <c r="L39" i="1"/>
  <c r="L31" i="1"/>
  <c r="L9" i="1"/>
  <c r="P9" i="1" s="1"/>
  <c r="K49" i="2"/>
  <c r="L8" i="1"/>
  <c r="M49" i="1"/>
  <c r="U107" i="3" l="1"/>
  <c r="N45" i="1"/>
  <c r="U79" i="3"/>
  <c r="AN27" i="1"/>
  <c r="P33" i="1"/>
  <c r="T33" i="1"/>
  <c r="AN32" i="1"/>
  <c r="U105" i="3"/>
  <c r="U113" i="3"/>
  <c r="U27" i="3"/>
  <c r="U112" i="3"/>
  <c r="U101" i="3"/>
  <c r="U24" i="3"/>
  <c r="AN48" i="1"/>
  <c r="U78" i="3"/>
  <c r="U80" i="3"/>
  <c r="U104" i="3"/>
  <c r="U106" i="3"/>
  <c r="U111" i="3"/>
  <c r="U102" i="3"/>
  <c r="U161" i="3"/>
  <c r="U23" i="3"/>
  <c r="U31" i="3"/>
  <c r="U81" i="3"/>
  <c r="U160" i="3"/>
  <c r="U158" i="3"/>
  <c r="M101" i="3"/>
  <c r="U28" i="3"/>
  <c r="AN34" i="1"/>
  <c r="AN29" i="1"/>
  <c r="AN46" i="1"/>
  <c r="U159" i="3"/>
  <c r="U30" i="3"/>
  <c r="M107" i="3"/>
  <c r="M159" i="3"/>
  <c r="M25" i="3"/>
  <c r="M30" i="3"/>
  <c r="M22" i="3"/>
  <c r="M29" i="3"/>
  <c r="M26" i="3"/>
  <c r="M111" i="3"/>
  <c r="M160" i="3"/>
  <c r="R120" i="3"/>
  <c r="R46" i="3"/>
  <c r="M161" i="3"/>
  <c r="M81" i="3"/>
  <c r="M78" i="3"/>
  <c r="M104" i="3"/>
  <c r="M105" i="3"/>
  <c r="M103" i="3"/>
  <c r="M106" i="3"/>
  <c r="M102" i="3"/>
  <c r="M113" i="3"/>
  <c r="M158" i="3"/>
  <c r="M23" i="3"/>
  <c r="M27" i="3"/>
  <c r="M31" i="3"/>
  <c r="M24" i="3"/>
  <c r="M28" i="3"/>
  <c r="L44" i="2"/>
  <c r="M44" i="2"/>
  <c r="N44" i="2"/>
  <c r="L30" i="2"/>
  <c r="M30" i="2"/>
  <c r="N30" i="2"/>
  <c r="L12" i="2"/>
  <c r="M12" i="2"/>
  <c r="N12" i="2"/>
  <c r="L34" i="2"/>
  <c r="M34" i="2"/>
  <c r="N34" i="2"/>
  <c r="R34" i="2" s="1"/>
  <c r="L16" i="2"/>
  <c r="M16" i="2"/>
  <c r="N16" i="2"/>
  <c r="L47" i="2"/>
  <c r="M47" i="2"/>
  <c r="N47" i="2"/>
  <c r="L31" i="2"/>
  <c r="M31" i="2"/>
  <c r="N31" i="2"/>
  <c r="L20" i="2"/>
  <c r="M20" i="2"/>
  <c r="N20" i="2"/>
  <c r="L35" i="2"/>
  <c r="R35" i="2" s="1"/>
  <c r="M35" i="2"/>
  <c r="N35" i="2"/>
  <c r="L36" i="2"/>
  <c r="M36" i="2"/>
  <c r="N36" i="2"/>
  <c r="L15" i="2"/>
  <c r="M15" i="2"/>
  <c r="N15" i="2"/>
  <c r="L17" i="2"/>
  <c r="M17" i="2"/>
  <c r="N17" i="2"/>
  <c r="L19" i="2"/>
  <c r="M19" i="2"/>
  <c r="N19" i="2"/>
  <c r="L21" i="2"/>
  <c r="M21" i="2"/>
  <c r="N21" i="2"/>
  <c r="L26" i="2"/>
  <c r="M26" i="2"/>
  <c r="N26" i="2"/>
  <c r="L28" i="2"/>
  <c r="M28" i="2"/>
  <c r="N28" i="2"/>
  <c r="L43" i="2"/>
  <c r="R43" i="2" s="1"/>
  <c r="M43" i="2"/>
  <c r="N43" i="2"/>
  <c r="L25" i="2"/>
  <c r="M25" i="2"/>
  <c r="N25" i="2"/>
  <c r="L27" i="2"/>
  <c r="M27" i="2"/>
  <c r="N27" i="2"/>
  <c r="L40" i="2"/>
  <c r="M40" i="2"/>
  <c r="N40" i="2"/>
  <c r="L42" i="2"/>
  <c r="R42" i="2" s="1"/>
  <c r="M42" i="2"/>
  <c r="N42" i="2"/>
  <c r="L48" i="2"/>
  <c r="M48" i="2"/>
  <c r="N48" i="2"/>
  <c r="L29" i="2"/>
  <c r="M29" i="2"/>
  <c r="N29" i="2"/>
  <c r="L33" i="2"/>
  <c r="M33" i="2"/>
  <c r="N33" i="2"/>
  <c r="L18" i="2"/>
  <c r="R18" i="2" s="1"/>
  <c r="M18" i="2"/>
  <c r="N18" i="2"/>
  <c r="L22" i="2"/>
  <c r="M22" i="2"/>
  <c r="N22" i="2"/>
  <c r="L38" i="2"/>
  <c r="M38" i="2"/>
  <c r="N38" i="2"/>
  <c r="L24" i="2"/>
  <c r="M24" i="2"/>
  <c r="N24" i="2"/>
  <c r="L23" i="2"/>
  <c r="R23" i="2" s="1"/>
  <c r="M23" i="2"/>
  <c r="N23" i="2"/>
  <c r="L37" i="2"/>
  <c r="M37" i="2"/>
  <c r="N37" i="2"/>
  <c r="L39" i="2"/>
  <c r="M39" i="2"/>
  <c r="N39" i="2"/>
  <c r="L41" i="2"/>
  <c r="M41" i="2"/>
  <c r="N41" i="2"/>
  <c r="L45" i="2"/>
  <c r="R45" i="2" s="1"/>
  <c r="M45" i="2"/>
  <c r="N45" i="2"/>
  <c r="U22" i="3"/>
  <c r="U25" i="3"/>
  <c r="U29" i="3"/>
  <c r="U26" i="3"/>
  <c r="AN19" i="1"/>
  <c r="AN17" i="1"/>
  <c r="AN39" i="1"/>
  <c r="AN16" i="1"/>
  <c r="AN28" i="1"/>
  <c r="AN38" i="1"/>
  <c r="M7" i="3"/>
  <c r="M87" i="3"/>
  <c r="U7" i="3"/>
  <c r="V7" i="3" s="1"/>
  <c r="S8" i="3"/>
  <c r="T8" i="3" s="1"/>
  <c r="S9" i="3" s="1"/>
  <c r="AN41" i="1"/>
  <c r="AN14" i="1"/>
  <c r="AN26" i="1"/>
  <c r="AN36" i="1"/>
  <c r="AN33" i="1"/>
  <c r="AN20" i="1"/>
  <c r="AN35" i="1"/>
  <c r="AN15" i="1"/>
  <c r="AN37" i="1"/>
  <c r="AN31" i="1"/>
  <c r="AN10" i="1"/>
  <c r="AN22" i="1"/>
  <c r="AN44" i="1"/>
  <c r="AN8" i="1"/>
  <c r="AN30" i="1"/>
  <c r="AN11" i="1"/>
  <c r="AN23" i="1"/>
  <c r="AN45" i="1"/>
  <c r="AN13" i="1"/>
  <c r="AN25" i="1"/>
  <c r="AN12" i="1"/>
  <c r="AN24" i="1"/>
  <c r="AN18" i="1"/>
  <c r="AN40" i="1"/>
  <c r="AN9" i="1"/>
  <c r="AN21" i="1"/>
  <c r="AN43" i="1"/>
  <c r="AN47" i="1"/>
  <c r="AN42" i="1"/>
  <c r="O38" i="1"/>
  <c r="P24" i="1"/>
  <c r="AG40" i="1"/>
  <c r="AG9" i="1"/>
  <c r="AG39" i="1"/>
  <c r="AG31" i="1"/>
  <c r="AG15" i="1"/>
  <c r="AG19" i="1"/>
  <c r="AG34" i="1"/>
  <c r="AG20" i="1"/>
  <c r="O24" i="1"/>
  <c r="AG35" i="1"/>
  <c r="AG30" i="1"/>
  <c r="AG46" i="1"/>
  <c r="P37" i="1"/>
  <c r="O45" i="1"/>
  <c r="T45" i="1" s="1"/>
  <c r="AG10" i="1"/>
  <c r="AG22" i="1"/>
  <c r="AG26" i="1"/>
  <c r="AG36" i="1"/>
  <c r="AG28" i="1"/>
  <c r="AG42" i="1"/>
  <c r="AG29" i="1"/>
  <c r="AG33" i="1"/>
  <c r="AG21" i="1"/>
  <c r="AG11" i="1"/>
  <c r="AG27" i="1"/>
  <c r="AG41" i="1"/>
  <c r="AG12" i="1"/>
  <c r="P38" i="1"/>
  <c r="AG48" i="1"/>
  <c r="AG38" i="1"/>
  <c r="AG17" i="1"/>
  <c r="AG47" i="1"/>
  <c r="AG24" i="1"/>
  <c r="AG8" i="1"/>
  <c r="AG23" i="1"/>
  <c r="AG37" i="1"/>
  <c r="O37" i="1"/>
  <c r="AG32" i="1"/>
  <c r="AG14" i="1"/>
  <c r="AG18" i="1"/>
  <c r="AG44" i="1"/>
  <c r="AG13" i="1"/>
  <c r="AG25" i="1"/>
  <c r="AG43" i="1"/>
  <c r="AG16" i="1"/>
  <c r="AG45" i="1"/>
  <c r="O41" i="1"/>
  <c r="N41" i="1"/>
  <c r="U87" i="3"/>
  <c r="V87" i="3" s="1"/>
  <c r="T88" i="3"/>
  <c r="S89" i="3" s="1"/>
  <c r="M63" i="1"/>
  <c r="O8" i="1"/>
  <c r="N8" i="1"/>
  <c r="N11" i="2"/>
  <c r="M11" i="2"/>
  <c r="L11" i="2"/>
  <c r="L9" i="2"/>
  <c r="M9" i="2"/>
  <c r="N9" i="2"/>
  <c r="M10" i="2"/>
  <c r="N10" i="2"/>
  <c r="L10" i="2"/>
  <c r="O9" i="1"/>
  <c r="N8" i="2"/>
  <c r="M8" i="2"/>
  <c r="L8" i="2"/>
  <c r="Q63" i="2" s="1"/>
  <c r="P8" i="1"/>
  <c r="N9" i="1"/>
  <c r="Q63" i="1" s="1"/>
  <c r="N12" i="1"/>
  <c r="O12" i="1"/>
  <c r="P12" i="1"/>
  <c r="P26" i="1"/>
  <c r="N26" i="1"/>
  <c r="O26" i="1"/>
  <c r="N43" i="1"/>
  <c r="P43" i="1"/>
  <c r="O43" i="1"/>
  <c r="O34" i="1"/>
  <c r="P34" i="1"/>
  <c r="N34" i="1"/>
  <c r="O36" i="1"/>
  <c r="P36" i="1"/>
  <c r="N36" i="1"/>
  <c r="N31" i="1"/>
  <c r="O31" i="1"/>
  <c r="P31" i="1"/>
  <c r="N47" i="1"/>
  <c r="P47" i="1"/>
  <c r="O47" i="1"/>
  <c r="N28" i="1"/>
  <c r="O28" i="1"/>
  <c r="P28" i="1"/>
  <c r="P11" i="1"/>
  <c r="N11" i="1"/>
  <c r="O11" i="1"/>
  <c r="N27" i="1"/>
  <c r="P27" i="1"/>
  <c r="O27" i="1"/>
  <c r="O40" i="1"/>
  <c r="N40" i="1"/>
  <c r="P40" i="1"/>
  <c r="O44" i="1"/>
  <c r="P44" i="1"/>
  <c r="N44" i="1"/>
  <c r="N21" i="1"/>
  <c r="O21" i="1"/>
  <c r="P21" i="1"/>
  <c r="P42" i="1"/>
  <c r="N42" i="1"/>
  <c r="O42" i="1"/>
  <c r="P46" i="1"/>
  <c r="N46" i="1"/>
  <c r="O46" i="1"/>
  <c r="P23" i="1"/>
  <c r="N23" i="1"/>
  <c r="O23" i="1"/>
  <c r="N17" i="1"/>
  <c r="O17" i="1"/>
  <c r="P17" i="1"/>
  <c r="N39" i="1"/>
  <c r="O39" i="1"/>
  <c r="P39" i="1"/>
  <c r="N32" i="1"/>
  <c r="O32" i="1"/>
  <c r="P32" i="1"/>
  <c r="O22" i="1"/>
  <c r="P22" i="1"/>
  <c r="N22" i="1"/>
  <c r="P15" i="1"/>
  <c r="N15" i="1"/>
  <c r="O15" i="1"/>
  <c r="O14" i="1"/>
  <c r="P14" i="1"/>
  <c r="N14" i="1"/>
  <c r="N48" i="1"/>
  <c r="O48" i="1"/>
  <c r="P48" i="1"/>
  <c r="N25" i="1"/>
  <c r="O25" i="1"/>
  <c r="P25" i="1"/>
  <c r="N16" i="1"/>
  <c r="O16" i="1"/>
  <c r="P16" i="1"/>
  <c r="N29" i="1"/>
  <c r="O29" i="1"/>
  <c r="P29" i="1"/>
  <c r="P30" i="1"/>
  <c r="O30" i="1"/>
  <c r="N30" i="1"/>
  <c r="P19" i="1"/>
  <c r="N19" i="1"/>
  <c r="O19" i="1"/>
  <c r="O18" i="1"/>
  <c r="P18" i="1"/>
  <c r="N18" i="1"/>
  <c r="O10" i="1"/>
  <c r="P10" i="1"/>
  <c r="N10" i="1"/>
  <c r="N13" i="1"/>
  <c r="O13" i="1"/>
  <c r="P13" i="1"/>
  <c r="N35" i="1"/>
  <c r="O35" i="1"/>
  <c r="P35" i="1"/>
  <c r="N20" i="1"/>
  <c r="O20" i="1"/>
  <c r="P20" i="1"/>
  <c r="I63" i="1"/>
  <c r="R16" i="2"/>
  <c r="R14" i="2"/>
  <c r="R13" i="2"/>
  <c r="R19" i="2"/>
  <c r="R46" i="2"/>
  <c r="R32" i="2"/>
  <c r="R11" i="2" l="1"/>
  <c r="R39" i="2"/>
  <c r="R37" i="2"/>
  <c r="R38" i="2"/>
  <c r="R22" i="2"/>
  <c r="R29" i="2"/>
  <c r="R48" i="2"/>
  <c r="R27" i="2"/>
  <c r="R25" i="2"/>
  <c r="R26" i="2"/>
  <c r="R21" i="2"/>
  <c r="R15" i="2"/>
  <c r="R36" i="2"/>
  <c r="R31" i="2"/>
  <c r="R47" i="2"/>
  <c r="R12" i="2"/>
  <c r="T35" i="1"/>
  <c r="T25" i="1"/>
  <c r="T28" i="1"/>
  <c r="T20" i="1"/>
  <c r="T16" i="1"/>
  <c r="T17" i="1"/>
  <c r="T21" i="1"/>
  <c r="R24" i="2"/>
  <c r="R33" i="2"/>
  <c r="R40" i="2"/>
  <c r="R28" i="2"/>
  <c r="R17" i="2"/>
  <c r="R41" i="2"/>
  <c r="R20" i="2"/>
  <c r="R121" i="3"/>
  <c r="R47" i="3"/>
  <c r="T42" i="1"/>
  <c r="T47" i="1"/>
  <c r="T43" i="1"/>
  <c r="T26" i="1"/>
  <c r="T24" i="1"/>
  <c r="T9" i="1"/>
  <c r="V9" i="1" s="1"/>
  <c r="T41" i="1"/>
  <c r="T30" i="1"/>
  <c r="T22" i="1"/>
  <c r="T46" i="1"/>
  <c r="T44" i="1"/>
  <c r="T34" i="1"/>
  <c r="T12" i="1"/>
  <c r="V12" i="1" s="1"/>
  <c r="T18" i="1"/>
  <c r="T19" i="1"/>
  <c r="T29" i="1"/>
  <c r="T39" i="1"/>
  <c r="T23" i="1"/>
  <c r="T31" i="1"/>
  <c r="T36" i="1"/>
  <c r="T37" i="1"/>
  <c r="T13" i="1"/>
  <c r="V13" i="1" s="1"/>
  <c r="T10" i="1"/>
  <c r="V10" i="1" s="1"/>
  <c r="T48" i="1"/>
  <c r="T14" i="1"/>
  <c r="V14" i="1" s="1"/>
  <c r="T15" i="1"/>
  <c r="V15" i="1" s="1"/>
  <c r="T32" i="1"/>
  <c r="T40" i="1"/>
  <c r="T27" i="1"/>
  <c r="T11" i="1"/>
  <c r="V11" i="1" s="1"/>
  <c r="T38" i="1"/>
  <c r="T8" i="1"/>
  <c r="V8" i="1" s="1"/>
  <c r="W7" i="3"/>
  <c r="V8" i="3"/>
  <c r="S10" i="3"/>
  <c r="T9" i="3"/>
  <c r="W87" i="3"/>
  <c r="V88" i="3"/>
  <c r="V89" i="3" s="1"/>
  <c r="S90" i="3"/>
  <c r="T89" i="3"/>
  <c r="R8" i="2"/>
  <c r="T8" i="2" s="1"/>
  <c r="R10" i="2"/>
  <c r="T10" i="2" s="1"/>
  <c r="Q57" i="2"/>
  <c r="E63" i="2"/>
  <c r="E63" i="1"/>
  <c r="R9" i="2"/>
  <c r="T9" i="2" s="1"/>
  <c r="R30" i="2"/>
  <c r="R44" i="2"/>
  <c r="R122" i="3" l="1"/>
  <c r="R48" i="3"/>
  <c r="W8" i="3"/>
  <c r="V9" i="3"/>
  <c r="S11" i="3"/>
  <c r="T10" i="3"/>
  <c r="W88" i="3"/>
  <c r="W89" i="3" s="1"/>
  <c r="W90" i="3" s="1"/>
  <c r="W91" i="3" s="1"/>
  <c r="W92" i="3" s="1"/>
  <c r="W93" i="3" s="1"/>
  <c r="W94" i="3" s="1"/>
  <c r="W95" i="3" s="1"/>
  <c r="W96" i="3" s="1"/>
  <c r="W97" i="3" s="1"/>
  <c r="W98" i="3" s="1"/>
  <c r="W99" i="3" s="1"/>
  <c r="W100" i="3" s="1"/>
  <c r="W101" i="3" s="1"/>
  <c r="W102" i="3" s="1"/>
  <c r="W103" i="3" s="1"/>
  <c r="W104" i="3" s="1"/>
  <c r="W105" i="3" s="1"/>
  <c r="W106" i="3" s="1"/>
  <c r="W107" i="3" s="1"/>
  <c r="W108" i="3" s="1"/>
  <c r="W109" i="3" s="1"/>
  <c r="W110" i="3" s="1"/>
  <c r="W111" i="3" s="1"/>
  <c r="W112" i="3" s="1"/>
  <c r="W113" i="3" s="1"/>
  <c r="W114" i="3" s="1"/>
  <c r="W115" i="3" s="1"/>
  <c r="W116" i="3" s="1"/>
  <c r="W117" i="3" s="1"/>
  <c r="W118" i="3" s="1"/>
  <c r="W119" i="3" s="1"/>
  <c r="W120" i="3" s="1"/>
  <c r="W121" i="3" s="1"/>
  <c r="W122" i="3" s="1"/>
  <c r="W123" i="3" s="1"/>
  <c r="W124" i="3" s="1"/>
  <c r="W125" i="3" s="1"/>
  <c r="W126" i="3" s="1"/>
  <c r="W127" i="3" s="1"/>
  <c r="W128" i="3" s="1"/>
  <c r="W129" i="3" s="1"/>
  <c r="W130" i="3" s="1"/>
  <c r="W131" i="3" s="1"/>
  <c r="W132" i="3" s="1"/>
  <c r="W133" i="3" s="1"/>
  <c r="W134" i="3" s="1"/>
  <c r="W135" i="3" s="1"/>
  <c r="W136" i="3" s="1"/>
  <c r="W137" i="3" s="1"/>
  <c r="W138" i="3" s="1"/>
  <c r="W139" i="3" s="1"/>
  <c r="W140" i="3" s="1"/>
  <c r="W141" i="3" s="1"/>
  <c r="W142" i="3" s="1"/>
  <c r="W143" i="3" s="1"/>
  <c r="W144" i="3" s="1"/>
  <c r="W145" i="3" s="1"/>
  <c r="W146" i="3" s="1"/>
  <c r="W147" i="3" s="1"/>
  <c r="W148" i="3" s="1"/>
  <c r="W149" i="3" s="1"/>
  <c r="W150" i="3" s="1"/>
  <c r="W151" i="3" s="1"/>
  <c r="W152" i="3" s="1"/>
  <c r="W153" i="3" s="1"/>
  <c r="W154" i="3" s="1"/>
  <c r="W155" i="3" s="1"/>
  <c r="W156" i="3" s="1"/>
  <c r="W157" i="3" s="1"/>
  <c r="W158" i="3" s="1"/>
  <c r="W159" i="3" s="1"/>
  <c r="W160" i="3" s="1"/>
  <c r="W161" i="3" s="1"/>
  <c r="S91" i="3"/>
  <c r="T90" i="3"/>
  <c r="H53" i="5"/>
  <c r="I73" i="2"/>
  <c r="Q57" i="1"/>
  <c r="F53" i="5" s="1"/>
  <c r="E57" i="1"/>
  <c r="M57" i="1"/>
  <c r="I57" i="1"/>
  <c r="E57" i="2"/>
  <c r="H51" i="5" s="1"/>
  <c r="R123" i="3" l="1"/>
  <c r="R49" i="3"/>
  <c r="V90" i="3"/>
  <c r="V91" i="3" s="1"/>
  <c r="V92" i="3" s="1"/>
  <c r="V93" i="3" s="1"/>
  <c r="V94" i="3" s="1"/>
  <c r="V95" i="3" s="1"/>
  <c r="V96" i="3" s="1"/>
  <c r="V97" i="3" s="1"/>
  <c r="V98" i="3" s="1"/>
  <c r="V99" i="3" s="1"/>
  <c r="V100" i="3" s="1"/>
  <c r="V101" i="3" s="1"/>
  <c r="V102" i="3" s="1"/>
  <c r="V103" i="3" s="1"/>
  <c r="V104" i="3" s="1"/>
  <c r="V105" i="3" s="1"/>
  <c r="V106" i="3" s="1"/>
  <c r="V107" i="3" s="1"/>
  <c r="V108" i="3" s="1"/>
  <c r="V109" i="3" s="1"/>
  <c r="V110" i="3" s="1"/>
  <c r="V111" i="3" s="1"/>
  <c r="V112" i="3" s="1"/>
  <c r="V113" i="3" s="1"/>
  <c r="V114" i="3" s="1"/>
  <c r="V115" i="3" s="1"/>
  <c r="V116" i="3" s="1"/>
  <c r="V117" i="3" s="1"/>
  <c r="V118" i="3" s="1"/>
  <c r="V119" i="3" s="1"/>
  <c r="V120" i="3" s="1"/>
  <c r="V121" i="3" s="1"/>
  <c r="V122" i="3" s="1"/>
  <c r="V123" i="3" s="1"/>
  <c r="V124" i="3" s="1"/>
  <c r="V125" i="3" s="1"/>
  <c r="V126" i="3" s="1"/>
  <c r="V127" i="3" s="1"/>
  <c r="V128" i="3" s="1"/>
  <c r="V129" i="3" s="1"/>
  <c r="V130" i="3" s="1"/>
  <c r="V131" i="3" s="1"/>
  <c r="V132" i="3" s="1"/>
  <c r="V133" i="3" s="1"/>
  <c r="V134" i="3" s="1"/>
  <c r="V135" i="3" s="1"/>
  <c r="V136" i="3" s="1"/>
  <c r="V137" i="3" s="1"/>
  <c r="V138" i="3" s="1"/>
  <c r="V139" i="3" s="1"/>
  <c r="V140" i="3" s="1"/>
  <c r="V141" i="3" s="1"/>
  <c r="V142" i="3" s="1"/>
  <c r="V143" i="3" s="1"/>
  <c r="V144" i="3" s="1"/>
  <c r="V145" i="3" s="1"/>
  <c r="V146" i="3" s="1"/>
  <c r="V147" i="3" s="1"/>
  <c r="V148" i="3" s="1"/>
  <c r="V149" i="3" s="1"/>
  <c r="V150" i="3" s="1"/>
  <c r="V151" i="3" s="1"/>
  <c r="V152" i="3" s="1"/>
  <c r="V153" i="3" s="1"/>
  <c r="V154" i="3" s="1"/>
  <c r="V155" i="3" s="1"/>
  <c r="V156" i="3" s="1"/>
  <c r="V157" i="3" s="1"/>
  <c r="V158" i="3" s="1"/>
  <c r="V159" i="3" s="1"/>
  <c r="V160" i="3" s="1"/>
  <c r="V161" i="3" s="1"/>
  <c r="W9" i="3"/>
  <c r="S12" i="3"/>
  <c r="T11" i="3"/>
  <c r="S92" i="3"/>
  <c r="S93" i="3" s="1"/>
  <c r="T91" i="3"/>
  <c r="E73" i="1"/>
  <c r="N24" i="5"/>
  <c r="F51" i="5" s="1"/>
  <c r="I73" i="1"/>
  <c r="J9" i="5" s="1"/>
  <c r="N9" i="5" s="1"/>
  <c r="E73" i="2"/>
  <c r="M73" i="2" s="1"/>
  <c r="J12" i="5"/>
  <c r="S94" i="3" l="1"/>
  <c r="T93" i="3"/>
  <c r="R124" i="3"/>
  <c r="R50" i="3"/>
  <c r="W10" i="3"/>
  <c r="W11" i="3" s="1"/>
  <c r="W12" i="3" s="1"/>
  <c r="W13" i="3" s="1"/>
  <c r="W14" i="3" s="1"/>
  <c r="W15" i="3" s="1"/>
  <c r="V10" i="3"/>
  <c r="V11" i="3" s="1"/>
  <c r="V12" i="3" s="1"/>
  <c r="V13" i="3" s="1"/>
  <c r="V14" i="3" s="1"/>
  <c r="V15" i="3" s="1"/>
  <c r="S13" i="3"/>
  <c r="T12" i="3"/>
  <c r="T92" i="3"/>
  <c r="F52" i="5"/>
  <c r="M73" i="1"/>
  <c r="F28" i="5"/>
  <c r="F31" i="5"/>
  <c r="N12" i="5"/>
  <c r="S95" i="3" l="1"/>
  <c r="T94" i="3"/>
  <c r="R125" i="3"/>
  <c r="R51" i="3"/>
  <c r="S14" i="3"/>
  <c r="T13" i="3"/>
  <c r="F35" i="5"/>
  <c r="N20" i="5"/>
  <c r="S96" i="3" l="1"/>
  <c r="T95" i="3"/>
  <c r="R126" i="3"/>
  <c r="R52" i="3"/>
  <c r="S15" i="3"/>
  <c r="T14" i="3"/>
  <c r="S97" i="3" l="1"/>
  <c r="T96" i="3"/>
  <c r="R127" i="3"/>
  <c r="R53" i="3"/>
  <c r="T15" i="3"/>
  <c r="S16" i="3"/>
  <c r="S98" i="3" l="1"/>
  <c r="T97" i="3"/>
  <c r="R128" i="3"/>
  <c r="R54" i="3"/>
  <c r="T16" i="3"/>
  <c r="V16" i="3" s="1"/>
  <c r="S17" i="3"/>
  <c r="S99" i="3" l="1"/>
  <c r="T98" i="3"/>
  <c r="R129" i="3"/>
  <c r="R55" i="3"/>
  <c r="W16" i="3"/>
  <c r="S18" i="3"/>
  <c r="T17" i="3"/>
  <c r="V17" i="3" s="1"/>
  <c r="V18" i="3" s="1"/>
  <c r="V19" i="3" s="1"/>
  <c r="V20" i="3" s="1"/>
  <c r="V21" i="3" s="1"/>
  <c r="S100" i="3" l="1"/>
  <c r="T99" i="3"/>
  <c r="R130" i="3"/>
  <c r="R56" i="3"/>
  <c r="V22" i="3"/>
  <c r="V23" i="3" s="1"/>
  <c r="V24" i="3" s="1"/>
  <c r="V25" i="3" s="1"/>
  <c r="V26" i="3" s="1"/>
  <c r="V27" i="3" s="1"/>
  <c r="V28" i="3" s="1"/>
  <c r="V29" i="3" s="1"/>
  <c r="V30" i="3" s="1"/>
  <c r="V31" i="3" s="1"/>
  <c r="V32" i="3" s="1"/>
  <c r="V33" i="3" s="1"/>
  <c r="V34" i="3" s="1"/>
  <c r="V35" i="3" s="1"/>
  <c r="V36" i="3" s="1"/>
  <c r="V37" i="3" s="1"/>
  <c r="V38" i="3" s="1"/>
  <c r="W17" i="3"/>
  <c r="W18" i="3" s="1"/>
  <c r="W19" i="3" s="1"/>
  <c r="W20" i="3" s="1"/>
  <c r="W21" i="3" s="1"/>
  <c r="S19" i="3"/>
  <c r="T18" i="3"/>
  <c r="S101" i="3" l="1"/>
  <c r="T100" i="3"/>
  <c r="R131" i="3"/>
  <c r="R57" i="3"/>
  <c r="W22" i="3"/>
  <c r="W23" i="3" s="1"/>
  <c r="W24" i="3" s="1"/>
  <c r="W25" i="3" s="1"/>
  <c r="W26" i="3" s="1"/>
  <c r="W27" i="3" s="1"/>
  <c r="W28" i="3" s="1"/>
  <c r="W29" i="3" s="1"/>
  <c r="W30" i="3" s="1"/>
  <c r="W31" i="3" s="1"/>
  <c r="W32" i="3" s="1"/>
  <c r="W33" i="3" s="1"/>
  <c r="W34" i="3" s="1"/>
  <c r="W35" i="3" s="1"/>
  <c r="W36" i="3" s="1"/>
  <c r="W37" i="3" s="1"/>
  <c r="W38" i="3" s="1"/>
  <c r="T19" i="3"/>
  <c r="S20" i="3"/>
  <c r="S102" i="3" l="1"/>
  <c r="T101" i="3"/>
  <c r="R132" i="3"/>
  <c r="R58" i="3"/>
  <c r="S21" i="3"/>
  <c r="T20" i="3"/>
  <c r="S103" i="3" l="1"/>
  <c r="T102" i="3"/>
  <c r="R133" i="3"/>
  <c r="R59" i="3"/>
  <c r="S22" i="3"/>
  <c r="T21" i="3"/>
  <c r="S104" i="3" l="1"/>
  <c r="T103" i="3"/>
  <c r="R134" i="3"/>
  <c r="R60" i="3"/>
  <c r="S23" i="3"/>
  <c r="T22" i="3"/>
  <c r="S105" i="3" l="1"/>
  <c r="T104" i="3"/>
  <c r="R135" i="3"/>
  <c r="R61" i="3"/>
  <c r="S24" i="3"/>
  <c r="T23" i="3"/>
  <c r="S106" i="3" l="1"/>
  <c r="T105" i="3"/>
  <c r="R136" i="3"/>
  <c r="R62" i="3"/>
  <c r="T24" i="3"/>
  <c r="S25" i="3"/>
  <c r="S107" i="3" l="1"/>
  <c r="T106" i="3"/>
  <c r="R137" i="3"/>
  <c r="R63" i="3"/>
  <c r="T25" i="3"/>
  <c r="S26" i="3"/>
  <c r="S108" i="3" l="1"/>
  <c r="T107" i="3"/>
  <c r="R138" i="3"/>
  <c r="R64" i="3"/>
  <c r="T26" i="3"/>
  <c r="S27" i="3"/>
  <c r="S109" i="3" l="1"/>
  <c r="T108" i="3"/>
  <c r="R139" i="3"/>
  <c r="R65" i="3"/>
  <c r="T27" i="3"/>
  <c r="S28" i="3"/>
  <c r="S29" i="3" s="1"/>
  <c r="S30" i="3" s="1"/>
  <c r="S110" i="3" l="1"/>
  <c r="T109" i="3"/>
  <c r="R140" i="3"/>
  <c r="S31" i="3"/>
  <c r="T30" i="3"/>
  <c r="R66" i="3"/>
  <c r="T28" i="3"/>
  <c r="S111" i="3" l="1"/>
  <c r="T110" i="3"/>
  <c r="R141" i="3"/>
  <c r="S32" i="3"/>
  <c r="T31" i="3"/>
  <c r="R67" i="3"/>
  <c r="T29" i="3"/>
  <c r="S112" i="3" l="1"/>
  <c r="T111" i="3"/>
  <c r="R142" i="3"/>
  <c r="S33" i="3"/>
  <c r="T32" i="3"/>
  <c r="R68" i="3"/>
  <c r="S113" i="3" l="1"/>
  <c r="T112" i="3"/>
  <c r="R143" i="3"/>
  <c r="S34" i="3"/>
  <c r="T33" i="3"/>
  <c r="R69" i="3"/>
  <c r="S114" i="3" l="1"/>
  <c r="T113" i="3"/>
  <c r="R144" i="3"/>
  <c r="S35" i="3"/>
  <c r="T34" i="3"/>
  <c r="R70" i="3"/>
  <c r="AA94" i="3"/>
  <c r="AA107" i="3" s="1"/>
  <c r="S115" i="3" l="1"/>
  <c r="T114" i="3"/>
  <c r="R145" i="3"/>
  <c r="S36" i="3"/>
  <c r="T35" i="3"/>
  <c r="R71" i="3"/>
  <c r="S116" i="3" l="1"/>
  <c r="T115" i="3"/>
  <c r="R146" i="3"/>
  <c r="S37" i="3"/>
  <c r="T36" i="3"/>
  <c r="R72" i="3"/>
  <c r="S117" i="3" l="1"/>
  <c r="T116" i="3"/>
  <c r="R147" i="3"/>
  <c r="S38" i="3"/>
  <c r="T37" i="3"/>
  <c r="R73" i="3"/>
  <c r="S118" i="3" l="1"/>
  <c r="T117" i="3"/>
  <c r="R148" i="3"/>
  <c r="T38" i="3"/>
  <c r="S39" i="3" s="1"/>
  <c r="R74" i="3"/>
  <c r="S119" i="3" l="1"/>
  <c r="T118" i="3"/>
  <c r="R149" i="3"/>
  <c r="S40" i="3"/>
  <c r="T39" i="3"/>
  <c r="V39" i="3" s="1"/>
  <c r="R75" i="3"/>
  <c r="S120" i="3" l="1"/>
  <c r="T119" i="3"/>
  <c r="R150" i="3"/>
  <c r="V40" i="3"/>
  <c r="V41" i="3" s="1"/>
  <c r="V42" i="3" s="1"/>
  <c r="V43" i="3" s="1"/>
  <c r="V44" i="3" s="1"/>
  <c r="V45" i="3" s="1"/>
  <c r="V46" i="3" s="1"/>
  <c r="V47" i="3" s="1"/>
  <c r="V48" i="3" s="1"/>
  <c r="V49" i="3" s="1"/>
  <c r="V50" i="3" s="1"/>
  <c r="V51" i="3" s="1"/>
  <c r="V52" i="3" s="1"/>
  <c r="V53" i="3" s="1"/>
  <c r="V54" i="3" s="1"/>
  <c r="V55" i="3" s="1"/>
  <c r="V56" i="3" s="1"/>
  <c r="V57" i="3" s="1"/>
  <c r="V58" i="3" s="1"/>
  <c r="V59" i="3" s="1"/>
  <c r="V60" i="3" s="1"/>
  <c r="V61" i="3" s="1"/>
  <c r="V62" i="3" s="1"/>
  <c r="V63" i="3" s="1"/>
  <c r="V64" i="3" s="1"/>
  <c r="V65" i="3" s="1"/>
  <c r="V66" i="3" s="1"/>
  <c r="V67" i="3" s="1"/>
  <c r="V68" i="3" s="1"/>
  <c r="V69" i="3" s="1"/>
  <c r="V70" i="3" s="1"/>
  <c r="V71" i="3" s="1"/>
  <c r="V72" i="3" s="1"/>
  <c r="V73" i="3" s="1"/>
  <c r="V74" i="3" s="1"/>
  <c r="V75" i="3" s="1"/>
  <c r="V76" i="3" s="1"/>
  <c r="V77" i="3" s="1"/>
  <c r="W39" i="3"/>
  <c r="W40" i="3" s="1"/>
  <c r="W41" i="3" s="1"/>
  <c r="W42" i="3" s="1"/>
  <c r="W43" i="3" s="1"/>
  <c r="W44" i="3" s="1"/>
  <c r="W45" i="3" s="1"/>
  <c r="W46" i="3" s="1"/>
  <c r="W47" i="3" s="1"/>
  <c r="W48" i="3" s="1"/>
  <c r="W49" i="3" s="1"/>
  <c r="W50" i="3" s="1"/>
  <c r="W51" i="3" s="1"/>
  <c r="W52" i="3" s="1"/>
  <c r="W53" i="3" s="1"/>
  <c r="W54" i="3" s="1"/>
  <c r="W55" i="3" s="1"/>
  <c r="W56" i="3" s="1"/>
  <c r="W57" i="3" s="1"/>
  <c r="W58" i="3" s="1"/>
  <c r="W59" i="3" s="1"/>
  <c r="W60" i="3" s="1"/>
  <c r="W61" i="3" s="1"/>
  <c r="W62" i="3" s="1"/>
  <c r="W63" i="3" s="1"/>
  <c r="W64" i="3" s="1"/>
  <c r="W65" i="3" s="1"/>
  <c r="W66" i="3" s="1"/>
  <c r="W67" i="3" s="1"/>
  <c r="W68" i="3" s="1"/>
  <c r="W69" i="3" s="1"/>
  <c r="W70" i="3" s="1"/>
  <c r="W71" i="3" s="1"/>
  <c r="W72" i="3" s="1"/>
  <c r="W73" i="3" s="1"/>
  <c r="W74" i="3" s="1"/>
  <c r="W75" i="3" s="1"/>
  <c r="W76" i="3" s="1"/>
  <c r="W77" i="3" s="1"/>
  <c r="S41" i="3"/>
  <c r="T40" i="3"/>
  <c r="R76" i="3"/>
  <c r="S121" i="3" l="1"/>
  <c r="T120" i="3"/>
  <c r="R151" i="3"/>
  <c r="S42" i="3"/>
  <c r="T41" i="3"/>
  <c r="R77" i="3"/>
  <c r="S122" i="3" l="1"/>
  <c r="T121" i="3"/>
  <c r="R152" i="3"/>
  <c r="S43" i="3"/>
  <c r="T42" i="3"/>
  <c r="R78" i="3"/>
  <c r="S123" i="3" l="1"/>
  <c r="T122" i="3"/>
  <c r="R153" i="3"/>
  <c r="S44" i="3"/>
  <c r="T43" i="3"/>
  <c r="R79" i="3"/>
  <c r="S124" i="3" l="1"/>
  <c r="T123" i="3"/>
  <c r="R154" i="3"/>
  <c r="S45" i="3"/>
  <c r="T44" i="3"/>
  <c r="R80" i="3"/>
  <c r="S125" i="3" l="1"/>
  <c r="T124" i="3"/>
  <c r="R155" i="3"/>
  <c r="S46" i="3"/>
  <c r="T45" i="3"/>
  <c r="R81" i="3"/>
  <c r="S126" i="3" l="1"/>
  <c r="T125" i="3"/>
  <c r="R156" i="3"/>
  <c r="S47" i="3"/>
  <c r="T46" i="3"/>
  <c r="AA8" i="3"/>
  <c r="S127" i="3" l="1"/>
  <c r="T126" i="3"/>
  <c r="R157" i="3"/>
  <c r="S48" i="3"/>
  <c r="T47" i="3"/>
  <c r="S128" i="3" l="1"/>
  <c r="T127" i="3"/>
  <c r="R158" i="3"/>
  <c r="S49" i="3"/>
  <c r="T48" i="3"/>
  <c r="S129" i="3" l="1"/>
  <c r="T128" i="3"/>
  <c r="R159" i="3"/>
  <c r="S50" i="3"/>
  <c r="T49" i="3"/>
  <c r="S130" i="3" l="1"/>
  <c r="T129" i="3"/>
  <c r="R160" i="3"/>
  <c r="S51" i="3"/>
  <c r="T50" i="3"/>
  <c r="S131" i="3" l="1"/>
  <c r="T130" i="3"/>
  <c r="R161" i="3"/>
  <c r="S52" i="3"/>
  <c r="T51" i="3"/>
  <c r="AA88" i="3" l="1"/>
  <c r="AA104" i="3" s="1"/>
  <c r="S132" i="3"/>
  <c r="T131" i="3"/>
  <c r="AA113" i="3"/>
  <c r="S53" i="3"/>
  <c r="T52" i="3"/>
  <c r="S133" i="3" l="1"/>
  <c r="T132" i="3"/>
  <c r="S54" i="3"/>
  <c r="T53" i="3"/>
  <c r="S134" i="3" l="1"/>
  <c r="T133" i="3"/>
  <c r="S55" i="3"/>
  <c r="T54" i="3"/>
  <c r="S135" i="3" l="1"/>
  <c r="T134" i="3"/>
  <c r="S56" i="3"/>
  <c r="T55" i="3"/>
  <c r="S136" i="3" l="1"/>
  <c r="T135" i="3"/>
  <c r="S57" i="3"/>
  <c r="T56" i="3"/>
  <c r="S137" i="3" l="1"/>
  <c r="T136" i="3"/>
  <c r="S58" i="3"/>
  <c r="T57" i="3"/>
  <c r="S138" i="3" l="1"/>
  <c r="T137" i="3"/>
  <c r="S59" i="3"/>
  <c r="T58" i="3"/>
  <c r="S139" i="3" l="1"/>
  <c r="T138" i="3"/>
  <c r="S60" i="3"/>
  <c r="T59" i="3"/>
  <c r="S140" i="3" l="1"/>
  <c r="T139" i="3"/>
  <c r="S61" i="3"/>
  <c r="T60" i="3"/>
  <c r="S141" i="3" l="1"/>
  <c r="T140" i="3"/>
  <c r="S62" i="3"/>
  <c r="T61" i="3"/>
  <c r="S142" i="3" l="1"/>
  <c r="T141" i="3"/>
  <c r="S63" i="3"/>
  <c r="T62" i="3"/>
  <c r="S143" i="3" l="1"/>
  <c r="T142" i="3"/>
  <c r="S64" i="3"/>
  <c r="T63" i="3"/>
  <c r="S144" i="3" l="1"/>
  <c r="T143" i="3"/>
  <c r="S65" i="3"/>
  <c r="T64" i="3"/>
  <c r="S145" i="3" l="1"/>
  <c r="T144" i="3"/>
  <c r="S66" i="3"/>
  <c r="T65" i="3"/>
  <c r="S146" i="3" l="1"/>
  <c r="T145" i="3"/>
  <c r="S67" i="3"/>
  <c r="T66" i="3"/>
  <c r="S147" i="3" l="1"/>
  <c r="T146" i="3"/>
  <c r="S68" i="3"/>
  <c r="T67" i="3"/>
  <c r="S148" i="3" l="1"/>
  <c r="T147" i="3"/>
  <c r="S69" i="3"/>
  <c r="T68" i="3"/>
  <c r="S149" i="3" l="1"/>
  <c r="T148" i="3"/>
  <c r="S70" i="3"/>
  <c r="T69" i="3"/>
  <c r="S150" i="3" l="1"/>
  <c r="T149" i="3"/>
  <c r="S71" i="3"/>
  <c r="T70" i="3"/>
  <c r="S151" i="3" l="1"/>
  <c r="T150" i="3"/>
  <c r="S72" i="3"/>
  <c r="T71" i="3"/>
  <c r="S152" i="3" l="1"/>
  <c r="T151" i="3"/>
  <c r="S73" i="3"/>
  <c r="T72" i="3"/>
  <c r="S153" i="3" l="1"/>
  <c r="T152" i="3"/>
  <c r="S74" i="3"/>
  <c r="T73" i="3"/>
  <c r="S154" i="3" l="1"/>
  <c r="T153" i="3"/>
  <c r="S75" i="3"/>
  <c r="T74" i="3"/>
  <c r="S155" i="3" l="1"/>
  <c r="T154" i="3"/>
  <c r="S76" i="3"/>
  <c r="T75" i="3"/>
  <c r="S156" i="3" l="1"/>
  <c r="T155" i="3"/>
  <c r="S77" i="3"/>
  <c r="T76" i="3"/>
  <c r="S157" i="3" l="1"/>
  <c r="T156" i="3"/>
  <c r="T77" i="3"/>
  <c r="S78" i="3" s="1"/>
  <c r="S158" i="3" l="1"/>
  <c r="T157" i="3"/>
  <c r="S79" i="3"/>
  <c r="T78" i="3"/>
  <c r="V78" i="3" s="1"/>
  <c r="S159" i="3" l="1"/>
  <c r="T158" i="3"/>
  <c r="V79" i="3"/>
  <c r="V80" i="3" s="1"/>
  <c r="V81" i="3" s="1"/>
  <c r="W78" i="3"/>
  <c r="W79" i="3" s="1"/>
  <c r="W80" i="3" s="1"/>
  <c r="W81" i="3" s="1"/>
  <c r="S80" i="3"/>
  <c r="T79" i="3"/>
  <c r="S160" i="3" l="1"/>
  <c r="T159" i="3"/>
  <c r="S81" i="3"/>
  <c r="T80" i="3"/>
  <c r="AA14" i="3"/>
  <c r="AA27" i="3" s="1"/>
  <c r="S161" i="3" l="1"/>
  <c r="T160" i="3"/>
  <c r="AA33" i="3"/>
  <c r="AA24" i="3"/>
  <c r="AA11" i="3"/>
  <c r="T81" i="3"/>
  <c r="AA91" i="3" l="1"/>
  <c r="T161" i="3"/>
</calcChain>
</file>

<file path=xl/sharedStrings.xml><?xml version="1.0" encoding="utf-8"?>
<sst xmlns="http://schemas.openxmlformats.org/spreadsheetml/2006/main" count="667" uniqueCount="173">
  <si>
    <t>Mês:</t>
  </si>
  <si>
    <t>Ano:</t>
  </si>
  <si>
    <t>Operação Normal: Operação com compra e venda em dias diferentes</t>
  </si>
  <si>
    <t>ISS</t>
  </si>
  <si>
    <t>Quantidade</t>
  </si>
  <si>
    <t>%</t>
  </si>
  <si>
    <t>Dias</t>
  </si>
  <si>
    <t>RESUMO</t>
  </si>
  <si>
    <t>Stop</t>
  </si>
  <si>
    <t>Total</t>
  </si>
  <si>
    <t>IRRF ACUMULADO MESES ANTERIORES (SE HOUVER)</t>
  </si>
  <si>
    <t>Período de Apuração</t>
  </si>
  <si>
    <t>Operação Day Trade: Operação com Compra e Venda no mesmo dia</t>
  </si>
  <si>
    <t>OPERAÇÕES NORMAIS</t>
  </si>
  <si>
    <t>OPERAÇÕES DAY TRADE</t>
  </si>
  <si>
    <t>IMPOSTO A PAGAR</t>
  </si>
  <si>
    <t>LUCRO / PREJUÍZO NO MÊS DE APURAÇÃO</t>
  </si>
  <si>
    <t>IMPOSTO RETIDO NA FONTE</t>
  </si>
  <si>
    <t>IRRF GERADO NO MÊS DE APURAÇÃO</t>
  </si>
  <si>
    <t>IMPOSTO OPERAÇÕES NORMAIS</t>
  </si>
  <si>
    <t>IMPOSTO OPERAÇÕES DT</t>
  </si>
  <si>
    <t>PREJUÍZOS ACUMULADOS NOS MESES ANTERIORES (SE HOUVER)</t>
  </si>
  <si>
    <t>SALDO DE PREJUÍZO A COMPENSAR (PARA PRÓXIMOS MESES)</t>
  </si>
  <si>
    <t>O código da DARF para pagamento do IR de renda variável é 6015. A DARF deve ser paga até o último dia útil do mês subseqüente ao da apuração.</t>
  </si>
  <si>
    <t>IRRF ACUMULADO (PARA PRÓXIMOS MESES)</t>
  </si>
  <si>
    <t>LUCRO ISENTO (OPERAÇÕES NORMAIS COM AÇÕES) NO MÊS</t>
  </si>
  <si>
    <t>Quadro das Operações COMPRADAS (abertas)</t>
  </si>
  <si>
    <t>Tipo</t>
  </si>
  <si>
    <t>(AJUSTAR)</t>
  </si>
  <si>
    <t>Operações Normais Ações e Opções</t>
  </si>
  <si>
    <t>ACAO</t>
  </si>
  <si>
    <t>Operações Day Trade Ações e Opções</t>
  </si>
  <si>
    <t>Resumo do Imposto referente ao mês de apuração</t>
  </si>
  <si>
    <t>Este não é o valor final a ser pago</t>
  </si>
  <si>
    <t>VENDEU MAIS DE R$ 20.000,00 EM AÇÕES NO MÊS?</t>
  </si>
  <si>
    <t>Não é possível pagar o Darf se o valor do imposto de renda devido for inferior a R$ 10,00 (dez reais). Nesse caso, o valor deve ser somado ao imposto dos meses de apuração seguintes até que alcance o mínimo de R$ 10,00, quando, então, deve ser pago no prazo estabelecido na legislação referente ao último mês de apuração.</t>
  </si>
  <si>
    <t>Outras despesas</t>
  </si>
  <si>
    <t>Corretagem Compra</t>
  </si>
  <si>
    <t>Corretagem Venda</t>
  </si>
  <si>
    <t>Preço Compra</t>
  </si>
  <si>
    <t>Data Venda</t>
  </si>
  <si>
    <t>Data Compra</t>
  </si>
  <si>
    <t>Preço Venda</t>
  </si>
  <si>
    <t>Resultado</t>
  </si>
  <si>
    <t>Movimento Total</t>
  </si>
  <si>
    <t>Movimento Compra</t>
  </si>
  <si>
    <t>Movimento Venda</t>
  </si>
  <si>
    <t>Outras Despesas</t>
  </si>
  <si>
    <t>Corretagens de Compra</t>
  </si>
  <si>
    <t>Corretagens de Venda</t>
  </si>
  <si>
    <t>Corretagens</t>
  </si>
  <si>
    <t>Taxas BM&amp;F</t>
  </si>
  <si>
    <t>Taxa Registro BM&amp;F</t>
  </si>
  <si>
    <t>Lucro / Prejuízo Mês</t>
  </si>
  <si>
    <t>Total Taxas Pagas</t>
  </si>
  <si>
    <t>Total Imposto Retido</t>
  </si>
  <si>
    <t>Como Preencher?</t>
  </si>
  <si>
    <t>(ESTE NÃO É O IR A PAGAR. VERIFIQUE A ABA RESUMO IMPOSTO)</t>
  </si>
  <si>
    <t>Taxa Negociação</t>
  </si>
  <si>
    <t>Taxa Liquidação</t>
  </si>
  <si>
    <t>Taxa Registro</t>
  </si>
  <si>
    <t>IRRF s/ Operações</t>
  </si>
  <si>
    <t>IRRF Day-Trade</t>
  </si>
  <si>
    <t>Dados da Compra</t>
  </si>
  <si>
    <t>Dados da Venda</t>
  </si>
  <si>
    <t>Taxa de Permanência</t>
  </si>
  <si>
    <t>Negócio foi encerrado?</t>
  </si>
  <si>
    <t>Tipo Contrato</t>
  </si>
  <si>
    <t>CONTROLE DE IR OPERAÇÕES DAY-TRADE EM CONTRATOS FUTUROS DE ÍNDICE E DÓLAR</t>
  </si>
  <si>
    <t>NÃO</t>
  </si>
  <si>
    <t>CONTROLE DE IR OPERAÇÕES NORMAIS COM CONTRATOS FUTUROS DE ÍNDICE E DÓLAR</t>
  </si>
  <si>
    <t>apenas os negócios encerrados no mês na base de cálculo de IR.</t>
  </si>
  <si>
    <t>Resultado Mercado Futuro - Dólar dos EUA</t>
  </si>
  <si>
    <t>Resultado Mercado Futuro - Índices</t>
  </si>
  <si>
    <t>Dia do Negócio</t>
  </si>
  <si>
    <t>ETFs</t>
  </si>
  <si>
    <t>Direitos de Subscrição</t>
  </si>
  <si>
    <t>Opções</t>
  </si>
  <si>
    <t>Ações</t>
  </si>
  <si>
    <t>Volume Vendas</t>
  </si>
  <si>
    <t>Emolumentos/Taxas</t>
  </si>
  <si>
    <t>+</t>
  </si>
  <si>
    <t>=</t>
  </si>
  <si>
    <t>Resultado Geral</t>
  </si>
  <si>
    <t>Resultado Ações</t>
  </si>
  <si>
    <t>Resultado ETFs, DIR, Opções</t>
  </si>
  <si>
    <t>WIN</t>
  </si>
  <si>
    <t>WDO</t>
  </si>
  <si>
    <t>OPCAO</t>
  </si>
  <si>
    <t>ETF</t>
  </si>
  <si>
    <t>DIR</t>
  </si>
  <si>
    <t>IND</t>
  </si>
  <si>
    <t>DOL</t>
  </si>
  <si>
    <t>SIM</t>
  </si>
  <si>
    <t>ATIVO</t>
  </si>
  <si>
    <t>JSCP</t>
  </si>
  <si>
    <t>RELAÇÃO DE PROVENTOS E APORTES MENSAIS</t>
  </si>
  <si>
    <t>TIPO DE PROVENTO</t>
  </si>
  <si>
    <t>DIVIDENDOS</t>
  </si>
  <si>
    <t>OUTROS</t>
  </si>
  <si>
    <t>BONIFICAÇÃO</t>
  </si>
  <si>
    <t>DISCRIMINAÇÃO (Nome e CNPJ da Empresa Pagadora / Outras informações)</t>
  </si>
  <si>
    <t>Ajuste day trade</t>
  </si>
  <si>
    <t>EXERCICIO</t>
  </si>
  <si>
    <t>1) Selecionar um Tipo Contrato, WDO para Míni Dólar, DOL para Dólar Cheio, WIN para Mini Índice ou IND para Índice Cheio</t>
  </si>
  <si>
    <t>2) Lance o preço de compra e preço de venda em pontos (índice) ou em milhares de reais (dólar).</t>
  </si>
  <si>
    <t>3) Negócio não encerrado deve ser copiado para a tabela do mês seguinte.</t>
  </si>
  <si>
    <t>4) Lance o preço de compra e preço de venda, em pontos (índice) ou em milhares de reais (dólar).</t>
  </si>
  <si>
    <t>5) Verifique exemplo de preenchimento no PDF de instruções da planilha.</t>
  </si>
  <si>
    <t>3) Verifique os exemplos no PDF de instruções da planilha</t>
  </si>
  <si>
    <t>2) Na coluna "Negócio foi encerrado?" Selecione SIM caso esteja encerrado, caso contrário selecione NÃO. Esta coluna servirá para a planilha considerar</t>
  </si>
  <si>
    <t>Resultado Descontadas as Taxas Operacionais</t>
  </si>
  <si>
    <t>Resultado Bruto</t>
  </si>
  <si>
    <t>IR NÃO PAGO (DARF &lt; R$ 10) DE MESES ANTERIORES</t>
  </si>
  <si>
    <t>Caso o valor de IMPOSTO A PAGAR fique menor que R$ 10, lance o valor no campo abaixo da tabela de apuração do mês seguinte</t>
  </si>
  <si>
    <t>CONFIGURAÇÕES - TAXAS</t>
  </si>
  <si>
    <t>TX. DE LIQUIDAÇÃO</t>
  </si>
  <si>
    <t>TX. DE NEGOCIAÇÃO</t>
  </si>
  <si>
    <t>TX. DE REGISTRO</t>
  </si>
  <si>
    <t>MERCADO DE AÇÕES - OPERAÇÕES DAY TRADE</t>
  </si>
  <si>
    <t>MERCADO DE OPÇÕES - OPERAÇÕES DAY TRADE</t>
  </si>
  <si>
    <t>Onde encontrar as taxas atualizadas?</t>
  </si>
  <si>
    <t>MERCADO DE AÇÕES - OPERAÇÕES NORMAIS</t>
  </si>
  <si>
    <t>MERCADO DE OPÇÕES - OPERAÇÕES NORMAIS</t>
  </si>
  <si>
    <t>* Atualize aqui, caso necessário, as taxas de negociação (emolumentos), liquidação e registro cobradas pela B3.</t>
  </si>
  <si>
    <t>CLIQUE AQUI E CONFIRA NO SITE DA B3</t>
  </si>
  <si>
    <t>EXERC. LC</t>
  </si>
  <si>
    <t>EXERCÍCIO DE OPÇÕES (LANÇAMENTO COBERTO)</t>
  </si>
  <si>
    <t>* Taxas aplicadas sobre o strike da opção</t>
  </si>
  <si>
    <t>* Titular da opção é cobrado conforme tarifa de operações normais com ações.</t>
  </si>
  <si>
    <t>Mercado à vista - ações</t>
  </si>
  <si>
    <t>Comum</t>
  </si>
  <si>
    <t>Day Trade</t>
  </si>
  <si>
    <t>Mercado opções - ações</t>
  </si>
  <si>
    <t>Resultados do Mês</t>
  </si>
  <si>
    <t>Mercado futuro - dólar dos EUA</t>
  </si>
  <si>
    <t>Mercado futuro - Índices</t>
  </si>
  <si>
    <t>Lucro isento - ações</t>
  </si>
  <si>
    <t>POSIÇÕES ABERTAS - ACOMPANHAMENTO DE PREÇO MÉDIO</t>
  </si>
  <si>
    <t>Quadro das Operações VENDA A DESCOBERTO (abertas)</t>
  </si>
  <si>
    <t>Código Ativo</t>
  </si>
  <si>
    <t>Total investido</t>
  </si>
  <si>
    <t>CALCULADORA PREÇO MÉDIO</t>
  </si>
  <si>
    <t>CÁLCULO DE PREÇO MÉDIO</t>
  </si>
  <si>
    <t>Quantidade atual</t>
  </si>
  <si>
    <t>Preço médio atual</t>
  </si>
  <si>
    <t>Investimento atual</t>
  </si>
  <si>
    <t>Custos</t>
  </si>
  <si>
    <t>Investimento atual com custos embutidos</t>
  </si>
  <si>
    <t>Preço médio atual com custos</t>
  </si>
  <si>
    <t>Preço médio sem custos (taxas)</t>
  </si>
  <si>
    <t>Preço médio com custos (taxas)</t>
  </si>
  <si>
    <t>SIMULAÇÃO DE RESULTADO E STOP</t>
  </si>
  <si>
    <t>Cotação atual do ativo</t>
  </si>
  <si>
    <t>Resultado se acionado Stop</t>
  </si>
  <si>
    <t>INSIRA O CÓDIGO DO ATIVO &gt;</t>
  </si>
  <si>
    <t>Valor</t>
  </si>
  <si>
    <t>Data de Pagamento</t>
  </si>
  <si>
    <t>Ganhos JSCP</t>
  </si>
  <si>
    <t>Ganhos Dividendos</t>
  </si>
  <si>
    <t>Cotação atual do ativo &gt;</t>
  </si>
  <si>
    <t>Stop &gt;</t>
  </si>
  <si>
    <t>Taxas compra</t>
  </si>
  <si>
    <t>Taxas Venda</t>
  </si>
  <si>
    <t>Corretagem</t>
  </si>
  <si>
    <t>PM Compra com custos inclusos?</t>
  </si>
  <si>
    <t>PM Venda com custos inclusos?</t>
  </si>
  <si>
    <t>CAMPO AUTOMÁTICO</t>
  </si>
  <si>
    <t>IRRF</t>
  </si>
  <si>
    <t>Taxas Operacionais (Verificar Nota de Corretagem)</t>
  </si>
  <si>
    <t/>
  </si>
  <si>
    <t>Resultado atual da operação ( % )</t>
  </si>
  <si>
    <t>Resultado atual da operação ( R$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</si>
</sst>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8" formatCode="&quot;R$&quot;\ #,##0.00;[Red]\-&quot;R$&quot;\ #,##0.00"/>
    <numFmt numFmtId="164" formatCode="&quot;R$&quot;#,##0.00;[Red]\-&quot;R$&quot;#,##0.00"/>
    <numFmt numFmtId="165" formatCode="0.00;[Red]\-0.00"/>
    <numFmt numFmtId="166" formatCode="0.00%;[Red]\-0.00%"/>
    <numFmt numFmtId="167" formatCode="_-&quot;R$ &quot;* #,##0.00_-;&quot;-R$ &quot;* #,##0.00_-;_-&quot;R$ &quot;* \-??_-;_-@_-"/>
    <numFmt numFmtId="168" formatCode="[$-416]d\-mmm;@"/>
    <numFmt numFmtId="169" formatCode="0.0000%"/>
    <numFmt numFmtId="170" formatCode="0.0000"/>
    <numFmt numFmtId="171" formatCode="0.000000%"/>
    <numFmt numFmtId="172" formatCode="&quot;R$&quot;#,##0.0000;[Red]\-&quot;R$&quot;#,##0.0000"/>
  </numFmts>
  <fonts count="52" x14ac:knownFonts="1">
    <font>
      <sz val="10"/>
      <name val="Arial"/>
      <family val="2"/>
    </font>
    <font>
      <b/>
      <sz val="11"/>
      <name val="Calibri"/>
      <family val="2"/>
      <charset val="1"/>
    </font>
    <font>
      <b/>
      <sz val="11"/>
      <name val="Arial"/>
      <family val="2"/>
    </font>
    <font>
      <b/>
      <sz val="10"/>
      <name val="Arial"/>
      <family val="2"/>
    </font>
    <font>
      <b/>
      <u/>
      <sz val="1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i/>
      <u/>
      <sz val="12"/>
      <color indexed="16"/>
      <name val="Arial"/>
      <family val="2"/>
    </font>
    <font>
      <sz val="10"/>
      <name val="Arial"/>
      <family val="2"/>
    </font>
    <font>
      <sz val="13"/>
      <name val="Arial"/>
      <family val="2"/>
    </font>
    <font>
      <b/>
      <sz val="24"/>
      <name val="Arial"/>
      <family val="2"/>
    </font>
    <font>
      <sz val="16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1"/>
      <name val="Century Gothic"/>
      <family val="2"/>
    </font>
    <font>
      <sz val="12"/>
      <name val="Century Gothic"/>
      <family val="2"/>
    </font>
    <font>
      <b/>
      <sz val="16"/>
      <name val="Century Gothic"/>
      <family val="2"/>
    </font>
    <font>
      <u/>
      <sz val="7"/>
      <color theme="10"/>
      <name val="Arial"/>
      <family val="2"/>
    </font>
    <font>
      <b/>
      <sz val="26"/>
      <color theme="3" tint="-0.499984740745262"/>
      <name val="Arial"/>
      <family val="2"/>
    </font>
    <font>
      <b/>
      <sz val="12"/>
      <color rgb="FFC00000"/>
      <name val="Arial"/>
      <family val="2"/>
    </font>
    <font>
      <b/>
      <sz val="24"/>
      <color rgb="FFC00000"/>
      <name val="Arial"/>
      <family val="2"/>
    </font>
    <font>
      <b/>
      <u/>
      <sz val="16"/>
      <color theme="10"/>
      <name val="Arial"/>
      <family val="2"/>
    </font>
    <font>
      <b/>
      <sz val="10"/>
      <color rgb="FF0000CC"/>
      <name val="Arial"/>
      <family val="2"/>
    </font>
    <font>
      <b/>
      <sz val="11"/>
      <color theme="0"/>
      <name val="Arial"/>
      <family val="2"/>
    </font>
    <font>
      <b/>
      <sz val="11"/>
      <color rgb="FFFF0000"/>
      <name val="Arial"/>
      <family val="2"/>
    </font>
    <font>
      <b/>
      <u/>
      <sz val="18"/>
      <color theme="10"/>
      <name val="Arial"/>
      <family val="2"/>
    </font>
    <font>
      <b/>
      <sz val="18"/>
      <color theme="1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0"/>
      <name val="Century Gothic"/>
      <family val="2"/>
    </font>
    <font>
      <b/>
      <sz val="14"/>
      <color rgb="FFFF0000"/>
      <name val="Century Gothic"/>
      <family val="2"/>
    </font>
    <font>
      <b/>
      <sz val="12"/>
      <color rgb="FFFF0000"/>
      <name val="Century Gothic"/>
      <family val="2"/>
    </font>
    <font>
      <b/>
      <sz val="18"/>
      <color theme="0"/>
      <name val="Century Gothic"/>
      <family val="2"/>
    </font>
    <font>
      <b/>
      <sz val="13"/>
      <color theme="0"/>
      <name val="Arial"/>
      <family val="2"/>
    </font>
    <font>
      <b/>
      <sz val="16"/>
      <color theme="0"/>
      <name val="Arial"/>
      <family val="2"/>
    </font>
    <font>
      <b/>
      <sz val="10"/>
      <color theme="0"/>
      <name val="Arial"/>
      <family val="2"/>
    </font>
    <font>
      <b/>
      <sz val="24"/>
      <color theme="1" tint="0.14999847407452621"/>
      <name val="Arial"/>
      <family val="2"/>
    </font>
    <font>
      <b/>
      <sz val="22"/>
      <color theme="1" tint="0.14999847407452621"/>
      <name val="Arial"/>
      <family val="2"/>
    </font>
    <font>
      <b/>
      <sz val="18"/>
      <name val="Arial"/>
      <family val="2"/>
    </font>
    <font>
      <b/>
      <sz val="14"/>
      <color theme="0"/>
      <name val="Arial"/>
      <family val="2"/>
    </font>
    <font>
      <b/>
      <sz val="20"/>
      <color theme="0"/>
      <name val="Arial"/>
      <family val="2"/>
    </font>
    <font>
      <sz val="9"/>
      <name val="Arial"/>
      <family val="2"/>
    </font>
    <font>
      <b/>
      <u/>
      <sz val="12"/>
      <color theme="10"/>
      <name val="Arial"/>
      <family val="2"/>
    </font>
    <font>
      <b/>
      <sz val="8"/>
      <color rgb="FFFF0000"/>
      <name val="Arial"/>
      <family val="2"/>
    </font>
    <font>
      <b/>
      <sz val="14"/>
      <name val="Arial"/>
      <family val="2"/>
    </font>
    <font>
      <sz val="10"/>
      <color theme="0"/>
      <name val="Arial"/>
      <family val="2"/>
    </font>
    <font>
      <b/>
      <sz val="12"/>
      <color theme="1" tint="0.14999847407452621"/>
      <name val="Calibri"/>
      <family val="2"/>
      <scheme val="minor"/>
    </font>
    <font>
      <sz val="12"/>
      <color theme="1" tint="0.14999847407452621"/>
      <name val="Arial"/>
      <family val="2"/>
    </font>
    <font>
      <b/>
      <sz val="15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4"/>
      <name val="Arial"/>
      <family val="2"/>
    </font>
  </fonts>
  <fills count="48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66"/>
        <bgColor indexed="9"/>
      </patternFill>
    </fill>
    <fill>
      <patternFill patternType="solid">
        <fgColor theme="0" tint="-4.9989318521683403E-2"/>
        <bgColor indexed="9"/>
      </patternFill>
    </fill>
    <fill>
      <patternFill patternType="solid">
        <fgColor theme="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2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22"/>
      </patternFill>
    </fill>
    <fill>
      <patternFill patternType="solid">
        <fgColor rgb="FFFFFF66"/>
        <bgColor indexed="2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26"/>
      </patternFill>
    </fill>
    <fill>
      <patternFill patternType="solid">
        <fgColor theme="1"/>
        <bgColor indexed="9"/>
      </patternFill>
    </fill>
    <fill>
      <patternFill patternType="solid">
        <fgColor theme="1"/>
        <bgColor indexed="31"/>
      </patternFill>
    </fill>
    <fill>
      <patternFill patternType="solid">
        <fgColor theme="0"/>
        <bgColor indexed="31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9" tint="0.59999389629810485"/>
        <bgColor indexed="31"/>
      </patternFill>
    </fill>
    <fill>
      <patternFill patternType="solid">
        <fgColor theme="0" tint="-0.14999847407452621"/>
        <bgColor indexed="31"/>
      </patternFill>
    </fill>
    <fill>
      <patternFill patternType="solid">
        <fgColor rgb="FFC00000"/>
        <bgColor indexed="9"/>
      </patternFill>
    </fill>
    <fill>
      <patternFill patternType="solid">
        <fgColor theme="0" tint="-4.9989318521683403E-2"/>
        <bgColor indexed="31"/>
      </patternFill>
    </fill>
    <fill>
      <patternFill patternType="solid">
        <fgColor theme="1" tint="0.14999847407452621"/>
        <bgColor indexed="31"/>
      </patternFill>
    </fill>
    <fill>
      <patternFill patternType="solid">
        <fgColor theme="1" tint="4.9989318521683403E-2"/>
        <bgColor indexed="31"/>
      </patternFill>
    </fill>
    <fill>
      <patternFill patternType="solid">
        <fgColor theme="0" tint="-0.249977111117893"/>
        <bgColor indexed="31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 tint="-0.499984740745262"/>
        <bgColor indexed="31"/>
      </patternFill>
    </fill>
    <fill>
      <patternFill patternType="solid">
        <fgColor theme="1" tint="0.14996795556505021"/>
        <bgColor indexed="64"/>
      </patternFill>
    </fill>
    <fill>
      <patternFill patternType="solid">
        <fgColor theme="1"/>
        <bgColor indexed="22"/>
      </patternFill>
    </fill>
    <fill>
      <patternFill patternType="solid">
        <fgColor theme="0" tint="-0.249977111117893"/>
        <bgColor indexed="22"/>
      </patternFill>
    </fill>
    <fill>
      <patternFill patternType="solid">
        <fgColor theme="0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-0.249977111117893"/>
        <bgColor indexed="31"/>
      </patternFill>
    </fill>
    <fill>
      <patternFill patternType="solid">
        <fgColor rgb="FFFF0000"/>
        <bgColor indexed="31"/>
      </patternFill>
    </fill>
  </fills>
  <borders count="203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hair">
        <color indexed="8"/>
      </left>
      <right style="hair">
        <color indexed="8"/>
      </right>
      <top style="medium">
        <color indexed="8"/>
      </top>
      <bottom/>
      <diagonal/>
    </border>
    <border>
      <left style="hair">
        <color indexed="8"/>
      </left>
      <right style="medium">
        <color indexed="8"/>
      </right>
      <top style="medium">
        <color indexed="8"/>
      </top>
      <bottom/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medium">
        <color indexed="8"/>
      </right>
      <top/>
      <bottom/>
      <diagonal/>
    </border>
    <border>
      <left style="hair">
        <color indexed="8"/>
      </left>
      <right style="hair">
        <color indexed="8"/>
      </right>
      <top/>
      <bottom style="medium">
        <color indexed="8"/>
      </bottom>
      <diagonal/>
    </border>
    <border>
      <left style="hair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8"/>
      </left>
      <right/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hair">
        <color indexed="8"/>
      </top>
      <bottom style="medium">
        <color indexed="8"/>
      </bottom>
      <diagonal/>
    </border>
    <border>
      <left/>
      <right style="hair">
        <color indexed="8"/>
      </right>
      <top style="medium">
        <color indexed="8"/>
      </top>
      <bottom/>
      <diagonal/>
    </border>
    <border>
      <left/>
      <right style="hair">
        <color indexed="8"/>
      </right>
      <top/>
      <bottom/>
      <diagonal/>
    </border>
    <border>
      <left/>
      <right style="hair">
        <color indexed="8"/>
      </right>
      <top/>
      <bottom style="medium">
        <color indexed="8"/>
      </bottom>
      <diagonal/>
    </border>
    <border>
      <left/>
      <right/>
      <top style="medium">
        <color indexed="64"/>
      </top>
      <bottom/>
      <diagonal/>
    </border>
    <border>
      <left style="medium">
        <color indexed="8"/>
      </left>
      <right style="hair">
        <color indexed="8"/>
      </right>
      <top style="medium">
        <color indexed="8"/>
      </top>
      <bottom/>
      <diagonal/>
    </border>
    <border>
      <left style="medium">
        <color indexed="8"/>
      </left>
      <right style="hair">
        <color indexed="8"/>
      </right>
      <top/>
      <bottom/>
      <diagonal/>
    </border>
    <border>
      <left style="medium">
        <color indexed="8"/>
      </left>
      <right style="hair">
        <color indexed="8"/>
      </right>
      <top/>
      <bottom style="medium">
        <color indexed="8"/>
      </bottom>
      <diagonal/>
    </border>
    <border>
      <left style="medium">
        <color indexed="8"/>
      </left>
      <right style="hair">
        <color indexed="8"/>
      </right>
      <top/>
      <bottom style="medium">
        <color indexed="64"/>
      </bottom>
      <diagonal/>
    </border>
    <border>
      <left/>
      <right style="hair">
        <color indexed="8"/>
      </right>
      <top/>
      <bottom style="medium">
        <color indexed="64"/>
      </bottom>
      <diagonal/>
    </border>
    <border>
      <left style="hair">
        <color indexed="8"/>
      </left>
      <right style="hair">
        <color indexed="8"/>
      </right>
      <top/>
      <bottom style="medium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/>
      <diagonal/>
    </border>
    <border>
      <left style="dashed">
        <color indexed="64"/>
      </left>
      <right style="dashed">
        <color indexed="64"/>
      </right>
      <top style="medium">
        <color indexed="64"/>
      </top>
      <bottom/>
      <diagonal/>
    </border>
    <border>
      <left style="dashed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ashed">
        <color indexed="64"/>
      </right>
      <top/>
      <bottom/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8"/>
      </left>
      <right/>
      <top/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dashed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dashed">
        <color indexed="8"/>
      </left>
      <right/>
      <top style="dashed">
        <color indexed="8"/>
      </top>
      <bottom/>
      <diagonal/>
    </border>
    <border>
      <left/>
      <right/>
      <top style="dashed">
        <color indexed="8"/>
      </top>
      <bottom/>
      <diagonal/>
    </border>
    <border>
      <left/>
      <right style="dashed">
        <color indexed="8"/>
      </right>
      <top style="dashed">
        <color indexed="8"/>
      </top>
      <bottom/>
      <diagonal/>
    </border>
    <border>
      <left style="dashed">
        <color indexed="8"/>
      </left>
      <right/>
      <top/>
      <bottom style="dashed">
        <color indexed="8"/>
      </bottom>
      <diagonal/>
    </border>
    <border>
      <left/>
      <right/>
      <top/>
      <bottom style="dashed">
        <color indexed="8"/>
      </bottom>
      <diagonal/>
    </border>
    <border>
      <left/>
      <right style="dashed">
        <color indexed="8"/>
      </right>
      <top/>
      <bottom style="dashed">
        <color indexed="8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ashed">
        <color indexed="64"/>
      </right>
      <top style="medium">
        <color indexed="64"/>
      </top>
      <bottom/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ck">
        <color auto="1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theme="1" tint="0.34998626667073579"/>
      </left>
      <right style="medium">
        <color theme="0"/>
      </right>
      <top style="medium">
        <color theme="1" tint="0.34998626667073579"/>
      </top>
      <bottom/>
      <diagonal/>
    </border>
    <border>
      <left/>
      <right/>
      <top style="medium">
        <color theme="1" tint="0.34998626667073579"/>
      </top>
      <bottom/>
      <diagonal/>
    </border>
    <border>
      <left style="medium">
        <color theme="1" tint="0.34998626667073579"/>
      </left>
      <right/>
      <top style="medium">
        <color theme="1" tint="0.34998626667073579"/>
      </top>
      <bottom/>
      <diagonal/>
    </border>
    <border>
      <left/>
      <right style="medium">
        <color theme="1" tint="0.34998626667073579"/>
      </right>
      <top style="medium">
        <color theme="1" tint="0.34998626667073579"/>
      </top>
      <bottom/>
      <diagonal/>
    </border>
    <border>
      <left style="medium">
        <color theme="1" tint="0.34998626667073579"/>
      </left>
      <right style="medium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medium">
        <color theme="0"/>
      </left>
      <right style="medium">
        <color theme="0"/>
      </right>
      <top style="medium">
        <color theme="1" tint="0.34998626667073579"/>
      </top>
      <bottom/>
      <diagonal/>
    </border>
    <border>
      <left style="medium">
        <color theme="0"/>
      </left>
      <right style="medium">
        <color theme="1" tint="0.34998626667073579"/>
      </right>
      <top style="medium">
        <color theme="1" tint="0.34998626667073579"/>
      </top>
      <bottom/>
      <diagonal/>
    </border>
    <border>
      <left style="medium">
        <color theme="1" tint="0.34998626667073579"/>
      </left>
      <right style="medium">
        <color theme="0"/>
      </right>
      <top/>
      <bottom style="medium">
        <color theme="1" tint="0.34998626667073579"/>
      </bottom>
      <diagonal/>
    </border>
    <border>
      <left style="medium">
        <color theme="0"/>
      </left>
      <right style="medium">
        <color theme="0"/>
      </right>
      <top/>
      <bottom style="medium">
        <color theme="1" tint="0.34998626667073579"/>
      </bottom>
      <diagonal/>
    </border>
    <border>
      <left style="medium">
        <color theme="0"/>
      </left>
      <right style="medium">
        <color theme="1" tint="0.34998626667073579"/>
      </right>
      <top/>
      <bottom style="medium">
        <color theme="1" tint="0.34998626667073579"/>
      </bottom>
      <diagonal/>
    </border>
    <border>
      <left style="medium">
        <color theme="1" tint="0.34998626667073579"/>
      </left>
      <right style="medium">
        <color theme="0"/>
      </right>
      <top style="medium">
        <color theme="1" tint="0.34998626667073579"/>
      </top>
      <bottom style="hair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1" tint="0.34998626667073579"/>
      </top>
      <bottom style="hair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1" tint="0.34998626667073579"/>
      </top>
      <bottom style="thin">
        <color theme="0"/>
      </bottom>
      <diagonal/>
    </border>
    <border>
      <left style="medium">
        <color theme="1" tint="0.34998626667073579"/>
      </left>
      <right style="medium">
        <color theme="0"/>
      </right>
      <top style="hair">
        <color theme="0"/>
      </top>
      <bottom style="hair">
        <color theme="0"/>
      </bottom>
      <diagonal/>
    </border>
    <border>
      <left style="medium">
        <color theme="0"/>
      </left>
      <right style="medium">
        <color theme="0"/>
      </right>
      <top style="hair">
        <color theme="0"/>
      </top>
      <bottom style="hair">
        <color theme="0"/>
      </bottom>
      <diagonal/>
    </border>
    <border>
      <left style="medium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medium">
        <color theme="1" tint="0.34998626667073579"/>
      </right>
      <top style="thin">
        <color theme="0"/>
      </top>
      <bottom style="thin">
        <color theme="0"/>
      </bottom>
      <diagonal/>
    </border>
    <border>
      <left style="medium">
        <color theme="1" tint="0.24994659260841701"/>
      </left>
      <right style="medium">
        <color theme="1" tint="0.24994659260841701"/>
      </right>
      <top/>
      <bottom style="medium">
        <color theme="1" tint="0.24994659260841701"/>
      </bottom>
      <diagonal/>
    </border>
    <border>
      <left style="medium">
        <color theme="1" tint="0.24994659260841701"/>
      </left>
      <right style="medium">
        <color theme="1" tint="0.24994659260841701"/>
      </right>
      <top style="medium">
        <color theme="1" tint="0.24994659260841701"/>
      </top>
      <bottom style="medium">
        <color theme="1" tint="0.24994659260841701"/>
      </bottom>
      <diagonal/>
    </border>
    <border>
      <left style="medium">
        <color theme="1" tint="0.14996795556505021"/>
      </left>
      <right style="medium">
        <color theme="1" tint="0.14996795556505021"/>
      </right>
      <top style="medium">
        <color theme="1" tint="0.14996795556505021"/>
      </top>
      <bottom style="medium">
        <color theme="1" tint="0.14996795556505021"/>
      </bottom>
      <diagonal/>
    </border>
    <border>
      <left style="medium">
        <color theme="1" tint="0.34998626667073579"/>
      </left>
      <right style="medium">
        <color theme="0"/>
      </right>
      <top style="hair">
        <color theme="0"/>
      </top>
      <bottom style="medium">
        <color theme="1" tint="0.34998626667073579"/>
      </bottom>
      <diagonal/>
    </border>
    <border>
      <left style="medium">
        <color theme="0"/>
      </left>
      <right style="medium">
        <color theme="0"/>
      </right>
      <top style="hair">
        <color theme="0"/>
      </top>
      <bottom style="medium">
        <color theme="1" tint="0.34998626667073579"/>
      </bottom>
      <diagonal/>
    </border>
    <border>
      <left style="medium">
        <color theme="0"/>
      </left>
      <right style="medium">
        <color theme="0"/>
      </right>
      <top style="thin">
        <color theme="0"/>
      </top>
      <bottom style="medium">
        <color theme="1" tint="0.34998626667073579"/>
      </bottom>
      <diagonal/>
    </border>
    <border>
      <left style="medium">
        <color theme="0"/>
      </left>
      <right style="medium">
        <color theme="1" tint="0.34998626667073579"/>
      </right>
      <top style="thin">
        <color theme="0"/>
      </top>
      <bottom style="medium">
        <color theme="1" tint="0.34998626667073579"/>
      </bottom>
      <diagonal/>
    </border>
    <border>
      <left style="medium">
        <color theme="1" tint="0.34998626667073579"/>
      </left>
      <right style="medium">
        <color theme="0"/>
      </right>
      <top style="medium">
        <color theme="1" tint="0.34998626667073579"/>
      </top>
      <bottom style="thin">
        <color theme="0"/>
      </bottom>
      <diagonal/>
    </border>
    <border>
      <left style="medium">
        <color theme="0"/>
      </left>
      <right style="medium">
        <color theme="1" tint="0.34998626667073579"/>
      </right>
      <top style="medium">
        <color theme="1" tint="0.34998626667073579"/>
      </top>
      <bottom style="thin">
        <color theme="0"/>
      </bottom>
      <diagonal/>
    </border>
    <border>
      <left style="medium">
        <color theme="1" tint="0.34998626667073579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 style="medium">
        <color theme="1" tint="0.34998626667073579"/>
      </left>
      <right style="medium">
        <color theme="0"/>
      </right>
      <top style="thin">
        <color theme="0"/>
      </top>
      <bottom style="medium">
        <color theme="1" tint="0.34998626667073579"/>
      </bottom>
      <diagonal/>
    </border>
    <border>
      <left style="medium">
        <color theme="1" tint="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1" tint="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1" tint="0.34998626667073579"/>
      </left>
      <right style="thin">
        <color theme="0" tint="-0.34998626667073579"/>
      </right>
      <top style="thin">
        <color theme="0" tint="-0.34998626667073579"/>
      </top>
      <bottom style="medium">
        <color theme="1" tint="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1" tint="0.34998626667073579"/>
      </bottom>
      <diagonal/>
    </border>
    <border>
      <left style="thin">
        <color theme="0" tint="-0.34998626667073579"/>
      </left>
      <right style="medium">
        <color theme="1" tint="0.34998626667073579"/>
      </right>
      <top style="thin">
        <color theme="0" tint="-0.34998626667073579"/>
      </top>
      <bottom style="medium">
        <color theme="1" tint="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1" tint="0.34998626667073579"/>
      </right>
      <top/>
      <bottom style="thin">
        <color theme="0" tint="-0.34998626667073579"/>
      </bottom>
      <diagonal/>
    </border>
    <border>
      <left style="medium">
        <color theme="1" tint="0.14996795556505021"/>
      </left>
      <right style="hair">
        <color theme="0"/>
      </right>
      <top style="medium">
        <color theme="1" tint="0.14996795556505021"/>
      </top>
      <bottom/>
      <diagonal/>
    </border>
    <border>
      <left style="hair">
        <color theme="0"/>
      </left>
      <right style="hair">
        <color theme="0"/>
      </right>
      <top style="medium">
        <color theme="1" tint="0.14996795556505021"/>
      </top>
      <bottom/>
      <diagonal/>
    </border>
    <border>
      <left style="hair">
        <color theme="0"/>
      </left>
      <right style="medium">
        <color theme="1" tint="0.14996795556505021"/>
      </right>
      <top style="medium">
        <color theme="1" tint="0.14996795556505021"/>
      </top>
      <bottom/>
      <diagonal/>
    </border>
    <border>
      <left style="medium">
        <color theme="1" tint="0.14996795556505021"/>
      </left>
      <right style="hair">
        <color theme="0"/>
      </right>
      <top/>
      <bottom style="medium">
        <color theme="1" tint="0.14996795556505021"/>
      </bottom>
      <diagonal/>
    </border>
    <border>
      <left style="hair">
        <color theme="0"/>
      </left>
      <right style="hair">
        <color theme="0"/>
      </right>
      <top/>
      <bottom style="medium">
        <color theme="1" tint="0.14996795556505021"/>
      </bottom>
      <diagonal/>
    </border>
    <border>
      <left style="hair">
        <color theme="0"/>
      </left>
      <right style="medium">
        <color theme="1" tint="0.14996795556505021"/>
      </right>
      <top/>
      <bottom style="medium">
        <color theme="1" tint="0.14996795556505021"/>
      </bottom>
      <diagonal/>
    </border>
    <border>
      <left style="medium">
        <color theme="1" tint="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hair">
        <color theme="0"/>
      </left>
      <right/>
      <top style="medium">
        <color theme="1" tint="0.14996795556505021"/>
      </top>
      <bottom/>
      <diagonal/>
    </border>
    <border>
      <left style="hair">
        <color theme="0"/>
      </left>
      <right/>
      <top/>
      <bottom style="medium">
        <color theme="1" tint="0.14996795556505021"/>
      </bottom>
      <diagonal/>
    </border>
    <border>
      <left/>
      <right style="hair">
        <color theme="0"/>
      </right>
      <top style="medium">
        <color theme="1" tint="0.14996795556505021"/>
      </top>
      <bottom/>
      <diagonal/>
    </border>
    <border>
      <left/>
      <right style="hair">
        <color theme="0"/>
      </right>
      <top/>
      <bottom style="medium">
        <color theme="1" tint="0.14996795556505021"/>
      </bottom>
      <diagonal/>
    </border>
    <border>
      <left style="thin">
        <color theme="0"/>
      </left>
      <right style="hair">
        <color theme="0"/>
      </right>
      <top style="medium">
        <color theme="1" tint="0.14996795556505021"/>
      </top>
      <bottom/>
      <diagonal/>
    </border>
    <border>
      <left style="hair">
        <color theme="0"/>
      </left>
      <right style="thin">
        <color theme="0"/>
      </right>
      <top style="medium">
        <color theme="1" tint="0.14996795556505021"/>
      </top>
      <bottom/>
      <diagonal/>
    </border>
    <border>
      <left style="thin">
        <color theme="0"/>
      </left>
      <right style="hair">
        <color theme="0"/>
      </right>
      <top/>
      <bottom style="medium">
        <color theme="1" tint="0.14996795556505021"/>
      </bottom>
      <diagonal/>
    </border>
    <border>
      <left style="hair">
        <color theme="0"/>
      </left>
      <right style="thin">
        <color theme="0"/>
      </right>
      <top/>
      <bottom style="medium">
        <color theme="1" tint="0.14996795556505021"/>
      </bottom>
      <diagonal/>
    </border>
    <border>
      <left style="thin">
        <color theme="1" tint="0.34998626667073579"/>
      </left>
      <right/>
      <top style="medium">
        <color indexed="64"/>
      </top>
      <bottom/>
      <diagonal/>
    </border>
    <border>
      <left style="thin">
        <color theme="1" tint="0.34998626667073579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8"/>
      </right>
      <top style="medium">
        <color indexed="64"/>
      </top>
      <bottom/>
      <diagonal/>
    </border>
    <border>
      <left style="hair">
        <color indexed="8"/>
      </left>
      <right style="hair">
        <color indexed="8"/>
      </right>
      <top style="medium">
        <color indexed="64"/>
      </top>
      <bottom/>
      <diagonal/>
    </border>
    <border>
      <left style="medium">
        <color indexed="64"/>
      </left>
      <right style="hair">
        <color indexed="8"/>
      </right>
      <top/>
      <bottom/>
      <diagonal/>
    </border>
    <border>
      <left style="medium">
        <color indexed="64"/>
      </left>
      <right style="hair">
        <color indexed="8"/>
      </right>
      <top/>
      <bottom style="medium">
        <color indexed="64"/>
      </bottom>
      <diagonal/>
    </border>
    <border>
      <left style="hair">
        <color indexed="8"/>
      </left>
      <right/>
      <top/>
      <bottom style="medium">
        <color indexed="64"/>
      </bottom>
      <diagonal/>
    </border>
    <border>
      <left style="hair">
        <color indexed="8"/>
      </left>
      <right/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8"/>
      </left>
      <right style="hair">
        <color indexed="64"/>
      </right>
      <top style="medium">
        <color indexed="64"/>
      </top>
      <bottom/>
      <diagonal/>
    </border>
    <border>
      <left style="hair">
        <color indexed="8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theme="1" tint="0.24994659260841701"/>
      </left>
      <right/>
      <top/>
      <bottom/>
      <diagonal/>
    </border>
    <border>
      <left style="medium">
        <color theme="1" tint="0.14996795556505021"/>
      </left>
      <right/>
      <top style="medium">
        <color theme="1" tint="0.14996795556505021"/>
      </top>
      <bottom/>
      <diagonal/>
    </border>
    <border>
      <left/>
      <right style="medium">
        <color theme="1" tint="0.14996795556505021"/>
      </right>
      <top style="medium">
        <color theme="1" tint="0.14996795556505021"/>
      </top>
      <bottom/>
      <diagonal/>
    </border>
    <border>
      <left style="medium">
        <color theme="1" tint="0.14996795556505021"/>
      </left>
      <right/>
      <top/>
      <bottom/>
      <diagonal/>
    </border>
    <border>
      <left/>
      <right style="medium">
        <color theme="1" tint="0.14996795556505021"/>
      </right>
      <top/>
      <bottom/>
      <diagonal/>
    </border>
    <border>
      <left style="medium">
        <color theme="1" tint="0.14996795556505021"/>
      </left>
      <right/>
      <top/>
      <bottom style="medium">
        <color theme="1" tint="0.14996795556505021"/>
      </bottom>
      <diagonal/>
    </border>
    <border>
      <left/>
      <right style="medium">
        <color theme="1" tint="0.14996795556505021"/>
      </right>
      <top/>
      <bottom style="medium">
        <color theme="1" tint="0.14996795556505021"/>
      </bottom>
      <diagonal/>
    </border>
  </borders>
  <cellStyleXfs count="4">
    <xf numFmtId="0" fontId="0" fillId="0" borderId="0"/>
    <xf numFmtId="0" fontId="18" fillId="0" borderId="0" applyNumberFormat="0" applyFill="0" applyBorder="0" applyAlignment="0" applyProtection="0">
      <alignment vertical="top"/>
      <protection locked="0"/>
    </xf>
    <xf numFmtId="167" fontId="9" fillId="0" borderId="0" applyFill="0" applyBorder="0" applyAlignment="0" applyProtection="0"/>
    <xf numFmtId="9" fontId="9" fillId="0" borderId="0" applyFont="0" applyFill="0" applyBorder="0" applyAlignment="0" applyProtection="0"/>
  </cellStyleXfs>
  <cellXfs count="772">
    <xf numFmtId="0" fontId="0" fillId="0" borderId="0" xfId="0"/>
    <xf numFmtId="0" fontId="0" fillId="2" borderId="0" xfId="0" applyFill="1"/>
    <xf numFmtId="0" fontId="1" fillId="2" borderId="0" xfId="0" applyFont="1" applyFill="1"/>
    <xf numFmtId="10" fontId="2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3" borderId="2" xfId="0" applyNumberForma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2" fontId="0" fillId="3" borderId="2" xfId="0" applyNumberFormat="1" applyFill="1" applyBorder="1" applyAlignment="1" applyProtection="1">
      <alignment horizontal="center" vertical="center"/>
      <protection hidden="1"/>
    </xf>
    <xf numFmtId="165" fontId="0" fillId="3" borderId="2" xfId="0" applyNumberFormat="1" applyFill="1" applyBorder="1" applyAlignment="1" applyProtection="1">
      <alignment horizontal="center" vertical="center"/>
      <protection hidden="1"/>
    </xf>
    <xf numFmtId="1" fontId="0" fillId="3" borderId="2" xfId="0" applyNumberFormat="1" applyFill="1" applyBorder="1" applyAlignment="1">
      <alignment horizontal="center" vertical="center"/>
    </xf>
    <xf numFmtId="2" fontId="0" fillId="3" borderId="3" xfId="0" applyNumberForma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" fontId="0" fillId="3" borderId="4" xfId="0" applyNumberFormat="1" applyFill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2" fontId="0" fillId="3" borderId="4" xfId="0" applyNumberFormat="1" applyFill="1" applyBorder="1" applyAlignment="1" applyProtection="1">
      <alignment horizontal="center" vertical="center"/>
      <protection hidden="1"/>
    </xf>
    <xf numFmtId="165" fontId="0" fillId="3" borderId="4" xfId="0" applyNumberFormat="1" applyFill="1" applyBorder="1" applyAlignment="1" applyProtection="1">
      <alignment horizontal="center" vertical="center"/>
      <protection hidden="1"/>
    </xf>
    <xf numFmtId="1" fontId="0" fillId="3" borderId="4" xfId="0" applyNumberFormat="1" applyFill="1" applyBorder="1" applyAlignment="1">
      <alignment horizontal="center" vertical="center"/>
    </xf>
    <xf numFmtId="2" fontId="0" fillId="3" borderId="5" xfId="0" applyNumberForma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2" fontId="0" fillId="3" borderId="6" xfId="0" applyNumberFormat="1" applyFill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2" fontId="0" fillId="3" borderId="6" xfId="0" applyNumberFormat="1" applyFill="1" applyBorder="1" applyAlignment="1" applyProtection="1">
      <alignment horizontal="center" vertical="center"/>
      <protection hidden="1"/>
    </xf>
    <xf numFmtId="165" fontId="0" fillId="3" borderId="6" xfId="0" applyNumberFormat="1" applyFill="1" applyBorder="1" applyAlignment="1" applyProtection="1">
      <alignment horizontal="center" vertical="center"/>
      <protection hidden="1"/>
    </xf>
    <xf numFmtId="1" fontId="0" fillId="3" borderId="6" xfId="0" applyNumberFormat="1" applyFill="1" applyBorder="1" applyAlignment="1">
      <alignment horizontal="center" vertical="center"/>
    </xf>
    <xf numFmtId="2" fontId="0" fillId="3" borderId="7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6" fillId="2" borderId="0" xfId="0" applyFont="1" applyFill="1"/>
    <xf numFmtId="0" fontId="0" fillId="2" borderId="0" xfId="0" applyFill="1" applyAlignment="1">
      <alignment vertical="center"/>
    </xf>
    <xf numFmtId="0" fontId="0" fillId="0" borderId="9" xfId="0" applyBorder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19" fillId="2" borderId="0" xfId="1" applyFont="1" applyFill="1" applyAlignment="1" applyProtection="1">
      <alignment vertical="center"/>
    </xf>
    <xf numFmtId="168" fontId="0" fillId="3" borderId="2" xfId="0" applyNumberFormat="1" applyFill="1" applyBorder="1" applyAlignment="1">
      <alignment horizontal="center" vertical="center"/>
    </xf>
    <xf numFmtId="168" fontId="0" fillId="3" borderId="4" xfId="0" applyNumberFormat="1" applyFill="1" applyBorder="1" applyAlignment="1">
      <alignment horizontal="center" vertical="center"/>
    </xf>
    <xf numFmtId="0" fontId="0" fillId="5" borderId="0" xfId="0" applyFill="1"/>
    <xf numFmtId="0" fontId="0" fillId="0" borderId="10" xfId="0" applyBorder="1" applyAlignment="1">
      <alignment horizontal="center" vertical="center"/>
    </xf>
    <xf numFmtId="0" fontId="6" fillId="5" borderId="0" xfId="0" applyFont="1" applyFill="1"/>
    <xf numFmtId="2" fontId="0" fillId="6" borderId="12" xfId="0" applyNumberFormat="1" applyFill="1" applyBorder="1" applyAlignment="1">
      <alignment horizontal="center" vertical="center"/>
    </xf>
    <xf numFmtId="2" fontId="0" fillId="7" borderId="12" xfId="0" applyNumberFormat="1" applyFill="1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0" fontId="21" fillId="2" borderId="0" xfId="0" applyFont="1" applyFill="1" applyAlignment="1">
      <alignment vertical="center"/>
    </xf>
    <xf numFmtId="0" fontId="0" fillId="2" borderId="16" xfId="0" applyFill="1" applyBorder="1"/>
    <xf numFmtId="0" fontId="22" fillId="2" borderId="0" xfId="1" applyFont="1" applyFill="1" applyAlignment="1" applyProtection="1">
      <alignment vertical="center"/>
    </xf>
    <xf numFmtId="14" fontId="23" fillId="0" borderId="17" xfId="0" applyNumberFormat="1" applyFont="1" applyBorder="1" applyAlignment="1">
      <alignment horizontal="center" vertical="center"/>
    </xf>
    <xf numFmtId="14" fontId="23" fillId="0" borderId="18" xfId="0" applyNumberFormat="1" applyFont="1" applyBorder="1" applyAlignment="1">
      <alignment horizontal="center" vertical="center"/>
    </xf>
    <xf numFmtId="14" fontId="23" fillId="0" borderId="19" xfId="0" applyNumberFormat="1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14" fontId="23" fillId="0" borderId="20" xfId="0" applyNumberFormat="1" applyFont="1" applyBorder="1" applyAlignment="1">
      <alignment horizontal="center" vertical="center"/>
    </xf>
    <xf numFmtId="14" fontId="0" fillId="0" borderId="21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2" fontId="0" fillId="3" borderId="22" xfId="0" applyNumberFormat="1" applyFill="1" applyBorder="1" applyAlignment="1">
      <alignment horizontal="center" vertical="center"/>
    </xf>
    <xf numFmtId="168" fontId="0" fillId="3" borderId="22" xfId="0" applyNumberFormat="1" applyFill="1" applyBorder="1" applyAlignment="1">
      <alignment horizontal="center" vertical="center"/>
    </xf>
    <xf numFmtId="1" fontId="0" fillId="3" borderId="22" xfId="0" applyNumberFormat="1" applyFill="1" applyBorder="1" applyAlignment="1">
      <alignment horizontal="center" vertical="center"/>
    </xf>
    <xf numFmtId="2" fontId="0" fillId="7" borderId="23" xfId="0" applyNumberFormat="1" applyFill="1" applyBorder="1" applyAlignment="1">
      <alignment horizontal="center" vertical="center"/>
    </xf>
    <xf numFmtId="2" fontId="0" fillId="3" borderId="24" xfId="0" applyNumberFormat="1" applyFill="1" applyBorder="1" applyAlignment="1" applyProtection="1">
      <alignment horizontal="center" vertical="center"/>
      <protection hidden="1"/>
    </xf>
    <xf numFmtId="0" fontId="5" fillId="8" borderId="8" xfId="0" applyFont="1" applyFill="1" applyBorder="1" applyAlignment="1">
      <alignment horizontal="center" vertical="center"/>
    </xf>
    <xf numFmtId="0" fontId="7" fillId="5" borderId="0" xfId="0" applyFont="1" applyFill="1" applyAlignment="1">
      <alignment vertical="center" wrapText="1"/>
    </xf>
    <xf numFmtId="0" fontId="0" fillId="10" borderId="0" xfId="0" applyFill="1"/>
    <xf numFmtId="0" fontId="2" fillId="10" borderId="0" xfId="0" applyFont="1" applyFill="1" applyAlignment="1">
      <alignment wrapText="1"/>
    </xf>
    <xf numFmtId="0" fontId="13" fillId="10" borderId="0" xfId="0" applyFont="1" applyFill="1"/>
    <xf numFmtId="0" fontId="14" fillId="8" borderId="8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4" fillId="10" borderId="0" xfId="0" applyFont="1" applyFill="1"/>
    <xf numFmtId="0" fontId="14" fillId="10" borderId="0" xfId="0" applyFont="1" applyFill="1" applyAlignment="1">
      <alignment vertical="center" wrapText="1"/>
    </xf>
    <xf numFmtId="167" fontId="7" fillId="0" borderId="25" xfId="2" applyFont="1" applyBorder="1" applyAlignment="1">
      <alignment horizontal="center" vertical="center"/>
    </xf>
    <xf numFmtId="167" fontId="7" fillId="0" borderId="26" xfId="2" applyFont="1" applyBorder="1" applyAlignment="1">
      <alignment horizontal="center" vertical="center"/>
    </xf>
    <xf numFmtId="167" fontId="7" fillId="0" borderId="27" xfId="2" applyFont="1" applyBorder="1" applyAlignment="1">
      <alignment horizontal="center" vertical="center"/>
    </xf>
    <xf numFmtId="167" fontId="7" fillId="0" borderId="28" xfId="2" applyFont="1" applyBorder="1" applyAlignment="1">
      <alignment horizontal="center" vertical="center"/>
    </xf>
    <xf numFmtId="167" fontId="7" fillId="11" borderId="28" xfId="2" applyFont="1" applyFill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167" fontId="7" fillId="0" borderId="30" xfId="2" applyFont="1" applyBorder="1" applyAlignment="1">
      <alignment horizontal="center" vertical="center"/>
    </xf>
    <xf numFmtId="167" fontId="7" fillId="0" borderId="31" xfId="2" applyFont="1" applyBorder="1" applyAlignment="1">
      <alignment horizontal="center" vertical="center"/>
    </xf>
    <xf numFmtId="167" fontId="7" fillId="0" borderId="32" xfId="2" applyFont="1" applyBorder="1" applyAlignment="1">
      <alignment horizontal="center" vertical="center"/>
    </xf>
    <xf numFmtId="167" fontId="7" fillId="0" borderId="33" xfId="2" applyFont="1" applyBorder="1" applyAlignment="1">
      <alignment horizontal="center" vertical="center"/>
    </xf>
    <xf numFmtId="167" fontId="7" fillId="11" borderId="33" xfId="2" applyFont="1" applyFill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167" fontId="7" fillId="0" borderId="35" xfId="2" applyFont="1" applyBorder="1" applyAlignment="1">
      <alignment horizontal="center" vertical="center"/>
    </xf>
    <xf numFmtId="167" fontId="7" fillId="0" borderId="36" xfId="2" applyFont="1" applyBorder="1" applyAlignment="1">
      <alignment horizontal="center" vertical="center"/>
    </xf>
    <xf numFmtId="167" fontId="7" fillId="0" borderId="37" xfId="2" applyFont="1" applyBorder="1" applyAlignment="1">
      <alignment horizontal="center" vertical="center"/>
    </xf>
    <xf numFmtId="167" fontId="7" fillId="0" borderId="38" xfId="2" applyFont="1" applyBorder="1" applyAlignment="1">
      <alignment horizontal="center" vertical="center"/>
    </xf>
    <xf numFmtId="167" fontId="7" fillId="11" borderId="38" xfId="2" applyFont="1" applyFill="1" applyBorder="1" applyAlignment="1">
      <alignment horizontal="center" vertical="center"/>
    </xf>
    <xf numFmtId="2" fontId="0" fillId="2" borderId="0" xfId="0" applyNumberFormat="1" applyFill="1"/>
    <xf numFmtId="0" fontId="7" fillId="0" borderId="1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35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14" fillId="8" borderId="19" xfId="0" applyFont="1" applyFill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14" fontId="7" fillId="0" borderId="40" xfId="0" applyNumberFormat="1" applyFont="1" applyBorder="1" applyAlignment="1">
      <alignment horizontal="center" vertical="center"/>
    </xf>
    <xf numFmtId="14" fontId="7" fillId="0" borderId="45" xfId="0" applyNumberFormat="1" applyFont="1" applyBorder="1" applyAlignment="1">
      <alignment horizontal="center" vertical="center"/>
    </xf>
    <xf numFmtId="2" fontId="7" fillId="0" borderId="46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0" fontId="25" fillId="0" borderId="28" xfId="2" applyNumberFormat="1" applyFont="1" applyBorder="1" applyAlignment="1">
      <alignment horizontal="center" vertical="center"/>
    </xf>
    <xf numFmtId="0" fontId="25" fillId="0" borderId="33" xfId="2" applyNumberFormat="1" applyFont="1" applyBorder="1" applyAlignment="1">
      <alignment horizontal="center" vertical="center"/>
    </xf>
    <xf numFmtId="0" fontId="25" fillId="0" borderId="38" xfId="2" applyNumberFormat="1" applyFont="1" applyBorder="1" applyAlignment="1">
      <alignment horizontal="center" vertical="center"/>
    </xf>
    <xf numFmtId="8" fontId="7" fillId="11" borderId="28" xfId="2" applyNumberFormat="1" applyFont="1" applyFill="1" applyBorder="1" applyAlignment="1">
      <alignment horizontal="center" vertical="center"/>
    </xf>
    <xf numFmtId="8" fontId="7" fillId="11" borderId="33" xfId="2" applyNumberFormat="1" applyFont="1" applyFill="1" applyBorder="1" applyAlignment="1">
      <alignment horizontal="center" vertical="center"/>
    </xf>
    <xf numFmtId="8" fontId="7" fillId="11" borderId="38" xfId="2" applyNumberFormat="1" applyFont="1" applyFill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0" fillId="38" borderId="0" xfId="0" applyFill="1"/>
    <xf numFmtId="0" fontId="1" fillId="38" borderId="0" xfId="0" applyFont="1" applyFill="1"/>
    <xf numFmtId="0" fontId="7" fillId="38" borderId="0" xfId="0" applyFont="1" applyFill="1"/>
    <xf numFmtId="169" fontId="0" fillId="38" borderId="0" xfId="0" applyNumberFormat="1" applyFill="1"/>
    <xf numFmtId="0" fontId="27" fillId="2" borderId="0" xfId="1" applyFont="1" applyFill="1" applyAlignment="1" applyProtection="1">
      <alignment vertical="center"/>
    </xf>
    <xf numFmtId="2" fontId="7" fillId="0" borderId="28" xfId="0" applyNumberFormat="1" applyFont="1" applyBorder="1" applyAlignment="1">
      <alignment horizontal="center" vertical="center"/>
    </xf>
    <xf numFmtId="2" fontId="7" fillId="0" borderId="47" xfId="0" applyNumberFormat="1" applyFont="1" applyBorder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1" fillId="2" borderId="0" xfId="0" applyFont="1" applyFill="1" applyAlignment="1">
      <alignment horizontal="left" vertical="center"/>
    </xf>
    <xf numFmtId="0" fontId="6" fillId="21" borderId="39" xfId="0" applyFont="1" applyFill="1" applyBorder="1" applyAlignment="1">
      <alignment vertical="center"/>
    </xf>
    <xf numFmtId="0" fontId="6" fillId="21" borderId="49" xfId="0" applyFont="1" applyFill="1" applyBorder="1" applyAlignment="1">
      <alignment vertical="center"/>
    </xf>
    <xf numFmtId="0" fontId="0" fillId="21" borderId="39" xfId="0" applyFill="1" applyBorder="1" applyAlignment="1">
      <alignment vertical="center"/>
    </xf>
    <xf numFmtId="0" fontId="43" fillId="21" borderId="43" xfId="0" applyFont="1" applyFill="1" applyBorder="1" applyAlignment="1">
      <alignment vertical="center"/>
    </xf>
    <xf numFmtId="0" fontId="0" fillId="5" borderId="109" xfId="0" applyFill="1" applyBorder="1"/>
    <xf numFmtId="166" fontId="3" fillId="3" borderId="2" xfId="0" applyNumberFormat="1" applyFont="1" applyFill="1" applyBorder="1" applyAlignment="1">
      <alignment horizontal="center" vertical="center"/>
    </xf>
    <xf numFmtId="166" fontId="3" fillId="3" borderId="4" xfId="0" applyNumberFormat="1" applyFont="1" applyFill="1" applyBorder="1" applyAlignment="1">
      <alignment horizontal="center" vertical="center"/>
    </xf>
    <xf numFmtId="166" fontId="3" fillId="3" borderId="6" xfId="0" applyNumberFormat="1" applyFont="1" applyFill="1" applyBorder="1" applyAlignment="1">
      <alignment horizontal="center" vertical="center"/>
    </xf>
    <xf numFmtId="10" fontId="2" fillId="16" borderId="52" xfId="0" applyNumberFormat="1" applyFont="1" applyFill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4" fillId="42" borderId="127" xfId="0" applyFont="1" applyFill="1" applyBorder="1" applyAlignment="1">
      <alignment horizontal="center" vertical="center"/>
    </xf>
    <xf numFmtId="0" fontId="24" fillId="42" borderId="128" xfId="0" applyFont="1" applyFill="1" applyBorder="1" applyAlignment="1">
      <alignment horizontal="center" vertical="center"/>
    </xf>
    <xf numFmtId="0" fontId="0" fillId="43" borderId="137" xfId="0" applyFill="1" applyBorder="1" applyAlignment="1">
      <alignment horizontal="center" vertical="center"/>
    </xf>
    <xf numFmtId="2" fontId="0" fillId="43" borderId="138" xfId="0" applyNumberFormat="1" applyFill="1" applyBorder="1" applyAlignment="1">
      <alignment horizontal="center" vertical="center"/>
    </xf>
    <xf numFmtId="0" fontId="0" fillId="5" borderId="138" xfId="0" applyFill="1" applyBorder="1" applyAlignment="1">
      <alignment horizontal="center" vertical="center"/>
    </xf>
    <xf numFmtId="170" fontId="0" fillId="5" borderId="138" xfId="0" applyNumberFormat="1" applyFill="1" applyBorder="1" applyAlignment="1">
      <alignment horizontal="center" vertical="center"/>
    </xf>
    <xf numFmtId="2" fontId="0" fillId="5" borderId="138" xfId="0" applyNumberFormat="1" applyFill="1" applyBorder="1" applyAlignment="1">
      <alignment horizontal="center" vertical="center"/>
    </xf>
    <xf numFmtId="2" fontId="0" fillId="5" borderId="139" xfId="0" applyNumberFormat="1" applyFill="1" applyBorder="1" applyAlignment="1">
      <alignment horizontal="center" vertical="center"/>
    </xf>
    <xf numFmtId="0" fontId="0" fillId="43" borderId="140" xfId="0" applyFill="1" applyBorder="1" applyAlignment="1">
      <alignment horizontal="center" vertical="center"/>
    </xf>
    <xf numFmtId="2" fontId="0" fillId="43" borderId="141" xfId="0" applyNumberFormat="1" applyFill="1" applyBorder="1" applyAlignment="1">
      <alignment horizontal="center" vertical="center"/>
    </xf>
    <xf numFmtId="0" fontId="0" fillId="5" borderId="141" xfId="0" applyFill="1" applyBorder="1" applyAlignment="1">
      <alignment horizontal="center" vertical="center"/>
    </xf>
    <xf numFmtId="170" fontId="0" fillId="5" borderId="141" xfId="0" applyNumberFormat="1" applyFill="1" applyBorder="1" applyAlignment="1">
      <alignment horizontal="center" vertical="center"/>
    </xf>
    <xf numFmtId="2" fontId="0" fillId="5" borderId="141" xfId="0" applyNumberFormat="1" applyFill="1" applyBorder="1" applyAlignment="1">
      <alignment horizontal="center" vertical="center"/>
    </xf>
    <xf numFmtId="2" fontId="0" fillId="5" borderId="142" xfId="0" applyNumberFormat="1" applyFill="1" applyBorder="1" applyAlignment="1">
      <alignment horizontal="center" vertical="center"/>
    </xf>
    <xf numFmtId="170" fontId="0" fillId="5" borderId="143" xfId="0" applyNumberFormat="1" applyFill="1" applyBorder="1" applyAlignment="1">
      <alignment horizontal="center" vertical="center"/>
    </xf>
    <xf numFmtId="0" fontId="0" fillId="43" borderId="147" xfId="0" applyFill="1" applyBorder="1" applyAlignment="1">
      <alignment horizontal="center" vertical="center"/>
    </xf>
    <xf numFmtId="2" fontId="0" fillId="43" borderId="148" xfId="0" applyNumberFormat="1" applyFill="1" applyBorder="1" applyAlignment="1">
      <alignment horizontal="center" vertical="center"/>
    </xf>
    <xf numFmtId="0" fontId="0" fillId="5" borderId="148" xfId="0" applyFill="1" applyBorder="1" applyAlignment="1">
      <alignment horizontal="center" vertical="center"/>
    </xf>
    <xf numFmtId="170" fontId="0" fillId="5" borderId="148" xfId="0" applyNumberFormat="1" applyFill="1" applyBorder="1" applyAlignment="1">
      <alignment horizontal="center" vertical="center"/>
    </xf>
    <xf numFmtId="2" fontId="0" fillId="5" borderId="148" xfId="0" applyNumberFormat="1" applyFill="1" applyBorder="1" applyAlignment="1">
      <alignment horizontal="center" vertical="center"/>
    </xf>
    <xf numFmtId="2" fontId="0" fillId="5" borderId="149" xfId="0" applyNumberFormat="1" applyFill="1" applyBorder="1" applyAlignment="1">
      <alignment horizontal="center" vertical="center"/>
    </xf>
    <xf numFmtId="170" fontId="0" fillId="5" borderId="150" xfId="0" applyNumberFormat="1" applyFill="1" applyBorder="1" applyAlignment="1">
      <alignment horizontal="center" vertical="center"/>
    </xf>
    <xf numFmtId="0" fontId="0" fillId="43" borderId="151" xfId="0" applyFill="1" applyBorder="1" applyAlignment="1">
      <alignment horizontal="center" vertical="center"/>
    </xf>
    <xf numFmtId="2" fontId="0" fillId="43" borderId="139" xfId="0" applyNumberFormat="1" applyFill="1" applyBorder="1" applyAlignment="1">
      <alignment horizontal="center" vertical="center"/>
    </xf>
    <xf numFmtId="0" fontId="0" fillId="5" borderId="139" xfId="0" applyFill="1" applyBorder="1" applyAlignment="1">
      <alignment horizontal="center" vertical="center"/>
    </xf>
    <xf numFmtId="170" fontId="0" fillId="5" borderId="139" xfId="0" applyNumberFormat="1" applyFill="1" applyBorder="1" applyAlignment="1">
      <alignment horizontal="center" vertical="center"/>
    </xf>
    <xf numFmtId="170" fontId="0" fillId="5" borderId="152" xfId="0" applyNumberFormat="1" applyFill="1" applyBorder="1" applyAlignment="1">
      <alignment horizontal="center" vertical="center"/>
    </xf>
    <xf numFmtId="0" fontId="0" fillId="43" borderId="153" xfId="0" applyFill="1" applyBorder="1" applyAlignment="1">
      <alignment horizontal="center" vertical="center"/>
    </xf>
    <xf numFmtId="2" fontId="0" fillId="43" borderId="142" xfId="0" applyNumberFormat="1" applyFill="1" applyBorder="1" applyAlignment="1">
      <alignment horizontal="center" vertical="center"/>
    </xf>
    <xf numFmtId="0" fontId="0" fillId="5" borderId="142" xfId="0" applyFill="1" applyBorder="1" applyAlignment="1">
      <alignment horizontal="center" vertical="center"/>
    </xf>
    <xf numFmtId="170" fontId="0" fillId="5" borderId="142" xfId="0" applyNumberFormat="1" applyFill="1" applyBorder="1" applyAlignment="1">
      <alignment horizontal="center" vertical="center"/>
    </xf>
    <xf numFmtId="0" fontId="0" fillId="43" borderId="154" xfId="0" applyFill="1" applyBorder="1" applyAlignment="1">
      <alignment horizontal="center" vertical="center"/>
    </xf>
    <xf numFmtId="2" fontId="0" fillId="43" borderId="149" xfId="0" applyNumberFormat="1" applyFill="1" applyBorder="1" applyAlignment="1">
      <alignment horizontal="center" vertical="center"/>
    </xf>
    <xf numFmtId="0" fontId="0" fillId="5" borderId="149" xfId="0" applyFill="1" applyBorder="1" applyAlignment="1">
      <alignment horizontal="center" vertical="center"/>
    </xf>
    <xf numFmtId="170" fontId="0" fillId="5" borderId="149" xfId="0" applyNumberFormat="1" applyFill="1" applyBorder="1" applyAlignment="1">
      <alignment horizontal="center" vertical="center"/>
    </xf>
    <xf numFmtId="0" fontId="0" fillId="45" borderId="0" xfId="0" applyFill="1"/>
    <xf numFmtId="0" fontId="46" fillId="12" borderId="156" xfId="0" applyFont="1" applyFill="1" applyBorder="1" applyAlignment="1">
      <alignment horizontal="center" vertical="center"/>
    </xf>
    <xf numFmtId="0" fontId="46" fillId="12" borderId="159" xfId="0" applyFont="1" applyFill="1" applyBorder="1" applyAlignment="1">
      <alignment horizontal="center" vertical="center"/>
    </xf>
    <xf numFmtId="0" fontId="46" fillId="22" borderId="155" xfId="0" applyFont="1" applyFill="1" applyBorder="1" applyAlignment="1">
      <alignment horizontal="center" vertical="center"/>
    </xf>
    <xf numFmtId="0" fontId="46" fillId="22" borderId="158" xfId="0" applyFont="1" applyFill="1" applyBorder="1" applyAlignment="1">
      <alignment horizontal="center" vertical="center"/>
    </xf>
    <xf numFmtId="0" fontId="46" fillId="22" borderId="169" xfId="0" applyFont="1" applyFill="1" applyBorder="1" applyAlignment="1">
      <alignment horizontal="center" vertical="center"/>
    </xf>
    <xf numFmtId="0" fontId="46" fillId="12" borderId="161" xfId="0" applyFont="1" applyFill="1" applyBorder="1" applyAlignment="1">
      <alignment horizontal="center" vertical="center"/>
    </xf>
    <xf numFmtId="10" fontId="49" fillId="16" borderId="51" xfId="0" applyNumberFormat="1" applyFont="1" applyFill="1" applyBorder="1" applyAlignment="1">
      <alignment horizontal="center" vertical="center"/>
    </xf>
    <xf numFmtId="2" fontId="0" fillId="3" borderId="182" xfId="0" applyNumberFormat="1" applyFill="1" applyBorder="1" applyAlignment="1" applyProtection="1">
      <alignment horizontal="center" vertical="center"/>
      <protection hidden="1"/>
    </xf>
    <xf numFmtId="2" fontId="0" fillId="3" borderId="183" xfId="0" applyNumberFormat="1" applyFill="1" applyBorder="1" applyAlignment="1" applyProtection="1">
      <alignment horizontal="center" vertical="center"/>
      <protection hidden="1"/>
    </xf>
    <xf numFmtId="2" fontId="0" fillId="3" borderId="22" xfId="0" applyNumberFormat="1" applyFill="1" applyBorder="1" applyAlignment="1" applyProtection="1">
      <alignment horizontal="center" vertical="center"/>
      <protection hidden="1"/>
    </xf>
    <xf numFmtId="2" fontId="0" fillId="3" borderId="185" xfId="0" applyNumberFormat="1" applyFill="1" applyBorder="1" applyAlignment="1" applyProtection="1">
      <alignment horizontal="center" vertical="center"/>
      <protection hidden="1"/>
    </xf>
    <xf numFmtId="2" fontId="0" fillId="3" borderId="184" xfId="0" applyNumberFormat="1" applyFill="1" applyBorder="1" applyAlignment="1" applyProtection="1">
      <alignment horizontal="center" vertical="center"/>
      <protection hidden="1"/>
    </xf>
    <xf numFmtId="2" fontId="0" fillId="3" borderId="188" xfId="0" applyNumberFormat="1" applyFill="1" applyBorder="1" applyAlignment="1" applyProtection="1">
      <alignment horizontal="center" vertical="center"/>
      <protection hidden="1"/>
    </xf>
    <xf numFmtId="2" fontId="0" fillId="3" borderId="189" xfId="0" applyNumberFormat="1" applyFill="1" applyBorder="1" applyAlignment="1" applyProtection="1">
      <alignment horizontal="center" vertical="center"/>
      <protection hidden="1"/>
    </xf>
    <xf numFmtId="2" fontId="0" fillId="3" borderId="190" xfId="0" applyNumberFormat="1" applyFill="1" applyBorder="1" applyAlignment="1" applyProtection="1">
      <alignment horizontal="center" vertical="center"/>
      <protection hidden="1"/>
    </xf>
    <xf numFmtId="2" fontId="0" fillId="3" borderId="191" xfId="0" applyNumberFormat="1" applyFill="1" applyBorder="1" applyAlignment="1" applyProtection="1">
      <alignment horizontal="center" vertical="center"/>
      <protection hidden="1"/>
    </xf>
    <xf numFmtId="2" fontId="50" fillId="3" borderId="2" xfId="0" applyNumberFormat="1" applyFont="1" applyFill="1" applyBorder="1" applyAlignment="1">
      <alignment horizontal="center" vertical="center"/>
    </xf>
    <xf numFmtId="2" fontId="50" fillId="3" borderId="4" xfId="0" applyNumberFormat="1" applyFont="1" applyFill="1" applyBorder="1" applyAlignment="1">
      <alignment horizontal="center" vertical="center"/>
    </xf>
    <xf numFmtId="2" fontId="50" fillId="3" borderId="6" xfId="0" applyNumberFormat="1" applyFont="1" applyFill="1" applyBorder="1" applyAlignment="1">
      <alignment horizontal="center" vertical="center"/>
    </xf>
    <xf numFmtId="2" fontId="0" fillId="3" borderId="186" xfId="0" applyNumberFormat="1" applyFill="1" applyBorder="1" applyAlignment="1" applyProtection="1">
      <alignment horizontal="center" vertical="center"/>
      <protection hidden="1"/>
    </xf>
    <xf numFmtId="167" fontId="7" fillId="0" borderId="45" xfId="2" applyFont="1" applyBorder="1" applyAlignment="1">
      <alignment horizontal="center" vertical="center"/>
    </xf>
    <xf numFmtId="167" fontId="7" fillId="0" borderId="42" xfId="2" applyFont="1" applyBorder="1" applyAlignment="1">
      <alignment horizontal="center" vertical="center"/>
    </xf>
    <xf numFmtId="167" fontId="7" fillId="0" borderId="43" xfId="2" applyFont="1" applyBorder="1" applyAlignment="1">
      <alignment horizontal="center" vertical="center"/>
    </xf>
    <xf numFmtId="167" fontId="7" fillId="0" borderId="68" xfId="2" applyFont="1" applyBorder="1" applyAlignment="1">
      <alignment horizontal="center" vertical="center"/>
    </xf>
    <xf numFmtId="167" fontId="7" fillId="0" borderId="40" xfId="2" applyFont="1" applyBorder="1" applyAlignment="1">
      <alignment horizontal="center" vertical="center"/>
    </xf>
    <xf numFmtId="167" fontId="7" fillId="0" borderId="41" xfId="2" applyFont="1" applyBorder="1" applyAlignment="1">
      <alignment horizontal="center" vertical="center"/>
    </xf>
    <xf numFmtId="10" fontId="15" fillId="6" borderId="36" xfId="0" applyNumberFormat="1" applyFont="1" applyFill="1" applyBorder="1" applyAlignment="1">
      <alignment horizontal="center" vertical="center" wrapText="1"/>
    </xf>
    <xf numFmtId="167" fontId="9" fillId="11" borderId="26" xfId="2" applyFill="1" applyBorder="1" applyAlignment="1">
      <alignment horizontal="center" vertical="center"/>
    </xf>
    <xf numFmtId="167" fontId="9" fillId="11" borderId="31" xfId="2" applyFill="1" applyBorder="1" applyAlignment="1">
      <alignment horizontal="center" vertical="center"/>
    </xf>
    <xf numFmtId="167" fontId="9" fillId="11" borderId="36" xfId="2" applyFill="1" applyBorder="1" applyAlignment="1">
      <alignment horizontal="center" vertical="center"/>
    </xf>
    <xf numFmtId="8" fontId="0" fillId="10" borderId="0" xfId="0" applyNumberFormat="1" applyFill="1"/>
    <xf numFmtId="0" fontId="0" fillId="2" borderId="0" xfId="0" quotePrefix="1" applyFill="1"/>
    <xf numFmtId="0" fontId="0" fillId="0" borderId="187" xfId="0" applyBorder="1" applyAlignment="1">
      <alignment horizontal="center" vertical="center" wrapText="1"/>
    </xf>
    <xf numFmtId="0" fontId="0" fillId="0" borderId="191" xfId="0" applyBorder="1" applyAlignment="1">
      <alignment horizontal="center" vertical="center" wrapText="1"/>
    </xf>
    <xf numFmtId="0" fontId="45" fillId="47" borderId="65" xfId="0" applyFont="1" applyFill="1" applyBorder="1" applyAlignment="1">
      <alignment horizontal="center" vertical="center"/>
    </xf>
    <xf numFmtId="0" fontId="45" fillId="47" borderId="66" xfId="0" applyFont="1" applyFill="1" applyBorder="1" applyAlignment="1">
      <alignment horizontal="center" vertical="center"/>
    </xf>
    <xf numFmtId="0" fontId="45" fillId="47" borderId="53" xfId="0" applyFont="1" applyFill="1" applyBorder="1" applyAlignment="1">
      <alignment horizontal="center" vertical="center"/>
    </xf>
    <xf numFmtId="0" fontId="0" fillId="0" borderId="192" xfId="0" applyBorder="1" applyAlignment="1">
      <alignment horizontal="center" vertical="center" wrapText="1"/>
    </xf>
    <xf numFmtId="0" fontId="0" fillId="0" borderId="193" xfId="0" applyBorder="1" applyAlignment="1">
      <alignment horizontal="center" vertical="center" wrapText="1"/>
    </xf>
    <xf numFmtId="0" fontId="0" fillId="15" borderId="2" xfId="0" applyFill="1" applyBorder="1" applyAlignment="1">
      <alignment horizontal="center" vertical="center" wrapText="1"/>
    </xf>
    <xf numFmtId="0" fontId="0" fillId="15" borderId="6" xfId="0" applyFill="1" applyBorder="1" applyAlignment="1">
      <alignment horizontal="center" vertical="center" wrapText="1"/>
    </xf>
    <xf numFmtId="0" fontId="0" fillId="0" borderId="186" xfId="0" applyBorder="1" applyAlignment="1">
      <alignment horizontal="center" vertical="center" wrapText="1"/>
    </xf>
    <xf numFmtId="0" fontId="0" fillId="0" borderId="190" xfId="0" applyBorder="1" applyAlignment="1">
      <alignment horizontal="center" vertical="center" wrapText="1"/>
    </xf>
    <xf numFmtId="0" fontId="0" fillId="0" borderId="195" xfId="0" applyBorder="1" applyAlignment="1">
      <alignment horizontal="center" vertical="center" wrapText="1"/>
    </xf>
    <xf numFmtId="0" fontId="0" fillId="0" borderId="194" xfId="0" applyBorder="1" applyAlignment="1">
      <alignment horizontal="center" vertical="center" wrapText="1"/>
    </xf>
    <xf numFmtId="0" fontId="45" fillId="46" borderId="65" xfId="0" applyFont="1" applyFill="1" applyBorder="1" applyAlignment="1">
      <alignment horizontal="center" vertical="center"/>
    </xf>
    <xf numFmtId="0" fontId="45" fillId="46" borderId="66" xfId="0" applyFont="1" applyFill="1" applyBorder="1" applyAlignment="1">
      <alignment horizontal="center" vertical="center"/>
    </xf>
    <xf numFmtId="0" fontId="45" fillId="46" borderId="53" xfId="0" applyFont="1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 wrapText="1"/>
    </xf>
    <xf numFmtId="0" fontId="0" fillId="13" borderId="6" xfId="0" applyFill="1" applyBorder="1" applyAlignment="1">
      <alignment horizontal="center" vertical="center" wrapText="1"/>
    </xf>
    <xf numFmtId="0" fontId="0" fillId="0" borderId="180" xfId="0" applyBorder="1" applyAlignment="1">
      <alignment horizontal="center" vertical="center" wrapText="1"/>
    </xf>
    <xf numFmtId="0" fontId="0" fillId="0" borderId="183" xfId="0" applyBorder="1" applyAlignment="1">
      <alignment horizontal="center" vertical="center" wrapText="1"/>
    </xf>
    <xf numFmtId="0" fontId="0" fillId="0" borderId="18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" fillId="2" borderId="50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5" borderId="2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0" fillId="0" borderId="6" xfId="0" applyBorder="1"/>
    <xf numFmtId="0" fontId="7" fillId="0" borderId="2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26" fillId="2" borderId="0" xfId="1" applyFont="1" applyFill="1" applyAlignment="1" applyProtection="1">
      <alignment horizontal="center" vertical="center"/>
    </xf>
    <xf numFmtId="0" fontId="27" fillId="2" borderId="0" xfId="1" applyFont="1" applyFill="1" applyAlignment="1" applyProtection="1">
      <alignment horizontal="center" vertical="center"/>
    </xf>
    <xf numFmtId="0" fontId="28" fillId="19" borderId="45" xfId="0" applyFont="1" applyFill="1" applyBorder="1" applyAlignment="1">
      <alignment horizontal="center" vertical="center"/>
    </xf>
    <xf numFmtId="0" fontId="28" fillId="19" borderId="16" xfId="0" applyFont="1" applyFill="1" applyBorder="1" applyAlignment="1">
      <alignment horizontal="center" vertical="center"/>
    </xf>
    <xf numFmtId="0" fontId="28" fillId="19" borderId="47" xfId="0" applyFont="1" applyFill="1" applyBorder="1" applyAlignment="1">
      <alignment horizontal="center" vertical="center"/>
    </xf>
    <xf numFmtId="0" fontId="28" fillId="20" borderId="55" xfId="0" applyFont="1" applyFill="1" applyBorder="1" applyAlignment="1">
      <alignment horizontal="center" vertical="center"/>
    </xf>
    <xf numFmtId="0" fontId="28" fillId="20" borderId="56" xfId="0" applyFont="1" applyFill="1" applyBorder="1" applyAlignment="1">
      <alignment horizontal="center" vertical="center"/>
    </xf>
    <xf numFmtId="0" fontId="28" fillId="20" borderId="57" xfId="0" applyFont="1" applyFill="1" applyBorder="1" applyAlignment="1">
      <alignment horizontal="center" vertical="center"/>
    </xf>
    <xf numFmtId="0" fontId="20" fillId="21" borderId="58" xfId="0" applyFont="1" applyFill="1" applyBorder="1" applyAlignment="1">
      <alignment horizontal="center" vertical="center"/>
    </xf>
    <xf numFmtId="0" fontId="20" fillId="21" borderId="59" xfId="0" applyFont="1" applyFill="1" applyBorder="1" applyAlignment="1">
      <alignment horizontal="center" vertical="center"/>
    </xf>
    <xf numFmtId="0" fontId="20" fillId="21" borderId="60" xfId="0" applyFont="1" applyFill="1" applyBorder="1" applyAlignment="1">
      <alignment horizontal="center" vertical="center"/>
    </xf>
    <xf numFmtId="0" fontId="20" fillId="21" borderId="61" xfId="0" applyFont="1" applyFill="1" applyBorder="1" applyAlignment="1">
      <alignment horizontal="center" vertical="center"/>
    </xf>
    <xf numFmtId="0" fontId="20" fillId="21" borderId="62" xfId="0" applyFont="1" applyFill="1" applyBorder="1" applyAlignment="1">
      <alignment horizontal="center" vertical="center"/>
    </xf>
    <xf numFmtId="0" fontId="20" fillId="21" borderId="63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17" borderId="2" xfId="0" applyFill="1" applyBorder="1" applyAlignment="1">
      <alignment horizontal="center" vertical="center" wrapText="1"/>
    </xf>
    <xf numFmtId="0" fontId="0" fillId="17" borderId="6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6" xfId="0" applyFill="1" applyBorder="1" applyAlignment="1">
      <alignment horizontal="center" vertical="center" wrapText="1"/>
    </xf>
    <xf numFmtId="0" fontId="28" fillId="36" borderId="45" xfId="0" applyFont="1" applyFill="1" applyBorder="1" applyAlignment="1">
      <alignment horizontal="center" vertical="center"/>
    </xf>
    <xf numFmtId="0" fontId="28" fillId="36" borderId="47" xfId="0" applyFont="1" applyFill="1" applyBorder="1" applyAlignment="1">
      <alignment horizontal="center" vertical="center"/>
    </xf>
    <xf numFmtId="0" fontId="28" fillId="36" borderId="42" xfId="0" applyFont="1" applyFill="1" applyBorder="1" applyAlignment="1">
      <alignment horizontal="center" vertical="center"/>
    </xf>
    <xf numFmtId="0" fontId="28" fillId="36" borderId="48" xfId="0" applyFont="1" applyFill="1" applyBorder="1" applyAlignment="1">
      <alignment horizontal="center" vertical="center"/>
    </xf>
    <xf numFmtId="0" fontId="28" fillId="36" borderId="43" xfId="0" applyFont="1" applyFill="1" applyBorder="1" applyAlignment="1">
      <alignment horizontal="center" vertical="center"/>
    </xf>
    <xf numFmtId="0" fontId="28" fillId="36" borderId="49" xfId="0" applyFont="1" applyFill="1" applyBorder="1" applyAlignment="1">
      <alignment horizontal="center" vertical="center"/>
    </xf>
    <xf numFmtId="167" fontId="12" fillId="21" borderId="45" xfId="2" applyFont="1" applyFill="1" applyBorder="1" applyAlignment="1">
      <alignment horizontal="center" vertical="center"/>
    </xf>
    <xf numFmtId="167" fontId="12" fillId="21" borderId="16" xfId="2" applyFont="1" applyFill="1" applyBorder="1" applyAlignment="1">
      <alignment horizontal="center" vertical="center"/>
    </xf>
    <xf numFmtId="167" fontId="12" fillId="21" borderId="77" xfId="2" applyFont="1" applyFill="1" applyBorder="1" applyAlignment="1">
      <alignment horizontal="center" vertical="center"/>
    </xf>
    <xf numFmtId="167" fontId="12" fillId="21" borderId="42" xfId="2" applyFont="1" applyFill="1" applyBorder="1" applyAlignment="1">
      <alignment horizontal="center" vertical="center"/>
    </xf>
    <xf numFmtId="167" fontId="12" fillId="21" borderId="0" xfId="2" applyFont="1" applyFill="1" applyAlignment="1">
      <alignment horizontal="center" vertical="center"/>
    </xf>
    <xf numFmtId="167" fontId="12" fillId="21" borderId="79" xfId="2" applyFont="1" applyFill="1" applyBorder="1" applyAlignment="1">
      <alignment horizontal="center" vertical="center"/>
    </xf>
    <xf numFmtId="167" fontId="12" fillId="21" borderId="43" xfId="2" applyFont="1" applyFill="1" applyBorder="1" applyAlignment="1">
      <alignment horizontal="center" vertical="center"/>
    </xf>
    <xf numFmtId="167" fontId="12" fillId="21" borderId="39" xfId="2" applyFont="1" applyFill="1" applyBorder="1" applyAlignment="1">
      <alignment horizontal="center" vertical="center"/>
    </xf>
    <xf numFmtId="167" fontId="12" fillId="21" borderId="81" xfId="2" applyFont="1" applyFill="1" applyBorder="1" applyAlignment="1">
      <alignment horizontal="center" vertical="center"/>
    </xf>
    <xf numFmtId="0" fontId="38" fillId="21" borderId="45" xfId="0" applyFont="1" applyFill="1" applyBorder="1" applyAlignment="1">
      <alignment horizontal="center" vertical="center"/>
    </xf>
    <xf numFmtId="0" fontId="38" fillId="21" borderId="16" xfId="0" applyFont="1" applyFill="1" applyBorder="1" applyAlignment="1">
      <alignment horizontal="center" vertical="center"/>
    </xf>
    <xf numFmtId="0" fontId="38" fillId="21" borderId="77" xfId="0" applyFont="1" applyFill="1" applyBorder="1" applyAlignment="1">
      <alignment horizontal="center" vertical="center"/>
    </xf>
    <xf numFmtId="0" fontId="38" fillId="21" borderId="42" xfId="0" applyFont="1" applyFill="1" applyBorder="1" applyAlignment="1">
      <alignment horizontal="center" vertical="center"/>
    </xf>
    <xf numFmtId="0" fontId="38" fillId="21" borderId="0" xfId="0" applyFont="1" applyFill="1" applyAlignment="1">
      <alignment horizontal="center" vertical="center"/>
    </xf>
    <xf numFmtId="0" fontId="38" fillId="21" borderId="79" xfId="0" applyFont="1" applyFill="1" applyBorder="1" applyAlignment="1">
      <alignment horizontal="center" vertical="center"/>
    </xf>
    <xf numFmtId="0" fontId="38" fillId="21" borderId="43" xfId="0" applyFont="1" applyFill="1" applyBorder="1" applyAlignment="1">
      <alignment horizontal="center" vertical="center"/>
    </xf>
    <xf numFmtId="0" fontId="38" fillId="21" borderId="39" xfId="0" applyFont="1" applyFill="1" applyBorder="1" applyAlignment="1">
      <alignment horizontal="center" vertical="center"/>
    </xf>
    <xf numFmtId="0" fontId="38" fillId="21" borderId="81" xfId="0" applyFont="1" applyFill="1" applyBorder="1" applyAlignment="1">
      <alignment horizontal="center" vertical="center"/>
    </xf>
    <xf numFmtId="0" fontId="38" fillId="35" borderId="76" xfId="0" applyFont="1" applyFill="1" applyBorder="1" applyAlignment="1">
      <alignment horizontal="center" vertical="center"/>
    </xf>
    <xf numFmtId="0" fontId="38" fillId="35" borderId="16" xfId="0" applyFont="1" applyFill="1" applyBorder="1" applyAlignment="1">
      <alignment horizontal="center" vertical="center"/>
    </xf>
    <xf numFmtId="0" fontId="38" fillId="35" borderId="77" xfId="0" applyFont="1" applyFill="1" applyBorder="1" applyAlignment="1">
      <alignment horizontal="center" vertical="center"/>
    </xf>
    <xf numFmtId="0" fontId="38" fillId="35" borderId="78" xfId="0" applyFont="1" applyFill="1" applyBorder="1" applyAlignment="1">
      <alignment horizontal="center" vertical="center"/>
    </xf>
    <xf numFmtId="0" fontId="38" fillId="35" borderId="0" xfId="0" applyFont="1" applyFill="1" applyAlignment="1">
      <alignment horizontal="center" vertical="center"/>
    </xf>
    <xf numFmtId="0" fontId="38" fillId="35" borderId="79" xfId="0" applyFont="1" applyFill="1" applyBorder="1" applyAlignment="1">
      <alignment horizontal="center" vertical="center"/>
    </xf>
    <xf numFmtId="0" fontId="38" fillId="35" borderId="80" xfId="0" applyFont="1" applyFill="1" applyBorder="1" applyAlignment="1">
      <alignment horizontal="center" vertical="center"/>
    </xf>
    <xf numFmtId="0" fontId="38" fillId="35" borderId="39" xfId="0" applyFont="1" applyFill="1" applyBorder="1" applyAlignment="1">
      <alignment horizontal="center" vertical="center"/>
    </xf>
    <xf numFmtId="0" fontId="38" fillId="35" borderId="81" xfId="0" applyFont="1" applyFill="1" applyBorder="1" applyAlignment="1">
      <alignment horizontal="center" vertical="center"/>
    </xf>
    <xf numFmtId="167" fontId="12" fillId="35" borderId="76" xfId="2" applyFont="1" applyFill="1" applyBorder="1" applyAlignment="1">
      <alignment horizontal="center" vertical="center"/>
    </xf>
    <xf numFmtId="167" fontId="12" fillId="35" borderId="16" xfId="2" applyFont="1" applyFill="1" applyBorder="1" applyAlignment="1">
      <alignment horizontal="center" vertical="center"/>
    </xf>
    <xf numFmtId="167" fontId="12" fillId="35" borderId="77" xfId="2" applyFont="1" applyFill="1" applyBorder="1" applyAlignment="1">
      <alignment horizontal="center" vertical="center"/>
    </xf>
    <xf numFmtId="167" fontId="12" fillId="35" borderId="78" xfId="2" applyFont="1" applyFill="1" applyBorder="1" applyAlignment="1">
      <alignment horizontal="center" vertical="center"/>
    </xf>
    <xf numFmtId="167" fontId="12" fillId="35" borderId="0" xfId="2" applyFont="1" applyFill="1" applyAlignment="1">
      <alignment horizontal="center" vertical="center"/>
    </xf>
    <xf numFmtId="167" fontId="12" fillId="35" borderId="79" xfId="2" applyFont="1" applyFill="1" applyBorder="1" applyAlignment="1">
      <alignment horizontal="center" vertical="center"/>
    </xf>
    <xf numFmtId="167" fontId="12" fillId="35" borderId="80" xfId="2" applyFont="1" applyFill="1" applyBorder="1" applyAlignment="1">
      <alignment horizontal="center" vertical="center"/>
    </xf>
    <xf numFmtId="167" fontId="12" fillId="35" borderId="39" xfId="2" applyFont="1" applyFill="1" applyBorder="1" applyAlignment="1">
      <alignment horizontal="center" vertical="center"/>
    </xf>
    <xf numFmtId="167" fontId="12" fillId="35" borderId="81" xfId="2" applyFont="1" applyFill="1" applyBorder="1" applyAlignment="1">
      <alignment horizontal="center" vertical="center"/>
    </xf>
    <xf numFmtId="0" fontId="28" fillId="36" borderId="45" xfId="0" applyFont="1" applyFill="1" applyBorder="1" applyAlignment="1">
      <alignment horizontal="center" vertical="center" wrapText="1"/>
    </xf>
    <xf numFmtId="0" fontId="28" fillId="36" borderId="47" xfId="0" applyFont="1" applyFill="1" applyBorder="1" applyAlignment="1">
      <alignment horizontal="center" vertical="center" wrapText="1"/>
    </xf>
    <xf numFmtId="0" fontId="28" fillId="36" borderId="42" xfId="0" applyFont="1" applyFill="1" applyBorder="1" applyAlignment="1">
      <alignment horizontal="center" vertical="center" wrapText="1"/>
    </xf>
    <xf numFmtId="0" fontId="28" fillId="36" borderId="48" xfId="0" applyFont="1" applyFill="1" applyBorder="1" applyAlignment="1">
      <alignment horizontal="center" vertical="center" wrapText="1"/>
    </xf>
    <xf numFmtId="0" fontId="28" fillId="36" borderId="43" xfId="0" applyFont="1" applyFill="1" applyBorder="1" applyAlignment="1">
      <alignment horizontal="center" vertical="center" wrapText="1"/>
    </xf>
    <xf numFmtId="0" fontId="28" fillId="36" borderId="49" xfId="0" applyFont="1" applyFill="1" applyBorder="1" applyAlignment="1">
      <alignment horizontal="center" vertical="center" wrapText="1"/>
    </xf>
    <xf numFmtId="167" fontId="12" fillId="21" borderId="76" xfId="2" applyFont="1" applyFill="1" applyBorder="1" applyAlignment="1">
      <alignment horizontal="center" vertical="center"/>
    </xf>
    <xf numFmtId="167" fontId="12" fillId="21" borderId="78" xfId="2" applyFont="1" applyFill="1" applyBorder="1" applyAlignment="1">
      <alignment horizontal="center" vertical="center"/>
    </xf>
    <xf numFmtId="167" fontId="12" fillId="21" borderId="80" xfId="2" applyFont="1" applyFill="1" applyBorder="1" applyAlignment="1">
      <alignment horizontal="center" vertical="center"/>
    </xf>
    <xf numFmtId="167" fontId="12" fillId="35" borderId="47" xfId="2" applyFont="1" applyFill="1" applyBorder="1" applyAlignment="1">
      <alignment horizontal="center" vertical="center"/>
    </xf>
    <xf numFmtId="167" fontId="12" fillId="35" borderId="48" xfId="2" applyFont="1" applyFill="1" applyBorder="1" applyAlignment="1">
      <alignment horizontal="center" vertical="center"/>
    </xf>
    <xf numFmtId="167" fontId="12" fillId="35" borderId="49" xfId="2" applyFont="1" applyFill="1" applyBorder="1" applyAlignment="1">
      <alignment horizontal="center" vertical="center"/>
    </xf>
    <xf numFmtId="0" fontId="40" fillId="36" borderId="45" xfId="0" applyFont="1" applyFill="1" applyBorder="1" applyAlignment="1">
      <alignment horizontal="center" vertical="center"/>
    </xf>
    <xf numFmtId="0" fontId="40" fillId="36" borderId="16" xfId="0" applyFont="1" applyFill="1" applyBorder="1" applyAlignment="1">
      <alignment horizontal="center" vertical="center"/>
    </xf>
    <xf numFmtId="0" fontId="40" fillId="36" borderId="47" xfId="0" applyFont="1" applyFill="1" applyBorder="1" applyAlignment="1">
      <alignment horizontal="center" vertical="center"/>
    </xf>
    <xf numFmtId="0" fontId="40" fillId="36" borderId="43" xfId="0" applyFont="1" applyFill="1" applyBorder="1" applyAlignment="1">
      <alignment horizontal="center" vertical="center"/>
    </xf>
    <xf numFmtId="0" fontId="40" fillId="36" borderId="39" xfId="0" applyFont="1" applyFill="1" applyBorder="1" applyAlignment="1">
      <alignment horizontal="center" vertical="center"/>
    </xf>
    <xf numFmtId="0" fontId="40" fillId="36" borderId="49" xfId="0" applyFont="1" applyFill="1" applyBorder="1" applyAlignment="1">
      <alignment horizontal="center" vertical="center"/>
    </xf>
    <xf numFmtId="0" fontId="39" fillId="36" borderId="45" xfId="0" applyFont="1" applyFill="1" applyBorder="1" applyAlignment="1">
      <alignment horizontal="center" vertical="center"/>
    </xf>
    <xf numFmtId="0" fontId="39" fillId="36" borderId="16" xfId="0" applyFont="1" applyFill="1" applyBorder="1" applyAlignment="1">
      <alignment horizontal="center" vertical="center"/>
    </xf>
    <xf numFmtId="0" fontId="39" fillId="36" borderId="47" xfId="0" applyFont="1" applyFill="1" applyBorder="1" applyAlignment="1">
      <alignment horizontal="center" vertical="center"/>
    </xf>
    <xf numFmtId="0" fontId="39" fillId="36" borderId="42" xfId="0" applyFont="1" applyFill="1" applyBorder="1" applyAlignment="1">
      <alignment horizontal="center" vertical="center"/>
    </xf>
    <xf numFmtId="0" fontId="39" fillId="36" borderId="0" xfId="0" applyFont="1" applyFill="1" applyAlignment="1">
      <alignment horizontal="center" vertical="center"/>
    </xf>
    <xf numFmtId="0" fontId="39" fillId="36" borderId="48" xfId="0" applyFont="1" applyFill="1" applyBorder="1" applyAlignment="1">
      <alignment horizontal="center" vertical="center"/>
    </xf>
    <xf numFmtId="0" fontId="39" fillId="36" borderId="43" xfId="0" applyFont="1" applyFill="1" applyBorder="1" applyAlignment="1">
      <alignment horizontal="center" vertical="center"/>
    </xf>
    <xf numFmtId="0" fontId="39" fillId="36" borderId="39" xfId="0" applyFont="1" applyFill="1" applyBorder="1" applyAlignment="1">
      <alignment horizontal="center" vertical="center"/>
    </xf>
    <xf numFmtId="0" fontId="39" fillId="36" borderId="49" xfId="0" applyFont="1" applyFill="1" applyBorder="1" applyAlignment="1">
      <alignment horizontal="center" vertical="center"/>
    </xf>
    <xf numFmtId="0" fontId="39" fillId="36" borderId="45" xfId="0" applyFont="1" applyFill="1" applyBorder="1" applyAlignment="1">
      <alignment horizontal="center" vertical="center" wrapText="1"/>
    </xf>
    <xf numFmtId="0" fontId="39" fillId="36" borderId="16" xfId="0" applyFont="1" applyFill="1" applyBorder="1" applyAlignment="1">
      <alignment horizontal="center" vertical="center" wrapText="1"/>
    </xf>
    <xf numFmtId="0" fontId="39" fillId="36" borderId="47" xfId="0" applyFont="1" applyFill="1" applyBorder="1" applyAlignment="1">
      <alignment horizontal="center" vertical="center" wrapText="1"/>
    </xf>
    <xf numFmtId="0" fontId="39" fillId="36" borderId="42" xfId="0" applyFont="1" applyFill="1" applyBorder="1" applyAlignment="1">
      <alignment horizontal="center" vertical="center" wrapText="1"/>
    </xf>
    <xf numFmtId="0" fontId="39" fillId="36" borderId="0" xfId="0" applyFont="1" applyFill="1" applyAlignment="1">
      <alignment horizontal="center" vertical="center" wrapText="1"/>
    </xf>
    <xf numFmtId="0" fontId="39" fillId="36" borderId="48" xfId="0" applyFont="1" applyFill="1" applyBorder="1" applyAlignment="1">
      <alignment horizontal="center" vertical="center" wrapText="1"/>
    </xf>
    <xf numFmtId="0" fontId="39" fillId="36" borderId="43" xfId="0" applyFont="1" applyFill="1" applyBorder="1" applyAlignment="1">
      <alignment horizontal="center" vertical="center" wrapText="1"/>
    </xf>
    <xf numFmtId="0" fontId="39" fillId="36" borderId="39" xfId="0" applyFont="1" applyFill="1" applyBorder="1" applyAlignment="1">
      <alignment horizontal="center" vertical="center" wrapText="1"/>
    </xf>
    <xf numFmtId="0" fontId="39" fillId="36" borderId="49" xfId="0" applyFont="1" applyFill="1" applyBorder="1" applyAlignment="1">
      <alignment horizontal="center" vertical="center" wrapText="1"/>
    </xf>
    <xf numFmtId="0" fontId="0" fillId="36" borderId="16" xfId="0" applyFill="1" applyBorder="1" applyAlignment="1">
      <alignment horizontal="center"/>
    </xf>
    <xf numFmtId="0" fontId="0" fillId="36" borderId="47" xfId="0" applyFill="1" applyBorder="1" applyAlignment="1">
      <alignment horizontal="center"/>
    </xf>
    <xf numFmtId="0" fontId="0" fillId="36" borderId="0" xfId="0" applyFill="1" applyAlignment="1">
      <alignment horizontal="center"/>
    </xf>
    <xf numFmtId="0" fontId="0" fillId="36" borderId="48" xfId="0" applyFill="1" applyBorder="1" applyAlignment="1">
      <alignment horizontal="center"/>
    </xf>
    <xf numFmtId="0" fontId="0" fillId="36" borderId="39" xfId="0" applyFill="1" applyBorder="1" applyAlignment="1">
      <alignment horizontal="center"/>
    </xf>
    <xf numFmtId="0" fontId="0" fillId="36" borderId="49" xfId="0" applyFill="1" applyBorder="1" applyAlignment="1">
      <alignment horizontal="center"/>
    </xf>
    <xf numFmtId="0" fontId="38" fillId="21" borderId="76" xfId="0" applyFont="1" applyFill="1" applyBorder="1" applyAlignment="1">
      <alignment horizontal="center" vertical="center"/>
    </xf>
    <xf numFmtId="0" fontId="38" fillId="21" borderId="78" xfId="0" applyFont="1" applyFill="1" applyBorder="1" applyAlignment="1">
      <alignment horizontal="center" vertical="center"/>
    </xf>
    <xf numFmtId="0" fontId="38" fillId="21" borderId="80" xfId="0" applyFont="1" applyFill="1" applyBorder="1" applyAlignment="1">
      <alignment horizontal="center" vertical="center"/>
    </xf>
    <xf numFmtId="0" fontId="38" fillId="35" borderId="47" xfId="0" applyFont="1" applyFill="1" applyBorder="1" applyAlignment="1">
      <alignment horizontal="center" vertical="center"/>
    </xf>
    <xf numFmtId="0" fontId="38" fillId="35" borderId="48" xfId="0" applyFont="1" applyFill="1" applyBorder="1" applyAlignment="1">
      <alignment horizontal="center" vertical="center"/>
    </xf>
    <xf numFmtId="0" fontId="38" fillId="35" borderId="49" xfId="0" applyFont="1" applyFill="1" applyBorder="1" applyAlignment="1">
      <alignment horizontal="center" vertical="center"/>
    </xf>
    <xf numFmtId="167" fontId="12" fillId="21" borderId="45" xfId="0" applyNumberFormat="1" applyFont="1" applyFill="1" applyBorder="1" applyAlignment="1">
      <alignment horizontal="center" vertical="center"/>
    </xf>
    <xf numFmtId="0" fontId="12" fillId="21" borderId="16" xfId="0" applyFont="1" applyFill="1" applyBorder="1" applyAlignment="1">
      <alignment horizontal="center" vertical="center"/>
    </xf>
    <xf numFmtId="0" fontId="12" fillId="21" borderId="47" xfId="0" applyFont="1" applyFill="1" applyBorder="1" applyAlignment="1">
      <alignment horizontal="center" vertical="center"/>
    </xf>
    <xf numFmtId="0" fontId="12" fillId="21" borderId="42" xfId="0" applyFont="1" applyFill="1" applyBorder="1" applyAlignment="1">
      <alignment horizontal="center" vertical="center"/>
    </xf>
    <xf numFmtId="0" fontId="12" fillId="21" borderId="0" xfId="0" applyFont="1" applyFill="1" applyAlignment="1">
      <alignment horizontal="center" vertical="center"/>
    </xf>
    <xf numFmtId="0" fontId="12" fillId="21" borderId="48" xfId="0" applyFont="1" applyFill="1" applyBorder="1" applyAlignment="1">
      <alignment horizontal="center" vertical="center"/>
    </xf>
    <xf numFmtId="0" fontId="12" fillId="21" borderId="43" xfId="0" applyFont="1" applyFill="1" applyBorder="1" applyAlignment="1">
      <alignment horizontal="center" vertical="center"/>
    </xf>
    <xf numFmtId="0" fontId="12" fillId="21" borderId="39" xfId="0" applyFont="1" applyFill="1" applyBorder="1" applyAlignment="1">
      <alignment horizontal="center" vertical="center"/>
    </xf>
    <xf numFmtId="0" fontId="12" fillId="21" borderId="49" xfId="0" applyFont="1" applyFill="1" applyBorder="1" applyAlignment="1">
      <alignment horizontal="center" vertical="center"/>
    </xf>
    <xf numFmtId="167" fontId="12" fillId="21" borderId="47" xfId="2" applyFont="1" applyFill="1" applyBorder="1" applyAlignment="1">
      <alignment horizontal="center" vertical="center"/>
    </xf>
    <xf numFmtId="167" fontId="12" fillId="21" borderId="48" xfId="2" applyFont="1" applyFill="1" applyBorder="1" applyAlignment="1">
      <alignment horizontal="center" vertical="center"/>
    </xf>
    <xf numFmtId="167" fontId="12" fillId="21" borderId="49" xfId="2" applyFont="1" applyFill="1" applyBorder="1" applyAlignment="1">
      <alignment horizontal="center" vertical="center"/>
    </xf>
    <xf numFmtId="0" fontId="11" fillId="2" borderId="33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0" fontId="2" fillId="16" borderId="51" xfId="0" applyNumberFormat="1" applyFont="1" applyFill="1" applyBorder="1" applyAlignment="1">
      <alignment horizontal="center" vertical="center"/>
    </xf>
    <xf numFmtId="10" fontId="2" fillId="16" borderId="52" xfId="0" applyNumberFormat="1" applyFont="1" applyFill="1" applyBorder="1" applyAlignment="1">
      <alignment horizontal="center" vertical="center"/>
    </xf>
    <xf numFmtId="0" fontId="28" fillId="19" borderId="65" xfId="0" applyFont="1" applyFill="1" applyBorder="1" applyAlignment="1">
      <alignment horizontal="center" vertical="center"/>
    </xf>
    <xf numFmtId="0" fontId="28" fillId="19" borderId="66" xfId="0" applyFont="1" applyFill="1" applyBorder="1" applyAlignment="1">
      <alignment horizontal="center" vertical="center"/>
    </xf>
    <xf numFmtId="0" fontId="28" fillId="19" borderId="53" xfId="0" applyFont="1" applyFill="1" applyBorder="1" applyAlignment="1">
      <alignment horizontal="center" vertical="center"/>
    </xf>
    <xf numFmtId="0" fontId="17" fillId="11" borderId="45" xfId="0" applyFont="1" applyFill="1" applyBorder="1" applyAlignment="1">
      <alignment horizontal="center" vertical="center"/>
    </xf>
    <xf numFmtId="0" fontId="17" fillId="11" borderId="16" xfId="0" applyFont="1" applyFill="1" applyBorder="1" applyAlignment="1">
      <alignment horizontal="center" vertical="center"/>
    </xf>
    <xf numFmtId="0" fontId="17" fillId="11" borderId="47" xfId="0" applyFont="1" applyFill="1" applyBorder="1" applyAlignment="1">
      <alignment horizontal="center" vertical="center"/>
    </xf>
    <xf numFmtId="0" fontId="17" fillId="11" borderId="42" xfId="0" applyFont="1" applyFill="1" applyBorder="1" applyAlignment="1">
      <alignment horizontal="center" vertical="center"/>
    </xf>
    <xf numFmtId="0" fontId="17" fillId="11" borderId="0" xfId="0" applyFont="1" applyFill="1" applyBorder="1" applyAlignment="1">
      <alignment horizontal="center" vertical="center"/>
    </xf>
    <xf numFmtId="0" fontId="17" fillId="11" borderId="48" xfId="0" applyFont="1" applyFill="1" applyBorder="1" applyAlignment="1">
      <alignment horizontal="center" vertical="center"/>
    </xf>
    <xf numFmtId="0" fontId="17" fillId="11" borderId="43" xfId="0" applyFont="1" applyFill="1" applyBorder="1" applyAlignment="1">
      <alignment horizontal="center" vertical="center"/>
    </xf>
    <xf numFmtId="0" fontId="17" fillId="11" borderId="39" xfId="0" applyFont="1" applyFill="1" applyBorder="1" applyAlignment="1">
      <alignment horizontal="center" vertical="center"/>
    </xf>
    <xf numFmtId="0" fontId="17" fillId="11" borderId="49" xfId="0" applyFont="1" applyFill="1" applyBorder="1" applyAlignment="1">
      <alignment horizontal="center" vertical="center"/>
    </xf>
    <xf numFmtId="0" fontId="15" fillId="12" borderId="28" xfId="0" applyFont="1" applyFill="1" applyBorder="1" applyAlignment="1">
      <alignment horizontal="center" vertical="center" wrapText="1"/>
    </xf>
    <xf numFmtId="0" fontId="15" fillId="12" borderId="33" xfId="0" applyFont="1" applyFill="1" applyBorder="1" applyAlignment="1">
      <alignment horizontal="center" vertical="center" wrapText="1"/>
    </xf>
    <xf numFmtId="0" fontId="15" fillId="12" borderId="38" xfId="0" applyFont="1" applyFill="1" applyBorder="1" applyAlignment="1">
      <alignment horizontal="center" vertical="center" wrapText="1"/>
    </xf>
    <xf numFmtId="0" fontId="29" fillId="9" borderId="45" xfId="0" applyFont="1" applyFill="1" applyBorder="1" applyAlignment="1">
      <alignment horizontal="center" vertical="center"/>
    </xf>
    <xf numFmtId="0" fontId="29" fillId="9" borderId="16" xfId="0" applyFont="1" applyFill="1" applyBorder="1" applyAlignment="1">
      <alignment horizontal="center" vertical="center"/>
    </xf>
    <xf numFmtId="0" fontId="29" fillId="9" borderId="47" xfId="0" applyFont="1" applyFill="1" applyBorder="1" applyAlignment="1">
      <alignment horizontal="center" vertical="center"/>
    </xf>
    <xf numFmtId="0" fontId="29" fillId="9" borderId="43" xfId="0" applyFont="1" applyFill="1" applyBorder="1" applyAlignment="1">
      <alignment horizontal="center" vertical="center"/>
    </xf>
    <xf numFmtId="0" fontId="29" fillId="9" borderId="39" xfId="0" applyFont="1" applyFill="1" applyBorder="1" applyAlignment="1">
      <alignment horizontal="center" vertical="center"/>
    </xf>
    <xf numFmtId="0" fontId="29" fillId="9" borderId="49" xfId="0" applyFont="1" applyFill="1" applyBorder="1" applyAlignment="1">
      <alignment horizontal="center" vertical="center"/>
    </xf>
    <xf numFmtId="0" fontId="15" fillId="12" borderId="26" xfId="0" applyFont="1" applyFill="1" applyBorder="1" applyAlignment="1">
      <alignment horizontal="center" vertical="center" wrapText="1"/>
    </xf>
    <xf numFmtId="0" fontId="15" fillId="12" borderId="31" xfId="0" applyFont="1" applyFill="1" applyBorder="1" applyAlignment="1">
      <alignment horizontal="center" vertical="center" wrapText="1"/>
    </xf>
    <xf numFmtId="0" fontId="14" fillId="23" borderId="42" xfId="0" applyFont="1" applyFill="1" applyBorder="1" applyAlignment="1">
      <alignment horizontal="center" vertical="center"/>
    </xf>
    <xf numFmtId="0" fontId="14" fillId="23" borderId="0" xfId="0" applyFont="1" applyFill="1" applyAlignment="1">
      <alignment horizontal="center" vertical="center"/>
    </xf>
    <xf numFmtId="0" fontId="14" fillId="23" borderId="43" xfId="0" applyFont="1" applyFill="1" applyBorder="1" applyAlignment="1">
      <alignment horizontal="center" vertical="center"/>
    </xf>
    <xf numFmtId="0" fontId="14" fillId="23" borderId="39" xfId="0" applyFont="1" applyFill="1" applyBorder="1" applyAlignment="1">
      <alignment horizontal="center" vertical="center"/>
    </xf>
    <xf numFmtId="167" fontId="16" fillId="22" borderId="64" xfId="0" applyNumberFormat="1" applyFont="1" applyFill="1" applyBorder="1" applyAlignment="1">
      <alignment horizontal="center" vertical="center"/>
    </xf>
    <xf numFmtId="167" fontId="16" fillId="22" borderId="16" xfId="0" applyNumberFormat="1" applyFont="1" applyFill="1" applyBorder="1" applyAlignment="1">
      <alignment horizontal="center" vertical="center"/>
    </xf>
    <xf numFmtId="167" fontId="16" fillId="22" borderId="67" xfId="0" applyNumberFormat="1" applyFont="1" applyFill="1" applyBorder="1" applyAlignment="1">
      <alignment horizontal="center" vertical="center"/>
    </xf>
    <xf numFmtId="167" fontId="16" fillId="22" borderId="39" xfId="0" applyNumberFormat="1" applyFont="1" applyFill="1" applyBorder="1" applyAlignment="1">
      <alignment horizontal="center" vertical="center"/>
    </xf>
    <xf numFmtId="0" fontId="15" fillId="12" borderId="36" xfId="0" applyFont="1" applyFill="1" applyBorder="1" applyAlignment="1">
      <alignment horizontal="center" vertical="center" wrapText="1"/>
    </xf>
    <xf numFmtId="0" fontId="14" fillId="24" borderId="45" xfId="0" applyFont="1" applyFill="1" applyBorder="1" applyAlignment="1">
      <alignment horizontal="center" vertical="center"/>
    </xf>
    <xf numFmtId="0" fontId="14" fillId="24" borderId="16" xfId="0" applyFont="1" applyFill="1" applyBorder="1" applyAlignment="1">
      <alignment horizontal="center" vertical="center"/>
    </xf>
    <xf numFmtId="0" fontId="14" fillId="24" borderId="43" xfId="0" applyFont="1" applyFill="1" applyBorder="1" applyAlignment="1">
      <alignment horizontal="center" vertical="center"/>
    </xf>
    <xf numFmtId="0" fontId="14" fillId="24" borderId="39" xfId="0" applyFont="1" applyFill="1" applyBorder="1" applyAlignment="1">
      <alignment horizontal="center" vertical="center"/>
    </xf>
    <xf numFmtId="0" fontId="16" fillId="22" borderId="16" xfId="0" applyFont="1" applyFill="1" applyBorder="1" applyAlignment="1">
      <alignment horizontal="center" vertical="center"/>
    </xf>
    <xf numFmtId="0" fontId="16" fillId="22" borderId="47" xfId="0" applyFont="1" applyFill="1" applyBorder="1" applyAlignment="1">
      <alignment horizontal="center" vertical="center"/>
    </xf>
    <xf numFmtId="0" fontId="16" fillId="22" borderId="67" xfId="0" applyFont="1" applyFill="1" applyBorder="1" applyAlignment="1">
      <alignment horizontal="center" vertical="center"/>
    </xf>
    <xf numFmtId="0" fontId="16" fillId="22" borderId="39" xfId="0" applyFont="1" applyFill="1" applyBorder="1" applyAlignment="1">
      <alignment horizontal="center" vertical="center"/>
    </xf>
    <xf numFmtId="0" fontId="16" fillId="22" borderId="49" xfId="0" applyFont="1" applyFill="1" applyBorder="1" applyAlignment="1">
      <alignment horizontal="center" vertical="center"/>
    </xf>
    <xf numFmtId="0" fontId="14" fillId="25" borderId="45" xfId="0" applyFont="1" applyFill="1" applyBorder="1" applyAlignment="1">
      <alignment horizontal="center" vertical="center"/>
    </xf>
    <xf numFmtId="0" fontId="14" fillId="25" borderId="16" xfId="0" applyFont="1" applyFill="1" applyBorder="1" applyAlignment="1">
      <alignment horizontal="center" vertical="center"/>
    </xf>
    <xf numFmtId="0" fontId="14" fillId="25" borderId="42" xfId="0" applyFont="1" applyFill="1" applyBorder="1" applyAlignment="1">
      <alignment horizontal="center" vertical="center"/>
    </xf>
    <xf numFmtId="0" fontId="14" fillId="25" borderId="0" xfId="0" applyFont="1" applyFill="1" applyAlignment="1">
      <alignment horizontal="center" vertical="center"/>
    </xf>
    <xf numFmtId="0" fontId="16" fillId="22" borderId="54" xfId="0" applyFont="1" applyFill="1" applyBorder="1" applyAlignment="1">
      <alignment horizontal="center" vertical="center"/>
    </xf>
    <xf numFmtId="0" fontId="16" fillId="22" borderId="0" xfId="0" applyFont="1" applyFill="1" applyAlignment="1">
      <alignment horizontal="center" vertical="center"/>
    </xf>
    <xf numFmtId="0" fontId="16" fillId="22" borderId="48" xfId="0" applyFont="1" applyFill="1" applyBorder="1" applyAlignment="1">
      <alignment horizontal="center" vertical="center"/>
    </xf>
    <xf numFmtId="0" fontId="15" fillId="12" borderId="46" xfId="0" applyFont="1" applyFill="1" applyBorder="1" applyAlignment="1">
      <alignment horizontal="center" vertical="center" wrapText="1"/>
    </xf>
    <xf numFmtId="0" fontId="15" fillId="12" borderId="29" xfId="0" applyFont="1" applyFill="1" applyBorder="1" applyAlignment="1">
      <alignment horizontal="center" vertical="center" wrapText="1"/>
    </xf>
    <xf numFmtId="0" fontId="15" fillId="12" borderId="34" xfId="0" applyFont="1" applyFill="1" applyBorder="1" applyAlignment="1">
      <alignment horizontal="center" vertical="center" wrapText="1"/>
    </xf>
    <xf numFmtId="0" fontId="15" fillId="12" borderId="47" xfId="0" applyFont="1" applyFill="1" applyBorder="1" applyAlignment="1">
      <alignment horizontal="center" vertical="center" wrapText="1"/>
    </xf>
    <xf numFmtId="0" fontId="15" fillId="12" borderId="48" xfId="0" applyFont="1" applyFill="1" applyBorder="1" applyAlignment="1">
      <alignment horizontal="center" vertical="center" wrapText="1"/>
    </xf>
    <xf numFmtId="0" fontId="15" fillId="12" borderId="49" xfId="0" applyFont="1" applyFill="1" applyBorder="1" applyAlignment="1">
      <alignment horizontal="center" vertical="center" wrapText="1"/>
    </xf>
    <xf numFmtId="0" fontId="15" fillId="12" borderId="68" xfId="0" applyFont="1" applyFill="1" applyBorder="1" applyAlignment="1">
      <alignment horizontal="center" vertical="center" wrapText="1"/>
    </xf>
    <xf numFmtId="0" fontId="15" fillId="12" borderId="40" xfId="0" applyFont="1" applyFill="1" applyBorder="1" applyAlignment="1">
      <alignment horizontal="center" vertical="center" wrapText="1"/>
    </xf>
    <xf numFmtId="0" fontId="15" fillId="12" borderId="41" xfId="0" applyFont="1" applyFill="1" applyBorder="1" applyAlignment="1">
      <alignment horizontal="center" vertical="center" wrapText="1"/>
    </xf>
    <xf numFmtId="0" fontId="3" fillId="5" borderId="45" xfId="0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0" fontId="3" fillId="5" borderId="42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43" xfId="0" applyFont="1" applyFill="1" applyBorder="1" applyAlignment="1">
      <alignment horizontal="center" vertical="center"/>
    </xf>
    <xf numFmtId="0" fontId="3" fillId="5" borderId="39" xfId="0" applyFont="1" applyFill="1" applyBorder="1" applyAlignment="1">
      <alignment horizontal="center" vertical="center"/>
    </xf>
    <xf numFmtId="167" fontId="16" fillId="22" borderId="54" xfId="0" applyNumberFormat="1" applyFont="1" applyFill="1" applyBorder="1" applyAlignment="1">
      <alignment horizontal="center" vertical="center"/>
    </xf>
    <xf numFmtId="0" fontId="29" fillId="20" borderId="65" xfId="0" applyFont="1" applyFill="1" applyBorder="1" applyAlignment="1">
      <alignment horizontal="center" vertical="center"/>
    </xf>
    <xf numFmtId="0" fontId="29" fillId="20" borderId="66" xfId="0" applyFont="1" applyFill="1" applyBorder="1" applyAlignment="1">
      <alignment horizontal="center" vertical="center"/>
    </xf>
    <xf numFmtId="0" fontId="29" fillId="20" borderId="53" xfId="0" applyFont="1" applyFill="1" applyBorder="1" applyAlignment="1">
      <alignment horizontal="center" vertical="center"/>
    </xf>
    <xf numFmtId="0" fontId="30" fillId="22" borderId="69" xfId="0" applyFont="1" applyFill="1" applyBorder="1" applyAlignment="1">
      <alignment horizontal="center" vertical="center"/>
    </xf>
    <xf numFmtId="0" fontId="30" fillId="22" borderId="70" xfId="0" applyFont="1" applyFill="1" applyBorder="1" applyAlignment="1">
      <alignment horizontal="center" vertical="center"/>
    </xf>
    <xf numFmtId="0" fontId="30" fillId="22" borderId="71" xfId="0" applyFont="1" applyFill="1" applyBorder="1" applyAlignment="1">
      <alignment horizontal="center" vertical="center"/>
    </xf>
    <xf numFmtId="0" fontId="30" fillId="22" borderId="72" xfId="0" applyFont="1" applyFill="1" applyBorder="1" applyAlignment="1">
      <alignment horizontal="center" vertical="center"/>
    </xf>
    <xf numFmtId="0" fontId="30" fillId="22" borderId="73" xfId="0" applyFont="1" applyFill="1" applyBorder="1" applyAlignment="1">
      <alignment horizontal="center" vertical="center"/>
    </xf>
    <xf numFmtId="0" fontId="30" fillId="22" borderId="74" xfId="0" applyFont="1" applyFill="1" applyBorder="1" applyAlignment="1">
      <alignment horizontal="center" vertical="center"/>
    </xf>
    <xf numFmtId="0" fontId="31" fillId="12" borderId="28" xfId="0" applyFont="1" applyFill="1" applyBorder="1" applyAlignment="1">
      <alignment horizontal="center" vertical="center" wrapText="1"/>
    </xf>
    <xf numFmtId="0" fontId="31" fillId="12" borderId="33" xfId="0" applyFont="1" applyFill="1" applyBorder="1" applyAlignment="1">
      <alignment horizontal="center" vertical="center" wrapText="1"/>
    </xf>
    <xf numFmtId="0" fontId="31" fillId="12" borderId="38" xfId="0" applyFont="1" applyFill="1" applyBorder="1" applyAlignment="1">
      <alignment horizontal="center" vertical="center" wrapText="1"/>
    </xf>
    <xf numFmtId="0" fontId="32" fillId="18" borderId="65" xfId="0" applyFont="1" applyFill="1" applyBorder="1" applyAlignment="1">
      <alignment horizontal="center" vertical="center"/>
    </xf>
    <xf numFmtId="0" fontId="32" fillId="18" borderId="66" xfId="0" applyFont="1" applyFill="1" applyBorder="1" applyAlignment="1">
      <alignment horizontal="center" vertical="center"/>
    </xf>
    <xf numFmtId="0" fontId="32" fillId="18" borderId="53" xfId="0" applyFont="1" applyFill="1" applyBorder="1" applyAlignment="1">
      <alignment horizontal="center" vertical="center"/>
    </xf>
    <xf numFmtId="0" fontId="15" fillId="12" borderId="45" xfId="0" applyFont="1" applyFill="1" applyBorder="1" applyAlignment="1">
      <alignment horizontal="center" vertical="center" wrapText="1"/>
    </xf>
    <xf numFmtId="0" fontId="15" fillId="12" borderId="42" xfId="0" applyFont="1" applyFill="1" applyBorder="1" applyAlignment="1">
      <alignment horizontal="center" vertical="center" wrapText="1"/>
    </xf>
    <xf numFmtId="0" fontId="15" fillId="12" borderId="43" xfId="0" applyFont="1" applyFill="1" applyBorder="1" applyAlignment="1">
      <alignment horizontal="center" vertical="center" wrapText="1"/>
    </xf>
    <xf numFmtId="0" fontId="14" fillId="24" borderId="45" xfId="0" applyFont="1" applyFill="1" applyBorder="1" applyAlignment="1">
      <alignment horizontal="center" vertical="center" wrapText="1"/>
    </xf>
    <xf numFmtId="0" fontId="14" fillId="24" borderId="16" xfId="0" applyFont="1" applyFill="1" applyBorder="1" applyAlignment="1">
      <alignment horizontal="center" vertical="center" wrapText="1"/>
    </xf>
    <xf numFmtId="0" fontId="14" fillId="24" borderId="42" xfId="0" applyFont="1" applyFill="1" applyBorder="1" applyAlignment="1">
      <alignment horizontal="center" vertical="center" wrapText="1"/>
    </xf>
    <xf numFmtId="0" fontId="14" fillId="24" borderId="0" xfId="0" applyFont="1" applyFill="1" applyAlignment="1">
      <alignment horizontal="center" vertical="center" wrapText="1"/>
    </xf>
    <xf numFmtId="0" fontId="14" fillId="24" borderId="43" xfId="0" applyFont="1" applyFill="1" applyBorder="1" applyAlignment="1">
      <alignment horizontal="center" vertical="center" wrapText="1"/>
    </xf>
    <xf numFmtId="0" fontId="14" fillId="24" borderId="39" xfId="0" applyFont="1" applyFill="1" applyBorder="1" applyAlignment="1">
      <alignment horizontal="center" vertical="center" wrapText="1"/>
    </xf>
    <xf numFmtId="0" fontId="15" fillId="25" borderId="28" xfId="0" applyFont="1" applyFill="1" applyBorder="1" applyAlignment="1">
      <alignment horizontal="center" vertical="center" wrapText="1"/>
    </xf>
    <xf numFmtId="0" fontId="15" fillId="25" borderId="33" xfId="0" applyFont="1" applyFill="1" applyBorder="1" applyAlignment="1">
      <alignment horizontal="center" vertical="center" wrapText="1"/>
    </xf>
    <xf numFmtId="0" fontId="15" fillId="25" borderId="38" xfId="0" applyFont="1" applyFill="1" applyBorder="1" applyAlignment="1">
      <alignment horizontal="center" vertical="center" wrapText="1"/>
    </xf>
    <xf numFmtId="0" fontId="15" fillId="12" borderId="25" xfId="0" applyFont="1" applyFill="1" applyBorder="1" applyAlignment="1">
      <alignment horizontal="center" vertical="center" wrapText="1"/>
    </xf>
    <xf numFmtId="0" fontId="15" fillId="12" borderId="30" xfId="0" applyFont="1" applyFill="1" applyBorder="1" applyAlignment="1">
      <alignment horizontal="center" vertical="center" wrapText="1"/>
    </xf>
    <xf numFmtId="0" fontId="15" fillId="12" borderId="35" xfId="0" applyFont="1" applyFill="1" applyBorder="1" applyAlignment="1">
      <alignment horizontal="center" vertical="center" wrapText="1"/>
    </xf>
    <xf numFmtId="0" fontId="15" fillId="12" borderId="27" xfId="0" applyFont="1" applyFill="1" applyBorder="1" applyAlignment="1">
      <alignment horizontal="center" vertical="center" wrapText="1"/>
    </xf>
    <xf numFmtId="0" fontId="15" fillId="12" borderId="32" xfId="0" applyFont="1" applyFill="1" applyBorder="1" applyAlignment="1">
      <alignment horizontal="center" vertical="center" wrapText="1"/>
    </xf>
    <xf numFmtId="0" fontId="15" fillId="12" borderId="37" xfId="0" applyFont="1" applyFill="1" applyBorder="1" applyAlignment="1">
      <alignment horizontal="center" vertical="center" wrapText="1"/>
    </xf>
    <xf numFmtId="0" fontId="14" fillId="26" borderId="45" xfId="0" applyFont="1" applyFill="1" applyBorder="1" applyAlignment="1">
      <alignment horizontal="center" vertical="center" wrapText="1"/>
    </xf>
    <xf numFmtId="0" fontId="14" fillId="26" borderId="47" xfId="0" applyFont="1" applyFill="1" applyBorder="1" applyAlignment="1">
      <alignment horizontal="center" vertical="center" wrapText="1"/>
    </xf>
    <xf numFmtId="0" fontId="14" fillId="26" borderId="42" xfId="0" applyFont="1" applyFill="1" applyBorder="1" applyAlignment="1">
      <alignment horizontal="center" vertical="center" wrapText="1"/>
    </xf>
    <xf numFmtId="0" fontId="14" fillId="26" borderId="48" xfId="0" applyFont="1" applyFill="1" applyBorder="1" applyAlignment="1">
      <alignment horizontal="center" vertical="center" wrapText="1"/>
    </xf>
    <xf numFmtId="0" fontId="14" fillId="26" borderId="43" xfId="0" applyFont="1" applyFill="1" applyBorder="1" applyAlignment="1">
      <alignment horizontal="center" vertical="center" wrapText="1"/>
    </xf>
    <xf numFmtId="0" fontId="14" fillId="26" borderId="49" xfId="0" applyFont="1" applyFill="1" applyBorder="1" applyAlignment="1">
      <alignment horizontal="center" vertical="center" wrapText="1"/>
    </xf>
    <xf numFmtId="0" fontId="14" fillId="27" borderId="45" xfId="0" applyFont="1" applyFill="1" applyBorder="1" applyAlignment="1">
      <alignment horizontal="center" vertical="center" wrapText="1"/>
    </xf>
    <xf numFmtId="0" fontId="14" fillId="27" borderId="47" xfId="0" applyFont="1" applyFill="1" applyBorder="1" applyAlignment="1">
      <alignment horizontal="center" vertical="center" wrapText="1"/>
    </xf>
    <xf numFmtId="0" fontId="14" fillId="27" borderId="42" xfId="0" applyFont="1" applyFill="1" applyBorder="1" applyAlignment="1">
      <alignment horizontal="center" vertical="center" wrapText="1"/>
    </xf>
    <xf numFmtId="0" fontId="14" fillId="27" borderId="48" xfId="0" applyFont="1" applyFill="1" applyBorder="1" applyAlignment="1">
      <alignment horizontal="center" vertical="center" wrapText="1"/>
    </xf>
    <xf numFmtId="0" fontId="14" fillId="27" borderId="43" xfId="0" applyFont="1" applyFill="1" applyBorder="1" applyAlignment="1">
      <alignment horizontal="center" vertical="center" wrapText="1"/>
    </xf>
    <xf numFmtId="0" fontId="14" fillId="27" borderId="49" xfId="0" applyFont="1" applyFill="1" applyBorder="1" applyAlignment="1">
      <alignment horizontal="center" vertical="center" wrapText="1"/>
    </xf>
    <xf numFmtId="0" fontId="17" fillId="11" borderId="0" xfId="0" applyFont="1" applyFill="1" applyAlignment="1">
      <alignment horizontal="center" vertical="center"/>
    </xf>
    <xf numFmtId="0" fontId="29" fillId="20" borderId="55" xfId="0" applyFont="1" applyFill="1" applyBorder="1" applyAlignment="1">
      <alignment horizontal="center" vertical="center"/>
    </xf>
    <xf numFmtId="0" fontId="29" fillId="20" borderId="56" xfId="0" applyFont="1" applyFill="1" applyBorder="1" applyAlignment="1">
      <alignment horizontal="center" vertical="center"/>
    </xf>
    <xf numFmtId="0" fontId="29" fillId="20" borderId="57" xfId="0" applyFont="1" applyFill="1" applyBorder="1" applyAlignment="1">
      <alignment horizontal="center" vertical="center"/>
    </xf>
    <xf numFmtId="0" fontId="15" fillId="23" borderId="28" xfId="0" applyFont="1" applyFill="1" applyBorder="1" applyAlignment="1">
      <alignment horizontal="center" vertical="center" wrapText="1"/>
    </xf>
    <xf numFmtId="0" fontId="15" fillId="23" borderId="33" xfId="0" applyFont="1" applyFill="1" applyBorder="1" applyAlignment="1">
      <alignment horizontal="center" vertical="center" wrapText="1"/>
    </xf>
    <xf numFmtId="0" fontId="15" fillId="23" borderId="38" xfId="0" applyFont="1" applyFill="1" applyBorder="1" applyAlignment="1">
      <alignment horizontal="center" vertical="center" wrapText="1"/>
    </xf>
    <xf numFmtId="0" fontId="15" fillId="27" borderId="47" xfId="0" applyFont="1" applyFill="1" applyBorder="1" applyAlignment="1">
      <alignment horizontal="center" vertical="center" wrapText="1"/>
    </xf>
    <xf numFmtId="0" fontId="15" fillId="27" borderId="48" xfId="0" applyFont="1" applyFill="1" applyBorder="1" applyAlignment="1">
      <alignment horizontal="center" vertical="center" wrapText="1"/>
    </xf>
    <xf numFmtId="0" fontId="15" fillId="27" borderId="49" xfId="0" applyFont="1" applyFill="1" applyBorder="1" applyAlignment="1">
      <alignment horizontal="center" vertical="center" wrapText="1"/>
    </xf>
    <xf numFmtId="0" fontId="15" fillId="26" borderId="47" xfId="0" applyFont="1" applyFill="1" applyBorder="1" applyAlignment="1">
      <alignment horizontal="center" vertical="center" wrapText="1"/>
    </xf>
    <xf numFmtId="0" fontId="15" fillId="26" borderId="48" xfId="0" applyFont="1" applyFill="1" applyBorder="1" applyAlignment="1">
      <alignment horizontal="center" vertical="center" wrapText="1"/>
    </xf>
    <xf numFmtId="0" fontId="15" fillId="26" borderId="49" xfId="0" applyFont="1" applyFill="1" applyBorder="1" applyAlignment="1">
      <alignment horizontal="center" vertical="center" wrapText="1"/>
    </xf>
    <xf numFmtId="0" fontId="2" fillId="11" borderId="117" xfId="0" applyFont="1" applyFill="1" applyBorder="1" applyAlignment="1">
      <alignment horizontal="center" vertical="center"/>
    </xf>
    <xf numFmtId="0" fontId="2" fillId="11" borderId="118" xfId="0" applyFont="1" applyFill="1" applyBorder="1" applyAlignment="1">
      <alignment horizontal="center" vertical="center"/>
    </xf>
    <xf numFmtId="0" fontId="2" fillId="11" borderId="122" xfId="0" applyFont="1" applyFill="1" applyBorder="1" applyAlignment="1">
      <alignment horizontal="center" vertical="center"/>
    </xf>
    <xf numFmtId="0" fontId="2" fillId="11" borderId="123" xfId="0" applyFont="1" applyFill="1" applyBorder="1" applyAlignment="1">
      <alignment horizontal="center" vertical="center"/>
    </xf>
    <xf numFmtId="0" fontId="24" fillId="41" borderId="111" xfId="0" applyFont="1" applyFill="1" applyBorder="1" applyAlignment="1">
      <alignment horizontal="center" vertical="center"/>
    </xf>
    <xf numFmtId="0" fontId="24" fillId="41" borderId="110" xfId="0" applyFont="1" applyFill="1" applyBorder="1" applyAlignment="1">
      <alignment horizontal="center" vertical="center"/>
    </xf>
    <xf numFmtId="0" fontId="24" fillId="41" borderId="53" xfId="0" applyFont="1" applyFill="1" applyBorder="1" applyAlignment="1">
      <alignment horizontal="center" vertical="center"/>
    </xf>
    <xf numFmtId="8" fontId="9" fillId="11" borderId="114" xfId="2" applyNumberFormat="1" applyFill="1" applyBorder="1" applyAlignment="1">
      <alignment horizontal="center" vertical="center"/>
    </xf>
    <xf numFmtId="8" fontId="9" fillId="11" borderId="115" xfId="2" applyNumberFormat="1" applyFill="1" applyBorder="1" applyAlignment="1">
      <alignment horizontal="center" vertical="center"/>
    </xf>
    <xf numFmtId="8" fontId="9" fillId="11" borderId="116" xfId="2" applyNumberFormat="1" applyFill="1" applyBorder="1" applyAlignment="1">
      <alignment horizontal="center" vertical="center"/>
    </xf>
    <xf numFmtId="8" fontId="9" fillId="11" borderId="119" xfId="2" applyNumberFormat="1" applyFill="1" applyBorder="1" applyAlignment="1">
      <alignment horizontal="center" vertical="center"/>
    </xf>
    <xf numFmtId="8" fontId="9" fillId="11" borderId="120" xfId="2" applyNumberFormat="1" applyFill="1" applyBorder="1" applyAlignment="1">
      <alignment horizontal="center" vertical="center"/>
    </xf>
    <xf numFmtId="8" fontId="9" fillId="11" borderId="121" xfId="2" applyNumberFormat="1" applyFill="1" applyBorder="1" applyAlignment="1">
      <alignment horizontal="center" vertical="center"/>
    </xf>
    <xf numFmtId="8" fontId="9" fillId="11" borderId="124" xfId="2" applyNumberFormat="1" applyFill="1" applyBorder="1" applyAlignment="1">
      <alignment horizontal="center" vertical="center"/>
    </xf>
    <xf numFmtId="8" fontId="9" fillId="11" borderId="125" xfId="2" applyNumberFormat="1" applyFill="1" applyBorder="1" applyAlignment="1">
      <alignment horizontal="center" vertical="center"/>
    </xf>
    <xf numFmtId="8" fontId="9" fillId="11" borderId="126" xfId="2" applyNumberFormat="1" applyFill="1" applyBorder="1" applyAlignment="1">
      <alignment horizontal="center" vertical="center"/>
    </xf>
    <xf numFmtId="0" fontId="2" fillId="11" borderId="120" xfId="0" applyFont="1" applyFill="1" applyBorder="1" applyAlignment="1">
      <alignment horizontal="center" vertical="center"/>
    </xf>
    <xf numFmtId="8" fontId="0" fillId="41" borderId="119" xfId="0" applyNumberFormat="1" applyFill="1" applyBorder="1" applyAlignment="1">
      <alignment horizontal="center" vertical="center"/>
    </xf>
    <xf numFmtId="8" fontId="0" fillId="41" borderId="121" xfId="0" applyNumberFormat="1" applyFill="1" applyBorder="1" applyAlignment="1">
      <alignment horizontal="center" vertical="center"/>
    </xf>
    <xf numFmtId="8" fontId="0" fillId="11" borderId="119" xfId="0" applyNumberFormat="1" applyFill="1" applyBorder="1" applyAlignment="1">
      <alignment horizontal="center" vertical="center"/>
    </xf>
    <xf numFmtId="8" fontId="0" fillId="11" borderId="120" xfId="0" applyNumberFormat="1" applyFill="1" applyBorder="1" applyAlignment="1">
      <alignment horizontal="center" vertical="center"/>
    </xf>
    <xf numFmtId="0" fontId="44" fillId="22" borderId="65" xfId="0" applyFont="1" applyFill="1" applyBorder="1" applyAlignment="1">
      <alignment horizontal="center" vertical="center"/>
    </xf>
    <xf numFmtId="0" fontId="44" fillId="22" borderId="66" xfId="0" applyFont="1" applyFill="1" applyBorder="1" applyAlignment="1">
      <alignment horizontal="center" vertical="center"/>
    </xf>
    <xf numFmtId="0" fontId="44" fillId="22" borderId="53" xfId="0" applyFont="1" applyFill="1" applyBorder="1" applyAlignment="1">
      <alignment horizontal="center" vertical="center"/>
    </xf>
    <xf numFmtId="0" fontId="45" fillId="41" borderId="65" xfId="0" applyFont="1" applyFill="1" applyBorder="1" applyAlignment="1">
      <alignment horizontal="center" vertical="center"/>
    </xf>
    <xf numFmtId="0" fontId="45" fillId="41" borderId="66" xfId="0" applyFont="1" applyFill="1" applyBorder="1" applyAlignment="1">
      <alignment horizontal="center" vertical="center"/>
    </xf>
    <xf numFmtId="0" fontId="2" fillId="11" borderId="112" xfId="0" applyFont="1" applyFill="1" applyBorder="1" applyAlignment="1">
      <alignment horizontal="center" vertical="center"/>
    </xf>
    <xf numFmtId="0" fontId="2" fillId="11" borderId="113" xfId="0" applyFont="1" applyFill="1" applyBorder="1" applyAlignment="1">
      <alignment horizontal="center" vertical="center"/>
    </xf>
    <xf numFmtId="0" fontId="33" fillId="31" borderId="45" xfId="0" applyFont="1" applyFill="1" applyBorder="1" applyAlignment="1">
      <alignment horizontal="center" vertical="center" wrapText="1"/>
    </xf>
    <xf numFmtId="0" fontId="10" fillId="31" borderId="16" xfId="0" applyFont="1" applyFill="1" applyBorder="1"/>
    <xf numFmtId="0" fontId="10" fillId="31" borderId="102" xfId="0" applyFont="1" applyFill="1" applyBorder="1"/>
    <xf numFmtId="0" fontId="10" fillId="31" borderId="42" xfId="0" applyFont="1" applyFill="1" applyBorder="1"/>
    <xf numFmtId="0" fontId="10" fillId="31" borderId="0" xfId="0" applyFont="1" applyFill="1"/>
    <xf numFmtId="0" fontId="10" fillId="31" borderId="101" xfId="0" applyFont="1" applyFill="1" applyBorder="1"/>
    <xf numFmtId="0" fontId="10" fillId="31" borderId="43" xfId="0" applyFont="1" applyFill="1" applyBorder="1"/>
    <xf numFmtId="0" fontId="10" fillId="31" borderId="39" xfId="0" applyFont="1" applyFill="1" applyBorder="1"/>
    <xf numFmtId="0" fontId="10" fillId="31" borderId="103" xfId="0" applyFont="1" applyFill="1" applyBorder="1"/>
    <xf numFmtId="167" fontId="6" fillId="30" borderId="11" xfId="2" applyFont="1" applyFill="1" applyBorder="1" applyAlignment="1" applyProtection="1">
      <alignment horizontal="center" vertical="center"/>
      <protection locked="0"/>
    </xf>
    <xf numFmtId="167" fontId="6" fillId="30" borderId="11" xfId="2" applyFont="1" applyFill="1" applyBorder="1" applyAlignment="1" applyProtection="1">
      <alignment vertical="center"/>
      <protection locked="0"/>
    </xf>
    <xf numFmtId="167" fontId="6" fillId="30" borderId="94" xfId="2" applyFont="1" applyFill="1" applyBorder="1" applyAlignment="1" applyProtection="1">
      <alignment vertical="center"/>
      <protection locked="0"/>
    </xf>
    <xf numFmtId="0" fontId="35" fillId="31" borderId="89" xfId="0" applyFont="1" applyFill="1" applyBorder="1" applyAlignment="1">
      <alignment horizontal="center" vertical="center" wrapText="1"/>
    </xf>
    <xf numFmtId="0" fontId="35" fillId="31" borderId="90" xfId="0" applyFont="1" applyFill="1" applyBorder="1" applyAlignment="1">
      <alignment horizontal="center" vertical="center" wrapText="1"/>
    </xf>
    <xf numFmtId="0" fontId="35" fillId="31" borderId="11" xfId="0" applyFont="1" applyFill="1" applyBorder="1" applyAlignment="1">
      <alignment horizontal="center" vertical="center" wrapText="1"/>
    </xf>
    <xf numFmtId="0" fontId="35" fillId="31" borderId="92" xfId="0" applyFont="1" applyFill="1" applyBorder="1" applyAlignment="1">
      <alignment horizontal="center" vertical="center" wrapText="1"/>
    </xf>
    <xf numFmtId="167" fontId="6" fillId="11" borderId="11" xfId="2" applyFont="1" applyFill="1" applyBorder="1" applyAlignment="1">
      <alignment horizontal="center" vertical="center"/>
    </xf>
    <xf numFmtId="167" fontId="6" fillId="0" borderId="11" xfId="2" applyFont="1" applyBorder="1" applyAlignment="1">
      <alignment vertical="center"/>
    </xf>
    <xf numFmtId="167" fontId="6" fillId="0" borderId="94" xfId="2" applyFont="1" applyBorder="1" applyAlignment="1">
      <alignment vertical="center"/>
    </xf>
    <xf numFmtId="167" fontId="6" fillId="11" borderId="92" xfId="2" applyFont="1" applyFill="1" applyBorder="1" applyAlignment="1">
      <alignment horizontal="center" vertical="center"/>
    </xf>
    <xf numFmtId="167" fontId="6" fillId="11" borderId="94" xfId="2" applyFont="1" applyFill="1" applyBorder="1" applyAlignment="1">
      <alignment horizontal="center" vertical="center"/>
    </xf>
    <xf numFmtId="167" fontId="6" fillId="11" borderId="95" xfId="2" applyFont="1" applyFill="1" applyBorder="1" applyAlignment="1">
      <alignment horizontal="center" vertical="center"/>
    </xf>
    <xf numFmtId="0" fontId="33" fillId="31" borderId="16" xfId="0" applyFont="1" applyFill="1" applyBorder="1" applyAlignment="1">
      <alignment horizontal="center" vertical="center" wrapText="1"/>
    </xf>
    <xf numFmtId="0" fontId="33" fillId="31" borderId="42" xfId="0" applyFont="1" applyFill="1" applyBorder="1" applyAlignment="1">
      <alignment horizontal="center" vertical="center" wrapText="1"/>
    </xf>
    <xf numFmtId="0" fontId="33" fillId="31" borderId="0" xfId="0" applyFont="1" applyFill="1" applyAlignment="1">
      <alignment horizontal="center" vertical="center" wrapText="1"/>
    </xf>
    <xf numFmtId="0" fontId="33" fillId="31" borderId="43" xfId="0" applyFont="1" applyFill="1" applyBorder="1" applyAlignment="1">
      <alignment horizontal="center" vertical="center" wrapText="1"/>
    </xf>
    <xf numFmtId="0" fontId="33" fillId="31" borderId="39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left" vertical="center" wrapText="1"/>
    </xf>
    <xf numFmtId="167" fontId="6" fillId="11" borderId="64" xfId="2" applyFont="1" applyFill="1" applyBorder="1" applyAlignment="1" applyProtection="1">
      <alignment horizontal="center" vertical="center"/>
      <protection locked="0"/>
    </xf>
    <xf numFmtId="167" fontId="6" fillId="11" borderId="16" xfId="2" applyFont="1" applyFill="1" applyBorder="1" applyAlignment="1" applyProtection="1">
      <alignment horizontal="center" vertical="center"/>
      <protection locked="0"/>
    </xf>
    <xf numFmtId="167" fontId="6" fillId="11" borderId="47" xfId="2" applyFont="1" applyFill="1" applyBorder="1" applyAlignment="1" applyProtection="1">
      <alignment horizontal="center" vertical="center"/>
      <protection locked="0"/>
    </xf>
    <xf numFmtId="167" fontId="6" fillId="11" borderId="54" xfId="2" applyFont="1" applyFill="1" applyBorder="1" applyAlignment="1" applyProtection="1">
      <alignment horizontal="center" vertical="center"/>
      <protection locked="0"/>
    </xf>
    <xf numFmtId="167" fontId="6" fillId="11" borderId="0" xfId="2" applyFont="1" applyFill="1" applyAlignment="1" applyProtection="1">
      <alignment horizontal="center" vertical="center"/>
      <protection locked="0"/>
    </xf>
    <xf numFmtId="167" fontId="6" fillId="11" borderId="48" xfId="2" applyFont="1" applyFill="1" applyBorder="1" applyAlignment="1" applyProtection="1">
      <alignment horizontal="center" vertical="center"/>
      <protection locked="0"/>
    </xf>
    <xf numFmtId="167" fontId="6" fillId="11" borderId="67" xfId="2" applyFont="1" applyFill="1" applyBorder="1" applyAlignment="1" applyProtection="1">
      <alignment horizontal="center" vertical="center"/>
      <protection locked="0"/>
    </xf>
    <xf numFmtId="167" fontId="6" fillId="11" borderId="39" xfId="2" applyFont="1" applyFill="1" applyBorder="1" applyAlignment="1" applyProtection="1">
      <alignment horizontal="center" vertical="center"/>
      <protection locked="0"/>
    </xf>
    <xf numFmtId="167" fontId="6" fillId="11" borderId="49" xfId="2" applyFont="1" applyFill="1" applyBorder="1" applyAlignment="1" applyProtection="1">
      <alignment horizontal="center" vertical="center"/>
      <protection locked="0"/>
    </xf>
    <xf numFmtId="0" fontId="33" fillId="31" borderId="88" xfId="0" applyFont="1" applyFill="1" applyBorder="1" applyAlignment="1">
      <alignment horizontal="center" vertical="center" wrapText="1"/>
    </xf>
    <xf numFmtId="0" fontId="10" fillId="31" borderId="89" xfId="0" applyFont="1" applyFill="1" applyBorder="1"/>
    <xf numFmtId="0" fontId="10" fillId="31" borderId="91" xfId="0" applyFont="1" applyFill="1" applyBorder="1"/>
    <xf numFmtId="0" fontId="10" fillId="31" borderId="11" xfId="0" applyFont="1" applyFill="1" applyBorder="1"/>
    <xf numFmtId="0" fontId="28" fillId="28" borderId="89" xfId="0" applyFont="1" applyFill="1" applyBorder="1" applyAlignment="1">
      <alignment horizontal="center" vertical="center" wrapText="1"/>
    </xf>
    <xf numFmtId="0" fontId="28" fillId="28" borderId="90" xfId="0" applyFont="1" applyFill="1" applyBorder="1" applyAlignment="1">
      <alignment horizontal="center" vertical="center" wrapText="1"/>
    </xf>
    <xf numFmtId="0" fontId="28" fillId="28" borderId="11" xfId="0" applyFont="1" applyFill="1" applyBorder="1" applyAlignment="1">
      <alignment horizontal="center" vertical="center" wrapText="1"/>
    </xf>
    <xf numFmtId="0" fontId="28" fillId="28" borderId="92" xfId="0" applyFont="1" applyFill="1" applyBorder="1" applyAlignment="1">
      <alignment horizontal="center" vertical="center" wrapText="1"/>
    </xf>
    <xf numFmtId="167" fontId="6" fillId="11" borderId="89" xfId="2" applyFont="1" applyFill="1" applyBorder="1" applyAlignment="1">
      <alignment horizontal="center" vertical="center"/>
    </xf>
    <xf numFmtId="167" fontId="6" fillId="0" borderId="89" xfId="2" applyFont="1" applyBorder="1" applyAlignment="1">
      <alignment vertical="center"/>
    </xf>
    <xf numFmtId="0" fontId="34" fillId="29" borderId="82" xfId="0" applyFont="1" applyFill="1" applyBorder="1" applyAlignment="1">
      <alignment horizontal="center" vertical="center" wrapText="1"/>
    </xf>
    <xf numFmtId="0" fontId="12" fillId="29" borderId="97" xfId="0" applyFont="1" applyFill="1" applyBorder="1"/>
    <xf numFmtId="0" fontId="12" fillId="29" borderId="83" xfId="0" applyFont="1" applyFill="1" applyBorder="1"/>
    <xf numFmtId="0" fontId="12" fillId="29" borderId="98" xfId="0" applyFont="1" applyFill="1" applyBorder="1"/>
    <xf numFmtId="0" fontId="12" fillId="29" borderId="84" xfId="0" applyFont="1" applyFill="1" applyBorder="1"/>
    <xf numFmtId="0" fontId="12" fillId="29" borderId="100" xfId="0" applyFont="1" applyFill="1" applyBorder="1"/>
    <xf numFmtId="167" fontId="5" fillId="11" borderId="97" xfId="2" applyFont="1" applyFill="1" applyBorder="1" applyAlignment="1">
      <alignment horizontal="center" vertical="center"/>
    </xf>
    <xf numFmtId="167" fontId="5" fillId="0" borderId="97" xfId="2" applyFont="1" applyBorder="1" applyAlignment="1">
      <alignment vertical="center"/>
    </xf>
    <xf numFmtId="167" fontId="5" fillId="0" borderId="98" xfId="2" applyFont="1" applyBorder="1" applyAlignment="1">
      <alignment vertical="center"/>
    </xf>
    <xf numFmtId="167" fontId="5" fillId="0" borderId="100" xfId="2" applyFont="1" applyBorder="1" applyAlignment="1">
      <alignment vertical="center"/>
    </xf>
    <xf numFmtId="0" fontId="24" fillId="9" borderId="97" xfId="0" applyFont="1" applyFill="1" applyBorder="1" applyAlignment="1">
      <alignment horizontal="center" vertical="center" wrapText="1"/>
    </xf>
    <xf numFmtId="0" fontId="24" fillId="9" borderId="85" xfId="0" applyFont="1" applyFill="1" applyBorder="1" applyAlignment="1">
      <alignment horizontal="center" vertical="center" wrapText="1"/>
    </xf>
    <xf numFmtId="0" fontId="24" fillId="9" borderId="98" xfId="0" applyFont="1" applyFill="1" applyBorder="1" applyAlignment="1">
      <alignment horizontal="center" vertical="center" wrapText="1"/>
    </xf>
    <xf numFmtId="0" fontId="24" fillId="9" borderId="86" xfId="0" applyFont="1" applyFill="1" applyBorder="1" applyAlignment="1">
      <alignment horizontal="center" vertical="center" wrapText="1"/>
    </xf>
    <xf numFmtId="0" fontId="24" fillId="9" borderId="100" xfId="0" applyFont="1" applyFill="1" applyBorder="1" applyAlignment="1">
      <alignment horizontal="center" vertical="center" wrapText="1"/>
    </xf>
    <xf numFmtId="0" fontId="24" fillId="9" borderId="87" xfId="0" applyFont="1" applyFill="1" applyBorder="1" applyAlignment="1">
      <alignment horizontal="center" vertical="center" wrapText="1"/>
    </xf>
    <xf numFmtId="0" fontId="33" fillId="31" borderId="91" xfId="0" applyFont="1" applyFill="1" applyBorder="1" applyAlignment="1">
      <alignment horizontal="center" vertical="center" wrapText="1"/>
    </xf>
    <xf numFmtId="0" fontId="10" fillId="31" borderId="93" xfId="0" applyFont="1" applyFill="1" applyBorder="1"/>
    <xf numFmtId="0" fontId="10" fillId="31" borderId="94" xfId="0" applyFont="1" applyFill="1" applyBorder="1"/>
    <xf numFmtId="0" fontId="28" fillId="28" borderId="94" xfId="0" applyFont="1" applyFill="1" applyBorder="1" applyAlignment="1">
      <alignment horizontal="center" vertical="center" wrapText="1"/>
    </xf>
    <xf numFmtId="0" fontId="28" fillId="28" borderId="95" xfId="0" applyFont="1" applyFill="1" applyBorder="1" applyAlignment="1">
      <alignment horizontal="center" vertical="center" wrapText="1"/>
    </xf>
    <xf numFmtId="0" fontId="33" fillId="31" borderId="82" xfId="0" applyFont="1" applyFill="1" applyBorder="1" applyAlignment="1">
      <alignment horizontal="center" vertical="center" wrapText="1"/>
    </xf>
    <xf numFmtId="0" fontId="10" fillId="31" borderId="97" xfId="0" applyFont="1" applyFill="1" applyBorder="1"/>
    <xf numFmtId="0" fontId="10" fillId="31" borderId="83" xfId="0" applyFont="1" applyFill="1" applyBorder="1"/>
    <xf numFmtId="0" fontId="10" fillId="31" borderId="98" xfId="0" applyFont="1" applyFill="1" applyBorder="1"/>
    <xf numFmtId="0" fontId="10" fillId="31" borderId="84" xfId="0" applyFont="1" applyFill="1" applyBorder="1"/>
    <xf numFmtId="0" fontId="10" fillId="31" borderId="100" xfId="0" applyFont="1" applyFill="1" applyBorder="1"/>
    <xf numFmtId="167" fontId="5" fillId="30" borderId="97" xfId="2" applyFont="1" applyFill="1" applyBorder="1" applyAlignment="1" applyProtection="1">
      <alignment horizontal="center" vertical="center"/>
      <protection locked="0"/>
    </xf>
    <xf numFmtId="167" fontId="5" fillId="30" borderId="97" xfId="2" applyFont="1" applyFill="1" applyBorder="1" applyAlignment="1" applyProtection="1">
      <alignment vertical="center"/>
      <protection locked="0"/>
    </xf>
    <xf numFmtId="167" fontId="5" fillId="30" borderId="98" xfId="2" applyFont="1" applyFill="1" applyBorder="1" applyAlignment="1" applyProtection="1">
      <alignment vertical="center"/>
      <protection locked="0"/>
    </xf>
    <xf numFmtId="167" fontId="5" fillId="30" borderId="100" xfId="2" applyFont="1" applyFill="1" applyBorder="1" applyAlignment="1" applyProtection="1">
      <alignment vertical="center"/>
      <protection locked="0"/>
    </xf>
    <xf numFmtId="167" fontId="6" fillId="30" borderId="11" xfId="2" applyFont="1" applyFill="1" applyBorder="1" applyProtection="1">
      <protection locked="0"/>
    </xf>
    <xf numFmtId="167" fontId="5" fillId="11" borderId="11" xfId="2" applyFont="1" applyFill="1" applyBorder="1" applyAlignment="1">
      <alignment horizontal="center" vertical="center"/>
    </xf>
    <xf numFmtId="167" fontId="5" fillId="0" borderId="11" xfId="2" applyFont="1" applyBorder="1" applyAlignment="1">
      <alignment vertical="center"/>
    </xf>
    <xf numFmtId="0" fontId="35" fillId="31" borderId="82" xfId="0" applyFont="1" applyFill="1" applyBorder="1" applyAlignment="1">
      <alignment horizontal="center" vertical="center" wrapText="1"/>
    </xf>
    <xf numFmtId="0" fontId="35" fillId="31" borderId="97" xfId="0" applyFont="1" applyFill="1" applyBorder="1" applyAlignment="1">
      <alignment horizontal="center" vertical="center" wrapText="1"/>
    </xf>
    <xf numFmtId="0" fontId="35" fillId="31" borderId="83" xfId="0" applyFont="1" applyFill="1" applyBorder="1" applyAlignment="1">
      <alignment horizontal="center" vertical="center" wrapText="1"/>
    </xf>
    <xf numFmtId="0" fontId="35" fillId="31" borderId="98" xfId="0" applyFont="1" applyFill="1" applyBorder="1" applyAlignment="1">
      <alignment horizontal="center" vertical="center" wrapText="1"/>
    </xf>
    <xf numFmtId="0" fontId="35" fillId="31" borderId="99" xfId="0" applyFont="1" applyFill="1" applyBorder="1" applyAlignment="1">
      <alignment horizontal="center" vertical="center" wrapText="1"/>
    </xf>
    <xf numFmtId="0" fontId="35" fillId="31" borderId="96" xfId="0" applyFont="1" applyFill="1" applyBorder="1" applyAlignment="1">
      <alignment horizontal="center" vertical="center" wrapText="1"/>
    </xf>
    <xf numFmtId="167" fontId="5" fillId="11" borderId="94" xfId="2" applyFont="1" applyFill="1" applyBorder="1" applyAlignment="1">
      <alignment horizontal="center" vertical="center"/>
    </xf>
    <xf numFmtId="0" fontId="33" fillId="31" borderId="88" xfId="0" applyFont="1" applyFill="1" applyBorder="1" applyAlignment="1">
      <alignment horizontal="center" vertical="center"/>
    </xf>
    <xf numFmtId="0" fontId="33" fillId="31" borderId="89" xfId="0" applyFont="1" applyFill="1" applyBorder="1" applyAlignment="1">
      <alignment horizontal="center" vertical="center"/>
    </xf>
    <xf numFmtId="0" fontId="33" fillId="31" borderId="91" xfId="0" applyFont="1" applyFill="1" applyBorder="1" applyAlignment="1">
      <alignment horizontal="center" vertical="center"/>
    </xf>
    <xf numFmtId="0" fontId="33" fillId="31" borderId="11" xfId="0" applyFont="1" applyFill="1" applyBorder="1" applyAlignment="1">
      <alignment horizontal="center" vertical="center"/>
    </xf>
    <xf numFmtId="0" fontId="35" fillId="31" borderId="88" xfId="0" applyFont="1" applyFill="1" applyBorder="1" applyAlignment="1">
      <alignment horizontal="center" vertical="center" wrapText="1"/>
    </xf>
    <xf numFmtId="0" fontId="35" fillId="31" borderId="91" xfId="0" applyFont="1" applyFill="1" applyBorder="1" applyAlignment="1">
      <alignment horizontal="center" vertical="center" wrapText="1"/>
    </xf>
    <xf numFmtId="0" fontId="33" fillId="31" borderId="93" xfId="0" applyFont="1" applyFill="1" applyBorder="1" applyAlignment="1">
      <alignment horizontal="center" vertical="center"/>
    </xf>
    <xf numFmtId="0" fontId="33" fillId="31" borderId="94" xfId="0" applyFont="1" applyFill="1" applyBorder="1" applyAlignment="1">
      <alignment horizontal="center" vertical="center"/>
    </xf>
    <xf numFmtId="167" fontId="6" fillId="30" borderId="94" xfId="2" applyFont="1" applyFill="1" applyBorder="1" applyAlignment="1" applyProtection="1">
      <alignment horizontal="center" vertical="center"/>
      <protection locked="0"/>
    </xf>
    <xf numFmtId="167" fontId="6" fillId="0" borderId="92" xfId="2" applyFont="1" applyBorder="1" applyAlignment="1">
      <alignment vertical="center"/>
    </xf>
    <xf numFmtId="167" fontId="6" fillId="0" borderId="95" xfId="2" applyFont="1" applyBorder="1" applyAlignment="1">
      <alignment vertical="center"/>
    </xf>
    <xf numFmtId="167" fontId="6" fillId="11" borderId="97" xfId="2" applyFont="1" applyFill="1" applyBorder="1" applyAlignment="1">
      <alignment horizontal="center" vertical="center"/>
    </xf>
    <xf numFmtId="167" fontId="6" fillId="11" borderId="85" xfId="2" applyFont="1" applyFill="1" applyBorder="1" applyAlignment="1">
      <alignment horizontal="center" vertical="center"/>
    </xf>
    <xf numFmtId="167" fontId="6" fillId="11" borderId="98" xfId="2" applyFont="1" applyFill="1" applyBorder="1" applyAlignment="1">
      <alignment horizontal="center" vertical="center"/>
    </xf>
    <xf numFmtId="167" fontId="6" fillId="11" borderId="86" xfId="2" applyFont="1" applyFill="1" applyBorder="1" applyAlignment="1">
      <alignment horizontal="center" vertical="center"/>
    </xf>
    <xf numFmtId="167" fontId="6" fillId="11" borderId="100" xfId="2" applyFont="1" applyFill="1" applyBorder="1" applyAlignment="1">
      <alignment horizontal="center" vertical="center"/>
    </xf>
    <xf numFmtId="167" fontId="6" fillId="11" borderId="87" xfId="2" applyFont="1" applyFill="1" applyBorder="1" applyAlignment="1">
      <alignment horizontal="center" vertical="center"/>
    </xf>
    <xf numFmtId="0" fontId="35" fillId="31" borderId="85" xfId="0" applyFont="1" applyFill="1" applyBorder="1" applyAlignment="1">
      <alignment horizontal="center" vertical="center" wrapText="1"/>
    </xf>
    <xf numFmtId="0" fontId="35" fillId="31" borderId="86" xfId="0" applyFont="1" applyFill="1" applyBorder="1" applyAlignment="1">
      <alignment horizontal="center" vertical="center" wrapText="1"/>
    </xf>
    <xf numFmtId="0" fontId="6" fillId="0" borderId="11" xfId="0" applyFont="1" applyBorder="1"/>
    <xf numFmtId="0" fontId="6" fillId="0" borderId="92" xfId="0" applyFont="1" applyBorder="1"/>
    <xf numFmtId="0" fontId="28" fillId="31" borderId="97" xfId="0" applyFont="1" applyFill="1" applyBorder="1" applyAlignment="1">
      <alignment horizontal="center" vertical="center" wrapText="1"/>
    </xf>
    <xf numFmtId="0" fontId="28" fillId="31" borderId="98" xfId="0" applyFont="1" applyFill="1" applyBorder="1" applyAlignment="1">
      <alignment horizontal="center" vertical="center" wrapText="1"/>
    </xf>
    <xf numFmtId="0" fontId="28" fillId="31" borderId="100" xfId="0" applyFont="1" applyFill="1" applyBorder="1" applyAlignment="1">
      <alignment horizontal="center" vertical="center" wrapText="1"/>
    </xf>
    <xf numFmtId="0" fontId="2" fillId="33" borderId="197" xfId="0" applyFont="1" applyFill="1" applyBorder="1" applyAlignment="1">
      <alignment horizontal="center" vertical="center" wrapText="1"/>
    </xf>
    <xf numFmtId="0" fontId="2" fillId="33" borderId="198" xfId="0" applyFont="1" applyFill="1" applyBorder="1" applyAlignment="1">
      <alignment horizontal="center" vertical="center" wrapText="1"/>
    </xf>
    <xf numFmtId="0" fontId="2" fillId="33" borderId="199" xfId="0" applyFont="1" applyFill="1" applyBorder="1" applyAlignment="1">
      <alignment horizontal="center" vertical="center" wrapText="1"/>
    </xf>
    <xf numFmtId="0" fontId="2" fillId="33" borderId="200" xfId="0" applyFont="1" applyFill="1" applyBorder="1" applyAlignment="1">
      <alignment horizontal="center" vertical="center" wrapText="1"/>
    </xf>
    <xf numFmtId="0" fontId="2" fillId="33" borderId="201" xfId="0" applyFont="1" applyFill="1" applyBorder="1" applyAlignment="1">
      <alignment horizontal="center" vertical="center" wrapText="1"/>
    </xf>
    <xf numFmtId="0" fontId="2" fillId="33" borderId="202" xfId="0" applyFont="1" applyFill="1" applyBorder="1" applyAlignment="1">
      <alignment horizontal="center" vertical="center" wrapText="1"/>
    </xf>
    <xf numFmtId="164" fontId="6" fillId="33" borderId="197" xfId="2" applyNumberFormat="1" applyFont="1" applyFill="1" applyBorder="1" applyAlignment="1">
      <alignment horizontal="center" vertical="center"/>
    </xf>
    <xf numFmtId="164" fontId="6" fillId="33" borderId="198" xfId="2" applyNumberFormat="1" applyFont="1" applyFill="1" applyBorder="1" applyAlignment="1">
      <alignment horizontal="center" vertical="center"/>
    </xf>
    <xf numFmtId="164" fontId="6" fillId="33" borderId="199" xfId="2" applyNumberFormat="1" applyFont="1" applyFill="1" applyBorder="1" applyAlignment="1">
      <alignment horizontal="center" vertical="center"/>
    </xf>
    <xf numFmtId="164" fontId="6" fillId="33" borderId="200" xfId="2" applyNumberFormat="1" applyFont="1" applyFill="1" applyBorder="1" applyAlignment="1">
      <alignment horizontal="center" vertical="center"/>
    </xf>
    <xf numFmtId="164" fontId="6" fillId="33" borderId="201" xfId="2" applyNumberFormat="1" applyFont="1" applyFill="1" applyBorder="1" applyAlignment="1">
      <alignment horizontal="center" vertical="center"/>
    </xf>
    <xf numFmtId="164" fontId="6" fillId="33" borderId="202" xfId="2" applyNumberFormat="1" applyFont="1" applyFill="1" applyBorder="1" applyAlignment="1">
      <alignment horizontal="center" vertical="center"/>
    </xf>
    <xf numFmtId="0" fontId="3" fillId="38" borderId="196" xfId="0" applyFont="1" applyFill="1" applyBorder="1" applyAlignment="1">
      <alignment horizontal="center" vertical="center"/>
    </xf>
    <xf numFmtId="0" fontId="3" fillId="38" borderId="0" xfId="0" applyFont="1" applyFill="1" applyAlignment="1">
      <alignment horizontal="center" vertical="center"/>
    </xf>
    <xf numFmtId="0" fontId="2" fillId="33" borderId="146" xfId="0" applyFont="1" applyFill="1" applyBorder="1" applyAlignment="1">
      <alignment horizontal="center" vertical="center" wrapText="1"/>
    </xf>
    <xf numFmtId="10" fontId="51" fillId="33" borderId="197" xfId="3" applyNumberFormat="1" applyFont="1" applyFill="1" applyBorder="1" applyAlignment="1">
      <alignment horizontal="center" vertical="center"/>
    </xf>
    <xf numFmtId="10" fontId="51" fillId="33" borderId="198" xfId="3" applyNumberFormat="1" applyFont="1" applyFill="1" applyBorder="1" applyAlignment="1">
      <alignment horizontal="center" vertical="center"/>
    </xf>
    <xf numFmtId="10" fontId="51" fillId="33" borderId="199" xfId="3" applyNumberFormat="1" applyFont="1" applyFill="1" applyBorder="1" applyAlignment="1">
      <alignment horizontal="center" vertical="center"/>
    </xf>
    <xf numFmtId="10" fontId="51" fillId="33" borderId="200" xfId="3" applyNumberFormat="1" applyFont="1" applyFill="1" applyBorder="1" applyAlignment="1">
      <alignment horizontal="center" vertical="center"/>
    </xf>
    <xf numFmtId="10" fontId="51" fillId="33" borderId="201" xfId="3" applyNumberFormat="1" applyFont="1" applyFill="1" applyBorder="1" applyAlignment="1">
      <alignment horizontal="center" vertical="center"/>
    </xf>
    <xf numFmtId="10" fontId="51" fillId="33" borderId="202" xfId="3" applyNumberFormat="1" applyFont="1" applyFill="1" applyBorder="1" applyAlignment="1">
      <alignment horizontal="center" vertical="center"/>
    </xf>
    <xf numFmtId="10" fontId="44" fillId="33" borderId="146" xfId="3" applyNumberFormat="1" applyFont="1" applyFill="1" applyBorder="1" applyAlignment="1">
      <alignment horizontal="center" vertical="center"/>
    </xf>
    <xf numFmtId="0" fontId="2" fillId="43" borderId="127" xfId="0" applyFont="1" applyFill="1" applyBorder="1" applyAlignment="1">
      <alignment horizontal="center" vertical="center"/>
    </xf>
    <xf numFmtId="0" fontId="2" fillId="43" borderId="134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7" fillId="13" borderId="4" xfId="0" applyFont="1" applyFill="1" applyBorder="1" applyAlignment="1">
      <alignment horizontal="center" vertical="center" wrapText="1"/>
    </xf>
    <xf numFmtId="0" fontId="7" fillId="13" borderId="6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15" borderId="4" xfId="0" applyFont="1" applyFill="1" applyBorder="1" applyAlignment="1">
      <alignment horizontal="center" vertical="center" wrapText="1"/>
    </xf>
    <xf numFmtId="0" fontId="7" fillId="15" borderId="6" xfId="0" applyFont="1" applyFill="1" applyBorder="1" applyAlignment="1">
      <alignment horizontal="center" vertical="center" wrapText="1"/>
    </xf>
    <xf numFmtId="0" fontId="7" fillId="14" borderId="4" xfId="0" applyFont="1" applyFill="1" applyBorder="1" applyAlignment="1">
      <alignment horizontal="center" vertical="center" wrapText="1"/>
    </xf>
    <xf numFmtId="0" fontId="7" fillId="14" borderId="6" xfId="0" applyFont="1" applyFill="1" applyBorder="1" applyAlignment="1">
      <alignment horizontal="center" vertical="center" wrapText="1"/>
    </xf>
    <xf numFmtId="0" fontId="36" fillId="21" borderId="75" xfId="0" applyFont="1" applyFill="1" applyBorder="1" applyAlignment="1">
      <alignment horizontal="center" vertical="center"/>
    </xf>
    <xf numFmtId="0" fontId="28" fillId="37" borderId="65" xfId="0" applyFont="1" applyFill="1" applyBorder="1" applyAlignment="1">
      <alignment horizontal="center" vertical="center"/>
    </xf>
    <xf numFmtId="0" fontId="28" fillId="37" borderId="66" xfId="0" applyFont="1" applyFill="1" applyBorder="1" applyAlignment="1">
      <alignment horizontal="center" vertical="center"/>
    </xf>
    <xf numFmtId="0" fontId="28" fillId="37" borderId="5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7" fillId="17" borderId="4" xfId="0" applyFont="1" applyFill="1" applyBorder="1" applyAlignment="1">
      <alignment horizontal="center" vertical="center" wrapText="1"/>
    </xf>
    <xf numFmtId="0" fontId="7" fillId="17" borderId="6" xfId="0" applyFont="1" applyFill="1" applyBorder="1" applyAlignment="1">
      <alignment horizontal="center" vertical="center" wrapText="1"/>
    </xf>
    <xf numFmtId="10" fontId="2" fillId="16" borderId="5" xfId="0" applyNumberFormat="1" applyFont="1" applyFill="1" applyBorder="1" applyAlignment="1">
      <alignment horizontal="center" vertical="center" wrapText="1"/>
    </xf>
    <xf numFmtId="10" fontId="2" fillId="16" borderId="7" xfId="0" applyNumberFormat="1" applyFont="1" applyFill="1" applyBorder="1" applyAlignment="1">
      <alignment horizontal="center" vertical="center" wrapText="1"/>
    </xf>
    <xf numFmtId="10" fontId="2" fillId="16" borderId="51" xfId="0" applyNumberFormat="1" applyFont="1" applyFill="1" applyBorder="1" applyAlignment="1">
      <alignment horizontal="center" vertical="center" wrapText="1"/>
    </xf>
    <xf numFmtId="10" fontId="2" fillId="16" borderId="52" xfId="0" applyNumberFormat="1" applyFont="1" applyFill="1" applyBorder="1" applyAlignment="1">
      <alignment horizontal="center" vertical="center" wrapText="1"/>
    </xf>
    <xf numFmtId="0" fontId="7" fillId="13" borderId="2" xfId="0" applyFont="1" applyFill="1" applyBorder="1" applyAlignment="1">
      <alignment horizontal="center" vertical="center" wrapText="1"/>
    </xf>
    <xf numFmtId="0" fontId="7" fillId="15" borderId="2" xfId="0" applyFont="1" applyFill="1" applyBorder="1" applyAlignment="1">
      <alignment horizontal="center" vertical="center" wrapText="1"/>
    </xf>
    <xf numFmtId="0" fontId="28" fillId="29" borderId="131" xfId="0" applyFont="1" applyFill="1" applyBorder="1" applyAlignment="1">
      <alignment horizontal="center" vertical="center"/>
    </xf>
    <xf numFmtId="0" fontId="2" fillId="43" borderId="132" xfId="0" applyFont="1" applyFill="1" applyBorder="1" applyAlignment="1">
      <alignment horizontal="center" vertical="center"/>
    </xf>
    <xf numFmtId="0" fontId="2" fillId="43" borderId="135" xfId="0" applyFont="1" applyFill="1" applyBorder="1" applyAlignment="1">
      <alignment horizontal="center" vertical="center"/>
    </xf>
    <xf numFmtId="0" fontId="0" fillId="5" borderId="132" xfId="0" applyFill="1" applyBorder="1" applyAlignment="1">
      <alignment horizontal="center" vertical="center" wrapText="1"/>
    </xf>
    <xf numFmtId="0" fontId="0" fillId="5" borderId="135" xfId="0" applyFill="1" applyBorder="1" applyAlignment="1">
      <alignment horizontal="center" vertical="center" wrapText="1"/>
    </xf>
    <xf numFmtId="0" fontId="0" fillId="5" borderId="133" xfId="0" applyFill="1" applyBorder="1" applyAlignment="1">
      <alignment horizontal="center" vertical="center" wrapText="1"/>
    </xf>
    <xf numFmtId="0" fontId="0" fillId="5" borderId="136" xfId="0" applyFill="1" applyBorder="1" applyAlignment="1">
      <alignment horizontal="center" vertical="center" wrapText="1"/>
    </xf>
    <xf numFmtId="0" fontId="35" fillId="39" borderId="131" xfId="0" applyFont="1" applyFill="1" applyBorder="1" applyAlignment="1">
      <alignment horizontal="center" vertical="center" wrapText="1"/>
    </xf>
    <xf numFmtId="0" fontId="5" fillId="14" borderId="131" xfId="0" applyFont="1" applyFill="1" applyBorder="1" applyAlignment="1">
      <alignment horizontal="center" vertical="center"/>
    </xf>
    <xf numFmtId="0" fontId="35" fillId="34" borderId="129" xfId="0" applyFont="1" applyFill="1" applyBorder="1" applyAlignment="1">
      <alignment horizontal="center" vertical="center"/>
    </xf>
    <xf numFmtId="0" fontId="35" fillId="34" borderId="128" xfId="0" applyFont="1" applyFill="1" applyBorder="1" applyAlignment="1">
      <alignment horizontal="center" vertical="center"/>
    </xf>
    <xf numFmtId="0" fontId="35" fillId="34" borderId="130" xfId="0" applyFont="1" applyFill="1" applyBorder="1" applyAlignment="1">
      <alignment horizontal="center" vertical="center"/>
    </xf>
    <xf numFmtId="0" fontId="2" fillId="44" borderId="144" xfId="0" applyFont="1" applyFill="1" applyBorder="1" applyAlignment="1">
      <alignment horizontal="center" vertical="center" wrapText="1"/>
    </xf>
    <xf numFmtId="0" fontId="2" fillId="44" borderId="145" xfId="0" applyFont="1" applyFill="1" applyBorder="1" applyAlignment="1">
      <alignment horizontal="center" vertical="center" wrapText="1"/>
    </xf>
    <xf numFmtId="0" fontId="6" fillId="44" borderId="144" xfId="0" applyFont="1" applyFill="1" applyBorder="1" applyAlignment="1">
      <alignment horizontal="center" vertical="center"/>
    </xf>
    <xf numFmtId="0" fontId="6" fillId="44" borderId="145" xfId="0" applyFont="1" applyFill="1" applyBorder="1" applyAlignment="1">
      <alignment horizontal="center" vertical="center"/>
    </xf>
    <xf numFmtId="172" fontId="6" fillId="44" borderId="145" xfId="2" applyNumberFormat="1" applyFont="1" applyFill="1" applyBorder="1" applyAlignment="1">
      <alignment horizontal="center" vertical="center"/>
    </xf>
    <xf numFmtId="0" fontId="28" fillId="36" borderId="146" xfId="0" applyFont="1" applyFill="1" applyBorder="1" applyAlignment="1">
      <alignment horizontal="center" vertical="center"/>
    </xf>
    <xf numFmtId="164" fontId="6" fillId="32" borderId="146" xfId="2" applyNumberFormat="1" applyFont="1" applyFill="1" applyBorder="1" applyAlignment="1">
      <alignment horizontal="center" vertical="center"/>
    </xf>
    <xf numFmtId="164" fontId="6" fillId="33" borderId="146" xfId="2" applyNumberFormat="1" applyFont="1" applyFill="1" applyBorder="1" applyAlignment="1">
      <alignment horizontal="center" vertical="center"/>
    </xf>
    <xf numFmtId="0" fontId="47" fillId="22" borderId="156" xfId="0" applyFont="1" applyFill="1" applyBorder="1" applyAlignment="1">
      <alignment horizontal="center" vertical="center"/>
    </xf>
    <xf numFmtId="0" fontId="47" fillId="22" borderId="159" xfId="0" applyFont="1" applyFill="1" applyBorder="1" applyAlignment="1">
      <alignment horizontal="center" vertical="center"/>
    </xf>
    <xf numFmtId="14" fontId="46" fillId="22" borderId="156" xfId="0" applyNumberFormat="1" applyFont="1" applyFill="1" applyBorder="1" applyAlignment="1">
      <alignment horizontal="center" vertical="center"/>
    </xf>
    <xf numFmtId="14" fontId="46" fillId="22" borderId="157" xfId="0" applyNumberFormat="1" applyFont="1" applyFill="1" applyBorder="1" applyAlignment="1">
      <alignment horizontal="center" vertical="center"/>
    </xf>
    <xf numFmtId="14" fontId="46" fillId="22" borderId="159" xfId="0" applyNumberFormat="1" applyFont="1" applyFill="1" applyBorder="1" applyAlignment="1">
      <alignment horizontal="center" vertical="center"/>
    </xf>
    <xf numFmtId="14" fontId="46" fillId="22" borderId="160" xfId="0" applyNumberFormat="1" applyFont="1" applyFill="1" applyBorder="1" applyAlignment="1">
      <alignment horizontal="center" vertical="center"/>
    </xf>
    <xf numFmtId="0" fontId="47" fillId="22" borderId="161" xfId="0" applyFont="1" applyFill="1" applyBorder="1" applyAlignment="1">
      <alignment horizontal="center" vertical="center"/>
    </xf>
    <xf numFmtId="167" fontId="47" fillId="12" borderId="156" xfId="2" applyFont="1" applyFill="1" applyBorder="1" applyAlignment="1">
      <alignment horizontal="center" vertical="center"/>
    </xf>
    <xf numFmtId="167" fontId="47" fillId="12" borderId="159" xfId="2" applyFont="1" applyFill="1" applyBorder="1" applyAlignment="1">
      <alignment horizontal="center" vertical="center"/>
    </xf>
    <xf numFmtId="14" fontId="46" fillId="22" borderId="161" xfId="0" applyNumberFormat="1" applyFont="1" applyFill="1" applyBorder="1" applyAlignment="1">
      <alignment horizontal="center" vertical="center"/>
    </xf>
    <xf numFmtId="14" fontId="46" fillId="22" borderId="162" xfId="0" applyNumberFormat="1" applyFont="1" applyFill="1" applyBorder="1" applyAlignment="1">
      <alignment horizontal="center" vertical="center"/>
    </xf>
    <xf numFmtId="0" fontId="37" fillId="21" borderId="75" xfId="0" applyFont="1" applyFill="1" applyBorder="1" applyAlignment="1">
      <alignment horizontal="center" vertical="center"/>
    </xf>
    <xf numFmtId="0" fontId="28" fillId="41" borderId="164" xfId="0" applyFont="1" applyFill="1" applyBorder="1" applyAlignment="1">
      <alignment horizontal="center" vertical="center" wrapText="1"/>
    </xf>
    <xf numFmtId="0" fontId="28" fillId="41" borderId="167" xfId="0" applyFont="1" applyFill="1" applyBorder="1" applyAlignment="1">
      <alignment horizontal="center" vertical="center" wrapText="1"/>
    </xf>
    <xf numFmtId="0" fontId="28" fillId="41" borderId="163" xfId="0" applyFont="1" applyFill="1" applyBorder="1" applyAlignment="1">
      <alignment horizontal="center" vertical="center"/>
    </xf>
    <xf numFmtId="0" fontId="28" fillId="41" borderId="166" xfId="0" applyFont="1" applyFill="1" applyBorder="1" applyAlignment="1">
      <alignment horizontal="center" vertical="center"/>
    </xf>
    <xf numFmtId="0" fontId="28" fillId="41" borderId="164" xfId="0" applyFont="1" applyFill="1" applyBorder="1" applyAlignment="1">
      <alignment horizontal="center" vertical="center"/>
    </xf>
    <xf numFmtId="0" fontId="28" fillId="41" borderId="170" xfId="0" applyFont="1" applyFill="1" applyBorder="1" applyAlignment="1">
      <alignment horizontal="center" vertical="center"/>
    </xf>
    <xf numFmtId="0" fontId="28" fillId="41" borderId="167" xfId="0" applyFont="1" applyFill="1" applyBorder="1" applyAlignment="1">
      <alignment horizontal="center" vertical="center"/>
    </xf>
    <xf numFmtId="0" fontId="28" fillId="41" borderId="171" xfId="0" applyFont="1" applyFill="1" applyBorder="1" applyAlignment="1">
      <alignment horizontal="center" vertical="center"/>
    </xf>
    <xf numFmtId="0" fontId="28" fillId="41" borderId="174" xfId="0" applyFont="1" applyFill="1" applyBorder="1" applyAlignment="1">
      <alignment horizontal="center" vertical="center" wrapText="1"/>
    </xf>
    <xf numFmtId="0" fontId="28" fillId="41" borderId="175" xfId="0" applyFont="1" applyFill="1" applyBorder="1" applyAlignment="1">
      <alignment horizontal="center" vertical="center" wrapText="1"/>
    </xf>
    <xf numFmtId="0" fontId="28" fillId="41" borderId="176" xfId="0" applyFont="1" applyFill="1" applyBorder="1" applyAlignment="1">
      <alignment horizontal="center" vertical="center" wrapText="1"/>
    </xf>
    <xf numFmtId="0" fontId="28" fillId="41" borderId="177" xfId="0" applyFont="1" applyFill="1" applyBorder="1" applyAlignment="1">
      <alignment horizontal="center" vertical="center" wrapText="1"/>
    </xf>
    <xf numFmtId="0" fontId="28" fillId="41" borderId="172" xfId="0" applyFont="1" applyFill="1" applyBorder="1" applyAlignment="1">
      <alignment horizontal="center" vertical="center" wrapText="1"/>
    </xf>
    <xf numFmtId="0" fontId="28" fillId="41" borderId="165" xfId="0" applyFont="1" applyFill="1" applyBorder="1" applyAlignment="1">
      <alignment horizontal="center" vertical="center" wrapText="1"/>
    </xf>
    <xf numFmtId="0" fontId="28" fillId="41" borderId="173" xfId="0" applyFont="1" applyFill="1" applyBorder="1" applyAlignment="1">
      <alignment horizontal="center" vertical="center" wrapText="1"/>
    </xf>
    <xf numFmtId="0" fontId="28" fillId="41" borderId="168" xfId="0" applyFont="1" applyFill="1" applyBorder="1" applyAlignment="1">
      <alignment horizontal="center" vertical="center" wrapText="1"/>
    </xf>
    <xf numFmtId="167" fontId="48" fillId="22" borderId="45" xfId="2" applyFont="1" applyFill="1" applyBorder="1" applyAlignment="1">
      <alignment horizontal="center" vertical="center"/>
    </xf>
    <xf numFmtId="167" fontId="48" fillId="22" borderId="47" xfId="2" applyFont="1" applyFill="1" applyBorder="1" applyAlignment="1">
      <alignment horizontal="center" vertical="center"/>
    </xf>
    <xf numFmtId="167" fontId="48" fillId="22" borderId="43" xfId="2" applyFont="1" applyFill="1" applyBorder="1" applyAlignment="1">
      <alignment horizontal="center" vertical="center"/>
    </xf>
    <xf numFmtId="167" fontId="48" fillId="22" borderId="49" xfId="2" applyFont="1" applyFill="1" applyBorder="1" applyAlignment="1">
      <alignment horizontal="center" vertical="center"/>
    </xf>
    <xf numFmtId="0" fontId="44" fillId="17" borderId="45" xfId="0" applyFont="1" applyFill="1" applyBorder="1" applyAlignment="1">
      <alignment horizontal="center" vertical="center"/>
    </xf>
    <xf numFmtId="0" fontId="44" fillId="17" borderId="16" xfId="0" applyFont="1" applyFill="1" applyBorder="1" applyAlignment="1">
      <alignment horizontal="center" vertical="center"/>
    </xf>
    <xf numFmtId="0" fontId="44" fillId="17" borderId="43" xfId="0" applyFont="1" applyFill="1" applyBorder="1" applyAlignment="1">
      <alignment horizontal="center" vertical="center"/>
    </xf>
    <xf numFmtId="0" fontId="44" fillId="17" borderId="39" xfId="0" applyFont="1" applyFill="1" applyBorder="1" applyAlignment="1">
      <alignment horizontal="center" vertical="center"/>
    </xf>
    <xf numFmtId="167" fontId="48" fillId="22" borderId="178" xfId="2" applyFont="1" applyFill="1" applyBorder="1" applyAlignment="1">
      <alignment horizontal="center" vertical="center"/>
    </xf>
    <xf numFmtId="167" fontId="48" fillId="22" borderId="179" xfId="2" applyFont="1" applyFill="1" applyBorder="1" applyAlignment="1">
      <alignment horizontal="center" vertical="center"/>
    </xf>
    <xf numFmtId="0" fontId="38" fillId="45" borderId="42" xfId="0" applyFont="1" applyFill="1" applyBorder="1" applyAlignment="1">
      <alignment horizontal="center" vertical="center"/>
    </xf>
    <xf numFmtId="167" fontId="47" fillId="12" borderId="161" xfId="2" applyFont="1" applyFill="1" applyBorder="1" applyAlignment="1">
      <alignment horizontal="center" vertical="center"/>
    </xf>
    <xf numFmtId="169" fontId="6" fillId="21" borderId="104" xfId="3" applyNumberFormat="1" applyFont="1" applyFill="1" applyBorder="1" applyAlignment="1" applyProtection="1">
      <alignment horizontal="center" vertical="center"/>
      <protection locked="0"/>
    </xf>
    <xf numFmtId="169" fontId="6" fillId="21" borderId="105" xfId="3" applyNumberFormat="1" applyFont="1" applyFill="1" applyBorder="1" applyAlignment="1" applyProtection="1">
      <alignment horizontal="center" vertical="center"/>
      <protection locked="0"/>
    </xf>
    <xf numFmtId="169" fontId="6" fillId="21" borderId="67" xfId="3" applyNumberFormat="1" applyFont="1" applyFill="1" applyBorder="1" applyAlignment="1" applyProtection="1">
      <alignment horizontal="center" vertical="center"/>
      <protection locked="0"/>
    </xf>
    <xf numFmtId="169" fontId="6" fillId="21" borderId="49" xfId="3" applyNumberFormat="1" applyFont="1" applyFill="1" applyBorder="1" applyAlignment="1" applyProtection="1">
      <alignment horizontal="center" vertical="center"/>
      <protection locked="0"/>
    </xf>
    <xf numFmtId="171" fontId="6" fillId="21" borderId="91" xfId="3" applyNumberFormat="1" applyFont="1" applyFill="1" applyBorder="1" applyAlignment="1" applyProtection="1">
      <alignment horizontal="center" vertical="center"/>
      <protection locked="0"/>
    </xf>
    <xf numFmtId="171" fontId="6" fillId="21" borderId="93" xfId="3" applyNumberFormat="1" applyFont="1" applyFill="1" applyBorder="1" applyAlignment="1" applyProtection="1">
      <alignment horizontal="center" vertical="center"/>
      <protection locked="0"/>
    </xf>
    <xf numFmtId="0" fontId="42" fillId="2" borderId="16" xfId="1" applyFont="1" applyFill="1" applyBorder="1" applyAlignment="1">
      <alignment horizontal="center" vertical="center"/>
      <protection locked="0"/>
    </xf>
    <xf numFmtId="0" fontId="42" fillId="2" borderId="0" xfId="1" applyFont="1" applyFill="1" applyAlignment="1">
      <alignment horizontal="center" vertical="center"/>
      <protection locked="0"/>
    </xf>
    <xf numFmtId="171" fontId="43" fillId="21" borderId="107" xfId="3" applyNumberFormat="1" applyFont="1" applyFill="1" applyBorder="1" applyAlignment="1" applyProtection="1">
      <alignment horizontal="left" vertical="center"/>
      <protection locked="0"/>
    </xf>
    <xf numFmtId="171" fontId="43" fillId="21" borderId="108" xfId="3" applyNumberFormat="1" applyFont="1" applyFill="1" applyBorder="1" applyAlignment="1" applyProtection="1">
      <alignment horizontal="left" vertical="center"/>
      <protection locked="0"/>
    </xf>
    <xf numFmtId="171" fontId="43" fillId="21" borderId="105" xfId="3" applyNumberFormat="1" applyFont="1" applyFill="1" applyBorder="1" applyAlignment="1" applyProtection="1">
      <alignment horizontal="left" vertical="center"/>
      <protection locked="0"/>
    </xf>
    <xf numFmtId="0" fontId="28" fillId="40" borderId="45" xfId="0" applyFont="1" applyFill="1" applyBorder="1" applyAlignment="1">
      <alignment horizontal="center" vertical="center"/>
    </xf>
    <xf numFmtId="0" fontId="28" fillId="40" borderId="16" xfId="0" applyFont="1" applyFill="1" applyBorder="1" applyAlignment="1">
      <alignment horizontal="center" vertical="center"/>
    </xf>
    <xf numFmtId="0" fontId="28" fillId="40" borderId="47" xfId="0" applyFont="1" applyFill="1" applyBorder="1" applyAlignment="1">
      <alignment horizontal="center" vertical="center"/>
    </xf>
    <xf numFmtId="0" fontId="28" fillId="40" borderId="43" xfId="0" applyFont="1" applyFill="1" applyBorder="1" applyAlignment="1">
      <alignment horizontal="center" vertical="center"/>
    </xf>
    <xf numFmtId="0" fontId="28" fillId="40" borderId="39" xfId="0" applyFont="1" applyFill="1" applyBorder="1" applyAlignment="1">
      <alignment horizontal="center" vertical="center"/>
    </xf>
    <xf numFmtId="0" fontId="28" fillId="40" borderId="49" xfId="0" applyFont="1" applyFill="1" applyBorder="1" applyAlignment="1">
      <alignment horizontal="center" vertical="center"/>
    </xf>
    <xf numFmtId="169" fontId="6" fillId="21" borderId="11" xfId="3" applyNumberFormat="1" applyFont="1" applyFill="1" applyBorder="1" applyAlignment="1" applyProtection="1">
      <alignment horizontal="center" vertical="center"/>
      <protection locked="0"/>
    </xf>
    <xf numFmtId="169" fontId="6" fillId="21" borderId="94" xfId="3" applyNumberFormat="1" applyFont="1" applyFill="1" applyBorder="1" applyAlignment="1" applyProtection="1">
      <alignment horizontal="center" vertical="center"/>
      <protection locked="0"/>
    </xf>
    <xf numFmtId="169" fontId="6" fillId="21" borderId="54" xfId="3" applyNumberFormat="1" applyFont="1" applyFill="1" applyBorder="1" applyAlignment="1" applyProtection="1">
      <alignment horizontal="center" vertical="center"/>
      <protection locked="0"/>
    </xf>
    <xf numFmtId="169" fontId="6" fillId="21" borderId="48" xfId="3" applyNumberFormat="1" applyFont="1" applyFill="1" applyBorder="1" applyAlignment="1" applyProtection="1">
      <alignment horizontal="center" vertical="center"/>
      <protection locked="0"/>
    </xf>
    <xf numFmtId="0" fontId="5" fillId="33" borderId="88" xfId="0" applyFont="1" applyFill="1" applyBorder="1" applyAlignment="1">
      <alignment horizontal="center" vertical="center" wrapText="1"/>
    </xf>
    <xf numFmtId="0" fontId="5" fillId="33" borderId="91" xfId="0" applyFont="1" applyFill="1" applyBorder="1" applyAlignment="1">
      <alignment horizontal="center" vertical="center" wrapText="1"/>
    </xf>
    <xf numFmtId="0" fontId="5" fillId="33" borderId="89" xfId="0" applyFont="1" applyFill="1" applyBorder="1" applyAlignment="1">
      <alignment horizontal="center" vertical="center" wrapText="1"/>
    </xf>
    <xf numFmtId="0" fontId="5" fillId="33" borderId="11" xfId="0" applyFont="1" applyFill="1" applyBorder="1" applyAlignment="1">
      <alignment horizontal="center" vertical="center" wrapText="1"/>
    </xf>
    <xf numFmtId="0" fontId="5" fillId="33" borderId="90" xfId="0" applyFont="1" applyFill="1" applyBorder="1" applyAlignment="1">
      <alignment horizontal="center" vertical="center" wrapText="1"/>
    </xf>
    <xf numFmtId="0" fontId="5" fillId="33" borderId="92" xfId="0" applyFont="1" applyFill="1" applyBorder="1" applyAlignment="1">
      <alignment horizontal="center" vertical="center" wrapText="1"/>
    </xf>
    <xf numFmtId="0" fontId="6" fillId="33" borderId="45" xfId="0" applyFont="1" applyFill="1" applyBorder="1" applyAlignment="1">
      <alignment horizontal="center" vertical="center"/>
    </xf>
    <xf numFmtId="0" fontId="6" fillId="33" borderId="47" xfId="0" applyFont="1" applyFill="1" applyBorder="1" applyAlignment="1">
      <alignment horizontal="center" vertical="center"/>
    </xf>
    <xf numFmtId="0" fontId="6" fillId="33" borderId="43" xfId="0" applyFont="1" applyFill="1" applyBorder="1" applyAlignment="1">
      <alignment horizontal="center" vertical="center"/>
    </xf>
    <xf numFmtId="0" fontId="6" fillId="33" borderId="49" xfId="0" applyFont="1" applyFill="1" applyBorder="1" applyAlignment="1">
      <alignment horizontal="center" vertical="center"/>
    </xf>
    <xf numFmtId="9" fontId="6" fillId="21" borderId="104" xfId="3" applyFont="1" applyFill="1" applyBorder="1" applyAlignment="1" applyProtection="1">
      <alignment horizontal="center" vertical="center"/>
      <protection locked="0"/>
    </xf>
    <xf numFmtId="9" fontId="6" fillId="21" borderId="105" xfId="3" applyFont="1" applyFill="1" applyBorder="1" applyAlignment="1" applyProtection="1">
      <alignment horizontal="center" vertical="center"/>
      <protection locked="0"/>
    </xf>
    <xf numFmtId="9" fontId="6" fillId="21" borderId="67" xfId="3" applyFont="1" applyFill="1" applyBorder="1" applyAlignment="1" applyProtection="1">
      <alignment horizontal="center" vertical="center"/>
      <protection locked="0"/>
    </xf>
    <xf numFmtId="9" fontId="6" fillId="21" borderId="49" xfId="3" applyFont="1" applyFill="1" applyBorder="1" applyAlignment="1" applyProtection="1">
      <alignment horizontal="center" vertical="center"/>
      <protection locked="0"/>
    </xf>
    <xf numFmtId="169" fontId="6" fillId="21" borderId="106" xfId="3" applyNumberFormat="1" applyFont="1" applyFill="1" applyBorder="1" applyAlignment="1" applyProtection="1">
      <alignment horizontal="center" vertical="center"/>
      <protection locked="0"/>
    </xf>
  </cellXfs>
  <cellStyles count="4">
    <cellStyle name="Hiperlink" xfId="1" builtinId="8"/>
    <cellStyle name="Moeda" xfId="2" builtinId="4"/>
    <cellStyle name="Normal" xfId="0" builtinId="0"/>
    <cellStyle name="Porcentagem" xfId="3" builtinId="5"/>
  </cellStyles>
  <dxfs count="17">
    <dxf>
      <font>
        <color theme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CC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800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008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8000"/>
        </patternFill>
      </fill>
    </dxf>
    <dxf>
      <font>
        <color theme="0"/>
      </font>
      <fill>
        <patternFill>
          <bgColor rgb="FF008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8000"/>
        </patternFill>
      </fill>
    </dxf>
    <dxf>
      <font>
        <color theme="0"/>
      </font>
      <fill>
        <patternFill>
          <bgColor rgb="FFC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E6E6FF"/>
      <rgbColor rgb="00660066"/>
      <rgbColor rgb="00FF8080"/>
      <rgbColor rgb="000066CC"/>
      <rgbColor rgb="00CCCCCC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50E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0000"/>
      <color rgb="FFFFFF66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b3.com.br/pt_br/produtos-e-servicos/tarifas/listados-a-vista-e-derivativos/renda-variavel/tarifas-de-acoes-e-fundos-de-investimento/a-vist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>
    <pageSetUpPr fitToPage="1"/>
  </sheetPr>
  <dimension ref="B1:AP88"/>
  <sheetViews>
    <sheetView tabSelected="1" zoomScale="70" zoomScaleNormal="70" workbookViewId="0">
      <pane ySplit="7" topLeftCell="A8" activePane="bottomLeft" state="frozen"/>
      <selection pane="bottomLeft" activeCell="C3" sqref="C3"/>
    </sheetView>
  </sheetViews>
  <sheetFormatPr defaultColWidth="11.5703125" defaultRowHeight="12.75" x14ac:dyDescent="0.2"/>
  <cols>
    <col min="1" max="1" width="8.7109375" style="1" customWidth="1"/>
    <col min="2" max="2" width="11.5703125" style="1" customWidth="1"/>
    <col min="3" max="27" width="11.5703125" style="1"/>
    <col min="28" max="42" width="11.5703125" style="1" hidden="1" customWidth="1"/>
    <col min="43" max="16384" width="11.5703125" style="1"/>
  </cols>
  <sheetData>
    <row r="1" spans="2:42" ht="13.5" thickBot="1" x14ac:dyDescent="0.25"/>
    <row r="2" spans="2:42" ht="18" customHeight="1" thickBot="1" x14ac:dyDescent="0.25">
      <c r="B2" s="241" t="s">
        <v>11</v>
      </c>
      <c r="C2" s="242"/>
      <c r="D2" s="242"/>
      <c r="E2" s="243"/>
      <c r="G2" s="244" t="s">
        <v>2</v>
      </c>
      <c r="H2" s="245"/>
      <c r="I2" s="245"/>
      <c r="J2" s="245"/>
      <c r="K2" s="245"/>
      <c r="L2" s="245"/>
      <c r="M2" s="245"/>
      <c r="N2" s="245"/>
      <c r="O2" s="245"/>
      <c r="P2" s="246"/>
      <c r="R2" s="236"/>
      <c r="S2" s="237"/>
      <c r="T2" s="237"/>
      <c r="U2" s="237"/>
    </row>
    <row r="3" spans="2:42" ht="18" customHeight="1" thickBot="1" x14ac:dyDescent="0.25">
      <c r="B3" s="60" t="s">
        <v>0</v>
      </c>
      <c r="C3" s="31">
        <v>6</v>
      </c>
      <c r="D3" s="60" t="s">
        <v>1</v>
      </c>
      <c r="E3" s="38">
        <v>2020</v>
      </c>
      <c r="G3" s="247"/>
      <c r="H3" s="248"/>
      <c r="I3" s="248"/>
      <c r="J3" s="248"/>
      <c r="K3" s="248"/>
      <c r="L3" s="248"/>
      <c r="M3" s="248"/>
      <c r="N3" s="248"/>
      <c r="O3" s="248"/>
      <c r="P3" s="249"/>
      <c r="Q3" s="30"/>
      <c r="R3" s="237"/>
      <c r="S3" s="237"/>
      <c r="T3" s="237"/>
      <c r="U3" s="237"/>
    </row>
    <row r="4" spans="2:42" ht="18" customHeight="1" thickBot="1" x14ac:dyDescent="0.3">
      <c r="H4" s="34"/>
      <c r="I4" s="34"/>
      <c r="J4" s="34"/>
      <c r="K4" s="34"/>
      <c r="L4" s="34"/>
      <c r="M4" s="34"/>
      <c r="P4" s="2"/>
    </row>
    <row r="5" spans="2:42" ht="20.100000000000001" customHeight="1" thickBot="1" x14ac:dyDescent="0.25">
      <c r="B5" s="238" t="s">
        <v>29</v>
      </c>
      <c r="C5" s="239"/>
      <c r="D5" s="239"/>
      <c r="E5" s="239"/>
      <c r="F5" s="240"/>
      <c r="X5" s="3" t="s">
        <v>3</v>
      </c>
      <c r="AB5" s="214" t="s">
        <v>162</v>
      </c>
      <c r="AC5" s="215"/>
      <c r="AD5" s="215"/>
      <c r="AE5" s="215"/>
      <c r="AF5" s="215"/>
      <c r="AG5" s="216"/>
      <c r="AI5" s="203" t="s">
        <v>163</v>
      </c>
      <c r="AJ5" s="204"/>
      <c r="AK5" s="204"/>
      <c r="AL5" s="204"/>
      <c r="AM5" s="204"/>
      <c r="AN5" s="205"/>
    </row>
    <row r="6" spans="2:42" ht="22.15" customHeight="1" x14ac:dyDescent="0.2">
      <c r="B6" s="250" t="s">
        <v>27</v>
      </c>
      <c r="C6" s="208" t="s">
        <v>41</v>
      </c>
      <c r="D6" s="226" t="s">
        <v>140</v>
      </c>
      <c r="E6" s="252" t="s">
        <v>4</v>
      </c>
      <c r="F6" s="208" t="s">
        <v>39</v>
      </c>
      <c r="G6" s="208" t="s">
        <v>165</v>
      </c>
      <c r="H6" s="254" t="s">
        <v>45</v>
      </c>
      <c r="I6" s="217" t="s">
        <v>40</v>
      </c>
      <c r="J6" s="217" t="s">
        <v>42</v>
      </c>
      <c r="K6" s="217" t="s">
        <v>166</v>
      </c>
      <c r="L6" s="256" t="s">
        <v>44</v>
      </c>
      <c r="M6" s="258" t="s">
        <v>46</v>
      </c>
      <c r="N6" s="223" t="s">
        <v>58</v>
      </c>
      <c r="O6" s="223" t="s">
        <v>59</v>
      </c>
      <c r="P6" s="223" t="s">
        <v>60</v>
      </c>
      <c r="Q6" s="208" t="s">
        <v>37</v>
      </c>
      <c r="R6" s="217" t="s">
        <v>38</v>
      </c>
      <c r="S6" s="226" t="s">
        <v>36</v>
      </c>
      <c r="T6" s="228" t="s">
        <v>43</v>
      </c>
      <c r="U6" s="230" t="s">
        <v>61</v>
      </c>
      <c r="V6" s="232" t="s">
        <v>5</v>
      </c>
      <c r="W6" s="234" t="s">
        <v>6</v>
      </c>
      <c r="X6" s="175" t="s">
        <v>28</v>
      </c>
      <c r="Y6" s="225"/>
      <c r="AB6" s="219" t="s">
        <v>58</v>
      </c>
      <c r="AC6" s="221" t="s">
        <v>59</v>
      </c>
      <c r="AD6" s="206" t="s">
        <v>60</v>
      </c>
      <c r="AE6" s="210" t="s">
        <v>164</v>
      </c>
      <c r="AF6" s="212" t="s">
        <v>3</v>
      </c>
      <c r="AG6" s="201" t="s">
        <v>9</v>
      </c>
      <c r="AI6" s="219" t="s">
        <v>58</v>
      </c>
      <c r="AJ6" s="221" t="s">
        <v>59</v>
      </c>
      <c r="AK6" s="206" t="s">
        <v>60</v>
      </c>
      <c r="AL6" s="210" t="s">
        <v>164</v>
      </c>
      <c r="AM6" s="212" t="s">
        <v>3</v>
      </c>
      <c r="AN6" s="201" t="s">
        <v>9</v>
      </c>
    </row>
    <row r="7" spans="2:42" ht="22.15" customHeight="1" thickBot="1" x14ac:dyDescent="0.25">
      <c r="B7" s="251"/>
      <c r="C7" s="209"/>
      <c r="D7" s="227"/>
      <c r="E7" s="253"/>
      <c r="F7" s="209"/>
      <c r="G7" s="209"/>
      <c r="H7" s="255"/>
      <c r="I7" s="218"/>
      <c r="J7" s="218"/>
      <c r="K7" s="218"/>
      <c r="L7" s="257"/>
      <c r="M7" s="259"/>
      <c r="N7" s="224"/>
      <c r="O7" s="224"/>
      <c r="P7" s="224"/>
      <c r="Q7" s="209"/>
      <c r="R7" s="218"/>
      <c r="S7" s="227"/>
      <c r="T7" s="229"/>
      <c r="U7" s="231"/>
      <c r="V7" s="233"/>
      <c r="W7" s="235"/>
      <c r="X7" s="131">
        <v>0.10680000000000001</v>
      </c>
      <c r="Y7" s="225"/>
      <c r="AB7" s="220"/>
      <c r="AC7" s="222"/>
      <c r="AD7" s="207"/>
      <c r="AE7" s="211"/>
      <c r="AF7" s="213"/>
      <c r="AG7" s="202"/>
      <c r="AI7" s="220"/>
      <c r="AJ7" s="222"/>
      <c r="AK7" s="207"/>
      <c r="AL7" s="211"/>
      <c r="AM7" s="213"/>
      <c r="AN7" s="202"/>
    </row>
    <row r="8" spans="2:42" ht="12.95" customHeight="1" x14ac:dyDescent="0.2">
      <c r="B8" s="48" t="s">
        <v>30</v>
      </c>
      <c r="C8" s="6"/>
      <c r="D8" s="4"/>
      <c r="E8" s="4"/>
      <c r="F8" s="4"/>
      <c r="G8" s="185" t="s">
        <v>69</v>
      </c>
      <c r="H8" s="5">
        <f t="shared" ref="H8:H48" si="0">E8*F8</f>
        <v>0</v>
      </c>
      <c r="I8" s="6"/>
      <c r="J8" s="4"/>
      <c r="K8" s="185" t="s">
        <v>69</v>
      </c>
      <c r="L8" s="7">
        <f t="shared" ref="L8:L48" si="1">SUM(H8,M8)</f>
        <v>0</v>
      </c>
      <c r="M8" s="7">
        <f t="shared" ref="M8:M48" si="2">E8*J8</f>
        <v>0</v>
      </c>
      <c r="N8" s="7">
        <f>ROUNDDOWN(IF(OR(B8="ACAO",B8="DIR",B8="ETF",B8="EXERCICIO"),L8*Configurações!$B$9,IF(B8="EXERC. LC",H8*Configurações!$B$9+M8*Configurações!$B$37,IF(B8="OPCAO",L8*Configurações!$B$23))),2)</f>
        <v>0</v>
      </c>
      <c r="O8" s="7">
        <f>ROUNDDOWN(IF(OR(B8="ACAO",B8="DIR",B8="ETF",B8="EXERCICIO"),L8*Configurações!$C$9,IF(B8="EXERC. LC",H8*Configurações!$C$9+M8*Configurações!$C$37,IF(B8="OPCAO",L8*Configurações!$C$23))),2)</f>
        <v>0</v>
      </c>
      <c r="P8" s="7">
        <f>ROUNDDOWN(IF(OR(B8="ACAO",B8="DIR",B8="ETF",B8="EXERCICIO"),L8*Configurações!$D$9,IF(B8="EXERC. LC",H8*Configurações!$D$9+M8*Configurações!$D$37,IF(B8="OPCAO",L8*Configurações!$D$23))),2)</f>
        <v>0</v>
      </c>
      <c r="Q8" s="4"/>
      <c r="R8" s="4"/>
      <c r="S8" s="4"/>
      <c r="T8" s="8">
        <f>IF(AND(G8="SIM",K8="NÃO"),-H8+M8-P8-Q8-R8-X8-S8-O8-N8+AG8,IF(AND(K8="SIM",G8="NÃO"),-H8+M8-P8-Q8-R8-X8-S8-O8-N8+AN8,IF(AND(K8="SIM",G8="SIM"),-H8+M8-P8-Q8-R8-X8-S8-O8-N8+AN8+AG8,IF(AND(K8="NÃO",G8="NÃO"),-H8+M8-P8-Q8-R8-X8-S8-O8-N8,0))))</f>
        <v>0</v>
      </c>
      <c r="U8" s="4"/>
      <c r="V8" s="128" t="str">
        <f t="shared" ref="V8:V48" si="3">IF(D8="","-",T8/H8)</f>
        <v>-</v>
      </c>
      <c r="W8" s="9">
        <f t="shared" ref="W8:W48" si="4">DAYS360(C8,I8)</f>
        <v>0</v>
      </c>
      <c r="X8" s="10">
        <f>(Q8+R8)*$X$7</f>
        <v>0</v>
      </c>
      <c r="AB8" s="176">
        <f>ROUNDDOWN(IF(OR(B8="ACAO",B8="DIR",B8="ETF",B8="EXERCICIO"),H8*Configurações!$B$9,IF(B8="EXERC. LC",H8*Configurações!$B$9,IF(B8="OPCAO",H8*Configurações!$B$23))),2)</f>
        <v>0</v>
      </c>
      <c r="AC8" s="14">
        <f>ROUNDDOWN(IF(OR(B8="ACAO",B8="DIR",B8="ETF",B8="EXERCICIO"),H8*Configurações!$C$9,IF(B8="EXERC. LC",H8*Configurações!$C$9,IF(B8="OPCAO",H8*Configurações!$C$23))),2)</f>
        <v>0</v>
      </c>
      <c r="AD8" s="179">
        <f>ROUNDDOWN(IF(OR(B8="ACAO",B8="DIR",B8="ETF",B8="EXERCICIO"),H8*Configurações!$D$9,IF(B8="EXERC. LC",H8*Configurações!$D$9,IF(B8="OPCAO",H8*Configurações!$D$23))),2)</f>
        <v>0</v>
      </c>
      <c r="AE8" s="181">
        <f>Q8</f>
        <v>0</v>
      </c>
      <c r="AF8" s="188">
        <f>AE8*$X$7</f>
        <v>0</v>
      </c>
      <c r="AG8" s="182">
        <f>SUM(AB8:AF8)</f>
        <v>0</v>
      </c>
      <c r="AI8" s="176">
        <f>ROUNDDOWN(IF(OR(B8="ACAO",B8="DIR",B8="ETF",B8="EXERCICIO"),M8*Configurações!$B$9,IF(B8="EXERC. LC",M8*Configurações!$B$37,IF(B8="OPCAO",M8*Configurações!$B$23))),2)</f>
        <v>0</v>
      </c>
      <c r="AJ8" s="14">
        <f>ROUNDDOWN(IF(OR(B8="ACAO",B8="DIR",B8="ETF",B8="EXERCICIO"),M8*Configurações!$C$9,IF(B8="EXERC. LC",M8*Configurações!$C$37,IF(B8="OPCAO",M8*Configurações!$C$23))),2)</f>
        <v>0</v>
      </c>
      <c r="AK8" s="179">
        <f>ROUNDDOWN(IF(OR(B8="ACAO",B8="DIR",B8="ETF",B8="EXERCICIO"),M8*Configurações!$D$9,IF(B8="EXERC. LC",M8*Configurações!$D$37,IF(B8="OPCAO",M8*Configurações!$D$23))),2)</f>
        <v>0</v>
      </c>
      <c r="AL8" s="181">
        <f>R8</f>
        <v>0</v>
      </c>
      <c r="AM8" s="188">
        <f>AL8*$X$7</f>
        <v>0</v>
      </c>
      <c r="AN8" s="182">
        <f>SUM(AI8:AM8)</f>
        <v>0</v>
      </c>
    </row>
    <row r="9" spans="2:42" ht="12.95" customHeight="1" x14ac:dyDescent="0.2">
      <c r="B9" s="49" t="s">
        <v>30</v>
      </c>
      <c r="C9" s="13"/>
      <c r="D9" s="11"/>
      <c r="E9" s="11"/>
      <c r="F9" s="11"/>
      <c r="G9" s="186" t="s">
        <v>69</v>
      </c>
      <c r="H9" s="12">
        <f t="shared" si="0"/>
        <v>0</v>
      </c>
      <c r="I9" s="13"/>
      <c r="J9" s="11"/>
      <c r="K9" s="186" t="s">
        <v>69</v>
      </c>
      <c r="L9" s="14">
        <f t="shared" si="1"/>
        <v>0</v>
      </c>
      <c r="M9" s="14">
        <f t="shared" si="2"/>
        <v>0</v>
      </c>
      <c r="N9" s="14">
        <f>ROUNDDOWN(IF(OR(B9="ACAO",B9="DIR",B9="ETF",B9="EXERCICIO"),L9*Configurações!$B$9,IF(B9="EXERC. LC",H9*Configurações!$B$9+M9*Configurações!$B$37,IF(B9="OPCAO",L9*Configurações!$B$23))),2)</f>
        <v>0</v>
      </c>
      <c r="O9" s="14">
        <f>ROUNDDOWN(IF(OR(B9="ACAO",B9="DIR",B9="ETF",B9="EXERCICIO"),L9*Configurações!$C$9,IF(B9="EXERC. LC",H9*Configurações!$C$9+M9*Configurações!$C$37,IF(B9="OPCAO",L9*Configurações!$C$23))),2)</f>
        <v>0</v>
      </c>
      <c r="P9" s="14">
        <f>ROUNDDOWN(IF(OR(B9="ACAO",B9="DIR",B9="ETF",B9="EXERCICIO"),L9*Configurações!$D$9,IF(B9="EXERC. LC",H9*Configurações!$D$9+M9*Configurações!$D$37,IF(B9="OPCAO",L9*Configurações!$D$23))),2)</f>
        <v>0</v>
      </c>
      <c r="Q9" s="11"/>
      <c r="R9" s="11"/>
      <c r="S9" s="11"/>
      <c r="T9" s="15">
        <f t="shared" ref="T9:T48" si="5">IF(AND(G9="SIM",K9="NÃO"),-H9+M9-P9-Q9-R9-X9-S9-O9-N9+AG9,IF(AND(K9="SIM",G9="NÃO"),-H9+M9-P9-Q9-R9-X9-S9-O9-N9+AN9,IF(AND(K9="SIM",G9="SIM"),-H9+M9-P9-Q9-R9-X9-S9-O9-N9+AN9+AG9,IF(AND(K9="NÃO",G9="NÃO"),-H9+M9-P9-Q9-R9-X9-S9-O9-N9,0))))</f>
        <v>0</v>
      </c>
      <c r="U9" s="11"/>
      <c r="V9" s="129" t="str">
        <f t="shared" si="3"/>
        <v>-</v>
      </c>
      <c r="W9" s="16">
        <f t="shared" si="4"/>
        <v>0</v>
      </c>
      <c r="X9" s="17">
        <f t="shared" ref="X9:X48" si="6">(Q9+R9)*$X$7</f>
        <v>0</v>
      </c>
      <c r="AB9" s="176">
        <f>ROUNDDOWN(IF(OR(B9="ACAO",B9="DIR",B9="ETF",B9="EXERCICIO"),H9*Configurações!$B$9,IF(B9="EXERC. LC",H9*Configurações!$B$9,IF(B9="OPCAO",H9*Configurações!$B$23))),2)</f>
        <v>0</v>
      </c>
      <c r="AC9" s="14">
        <f>ROUNDDOWN(IF(OR(B9="ACAO",B9="DIR",B9="ETF",B9="EXERCICIO"),H9*Configurações!$C$9,IF(B9="EXERC. LC",H9*Configurações!$C$9,IF(B9="OPCAO",H9*Configurações!$C$23))),2)</f>
        <v>0</v>
      </c>
      <c r="AD9" s="179">
        <f>ROUNDDOWN(IF(OR(B9="ACAO",B9="DIR",B9="ETF",B9="EXERCICIO"),H9*Configurações!$D$9,IF(B9="EXERC. LC",H9*Configurações!$D$9,IF(B9="OPCAO",H9*Configurações!$D$23))),2)</f>
        <v>0</v>
      </c>
      <c r="AE9" s="181">
        <f t="shared" ref="AE9:AE48" si="7">Q9</f>
        <v>0</v>
      </c>
      <c r="AF9" s="181">
        <f t="shared" ref="AF9:AF48" si="8">AE9*$X$7</f>
        <v>0</v>
      </c>
      <c r="AG9" s="182">
        <f t="shared" ref="AG9:AG48" si="9">SUM(AB9:AF9)</f>
        <v>0</v>
      </c>
      <c r="AI9" s="176">
        <f>ROUNDDOWN(IF(OR(B9="ACAO",B9="DIR",B9="ETF",B9="EXERCICIO"),M9*Configurações!$B$9,IF(B9="EXERC. LC",M9*Configurações!$B$37,IF(B9="OPCAO",M9*Configurações!$B$23))),2)</f>
        <v>0</v>
      </c>
      <c r="AJ9" s="14">
        <f>ROUNDDOWN(IF(OR(B9="ACAO",B9="DIR",B9="ETF",B9="EXERCICIO"),M9*Configurações!$C$9,IF(B9="EXERC. LC",M9*Configurações!$C$37,IF(B9="OPCAO",M9*Configurações!$C$23))),2)</f>
        <v>0</v>
      </c>
      <c r="AK9" s="179">
        <f>ROUNDDOWN(IF(OR(B9="ACAO",B9="DIR",B9="ETF",B9="EXERCICIO"),M9*Configurações!$D$9,IF(B9="EXERC. LC",M9*Configurações!$D$37,IF(B9="OPCAO",M9*Configurações!$D$23))),2)</f>
        <v>0</v>
      </c>
      <c r="AL9" s="181">
        <f t="shared" ref="AL9:AL48" si="10">R9</f>
        <v>0</v>
      </c>
      <c r="AM9" s="181">
        <f t="shared" ref="AM9:AM48" si="11">AL9*$X$7</f>
        <v>0</v>
      </c>
      <c r="AN9" s="182">
        <f t="shared" ref="AN9:AN48" si="12">SUM(AI9:AM9)</f>
        <v>0</v>
      </c>
    </row>
    <row r="10" spans="2:42" ht="12.95" customHeight="1" x14ac:dyDescent="0.2">
      <c r="B10" s="49" t="s">
        <v>30</v>
      </c>
      <c r="C10" s="13"/>
      <c r="D10" s="11"/>
      <c r="E10" s="11"/>
      <c r="F10" s="11"/>
      <c r="G10" s="186" t="s">
        <v>69</v>
      </c>
      <c r="H10" s="12">
        <f t="shared" si="0"/>
        <v>0</v>
      </c>
      <c r="I10" s="13"/>
      <c r="J10" s="11"/>
      <c r="K10" s="186" t="s">
        <v>69</v>
      </c>
      <c r="L10" s="14">
        <f t="shared" si="1"/>
        <v>0</v>
      </c>
      <c r="M10" s="14">
        <f t="shared" si="2"/>
        <v>0</v>
      </c>
      <c r="N10" s="14">
        <f>ROUNDDOWN(IF(OR(B10="ACAO",B10="DIR",B10="ETF",B10="EXERCICIO"),L10*Configurações!$B$9,IF(B10="EXERC. LC",H10*Configurações!$B$9+M10*Configurações!$B$37,IF(B10="OPCAO",L10*Configurações!$B$23))),2)</f>
        <v>0</v>
      </c>
      <c r="O10" s="14">
        <f>ROUNDDOWN(IF(OR(B10="ACAO",B10="DIR",B10="ETF",B10="EXERCICIO"),L10*Configurações!$C$9,IF(B10="EXERC. LC",H10*Configurações!$C$9+M10*Configurações!$C$37,IF(B10="OPCAO",L10*Configurações!$C$23))),2)</f>
        <v>0</v>
      </c>
      <c r="P10" s="14">
        <f>ROUNDDOWN(IF(OR(B10="ACAO",B10="DIR",B10="ETF",B10="EXERCICIO"),L10*Configurações!$D$9,IF(B10="EXERC. LC",H10*Configurações!$D$9+M10*Configurações!$D$37,IF(B10="OPCAO",L10*Configurações!$D$23))),2)</f>
        <v>0</v>
      </c>
      <c r="Q10" s="11"/>
      <c r="R10" s="11"/>
      <c r="S10" s="11"/>
      <c r="T10" s="15">
        <f t="shared" si="5"/>
        <v>0</v>
      </c>
      <c r="U10" s="11"/>
      <c r="V10" s="129" t="str">
        <f t="shared" si="3"/>
        <v>-</v>
      </c>
      <c r="W10" s="16">
        <f t="shared" si="4"/>
        <v>0</v>
      </c>
      <c r="X10" s="17">
        <f t="shared" si="6"/>
        <v>0</v>
      </c>
      <c r="AB10" s="176">
        <f>ROUNDDOWN(IF(OR(B10="ACAO",B10="DIR",B10="ETF",B10="EXERCICIO"),H10*Configurações!$B$9,IF(B10="EXERC. LC",H10*Configurações!$B$9,IF(B10="OPCAO",H10*Configurações!$B$23))),2)</f>
        <v>0</v>
      </c>
      <c r="AC10" s="14">
        <f>ROUNDDOWN(IF(OR(B10="ACAO",B10="DIR",B10="ETF",B10="EXERCICIO"),H10*Configurações!$C$9,IF(B10="EXERC. LC",H10*Configurações!$C$9,IF(B10="OPCAO",H10*Configurações!$C$23))),2)</f>
        <v>0</v>
      </c>
      <c r="AD10" s="179">
        <f>ROUNDDOWN(IF(OR(B10="ACAO",B10="DIR",B10="ETF",B10="EXERCICIO"),H10*Configurações!$D$9,IF(B10="EXERC. LC",H10*Configurações!$D$9,IF(B10="OPCAO",H10*Configurações!$D$23))),2)</f>
        <v>0</v>
      </c>
      <c r="AE10" s="181">
        <f t="shared" si="7"/>
        <v>0</v>
      </c>
      <c r="AF10" s="181">
        <f t="shared" si="8"/>
        <v>0</v>
      </c>
      <c r="AG10" s="182">
        <f t="shared" si="9"/>
        <v>0</v>
      </c>
      <c r="AI10" s="176">
        <f>ROUNDDOWN(IF(OR(B10="ACAO",B10="DIR",B10="ETF",B10="EXERCICIO"),M10*Configurações!$B$9,IF(B10="EXERC. LC",M10*Configurações!$B$37,IF(B10="OPCAO",M10*Configurações!$B$23))),2)</f>
        <v>0</v>
      </c>
      <c r="AJ10" s="14">
        <f>ROUNDDOWN(IF(OR(B10="ACAO",B10="DIR",B10="ETF",B10="EXERCICIO"),M10*Configurações!$C$9,IF(B10="EXERC. LC",M10*Configurações!$C$37,IF(B10="OPCAO",M10*Configurações!$C$23))),2)</f>
        <v>0</v>
      </c>
      <c r="AK10" s="179">
        <f>ROUNDDOWN(IF(OR(B10="ACAO",B10="DIR",B10="ETF",B10="EXERCICIO"),M10*Configurações!$D$9,IF(B10="EXERC. LC",M10*Configurações!$D$37,IF(B10="OPCAO",M10*Configurações!$D$23))),2)</f>
        <v>0</v>
      </c>
      <c r="AL10" s="181">
        <f t="shared" si="10"/>
        <v>0</v>
      </c>
      <c r="AM10" s="181">
        <f t="shared" si="11"/>
        <v>0</v>
      </c>
      <c r="AN10" s="182">
        <f t="shared" si="12"/>
        <v>0</v>
      </c>
      <c r="AP10" s="1" t="s">
        <v>93</v>
      </c>
    </row>
    <row r="11" spans="2:42" ht="12.95" customHeight="1" x14ac:dyDescent="0.2">
      <c r="B11" s="49" t="s">
        <v>30</v>
      </c>
      <c r="C11" s="13"/>
      <c r="D11" s="11"/>
      <c r="E11" s="11"/>
      <c r="F11" s="11"/>
      <c r="G11" s="186" t="s">
        <v>69</v>
      </c>
      <c r="H11" s="12">
        <f t="shared" si="0"/>
        <v>0</v>
      </c>
      <c r="I11" s="13"/>
      <c r="J11" s="11"/>
      <c r="K11" s="186" t="s">
        <v>69</v>
      </c>
      <c r="L11" s="14">
        <f t="shared" si="1"/>
        <v>0</v>
      </c>
      <c r="M11" s="14">
        <f t="shared" si="2"/>
        <v>0</v>
      </c>
      <c r="N11" s="14">
        <f>ROUNDDOWN(IF(OR(B11="ACAO",B11="DIR",B11="ETF",B11="EXERCICIO"),L11*Configurações!$B$9,IF(B11="EXERC. LC",H11*Configurações!$B$9+M11*Configurações!$B$37,IF(B11="OPCAO",L11*Configurações!$B$23))),2)</f>
        <v>0</v>
      </c>
      <c r="O11" s="14">
        <f>ROUNDDOWN(IF(OR(B11="ACAO",B11="DIR",B11="ETF",B11="EXERCICIO"),L11*Configurações!$C$9,IF(B11="EXERC. LC",H11*Configurações!$C$9+M11*Configurações!$C$37,IF(B11="OPCAO",L11*Configurações!$C$23))),2)</f>
        <v>0</v>
      </c>
      <c r="P11" s="14">
        <f>ROUNDDOWN(IF(OR(B11="ACAO",B11="DIR",B11="ETF",B11="EXERCICIO"),L11*Configurações!$D$9,IF(B11="EXERC. LC",H11*Configurações!$D$9+M11*Configurações!$D$37,IF(B11="OPCAO",L11*Configurações!$D$23))),2)</f>
        <v>0</v>
      </c>
      <c r="Q11" s="11"/>
      <c r="R11" s="11"/>
      <c r="S11" s="11"/>
      <c r="T11" s="15">
        <f t="shared" si="5"/>
        <v>0</v>
      </c>
      <c r="U11" s="11"/>
      <c r="V11" s="129" t="str">
        <f t="shared" si="3"/>
        <v>-</v>
      </c>
      <c r="W11" s="16">
        <f t="shared" si="4"/>
        <v>0</v>
      </c>
      <c r="X11" s="17">
        <f t="shared" si="6"/>
        <v>0</v>
      </c>
      <c r="AB11" s="176">
        <f>ROUNDDOWN(IF(OR(B11="ACAO",B11="DIR",B11="ETF",B11="EXERCICIO"),H11*Configurações!$B$9,IF(B11="EXERC. LC",H11*Configurações!$B$9,IF(B11="OPCAO",H11*Configurações!$B$23))),2)</f>
        <v>0</v>
      </c>
      <c r="AC11" s="14">
        <f>ROUNDDOWN(IF(OR(B11="ACAO",B11="DIR",B11="ETF",B11="EXERCICIO"),H11*Configurações!$C$9,IF(B11="EXERC. LC",H11*Configurações!$C$9,IF(B11="OPCAO",H11*Configurações!$C$23))),2)</f>
        <v>0</v>
      </c>
      <c r="AD11" s="179">
        <f>ROUNDDOWN(IF(OR(B11="ACAO",B11="DIR",B11="ETF",B11="EXERCICIO"),H11*Configurações!$D$9,IF(B11="EXERC. LC",H11*Configurações!$D$9,IF(B11="OPCAO",H11*Configurações!$D$23))),2)</f>
        <v>0</v>
      </c>
      <c r="AE11" s="181">
        <f t="shared" si="7"/>
        <v>0</v>
      </c>
      <c r="AF11" s="181">
        <f t="shared" si="8"/>
        <v>0</v>
      </c>
      <c r="AG11" s="182">
        <f t="shared" si="9"/>
        <v>0</v>
      </c>
      <c r="AI11" s="176">
        <f>ROUNDDOWN(IF(OR(B11="ACAO",B11="DIR",B11="ETF",B11="EXERCICIO"),M11*Configurações!$B$9,IF(B11="EXERC. LC",M11*Configurações!$B$37,IF(B11="OPCAO",M11*Configurações!$B$23))),2)</f>
        <v>0</v>
      </c>
      <c r="AJ11" s="14">
        <f>ROUNDDOWN(IF(OR(B11="ACAO",B11="DIR",B11="ETF",B11="EXERCICIO"),M11*Configurações!$C$9,IF(B11="EXERC. LC",M11*Configurações!$C$37,IF(B11="OPCAO",M11*Configurações!$C$23))),2)</f>
        <v>0</v>
      </c>
      <c r="AK11" s="179">
        <f>ROUNDDOWN(IF(OR(B11="ACAO",B11="DIR",B11="ETF",B11="EXERCICIO"),M11*Configurações!$D$9,IF(B11="EXERC. LC",M11*Configurações!$D$37,IF(B11="OPCAO",M11*Configurações!$D$23))),2)</f>
        <v>0</v>
      </c>
      <c r="AL11" s="181">
        <f t="shared" si="10"/>
        <v>0</v>
      </c>
      <c r="AM11" s="181">
        <f t="shared" si="11"/>
        <v>0</v>
      </c>
      <c r="AN11" s="182">
        <f t="shared" si="12"/>
        <v>0</v>
      </c>
      <c r="AP11" s="1" t="s">
        <v>69</v>
      </c>
    </row>
    <row r="12" spans="2:42" ht="12.95" customHeight="1" x14ac:dyDescent="0.2">
      <c r="B12" s="49" t="s">
        <v>30</v>
      </c>
      <c r="C12" s="13"/>
      <c r="D12" s="11"/>
      <c r="E12" s="11"/>
      <c r="F12" s="11"/>
      <c r="G12" s="186" t="s">
        <v>69</v>
      </c>
      <c r="H12" s="12">
        <f t="shared" si="0"/>
        <v>0</v>
      </c>
      <c r="I12" s="13"/>
      <c r="J12" s="11"/>
      <c r="K12" s="186" t="s">
        <v>69</v>
      </c>
      <c r="L12" s="14">
        <f t="shared" si="1"/>
        <v>0</v>
      </c>
      <c r="M12" s="14">
        <f t="shared" si="2"/>
        <v>0</v>
      </c>
      <c r="N12" s="14">
        <f>ROUNDDOWN(IF(OR(B12="ACAO",B12="DIR",B12="ETF",B12="EXERCICIO"),L12*Configurações!$B$9,IF(B12="EXERC. LC",H12*Configurações!$B$9+M12*Configurações!$B$37,IF(B12="OPCAO",L12*Configurações!$B$23))),2)</f>
        <v>0</v>
      </c>
      <c r="O12" s="14">
        <f>ROUNDDOWN(IF(OR(B12="ACAO",B12="DIR",B12="ETF",B12="EXERCICIO"),L12*Configurações!$C$9,IF(B12="EXERC. LC",H12*Configurações!$C$9+M12*Configurações!$C$37,IF(B12="OPCAO",L12*Configurações!$C$23))),2)</f>
        <v>0</v>
      </c>
      <c r="P12" s="14">
        <f>ROUNDDOWN(IF(OR(B12="ACAO",B12="DIR",B12="ETF",B12="EXERCICIO"),L12*Configurações!$D$9,IF(B12="EXERC. LC",H12*Configurações!$D$9+M12*Configurações!$D$37,IF(B12="OPCAO",L12*Configurações!$D$23))),2)</f>
        <v>0</v>
      </c>
      <c r="Q12" s="11"/>
      <c r="R12" s="11"/>
      <c r="S12" s="11"/>
      <c r="T12" s="15">
        <f t="shared" si="5"/>
        <v>0</v>
      </c>
      <c r="U12" s="11"/>
      <c r="V12" s="129" t="str">
        <f t="shared" si="3"/>
        <v>-</v>
      </c>
      <c r="W12" s="16">
        <f t="shared" si="4"/>
        <v>0</v>
      </c>
      <c r="X12" s="17">
        <f t="shared" si="6"/>
        <v>0</v>
      </c>
      <c r="AB12" s="176">
        <f>ROUNDDOWN(IF(OR(B12="ACAO",B12="DIR",B12="ETF",B12="EXERCICIO"),H12*Configurações!$B$9,IF(B12="EXERC. LC",H12*Configurações!$B$9,IF(B12="OPCAO",H12*Configurações!$B$23))),2)</f>
        <v>0</v>
      </c>
      <c r="AC12" s="14">
        <f>ROUNDDOWN(IF(OR(B12="ACAO",B12="DIR",B12="ETF",B12="EXERCICIO"),H12*Configurações!$C$9,IF(B12="EXERC. LC",H12*Configurações!$C$9,IF(B12="OPCAO",H12*Configurações!$C$23))),2)</f>
        <v>0</v>
      </c>
      <c r="AD12" s="179">
        <f>ROUNDDOWN(IF(OR(B12="ACAO",B12="DIR",B12="ETF",B12="EXERCICIO"),H12*Configurações!$D$9,IF(B12="EXERC. LC",H12*Configurações!$D$9,IF(B12="OPCAO",H12*Configurações!$D$23))),2)</f>
        <v>0</v>
      </c>
      <c r="AE12" s="181">
        <f t="shared" si="7"/>
        <v>0</v>
      </c>
      <c r="AF12" s="181">
        <f t="shared" si="8"/>
        <v>0</v>
      </c>
      <c r="AG12" s="182">
        <f t="shared" si="9"/>
        <v>0</v>
      </c>
      <c r="AI12" s="176">
        <f>ROUNDDOWN(IF(OR(B12="ACAO",B12="DIR",B12="ETF",B12="EXERCICIO"),M12*Configurações!$B$9,IF(B12="EXERC. LC",M12*Configurações!$B$37,IF(B12="OPCAO",M12*Configurações!$B$23))),2)</f>
        <v>0</v>
      </c>
      <c r="AJ12" s="14">
        <f>ROUNDDOWN(IF(OR(B12="ACAO",B12="DIR",B12="ETF",B12="EXERCICIO"),M12*Configurações!$C$9,IF(B12="EXERC. LC",M12*Configurações!$C$37,IF(B12="OPCAO",M12*Configurações!$C$23))),2)</f>
        <v>0</v>
      </c>
      <c r="AK12" s="179">
        <f>ROUNDDOWN(IF(OR(B12="ACAO",B12="DIR",B12="ETF",B12="EXERCICIO"),M12*Configurações!$D$9,IF(B12="EXERC. LC",M12*Configurações!$D$37,IF(B12="OPCAO",M12*Configurações!$D$23))),2)</f>
        <v>0</v>
      </c>
      <c r="AL12" s="181">
        <f t="shared" si="10"/>
        <v>0</v>
      </c>
      <c r="AM12" s="181">
        <f t="shared" si="11"/>
        <v>0</v>
      </c>
      <c r="AN12" s="182">
        <f t="shared" si="12"/>
        <v>0</v>
      </c>
    </row>
    <row r="13" spans="2:42" ht="12.95" customHeight="1" x14ac:dyDescent="0.2">
      <c r="B13" s="49" t="s">
        <v>30</v>
      </c>
      <c r="C13" s="13"/>
      <c r="D13" s="11"/>
      <c r="E13" s="11"/>
      <c r="F13" s="11"/>
      <c r="G13" s="186" t="s">
        <v>69</v>
      </c>
      <c r="H13" s="12">
        <f t="shared" si="0"/>
        <v>0</v>
      </c>
      <c r="I13" s="13"/>
      <c r="J13" s="11"/>
      <c r="K13" s="186" t="s">
        <v>69</v>
      </c>
      <c r="L13" s="14">
        <f t="shared" si="1"/>
        <v>0</v>
      </c>
      <c r="M13" s="14">
        <f t="shared" si="2"/>
        <v>0</v>
      </c>
      <c r="N13" s="14">
        <f>ROUNDDOWN(IF(OR(B13="ACAO",B13="DIR",B13="ETF",B13="EXERCICIO"),L13*Configurações!$B$9,IF(B13="EXERC. LC",H13*Configurações!$B$9+M13*Configurações!$B$37,IF(B13="OPCAO",L13*Configurações!$B$23))),2)</f>
        <v>0</v>
      </c>
      <c r="O13" s="14">
        <f>ROUNDDOWN(IF(OR(B13="ACAO",B13="DIR",B13="ETF",B13="EXERCICIO"),L13*Configurações!$C$9,IF(B13="EXERC. LC",H13*Configurações!$C$9+M13*Configurações!$C$37,IF(B13="OPCAO",L13*Configurações!$C$23))),2)</f>
        <v>0</v>
      </c>
      <c r="P13" s="14">
        <f>ROUNDDOWN(IF(OR(B13="ACAO",B13="DIR",B13="ETF",B13="EXERCICIO"),L13*Configurações!$D$9,IF(B13="EXERC. LC",H13*Configurações!$D$9+M13*Configurações!$D$37,IF(B13="OPCAO",L13*Configurações!$D$23))),2)</f>
        <v>0</v>
      </c>
      <c r="Q13" s="11"/>
      <c r="R13" s="11"/>
      <c r="S13" s="11"/>
      <c r="T13" s="15">
        <f t="shared" si="5"/>
        <v>0</v>
      </c>
      <c r="U13" s="11"/>
      <c r="V13" s="129" t="str">
        <f t="shared" si="3"/>
        <v>-</v>
      </c>
      <c r="W13" s="16">
        <f t="shared" si="4"/>
        <v>0</v>
      </c>
      <c r="X13" s="17">
        <f t="shared" si="6"/>
        <v>0</v>
      </c>
      <c r="AB13" s="176">
        <f>ROUNDDOWN(IF(OR(B13="ACAO",B13="DIR",B13="ETF",B13="EXERCICIO"),H13*Configurações!$B$9,IF(B13="EXERC. LC",H13*Configurações!$B$9,IF(B13="OPCAO",H13*Configurações!$B$23))),2)</f>
        <v>0</v>
      </c>
      <c r="AC13" s="14">
        <f>ROUNDDOWN(IF(OR(B13="ACAO",B13="DIR",B13="ETF",B13="EXERCICIO"),H13*Configurações!$C$9,IF(B13="EXERC. LC",H13*Configurações!$C$9,IF(B13="OPCAO",H13*Configurações!$C$23))),2)</f>
        <v>0</v>
      </c>
      <c r="AD13" s="179">
        <f>ROUNDDOWN(IF(OR(B13="ACAO",B13="DIR",B13="ETF",B13="EXERCICIO"),H13*Configurações!$D$9,IF(B13="EXERC. LC",H13*Configurações!$D$9,IF(B13="OPCAO",H13*Configurações!$D$23))),2)</f>
        <v>0</v>
      </c>
      <c r="AE13" s="181">
        <f t="shared" si="7"/>
        <v>0</v>
      </c>
      <c r="AF13" s="181">
        <f t="shared" si="8"/>
        <v>0</v>
      </c>
      <c r="AG13" s="182">
        <f t="shared" si="9"/>
        <v>0</v>
      </c>
      <c r="AI13" s="176">
        <f>ROUNDDOWN(IF(OR(B13="ACAO",B13="DIR",B13="ETF",B13="EXERCICIO"),M13*Configurações!$B$9,IF(B13="EXERC. LC",M13*Configurações!$B$37,IF(B13="OPCAO",M13*Configurações!$B$23))),2)</f>
        <v>0</v>
      </c>
      <c r="AJ13" s="14">
        <f>ROUNDDOWN(IF(OR(B13="ACAO",B13="DIR",B13="ETF",B13="EXERCICIO"),M13*Configurações!$C$9,IF(B13="EXERC. LC",M13*Configurações!$C$37,IF(B13="OPCAO",M13*Configurações!$C$23))),2)</f>
        <v>0</v>
      </c>
      <c r="AK13" s="179">
        <f>ROUNDDOWN(IF(OR(B13="ACAO",B13="DIR",B13="ETF",B13="EXERCICIO"),M13*Configurações!$D$9,IF(B13="EXERC. LC",M13*Configurações!$D$37,IF(B13="OPCAO",M13*Configurações!$D$23))),2)</f>
        <v>0</v>
      </c>
      <c r="AL13" s="181">
        <f t="shared" si="10"/>
        <v>0</v>
      </c>
      <c r="AM13" s="181">
        <f t="shared" si="11"/>
        <v>0</v>
      </c>
      <c r="AN13" s="182">
        <f t="shared" si="12"/>
        <v>0</v>
      </c>
    </row>
    <row r="14" spans="2:42" ht="12.95" customHeight="1" x14ac:dyDescent="0.2">
      <c r="B14" s="49" t="s">
        <v>30</v>
      </c>
      <c r="C14" s="13"/>
      <c r="D14" s="11"/>
      <c r="E14" s="11"/>
      <c r="F14" s="11"/>
      <c r="G14" s="186" t="s">
        <v>69</v>
      </c>
      <c r="H14" s="12">
        <f t="shared" si="0"/>
        <v>0</v>
      </c>
      <c r="I14" s="13"/>
      <c r="J14" s="11"/>
      <c r="K14" s="186" t="s">
        <v>69</v>
      </c>
      <c r="L14" s="14">
        <f t="shared" si="1"/>
        <v>0</v>
      </c>
      <c r="M14" s="14">
        <f t="shared" si="2"/>
        <v>0</v>
      </c>
      <c r="N14" s="14">
        <f>ROUNDDOWN(IF(OR(B14="ACAO",B14="DIR",B14="ETF",B14="EXERCICIO"),L14*Configurações!$B$9,IF(B14="EXERC. LC",H14*Configurações!$B$9+M14*Configurações!$B$37,IF(B14="OPCAO",L14*Configurações!$B$23))),2)</f>
        <v>0</v>
      </c>
      <c r="O14" s="14">
        <f>ROUNDDOWN(IF(OR(B14="ACAO",B14="DIR",B14="ETF",B14="EXERCICIO"),L14*Configurações!$C$9,IF(B14="EXERC. LC",H14*Configurações!$C$9+M14*Configurações!$C$37,IF(B14="OPCAO",L14*Configurações!$C$23))),2)</f>
        <v>0</v>
      </c>
      <c r="P14" s="14">
        <f>ROUNDDOWN(IF(OR(B14="ACAO",B14="DIR",B14="ETF",B14="EXERCICIO"),L14*Configurações!$D$9,IF(B14="EXERC. LC",H14*Configurações!$D$9+M14*Configurações!$D$37,IF(B14="OPCAO",L14*Configurações!$D$23))),2)</f>
        <v>0</v>
      </c>
      <c r="Q14" s="11"/>
      <c r="R14" s="11"/>
      <c r="S14" s="11"/>
      <c r="T14" s="15">
        <f t="shared" si="5"/>
        <v>0</v>
      </c>
      <c r="U14" s="11"/>
      <c r="V14" s="129" t="str">
        <f t="shared" si="3"/>
        <v>-</v>
      </c>
      <c r="W14" s="16">
        <f t="shared" si="4"/>
        <v>0</v>
      </c>
      <c r="X14" s="17">
        <f t="shared" si="6"/>
        <v>0</v>
      </c>
      <c r="AB14" s="176">
        <f>ROUNDDOWN(IF(OR(B14="ACAO",B14="DIR",B14="ETF",B14="EXERCICIO"),H14*Configurações!$B$9,IF(B14="EXERC. LC",H14*Configurações!$B$9,IF(B14="OPCAO",H14*Configurações!$B$23))),2)</f>
        <v>0</v>
      </c>
      <c r="AC14" s="14">
        <f>ROUNDDOWN(IF(OR(B14="ACAO",B14="DIR",B14="ETF",B14="EXERCICIO"),H14*Configurações!$C$9,IF(B14="EXERC. LC",H14*Configurações!$C$9,IF(B14="OPCAO",H14*Configurações!$C$23))),2)</f>
        <v>0</v>
      </c>
      <c r="AD14" s="179">
        <f>ROUNDDOWN(IF(OR(B14="ACAO",B14="DIR",B14="ETF",B14="EXERCICIO"),H14*Configurações!$D$9,IF(B14="EXERC. LC",H14*Configurações!$D$9,IF(B14="OPCAO",H14*Configurações!$D$23))),2)</f>
        <v>0</v>
      </c>
      <c r="AE14" s="181">
        <f t="shared" si="7"/>
        <v>0</v>
      </c>
      <c r="AF14" s="181">
        <f t="shared" si="8"/>
        <v>0</v>
      </c>
      <c r="AG14" s="182">
        <f t="shared" si="9"/>
        <v>0</v>
      </c>
      <c r="AI14" s="176">
        <f>ROUNDDOWN(IF(OR(B14="ACAO",B14="DIR",B14="ETF",B14="EXERCICIO"),M14*Configurações!$B$9,IF(B14="EXERC. LC",M14*Configurações!$B$37,IF(B14="OPCAO",M14*Configurações!$B$23))),2)</f>
        <v>0</v>
      </c>
      <c r="AJ14" s="14">
        <f>ROUNDDOWN(IF(OR(B14="ACAO",B14="DIR",B14="ETF",B14="EXERCICIO"),M14*Configurações!$C$9,IF(B14="EXERC. LC",M14*Configurações!$C$37,IF(B14="OPCAO",M14*Configurações!$C$23))),2)</f>
        <v>0</v>
      </c>
      <c r="AK14" s="179">
        <f>ROUNDDOWN(IF(OR(B14="ACAO",B14="DIR",B14="ETF",B14="EXERCICIO"),M14*Configurações!$D$9,IF(B14="EXERC. LC",M14*Configurações!$D$37,IF(B14="OPCAO",M14*Configurações!$D$23))),2)</f>
        <v>0</v>
      </c>
      <c r="AL14" s="181">
        <f t="shared" si="10"/>
        <v>0</v>
      </c>
      <c r="AM14" s="181">
        <f t="shared" si="11"/>
        <v>0</v>
      </c>
      <c r="AN14" s="182">
        <f t="shared" si="12"/>
        <v>0</v>
      </c>
    </row>
    <row r="15" spans="2:42" ht="12.95" customHeight="1" x14ac:dyDescent="0.2">
      <c r="B15" s="49" t="s">
        <v>30</v>
      </c>
      <c r="C15" s="13"/>
      <c r="D15" s="11"/>
      <c r="E15" s="11"/>
      <c r="F15" s="11"/>
      <c r="G15" s="186" t="s">
        <v>69</v>
      </c>
      <c r="H15" s="12">
        <f t="shared" si="0"/>
        <v>0</v>
      </c>
      <c r="I15" s="13"/>
      <c r="J15" s="11"/>
      <c r="K15" s="186" t="s">
        <v>69</v>
      </c>
      <c r="L15" s="14">
        <f t="shared" si="1"/>
        <v>0</v>
      </c>
      <c r="M15" s="14">
        <f t="shared" si="2"/>
        <v>0</v>
      </c>
      <c r="N15" s="14">
        <f>ROUNDDOWN(IF(OR(B15="ACAO",B15="DIR",B15="ETF",B15="EXERCICIO"),L15*Configurações!$B$9,IF(B15="EXERC. LC",H15*Configurações!$B$9+M15*Configurações!$B$37,IF(B15="OPCAO",L15*Configurações!$B$23))),2)</f>
        <v>0</v>
      </c>
      <c r="O15" s="14">
        <f>ROUNDDOWN(IF(OR(B15="ACAO",B15="DIR",B15="ETF",B15="EXERCICIO"),L15*Configurações!$C$9,IF(B15="EXERC. LC",H15*Configurações!$C$9+M15*Configurações!$C$37,IF(B15="OPCAO",L15*Configurações!$C$23))),2)</f>
        <v>0</v>
      </c>
      <c r="P15" s="14">
        <f>ROUNDDOWN(IF(OR(B15="ACAO",B15="DIR",B15="ETF",B15="EXERCICIO"),L15*Configurações!$D$9,IF(B15="EXERC. LC",H15*Configurações!$D$9+M15*Configurações!$D$37,IF(B15="OPCAO",L15*Configurações!$D$23))),2)</f>
        <v>0</v>
      </c>
      <c r="Q15" s="11"/>
      <c r="R15" s="11"/>
      <c r="S15" s="11"/>
      <c r="T15" s="15">
        <f t="shared" si="5"/>
        <v>0</v>
      </c>
      <c r="U15" s="11"/>
      <c r="V15" s="129" t="str">
        <f t="shared" si="3"/>
        <v>-</v>
      </c>
      <c r="W15" s="16">
        <f t="shared" si="4"/>
        <v>0</v>
      </c>
      <c r="X15" s="17">
        <f t="shared" si="6"/>
        <v>0</v>
      </c>
      <c r="AB15" s="176">
        <f>ROUNDDOWN(IF(OR(B15="ACAO",B15="DIR",B15="ETF",B15="EXERCICIO"),H15*Configurações!$B$9,IF(B15="EXERC. LC",H15*Configurações!$B$9,IF(B15="OPCAO",H15*Configurações!$B$23))),2)</f>
        <v>0</v>
      </c>
      <c r="AC15" s="14">
        <f>ROUNDDOWN(IF(OR(B15="ACAO",B15="DIR",B15="ETF",B15="EXERCICIO"),H15*Configurações!$C$9,IF(B15="EXERC. LC",H15*Configurações!$C$9,IF(B15="OPCAO",H15*Configurações!$C$23))),2)</f>
        <v>0</v>
      </c>
      <c r="AD15" s="179">
        <f>ROUNDDOWN(IF(OR(B15="ACAO",B15="DIR",B15="ETF",B15="EXERCICIO"),H15*Configurações!$D$9,IF(B15="EXERC. LC",H15*Configurações!$D$9,IF(B15="OPCAO",H15*Configurações!$D$23))),2)</f>
        <v>0</v>
      </c>
      <c r="AE15" s="181">
        <f t="shared" si="7"/>
        <v>0</v>
      </c>
      <c r="AF15" s="181">
        <f t="shared" si="8"/>
        <v>0</v>
      </c>
      <c r="AG15" s="182">
        <f t="shared" si="9"/>
        <v>0</v>
      </c>
      <c r="AI15" s="176">
        <f>ROUNDDOWN(IF(OR(B15="ACAO",B15="DIR",B15="ETF",B15="EXERCICIO"),M15*Configurações!$B$9,IF(B15="EXERC. LC",M15*Configurações!$B$37,IF(B15="OPCAO",M15*Configurações!$B$23))),2)</f>
        <v>0</v>
      </c>
      <c r="AJ15" s="14">
        <f>ROUNDDOWN(IF(OR(B15="ACAO",B15="DIR",B15="ETF",B15="EXERCICIO"),M15*Configurações!$C$9,IF(B15="EXERC. LC",M15*Configurações!$C$37,IF(B15="OPCAO",M15*Configurações!$C$23))),2)</f>
        <v>0</v>
      </c>
      <c r="AK15" s="179">
        <f>ROUNDDOWN(IF(OR(B15="ACAO",B15="DIR",B15="ETF",B15="EXERCICIO"),M15*Configurações!$D$9,IF(B15="EXERC. LC",M15*Configurações!$D$37,IF(B15="OPCAO",M15*Configurações!$D$23))),2)</f>
        <v>0</v>
      </c>
      <c r="AL15" s="181">
        <f t="shared" si="10"/>
        <v>0</v>
      </c>
      <c r="AM15" s="181">
        <f t="shared" si="11"/>
        <v>0</v>
      </c>
      <c r="AN15" s="182">
        <f t="shared" si="12"/>
        <v>0</v>
      </c>
    </row>
    <row r="16" spans="2:42" ht="12.95" customHeight="1" x14ac:dyDescent="0.2">
      <c r="B16" s="49" t="s">
        <v>30</v>
      </c>
      <c r="C16" s="13"/>
      <c r="D16" s="11"/>
      <c r="E16" s="11"/>
      <c r="F16" s="11"/>
      <c r="G16" s="186" t="s">
        <v>69</v>
      </c>
      <c r="H16" s="12">
        <f t="shared" si="0"/>
        <v>0</v>
      </c>
      <c r="I16" s="13"/>
      <c r="J16" s="11"/>
      <c r="K16" s="186" t="s">
        <v>69</v>
      </c>
      <c r="L16" s="14">
        <f t="shared" si="1"/>
        <v>0</v>
      </c>
      <c r="M16" s="14">
        <f t="shared" si="2"/>
        <v>0</v>
      </c>
      <c r="N16" s="14">
        <f>ROUNDDOWN(IF(OR(B16="ACAO",B16="DIR",B16="ETF",B16="EXERCICIO"),L16*Configurações!$B$9,IF(B16="EXERC. LC",H16*Configurações!$B$9+M16*Configurações!$B$37,IF(B16="OPCAO",L16*Configurações!$B$23))),2)</f>
        <v>0</v>
      </c>
      <c r="O16" s="14">
        <f>ROUNDDOWN(IF(OR(B16="ACAO",B16="DIR",B16="ETF",B16="EXERCICIO"),L16*Configurações!$C$9,IF(B16="EXERC. LC",H16*Configurações!$C$9+M16*Configurações!$C$37,IF(B16="OPCAO",L16*Configurações!$C$23))),2)</f>
        <v>0</v>
      </c>
      <c r="P16" s="14">
        <f>ROUNDDOWN(IF(OR(B16="ACAO",B16="DIR",B16="ETF",B16="EXERCICIO"),L16*Configurações!$D$9,IF(B16="EXERC. LC",H16*Configurações!$D$9+M16*Configurações!$D$37,IF(B16="OPCAO",L16*Configurações!$D$23))),2)</f>
        <v>0</v>
      </c>
      <c r="Q16" s="11"/>
      <c r="R16" s="11"/>
      <c r="S16" s="11"/>
      <c r="T16" s="15">
        <f t="shared" si="5"/>
        <v>0</v>
      </c>
      <c r="U16" s="11"/>
      <c r="V16" s="129" t="str">
        <f t="shared" si="3"/>
        <v>-</v>
      </c>
      <c r="W16" s="16">
        <f t="shared" si="4"/>
        <v>0</v>
      </c>
      <c r="X16" s="17">
        <f t="shared" si="6"/>
        <v>0</v>
      </c>
      <c r="AB16" s="176">
        <f>ROUNDDOWN(IF(OR(B16="ACAO",B16="DIR",B16="ETF",B16="EXERCICIO"),H16*Configurações!$B$9,IF(B16="EXERC. LC",H16*Configurações!$B$9,IF(B16="OPCAO",H16*Configurações!$B$23))),2)</f>
        <v>0</v>
      </c>
      <c r="AC16" s="14">
        <f>ROUNDDOWN(IF(OR(B16="ACAO",B16="DIR",B16="ETF",B16="EXERCICIO"),H16*Configurações!$C$9,IF(B16="EXERC. LC",H16*Configurações!$C$9,IF(B16="OPCAO",H16*Configurações!$C$23))),2)</f>
        <v>0</v>
      </c>
      <c r="AD16" s="179">
        <f>ROUNDDOWN(IF(OR(B16="ACAO",B16="DIR",B16="ETF",B16="EXERCICIO"),H16*Configurações!$D$9,IF(B16="EXERC. LC",H16*Configurações!$D$9,IF(B16="OPCAO",H16*Configurações!$D$23))),2)</f>
        <v>0</v>
      </c>
      <c r="AE16" s="181">
        <f t="shared" si="7"/>
        <v>0</v>
      </c>
      <c r="AF16" s="181">
        <f t="shared" si="8"/>
        <v>0</v>
      </c>
      <c r="AG16" s="182">
        <f t="shared" si="9"/>
        <v>0</v>
      </c>
      <c r="AI16" s="176">
        <f>ROUNDDOWN(IF(OR(B16="ACAO",B16="DIR",B16="ETF",B16="EXERCICIO"),M16*Configurações!$B$9,IF(B16="EXERC. LC",M16*Configurações!$B$37,IF(B16="OPCAO",M16*Configurações!$B$23))),2)</f>
        <v>0</v>
      </c>
      <c r="AJ16" s="14">
        <f>ROUNDDOWN(IF(OR(B16="ACAO",B16="DIR",B16="ETF",B16="EXERCICIO"),M16*Configurações!$C$9,IF(B16="EXERC. LC",M16*Configurações!$C$37,IF(B16="OPCAO",M16*Configurações!$C$23))),2)</f>
        <v>0</v>
      </c>
      <c r="AK16" s="179">
        <f>ROUNDDOWN(IF(OR(B16="ACAO",B16="DIR",B16="ETF",B16="EXERCICIO"),M16*Configurações!$D$9,IF(B16="EXERC. LC",M16*Configurações!$D$37,IF(B16="OPCAO",M16*Configurações!$D$23))),2)</f>
        <v>0</v>
      </c>
      <c r="AL16" s="181">
        <f t="shared" si="10"/>
        <v>0</v>
      </c>
      <c r="AM16" s="181">
        <f t="shared" si="11"/>
        <v>0</v>
      </c>
      <c r="AN16" s="182">
        <f t="shared" si="12"/>
        <v>0</v>
      </c>
    </row>
    <row r="17" spans="2:40" ht="12.95" customHeight="1" x14ac:dyDescent="0.2">
      <c r="B17" s="49" t="s">
        <v>30</v>
      </c>
      <c r="C17" s="13"/>
      <c r="D17" s="11"/>
      <c r="E17" s="11"/>
      <c r="F17" s="11"/>
      <c r="G17" s="186" t="s">
        <v>69</v>
      </c>
      <c r="H17" s="12">
        <f t="shared" si="0"/>
        <v>0</v>
      </c>
      <c r="I17" s="13"/>
      <c r="J17" s="11"/>
      <c r="K17" s="186" t="s">
        <v>69</v>
      </c>
      <c r="L17" s="14">
        <f t="shared" si="1"/>
        <v>0</v>
      </c>
      <c r="M17" s="14">
        <f t="shared" si="2"/>
        <v>0</v>
      </c>
      <c r="N17" s="14">
        <f>ROUNDDOWN(IF(OR(B17="ACAO",B17="DIR",B17="ETF",B17="EXERCICIO"),L17*Configurações!$B$9,IF(B17="EXERC. LC",H17*Configurações!$B$9+M17*Configurações!$B$37,IF(B17="OPCAO",L17*Configurações!$B$23))),2)</f>
        <v>0</v>
      </c>
      <c r="O17" s="14">
        <f>ROUNDDOWN(IF(OR(B17="ACAO",B17="DIR",B17="ETF",B17="EXERCICIO"),L17*Configurações!$C$9,IF(B17="EXERC. LC",H17*Configurações!$C$9+M17*Configurações!$C$37,IF(B17="OPCAO",L17*Configurações!$C$23))),2)</f>
        <v>0</v>
      </c>
      <c r="P17" s="14">
        <f>ROUNDDOWN(IF(OR(B17="ACAO",B17="DIR",B17="ETF",B17="EXERCICIO"),L17*Configurações!$D$9,IF(B17="EXERC. LC",H17*Configurações!$D$9+M17*Configurações!$D$37,IF(B17="OPCAO",L17*Configurações!$D$23))),2)</f>
        <v>0</v>
      </c>
      <c r="Q17" s="11"/>
      <c r="R17" s="11"/>
      <c r="S17" s="11"/>
      <c r="T17" s="15">
        <f t="shared" si="5"/>
        <v>0</v>
      </c>
      <c r="U17" s="11"/>
      <c r="V17" s="129" t="str">
        <f t="shared" si="3"/>
        <v>-</v>
      </c>
      <c r="W17" s="16">
        <f t="shared" si="4"/>
        <v>0</v>
      </c>
      <c r="X17" s="17">
        <f t="shared" si="6"/>
        <v>0</v>
      </c>
      <c r="AB17" s="176">
        <f>ROUNDDOWN(IF(OR(B17="ACAO",B17="DIR",B17="ETF",B17="EXERCICIO"),H17*Configurações!$B$9,IF(B17="EXERC. LC",H17*Configurações!$B$9,IF(B17="OPCAO",H17*Configurações!$B$23))),2)</f>
        <v>0</v>
      </c>
      <c r="AC17" s="14">
        <f>ROUNDDOWN(IF(OR(B17="ACAO",B17="DIR",B17="ETF",B17="EXERCICIO"),H17*Configurações!$C$9,IF(B17="EXERC. LC",H17*Configurações!$C$9,IF(B17="OPCAO",H17*Configurações!$C$23))),2)</f>
        <v>0</v>
      </c>
      <c r="AD17" s="179">
        <f>ROUNDDOWN(IF(OR(B17="ACAO",B17="DIR",B17="ETF",B17="EXERCICIO"),H17*Configurações!$D$9,IF(B17="EXERC. LC",H17*Configurações!$D$9,IF(B17="OPCAO",H17*Configurações!$D$23))),2)</f>
        <v>0</v>
      </c>
      <c r="AE17" s="181">
        <f t="shared" si="7"/>
        <v>0</v>
      </c>
      <c r="AF17" s="181">
        <f t="shared" si="8"/>
        <v>0</v>
      </c>
      <c r="AG17" s="182">
        <f t="shared" si="9"/>
        <v>0</v>
      </c>
      <c r="AI17" s="176">
        <f>ROUNDDOWN(IF(OR(B17="ACAO",B17="DIR",B17="ETF",B17="EXERCICIO"),M17*Configurações!$B$9,IF(B17="EXERC. LC",M17*Configurações!$B$37,IF(B17="OPCAO",M17*Configurações!$B$23))),2)</f>
        <v>0</v>
      </c>
      <c r="AJ17" s="14">
        <f>ROUNDDOWN(IF(OR(B17="ACAO",B17="DIR",B17="ETF",B17="EXERCICIO"),M17*Configurações!$C$9,IF(B17="EXERC. LC",M17*Configurações!$C$37,IF(B17="OPCAO",M17*Configurações!$C$23))),2)</f>
        <v>0</v>
      </c>
      <c r="AK17" s="179">
        <f>ROUNDDOWN(IF(OR(B17="ACAO",B17="DIR",B17="ETF",B17="EXERCICIO"),M17*Configurações!$D$9,IF(B17="EXERC. LC",M17*Configurações!$D$37,IF(B17="OPCAO",M17*Configurações!$D$23))),2)</f>
        <v>0</v>
      </c>
      <c r="AL17" s="181">
        <f t="shared" si="10"/>
        <v>0</v>
      </c>
      <c r="AM17" s="181">
        <f t="shared" si="11"/>
        <v>0</v>
      </c>
      <c r="AN17" s="182">
        <f t="shared" si="12"/>
        <v>0</v>
      </c>
    </row>
    <row r="18" spans="2:40" ht="12.95" customHeight="1" x14ac:dyDescent="0.2">
      <c r="B18" s="49" t="s">
        <v>30</v>
      </c>
      <c r="C18" s="13"/>
      <c r="D18" s="11"/>
      <c r="E18" s="11"/>
      <c r="F18" s="11"/>
      <c r="G18" s="186" t="s">
        <v>69</v>
      </c>
      <c r="H18" s="12">
        <f t="shared" si="0"/>
        <v>0</v>
      </c>
      <c r="I18" s="13"/>
      <c r="J18" s="11"/>
      <c r="K18" s="186" t="s">
        <v>69</v>
      </c>
      <c r="L18" s="14">
        <f t="shared" si="1"/>
        <v>0</v>
      </c>
      <c r="M18" s="14">
        <f t="shared" si="2"/>
        <v>0</v>
      </c>
      <c r="N18" s="14">
        <f>ROUNDDOWN(IF(OR(B18="ACAO",B18="DIR",B18="ETF",B18="EXERCICIO"),L18*Configurações!$B$9,IF(B18="EXERC. LC",H18*Configurações!$B$9+M18*Configurações!$B$37,IF(B18="OPCAO",L18*Configurações!$B$23))),2)</f>
        <v>0</v>
      </c>
      <c r="O18" s="14">
        <f>ROUNDDOWN(IF(OR(B18="ACAO",B18="DIR",B18="ETF",B18="EXERCICIO"),L18*Configurações!$C$9,IF(B18="EXERC. LC",H18*Configurações!$C$9+M18*Configurações!$C$37,IF(B18="OPCAO",L18*Configurações!$C$23))),2)</f>
        <v>0</v>
      </c>
      <c r="P18" s="14">
        <f>ROUNDDOWN(IF(OR(B18="ACAO",B18="DIR",B18="ETF",B18="EXERCICIO"),L18*Configurações!$D$9,IF(B18="EXERC. LC",H18*Configurações!$D$9+M18*Configurações!$D$37,IF(B18="OPCAO",L18*Configurações!$D$23))),2)</f>
        <v>0</v>
      </c>
      <c r="Q18" s="11"/>
      <c r="R18" s="11"/>
      <c r="S18" s="11"/>
      <c r="T18" s="15">
        <f t="shared" si="5"/>
        <v>0</v>
      </c>
      <c r="U18" s="11"/>
      <c r="V18" s="129" t="str">
        <f t="shared" si="3"/>
        <v>-</v>
      </c>
      <c r="W18" s="16">
        <f t="shared" si="4"/>
        <v>0</v>
      </c>
      <c r="X18" s="17">
        <f t="shared" si="6"/>
        <v>0</v>
      </c>
      <c r="AB18" s="176">
        <f>ROUNDDOWN(IF(OR(B18="ACAO",B18="DIR",B18="ETF",B18="EXERCICIO"),H18*Configurações!$B$9,IF(B18="EXERC. LC",H18*Configurações!$B$9,IF(B18="OPCAO",H18*Configurações!$B$23))),2)</f>
        <v>0</v>
      </c>
      <c r="AC18" s="14">
        <f>ROUNDDOWN(IF(OR(B18="ACAO",B18="DIR",B18="ETF",B18="EXERCICIO"),H18*Configurações!$C$9,IF(B18="EXERC. LC",H18*Configurações!$C$9,IF(B18="OPCAO",H18*Configurações!$C$23))),2)</f>
        <v>0</v>
      </c>
      <c r="AD18" s="179">
        <f>ROUNDDOWN(IF(OR(B18="ACAO",B18="DIR",B18="ETF",B18="EXERCICIO"),H18*Configurações!$D$9,IF(B18="EXERC. LC",H18*Configurações!$D$9,IF(B18="OPCAO",H18*Configurações!$D$23))),2)</f>
        <v>0</v>
      </c>
      <c r="AE18" s="181">
        <f t="shared" si="7"/>
        <v>0</v>
      </c>
      <c r="AF18" s="181">
        <f t="shared" si="8"/>
        <v>0</v>
      </c>
      <c r="AG18" s="182">
        <f t="shared" si="9"/>
        <v>0</v>
      </c>
      <c r="AI18" s="176">
        <f>ROUNDDOWN(IF(OR(B18="ACAO",B18="DIR",B18="ETF",B18="EXERCICIO"),M18*Configurações!$B$9,IF(B18="EXERC. LC",M18*Configurações!$B$37,IF(B18="OPCAO",M18*Configurações!$B$23))),2)</f>
        <v>0</v>
      </c>
      <c r="AJ18" s="14">
        <f>ROUNDDOWN(IF(OR(B18="ACAO",B18="DIR",B18="ETF",B18="EXERCICIO"),M18*Configurações!$C$9,IF(B18="EXERC. LC",M18*Configurações!$C$37,IF(B18="OPCAO",M18*Configurações!$C$23))),2)</f>
        <v>0</v>
      </c>
      <c r="AK18" s="179">
        <f>ROUNDDOWN(IF(OR(B18="ACAO",B18="DIR",B18="ETF",B18="EXERCICIO"),M18*Configurações!$D$9,IF(B18="EXERC. LC",M18*Configurações!$D$37,IF(B18="OPCAO",M18*Configurações!$D$23))),2)</f>
        <v>0</v>
      </c>
      <c r="AL18" s="181">
        <f t="shared" si="10"/>
        <v>0</v>
      </c>
      <c r="AM18" s="181">
        <f t="shared" si="11"/>
        <v>0</v>
      </c>
      <c r="AN18" s="182">
        <f t="shared" si="12"/>
        <v>0</v>
      </c>
    </row>
    <row r="19" spans="2:40" ht="12.95" customHeight="1" x14ac:dyDescent="0.2">
      <c r="B19" s="49" t="s">
        <v>30</v>
      </c>
      <c r="C19" s="13"/>
      <c r="D19" s="11"/>
      <c r="E19" s="11"/>
      <c r="F19" s="11"/>
      <c r="G19" s="186" t="s">
        <v>69</v>
      </c>
      <c r="H19" s="12">
        <f t="shared" si="0"/>
        <v>0</v>
      </c>
      <c r="I19" s="13"/>
      <c r="J19" s="11"/>
      <c r="K19" s="186" t="s">
        <v>69</v>
      </c>
      <c r="L19" s="14">
        <f t="shared" si="1"/>
        <v>0</v>
      </c>
      <c r="M19" s="14">
        <f t="shared" si="2"/>
        <v>0</v>
      </c>
      <c r="N19" s="14">
        <f>ROUNDDOWN(IF(OR(B19="ACAO",B19="DIR",B19="ETF",B19="EXERCICIO"),L19*Configurações!$B$9,IF(B19="EXERC. LC",H19*Configurações!$B$9+M19*Configurações!$B$37,IF(B19="OPCAO",L19*Configurações!$B$23))),2)</f>
        <v>0</v>
      </c>
      <c r="O19" s="14">
        <f>ROUNDDOWN(IF(OR(B19="ACAO",B19="DIR",B19="ETF",B19="EXERCICIO"),L19*Configurações!$C$9,IF(B19="EXERC. LC",H19*Configurações!$C$9+M19*Configurações!$C$37,IF(B19="OPCAO",L19*Configurações!$C$23))),2)</f>
        <v>0</v>
      </c>
      <c r="P19" s="14">
        <f>ROUNDDOWN(IF(OR(B19="ACAO",B19="DIR",B19="ETF",B19="EXERCICIO"),L19*Configurações!$D$9,IF(B19="EXERC. LC",H19*Configurações!$D$9+M19*Configurações!$D$37,IF(B19="OPCAO",L19*Configurações!$D$23))),2)</f>
        <v>0</v>
      </c>
      <c r="Q19" s="11"/>
      <c r="R19" s="11"/>
      <c r="S19" s="11"/>
      <c r="T19" s="15">
        <f t="shared" si="5"/>
        <v>0</v>
      </c>
      <c r="U19" s="11"/>
      <c r="V19" s="129" t="str">
        <f t="shared" si="3"/>
        <v>-</v>
      </c>
      <c r="W19" s="16">
        <f t="shared" si="4"/>
        <v>0</v>
      </c>
      <c r="X19" s="17">
        <f t="shared" si="6"/>
        <v>0</v>
      </c>
      <c r="AB19" s="176">
        <f>ROUNDDOWN(IF(OR(B19="ACAO",B19="DIR",B19="ETF",B19="EXERCICIO"),H19*Configurações!$B$9,IF(B19="EXERC. LC",H19*Configurações!$B$9,IF(B19="OPCAO",H19*Configurações!$B$23))),2)</f>
        <v>0</v>
      </c>
      <c r="AC19" s="14">
        <f>ROUNDDOWN(IF(OR(B19="ACAO",B19="DIR",B19="ETF",B19="EXERCICIO"),H19*Configurações!$C$9,IF(B19="EXERC. LC",H19*Configurações!$C$9,IF(B19="OPCAO",H19*Configurações!$C$23))),2)</f>
        <v>0</v>
      </c>
      <c r="AD19" s="179">
        <f>ROUNDDOWN(IF(OR(B19="ACAO",B19="DIR",B19="ETF",B19="EXERCICIO"),H19*Configurações!$D$9,IF(B19="EXERC. LC",H19*Configurações!$D$9,IF(B19="OPCAO",H19*Configurações!$D$23))),2)</f>
        <v>0</v>
      </c>
      <c r="AE19" s="181">
        <f t="shared" si="7"/>
        <v>0</v>
      </c>
      <c r="AF19" s="181">
        <f t="shared" si="8"/>
        <v>0</v>
      </c>
      <c r="AG19" s="182">
        <f t="shared" si="9"/>
        <v>0</v>
      </c>
      <c r="AI19" s="176">
        <f>ROUNDDOWN(IF(OR(B19="ACAO",B19="DIR",B19="ETF",B19="EXERCICIO"),M19*Configurações!$B$9,IF(B19="EXERC. LC",M19*Configurações!$B$37,IF(B19="OPCAO",M19*Configurações!$B$23))),2)</f>
        <v>0</v>
      </c>
      <c r="AJ19" s="14">
        <f>ROUNDDOWN(IF(OR(B19="ACAO",B19="DIR",B19="ETF",B19="EXERCICIO"),M19*Configurações!$C$9,IF(B19="EXERC. LC",M19*Configurações!$C$37,IF(B19="OPCAO",M19*Configurações!$C$23))),2)</f>
        <v>0</v>
      </c>
      <c r="AK19" s="179">
        <f>ROUNDDOWN(IF(OR(B19="ACAO",B19="DIR",B19="ETF",B19="EXERCICIO"),M19*Configurações!$D$9,IF(B19="EXERC. LC",M19*Configurações!$D$37,IF(B19="OPCAO",M19*Configurações!$D$23))),2)</f>
        <v>0</v>
      </c>
      <c r="AL19" s="181">
        <f t="shared" si="10"/>
        <v>0</v>
      </c>
      <c r="AM19" s="181">
        <f t="shared" si="11"/>
        <v>0</v>
      </c>
      <c r="AN19" s="182">
        <f t="shared" si="12"/>
        <v>0</v>
      </c>
    </row>
    <row r="20" spans="2:40" ht="12.95" customHeight="1" x14ac:dyDescent="0.2">
      <c r="B20" s="49" t="s">
        <v>30</v>
      </c>
      <c r="C20" s="13"/>
      <c r="D20" s="11"/>
      <c r="E20" s="11"/>
      <c r="F20" s="11"/>
      <c r="G20" s="186" t="s">
        <v>69</v>
      </c>
      <c r="H20" s="12">
        <f t="shared" si="0"/>
        <v>0</v>
      </c>
      <c r="I20" s="13"/>
      <c r="J20" s="11"/>
      <c r="K20" s="186" t="s">
        <v>69</v>
      </c>
      <c r="L20" s="14">
        <f t="shared" si="1"/>
        <v>0</v>
      </c>
      <c r="M20" s="14">
        <f t="shared" si="2"/>
        <v>0</v>
      </c>
      <c r="N20" s="14">
        <f>ROUNDDOWN(IF(OR(B20="ACAO",B20="DIR",B20="ETF",B20="EXERCICIO"),L20*Configurações!$B$9,IF(B20="EXERC. LC",H20*Configurações!$B$9+M20*Configurações!$B$37,IF(B20="OPCAO",L20*Configurações!$B$23))),2)</f>
        <v>0</v>
      </c>
      <c r="O20" s="14">
        <f>ROUNDDOWN(IF(OR(B20="ACAO",B20="DIR",B20="ETF",B20="EXERCICIO"),L20*Configurações!$C$9,IF(B20="EXERC. LC",H20*Configurações!$C$9+M20*Configurações!$C$37,IF(B20="OPCAO",L20*Configurações!$C$23))),2)</f>
        <v>0</v>
      </c>
      <c r="P20" s="14">
        <f>ROUNDDOWN(IF(OR(B20="ACAO",B20="DIR",B20="ETF",B20="EXERCICIO"),L20*Configurações!$D$9,IF(B20="EXERC. LC",H20*Configurações!$D$9+M20*Configurações!$D$37,IF(B20="OPCAO",L20*Configurações!$D$23))),2)</f>
        <v>0</v>
      </c>
      <c r="Q20" s="11"/>
      <c r="R20" s="11"/>
      <c r="S20" s="11"/>
      <c r="T20" s="15">
        <f t="shared" si="5"/>
        <v>0</v>
      </c>
      <c r="U20" s="11"/>
      <c r="V20" s="129" t="str">
        <f t="shared" si="3"/>
        <v>-</v>
      </c>
      <c r="W20" s="16">
        <f t="shared" si="4"/>
        <v>0</v>
      </c>
      <c r="X20" s="17">
        <f t="shared" si="6"/>
        <v>0</v>
      </c>
      <c r="AB20" s="176">
        <f>ROUNDDOWN(IF(OR(B20="ACAO",B20="DIR",B20="ETF",B20="EXERCICIO"),H20*Configurações!$B$9,IF(B20="EXERC. LC",H20*Configurações!$B$9,IF(B20="OPCAO",H20*Configurações!$B$23))),2)</f>
        <v>0</v>
      </c>
      <c r="AC20" s="14">
        <f>ROUNDDOWN(IF(OR(B20="ACAO",B20="DIR",B20="ETF",B20="EXERCICIO"),H20*Configurações!$C$9,IF(B20="EXERC. LC",H20*Configurações!$C$9,IF(B20="OPCAO",H20*Configurações!$C$23))),2)</f>
        <v>0</v>
      </c>
      <c r="AD20" s="179">
        <f>ROUNDDOWN(IF(OR(B20="ACAO",B20="DIR",B20="ETF",B20="EXERCICIO"),H20*Configurações!$D$9,IF(B20="EXERC. LC",H20*Configurações!$D$9,IF(B20="OPCAO",H20*Configurações!$D$23))),2)</f>
        <v>0</v>
      </c>
      <c r="AE20" s="181">
        <f t="shared" si="7"/>
        <v>0</v>
      </c>
      <c r="AF20" s="181">
        <f t="shared" si="8"/>
        <v>0</v>
      </c>
      <c r="AG20" s="182">
        <f t="shared" si="9"/>
        <v>0</v>
      </c>
      <c r="AI20" s="176">
        <f>ROUNDDOWN(IF(OR(B20="ACAO",B20="DIR",B20="ETF",B20="EXERCICIO"),M20*Configurações!$B$9,IF(B20="EXERC. LC",M20*Configurações!$B$37,IF(B20="OPCAO",M20*Configurações!$B$23))),2)</f>
        <v>0</v>
      </c>
      <c r="AJ20" s="14">
        <f>ROUNDDOWN(IF(OR(B20="ACAO",B20="DIR",B20="ETF",B20="EXERCICIO"),M20*Configurações!$C$9,IF(B20="EXERC. LC",M20*Configurações!$C$37,IF(B20="OPCAO",M20*Configurações!$C$23))),2)</f>
        <v>0</v>
      </c>
      <c r="AK20" s="179">
        <f>ROUNDDOWN(IF(OR(B20="ACAO",B20="DIR",B20="ETF",B20="EXERCICIO"),M20*Configurações!$D$9,IF(B20="EXERC. LC",M20*Configurações!$D$37,IF(B20="OPCAO",M20*Configurações!$D$23))),2)</f>
        <v>0</v>
      </c>
      <c r="AL20" s="181">
        <f t="shared" si="10"/>
        <v>0</v>
      </c>
      <c r="AM20" s="181">
        <f t="shared" si="11"/>
        <v>0</v>
      </c>
      <c r="AN20" s="182">
        <f t="shared" si="12"/>
        <v>0</v>
      </c>
    </row>
    <row r="21" spans="2:40" ht="12.95" customHeight="1" x14ac:dyDescent="0.2">
      <c r="B21" s="49" t="s">
        <v>30</v>
      </c>
      <c r="C21" s="13"/>
      <c r="D21" s="11"/>
      <c r="E21" s="11"/>
      <c r="F21" s="11"/>
      <c r="G21" s="186" t="s">
        <v>69</v>
      </c>
      <c r="H21" s="12">
        <f t="shared" si="0"/>
        <v>0</v>
      </c>
      <c r="I21" s="13"/>
      <c r="J21" s="11"/>
      <c r="K21" s="186" t="s">
        <v>69</v>
      </c>
      <c r="L21" s="14">
        <f t="shared" si="1"/>
        <v>0</v>
      </c>
      <c r="M21" s="14">
        <f t="shared" si="2"/>
        <v>0</v>
      </c>
      <c r="N21" s="14">
        <f>ROUNDDOWN(IF(OR(B21="ACAO",B21="DIR",B21="ETF",B21="EXERCICIO"),L21*Configurações!$B$9,IF(B21="EXERC. LC",H21*Configurações!$B$9+M21*Configurações!$B$37,IF(B21="OPCAO",L21*Configurações!$B$23))),2)</f>
        <v>0</v>
      </c>
      <c r="O21" s="14">
        <f>ROUNDDOWN(IF(OR(B21="ACAO",B21="DIR",B21="ETF",B21="EXERCICIO"),L21*Configurações!$C$9,IF(B21="EXERC. LC",H21*Configurações!$C$9+M21*Configurações!$C$37,IF(B21="OPCAO",L21*Configurações!$C$23))),2)</f>
        <v>0</v>
      </c>
      <c r="P21" s="14">
        <f>ROUNDDOWN(IF(OR(B21="ACAO",B21="DIR",B21="ETF",B21="EXERCICIO"),L21*Configurações!$D$9,IF(B21="EXERC. LC",H21*Configurações!$D$9+M21*Configurações!$D$37,IF(B21="OPCAO",L21*Configurações!$D$23))),2)</f>
        <v>0</v>
      </c>
      <c r="Q21" s="11"/>
      <c r="R21" s="11"/>
      <c r="S21" s="11"/>
      <c r="T21" s="15">
        <f t="shared" si="5"/>
        <v>0</v>
      </c>
      <c r="U21" s="11"/>
      <c r="V21" s="129" t="str">
        <f t="shared" si="3"/>
        <v>-</v>
      </c>
      <c r="W21" s="16">
        <f t="shared" si="4"/>
        <v>0</v>
      </c>
      <c r="X21" s="17">
        <f t="shared" si="6"/>
        <v>0</v>
      </c>
      <c r="AB21" s="176">
        <f>ROUNDDOWN(IF(OR(B21="ACAO",B21="DIR",B21="ETF",B21="EXERCICIO"),H21*Configurações!$B$9,IF(B21="EXERC. LC",H21*Configurações!$B$9,IF(B21="OPCAO",H21*Configurações!$B$23))),2)</f>
        <v>0</v>
      </c>
      <c r="AC21" s="14">
        <f>ROUNDDOWN(IF(OR(B21="ACAO",B21="DIR",B21="ETF",B21="EXERCICIO"),H21*Configurações!$C$9,IF(B21="EXERC. LC",H21*Configurações!$C$9,IF(B21="OPCAO",H21*Configurações!$C$23))),2)</f>
        <v>0</v>
      </c>
      <c r="AD21" s="179">
        <f>ROUNDDOWN(IF(OR(B21="ACAO",B21="DIR",B21="ETF",B21="EXERCICIO"),H21*Configurações!$D$9,IF(B21="EXERC. LC",H21*Configurações!$D$9,IF(B21="OPCAO",H21*Configurações!$D$23))),2)</f>
        <v>0</v>
      </c>
      <c r="AE21" s="181">
        <f t="shared" si="7"/>
        <v>0</v>
      </c>
      <c r="AF21" s="181">
        <f t="shared" si="8"/>
        <v>0</v>
      </c>
      <c r="AG21" s="182">
        <f t="shared" si="9"/>
        <v>0</v>
      </c>
      <c r="AI21" s="176">
        <f>ROUNDDOWN(IF(OR(B21="ACAO",B21="DIR",B21="ETF",B21="EXERCICIO"),M21*Configurações!$B$9,IF(B21="EXERC. LC",M21*Configurações!$B$37,IF(B21="OPCAO",M21*Configurações!$B$23))),2)</f>
        <v>0</v>
      </c>
      <c r="AJ21" s="14">
        <f>ROUNDDOWN(IF(OR(B21="ACAO",B21="DIR",B21="ETF",B21="EXERCICIO"),M21*Configurações!$C$9,IF(B21="EXERC. LC",M21*Configurações!$C$37,IF(B21="OPCAO",M21*Configurações!$C$23))),2)</f>
        <v>0</v>
      </c>
      <c r="AK21" s="179">
        <f>ROUNDDOWN(IF(OR(B21="ACAO",B21="DIR",B21="ETF",B21="EXERCICIO"),M21*Configurações!$D$9,IF(B21="EXERC. LC",M21*Configurações!$D$37,IF(B21="OPCAO",M21*Configurações!$D$23))),2)</f>
        <v>0</v>
      </c>
      <c r="AL21" s="181">
        <f t="shared" si="10"/>
        <v>0</v>
      </c>
      <c r="AM21" s="181">
        <f t="shared" si="11"/>
        <v>0</v>
      </c>
      <c r="AN21" s="182">
        <f t="shared" si="12"/>
        <v>0</v>
      </c>
    </row>
    <row r="22" spans="2:40" ht="12.95" customHeight="1" x14ac:dyDescent="0.2">
      <c r="B22" s="49" t="s">
        <v>30</v>
      </c>
      <c r="C22" s="13"/>
      <c r="D22" s="11"/>
      <c r="E22" s="11"/>
      <c r="F22" s="11"/>
      <c r="G22" s="186" t="s">
        <v>69</v>
      </c>
      <c r="H22" s="12">
        <f t="shared" si="0"/>
        <v>0</v>
      </c>
      <c r="I22" s="13"/>
      <c r="J22" s="11"/>
      <c r="K22" s="186" t="s">
        <v>69</v>
      </c>
      <c r="L22" s="14">
        <f t="shared" si="1"/>
        <v>0</v>
      </c>
      <c r="M22" s="14">
        <f t="shared" si="2"/>
        <v>0</v>
      </c>
      <c r="N22" s="14">
        <f>ROUNDDOWN(IF(OR(B22="ACAO",B22="DIR",B22="ETF",B22="EXERCICIO"),L22*Configurações!$B$9,IF(B22="EXERC. LC",H22*Configurações!$B$9+M22*Configurações!$B$37,IF(B22="OPCAO",L22*Configurações!$B$23))),2)</f>
        <v>0</v>
      </c>
      <c r="O22" s="14">
        <f>ROUNDDOWN(IF(OR(B22="ACAO",B22="DIR",B22="ETF",B22="EXERCICIO"),L22*Configurações!$C$9,IF(B22="EXERC. LC",H22*Configurações!$C$9+M22*Configurações!$C$37,IF(B22="OPCAO",L22*Configurações!$C$23))),2)</f>
        <v>0</v>
      </c>
      <c r="P22" s="14">
        <f>ROUNDDOWN(IF(OR(B22="ACAO",B22="DIR",B22="ETF",B22="EXERCICIO"),L22*Configurações!$D$9,IF(B22="EXERC. LC",H22*Configurações!$D$9+M22*Configurações!$D$37,IF(B22="OPCAO",L22*Configurações!$D$23))),2)</f>
        <v>0</v>
      </c>
      <c r="Q22" s="11"/>
      <c r="R22" s="11"/>
      <c r="S22" s="11"/>
      <c r="T22" s="15">
        <f t="shared" si="5"/>
        <v>0</v>
      </c>
      <c r="U22" s="11"/>
      <c r="V22" s="129" t="str">
        <f t="shared" si="3"/>
        <v>-</v>
      </c>
      <c r="W22" s="16">
        <f t="shared" si="4"/>
        <v>0</v>
      </c>
      <c r="X22" s="17">
        <f t="shared" si="6"/>
        <v>0</v>
      </c>
      <c r="AB22" s="176">
        <f>ROUNDDOWN(IF(OR(B22="ACAO",B22="DIR",B22="ETF",B22="EXERCICIO"),H22*Configurações!$B$9,IF(B22="EXERC. LC",H22*Configurações!$B$9,IF(B22="OPCAO",H22*Configurações!$B$23))),2)</f>
        <v>0</v>
      </c>
      <c r="AC22" s="14">
        <f>ROUNDDOWN(IF(OR(B22="ACAO",B22="DIR",B22="ETF",B22="EXERCICIO"),H22*Configurações!$C$9,IF(B22="EXERC. LC",H22*Configurações!$C$9,IF(B22="OPCAO",H22*Configurações!$C$23))),2)</f>
        <v>0</v>
      </c>
      <c r="AD22" s="179">
        <f>ROUNDDOWN(IF(OR(B22="ACAO",B22="DIR",B22="ETF",B22="EXERCICIO"),H22*Configurações!$D$9,IF(B22="EXERC. LC",H22*Configurações!$D$9,IF(B22="OPCAO",H22*Configurações!$D$23))),2)</f>
        <v>0</v>
      </c>
      <c r="AE22" s="181">
        <f t="shared" si="7"/>
        <v>0</v>
      </c>
      <c r="AF22" s="181">
        <f t="shared" si="8"/>
        <v>0</v>
      </c>
      <c r="AG22" s="182">
        <f t="shared" si="9"/>
        <v>0</v>
      </c>
      <c r="AI22" s="176">
        <f>ROUNDDOWN(IF(OR(B22="ACAO",B22="DIR",B22="ETF",B22="EXERCICIO"),M22*Configurações!$B$9,IF(B22="EXERC. LC",M22*Configurações!$B$37,IF(B22="OPCAO",M22*Configurações!$B$23))),2)</f>
        <v>0</v>
      </c>
      <c r="AJ22" s="14">
        <f>ROUNDDOWN(IF(OR(B22="ACAO",B22="DIR",B22="ETF",B22="EXERCICIO"),M22*Configurações!$C$9,IF(B22="EXERC. LC",M22*Configurações!$C$37,IF(B22="OPCAO",M22*Configurações!$C$23))),2)</f>
        <v>0</v>
      </c>
      <c r="AK22" s="179">
        <f>ROUNDDOWN(IF(OR(B22="ACAO",B22="DIR",B22="ETF",B22="EXERCICIO"),M22*Configurações!$D$9,IF(B22="EXERC. LC",M22*Configurações!$D$37,IF(B22="OPCAO",M22*Configurações!$D$23))),2)</f>
        <v>0</v>
      </c>
      <c r="AL22" s="181">
        <f t="shared" si="10"/>
        <v>0</v>
      </c>
      <c r="AM22" s="181">
        <f t="shared" si="11"/>
        <v>0</v>
      </c>
      <c r="AN22" s="182">
        <f t="shared" si="12"/>
        <v>0</v>
      </c>
    </row>
    <row r="23" spans="2:40" ht="12.95" customHeight="1" x14ac:dyDescent="0.2">
      <c r="B23" s="49" t="s">
        <v>30</v>
      </c>
      <c r="C23" s="13"/>
      <c r="D23" s="11"/>
      <c r="E23" s="11"/>
      <c r="F23" s="11"/>
      <c r="G23" s="186" t="s">
        <v>69</v>
      </c>
      <c r="H23" s="12">
        <f t="shared" si="0"/>
        <v>0</v>
      </c>
      <c r="I23" s="13"/>
      <c r="J23" s="11"/>
      <c r="K23" s="186" t="s">
        <v>69</v>
      </c>
      <c r="L23" s="14">
        <f t="shared" si="1"/>
        <v>0</v>
      </c>
      <c r="M23" s="14">
        <f t="shared" si="2"/>
        <v>0</v>
      </c>
      <c r="N23" s="14">
        <f>ROUNDDOWN(IF(OR(B23="ACAO",B23="DIR",B23="ETF",B23="EXERCICIO"),L23*Configurações!$B$9,IF(B23="EXERC. LC",H23*Configurações!$B$9+M23*Configurações!$B$37,IF(B23="OPCAO",L23*Configurações!$B$23))),2)</f>
        <v>0</v>
      </c>
      <c r="O23" s="14">
        <f>ROUNDDOWN(IF(OR(B23="ACAO",B23="DIR",B23="ETF",B23="EXERCICIO"),L23*Configurações!$C$9,IF(B23="EXERC. LC",H23*Configurações!$C$9+M23*Configurações!$C$37,IF(B23="OPCAO",L23*Configurações!$C$23))),2)</f>
        <v>0</v>
      </c>
      <c r="P23" s="14">
        <f>ROUNDDOWN(IF(OR(B23="ACAO",B23="DIR",B23="ETF",B23="EXERCICIO"),L23*Configurações!$D$9,IF(B23="EXERC. LC",H23*Configurações!$D$9+M23*Configurações!$D$37,IF(B23="OPCAO",L23*Configurações!$D$23))),2)</f>
        <v>0</v>
      </c>
      <c r="Q23" s="11"/>
      <c r="R23" s="11"/>
      <c r="S23" s="11"/>
      <c r="T23" s="15">
        <f t="shared" si="5"/>
        <v>0</v>
      </c>
      <c r="U23" s="11"/>
      <c r="V23" s="129" t="str">
        <f t="shared" si="3"/>
        <v>-</v>
      </c>
      <c r="W23" s="16">
        <f t="shared" si="4"/>
        <v>0</v>
      </c>
      <c r="X23" s="17">
        <f t="shared" si="6"/>
        <v>0</v>
      </c>
      <c r="AB23" s="176">
        <f>ROUNDDOWN(IF(OR(B23="ACAO",B23="DIR",B23="ETF",B23="EXERCICIO"),H23*Configurações!$B$9,IF(B23="EXERC. LC",H23*Configurações!$B$9,IF(B23="OPCAO",H23*Configurações!$B$23))),2)</f>
        <v>0</v>
      </c>
      <c r="AC23" s="14">
        <f>ROUNDDOWN(IF(OR(B23="ACAO",B23="DIR",B23="ETF",B23="EXERCICIO"),H23*Configurações!$C$9,IF(B23="EXERC. LC",H23*Configurações!$C$9,IF(B23="OPCAO",H23*Configurações!$C$23))),2)</f>
        <v>0</v>
      </c>
      <c r="AD23" s="179">
        <f>ROUNDDOWN(IF(OR(B23="ACAO",B23="DIR",B23="ETF",B23="EXERCICIO"),H23*Configurações!$D$9,IF(B23="EXERC. LC",H23*Configurações!$D$9,IF(B23="OPCAO",H23*Configurações!$D$23))),2)</f>
        <v>0</v>
      </c>
      <c r="AE23" s="181">
        <f t="shared" si="7"/>
        <v>0</v>
      </c>
      <c r="AF23" s="181">
        <f t="shared" si="8"/>
        <v>0</v>
      </c>
      <c r="AG23" s="182">
        <f t="shared" si="9"/>
        <v>0</v>
      </c>
      <c r="AI23" s="176">
        <f>ROUNDDOWN(IF(OR(B23="ACAO",B23="DIR",B23="ETF",B23="EXERCICIO"),M23*Configurações!$B$9,IF(B23="EXERC. LC",M23*Configurações!$B$37,IF(B23="OPCAO",M23*Configurações!$B$23))),2)</f>
        <v>0</v>
      </c>
      <c r="AJ23" s="14">
        <f>ROUNDDOWN(IF(OR(B23="ACAO",B23="DIR",B23="ETF",B23="EXERCICIO"),M23*Configurações!$C$9,IF(B23="EXERC. LC",M23*Configurações!$C$37,IF(B23="OPCAO",M23*Configurações!$C$23))),2)</f>
        <v>0</v>
      </c>
      <c r="AK23" s="179">
        <f>ROUNDDOWN(IF(OR(B23="ACAO",B23="DIR",B23="ETF",B23="EXERCICIO"),M23*Configurações!$D$9,IF(B23="EXERC. LC",M23*Configurações!$D$37,IF(B23="OPCAO",M23*Configurações!$D$23))),2)</f>
        <v>0</v>
      </c>
      <c r="AL23" s="181">
        <f t="shared" si="10"/>
        <v>0</v>
      </c>
      <c r="AM23" s="181">
        <f t="shared" si="11"/>
        <v>0</v>
      </c>
      <c r="AN23" s="182">
        <f t="shared" si="12"/>
        <v>0</v>
      </c>
    </row>
    <row r="24" spans="2:40" ht="12.95" customHeight="1" x14ac:dyDescent="0.2">
      <c r="B24" s="49" t="s">
        <v>30</v>
      </c>
      <c r="C24" s="13"/>
      <c r="D24" s="11"/>
      <c r="E24" s="11"/>
      <c r="F24" s="11"/>
      <c r="G24" s="186" t="s">
        <v>69</v>
      </c>
      <c r="H24" s="12">
        <f t="shared" si="0"/>
        <v>0</v>
      </c>
      <c r="I24" s="13"/>
      <c r="J24" s="11"/>
      <c r="K24" s="186" t="s">
        <v>69</v>
      </c>
      <c r="L24" s="14">
        <f t="shared" si="1"/>
        <v>0</v>
      </c>
      <c r="M24" s="14">
        <f t="shared" si="2"/>
        <v>0</v>
      </c>
      <c r="N24" s="14">
        <f>ROUNDDOWN(IF(OR(B24="ACAO",B24="DIR",B24="ETF",B24="EXERCICIO"),L24*Configurações!$B$9,IF(B24="EXERC. LC",H24*Configurações!$B$9+M24*Configurações!$B$37,IF(B24="OPCAO",L24*Configurações!$B$23))),2)</f>
        <v>0</v>
      </c>
      <c r="O24" s="14">
        <f>ROUNDDOWN(IF(OR(B24="ACAO",B24="DIR",B24="ETF",B24="EXERCICIO"),L24*Configurações!$C$9,IF(B24="EXERC. LC",H24*Configurações!$C$9+M24*Configurações!$C$37,IF(B24="OPCAO",L24*Configurações!$C$23))),2)</f>
        <v>0</v>
      </c>
      <c r="P24" s="14">
        <f>ROUNDDOWN(IF(OR(B24="ACAO",B24="DIR",B24="ETF",B24="EXERCICIO"),L24*Configurações!$D$9,IF(B24="EXERC. LC",H24*Configurações!$D$9+M24*Configurações!$D$37,IF(B24="OPCAO",L24*Configurações!$D$23))),2)</f>
        <v>0</v>
      </c>
      <c r="Q24" s="11"/>
      <c r="R24" s="11"/>
      <c r="S24" s="11"/>
      <c r="T24" s="15">
        <f t="shared" si="5"/>
        <v>0</v>
      </c>
      <c r="U24" s="11"/>
      <c r="V24" s="129" t="str">
        <f t="shared" si="3"/>
        <v>-</v>
      </c>
      <c r="W24" s="16">
        <f t="shared" si="4"/>
        <v>0</v>
      </c>
      <c r="X24" s="17">
        <f t="shared" si="6"/>
        <v>0</v>
      </c>
      <c r="AB24" s="176">
        <f>ROUNDDOWN(IF(OR(B24="ACAO",B24="DIR",B24="ETF",B24="EXERCICIO"),H24*Configurações!$B$9,IF(B24="EXERC. LC",H24*Configurações!$B$9,IF(B24="OPCAO",H24*Configurações!$B$23))),2)</f>
        <v>0</v>
      </c>
      <c r="AC24" s="14">
        <f>ROUNDDOWN(IF(OR(B24="ACAO",B24="DIR",B24="ETF",B24="EXERCICIO"),H24*Configurações!$C$9,IF(B24="EXERC. LC",H24*Configurações!$C$9,IF(B24="OPCAO",H24*Configurações!$C$23))),2)</f>
        <v>0</v>
      </c>
      <c r="AD24" s="179">
        <f>ROUNDDOWN(IF(OR(B24="ACAO",B24="DIR",B24="ETF",B24="EXERCICIO"),H24*Configurações!$D$9,IF(B24="EXERC. LC",H24*Configurações!$D$9,IF(B24="OPCAO",H24*Configurações!$D$23))),2)</f>
        <v>0</v>
      </c>
      <c r="AE24" s="181">
        <f t="shared" si="7"/>
        <v>0</v>
      </c>
      <c r="AF24" s="181">
        <f t="shared" si="8"/>
        <v>0</v>
      </c>
      <c r="AG24" s="182">
        <f t="shared" si="9"/>
        <v>0</v>
      </c>
      <c r="AI24" s="176">
        <f>ROUNDDOWN(IF(OR(B24="ACAO",B24="DIR",B24="ETF",B24="EXERCICIO"),M24*Configurações!$B$9,IF(B24="EXERC. LC",M24*Configurações!$B$37,IF(B24="OPCAO",M24*Configurações!$B$23))),2)</f>
        <v>0</v>
      </c>
      <c r="AJ24" s="14">
        <f>ROUNDDOWN(IF(OR(B24="ACAO",B24="DIR",B24="ETF",B24="EXERCICIO"),M24*Configurações!$C$9,IF(B24="EXERC. LC",M24*Configurações!$C$37,IF(B24="OPCAO",M24*Configurações!$C$23))),2)</f>
        <v>0</v>
      </c>
      <c r="AK24" s="179">
        <f>ROUNDDOWN(IF(OR(B24="ACAO",B24="DIR",B24="ETF",B24="EXERCICIO"),M24*Configurações!$D$9,IF(B24="EXERC. LC",M24*Configurações!$D$37,IF(B24="OPCAO",M24*Configurações!$D$23))),2)</f>
        <v>0</v>
      </c>
      <c r="AL24" s="181">
        <f t="shared" si="10"/>
        <v>0</v>
      </c>
      <c r="AM24" s="181">
        <f t="shared" si="11"/>
        <v>0</v>
      </c>
      <c r="AN24" s="182">
        <f t="shared" si="12"/>
        <v>0</v>
      </c>
    </row>
    <row r="25" spans="2:40" ht="12.95" customHeight="1" x14ac:dyDescent="0.2">
      <c r="B25" s="49" t="s">
        <v>30</v>
      </c>
      <c r="C25" s="13"/>
      <c r="D25" s="11"/>
      <c r="E25" s="11"/>
      <c r="F25" s="11"/>
      <c r="G25" s="186" t="s">
        <v>69</v>
      </c>
      <c r="H25" s="12">
        <f t="shared" si="0"/>
        <v>0</v>
      </c>
      <c r="I25" s="13"/>
      <c r="J25" s="11"/>
      <c r="K25" s="186" t="s">
        <v>69</v>
      </c>
      <c r="L25" s="14">
        <f t="shared" si="1"/>
        <v>0</v>
      </c>
      <c r="M25" s="14">
        <f t="shared" si="2"/>
        <v>0</v>
      </c>
      <c r="N25" s="14">
        <f>ROUNDDOWN(IF(OR(B25="ACAO",B25="DIR",B25="ETF",B25="EXERCICIO"),L25*Configurações!$B$9,IF(B25="EXERC. LC",H25*Configurações!$B$9+M25*Configurações!$B$37,IF(B25="OPCAO",L25*Configurações!$B$23))),2)</f>
        <v>0</v>
      </c>
      <c r="O25" s="14">
        <f>ROUNDDOWN(IF(OR(B25="ACAO",B25="DIR",B25="ETF",B25="EXERCICIO"),L25*Configurações!$C$9,IF(B25="EXERC. LC",H25*Configurações!$C$9+M25*Configurações!$C$37,IF(B25="OPCAO",L25*Configurações!$C$23))),2)</f>
        <v>0</v>
      </c>
      <c r="P25" s="14">
        <f>ROUNDDOWN(IF(OR(B25="ACAO",B25="DIR",B25="ETF",B25="EXERCICIO"),L25*Configurações!$D$9,IF(B25="EXERC. LC",H25*Configurações!$D$9+M25*Configurações!$D$37,IF(B25="OPCAO",L25*Configurações!$D$23))),2)</f>
        <v>0</v>
      </c>
      <c r="Q25" s="11"/>
      <c r="R25" s="11"/>
      <c r="S25" s="11"/>
      <c r="T25" s="15">
        <f t="shared" si="5"/>
        <v>0</v>
      </c>
      <c r="U25" s="11"/>
      <c r="V25" s="129" t="str">
        <f t="shared" si="3"/>
        <v>-</v>
      </c>
      <c r="W25" s="16">
        <f t="shared" si="4"/>
        <v>0</v>
      </c>
      <c r="X25" s="17">
        <f t="shared" si="6"/>
        <v>0</v>
      </c>
      <c r="AB25" s="176">
        <f>ROUNDDOWN(IF(OR(B25="ACAO",B25="DIR",B25="ETF",B25="EXERCICIO"),H25*Configurações!$B$9,IF(B25="EXERC. LC",H25*Configurações!$B$9,IF(B25="OPCAO",H25*Configurações!$B$23))),2)</f>
        <v>0</v>
      </c>
      <c r="AC25" s="14">
        <f>ROUNDDOWN(IF(OR(B25="ACAO",B25="DIR",B25="ETF",B25="EXERCICIO"),H25*Configurações!$C$9,IF(B25="EXERC. LC",H25*Configurações!$C$9,IF(B25="OPCAO",H25*Configurações!$C$23))),2)</f>
        <v>0</v>
      </c>
      <c r="AD25" s="179">
        <f>ROUNDDOWN(IF(OR(B25="ACAO",B25="DIR",B25="ETF",B25="EXERCICIO"),H25*Configurações!$D$9,IF(B25="EXERC. LC",H25*Configurações!$D$9,IF(B25="OPCAO",H25*Configurações!$D$23))),2)</f>
        <v>0</v>
      </c>
      <c r="AE25" s="181">
        <f t="shared" si="7"/>
        <v>0</v>
      </c>
      <c r="AF25" s="181">
        <f t="shared" si="8"/>
        <v>0</v>
      </c>
      <c r="AG25" s="182">
        <f t="shared" si="9"/>
        <v>0</v>
      </c>
      <c r="AI25" s="176">
        <f>ROUNDDOWN(IF(OR(B25="ACAO",B25="DIR",B25="ETF",B25="EXERCICIO"),M25*Configurações!$B$9,IF(B25="EXERC. LC",M25*Configurações!$B$37,IF(B25="OPCAO",M25*Configurações!$B$23))),2)</f>
        <v>0</v>
      </c>
      <c r="AJ25" s="14">
        <f>ROUNDDOWN(IF(OR(B25="ACAO",B25="DIR",B25="ETF",B25="EXERCICIO"),M25*Configurações!$C$9,IF(B25="EXERC. LC",M25*Configurações!$C$37,IF(B25="OPCAO",M25*Configurações!$C$23))),2)</f>
        <v>0</v>
      </c>
      <c r="AK25" s="179">
        <f>ROUNDDOWN(IF(OR(B25="ACAO",B25="DIR",B25="ETF",B25="EXERCICIO"),M25*Configurações!$D$9,IF(B25="EXERC. LC",M25*Configurações!$D$37,IF(B25="OPCAO",M25*Configurações!$D$23))),2)</f>
        <v>0</v>
      </c>
      <c r="AL25" s="181">
        <f t="shared" si="10"/>
        <v>0</v>
      </c>
      <c r="AM25" s="181">
        <f t="shared" si="11"/>
        <v>0</v>
      </c>
      <c r="AN25" s="182">
        <f t="shared" si="12"/>
        <v>0</v>
      </c>
    </row>
    <row r="26" spans="2:40" ht="12.95" customHeight="1" x14ac:dyDescent="0.2">
      <c r="B26" s="49" t="s">
        <v>30</v>
      </c>
      <c r="C26" s="13"/>
      <c r="D26" s="11"/>
      <c r="E26" s="11"/>
      <c r="F26" s="11"/>
      <c r="G26" s="186" t="s">
        <v>69</v>
      </c>
      <c r="H26" s="12">
        <f t="shared" si="0"/>
        <v>0</v>
      </c>
      <c r="I26" s="13"/>
      <c r="J26" s="11"/>
      <c r="K26" s="186" t="s">
        <v>69</v>
      </c>
      <c r="L26" s="14">
        <f t="shared" si="1"/>
        <v>0</v>
      </c>
      <c r="M26" s="14">
        <f t="shared" si="2"/>
        <v>0</v>
      </c>
      <c r="N26" s="14">
        <f>ROUNDDOWN(IF(OR(B26="ACAO",B26="DIR",B26="ETF",B26="EXERCICIO"),L26*Configurações!$B$9,IF(B26="EXERC. LC",H26*Configurações!$B$9+M26*Configurações!$B$37,IF(B26="OPCAO",L26*Configurações!$B$23))),2)</f>
        <v>0</v>
      </c>
      <c r="O26" s="14">
        <f>ROUNDDOWN(IF(OR(B26="ACAO",B26="DIR",B26="ETF",B26="EXERCICIO"),L26*Configurações!$C$9,IF(B26="EXERC. LC",H26*Configurações!$C$9+M26*Configurações!$C$37,IF(B26="OPCAO",L26*Configurações!$C$23))),2)</f>
        <v>0</v>
      </c>
      <c r="P26" s="14">
        <f>ROUNDDOWN(IF(OR(B26="ACAO",B26="DIR",B26="ETF",B26="EXERCICIO"),L26*Configurações!$D$9,IF(B26="EXERC. LC",H26*Configurações!$D$9+M26*Configurações!$D$37,IF(B26="OPCAO",L26*Configurações!$D$23))),2)</f>
        <v>0</v>
      </c>
      <c r="Q26" s="11"/>
      <c r="R26" s="11"/>
      <c r="S26" s="11"/>
      <c r="T26" s="15">
        <f t="shared" si="5"/>
        <v>0</v>
      </c>
      <c r="U26" s="11"/>
      <c r="V26" s="129" t="str">
        <f t="shared" si="3"/>
        <v>-</v>
      </c>
      <c r="W26" s="16">
        <f t="shared" si="4"/>
        <v>0</v>
      </c>
      <c r="X26" s="17">
        <f t="shared" si="6"/>
        <v>0</v>
      </c>
      <c r="AB26" s="176">
        <f>ROUNDDOWN(IF(OR(B26="ACAO",B26="DIR",B26="ETF",B26="EXERCICIO"),H26*Configurações!$B$9,IF(B26="EXERC. LC",H26*Configurações!$B$9,IF(B26="OPCAO",H26*Configurações!$B$23))),2)</f>
        <v>0</v>
      </c>
      <c r="AC26" s="14">
        <f>ROUNDDOWN(IF(OR(B26="ACAO",B26="DIR",B26="ETF",B26="EXERCICIO"),H26*Configurações!$C$9,IF(B26="EXERC. LC",H26*Configurações!$C$9,IF(B26="OPCAO",H26*Configurações!$C$23))),2)</f>
        <v>0</v>
      </c>
      <c r="AD26" s="179">
        <f>ROUNDDOWN(IF(OR(B26="ACAO",B26="DIR",B26="ETF",B26="EXERCICIO"),H26*Configurações!$D$9,IF(B26="EXERC. LC",H26*Configurações!$D$9,IF(B26="OPCAO",H26*Configurações!$D$23))),2)</f>
        <v>0</v>
      </c>
      <c r="AE26" s="181">
        <f t="shared" si="7"/>
        <v>0</v>
      </c>
      <c r="AF26" s="181">
        <f t="shared" si="8"/>
        <v>0</v>
      </c>
      <c r="AG26" s="182">
        <f t="shared" si="9"/>
        <v>0</v>
      </c>
      <c r="AI26" s="176">
        <f>ROUNDDOWN(IF(OR(B26="ACAO",B26="DIR",B26="ETF",B26="EXERCICIO"),M26*Configurações!$B$9,IF(B26="EXERC. LC",M26*Configurações!$B$37,IF(B26="OPCAO",M26*Configurações!$B$23))),2)</f>
        <v>0</v>
      </c>
      <c r="AJ26" s="14">
        <f>ROUNDDOWN(IF(OR(B26="ACAO",B26="DIR",B26="ETF",B26="EXERCICIO"),M26*Configurações!$C$9,IF(B26="EXERC. LC",M26*Configurações!$C$37,IF(B26="OPCAO",M26*Configurações!$C$23))),2)</f>
        <v>0</v>
      </c>
      <c r="AK26" s="179">
        <f>ROUNDDOWN(IF(OR(B26="ACAO",B26="DIR",B26="ETF",B26="EXERCICIO"),M26*Configurações!$D$9,IF(B26="EXERC. LC",M26*Configurações!$D$37,IF(B26="OPCAO",M26*Configurações!$D$23))),2)</f>
        <v>0</v>
      </c>
      <c r="AL26" s="181">
        <f t="shared" si="10"/>
        <v>0</v>
      </c>
      <c r="AM26" s="181">
        <f t="shared" si="11"/>
        <v>0</v>
      </c>
      <c r="AN26" s="182">
        <f t="shared" si="12"/>
        <v>0</v>
      </c>
    </row>
    <row r="27" spans="2:40" ht="12.95" customHeight="1" x14ac:dyDescent="0.2">
      <c r="B27" s="49" t="s">
        <v>30</v>
      </c>
      <c r="C27" s="13"/>
      <c r="D27" s="11"/>
      <c r="E27" s="11"/>
      <c r="F27" s="11"/>
      <c r="G27" s="186" t="s">
        <v>69</v>
      </c>
      <c r="H27" s="12">
        <f t="shared" si="0"/>
        <v>0</v>
      </c>
      <c r="I27" s="13"/>
      <c r="J27" s="11"/>
      <c r="K27" s="186" t="s">
        <v>69</v>
      </c>
      <c r="L27" s="14">
        <f t="shared" si="1"/>
        <v>0</v>
      </c>
      <c r="M27" s="14">
        <f t="shared" si="2"/>
        <v>0</v>
      </c>
      <c r="N27" s="14">
        <f>ROUNDDOWN(IF(OR(B27="ACAO",B27="DIR",B27="ETF",B27="EXERCICIO"),L27*Configurações!$B$9,IF(B27="EXERC. LC",H27*Configurações!$B$9+M27*Configurações!$B$37,IF(B27="OPCAO",L27*Configurações!$B$23))),2)</f>
        <v>0</v>
      </c>
      <c r="O27" s="14">
        <f>ROUNDDOWN(IF(OR(B27="ACAO",B27="DIR",B27="ETF",B27="EXERCICIO"),L27*Configurações!$C$9,IF(B27="EXERC. LC",H27*Configurações!$C$9+M27*Configurações!$C$37,IF(B27="OPCAO",L27*Configurações!$C$23))),2)</f>
        <v>0</v>
      </c>
      <c r="P27" s="14">
        <f>ROUNDDOWN(IF(OR(B27="ACAO",B27="DIR",B27="ETF",B27="EXERCICIO"),L27*Configurações!$D$9,IF(B27="EXERC. LC",H27*Configurações!$D$9+M27*Configurações!$D$37,IF(B27="OPCAO",L27*Configurações!$D$23))),2)</f>
        <v>0</v>
      </c>
      <c r="Q27" s="11"/>
      <c r="R27" s="11"/>
      <c r="S27" s="11"/>
      <c r="T27" s="15">
        <f t="shared" si="5"/>
        <v>0</v>
      </c>
      <c r="U27" s="11"/>
      <c r="V27" s="129" t="str">
        <f t="shared" si="3"/>
        <v>-</v>
      </c>
      <c r="W27" s="16">
        <f t="shared" si="4"/>
        <v>0</v>
      </c>
      <c r="X27" s="17">
        <f t="shared" si="6"/>
        <v>0</v>
      </c>
      <c r="AB27" s="176">
        <f>ROUNDDOWN(IF(OR(B27="ACAO",B27="DIR",B27="ETF",B27="EXERCICIO"),H27*Configurações!$B$9,IF(B27="EXERC. LC",H27*Configurações!$B$9,IF(B27="OPCAO",H27*Configurações!$B$23))),2)</f>
        <v>0</v>
      </c>
      <c r="AC27" s="14">
        <f>ROUNDDOWN(IF(OR(B27="ACAO",B27="DIR",B27="ETF",B27="EXERCICIO"),H27*Configurações!$C$9,IF(B27="EXERC. LC",H27*Configurações!$C$9,IF(B27="OPCAO",H27*Configurações!$C$23))),2)</f>
        <v>0</v>
      </c>
      <c r="AD27" s="179">
        <f>ROUNDDOWN(IF(OR(B27="ACAO",B27="DIR",B27="ETF",B27="EXERCICIO"),H27*Configurações!$D$9,IF(B27="EXERC. LC",H27*Configurações!$D$9,IF(B27="OPCAO",H27*Configurações!$D$23))),2)</f>
        <v>0</v>
      </c>
      <c r="AE27" s="181">
        <f t="shared" si="7"/>
        <v>0</v>
      </c>
      <c r="AF27" s="181">
        <f t="shared" si="8"/>
        <v>0</v>
      </c>
      <c r="AG27" s="182">
        <f t="shared" si="9"/>
        <v>0</v>
      </c>
      <c r="AI27" s="176">
        <f>ROUNDDOWN(IF(OR(B27="ACAO",B27="DIR",B27="ETF",B27="EXERCICIO"),M27*Configurações!$B$9,IF(B27="EXERC. LC",M27*Configurações!$B$37,IF(B27="OPCAO",M27*Configurações!$B$23))),2)</f>
        <v>0</v>
      </c>
      <c r="AJ27" s="14">
        <f>ROUNDDOWN(IF(OR(B27="ACAO",B27="DIR",B27="ETF",B27="EXERCICIO"),M27*Configurações!$C$9,IF(B27="EXERC. LC",M27*Configurações!$C$37,IF(B27="OPCAO",M27*Configurações!$C$23))),2)</f>
        <v>0</v>
      </c>
      <c r="AK27" s="179">
        <f>ROUNDDOWN(IF(OR(B27="ACAO",B27="DIR",B27="ETF",B27="EXERCICIO"),M27*Configurações!$D$9,IF(B27="EXERC. LC",M27*Configurações!$D$37,IF(B27="OPCAO",M27*Configurações!$D$23))),2)</f>
        <v>0</v>
      </c>
      <c r="AL27" s="181">
        <f t="shared" si="10"/>
        <v>0</v>
      </c>
      <c r="AM27" s="181">
        <f t="shared" si="11"/>
        <v>0</v>
      </c>
      <c r="AN27" s="182">
        <f t="shared" si="12"/>
        <v>0</v>
      </c>
    </row>
    <row r="28" spans="2:40" ht="12.95" customHeight="1" x14ac:dyDescent="0.2">
      <c r="B28" s="49" t="s">
        <v>30</v>
      </c>
      <c r="C28" s="13"/>
      <c r="D28" s="11"/>
      <c r="E28" s="11"/>
      <c r="F28" s="11"/>
      <c r="G28" s="186" t="s">
        <v>69</v>
      </c>
      <c r="H28" s="12">
        <f t="shared" si="0"/>
        <v>0</v>
      </c>
      <c r="I28" s="13"/>
      <c r="J28" s="11"/>
      <c r="K28" s="186" t="s">
        <v>69</v>
      </c>
      <c r="L28" s="14">
        <f t="shared" si="1"/>
        <v>0</v>
      </c>
      <c r="M28" s="14">
        <f t="shared" si="2"/>
        <v>0</v>
      </c>
      <c r="N28" s="14">
        <f>ROUNDDOWN(IF(OR(B28="ACAO",B28="DIR",B28="ETF",B28="EXERCICIO"),L28*Configurações!$B$9,IF(B28="EXERC. LC",H28*Configurações!$B$9+M28*Configurações!$B$37,IF(B28="OPCAO",L28*Configurações!$B$23))),2)</f>
        <v>0</v>
      </c>
      <c r="O28" s="14">
        <f>ROUNDDOWN(IF(OR(B28="ACAO",B28="DIR",B28="ETF",B28="EXERCICIO"),L28*Configurações!$C$9,IF(B28="EXERC. LC",H28*Configurações!$C$9+M28*Configurações!$C$37,IF(B28="OPCAO",L28*Configurações!$C$23))),2)</f>
        <v>0</v>
      </c>
      <c r="P28" s="14">
        <f>ROUNDDOWN(IF(OR(B28="ACAO",B28="DIR",B28="ETF",B28="EXERCICIO"),L28*Configurações!$D$9,IF(B28="EXERC. LC",H28*Configurações!$D$9+M28*Configurações!$D$37,IF(B28="OPCAO",L28*Configurações!$D$23))),2)</f>
        <v>0</v>
      </c>
      <c r="Q28" s="11"/>
      <c r="R28" s="11"/>
      <c r="S28" s="11"/>
      <c r="T28" s="15">
        <f t="shared" si="5"/>
        <v>0</v>
      </c>
      <c r="U28" s="11"/>
      <c r="V28" s="129" t="str">
        <f t="shared" si="3"/>
        <v>-</v>
      </c>
      <c r="W28" s="16">
        <f t="shared" si="4"/>
        <v>0</v>
      </c>
      <c r="X28" s="17">
        <f t="shared" si="6"/>
        <v>0</v>
      </c>
      <c r="AB28" s="176">
        <f>ROUNDDOWN(IF(OR(B28="ACAO",B28="DIR",B28="ETF",B28="EXERCICIO"),H28*Configurações!$B$9,IF(B28="EXERC. LC",H28*Configurações!$B$9,IF(B28="OPCAO",H28*Configurações!$B$23))),2)</f>
        <v>0</v>
      </c>
      <c r="AC28" s="14">
        <f>ROUNDDOWN(IF(OR(B28="ACAO",B28="DIR",B28="ETF",B28="EXERCICIO"),H28*Configurações!$C$9,IF(B28="EXERC. LC",H28*Configurações!$C$9,IF(B28="OPCAO",H28*Configurações!$C$23))),2)</f>
        <v>0</v>
      </c>
      <c r="AD28" s="179">
        <f>ROUNDDOWN(IF(OR(B28="ACAO",B28="DIR",B28="ETF",B28="EXERCICIO"),H28*Configurações!$D$9,IF(B28="EXERC. LC",H28*Configurações!$D$9,IF(B28="OPCAO",H28*Configurações!$D$23))),2)</f>
        <v>0</v>
      </c>
      <c r="AE28" s="181">
        <f t="shared" si="7"/>
        <v>0</v>
      </c>
      <c r="AF28" s="181">
        <f t="shared" si="8"/>
        <v>0</v>
      </c>
      <c r="AG28" s="182">
        <f t="shared" si="9"/>
        <v>0</v>
      </c>
      <c r="AI28" s="176">
        <f>ROUNDDOWN(IF(OR(B28="ACAO",B28="DIR",B28="ETF",B28="EXERCICIO"),M28*Configurações!$B$9,IF(B28="EXERC. LC",M28*Configurações!$B$37,IF(B28="OPCAO",M28*Configurações!$B$23))),2)</f>
        <v>0</v>
      </c>
      <c r="AJ28" s="14">
        <f>ROUNDDOWN(IF(OR(B28="ACAO",B28="DIR",B28="ETF",B28="EXERCICIO"),M28*Configurações!$C$9,IF(B28="EXERC. LC",M28*Configurações!$C$37,IF(B28="OPCAO",M28*Configurações!$C$23))),2)</f>
        <v>0</v>
      </c>
      <c r="AK28" s="179">
        <f>ROUNDDOWN(IF(OR(B28="ACAO",B28="DIR",B28="ETF",B28="EXERCICIO"),M28*Configurações!$D$9,IF(B28="EXERC. LC",M28*Configurações!$D$37,IF(B28="OPCAO",M28*Configurações!$D$23))),2)</f>
        <v>0</v>
      </c>
      <c r="AL28" s="181">
        <f t="shared" si="10"/>
        <v>0</v>
      </c>
      <c r="AM28" s="181">
        <f t="shared" si="11"/>
        <v>0</v>
      </c>
      <c r="AN28" s="182">
        <f t="shared" si="12"/>
        <v>0</v>
      </c>
    </row>
    <row r="29" spans="2:40" ht="12.95" customHeight="1" x14ac:dyDescent="0.2">
      <c r="B29" s="49" t="s">
        <v>30</v>
      </c>
      <c r="C29" s="13"/>
      <c r="D29" s="11"/>
      <c r="E29" s="11"/>
      <c r="F29" s="11"/>
      <c r="G29" s="186" t="s">
        <v>69</v>
      </c>
      <c r="H29" s="12">
        <f t="shared" si="0"/>
        <v>0</v>
      </c>
      <c r="I29" s="13"/>
      <c r="J29" s="11"/>
      <c r="K29" s="186" t="s">
        <v>69</v>
      </c>
      <c r="L29" s="14">
        <f t="shared" si="1"/>
        <v>0</v>
      </c>
      <c r="M29" s="14">
        <f t="shared" si="2"/>
        <v>0</v>
      </c>
      <c r="N29" s="14">
        <f>ROUNDDOWN(IF(OR(B29="ACAO",B29="DIR",B29="ETF",B29="EXERCICIO"),L29*Configurações!$B$9,IF(B29="EXERC. LC",H29*Configurações!$B$9+M29*Configurações!$B$37,IF(B29="OPCAO",L29*Configurações!$B$23))),2)</f>
        <v>0</v>
      </c>
      <c r="O29" s="14">
        <f>ROUNDDOWN(IF(OR(B29="ACAO",B29="DIR",B29="ETF",B29="EXERCICIO"),L29*Configurações!$C$9,IF(B29="EXERC. LC",H29*Configurações!$C$9+M29*Configurações!$C$37,IF(B29="OPCAO",L29*Configurações!$C$23))),2)</f>
        <v>0</v>
      </c>
      <c r="P29" s="14">
        <f>ROUNDDOWN(IF(OR(B29="ACAO",B29="DIR",B29="ETF",B29="EXERCICIO"),L29*Configurações!$D$9,IF(B29="EXERC. LC",H29*Configurações!$D$9+M29*Configurações!$D$37,IF(B29="OPCAO",L29*Configurações!$D$23))),2)</f>
        <v>0</v>
      </c>
      <c r="Q29" s="11"/>
      <c r="R29" s="11"/>
      <c r="S29" s="11"/>
      <c r="T29" s="15">
        <f t="shared" si="5"/>
        <v>0</v>
      </c>
      <c r="U29" s="11"/>
      <c r="V29" s="129" t="str">
        <f t="shared" si="3"/>
        <v>-</v>
      </c>
      <c r="W29" s="16">
        <f t="shared" si="4"/>
        <v>0</v>
      </c>
      <c r="X29" s="17">
        <f t="shared" si="6"/>
        <v>0</v>
      </c>
      <c r="AB29" s="176">
        <f>ROUNDDOWN(IF(OR(B29="ACAO",B29="DIR",B29="ETF",B29="EXERCICIO"),H29*Configurações!$B$9,IF(B29="EXERC. LC",H29*Configurações!$B$9,IF(B29="OPCAO",H29*Configurações!$B$23))),2)</f>
        <v>0</v>
      </c>
      <c r="AC29" s="14">
        <f>ROUNDDOWN(IF(OR(B29="ACAO",B29="DIR",B29="ETF",B29="EXERCICIO"),H29*Configurações!$C$9,IF(B29="EXERC. LC",H29*Configurações!$C$9,IF(B29="OPCAO",H29*Configurações!$C$23))),2)</f>
        <v>0</v>
      </c>
      <c r="AD29" s="179">
        <f>ROUNDDOWN(IF(OR(B29="ACAO",B29="DIR",B29="ETF",B29="EXERCICIO"),H29*Configurações!$D$9,IF(B29="EXERC. LC",H29*Configurações!$D$9,IF(B29="OPCAO",H29*Configurações!$D$23))),2)</f>
        <v>0</v>
      </c>
      <c r="AE29" s="181">
        <f t="shared" si="7"/>
        <v>0</v>
      </c>
      <c r="AF29" s="181">
        <f t="shared" si="8"/>
        <v>0</v>
      </c>
      <c r="AG29" s="182">
        <f t="shared" si="9"/>
        <v>0</v>
      </c>
      <c r="AI29" s="176">
        <f>ROUNDDOWN(IF(OR(B29="ACAO",B29="DIR",B29="ETF",B29="EXERCICIO"),M29*Configurações!$B$9,IF(B29="EXERC. LC",M29*Configurações!$B$37,IF(B29="OPCAO",M29*Configurações!$B$23))),2)</f>
        <v>0</v>
      </c>
      <c r="AJ29" s="14">
        <f>ROUNDDOWN(IF(OR(B29="ACAO",B29="DIR",B29="ETF",B29="EXERCICIO"),M29*Configurações!$C$9,IF(B29="EXERC. LC",M29*Configurações!$C$37,IF(B29="OPCAO",M29*Configurações!$C$23))),2)</f>
        <v>0</v>
      </c>
      <c r="AK29" s="179">
        <f>ROUNDDOWN(IF(OR(B29="ACAO",B29="DIR",B29="ETF",B29="EXERCICIO"),M29*Configurações!$D$9,IF(B29="EXERC. LC",M29*Configurações!$D$37,IF(B29="OPCAO",M29*Configurações!$D$23))),2)</f>
        <v>0</v>
      </c>
      <c r="AL29" s="181">
        <f t="shared" si="10"/>
        <v>0</v>
      </c>
      <c r="AM29" s="181">
        <f t="shared" si="11"/>
        <v>0</v>
      </c>
      <c r="AN29" s="182">
        <f t="shared" si="12"/>
        <v>0</v>
      </c>
    </row>
    <row r="30" spans="2:40" ht="12.95" customHeight="1" x14ac:dyDescent="0.2">
      <c r="B30" s="49" t="s">
        <v>30</v>
      </c>
      <c r="C30" s="13"/>
      <c r="D30" s="11"/>
      <c r="E30" s="11"/>
      <c r="F30" s="11"/>
      <c r="G30" s="186" t="s">
        <v>69</v>
      </c>
      <c r="H30" s="12">
        <f t="shared" si="0"/>
        <v>0</v>
      </c>
      <c r="I30" s="13"/>
      <c r="J30" s="11"/>
      <c r="K30" s="186" t="s">
        <v>69</v>
      </c>
      <c r="L30" s="14">
        <f t="shared" si="1"/>
        <v>0</v>
      </c>
      <c r="M30" s="14">
        <f t="shared" si="2"/>
        <v>0</v>
      </c>
      <c r="N30" s="14">
        <f>ROUNDDOWN(IF(OR(B30="ACAO",B30="DIR",B30="ETF",B30="EXERCICIO"),L30*Configurações!$B$9,IF(B30="EXERC. LC",H30*Configurações!$B$9+M30*Configurações!$B$37,IF(B30="OPCAO",L30*Configurações!$B$23))),2)</f>
        <v>0</v>
      </c>
      <c r="O30" s="14">
        <f>ROUNDDOWN(IF(OR(B30="ACAO",B30="DIR",B30="ETF",B30="EXERCICIO"),L30*Configurações!$C$9,IF(B30="EXERC. LC",H30*Configurações!$C$9+M30*Configurações!$C$37,IF(B30="OPCAO",L30*Configurações!$C$23))),2)</f>
        <v>0</v>
      </c>
      <c r="P30" s="14">
        <f>ROUNDDOWN(IF(OR(B30="ACAO",B30="DIR",B30="ETF",B30="EXERCICIO"),L30*Configurações!$D$9,IF(B30="EXERC. LC",H30*Configurações!$D$9+M30*Configurações!$D$37,IF(B30="OPCAO",L30*Configurações!$D$23))),2)</f>
        <v>0</v>
      </c>
      <c r="Q30" s="11"/>
      <c r="R30" s="11"/>
      <c r="S30" s="11"/>
      <c r="T30" s="15">
        <f t="shared" si="5"/>
        <v>0</v>
      </c>
      <c r="U30" s="11"/>
      <c r="V30" s="129" t="str">
        <f t="shared" si="3"/>
        <v>-</v>
      </c>
      <c r="W30" s="16">
        <f t="shared" si="4"/>
        <v>0</v>
      </c>
      <c r="X30" s="17">
        <f t="shared" si="6"/>
        <v>0</v>
      </c>
      <c r="AB30" s="176">
        <f>ROUNDDOWN(IF(OR(B30="ACAO",B30="DIR",B30="ETF",B30="EXERCICIO"),H30*Configurações!$B$9,IF(B30="EXERC. LC",H30*Configurações!$B$9,IF(B30="OPCAO",H30*Configurações!$B$23))),2)</f>
        <v>0</v>
      </c>
      <c r="AC30" s="14">
        <f>ROUNDDOWN(IF(OR(B30="ACAO",B30="DIR",B30="ETF",B30="EXERCICIO"),H30*Configurações!$C$9,IF(B30="EXERC. LC",H30*Configurações!$C$9,IF(B30="OPCAO",H30*Configurações!$C$23))),2)</f>
        <v>0</v>
      </c>
      <c r="AD30" s="179">
        <f>ROUNDDOWN(IF(OR(B30="ACAO",B30="DIR",B30="ETF",B30="EXERCICIO"),H30*Configurações!$D$9,IF(B30="EXERC. LC",H30*Configurações!$D$9,IF(B30="OPCAO",H30*Configurações!$D$23))),2)</f>
        <v>0</v>
      </c>
      <c r="AE30" s="181">
        <f t="shared" si="7"/>
        <v>0</v>
      </c>
      <c r="AF30" s="181">
        <f t="shared" si="8"/>
        <v>0</v>
      </c>
      <c r="AG30" s="182">
        <f t="shared" si="9"/>
        <v>0</v>
      </c>
      <c r="AI30" s="176">
        <f>ROUNDDOWN(IF(OR(B30="ACAO",B30="DIR",B30="ETF",B30="EXERCICIO"),M30*Configurações!$B$9,IF(B30="EXERC. LC",M30*Configurações!$B$37,IF(B30="OPCAO",M30*Configurações!$B$23))),2)</f>
        <v>0</v>
      </c>
      <c r="AJ30" s="14">
        <f>ROUNDDOWN(IF(OR(B30="ACAO",B30="DIR",B30="ETF",B30="EXERCICIO"),M30*Configurações!$C$9,IF(B30="EXERC. LC",M30*Configurações!$C$37,IF(B30="OPCAO",M30*Configurações!$C$23))),2)</f>
        <v>0</v>
      </c>
      <c r="AK30" s="179">
        <f>ROUNDDOWN(IF(OR(B30="ACAO",B30="DIR",B30="ETF",B30="EXERCICIO"),M30*Configurações!$D$9,IF(B30="EXERC. LC",M30*Configurações!$D$37,IF(B30="OPCAO",M30*Configurações!$D$23))),2)</f>
        <v>0</v>
      </c>
      <c r="AL30" s="181">
        <f t="shared" si="10"/>
        <v>0</v>
      </c>
      <c r="AM30" s="181">
        <f t="shared" si="11"/>
        <v>0</v>
      </c>
      <c r="AN30" s="182">
        <f t="shared" si="12"/>
        <v>0</v>
      </c>
    </row>
    <row r="31" spans="2:40" ht="12.95" customHeight="1" x14ac:dyDescent="0.2">
      <c r="B31" s="49" t="s">
        <v>30</v>
      </c>
      <c r="C31" s="13"/>
      <c r="D31" s="11"/>
      <c r="E31" s="11"/>
      <c r="F31" s="11"/>
      <c r="G31" s="186" t="s">
        <v>69</v>
      </c>
      <c r="H31" s="12">
        <f t="shared" si="0"/>
        <v>0</v>
      </c>
      <c r="I31" s="13"/>
      <c r="J31" s="11"/>
      <c r="K31" s="186" t="s">
        <v>69</v>
      </c>
      <c r="L31" s="14">
        <f t="shared" si="1"/>
        <v>0</v>
      </c>
      <c r="M31" s="14">
        <f t="shared" si="2"/>
        <v>0</v>
      </c>
      <c r="N31" s="14">
        <f>ROUNDDOWN(IF(OR(B31="ACAO",B31="DIR",B31="ETF",B31="EXERCICIO"),L31*Configurações!$B$9,IF(B31="EXERC. LC",H31*Configurações!$B$9+M31*Configurações!$B$37,IF(B31="OPCAO",L31*Configurações!$B$23))),2)</f>
        <v>0</v>
      </c>
      <c r="O31" s="14">
        <f>ROUNDDOWN(IF(OR(B31="ACAO",B31="DIR",B31="ETF",B31="EXERCICIO"),L31*Configurações!$C$9,IF(B31="EXERC. LC",H31*Configurações!$C$9+M31*Configurações!$C$37,IF(B31="OPCAO",L31*Configurações!$C$23))),2)</f>
        <v>0</v>
      </c>
      <c r="P31" s="14">
        <f>ROUNDDOWN(IF(OR(B31="ACAO",B31="DIR",B31="ETF",B31="EXERCICIO"),L31*Configurações!$D$9,IF(B31="EXERC. LC",H31*Configurações!$D$9+M31*Configurações!$D$37,IF(B31="OPCAO",L31*Configurações!$D$23))),2)</f>
        <v>0</v>
      </c>
      <c r="Q31" s="11"/>
      <c r="R31" s="11"/>
      <c r="S31" s="11"/>
      <c r="T31" s="15">
        <f t="shared" si="5"/>
        <v>0</v>
      </c>
      <c r="U31" s="11"/>
      <c r="V31" s="129" t="str">
        <f t="shared" si="3"/>
        <v>-</v>
      </c>
      <c r="W31" s="16">
        <f t="shared" si="4"/>
        <v>0</v>
      </c>
      <c r="X31" s="17">
        <f t="shared" si="6"/>
        <v>0</v>
      </c>
      <c r="AB31" s="176">
        <f>ROUNDDOWN(IF(OR(B31="ACAO",B31="DIR",B31="ETF",B31="EXERCICIO"),H31*Configurações!$B$9,IF(B31="EXERC. LC",H31*Configurações!$B$9,IF(B31="OPCAO",H31*Configurações!$B$23))),2)</f>
        <v>0</v>
      </c>
      <c r="AC31" s="14">
        <f>ROUNDDOWN(IF(OR(B31="ACAO",B31="DIR",B31="ETF",B31="EXERCICIO"),H31*Configurações!$C$9,IF(B31="EXERC. LC",H31*Configurações!$C$9,IF(B31="OPCAO",H31*Configurações!$C$23))),2)</f>
        <v>0</v>
      </c>
      <c r="AD31" s="179">
        <f>ROUNDDOWN(IF(OR(B31="ACAO",B31="DIR",B31="ETF",B31="EXERCICIO"),H31*Configurações!$D$9,IF(B31="EXERC. LC",H31*Configurações!$D$9,IF(B31="OPCAO",H31*Configurações!$D$23))),2)</f>
        <v>0</v>
      </c>
      <c r="AE31" s="181">
        <f t="shared" si="7"/>
        <v>0</v>
      </c>
      <c r="AF31" s="181">
        <f t="shared" si="8"/>
        <v>0</v>
      </c>
      <c r="AG31" s="182">
        <f t="shared" si="9"/>
        <v>0</v>
      </c>
      <c r="AI31" s="176">
        <f>ROUNDDOWN(IF(OR(B31="ACAO",B31="DIR",B31="ETF",B31="EXERCICIO"),M31*Configurações!$B$9,IF(B31="EXERC. LC",M31*Configurações!$B$37,IF(B31="OPCAO",M31*Configurações!$B$23))),2)</f>
        <v>0</v>
      </c>
      <c r="AJ31" s="14">
        <f>ROUNDDOWN(IF(OR(B31="ACAO",B31="DIR",B31="ETF",B31="EXERCICIO"),M31*Configurações!$C$9,IF(B31="EXERC. LC",M31*Configurações!$C$37,IF(B31="OPCAO",M31*Configurações!$C$23))),2)</f>
        <v>0</v>
      </c>
      <c r="AK31" s="179">
        <f>ROUNDDOWN(IF(OR(B31="ACAO",B31="DIR",B31="ETF",B31="EXERCICIO"),M31*Configurações!$D$9,IF(B31="EXERC. LC",M31*Configurações!$D$37,IF(B31="OPCAO",M31*Configurações!$D$23))),2)</f>
        <v>0</v>
      </c>
      <c r="AL31" s="181">
        <f t="shared" si="10"/>
        <v>0</v>
      </c>
      <c r="AM31" s="181">
        <f t="shared" si="11"/>
        <v>0</v>
      </c>
      <c r="AN31" s="182">
        <f t="shared" si="12"/>
        <v>0</v>
      </c>
    </row>
    <row r="32" spans="2:40" ht="12.95" customHeight="1" x14ac:dyDescent="0.2">
      <c r="B32" s="49" t="s">
        <v>30</v>
      </c>
      <c r="C32" s="13"/>
      <c r="D32" s="11"/>
      <c r="E32" s="11"/>
      <c r="F32" s="11"/>
      <c r="G32" s="186" t="s">
        <v>69</v>
      </c>
      <c r="H32" s="12">
        <f t="shared" si="0"/>
        <v>0</v>
      </c>
      <c r="I32" s="13"/>
      <c r="J32" s="11"/>
      <c r="K32" s="186" t="s">
        <v>69</v>
      </c>
      <c r="L32" s="14">
        <f t="shared" si="1"/>
        <v>0</v>
      </c>
      <c r="M32" s="14">
        <f t="shared" si="2"/>
        <v>0</v>
      </c>
      <c r="N32" s="14">
        <f>ROUNDDOWN(IF(OR(B32="ACAO",B32="DIR",B32="ETF",B32="EXERCICIO"),L32*Configurações!$B$9,IF(B32="EXERC. LC",H32*Configurações!$B$9+M32*Configurações!$B$37,IF(B32="OPCAO",L32*Configurações!$B$23))),2)</f>
        <v>0</v>
      </c>
      <c r="O32" s="14">
        <f>ROUNDDOWN(IF(OR(B32="ACAO",B32="DIR",B32="ETF",B32="EXERCICIO"),L32*Configurações!$C$9,IF(B32="EXERC. LC",H32*Configurações!$C$9+M32*Configurações!$C$37,IF(B32="OPCAO",L32*Configurações!$C$23))),2)</f>
        <v>0</v>
      </c>
      <c r="P32" s="14">
        <f>ROUNDDOWN(IF(OR(B32="ACAO",B32="DIR",B32="ETF",B32="EXERCICIO"),L32*Configurações!$D$9,IF(B32="EXERC. LC",H32*Configurações!$D$9+M32*Configurações!$D$37,IF(B32="OPCAO",L32*Configurações!$D$23))),2)</f>
        <v>0</v>
      </c>
      <c r="Q32" s="11"/>
      <c r="R32" s="11"/>
      <c r="S32" s="11"/>
      <c r="T32" s="15">
        <f t="shared" si="5"/>
        <v>0</v>
      </c>
      <c r="U32" s="11"/>
      <c r="V32" s="129" t="str">
        <f t="shared" si="3"/>
        <v>-</v>
      </c>
      <c r="W32" s="16">
        <f t="shared" si="4"/>
        <v>0</v>
      </c>
      <c r="X32" s="17">
        <f t="shared" si="6"/>
        <v>0</v>
      </c>
      <c r="AB32" s="176">
        <f>ROUNDDOWN(IF(OR(B32="ACAO",B32="DIR",B32="ETF",B32="EXERCICIO"),H32*Configurações!$B$9,IF(B32="EXERC. LC",H32*Configurações!$B$9,IF(B32="OPCAO",H32*Configurações!$B$23))),2)</f>
        <v>0</v>
      </c>
      <c r="AC32" s="14">
        <f>ROUNDDOWN(IF(OR(B32="ACAO",B32="DIR",B32="ETF",B32="EXERCICIO"),H32*Configurações!$C$9,IF(B32="EXERC. LC",H32*Configurações!$C$9,IF(B32="OPCAO",H32*Configurações!$C$23))),2)</f>
        <v>0</v>
      </c>
      <c r="AD32" s="179">
        <f>ROUNDDOWN(IF(OR(B32="ACAO",B32="DIR",B32="ETF",B32="EXERCICIO"),H32*Configurações!$D$9,IF(B32="EXERC. LC",H32*Configurações!$D$9,IF(B32="OPCAO",H32*Configurações!$D$23))),2)</f>
        <v>0</v>
      </c>
      <c r="AE32" s="181">
        <f t="shared" si="7"/>
        <v>0</v>
      </c>
      <c r="AF32" s="181">
        <f t="shared" si="8"/>
        <v>0</v>
      </c>
      <c r="AG32" s="182">
        <f t="shared" si="9"/>
        <v>0</v>
      </c>
      <c r="AI32" s="176">
        <f>ROUNDDOWN(IF(OR(B32="ACAO",B32="DIR",B32="ETF",B32="EXERCICIO"),M32*Configurações!$B$9,IF(B32="EXERC. LC",M32*Configurações!$B$37,IF(B32="OPCAO",M32*Configurações!$B$23))),2)</f>
        <v>0</v>
      </c>
      <c r="AJ32" s="14">
        <f>ROUNDDOWN(IF(OR(B32="ACAO",B32="DIR",B32="ETF",B32="EXERCICIO"),M32*Configurações!$C$9,IF(B32="EXERC. LC",M32*Configurações!$C$37,IF(B32="OPCAO",M32*Configurações!$C$23))),2)</f>
        <v>0</v>
      </c>
      <c r="AK32" s="179">
        <f>ROUNDDOWN(IF(OR(B32="ACAO",B32="DIR",B32="ETF",B32="EXERCICIO"),M32*Configurações!$D$9,IF(B32="EXERC. LC",M32*Configurações!$D$37,IF(B32="OPCAO",M32*Configurações!$D$23))),2)</f>
        <v>0</v>
      </c>
      <c r="AL32" s="181">
        <f t="shared" si="10"/>
        <v>0</v>
      </c>
      <c r="AM32" s="181">
        <f t="shared" si="11"/>
        <v>0</v>
      </c>
      <c r="AN32" s="182">
        <f t="shared" si="12"/>
        <v>0</v>
      </c>
    </row>
    <row r="33" spans="2:40" ht="12.95" customHeight="1" x14ac:dyDescent="0.2">
      <c r="B33" s="49" t="s">
        <v>30</v>
      </c>
      <c r="C33" s="13"/>
      <c r="D33" s="11"/>
      <c r="E33" s="11"/>
      <c r="F33" s="11"/>
      <c r="G33" s="186" t="s">
        <v>69</v>
      </c>
      <c r="H33" s="12">
        <f t="shared" si="0"/>
        <v>0</v>
      </c>
      <c r="I33" s="13"/>
      <c r="J33" s="11"/>
      <c r="K33" s="186" t="s">
        <v>69</v>
      </c>
      <c r="L33" s="14">
        <f t="shared" si="1"/>
        <v>0</v>
      </c>
      <c r="M33" s="14">
        <f t="shared" si="2"/>
        <v>0</v>
      </c>
      <c r="N33" s="14">
        <f>ROUNDDOWN(IF(OR(B33="ACAO",B33="DIR",B33="ETF",B33="EXERCICIO"),L33*Configurações!$B$9,IF(B33="EXERC. LC",H33*Configurações!$B$9+M33*Configurações!$B$37,IF(B33="OPCAO",L33*Configurações!$B$23))),2)</f>
        <v>0</v>
      </c>
      <c r="O33" s="14">
        <f>ROUNDDOWN(IF(OR(B33="ACAO",B33="DIR",B33="ETF",B33="EXERCICIO"),L33*Configurações!$C$9,IF(B33="EXERC. LC",H33*Configurações!$C$9+M33*Configurações!$C$37,IF(B33="OPCAO",L33*Configurações!$C$23))),2)</f>
        <v>0</v>
      </c>
      <c r="P33" s="14">
        <f>ROUNDDOWN(IF(OR(B33="ACAO",B33="DIR",B33="ETF",B33="EXERCICIO"),L33*Configurações!$D$9,IF(B33="EXERC. LC",H33*Configurações!$D$9+M33*Configurações!$D$37,IF(B33="OPCAO",L33*Configurações!$D$23))),2)</f>
        <v>0</v>
      </c>
      <c r="Q33" s="11"/>
      <c r="R33" s="11"/>
      <c r="S33" s="11"/>
      <c r="T33" s="15">
        <f t="shared" si="5"/>
        <v>0</v>
      </c>
      <c r="U33" s="11"/>
      <c r="V33" s="129" t="str">
        <f t="shared" si="3"/>
        <v>-</v>
      </c>
      <c r="W33" s="16">
        <f t="shared" si="4"/>
        <v>0</v>
      </c>
      <c r="X33" s="17">
        <f t="shared" si="6"/>
        <v>0</v>
      </c>
      <c r="AB33" s="176">
        <f>ROUNDDOWN(IF(OR(B33="ACAO",B33="DIR",B33="ETF",B33="EXERCICIO"),H33*Configurações!$B$9,IF(B33="EXERC. LC",H33*Configurações!$B$9,IF(B33="OPCAO",H33*Configurações!$B$23))),2)</f>
        <v>0</v>
      </c>
      <c r="AC33" s="14">
        <f>ROUNDDOWN(IF(OR(B33="ACAO",B33="DIR",B33="ETF",B33="EXERCICIO"),H33*Configurações!$C$9,IF(B33="EXERC. LC",H33*Configurações!$C$9,IF(B33="OPCAO",H33*Configurações!$C$23))),2)</f>
        <v>0</v>
      </c>
      <c r="AD33" s="179">
        <f>ROUNDDOWN(IF(OR(B33="ACAO",B33="DIR",B33="ETF",B33="EXERCICIO"),H33*Configurações!$D$9,IF(B33="EXERC. LC",H33*Configurações!$D$9,IF(B33="OPCAO",H33*Configurações!$D$23))),2)</f>
        <v>0</v>
      </c>
      <c r="AE33" s="181">
        <f t="shared" si="7"/>
        <v>0</v>
      </c>
      <c r="AF33" s="181">
        <f t="shared" si="8"/>
        <v>0</v>
      </c>
      <c r="AG33" s="182">
        <f t="shared" si="9"/>
        <v>0</v>
      </c>
      <c r="AI33" s="176">
        <f>ROUNDDOWN(IF(OR(B33="ACAO",B33="DIR",B33="ETF",B33="EXERCICIO"),M33*Configurações!$B$9,IF(B33="EXERC. LC",M33*Configurações!$B$37,IF(B33="OPCAO",M33*Configurações!$B$23))),2)</f>
        <v>0</v>
      </c>
      <c r="AJ33" s="14">
        <f>ROUNDDOWN(IF(OR(B33="ACAO",B33="DIR",B33="ETF",B33="EXERCICIO"),M33*Configurações!$C$9,IF(B33="EXERC. LC",M33*Configurações!$C$37,IF(B33="OPCAO",M33*Configurações!$C$23))),2)</f>
        <v>0</v>
      </c>
      <c r="AK33" s="179">
        <f>ROUNDDOWN(IF(OR(B33="ACAO",B33="DIR",B33="ETF",B33="EXERCICIO"),M33*Configurações!$D$9,IF(B33="EXERC. LC",M33*Configurações!$D$37,IF(B33="OPCAO",M33*Configurações!$D$23))),2)</f>
        <v>0</v>
      </c>
      <c r="AL33" s="181">
        <f t="shared" si="10"/>
        <v>0</v>
      </c>
      <c r="AM33" s="181">
        <f t="shared" si="11"/>
        <v>0</v>
      </c>
      <c r="AN33" s="182">
        <f t="shared" si="12"/>
        <v>0</v>
      </c>
    </row>
    <row r="34" spans="2:40" ht="12.95" customHeight="1" x14ac:dyDescent="0.2">
      <c r="B34" s="49" t="s">
        <v>30</v>
      </c>
      <c r="C34" s="13"/>
      <c r="D34" s="11"/>
      <c r="E34" s="11"/>
      <c r="F34" s="11"/>
      <c r="G34" s="186" t="s">
        <v>69</v>
      </c>
      <c r="H34" s="12">
        <f t="shared" si="0"/>
        <v>0</v>
      </c>
      <c r="I34" s="13"/>
      <c r="J34" s="11"/>
      <c r="K34" s="186" t="s">
        <v>69</v>
      </c>
      <c r="L34" s="14">
        <f t="shared" si="1"/>
        <v>0</v>
      </c>
      <c r="M34" s="14">
        <f t="shared" si="2"/>
        <v>0</v>
      </c>
      <c r="N34" s="14">
        <f>ROUNDDOWN(IF(OR(B34="ACAO",B34="DIR",B34="ETF",B34="EXERCICIO"),L34*Configurações!$B$9,IF(B34="EXERC. LC",H34*Configurações!$B$9+M34*Configurações!$B$37,IF(B34="OPCAO",L34*Configurações!$B$23))),2)</f>
        <v>0</v>
      </c>
      <c r="O34" s="14">
        <f>ROUNDDOWN(IF(OR(B34="ACAO",B34="DIR",B34="ETF",B34="EXERCICIO"),L34*Configurações!$C$9,IF(B34="EXERC. LC",H34*Configurações!$C$9+M34*Configurações!$C$37,IF(B34="OPCAO",L34*Configurações!$C$23))),2)</f>
        <v>0</v>
      </c>
      <c r="P34" s="14">
        <f>ROUNDDOWN(IF(OR(B34="ACAO",B34="DIR",B34="ETF",B34="EXERCICIO"),L34*Configurações!$D$9,IF(B34="EXERC. LC",H34*Configurações!$D$9+M34*Configurações!$D$37,IF(B34="OPCAO",L34*Configurações!$D$23))),2)</f>
        <v>0</v>
      </c>
      <c r="Q34" s="11"/>
      <c r="R34" s="11"/>
      <c r="S34" s="11"/>
      <c r="T34" s="15">
        <f t="shared" si="5"/>
        <v>0</v>
      </c>
      <c r="U34" s="11"/>
      <c r="V34" s="129" t="str">
        <f t="shared" si="3"/>
        <v>-</v>
      </c>
      <c r="W34" s="16">
        <f t="shared" si="4"/>
        <v>0</v>
      </c>
      <c r="X34" s="17">
        <f t="shared" si="6"/>
        <v>0</v>
      </c>
      <c r="AB34" s="176">
        <f>ROUNDDOWN(IF(OR(B34="ACAO",B34="DIR",B34="ETF",B34="EXERCICIO"),H34*Configurações!$B$9,IF(B34="EXERC. LC",H34*Configurações!$B$9,IF(B34="OPCAO",H34*Configurações!$B$23))),2)</f>
        <v>0</v>
      </c>
      <c r="AC34" s="14">
        <f>ROUNDDOWN(IF(OR(B34="ACAO",B34="DIR",B34="ETF",B34="EXERCICIO"),H34*Configurações!$C$9,IF(B34="EXERC. LC",H34*Configurações!$C$9,IF(B34="OPCAO",H34*Configurações!$C$23))),2)</f>
        <v>0</v>
      </c>
      <c r="AD34" s="179">
        <f>ROUNDDOWN(IF(OR(B34="ACAO",B34="DIR",B34="ETF",B34="EXERCICIO"),H34*Configurações!$D$9,IF(B34="EXERC. LC",H34*Configurações!$D$9,IF(B34="OPCAO",H34*Configurações!$D$23))),2)</f>
        <v>0</v>
      </c>
      <c r="AE34" s="181">
        <f t="shared" si="7"/>
        <v>0</v>
      </c>
      <c r="AF34" s="181">
        <f t="shared" si="8"/>
        <v>0</v>
      </c>
      <c r="AG34" s="182">
        <f t="shared" si="9"/>
        <v>0</v>
      </c>
      <c r="AI34" s="176">
        <f>ROUNDDOWN(IF(OR(B34="ACAO",B34="DIR",B34="ETF",B34="EXERCICIO"),M34*Configurações!$B$9,IF(B34="EXERC. LC",M34*Configurações!$B$37,IF(B34="OPCAO",M34*Configurações!$B$23))),2)</f>
        <v>0</v>
      </c>
      <c r="AJ34" s="14">
        <f>ROUNDDOWN(IF(OR(B34="ACAO",B34="DIR",B34="ETF",B34="EXERCICIO"),M34*Configurações!$C$9,IF(B34="EXERC. LC",M34*Configurações!$C$37,IF(B34="OPCAO",M34*Configurações!$C$23))),2)</f>
        <v>0</v>
      </c>
      <c r="AK34" s="179">
        <f>ROUNDDOWN(IF(OR(B34="ACAO",B34="DIR",B34="ETF",B34="EXERCICIO"),M34*Configurações!$D$9,IF(B34="EXERC. LC",M34*Configurações!$D$37,IF(B34="OPCAO",M34*Configurações!$D$23))),2)</f>
        <v>0</v>
      </c>
      <c r="AL34" s="181">
        <f t="shared" si="10"/>
        <v>0</v>
      </c>
      <c r="AM34" s="181">
        <f t="shared" si="11"/>
        <v>0</v>
      </c>
      <c r="AN34" s="182">
        <f t="shared" si="12"/>
        <v>0</v>
      </c>
    </row>
    <row r="35" spans="2:40" ht="12.95" customHeight="1" x14ac:dyDescent="0.2">
      <c r="B35" s="49" t="s">
        <v>30</v>
      </c>
      <c r="C35" s="13"/>
      <c r="D35" s="11"/>
      <c r="E35" s="11"/>
      <c r="F35" s="11"/>
      <c r="G35" s="186" t="s">
        <v>69</v>
      </c>
      <c r="H35" s="12">
        <f t="shared" si="0"/>
        <v>0</v>
      </c>
      <c r="I35" s="13"/>
      <c r="J35" s="11"/>
      <c r="K35" s="186" t="s">
        <v>69</v>
      </c>
      <c r="L35" s="14">
        <f t="shared" si="1"/>
        <v>0</v>
      </c>
      <c r="M35" s="14">
        <f t="shared" si="2"/>
        <v>0</v>
      </c>
      <c r="N35" s="14">
        <f>ROUNDDOWN(IF(OR(B35="ACAO",B35="DIR",B35="ETF",B35="EXERCICIO"),L35*Configurações!$B$9,IF(B35="EXERC. LC",H35*Configurações!$B$9+M35*Configurações!$B$37,IF(B35="OPCAO",L35*Configurações!$B$23))),2)</f>
        <v>0</v>
      </c>
      <c r="O35" s="14">
        <f>ROUNDDOWN(IF(OR(B35="ACAO",B35="DIR",B35="ETF",B35="EXERCICIO"),L35*Configurações!$C$9,IF(B35="EXERC. LC",H35*Configurações!$C$9+M35*Configurações!$C$37,IF(B35="OPCAO",L35*Configurações!$C$23))),2)</f>
        <v>0</v>
      </c>
      <c r="P35" s="14">
        <f>ROUNDDOWN(IF(OR(B35="ACAO",B35="DIR",B35="ETF",B35="EXERCICIO"),L35*Configurações!$D$9,IF(B35="EXERC. LC",H35*Configurações!$D$9+M35*Configurações!$D$37,IF(B35="OPCAO",L35*Configurações!$D$23))),2)</f>
        <v>0</v>
      </c>
      <c r="Q35" s="11"/>
      <c r="R35" s="11"/>
      <c r="S35" s="11"/>
      <c r="T35" s="15">
        <f t="shared" si="5"/>
        <v>0</v>
      </c>
      <c r="U35" s="11"/>
      <c r="V35" s="129" t="str">
        <f t="shared" si="3"/>
        <v>-</v>
      </c>
      <c r="W35" s="16">
        <f t="shared" si="4"/>
        <v>0</v>
      </c>
      <c r="X35" s="17">
        <f t="shared" si="6"/>
        <v>0</v>
      </c>
      <c r="AB35" s="176">
        <f>ROUNDDOWN(IF(OR(B35="ACAO",B35="DIR",B35="ETF",B35="EXERCICIO"),H35*Configurações!$B$9,IF(B35="EXERC. LC",H35*Configurações!$B$9,IF(B35="OPCAO",H35*Configurações!$B$23))),2)</f>
        <v>0</v>
      </c>
      <c r="AC35" s="14">
        <f>ROUNDDOWN(IF(OR(B35="ACAO",B35="DIR",B35="ETF",B35="EXERCICIO"),H35*Configurações!$C$9,IF(B35="EXERC. LC",H35*Configurações!$C$9,IF(B35="OPCAO",H35*Configurações!$C$23))),2)</f>
        <v>0</v>
      </c>
      <c r="AD35" s="179">
        <f>ROUNDDOWN(IF(OR(B35="ACAO",B35="DIR",B35="ETF",B35="EXERCICIO"),H35*Configurações!$D$9,IF(B35="EXERC. LC",H35*Configurações!$D$9,IF(B35="OPCAO",H35*Configurações!$D$23))),2)</f>
        <v>0</v>
      </c>
      <c r="AE35" s="181">
        <f t="shared" si="7"/>
        <v>0</v>
      </c>
      <c r="AF35" s="181">
        <f t="shared" si="8"/>
        <v>0</v>
      </c>
      <c r="AG35" s="182">
        <f t="shared" si="9"/>
        <v>0</v>
      </c>
      <c r="AI35" s="176">
        <f>ROUNDDOWN(IF(OR(B35="ACAO",B35="DIR",B35="ETF",B35="EXERCICIO"),M35*Configurações!$B$9,IF(B35="EXERC. LC",M35*Configurações!$B$37,IF(B35="OPCAO",M35*Configurações!$B$23))),2)</f>
        <v>0</v>
      </c>
      <c r="AJ35" s="14">
        <f>ROUNDDOWN(IF(OR(B35="ACAO",B35="DIR",B35="ETF",B35="EXERCICIO"),M35*Configurações!$C$9,IF(B35="EXERC. LC",M35*Configurações!$C$37,IF(B35="OPCAO",M35*Configurações!$C$23))),2)</f>
        <v>0</v>
      </c>
      <c r="AK35" s="179">
        <f>ROUNDDOWN(IF(OR(B35="ACAO",B35="DIR",B35="ETF",B35="EXERCICIO"),M35*Configurações!$D$9,IF(B35="EXERC. LC",M35*Configurações!$D$37,IF(B35="OPCAO",M35*Configurações!$D$23))),2)</f>
        <v>0</v>
      </c>
      <c r="AL35" s="181">
        <f t="shared" si="10"/>
        <v>0</v>
      </c>
      <c r="AM35" s="181">
        <f t="shared" si="11"/>
        <v>0</v>
      </c>
      <c r="AN35" s="182">
        <f t="shared" si="12"/>
        <v>0</v>
      </c>
    </row>
    <row r="36" spans="2:40" ht="12.95" customHeight="1" x14ac:dyDescent="0.2">
      <c r="B36" s="49" t="s">
        <v>30</v>
      </c>
      <c r="C36" s="13"/>
      <c r="D36" s="11"/>
      <c r="E36" s="11"/>
      <c r="F36" s="11"/>
      <c r="G36" s="186" t="s">
        <v>69</v>
      </c>
      <c r="H36" s="12">
        <f t="shared" si="0"/>
        <v>0</v>
      </c>
      <c r="I36" s="13"/>
      <c r="J36" s="11"/>
      <c r="K36" s="186" t="s">
        <v>69</v>
      </c>
      <c r="L36" s="14">
        <f t="shared" si="1"/>
        <v>0</v>
      </c>
      <c r="M36" s="14">
        <f t="shared" si="2"/>
        <v>0</v>
      </c>
      <c r="N36" s="14">
        <f>ROUNDDOWN(IF(OR(B36="ACAO",B36="DIR",B36="ETF",B36="EXERCICIO"),L36*Configurações!$B$9,IF(B36="EXERC. LC",H36*Configurações!$B$9+M36*Configurações!$B$37,IF(B36="OPCAO",L36*Configurações!$B$23))),2)</f>
        <v>0</v>
      </c>
      <c r="O36" s="14">
        <f>ROUNDDOWN(IF(OR(B36="ACAO",B36="DIR",B36="ETF",B36="EXERCICIO"),L36*Configurações!$C$9,IF(B36="EXERC. LC",H36*Configurações!$C$9+M36*Configurações!$C$37,IF(B36="OPCAO",L36*Configurações!$C$23))),2)</f>
        <v>0</v>
      </c>
      <c r="P36" s="14">
        <f>ROUNDDOWN(IF(OR(B36="ACAO",B36="DIR",B36="ETF",B36="EXERCICIO"),L36*Configurações!$D$9,IF(B36="EXERC. LC",H36*Configurações!$D$9+M36*Configurações!$D$37,IF(B36="OPCAO",L36*Configurações!$D$23))),2)</f>
        <v>0</v>
      </c>
      <c r="Q36" s="11"/>
      <c r="R36" s="11"/>
      <c r="S36" s="11"/>
      <c r="T36" s="15">
        <f t="shared" si="5"/>
        <v>0</v>
      </c>
      <c r="U36" s="11"/>
      <c r="V36" s="129" t="str">
        <f t="shared" si="3"/>
        <v>-</v>
      </c>
      <c r="W36" s="16">
        <f t="shared" si="4"/>
        <v>0</v>
      </c>
      <c r="X36" s="17">
        <f t="shared" si="6"/>
        <v>0</v>
      </c>
      <c r="AB36" s="176">
        <f>ROUNDDOWN(IF(OR(B36="ACAO",B36="DIR",B36="ETF",B36="EXERCICIO"),H36*Configurações!$B$9,IF(B36="EXERC. LC",H36*Configurações!$B$9,IF(B36="OPCAO",H36*Configurações!$B$23))),2)</f>
        <v>0</v>
      </c>
      <c r="AC36" s="14">
        <f>ROUNDDOWN(IF(OR(B36="ACAO",B36="DIR",B36="ETF",B36="EXERCICIO"),H36*Configurações!$C$9,IF(B36="EXERC. LC",H36*Configurações!$C$9,IF(B36="OPCAO",H36*Configurações!$C$23))),2)</f>
        <v>0</v>
      </c>
      <c r="AD36" s="179">
        <f>ROUNDDOWN(IF(OR(B36="ACAO",B36="DIR",B36="ETF",B36="EXERCICIO"),H36*Configurações!$D$9,IF(B36="EXERC. LC",H36*Configurações!$D$9,IF(B36="OPCAO",H36*Configurações!$D$23))),2)</f>
        <v>0</v>
      </c>
      <c r="AE36" s="181">
        <f t="shared" si="7"/>
        <v>0</v>
      </c>
      <c r="AF36" s="181">
        <f t="shared" si="8"/>
        <v>0</v>
      </c>
      <c r="AG36" s="182">
        <f t="shared" si="9"/>
        <v>0</v>
      </c>
      <c r="AI36" s="176">
        <f>ROUNDDOWN(IF(OR(B36="ACAO",B36="DIR",B36="ETF",B36="EXERCICIO"),M36*Configurações!$B$9,IF(B36="EXERC. LC",M36*Configurações!$B$37,IF(B36="OPCAO",M36*Configurações!$B$23))),2)</f>
        <v>0</v>
      </c>
      <c r="AJ36" s="14">
        <f>ROUNDDOWN(IF(OR(B36="ACAO",B36="DIR",B36="ETF",B36="EXERCICIO"),M36*Configurações!$C$9,IF(B36="EXERC. LC",M36*Configurações!$C$37,IF(B36="OPCAO",M36*Configurações!$C$23))),2)</f>
        <v>0</v>
      </c>
      <c r="AK36" s="179">
        <f>ROUNDDOWN(IF(OR(B36="ACAO",B36="DIR",B36="ETF",B36="EXERCICIO"),M36*Configurações!$D$9,IF(B36="EXERC. LC",M36*Configurações!$D$37,IF(B36="OPCAO",M36*Configurações!$D$23))),2)</f>
        <v>0</v>
      </c>
      <c r="AL36" s="181">
        <f t="shared" si="10"/>
        <v>0</v>
      </c>
      <c r="AM36" s="181">
        <f t="shared" si="11"/>
        <v>0</v>
      </c>
      <c r="AN36" s="182">
        <f t="shared" si="12"/>
        <v>0</v>
      </c>
    </row>
    <row r="37" spans="2:40" ht="12.95" customHeight="1" x14ac:dyDescent="0.2">
      <c r="B37" s="49" t="s">
        <v>30</v>
      </c>
      <c r="C37" s="13"/>
      <c r="D37" s="11"/>
      <c r="E37" s="11"/>
      <c r="F37" s="11"/>
      <c r="G37" s="186" t="s">
        <v>69</v>
      </c>
      <c r="H37" s="12">
        <f t="shared" si="0"/>
        <v>0</v>
      </c>
      <c r="I37" s="13"/>
      <c r="J37" s="11"/>
      <c r="K37" s="186" t="s">
        <v>69</v>
      </c>
      <c r="L37" s="14">
        <f t="shared" si="1"/>
        <v>0</v>
      </c>
      <c r="M37" s="14">
        <f t="shared" si="2"/>
        <v>0</v>
      </c>
      <c r="N37" s="14">
        <f>ROUNDDOWN(IF(OR(B37="ACAO",B37="DIR",B37="ETF",B37="EXERCICIO"),L37*Configurações!$B$9,IF(B37="EXERC. LC",H37*Configurações!$B$9+M37*Configurações!$B$37,IF(B37="OPCAO",L37*Configurações!$B$23))),2)</f>
        <v>0</v>
      </c>
      <c r="O37" s="14">
        <f>ROUNDDOWN(IF(OR(B37="ACAO",B37="DIR",B37="ETF",B37="EXERCICIO"),L37*Configurações!$C$9,IF(B37="EXERC. LC",H37*Configurações!$C$9+M37*Configurações!$C$37,IF(B37="OPCAO",L37*Configurações!$C$23))),2)</f>
        <v>0</v>
      </c>
      <c r="P37" s="14">
        <f>ROUNDDOWN(IF(OR(B37="ACAO",B37="DIR",B37="ETF",B37="EXERCICIO"),L37*Configurações!$D$9,IF(B37="EXERC. LC",H37*Configurações!$D$9+M37*Configurações!$D$37,IF(B37="OPCAO",L37*Configurações!$D$23))),2)</f>
        <v>0</v>
      </c>
      <c r="Q37" s="11"/>
      <c r="R37" s="11"/>
      <c r="S37" s="11"/>
      <c r="T37" s="15">
        <f t="shared" si="5"/>
        <v>0</v>
      </c>
      <c r="U37" s="11"/>
      <c r="V37" s="129" t="str">
        <f t="shared" si="3"/>
        <v>-</v>
      </c>
      <c r="W37" s="16">
        <f t="shared" si="4"/>
        <v>0</v>
      </c>
      <c r="X37" s="17">
        <f t="shared" si="6"/>
        <v>0</v>
      </c>
      <c r="AB37" s="176">
        <f>ROUNDDOWN(IF(OR(B37="ACAO",B37="DIR",B37="ETF",B37="EXERCICIO"),H37*Configurações!$B$9,IF(B37="EXERC. LC",H37*Configurações!$B$9,IF(B37="OPCAO",H37*Configurações!$B$23))),2)</f>
        <v>0</v>
      </c>
      <c r="AC37" s="14">
        <f>ROUNDDOWN(IF(OR(B37="ACAO",B37="DIR",B37="ETF",B37="EXERCICIO"),H37*Configurações!$C$9,IF(B37="EXERC. LC",H37*Configurações!$C$9,IF(B37="OPCAO",H37*Configurações!$C$23))),2)</f>
        <v>0</v>
      </c>
      <c r="AD37" s="179">
        <f>ROUNDDOWN(IF(OR(B37="ACAO",B37="DIR",B37="ETF",B37="EXERCICIO"),H37*Configurações!$D$9,IF(B37="EXERC. LC",H37*Configurações!$D$9,IF(B37="OPCAO",H37*Configurações!$D$23))),2)</f>
        <v>0</v>
      </c>
      <c r="AE37" s="181">
        <f t="shared" si="7"/>
        <v>0</v>
      </c>
      <c r="AF37" s="181">
        <f t="shared" si="8"/>
        <v>0</v>
      </c>
      <c r="AG37" s="182">
        <f t="shared" si="9"/>
        <v>0</v>
      </c>
      <c r="AI37" s="176">
        <f>ROUNDDOWN(IF(OR(B37="ACAO",B37="DIR",B37="ETF",B37="EXERCICIO"),M37*Configurações!$B$9,IF(B37="EXERC. LC",M37*Configurações!$B$37,IF(B37="OPCAO",M37*Configurações!$B$23))),2)</f>
        <v>0</v>
      </c>
      <c r="AJ37" s="14">
        <f>ROUNDDOWN(IF(OR(B37="ACAO",B37="DIR",B37="ETF",B37="EXERCICIO"),M37*Configurações!$C$9,IF(B37="EXERC. LC",M37*Configurações!$C$37,IF(B37="OPCAO",M37*Configurações!$C$23))),2)</f>
        <v>0</v>
      </c>
      <c r="AK37" s="179">
        <f>ROUNDDOWN(IF(OR(B37="ACAO",B37="DIR",B37="ETF",B37="EXERCICIO"),M37*Configurações!$D$9,IF(B37="EXERC. LC",M37*Configurações!$D$37,IF(B37="OPCAO",M37*Configurações!$D$23))),2)</f>
        <v>0</v>
      </c>
      <c r="AL37" s="181">
        <f t="shared" si="10"/>
        <v>0</v>
      </c>
      <c r="AM37" s="181">
        <f t="shared" si="11"/>
        <v>0</v>
      </c>
      <c r="AN37" s="182">
        <f t="shared" si="12"/>
        <v>0</v>
      </c>
    </row>
    <row r="38" spans="2:40" ht="12.95" customHeight="1" x14ac:dyDescent="0.2">
      <c r="B38" s="49" t="s">
        <v>30</v>
      </c>
      <c r="C38" s="13"/>
      <c r="D38" s="11"/>
      <c r="E38" s="11"/>
      <c r="F38" s="11"/>
      <c r="G38" s="186" t="s">
        <v>69</v>
      </c>
      <c r="H38" s="12">
        <f t="shared" si="0"/>
        <v>0</v>
      </c>
      <c r="I38" s="13"/>
      <c r="J38" s="11"/>
      <c r="K38" s="186" t="s">
        <v>69</v>
      </c>
      <c r="L38" s="14">
        <f t="shared" si="1"/>
        <v>0</v>
      </c>
      <c r="M38" s="14">
        <f t="shared" si="2"/>
        <v>0</v>
      </c>
      <c r="N38" s="14">
        <f>ROUNDDOWN(IF(OR(B38="ACAO",B38="DIR",B38="ETF",B38="EXERCICIO"),L38*Configurações!$B$9,IF(B38="EXERC. LC",H38*Configurações!$B$9+M38*Configurações!$B$37,IF(B38="OPCAO",L38*Configurações!$B$23))),2)</f>
        <v>0</v>
      </c>
      <c r="O38" s="14">
        <f>ROUNDDOWN(IF(OR(B38="ACAO",B38="DIR",B38="ETF",B38="EXERCICIO"),L38*Configurações!$C$9,IF(B38="EXERC. LC",H38*Configurações!$C$9+M38*Configurações!$C$37,IF(B38="OPCAO",L38*Configurações!$C$23))),2)</f>
        <v>0</v>
      </c>
      <c r="P38" s="14">
        <f>ROUNDDOWN(IF(OR(B38="ACAO",B38="DIR",B38="ETF",B38="EXERCICIO"),L38*Configurações!$D$9,IF(B38="EXERC. LC",H38*Configurações!$D$9+M38*Configurações!$D$37,IF(B38="OPCAO",L38*Configurações!$D$23))),2)</f>
        <v>0</v>
      </c>
      <c r="Q38" s="11"/>
      <c r="R38" s="11"/>
      <c r="S38" s="11"/>
      <c r="T38" s="15">
        <f t="shared" si="5"/>
        <v>0</v>
      </c>
      <c r="U38" s="11"/>
      <c r="V38" s="129" t="str">
        <f t="shared" si="3"/>
        <v>-</v>
      </c>
      <c r="W38" s="16">
        <f t="shared" si="4"/>
        <v>0</v>
      </c>
      <c r="X38" s="17">
        <f t="shared" si="6"/>
        <v>0</v>
      </c>
      <c r="AB38" s="176">
        <f>ROUNDDOWN(IF(OR(B38="ACAO",B38="DIR",B38="ETF",B38="EXERCICIO"),H38*Configurações!$B$9,IF(B38="EXERC. LC",H38*Configurações!$B$9,IF(B38="OPCAO",H38*Configurações!$B$23))),2)</f>
        <v>0</v>
      </c>
      <c r="AC38" s="14">
        <f>ROUNDDOWN(IF(OR(B38="ACAO",B38="DIR",B38="ETF",B38="EXERCICIO"),H38*Configurações!$C$9,IF(B38="EXERC. LC",H38*Configurações!$C$9,IF(B38="OPCAO",H38*Configurações!$C$23))),2)</f>
        <v>0</v>
      </c>
      <c r="AD38" s="179">
        <f>ROUNDDOWN(IF(OR(B38="ACAO",B38="DIR",B38="ETF",B38="EXERCICIO"),H38*Configurações!$D$9,IF(B38="EXERC. LC",H38*Configurações!$D$9,IF(B38="OPCAO",H38*Configurações!$D$23))),2)</f>
        <v>0</v>
      </c>
      <c r="AE38" s="181">
        <f t="shared" si="7"/>
        <v>0</v>
      </c>
      <c r="AF38" s="181">
        <f t="shared" si="8"/>
        <v>0</v>
      </c>
      <c r="AG38" s="182">
        <f t="shared" si="9"/>
        <v>0</v>
      </c>
      <c r="AI38" s="176">
        <f>ROUNDDOWN(IF(OR(B38="ACAO",B38="DIR",B38="ETF",B38="EXERCICIO"),M38*Configurações!$B$9,IF(B38="EXERC. LC",M38*Configurações!$B$37,IF(B38="OPCAO",M38*Configurações!$B$23))),2)</f>
        <v>0</v>
      </c>
      <c r="AJ38" s="14">
        <f>ROUNDDOWN(IF(OR(B38="ACAO",B38="DIR",B38="ETF",B38="EXERCICIO"),M38*Configurações!$C$9,IF(B38="EXERC. LC",M38*Configurações!$C$37,IF(B38="OPCAO",M38*Configurações!$C$23))),2)</f>
        <v>0</v>
      </c>
      <c r="AK38" s="179">
        <f>ROUNDDOWN(IF(OR(B38="ACAO",B38="DIR",B38="ETF",B38="EXERCICIO"),M38*Configurações!$D$9,IF(B38="EXERC. LC",M38*Configurações!$D$37,IF(B38="OPCAO",M38*Configurações!$D$23))),2)</f>
        <v>0</v>
      </c>
      <c r="AL38" s="181">
        <f t="shared" si="10"/>
        <v>0</v>
      </c>
      <c r="AM38" s="181">
        <f t="shared" si="11"/>
        <v>0</v>
      </c>
      <c r="AN38" s="182">
        <f t="shared" si="12"/>
        <v>0</v>
      </c>
    </row>
    <row r="39" spans="2:40" ht="12.95" customHeight="1" x14ac:dyDescent="0.2">
      <c r="B39" s="49" t="s">
        <v>30</v>
      </c>
      <c r="C39" s="13"/>
      <c r="D39" s="11"/>
      <c r="E39" s="11"/>
      <c r="F39" s="11"/>
      <c r="G39" s="186" t="s">
        <v>69</v>
      </c>
      <c r="H39" s="12">
        <f t="shared" si="0"/>
        <v>0</v>
      </c>
      <c r="I39" s="13"/>
      <c r="J39" s="11"/>
      <c r="K39" s="186" t="s">
        <v>69</v>
      </c>
      <c r="L39" s="14">
        <f t="shared" si="1"/>
        <v>0</v>
      </c>
      <c r="M39" s="14">
        <f t="shared" si="2"/>
        <v>0</v>
      </c>
      <c r="N39" s="14">
        <f>ROUNDDOWN(IF(OR(B39="ACAO",B39="DIR",B39="ETF",B39="EXERCICIO"),L39*Configurações!$B$9,IF(B39="EXERC. LC",H39*Configurações!$B$9+M39*Configurações!$B$37,IF(B39="OPCAO",L39*Configurações!$B$23))),2)</f>
        <v>0</v>
      </c>
      <c r="O39" s="14">
        <f>ROUNDDOWN(IF(OR(B39="ACAO",B39="DIR",B39="ETF",B39="EXERCICIO"),L39*Configurações!$C$9,IF(B39="EXERC. LC",H39*Configurações!$C$9+M39*Configurações!$C$37,IF(B39="OPCAO",L39*Configurações!$C$23))),2)</f>
        <v>0</v>
      </c>
      <c r="P39" s="14">
        <f>ROUNDDOWN(IF(OR(B39="ACAO",B39="DIR",B39="ETF",B39="EXERCICIO"),L39*Configurações!$D$9,IF(B39="EXERC. LC",H39*Configurações!$D$9+M39*Configurações!$D$37,IF(B39="OPCAO",L39*Configurações!$D$23))),2)</f>
        <v>0</v>
      </c>
      <c r="Q39" s="11"/>
      <c r="R39" s="11"/>
      <c r="S39" s="11"/>
      <c r="T39" s="15">
        <f t="shared" si="5"/>
        <v>0</v>
      </c>
      <c r="U39" s="11"/>
      <c r="V39" s="129" t="str">
        <f t="shared" si="3"/>
        <v>-</v>
      </c>
      <c r="W39" s="16">
        <f t="shared" si="4"/>
        <v>0</v>
      </c>
      <c r="X39" s="17">
        <f t="shared" si="6"/>
        <v>0</v>
      </c>
      <c r="AB39" s="176">
        <f>ROUNDDOWN(IF(OR(B39="ACAO",B39="DIR",B39="ETF",B39="EXERCICIO"),H39*Configurações!$B$9,IF(B39="EXERC. LC",H39*Configurações!$B$9,IF(B39="OPCAO",H39*Configurações!$B$23))),2)</f>
        <v>0</v>
      </c>
      <c r="AC39" s="14">
        <f>ROUNDDOWN(IF(OR(B39="ACAO",B39="DIR",B39="ETF",B39="EXERCICIO"),H39*Configurações!$C$9,IF(B39="EXERC. LC",H39*Configurações!$C$9,IF(B39="OPCAO",H39*Configurações!$C$23))),2)</f>
        <v>0</v>
      </c>
      <c r="AD39" s="179">
        <f>ROUNDDOWN(IF(OR(B39="ACAO",B39="DIR",B39="ETF",B39="EXERCICIO"),H39*Configurações!$D$9,IF(B39="EXERC. LC",H39*Configurações!$D$9,IF(B39="OPCAO",H39*Configurações!$D$23))),2)</f>
        <v>0</v>
      </c>
      <c r="AE39" s="181">
        <f t="shared" si="7"/>
        <v>0</v>
      </c>
      <c r="AF39" s="181">
        <f t="shared" si="8"/>
        <v>0</v>
      </c>
      <c r="AG39" s="182">
        <f t="shared" si="9"/>
        <v>0</v>
      </c>
      <c r="AI39" s="176">
        <f>ROUNDDOWN(IF(OR(B39="ACAO",B39="DIR",B39="ETF",B39="EXERCICIO"),M39*Configurações!$B$9,IF(B39="EXERC. LC",M39*Configurações!$B$37,IF(B39="OPCAO",M39*Configurações!$B$23))),2)</f>
        <v>0</v>
      </c>
      <c r="AJ39" s="14">
        <f>ROUNDDOWN(IF(OR(B39="ACAO",B39="DIR",B39="ETF",B39="EXERCICIO"),M39*Configurações!$C$9,IF(B39="EXERC. LC",M39*Configurações!$C$37,IF(B39="OPCAO",M39*Configurações!$C$23))),2)</f>
        <v>0</v>
      </c>
      <c r="AK39" s="179">
        <f>ROUNDDOWN(IF(OR(B39="ACAO",B39="DIR",B39="ETF",B39="EXERCICIO"),M39*Configurações!$D$9,IF(B39="EXERC. LC",M39*Configurações!$D$37,IF(B39="OPCAO",M39*Configurações!$D$23))),2)</f>
        <v>0</v>
      </c>
      <c r="AL39" s="181">
        <f t="shared" si="10"/>
        <v>0</v>
      </c>
      <c r="AM39" s="181">
        <f t="shared" si="11"/>
        <v>0</v>
      </c>
      <c r="AN39" s="182">
        <f t="shared" si="12"/>
        <v>0</v>
      </c>
    </row>
    <row r="40" spans="2:40" ht="12.95" customHeight="1" x14ac:dyDescent="0.2">
      <c r="B40" s="49" t="s">
        <v>30</v>
      </c>
      <c r="C40" s="13"/>
      <c r="D40" s="11"/>
      <c r="E40" s="11"/>
      <c r="F40" s="11"/>
      <c r="G40" s="186" t="s">
        <v>69</v>
      </c>
      <c r="H40" s="12">
        <f t="shared" si="0"/>
        <v>0</v>
      </c>
      <c r="I40" s="13"/>
      <c r="J40" s="11"/>
      <c r="K40" s="186" t="s">
        <v>69</v>
      </c>
      <c r="L40" s="14">
        <f t="shared" si="1"/>
        <v>0</v>
      </c>
      <c r="M40" s="14">
        <f t="shared" si="2"/>
        <v>0</v>
      </c>
      <c r="N40" s="14">
        <f>ROUNDDOWN(IF(OR(B40="ACAO",B40="DIR",B40="ETF",B40="EXERCICIO"),L40*Configurações!$B$9,IF(B40="EXERC. LC",H40*Configurações!$B$9+M40*Configurações!$B$37,IF(B40="OPCAO",L40*Configurações!$B$23))),2)</f>
        <v>0</v>
      </c>
      <c r="O40" s="14">
        <f>ROUNDDOWN(IF(OR(B40="ACAO",B40="DIR",B40="ETF",B40="EXERCICIO"),L40*Configurações!$C$9,IF(B40="EXERC. LC",H40*Configurações!$C$9+M40*Configurações!$C$37,IF(B40="OPCAO",L40*Configurações!$C$23))),2)</f>
        <v>0</v>
      </c>
      <c r="P40" s="14">
        <f>ROUNDDOWN(IF(OR(B40="ACAO",B40="DIR",B40="ETF",B40="EXERCICIO"),L40*Configurações!$D$9,IF(B40="EXERC. LC",H40*Configurações!$D$9+M40*Configurações!$D$37,IF(B40="OPCAO",L40*Configurações!$D$23))),2)</f>
        <v>0</v>
      </c>
      <c r="Q40" s="11"/>
      <c r="R40" s="11"/>
      <c r="S40" s="11"/>
      <c r="T40" s="15">
        <f t="shared" si="5"/>
        <v>0</v>
      </c>
      <c r="U40" s="11"/>
      <c r="V40" s="129" t="str">
        <f t="shared" si="3"/>
        <v>-</v>
      </c>
      <c r="W40" s="16">
        <f t="shared" si="4"/>
        <v>0</v>
      </c>
      <c r="X40" s="17">
        <f t="shared" si="6"/>
        <v>0</v>
      </c>
      <c r="AB40" s="176">
        <f>ROUNDDOWN(IF(OR(B40="ACAO",B40="DIR",B40="ETF",B40="EXERCICIO"),H40*Configurações!$B$9,IF(B40="EXERC. LC",H40*Configurações!$B$9,IF(B40="OPCAO",H40*Configurações!$B$23))),2)</f>
        <v>0</v>
      </c>
      <c r="AC40" s="14">
        <f>ROUNDDOWN(IF(OR(B40="ACAO",B40="DIR",B40="ETF",B40="EXERCICIO"),H40*Configurações!$C$9,IF(B40="EXERC. LC",H40*Configurações!$C$9,IF(B40="OPCAO",H40*Configurações!$C$23))),2)</f>
        <v>0</v>
      </c>
      <c r="AD40" s="179">
        <f>ROUNDDOWN(IF(OR(B40="ACAO",B40="DIR",B40="ETF",B40="EXERCICIO"),H40*Configurações!$D$9,IF(B40="EXERC. LC",H40*Configurações!$D$9,IF(B40="OPCAO",H40*Configurações!$D$23))),2)</f>
        <v>0</v>
      </c>
      <c r="AE40" s="181">
        <f t="shared" si="7"/>
        <v>0</v>
      </c>
      <c r="AF40" s="181">
        <f t="shared" si="8"/>
        <v>0</v>
      </c>
      <c r="AG40" s="182">
        <f t="shared" si="9"/>
        <v>0</v>
      </c>
      <c r="AI40" s="176">
        <f>ROUNDDOWN(IF(OR(B40="ACAO",B40="DIR",B40="ETF",B40="EXERCICIO"),M40*Configurações!$B$9,IF(B40="EXERC. LC",M40*Configurações!$B$37,IF(B40="OPCAO",M40*Configurações!$B$23))),2)</f>
        <v>0</v>
      </c>
      <c r="AJ40" s="14">
        <f>ROUNDDOWN(IF(OR(B40="ACAO",B40="DIR",B40="ETF",B40="EXERCICIO"),M40*Configurações!$C$9,IF(B40="EXERC. LC",M40*Configurações!$C$37,IF(B40="OPCAO",M40*Configurações!$C$23))),2)</f>
        <v>0</v>
      </c>
      <c r="AK40" s="179">
        <f>ROUNDDOWN(IF(OR(B40="ACAO",B40="DIR",B40="ETF",B40="EXERCICIO"),M40*Configurações!$D$9,IF(B40="EXERC. LC",M40*Configurações!$D$37,IF(B40="OPCAO",M40*Configurações!$D$23))),2)</f>
        <v>0</v>
      </c>
      <c r="AL40" s="181">
        <f t="shared" si="10"/>
        <v>0</v>
      </c>
      <c r="AM40" s="181">
        <f t="shared" si="11"/>
        <v>0</v>
      </c>
      <c r="AN40" s="182">
        <f t="shared" si="12"/>
        <v>0</v>
      </c>
    </row>
    <row r="41" spans="2:40" ht="12.95" customHeight="1" x14ac:dyDescent="0.2">
      <c r="B41" s="49" t="s">
        <v>30</v>
      </c>
      <c r="C41" s="13"/>
      <c r="D41" s="11"/>
      <c r="E41" s="11"/>
      <c r="F41" s="11"/>
      <c r="G41" s="186" t="s">
        <v>69</v>
      </c>
      <c r="H41" s="12">
        <f t="shared" si="0"/>
        <v>0</v>
      </c>
      <c r="I41" s="13"/>
      <c r="J41" s="11"/>
      <c r="K41" s="186" t="s">
        <v>69</v>
      </c>
      <c r="L41" s="14">
        <f t="shared" si="1"/>
        <v>0</v>
      </c>
      <c r="M41" s="14">
        <f t="shared" si="2"/>
        <v>0</v>
      </c>
      <c r="N41" s="14">
        <f>ROUNDDOWN(IF(OR(B41="ACAO",B41="DIR",B41="ETF",B41="EXERCICIO"),L41*Configurações!$B$9,IF(B41="EXERC. LC",H41*Configurações!$B$9+M41*Configurações!$B$37,IF(B41="OPCAO",L41*Configurações!$B$23))),2)</f>
        <v>0</v>
      </c>
      <c r="O41" s="14">
        <f>ROUNDDOWN(IF(OR(B41="ACAO",B41="DIR",B41="ETF",B41="EXERCICIO"),L41*Configurações!$C$9,IF(B41="EXERC. LC",H41*Configurações!$C$9+M41*Configurações!$C$37,IF(B41="OPCAO",L41*Configurações!$C$23))),2)</f>
        <v>0</v>
      </c>
      <c r="P41" s="14">
        <f>ROUNDDOWN(IF(OR(B41="ACAO",B41="DIR",B41="ETF",B41="EXERCICIO"),L41*Configurações!$D$9,IF(B41="EXERC. LC",H41*Configurações!$D$9+M41*Configurações!$D$37,IF(B41="OPCAO",L41*Configurações!$D$23))),2)</f>
        <v>0</v>
      </c>
      <c r="Q41" s="11"/>
      <c r="R41" s="11"/>
      <c r="S41" s="11"/>
      <c r="T41" s="15">
        <f t="shared" si="5"/>
        <v>0</v>
      </c>
      <c r="U41" s="11"/>
      <c r="V41" s="129" t="str">
        <f t="shared" si="3"/>
        <v>-</v>
      </c>
      <c r="W41" s="16">
        <f t="shared" si="4"/>
        <v>0</v>
      </c>
      <c r="X41" s="17">
        <f t="shared" si="6"/>
        <v>0</v>
      </c>
      <c r="AB41" s="176">
        <f>ROUNDDOWN(IF(OR(B41="ACAO",B41="DIR",B41="ETF",B41="EXERCICIO"),H41*Configurações!$B$9,IF(B41="EXERC. LC",H41*Configurações!$B$9,IF(B41="OPCAO",H41*Configurações!$B$23))),2)</f>
        <v>0</v>
      </c>
      <c r="AC41" s="14">
        <f>ROUNDDOWN(IF(OR(B41="ACAO",B41="DIR",B41="ETF",B41="EXERCICIO"),H41*Configurações!$C$9,IF(B41="EXERC. LC",H41*Configurações!$C$9,IF(B41="OPCAO",H41*Configurações!$C$23))),2)</f>
        <v>0</v>
      </c>
      <c r="AD41" s="179">
        <f>ROUNDDOWN(IF(OR(B41="ACAO",B41="DIR",B41="ETF",B41="EXERCICIO"),H41*Configurações!$D$9,IF(B41="EXERC. LC",H41*Configurações!$D$9,IF(B41="OPCAO",H41*Configurações!$D$23))),2)</f>
        <v>0</v>
      </c>
      <c r="AE41" s="181">
        <f t="shared" si="7"/>
        <v>0</v>
      </c>
      <c r="AF41" s="181">
        <f t="shared" si="8"/>
        <v>0</v>
      </c>
      <c r="AG41" s="182">
        <f t="shared" si="9"/>
        <v>0</v>
      </c>
      <c r="AI41" s="176">
        <f>ROUNDDOWN(IF(OR(B41="ACAO",B41="DIR",B41="ETF",B41="EXERCICIO"),M41*Configurações!$B$9,IF(B41="EXERC. LC",M41*Configurações!$B$37,IF(B41="OPCAO",M41*Configurações!$B$23))),2)</f>
        <v>0</v>
      </c>
      <c r="AJ41" s="14">
        <f>ROUNDDOWN(IF(OR(B41="ACAO",B41="DIR",B41="ETF",B41="EXERCICIO"),M41*Configurações!$C$9,IF(B41="EXERC. LC",M41*Configurações!$C$37,IF(B41="OPCAO",M41*Configurações!$C$23))),2)</f>
        <v>0</v>
      </c>
      <c r="AK41" s="179">
        <f>ROUNDDOWN(IF(OR(B41="ACAO",B41="DIR",B41="ETF",B41="EXERCICIO"),M41*Configurações!$D$9,IF(B41="EXERC. LC",M41*Configurações!$D$37,IF(B41="OPCAO",M41*Configurações!$D$23))),2)</f>
        <v>0</v>
      </c>
      <c r="AL41" s="181">
        <f t="shared" si="10"/>
        <v>0</v>
      </c>
      <c r="AM41" s="181">
        <f t="shared" si="11"/>
        <v>0</v>
      </c>
      <c r="AN41" s="182">
        <f t="shared" si="12"/>
        <v>0</v>
      </c>
    </row>
    <row r="42" spans="2:40" ht="12.95" customHeight="1" x14ac:dyDescent="0.2">
      <c r="B42" s="49" t="s">
        <v>30</v>
      </c>
      <c r="C42" s="13"/>
      <c r="D42" s="11"/>
      <c r="E42" s="11"/>
      <c r="F42" s="11"/>
      <c r="G42" s="186" t="s">
        <v>69</v>
      </c>
      <c r="H42" s="12">
        <f t="shared" si="0"/>
        <v>0</v>
      </c>
      <c r="I42" s="13"/>
      <c r="J42" s="11"/>
      <c r="K42" s="186" t="s">
        <v>69</v>
      </c>
      <c r="L42" s="14">
        <f t="shared" si="1"/>
        <v>0</v>
      </c>
      <c r="M42" s="14">
        <f t="shared" si="2"/>
        <v>0</v>
      </c>
      <c r="N42" s="14">
        <f>ROUNDDOWN(IF(OR(B42="ACAO",B42="DIR",B42="ETF",B42="EXERCICIO"),L42*Configurações!$B$9,IF(B42="EXERC. LC",H42*Configurações!$B$9+M42*Configurações!$B$37,IF(B42="OPCAO",L42*Configurações!$B$23))),2)</f>
        <v>0</v>
      </c>
      <c r="O42" s="14">
        <f>ROUNDDOWN(IF(OR(B42="ACAO",B42="DIR",B42="ETF",B42="EXERCICIO"),L42*Configurações!$C$9,IF(B42="EXERC. LC",H42*Configurações!$C$9+M42*Configurações!$C$37,IF(B42="OPCAO",L42*Configurações!$C$23))),2)</f>
        <v>0</v>
      </c>
      <c r="P42" s="14">
        <f>ROUNDDOWN(IF(OR(B42="ACAO",B42="DIR",B42="ETF",B42="EXERCICIO"),L42*Configurações!$D$9,IF(B42="EXERC. LC",H42*Configurações!$D$9+M42*Configurações!$D$37,IF(B42="OPCAO",L42*Configurações!$D$23))),2)</f>
        <v>0</v>
      </c>
      <c r="Q42" s="11"/>
      <c r="R42" s="11"/>
      <c r="S42" s="11"/>
      <c r="T42" s="15">
        <f t="shared" si="5"/>
        <v>0</v>
      </c>
      <c r="U42" s="11"/>
      <c r="V42" s="129" t="str">
        <f t="shared" si="3"/>
        <v>-</v>
      </c>
      <c r="W42" s="16">
        <f t="shared" si="4"/>
        <v>0</v>
      </c>
      <c r="X42" s="17">
        <f t="shared" si="6"/>
        <v>0</v>
      </c>
      <c r="AB42" s="176">
        <f>ROUNDDOWN(IF(OR(B42="ACAO",B42="DIR",B42="ETF",B42="EXERCICIO"),H42*Configurações!$B$9,IF(B42="EXERC. LC",H42*Configurações!$B$9,IF(B42="OPCAO",H42*Configurações!$B$23))),2)</f>
        <v>0</v>
      </c>
      <c r="AC42" s="14">
        <f>ROUNDDOWN(IF(OR(B42="ACAO",B42="DIR",B42="ETF",B42="EXERCICIO"),H42*Configurações!$C$9,IF(B42="EXERC. LC",H42*Configurações!$C$9,IF(B42="OPCAO",H42*Configurações!$C$23))),2)</f>
        <v>0</v>
      </c>
      <c r="AD42" s="179">
        <f>ROUNDDOWN(IF(OR(B42="ACAO",B42="DIR",B42="ETF",B42="EXERCICIO"),H42*Configurações!$D$9,IF(B42="EXERC. LC",H42*Configurações!$D$9,IF(B42="OPCAO",H42*Configurações!$D$23))),2)</f>
        <v>0</v>
      </c>
      <c r="AE42" s="181">
        <f t="shared" si="7"/>
        <v>0</v>
      </c>
      <c r="AF42" s="181">
        <f t="shared" si="8"/>
        <v>0</v>
      </c>
      <c r="AG42" s="182">
        <f t="shared" si="9"/>
        <v>0</v>
      </c>
      <c r="AI42" s="176">
        <f>ROUNDDOWN(IF(OR(B42="ACAO",B42="DIR",B42="ETF",B42="EXERCICIO"),M42*Configurações!$B$9,IF(B42="EXERC. LC",M42*Configurações!$B$37,IF(B42="OPCAO",M42*Configurações!$B$23))),2)</f>
        <v>0</v>
      </c>
      <c r="AJ42" s="14">
        <f>ROUNDDOWN(IF(OR(B42="ACAO",B42="DIR",B42="ETF",B42="EXERCICIO"),M42*Configurações!$C$9,IF(B42="EXERC. LC",M42*Configurações!$C$37,IF(B42="OPCAO",M42*Configurações!$C$23))),2)</f>
        <v>0</v>
      </c>
      <c r="AK42" s="179">
        <f>ROUNDDOWN(IF(OR(B42="ACAO",B42="DIR",B42="ETF",B42="EXERCICIO"),M42*Configurações!$D$9,IF(B42="EXERC. LC",M42*Configurações!$D$37,IF(B42="OPCAO",M42*Configurações!$D$23))),2)</f>
        <v>0</v>
      </c>
      <c r="AL42" s="181">
        <f t="shared" si="10"/>
        <v>0</v>
      </c>
      <c r="AM42" s="181">
        <f t="shared" si="11"/>
        <v>0</v>
      </c>
      <c r="AN42" s="182">
        <f t="shared" si="12"/>
        <v>0</v>
      </c>
    </row>
    <row r="43" spans="2:40" ht="12.95" customHeight="1" x14ac:dyDescent="0.2">
      <c r="B43" s="49" t="s">
        <v>30</v>
      </c>
      <c r="C43" s="13"/>
      <c r="D43" s="11"/>
      <c r="E43" s="11"/>
      <c r="F43" s="11"/>
      <c r="G43" s="186" t="s">
        <v>69</v>
      </c>
      <c r="H43" s="12">
        <f t="shared" si="0"/>
        <v>0</v>
      </c>
      <c r="I43" s="13"/>
      <c r="J43" s="11"/>
      <c r="K43" s="186" t="s">
        <v>69</v>
      </c>
      <c r="L43" s="14">
        <f t="shared" si="1"/>
        <v>0</v>
      </c>
      <c r="M43" s="14">
        <f t="shared" si="2"/>
        <v>0</v>
      </c>
      <c r="N43" s="14">
        <f>ROUNDDOWN(IF(OR(B43="ACAO",B43="DIR",B43="ETF",B43="EXERCICIO"),L43*Configurações!$B$9,IF(B43="EXERC. LC",H43*Configurações!$B$9+M43*Configurações!$B$37,IF(B43="OPCAO",L43*Configurações!$B$23))),2)</f>
        <v>0</v>
      </c>
      <c r="O43" s="14">
        <f>ROUNDDOWN(IF(OR(B43="ACAO",B43="DIR",B43="ETF",B43="EXERCICIO"),L43*Configurações!$C$9,IF(B43="EXERC. LC",H43*Configurações!$C$9+M43*Configurações!$C$37,IF(B43="OPCAO",L43*Configurações!$C$23))),2)</f>
        <v>0</v>
      </c>
      <c r="P43" s="14">
        <f>ROUNDDOWN(IF(OR(B43="ACAO",B43="DIR",B43="ETF",B43="EXERCICIO"),L43*Configurações!$D$9,IF(B43="EXERC. LC",H43*Configurações!$D$9+M43*Configurações!$D$37,IF(B43="OPCAO",L43*Configurações!$D$23))),2)</f>
        <v>0</v>
      </c>
      <c r="Q43" s="11"/>
      <c r="R43" s="11"/>
      <c r="S43" s="11"/>
      <c r="T43" s="15">
        <f t="shared" si="5"/>
        <v>0</v>
      </c>
      <c r="U43" s="11"/>
      <c r="V43" s="129" t="str">
        <f t="shared" si="3"/>
        <v>-</v>
      </c>
      <c r="W43" s="16">
        <f t="shared" si="4"/>
        <v>0</v>
      </c>
      <c r="X43" s="17">
        <f t="shared" si="6"/>
        <v>0</v>
      </c>
      <c r="AB43" s="176">
        <f>ROUNDDOWN(IF(OR(B43="ACAO",B43="DIR",B43="ETF",B43="EXERCICIO"),H43*Configurações!$B$9,IF(B43="EXERC. LC",H43*Configurações!$B$9,IF(B43="OPCAO",H43*Configurações!$B$23))),2)</f>
        <v>0</v>
      </c>
      <c r="AC43" s="14">
        <f>ROUNDDOWN(IF(OR(B43="ACAO",B43="DIR",B43="ETF",B43="EXERCICIO"),H43*Configurações!$C$9,IF(B43="EXERC. LC",H43*Configurações!$C$9,IF(B43="OPCAO",H43*Configurações!$C$23))),2)</f>
        <v>0</v>
      </c>
      <c r="AD43" s="179">
        <f>ROUNDDOWN(IF(OR(B43="ACAO",B43="DIR",B43="ETF",B43="EXERCICIO"),H43*Configurações!$D$9,IF(B43="EXERC. LC",H43*Configurações!$D$9,IF(B43="OPCAO",H43*Configurações!$D$23))),2)</f>
        <v>0</v>
      </c>
      <c r="AE43" s="181">
        <f t="shared" si="7"/>
        <v>0</v>
      </c>
      <c r="AF43" s="181">
        <f t="shared" si="8"/>
        <v>0</v>
      </c>
      <c r="AG43" s="182">
        <f t="shared" si="9"/>
        <v>0</v>
      </c>
      <c r="AI43" s="176">
        <f>ROUNDDOWN(IF(OR(B43="ACAO",B43="DIR",B43="ETF",B43="EXERCICIO"),M43*Configurações!$B$9,IF(B43="EXERC. LC",M43*Configurações!$B$37,IF(B43="OPCAO",M43*Configurações!$B$23))),2)</f>
        <v>0</v>
      </c>
      <c r="AJ43" s="14">
        <f>ROUNDDOWN(IF(OR(B43="ACAO",B43="DIR",B43="ETF",B43="EXERCICIO"),M43*Configurações!$C$9,IF(B43="EXERC. LC",M43*Configurações!$C$37,IF(B43="OPCAO",M43*Configurações!$C$23))),2)</f>
        <v>0</v>
      </c>
      <c r="AK43" s="179">
        <f>ROUNDDOWN(IF(OR(B43="ACAO",B43="DIR",B43="ETF",B43="EXERCICIO"),M43*Configurações!$D$9,IF(B43="EXERC. LC",M43*Configurações!$D$37,IF(B43="OPCAO",M43*Configurações!$D$23))),2)</f>
        <v>0</v>
      </c>
      <c r="AL43" s="181">
        <f t="shared" si="10"/>
        <v>0</v>
      </c>
      <c r="AM43" s="181">
        <f t="shared" si="11"/>
        <v>0</v>
      </c>
      <c r="AN43" s="182">
        <f t="shared" si="12"/>
        <v>0</v>
      </c>
    </row>
    <row r="44" spans="2:40" ht="12.95" customHeight="1" x14ac:dyDescent="0.2">
      <c r="B44" s="49" t="s">
        <v>30</v>
      </c>
      <c r="C44" s="13"/>
      <c r="D44" s="11"/>
      <c r="E44" s="11"/>
      <c r="F44" s="11"/>
      <c r="G44" s="186" t="s">
        <v>69</v>
      </c>
      <c r="H44" s="12">
        <f t="shared" si="0"/>
        <v>0</v>
      </c>
      <c r="I44" s="13"/>
      <c r="J44" s="11"/>
      <c r="K44" s="186" t="s">
        <v>69</v>
      </c>
      <c r="L44" s="14">
        <f t="shared" si="1"/>
        <v>0</v>
      </c>
      <c r="M44" s="14">
        <f t="shared" si="2"/>
        <v>0</v>
      </c>
      <c r="N44" s="14">
        <f>ROUNDDOWN(IF(OR(B44="ACAO",B44="DIR",B44="ETF",B44="EXERCICIO"),L44*Configurações!$B$9,IF(B44="EXERC. LC",H44*Configurações!$B$9+M44*Configurações!$B$37,IF(B44="OPCAO",L44*Configurações!$B$23))),2)</f>
        <v>0</v>
      </c>
      <c r="O44" s="14">
        <f>ROUNDDOWN(IF(OR(B44="ACAO",B44="DIR",B44="ETF",B44="EXERCICIO"),L44*Configurações!$C$9,IF(B44="EXERC. LC",H44*Configurações!$C$9+M44*Configurações!$C$37,IF(B44="OPCAO",L44*Configurações!$C$23))),2)</f>
        <v>0</v>
      </c>
      <c r="P44" s="14">
        <f>ROUNDDOWN(IF(OR(B44="ACAO",B44="DIR",B44="ETF",B44="EXERCICIO"),L44*Configurações!$D$9,IF(B44="EXERC. LC",H44*Configurações!$D$9+M44*Configurações!$D$37,IF(B44="OPCAO",L44*Configurações!$D$23))),2)</f>
        <v>0</v>
      </c>
      <c r="Q44" s="11"/>
      <c r="R44" s="11"/>
      <c r="S44" s="11"/>
      <c r="T44" s="15">
        <f t="shared" si="5"/>
        <v>0</v>
      </c>
      <c r="U44" s="11"/>
      <c r="V44" s="129" t="str">
        <f t="shared" si="3"/>
        <v>-</v>
      </c>
      <c r="W44" s="16">
        <f t="shared" si="4"/>
        <v>0</v>
      </c>
      <c r="X44" s="17">
        <f t="shared" si="6"/>
        <v>0</v>
      </c>
      <c r="AB44" s="176">
        <f>ROUNDDOWN(IF(OR(B44="ACAO",B44="DIR",B44="ETF",B44="EXERCICIO"),H44*Configurações!$B$9,IF(B44="EXERC. LC",H44*Configurações!$B$9,IF(B44="OPCAO",H44*Configurações!$B$23))),2)</f>
        <v>0</v>
      </c>
      <c r="AC44" s="14">
        <f>ROUNDDOWN(IF(OR(B44="ACAO",B44="DIR",B44="ETF",B44="EXERCICIO"),H44*Configurações!$C$9,IF(B44="EXERC. LC",H44*Configurações!$C$9,IF(B44="OPCAO",H44*Configurações!$C$23))),2)</f>
        <v>0</v>
      </c>
      <c r="AD44" s="179">
        <f>ROUNDDOWN(IF(OR(B44="ACAO",B44="DIR",B44="ETF",B44="EXERCICIO"),H44*Configurações!$D$9,IF(B44="EXERC. LC",H44*Configurações!$D$9,IF(B44="OPCAO",H44*Configurações!$D$23))),2)</f>
        <v>0</v>
      </c>
      <c r="AE44" s="181">
        <f t="shared" si="7"/>
        <v>0</v>
      </c>
      <c r="AF44" s="181">
        <f t="shared" si="8"/>
        <v>0</v>
      </c>
      <c r="AG44" s="182">
        <f t="shared" si="9"/>
        <v>0</v>
      </c>
      <c r="AI44" s="176">
        <f>ROUNDDOWN(IF(OR(B44="ACAO",B44="DIR",B44="ETF",B44="EXERCICIO"),M44*Configurações!$B$9,IF(B44="EXERC. LC",M44*Configurações!$B$37,IF(B44="OPCAO",M44*Configurações!$B$23))),2)</f>
        <v>0</v>
      </c>
      <c r="AJ44" s="14">
        <f>ROUNDDOWN(IF(OR(B44="ACAO",B44="DIR",B44="ETF",B44="EXERCICIO"),M44*Configurações!$C$9,IF(B44="EXERC. LC",M44*Configurações!$C$37,IF(B44="OPCAO",M44*Configurações!$C$23))),2)</f>
        <v>0</v>
      </c>
      <c r="AK44" s="179">
        <f>ROUNDDOWN(IF(OR(B44="ACAO",B44="DIR",B44="ETF",B44="EXERCICIO"),M44*Configurações!$D$9,IF(B44="EXERC. LC",M44*Configurações!$D$37,IF(B44="OPCAO",M44*Configurações!$D$23))),2)</f>
        <v>0</v>
      </c>
      <c r="AL44" s="181">
        <f t="shared" si="10"/>
        <v>0</v>
      </c>
      <c r="AM44" s="181">
        <f t="shared" si="11"/>
        <v>0</v>
      </c>
      <c r="AN44" s="182">
        <f t="shared" si="12"/>
        <v>0</v>
      </c>
    </row>
    <row r="45" spans="2:40" ht="12.95" customHeight="1" x14ac:dyDescent="0.2">
      <c r="B45" s="49" t="s">
        <v>30</v>
      </c>
      <c r="C45" s="13"/>
      <c r="D45" s="11"/>
      <c r="E45" s="11"/>
      <c r="F45" s="11"/>
      <c r="G45" s="186" t="s">
        <v>69</v>
      </c>
      <c r="H45" s="12">
        <f t="shared" si="0"/>
        <v>0</v>
      </c>
      <c r="I45" s="13"/>
      <c r="J45" s="11"/>
      <c r="K45" s="186" t="s">
        <v>69</v>
      </c>
      <c r="L45" s="14">
        <f t="shared" si="1"/>
        <v>0</v>
      </c>
      <c r="M45" s="14">
        <f t="shared" si="2"/>
        <v>0</v>
      </c>
      <c r="N45" s="14">
        <f>ROUNDDOWN(IF(OR(B45="ACAO",B45="DIR",B45="ETF",B45="EXERCICIO"),L45*Configurações!$B$9,IF(B45="EXERC. LC",H45*Configurações!$B$9+M45*Configurações!$B$37,IF(B45="OPCAO",L45*Configurações!$B$23))),2)</f>
        <v>0</v>
      </c>
      <c r="O45" s="14">
        <f>ROUNDDOWN(IF(OR(B45="ACAO",B45="DIR",B45="ETF",B45="EXERCICIO"),L45*Configurações!$C$9,IF(B45="EXERC. LC",H45*Configurações!$C$9+M45*Configurações!$C$37,IF(B45="OPCAO",L45*Configurações!$C$23))),2)</f>
        <v>0</v>
      </c>
      <c r="P45" s="14">
        <f>ROUNDDOWN(IF(OR(B45="ACAO",B45="DIR",B45="ETF",B45="EXERCICIO"),L45*Configurações!$D$9,IF(B45="EXERC. LC",H45*Configurações!$D$9+M45*Configurações!$D$37,IF(B45="OPCAO",L45*Configurações!$D$23))),2)</f>
        <v>0</v>
      </c>
      <c r="Q45" s="11"/>
      <c r="R45" s="11"/>
      <c r="S45" s="11"/>
      <c r="T45" s="15">
        <f t="shared" si="5"/>
        <v>0</v>
      </c>
      <c r="U45" s="11"/>
      <c r="V45" s="129" t="str">
        <f t="shared" si="3"/>
        <v>-</v>
      </c>
      <c r="W45" s="16">
        <f t="shared" si="4"/>
        <v>0</v>
      </c>
      <c r="X45" s="17">
        <f t="shared" si="6"/>
        <v>0</v>
      </c>
      <c r="AB45" s="176">
        <f>ROUNDDOWN(IF(OR(B45="ACAO",B45="DIR",B45="ETF",B45="EXERCICIO"),H45*Configurações!$B$9,IF(B45="EXERC. LC",H45*Configurações!$B$9,IF(B45="OPCAO",H45*Configurações!$B$23))),2)</f>
        <v>0</v>
      </c>
      <c r="AC45" s="14">
        <f>ROUNDDOWN(IF(OR(B45="ACAO",B45="DIR",B45="ETF",B45="EXERCICIO"),H45*Configurações!$C$9,IF(B45="EXERC. LC",H45*Configurações!$C$9,IF(B45="OPCAO",H45*Configurações!$C$23))),2)</f>
        <v>0</v>
      </c>
      <c r="AD45" s="179">
        <f>ROUNDDOWN(IF(OR(B45="ACAO",B45="DIR",B45="ETF",B45="EXERCICIO"),H45*Configurações!$D$9,IF(B45="EXERC. LC",H45*Configurações!$D$9,IF(B45="OPCAO",H45*Configurações!$D$23))),2)</f>
        <v>0</v>
      </c>
      <c r="AE45" s="181">
        <f t="shared" si="7"/>
        <v>0</v>
      </c>
      <c r="AF45" s="181">
        <f t="shared" si="8"/>
        <v>0</v>
      </c>
      <c r="AG45" s="182">
        <f t="shared" si="9"/>
        <v>0</v>
      </c>
      <c r="AI45" s="176">
        <f>ROUNDDOWN(IF(OR(B45="ACAO",B45="DIR",B45="ETF",B45="EXERCICIO"),M45*Configurações!$B$9,IF(B45="EXERC. LC",M45*Configurações!$B$37,IF(B45="OPCAO",M45*Configurações!$B$23))),2)</f>
        <v>0</v>
      </c>
      <c r="AJ45" s="14">
        <f>ROUNDDOWN(IF(OR(B45="ACAO",B45="DIR",B45="ETF",B45="EXERCICIO"),M45*Configurações!$C$9,IF(B45="EXERC. LC",M45*Configurações!$C$37,IF(B45="OPCAO",M45*Configurações!$C$23))),2)</f>
        <v>0</v>
      </c>
      <c r="AK45" s="179">
        <f>ROUNDDOWN(IF(OR(B45="ACAO",B45="DIR",B45="ETF",B45="EXERCICIO"),M45*Configurações!$D$9,IF(B45="EXERC. LC",M45*Configurações!$D$37,IF(B45="OPCAO",M45*Configurações!$D$23))),2)</f>
        <v>0</v>
      </c>
      <c r="AL45" s="181">
        <f t="shared" si="10"/>
        <v>0</v>
      </c>
      <c r="AM45" s="181">
        <f t="shared" si="11"/>
        <v>0</v>
      </c>
      <c r="AN45" s="182">
        <f t="shared" si="12"/>
        <v>0</v>
      </c>
    </row>
    <row r="46" spans="2:40" ht="12.95" customHeight="1" x14ac:dyDescent="0.2">
      <c r="B46" s="49" t="s">
        <v>30</v>
      </c>
      <c r="C46" s="13"/>
      <c r="D46" s="11"/>
      <c r="E46" s="11"/>
      <c r="F46" s="11"/>
      <c r="G46" s="186" t="s">
        <v>69</v>
      </c>
      <c r="H46" s="12">
        <f t="shared" si="0"/>
        <v>0</v>
      </c>
      <c r="I46" s="13"/>
      <c r="J46" s="11"/>
      <c r="K46" s="186" t="s">
        <v>69</v>
      </c>
      <c r="L46" s="14">
        <f t="shared" si="1"/>
        <v>0</v>
      </c>
      <c r="M46" s="14">
        <f t="shared" si="2"/>
        <v>0</v>
      </c>
      <c r="N46" s="14">
        <f>ROUNDDOWN(IF(OR(B46="ACAO",B46="DIR",B46="ETF",B46="EXERCICIO"),L46*Configurações!$B$9,IF(B46="EXERC. LC",H46*Configurações!$B$9+M46*Configurações!$B$37,IF(B46="OPCAO",L46*Configurações!$B$23))),2)</f>
        <v>0</v>
      </c>
      <c r="O46" s="14">
        <f>ROUNDDOWN(IF(OR(B46="ACAO",B46="DIR",B46="ETF",B46="EXERCICIO"),L46*Configurações!$C$9,IF(B46="EXERC. LC",H46*Configurações!$C$9+M46*Configurações!$C$37,IF(B46="OPCAO",L46*Configurações!$C$23))),2)</f>
        <v>0</v>
      </c>
      <c r="P46" s="14">
        <f>ROUNDDOWN(IF(OR(B46="ACAO",B46="DIR",B46="ETF",B46="EXERCICIO"),L46*Configurações!$D$9,IF(B46="EXERC. LC",H46*Configurações!$D$9+M46*Configurações!$D$37,IF(B46="OPCAO",L46*Configurações!$D$23))),2)</f>
        <v>0</v>
      </c>
      <c r="Q46" s="11"/>
      <c r="R46" s="11"/>
      <c r="S46" s="11"/>
      <c r="T46" s="15">
        <f t="shared" si="5"/>
        <v>0</v>
      </c>
      <c r="U46" s="11"/>
      <c r="V46" s="129" t="str">
        <f t="shared" si="3"/>
        <v>-</v>
      </c>
      <c r="W46" s="16">
        <f t="shared" si="4"/>
        <v>0</v>
      </c>
      <c r="X46" s="17">
        <f t="shared" si="6"/>
        <v>0</v>
      </c>
      <c r="AB46" s="176">
        <f>ROUNDDOWN(IF(OR(B46="ACAO",B46="DIR",B46="ETF",B46="EXERCICIO"),H46*Configurações!$B$9,IF(B46="EXERC. LC",H46*Configurações!$B$9,IF(B46="OPCAO",H46*Configurações!$B$23))),2)</f>
        <v>0</v>
      </c>
      <c r="AC46" s="14">
        <f>ROUNDDOWN(IF(OR(B46="ACAO",B46="DIR",B46="ETF",B46="EXERCICIO"),H46*Configurações!$C$9,IF(B46="EXERC. LC",H46*Configurações!$C$9,IF(B46="OPCAO",H46*Configurações!$C$23))),2)</f>
        <v>0</v>
      </c>
      <c r="AD46" s="179">
        <f>ROUNDDOWN(IF(OR(B46="ACAO",B46="DIR",B46="ETF",B46="EXERCICIO"),H46*Configurações!$D$9,IF(B46="EXERC. LC",H46*Configurações!$D$9,IF(B46="OPCAO",H46*Configurações!$D$23))),2)</f>
        <v>0</v>
      </c>
      <c r="AE46" s="181">
        <f t="shared" si="7"/>
        <v>0</v>
      </c>
      <c r="AF46" s="181">
        <f t="shared" si="8"/>
        <v>0</v>
      </c>
      <c r="AG46" s="182">
        <f t="shared" si="9"/>
        <v>0</v>
      </c>
      <c r="AI46" s="176">
        <f>ROUNDDOWN(IF(OR(B46="ACAO",B46="DIR",B46="ETF",B46="EXERCICIO"),M46*Configurações!$B$9,IF(B46="EXERC. LC",M46*Configurações!$B$37,IF(B46="OPCAO",M46*Configurações!$B$23))),2)</f>
        <v>0</v>
      </c>
      <c r="AJ46" s="14">
        <f>ROUNDDOWN(IF(OR(B46="ACAO",B46="DIR",B46="ETF",B46="EXERCICIO"),M46*Configurações!$C$9,IF(B46="EXERC. LC",M46*Configurações!$C$37,IF(B46="OPCAO",M46*Configurações!$C$23))),2)</f>
        <v>0</v>
      </c>
      <c r="AK46" s="179">
        <f>ROUNDDOWN(IF(OR(B46="ACAO",B46="DIR",B46="ETF",B46="EXERCICIO"),M46*Configurações!$D$9,IF(B46="EXERC. LC",M46*Configurações!$D$37,IF(B46="OPCAO",M46*Configurações!$D$23))),2)</f>
        <v>0</v>
      </c>
      <c r="AL46" s="181">
        <f t="shared" si="10"/>
        <v>0</v>
      </c>
      <c r="AM46" s="181">
        <f t="shared" si="11"/>
        <v>0</v>
      </c>
      <c r="AN46" s="182">
        <f t="shared" si="12"/>
        <v>0</v>
      </c>
    </row>
    <row r="47" spans="2:40" ht="12.95" customHeight="1" x14ac:dyDescent="0.2">
      <c r="B47" s="49" t="s">
        <v>30</v>
      </c>
      <c r="C47" s="13"/>
      <c r="D47" s="11"/>
      <c r="E47" s="11"/>
      <c r="F47" s="11"/>
      <c r="G47" s="186" t="s">
        <v>69</v>
      </c>
      <c r="H47" s="12">
        <f t="shared" si="0"/>
        <v>0</v>
      </c>
      <c r="I47" s="13"/>
      <c r="J47" s="11"/>
      <c r="K47" s="186" t="s">
        <v>69</v>
      </c>
      <c r="L47" s="14">
        <f t="shared" si="1"/>
        <v>0</v>
      </c>
      <c r="M47" s="14">
        <f t="shared" si="2"/>
        <v>0</v>
      </c>
      <c r="N47" s="14">
        <f>ROUNDDOWN(IF(OR(B47="ACAO",B47="DIR",B47="ETF",B47="EXERCICIO"),L47*Configurações!$B$9,IF(B47="EXERC. LC",H47*Configurações!$B$9+M47*Configurações!$B$37,IF(B47="OPCAO",L47*Configurações!$B$23))),2)</f>
        <v>0</v>
      </c>
      <c r="O47" s="14">
        <f>ROUNDDOWN(IF(OR(B47="ACAO",B47="DIR",B47="ETF",B47="EXERCICIO"),L47*Configurações!$C$9,IF(B47="EXERC. LC",H47*Configurações!$C$9+M47*Configurações!$C$37,IF(B47="OPCAO",L47*Configurações!$C$23))),2)</f>
        <v>0</v>
      </c>
      <c r="P47" s="14">
        <f>ROUNDDOWN(IF(OR(B47="ACAO",B47="DIR",B47="ETF",B47="EXERCICIO"),L47*Configurações!$D$9,IF(B47="EXERC. LC",H47*Configurações!$D$9+M47*Configurações!$D$37,IF(B47="OPCAO",L47*Configurações!$D$23))),2)</f>
        <v>0</v>
      </c>
      <c r="Q47" s="11"/>
      <c r="R47" s="11"/>
      <c r="S47" s="11"/>
      <c r="T47" s="15">
        <f t="shared" si="5"/>
        <v>0</v>
      </c>
      <c r="U47" s="11"/>
      <c r="V47" s="129" t="str">
        <f t="shared" si="3"/>
        <v>-</v>
      </c>
      <c r="W47" s="16">
        <f t="shared" si="4"/>
        <v>0</v>
      </c>
      <c r="X47" s="17">
        <f t="shared" si="6"/>
        <v>0</v>
      </c>
      <c r="AB47" s="176">
        <f>ROUNDDOWN(IF(OR(B47="ACAO",B47="DIR",B47="ETF",B47="EXERCICIO"),H47*Configurações!$B$9,IF(B47="EXERC. LC",H47*Configurações!$B$9,IF(B47="OPCAO",H47*Configurações!$B$23))),2)</f>
        <v>0</v>
      </c>
      <c r="AC47" s="14">
        <f>ROUNDDOWN(IF(OR(B47="ACAO",B47="DIR",B47="ETF",B47="EXERCICIO"),H47*Configurações!$C$9,IF(B47="EXERC. LC",H47*Configurações!$C$9,IF(B47="OPCAO",H47*Configurações!$C$23))),2)</f>
        <v>0</v>
      </c>
      <c r="AD47" s="179">
        <f>ROUNDDOWN(IF(OR(B47="ACAO",B47="DIR",B47="ETF",B47="EXERCICIO"),H47*Configurações!$D$9,IF(B47="EXERC. LC",H47*Configurações!$D$9,IF(B47="OPCAO",H47*Configurações!$D$23))),2)</f>
        <v>0</v>
      </c>
      <c r="AE47" s="181">
        <f t="shared" si="7"/>
        <v>0</v>
      </c>
      <c r="AF47" s="181">
        <f t="shared" si="8"/>
        <v>0</v>
      </c>
      <c r="AG47" s="182">
        <f t="shared" si="9"/>
        <v>0</v>
      </c>
      <c r="AI47" s="176">
        <f>ROUNDDOWN(IF(OR(B47="ACAO",B47="DIR",B47="ETF",B47="EXERCICIO"),M47*Configurações!$B$9,IF(B47="EXERC. LC",M47*Configurações!$B$37,IF(B47="OPCAO",M47*Configurações!$B$23))),2)</f>
        <v>0</v>
      </c>
      <c r="AJ47" s="14">
        <f>ROUNDDOWN(IF(OR(B47="ACAO",B47="DIR",B47="ETF",B47="EXERCICIO"),M47*Configurações!$C$9,IF(B47="EXERC. LC",M47*Configurações!$C$37,IF(B47="OPCAO",M47*Configurações!$C$23))),2)</f>
        <v>0</v>
      </c>
      <c r="AK47" s="179">
        <f>ROUNDDOWN(IF(OR(B47="ACAO",B47="DIR",B47="ETF",B47="EXERCICIO"),M47*Configurações!$D$9,IF(B47="EXERC. LC",M47*Configurações!$D$37,IF(B47="OPCAO",M47*Configurações!$D$23))),2)</f>
        <v>0</v>
      </c>
      <c r="AL47" s="181">
        <f t="shared" si="10"/>
        <v>0</v>
      </c>
      <c r="AM47" s="181">
        <f t="shared" si="11"/>
        <v>0</v>
      </c>
      <c r="AN47" s="182">
        <f t="shared" si="12"/>
        <v>0</v>
      </c>
    </row>
    <row r="48" spans="2:40" ht="12.95" customHeight="1" thickBot="1" x14ac:dyDescent="0.25">
      <c r="B48" s="50" t="s">
        <v>30</v>
      </c>
      <c r="C48" s="20"/>
      <c r="D48" s="18"/>
      <c r="E48" s="18"/>
      <c r="F48" s="18"/>
      <c r="G48" s="187" t="s">
        <v>69</v>
      </c>
      <c r="H48" s="19">
        <f t="shared" si="0"/>
        <v>0</v>
      </c>
      <c r="I48" s="20"/>
      <c r="J48" s="18"/>
      <c r="K48" s="187" t="s">
        <v>69</v>
      </c>
      <c r="L48" s="21">
        <f t="shared" si="1"/>
        <v>0</v>
      </c>
      <c r="M48" s="14">
        <f t="shared" si="2"/>
        <v>0</v>
      </c>
      <c r="N48" s="21">
        <f>ROUNDDOWN(IF(OR(B48="ACAO",B48="DIR",B48="ETF",B48="EXERCICIO"),L48*Configurações!$B$9,IF(B48="EXERC. LC",H48*Configurações!$B$9+M48*Configurações!$B$37,IF(B48="OPCAO",L48*Configurações!$B$23))),2)</f>
        <v>0</v>
      </c>
      <c r="O48" s="21">
        <f>ROUNDDOWN(IF(OR(B48="ACAO",B48="DIR",B48="ETF",B48="EXERCICIO"),L48*Configurações!$C$9,IF(B48="EXERC. LC",H48*Configurações!$C$9+M48*Configurações!$C$37,IF(B48="OPCAO",L48*Configurações!$C$23))),2)</f>
        <v>0</v>
      </c>
      <c r="P48" s="21">
        <f>ROUNDDOWN(IF(OR(B48="ACAO",B48="DIR",B48="ETF",B48="EXERCICIO"),L48*Configurações!$D$9,IF(B48="EXERC. LC",H48*Configurações!$D$9+M48*Configurações!$D$37,IF(B48="OPCAO",L48*Configurações!$D$23))),2)</f>
        <v>0</v>
      </c>
      <c r="Q48" s="18"/>
      <c r="R48" s="18"/>
      <c r="S48" s="18"/>
      <c r="T48" s="22">
        <f t="shared" si="5"/>
        <v>0</v>
      </c>
      <c r="U48" s="11"/>
      <c r="V48" s="130" t="str">
        <f t="shared" si="3"/>
        <v>-</v>
      </c>
      <c r="W48" s="23">
        <f t="shared" si="4"/>
        <v>0</v>
      </c>
      <c r="X48" s="24">
        <f t="shared" si="6"/>
        <v>0</v>
      </c>
      <c r="AB48" s="177">
        <f>ROUNDDOWN(IF(OR(B48="ACAO",B48="DIR",B48="ETF",B48="EXERCICIO"),H48*Configurações!$B$9,IF(B48="EXERC. LC",H48*Configurações!$B$9,IF(B48="OPCAO",H48*Configurações!$B$23))),2)</f>
        <v>0</v>
      </c>
      <c r="AC48" s="178">
        <f>ROUNDDOWN(IF(OR(B48="ACAO",B48="DIR",B48="ETF",B48="EXERCICIO"),H48*Configurações!$C$9,IF(B48="EXERC. LC",H48*Configurações!$C$9,IF(B48="OPCAO",H48*Configurações!$C$23))),2)</f>
        <v>0</v>
      </c>
      <c r="AD48" s="180">
        <f>ROUNDDOWN(IF(OR(B48="ACAO",B48="DIR",B48="ETF",B48="EXERCICIO"),H48*Configurações!$D$9,IF(B48="EXERC. LC",H48*Configurações!$D$9,IF(B48="OPCAO",H48*Configurações!$D$23))),2)</f>
        <v>0</v>
      </c>
      <c r="AE48" s="183">
        <f t="shared" si="7"/>
        <v>0</v>
      </c>
      <c r="AF48" s="183">
        <f t="shared" si="8"/>
        <v>0</v>
      </c>
      <c r="AG48" s="184">
        <f t="shared" si="9"/>
        <v>0</v>
      </c>
      <c r="AI48" s="177">
        <f>ROUNDDOWN(IF(OR(B48="ACAO",B48="DIR",B48="ETF",B48="EXERCICIO"),M48*Configurações!$B$9,IF(B48="EXERC. LC",M48*Configurações!$B$37,IF(B48="OPCAO",M48*Configurações!$B$23))),2)</f>
        <v>0</v>
      </c>
      <c r="AJ48" s="178">
        <f>ROUNDDOWN(IF(OR(B48="ACAO",B48="DIR",B48="ETF",B48="EXERCICIO"),M48*Configurações!$C$9,IF(B48="EXERC. LC",M48*Configurações!$C$37,IF(B48="OPCAO",M48*Configurações!$C$23))),2)</f>
        <v>0</v>
      </c>
      <c r="AK48" s="180">
        <f>ROUNDDOWN(IF(OR(B48="ACAO",B48="DIR",B48="ETF",B48="EXERCICIO"),M48*Configurações!$D$9,IF(B48="EXERC. LC",M48*Configurações!$D$37,IF(B48="OPCAO",M48*Configurações!$D$23))),2)</f>
        <v>0</v>
      </c>
      <c r="AL48" s="183">
        <f t="shared" si="10"/>
        <v>0</v>
      </c>
      <c r="AM48" s="183">
        <f t="shared" si="11"/>
        <v>0</v>
      </c>
      <c r="AN48" s="184">
        <f t="shared" si="12"/>
        <v>0</v>
      </c>
    </row>
    <row r="49" spans="3:21" ht="12.95" customHeight="1" thickBot="1" x14ac:dyDescent="0.25">
      <c r="M49" s="40">
        <f>SUM(M8:M48)</f>
        <v>0</v>
      </c>
      <c r="N49" s="25"/>
      <c r="O49" s="25"/>
      <c r="P49" s="25"/>
      <c r="Q49" s="25"/>
      <c r="T49" s="25"/>
      <c r="U49" s="40">
        <f>IF(SUM(U8:U48)&gt;1,SUM(U8:U48),0)</f>
        <v>0</v>
      </c>
    </row>
    <row r="51" spans="3:21" ht="13.5" thickBot="1" x14ac:dyDescent="0.25"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</row>
    <row r="52" spans="3:21" ht="19.899999999999999" customHeight="1" x14ac:dyDescent="0.2">
      <c r="E52" s="314" t="s">
        <v>13</v>
      </c>
      <c r="F52" s="315"/>
      <c r="G52" s="315"/>
      <c r="H52" s="315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6"/>
    </row>
    <row r="53" spans="3:21" ht="19.899999999999999" customHeight="1" thickBot="1" x14ac:dyDescent="0.25">
      <c r="E53" s="317"/>
      <c r="F53" s="318"/>
      <c r="G53" s="318"/>
      <c r="H53" s="318"/>
      <c r="I53" s="318"/>
      <c r="J53" s="318"/>
      <c r="K53" s="318"/>
      <c r="L53" s="318"/>
      <c r="M53" s="318"/>
      <c r="N53" s="318"/>
      <c r="O53" s="318"/>
      <c r="P53" s="318"/>
      <c r="Q53" s="318"/>
      <c r="R53" s="318"/>
      <c r="S53" s="318"/>
      <c r="T53" s="319"/>
    </row>
    <row r="54" spans="3:21" ht="13.15" customHeight="1" x14ac:dyDescent="0.2">
      <c r="E54" s="275" t="s">
        <v>78</v>
      </c>
      <c r="F54" s="276"/>
      <c r="G54" s="276"/>
      <c r="H54" s="277"/>
      <c r="I54" s="284" t="s">
        <v>75</v>
      </c>
      <c r="J54" s="285"/>
      <c r="K54" s="285"/>
      <c r="L54" s="286"/>
      <c r="M54" s="344" t="s">
        <v>76</v>
      </c>
      <c r="N54" s="276"/>
      <c r="O54" s="276"/>
      <c r="P54" s="277"/>
      <c r="Q54" s="284" t="s">
        <v>77</v>
      </c>
      <c r="R54" s="285"/>
      <c r="S54" s="285"/>
      <c r="T54" s="347"/>
    </row>
    <row r="55" spans="3:21" ht="13.15" customHeight="1" x14ac:dyDescent="0.2">
      <c r="E55" s="278"/>
      <c r="F55" s="279"/>
      <c r="G55" s="279"/>
      <c r="H55" s="280"/>
      <c r="I55" s="287"/>
      <c r="J55" s="288"/>
      <c r="K55" s="288"/>
      <c r="L55" s="289"/>
      <c r="M55" s="345"/>
      <c r="N55" s="279"/>
      <c r="O55" s="279"/>
      <c r="P55" s="280"/>
      <c r="Q55" s="287"/>
      <c r="R55" s="288"/>
      <c r="S55" s="288"/>
      <c r="T55" s="348"/>
    </row>
    <row r="56" spans="3:21" ht="13.9" customHeight="1" thickBot="1" x14ac:dyDescent="0.25">
      <c r="E56" s="281"/>
      <c r="F56" s="282"/>
      <c r="G56" s="282"/>
      <c r="H56" s="283"/>
      <c r="I56" s="290"/>
      <c r="J56" s="291"/>
      <c r="K56" s="291"/>
      <c r="L56" s="292"/>
      <c r="M56" s="346"/>
      <c r="N56" s="282"/>
      <c r="O56" s="282"/>
      <c r="P56" s="283"/>
      <c r="Q56" s="290"/>
      <c r="R56" s="291"/>
      <c r="S56" s="291"/>
      <c r="T56" s="349"/>
    </row>
    <row r="57" spans="3:21" ht="13.15" customHeight="1" x14ac:dyDescent="0.2">
      <c r="C57" s="260" t="s">
        <v>43</v>
      </c>
      <c r="D57" s="261"/>
      <c r="E57" s="266">
        <f>SUMIF(B8:B48,"ACAO",T8:T48)</f>
        <v>0</v>
      </c>
      <c r="F57" s="267"/>
      <c r="G57" s="267"/>
      <c r="H57" s="268"/>
      <c r="I57" s="293">
        <f>SUMIF(B8:B48,"ETF",T8:T48)</f>
        <v>0</v>
      </c>
      <c r="J57" s="294"/>
      <c r="K57" s="294"/>
      <c r="L57" s="295"/>
      <c r="M57" s="308">
        <f>SUMIF(B8:B48,"DIR",T8:T48)</f>
        <v>0</v>
      </c>
      <c r="N57" s="267"/>
      <c r="O57" s="267"/>
      <c r="P57" s="268"/>
      <c r="Q57" s="293">
        <f>SUMIF(B8:B48,"OPCAO",T8:T48)+SUMIF(B8:B48,"EXERCICIO",T8:T48)+SUMIF(B8:B48,"EXERC. LC",T8:T48)</f>
        <v>0</v>
      </c>
      <c r="R57" s="294"/>
      <c r="S57" s="294"/>
      <c r="T57" s="311"/>
    </row>
    <row r="58" spans="3:21" ht="13.15" customHeight="1" x14ac:dyDescent="0.2">
      <c r="C58" s="262"/>
      <c r="D58" s="263"/>
      <c r="E58" s="269"/>
      <c r="F58" s="270"/>
      <c r="G58" s="270"/>
      <c r="H58" s="271"/>
      <c r="I58" s="296"/>
      <c r="J58" s="297"/>
      <c r="K58" s="297"/>
      <c r="L58" s="298"/>
      <c r="M58" s="309"/>
      <c r="N58" s="270"/>
      <c r="O58" s="270"/>
      <c r="P58" s="271"/>
      <c r="Q58" s="296"/>
      <c r="R58" s="297"/>
      <c r="S58" s="297"/>
      <c r="T58" s="312"/>
    </row>
    <row r="59" spans="3:21" ht="13.9" customHeight="1" thickBot="1" x14ac:dyDescent="0.25">
      <c r="C59" s="264"/>
      <c r="D59" s="265"/>
      <c r="E59" s="272"/>
      <c r="F59" s="273"/>
      <c r="G59" s="273"/>
      <c r="H59" s="274"/>
      <c r="I59" s="299"/>
      <c r="J59" s="300"/>
      <c r="K59" s="300"/>
      <c r="L59" s="301"/>
      <c r="M59" s="310"/>
      <c r="N59" s="273"/>
      <c r="O59" s="273"/>
      <c r="P59" s="274"/>
      <c r="Q59" s="299"/>
      <c r="R59" s="300"/>
      <c r="S59" s="300"/>
      <c r="T59" s="313"/>
    </row>
    <row r="60" spans="3:21" ht="13.15" customHeight="1" x14ac:dyDescent="0.2">
      <c r="C60" s="260" t="s">
        <v>79</v>
      </c>
      <c r="D60" s="261"/>
      <c r="E60" s="266">
        <f>SUMIF(B8:B48,"ACAO",M8:M48)</f>
        <v>0</v>
      </c>
      <c r="F60" s="267"/>
      <c r="G60" s="267"/>
      <c r="H60" s="268"/>
      <c r="I60" s="338"/>
      <c r="J60" s="338"/>
      <c r="K60" s="338"/>
      <c r="L60" s="338"/>
      <c r="M60" s="338"/>
      <c r="N60" s="338"/>
      <c r="O60" s="338"/>
      <c r="P60" s="338"/>
      <c r="Q60" s="338"/>
      <c r="R60" s="338"/>
      <c r="S60" s="338"/>
      <c r="T60" s="339"/>
    </row>
    <row r="61" spans="3:21" ht="13.15" customHeight="1" x14ac:dyDescent="0.2">
      <c r="C61" s="262"/>
      <c r="D61" s="263"/>
      <c r="E61" s="269"/>
      <c r="F61" s="270"/>
      <c r="G61" s="270"/>
      <c r="H61" s="271"/>
      <c r="I61" s="340"/>
      <c r="J61" s="340"/>
      <c r="K61" s="340"/>
      <c r="L61" s="340"/>
      <c r="M61" s="340"/>
      <c r="N61" s="340"/>
      <c r="O61" s="340"/>
      <c r="P61" s="340"/>
      <c r="Q61" s="340"/>
      <c r="R61" s="340"/>
      <c r="S61" s="340"/>
      <c r="T61" s="341"/>
    </row>
    <row r="62" spans="3:21" ht="13.9" customHeight="1" thickBot="1" x14ac:dyDescent="0.25">
      <c r="C62" s="264"/>
      <c r="D62" s="265"/>
      <c r="E62" s="272"/>
      <c r="F62" s="273"/>
      <c r="G62" s="273"/>
      <c r="H62" s="274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3"/>
    </row>
    <row r="63" spans="3:21" ht="13.15" customHeight="1" x14ac:dyDescent="0.2">
      <c r="C63" s="302" t="s">
        <v>80</v>
      </c>
      <c r="D63" s="303"/>
      <c r="E63" s="266">
        <f>SUMIF(B8:B48,"ACAO",N8:N48)+SUMIF(B8:B48,"ACAO",O8:O48)+SUMIF(B8:B48,"ACAO",P8:P48)</f>
        <v>0</v>
      </c>
      <c r="F63" s="267"/>
      <c r="G63" s="267"/>
      <c r="H63" s="268"/>
      <c r="I63" s="293">
        <f>SUMIF(B8:B48,"ETF",N8:N48)+SUMIF(B8:B48,"ETF",O8:O48)+SUMIF(B8:B48,"ETF",P8:P48)</f>
        <v>0</v>
      </c>
      <c r="J63" s="294"/>
      <c r="K63" s="294"/>
      <c r="L63" s="295"/>
      <c r="M63" s="308">
        <f>SUMIF(B8:B48,"DIR",N8:N48)+SUMIF(B8:B48,"DIR",O8:O48)+SUMIF(B8:B48,"DIR",P8:P48)</f>
        <v>0</v>
      </c>
      <c r="N63" s="267"/>
      <c r="O63" s="267"/>
      <c r="P63" s="268"/>
      <c r="Q63" s="293">
        <f>SUMIF(B8:B48,"OPCAO",N8:N48)+SUMIF(B8:B48,"OPCAO",O8:O48)+SUMIF(B8:B48,"OPCAO",P8:P48)+SUMIF(B8:B48,"EXERCICIO",N8:N48)+SUMIF(B8:B48,"EXERCICIO",O8:O48)+SUMIF(B8:B48,"EXERCICIO",P8:P48)+SUMIF(B8:B48,"EXERC. LC",N8:N48)+SUMIF(B8:B48,"EXERC. LC",O8:O48)+SUMIF(B8:B48,"EXERC. LC",P8:P48)</f>
        <v>0</v>
      </c>
      <c r="R63" s="294"/>
      <c r="S63" s="294"/>
      <c r="T63" s="311"/>
    </row>
    <row r="64" spans="3:21" ht="13.15" customHeight="1" x14ac:dyDescent="0.2">
      <c r="C64" s="304"/>
      <c r="D64" s="305"/>
      <c r="E64" s="269"/>
      <c r="F64" s="270"/>
      <c r="G64" s="270"/>
      <c r="H64" s="271"/>
      <c r="I64" s="296"/>
      <c r="J64" s="297"/>
      <c r="K64" s="297"/>
      <c r="L64" s="298"/>
      <c r="M64" s="309"/>
      <c r="N64" s="270"/>
      <c r="O64" s="270"/>
      <c r="P64" s="271"/>
      <c r="Q64" s="296"/>
      <c r="R64" s="297"/>
      <c r="S64" s="297"/>
      <c r="T64" s="312"/>
    </row>
    <row r="65" spans="3:20" ht="13.9" customHeight="1" thickBot="1" x14ac:dyDescent="0.25">
      <c r="C65" s="306"/>
      <c r="D65" s="307"/>
      <c r="E65" s="272"/>
      <c r="F65" s="273"/>
      <c r="G65" s="273"/>
      <c r="H65" s="274"/>
      <c r="I65" s="299"/>
      <c r="J65" s="300"/>
      <c r="K65" s="300"/>
      <c r="L65" s="301"/>
      <c r="M65" s="310"/>
      <c r="N65" s="273"/>
      <c r="O65" s="273"/>
      <c r="P65" s="274"/>
      <c r="Q65" s="299"/>
      <c r="R65" s="300"/>
      <c r="S65" s="300"/>
      <c r="T65" s="313"/>
    </row>
    <row r="66" spans="3:20" x14ac:dyDescent="0.2">
      <c r="C66" s="302" t="s">
        <v>50</v>
      </c>
      <c r="D66" s="303"/>
      <c r="E66" s="266">
        <f>SUMIF(B8:B48,"ACAO",Q8:Q48)+SUMIF(B8:B48,"ACAO",R8:R48)</f>
        <v>0</v>
      </c>
      <c r="F66" s="267"/>
      <c r="G66" s="267"/>
      <c r="H66" s="268"/>
      <c r="I66" s="293">
        <f>SUMIF(B8:B48,"ETF",Q8:Q48)+SUMIF(B8:B48,"ETF",R8:R48)</f>
        <v>0</v>
      </c>
      <c r="J66" s="294"/>
      <c r="K66" s="294"/>
      <c r="L66" s="295"/>
      <c r="M66" s="308">
        <f>SUMIF(B8:B48,"DIR",Q8:Q48)+SUMIF(B8:B48,"DIR",R8:R48)</f>
        <v>0</v>
      </c>
      <c r="N66" s="267"/>
      <c r="O66" s="267"/>
      <c r="P66" s="268"/>
      <c r="Q66" s="293">
        <f>SUMIF(B8:B48,"OPCAO",Q8:Q48)+SUMIF(B8:B48,"OPCAO",R8:R48)+SUMIF(B8:B48,"EXERCICIO",Q8:Q48)+SUMIF(B8:B48,"EXERCICIO",R8:R48)+SUMIF(B8:B48,"EXERC. LC",Q8:Q48)+SUMIF(B8:B48,"EXERC. LC",R8:R48)</f>
        <v>0</v>
      </c>
      <c r="R66" s="294"/>
      <c r="S66" s="294"/>
      <c r="T66" s="311"/>
    </row>
    <row r="67" spans="3:20" x14ac:dyDescent="0.2">
      <c r="C67" s="304"/>
      <c r="D67" s="305"/>
      <c r="E67" s="269"/>
      <c r="F67" s="270"/>
      <c r="G67" s="270"/>
      <c r="H67" s="271"/>
      <c r="I67" s="296"/>
      <c r="J67" s="297"/>
      <c r="K67" s="297"/>
      <c r="L67" s="298"/>
      <c r="M67" s="309"/>
      <c r="N67" s="270"/>
      <c r="O67" s="270"/>
      <c r="P67" s="271"/>
      <c r="Q67" s="296"/>
      <c r="R67" s="297"/>
      <c r="S67" s="297"/>
      <c r="T67" s="312"/>
    </row>
    <row r="68" spans="3:20" ht="13.5" thickBot="1" x14ac:dyDescent="0.25">
      <c r="C68" s="306"/>
      <c r="D68" s="307"/>
      <c r="E68" s="272"/>
      <c r="F68" s="273"/>
      <c r="G68" s="273"/>
      <c r="H68" s="274"/>
      <c r="I68" s="299"/>
      <c r="J68" s="300"/>
      <c r="K68" s="300"/>
      <c r="L68" s="301"/>
      <c r="M68" s="310"/>
      <c r="N68" s="273"/>
      <c r="O68" s="273"/>
      <c r="P68" s="274"/>
      <c r="Q68" s="299"/>
      <c r="R68" s="300"/>
      <c r="S68" s="300"/>
      <c r="T68" s="313"/>
    </row>
    <row r="69" spans="3:20" ht="13.15" customHeight="1" thickBot="1" x14ac:dyDescent="0.25"/>
    <row r="70" spans="3:20" ht="13.15" customHeight="1" x14ac:dyDescent="0.2">
      <c r="E70" s="320" t="s">
        <v>84</v>
      </c>
      <c r="F70" s="321"/>
      <c r="G70" s="322"/>
      <c r="H70" s="362" t="s">
        <v>81</v>
      </c>
      <c r="I70" s="329" t="s">
        <v>85</v>
      </c>
      <c r="J70" s="330"/>
      <c r="K70" s="331"/>
      <c r="L70" s="362" t="s">
        <v>82</v>
      </c>
      <c r="M70" s="320" t="s">
        <v>83</v>
      </c>
      <c r="N70" s="321"/>
      <c r="O70" s="322"/>
    </row>
    <row r="71" spans="3:20" ht="13.9" customHeight="1" x14ac:dyDescent="0.2">
      <c r="E71" s="323"/>
      <c r="F71" s="324"/>
      <c r="G71" s="325"/>
      <c r="H71" s="362"/>
      <c r="I71" s="332"/>
      <c r="J71" s="333"/>
      <c r="K71" s="334"/>
      <c r="L71" s="362"/>
      <c r="M71" s="323"/>
      <c r="N71" s="324"/>
      <c r="O71" s="325"/>
    </row>
    <row r="72" spans="3:20" ht="13.9" customHeight="1" thickBot="1" x14ac:dyDescent="0.25">
      <c r="E72" s="326"/>
      <c r="F72" s="327"/>
      <c r="G72" s="328"/>
      <c r="H72" s="362"/>
      <c r="I72" s="335"/>
      <c r="J72" s="336"/>
      <c r="K72" s="337"/>
      <c r="L72" s="362"/>
      <c r="M72" s="326"/>
      <c r="N72" s="327"/>
      <c r="O72" s="328"/>
    </row>
    <row r="73" spans="3:20" ht="13.15" customHeight="1" x14ac:dyDescent="0.2">
      <c r="E73" s="350">
        <f>E57</f>
        <v>0</v>
      </c>
      <c r="F73" s="351"/>
      <c r="G73" s="352"/>
      <c r="H73" s="362"/>
      <c r="I73" s="266">
        <f>I57+M57+Q57</f>
        <v>0</v>
      </c>
      <c r="J73" s="267"/>
      <c r="K73" s="359"/>
      <c r="L73" s="362"/>
      <c r="M73" s="269">
        <f>I73+E73</f>
        <v>0</v>
      </c>
      <c r="N73" s="270"/>
      <c r="O73" s="360"/>
    </row>
    <row r="74" spans="3:20" ht="13.15" customHeight="1" x14ac:dyDescent="0.2">
      <c r="E74" s="353"/>
      <c r="F74" s="354"/>
      <c r="G74" s="355"/>
      <c r="H74" s="362"/>
      <c r="I74" s="269"/>
      <c r="J74" s="270"/>
      <c r="K74" s="360"/>
      <c r="L74" s="362"/>
      <c r="M74" s="269"/>
      <c r="N74" s="270"/>
      <c r="O74" s="360"/>
    </row>
    <row r="75" spans="3:20" ht="13.9" customHeight="1" thickBot="1" x14ac:dyDescent="0.25">
      <c r="E75" s="356"/>
      <c r="F75" s="357"/>
      <c r="G75" s="358"/>
      <c r="H75" s="362"/>
      <c r="I75" s="272"/>
      <c r="J75" s="273"/>
      <c r="K75" s="361"/>
      <c r="L75" s="362"/>
      <c r="M75" s="272"/>
      <c r="N75" s="273"/>
      <c r="O75" s="361"/>
    </row>
    <row r="83" spans="2:2" hidden="1" x14ac:dyDescent="0.2">
      <c r="B83" s="1" t="s">
        <v>30</v>
      </c>
    </row>
    <row r="84" spans="2:2" hidden="1" x14ac:dyDescent="0.2">
      <c r="B84" s="1" t="s">
        <v>88</v>
      </c>
    </row>
    <row r="85" spans="2:2" hidden="1" x14ac:dyDescent="0.2">
      <c r="B85" s="1" t="s">
        <v>89</v>
      </c>
    </row>
    <row r="86" spans="2:2" hidden="1" x14ac:dyDescent="0.2">
      <c r="B86" s="1" t="s">
        <v>90</v>
      </c>
    </row>
    <row r="87" spans="2:2" hidden="1" x14ac:dyDescent="0.2">
      <c r="B87" s="1" t="s">
        <v>103</v>
      </c>
    </row>
    <row r="88" spans="2:2" hidden="1" x14ac:dyDescent="0.2">
      <c r="B88" s="1" t="s">
        <v>126</v>
      </c>
    </row>
  </sheetData>
  <sheetProtection selectLockedCells="1" selectUnlockedCells="1"/>
  <mergeCells count="72">
    <mergeCell ref="E73:G75"/>
    <mergeCell ref="I73:K75"/>
    <mergeCell ref="H70:H75"/>
    <mergeCell ref="L70:L75"/>
    <mergeCell ref="M73:O75"/>
    <mergeCell ref="M70:O72"/>
    <mergeCell ref="E52:T53"/>
    <mergeCell ref="E70:G72"/>
    <mergeCell ref="I70:K72"/>
    <mergeCell ref="I60:T62"/>
    <mergeCell ref="M57:P59"/>
    <mergeCell ref="Q57:T59"/>
    <mergeCell ref="M54:P56"/>
    <mergeCell ref="Q54:T56"/>
    <mergeCell ref="C66:D68"/>
    <mergeCell ref="E66:H68"/>
    <mergeCell ref="I66:L68"/>
    <mergeCell ref="M66:P68"/>
    <mergeCell ref="Q66:T68"/>
    <mergeCell ref="C63:D65"/>
    <mergeCell ref="E63:H65"/>
    <mergeCell ref="I63:L65"/>
    <mergeCell ref="M63:P65"/>
    <mergeCell ref="Q63:T65"/>
    <mergeCell ref="C57:D59"/>
    <mergeCell ref="C60:D62"/>
    <mergeCell ref="E60:H62"/>
    <mergeCell ref="E54:H56"/>
    <mergeCell ref="I54:L56"/>
    <mergeCell ref="E57:H59"/>
    <mergeCell ref="I57:L59"/>
    <mergeCell ref="R2:U3"/>
    <mergeCell ref="B5:F5"/>
    <mergeCell ref="B2:E2"/>
    <mergeCell ref="G2:P3"/>
    <mergeCell ref="B6:B7"/>
    <mergeCell ref="C6:C7"/>
    <mergeCell ref="D6:D7"/>
    <mergeCell ref="E6:E7"/>
    <mergeCell ref="F6:F7"/>
    <mergeCell ref="H6:H7"/>
    <mergeCell ref="I6:I7"/>
    <mergeCell ref="J6:J7"/>
    <mergeCell ref="L6:L7"/>
    <mergeCell ref="M6:M7"/>
    <mergeCell ref="P6:P7"/>
    <mergeCell ref="Q6:Q7"/>
    <mergeCell ref="O6:O7"/>
    <mergeCell ref="N6:N7"/>
    <mergeCell ref="Y6:Y7"/>
    <mergeCell ref="R6:R7"/>
    <mergeCell ref="S6:S7"/>
    <mergeCell ref="T6:T7"/>
    <mergeCell ref="U6:U7"/>
    <mergeCell ref="V6:V7"/>
    <mergeCell ref="W6:W7"/>
    <mergeCell ref="AN6:AN7"/>
    <mergeCell ref="AI5:AN5"/>
    <mergeCell ref="AK6:AK7"/>
    <mergeCell ref="G6:G7"/>
    <mergeCell ref="AE6:AE7"/>
    <mergeCell ref="AF6:AF7"/>
    <mergeCell ref="AL6:AL7"/>
    <mergeCell ref="AM6:AM7"/>
    <mergeCell ref="AG6:AG7"/>
    <mergeCell ref="AB5:AG5"/>
    <mergeCell ref="K6:K7"/>
    <mergeCell ref="AB6:AB7"/>
    <mergeCell ref="AC6:AC7"/>
    <mergeCell ref="AD6:AD7"/>
    <mergeCell ref="AI6:AI7"/>
    <mergeCell ref="AJ6:AJ7"/>
  </mergeCells>
  <conditionalFormatting sqref="T8:T48">
    <cfRule type="cellIs" dxfId="16" priority="7" stopIfTrue="1" operator="lessThan">
      <formula>0</formula>
    </cfRule>
    <cfRule type="cellIs" dxfId="15" priority="8" stopIfTrue="1" operator="greaterThan">
      <formula>0</formula>
    </cfRule>
  </conditionalFormatting>
  <conditionalFormatting sqref="E57:T57">
    <cfRule type="cellIs" dxfId="14" priority="1" stopIfTrue="1" operator="lessThan">
      <formula>0</formula>
    </cfRule>
    <cfRule type="cellIs" dxfId="13" priority="2" stopIfTrue="1" operator="greaterThan">
      <formula>0</formula>
    </cfRule>
  </conditionalFormatting>
  <dataValidations xWindow="118" yWindow="445" count="2">
    <dataValidation type="list" allowBlank="1" showInputMessage="1" showErrorMessage="1" errorTitle="Inválido" promptTitle="Selecione" prompt="Selecione o Tipo de ativo" sqref="B8:B48">
      <formula1>$B$83:$B$88</formula1>
    </dataValidation>
    <dataValidation type="list" allowBlank="1" showInputMessage="1" showErrorMessage="1" sqref="G8:G48 K8:K48">
      <formula1>$AP$10:$AP$11</formula1>
    </dataValidation>
  </dataValidations>
  <pageMargins left="0.39370078740157483" right="0.39370078740157483" top="0.39370078740157483" bottom="0.39370078740157483" header="0.39370078740157483" footer="0.39370078740157483"/>
  <pageSetup paperSize="9" scale="54" orientation="landscape" useFirstPageNumber="1" horizontalDpi="300" verticalDpi="300" r:id="rId1"/>
  <headerFooter alignWithMargins="0">
    <oddHeader>&amp;C&amp;A</oddHeader>
    <oddFooter>&amp;CPágina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>
    <pageSetUpPr fitToPage="1"/>
  </sheetPr>
  <dimension ref="B1:W88"/>
  <sheetViews>
    <sheetView zoomScale="70" zoomScaleNormal="70" workbookViewId="0">
      <pane ySplit="7" topLeftCell="A8" activePane="bottomLeft" state="frozen"/>
      <selection pane="bottomLeft" activeCell="J36" sqref="J36"/>
    </sheetView>
  </sheetViews>
  <sheetFormatPr defaultColWidth="11.5703125" defaultRowHeight="12.75" x14ac:dyDescent="0.2"/>
  <cols>
    <col min="1" max="1" width="8.7109375" style="1" customWidth="1"/>
    <col min="2" max="2" width="11.5703125" style="1" customWidth="1"/>
    <col min="3" max="16384" width="11.5703125" style="1"/>
  </cols>
  <sheetData>
    <row r="1" spans="2:23" ht="13.5" thickBot="1" x14ac:dyDescent="0.25"/>
    <row r="2" spans="2:23" ht="18" customHeight="1" thickBot="1" x14ac:dyDescent="0.25">
      <c r="B2" s="241" t="s">
        <v>11</v>
      </c>
      <c r="C2" s="242"/>
      <c r="D2" s="242"/>
      <c r="E2" s="243"/>
      <c r="G2" s="244" t="s">
        <v>12</v>
      </c>
      <c r="H2" s="245"/>
      <c r="I2" s="245"/>
      <c r="J2" s="245"/>
      <c r="K2" s="245"/>
      <c r="L2" s="245"/>
      <c r="M2" s="245"/>
      <c r="N2" s="245"/>
      <c r="O2" s="245"/>
      <c r="P2" s="246"/>
      <c r="R2" s="236"/>
      <c r="S2" s="237"/>
      <c r="T2" s="237"/>
      <c r="U2" s="237"/>
    </row>
    <row r="3" spans="2:23" ht="18" customHeight="1" thickBot="1" x14ac:dyDescent="0.25">
      <c r="B3" s="60" t="s">
        <v>0</v>
      </c>
      <c r="C3" s="31">
        <f>'Operações Normais'!C3</f>
        <v>6</v>
      </c>
      <c r="D3" s="60" t="s">
        <v>1</v>
      </c>
      <c r="E3" s="38">
        <f>'Operações Normais'!E3</f>
        <v>2020</v>
      </c>
      <c r="G3" s="247"/>
      <c r="H3" s="248"/>
      <c r="I3" s="248"/>
      <c r="J3" s="248"/>
      <c r="K3" s="248"/>
      <c r="L3" s="248"/>
      <c r="M3" s="248"/>
      <c r="N3" s="248"/>
      <c r="O3" s="248"/>
      <c r="P3" s="249"/>
      <c r="Q3" s="30"/>
      <c r="R3" s="237"/>
      <c r="S3" s="237"/>
      <c r="T3" s="237"/>
      <c r="U3" s="237"/>
    </row>
    <row r="4" spans="2:23" ht="18" customHeight="1" thickBot="1" x14ac:dyDescent="0.3">
      <c r="H4" s="34"/>
      <c r="I4" s="34"/>
      <c r="J4" s="34"/>
      <c r="K4" s="34"/>
      <c r="L4" s="34"/>
      <c r="M4" s="34"/>
      <c r="P4" s="2"/>
    </row>
    <row r="5" spans="2:23" ht="20.100000000000001" customHeight="1" thickBot="1" x14ac:dyDescent="0.25">
      <c r="B5" s="366" t="s">
        <v>31</v>
      </c>
      <c r="C5" s="367"/>
      <c r="D5" s="367"/>
      <c r="E5" s="367"/>
      <c r="F5" s="368"/>
      <c r="V5" s="3" t="s">
        <v>3</v>
      </c>
    </row>
    <row r="6" spans="2:23" ht="22.15" customHeight="1" x14ac:dyDescent="0.2">
      <c r="B6" s="250" t="s">
        <v>27</v>
      </c>
      <c r="C6" s="208" t="s">
        <v>41</v>
      </c>
      <c r="D6" s="226" t="s">
        <v>140</v>
      </c>
      <c r="E6" s="252" t="s">
        <v>4</v>
      </c>
      <c r="F6" s="208" t="s">
        <v>39</v>
      </c>
      <c r="G6" s="254" t="s">
        <v>45</v>
      </c>
      <c r="H6" s="217" t="s">
        <v>40</v>
      </c>
      <c r="I6" s="217" t="s">
        <v>42</v>
      </c>
      <c r="J6" s="256" t="s">
        <v>44</v>
      </c>
      <c r="K6" s="258" t="s">
        <v>46</v>
      </c>
      <c r="L6" s="223" t="s">
        <v>58</v>
      </c>
      <c r="M6" s="223" t="s">
        <v>59</v>
      </c>
      <c r="N6" s="223" t="s">
        <v>60</v>
      </c>
      <c r="O6" s="208" t="s">
        <v>37</v>
      </c>
      <c r="P6" s="217" t="s">
        <v>38</v>
      </c>
      <c r="Q6" s="226" t="s">
        <v>36</v>
      </c>
      <c r="R6" s="228" t="s">
        <v>43</v>
      </c>
      <c r="S6" s="230" t="s">
        <v>62</v>
      </c>
      <c r="T6" s="232" t="s">
        <v>5</v>
      </c>
      <c r="U6" s="234" t="s">
        <v>6</v>
      </c>
      <c r="V6" s="364">
        <f>'Operações Normais'!X7</f>
        <v>0.10680000000000001</v>
      </c>
      <c r="W6" s="225"/>
    </row>
    <row r="7" spans="2:23" ht="22.15" customHeight="1" thickBot="1" x14ac:dyDescent="0.25">
      <c r="B7" s="251"/>
      <c r="C7" s="209"/>
      <c r="D7" s="227"/>
      <c r="E7" s="253"/>
      <c r="F7" s="209"/>
      <c r="G7" s="255"/>
      <c r="H7" s="218"/>
      <c r="I7" s="218"/>
      <c r="J7" s="257"/>
      <c r="K7" s="259"/>
      <c r="L7" s="224"/>
      <c r="M7" s="224"/>
      <c r="N7" s="224"/>
      <c r="O7" s="209"/>
      <c r="P7" s="218"/>
      <c r="Q7" s="227"/>
      <c r="R7" s="229"/>
      <c r="S7" s="231"/>
      <c r="T7" s="363"/>
      <c r="U7" s="235"/>
      <c r="V7" s="365"/>
      <c r="W7" s="225"/>
    </row>
    <row r="8" spans="2:23" ht="12.95" customHeight="1" x14ac:dyDescent="0.2">
      <c r="B8" s="49" t="s">
        <v>30</v>
      </c>
      <c r="C8" s="42"/>
      <c r="D8" s="4"/>
      <c r="E8" s="4"/>
      <c r="F8" s="4"/>
      <c r="G8" s="5">
        <f t="shared" ref="G8:G34" si="0">E8*F8</f>
        <v>0</v>
      </c>
      <c r="H8" s="35">
        <f t="shared" ref="H8:H35" si="1">C8</f>
        <v>0</v>
      </c>
      <c r="I8" s="4"/>
      <c r="J8" s="7">
        <f t="shared" ref="J8:J34" si="2">SUM(G8,K8)</f>
        <v>0</v>
      </c>
      <c r="K8" s="7">
        <f t="shared" ref="K8:K34" si="3">E8*I8</f>
        <v>0</v>
      </c>
      <c r="L8" s="7">
        <f>ROUNDDOWN(IF(OR(B8="ACAO",B8="DIR",B8="ETF"),J8*Configurações!$B$16,IF(B8="OPCAO",J8*Configurações!$B$30)),2)</f>
        <v>0</v>
      </c>
      <c r="M8" s="7">
        <f>ROUNDDOWN(IF(OR(B8="ACAO",B8="DIR",B8="ETF"),J8*Configurações!$C$16,IF(B8="OPCAO",J8*Configurações!$C$30)),2)</f>
        <v>0</v>
      </c>
      <c r="N8" s="7">
        <f>ROUNDDOWN(IF(OR(B8="ACAO",B8="DIR",B8="ETF"),J8*Configurações!$D$16,IF(B8="OPCAO",J8*Configurações!$D$30)),2)</f>
        <v>0</v>
      </c>
      <c r="O8" s="4">
        <v>0</v>
      </c>
      <c r="P8" s="4">
        <v>0</v>
      </c>
      <c r="Q8" s="4"/>
      <c r="R8" s="8">
        <f>-G8+K8-N8-O8-P8-V8-Q8-M8-L8</f>
        <v>0</v>
      </c>
      <c r="S8" s="4"/>
      <c r="T8" s="128" t="str">
        <f>IF(D8="","-",R8/G8)</f>
        <v>-</v>
      </c>
      <c r="U8" s="9">
        <f t="shared" ref="U8:U48" si="4">DAYS360(C8,H8)</f>
        <v>0</v>
      </c>
      <c r="V8" s="10">
        <f>(O8+P8)*$V$6</f>
        <v>0</v>
      </c>
    </row>
    <row r="9" spans="2:23" ht="12.95" customHeight="1" x14ac:dyDescent="0.2">
      <c r="B9" s="49" t="s">
        <v>30</v>
      </c>
      <c r="C9" s="43"/>
      <c r="D9" s="11"/>
      <c r="E9" s="11"/>
      <c r="F9" s="11"/>
      <c r="G9" s="12">
        <f t="shared" si="0"/>
        <v>0</v>
      </c>
      <c r="H9" s="36">
        <f t="shared" si="1"/>
        <v>0</v>
      </c>
      <c r="I9" s="11"/>
      <c r="J9" s="14">
        <f t="shared" si="2"/>
        <v>0</v>
      </c>
      <c r="K9" s="14">
        <f t="shared" si="3"/>
        <v>0</v>
      </c>
      <c r="L9" s="14">
        <f>ROUNDDOWN(IF(OR(B9="ACAO",B9="DIR",B9="ETF"),J9*Configurações!$B$16,IF(B9="OPCAO",J9*Configurações!$B$30)),2)</f>
        <v>0</v>
      </c>
      <c r="M9" s="14">
        <f>ROUNDDOWN(IF(OR(B9="ACAO",B9="DIR",B9="ETF"),J9*Configurações!$C$16,IF(B9="OPCAO",J9*Configurações!$C$30)),2)</f>
        <v>0</v>
      </c>
      <c r="N9" s="14">
        <f>ROUNDDOWN(IF(OR(B9="ACAO",B9="DIR",B9="ETF"),J9*Configurações!$D$16,IF(B9="OPCAO",J9*Configurações!$D$30)),2)</f>
        <v>0</v>
      </c>
      <c r="O9" s="11">
        <v>0</v>
      </c>
      <c r="P9" s="11">
        <v>0</v>
      </c>
      <c r="Q9" s="11"/>
      <c r="R9" s="15">
        <f t="shared" ref="R9:R48" si="5">-G9+K9-N9-O9-P9-V9-Q9-M9-L9</f>
        <v>0</v>
      </c>
      <c r="S9" s="11"/>
      <c r="T9" s="129" t="str">
        <f t="shared" ref="T9:T48" si="6">IF(D9="","-",R9/G9)</f>
        <v>-</v>
      </c>
      <c r="U9" s="16">
        <f t="shared" si="4"/>
        <v>0</v>
      </c>
      <c r="V9" s="17">
        <f t="shared" ref="V9:V48" si="7">(O9+P9)*$V$6</f>
        <v>0</v>
      </c>
    </row>
    <row r="10" spans="2:23" ht="12.95" customHeight="1" x14ac:dyDescent="0.2">
      <c r="B10" s="49" t="s">
        <v>30</v>
      </c>
      <c r="C10" s="43"/>
      <c r="D10" s="11"/>
      <c r="E10" s="11"/>
      <c r="F10" s="11"/>
      <c r="G10" s="12">
        <f t="shared" si="0"/>
        <v>0</v>
      </c>
      <c r="H10" s="36">
        <f t="shared" si="1"/>
        <v>0</v>
      </c>
      <c r="I10" s="11"/>
      <c r="J10" s="14">
        <f t="shared" si="2"/>
        <v>0</v>
      </c>
      <c r="K10" s="14">
        <f t="shared" si="3"/>
        <v>0</v>
      </c>
      <c r="L10" s="14">
        <f>ROUNDDOWN(IF(OR(B10="ACAO",B10="DIR",B10="ETF"),J10*Configurações!$B$16,IF(B10="OPCAO",J10*Configurações!$B$30)),2)</f>
        <v>0</v>
      </c>
      <c r="M10" s="14">
        <f>ROUNDDOWN(IF(OR(B10="ACAO",B10="DIR",B10="ETF"),J10*Configurações!$C$16,IF(B10="OPCAO",J10*Configurações!$C$30)),2)</f>
        <v>0</v>
      </c>
      <c r="N10" s="14">
        <f>ROUNDDOWN(IF(OR(B10="ACAO",B10="DIR",B10="ETF"),J10*Configurações!$D$16,IF(B10="OPCAO",J10*Configurações!$D$30)),2)</f>
        <v>0</v>
      </c>
      <c r="O10" s="11">
        <v>0</v>
      </c>
      <c r="P10" s="11">
        <v>0</v>
      </c>
      <c r="Q10" s="11"/>
      <c r="R10" s="15">
        <f t="shared" si="5"/>
        <v>0</v>
      </c>
      <c r="S10" s="11"/>
      <c r="T10" s="129" t="str">
        <f t="shared" si="6"/>
        <v>-</v>
      </c>
      <c r="U10" s="16">
        <f t="shared" si="4"/>
        <v>0</v>
      </c>
      <c r="V10" s="17">
        <f t="shared" si="7"/>
        <v>0</v>
      </c>
    </row>
    <row r="11" spans="2:23" ht="12.95" customHeight="1" x14ac:dyDescent="0.2">
      <c r="B11" s="49" t="s">
        <v>30</v>
      </c>
      <c r="C11" s="43"/>
      <c r="D11" s="11"/>
      <c r="E11" s="11"/>
      <c r="F11" s="11"/>
      <c r="G11" s="12">
        <f t="shared" si="0"/>
        <v>0</v>
      </c>
      <c r="H11" s="36">
        <f t="shared" si="1"/>
        <v>0</v>
      </c>
      <c r="I11" s="11"/>
      <c r="J11" s="14">
        <f t="shared" si="2"/>
        <v>0</v>
      </c>
      <c r="K11" s="14">
        <f t="shared" si="3"/>
        <v>0</v>
      </c>
      <c r="L11" s="14">
        <f>ROUNDDOWN(IF(OR(B11="ACAO",B11="DIR",B11="ETF"),J11*Configurações!$B$16,IF(B11="OPCAO",J11*Configurações!$B$30)),2)</f>
        <v>0</v>
      </c>
      <c r="M11" s="14">
        <f>ROUNDDOWN(IF(OR(B11="ACAO",B11="DIR",B11="ETF"),J11*Configurações!$C$16,IF(B11="OPCAO",J11*Configurações!$C$30)),2)</f>
        <v>0</v>
      </c>
      <c r="N11" s="14">
        <f>ROUNDDOWN(IF(OR(B11="ACAO",B11="DIR",B11="ETF"),J11*Configurações!$D$16,IF(B11="OPCAO",J11*Configurações!$D$30)),2)</f>
        <v>0</v>
      </c>
      <c r="O11" s="11"/>
      <c r="P11" s="11"/>
      <c r="Q11" s="11"/>
      <c r="R11" s="15">
        <f t="shared" si="5"/>
        <v>0</v>
      </c>
      <c r="S11" s="11"/>
      <c r="T11" s="129" t="str">
        <f t="shared" si="6"/>
        <v>-</v>
      </c>
      <c r="U11" s="16">
        <f t="shared" si="4"/>
        <v>0</v>
      </c>
      <c r="V11" s="17">
        <f t="shared" si="7"/>
        <v>0</v>
      </c>
    </row>
    <row r="12" spans="2:23" ht="12.95" customHeight="1" x14ac:dyDescent="0.2">
      <c r="B12" s="49" t="s">
        <v>30</v>
      </c>
      <c r="C12" s="43"/>
      <c r="D12" s="11"/>
      <c r="E12" s="11"/>
      <c r="F12" s="11"/>
      <c r="G12" s="12">
        <f t="shared" si="0"/>
        <v>0</v>
      </c>
      <c r="H12" s="36">
        <f t="shared" si="1"/>
        <v>0</v>
      </c>
      <c r="I12" s="11"/>
      <c r="J12" s="14">
        <f t="shared" si="2"/>
        <v>0</v>
      </c>
      <c r="K12" s="14">
        <f t="shared" si="3"/>
        <v>0</v>
      </c>
      <c r="L12" s="14">
        <f>ROUNDDOWN(IF(OR(B12="ACAO",B12="DIR",B12="ETF"),J12*Configurações!$B$16,IF(B12="OPCAO",J12*Configurações!$B$30)),2)</f>
        <v>0</v>
      </c>
      <c r="M12" s="14">
        <f>ROUNDDOWN(IF(OR(B12="ACAO",B12="DIR",B12="ETF"),J12*Configurações!$C$16,IF(B12="OPCAO",J12*Configurações!$C$30)),2)</f>
        <v>0</v>
      </c>
      <c r="N12" s="14">
        <f>ROUNDDOWN(IF(OR(B12="ACAO",B12="DIR",B12="ETF"),J12*Configurações!$D$16,IF(B12="OPCAO",J12*Configurações!$D$30)),2)</f>
        <v>0</v>
      </c>
      <c r="O12" s="11"/>
      <c r="P12" s="11"/>
      <c r="Q12" s="11"/>
      <c r="R12" s="15">
        <f t="shared" si="5"/>
        <v>0</v>
      </c>
      <c r="S12" s="11"/>
      <c r="T12" s="129" t="str">
        <f t="shared" si="6"/>
        <v>-</v>
      </c>
      <c r="U12" s="16">
        <f t="shared" si="4"/>
        <v>0</v>
      </c>
      <c r="V12" s="17">
        <f t="shared" si="7"/>
        <v>0</v>
      </c>
    </row>
    <row r="13" spans="2:23" ht="12.95" customHeight="1" x14ac:dyDescent="0.2">
      <c r="B13" s="49" t="s">
        <v>30</v>
      </c>
      <c r="C13" s="43"/>
      <c r="D13" s="11"/>
      <c r="E13" s="11"/>
      <c r="F13" s="11"/>
      <c r="G13" s="12">
        <f t="shared" si="0"/>
        <v>0</v>
      </c>
      <c r="H13" s="36">
        <f t="shared" si="1"/>
        <v>0</v>
      </c>
      <c r="I13" s="11"/>
      <c r="J13" s="14">
        <f t="shared" si="2"/>
        <v>0</v>
      </c>
      <c r="K13" s="14">
        <f t="shared" si="3"/>
        <v>0</v>
      </c>
      <c r="L13" s="14">
        <f>ROUNDDOWN(IF(OR(B13="ACAO",B13="DIR",B13="ETF"),J13*Configurações!$B$16,IF(B13="OPCAO",J13*Configurações!$B$30)),2)</f>
        <v>0</v>
      </c>
      <c r="M13" s="14">
        <f>ROUNDDOWN(IF(OR(B13="ACAO",B13="DIR",B13="ETF"),J13*Configurações!$C$16,IF(B13="OPCAO",J13*Configurações!$C$30)),2)</f>
        <v>0</v>
      </c>
      <c r="N13" s="14">
        <f>ROUNDDOWN(IF(OR(B13="ACAO",B13="DIR",B13="ETF"),J13*Configurações!$D$16,IF(B13="OPCAO",J13*Configurações!$D$30)),2)</f>
        <v>0</v>
      </c>
      <c r="O13" s="11"/>
      <c r="P13" s="11"/>
      <c r="Q13" s="11"/>
      <c r="R13" s="15">
        <f t="shared" si="5"/>
        <v>0</v>
      </c>
      <c r="S13" s="11"/>
      <c r="T13" s="129" t="str">
        <f t="shared" si="6"/>
        <v>-</v>
      </c>
      <c r="U13" s="16">
        <f t="shared" si="4"/>
        <v>0</v>
      </c>
      <c r="V13" s="17">
        <f t="shared" si="7"/>
        <v>0</v>
      </c>
    </row>
    <row r="14" spans="2:23" ht="12.95" customHeight="1" x14ac:dyDescent="0.2">
      <c r="B14" s="49" t="s">
        <v>30</v>
      </c>
      <c r="C14" s="43"/>
      <c r="D14" s="11"/>
      <c r="E14" s="11"/>
      <c r="F14" s="11"/>
      <c r="G14" s="12">
        <f t="shared" si="0"/>
        <v>0</v>
      </c>
      <c r="H14" s="36">
        <f t="shared" si="1"/>
        <v>0</v>
      </c>
      <c r="I14" s="11"/>
      <c r="J14" s="14">
        <f t="shared" si="2"/>
        <v>0</v>
      </c>
      <c r="K14" s="14">
        <f t="shared" si="3"/>
        <v>0</v>
      </c>
      <c r="L14" s="14">
        <f>ROUNDDOWN(IF(OR(B14="ACAO",B14="DIR",B14="ETF"),J14*Configurações!$B$16,IF(B14="OPCAO",J14*Configurações!$B$30)),2)</f>
        <v>0</v>
      </c>
      <c r="M14" s="14">
        <f>ROUNDDOWN(IF(OR(B14="ACAO",B14="DIR",B14="ETF"),J14*Configurações!$C$16,IF(B14="OPCAO",J14*Configurações!$C$30)),2)</f>
        <v>0</v>
      </c>
      <c r="N14" s="14">
        <f>ROUNDDOWN(IF(OR(B14="ACAO",B14="DIR",B14="ETF"),J14*Configurações!$D$16,IF(B14="OPCAO",J14*Configurações!$D$30)),2)</f>
        <v>0</v>
      </c>
      <c r="O14" s="11"/>
      <c r="P14" s="11"/>
      <c r="Q14" s="11"/>
      <c r="R14" s="15">
        <f t="shared" si="5"/>
        <v>0</v>
      </c>
      <c r="S14" s="11"/>
      <c r="T14" s="129" t="str">
        <f t="shared" si="6"/>
        <v>-</v>
      </c>
      <c r="U14" s="16">
        <f t="shared" si="4"/>
        <v>0</v>
      </c>
      <c r="V14" s="17">
        <f t="shared" si="7"/>
        <v>0</v>
      </c>
    </row>
    <row r="15" spans="2:23" ht="12.95" customHeight="1" x14ac:dyDescent="0.2">
      <c r="B15" s="49" t="s">
        <v>30</v>
      </c>
      <c r="C15" s="43"/>
      <c r="D15" s="11"/>
      <c r="E15" s="11"/>
      <c r="F15" s="11"/>
      <c r="G15" s="12">
        <f t="shared" si="0"/>
        <v>0</v>
      </c>
      <c r="H15" s="36">
        <f t="shared" si="1"/>
        <v>0</v>
      </c>
      <c r="I15" s="11"/>
      <c r="J15" s="14">
        <f t="shared" si="2"/>
        <v>0</v>
      </c>
      <c r="K15" s="14">
        <f t="shared" si="3"/>
        <v>0</v>
      </c>
      <c r="L15" s="14">
        <f>ROUNDDOWN(IF(OR(B15="ACAO",B15="DIR",B15="ETF"),J15*Configurações!$B$16,IF(B15="OPCAO",J15*Configurações!$B$30)),2)</f>
        <v>0</v>
      </c>
      <c r="M15" s="14">
        <f>ROUNDDOWN(IF(OR(B15="ACAO",B15="DIR",B15="ETF"),J15*Configurações!$C$16,IF(B15="OPCAO",J15*Configurações!$C$30)),2)</f>
        <v>0</v>
      </c>
      <c r="N15" s="14">
        <f>ROUNDDOWN(IF(OR(B15="ACAO",B15="DIR",B15="ETF"),J15*Configurações!$D$16,IF(B15="OPCAO",J15*Configurações!$D$30)),2)</f>
        <v>0</v>
      </c>
      <c r="O15" s="11"/>
      <c r="P15" s="11"/>
      <c r="Q15" s="11"/>
      <c r="R15" s="15">
        <f t="shared" si="5"/>
        <v>0</v>
      </c>
      <c r="S15" s="11"/>
      <c r="T15" s="129" t="str">
        <f t="shared" si="6"/>
        <v>-</v>
      </c>
      <c r="U15" s="16">
        <f t="shared" si="4"/>
        <v>0</v>
      </c>
      <c r="V15" s="17">
        <f t="shared" si="7"/>
        <v>0</v>
      </c>
    </row>
    <row r="16" spans="2:23" ht="12.95" customHeight="1" x14ac:dyDescent="0.2">
      <c r="B16" s="49" t="s">
        <v>30</v>
      </c>
      <c r="C16" s="43"/>
      <c r="D16" s="11"/>
      <c r="E16" s="11"/>
      <c r="F16" s="11"/>
      <c r="G16" s="12">
        <f t="shared" si="0"/>
        <v>0</v>
      </c>
      <c r="H16" s="36">
        <f t="shared" si="1"/>
        <v>0</v>
      </c>
      <c r="I16" s="11"/>
      <c r="J16" s="14">
        <f t="shared" si="2"/>
        <v>0</v>
      </c>
      <c r="K16" s="14">
        <f t="shared" si="3"/>
        <v>0</v>
      </c>
      <c r="L16" s="14">
        <f>ROUNDDOWN(IF(OR(B16="ACAO",B16="DIR",B16="ETF"),J16*Configurações!$B$16,IF(B16="OPCAO",J16*Configurações!$B$30)),2)</f>
        <v>0</v>
      </c>
      <c r="M16" s="14">
        <f>ROUNDDOWN(IF(OR(B16="ACAO",B16="DIR",B16="ETF"),J16*Configurações!$C$16,IF(B16="OPCAO",J16*Configurações!$C$30)),2)</f>
        <v>0</v>
      </c>
      <c r="N16" s="14">
        <f>ROUNDDOWN(IF(OR(B16="ACAO",B16="DIR",B16="ETF"),J16*Configurações!$D$16,IF(B16="OPCAO",J16*Configurações!$D$30)),2)</f>
        <v>0</v>
      </c>
      <c r="O16" s="11"/>
      <c r="P16" s="11"/>
      <c r="Q16" s="11"/>
      <c r="R16" s="15">
        <f t="shared" si="5"/>
        <v>0</v>
      </c>
      <c r="S16" s="11"/>
      <c r="T16" s="129" t="str">
        <f t="shared" si="6"/>
        <v>-</v>
      </c>
      <c r="U16" s="16">
        <f t="shared" si="4"/>
        <v>0</v>
      </c>
      <c r="V16" s="17">
        <f t="shared" si="7"/>
        <v>0</v>
      </c>
    </row>
    <row r="17" spans="2:22" ht="12.95" customHeight="1" x14ac:dyDescent="0.2">
      <c r="B17" s="49" t="s">
        <v>30</v>
      </c>
      <c r="C17" s="43"/>
      <c r="D17" s="11"/>
      <c r="E17" s="11"/>
      <c r="F17" s="11"/>
      <c r="G17" s="12">
        <f t="shared" si="0"/>
        <v>0</v>
      </c>
      <c r="H17" s="36">
        <f t="shared" si="1"/>
        <v>0</v>
      </c>
      <c r="I17" s="11"/>
      <c r="J17" s="14">
        <f t="shared" si="2"/>
        <v>0</v>
      </c>
      <c r="K17" s="14">
        <f t="shared" si="3"/>
        <v>0</v>
      </c>
      <c r="L17" s="14">
        <f>ROUNDDOWN(IF(OR(B17="ACAO",B17="DIR",B17="ETF"),J17*Configurações!$B$16,IF(B17="OPCAO",J17*Configurações!$B$30)),2)</f>
        <v>0</v>
      </c>
      <c r="M17" s="14">
        <f>ROUNDDOWN(IF(OR(B17="ACAO",B17="DIR",B17="ETF"),J17*Configurações!$C$16,IF(B17="OPCAO",J17*Configurações!$C$30)),2)</f>
        <v>0</v>
      </c>
      <c r="N17" s="14">
        <f>ROUNDDOWN(IF(OR(B17="ACAO",B17="DIR",B17="ETF"),J17*Configurações!$D$16,IF(B17="OPCAO",J17*Configurações!$D$30)),2)</f>
        <v>0</v>
      </c>
      <c r="O17" s="11"/>
      <c r="P17" s="11"/>
      <c r="Q17" s="11"/>
      <c r="R17" s="15">
        <f t="shared" si="5"/>
        <v>0</v>
      </c>
      <c r="S17" s="11"/>
      <c r="T17" s="129" t="str">
        <f t="shared" si="6"/>
        <v>-</v>
      </c>
      <c r="U17" s="16">
        <f t="shared" si="4"/>
        <v>0</v>
      </c>
      <c r="V17" s="17">
        <f t="shared" si="7"/>
        <v>0</v>
      </c>
    </row>
    <row r="18" spans="2:22" ht="12.95" customHeight="1" x14ac:dyDescent="0.2">
      <c r="B18" s="49" t="s">
        <v>30</v>
      </c>
      <c r="C18" s="43"/>
      <c r="D18" s="11"/>
      <c r="E18" s="11"/>
      <c r="F18" s="11"/>
      <c r="G18" s="12">
        <f t="shared" si="0"/>
        <v>0</v>
      </c>
      <c r="H18" s="36">
        <f t="shared" si="1"/>
        <v>0</v>
      </c>
      <c r="I18" s="11"/>
      <c r="J18" s="14">
        <f t="shared" si="2"/>
        <v>0</v>
      </c>
      <c r="K18" s="14">
        <f t="shared" si="3"/>
        <v>0</v>
      </c>
      <c r="L18" s="14">
        <f>ROUNDDOWN(IF(OR(B18="ACAO",B18="DIR",B18="ETF"),J18*Configurações!$B$16,IF(B18="OPCAO",J18*Configurações!$B$30)),2)</f>
        <v>0</v>
      </c>
      <c r="M18" s="14">
        <f>ROUNDDOWN(IF(OR(B18="ACAO",B18="DIR",B18="ETF"),J18*Configurações!$C$16,IF(B18="OPCAO",J18*Configurações!$C$30)),2)</f>
        <v>0</v>
      </c>
      <c r="N18" s="14">
        <f>ROUNDDOWN(IF(OR(B18="ACAO",B18="DIR",B18="ETF"),J18*Configurações!$D$16,IF(B18="OPCAO",J18*Configurações!$D$30)),2)</f>
        <v>0</v>
      </c>
      <c r="O18" s="11"/>
      <c r="P18" s="11"/>
      <c r="Q18" s="11"/>
      <c r="R18" s="15">
        <f t="shared" si="5"/>
        <v>0</v>
      </c>
      <c r="S18" s="11"/>
      <c r="T18" s="129" t="str">
        <f t="shared" si="6"/>
        <v>-</v>
      </c>
      <c r="U18" s="16">
        <f t="shared" si="4"/>
        <v>0</v>
      </c>
      <c r="V18" s="17">
        <f t="shared" si="7"/>
        <v>0</v>
      </c>
    </row>
    <row r="19" spans="2:22" ht="12.95" customHeight="1" x14ac:dyDescent="0.2">
      <c r="B19" s="49" t="s">
        <v>30</v>
      </c>
      <c r="C19" s="43"/>
      <c r="D19" s="11"/>
      <c r="E19" s="11"/>
      <c r="F19" s="11"/>
      <c r="G19" s="12">
        <f t="shared" si="0"/>
        <v>0</v>
      </c>
      <c r="H19" s="36">
        <f t="shared" si="1"/>
        <v>0</v>
      </c>
      <c r="I19" s="11"/>
      <c r="J19" s="14">
        <f t="shared" si="2"/>
        <v>0</v>
      </c>
      <c r="K19" s="14">
        <f t="shared" si="3"/>
        <v>0</v>
      </c>
      <c r="L19" s="14">
        <f>ROUNDDOWN(IF(OR(B19="ACAO",B19="DIR",B19="ETF"),J19*Configurações!$B$16,IF(B19="OPCAO",J19*Configurações!$B$30)),2)</f>
        <v>0</v>
      </c>
      <c r="M19" s="14">
        <f>ROUNDDOWN(IF(OR(B19="ACAO",B19="DIR",B19="ETF"),J19*Configurações!$C$16,IF(B19="OPCAO",J19*Configurações!$C$30)),2)</f>
        <v>0</v>
      </c>
      <c r="N19" s="14">
        <f>ROUNDDOWN(IF(OR(B19="ACAO",B19="DIR",B19="ETF"),J19*Configurações!$D$16,IF(B19="OPCAO",J19*Configurações!$D$30)),2)</f>
        <v>0</v>
      </c>
      <c r="O19" s="11"/>
      <c r="P19" s="11"/>
      <c r="Q19" s="11"/>
      <c r="R19" s="15">
        <f t="shared" si="5"/>
        <v>0</v>
      </c>
      <c r="S19" s="11"/>
      <c r="T19" s="129" t="str">
        <f t="shared" si="6"/>
        <v>-</v>
      </c>
      <c r="U19" s="16">
        <f t="shared" si="4"/>
        <v>0</v>
      </c>
      <c r="V19" s="17">
        <f t="shared" si="7"/>
        <v>0</v>
      </c>
    </row>
    <row r="20" spans="2:22" ht="12.95" customHeight="1" x14ac:dyDescent="0.2">
      <c r="B20" s="49" t="s">
        <v>30</v>
      </c>
      <c r="C20" s="43"/>
      <c r="D20" s="11"/>
      <c r="E20" s="11"/>
      <c r="F20" s="11"/>
      <c r="G20" s="12">
        <f t="shared" si="0"/>
        <v>0</v>
      </c>
      <c r="H20" s="36">
        <f t="shared" si="1"/>
        <v>0</v>
      </c>
      <c r="I20" s="11"/>
      <c r="J20" s="14">
        <f t="shared" si="2"/>
        <v>0</v>
      </c>
      <c r="K20" s="14">
        <f t="shared" si="3"/>
        <v>0</v>
      </c>
      <c r="L20" s="14">
        <f>ROUNDDOWN(IF(OR(B20="ACAO",B20="DIR",B20="ETF"),J20*Configurações!$B$16,IF(B20="OPCAO",J20*Configurações!$B$30)),2)</f>
        <v>0</v>
      </c>
      <c r="M20" s="14">
        <f>ROUNDDOWN(IF(OR(B20="ACAO",B20="DIR",B20="ETF"),J20*Configurações!$C$16,IF(B20="OPCAO",J20*Configurações!$C$30)),2)</f>
        <v>0</v>
      </c>
      <c r="N20" s="14">
        <f>ROUNDDOWN(IF(OR(B20="ACAO",B20="DIR",B20="ETF"),J20*Configurações!$D$16,IF(B20="OPCAO",J20*Configurações!$D$30)),2)</f>
        <v>0</v>
      </c>
      <c r="O20" s="11"/>
      <c r="P20" s="11"/>
      <c r="Q20" s="11"/>
      <c r="R20" s="15">
        <f t="shared" si="5"/>
        <v>0</v>
      </c>
      <c r="S20" s="11"/>
      <c r="T20" s="129" t="str">
        <f t="shared" si="6"/>
        <v>-</v>
      </c>
      <c r="U20" s="16">
        <f t="shared" si="4"/>
        <v>0</v>
      </c>
      <c r="V20" s="17">
        <f t="shared" si="7"/>
        <v>0</v>
      </c>
    </row>
    <row r="21" spans="2:22" ht="12.95" customHeight="1" x14ac:dyDescent="0.2">
      <c r="B21" s="49" t="s">
        <v>30</v>
      </c>
      <c r="C21" s="43"/>
      <c r="D21" s="11"/>
      <c r="E21" s="11"/>
      <c r="F21" s="11"/>
      <c r="G21" s="12">
        <f t="shared" si="0"/>
        <v>0</v>
      </c>
      <c r="H21" s="36">
        <f t="shared" si="1"/>
        <v>0</v>
      </c>
      <c r="I21" s="11"/>
      <c r="J21" s="14">
        <f t="shared" si="2"/>
        <v>0</v>
      </c>
      <c r="K21" s="14">
        <f t="shared" si="3"/>
        <v>0</v>
      </c>
      <c r="L21" s="14">
        <f>ROUNDDOWN(IF(OR(B21="ACAO",B21="DIR",B21="ETF"),J21*Configurações!$B$16,IF(B21="OPCAO",J21*Configurações!$B$30)),2)</f>
        <v>0</v>
      </c>
      <c r="M21" s="14">
        <f>ROUNDDOWN(IF(OR(B21="ACAO",B21="DIR",B21="ETF"),J21*Configurações!$C$16,IF(B21="OPCAO",J21*Configurações!$C$30)),2)</f>
        <v>0</v>
      </c>
      <c r="N21" s="14">
        <f>ROUNDDOWN(IF(OR(B21="ACAO",B21="DIR",B21="ETF"),J21*Configurações!$D$16,IF(B21="OPCAO",J21*Configurações!$D$30)),2)</f>
        <v>0</v>
      </c>
      <c r="O21" s="11"/>
      <c r="P21" s="11"/>
      <c r="Q21" s="11"/>
      <c r="R21" s="15">
        <f t="shared" si="5"/>
        <v>0</v>
      </c>
      <c r="S21" s="11"/>
      <c r="T21" s="129" t="str">
        <f t="shared" si="6"/>
        <v>-</v>
      </c>
      <c r="U21" s="16">
        <f t="shared" si="4"/>
        <v>0</v>
      </c>
      <c r="V21" s="17">
        <f t="shared" si="7"/>
        <v>0</v>
      </c>
    </row>
    <row r="22" spans="2:22" ht="12.95" customHeight="1" x14ac:dyDescent="0.2">
      <c r="B22" s="49" t="s">
        <v>30</v>
      </c>
      <c r="C22" s="43"/>
      <c r="D22" s="11"/>
      <c r="E22" s="11"/>
      <c r="F22" s="11"/>
      <c r="G22" s="12">
        <f t="shared" si="0"/>
        <v>0</v>
      </c>
      <c r="H22" s="36">
        <f t="shared" si="1"/>
        <v>0</v>
      </c>
      <c r="I22" s="11"/>
      <c r="J22" s="14">
        <f t="shared" si="2"/>
        <v>0</v>
      </c>
      <c r="K22" s="14">
        <f t="shared" si="3"/>
        <v>0</v>
      </c>
      <c r="L22" s="14">
        <f>ROUNDDOWN(IF(OR(B22="ACAO",B22="DIR",B22="ETF"),J22*Configurações!$B$16,IF(B22="OPCAO",J22*Configurações!$B$30)),2)</f>
        <v>0</v>
      </c>
      <c r="M22" s="14">
        <f>ROUNDDOWN(IF(OR(B22="ACAO",B22="DIR",B22="ETF"),J22*Configurações!$C$16,IF(B22="OPCAO",J22*Configurações!$C$30)),2)</f>
        <v>0</v>
      </c>
      <c r="N22" s="14">
        <f>ROUNDDOWN(IF(OR(B22="ACAO",B22="DIR",B22="ETF"),J22*Configurações!$D$16,IF(B22="OPCAO",J22*Configurações!$D$30)),2)</f>
        <v>0</v>
      </c>
      <c r="O22" s="11"/>
      <c r="P22" s="11"/>
      <c r="Q22" s="11"/>
      <c r="R22" s="15">
        <f t="shared" si="5"/>
        <v>0</v>
      </c>
      <c r="S22" s="11"/>
      <c r="T22" s="129" t="str">
        <f t="shared" si="6"/>
        <v>-</v>
      </c>
      <c r="U22" s="16">
        <f t="shared" si="4"/>
        <v>0</v>
      </c>
      <c r="V22" s="17">
        <f t="shared" si="7"/>
        <v>0</v>
      </c>
    </row>
    <row r="23" spans="2:22" ht="12.95" customHeight="1" x14ac:dyDescent="0.2">
      <c r="B23" s="49" t="s">
        <v>30</v>
      </c>
      <c r="C23" s="43"/>
      <c r="D23" s="11"/>
      <c r="E23" s="11"/>
      <c r="F23" s="11"/>
      <c r="G23" s="12">
        <f t="shared" si="0"/>
        <v>0</v>
      </c>
      <c r="H23" s="36">
        <f t="shared" si="1"/>
        <v>0</v>
      </c>
      <c r="I23" s="11"/>
      <c r="J23" s="14">
        <f t="shared" si="2"/>
        <v>0</v>
      </c>
      <c r="K23" s="14">
        <f t="shared" si="3"/>
        <v>0</v>
      </c>
      <c r="L23" s="14">
        <f>ROUNDDOWN(IF(OR(B23="ACAO",B23="DIR",B23="ETF"),J23*Configurações!$B$16,IF(B23="OPCAO",J23*Configurações!$B$30)),2)</f>
        <v>0</v>
      </c>
      <c r="M23" s="14">
        <f>ROUNDDOWN(IF(OR(B23="ACAO",B23="DIR",B23="ETF"),J23*Configurações!$C$16,IF(B23="OPCAO",J23*Configurações!$C$30)),2)</f>
        <v>0</v>
      </c>
      <c r="N23" s="14">
        <f>ROUNDDOWN(IF(OR(B23="ACAO",B23="DIR",B23="ETF"),J23*Configurações!$D$16,IF(B23="OPCAO",J23*Configurações!$D$30)),2)</f>
        <v>0</v>
      </c>
      <c r="O23" s="11"/>
      <c r="P23" s="11"/>
      <c r="Q23" s="11"/>
      <c r="R23" s="15">
        <f t="shared" si="5"/>
        <v>0</v>
      </c>
      <c r="S23" s="11"/>
      <c r="T23" s="129" t="str">
        <f t="shared" si="6"/>
        <v>-</v>
      </c>
      <c r="U23" s="16">
        <f t="shared" si="4"/>
        <v>0</v>
      </c>
      <c r="V23" s="17">
        <f t="shared" si="7"/>
        <v>0</v>
      </c>
    </row>
    <row r="24" spans="2:22" ht="12.95" customHeight="1" x14ac:dyDescent="0.2">
      <c r="B24" s="49" t="s">
        <v>30</v>
      </c>
      <c r="C24" s="43"/>
      <c r="D24" s="11"/>
      <c r="E24" s="11"/>
      <c r="F24" s="11"/>
      <c r="G24" s="12">
        <f t="shared" si="0"/>
        <v>0</v>
      </c>
      <c r="H24" s="36">
        <f t="shared" si="1"/>
        <v>0</v>
      </c>
      <c r="I24" s="11"/>
      <c r="J24" s="14">
        <f t="shared" si="2"/>
        <v>0</v>
      </c>
      <c r="K24" s="14">
        <f t="shared" si="3"/>
        <v>0</v>
      </c>
      <c r="L24" s="14">
        <f>ROUNDDOWN(IF(OR(B24="ACAO",B24="DIR",B24="ETF"),J24*Configurações!$B$16,IF(B24="OPCAO",J24*Configurações!$B$30)),2)</f>
        <v>0</v>
      </c>
      <c r="M24" s="14">
        <f>ROUNDDOWN(IF(OR(B24="ACAO",B24="DIR",B24="ETF"),J24*Configurações!$C$16,IF(B24="OPCAO",J24*Configurações!$C$30)),2)</f>
        <v>0</v>
      </c>
      <c r="N24" s="14">
        <f>ROUNDDOWN(IF(OR(B24="ACAO",B24="DIR",B24="ETF"),J24*Configurações!$D$16,IF(B24="OPCAO",J24*Configurações!$D$30)),2)</f>
        <v>0</v>
      </c>
      <c r="O24" s="11"/>
      <c r="P24" s="11"/>
      <c r="Q24" s="11"/>
      <c r="R24" s="15">
        <f t="shared" si="5"/>
        <v>0</v>
      </c>
      <c r="S24" s="11"/>
      <c r="T24" s="129" t="str">
        <f t="shared" si="6"/>
        <v>-</v>
      </c>
      <c r="U24" s="16">
        <f t="shared" si="4"/>
        <v>0</v>
      </c>
      <c r="V24" s="17">
        <f t="shared" si="7"/>
        <v>0</v>
      </c>
    </row>
    <row r="25" spans="2:22" ht="12.95" customHeight="1" x14ac:dyDescent="0.2">
      <c r="B25" s="49" t="s">
        <v>30</v>
      </c>
      <c r="C25" s="43"/>
      <c r="D25" s="11"/>
      <c r="E25" s="11"/>
      <c r="F25" s="11"/>
      <c r="G25" s="12">
        <f t="shared" si="0"/>
        <v>0</v>
      </c>
      <c r="H25" s="36">
        <f t="shared" si="1"/>
        <v>0</v>
      </c>
      <c r="I25" s="11"/>
      <c r="J25" s="14">
        <f t="shared" si="2"/>
        <v>0</v>
      </c>
      <c r="K25" s="14">
        <f t="shared" si="3"/>
        <v>0</v>
      </c>
      <c r="L25" s="14">
        <f>ROUNDDOWN(IF(OR(B25="ACAO",B25="DIR",B25="ETF"),J25*Configurações!$B$16,IF(B25="OPCAO",J25*Configurações!$B$30)),2)</f>
        <v>0</v>
      </c>
      <c r="M25" s="14">
        <f>ROUNDDOWN(IF(OR(B25="ACAO",B25="DIR",B25="ETF"),J25*Configurações!$C$16,IF(B25="OPCAO",J25*Configurações!$C$30)),2)</f>
        <v>0</v>
      </c>
      <c r="N25" s="14">
        <f>ROUNDDOWN(IF(OR(B25="ACAO",B25="DIR",B25="ETF"),J25*Configurações!$D$16,IF(B25="OPCAO",J25*Configurações!$D$30)),2)</f>
        <v>0</v>
      </c>
      <c r="O25" s="11"/>
      <c r="P25" s="11"/>
      <c r="Q25" s="11"/>
      <c r="R25" s="15">
        <f t="shared" si="5"/>
        <v>0</v>
      </c>
      <c r="S25" s="11"/>
      <c r="T25" s="129" t="str">
        <f t="shared" si="6"/>
        <v>-</v>
      </c>
      <c r="U25" s="16">
        <f t="shared" si="4"/>
        <v>0</v>
      </c>
      <c r="V25" s="17">
        <f t="shared" si="7"/>
        <v>0</v>
      </c>
    </row>
    <row r="26" spans="2:22" ht="12.95" customHeight="1" x14ac:dyDescent="0.2">
      <c r="B26" s="49" t="s">
        <v>30</v>
      </c>
      <c r="C26" s="43"/>
      <c r="D26" s="11"/>
      <c r="E26" s="11"/>
      <c r="F26" s="11"/>
      <c r="G26" s="12">
        <f t="shared" si="0"/>
        <v>0</v>
      </c>
      <c r="H26" s="36">
        <f t="shared" si="1"/>
        <v>0</v>
      </c>
      <c r="I26" s="11"/>
      <c r="J26" s="14">
        <f t="shared" si="2"/>
        <v>0</v>
      </c>
      <c r="K26" s="14">
        <f t="shared" si="3"/>
        <v>0</v>
      </c>
      <c r="L26" s="14">
        <f>ROUNDDOWN(IF(OR(B26="ACAO",B26="DIR",B26="ETF"),J26*Configurações!$B$16,IF(B26="OPCAO",J26*Configurações!$B$30)),2)</f>
        <v>0</v>
      </c>
      <c r="M26" s="14">
        <f>ROUNDDOWN(IF(OR(B26="ACAO",B26="DIR",B26="ETF"),J26*Configurações!$C$16,IF(B26="OPCAO",J26*Configurações!$C$30)),2)</f>
        <v>0</v>
      </c>
      <c r="N26" s="14">
        <f>ROUNDDOWN(IF(OR(B26="ACAO",B26="DIR",B26="ETF"),J26*Configurações!$D$16,IF(B26="OPCAO",J26*Configurações!$D$30)),2)</f>
        <v>0</v>
      </c>
      <c r="O26" s="11"/>
      <c r="P26" s="11"/>
      <c r="Q26" s="11"/>
      <c r="R26" s="15">
        <f t="shared" si="5"/>
        <v>0</v>
      </c>
      <c r="S26" s="11"/>
      <c r="T26" s="129" t="str">
        <f t="shared" si="6"/>
        <v>-</v>
      </c>
      <c r="U26" s="16">
        <f t="shared" si="4"/>
        <v>0</v>
      </c>
      <c r="V26" s="17">
        <f t="shared" si="7"/>
        <v>0</v>
      </c>
    </row>
    <row r="27" spans="2:22" ht="12.95" customHeight="1" x14ac:dyDescent="0.2">
      <c r="B27" s="49" t="s">
        <v>30</v>
      </c>
      <c r="C27" s="43"/>
      <c r="D27" s="11"/>
      <c r="E27" s="11"/>
      <c r="F27" s="11"/>
      <c r="G27" s="12">
        <f t="shared" si="0"/>
        <v>0</v>
      </c>
      <c r="H27" s="36">
        <f t="shared" si="1"/>
        <v>0</v>
      </c>
      <c r="I27" s="11"/>
      <c r="J27" s="14">
        <f t="shared" si="2"/>
        <v>0</v>
      </c>
      <c r="K27" s="14">
        <f t="shared" si="3"/>
        <v>0</v>
      </c>
      <c r="L27" s="14">
        <f>ROUNDDOWN(IF(OR(B27="ACAO",B27="DIR",B27="ETF"),J27*Configurações!$B$16,IF(B27="OPCAO",J27*Configurações!$B$30)),2)</f>
        <v>0</v>
      </c>
      <c r="M27" s="14">
        <f>ROUNDDOWN(IF(OR(B27="ACAO",B27="DIR",B27="ETF"),J27*Configurações!$C$16,IF(B27="OPCAO",J27*Configurações!$C$30)),2)</f>
        <v>0</v>
      </c>
      <c r="N27" s="14">
        <f>ROUNDDOWN(IF(OR(B27="ACAO",B27="DIR",B27="ETF"),J27*Configurações!$D$16,IF(B27="OPCAO",J27*Configurações!$D$30)),2)</f>
        <v>0</v>
      </c>
      <c r="O27" s="11"/>
      <c r="P27" s="11"/>
      <c r="Q27" s="11"/>
      <c r="R27" s="15">
        <f t="shared" si="5"/>
        <v>0</v>
      </c>
      <c r="S27" s="11"/>
      <c r="T27" s="129" t="str">
        <f t="shared" si="6"/>
        <v>-</v>
      </c>
      <c r="U27" s="16">
        <f t="shared" si="4"/>
        <v>0</v>
      </c>
      <c r="V27" s="17">
        <f t="shared" si="7"/>
        <v>0</v>
      </c>
    </row>
    <row r="28" spans="2:22" ht="12.95" customHeight="1" x14ac:dyDescent="0.2">
      <c r="B28" s="49" t="s">
        <v>30</v>
      </c>
      <c r="C28" s="43"/>
      <c r="D28" s="11"/>
      <c r="E28" s="11"/>
      <c r="F28" s="11"/>
      <c r="G28" s="12">
        <f t="shared" si="0"/>
        <v>0</v>
      </c>
      <c r="H28" s="36">
        <f t="shared" si="1"/>
        <v>0</v>
      </c>
      <c r="I28" s="11"/>
      <c r="J28" s="14">
        <f t="shared" si="2"/>
        <v>0</v>
      </c>
      <c r="K28" s="14">
        <f t="shared" si="3"/>
        <v>0</v>
      </c>
      <c r="L28" s="14">
        <f>ROUNDDOWN(IF(OR(B28="ACAO",B28="DIR",B28="ETF"),J28*Configurações!$B$16,IF(B28="OPCAO",J28*Configurações!$B$30)),2)</f>
        <v>0</v>
      </c>
      <c r="M28" s="14">
        <f>ROUNDDOWN(IF(OR(B28="ACAO",B28="DIR",B28="ETF"),J28*Configurações!$C$16,IF(B28="OPCAO",J28*Configurações!$C$30)),2)</f>
        <v>0</v>
      </c>
      <c r="N28" s="14">
        <f>ROUNDDOWN(IF(OR(B28="ACAO",B28="DIR",B28="ETF"),J28*Configurações!$D$16,IF(B28="OPCAO",J28*Configurações!$D$30)),2)</f>
        <v>0</v>
      </c>
      <c r="O28" s="11"/>
      <c r="P28" s="11"/>
      <c r="Q28" s="11"/>
      <c r="R28" s="15">
        <f t="shared" si="5"/>
        <v>0</v>
      </c>
      <c r="S28" s="11"/>
      <c r="T28" s="129" t="str">
        <f t="shared" si="6"/>
        <v>-</v>
      </c>
      <c r="U28" s="16">
        <f t="shared" si="4"/>
        <v>0</v>
      </c>
      <c r="V28" s="17">
        <f t="shared" si="7"/>
        <v>0</v>
      </c>
    </row>
    <row r="29" spans="2:22" ht="12.95" customHeight="1" x14ac:dyDescent="0.2">
      <c r="B29" s="49" t="s">
        <v>30</v>
      </c>
      <c r="C29" s="43"/>
      <c r="D29" s="11"/>
      <c r="E29" s="11"/>
      <c r="F29" s="11"/>
      <c r="G29" s="12">
        <f t="shared" si="0"/>
        <v>0</v>
      </c>
      <c r="H29" s="36">
        <f t="shared" si="1"/>
        <v>0</v>
      </c>
      <c r="I29" s="11"/>
      <c r="J29" s="14">
        <f t="shared" si="2"/>
        <v>0</v>
      </c>
      <c r="K29" s="14">
        <f t="shared" si="3"/>
        <v>0</v>
      </c>
      <c r="L29" s="14">
        <f>ROUNDDOWN(IF(OR(B29="ACAO",B29="DIR",B29="ETF"),J29*Configurações!$B$16,IF(B29="OPCAO",J29*Configurações!$B$30)),2)</f>
        <v>0</v>
      </c>
      <c r="M29" s="14">
        <f>ROUNDDOWN(IF(OR(B29="ACAO",B29="DIR",B29="ETF"),J29*Configurações!$C$16,IF(B29="OPCAO",J29*Configurações!$C$30)),2)</f>
        <v>0</v>
      </c>
      <c r="N29" s="14">
        <f>ROUNDDOWN(IF(OR(B29="ACAO",B29="DIR",B29="ETF"),J29*Configurações!$D$16,IF(B29="OPCAO",J29*Configurações!$D$30)),2)</f>
        <v>0</v>
      </c>
      <c r="O29" s="11"/>
      <c r="P29" s="11"/>
      <c r="Q29" s="11"/>
      <c r="R29" s="15">
        <f t="shared" si="5"/>
        <v>0</v>
      </c>
      <c r="S29" s="11"/>
      <c r="T29" s="129" t="str">
        <f t="shared" si="6"/>
        <v>-</v>
      </c>
      <c r="U29" s="16">
        <f t="shared" si="4"/>
        <v>0</v>
      </c>
      <c r="V29" s="17">
        <f t="shared" si="7"/>
        <v>0</v>
      </c>
    </row>
    <row r="30" spans="2:22" ht="12.95" customHeight="1" x14ac:dyDescent="0.2">
      <c r="B30" s="49" t="s">
        <v>30</v>
      </c>
      <c r="C30" s="43"/>
      <c r="D30" s="11"/>
      <c r="E30" s="11"/>
      <c r="F30" s="11"/>
      <c r="G30" s="12">
        <f t="shared" si="0"/>
        <v>0</v>
      </c>
      <c r="H30" s="36">
        <f t="shared" si="1"/>
        <v>0</v>
      </c>
      <c r="I30" s="11"/>
      <c r="J30" s="14">
        <f t="shared" si="2"/>
        <v>0</v>
      </c>
      <c r="K30" s="14">
        <f t="shared" si="3"/>
        <v>0</v>
      </c>
      <c r="L30" s="14">
        <f>ROUNDDOWN(IF(OR(B30="ACAO",B30="DIR",B30="ETF"),J30*Configurações!$B$16,IF(B30="OPCAO",J30*Configurações!$B$30)),2)</f>
        <v>0</v>
      </c>
      <c r="M30" s="14">
        <f>ROUNDDOWN(IF(OR(B30="ACAO",B30="DIR",B30="ETF"),J30*Configurações!$C$16,IF(B30="OPCAO",J30*Configurações!$C$30)),2)</f>
        <v>0</v>
      </c>
      <c r="N30" s="14">
        <f>ROUNDDOWN(IF(OR(B30="ACAO",B30="DIR",B30="ETF"),J30*Configurações!$D$16,IF(B30="OPCAO",J30*Configurações!$D$30)),2)</f>
        <v>0</v>
      </c>
      <c r="O30" s="11"/>
      <c r="P30" s="11"/>
      <c r="Q30" s="11"/>
      <c r="R30" s="15">
        <f t="shared" si="5"/>
        <v>0</v>
      </c>
      <c r="S30" s="11"/>
      <c r="T30" s="129" t="str">
        <f t="shared" si="6"/>
        <v>-</v>
      </c>
      <c r="U30" s="16">
        <f t="shared" si="4"/>
        <v>0</v>
      </c>
      <c r="V30" s="17">
        <f t="shared" si="7"/>
        <v>0</v>
      </c>
    </row>
    <row r="31" spans="2:22" ht="12.95" customHeight="1" x14ac:dyDescent="0.2">
      <c r="B31" s="49" t="s">
        <v>30</v>
      </c>
      <c r="C31" s="43"/>
      <c r="D31" s="11"/>
      <c r="E31" s="11"/>
      <c r="F31" s="11"/>
      <c r="G31" s="12">
        <f t="shared" si="0"/>
        <v>0</v>
      </c>
      <c r="H31" s="36">
        <f t="shared" si="1"/>
        <v>0</v>
      </c>
      <c r="I31" s="11"/>
      <c r="J31" s="14">
        <f t="shared" si="2"/>
        <v>0</v>
      </c>
      <c r="K31" s="14">
        <f t="shared" si="3"/>
        <v>0</v>
      </c>
      <c r="L31" s="14">
        <f>ROUNDDOWN(IF(OR(B31="ACAO",B31="DIR",B31="ETF"),J31*Configurações!$B$16,IF(B31="OPCAO",J31*Configurações!$B$30)),2)</f>
        <v>0</v>
      </c>
      <c r="M31" s="14">
        <f>ROUNDDOWN(IF(OR(B31="ACAO",B31="DIR",B31="ETF"),J31*Configurações!$C$16,IF(B31="OPCAO",J31*Configurações!$C$30)),2)</f>
        <v>0</v>
      </c>
      <c r="N31" s="14">
        <f>ROUNDDOWN(IF(OR(B31="ACAO",B31="DIR",B31="ETF"),J31*Configurações!$D$16,IF(B31="OPCAO",J31*Configurações!$D$30)),2)</f>
        <v>0</v>
      </c>
      <c r="O31" s="11"/>
      <c r="P31" s="11"/>
      <c r="Q31" s="11"/>
      <c r="R31" s="15">
        <f t="shared" si="5"/>
        <v>0</v>
      </c>
      <c r="S31" s="11"/>
      <c r="T31" s="129" t="str">
        <f t="shared" si="6"/>
        <v>-</v>
      </c>
      <c r="U31" s="16">
        <f t="shared" si="4"/>
        <v>0</v>
      </c>
      <c r="V31" s="17">
        <f t="shared" si="7"/>
        <v>0</v>
      </c>
    </row>
    <row r="32" spans="2:22" ht="12.95" customHeight="1" x14ac:dyDescent="0.2">
      <c r="B32" s="49" t="s">
        <v>30</v>
      </c>
      <c r="C32" s="43"/>
      <c r="D32" s="11"/>
      <c r="E32" s="11"/>
      <c r="F32" s="11"/>
      <c r="G32" s="12">
        <f t="shared" si="0"/>
        <v>0</v>
      </c>
      <c r="H32" s="36">
        <f t="shared" si="1"/>
        <v>0</v>
      </c>
      <c r="I32" s="11"/>
      <c r="J32" s="14">
        <f t="shared" si="2"/>
        <v>0</v>
      </c>
      <c r="K32" s="14">
        <f t="shared" si="3"/>
        <v>0</v>
      </c>
      <c r="L32" s="14">
        <f>ROUNDDOWN(IF(OR(B32="ACAO",B32="DIR",B32="ETF"),J32*Configurações!$B$16,IF(B32="OPCAO",J32*Configurações!$B$30)),2)</f>
        <v>0</v>
      </c>
      <c r="M32" s="14">
        <f>ROUNDDOWN(IF(OR(B32="ACAO",B32="DIR",B32="ETF"),J32*Configurações!$C$16,IF(B32="OPCAO",J32*Configurações!$C$30)),2)</f>
        <v>0</v>
      </c>
      <c r="N32" s="14">
        <f>ROUNDDOWN(IF(OR(B32="ACAO",B32="DIR",B32="ETF"),J32*Configurações!$D$16,IF(B32="OPCAO",J32*Configurações!$D$30)),2)</f>
        <v>0</v>
      </c>
      <c r="O32" s="11"/>
      <c r="P32" s="11"/>
      <c r="Q32" s="11"/>
      <c r="R32" s="15">
        <f t="shared" si="5"/>
        <v>0</v>
      </c>
      <c r="S32" s="11"/>
      <c r="T32" s="129" t="str">
        <f t="shared" si="6"/>
        <v>-</v>
      </c>
      <c r="U32" s="16">
        <f t="shared" si="4"/>
        <v>0</v>
      </c>
      <c r="V32" s="17">
        <f t="shared" si="7"/>
        <v>0</v>
      </c>
    </row>
    <row r="33" spans="2:22" ht="12.95" customHeight="1" x14ac:dyDescent="0.2">
      <c r="B33" s="49" t="s">
        <v>30</v>
      </c>
      <c r="C33" s="43"/>
      <c r="D33" s="11"/>
      <c r="E33" s="11"/>
      <c r="F33" s="11"/>
      <c r="G33" s="12">
        <f t="shared" si="0"/>
        <v>0</v>
      </c>
      <c r="H33" s="36">
        <f t="shared" si="1"/>
        <v>0</v>
      </c>
      <c r="I33" s="11"/>
      <c r="J33" s="14">
        <f t="shared" si="2"/>
        <v>0</v>
      </c>
      <c r="K33" s="14">
        <f t="shared" si="3"/>
        <v>0</v>
      </c>
      <c r="L33" s="14">
        <f>ROUNDDOWN(IF(OR(B33="ACAO",B33="DIR",B33="ETF"),J33*Configurações!$B$16,IF(B33="OPCAO",J33*Configurações!$B$30)),2)</f>
        <v>0</v>
      </c>
      <c r="M33" s="14">
        <f>ROUNDDOWN(IF(OR(B33="ACAO",B33="DIR",B33="ETF"),J33*Configurações!$C$16,IF(B33="OPCAO",J33*Configurações!$C$30)),2)</f>
        <v>0</v>
      </c>
      <c r="N33" s="14">
        <f>ROUNDDOWN(IF(OR(B33="ACAO",B33="DIR",B33="ETF"),J33*Configurações!$D$16,IF(B33="OPCAO",J33*Configurações!$D$30)),2)</f>
        <v>0</v>
      </c>
      <c r="O33" s="11"/>
      <c r="P33" s="11"/>
      <c r="Q33" s="11"/>
      <c r="R33" s="15">
        <f t="shared" si="5"/>
        <v>0</v>
      </c>
      <c r="S33" s="11"/>
      <c r="T33" s="129" t="str">
        <f t="shared" si="6"/>
        <v>-</v>
      </c>
      <c r="U33" s="16">
        <f t="shared" si="4"/>
        <v>0</v>
      </c>
      <c r="V33" s="17">
        <f t="shared" si="7"/>
        <v>0</v>
      </c>
    </row>
    <row r="34" spans="2:22" ht="12.95" customHeight="1" x14ac:dyDescent="0.2">
      <c r="B34" s="49" t="s">
        <v>30</v>
      </c>
      <c r="C34" s="43"/>
      <c r="D34" s="11"/>
      <c r="E34" s="11"/>
      <c r="F34" s="11"/>
      <c r="G34" s="12">
        <f t="shared" si="0"/>
        <v>0</v>
      </c>
      <c r="H34" s="36">
        <f t="shared" si="1"/>
        <v>0</v>
      </c>
      <c r="I34" s="11"/>
      <c r="J34" s="14">
        <f t="shared" si="2"/>
        <v>0</v>
      </c>
      <c r="K34" s="14">
        <f t="shared" si="3"/>
        <v>0</v>
      </c>
      <c r="L34" s="14">
        <f>ROUNDDOWN(IF(OR(B34="ACAO",B34="DIR",B34="ETF"),J34*Configurações!$B$16,IF(B34="OPCAO",J34*Configurações!$B$30)),2)</f>
        <v>0</v>
      </c>
      <c r="M34" s="14">
        <f>ROUNDDOWN(IF(OR(B34="ACAO",B34="DIR",B34="ETF"),J34*Configurações!$C$16,IF(B34="OPCAO",J34*Configurações!$C$30)),2)</f>
        <v>0</v>
      </c>
      <c r="N34" s="14">
        <f>ROUNDDOWN(IF(OR(B34="ACAO",B34="DIR",B34="ETF"),J34*Configurações!$D$16,IF(B34="OPCAO",J34*Configurações!$D$30)),2)</f>
        <v>0</v>
      </c>
      <c r="O34" s="11"/>
      <c r="P34" s="11"/>
      <c r="Q34" s="11"/>
      <c r="R34" s="15">
        <f t="shared" si="5"/>
        <v>0</v>
      </c>
      <c r="S34" s="11"/>
      <c r="T34" s="129" t="str">
        <f t="shared" si="6"/>
        <v>-</v>
      </c>
      <c r="U34" s="16">
        <f t="shared" si="4"/>
        <v>0</v>
      </c>
      <c r="V34" s="17">
        <f t="shared" si="7"/>
        <v>0</v>
      </c>
    </row>
    <row r="35" spans="2:22" ht="12.95" customHeight="1" x14ac:dyDescent="0.2">
      <c r="B35" s="49" t="s">
        <v>30</v>
      </c>
      <c r="C35" s="43"/>
      <c r="D35" s="11"/>
      <c r="E35" s="11"/>
      <c r="F35" s="11"/>
      <c r="G35" s="12">
        <f t="shared" ref="G35:G48" si="8">E35*F35</f>
        <v>0</v>
      </c>
      <c r="H35" s="36">
        <f t="shared" si="1"/>
        <v>0</v>
      </c>
      <c r="I35" s="11"/>
      <c r="J35" s="14">
        <f t="shared" ref="J35:J48" si="9">SUM(G35,K35)</f>
        <v>0</v>
      </c>
      <c r="K35" s="14">
        <f t="shared" ref="K35:K48" si="10">E35*I35</f>
        <v>0</v>
      </c>
      <c r="L35" s="14">
        <f>ROUNDDOWN(IF(OR(B35="ACAO",B35="DIR",B35="ETF"),J35*Configurações!$B$16,IF(B35="OPCAO",J35*Configurações!$B$30)),2)</f>
        <v>0</v>
      </c>
      <c r="M35" s="14">
        <f>ROUNDDOWN(IF(OR(B35="ACAO",B35="DIR",B35="ETF"),J35*Configurações!$C$16,IF(B35="OPCAO",J35*Configurações!$C$30)),2)</f>
        <v>0</v>
      </c>
      <c r="N35" s="14">
        <f>ROUNDDOWN(IF(OR(B35="ACAO",B35="DIR",B35="ETF"),J35*Configurações!$D$16,IF(B35="OPCAO",J35*Configurações!$D$30)),2)</f>
        <v>0</v>
      </c>
      <c r="O35" s="11"/>
      <c r="P35" s="11"/>
      <c r="Q35" s="11"/>
      <c r="R35" s="15">
        <f t="shared" si="5"/>
        <v>0</v>
      </c>
      <c r="S35" s="11"/>
      <c r="T35" s="129" t="str">
        <f t="shared" si="6"/>
        <v>-</v>
      </c>
      <c r="U35" s="16">
        <f t="shared" si="4"/>
        <v>0</v>
      </c>
      <c r="V35" s="17">
        <f t="shared" si="7"/>
        <v>0</v>
      </c>
    </row>
    <row r="36" spans="2:22" ht="12.95" customHeight="1" x14ac:dyDescent="0.2">
      <c r="B36" s="49" t="s">
        <v>30</v>
      </c>
      <c r="C36" s="43"/>
      <c r="D36" s="11"/>
      <c r="E36" s="11"/>
      <c r="F36" s="11"/>
      <c r="G36" s="12">
        <f t="shared" si="8"/>
        <v>0</v>
      </c>
      <c r="H36" s="36">
        <f t="shared" ref="H36:H48" si="11">C36</f>
        <v>0</v>
      </c>
      <c r="I36" s="11"/>
      <c r="J36" s="14">
        <f t="shared" si="9"/>
        <v>0</v>
      </c>
      <c r="K36" s="14">
        <f t="shared" si="10"/>
        <v>0</v>
      </c>
      <c r="L36" s="14">
        <f>ROUNDDOWN(IF(OR(B36="ACAO",B36="DIR",B36="ETF"),J36*Configurações!$B$16,IF(B36="OPCAO",J36*Configurações!$B$30)),2)</f>
        <v>0</v>
      </c>
      <c r="M36" s="14">
        <f>ROUNDDOWN(IF(OR(B36="ACAO",B36="DIR",B36="ETF"),J36*Configurações!$C$16,IF(B36="OPCAO",J36*Configurações!$C$30)),2)</f>
        <v>0</v>
      </c>
      <c r="N36" s="14">
        <f>ROUNDDOWN(IF(OR(B36="ACAO",B36="DIR",B36="ETF"),J36*Configurações!$D$16,IF(B36="OPCAO",J36*Configurações!$D$30)),2)</f>
        <v>0</v>
      </c>
      <c r="O36" s="11"/>
      <c r="P36" s="11"/>
      <c r="Q36" s="11"/>
      <c r="R36" s="15">
        <f t="shared" si="5"/>
        <v>0</v>
      </c>
      <c r="S36" s="11"/>
      <c r="T36" s="129" t="str">
        <f t="shared" si="6"/>
        <v>-</v>
      </c>
      <c r="U36" s="16">
        <f t="shared" si="4"/>
        <v>0</v>
      </c>
      <c r="V36" s="17">
        <f t="shared" si="7"/>
        <v>0</v>
      </c>
    </row>
    <row r="37" spans="2:22" ht="12.95" customHeight="1" x14ac:dyDescent="0.2">
      <c r="B37" s="49" t="s">
        <v>30</v>
      </c>
      <c r="C37" s="43"/>
      <c r="D37" s="11"/>
      <c r="E37" s="11"/>
      <c r="F37" s="11"/>
      <c r="G37" s="12">
        <f t="shared" si="8"/>
        <v>0</v>
      </c>
      <c r="H37" s="36">
        <f t="shared" si="11"/>
        <v>0</v>
      </c>
      <c r="I37" s="11"/>
      <c r="J37" s="14">
        <f t="shared" si="9"/>
        <v>0</v>
      </c>
      <c r="K37" s="14">
        <f t="shared" si="10"/>
        <v>0</v>
      </c>
      <c r="L37" s="14">
        <f>ROUNDDOWN(IF(OR(B37="ACAO",B37="DIR",B37="ETF"),J37*Configurações!$B$16,IF(B37="OPCAO",J37*Configurações!$B$30)),2)</f>
        <v>0</v>
      </c>
      <c r="M37" s="14">
        <f>ROUNDDOWN(IF(OR(B37="ACAO",B37="DIR",B37="ETF"),J37*Configurações!$C$16,IF(B37="OPCAO",J37*Configurações!$C$30)),2)</f>
        <v>0</v>
      </c>
      <c r="N37" s="14">
        <f>ROUNDDOWN(IF(OR(B37="ACAO",B37="DIR",B37="ETF"),J37*Configurações!$D$16,IF(B37="OPCAO",J37*Configurações!$D$30)),2)</f>
        <v>0</v>
      </c>
      <c r="O37" s="11"/>
      <c r="P37" s="11"/>
      <c r="Q37" s="11"/>
      <c r="R37" s="15">
        <f t="shared" si="5"/>
        <v>0</v>
      </c>
      <c r="S37" s="11"/>
      <c r="T37" s="129" t="str">
        <f t="shared" si="6"/>
        <v>-</v>
      </c>
      <c r="U37" s="16">
        <f t="shared" si="4"/>
        <v>0</v>
      </c>
      <c r="V37" s="17">
        <f t="shared" si="7"/>
        <v>0</v>
      </c>
    </row>
    <row r="38" spans="2:22" ht="12.95" customHeight="1" x14ac:dyDescent="0.2">
      <c r="B38" s="49" t="s">
        <v>30</v>
      </c>
      <c r="C38" s="43"/>
      <c r="D38" s="11"/>
      <c r="E38" s="11"/>
      <c r="F38" s="11"/>
      <c r="G38" s="12">
        <f t="shared" si="8"/>
        <v>0</v>
      </c>
      <c r="H38" s="36">
        <f t="shared" si="11"/>
        <v>0</v>
      </c>
      <c r="I38" s="11"/>
      <c r="J38" s="14">
        <f t="shared" si="9"/>
        <v>0</v>
      </c>
      <c r="K38" s="14">
        <f t="shared" si="10"/>
        <v>0</v>
      </c>
      <c r="L38" s="14">
        <f>ROUNDDOWN(IF(OR(B38="ACAO",B38="DIR",B38="ETF"),J38*Configurações!$B$16,IF(B38="OPCAO",J38*Configurações!$B$30)),2)</f>
        <v>0</v>
      </c>
      <c r="M38" s="14">
        <f>ROUNDDOWN(IF(OR(B38="ACAO",B38="DIR",B38="ETF"),J38*Configurações!$C$16,IF(B38="OPCAO",J38*Configurações!$C$30)),2)</f>
        <v>0</v>
      </c>
      <c r="N38" s="14">
        <f>ROUNDDOWN(IF(OR(B38="ACAO",B38="DIR",B38="ETF"),J38*Configurações!$D$16,IF(B38="OPCAO",J38*Configurações!$D$30)),2)</f>
        <v>0</v>
      </c>
      <c r="O38" s="11"/>
      <c r="P38" s="11"/>
      <c r="Q38" s="11"/>
      <c r="R38" s="15">
        <f t="shared" si="5"/>
        <v>0</v>
      </c>
      <c r="S38" s="11"/>
      <c r="T38" s="129" t="str">
        <f t="shared" si="6"/>
        <v>-</v>
      </c>
      <c r="U38" s="16">
        <f t="shared" si="4"/>
        <v>0</v>
      </c>
      <c r="V38" s="17">
        <f t="shared" si="7"/>
        <v>0</v>
      </c>
    </row>
    <row r="39" spans="2:22" ht="12.95" customHeight="1" x14ac:dyDescent="0.2">
      <c r="B39" s="49" t="s">
        <v>30</v>
      </c>
      <c r="C39" s="43"/>
      <c r="D39" s="11"/>
      <c r="E39" s="11"/>
      <c r="F39" s="11"/>
      <c r="G39" s="12">
        <f t="shared" si="8"/>
        <v>0</v>
      </c>
      <c r="H39" s="36">
        <f t="shared" si="11"/>
        <v>0</v>
      </c>
      <c r="I39" s="11"/>
      <c r="J39" s="14">
        <f t="shared" si="9"/>
        <v>0</v>
      </c>
      <c r="K39" s="14">
        <f t="shared" si="10"/>
        <v>0</v>
      </c>
      <c r="L39" s="14">
        <f>ROUNDDOWN(IF(OR(B39="ACAO",B39="DIR",B39="ETF"),J39*Configurações!$B$16,IF(B39="OPCAO",J39*Configurações!$B$30)),2)</f>
        <v>0</v>
      </c>
      <c r="M39" s="14">
        <f>ROUNDDOWN(IF(OR(B39="ACAO",B39="DIR",B39="ETF"),J39*Configurações!$C$16,IF(B39="OPCAO",J39*Configurações!$C$30)),2)</f>
        <v>0</v>
      </c>
      <c r="N39" s="14">
        <f>ROUNDDOWN(IF(OR(B39="ACAO",B39="DIR",B39="ETF"),J39*Configurações!$D$16,IF(B39="OPCAO",J39*Configurações!$D$30)),2)</f>
        <v>0</v>
      </c>
      <c r="O39" s="11"/>
      <c r="P39" s="11"/>
      <c r="Q39" s="11"/>
      <c r="R39" s="15">
        <f t="shared" si="5"/>
        <v>0</v>
      </c>
      <c r="S39" s="11"/>
      <c r="T39" s="129" t="str">
        <f t="shared" si="6"/>
        <v>-</v>
      </c>
      <c r="U39" s="16">
        <f t="shared" si="4"/>
        <v>0</v>
      </c>
      <c r="V39" s="17">
        <f t="shared" si="7"/>
        <v>0</v>
      </c>
    </row>
    <row r="40" spans="2:22" ht="12.95" customHeight="1" x14ac:dyDescent="0.2">
      <c r="B40" s="49" t="s">
        <v>30</v>
      </c>
      <c r="C40" s="43"/>
      <c r="D40" s="11"/>
      <c r="E40" s="11"/>
      <c r="F40" s="11"/>
      <c r="G40" s="12">
        <f t="shared" si="8"/>
        <v>0</v>
      </c>
      <c r="H40" s="36">
        <f t="shared" si="11"/>
        <v>0</v>
      </c>
      <c r="I40" s="11"/>
      <c r="J40" s="14">
        <f t="shared" si="9"/>
        <v>0</v>
      </c>
      <c r="K40" s="14">
        <f t="shared" si="10"/>
        <v>0</v>
      </c>
      <c r="L40" s="14">
        <f>ROUNDDOWN(IF(OR(B40="ACAO",B40="DIR",B40="ETF"),J40*Configurações!$B$16,IF(B40="OPCAO",J40*Configurações!$B$30)),2)</f>
        <v>0</v>
      </c>
      <c r="M40" s="14">
        <f>ROUNDDOWN(IF(OR(B40="ACAO",B40="DIR",B40="ETF"),J40*Configurações!$C$16,IF(B40="OPCAO",J40*Configurações!$C$30)),2)</f>
        <v>0</v>
      </c>
      <c r="N40" s="14">
        <f>ROUNDDOWN(IF(OR(B40="ACAO",B40="DIR",B40="ETF"),J40*Configurações!$D$16,IF(B40="OPCAO",J40*Configurações!$D$30)),2)</f>
        <v>0</v>
      </c>
      <c r="O40" s="11"/>
      <c r="P40" s="11"/>
      <c r="Q40" s="11"/>
      <c r="R40" s="15">
        <f t="shared" si="5"/>
        <v>0</v>
      </c>
      <c r="S40" s="11"/>
      <c r="T40" s="129" t="str">
        <f t="shared" si="6"/>
        <v>-</v>
      </c>
      <c r="U40" s="16">
        <f t="shared" si="4"/>
        <v>0</v>
      </c>
      <c r="V40" s="17">
        <f t="shared" si="7"/>
        <v>0</v>
      </c>
    </row>
    <row r="41" spans="2:22" ht="12.95" customHeight="1" x14ac:dyDescent="0.2">
      <c r="B41" s="49" t="s">
        <v>30</v>
      </c>
      <c r="C41" s="43"/>
      <c r="D41" s="11"/>
      <c r="E41" s="11"/>
      <c r="F41" s="11"/>
      <c r="G41" s="12">
        <f t="shared" si="8"/>
        <v>0</v>
      </c>
      <c r="H41" s="36">
        <f t="shared" si="11"/>
        <v>0</v>
      </c>
      <c r="I41" s="11"/>
      <c r="J41" s="14">
        <f t="shared" si="9"/>
        <v>0</v>
      </c>
      <c r="K41" s="14">
        <f t="shared" si="10"/>
        <v>0</v>
      </c>
      <c r="L41" s="14">
        <f>ROUNDDOWN(IF(OR(B41="ACAO",B41="DIR",B41="ETF"),J41*Configurações!$B$16,IF(B41="OPCAO",J41*Configurações!$B$30)),2)</f>
        <v>0</v>
      </c>
      <c r="M41" s="14">
        <f>ROUNDDOWN(IF(OR(B41="ACAO",B41="DIR",B41="ETF"),J41*Configurações!$C$16,IF(B41="OPCAO",J41*Configurações!$C$30)),2)</f>
        <v>0</v>
      </c>
      <c r="N41" s="14">
        <f>ROUNDDOWN(IF(OR(B41="ACAO",B41="DIR",B41="ETF"),J41*Configurações!$D$16,IF(B41="OPCAO",J41*Configurações!$D$30)),2)</f>
        <v>0</v>
      </c>
      <c r="O41" s="11"/>
      <c r="P41" s="11"/>
      <c r="Q41" s="11"/>
      <c r="R41" s="15">
        <f t="shared" si="5"/>
        <v>0</v>
      </c>
      <c r="S41" s="11"/>
      <c r="T41" s="129" t="str">
        <f t="shared" si="6"/>
        <v>-</v>
      </c>
      <c r="U41" s="16">
        <f t="shared" si="4"/>
        <v>0</v>
      </c>
      <c r="V41" s="17">
        <f t="shared" si="7"/>
        <v>0</v>
      </c>
    </row>
    <row r="42" spans="2:22" ht="12.95" customHeight="1" x14ac:dyDescent="0.2">
      <c r="B42" s="49" t="s">
        <v>30</v>
      </c>
      <c r="C42" s="43"/>
      <c r="D42" s="11"/>
      <c r="E42" s="11"/>
      <c r="F42" s="11"/>
      <c r="G42" s="12">
        <f t="shared" si="8"/>
        <v>0</v>
      </c>
      <c r="H42" s="36">
        <f t="shared" si="11"/>
        <v>0</v>
      </c>
      <c r="I42" s="11"/>
      <c r="J42" s="14">
        <f t="shared" si="9"/>
        <v>0</v>
      </c>
      <c r="K42" s="14">
        <f t="shared" si="10"/>
        <v>0</v>
      </c>
      <c r="L42" s="14">
        <f>ROUNDDOWN(IF(OR(B42="ACAO",B42="DIR",B42="ETF"),J42*Configurações!$B$16,IF(B42="OPCAO",J42*Configurações!$B$30)),2)</f>
        <v>0</v>
      </c>
      <c r="M42" s="14">
        <f>ROUNDDOWN(IF(OR(B42="ACAO",B42="DIR",B42="ETF"),J42*Configurações!$C$16,IF(B42="OPCAO",J42*Configurações!$C$30)),2)</f>
        <v>0</v>
      </c>
      <c r="N42" s="14">
        <f>ROUNDDOWN(IF(OR(B42="ACAO",B42="DIR",B42="ETF"),J42*Configurações!$D$16,IF(B42="OPCAO",J42*Configurações!$D$30)),2)</f>
        <v>0</v>
      </c>
      <c r="O42" s="11"/>
      <c r="P42" s="11"/>
      <c r="Q42" s="11"/>
      <c r="R42" s="15">
        <f t="shared" si="5"/>
        <v>0</v>
      </c>
      <c r="S42" s="11"/>
      <c r="T42" s="129" t="str">
        <f t="shared" si="6"/>
        <v>-</v>
      </c>
      <c r="U42" s="16">
        <f t="shared" si="4"/>
        <v>0</v>
      </c>
      <c r="V42" s="17">
        <f t="shared" si="7"/>
        <v>0</v>
      </c>
    </row>
    <row r="43" spans="2:22" ht="12.95" customHeight="1" x14ac:dyDescent="0.2">
      <c r="B43" s="49" t="s">
        <v>30</v>
      </c>
      <c r="C43" s="43"/>
      <c r="D43" s="11"/>
      <c r="E43" s="11"/>
      <c r="F43" s="11"/>
      <c r="G43" s="12">
        <f t="shared" si="8"/>
        <v>0</v>
      </c>
      <c r="H43" s="36">
        <f t="shared" si="11"/>
        <v>0</v>
      </c>
      <c r="I43" s="11"/>
      <c r="J43" s="14">
        <f t="shared" si="9"/>
        <v>0</v>
      </c>
      <c r="K43" s="14">
        <f t="shared" si="10"/>
        <v>0</v>
      </c>
      <c r="L43" s="14">
        <f>ROUNDDOWN(IF(OR(B43="ACAO",B43="DIR",B43="ETF"),J43*Configurações!$B$16,IF(B43="OPCAO",J43*Configurações!$B$30)),2)</f>
        <v>0</v>
      </c>
      <c r="M43" s="14">
        <f>ROUNDDOWN(IF(OR(B43="ACAO",B43="DIR",B43="ETF"),J43*Configurações!$C$16,IF(B43="OPCAO",J43*Configurações!$C$30)),2)</f>
        <v>0</v>
      </c>
      <c r="N43" s="14">
        <f>ROUNDDOWN(IF(OR(B43="ACAO",B43="DIR",B43="ETF"),J43*Configurações!$D$16,IF(B43="OPCAO",J43*Configurações!$D$30)),2)</f>
        <v>0</v>
      </c>
      <c r="O43" s="11"/>
      <c r="P43" s="11"/>
      <c r="Q43" s="11"/>
      <c r="R43" s="15">
        <f t="shared" si="5"/>
        <v>0</v>
      </c>
      <c r="S43" s="11"/>
      <c r="T43" s="129" t="str">
        <f t="shared" si="6"/>
        <v>-</v>
      </c>
      <c r="U43" s="16">
        <f t="shared" si="4"/>
        <v>0</v>
      </c>
      <c r="V43" s="17">
        <f t="shared" si="7"/>
        <v>0</v>
      </c>
    </row>
    <row r="44" spans="2:22" ht="12.95" customHeight="1" x14ac:dyDescent="0.2">
      <c r="B44" s="49" t="s">
        <v>30</v>
      </c>
      <c r="C44" s="43"/>
      <c r="D44" s="11"/>
      <c r="E44" s="11"/>
      <c r="F44" s="11"/>
      <c r="G44" s="12">
        <f t="shared" si="8"/>
        <v>0</v>
      </c>
      <c r="H44" s="36">
        <f t="shared" si="11"/>
        <v>0</v>
      </c>
      <c r="I44" s="11"/>
      <c r="J44" s="14">
        <f t="shared" si="9"/>
        <v>0</v>
      </c>
      <c r="K44" s="14">
        <f t="shared" si="10"/>
        <v>0</v>
      </c>
      <c r="L44" s="14">
        <f>ROUNDDOWN(IF(OR(B44="ACAO",B44="DIR",B44="ETF"),J44*Configurações!$B$16,IF(B44="OPCAO",J44*Configurações!$B$30)),2)</f>
        <v>0</v>
      </c>
      <c r="M44" s="14">
        <f>ROUNDDOWN(IF(OR(B44="ACAO",B44="DIR",B44="ETF"),J44*Configurações!$C$16,IF(B44="OPCAO",J44*Configurações!$C$30)),2)</f>
        <v>0</v>
      </c>
      <c r="N44" s="14">
        <f>ROUNDDOWN(IF(OR(B44="ACAO",B44="DIR",B44="ETF"),J44*Configurações!$D$16,IF(B44="OPCAO",J44*Configurações!$D$30)),2)</f>
        <v>0</v>
      </c>
      <c r="O44" s="11"/>
      <c r="P44" s="11"/>
      <c r="Q44" s="11"/>
      <c r="R44" s="15">
        <f t="shared" si="5"/>
        <v>0</v>
      </c>
      <c r="S44" s="11"/>
      <c r="T44" s="129" t="str">
        <f t="shared" si="6"/>
        <v>-</v>
      </c>
      <c r="U44" s="16">
        <f t="shared" si="4"/>
        <v>0</v>
      </c>
      <c r="V44" s="17">
        <f t="shared" si="7"/>
        <v>0</v>
      </c>
    </row>
    <row r="45" spans="2:22" ht="12.95" customHeight="1" x14ac:dyDescent="0.2">
      <c r="B45" s="49" t="s">
        <v>30</v>
      </c>
      <c r="C45" s="43"/>
      <c r="D45" s="11"/>
      <c r="E45" s="11"/>
      <c r="F45" s="11"/>
      <c r="G45" s="12">
        <f t="shared" si="8"/>
        <v>0</v>
      </c>
      <c r="H45" s="36">
        <f t="shared" si="11"/>
        <v>0</v>
      </c>
      <c r="I45" s="11"/>
      <c r="J45" s="14">
        <f t="shared" si="9"/>
        <v>0</v>
      </c>
      <c r="K45" s="14">
        <f t="shared" si="10"/>
        <v>0</v>
      </c>
      <c r="L45" s="14">
        <f>ROUNDDOWN(IF(OR(B45="ACAO",B45="DIR",B45="ETF"),J45*Configurações!$B$16,IF(B45="OPCAO",J45*Configurações!$B$30)),2)</f>
        <v>0</v>
      </c>
      <c r="M45" s="14">
        <f>ROUNDDOWN(IF(OR(B45="ACAO",B45="DIR",B45="ETF"),J45*Configurações!$C$16,IF(B45="OPCAO",J45*Configurações!$C$30)),2)</f>
        <v>0</v>
      </c>
      <c r="N45" s="14">
        <f>ROUNDDOWN(IF(OR(B45="ACAO",B45="DIR",B45="ETF"),J45*Configurações!$D$16,IF(B45="OPCAO",J45*Configurações!$D$30)),2)</f>
        <v>0</v>
      </c>
      <c r="O45" s="11"/>
      <c r="P45" s="11"/>
      <c r="Q45" s="11"/>
      <c r="R45" s="15">
        <f t="shared" si="5"/>
        <v>0</v>
      </c>
      <c r="S45" s="11"/>
      <c r="T45" s="129" t="str">
        <f t="shared" si="6"/>
        <v>-</v>
      </c>
      <c r="U45" s="16">
        <f t="shared" si="4"/>
        <v>0</v>
      </c>
      <c r="V45" s="17">
        <f t="shared" si="7"/>
        <v>0</v>
      </c>
    </row>
    <row r="46" spans="2:22" ht="12.95" customHeight="1" x14ac:dyDescent="0.2">
      <c r="B46" s="49" t="s">
        <v>30</v>
      </c>
      <c r="C46" s="43"/>
      <c r="D46" s="11"/>
      <c r="E46" s="11"/>
      <c r="F46" s="11"/>
      <c r="G46" s="12">
        <f t="shared" si="8"/>
        <v>0</v>
      </c>
      <c r="H46" s="36">
        <f t="shared" si="11"/>
        <v>0</v>
      </c>
      <c r="I46" s="11"/>
      <c r="J46" s="14">
        <f t="shared" si="9"/>
        <v>0</v>
      </c>
      <c r="K46" s="14">
        <f t="shared" si="10"/>
        <v>0</v>
      </c>
      <c r="L46" s="14">
        <f>ROUNDDOWN(IF(OR(B46="ACAO",B46="DIR",B46="ETF"),J46*Configurações!$B$16,IF(B46="OPCAO",J46*Configurações!$B$30)),2)</f>
        <v>0</v>
      </c>
      <c r="M46" s="14">
        <f>ROUNDDOWN(IF(OR(B46="ACAO",B46="DIR",B46="ETF"),J46*Configurações!$C$16,IF(B46="OPCAO",J46*Configurações!$C$30)),2)</f>
        <v>0</v>
      </c>
      <c r="N46" s="14">
        <f>ROUNDDOWN(IF(OR(B46="ACAO",B46="DIR",B46="ETF"),J46*Configurações!$D$16,IF(B46="OPCAO",J46*Configurações!$D$30)),2)</f>
        <v>0</v>
      </c>
      <c r="O46" s="11"/>
      <c r="P46" s="11"/>
      <c r="Q46" s="11"/>
      <c r="R46" s="15">
        <f t="shared" si="5"/>
        <v>0</v>
      </c>
      <c r="S46" s="11"/>
      <c r="T46" s="129" t="str">
        <f t="shared" si="6"/>
        <v>-</v>
      </c>
      <c r="U46" s="16">
        <f t="shared" si="4"/>
        <v>0</v>
      </c>
      <c r="V46" s="17">
        <f t="shared" si="7"/>
        <v>0</v>
      </c>
    </row>
    <row r="47" spans="2:22" ht="12.95" customHeight="1" x14ac:dyDescent="0.2">
      <c r="B47" s="49" t="s">
        <v>30</v>
      </c>
      <c r="C47" s="43"/>
      <c r="D47" s="11"/>
      <c r="E47" s="11"/>
      <c r="F47" s="11"/>
      <c r="G47" s="12">
        <f t="shared" si="8"/>
        <v>0</v>
      </c>
      <c r="H47" s="36">
        <f t="shared" si="11"/>
        <v>0</v>
      </c>
      <c r="I47" s="11"/>
      <c r="J47" s="14">
        <f t="shared" si="9"/>
        <v>0</v>
      </c>
      <c r="K47" s="14">
        <f t="shared" si="10"/>
        <v>0</v>
      </c>
      <c r="L47" s="14">
        <f>ROUNDDOWN(IF(OR(B47="ACAO",B47="DIR",B47="ETF"),J47*Configurações!$B$16,IF(B47="OPCAO",J47*Configurações!$B$30)),2)</f>
        <v>0</v>
      </c>
      <c r="M47" s="14">
        <f>ROUNDDOWN(IF(OR(B47="ACAO",B47="DIR",B47="ETF"),J47*Configurações!$C$16,IF(B47="OPCAO",J47*Configurações!$C$30)),2)</f>
        <v>0</v>
      </c>
      <c r="N47" s="14">
        <f>ROUNDDOWN(IF(OR(B47="ACAO",B47="DIR",B47="ETF"),J47*Configurações!$D$16,IF(B47="OPCAO",J47*Configurações!$D$30)),2)</f>
        <v>0</v>
      </c>
      <c r="O47" s="11"/>
      <c r="P47" s="11"/>
      <c r="Q47" s="11"/>
      <c r="R47" s="15">
        <f t="shared" si="5"/>
        <v>0</v>
      </c>
      <c r="S47" s="11"/>
      <c r="T47" s="129" t="str">
        <f t="shared" si="6"/>
        <v>-</v>
      </c>
      <c r="U47" s="16">
        <f t="shared" si="4"/>
        <v>0</v>
      </c>
      <c r="V47" s="17">
        <f t="shared" si="7"/>
        <v>0</v>
      </c>
    </row>
    <row r="48" spans="2:22" ht="12.95" customHeight="1" thickBot="1" x14ac:dyDescent="0.25">
      <c r="B48" s="52" t="s">
        <v>30</v>
      </c>
      <c r="C48" s="53"/>
      <c r="D48" s="54"/>
      <c r="E48" s="54"/>
      <c r="F48" s="54"/>
      <c r="G48" s="55">
        <f t="shared" si="8"/>
        <v>0</v>
      </c>
      <c r="H48" s="56">
        <f t="shared" si="11"/>
        <v>0</v>
      </c>
      <c r="I48" s="54"/>
      <c r="J48" s="21">
        <f t="shared" si="9"/>
        <v>0</v>
      </c>
      <c r="K48" s="59">
        <f t="shared" si="10"/>
        <v>0</v>
      </c>
      <c r="L48" s="21">
        <f>ROUNDDOWN(IF(OR(B48="ACAO",B48="DIR",B48="ETF"),J48*Configurações!$B$16,IF(B48="OPCAO",J48*Configurações!$B$30)),2)</f>
        <v>0</v>
      </c>
      <c r="M48" s="21">
        <f>ROUNDDOWN(IF(OR(B48="ACAO",B48="DIR",B48="ETF"),J48*Configurações!$C$16,IF(B48="OPCAO",J48*Configurações!$C$30)),2)</f>
        <v>0</v>
      </c>
      <c r="N48" s="21">
        <f>ROUNDDOWN(IF(OR(B48="ACAO",B48="DIR",B48="ETF"),J48*Configurações!$D$16,IF(B48="OPCAO",J48*Configurações!$D$30)),2)</f>
        <v>0</v>
      </c>
      <c r="O48" s="54"/>
      <c r="P48" s="54"/>
      <c r="Q48" s="54"/>
      <c r="R48" s="22">
        <f t="shared" si="5"/>
        <v>0</v>
      </c>
      <c r="S48" s="11"/>
      <c r="T48" s="130" t="str">
        <f t="shared" si="6"/>
        <v>-</v>
      </c>
      <c r="U48" s="57">
        <f t="shared" si="4"/>
        <v>0</v>
      </c>
      <c r="V48" s="24">
        <f t="shared" si="7"/>
        <v>0</v>
      </c>
    </row>
    <row r="49" spans="3:20" ht="12.95" customHeight="1" thickBot="1" x14ac:dyDescent="0.25">
      <c r="K49" s="58">
        <f>SUM(K8:K48)</f>
        <v>0</v>
      </c>
      <c r="L49" s="25"/>
      <c r="M49" s="25"/>
      <c r="N49" s="25"/>
      <c r="O49" s="25"/>
      <c r="R49" s="25"/>
      <c r="S49" s="41">
        <f>SUM(S8:S48)</f>
        <v>0</v>
      </c>
    </row>
    <row r="51" spans="3:20" ht="13.5" thickBot="1" x14ac:dyDescent="0.25">
      <c r="F51" s="25"/>
      <c r="G51" s="25"/>
      <c r="H51" s="25"/>
      <c r="I51" s="25"/>
      <c r="J51" s="25"/>
    </row>
    <row r="52" spans="3:20" ht="19.899999999999999" customHeight="1" x14ac:dyDescent="0.2">
      <c r="E52" s="314" t="s">
        <v>14</v>
      </c>
      <c r="F52" s="315"/>
      <c r="G52" s="315"/>
      <c r="H52" s="315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6"/>
    </row>
    <row r="53" spans="3:20" ht="19.899999999999999" customHeight="1" thickBot="1" x14ac:dyDescent="0.25">
      <c r="E53" s="317"/>
      <c r="F53" s="318"/>
      <c r="G53" s="318"/>
      <c r="H53" s="318"/>
      <c r="I53" s="318"/>
      <c r="J53" s="318"/>
      <c r="K53" s="318"/>
      <c r="L53" s="318"/>
      <c r="M53" s="318"/>
      <c r="N53" s="318"/>
      <c r="O53" s="318"/>
      <c r="P53" s="318"/>
      <c r="Q53" s="318"/>
      <c r="R53" s="318"/>
      <c r="S53" s="318"/>
      <c r="T53" s="319"/>
    </row>
    <row r="54" spans="3:20" ht="13.15" customHeight="1" x14ac:dyDescent="0.2">
      <c r="E54" s="275" t="s">
        <v>78</v>
      </c>
      <c r="F54" s="276"/>
      <c r="G54" s="276"/>
      <c r="H54" s="277"/>
      <c r="I54" s="284" t="s">
        <v>75</v>
      </c>
      <c r="J54" s="285"/>
      <c r="K54" s="285"/>
      <c r="L54" s="286"/>
      <c r="M54" s="344" t="s">
        <v>76</v>
      </c>
      <c r="N54" s="276"/>
      <c r="O54" s="276"/>
      <c r="P54" s="277"/>
      <c r="Q54" s="284" t="s">
        <v>77</v>
      </c>
      <c r="R54" s="285"/>
      <c r="S54" s="285"/>
      <c r="T54" s="347"/>
    </row>
    <row r="55" spans="3:20" ht="13.15" customHeight="1" x14ac:dyDescent="0.2">
      <c r="E55" s="278"/>
      <c r="F55" s="279"/>
      <c r="G55" s="279"/>
      <c r="H55" s="280"/>
      <c r="I55" s="287"/>
      <c r="J55" s="288"/>
      <c r="K55" s="288"/>
      <c r="L55" s="289"/>
      <c r="M55" s="345"/>
      <c r="N55" s="279"/>
      <c r="O55" s="279"/>
      <c r="P55" s="280"/>
      <c r="Q55" s="287"/>
      <c r="R55" s="288"/>
      <c r="S55" s="288"/>
      <c r="T55" s="348"/>
    </row>
    <row r="56" spans="3:20" ht="13.9" customHeight="1" thickBot="1" x14ac:dyDescent="0.25">
      <c r="E56" s="281"/>
      <c r="F56" s="282"/>
      <c r="G56" s="282"/>
      <c r="H56" s="283"/>
      <c r="I56" s="290"/>
      <c r="J56" s="291"/>
      <c r="K56" s="291"/>
      <c r="L56" s="292"/>
      <c r="M56" s="346"/>
      <c r="N56" s="282"/>
      <c r="O56" s="282"/>
      <c r="P56" s="283"/>
      <c r="Q56" s="290"/>
      <c r="R56" s="291"/>
      <c r="S56" s="291"/>
      <c r="T56" s="349"/>
    </row>
    <row r="57" spans="3:20" ht="13.15" customHeight="1" x14ac:dyDescent="0.2">
      <c r="C57" s="260" t="s">
        <v>43</v>
      </c>
      <c r="D57" s="261"/>
      <c r="E57" s="266">
        <f>SUMIF(B8:B48,"ACAO",R8:R48)</f>
        <v>0</v>
      </c>
      <c r="F57" s="267"/>
      <c r="G57" s="267"/>
      <c r="H57" s="268"/>
      <c r="I57" s="293">
        <f>SUMIF(B8:B48,"ETF",R8:R48)</f>
        <v>0</v>
      </c>
      <c r="J57" s="294"/>
      <c r="K57" s="294"/>
      <c r="L57" s="295"/>
      <c r="M57" s="308">
        <f>SUMIF(B8:B48,"DIR",R8:R48)</f>
        <v>0</v>
      </c>
      <c r="N57" s="267"/>
      <c r="O57" s="267"/>
      <c r="P57" s="268"/>
      <c r="Q57" s="293">
        <f>SUMIF(B8:B48,"OPCAO",R8:R48)</f>
        <v>0</v>
      </c>
      <c r="R57" s="294"/>
      <c r="S57" s="294"/>
      <c r="T57" s="311"/>
    </row>
    <row r="58" spans="3:20" ht="13.15" customHeight="1" x14ac:dyDescent="0.2">
      <c r="C58" s="262"/>
      <c r="D58" s="263"/>
      <c r="E58" s="269"/>
      <c r="F58" s="270"/>
      <c r="G58" s="270"/>
      <c r="H58" s="271"/>
      <c r="I58" s="296"/>
      <c r="J58" s="297"/>
      <c r="K58" s="297"/>
      <c r="L58" s="298"/>
      <c r="M58" s="309"/>
      <c r="N58" s="270"/>
      <c r="O58" s="270"/>
      <c r="P58" s="271"/>
      <c r="Q58" s="296"/>
      <c r="R58" s="297"/>
      <c r="S58" s="297"/>
      <c r="T58" s="312"/>
    </row>
    <row r="59" spans="3:20" ht="13.9" customHeight="1" thickBot="1" x14ac:dyDescent="0.25">
      <c r="C59" s="264"/>
      <c r="D59" s="265"/>
      <c r="E59" s="272"/>
      <c r="F59" s="273"/>
      <c r="G59" s="273"/>
      <c r="H59" s="274"/>
      <c r="I59" s="299"/>
      <c r="J59" s="300"/>
      <c r="K59" s="300"/>
      <c r="L59" s="301"/>
      <c r="M59" s="310"/>
      <c r="N59" s="273"/>
      <c r="O59" s="273"/>
      <c r="P59" s="274"/>
      <c r="Q59" s="299"/>
      <c r="R59" s="300"/>
      <c r="S59" s="300"/>
      <c r="T59" s="313"/>
    </row>
    <row r="60" spans="3:20" ht="13.15" customHeight="1" x14ac:dyDescent="0.2">
      <c r="C60" s="260" t="s">
        <v>79</v>
      </c>
      <c r="D60" s="261"/>
      <c r="E60" s="266">
        <f>SUMIF(B8:B48,"ACAO",K8:K48)</f>
        <v>0</v>
      </c>
      <c r="F60" s="267"/>
      <c r="G60" s="267"/>
      <c r="H60" s="268"/>
      <c r="I60" s="338"/>
      <c r="J60" s="338"/>
      <c r="K60" s="338"/>
      <c r="L60" s="338"/>
      <c r="M60" s="338"/>
      <c r="N60" s="338"/>
      <c r="O60" s="338"/>
      <c r="P60" s="338"/>
      <c r="Q60" s="338"/>
      <c r="R60" s="338"/>
      <c r="S60" s="338"/>
      <c r="T60" s="339"/>
    </row>
    <row r="61" spans="3:20" ht="13.15" customHeight="1" x14ac:dyDescent="0.2">
      <c r="C61" s="262"/>
      <c r="D61" s="263"/>
      <c r="E61" s="269"/>
      <c r="F61" s="270"/>
      <c r="G61" s="270"/>
      <c r="H61" s="271"/>
      <c r="I61" s="340"/>
      <c r="J61" s="340"/>
      <c r="K61" s="340"/>
      <c r="L61" s="340"/>
      <c r="M61" s="340"/>
      <c r="N61" s="340"/>
      <c r="O61" s="340"/>
      <c r="P61" s="340"/>
      <c r="Q61" s="340"/>
      <c r="R61" s="340"/>
      <c r="S61" s="340"/>
      <c r="T61" s="341"/>
    </row>
    <row r="62" spans="3:20" ht="13.9" customHeight="1" thickBot="1" x14ac:dyDescent="0.25">
      <c r="C62" s="264"/>
      <c r="D62" s="265"/>
      <c r="E62" s="272"/>
      <c r="F62" s="273"/>
      <c r="G62" s="273"/>
      <c r="H62" s="274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3"/>
    </row>
    <row r="63" spans="3:20" ht="13.15" customHeight="1" x14ac:dyDescent="0.2">
      <c r="C63" s="302" t="s">
        <v>80</v>
      </c>
      <c r="D63" s="303"/>
      <c r="E63" s="266">
        <f>SUMIF(B8:B48,"ACAO",L8:L48)+SUMIF(B8:B48,"ACAO",M8:M48)+SUMIF(B8:B48,"ACAO",N8:N48)</f>
        <v>0</v>
      </c>
      <c r="F63" s="267"/>
      <c r="G63" s="267"/>
      <c r="H63" s="268"/>
      <c r="I63" s="293">
        <f>SUMIF(B8:B48,"ETF",L8:L48)+SUMIF(B8:B48,"ETF",M8:M48)+SUMIF(B8:B48,"ETF",N8:N48)</f>
        <v>0</v>
      </c>
      <c r="J63" s="294"/>
      <c r="K63" s="294"/>
      <c r="L63" s="295"/>
      <c r="M63" s="308">
        <f>SUMIF(B8:B48,"DIR",L8:L48)+SUMIF(B8:B48,"DIR",M8:M48)+SUMIF(B8:B48,"DIR",N8:N48)</f>
        <v>0</v>
      </c>
      <c r="N63" s="267"/>
      <c r="O63" s="267"/>
      <c r="P63" s="268"/>
      <c r="Q63" s="293">
        <f>SUMIF(B8:B48,"OPCAO",L8:L48)+SUMIF(B8:B48,"OPCAO",M8:M48)+SUMIF(B8:B48,"OPCAO",N8:N48)</f>
        <v>0</v>
      </c>
      <c r="R63" s="294"/>
      <c r="S63" s="294"/>
      <c r="T63" s="311"/>
    </row>
    <row r="64" spans="3:20" ht="13.15" customHeight="1" x14ac:dyDescent="0.2">
      <c r="C64" s="304"/>
      <c r="D64" s="305"/>
      <c r="E64" s="269"/>
      <c r="F64" s="270"/>
      <c r="G64" s="270"/>
      <c r="H64" s="271"/>
      <c r="I64" s="296"/>
      <c r="J64" s="297"/>
      <c r="K64" s="297"/>
      <c r="L64" s="298"/>
      <c r="M64" s="309"/>
      <c r="N64" s="270"/>
      <c r="O64" s="270"/>
      <c r="P64" s="271"/>
      <c r="Q64" s="296"/>
      <c r="R64" s="297"/>
      <c r="S64" s="297"/>
      <c r="T64" s="312"/>
    </row>
    <row r="65" spans="3:20" ht="13.9" customHeight="1" thickBot="1" x14ac:dyDescent="0.25">
      <c r="C65" s="306"/>
      <c r="D65" s="307"/>
      <c r="E65" s="272"/>
      <c r="F65" s="273"/>
      <c r="G65" s="273"/>
      <c r="H65" s="274"/>
      <c r="I65" s="299"/>
      <c r="J65" s="300"/>
      <c r="K65" s="300"/>
      <c r="L65" s="301"/>
      <c r="M65" s="310"/>
      <c r="N65" s="273"/>
      <c r="O65" s="273"/>
      <c r="P65" s="274"/>
      <c r="Q65" s="299"/>
      <c r="R65" s="300"/>
      <c r="S65" s="300"/>
      <c r="T65" s="313"/>
    </row>
    <row r="66" spans="3:20" ht="13.15" customHeight="1" x14ac:dyDescent="0.2">
      <c r="C66" s="302" t="s">
        <v>50</v>
      </c>
      <c r="D66" s="303"/>
      <c r="E66" s="266">
        <f>SUMIF(B8:B48,"ACAO",O8:O48)+SUMIF(B8:B48,"ACAO",P8:P48)</f>
        <v>0</v>
      </c>
      <c r="F66" s="267"/>
      <c r="G66" s="267"/>
      <c r="H66" s="268"/>
      <c r="I66" s="293">
        <f>SUMIF(B8:B48,"ETF",O8:O48)+SUMIF(B8:B48,"ETF",P8:P48)</f>
        <v>0</v>
      </c>
      <c r="J66" s="294"/>
      <c r="K66" s="294"/>
      <c r="L66" s="295"/>
      <c r="M66" s="308">
        <f>SUMIF(B8:B48,"DIR",O8:O48)+SUMIF(B8:B48,"DIR",P8:P48)</f>
        <v>0</v>
      </c>
      <c r="N66" s="267"/>
      <c r="O66" s="267"/>
      <c r="P66" s="268"/>
      <c r="Q66" s="293">
        <f>SUMIF(B8:B48,"OPCAO",O8:O48)+SUMIF(B8:B48,"OPCAO",P8:P48)</f>
        <v>0</v>
      </c>
      <c r="R66" s="294"/>
      <c r="S66" s="294"/>
      <c r="T66" s="311"/>
    </row>
    <row r="67" spans="3:20" ht="13.15" customHeight="1" x14ac:dyDescent="0.2">
      <c r="C67" s="304"/>
      <c r="D67" s="305"/>
      <c r="E67" s="269"/>
      <c r="F67" s="270"/>
      <c r="G67" s="270"/>
      <c r="H67" s="271"/>
      <c r="I67" s="296"/>
      <c r="J67" s="297"/>
      <c r="K67" s="297"/>
      <c r="L67" s="298"/>
      <c r="M67" s="309"/>
      <c r="N67" s="270"/>
      <c r="O67" s="270"/>
      <c r="P67" s="271"/>
      <c r="Q67" s="296"/>
      <c r="R67" s="297"/>
      <c r="S67" s="297"/>
      <c r="T67" s="312"/>
    </row>
    <row r="68" spans="3:20" ht="13.9" customHeight="1" thickBot="1" x14ac:dyDescent="0.25">
      <c r="C68" s="306"/>
      <c r="D68" s="307"/>
      <c r="E68" s="272"/>
      <c r="F68" s="273"/>
      <c r="G68" s="273"/>
      <c r="H68" s="274"/>
      <c r="I68" s="299"/>
      <c r="J68" s="300"/>
      <c r="K68" s="300"/>
      <c r="L68" s="301"/>
      <c r="M68" s="310"/>
      <c r="N68" s="273"/>
      <c r="O68" s="273"/>
      <c r="P68" s="274"/>
      <c r="Q68" s="299"/>
      <c r="R68" s="300"/>
      <c r="S68" s="300"/>
      <c r="T68" s="313"/>
    </row>
    <row r="69" spans="3:20" ht="13.5" thickBot="1" x14ac:dyDescent="0.25"/>
    <row r="70" spans="3:20" ht="13.15" customHeight="1" x14ac:dyDescent="0.2">
      <c r="E70" s="320" t="s">
        <v>84</v>
      </c>
      <c r="F70" s="321"/>
      <c r="G70" s="322"/>
      <c r="H70" s="362" t="s">
        <v>81</v>
      </c>
      <c r="I70" s="329" t="s">
        <v>85</v>
      </c>
      <c r="J70" s="330"/>
      <c r="K70" s="331"/>
      <c r="L70" s="362" t="s">
        <v>82</v>
      </c>
      <c r="M70" s="320" t="s">
        <v>83</v>
      </c>
      <c r="N70" s="321"/>
      <c r="O70" s="322"/>
    </row>
    <row r="71" spans="3:20" ht="13.15" customHeight="1" x14ac:dyDescent="0.2">
      <c r="E71" s="323"/>
      <c r="F71" s="324"/>
      <c r="G71" s="325"/>
      <c r="H71" s="362"/>
      <c r="I71" s="332"/>
      <c r="J71" s="333"/>
      <c r="K71" s="334"/>
      <c r="L71" s="362"/>
      <c r="M71" s="323"/>
      <c r="N71" s="324"/>
      <c r="O71" s="325"/>
    </row>
    <row r="72" spans="3:20" ht="13.9" customHeight="1" thickBot="1" x14ac:dyDescent="0.25">
      <c r="E72" s="326"/>
      <c r="F72" s="327"/>
      <c r="G72" s="328"/>
      <c r="H72" s="362"/>
      <c r="I72" s="335"/>
      <c r="J72" s="336"/>
      <c r="K72" s="337"/>
      <c r="L72" s="362"/>
      <c r="M72" s="326"/>
      <c r="N72" s="327"/>
      <c r="O72" s="328"/>
    </row>
    <row r="73" spans="3:20" ht="13.15" customHeight="1" x14ac:dyDescent="0.2">
      <c r="E73" s="350">
        <f>E57</f>
        <v>0</v>
      </c>
      <c r="F73" s="351"/>
      <c r="G73" s="352"/>
      <c r="H73" s="362"/>
      <c r="I73" s="266">
        <f>I57+M57+Q57</f>
        <v>0</v>
      </c>
      <c r="J73" s="267"/>
      <c r="K73" s="359"/>
      <c r="L73" s="362"/>
      <c r="M73" s="269">
        <f>E73+I73+A73</f>
        <v>0</v>
      </c>
      <c r="N73" s="270"/>
      <c r="O73" s="360"/>
    </row>
    <row r="74" spans="3:20" ht="13.15" customHeight="1" x14ac:dyDescent="0.2">
      <c r="E74" s="353"/>
      <c r="F74" s="354"/>
      <c r="G74" s="355"/>
      <c r="H74" s="362"/>
      <c r="I74" s="269"/>
      <c r="J74" s="270"/>
      <c r="K74" s="360"/>
      <c r="L74" s="362"/>
      <c r="M74" s="269"/>
      <c r="N74" s="270"/>
      <c r="O74" s="360"/>
    </row>
    <row r="75" spans="3:20" ht="13.9" customHeight="1" thickBot="1" x14ac:dyDescent="0.25">
      <c r="E75" s="356"/>
      <c r="F75" s="357"/>
      <c r="G75" s="358"/>
      <c r="H75" s="362"/>
      <c r="I75" s="272"/>
      <c r="J75" s="273"/>
      <c r="K75" s="361"/>
      <c r="L75" s="362"/>
      <c r="M75" s="272"/>
      <c r="N75" s="273"/>
      <c r="O75" s="361"/>
    </row>
    <row r="85" spans="2:2" hidden="1" x14ac:dyDescent="0.2">
      <c r="B85" s="1" t="s">
        <v>30</v>
      </c>
    </row>
    <row r="86" spans="2:2" hidden="1" x14ac:dyDescent="0.2">
      <c r="B86" s="1" t="s">
        <v>88</v>
      </c>
    </row>
    <row r="87" spans="2:2" hidden="1" x14ac:dyDescent="0.2">
      <c r="B87" s="1" t="s">
        <v>89</v>
      </c>
    </row>
    <row r="88" spans="2:2" hidden="1" x14ac:dyDescent="0.2">
      <c r="B88" s="1" t="s">
        <v>90</v>
      </c>
    </row>
  </sheetData>
  <sheetProtection selectLockedCells="1" selectUnlockedCells="1"/>
  <mergeCells count="57">
    <mergeCell ref="E70:G72"/>
    <mergeCell ref="H70:H75"/>
    <mergeCell ref="I70:K72"/>
    <mergeCell ref="L70:L75"/>
    <mergeCell ref="M70:O72"/>
    <mergeCell ref="E73:G75"/>
    <mergeCell ref="I73:K75"/>
    <mergeCell ref="M73:O75"/>
    <mergeCell ref="C66:D68"/>
    <mergeCell ref="E66:H68"/>
    <mergeCell ref="I66:L68"/>
    <mergeCell ref="M66:P68"/>
    <mergeCell ref="Q66:T68"/>
    <mergeCell ref="Q57:T59"/>
    <mergeCell ref="C63:D65"/>
    <mergeCell ref="E63:H65"/>
    <mergeCell ref="I63:L65"/>
    <mergeCell ref="M63:P65"/>
    <mergeCell ref="Q63:T65"/>
    <mergeCell ref="K6:K7"/>
    <mergeCell ref="N6:N7"/>
    <mergeCell ref="O6:O7"/>
    <mergeCell ref="P6:P7"/>
    <mergeCell ref="C60:D62"/>
    <mergeCell ref="E60:H62"/>
    <mergeCell ref="I60:T62"/>
    <mergeCell ref="E52:T53"/>
    <mergeCell ref="E54:H56"/>
    <mergeCell ref="I54:L56"/>
    <mergeCell ref="M54:P56"/>
    <mergeCell ref="Q54:T56"/>
    <mergeCell ref="C57:D59"/>
    <mergeCell ref="E57:H59"/>
    <mergeCell ref="I57:L59"/>
    <mergeCell ref="M57:P59"/>
    <mergeCell ref="R2:U3"/>
    <mergeCell ref="R6:R7"/>
    <mergeCell ref="E6:E7"/>
    <mergeCell ref="F6:F7"/>
    <mergeCell ref="G6:G7"/>
    <mergeCell ref="H6:H7"/>
    <mergeCell ref="I6:I7"/>
    <mergeCell ref="J6:J7"/>
    <mergeCell ref="M6:M7"/>
    <mergeCell ref="L6:L7"/>
    <mergeCell ref="B2:E2"/>
    <mergeCell ref="B5:F5"/>
    <mergeCell ref="G2:P3"/>
    <mergeCell ref="B6:B7"/>
    <mergeCell ref="C6:C7"/>
    <mergeCell ref="D6:D7"/>
    <mergeCell ref="W6:W7"/>
    <mergeCell ref="Q6:Q7"/>
    <mergeCell ref="S6:S7"/>
    <mergeCell ref="T6:T7"/>
    <mergeCell ref="U6:U7"/>
    <mergeCell ref="V6:V7"/>
  </mergeCells>
  <conditionalFormatting sqref="R8:R48">
    <cfRule type="cellIs" dxfId="12" priority="10" stopIfTrue="1" operator="greaterThan">
      <formula>0</formula>
    </cfRule>
  </conditionalFormatting>
  <conditionalFormatting sqref="R8:R48">
    <cfRule type="cellIs" dxfId="11" priority="9" stopIfTrue="1" operator="lessThan">
      <formula>0</formula>
    </cfRule>
  </conditionalFormatting>
  <conditionalFormatting sqref="E57:T57">
    <cfRule type="cellIs" dxfId="10" priority="1" stopIfTrue="1" operator="lessThan">
      <formula>0</formula>
    </cfRule>
    <cfRule type="cellIs" dxfId="9" priority="2" stopIfTrue="1" operator="greaterThan">
      <formula>0</formula>
    </cfRule>
  </conditionalFormatting>
  <dataValidations count="1">
    <dataValidation type="list" allowBlank="1" showInputMessage="1" showErrorMessage="1" errorTitle="Inválido" promptTitle="Selecione" prompt="Selecione o Tipo de ativo" sqref="B8:B48">
      <formula1>$B$85:$B$88</formula1>
    </dataValidation>
  </dataValidations>
  <pageMargins left="0.39370078740157483" right="0.39370078740157483" top="0.39370078740157483" bottom="0.39370078740157483" header="0.39370078740157483" footer="0.39370078740157483"/>
  <pageSetup paperSize="9" scale="52" orientation="landscape" useFirstPageNumber="1" horizontalDpi="300" verticalDpi="300" r:id="rId1"/>
  <headerFooter alignWithMargins="0">
    <oddHeader>&amp;C&amp;A</oddHeader>
    <oddFooter>&amp;CPágina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Q80"/>
  <sheetViews>
    <sheetView zoomScale="70" zoomScaleNormal="70" workbookViewId="0">
      <pane ySplit="24" topLeftCell="A25" activePane="bottomLeft" state="frozen"/>
      <selection pane="bottomLeft" activeCell="B6" sqref="B6"/>
    </sheetView>
  </sheetViews>
  <sheetFormatPr defaultColWidth="11.5703125" defaultRowHeight="12.75" x14ac:dyDescent="0.2"/>
  <cols>
    <col min="1" max="1" width="11.5703125" style="62" customWidth="1"/>
    <col min="2" max="17" width="17.28515625" style="62" customWidth="1"/>
    <col min="18" max="18" width="15.7109375" style="62" customWidth="1"/>
    <col min="19" max="16384" width="11.5703125" style="62"/>
  </cols>
  <sheetData>
    <row r="2" spans="2:17" ht="13.5" thickBot="1" x14ac:dyDescent="0.25"/>
    <row r="3" spans="2:17" ht="12.75" customHeight="1" x14ac:dyDescent="0.25">
      <c r="B3" s="369" t="s">
        <v>70</v>
      </c>
      <c r="C3" s="370"/>
      <c r="D3" s="370"/>
      <c r="E3" s="370"/>
      <c r="F3" s="370"/>
      <c r="G3" s="370"/>
      <c r="H3" s="370"/>
      <c r="I3" s="370"/>
      <c r="J3" s="370"/>
      <c r="K3" s="370"/>
      <c r="L3" s="370"/>
      <c r="M3" s="370"/>
      <c r="N3" s="370"/>
      <c r="O3" s="371"/>
      <c r="P3" s="64"/>
      <c r="Q3" s="64"/>
    </row>
    <row r="4" spans="2:17" ht="12.75" customHeight="1" x14ac:dyDescent="0.25">
      <c r="B4" s="372"/>
      <c r="C4" s="373"/>
      <c r="D4" s="373"/>
      <c r="E4" s="373"/>
      <c r="F4" s="373"/>
      <c r="G4" s="373"/>
      <c r="H4" s="373"/>
      <c r="I4" s="373"/>
      <c r="J4" s="373"/>
      <c r="K4" s="373"/>
      <c r="L4" s="373"/>
      <c r="M4" s="373"/>
      <c r="N4" s="373"/>
      <c r="O4" s="374"/>
      <c r="P4" s="64"/>
      <c r="Q4" s="64"/>
    </row>
    <row r="5" spans="2:17" ht="12.75" customHeight="1" thickBot="1" x14ac:dyDescent="0.3">
      <c r="B5" s="375"/>
      <c r="C5" s="376"/>
      <c r="D5" s="376"/>
      <c r="E5" s="376"/>
      <c r="F5" s="376"/>
      <c r="G5" s="376"/>
      <c r="H5" s="376"/>
      <c r="I5" s="376"/>
      <c r="J5" s="376"/>
      <c r="K5" s="376"/>
      <c r="L5" s="376"/>
      <c r="M5" s="376"/>
      <c r="N5" s="376"/>
      <c r="O5" s="377"/>
      <c r="P5" s="64"/>
      <c r="Q5" s="64"/>
    </row>
    <row r="6" spans="2:17" ht="14.25" thickBot="1" x14ac:dyDescent="0.3"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</row>
    <row r="7" spans="2:17" ht="15.75" thickBot="1" x14ac:dyDescent="0.3">
      <c r="B7" s="430" t="s">
        <v>11</v>
      </c>
      <c r="C7" s="431"/>
      <c r="D7" s="431"/>
      <c r="E7" s="432"/>
      <c r="F7" s="64"/>
      <c r="G7" s="64"/>
      <c r="H7" s="64"/>
      <c r="I7" s="64"/>
      <c r="J7" s="64"/>
      <c r="K7" s="64"/>
      <c r="L7" s="64"/>
      <c r="M7" s="64"/>
      <c r="N7" s="64"/>
      <c r="O7" s="64"/>
      <c r="P7" s="69"/>
      <c r="Q7" s="64"/>
    </row>
    <row r="8" spans="2:17" ht="15.75" thickBot="1" x14ac:dyDescent="0.3">
      <c r="B8" s="98" t="s">
        <v>0</v>
      </c>
      <c r="C8" s="99">
        <f>'Operações Normais'!C3</f>
        <v>6</v>
      </c>
      <c r="D8" s="98" t="s">
        <v>1</v>
      </c>
      <c r="E8" s="100">
        <f>'Operações Normais'!E3</f>
        <v>2020</v>
      </c>
      <c r="F8" s="64"/>
      <c r="G8" s="64"/>
      <c r="I8" s="64"/>
      <c r="J8" s="64"/>
      <c r="K8" s="64"/>
      <c r="L8" s="64"/>
      <c r="M8" s="64"/>
      <c r="N8" s="64"/>
      <c r="O8" s="64"/>
      <c r="P8" s="69"/>
      <c r="Q8" s="64"/>
    </row>
    <row r="9" spans="2:17" ht="13.5" x14ac:dyDescent="0.25"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</row>
    <row r="10" spans="2:17" ht="13.5" customHeight="1" x14ac:dyDescent="0.25">
      <c r="B10" s="433" t="s">
        <v>56</v>
      </c>
      <c r="C10" s="434"/>
      <c r="D10" s="434"/>
      <c r="E10" s="435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</row>
    <row r="11" spans="2:17" ht="13.5" customHeight="1" x14ac:dyDescent="0.25">
      <c r="B11" s="436"/>
      <c r="C11" s="437"/>
      <c r="D11" s="437"/>
      <c r="E11" s="438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</row>
    <row r="12" spans="2:17" ht="15.95" customHeight="1" x14ac:dyDescent="0.2">
      <c r="B12" s="68" t="s">
        <v>104</v>
      </c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</row>
    <row r="13" spans="2:17" ht="15.95" customHeight="1" x14ac:dyDescent="0.2">
      <c r="B13" s="68" t="s">
        <v>110</v>
      </c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</row>
    <row r="14" spans="2:17" ht="15.95" customHeight="1" x14ac:dyDescent="0.2">
      <c r="B14" s="68" t="s">
        <v>71</v>
      </c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</row>
    <row r="15" spans="2:17" ht="15.95" customHeight="1" x14ac:dyDescent="0.2">
      <c r="B15" s="68" t="s">
        <v>106</v>
      </c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</row>
    <row r="16" spans="2:17" ht="15.95" customHeight="1" x14ac:dyDescent="0.2">
      <c r="B16" s="68" t="s">
        <v>107</v>
      </c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</row>
    <row r="17" spans="2:17" ht="15" x14ac:dyDescent="0.2">
      <c r="B17" s="68" t="s">
        <v>108</v>
      </c>
    </row>
    <row r="18" spans="2:17" ht="13.5" thickBot="1" x14ac:dyDescent="0.25"/>
    <row r="19" spans="2:17" ht="12.75" customHeight="1" x14ac:dyDescent="0.25">
      <c r="B19" s="64"/>
      <c r="C19" s="64"/>
      <c r="D19" s="463" t="s">
        <v>63</v>
      </c>
      <c r="E19" s="464"/>
      <c r="F19" s="469" t="s">
        <v>64</v>
      </c>
      <c r="G19" s="470"/>
      <c r="H19" s="448" t="s">
        <v>169</v>
      </c>
      <c r="I19" s="449"/>
      <c r="J19" s="449"/>
      <c r="K19" s="449"/>
      <c r="L19" s="449"/>
      <c r="M19" s="449"/>
      <c r="N19" s="378" t="s">
        <v>168</v>
      </c>
      <c r="O19" s="378" t="s">
        <v>112</v>
      </c>
      <c r="P19" s="454" t="s">
        <v>111</v>
      </c>
      <c r="Q19" s="439" t="s">
        <v>66</v>
      </c>
    </row>
    <row r="20" spans="2:17" ht="12.75" customHeight="1" x14ac:dyDescent="0.25">
      <c r="B20" s="64"/>
      <c r="C20" s="64"/>
      <c r="D20" s="465"/>
      <c r="E20" s="466"/>
      <c r="F20" s="471"/>
      <c r="G20" s="472"/>
      <c r="H20" s="450"/>
      <c r="I20" s="451"/>
      <c r="J20" s="451"/>
      <c r="K20" s="451"/>
      <c r="L20" s="451"/>
      <c r="M20" s="451"/>
      <c r="N20" s="379"/>
      <c r="O20" s="379"/>
      <c r="P20" s="455"/>
      <c r="Q20" s="440"/>
    </row>
    <row r="21" spans="2:17" ht="13.5" customHeight="1" thickBot="1" x14ac:dyDescent="0.3">
      <c r="B21" s="64"/>
      <c r="C21" s="64"/>
      <c r="D21" s="467"/>
      <c r="E21" s="468"/>
      <c r="F21" s="473"/>
      <c r="G21" s="474"/>
      <c r="H21" s="452"/>
      <c r="I21" s="453"/>
      <c r="J21" s="453"/>
      <c r="K21" s="453"/>
      <c r="L21" s="453"/>
      <c r="M21" s="453"/>
      <c r="N21" s="379"/>
      <c r="O21" s="379"/>
      <c r="P21" s="455"/>
      <c r="Q21" s="440"/>
    </row>
    <row r="22" spans="2:17" s="63" customFormat="1" ht="20.100000000000001" customHeight="1" x14ac:dyDescent="0.25">
      <c r="B22" s="457" t="s">
        <v>67</v>
      </c>
      <c r="C22" s="460" t="s">
        <v>4</v>
      </c>
      <c r="D22" s="445" t="s">
        <v>41</v>
      </c>
      <c r="E22" s="414" t="s">
        <v>39</v>
      </c>
      <c r="F22" s="420" t="s">
        <v>40</v>
      </c>
      <c r="G22" s="417" t="s">
        <v>42</v>
      </c>
      <c r="H22" s="457" t="s">
        <v>50</v>
      </c>
      <c r="I22" s="387" t="s">
        <v>3</v>
      </c>
      <c r="J22" s="387" t="s">
        <v>51</v>
      </c>
      <c r="K22" s="387" t="s">
        <v>65</v>
      </c>
      <c r="L22" s="460" t="s">
        <v>52</v>
      </c>
      <c r="M22" s="460" t="s">
        <v>47</v>
      </c>
      <c r="N22" s="379"/>
      <c r="O22" s="379"/>
      <c r="P22" s="455"/>
      <c r="Q22" s="440"/>
    </row>
    <row r="23" spans="2:17" s="63" customFormat="1" ht="20.100000000000001" customHeight="1" x14ac:dyDescent="0.25">
      <c r="B23" s="458"/>
      <c r="C23" s="461"/>
      <c r="D23" s="446"/>
      <c r="E23" s="415"/>
      <c r="F23" s="421"/>
      <c r="G23" s="418"/>
      <c r="H23" s="458"/>
      <c r="I23" s="388"/>
      <c r="J23" s="388"/>
      <c r="K23" s="388"/>
      <c r="L23" s="461"/>
      <c r="M23" s="461"/>
      <c r="N23" s="379"/>
      <c r="O23" s="379"/>
      <c r="P23" s="455"/>
      <c r="Q23" s="440"/>
    </row>
    <row r="24" spans="2:17" s="63" customFormat="1" ht="20.100000000000001" customHeight="1" thickBot="1" x14ac:dyDescent="0.3">
      <c r="B24" s="459"/>
      <c r="C24" s="462"/>
      <c r="D24" s="447"/>
      <c r="E24" s="416"/>
      <c r="F24" s="422"/>
      <c r="G24" s="419"/>
      <c r="H24" s="459"/>
      <c r="I24" s="195">
        <f>'Operações Normais'!X7</f>
        <v>0.10680000000000001</v>
      </c>
      <c r="J24" s="397"/>
      <c r="K24" s="397"/>
      <c r="L24" s="462"/>
      <c r="M24" s="462"/>
      <c r="N24" s="380"/>
      <c r="O24" s="380"/>
      <c r="P24" s="456"/>
      <c r="Q24" s="441"/>
    </row>
    <row r="25" spans="2:17" ht="15" customHeight="1" x14ac:dyDescent="0.2">
      <c r="B25" s="93" t="s">
        <v>87</v>
      </c>
      <c r="C25" s="88"/>
      <c r="D25" s="102"/>
      <c r="E25" s="103"/>
      <c r="F25" s="101"/>
      <c r="G25" s="104"/>
      <c r="H25" s="189"/>
      <c r="I25" s="196">
        <f>H25*$I$24</f>
        <v>0</v>
      </c>
      <c r="J25" s="192"/>
      <c r="K25" s="72"/>
      <c r="L25" s="72"/>
      <c r="M25" s="72"/>
      <c r="N25" s="73"/>
      <c r="O25" s="108">
        <f t="shared" ref="O25:O51" si="0">IF(B25="WDO",(G25-E25)*C25*10,IF(B25="WIN",(G25-E25)*C25*0.2,IF(B25="IND",(G25-E25)*C25,IF(B25="DOL",(G25-E25)*C25*50,0))))</f>
        <v>0</v>
      </c>
      <c r="P25" s="74">
        <f t="shared" ref="P25:P51" si="1">O25-H25-I25-J25-M25-K25-L25</f>
        <v>0</v>
      </c>
      <c r="Q25" s="105" t="s">
        <v>93</v>
      </c>
    </row>
    <row r="26" spans="2:17" ht="15" customHeight="1" x14ac:dyDescent="0.2">
      <c r="B26" s="94"/>
      <c r="C26" s="89"/>
      <c r="D26" s="96"/>
      <c r="E26" s="75"/>
      <c r="F26" s="91"/>
      <c r="G26" s="89"/>
      <c r="H26" s="190"/>
      <c r="I26" s="197">
        <f t="shared" ref="I26:I51" si="2">H26*$I$24</f>
        <v>0</v>
      </c>
      <c r="J26" s="193"/>
      <c r="K26" s="78"/>
      <c r="L26" s="78"/>
      <c r="M26" s="78"/>
      <c r="N26" s="79"/>
      <c r="O26" s="109">
        <f t="shared" si="0"/>
        <v>0</v>
      </c>
      <c r="P26" s="80">
        <f t="shared" si="1"/>
        <v>0</v>
      </c>
      <c r="Q26" s="106" t="s">
        <v>93</v>
      </c>
    </row>
    <row r="27" spans="2:17" ht="15" customHeight="1" x14ac:dyDescent="0.2">
      <c r="B27" s="94"/>
      <c r="C27" s="89"/>
      <c r="D27" s="96"/>
      <c r="E27" s="75"/>
      <c r="F27" s="91"/>
      <c r="G27" s="89"/>
      <c r="H27" s="190"/>
      <c r="I27" s="197">
        <f t="shared" si="2"/>
        <v>0</v>
      </c>
      <c r="J27" s="193"/>
      <c r="K27" s="78"/>
      <c r="L27" s="78"/>
      <c r="M27" s="78"/>
      <c r="N27" s="79"/>
      <c r="O27" s="109">
        <f t="shared" si="0"/>
        <v>0</v>
      </c>
      <c r="P27" s="80">
        <f t="shared" si="1"/>
        <v>0</v>
      </c>
      <c r="Q27" s="106"/>
    </row>
    <row r="28" spans="2:17" ht="15" customHeight="1" x14ac:dyDescent="0.2">
      <c r="B28" s="94"/>
      <c r="C28" s="89"/>
      <c r="D28" s="96"/>
      <c r="E28" s="75"/>
      <c r="F28" s="91"/>
      <c r="G28" s="89"/>
      <c r="H28" s="190"/>
      <c r="I28" s="197">
        <f t="shared" si="2"/>
        <v>0</v>
      </c>
      <c r="J28" s="193"/>
      <c r="K28" s="78"/>
      <c r="L28" s="78"/>
      <c r="M28" s="78"/>
      <c r="N28" s="79"/>
      <c r="O28" s="109">
        <f t="shared" si="0"/>
        <v>0</v>
      </c>
      <c r="P28" s="80">
        <f t="shared" si="1"/>
        <v>0</v>
      </c>
      <c r="Q28" s="106"/>
    </row>
    <row r="29" spans="2:17" ht="15" customHeight="1" x14ac:dyDescent="0.2">
      <c r="B29" s="94"/>
      <c r="C29" s="89"/>
      <c r="D29" s="96"/>
      <c r="E29" s="75"/>
      <c r="F29" s="91"/>
      <c r="G29" s="89"/>
      <c r="H29" s="190"/>
      <c r="I29" s="197">
        <f t="shared" si="2"/>
        <v>0</v>
      </c>
      <c r="J29" s="193"/>
      <c r="K29" s="78"/>
      <c r="L29" s="78"/>
      <c r="M29" s="78"/>
      <c r="N29" s="79"/>
      <c r="O29" s="109">
        <f t="shared" si="0"/>
        <v>0</v>
      </c>
      <c r="P29" s="80">
        <f t="shared" si="1"/>
        <v>0</v>
      </c>
      <c r="Q29" s="106"/>
    </row>
    <row r="30" spans="2:17" ht="15" customHeight="1" x14ac:dyDescent="0.2">
      <c r="B30" s="94"/>
      <c r="C30" s="89"/>
      <c r="D30" s="96"/>
      <c r="E30" s="75"/>
      <c r="F30" s="91"/>
      <c r="G30" s="89"/>
      <c r="H30" s="190"/>
      <c r="I30" s="197">
        <f t="shared" si="2"/>
        <v>0</v>
      </c>
      <c r="J30" s="193"/>
      <c r="K30" s="78"/>
      <c r="L30" s="78"/>
      <c r="M30" s="78"/>
      <c r="N30" s="79"/>
      <c r="O30" s="109">
        <f t="shared" si="0"/>
        <v>0</v>
      </c>
      <c r="P30" s="80">
        <f t="shared" si="1"/>
        <v>0</v>
      </c>
      <c r="Q30" s="106"/>
    </row>
    <row r="31" spans="2:17" ht="15" customHeight="1" x14ac:dyDescent="0.2">
      <c r="B31" s="94"/>
      <c r="C31" s="89"/>
      <c r="D31" s="96"/>
      <c r="E31" s="75"/>
      <c r="F31" s="91"/>
      <c r="G31" s="89"/>
      <c r="H31" s="190"/>
      <c r="I31" s="197">
        <f t="shared" si="2"/>
        <v>0</v>
      </c>
      <c r="J31" s="193"/>
      <c r="K31" s="78"/>
      <c r="L31" s="78"/>
      <c r="M31" s="78"/>
      <c r="N31" s="79"/>
      <c r="O31" s="109">
        <f t="shared" si="0"/>
        <v>0</v>
      </c>
      <c r="P31" s="80">
        <f t="shared" si="1"/>
        <v>0</v>
      </c>
      <c r="Q31" s="106"/>
    </row>
    <row r="32" spans="2:17" ht="15" customHeight="1" x14ac:dyDescent="0.2">
      <c r="B32" s="94"/>
      <c r="C32" s="89"/>
      <c r="D32" s="96"/>
      <c r="E32" s="75"/>
      <c r="F32" s="91"/>
      <c r="G32" s="89"/>
      <c r="H32" s="190"/>
      <c r="I32" s="197">
        <f t="shared" si="2"/>
        <v>0</v>
      </c>
      <c r="J32" s="193"/>
      <c r="K32" s="78"/>
      <c r="L32" s="78"/>
      <c r="M32" s="78"/>
      <c r="N32" s="79"/>
      <c r="O32" s="109">
        <f t="shared" si="0"/>
        <v>0</v>
      </c>
      <c r="P32" s="80">
        <f t="shared" si="1"/>
        <v>0</v>
      </c>
      <c r="Q32" s="106"/>
    </row>
    <row r="33" spans="2:17" ht="15" customHeight="1" x14ac:dyDescent="0.2">
      <c r="B33" s="94"/>
      <c r="C33" s="89"/>
      <c r="D33" s="96"/>
      <c r="E33" s="75"/>
      <c r="F33" s="91"/>
      <c r="G33" s="89"/>
      <c r="H33" s="190"/>
      <c r="I33" s="197">
        <f t="shared" si="2"/>
        <v>0</v>
      </c>
      <c r="J33" s="193"/>
      <c r="K33" s="78"/>
      <c r="L33" s="78"/>
      <c r="M33" s="78"/>
      <c r="N33" s="79"/>
      <c r="O33" s="109">
        <f t="shared" si="0"/>
        <v>0</v>
      </c>
      <c r="P33" s="80">
        <f t="shared" si="1"/>
        <v>0</v>
      </c>
      <c r="Q33" s="106"/>
    </row>
    <row r="34" spans="2:17" ht="15" customHeight="1" x14ac:dyDescent="0.2">
      <c r="B34" s="94"/>
      <c r="C34" s="89"/>
      <c r="D34" s="96"/>
      <c r="E34" s="75"/>
      <c r="F34" s="91"/>
      <c r="G34" s="89"/>
      <c r="H34" s="190"/>
      <c r="I34" s="197">
        <f t="shared" si="2"/>
        <v>0</v>
      </c>
      <c r="J34" s="193"/>
      <c r="K34" s="78"/>
      <c r="L34" s="78"/>
      <c r="M34" s="78"/>
      <c r="N34" s="79"/>
      <c r="O34" s="109">
        <f t="shared" si="0"/>
        <v>0</v>
      </c>
      <c r="P34" s="80">
        <f t="shared" si="1"/>
        <v>0</v>
      </c>
      <c r="Q34" s="106"/>
    </row>
    <row r="35" spans="2:17" ht="15" customHeight="1" x14ac:dyDescent="0.2">
      <c r="B35" s="94"/>
      <c r="C35" s="89"/>
      <c r="D35" s="96"/>
      <c r="E35" s="75"/>
      <c r="F35" s="91"/>
      <c r="G35" s="89"/>
      <c r="H35" s="190"/>
      <c r="I35" s="197">
        <f t="shared" si="2"/>
        <v>0</v>
      </c>
      <c r="J35" s="193"/>
      <c r="K35" s="78"/>
      <c r="L35" s="78"/>
      <c r="M35" s="78"/>
      <c r="N35" s="79"/>
      <c r="O35" s="109">
        <f t="shared" si="0"/>
        <v>0</v>
      </c>
      <c r="P35" s="80">
        <f t="shared" si="1"/>
        <v>0</v>
      </c>
      <c r="Q35" s="106"/>
    </row>
    <row r="36" spans="2:17" ht="15" customHeight="1" x14ac:dyDescent="0.2">
      <c r="B36" s="94"/>
      <c r="C36" s="89"/>
      <c r="D36" s="96"/>
      <c r="E36" s="75"/>
      <c r="F36" s="91"/>
      <c r="G36" s="89"/>
      <c r="H36" s="190"/>
      <c r="I36" s="197">
        <f t="shared" si="2"/>
        <v>0</v>
      </c>
      <c r="J36" s="193"/>
      <c r="K36" s="78"/>
      <c r="L36" s="78"/>
      <c r="M36" s="78"/>
      <c r="N36" s="79"/>
      <c r="O36" s="109">
        <f t="shared" si="0"/>
        <v>0</v>
      </c>
      <c r="P36" s="80">
        <f t="shared" si="1"/>
        <v>0</v>
      </c>
      <c r="Q36" s="106"/>
    </row>
    <row r="37" spans="2:17" ht="15" customHeight="1" x14ac:dyDescent="0.2">
      <c r="B37" s="94"/>
      <c r="C37" s="89"/>
      <c r="D37" s="96"/>
      <c r="E37" s="75"/>
      <c r="F37" s="91"/>
      <c r="G37" s="89"/>
      <c r="H37" s="190"/>
      <c r="I37" s="197">
        <f t="shared" si="2"/>
        <v>0</v>
      </c>
      <c r="J37" s="193"/>
      <c r="K37" s="78"/>
      <c r="L37" s="78"/>
      <c r="M37" s="78"/>
      <c r="N37" s="79"/>
      <c r="O37" s="109">
        <f t="shared" si="0"/>
        <v>0</v>
      </c>
      <c r="P37" s="80">
        <f t="shared" si="1"/>
        <v>0</v>
      </c>
      <c r="Q37" s="106"/>
    </row>
    <row r="38" spans="2:17" ht="15" customHeight="1" x14ac:dyDescent="0.2">
      <c r="B38" s="94"/>
      <c r="C38" s="89"/>
      <c r="D38" s="96"/>
      <c r="E38" s="75"/>
      <c r="F38" s="91"/>
      <c r="G38" s="89"/>
      <c r="H38" s="190"/>
      <c r="I38" s="197">
        <f t="shared" si="2"/>
        <v>0</v>
      </c>
      <c r="J38" s="193"/>
      <c r="K38" s="78"/>
      <c r="L38" s="78"/>
      <c r="M38" s="78"/>
      <c r="N38" s="79"/>
      <c r="O38" s="109">
        <f t="shared" si="0"/>
        <v>0</v>
      </c>
      <c r="P38" s="80">
        <f t="shared" si="1"/>
        <v>0</v>
      </c>
      <c r="Q38" s="106"/>
    </row>
    <row r="39" spans="2:17" ht="15" customHeight="1" x14ac:dyDescent="0.2">
      <c r="B39" s="94"/>
      <c r="C39" s="89"/>
      <c r="D39" s="96"/>
      <c r="E39" s="75"/>
      <c r="F39" s="91"/>
      <c r="G39" s="89"/>
      <c r="H39" s="190"/>
      <c r="I39" s="197">
        <f t="shared" si="2"/>
        <v>0</v>
      </c>
      <c r="J39" s="193"/>
      <c r="K39" s="78"/>
      <c r="L39" s="78"/>
      <c r="M39" s="78"/>
      <c r="N39" s="79"/>
      <c r="O39" s="109">
        <f t="shared" si="0"/>
        <v>0</v>
      </c>
      <c r="P39" s="80">
        <f t="shared" si="1"/>
        <v>0</v>
      </c>
      <c r="Q39" s="106"/>
    </row>
    <row r="40" spans="2:17" ht="15" customHeight="1" x14ac:dyDescent="0.2">
      <c r="B40" s="94"/>
      <c r="C40" s="89"/>
      <c r="D40" s="96"/>
      <c r="E40" s="75"/>
      <c r="F40" s="91"/>
      <c r="G40" s="89"/>
      <c r="H40" s="190"/>
      <c r="I40" s="197">
        <f t="shared" si="2"/>
        <v>0</v>
      </c>
      <c r="J40" s="193"/>
      <c r="K40" s="78"/>
      <c r="L40" s="78"/>
      <c r="M40" s="78"/>
      <c r="N40" s="79"/>
      <c r="O40" s="109">
        <f t="shared" si="0"/>
        <v>0</v>
      </c>
      <c r="P40" s="80">
        <f t="shared" si="1"/>
        <v>0</v>
      </c>
      <c r="Q40" s="106"/>
    </row>
    <row r="41" spans="2:17" ht="15" customHeight="1" x14ac:dyDescent="0.2">
      <c r="B41" s="94"/>
      <c r="C41" s="89"/>
      <c r="D41" s="96"/>
      <c r="E41" s="75"/>
      <c r="F41" s="91"/>
      <c r="G41" s="89"/>
      <c r="H41" s="190"/>
      <c r="I41" s="197">
        <f t="shared" si="2"/>
        <v>0</v>
      </c>
      <c r="J41" s="193"/>
      <c r="K41" s="78"/>
      <c r="L41" s="78"/>
      <c r="M41" s="78"/>
      <c r="N41" s="79"/>
      <c r="O41" s="109">
        <f t="shared" si="0"/>
        <v>0</v>
      </c>
      <c r="P41" s="80">
        <f t="shared" si="1"/>
        <v>0</v>
      </c>
      <c r="Q41" s="106"/>
    </row>
    <row r="42" spans="2:17" ht="15" customHeight="1" x14ac:dyDescent="0.2">
      <c r="B42" s="94"/>
      <c r="C42" s="89"/>
      <c r="D42" s="96"/>
      <c r="E42" s="75"/>
      <c r="F42" s="91"/>
      <c r="G42" s="89"/>
      <c r="H42" s="190"/>
      <c r="I42" s="197">
        <f t="shared" si="2"/>
        <v>0</v>
      </c>
      <c r="J42" s="193"/>
      <c r="K42" s="78"/>
      <c r="L42" s="78"/>
      <c r="M42" s="78"/>
      <c r="N42" s="79"/>
      <c r="O42" s="109">
        <f t="shared" si="0"/>
        <v>0</v>
      </c>
      <c r="P42" s="80">
        <f t="shared" si="1"/>
        <v>0</v>
      </c>
      <c r="Q42" s="106"/>
    </row>
    <row r="43" spans="2:17" ht="15" customHeight="1" x14ac:dyDescent="0.2">
      <c r="B43" s="94"/>
      <c r="C43" s="89"/>
      <c r="D43" s="96"/>
      <c r="E43" s="75"/>
      <c r="F43" s="91"/>
      <c r="G43" s="89"/>
      <c r="H43" s="190"/>
      <c r="I43" s="197">
        <f t="shared" si="2"/>
        <v>0</v>
      </c>
      <c r="J43" s="193"/>
      <c r="K43" s="78"/>
      <c r="L43" s="78"/>
      <c r="M43" s="78"/>
      <c r="N43" s="79"/>
      <c r="O43" s="109">
        <f t="shared" si="0"/>
        <v>0</v>
      </c>
      <c r="P43" s="80">
        <f t="shared" si="1"/>
        <v>0</v>
      </c>
      <c r="Q43" s="106"/>
    </row>
    <row r="44" spans="2:17" ht="15" customHeight="1" x14ac:dyDescent="0.2">
      <c r="B44" s="94"/>
      <c r="C44" s="89"/>
      <c r="D44" s="96"/>
      <c r="E44" s="75"/>
      <c r="F44" s="91"/>
      <c r="G44" s="89"/>
      <c r="H44" s="190"/>
      <c r="I44" s="197">
        <f t="shared" si="2"/>
        <v>0</v>
      </c>
      <c r="J44" s="193"/>
      <c r="K44" s="78"/>
      <c r="L44" s="78"/>
      <c r="M44" s="78"/>
      <c r="N44" s="79"/>
      <c r="O44" s="109">
        <f t="shared" si="0"/>
        <v>0</v>
      </c>
      <c r="P44" s="80">
        <f t="shared" si="1"/>
        <v>0</v>
      </c>
      <c r="Q44" s="106"/>
    </row>
    <row r="45" spans="2:17" ht="15" customHeight="1" x14ac:dyDescent="0.2">
      <c r="B45" s="94"/>
      <c r="C45" s="89"/>
      <c r="D45" s="96"/>
      <c r="E45" s="75"/>
      <c r="F45" s="91"/>
      <c r="G45" s="89"/>
      <c r="H45" s="190"/>
      <c r="I45" s="197">
        <f t="shared" si="2"/>
        <v>0</v>
      </c>
      <c r="J45" s="193"/>
      <c r="K45" s="78"/>
      <c r="L45" s="78"/>
      <c r="M45" s="78"/>
      <c r="N45" s="79"/>
      <c r="O45" s="109">
        <f t="shared" si="0"/>
        <v>0</v>
      </c>
      <c r="P45" s="80">
        <f t="shared" si="1"/>
        <v>0</v>
      </c>
      <c r="Q45" s="106"/>
    </row>
    <row r="46" spans="2:17" ht="15" customHeight="1" x14ac:dyDescent="0.2">
      <c r="B46" s="94"/>
      <c r="C46" s="89"/>
      <c r="D46" s="96"/>
      <c r="E46" s="75"/>
      <c r="F46" s="91"/>
      <c r="G46" s="89"/>
      <c r="H46" s="190"/>
      <c r="I46" s="197">
        <f t="shared" si="2"/>
        <v>0</v>
      </c>
      <c r="J46" s="193"/>
      <c r="K46" s="78"/>
      <c r="L46" s="78"/>
      <c r="M46" s="78"/>
      <c r="N46" s="79"/>
      <c r="O46" s="109">
        <f t="shared" si="0"/>
        <v>0</v>
      </c>
      <c r="P46" s="80">
        <f t="shared" si="1"/>
        <v>0</v>
      </c>
      <c r="Q46" s="106"/>
    </row>
    <row r="47" spans="2:17" ht="15" customHeight="1" x14ac:dyDescent="0.2">
      <c r="B47" s="94"/>
      <c r="C47" s="89"/>
      <c r="D47" s="96"/>
      <c r="E47" s="75"/>
      <c r="F47" s="91"/>
      <c r="G47" s="89"/>
      <c r="H47" s="190"/>
      <c r="I47" s="197">
        <f t="shared" si="2"/>
        <v>0</v>
      </c>
      <c r="J47" s="193"/>
      <c r="K47" s="78"/>
      <c r="L47" s="78"/>
      <c r="M47" s="78"/>
      <c r="N47" s="79"/>
      <c r="O47" s="109">
        <f t="shared" si="0"/>
        <v>0</v>
      </c>
      <c r="P47" s="80">
        <f t="shared" si="1"/>
        <v>0</v>
      </c>
      <c r="Q47" s="106"/>
    </row>
    <row r="48" spans="2:17" ht="15" customHeight="1" x14ac:dyDescent="0.2">
      <c r="B48" s="94"/>
      <c r="C48" s="89"/>
      <c r="D48" s="96"/>
      <c r="E48" s="75"/>
      <c r="F48" s="91"/>
      <c r="G48" s="89"/>
      <c r="H48" s="190"/>
      <c r="I48" s="197">
        <f t="shared" si="2"/>
        <v>0</v>
      </c>
      <c r="J48" s="193"/>
      <c r="K48" s="78"/>
      <c r="L48" s="78"/>
      <c r="M48" s="78"/>
      <c r="N48" s="79"/>
      <c r="O48" s="109">
        <f t="shared" si="0"/>
        <v>0</v>
      </c>
      <c r="P48" s="80">
        <f t="shared" si="1"/>
        <v>0</v>
      </c>
      <c r="Q48" s="106"/>
    </row>
    <row r="49" spans="2:17" ht="15" customHeight="1" x14ac:dyDescent="0.2">
      <c r="B49" s="94"/>
      <c r="C49" s="89"/>
      <c r="D49" s="96"/>
      <c r="E49" s="75"/>
      <c r="F49" s="91"/>
      <c r="G49" s="89"/>
      <c r="H49" s="190"/>
      <c r="I49" s="197">
        <f t="shared" si="2"/>
        <v>0</v>
      </c>
      <c r="J49" s="193"/>
      <c r="K49" s="78"/>
      <c r="L49" s="78"/>
      <c r="M49" s="78"/>
      <c r="N49" s="79"/>
      <c r="O49" s="109">
        <f t="shared" si="0"/>
        <v>0</v>
      </c>
      <c r="P49" s="80">
        <f t="shared" si="1"/>
        <v>0</v>
      </c>
      <c r="Q49" s="106"/>
    </row>
    <row r="50" spans="2:17" ht="15" customHeight="1" x14ac:dyDescent="0.2">
      <c r="B50" s="94"/>
      <c r="C50" s="89"/>
      <c r="D50" s="96"/>
      <c r="E50" s="75"/>
      <c r="F50" s="91"/>
      <c r="G50" s="89"/>
      <c r="H50" s="190"/>
      <c r="I50" s="197">
        <f t="shared" si="2"/>
        <v>0</v>
      </c>
      <c r="J50" s="193"/>
      <c r="K50" s="78"/>
      <c r="L50" s="78"/>
      <c r="M50" s="78"/>
      <c r="N50" s="79"/>
      <c r="O50" s="109">
        <f t="shared" si="0"/>
        <v>0</v>
      </c>
      <c r="P50" s="80">
        <f t="shared" si="1"/>
        <v>0</v>
      </c>
      <c r="Q50" s="106"/>
    </row>
    <row r="51" spans="2:17" ht="15" customHeight="1" thickBot="1" x14ac:dyDescent="0.25">
      <c r="B51" s="95"/>
      <c r="C51" s="90"/>
      <c r="D51" s="97"/>
      <c r="E51" s="81"/>
      <c r="F51" s="92"/>
      <c r="G51" s="90"/>
      <c r="H51" s="191"/>
      <c r="I51" s="198">
        <f t="shared" si="2"/>
        <v>0</v>
      </c>
      <c r="J51" s="194"/>
      <c r="K51" s="84"/>
      <c r="L51" s="84"/>
      <c r="M51" s="84"/>
      <c r="N51" s="85"/>
      <c r="O51" s="110">
        <f t="shared" si="0"/>
        <v>0</v>
      </c>
      <c r="P51" s="86">
        <f t="shared" si="1"/>
        <v>0</v>
      </c>
      <c r="Q51" s="107"/>
    </row>
    <row r="52" spans="2:17" ht="13.5" thickBot="1" x14ac:dyDescent="0.25"/>
    <row r="53" spans="2:17" ht="23.25" thickBot="1" x14ac:dyDescent="0.25">
      <c r="B53" s="442" t="s">
        <v>7</v>
      </c>
      <c r="C53" s="443"/>
      <c r="D53" s="443"/>
      <c r="E53" s="443"/>
      <c r="F53" s="443"/>
      <c r="G53" s="444"/>
    </row>
    <row r="54" spans="2:17" ht="14.25" thickBot="1" x14ac:dyDescent="0.3"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</row>
    <row r="55" spans="2:17" ht="18" customHeight="1" x14ac:dyDescent="0.2">
      <c r="B55" s="407" t="s">
        <v>53</v>
      </c>
      <c r="C55" s="408"/>
      <c r="D55" s="408"/>
      <c r="E55" s="393">
        <f>SUMIF(Q25:Q51,"SIM",P25:P51)</f>
        <v>0</v>
      </c>
      <c r="F55" s="402"/>
      <c r="G55" s="403"/>
    </row>
    <row r="56" spans="2:17" ht="18" customHeight="1" thickBot="1" x14ac:dyDescent="0.25">
      <c r="B56" s="409"/>
      <c r="C56" s="410"/>
      <c r="D56" s="410"/>
      <c r="E56" s="411"/>
      <c r="F56" s="412"/>
      <c r="G56" s="413"/>
    </row>
    <row r="57" spans="2:17" ht="18" customHeight="1" x14ac:dyDescent="0.2">
      <c r="B57" s="398" t="s">
        <v>54</v>
      </c>
      <c r="C57" s="399"/>
      <c r="D57" s="399"/>
      <c r="E57" s="393">
        <f>SUMIF(Q25:Q51,"SIM",H25:M51)</f>
        <v>0</v>
      </c>
      <c r="F57" s="402"/>
      <c r="G57" s="403"/>
    </row>
    <row r="58" spans="2:17" ht="18" customHeight="1" thickBot="1" x14ac:dyDescent="0.25">
      <c r="B58" s="400"/>
      <c r="C58" s="401"/>
      <c r="D58" s="401"/>
      <c r="E58" s="404"/>
      <c r="F58" s="405"/>
      <c r="G58" s="406"/>
    </row>
    <row r="59" spans="2:17" ht="18" customHeight="1" x14ac:dyDescent="0.2">
      <c r="B59" s="389" t="s">
        <v>55</v>
      </c>
      <c r="C59" s="390"/>
      <c r="D59" s="390"/>
      <c r="E59" s="393">
        <f>SUM(N25:N51)</f>
        <v>0</v>
      </c>
      <c r="F59" s="394"/>
      <c r="G59" s="394"/>
      <c r="H59" s="381" t="s">
        <v>57</v>
      </c>
      <c r="I59" s="382"/>
      <c r="J59" s="382"/>
      <c r="K59" s="382"/>
      <c r="L59" s="383"/>
    </row>
    <row r="60" spans="2:17" ht="18" customHeight="1" thickBot="1" x14ac:dyDescent="0.25">
      <c r="B60" s="391"/>
      <c r="C60" s="392"/>
      <c r="D60" s="392"/>
      <c r="E60" s="395"/>
      <c r="F60" s="396"/>
      <c r="G60" s="396"/>
      <c r="H60" s="384"/>
      <c r="I60" s="385"/>
      <c r="J60" s="385"/>
      <c r="K60" s="385"/>
      <c r="L60" s="386"/>
    </row>
    <row r="61" spans="2:17" ht="14.25" thickBot="1" x14ac:dyDescent="0.3">
      <c r="B61" s="64"/>
      <c r="C61" s="64"/>
      <c r="D61" s="64"/>
      <c r="H61" s="64"/>
      <c r="I61" s="64"/>
      <c r="J61" s="64"/>
      <c r="K61" s="64"/>
      <c r="L61" s="64"/>
    </row>
    <row r="62" spans="2:17" ht="18" customHeight="1" x14ac:dyDescent="0.2">
      <c r="B62" s="423" t="s">
        <v>72</v>
      </c>
      <c r="C62" s="424"/>
      <c r="D62" s="424"/>
      <c r="E62" s="393">
        <f>SUMIFS(P25:P51,B25:B51,"WDO",Q25:Q51,"SIM")+SUMIFS(P25:P51,B25:B51,"DOL",Q25:Q51,"SIM")</f>
        <v>0</v>
      </c>
      <c r="F62" s="402"/>
      <c r="G62" s="403"/>
    </row>
    <row r="63" spans="2:17" ht="18" customHeight="1" thickBot="1" x14ac:dyDescent="0.25">
      <c r="B63" s="425"/>
      <c r="C63" s="426"/>
      <c r="D63" s="426"/>
      <c r="E63" s="404"/>
      <c r="F63" s="405"/>
      <c r="G63" s="406"/>
    </row>
    <row r="64" spans="2:17" ht="18" customHeight="1" x14ac:dyDescent="0.2">
      <c r="B64" s="423" t="s">
        <v>73</v>
      </c>
      <c r="C64" s="424"/>
      <c r="D64" s="424"/>
      <c r="E64" s="429">
        <f>SUMIFS(P25:P51,B25:B51,"WIN",Q25:Q51,"SIM")+SUMIFS(P25:P51,B25:B51,"IND",Q25:Q51,"SIM")</f>
        <v>0</v>
      </c>
      <c r="F64" s="412"/>
      <c r="G64" s="413"/>
    </row>
    <row r="65" spans="2:7" ht="18" customHeight="1" thickBot="1" x14ac:dyDescent="0.25">
      <c r="B65" s="427"/>
      <c r="C65" s="428"/>
      <c r="D65" s="428"/>
      <c r="E65" s="404"/>
      <c r="F65" s="405"/>
      <c r="G65" s="406"/>
    </row>
    <row r="66" spans="2:7" ht="18" customHeight="1" x14ac:dyDescent="0.2"/>
    <row r="71" spans="2:7" hidden="1" x14ac:dyDescent="0.2">
      <c r="E71" s="62" t="s">
        <v>93</v>
      </c>
    </row>
    <row r="72" spans="2:7" hidden="1" x14ac:dyDescent="0.2">
      <c r="E72" s="62" t="s">
        <v>69</v>
      </c>
    </row>
    <row r="75" spans="2:7" hidden="1" x14ac:dyDescent="0.2">
      <c r="B75" s="62" t="s">
        <v>86</v>
      </c>
    </row>
    <row r="76" spans="2:7" hidden="1" x14ac:dyDescent="0.2">
      <c r="B76" s="62" t="s">
        <v>87</v>
      </c>
    </row>
    <row r="77" spans="2:7" hidden="1" x14ac:dyDescent="0.2">
      <c r="B77" s="62" t="s">
        <v>91</v>
      </c>
    </row>
    <row r="78" spans="2:7" hidden="1" x14ac:dyDescent="0.2">
      <c r="B78" s="62" t="s">
        <v>92</v>
      </c>
    </row>
    <row r="80" spans="2:7" x14ac:dyDescent="0.2">
      <c r="B80" s="199"/>
    </row>
  </sheetData>
  <mergeCells count="34">
    <mergeCell ref="Q19:Q24"/>
    <mergeCell ref="B53:G53"/>
    <mergeCell ref="D22:D24"/>
    <mergeCell ref="H19:M21"/>
    <mergeCell ref="O19:O24"/>
    <mergeCell ref="P19:P24"/>
    <mergeCell ref="B22:B24"/>
    <mergeCell ref="J22:J24"/>
    <mergeCell ref="M22:M24"/>
    <mergeCell ref="H22:H24"/>
    <mergeCell ref="D19:E21"/>
    <mergeCell ref="F19:G21"/>
    <mergeCell ref="C22:C24"/>
    <mergeCell ref="L22:L24"/>
    <mergeCell ref="B62:D63"/>
    <mergeCell ref="B64:D65"/>
    <mergeCell ref="E62:G63"/>
    <mergeCell ref="E64:G65"/>
    <mergeCell ref="B7:E7"/>
    <mergeCell ref="B10:E11"/>
    <mergeCell ref="B3:O5"/>
    <mergeCell ref="N19:N24"/>
    <mergeCell ref="H59:L60"/>
    <mergeCell ref="I22:I23"/>
    <mergeCell ref="B59:D60"/>
    <mergeCell ref="E59:G60"/>
    <mergeCell ref="K22:K24"/>
    <mergeCell ref="B57:D58"/>
    <mergeCell ref="E57:G58"/>
    <mergeCell ref="B55:D56"/>
    <mergeCell ref="E55:G56"/>
    <mergeCell ref="E22:E24"/>
    <mergeCell ref="G22:G24"/>
    <mergeCell ref="F22:F24"/>
  </mergeCells>
  <conditionalFormatting sqref="P25:P51">
    <cfRule type="cellIs" dxfId="8" priority="1" stopIfTrue="1" operator="greaterThan">
      <formula>0</formula>
    </cfRule>
    <cfRule type="cellIs" dxfId="7" priority="2" stopIfTrue="1" operator="lessThan">
      <formula>0</formula>
    </cfRule>
  </conditionalFormatting>
  <dataValidations count="2">
    <dataValidation type="list" allowBlank="1" showInputMessage="1" showErrorMessage="1" errorTitle="Inválido" promptTitle="Selecione" prompt="Selecione o Tipo de contrato" sqref="B25:B51">
      <formula1>$B$75:$B$78</formula1>
    </dataValidation>
    <dataValidation type="list" allowBlank="1" showInputMessage="1" showErrorMessage="1" errorTitle="Inválido" error="Inválido" promptTitle="Encerrado?" prompt="Encerrado?" sqref="Q25:Q51">
      <formula1>$E$71:$E$72</formula1>
    </dataValidation>
  </dataValidations>
  <pageMargins left="0.39370078740157483" right="0.39370078740157483" top="0.39370078740157483" bottom="0.39370078740157483" header="0.39370078740157483" footer="0.39370078740157483"/>
  <pageSetup paperSize="9" scale="5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N94"/>
  <sheetViews>
    <sheetView zoomScale="70" zoomScaleNormal="70" workbookViewId="0">
      <pane ySplit="21" topLeftCell="A22" activePane="bottomLeft" state="frozen"/>
      <selection pane="bottomLeft" activeCell="B1" sqref="B1"/>
    </sheetView>
  </sheetViews>
  <sheetFormatPr defaultColWidth="11.5703125" defaultRowHeight="12.75" x14ac:dyDescent="0.2"/>
  <cols>
    <col min="1" max="1" width="11.5703125" style="62" customWidth="1"/>
    <col min="2" max="14" width="19.7109375" style="62" customWidth="1"/>
    <col min="15" max="16384" width="11.5703125" style="62"/>
  </cols>
  <sheetData>
    <row r="2" spans="2:14" ht="13.5" thickBot="1" x14ac:dyDescent="0.25"/>
    <row r="3" spans="2:14" ht="12.75" customHeight="1" x14ac:dyDescent="0.2">
      <c r="B3" s="369" t="s">
        <v>68</v>
      </c>
      <c r="C3" s="370"/>
      <c r="D3" s="370"/>
      <c r="E3" s="370"/>
      <c r="F3" s="370"/>
      <c r="G3" s="370"/>
      <c r="H3" s="370"/>
      <c r="I3" s="370"/>
      <c r="J3" s="370"/>
      <c r="K3" s="370"/>
      <c r="L3" s="370"/>
      <c r="M3" s="371"/>
    </row>
    <row r="4" spans="2:14" ht="12.75" customHeight="1" x14ac:dyDescent="0.2">
      <c r="B4" s="372"/>
      <c r="C4" s="475"/>
      <c r="D4" s="475"/>
      <c r="E4" s="475"/>
      <c r="F4" s="475"/>
      <c r="G4" s="475"/>
      <c r="H4" s="475"/>
      <c r="I4" s="475"/>
      <c r="J4" s="475"/>
      <c r="K4" s="475"/>
      <c r="L4" s="475"/>
      <c r="M4" s="374"/>
    </row>
    <row r="5" spans="2:14" ht="12.75" customHeight="1" thickBot="1" x14ac:dyDescent="0.25">
      <c r="B5" s="375"/>
      <c r="C5" s="376"/>
      <c r="D5" s="376"/>
      <c r="E5" s="376"/>
      <c r="F5" s="376"/>
      <c r="G5" s="376"/>
      <c r="H5" s="376"/>
      <c r="I5" s="376"/>
      <c r="J5" s="376"/>
      <c r="K5" s="376"/>
      <c r="L5" s="376"/>
      <c r="M5" s="377"/>
    </row>
    <row r="6" spans="2:14" ht="14.25" thickBot="1" x14ac:dyDescent="0.3">
      <c r="B6" s="64"/>
      <c r="C6" s="64"/>
      <c r="D6" s="64"/>
      <c r="E6" s="64"/>
      <c r="F6" s="64"/>
      <c r="G6" s="64"/>
      <c r="H6" s="64"/>
      <c r="I6" s="64"/>
      <c r="J6" s="64"/>
    </row>
    <row r="7" spans="2:14" ht="15.75" thickBot="1" x14ac:dyDescent="0.3">
      <c r="B7" s="476" t="s">
        <v>11</v>
      </c>
      <c r="C7" s="477"/>
      <c r="D7" s="477"/>
      <c r="E7" s="478"/>
      <c r="F7" s="64"/>
      <c r="G7" s="64"/>
      <c r="H7" s="64"/>
      <c r="I7" s="64"/>
      <c r="J7" s="64"/>
    </row>
    <row r="8" spans="2:14" ht="15.75" thickBot="1" x14ac:dyDescent="0.3">
      <c r="B8" s="65" t="s">
        <v>0</v>
      </c>
      <c r="C8" s="66">
        <f>'Operações Normais'!C3</f>
        <v>6</v>
      </c>
      <c r="D8" s="65" t="s">
        <v>1</v>
      </c>
      <c r="E8" s="67">
        <f>'Operações Normais'!E3</f>
        <v>2020</v>
      </c>
      <c r="F8" s="64"/>
      <c r="G8" s="64"/>
      <c r="H8" s="64"/>
      <c r="I8" s="64"/>
      <c r="J8" s="64"/>
    </row>
    <row r="9" spans="2:14" ht="13.5" x14ac:dyDescent="0.25">
      <c r="B9" s="64"/>
      <c r="C9" s="64"/>
      <c r="D9" s="64"/>
      <c r="E9" s="64"/>
      <c r="F9" s="64"/>
      <c r="G9" s="64"/>
      <c r="H9" s="64"/>
      <c r="I9" s="64"/>
      <c r="J9" s="64"/>
    </row>
    <row r="10" spans="2:14" ht="13.5" x14ac:dyDescent="0.25">
      <c r="B10" s="433" t="s">
        <v>56</v>
      </c>
      <c r="C10" s="434"/>
      <c r="D10" s="435"/>
      <c r="E10" s="64"/>
      <c r="F10" s="64"/>
      <c r="G10" s="64"/>
      <c r="H10" s="64"/>
      <c r="I10" s="64"/>
      <c r="J10" s="64"/>
    </row>
    <row r="11" spans="2:14" ht="13.5" x14ac:dyDescent="0.25">
      <c r="B11" s="436"/>
      <c r="C11" s="437"/>
      <c r="D11" s="438"/>
      <c r="E11" s="64"/>
      <c r="F11" s="64"/>
      <c r="G11" s="64"/>
      <c r="H11" s="64"/>
      <c r="I11" s="64"/>
      <c r="J11" s="64"/>
    </row>
    <row r="12" spans="2:14" ht="15.95" customHeight="1" x14ac:dyDescent="0.2">
      <c r="B12" s="68" t="s">
        <v>104</v>
      </c>
    </row>
    <row r="13" spans="2:14" ht="15.95" customHeight="1" x14ac:dyDescent="0.2">
      <c r="B13" s="68" t="s">
        <v>105</v>
      </c>
    </row>
    <row r="14" spans="2:14" ht="15.95" customHeight="1" x14ac:dyDescent="0.2">
      <c r="B14" s="68" t="s">
        <v>109</v>
      </c>
      <c r="C14" s="69"/>
      <c r="D14" s="69"/>
      <c r="E14" s="69"/>
      <c r="F14" s="69"/>
      <c r="G14" s="69"/>
      <c r="H14" s="69"/>
      <c r="I14" s="69"/>
      <c r="J14" s="69"/>
    </row>
    <row r="15" spans="2:14" ht="15.95" customHeight="1" thickBot="1" x14ac:dyDescent="0.25">
      <c r="B15" s="69"/>
      <c r="C15" s="69"/>
      <c r="D15" s="69"/>
      <c r="E15" s="69"/>
      <c r="F15" s="69"/>
      <c r="G15" s="69"/>
      <c r="H15" s="69"/>
      <c r="I15" s="69"/>
      <c r="J15" s="69"/>
    </row>
    <row r="16" spans="2:14" ht="12.75" customHeight="1" x14ac:dyDescent="0.25">
      <c r="B16" s="64"/>
      <c r="C16" s="64"/>
      <c r="D16" s="64"/>
      <c r="E16" s="64"/>
      <c r="F16" s="64"/>
      <c r="G16" s="448" t="s">
        <v>169</v>
      </c>
      <c r="H16" s="449"/>
      <c r="I16" s="449"/>
      <c r="J16" s="449"/>
      <c r="K16" s="449"/>
      <c r="L16" s="479" t="s">
        <v>62</v>
      </c>
      <c r="M16" s="378" t="s">
        <v>102</v>
      </c>
      <c r="N16" s="454" t="s">
        <v>111</v>
      </c>
    </row>
    <row r="17" spans="2:14" ht="12.75" customHeight="1" x14ac:dyDescent="0.25">
      <c r="B17" s="64"/>
      <c r="C17" s="64"/>
      <c r="D17" s="64"/>
      <c r="E17" s="64"/>
      <c r="F17" s="64"/>
      <c r="G17" s="450"/>
      <c r="H17" s="451"/>
      <c r="I17" s="451"/>
      <c r="J17" s="451"/>
      <c r="K17" s="451"/>
      <c r="L17" s="480"/>
      <c r="M17" s="379"/>
      <c r="N17" s="455"/>
    </row>
    <row r="18" spans="2:14" ht="13.5" customHeight="1" thickBot="1" x14ac:dyDescent="0.3">
      <c r="B18" s="64"/>
      <c r="C18" s="64"/>
      <c r="D18" s="64"/>
      <c r="E18" s="64"/>
      <c r="F18" s="64"/>
      <c r="G18" s="452"/>
      <c r="H18" s="453"/>
      <c r="I18" s="453"/>
      <c r="J18" s="453"/>
      <c r="K18" s="453"/>
      <c r="L18" s="480"/>
      <c r="M18" s="379"/>
      <c r="N18" s="455"/>
    </row>
    <row r="19" spans="2:14" s="63" customFormat="1" ht="20.100000000000001" customHeight="1" x14ac:dyDescent="0.25">
      <c r="B19" s="457" t="s">
        <v>67</v>
      </c>
      <c r="C19" s="460" t="s">
        <v>4</v>
      </c>
      <c r="D19" s="414" t="s">
        <v>74</v>
      </c>
      <c r="E19" s="485" t="s">
        <v>39</v>
      </c>
      <c r="F19" s="482" t="s">
        <v>42</v>
      </c>
      <c r="G19" s="457" t="s">
        <v>50</v>
      </c>
      <c r="H19" s="387" t="s">
        <v>3</v>
      </c>
      <c r="I19" s="387" t="s">
        <v>51</v>
      </c>
      <c r="J19" s="460" t="s">
        <v>52</v>
      </c>
      <c r="K19" s="460" t="s">
        <v>36</v>
      </c>
      <c r="L19" s="480"/>
      <c r="M19" s="379"/>
      <c r="N19" s="455"/>
    </row>
    <row r="20" spans="2:14" s="63" customFormat="1" ht="20.100000000000001" customHeight="1" x14ac:dyDescent="0.25">
      <c r="B20" s="458"/>
      <c r="C20" s="461"/>
      <c r="D20" s="415"/>
      <c r="E20" s="486"/>
      <c r="F20" s="483"/>
      <c r="G20" s="458"/>
      <c r="H20" s="388"/>
      <c r="I20" s="388"/>
      <c r="J20" s="461"/>
      <c r="K20" s="461"/>
      <c r="L20" s="480"/>
      <c r="M20" s="379"/>
      <c r="N20" s="455"/>
    </row>
    <row r="21" spans="2:14" s="63" customFormat="1" ht="20.100000000000001" customHeight="1" thickBot="1" x14ac:dyDescent="0.3">
      <c r="B21" s="459"/>
      <c r="C21" s="462"/>
      <c r="D21" s="416"/>
      <c r="E21" s="487"/>
      <c r="F21" s="484"/>
      <c r="G21" s="459"/>
      <c r="H21" s="195">
        <f>'Operações Normais'!X7</f>
        <v>0.10680000000000001</v>
      </c>
      <c r="I21" s="397"/>
      <c r="J21" s="462"/>
      <c r="K21" s="462"/>
      <c r="L21" s="481"/>
      <c r="M21" s="380"/>
      <c r="N21" s="456"/>
    </row>
    <row r="22" spans="2:14" ht="15" customHeight="1" x14ac:dyDescent="0.2">
      <c r="B22" s="93" t="s">
        <v>86</v>
      </c>
      <c r="C22" s="88"/>
      <c r="D22" s="75"/>
      <c r="E22" s="118"/>
      <c r="F22" s="119"/>
      <c r="G22" s="70"/>
      <c r="H22" s="196">
        <f>G22*$H$21</f>
        <v>0</v>
      </c>
      <c r="I22" s="71"/>
      <c r="J22" s="72"/>
      <c r="K22" s="72"/>
      <c r="L22" s="73"/>
      <c r="M22" s="109">
        <f t="shared" ref="M22:M66" si="0">IF(B22="WDO",(F22-E22)*C22*10,IF(B22="WIN",(F22-E22)*C22*0.2,IF(B22="IND",(F22-E22)*C22,IF(B22="DOL",(F22-E22)*C22*50,0))))</f>
        <v>0</v>
      </c>
      <c r="N22" s="74">
        <f>M22-G22-H22-I22-K22-J22</f>
        <v>0</v>
      </c>
    </row>
    <row r="23" spans="2:14" ht="15" customHeight="1" x14ac:dyDescent="0.2">
      <c r="B23" s="94"/>
      <c r="C23" s="89"/>
      <c r="D23" s="75"/>
      <c r="E23" s="111"/>
      <c r="F23" s="89"/>
      <c r="G23" s="76"/>
      <c r="H23" s="197">
        <f t="shared" ref="H23:H66" si="1">G23*$H$21</f>
        <v>0</v>
      </c>
      <c r="I23" s="77"/>
      <c r="J23" s="78"/>
      <c r="K23" s="78"/>
      <c r="L23" s="79"/>
      <c r="M23" s="109">
        <f t="shared" si="0"/>
        <v>0</v>
      </c>
      <c r="N23" s="80">
        <f t="shared" ref="N23:N66" si="2">M23-G23-H23-I23-K23-J23</f>
        <v>0</v>
      </c>
    </row>
    <row r="24" spans="2:14" ht="15" customHeight="1" x14ac:dyDescent="0.2">
      <c r="B24" s="94"/>
      <c r="C24" s="89"/>
      <c r="D24" s="75"/>
      <c r="E24" s="111"/>
      <c r="F24" s="89"/>
      <c r="G24" s="76"/>
      <c r="H24" s="197">
        <f t="shared" si="1"/>
        <v>0</v>
      </c>
      <c r="I24" s="77"/>
      <c r="J24" s="78"/>
      <c r="K24" s="78"/>
      <c r="L24" s="79"/>
      <c r="M24" s="109">
        <f t="shared" si="0"/>
        <v>0</v>
      </c>
      <c r="N24" s="80">
        <f t="shared" si="2"/>
        <v>0</v>
      </c>
    </row>
    <row r="25" spans="2:14" ht="15" customHeight="1" x14ac:dyDescent="0.2">
      <c r="B25" s="94"/>
      <c r="C25" s="89"/>
      <c r="D25" s="75"/>
      <c r="E25" s="111"/>
      <c r="F25" s="89"/>
      <c r="G25" s="76"/>
      <c r="H25" s="197">
        <f t="shared" si="1"/>
        <v>0</v>
      </c>
      <c r="I25" s="77"/>
      <c r="J25" s="78"/>
      <c r="K25" s="78"/>
      <c r="L25" s="79"/>
      <c r="M25" s="109">
        <f t="shared" si="0"/>
        <v>0</v>
      </c>
      <c r="N25" s="80">
        <f t="shared" si="2"/>
        <v>0</v>
      </c>
    </row>
    <row r="26" spans="2:14" ht="15" customHeight="1" x14ac:dyDescent="0.2">
      <c r="B26" s="94"/>
      <c r="C26" s="89"/>
      <c r="D26" s="75"/>
      <c r="E26" s="111"/>
      <c r="F26" s="89"/>
      <c r="G26" s="76"/>
      <c r="H26" s="197">
        <f t="shared" si="1"/>
        <v>0</v>
      </c>
      <c r="I26" s="77"/>
      <c r="J26" s="78"/>
      <c r="K26" s="78"/>
      <c r="L26" s="79"/>
      <c r="M26" s="109">
        <f t="shared" si="0"/>
        <v>0</v>
      </c>
      <c r="N26" s="80">
        <f t="shared" si="2"/>
        <v>0</v>
      </c>
    </row>
    <row r="27" spans="2:14" ht="15" customHeight="1" x14ac:dyDescent="0.2">
      <c r="B27" s="94"/>
      <c r="C27" s="89"/>
      <c r="D27" s="75"/>
      <c r="E27" s="111"/>
      <c r="F27" s="89"/>
      <c r="G27" s="76"/>
      <c r="H27" s="197">
        <f t="shared" si="1"/>
        <v>0</v>
      </c>
      <c r="I27" s="77"/>
      <c r="J27" s="78"/>
      <c r="K27" s="78"/>
      <c r="L27" s="79"/>
      <c r="M27" s="109">
        <f t="shared" si="0"/>
        <v>0</v>
      </c>
      <c r="N27" s="80">
        <f t="shared" si="2"/>
        <v>0</v>
      </c>
    </row>
    <row r="28" spans="2:14" ht="15" customHeight="1" x14ac:dyDescent="0.2">
      <c r="B28" s="94"/>
      <c r="C28" s="89"/>
      <c r="D28" s="75"/>
      <c r="E28" s="111"/>
      <c r="F28" s="89"/>
      <c r="G28" s="76"/>
      <c r="H28" s="197">
        <f t="shared" si="1"/>
        <v>0</v>
      </c>
      <c r="I28" s="77"/>
      <c r="J28" s="78"/>
      <c r="K28" s="78"/>
      <c r="L28" s="79"/>
      <c r="M28" s="109">
        <f t="shared" si="0"/>
        <v>0</v>
      </c>
      <c r="N28" s="80">
        <f t="shared" si="2"/>
        <v>0</v>
      </c>
    </row>
    <row r="29" spans="2:14" ht="15" customHeight="1" x14ac:dyDescent="0.2">
      <c r="B29" s="94"/>
      <c r="C29" s="89"/>
      <c r="D29" s="75"/>
      <c r="E29" s="111"/>
      <c r="F29" s="89"/>
      <c r="G29" s="76"/>
      <c r="H29" s="197">
        <f t="shared" si="1"/>
        <v>0</v>
      </c>
      <c r="I29" s="77"/>
      <c r="J29" s="78"/>
      <c r="K29" s="78"/>
      <c r="L29" s="79"/>
      <c r="M29" s="109">
        <f t="shared" si="0"/>
        <v>0</v>
      </c>
      <c r="N29" s="80">
        <f t="shared" si="2"/>
        <v>0</v>
      </c>
    </row>
    <row r="30" spans="2:14" ht="15" customHeight="1" x14ac:dyDescent="0.2">
      <c r="B30" s="94"/>
      <c r="C30" s="89"/>
      <c r="D30" s="75"/>
      <c r="E30" s="111"/>
      <c r="F30" s="89"/>
      <c r="G30" s="76"/>
      <c r="H30" s="197">
        <f t="shared" si="1"/>
        <v>0</v>
      </c>
      <c r="I30" s="77"/>
      <c r="J30" s="78"/>
      <c r="K30" s="78"/>
      <c r="L30" s="79"/>
      <c r="M30" s="109">
        <f t="shared" si="0"/>
        <v>0</v>
      </c>
      <c r="N30" s="80">
        <f t="shared" si="2"/>
        <v>0</v>
      </c>
    </row>
    <row r="31" spans="2:14" ht="15" customHeight="1" x14ac:dyDescent="0.2">
      <c r="B31" s="94"/>
      <c r="C31" s="89"/>
      <c r="D31" s="75"/>
      <c r="E31" s="111"/>
      <c r="F31" s="89"/>
      <c r="G31" s="76"/>
      <c r="H31" s="197">
        <f t="shared" si="1"/>
        <v>0</v>
      </c>
      <c r="I31" s="77"/>
      <c r="J31" s="78"/>
      <c r="K31" s="78"/>
      <c r="L31" s="79"/>
      <c r="M31" s="109">
        <f t="shared" si="0"/>
        <v>0</v>
      </c>
      <c r="N31" s="80">
        <f t="shared" si="2"/>
        <v>0</v>
      </c>
    </row>
    <row r="32" spans="2:14" ht="15" customHeight="1" x14ac:dyDescent="0.2">
      <c r="B32" s="94"/>
      <c r="C32" s="89"/>
      <c r="D32" s="75"/>
      <c r="E32" s="111"/>
      <c r="F32" s="89"/>
      <c r="G32" s="76"/>
      <c r="H32" s="197">
        <f t="shared" si="1"/>
        <v>0</v>
      </c>
      <c r="I32" s="77"/>
      <c r="J32" s="78"/>
      <c r="K32" s="78"/>
      <c r="L32" s="79"/>
      <c r="M32" s="109">
        <f t="shared" si="0"/>
        <v>0</v>
      </c>
      <c r="N32" s="80">
        <f t="shared" si="2"/>
        <v>0</v>
      </c>
    </row>
    <row r="33" spans="2:14" ht="15" customHeight="1" x14ac:dyDescent="0.2">
      <c r="B33" s="94"/>
      <c r="C33" s="89"/>
      <c r="D33" s="75"/>
      <c r="E33" s="111"/>
      <c r="F33" s="89"/>
      <c r="G33" s="76"/>
      <c r="H33" s="197">
        <f t="shared" si="1"/>
        <v>0</v>
      </c>
      <c r="I33" s="77"/>
      <c r="J33" s="78"/>
      <c r="K33" s="78"/>
      <c r="L33" s="79"/>
      <c r="M33" s="109">
        <f t="shared" si="0"/>
        <v>0</v>
      </c>
      <c r="N33" s="80">
        <f t="shared" si="2"/>
        <v>0</v>
      </c>
    </row>
    <row r="34" spans="2:14" ht="15" customHeight="1" x14ac:dyDescent="0.2">
      <c r="B34" s="94"/>
      <c r="C34" s="89"/>
      <c r="D34" s="75"/>
      <c r="E34" s="111"/>
      <c r="F34" s="89"/>
      <c r="G34" s="76"/>
      <c r="H34" s="197">
        <f t="shared" si="1"/>
        <v>0</v>
      </c>
      <c r="I34" s="77"/>
      <c r="J34" s="78"/>
      <c r="K34" s="78"/>
      <c r="L34" s="79"/>
      <c r="M34" s="109">
        <f t="shared" si="0"/>
        <v>0</v>
      </c>
      <c r="N34" s="80">
        <f t="shared" si="2"/>
        <v>0</v>
      </c>
    </row>
    <row r="35" spans="2:14" ht="15" customHeight="1" x14ac:dyDescent="0.2">
      <c r="B35" s="94"/>
      <c r="C35" s="89"/>
      <c r="D35" s="75"/>
      <c r="E35" s="111"/>
      <c r="F35" s="89"/>
      <c r="G35" s="76"/>
      <c r="H35" s="197">
        <f t="shared" si="1"/>
        <v>0</v>
      </c>
      <c r="I35" s="77"/>
      <c r="J35" s="78"/>
      <c r="K35" s="78"/>
      <c r="L35" s="79"/>
      <c r="M35" s="109">
        <f t="shared" si="0"/>
        <v>0</v>
      </c>
      <c r="N35" s="80">
        <f t="shared" si="2"/>
        <v>0</v>
      </c>
    </row>
    <row r="36" spans="2:14" ht="15" customHeight="1" x14ac:dyDescent="0.2">
      <c r="B36" s="94"/>
      <c r="C36" s="89"/>
      <c r="D36" s="75"/>
      <c r="E36" s="111"/>
      <c r="F36" s="89"/>
      <c r="G36" s="76"/>
      <c r="H36" s="197">
        <f t="shared" si="1"/>
        <v>0</v>
      </c>
      <c r="I36" s="77"/>
      <c r="J36" s="78"/>
      <c r="K36" s="78"/>
      <c r="L36" s="79"/>
      <c r="M36" s="109">
        <f t="shared" si="0"/>
        <v>0</v>
      </c>
      <c r="N36" s="80">
        <f t="shared" si="2"/>
        <v>0</v>
      </c>
    </row>
    <row r="37" spans="2:14" ht="15" customHeight="1" x14ac:dyDescent="0.2">
      <c r="B37" s="94"/>
      <c r="C37" s="89"/>
      <c r="D37" s="75"/>
      <c r="E37" s="111"/>
      <c r="F37" s="89"/>
      <c r="G37" s="76"/>
      <c r="H37" s="197">
        <f t="shared" si="1"/>
        <v>0</v>
      </c>
      <c r="I37" s="77"/>
      <c r="J37" s="78"/>
      <c r="K37" s="78"/>
      <c r="L37" s="79"/>
      <c r="M37" s="109">
        <f t="shared" si="0"/>
        <v>0</v>
      </c>
      <c r="N37" s="80">
        <f t="shared" si="2"/>
        <v>0</v>
      </c>
    </row>
    <row r="38" spans="2:14" ht="15" customHeight="1" x14ac:dyDescent="0.2">
      <c r="B38" s="94"/>
      <c r="C38" s="89"/>
      <c r="D38" s="75"/>
      <c r="E38" s="111"/>
      <c r="F38" s="89"/>
      <c r="G38" s="76"/>
      <c r="H38" s="197">
        <f t="shared" si="1"/>
        <v>0</v>
      </c>
      <c r="I38" s="77"/>
      <c r="J38" s="78"/>
      <c r="K38" s="78"/>
      <c r="L38" s="79"/>
      <c r="M38" s="109">
        <f t="shared" si="0"/>
        <v>0</v>
      </c>
      <c r="N38" s="80">
        <f t="shared" si="2"/>
        <v>0</v>
      </c>
    </row>
    <row r="39" spans="2:14" ht="15" customHeight="1" x14ac:dyDescent="0.2">
      <c r="B39" s="94"/>
      <c r="C39" s="89"/>
      <c r="D39" s="75"/>
      <c r="E39" s="111"/>
      <c r="F39" s="89"/>
      <c r="G39" s="76"/>
      <c r="H39" s="197">
        <f t="shared" si="1"/>
        <v>0</v>
      </c>
      <c r="I39" s="77"/>
      <c r="J39" s="78"/>
      <c r="K39" s="78"/>
      <c r="L39" s="79"/>
      <c r="M39" s="109">
        <f t="shared" si="0"/>
        <v>0</v>
      </c>
      <c r="N39" s="80">
        <f t="shared" si="2"/>
        <v>0</v>
      </c>
    </row>
    <row r="40" spans="2:14" ht="15" customHeight="1" x14ac:dyDescent="0.2">
      <c r="B40" s="94"/>
      <c r="C40" s="89"/>
      <c r="D40" s="75"/>
      <c r="E40" s="111"/>
      <c r="F40" s="89"/>
      <c r="G40" s="76"/>
      <c r="H40" s="197">
        <f t="shared" si="1"/>
        <v>0</v>
      </c>
      <c r="I40" s="77"/>
      <c r="J40" s="78"/>
      <c r="K40" s="78"/>
      <c r="L40" s="79"/>
      <c r="M40" s="109">
        <f t="shared" si="0"/>
        <v>0</v>
      </c>
      <c r="N40" s="80">
        <f t="shared" si="2"/>
        <v>0</v>
      </c>
    </row>
    <row r="41" spans="2:14" ht="15" customHeight="1" x14ac:dyDescent="0.2">
      <c r="B41" s="94"/>
      <c r="C41" s="89"/>
      <c r="D41" s="75"/>
      <c r="E41" s="111"/>
      <c r="F41" s="89"/>
      <c r="G41" s="76"/>
      <c r="H41" s="197">
        <f t="shared" si="1"/>
        <v>0</v>
      </c>
      <c r="I41" s="77"/>
      <c r="J41" s="78"/>
      <c r="K41" s="78"/>
      <c r="L41" s="79"/>
      <c r="M41" s="109">
        <f t="shared" si="0"/>
        <v>0</v>
      </c>
      <c r="N41" s="80">
        <f t="shared" si="2"/>
        <v>0</v>
      </c>
    </row>
    <row r="42" spans="2:14" ht="15" customHeight="1" x14ac:dyDescent="0.2">
      <c r="B42" s="94"/>
      <c r="C42" s="89"/>
      <c r="D42" s="75"/>
      <c r="E42" s="111"/>
      <c r="F42" s="89"/>
      <c r="G42" s="76"/>
      <c r="H42" s="197">
        <f t="shared" si="1"/>
        <v>0</v>
      </c>
      <c r="I42" s="77"/>
      <c r="J42" s="78"/>
      <c r="K42" s="78"/>
      <c r="L42" s="79"/>
      <c r="M42" s="109">
        <f t="shared" si="0"/>
        <v>0</v>
      </c>
      <c r="N42" s="80">
        <f t="shared" si="2"/>
        <v>0</v>
      </c>
    </row>
    <row r="43" spans="2:14" ht="15" customHeight="1" x14ac:dyDescent="0.2">
      <c r="B43" s="94"/>
      <c r="C43" s="89"/>
      <c r="D43" s="75"/>
      <c r="E43" s="111"/>
      <c r="F43" s="89"/>
      <c r="G43" s="76"/>
      <c r="H43" s="197">
        <f t="shared" si="1"/>
        <v>0</v>
      </c>
      <c r="I43" s="77"/>
      <c r="J43" s="78"/>
      <c r="K43" s="78"/>
      <c r="L43" s="79"/>
      <c r="M43" s="109">
        <f t="shared" si="0"/>
        <v>0</v>
      </c>
      <c r="N43" s="80">
        <f t="shared" si="2"/>
        <v>0</v>
      </c>
    </row>
    <row r="44" spans="2:14" ht="15" customHeight="1" x14ac:dyDescent="0.2">
      <c r="B44" s="94"/>
      <c r="C44" s="89"/>
      <c r="D44" s="75"/>
      <c r="E44" s="111"/>
      <c r="F44" s="89"/>
      <c r="G44" s="76"/>
      <c r="H44" s="197">
        <f t="shared" si="1"/>
        <v>0</v>
      </c>
      <c r="I44" s="77"/>
      <c r="J44" s="78"/>
      <c r="K44" s="78"/>
      <c r="L44" s="79"/>
      <c r="M44" s="109">
        <f t="shared" si="0"/>
        <v>0</v>
      </c>
      <c r="N44" s="80">
        <f t="shared" si="2"/>
        <v>0</v>
      </c>
    </row>
    <row r="45" spans="2:14" ht="15" customHeight="1" x14ac:dyDescent="0.2">
      <c r="B45" s="94"/>
      <c r="C45" s="89"/>
      <c r="D45" s="75"/>
      <c r="E45" s="111"/>
      <c r="F45" s="89"/>
      <c r="G45" s="76"/>
      <c r="H45" s="197">
        <f t="shared" si="1"/>
        <v>0</v>
      </c>
      <c r="I45" s="77"/>
      <c r="J45" s="78"/>
      <c r="K45" s="78"/>
      <c r="L45" s="79"/>
      <c r="M45" s="109">
        <f t="shared" si="0"/>
        <v>0</v>
      </c>
      <c r="N45" s="80">
        <f t="shared" si="2"/>
        <v>0</v>
      </c>
    </row>
    <row r="46" spans="2:14" ht="15" customHeight="1" x14ac:dyDescent="0.2">
      <c r="B46" s="94"/>
      <c r="C46" s="89"/>
      <c r="D46" s="75"/>
      <c r="E46" s="111"/>
      <c r="F46" s="89"/>
      <c r="G46" s="76"/>
      <c r="H46" s="197">
        <f t="shared" si="1"/>
        <v>0</v>
      </c>
      <c r="I46" s="77"/>
      <c r="J46" s="78"/>
      <c r="K46" s="78"/>
      <c r="L46" s="79"/>
      <c r="M46" s="109">
        <f t="shared" si="0"/>
        <v>0</v>
      </c>
      <c r="N46" s="80">
        <f t="shared" si="2"/>
        <v>0</v>
      </c>
    </row>
    <row r="47" spans="2:14" ht="15" customHeight="1" x14ac:dyDescent="0.2">
      <c r="B47" s="94"/>
      <c r="C47" s="89"/>
      <c r="D47" s="75"/>
      <c r="E47" s="111"/>
      <c r="F47" s="89"/>
      <c r="G47" s="76"/>
      <c r="H47" s="197">
        <f t="shared" si="1"/>
        <v>0</v>
      </c>
      <c r="I47" s="77"/>
      <c r="J47" s="78"/>
      <c r="K47" s="78"/>
      <c r="L47" s="79"/>
      <c r="M47" s="109">
        <f t="shared" si="0"/>
        <v>0</v>
      </c>
      <c r="N47" s="80">
        <f t="shared" si="2"/>
        <v>0</v>
      </c>
    </row>
    <row r="48" spans="2:14" ht="15" customHeight="1" x14ac:dyDescent="0.2">
      <c r="B48" s="94"/>
      <c r="C48" s="89"/>
      <c r="D48" s="75"/>
      <c r="E48" s="111"/>
      <c r="F48" s="89"/>
      <c r="G48" s="76"/>
      <c r="H48" s="197">
        <f t="shared" si="1"/>
        <v>0</v>
      </c>
      <c r="I48" s="77"/>
      <c r="J48" s="78"/>
      <c r="K48" s="78"/>
      <c r="L48" s="79"/>
      <c r="M48" s="109">
        <f t="shared" si="0"/>
        <v>0</v>
      </c>
      <c r="N48" s="80">
        <f t="shared" si="2"/>
        <v>0</v>
      </c>
    </row>
    <row r="49" spans="2:14" ht="15" customHeight="1" x14ac:dyDescent="0.2">
      <c r="B49" s="94"/>
      <c r="C49" s="89"/>
      <c r="D49" s="75"/>
      <c r="E49" s="111"/>
      <c r="F49" s="89"/>
      <c r="G49" s="76"/>
      <c r="H49" s="197">
        <f t="shared" si="1"/>
        <v>0</v>
      </c>
      <c r="I49" s="77"/>
      <c r="J49" s="78"/>
      <c r="K49" s="78"/>
      <c r="L49" s="79"/>
      <c r="M49" s="109">
        <f t="shared" si="0"/>
        <v>0</v>
      </c>
      <c r="N49" s="80">
        <f t="shared" si="2"/>
        <v>0</v>
      </c>
    </row>
    <row r="50" spans="2:14" ht="15" customHeight="1" x14ac:dyDescent="0.2">
      <c r="B50" s="94"/>
      <c r="C50" s="89"/>
      <c r="D50" s="75"/>
      <c r="E50" s="111"/>
      <c r="F50" s="89"/>
      <c r="G50" s="76"/>
      <c r="H50" s="197">
        <f t="shared" si="1"/>
        <v>0</v>
      </c>
      <c r="I50" s="77"/>
      <c r="J50" s="78"/>
      <c r="K50" s="78"/>
      <c r="L50" s="79"/>
      <c r="M50" s="109">
        <f t="shared" si="0"/>
        <v>0</v>
      </c>
      <c r="N50" s="80">
        <f t="shared" si="2"/>
        <v>0</v>
      </c>
    </row>
    <row r="51" spans="2:14" ht="15" customHeight="1" x14ac:dyDescent="0.2">
      <c r="B51" s="94"/>
      <c r="C51" s="89"/>
      <c r="D51" s="75"/>
      <c r="E51" s="111"/>
      <c r="F51" s="89"/>
      <c r="G51" s="76"/>
      <c r="H51" s="197">
        <f t="shared" si="1"/>
        <v>0</v>
      </c>
      <c r="I51" s="77"/>
      <c r="J51" s="78"/>
      <c r="K51" s="78"/>
      <c r="L51" s="79"/>
      <c r="M51" s="109">
        <f t="shared" si="0"/>
        <v>0</v>
      </c>
      <c r="N51" s="80">
        <f t="shared" si="2"/>
        <v>0</v>
      </c>
    </row>
    <row r="52" spans="2:14" ht="15" customHeight="1" x14ac:dyDescent="0.2">
      <c r="B52" s="94"/>
      <c r="C52" s="89"/>
      <c r="D52" s="75"/>
      <c r="E52" s="111"/>
      <c r="F52" s="89"/>
      <c r="G52" s="76"/>
      <c r="H52" s="197">
        <f t="shared" si="1"/>
        <v>0</v>
      </c>
      <c r="I52" s="77"/>
      <c r="J52" s="78"/>
      <c r="K52" s="78"/>
      <c r="L52" s="79"/>
      <c r="M52" s="109">
        <f t="shared" si="0"/>
        <v>0</v>
      </c>
      <c r="N52" s="80">
        <f t="shared" si="2"/>
        <v>0</v>
      </c>
    </row>
    <row r="53" spans="2:14" ht="15" customHeight="1" x14ac:dyDescent="0.2">
      <c r="B53" s="94"/>
      <c r="C53" s="89"/>
      <c r="D53" s="75"/>
      <c r="E53" s="111"/>
      <c r="F53" s="89"/>
      <c r="G53" s="76"/>
      <c r="H53" s="197">
        <f t="shared" si="1"/>
        <v>0</v>
      </c>
      <c r="I53" s="77"/>
      <c r="J53" s="78"/>
      <c r="K53" s="78"/>
      <c r="L53" s="79"/>
      <c r="M53" s="109">
        <f t="shared" si="0"/>
        <v>0</v>
      </c>
      <c r="N53" s="80">
        <f t="shared" si="2"/>
        <v>0</v>
      </c>
    </row>
    <row r="54" spans="2:14" ht="15" customHeight="1" x14ac:dyDescent="0.2">
      <c r="B54" s="94"/>
      <c r="C54" s="89"/>
      <c r="D54" s="75"/>
      <c r="E54" s="111"/>
      <c r="F54" s="89"/>
      <c r="G54" s="76"/>
      <c r="H54" s="197">
        <f t="shared" si="1"/>
        <v>0</v>
      </c>
      <c r="I54" s="77"/>
      <c r="J54" s="78"/>
      <c r="K54" s="78"/>
      <c r="L54" s="79"/>
      <c r="M54" s="109">
        <f t="shared" si="0"/>
        <v>0</v>
      </c>
      <c r="N54" s="80">
        <f t="shared" si="2"/>
        <v>0</v>
      </c>
    </row>
    <row r="55" spans="2:14" ht="15" customHeight="1" x14ac:dyDescent="0.2">
      <c r="B55" s="94"/>
      <c r="C55" s="89"/>
      <c r="D55" s="75"/>
      <c r="E55" s="111"/>
      <c r="F55" s="89"/>
      <c r="G55" s="76"/>
      <c r="H55" s="197">
        <f t="shared" si="1"/>
        <v>0</v>
      </c>
      <c r="I55" s="77"/>
      <c r="J55" s="78"/>
      <c r="K55" s="78"/>
      <c r="L55" s="79"/>
      <c r="M55" s="109">
        <f t="shared" si="0"/>
        <v>0</v>
      </c>
      <c r="N55" s="80">
        <f t="shared" si="2"/>
        <v>0</v>
      </c>
    </row>
    <row r="56" spans="2:14" ht="15" customHeight="1" x14ac:dyDescent="0.2">
      <c r="B56" s="94"/>
      <c r="C56" s="89"/>
      <c r="D56" s="75"/>
      <c r="E56" s="111"/>
      <c r="F56" s="89"/>
      <c r="G56" s="76"/>
      <c r="H56" s="197">
        <f t="shared" si="1"/>
        <v>0</v>
      </c>
      <c r="I56" s="77"/>
      <c r="J56" s="78"/>
      <c r="K56" s="78"/>
      <c r="L56" s="79"/>
      <c r="M56" s="109">
        <f t="shared" si="0"/>
        <v>0</v>
      </c>
      <c r="N56" s="80">
        <f t="shared" si="2"/>
        <v>0</v>
      </c>
    </row>
    <row r="57" spans="2:14" ht="15" customHeight="1" x14ac:dyDescent="0.2">
      <c r="B57" s="94"/>
      <c r="C57" s="89"/>
      <c r="D57" s="75"/>
      <c r="E57" s="111"/>
      <c r="F57" s="89"/>
      <c r="G57" s="76"/>
      <c r="H57" s="197">
        <f t="shared" si="1"/>
        <v>0</v>
      </c>
      <c r="I57" s="77"/>
      <c r="J57" s="78"/>
      <c r="K57" s="78"/>
      <c r="L57" s="79"/>
      <c r="M57" s="109">
        <f t="shared" si="0"/>
        <v>0</v>
      </c>
      <c r="N57" s="80">
        <f t="shared" si="2"/>
        <v>0</v>
      </c>
    </row>
    <row r="58" spans="2:14" ht="15" customHeight="1" x14ac:dyDescent="0.2">
      <c r="B58" s="94"/>
      <c r="C58" s="89"/>
      <c r="D58" s="75"/>
      <c r="E58" s="111"/>
      <c r="F58" s="89"/>
      <c r="G58" s="76"/>
      <c r="H58" s="197">
        <f t="shared" si="1"/>
        <v>0</v>
      </c>
      <c r="I58" s="77"/>
      <c r="J58" s="78"/>
      <c r="K58" s="78"/>
      <c r="L58" s="79"/>
      <c r="M58" s="109">
        <f t="shared" si="0"/>
        <v>0</v>
      </c>
      <c r="N58" s="80">
        <f t="shared" si="2"/>
        <v>0</v>
      </c>
    </row>
    <row r="59" spans="2:14" ht="15" customHeight="1" x14ac:dyDescent="0.2">
      <c r="B59" s="94"/>
      <c r="C59" s="89"/>
      <c r="D59" s="75"/>
      <c r="E59" s="111"/>
      <c r="F59" s="89"/>
      <c r="G59" s="76"/>
      <c r="H59" s="197">
        <f t="shared" si="1"/>
        <v>0</v>
      </c>
      <c r="I59" s="77"/>
      <c r="J59" s="78"/>
      <c r="K59" s="78"/>
      <c r="L59" s="79"/>
      <c r="M59" s="109">
        <f t="shared" si="0"/>
        <v>0</v>
      </c>
      <c r="N59" s="80">
        <f t="shared" si="2"/>
        <v>0</v>
      </c>
    </row>
    <row r="60" spans="2:14" ht="15" customHeight="1" x14ac:dyDescent="0.2">
      <c r="B60" s="94"/>
      <c r="C60" s="89"/>
      <c r="D60" s="75"/>
      <c r="E60" s="111"/>
      <c r="F60" s="89"/>
      <c r="G60" s="76"/>
      <c r="H60" s="197">
        <f t="shared" si="1"/>
        <v>0</v>
      </c>
      <c r="I60" s="77"/>
      <c r="J60" s="78"/>
      <c r="K60" s="78"/>
      <c r="L60" s="79"/>
      <c r="M60" s="109">
        <f t="shared" si="0"/>
        <v>0</v>
      </c>
      <c r="N60" s="80">
        <f t="shared" si="2"/>
        <v>0</v>
      </c>
    </row>
    <row r="61" spans="2:14" ht="15" customHeight="1" x14ac:dyDescent="0.2">
      <c r="B61" s="94"/>
      <c r="C61" s="89"/>
      <c r="D61" s="75"/>
      <c r="E61" s="111"/>
      <c r="F61" s="89"/>
      <c r="G61" s="76"/>
      <c r="H61" s="197">
        <f t="shared" si="1"/>
        <v>0</v>
      </c>
      <c r="I61" s="77"/>
      <c r="J61" s="78"/>
      <c r="K61" s="78"/>
      <c r="L61" s="79"/>
      <c r="M61" s="109">
        <f t="shared" si="0"/>
        <v>0</v>
      </c>
      <c r="N61" s="80">
        <f t="shared" si="2"/>
        <v>0</v>
      </c>
    </row>
    <row r="62" spans="2:14" ht="15" customHeight="1" x14ac:dyDescent="0.2">
      <c r="B62" s="94"/>
      <c r="C62" s="89"/>
      <c r="D62" s="75"/>
      <c r="E62" s="111"/>
      <c r="F62" s="89"/>
      <c r="G62" s="76"/>
      <c r="H62" s="197">
        <f t="shared" si="1"/>
        <v>0</v>
      </c>
      <c r="I62" s="77"/>
      <c r="J62" s="78"/>
      <c r="K62" s="78"/>
      <c r="L62" s="79"/>
      <c r="M62" s="109">
        <f t="shared" si="0"/>
        <v>0</v>
      </c>
      <c r="N62" s="80">
        <f t="shared" si="2"/>
        <v>0</v>
      </c>
    </row>
    <row r="63" spans="2:14" ht="15" customHeight="1" x14ac:dyDescent="0.2">
      <c r="B63" s="94"/>
      <c r="C63" s="89"/>
      <c r="D63" s="75"/>
      <c r="E63" s="111"/>
      <c r="F63" s="89"/>
      <c r="G63" s="76"/>
      <c r="H63" s="197">
        <f t="shared" si="1"/>
        <v>0</v>
      </c>
      <c r="I63" s="77"/>
      <c r="J63" s="78"/>
      <c r="K63" s="78"/>
      <c r="L63" s="79"/>
      <c r="M63" s="109">
        <f t="shared" si="0"/>
        <v>0</v>
      </c>
      <c r="N63" s="80">
        <f t="shared" si="2"/>
        <v>0</v>
      </c>
    </row>
    <row r="64" spans="2:14" ht="15" customHeight="1" x14ac:dyDescent="0.2">
      <c r="B64" s="94"/>
      <c r="C64" s="89"/>
      <c r="D64" s="75"/>
      <c r="E64" s="111"/>
      <c r="F64" s="89"/>
      <c r="G64" s="76"/>
      <c r="H64" s="197">
        <f t="shared" si="1"/>
        <v>0</v>
      </c>
      <c r="I64" s="77"/>
      <c r="J64" s="78"/>
      <c r="K64" s="78"/>
      <c r="L64" s="79"/>
      <c r="M64" s="109">
        <f t="shared" si="0"/>
        <v>0</v>
      </c>
      <c r="N64" s="80">
        <f t="shared" si="2"/>
        <v>0</v>
      </c>
    </row>
    <row r="65" spans="2:14" ht="15" customHeight="1" x14ac:dyDescent="0.2">
      <c r="B65" s="94"/>
      <c r="C65" s="89"/>
      <c r="D65" s="75"/>
      <c r="E65" s="111"/>
      <c r="F65" s="89"/>
      <c r="G65" s="76"/>
      <c r="H65" s="197">
        <f t="shared" si="1"/>
        <v>0</v>
      </c>
      <c r="I65" s="77"/>
      <c r="J65" s="78"/>
      <c r="K65" s="78"/>
      <c r="L65" s="79"/>
      <c r="M65" s="109">
        <f t="shared" si="0"/>
        <v>0</v>
      </c>
      <c r="N65" s="80">
        <f t="shared" si="2"/>
        <v>0</v>
      </c>
    </row>
    <row r="66" spans="2:14" ht="15" customHeight="1" thickBot="1" x14ac:dyDescent="0.25">
      <c r="B66" s="95"/>
      <c r="C66" s="90"/>
      <c r="D66" s="81"/>
      <c r="E66" s="112"/>
      <c r="F66" s="90"/>
      <c r="G66" s="82"/>
      <c r="H66" s="198">
        <f t="shared" si="1"/>
        <v>0</v>
      </c>
      <c r="I66" s="83"/>
      <c r="J66" s="84"/>
      <c r="K66" s="84"/>
      <c r="L66" s="85"/>
      <c r="M66" s="110">
        <f t="shared" si="0"/>
        <v>0</v>
      </c>
      <c r="N66" s="86">
        <f t="shared" si="2"/>
        <v>0</v>
      </c>
    </row>
    <row r="67" spans="2:14" ht="13.5" thickBot="1" x14ac:dyDescent="0.25"/>
    <row r="68" spans="2:14" ht="23.25" thickBot="1" x14ac:dyDescent="0.25">
      <c r="B68" s="442" t="s">
        <v>7</v>
      </c>
      <c r="C68" s="443"/>
      <c r="D68" s="443"/>
      <c r="E68" s="443"/>
      <c r="F68" s="444"/>
    </row>
    <row r="69" spans="2:14" ht="14.25" thickBot="1" x14ac:dyDescent="0.3">
      <c r="B69" s="64"/>
      <c r="C69" s="64"/>
      <c r="D69" s="64"/>
      <c r="E69" s="64"/>
      <c r="F69" s="64"/>
    </row>
    <row r="70" spans="2:14" ht="18" customHeight="1" x14ac:dyDescent="0.2">
      <c r="B70" s="407" t="s">
        <v>53</v>
      </c>
      <c r="C70" s="408"/>
      <c r="D70" s="408"/>
      <c r="E70" s="393">
        <f>SUM(N22:N66)</f>
        <v>0</v>
      </c>
      <c r="F70" s="403"/>
    </row>
    <row r="71" spans="2:14" ht="18" customHeight="1" thickBot="1" x14ac:dyDescent="0.25">
      <c r="B71" s="409"/>
      <c r="C71" s="410"/>
      <c r="D71" s="410"/>
      <c r="E71" s="411"/>
      <c r="F71" s="413"/>
    </row>
    <row r="72" spans="2:14" ht="18" customHeight="1" x14ac:dyDescent="0.2">
      <c r="B72" s="398" t="s">
        <v>54</v>
      </c>
      <c r="C72" s="399"/>
      <c r="D72" s="399"/>
      <c r="E72" s="393">
        <f>SUM(G22:K66)</f>
        <v>0</v>
      </c>
      <c r="F72" s="403"/>
    </row>
    <row r="73" spans="2:14" ht="18" customHeight="1" thickBot="1" x14ac:dyDescent="0.25">
      <c r="B73" s="400"/>
      <c r="C73" s="401"/>
      <c r="D73" s="401"/>
      <c r="E73" s="404"/>
      <c r="F73" s="406"/>
    </row>
    <row r="74" spans="2:14" ht="18" customHeight="1" x14ac:dyDescent="0.2">
      <c r="B74" s="389" t="s">
        <v>55</v>
      </c>
      <c r="C74" s="390"/>
      <c r="D74" s="390"/>
      <c r="E74" s="429">
        <f>SUM(L22:L66)</f>
        <v>0</v>
      </c>
      <c r="F74" s="413"/>
      <c r="G74" s="381" t="s">
        <v>57</v>
      </c>
      <c r="H74" s="382"/>
      <c r="I74" s="382"/>
      <c r="J74" s="382"/>
      <c r="K74" s="383"/>
    </row>
    <row r="75" spans="2:14" ht="18" customHeight="1" thickBot="1" x14ac:dyDescent="0.25">
      <c r="B75" s="391"/>
      <c r="C75" s="392"/>
      <c r="D75" s="392"/>
      <c r="E75" s="404"/>
      <c r="F75" s="406"/>
      <c r="G75" s="384"/>
      <c r="H75" s="385"/>
      <c r="I75" s="385"/>
      <c r="J75" s="385"/>
      <c r="K75" s="386"/>
    </row>
    <row r="76" spans="2:14" ht="14.25" thickBot="1" x14ac:dyDescent="0.3">
      <c r="B76" s="64"/>
      <c r="C76" s="64"/>
      <c r="D76" s="64"/>
      <c r="E76" s="64"/>
      <c r="F76" s="64"/>
    </row>
    <row r="77" spans="2:14" ht="18" customHeight="1" x14ac:dyDescent="0.2">
      <c r="B77" s="423" t="s">
        <v>72</v>
      </c>
      <c r="C77" s="424"/>
      <c r="D77" s="424"/>
      <c r="E77" s="393">
        <f>SUMIF(B22:B66,"WDO",N22:N66)+SUMIF(B22:B66,"DOL",N22:N66)</f>
        <v>0</v>
      </c>
      <c r="F77" s="403"/>
    </row>
    <row r="78" spans="2:14" ht="18" customHeight="1" thickBot="1" x14ac:dyDescent="0.25">
      <c r="B78" s="425"/>
      <c r="C78" s="426"/>
      <c r="D78" s="426"/>
      <c r="E78" s="404"/>
      <c r="F78" s="406"/>
    </row>
    <row r="79" spans="2:14" ht="18" customHeight="1" x14ac:dyDescent="0.2">
      <c r="B79" s="423" t="s">
        <v>73</v>
      </c>
      <c r="C79" s="424"/>
      <c r="D79" s="424"/>
      <c r="E79" s="429">
        <f>SUMIF(B22:B66,"WIN",N22:N66)+SUMIF(B22:B66,"IND",N22:N66)</f>
        <v>0</v>
      </c>
      <c r="F79" s="413"/>
    </row>
    <row r="80" spans="2:14" ht="18" customHeight="1" thickBot="1" x14ac:dyDescent="0.25">
      <c r="B80" s="427"/>
      <c r="C80" s="428"/>
      <c r="D80" s="428"/>
      <c r="E80" s="404"/>
      <c r="F80" s="406"/>
    </row>
    <row r="91" spans="2:2" hidden="1" x14ac:dyDescent="0.2">
      <c r="B91" s="62" t="s">
        <v>86</v>
      </c>
    </row>
    <row r="92" spans="2:2" hidden="1" x14ac:dyDescent="0.2">
      <c r="B92" s="62" t="s">
        <v>87</v>
      </c>
    </row>
    <row r="93" spans="2:2" hidden="1" x14ac:dyDescent="0.2">
      <c r="B93" s="62" t="s">
        <v>91</v>
      </c>
    </row>
    <row r="94" spans="2:2" hidden="1" x14ac:dyDescent="0.2">
      <c r="B94" s="62" t="s">
        <v>92</v>
      </c>
    </row>
  </sheetData>
  <mergeCells count="29">
    <mergeCell ref="B3:M5"/>
    <mergeCell ref="B7:E7"/>
    <mergeCell ref="B19:B21"/>
    <mergeCell ref="C19:C21"/>
    <mergeCell ref="D19:D21"/>
    <mergeCell ref="L16:L21"/>
    <mergeCell ref="M16:M21"/>
    <mergeCell ref="G16:K18"/>
    <mergeCell ref="B10:D11"/>
    <mergeCell ref="G19:G21"/>
    <mergeCell ref="F19:F21"/>
    <mergeCell ref="E19:E21"/>
    <mergeCell ref="J19:J21"/>
    <mergeCell ref="H19:H20"/>
    <mergeCell ref="N16:N21"/>
    <mergeCell ref="I19:I21"/>
    <mergeCell ref="K19:K21"/>
    <mergeCell ref="B79:D80"/>
    <mergeCell ref="E79:F80"/>
    <mergeCell ref="G74:K75"/>
    <mergeCell ref="B72:D73"/>
    <mergeCell ref="B74:D75"/>
    <mergeCell ref="E72:F73"/>
    <mergeCell ref="E74:F75"/>
    <mergeCell ref="B77:D78"/>
    <mergeCell ref="E77:F78"/>
    <mergeCell ref="B70:D71"/>
    <mergeCell ref="E70:F71"/>
    <mergeCell ref="B68:F68"/>
  </mergeCells>
  <conditionalFormatting sqref="N22:N66">
    <cfRule type="cellIs" dxfId="6" priority="3" stopIfTrue="1" operator="greaterThan">
      <formula>0</formula>
    </cfRule>
    <cfRule type="cellIs" dxfId="5" priority="4" stopIfTrue="1" operator="lessThan">
      <formula>0</formula>
    </cfRule>
  </conditionalFormatting>
  <dataValidations count="1">
    <dataValidation type="list" allowBlank="1" showInputMessage="1" showErrorMessage="1" promptTitle="Selecione" prompt="Selecione o Tipo de Contrato" sqref="B22:B66">
      <formula1>$B$91:$B$94</formula1>
    </dataValidation>
  </dataValidations>
  <pageMargins left="0.39370078740157483" right="0.39370078740157483" top="0.39370078740157483" bottom="0.39370078740157483" header="0.39370078740157483" footer="0.39370078740157483"/>
  <pageSetup paperSize="9" scale="46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>
    <pageSetUpPr fitToPage="1"/>
  </sheetPr>
  <dimension ref="A1:V60"/>
  <sheetViews>
    <sheetView zoomScale="75" zoomScaleNormal="75" workbookViewId="0">
      <pane ySplit="4" topLeftCell="A5" activePane="bottomLeft" state="frozen"/>
      <selection pane="bottomLeft" activeCell="N2" sqref="N2:Q3"/>
    </sheetView>
  </sheetViews>
  <sheetFormatPr defaultColWidth="9.140625" defaultRowHeight="12.75" x14ac:dyDescent="0.2"/>
  <cols>
    <col min="1" max="26" width="11.5703125" style="37" customWidth="1"/>
    <col min="27" max="16384" width="9.140625" style="37"/>
  </cols>
  <sheetData>
    <row r="1" spans="1:22" ht="13.5" thickBo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8" customHeight="1" thickBot="1" x14ac:dyDescent="0.25">
      <c r="A2" s="1"/>
      <c r="B2" s="241" t="s">
        <v>11</v>
      </c>
      <c r="C2" s="242"/>
      <c r="D2" s="242"/>
      <c r="E2" s="243"/>
      <c r="F2" s="1"/>
      <c r="G2" s="244" t="s">
        <v>32</v>
      </c>
      <c r="H2" s="245"/>
      <c r="I2" s="245"/>
      <c r="J2" s="245"/>
      <c r="K2" s="245"/>
      <c r="L2" s="246"/>
      <c r="M2" s="1"/>
      <c r="N2" s="236"/>
      <c r="O2" s="237"/>
      <c r="P2" s="237"/>
      <c r="Q2" s="237"/>
      <c r="S2" s="1"/>
      <c r="T2" s="1"/>
      <c r="U2" s="1"/>
      <c r="V2" s="1"/>
    </row>
    <row r="3" spans="1:22" ht="18" customHeight="1" thickBot="1" x14ac:dyDescent="0.25">
      <c r="A3" s="1"/>
      <c r="B3" s="60" t="s">
        <v>0</v>
      </c>
      <c r="C3" s="31">
        <f>'Operações Normais'!C3</f>
        <v>6</v>
      </c>
      <c r="D3" s="60" t="s">
        <v>1</v>
      </c>
      <c r="E3" s="38">
        <f>'Operações Normais'!E3</f>
        <v>2020</v>
      </c>
      <c r="F3" s="30"/>
      <c r="G3" s="247"/>
      <c r="H3" s="248"/>
      <c r="I3" s="248"/>
      <c r="J3" s="248"/>
      <c r="K3" s="248"/>
      <c r="L3" s="249"/>
      <c r="M3" s="30"/>
      <c r="N3" s="237"/>
      <c r="O3" s="237"/>
      <c r="P3" s="237"/>
      <c r="Q3" s="237"/>
      <c r="S3" s="1"/>
      <c r="T3" s="1"/>
      <c r="U3" s="1"/>
      <c r="V3" s="1"/>
    </row>
    <row r="4" spans="1:22" ht="18" customHeight="1" x14ac:dyDescent="0.25">
      <c r="A4" s="1"/>
      <c r="B4" s="1"/>
      <c r="C4" s="1"/>
      <c r="D4" s="1"/>
      <c r="E4" s="1"/>
      <c r="F4" s="1"/>
      <c r="G4" s="34"/>
      <c r="H4" s="34"/>
      <c r="I4" s="34"/>
      <c r="J4" s="34"/>
      <c r="K4" s="1"/>
      <c r="L4" s="1"/>
      <c r="M4" s="2"/>
      <c r="N4" s="1"/>
      <c r="O4" s="1"/>
      <c r="P4" s="1"/>
      <c r="Q4" s="1"/>
      <c r="R4" s="1"/>
      <c r="S4" s="1"/>
      <c r="T4" s="1"/>
      <c r="U4" s="1"/>
      <c r="V4" s="1"/>
    </row>
    <row r="5" spans="1:22" ht="12.75" customHeight="1" thickBot="1" x14ac:dyDescent="0.25"/>
    <row r="6" spans="1:22" ht="12.75" customHeight="1" x14ac:dyDescent="0.2">
      <c r="F6" s="597" t="s">
        <v>21</v>
      </c>
      <c r="G6" s="598"/>
      <c r="H6" s="598"/>
      <c r="I6" s="598"/>
      <c r="J6" s="598" t="s">
        <v>16</v>
      </c>
      <c r="K6" s="598"/>
      <c r="L6" s="598"/>
      <c r="M6" s="598"/>
      <c r="N6" s="598" t="s">
        <v>22</v>
      </c>
      <c r="O6" s="598"/>
      <c r="P6" s="598"/>
      <c r="Q6" s="621"/>
    </row>
    <row r="7" spans="1:22" ht="12.75" customHeight="1" x14ac:dyDescent="0.2">
      <c r="F7" s="599"/>
      <c r="G7" s="600"/>
      <c r="H7" s="600"/>
      <c r="I7" s="600"/>
      <c r="J7" s="600"/>
      <c r="K7" s="600"/>
      <c r="L7" s="600"/>
      <c r="M7" s="600"/>
      <c r="N7" s="600"/>
      <c r="O7" s="600"/>
      <c r="P7" s="600"/>
      <c r="Q7" s="622"/>
    </row>
    <row r="8" spans="1:22" ht="12.75" customHeight="1" thickBot="1" x14ac:dyDescent="0.25">
      <c r="F8" s="601"/>
      <c r="G8" s="602"/>
      <c r="H8" s="602"/>
      <c r="I8" s="602"/>
      <c r="J8" s="600"/>
      <c r="K8" s="600"/>
      <c r="L8" s="600"/>
      <c r="M8" s="600"/>
      <c r="N8" s="600"/>
      <c r="O8" s="600"/>
      <c r="P8" s="600"/>
      <c r="Q8" s="622"/>
    </row>
    <row r="9" spans="1:22" ht="12.75" customHeight="1" x14ac:dyDescent="0.2">
      <c r="B9" s="604" t="s">
        <v>13</v>
      </c>
      <c r="C9" s="605"/>
      <c r="D9" s="605"/>
      <c r="E9" s="605"/>
      <c r="F9" s="525"/>
      <c r="G9" s="594"/>
      <c r="H9" s="594"/>
      <c r="I9" s="594"/>
      <c r="J9" s="595">
        <f>SUM('Operações Normais'!E57:H59,'Operações Normais'!I73:K75,'Normais Índice e Dólar'!E55)</f>
        <v>0</v>
      </c>
      <c r="K9" s="596"/>
      <c r="L9" s="596"/>
      <c r="M9" s="596"/>
      <c r="N9" s="532">
        <f>IF(AND(F24="SIM",(J9-F9)&lt;0),J9-F9,IF(AND(F24="NÃO",'Operações Normais'!E57&gt;=0,('Operações Normais'!I73+'Normais Índice e Dólar'!E55-F9)&lt;0),'Operações Normais'!I73+'Normais Índice e Dólar'!E55-F9,IF(AND('Operações Normais'!E57&lt;0,(J9-F9)&lt;0),J9-F9,0)))</f>
        <v>0</v>
      </c>
      <c r="O9" s="623"/>
      <c r="P9" s="623"/>
      <c r="Q9" s="624"/>
    </row>
    <row r="10" spans="1:22" ht="12.75" customHeight="1" x14ac:dyDescent="0.2">
      <c r="B10" s="606"/>
      <c r="C10" s="607"/>
      <c r="D10" s="607"/>
      <c r="E10" s="607"/>
      <c r="F10" s="594"/>
      <c r="G10" s="594"/>
      <c r="H10" s="594"/>
      <c r="I10" s="594"/>
      <c r="J10" s="596"/>
      <c r="K10" s="596"/>
      <c r="L10" s="596"/>
      <c r="M10" s="596"/>
      <c r="N10" s="623"/>
      <c r="O10" s="623"/>
      <c r="P10" s="623"/>
      <c r="Q10" s="624"/>
    </row>
    <row r="11" spans="1:22" ht="12.75" customHeight="1" x14ac:dyDescent="0.2">
      <c r="B11" s="606"/>
      <c r="C11" s="607"/>
      <c r="D11" s="607"/>
      <c r="E11" s="607"/>
      <c r="F11" s="594"/>
      <c r="G11" s="594"/>
      <c r="H11" s="594"/>
      <c r="I11" s="594"/>
      <c r="J11" s="596"/>
      <c r="K11" s="596"/>
      <c r="L11" s="596"/>
      <c r="M11" s="596"/>
      <c r="N11" s="623"/>
      <c r="O11" s="623"/>
      <c r="P11" s="623"/>
      <c r="Q11" s="624"/>
    </row>
    <row r="12" spans="1:22" ht="12.75" customHeight="1" x14ac:dyDescent="0.2">
      <c r="B12" s="606" t="s">
        <v>14</v>
      </c>
      <c r="C12" s="607"/>
      <c r="D12" s="607"/>
      <c r="E12" s="607"/>
      <c r="F12" s="525"/>
      <c r="G12" s="525"/>
      <c r="H12" s="525"/>
      <c r="I12" s="525"/>
      <c r="J12" s="595">
        <f>SUM('Operações Day Trade'!E57:H59,'Operações Day Trade'!I73:K75,'Day Trade Índice e Dólar'!E70:F71)</f>
        <v>0</v>
      </c>
      <c r="K12" s="595"/>
      <c r="L12" s="595"/>
      <c r="M12" s="595"/>
      <c r="N12" s="532">
        <f>IF((J12-F12)&lt;0,J12-F12,0)</f>
        <v>0</v>
      </c>
      <c r="O12" s="532"/>
      <c r="P12" s="532"/>
      <c r="Q12" s="535"/>
    </row>
    <row r="13" spans="1:22" ht="12.75" customHeight="1" x14ac:dyDescent="0.2">
      <c r="B13" s="606"/>
      <c r="C13" s="607"/>
      <c r="D13" s="607"/>
      <c r="E13" s="607"/>
      <c r="F13" s="525"/>
      <c r="G13" s="525"/>
      <c r="H13" s="525"/>
      <c r="I13" s="525"/>
      <c r="J13" s="595"/>
      <c r="K13" s="595"/>
      <c r="L13" s="595"/>
      <c r="M13" s="595"/>
      <c r="N13" s="532"/>
      <c r="O13" s="532"/>
      <c r="P13" s="532"/>
      <c r="Q13" s="535"/>
    </row>
    <row r="14" spans="1:22" ht="12.75" customHeight="1" thickBot="1" x14ac:dyDescent="0.25">
      <c r="B14" s="610"/>
      <c r="C14" s="611"/>
      <c r="D14" s="611"/>
      <c r="E14" s="611"/>
      <c r="F14" s="612"/>
      <c r="G14" s="612"/>
      <c r="H14" s="612"/>
      <c r="I14" s="612"/>
      <c r="J14" s="603"/>
      <c r="K14" s="603"/>
      <c r="L14" s="603"/>
      <c r="M14" s="603"/>
      <c r="N14" s="536"/>
      <c r="O14" s="536"/>
      <c r="P14" s="536"/>
      <c r="Q14" s="537"/>
    </row>
    <row r="15" spans="1:22" ht="12.75" customHeight="1" x14ac:dyDescent="0.2"/>
    <row r="16" spans="1:22" ht="12.75" customHeight="1" thickBot="1" x14ac:dyDescent="0.25"/>
    <row r="17" spans="2:17" ht="12.75" customHeight="1" x14ac:dyDescent="0.2">
      <c r="F17" s="608" t="s">
        <v>10</v>
      </c>
      <c r="G17" s="528"/>
      <c r="H17" s="528"/>
      <c r="I17" s="528"/>
      <c r="J17" s="528" t="s">
        <v>18</v>
      </c>
      <c r="K17" s="528"/>
      <c r="L17" s="528"/>
      <c r="M17" s="528"/>
      <c r="N17" s="528" t="s">
        <v>24</v>
      </c>
      <c r="O17" s="528"/>
      <c r="P17" s="528"/>
      <c r="Q17" s="529"/>
    </row>
    <row r="18" spans="2:17" ht="12.75" customHeight="1" x14ac:dyDescent="0.2">
      <c r="F18" s="609"/>
      <c r="G18" s="530"/>
      <c r="H18" s="530"/>
      <c r="I18" s="530"/>
      <c r="J18" s="530"/>
      <c r="K18" s="530"/>
      <c r="L18" s="530"/>
      <c r="M18" s="530"/>
      <c r="N18" s="530"/>
      <c r="O18" s="530"/>
      <c r="P18" s="530"/>
      <c r="Q18" s="531"/>
    </row>
    <row r="19" spans="2:17" ht="12.75" customHeight="1" thickBot="1" x14ac:dyDescent="0.25">
      <c r="F19" s="609"/>
      <c r="G19" s="530"/>
      <c r="H19" s="530"/>
      <c r="I19" s="530"/>
      <c r="J19" s="530"/>
      <c r="K19" s="530"/>
      <c r="L19" s="530"/>
      <c r="M19" s="530"/>
      <c r="N19" s="530"/>
      <c r="O19" s="530"/>
      <c r="P19" s="530"/>
      <c r="Q19" s="531"/>
    </row>
    <row r="20" spans="2:17" ht="12.75" customHeight="1" x14ac:dyDescent="0.2">
      <c r="B20" s="516" t="s">
        <v>17</v>
      </c>
      <c r="C20" s="517"/>
      <c r="D20" s="517"/>
      <c r="E20" s="518"/>
      <c r="F20" s="525"/>
      <c r="G20" s="526"/>
      <c r="H20" s="526"/>
      <c r="I20" s="526"/>
      <c r="J20" s="532">
        <f>SUM('Operações Day Trade'!S49,'Operações Normais'!U49,'Day Trade Índice e Dólar'!E74:F75,'Normais Índice e Dólar'!E59:G60)</f>
        <v>0</v>
      </c>
      <c r="K20" s="533"/>
      <c r="L20" s="533"/>
      <c r="M20" s="533"/>
      <c r="N20" s="532">
        <f>IF((F28+F31-F20-J20)=0,F20+J20,IF(F28+F31-F20-J20&lt;0,F20+J20-F28-F31,0))</f>
        <v>0</v>
      </c>
      <c r="O20" s="533"/>
      <c r="P20" s="533"/>
      <c r="Q20" s="613"/>
    </row>
    <row r="21" spans="2:17" ht="12.75" customHeight="1" x14ac:dyDescent="0.2">
      <c r="B21" s="519"/>
      <c r="C21" s="520"/>
      <c r="D21" s="520"/>
      <c r="E21" s="521"/>
      <c r="F21" s="526"/>
      <c r="G21" s="526"/>
      <c r="H21" s="526"/>
      <c r="I21" s="526"/>
      <c r="J21" s="533"/>
      <c r="K21" s="533"/>
      <c r="L21" s="533"/>
      <c r="M21" s="533"/>
      <c r="N21" s="533"/>
      <c r="O21" s="533"/>
      <c r="P21" s="533"/>
      <c r="Q21" s="613"/>
    </row>
    <row r="22" spans="2:17" ht="12.75" customHeight="1" thickBot="1" x14ac:dyDescent="0.25">
      <c r="B22" s="522"/>
      <c r="C22" s="523"/>
      <c r="D22" s="523"/>
      <c r="E22" s="524"/>
      <c r="F22" s="527"/>
      <c r="G22" s="527"/>
      <c r="H22" s="527"/>
      <c r="I22" s="527"/>
      <c r="J22" s="534"/>
      <c r="K22" s="534"/>
      <c r="L22" s="534"/>
      <c r="M22" s="534"/>
      <c r="N22" s="534"/>
      <c r="O22" s="534"/>
      <c r="P22" s="534"/>
      <c r="Q22" s="614"/>
    </row>
    <row r="23" spans="2:17" ht="12.75" customHeight="1" thickBot="1" x14ac:dyDescent="0.25"/>
    <row r="24" spans="2:17" ht="12.75" customHeight="1" x14ac:dyDescent="0.2">
      <c r="B24" s="584" t="s">
        <v>34</v>
      </c>
      <c r="C24" s="585"/>
      <c r="D24" s="585"/>
      <c r="E24" s="585"/>
      <c r="F24" s="590" t="s">
        <v>69</v>
      </c>
      <c r="G24" s="591"/>
      <c r="H24" s="591"/>
      <c r="I24" s="591"/>
      <c r="J24" s="625" t="s">
        <v>25</v>
      </c>
      <c r="K24" s="625"/>
      <c r="L24" s="625"/>
      <c r="M24" s="625"/>
      <c r="N24" s="615">
        <f>IF(AND(F24="NÃO",'Operações Normais'!E57&gt;0),'Operações Normais'!E57,0)</f>
        <v>0</v>
      </c>
      <c r="O24" s="615"/>
      <c r="P24" s="615"/>
      <c r="Q24" s="616"/>
    </row>
    <row r="25" spans="2:17" ht="12.75" customHeight="1" x14ac:dyDescent="0.2">
      <c r="B25" s="586"/>
      <c r="C25" s="587"/>
      <c r="D25" s="587"/>
      <c r="E25" s="587"/>
      <c r="F25" s="592"/>
      <c r="G25" s="592"/>
      <c r="H25" s="592"/>
      <c r="I25" s="592"/>
      <c r="J25" s="626"/>
      <c r="K25" s="626"/>
      <c r="L25" s="626"/>
      <c r="M25" s="626"/>
      <c r="N25" s="617"/>
      <c r="O25" s="617"/>
      <c r="P25" s="617"/>
      <c r="Q25" s="618"/>
    </row>
    <row r="26" spans="2:17" ht="12.75" customHeight="1" thickBot="1" x14ac:dyDescent="0.25">
      <c r="B26" s="588"/>
      <c r="C26" s="589"/>
      <c r="D26" s="589"/>
      <c r="E26" s="589"/>
      <c r="F26" s="593"/>
      <c r="G26" s="593"/>
      <c r="H26" s="593"/>
      <c r="I26" s="593"/>
      <c r="J26" s="627"/>
      <c r="K26" s="627"/>
      <c r="L26" s="627"/>
      <c r="M26" s="627"/>
      <c r="N26" s="619"/>
      <c r="O26" s="619"/>
      <c r="P26" s="619"/>
      <c r="Q26" s="620"/>
    </row>
    <row r="27" spans="2:17" ht="12.75" customHeight="1" thickBot="1" x14ac:dyDescent="0.25">
      <c r="F27" s="39"/>
      <c r="G27" s="39"/>
      <c r="H27" s="39"/>
      <c r="I27" s="39"/>
    </row>
    <row r="28" spans="2:17" ht="12.75" customHeight="1" x14ac:dyDescent="0.2">
      <c r="B28" s="553" t="s">
        <v>19</v>
      </c>
      <c r="C28" s="554"/>
      <c r="D28" s="554"/>
      <c r="E28" s="554"/>
      <c r="F28" s="561">
        <f>IF(AND(F24="SIM",(J9-F9)&gt;0),(J9-F9)*0.15,IF(AND(F24="NÃO",('Operações Normais'!I73+'Normais Índice e Dólar'!E55-F9)&gt;0,'Operações Normais'!E57&gt;=0),(J9-'Operações Normais'!E57-F9)*0.15,IF(AND('Operações Normais'!E57&lt;0,(J9-F9)&gt;0),(J9-F9)*0.15,0)))</f>
        <v>0</v>
      </c>
      <c r="G28" s="562"/>
      <c r="H28" s="562"/>
      <c r="I28" s="562"/>
      <c r="J28" s="557" t="s">
        <v>33</v>
      </c>
      <c r="K28" s="557"/>
      <c r="L28" s="557"/>
      <c r="M28" s="558"/>
    </row>
    <row r="29" spans="2:17" ht="12.75" customHeight="1" x14ac:dyDescent="0.2">
      <c r="B29" s="555"/>
      <c r="C29" s="556"/>
      <c r="D29" s="556"/>
      <c r="E29" s="556"/>
      <c r="F29" s="533"/>
      <c r="G29" s="533"/>
      <c r="H29" s="533"/>
      <c r="I29" s="533"/>
      <c r="J29" s="559"/>
      <c r="K29" s="559"/>
      <c r="L29" s="559"/>
      <c r="M29" s="560"/>
    </row>
    <row r="30" spans="2:17" ht="12.75" customHeight="1" x14ac:dyDescent="0.2">
      <c r="B30" s="555"/>
      <c r="C30" s="556"/>
      <c r="D30" s="556"/>
      <c r="E30" s="556"/>
      <c r="F30" s="533"/>
      <c r="G30" s="533"/>
      <c r="H30" s="533"/>
      <c r="I30" s="533"/>
      <c r="J30" s="559"/>
      <c r="K30" s="559"/>
      <c r="L30" s="559"/>
      <c r="M30" s="560"/>
    </row>
    <row r="31" spans="2:17" ht="12.75" customHeight="1" x14ac:dyDescent="0.2">
      <c r="B31" s="579" t="s">
        <v>20</v>
      </c>
      <c r="C31" s="556"/>
      <c r="D31" s="556"/>
      <c r="E31" s="556"/>
      <c r="F31" s="532">
        <f>IF((J12-F12)&gt;0,(J12-F12)*0.2,0)</f>
        <v>0</v>
      </c>
      <c r="G31" s="533"/>
      <c r="H31" s="533"/>
      <c r="I31" s="533"/>
      <c r="J31" s="559" t="s">
        <v>33</v>
      </c>
      <c r="K31" s="559"/>
      <c r="L31" s="559"/>
      <c r="M31" s="560"/>
    </row>
    <row r="32" spans="2:17" ht="12.75" customHeight="1" x14ac:dyDescent="0.2">
      <c r="B32" s="555"/>
      <c r="C32" s="556"/>
      <c r="D32" s="556"/>
      <c r="E32" s="556"/>
      <c r="F32" s="533"/>
      <c r="G32" s="533"/>
      <c r="H32" s="533"/>
      <c r="I32" s="533"/>
      <c r="J32" s="559"/>
      <c r="K32" s="559"/>
      <c r="L32" s="559"/>
      <c r="M32" s="560"/>
    </row>
    <row r="33" spans="2:18" ht="12.75" customHeight="1" thickBot="1" x14ac:dyDescent="0.25">
      <c r="B33" s="580"/>
      <c r="C33" s="581"/>
      <c r="D33" s="581"/>
      <c r="E33" s="581"/>
      <c r="F33" s="534"/>
      <c r="G33" s="534"/>
      <c r="H33" s="534"/>
      <c r="I33" s="534"/>
      <c r="J33" s="582"/>
      <c r="K33" s="582"/>
      <c r="L33" s="582"/>
      <c r="M33" s="583"/>
    </row>
    <row r="34" spans="2:18" ht="12.75" customHeight="1" thickBot="1" x14ac:dyDescent="0.25"/>
    <row r="35" spans="2:18" ht="12.95" customHeight="1" x14ac:dyDescent="0.2">
      <c r="B35" s="563" t="s">
        <v>15</v>
      </c>
      <c r="C35" s="564"/>
      <c r="D35" s="564"/>
      <c r="E35" s="564"/>
      <c r="F35" s="569">
        <f>IF((F28+F31-F20-J20)&gt;0,F28+F31-F20-J20+F43,IF((F28+F31-F20-J20)&lt;=0,F43,0))</f>
        <v>0</v>
      </c>
      <c r="G35" s="570"/>
      <c r="H35" s="570"/>
      <c r="I35" s="570"/>
      <c r="J35" s="573" t="s">
        <v>23</v>
      </c>
      <c r="K35" s="573"/>
      <c r="L35" s="573"/>
      <c r="M35" s="573"/>
      <c r="N35" s="573"/>
      <c r="O35" s="573"/>
      <c r="P35" s="573"/>
      <c r="Q35" s="574"/>
    </row>
    <row r="36" spans="2:18" ht="12.95" customHeight="1" x14ac:dyDescent="0.2">
      <c r="B36" s="565"/>
      <c r="C36" s="566"/>
      <c r="D36" s="566"/>
      <c r="E36" s="566"/>
      <c r="F36" s="571"/>
      <c r="G36" s="571"/>
      <c r="H36" s="571"/>
      <c r="I36" s="571"/>
      <c r="J36" s="575"/>
      <c r="K36" s="575"/>
      <c r="L36" s="575"/>
      <c r="M36" s="575"/>
      <c r="N36" s="575"/>
      <c r="O36" s="575"/>
      <c r="P36" s="575"/>
      <c r="Q36" s="576"/>
    </row>
    <row r="37" spans="2:18" ht="12.95" customHeight="1" thickBot="1" x14ac:dyDescent="0.25">
      <c r="B37" s="567"/>
      <c r="C37" s="568"/>
      <c r="D37" s="568"/>
      <c r="E37" s="568"/>
      <c r="F37" s="572"/>
      <c r="G37" s="572"/>
      <c r="H37" s="572"/>
      <c r="I37" s="572"/>
      <c r="J37" s="577"/>
      <c r="K37" s="577"/>
      <c r="L37" s="577"/>
      <c r="M37" s="577"/>
      <c r="N37" s="577"/>
      <c r="O37" s="577"/>
      <c r="P37" s="577"/>
      <c r="Q37" s="578"/>
    </row>
    <row r="38" spans="2:18" ht="12.75" customHeight="1" x14ac:dyDescent="0.2">
      <c r="B38" s="543" t="s">
        <v>35</v>
      </c>
      <c r="C38" s="543"/>
      <c r="D38" s="543"/>
      <c r="E38" s="543"/>
      <c r="F38" s="543"/>
      <c r="G38" s="543"/>
      <c r="H38" s="543"/>
      <c r="I38" s="543"/>
      <c r="J38" s="543"/>
      <c r="K38" s="543"/>
      <c r="L38" s="543"/>
      <c r="M38" s="543"/>
      <c r="N38" s="543"/>
      <c r="O38" s="543"/>
      <c r="P38" s="543"/>
      <c r="Q38" s="543"/>
    </row>
    <row r="39" spans="2:18" ht="12.75" customHeight="1" x14ac:dyDescent="0.2">
      <c r="B39" s="543"/>
      <c r="C39" s="543"/>
      <c r="D39" s="543"/>
      <c r="E39" s="543"/>
      <c r="F39" s="543"/>
      <c r="G39" s="543"/>
      <c r="H39" s="543"/>
      <c r="I39" s="543"/>
      <c r="J39" s="543"/>
      <c r="K39" s="543"/>
      <c r="L39" s="543"/>
      <c r="M39" s="543"/>
      <c r="N39" s="543"/>
      <c r="O39" s="543"/>
      <c r="P39" s="543"/>
      <c r="Q39" s="543"/>
    </row>
    <row r="40" spans="2:18" ht="12.75" customHeight="1" x14ac:dyDescent="0.2">
      <c r="B40" s="543"/>
      <c r="C40" s="543"/>
      <c r="D40" s="543"/>
      <c r="E40" s="543"/>
      <c r="F40" s="543"/>
      <c r="G40" s="543"/>
      <c r="H40" s="543"/>
      <c r="I40" s="543"/>
      <c r="J40" s="543"/>
      <c r="K40" s="543"/>
      <c r="L40" s="543"/>
      <c r="M40" s="543"/>
      <c r="N40" s="543"/>
      <c r="O40" s="543"/>
      <c r="P40" s="543"/>
      <c r="Q40" s="543"/>
    </row>
    <row r="41" spans="2:18" ht="12.75" customHeight="1" x14ac:dyDescent="0.2">
      <c r="B41" s="543" t="s">
        <v>114</v>
      </c>
      <c r="C41" s="543"/>
      <c r="D41" s="543"/>
      <c r="E41" s="543"/>
      <c r="F41" s="543"/>
      <c r="G41" s="543"/>
      <c r="H41" s="543"/>
      <c r="I41" s="543"/>
      <c r="J41" s="543"/>
      <c r="K41" s="543"/>
      <c r="L41" s="543"/>
      <c r="M41" s="543"/>
      <c r="N41" s="543"/>
      <c r="O41" s="543"/>
      <c r="P41" s="543"/>
      <c r="Q41" s="543"/>
    </row>
    <row r="42" spans="2:18" ht="12.75" customHeight="1" thickBot="1" x14ac:dyDescent="0.25">
      <c r="B42" s="543"/>
      <c r="C42" s="543"/>
      <c r="D42" s="543"/>
      <c r="E42" s="543"/>
      <c r="F42" s="543"/>
      <c r="G42" s="543"/>
      <c r="H42" s="543"/>
      <c r="I42" s="543"/>
      <c r="J42" s="543"/>
      <c r="K42" s="543"/>
      <c r="L42" s="543"/>
      <c r="M42" s="543"/>
      <c r="N42" s="543"/>
      <c r="O42" s="543"/>
      <c r="P42" s="543"/>
      <c r="Q42" s="543"/>
    </row>
    <row r="43" spans="2:18" ht="12.75" customHeight="1" x14ac:dyDescent="0.2">
      <c r="B43" s="516" t="s">
        <v>113</v>
      </c>
      <c r="C43" s="538"/>
      <c r="D43" s="538"/>
      <c r="E43" s="538"/>
      <c r="F43" s="544"/>
      <c r="G43" s="545"/>
      <c r="H43" s="545"/>
      <c r="I43" s="546"/>
      <c r="J43" s="61"/>
      <c r="K43" s="61"/>
      <c r="L43" s="61"/>
      <c r="M43" s="61"/>
      <c r="N43" s="61"/>
      <c r="O43" s="61"/>
      <c r="P43" s="61"/>
      <c r="Q43" s="61"/>
    </row>
    <row r="44" spans="2:18" x14ac:dyDescent="0.2">
      <c r="B44" s="539"/>
      <c r="C44" s="540"/>
      <c r="D44" s="540"/>
      <c r="E44" s="540"/>
      <c r="F44" s="547"/>
      <c r="G44" s="548"/>
      <c r="H44" s="548"/>
      <c r="I44" s="549"/>
    </row>
    <row r="45" spans="2:18" ht="13.5" thickBot="1" x14ac:dyDescent="0.25">
      <c r="B45" s="541"/>
      <c r="C45" s="542"/>
      <c r="D45" s="542"/>
      <c r="E45" s="542"/>
      <c r="F45" s="550"/>
      <c r="G45" s="551"/>
      <c r="H45" s="551"/>
      <c r="I45" s="552"/>
    </row>
    <row r="47" spans="2:18" ht="13.5" thickBot="1" x14ac:dyDescent="0.25"/>
    <row r="48" spans="2:18" ht="14.25" thickTop="1" thickBot="1" x14ac:dyDescent="0.25">
      <c r="B48" s="127"/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</row>
    <row r="49" spans="2:9" ht="19.899999999999999" customHeight="1" thickBot="1" x14ac:dyDescent="0.25">
      <c r="B49" s="509" t="s">
        <v>134</v>
      </c>
      <c r="C49" s="510"/>
      <c r="D49" s="510"/>
      <c r="E49" s="510"/>
      <c r="F49" s="510"/>
      <c r="G49" s="510"/>
      <c r="H49" s="510"/>
      <c r="I49" s="511"/>
    </row>
    <row r="50" spans="2:9" ht="18" customHeight="1" thickBot="1" x14ac:dyDescent="0.25">
      <c r="B50" s="512"/>
      <c r="C50" s="513"/>
      <c r="D50" s="513"/>
      <c r="E50" s="513"/>
      <c r="F50" s="492" t="s">
        <v>131</v>
      </c>
      <c r="G50" s="493"/>
      <c r="H50" s="492" t="s">
        <v>132</v>
      </c>
      <c r="I50" s="494"/>
    </row>
    <row r="51" spans="2:9" ht="18" customHeight="1" x14ac:dyDescent="0.2">
      <c r="B51" s="514" t="s">
        <v>130</v>
      </c>
      <c r="C51" s="515"/>
      <c r="D51" s="515"/>
      <c r="E51" s="515"/>
      <c r="F51" s="495">
        <f>'Operações Normais'!E57+'Operações Normais'!I57+'Operações Normais'!M57-N24</f>
        <v>0</v>
      </c>
      <c r="G51" s="496"/>
      <c r="H51" s="495">
        <f>'Operações Day Trade'!E57+'Operações Day Trade'!I57+'Operações Day Trade'!M57</f>
        <v>0</v>
      </c>
      <c r="I51" s="497"/>
    </row>
    <row r="52" spans="2:9" ht="18" customHeight="1" x14ac:dyDescent="0.2">
      <c r="B52" s="488" t="s">
        <v>137</v>
      </c>
      <c r="C52" s="489"/>
      <c r="D52" s="489"/>
      <c r="E52" s="489"/>
      <c r="F52" s="507">
        <f>N24</f>
        <v>0</v>
      </c>
      <c r="G52" s="508"/>
      <c r="H52" s="505"/>
      <c r="I52" s="506"/>
    </row>
    <row r="53" spans="2:9" ht="18" customHeight="1" x14ac:dyDescent="0.2">
      <c r="B53" s="488" t="s">
        <v>133</v>
      </c>
      <c r="C53" s="489"/>
      <c r="D53" s="489"/>
      <c r="E53" s="489"/>
      <c r="F53" s="498">
        <f>'Operações Normais'!Q57</f>
        <v>0</v>
      </c>
      <c r="G53" s="499"/>
      <c r="H53" s="498">
        <f>'Operações Day Trade'!Q57</f>
        <v>0</v>
      </c>
      <c r="I53" s="500"/>
    </row>
    <row r="54" spans="2:9" ht="18" customHeight="1" x14ac:dyDescent="0.2">
      <c r="B54" s="488" t="s">
        <v>135</v>
      </c>
      <c r="C54" s="489"/>
      <c r="D54" s="489"/>
      <c r="E54" s="504"/>
      <c r="F54" s="498">
        <f>'Normais Índice e Dólar'!E62</f>
        <v>0</v>
      </c>
      <c r="G54" s="499"/>
      <c r="H54" s="498">
        <f>'Day Trade Índice e Dólar'!E77</f>
        <v>0</v>
      </c>
      <c r="I54" s="500"/>
    </row>
    <row r="55" spans="2:9" ht="18" customHeight="1" thickBot="1" x14ac:dyDescent="0.25">
      <c r="B55" s="490" t="s">
        <v>136</v>
      </c>
      <c r="C55" s="491"/>
      <c r="D55" s="491"/>
      <c r="E55" s="491"/>
      <c r="F55" s="501">
        <f>'Normais Índice e Dólar'!E64</f>
        <v>0</v>
      </c>
      <c r="G55" s="502"/>
      <c r="H55" s="501">
        <f>'Day Trade Índice e Dólar'!E79</f>
        <v>0</v>
      </c>
      <c r="I55" s="503"/>
    </row>
    <row r="59" spans="2:9" hidden="1" x14ac:dyDescent="0.2">
      <c r="B59" s="37" t="s">
        <v>93</v>
      </c>
    </row>
    <row r="60" spans="2:9" hidden="1" x14ac:dyDescent="0.2">
      <c r="B60" s="37" t="s">
        <v>69</v>
      </c>
    </row>
  </sheetData>
  <mergeCells count="57">
    <mergeCell ref="N20:Q22"/>
    <mergeCell ref="N24:Q26"/>
    <mergeCell ref="N6:Q8"/>
    <mergeCell ref="N9:Q11"/>
    <mergeCell ref="J24:M26"/>
    <mergeCell ref="J31:M33"/>
    <mergeCell ref="B2:E2"/>
    <mergeCell ref="B24:E26"/>
    <mergeCell ref="F24:I26"/>
    <mergeCell ref="G2:L3"/>
    <mergeCell ref="F9:I11"/>
    <mergeCell ref="J9:M11"/>
    <mergeCell ref="F6:I8"/>
    <mergeCell ref="J6:M8"/>
    <mergeCell ref="J12:M14"/>
    <mergeCell ref="B9:E11"/>
    <mergeCell ref="F17:I19"/>
    <mergeCell ref="J17:M19"/>
    <mergeCell ref="B12:E14"/>
    <mergeCell ref="F12:I14"/>
    <mergeCell ref="N2:Q3"/>
    <mergeCell ref="N17:Q19"/>
    <mergeCell ref="J20:M22"/>
    <mergeCell ref="N12:Q14"/>
    <mergeCell ref="B43:E45"/>
    <mergeCell ref="B38:Q40"/>
    <mergeCell ref="B41:Q42"/>
    <mergeCell ref="F43:I45"/>
    <mergeCell ref="B28:E30"/>
    <mergeCell ref="J28:M30"/>
    <mergeCell ref="F28:I30"/>
    <mergeCell ref="B35:E37"/>
    <mergeCell ref="F35:I37"/>
    <mergeCell ref="J35:Q37"/>
    <mergeCell ref="B31:E33"/>
    <mergeCell ref="F31:I33"/>
    <mergeCell ref="B49:I49"/>
    <mergeCell ref="B50:E50"/>
    <mergeCell ref="B51:E51"/>
    <mergeCell ref="B52:E52"/>
    <mergeCell ref="B20:E22"/>
    <mergeCell ref="F20:I22"/>
    <mergeCell ref="B53:E53"/>
    <mergeCell ref="B55:E55"/>
    <mergeCell ref="F50:G50"/>
    <mergeCell ref="H50:I50"/>
    <mergeCell ref="F51:G51"/>
    <mergeCell ref="H51:I51"/>
    <mergeCell ref="F53:G53"/>
    <mergeCell ref="H53:I53"/>
    <mergeCell ref="F55:G55"/>
    <mergeCell ref="H55:I55"/>
    <mergeCell ref="B54:E54"/>
    <mergeCell ref="F54:G54"/>
    <mergeCell ref="H54:I54"/>
    <mergeCell ref="H52:I52"/>
    <mergeCell ref="F52:G52"/>
  </mergeCells>
  <conditionalFormatting sqref="J9:M14">
    <cfRule type="cellIs" dxfId="4" priority="2" stopIfTrue="1" operator="greaterThan">
      <formula>0</formula>
    </cfRule>
  </conditionalFormatting>
  <conditionalFormatting sqref="J9:M14">
    <cfRule type="cellIs" dxfId="3" priority="1" stopIfTrue="1" operator="lessThan">
      <formula>0</formula>
    </cfRule>
  </conditionalFormatting>
  <dataValidations count="1">
    <dataValidation type="list" allowBlank="1" showInputMessage="1" showErrorMessage="1" errorTitle="Inválido" promptTitle="Selecione" prompt="Selecione SIM ou NÃO" sqref="F24:I26">
      <formula1>$B$59:$B$60</formula1>
    </dataValidation>
  </dataValidations>
  <pageMargins left="0.39370078740157483" right="0.39370078740157483" top="0.39370078740157483" bottom="0.39370078740157483" header="0.39370078740157483" footer="0.39370078740157483"/>
  <pageSetup paperSize="9" scale="5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>
    <pageSetUpPr fitToPage="1"/>
  </sheetPr>
  <dimension ref="B1:AE170"/>
  <sheetViews>
    <sheetView zoomScale="70" zoomScaleNormal="70" workbookViewId="0">
      <selection activeCell="C5" sqref="C5:C6"/>
    </sheetView>
  </sheetViews>
  <sheetFormatPr defaultColWidth="9.140625" defaultRowHeight="12.75" x14ac:dyDescent="0.2"/>
  <cols>
    <col min="1" max="1" width="9.140625" style="113"/>
    <col min="2" max="14" width="13.28515625" style="1" customWidth="1"/>
    <col min="15" max="18" width="12.7109375" style="1" hidden="1" customWidth="1"/>
    <col min="19" max="23" width="12.7109375" style="113" hidden="1" customWidth="1"/>
    <col min="24" max="24" width="9.140625" style="113"/>
    <col min="25" max="28" width="13.7109375" style="113" customWidth="1"/>
    <col min="29" max="16384" width="9.140625" style="113"/>
  </cols>
  <sheetData>
    <row r="1" spans="2:31" ht="15" customHeight="1" x14ac:dyDescent="0.2"/>
    <row r="2" spans="2:31" ht="38.1" customHeight="1" thickBot="1" x14ac:dyDescent="0.3">
      <c r="B2" s="662" t="s">
        <v>138</v>
      </c>
      <c r="C2" s="662"/>
      <c r="D2" s="662"/>
      <c r="E2" s="662"/>
      <c r="F2" s="662"/>
      <c r="G2" s="662"/>
      <c r="H2" s="662"/>
      <c r="I2" s="662"/>
      <c r="J2" s="662"/>
      <c r="K2" s="662"/>
      <c r="L2" s="662"/>
      <c r="M2" s="662"/>
      <c r="N2" s="47"/>
      <c r="O2" s="34"/>
      <c r="P2" s="34"/>
      <c r="Q2" s="34"/>
      <c r="R2" s="34"/>
      <c r="U2" s="114"/>
    </row>
    <row r="3" spans="2:31" ht="15" customHeight="1" thickTop="1" thickBot="1" x14ac:dyDescent="0.25">
      <c r="H3" s="117"/>
      <c r="I3" s="117"/>
      <c r="J3" s="117"/>
      <c r="K3" s="117"/>
      <c r="L3" s="117"/>
      <c r="M3" s="117"/>
      <c r="N3" s="47"/>
    </row>
    <row r="4" spans="2:31" ht="20.100000000000001" customHeight="1" thickBot="1" x14ac:dyDescent="0.25">
      <c r="B4" s="663" t="s">
        <v>26</v>
      </c>
      <c r="C4" s="664"/>
      <c r="D4" s="664"/>
      <c r="E4" s="664"/>
      <c r="F4" s="664"/>
      <c r="G4" s="665"/>
      <c r="H4" s="30"/>
      <c r="I4" s="30"/>
      <c r="J4" s="30"/>
      <c r="K4" s="30"/>
      <c r="L4" s="30"/>
      <c r="M4" s="30"/>
      <c r="N4" s="3" t="s">
        <v>3</v>
      </c>
      <c r="O4" s="113"/>
      <c r="P4" s="133" t="s">
        <v>94</v>
      </c>
      <c r="Q4" s="134">
        <f>AA6</f>
        <v>0</v>
      </c>
      <c r="R4" s="685" t="s">
        <v>142</v>
      </c>
      <c r="S4" s="686"/>
      <c r="T4" s="686"/>
      <c r="U4" s="686"/>
      <c r="V4" s="686"/>
      <c r="W4" s="687"/>
      <c r="X4" s="1"/>
      <c r="Y4" s="676" t="s">
        <v>143</v>
      </c>
      <c r="Z4" s="676"/>
      <c r="AA4" s="676"/>
      <c r="AB4" s="676"/>
    </row>
    <row r="5" spans="2:31" ht="20.100000000000001" customHeight="1" thickBot="1" x14ac:dyDescent="0.25">
      <c r="B5" s="652" t="s">
        <v>27</v>
      </c>
      <c r="C5" s="658" t="s">
        <v>41</v>
      </c>
      <c r="D5" s="656" t="s">
        <v>140</v>
      </c>
      <c r="E5" s="656" t="s">
        <v>4</v>
      </c>
      <c r="F5" s="658" t="s">
        <v>39</v>
      </c>
      <c r="G5" s="668" t="s">
        <v>45</v>
      </c>
      <c r="H5" s="223" t="s">
        <v>58</v>
      </c>
      <c r="I5" s="223" t="s">
        <v>59</v>
      </c>
      <c r="J5" s="223" t="s">
        <v>60</v>
      </c>
      <c r="K5" s="675" t="s">
        <v>48</v>
      </c>
      <c r="L5" s="226" t="s">
        <v>36</v>
      </c>
      <c r="M5" s="666" t="s">
        <v>141</v>
      </c>
      <c r="N5" s="670">
        <f>'Operações Normais'!X7</f>
        <v>0.10680000000000001</v>
      </c>
      <c r="O5" s="113"/>
      <c r="P5" s="650" t="s">
        <v>4</v>
      </c>
      <c r="Q5" s="677" t="s">
        <v>9</v>
      </c>
      <c r="R5" s="679" t="s">
        <v>144</v>
      </c>
      <c r="S5" s="679" t="s">
        <v>145</v>
      </c>
      <c r="T5" s="679" t="s">
        <v>146</v>
      </c>
      <c r="U5" s="679" t="s">
        <v>147</v>
      </c>
      <c r="V5" s="679" t="s">
        <v>148</v>
      </c>
      <c r="W5" s="681" t="s">
        <v>149</v>
      </c>
      <c r="X5" s="1"/>
      <c r="Y5" s="676"/>
      <c r="Z5" s="676"/>
      <c r="AA5" s="676"/>
      <c r="AB5" s="676"/>
    </row>
    <row r="6" spans="2:31" ht="18" customHeight="1" thickBot="1" x14ac:dyDescent="0.25">
      <c r="B6" s="653"/>
      <c r="C6" s="659"/>
      <c r="D6" s="657"/>
      <c r="E6" s="657"/>
      <c r="F6" s="659"/>
      <c r="G6" s="669"/>
      <c r="H6" s="224"/>
      <c r="I6" s="224"/>
      <c r="J6" s="224"/>
      <c r="K6" s="659"/>
      <c r="L6" s="227"/>
      <c r="M6" s="667"/>
      <c r="N6" s="671"/>
      <c r="O6" s="115"/>
      <c r="P6" s="651"/>
      <c r="Q6" s="678"/>
      <c r="R6" s="680"/>
      <c r="S6" s="680"/>
      <c r="T6" s="680"/>
      <c r="U6" s="680"/>
      <c r="V6" s="680"/>
      <c r="W6" s="682"/>
      <c r="X6" s="1"/>
      <c r="Y6" s="683" t="s">
        <v>155</v>
      </c>
      <c r="Z6" s="683"/>
      <c r="AA6" s="684"/>
      <c r="AB6" s="684"/>
    </row>
    <row r="7" spans="2:31" ht="13.9" customHeight="1" thickBot="1" x14ac:dyDescent="0.25">
      <c r="B7" s="48" t="s">
        <v>30</v>
      </c>
      <c r="C7" s="42"/>
      <c r="D7" s="4"/>
      <c r="E7" s="4"/>
      <c r="F7" s="4"/>
      <c r="G7" s="5">
        <f>E7*F7</f>
        <v>0</v>
      </c>
      <c r="H7" s="7">
        <f>ROUNDDOWN(IF(OR(B7="ACAO",B7="DIR",B7="ETF"),G7*Configurações!$B$9,IF(B7="OPCAO",G7*Configurações!$B$23,0)),2)</f>
        <v>0</v>
      </c>
      <c r="I7" s="7">
        <f>ROUNDDOWN(IF(OR(B7="ACAO",B7="ETF",B7="DIR"),G7*Configurações!$C$9,IF(B7="OPCAO",G7*Configurações!$C$23,0)),2)</f>
        <v>0</v>
      </c>
      <c r="J7" s="7">
        <f>ROUNDDOWN(IF(OR(B7="ACAO",B7="ETF",B7="DIR"),G7*Configurações!$D$9,IF(B7="OPCAO",G7*Configurações!$D$23,0)),2)</f>
        <v>0</v>
      </c>
      <c r="K7" s="26"/>
      <c r="L7" s="26"/>
      <c r="M7" s="8">
        <f>G7+J7+K7+N7+L7+I7+H7</f>
        <v>0</v>
      </c>
      <c r="N7" s="10">
        <f t="shared" ref="N7:N81" si="0">K7*$N$5</f>
        <v>0</v>
      </c>
      <c r="O7" s="113"/>
      <c r="P7" s="135">
        <f t="shared" ref="P7:P38" si="1">IF(D:D=$Q$4,E7,0)</f>
        <v>0</v>
      </c>
      <c r="Q7" s="136">
        <f t="shared" ref="Q7:Q38" si="2">IF(D:D=$Q$4,G7,0)</f>
        <v>0</v>
      </c>
      <c r="R7" s="137">
        <f>P7</f>
        <v>0</v>
      </c>
      <c r="S7" s="138" t="e">
        <f>Q7/R7</f>
        <v>#DIV/0!</v>
      </c>
      <c r="T7" s="139">
        <f>IF(R7=0,0,R7*S7)</f>
        <v>0</v>
      </c>
      <c r="U7" s="139">
        <f t="shared" ref="U7:U29" si="3">IF(D:D=$Q$4,H7+I7+J7+K7+L7+N7,0)</f>
        <v>0</v>
      </c>
      <c r="V7" s="140">
        <f>SUM(T7,U7)</f>
        <v>0</v>
      </c>
      <c r="W7" s="159" t="e">
        <f>V7/R7</f>
        <v>#DIV/0!</v>
      </c>
      <c r="X7" s="1"/>
      <c r="Y7" s="683"/>
      <c r="Z7" s="683"/>
      <c r="AA7" s="684"/>
      <c r="AB7" s="684"/>
    </row>
    <row r="8" spans="2:31" ht="13.9" customHeight="1" thickBot="1" x14ac:dyDescent="0.25">
      <c r="B8" s="49" t="s">
        <v>30</v>
      </c>
      <c r="C8" s="43"/>
      <c r="D8" s="11"/>
      <c r="E8" s="11"/>
      <c r="F8" s="11"/>
      <c r="G8" s="12">
        <f t="shared" ref="G8:G21" si="4">E8*F8</f>
        <v>0</v>
      </c>
      <c r="H8" s="14">
        <f>ROUNDDOWN(IF(OR(B8="ACAO",B8="DIR",B8="ETF"),G8*Configurações!$B$9,IF(B8="OPCAO",G8*Configurações!$B$23,0)),2)</f>
        <v>0</v>
      </c>
      <c r="I8" s="14">
        <f>ROUNDDOWN(IF(OR(B8="ACAO",B8="ETF",B8="DIR"),G8*Configurações!$C$9,IF(B8="OPCAO",G8*Configurações!$C$23,0)),2)</f>
        <v>0</v>
      </c>
      <c r="J8" s="14">
        <f>ROUNDDOWN(IF(OR(B8="ACAO",B8="ETF",B8="DIR"),G8*Configurações!$D$9,IF(B8="OPCAO",G8*Configurações!$D$23,0)),2)</f>
        <v>0</v>
      </c>
      <c r="K8" s="27"/>
      <c r="L8" s="27"/>
      <c r="M8" s="15">
        <f t="shared" ref="M8:M81" si="5">G8+J8+K8+N8+L8+I8+H8</f>
        <v>0</v>
      </c>
      <c r="N8" s="17">
        <f t="shared" si="0"/>
        <v>0</v>
      </c>
      <c r="O8" s="113"/>
      <c r="P8" s="141">
        <f t="shared" si="1"/>
        <v>0</v>
      </c>
      <c r="Q8" s="142">
        <f t="shared" si="2"/>
        <v>0</v>
      </c>
      <c r="R8" s="143">
        <f>R7+P8</f>
        <v>0</v>
      </c>
      <c r="S8" s="144" t="e">
        <f>IF(P8&lt;=0,S7,IF(P8&gt;0,((T7+Q8)/R8)))</f>
        <v>#DIV/0!</v>
      </c>
      <c r="T8" s="145">
        <f t="shared" ref="T8:T81" si="6">IF(R8=0,0,R8*S8)</f>
        <v>0</v>
      </c>
      <c r="U8" s="145">
        <f t="shared" si="3"/>
        <v>0</v>
      </c>
      <c r="V8" s="146">
        <f>IF(P8&gt;0,SUM(T8,$U$7:U8),IF(P8=0,V7,IF(P8&lt;0,V7+(P8*W8))))</f>
        <v>0</v>
      </c>
      <c r="W8" s="147" t="e">
        <f t="shared" ref="W8:W81" si="7">IF(P8&lt;=0,W7,IF(P8&gt;0,V8/R8))</f>
        <v>#DIV/0!</v>
      </c>
      <c r="X8" s="1"/>
      <c r="Y8" s="688" t="s">
        <v>4</v>
      </c>
      <c r="Z8" s="688"/>
      <c r="AA8" s="690">
        <f>R81</f>
        <v>0</v>
      </c>
      <c r="AB8" s="690"/>
      <c r="AC8" s="640" t="s">
        <v>167</v>
      </c>
      <c r="AD8" s="641"/>
      <c r="AE8" s="641"/>
    </row>
    <row r="9" spans="2:31" ht="13.9" customHeight="1" thickBot="1" x14ac:dyDescent="0.25">
      <c r="B9" s="49" t="s">
        <v>30</v>
      </c>
      <c r="C9" s="43"/>
      <c r="D9" s="11"/>
      <c r="E9" s="11"/>
      <c r="F9" s="11"/>
      <c r="G9" s="12">
        <f t="shared" si="4"/>
        <v>0</v>
      </c>
      <c r="H9" s="14">
        <f>ROUNDDOWN(IF(OR(B9="ACAO",B9="DIR",B9="ETF"),G9*Configurações!$B$9,IF(B9="OPCAO",G9*Configurações!$B$23,0)),2)</f>
        <v>0</v>
      </c>
      <c r="I9" s="14">
        <f>ROUNDDOWN(IF(OR(B9="ACAO",B9="ETF",B9="DIR"),G9*Configurações!$C$9,IF(B9="OPCAO",G9*Configurações!$C$23,0)),2)</f>
        <v>0</v>
      </c>
      <c r="J9" s="14">
        <f>ROUNDDOWN(IF(OR(B9="ACAO",B9="ETF",B9="DIR"),G9*Configurações!$D$9,IF(B9="OPCAO",G9*Configurações!$D$23,0)),2)</f>
        <v>0</v>
      </c>
      <c r="K9" s="27"/>
      <c r="L9" s="27"/>
      <c r="M9" s="15">
        <f t="shared" si="5"/>
        <v>0</v>
      </c>
      <c r="N9" s="17">
        <f t="shared" si="0"/>
        <v>0</v>
      </c>
      <c r="O9" s="113"/>
      <c r="P9" s="141">
        <f t="shared" si="1"/>
        <v>0</v>
      </c>
      <c r="Q9" s="142">
        <f t="shared" si="2"/>
        <v>0</v>
      </c>
      <c r="R9" s="143">
        <f t="shared" ref="R9:R81" si="8">R8+P9</f>
        <v>0</v>
      </c>
      <c r="S9" s="144" t="e">
        <f t="shared" ref="S9:S81" si="9">IF(P9&lt;=0,S8,IF(P9&gt;0,((T8+Q9)/R9)))</f>
        <v>#DIV/0!</v>
      </c>
      <c r="T9" s="145">
        <f t="shared" si="6"/>
        <v>0</v>
      </c>
      <c r="U9" s="145">
        <f t="shared" si="3"/>
        <v>0</v>
      </c>
      <c r="V9" s="146">
        <f>IF(P9&gt;0,SUM(T9,$U$7:U9),IF(P9=0,V8,IF(P9&lt;0,V8+(P9*W9))))</f>
        <v>0</v>
      </c>
      <c r="W9" s="147" t="e">
        <f t="shared" si="7"/>
        <v>#DIV/0!</v>
      </c>
      <c r="X9" s="1"/>
      <c r="Y9" s="689"/>
      <c r="Z9" s="689"/>
      <c r="AA9" s="691"/>
      <c r="AB9" s="691"/>
      <c r="AC9" s="640"/>
      <c r="AD9" s="641"/>
      <c r="AE9" s="641"/>
    </row>
    <row r="10" spans="2:31" ht="13.9" customHeight="1" thickBot="1" x14ac:dyDescent="0.25">
      <c r="B10" s="49" t="s">
        <v>30</v>
      </c>
      <c r="C10" s="43"/>
      <c r="D10" s="11"/>
      <c r="E10" s="11"/>
      <c r="F10" s="27"/>
      <c r="G10" s="12">
        <f t="shared" si="4"/>
        <v>0</v>
      </c>
      <c r="H10" s="14">
        <f>ROUNDDOWN(IF(OR(B10="ACAO",B10="DIR",B10="ETF"),G10*Configurações!$B$9,IF(B10="OPCAO",G10*Configurações!$B$23,0)),2)</f>
        <v>0</v>
      </c>
      <c r="I10" s="14">
        <f>ROUNDDOWN(IF(OR(B10="ACAO",B10="ETF",B10="DIR"),G10*Configurações!$C$9,IF(B10="OPCAO",G10*Configurações!$C$23,0)),2)</f>
        <v>0</v>
      </c>
      <c r="J10" s="14">
        <f>ROUNDDOWN(IF(OR(B10="ACAO",B10="ETF",B10="DIR"),G10*Configurações!$D$9,IF(B10="OPCAO",G10*Configurações!$D$23,0)),2)</f>
        <v>0</v>
      </c>
      <c r="K10" s="27"/>
      <c r="L10" s="27"/>
      <c r="M10" s="15">
        <f t="shared" si="5"/>
        <v>0</v>
      </c>
      <c r="N10" s="17">
        <f t="shared" si="0"/>
        <v>0</v>
      </c>
      <c r="O10" s="113"/>
      <c r="P10" s="141">
        <f t="shared" si="1"/>
        <v>0</v>
      </c>
      <c r="Q10" s="142">
        <f t="shared" si="2"/>
        <v>0</v>
      </c>
      <c r="R10" s="143">
        <f t="shared" si="8"/>
        <v>0</v>
      </c>
      <c r="S10" s="144" t="e">
        <f>IF(P10&lt;=0,S9,IF(P10&gt;0,(T9+Q10)/R10))</f>
        <v>#DIV/0!</v>
      </c>
      <c r="T10" s="145">
        <f t="shared" si="6"/>
        <v>0</v>
      </c>
      <c r="U10" s="145">
        <f t="shared" si="3"/>
        <v>0</v>
      </c>
      <c r="V10" s="146">
        <f>IF(P10&gt;0,SUM(T10,$U$7:U10),IF(P10=0,V9,IF(P10&lt;0,V9+(P10*W10))))</f>
        <v>0</v>
      </c>
      <c r="W10" s="147" t="e">
        <f t="shared" si="7"/>
        <v>#DIV/0!</v>
      </c>
      <c r="X10" s="1"/>
      <c r="Y10" s="689"/>
      <c r="Z10" s="689"/>
      <c r="AA10" s="691"/>
      <c r="AB10" s="691"/>
      <c r="AC10" s="640"/>
      <c r="AD10" s="641"/>
      <c r="AE10" s="641"/>
    </row>
    <row r="11" spans="2:31" ht="13.9" customHeight="1" thickBot="1" x14ac:dyDescent="0.25">
      <c r="B11" s="49" t="s">
        <v>30</v>
      </c>
      <c r="C11" s="43"/>
      <c r="D11" s="11"/>
      <c r="E11" s="11"/>
      <c r="F11" s="27"/>
      <c r="G11" s="12">
        <f t="shared" si="4"/>
        <v>0</v>
      </c>
      <c r="H11" s="14">
        <f>ROUNDDOWN(IF(OR(B11="ACAO",B11="DIR",B11="ETF"),G11*Configurações!$B$9,IF(B11="OPCAO",G11*Configurações!$B$23,0)),2)</f>
        <v>0</v>
      </c>
      <c r="I11" s="14">
        <f>ROUNDDOWN(IF(OR(B11="ACAO",B11="ETF",B11="DIR"),G11*Configurações!$C$9,IF(B11="OPCAO",G11*Configurações!$C$23,0)),2)</f>
        <v>0</v>
      </c>
      <c r="J11" s="14">
        <f>ROUNDDOWN(IF(OR(B11="ACAO",B11="ETF",B11="DIR"),G11*Configurações!$D$9,IF(B11="OPCAO",G11*Configurações!$D$23,0)),2)</f>
        <v>0</v>
      </c>
      <c r="K11" s="27"/>
      <c r="L11" s="27"/>
      <c r="M11" s="15">
        <f t="shared" si="5"/>
        <v>0</v>
      </c>
      <c r="N11" s="17">
        <f t="shared" si="0"/>
        <v>0</v>
      </c>
      <c r="O11" s="113"/>
      <c r="P11" s="141">
        <f t="shared" si="1"/>
        <v>0</v>
      </c>
      <c r="Q11" s="142">
        <f t="shared" si="2"/>
        <v>0</v>
      </c>
      <c r="R11" s="143">
        <f t="shared" si="8"/>
        <v>0</v>
      </c>
      <c r="S11" s="144" t="e">
        <f t="shared" si="9"/>
        <v>#DIV/0!</v>
      </c>
      <c r="T11" s="145">
        <f t="shared" si="6"/>
        <v>0</v>
      </c>
      <c r="U11" s="145">
        <f t="shared" si="3"/>
        <v>0</v>
      </c>
      <c r="V11" s="146">
        <f>IF(P11&gt;0,SUM(T11,$U$7:U11),IF(P11=0,V10,IF(P11&lt;0,V10+(P11*W11))))</f>
        <v>0</v>
      </c>
      <c r="W11" s="147" t="e">
        <f t="shared" si="7"/>
        <v>#DIV/0!</v>
      </c>
      <c r="X11" s="1"/>
      <c r="Y11" s="689" t="s">
        <v>150</v>
      </c>
      <c r="Z11" s="689"/>
      <c r="AA11" s="692" t="str">
        <f>IF(AA6="","-",S81)</f>
        <v>-</v>
      </c>
      <c r="AB11" s="692"/>
      <c r="AC11" s="640" t="s">
        <v>167</v>
      </c>
      <c r="AD11" s="641"/>
      <c r="AE11" s="641"/>
    </row>
    <row r="12" spans="2:31" ht="13.9" customHeight="1" thickBot="1" x14ac:dyDescent="0.25">
      <c r="B12" s="49" t="s">
        <v>30</v>
      </c>
      <c r="C12" s="43"/>
      <c r="D12" s="11"/>
      <c r="E12" s="11"/>
      <c r="F12" s="27"/>
      <c r="G12" s="12">
        <f>E12*F12</f>
        <v>0</v>
      </c>
      <c r="H12" s="14">
        <f>ROUNDDOWN(IF(OR(B12="ACAO",B12="DIR",B12="ETF"),G12*Configurações!$B$9,IF(B12="OPCAO",G12*Configurações!$B$23,0)),2)</f>
        <v>0</v>
      </c>
      <c r="I12" s="14">
        <f>ROUNDDOWN(IF(OR(B12="ACAO",B12="ETF",B12="DIR"),G12*Configurações!$C$9,IF(B12="OPCAO",G12*Configurações!$C$23,0)),2)</f>
        <v>0</v>
      </c>
      <c r="J12" s="14">
        <f>ROUNDDOWN(IF(OR(B12="ACAO",B12="ETF",B12="DIR"),G12*Configurações!$D$9,IF(B12="OPCAO",G12*Configurações!$D$23,0)),2)</f>
        <v>0</v>
      </c>
      <c r="K12" s="27"/>
      <c r="L12" s="27"/>
      <c r="M12" s="15">
        <f t="shared" si="5"/>
        <v>0</v>
      </c>
      <c r="N12" s="17">
        <f t="shared" si="0"/>
        <v>0</v>
      </c>
      <c r="O12" s="113"/>
      <c r="P12" s="141">
        <f t="shared" si="1"/>
        <v>0</v>
      </c>
      <c r="Q12" s="142">
        <f t="shared" si="2"/>
        <v>0</v>
      </c>
      <c r="R12" s="143">
        <f t="shared" si="8"/>
        <v>0</v>
      </c>
      <c r="S12" s="144" t="e">
        <f t="shared" si="9"/>
        <v>#DIV/0!</v>
      </c>
      <c r="T12" s="145">
        <f t="shared" si="6"/>
        <v>0</v>
      </c>
      <c r="U12" s="145">
        <f t="shared" si="3"/>
        <v>0</v>
      </c>
      <c r="V12" s="146">
        <f>IF(P12&gt;0,SUM(T12,$U$7:U12),IF(P12=0,V11,IF(P12&lt;0,V11+(P12*W12))))</f>
        <v>0</v>
      </c>
      <c r="W12" s="147" t="e">
        <f t="shared" si="7"/>
        <v>#DIV/0!</v>
      </c>
      <c r="X12" s="1"/>
      <c r="Y12" s="689"/>
      <c r="Z12" s="689"/>
      <c r="AA12" s="692"/>
      <c r="AB12" s="692"/>
      <c r="AC12" s="640"/>
      <c r="AD12" s="641"/>
      <c r="AE12" s="641"/>
    </row>
    <row r="13" spans="2:31" ht="13.9" customHeight="1" thickBot="1" x14ac:dyDescent="0.25">
      <c r="B13" s="49" t="s">
        <v>30</v>
      </c>
      <c r="C13" s="43"/>
      <c r="D13" s="11"/>
      <c r="E13" s="11"/>
      <c r="F13" s="27"/>
      <c r="G13" s="12">
        <f t="shared" si="4"/>
        <v>0</v>
      </c>
      <c r="H13" s="14">
        <f>ROUNDDOWN(IF(OR(B13="ACAO",B13="DIR",B13="ETF"),G13*Configurações!$B$9,IF(B13="OPCAO",G13*Configurações!$B$23,0)),2)</f>
        <v>0</v>
      </c>
      <c r="I13" s="14">
        <f>ROUNDDOWN(IF(OR(B13="ACAO",B13="ETF",B13="DIR"),G13*Configurações!$C$9,IF(B13="OPCAO",G13*Configurações!$C$23,0)),2)</f>
        <v>0</v>
      </c>
      <c r="J13" s="14">
        <f>ROUNDDOWN(IF(OR(B13="ACAO",B13="ETF",B13="DIR"),G13*Configurações!$D$9,IF(B13="OPCAO",G13*Configurações!$D$23,0)),2)</f>
        <v>0</v>
      </c>
      <c r="K13" s="27"/>
      <c r="L13" s="27"/>
      <c r="M13" s="15">
        <f t="shared" si="5"/>
        <v>0</v>
      </c>
      <c r="N13" s="17">
        <f t="shared" si="0"/>
        <v>0</v>
      </c>
      <c r="O13" s="113"/>
      <c r="P13" s="141">
        <f t="shared" si="1"/>
        <v>0</v>
      </c>
      <c r="Q13" s="142">
        <f t="shared" si="2"/>
        <v>0</v>
      </c>
      <c r="R13" s="143">
        <f t="shared" si="8"/>
        <v>0</v>
      </c>
      <c r="S13" s="144" t="e">
        <f t="shared" si="9"/>
        <v>#DIV/0!</v>
      </c>
      <c r="T13" s="145">
        <f t="shared" si="6"/>
        <v>0</v>
      </c>
      <c r="U13" s="145">
        <f t="shared" si="3"/>
        <v>0</v>
      </c>
      <c r="V13" s="146">
        <f>IF(P13&gt;0,SUM(T13,$U$7:U13),IF(P13=0,V12,IF(P13&lt;0,V12+(P13*W13))))</f>
        <v>0</v>
      </c>
      <c r="W13" s="147" t="e">
        <f t="shared" si="7"/>
        <v>#DIV/0!</v>
      </c>
      <c r="X13" s="1"/>
      <c r="Y13" s="689"/>
      <c r="Z13" s="689"/>
      <c r="AA13" s="692"/>
      <c r="AB13" s="692"/>
      <c r="AC13" s="640"/>
      <c r="AD13" s="641"/>
      <c r="AE13" s="641"/>
    </row>
    <row r="14" spans="2:31" ht="13.9" customHeight="1" thickBot="1" x14ac:dyDescent="0.25">
      <c r="B14" s="49" t="s">
        <v>30</v>
      </c>
      <c r="C14" s="43"/>
      <c r="D14" s="11"/>
      <c r="E14" s="11"/>
      <c r="F14" s="27"/>
      <c r="G14" s="12">
        <f t="shared" si="4"/>
        <v>0</v>
      </c>
      <c r="H14" s="14">
        <f>ROUNDDOWN(IF(OR(B14="ACAO",B14="DIR",B14="ETF"),G14*Configurações!$B$9,IF(B14="OPCAO",G14*Configurações!$B$23,0)),2)</f>
        <v>0</v>
      </c>
      <c r="I14" s="14">
        <f>ROUNDDOWN(IF(OR(B14="ACAO",B14="ETF",B14="DIR"),G14*Configurações!$C$9,IF(B14="OPCAO",G14*Configurações!$C$23,0)),2)</f>
        <v>0</v>
      </c>
      <c r="J14" s="14">
        <f>ROUNDDOWN(IF(OR(B14="ACAO",B14="ETF",B14="DIR"),G14*Configurações!$D$9,IF(B14="OPCAO",G14*Configurações!$D$23,0)),2)</f>
        <v>0</v>
      </c>
      <c r="K14" s="27"/>
      <c r="L14" s="27"/>
      <c r="M14" s="15">
        <f t="shared" si="5"/>
        <v>0</v>
      </c>
      <c r="N14" s="17">
        <f t="shared" si="0"/>
        <v>0</v>
      </c>
      <c r="O14" s="113"/>
      <c r="P14" s="141">
        <f t="shared" si="1"/>
        <v>0</v>
      </c>
      <c r="Q14" s="142">
        <f t="shared" si="2"/>
        <v>0</v>
      </c>
      <c r="R14" s="143">
        <f t="shared" si="8"/>
        <v>0</v>
      </c>
      <c r="S14" s="144" t="e">
        <f t="shared" si="9"/>
        <v>#DIV/0!</v>
      </c>
      <c r="T14" s="145">
        <f t="shared" si="6"/>
        <v>0</v>
      </c>
      <c r="U14" s="145">
        <f t="shared" si="3"/>
        <v>0</v>
      </c>
      <c r="V14" s="146">
        <f>IF(P14&gt;0,SUM(T14,$U$7:U14),IF(P14=0,V13,IF(P14&lt;0,V13+(P14*W14))))</f>
        <v>0</v>
      </c>
      <c r="W14" s="147" t="e">
        <f t="shared" si="7"/>
        <v>#DIV/0!</v>
      </c>
      <c r="X14" s="1"/>
      <c r="Y14" s="689" t="s">
        <v>151</v>
      </c>
      <c r="Z14" s="689"/>
      <c r="AA14" s="692" t="str">
        <f>IF(AA6="","-",W81)</f>
        <v>-</v>
      </c>
      <c r="AB14" s="692"/>
      <c r="AC14" s="640" t="s">
        <v>167</v>
      </c>
      <c r="AD14" s="641"/>
      <c r="AE14" s="641"/>
    </row>
    <row r="15" spans="2:31" ht="13.9" customHeight="1" thickBot="1" x14ac:dyDescent="0.25">
      <c r="B15" s="49" t="s">
        <v>30</v>
      </c>
      <c r="C15" s="43"/>
      <c r="D15" s="11"/>
      <c r="E15" s="11"/>
      <c r="F15" s="27"/>
      <c r="G15" s="12">
        <f t="shared" si="4"/>
        <v>0</v>
      </c>
      <c r="H15" s="14">
        <f>ROUNDDOWN(IF(OR(B15="ACAO",B15="DIR",B15="ETF"),G15*Configurações!$B$9,IF(B15="OPCAO",G15*Configurações!$B$23,0)),2)</f>
        <v>0</v>
      </c>
      <c r="I15" s="14">
        <f>ROUNDDOWN(IF(OR(B15="ACAO",B15="ETF",B15="DIR"),G15*Configurações!$C$9,IF(B15="OPCAO",G15*Configurações!$C$23,0)),2)</f>
        <v>0</v>
      </c>
      <c r="J15" s="14">
        <f>ROUNDDOWN(IF(OR(B15="ACAO",B15="ETF",B15="DIR"),G15*Configurações!$D$9,IF(B15="OPCAO",G15*Configurações!$D$23,0)),2)</f>
        <v>0</v>
      </c>
      <c r="K15" s="27"/>
      <c r="L15" s="27"/>
      <c r="M15" s="15">
        <f t="shared" si="5"/>
        <v>0</v>
      </c>
      <c r="N15" s="17">
        <f t="shared" si="0"/>
        <v>0</v>
      </c>
      <c r="O15" s="113"/>
      <c r="P15" s="141">
        <f t="shared" si="1"/>
        <v>0</v>
      </c>
      <c r="Q15" s="142">
        <f t="shared" si="2"/>
        <v>0</v>
      </c>
      <c r="R15" s="143">
        <f t="shared" si="8"/>
        <v>0</v>
      </c>
      <c r="S15" s="144" t="e">
        <f t="shared" si="9"/>
        <v>#DIV/0!</v>
      </c>
      <c r="T15" s="145">
        <f t="shared" si="6"/>
        <v>0</v>
      </c>
      <c r="U15" s="145">
        <f t="shared" si="3"/>
        <v>0</v>
      </c>
      <c r="V15" s="146">
        <f>IF(P15&gt;0,SUM(T15,$U$7:U15),IF(P15=0,V14,IF(P15&lt;0,V14+(P15*W15))))</f>
        <v>0</v>
      </c>
      <c r="W15" s="147" t="e">
        <f t="shared" si="7"/>
        <v>#DIV/0!</v>
      </c>
      <c r="X15" s="1"/>
      <c r="Y15" s="689"/>
      <c r="Z15" s="689"/>
      <c r="AA15" s="692"/>
      <c r="AB15" s="692"/>
      <c r="AC15" s="640"/>
      <c r="AD15" s="641"/>
      <c r="AE15" s="641"/>
    </row>
    <row r="16" spans="2:31" ht="13.9" customHeight="1" thickBot="1" x14ac:dyDescent="0.25">
      <c r="B16" s="49" t="s">
        <v>30</v>
      </c>
      <c r="C16" s="43"/>
      <c r="D16" s="11"/>
      <c r="E16" s="11"/>
      <c r="F16" s="27"/>
      <c r="G16" s="12">
        <f t="shared" si="4"/>
        <v>0</v>
      </c>
      <c r="H16" s="14">
        <f>ROUNDDOWN(IF(OR(B16="ACAO",B16="DIR",B16="ETF"),G16*Configurações!$B$9,IF(B16="OPCAO",G16*Configurações!$B$23,0)),2)</f>
        <v>0</v>
      </c>
      <c r="I16" s="14">
        <f>ROUNDDOWN(IF(OR(B16="ACAO",B16="ETF",B16="DIR"),G16*Configurações!$C$9,IF(B16="OPCAO",G16*Configurações!$C$23,0)),2)</f>
        <v>0</v>
      </c>
      <c r="J16" s="14">
        <f>ROUNDDOWN(IF(OR(B16="ACAO",B16="ETF",B16="DIR"),G16*Configurações!$D$9,IF(B16="OPCAO",G16*Configurações!$D$23,0)),2)</f>
        <v>0</v>
      </c>
      <c r="K16" s="27"/>
      <c r="L16" s="27"/>
      <c r="M16" s="15">
        <f t="shared" si="5"/>
        <v>0</v>
      </c>
      <c r="N16" s="17">
        <f t="shared" si="0"/>
        <v>0</v>
      </c>
      <c r="O16" s="113"/>
      <c r="P16" s="141">
        <f t="shared" si="1"/>
        <v>0</v>
      </c>
      <c r="Q16" s="142">
        <f t="shared" si="2"/>
        <v>0</v>
      </c>
      <c r="R16" s="143">
        <f t="shared" si="8"/>
        <v>0</v>
      </c>
      <c r="S16" s="144" t="e">
        <f t="shared" si="9"/>
        <v>#DIV/0!</v>
      </c>
      <c r="T16" s="145">
        <f t="shared" si="6"/>
        <v>0</v>
      </c>
      <c r="U16" s="145">
        <f t="shared" si="3"/>
        <v>0</v>
      </c>
      <c r="V16" s="146">
        <f>IF(P16&gt;0,SUM(T16,$U$7:U16),IF(P16=0,V15,IF(P16&lt;0,V15+(P16*W16))))</f>
        <v>0</v>
      </c>
      <c r="W16" s="147" t="e">
        <f t="shared" si="7"/>
        <v>#DIV/0!</v>
      </c>
      <c r="X16" s="1"/>
      <c r="Y16" s="689"/>
      <c r="Z16" s="689"/>
      <c r="AA16" s="692"/>
      <c r="AB16" s="692"/>
      <c r="AC16" s="640"/>
      <c r="AD16" s="641"/>
      <c r="AE16" s="641"/>
    </row>
    <row r="17" spans="2:31" ht="13.9" customHeight="1" thickBot="1" x14ac:dyDescent="0.25">
      <c r="B17" s="49" t="s">
        <v>30</v>
      </c>
      <c r="C17" s="43"/>
      <c r="D17" s="11"/>
      <c r="E17" s="11"/>
      <c r="F17" s="27"/>
      <c r="G17" s="12">
        <f t="shared" si="4"/>
        <v>0</v>
      </c>
      <c r="H17" s="14">
        <f>ROUNDDOWN(IF(OR(B17="ACAO",B17="DIR",B17="ETF"),G17*Configurações!$B$9,IF(B17="OPCAO",G17*Configurações!$B$23,0)),2)</f>
        <v>0</v>
      </c>
      <c r="I17" s="14">
        <f>ROUNDDOWN(IF(OR(B17="ACAO",B17="ETF",B17="DIR"),G17*Configurações!$C$9,IF(B17="OPCAO",G17*Configurações!$C$23,0)),2)</f>
        <v>0</v>
      </c>
      <c r="J17" s="14">
        <f>ROUNDDOWN(IF(OR(B17="ACAO",B17="ETF",B17="DIR"),G17*Configurações!$D$9,IF(B17="OPCAO",G17*Configurações!$D$23,0)),2)</f>
        <v>0</v>
      </c>
      <c r="K17" s="27"/>
      <c r="L17" s="27"/>
      <c r="M17" s="15">
        <f t="shared" si="5"/>
        <v>0</v>
      </c>
      <c r="N17" s="17">
        <f t="shared" si="0"/>
        <v>0</v>
      </c>
      <c r="O17" s="113"/>
      <c r="P17" s="141">
        <f t="shared" si="1"/>
        <v>0</v>
      </c>
      <c r="Q17" s="142">
        <f t="shared" si="2"/>
        <v>0</v>
      </c>
      <c r="R17" s="143">
        <f t="shared" si="8"/>
        <v>0</v>
      </c>
      <c r="S17" s="144" t="e">
        <f t="shared" si="9"/>
        <v>#DIV/0!</v>
      </c>
      <c r="T17" s="145">
        <f t="shared" si="6"/>
        <v>0</v>
      </c>
      <c r="U17" s="145">
        <f t="shared" si="3"/>
        <v>0</v>
      </c>
      <c r="V17" s="146">
        <f>IF(P17&gt;0,SUM(T17,$U$7:U17),IF(P17=0,V16,IF(P17&lt;0,V16+(P17*W17))))</f>
        <v>0</v>
      </c>
      <c r="W17" s="147" t="e">
        <f t="shared" si="7"/>
        <v>#DIV/0!</v>
      </c>
      <c r="X17" s="1"/>
      <c r="Y17" s="1"/>
      <c r="Z17" s="1"/>
      <c r="AA17" s="1"/>
      <c r="AB17" s="1"/>
    </row>
    <row r="18" spans="2:31" ht="13.9" customHeight="1" thickBot="1" x14ac:dyDescent="0.25">
      <c r="B18" s="49" t="s">
        <v>30</v>
      </c>
      <c r="C18" s="43"/>
      <c r="D18" s="11"/>
      <c r="E18" s="11"/>
      <c r="F18" s="27"/>
      <c r="G18" s="12">
        <f t="shared" si="4"/>
        <v>0</v>
      </c>
      <c r="H18" s="14">
        <f>ROUNDDOWN(IF(OR(B18="ACAO",B18="DIR",B18="ETF"),G18*Configurações!$B$9,IF(B18="OPCAO",G18*Configurações!$B$23,0)),2)</f>
        <v>0</v>
      </c>
      <c r="I18" s="14">
        <f>ROUNDDOWN(IF(OR(B18="ACAO",B18="ETF",B18="DIR"),G18*Configurações!$C$9,IF(B18="OPCAO",G18*Configurações!$C$23,0)),2)</f>
        <v>0</v>
      </c>
      <c r="J18" s="14">
        <f>ROUNDDOWN(IF(OR(B18="ACAO",B18="ETF",B18="DIR"),G18*Configurações!$D$9,IF(B18="OPCAO",G18*Configurações!$D$23,0)),2)</f>
        <v>0</v>
      </c>
      <c r="K18" s="27"/>
      <c r="L18" s="27"/>
      <c r="M18" s="15">
        <f t="shared" si="5"/>
        <v>0</v>
      </c>
      <c r="N18" s="17">
        <f t="shared" si="0"/>
        <v>0</v>
      </c>
      <c r="O18" s="113"/>
      <c r="P18" s="141">
        <f t="shared" si="1"/>
        <v>0</v>
      </c>
      <c r="Q18" s="142">
        <f t="shared" si="2"/>
        <v>0</v>
      </c>
      <c r="R18" s="143">
        <f t="shared" si="8"/>
        <v>0</v>
      </c>
      <c r="S18" s="144" t="e">
        <f t="shared" si="9"/>
        <v>#DIV/0!</v>
      </c>
      <c r="T18" s="145">
        <f t="shared" si="6"/>
        <v>0</v>
      </c>
      <c r="U18" s="145">
        <f t="shared" si="3"/>
        <v>0</v>
      </c>
      <c r="V18" s="146">
        <f>IF(P18&gt;0,SUM(T18,$U$7:U18),IF(P18=0,V17,IF(P18&lt;0,V17+(P18*W18))))</f>
        <v>0</v>
      </c>
      <c r="W18" s="147" t="e">
        <f t="shared" si="7"/>
        <v>#DIV/0!</v>
      </c>
      <c r="X18" s="1"/>
      <c r="Y18" s="693" t="s">
        <v>152</v>
      </c>
      <c r="Z18" s="693"/>
      <c r="AA18" s="693"/>
      <c r="AB18" s="693"/>
    </row>
    <row r="19" spans="2:31" ht="13.9" customHeight="1" thickBot="1" x14ac:dyDescent="0.25">
      <c r="B19" s="49" t="s">
        <v>30</v>
      </c>
      <c r="C19" s="43"/>
      <c r="D19" s="11"/>
      <c r="E19" s="11"/>
      <c r="F19" s="27"/>
      <c r="G19" s="12">
        <f t="shared" si="4"/>
        <v>0</v>
      </c>
      <c r="H19" s="14">
        <f>ROUNDDOWN(IF(OR(B19="ACAO",B19="DIR",B19="ETF"),G19*Configurações!$B$9,IF(B19="OPCAO",G19*Configurações!$B$23,0)),2)</f>
        <v>0</v>
      </c>
      <c r="I19" s="14">
        <f>ROUNDDOWN(IF(OR(B19="ACAO",B19="ETF",B19="DIR"),G19*Configurações!$C$9,IF(B19="OPCAO",G19*Configurações!$C$23,0)),2)</f>
        <v>0</v>
      </c>
      <c r="J19" s="14">
        <f>ROUNDDOWN(IF(OR(B19="ACAO",B19="ETF",B19="DIR"),G19*Configurações!$D$9,IF(B19="OPCAO",G19*Configurações!$D$23,0)),2)</f>
        <v>0</v>
      </c>
      <c r="K19" s="27"/>
      <c r="L19" s="27"/>
      <c r="M19" s="15">
        <f t="shared" si="5"/>
        <v>0</v>
      </c>
      <c r="N19" s="17">
        <f t="shared" si="0"/>
        <v>0</v>
      </c>
      <c r="O19" s="113"/>
      <c r="P19" s="141">
        <f t="shared" si="1"/>
        <v>0</v>
      </c>
      <c r="Q19" s="142">
        <f t="shared" si="2"/>
        <v>0</v>
      </c>
      <c r="R19" s="143">
        <f t="shared" si="8"/>
        <v>0</v>
      </c>
      <c r="S19" s="144" t="e">
        <f t="shared" si="9"/>
        <v>#DIV/0!</v>
      </c>
      <c r="T19" s="145">
        <f t="shared" si="6"/>
        <v>0</v>
      </c>
      <c r="U19" s="145">
        <f t="shared" si="3"/>
        <v>0</v>
      </c>
      <c r="V19" s="146">
        <f>IF(P19&gt;0,SUM(T19,$U$7:U19),IF(P19=0,V18,IF(P19&lt;0,V18+(P19*W19))))</f>
        <v>0</v>
      </c>
      <c r="W19" s="147" t="e">
        <f t="shared" si="7"/>
        <v>#DIV/0!</v>
      </c>
      <c r="X19" s="1"/>
      <c r="Y19" s="693"/>
      <c r="Z19" s="693"/>
      <c r="AA19" s="693"/>
      <c r="AB19" s="693"/>
    </row>
    <row r="20" spans="2:31" ht="13.9" customHeight="1" thickBot="1" x14ac:dyDescent="0.25">
      <c r="B20" s="49" t="s">
        <v>30</v>
      </c>
      <c r="C20" s="43"/>
      <c r="D20" s="11"/>
      <c r="E20" s="11"/>
      <c r="F20" s="27"/>
      <c r="G20" s="12">
        <f t="shared" si="4"/>
        <v>0</v>
      </c>
      <c r="H20" s="14">
        <f>ROUNDDOWN(IF(OR(B20="ACAO",B20="DIR",B20="ETF"),G20*Configurações!$B$9,IF(B20="OPCAO",G20*Configurações!$B$23,0)),2)</f>
        <v>0</v>
      </c>
      <c r="I20" s="14">
        <f>ROUNDDOWN(IF(OR(B20="ACAO",B20="ETF",B20="DIR"),G20*Configurações!$C$9,IF(B20="OPCAO",G20*Configurações!$C$23,0)),2)</f>
        <v>0</v>
      </c>
      <c r="J20" s="14">
        <f>ROUNDDOWN(IF(OR(B20="ACAO",B20="ETF",B20="DIR"),G20*Configurações!$D$9,IF(B20="OPCAO",G20*Configurações!$D$23,0)),2)</f>
        <v>0</v>
      </c>
      <c r="K20" s="27"/>
      <c r="L20" s="27"/>
      <c r="M20" s="15">
        <f t="shared" si="5"/>
        <v>0</v>
      </c>
      <c r="N20" s="17">
        <f t="shared" si="0"/>
        <v>0</v>
      </c>
      <c r="O20" s="113"/>
      <c r="P20" s="141">
        <f t="shared" si="1"/>
        <v>0</v>
      </c>
      <c r="Q20" s="142">
        <f t="shared" si="2"/>
        <v>0</v>
      </c>
      <c r="R20" s="143">
        <f t="shared" si="8"/>
        <v>0</v>
      </c>
      <c r="S20" s="144" t="e">
        <f t="shared" si="9"/>
        <v>#DIV/0!</v>
      </c>
      <c r="T20" s="145">
        <f t="shared" si="6"/>
        <v>0</v>
      </c>
      <c r="U20" s="145">
        <f t="shared" si="3"/>
        <v>0</v>
      </c>
      <c r="V20" s="146">
        <f>IF(P20&gt;0,SUM(T20,$U$7:U20),IF(P20=0,V19,IF(P20&lt;0,V19+(P20*W20))))</f>
        <v>0</v>
      </c>
      <c r="W20" s="147" t="e">
        <f t="shared" si="7"/>
        <v>#DIV/0!</v>
      </c>
      <c r="X20" s="1"/>
      <c r="Y20" s="693"/>
      <c r="Z20" s="693"/>
      <c r="AA20" s="693"/>
      <c r="AB20" s="693"/>
    </row>
    <row r="21" spans="2:31" ht="13.9" customHeight="1" thickBot="1" x14ac:dyDescent="0.25">
      <c r="B21" s="132" t="s">
        <v>30</v>
      </c>
      <c r="C21" s="43"/>
      <c r="D21" s="11"/>
      <c r="E21" s="11"/>
      <c r="F21" s="27"/>
      <c r="G21" s="12">
        <f t="shared" si="4"/>
        <v>0</v>
      </c>
      <c r="H21" s="14">
        <f>ROUNDDOWN(IF(OR(B21="ACAO",B21="DIR",B21="ETF"),G21*Configurações!$B$9,IF(B21="OPCAO",G21*Configurações!$B$23,0)),2)</f>
        <v>0</v>
      </c>
      <c r="I21" s="14">
        <f>ROUNDDOWN(IF(OR(B21="ACAO",B21="ETF",B21="DIR"),G21*Configurações!$C$9,IF(B21="OPCAO",G21*Configurações!$C$23,0)),2)</f>
        <v>0</v>
      </c>
      <c r="J21" s="14">
        <f>ROUNDDOWN(IF(OR(B21="ACAO",B21="ETF",B21="DIR"),G21*Configurações!$D$9,IF(B21="OPCAO",G21*Configurações!$D$23,0)),2)</f>
        <v>0</v>
      </c>
      <c r="K21" s="27"/>
      <c r="L21" s="27"/>
      <c r="M21" s="15">
        <f t="shared" si="5"/>
        <v>0</v>
      </c>
      <c r="N21" s="17">
        <f t="shared" si="0"/>
        <v>0</v>
      </c>
      <c r="O21" s="113"/>
      <c r="P21" s="141">
        <f t="shared" si="1"/>
        <v>0</v>
      </c>
      <c r="Q21" s="142">
        <f t="shared" si="2"/>
        <v>0</v>
      </c>
      <c r="R21" s="143">
        <f t="shared" si="8"/>
        <v>0</v>
      </c>
      <c r="S21" s="144" t="e">
        <f t="shared" si="9"/>
        <v>#DIV/0!</v>
      </c>
      <c r="T21" s="145">
        <f t="shared" si="6"/>
        <v>0</v>
      </c>
      <c r="U21" s="145">
        <f t="shared" si="3"/>
        <v>0</v>
      </c>
      <c r="V21" s="146">
        <f>IF(P21&gt;0,SUM(T21,$U$7:U21),IF(P21=0,V20,IF(P21&lt;0,V20+(P21*W21))))</f>
        <v>0</v>
      </c>
      <c r="W21" s="147" t="e">
        <f t="shared" si="7"/>
        <v>#DIV/0!</v>
      </c>
      <c r="X21" s="1"/>
      <c r="Y21" s="642" t="s">
        <v>160</v>
      </c>
      <c r="Z21" s="642"/>
      <c r="AA21" s="694"/>
      <c r="AB21" s="694"/>
    </row>
    <row r="22" spans="2:31" ht="13.9" customHeight="1" thickBot="1" x14ac:dyDescent="0.25">
      <c r="B22" s="49" t="s">
        <v>30</v>
      </c>
      <c r="C22" s="43"/>
      <c r="D22" s="11"/>
      <c r="E22" s="11"/>
      <c r="F22" s="11"/>
      <c r="G22" s="12">
        <f t="shared" ref="G22:G33" si="10">E22*F22</f>
        <v>0</v>
      </c>
      <c r="H22" s="14">
        <f>ROUNDDOWN(IF(OR(B22="ACAO",B22="DIR",B22="ETF"),G22*Configurações!$B$9,IF(B22="OPCAO",G22*Configurações!$B$23,0)),2)</f>
        <v>0</v>
      </c>
      <c r="I22" s="14">
        <f>ROUNDDOWN(IF(OR(B22="ACAO",B22="ETF",B22="DIR"),G22*Configurações!$C$9,IF(B22="OPCAO",G22*Configurações!$C$23,0)),2)</f>
        <v>0</v>
      </c>
      <c r="J22" s="14">
        <f>ROUNDDOWN(IF(OR(B22="ACAO",B22="ETF",B22="DIR"),G22*Configurações!$D$9,IF(B22="OPCAO",G22*Configurações!$D$23,0)),2)</f>
        <v>0</v>
      </c>
      <c r="K22" s="27"/>
      <c r="L22" s="27"/>
      <c r="M22" s="15">
        <f t="shared" si="5"/>
        <v>0</v>
      </c>
      <c r="N22" s="17">
        <f t="shared" si="0"/>
        <v>0</v>
      </c>
      <c r="O22" s="113"/>
      <c r="P22" s="141">
        <f t="shared" si="1"/>
        <v>0</v>
      </c>
      <c r="Q22" s="142">
        <f t="shared" si="2"/>
        <v>0</v>
      </c>
      <c r="R22" s="143">
        <f t="shared" si="8"/>
        <v>0</v>
      </c>
      <c r="S22" s="144" t="e">
        <f t="shared" si="9"/>
        <v>#DIV/0!</v>
      </c>
      <c r="T22" s="145">
        <f t="shared" si="6"/>
        <v>0</v>
      </c>
      <c r="U22" s="145">
        <f t="shared" si="3"/>
        <v>0</v>
      </c>
      <c r="V22" s="146">
        <f>IF(P22&gt;0,SUM(T22,$U$7:U22),IF(P22=0,V21,IF(P22&lt;0,V21+(P22*W22))))</f>
        <v>0</v>
      </c>
      <c r="W22" s="147" t="e">
        <f t="shared" si="7"/>
        <v>#DIV/0!</v>
      </c>
      <c r="X22" s="1"/>
      <c r="Y22" s="642"/>
      <c r="Z22" s="642"/>
      <c r="AA22" s="694"/>
      <c r="AB22" s="694"/>
    </row>
    <row r="23" spans="2:31" ht="13.9" customHeight="1" thickBot="1" x14ac:dyDescent="0.25">
      <c r="B23" s="49" t="s">
        <v>30</v>
      </c>
      <c r="C23" s="43"/>
      <c r="D23" s="11"/>
      <c r="E23" s="11"/>
      <c r="F23" s="11"/>
      <c r="G23" s="12">
        <f t="shared" si="10"/>
        <v>0</v>
      </c>
      <c r="H23" s="14">
        <f>ROUNDDOWN(IF(OR(B23="ACAO",B23="DIR",B23="ETF"),G23*Configurações!$B$9,IF(B23="OPCAO",G23*Configurações!$B$23,0)),2)</f>
        <v>0</v>
      </c>
      <c r="I23" s="14">
        <f>ROUNDDOWN(IF(OR(B23="ACAO",B23="ETF",B23="DIR"),G23*Configurações!$C$9,IF(B23="OPCAO",G23*Configurações!$C$23,0)),2)</f>
        <v>0</v>
      </c>
      <c r="J23" s="14">
        <f>ROUNDDOWN(IF(OR(B23="ACAO",B23="ETF",B23="DIR"),G23*Configurações!$D$9,IF(B23="OPCAO",G23*Configurações!$D$23,0)),2)</f>
        <v>0</v>
      </c>
      <c r="K23" s="27"/>
      <c r="L23" s="27"/>
      <c r="M23" s="15">
        <f t="shared" si="5"/>
        <v>0</v>
      </c>
      <c r="N23" s="17">
        <f t="shared" si="0"/>
        <v>0</v>
      </c>
      <c r="O23" s="113"/>
      <c r="P23" s="141">
        <f t="shared" si="1"/>
        <v>0</v>
      </c>
      <c r="Q23" s="142">
        <f t="shared" si="2"/>
        <v>0</v>
      </c>
      <c r="R23" s="143">
        <f t="shared" si="8"/>
        <v>0</v>
      </c>
      <c r="S23" s="144" t="e">
        <f t="shared" si="9"/>
        <v>#DIV/0!</v>
      </c>
      <c r="T23" s="145">
        <f t="shared" si="6"/>
        <v>0</v>
      </c>
      <c r="U23" s="145">
        <f t="shared" si="3"/>
        <v>0</v>
      </c>
      <c r="V23" s="146">
        <f>IF(P23&gt;0,SUM(T23,$U$7:U23),IF(P23=0,V22,IF(P23&lt;0,V22+(P23*W23))))</f>
        <v>0</v>
      </c>
      <c r="W23" s="147" t="e">
        <f t="shared" si="7"/>
        <v>#DIV/0!</v>
      </c>
      <c r="X23" s="1"/>
      <c r="Y23" s="642"/>
      <c r="Z23" s="642"/>
      <c r="AA23" s="694"/>
      <c r="AB23" s="694"/>
    </row>
    <row r="24" spans="2:31" ht="13.9" customHeight="1" thickBot="1" x14ac:dyDescent="0.25">
      <c r="B24" s="49" t="s">
        <v>30</v>
      </c>
      <c r="C24" s="43"/>
      <c r="D24" s="11"/>
      <c r="E24" s="11"/>
      <c r="F24" s="27"/>
      <c r="G24" s="12">
        <f t="shared" si="10"/>
        <v>0</v>
      </c>
      <c r="H24" s="14">
        <f>ROUNDDOWN(IF(OR(B24="ACAO",B24="DIR",B24="ETF"),G24*Configurações!$B$9,IF(B24="OPCAO",G24*Configurações!$B$23,0)),2)</f>
        <v>0</v>
      </c>
      <c r="I24" s="14">
        <f>ROUNDDOWN(IF(OR(B24="ACAO",B24="ETF",B24="DIR"),G24*Configurações!$C$9,IF(B24="OPCAO",G24*Configurações!$C$23,0)),2)</f>
        <v>0</v>
      </c>
      <c r="J24" s="14">
        <f>ROUNDDOWN(IF(OR(B24="ACAO",B24="ETF",B24="DIR"),G24*Configurações!$D$9,IF(B24="OPCAO",G24*Configurações!$D$23,0)),2)</f>
        <v>0</v>
      </c>
      <c r="K24" s="27"/>
      <c r="L24" s="27"/>
      <c r="M24" s="15">
        <f t="shared" si="5"/>
        <v>0</v>
      </c>
      <c r="N24" s="17">
        <f t="shared" si="0"/>
        <v>0</v>
      </c>
      <c r="O24" s="113"/>
      <c r="P24" s="141">
        <f t="shared" si="1"/>
        <v>0</v>
      </c>
      <c r="Q24" s="142">
        <f t="shared" si="2"/>
        <v>0</v>
      </c>
      <c r="R24" s="143">
        <f t="shared" si="8"/>
        <v>0</v>
      </c>
      <c r="S24" s="144" t="e">
        <f t="shared" si="9"/>
        <v>#DIV/0!</v>
      </c>
      <c r="T24" s="145">
        <f t="shared" si="6"/>
        <v>0</v>
      </c>
      <c r="U24" s="145">
        <f t="shared" si="3"/>
        <v>0</v>
      </c>
      <c r="V24" s="146">
        <f>IF(P24&gt;0,SUM(T24,$U$7:U24),IF(P24=0,V23,IF(P24&lt;0,V23+(P24*W24))))</f>
        <v>0</v>
      </c>
      <c r="W24" s="147" t="e">
        <f t="shared" si="7"/>
        <v>#DIV/0!</v>
      </c>
      <c r="X24" s="1"/>
      <c r="Y24" s="642" t="s">
        <v>172</v>
      </c>
      <c r="Z24" s="642"/>
      <c r="AA24" s="695" t="str">
        <f>IF(AA6="","-",(AA21-AA14)*AA8)</f>
        <v>-</v>
      </c>
      <c r="AB24" s="695"/>
      <c r="AC24" s="640" t="s">
        <v>167</v>
      </c>
      <c r="AD24" s="641"/>
      <c r="AE24" s="641"/>
    </row>
    <row r="25" spans="2:31" ht="13.9" customHeight="1" thickBot="1" x14ac:dyDescent="0.25">
      <c r="B25" s="49" t="s">
        <v>30</v>
      </c>
      <c r="C25" s="43"/>
      <c r="D25" s="11"/>
      <c r="E25" s="11"/>
      <c r="F25" s="27"/>
      <c r="G25" s="12">
        <f t="shared" si="10"/>
        <v>0</v>
      </c>
      <c r="H25" s="14">
        <f>ROUNDDOWN(IF(OR(B25="ACAO",B25="DIR",B25="ETF"),G25*Configurações!$B$9,IF(B25="OPCAO",G25*Configurações!$B$23,0)),2)</f>
        <v>0</v>
      </c>
      <c r="I25" s="14">
        <f>ROUNDDOWN(IF(OR(B25="ACAO",B25="ETF",B25="DIR"),G25*Configurações!$C$9,IF(B25="OPCAO",G25*Configurações!$C$23,0)),2)</f>
        <v>0</v>
      </c>
      <c r="J25" s="14">
        <f>ROUNDDOWN(IF(OR(B25="ACAO",B25="ETF",B25="DIR"),G25*Configurações!$D$9,IF(B25="OPCAO",G25*Configurações!$D$23,0)),2)</f>
        <v>0</v>
      </c>
      <c r="K25" s="27"/>
      <c r="L25" s="27"/>
      <c r="M25" s="15">
        <f t="shared" si="5"/>
        <v>0</v>
      </c>
      <c r="N25" s="17">
        <f t="shared" si="0"/>
        <v>0</v>
      </c>
      <c r="O25" s="113"/>
      <c r="P25" s="141">
        <f t="shared" si="1"/>
        <v>0</v>
      </c>
      <c r="Q25" s="142">
        <f t="shared" si="2"/>
        <v>0</v>
      </c>
      <c r="R25" s="143">
        <f t="shared" si="8"/>
        <v>0</v>
      </c>
      <c r="S25" s="144" t="e">
        <f t="shared" si="9"/>
        <v>#DIV/0!</v>
      </c>
      <c r="T25" s="145">
        <f t="shared" si="6"/>
        <v>0</v>
      </c>
      <c r="U25" s="145">
        <f t="shared" si="3"/>
        <v>0</v>
      </c>
      <c r="V25" s="146">
        <f>IF(P25&gt;0,SUM(T25,$U$7:U25),IF(P25=0,V24,IF(P25&lt;0,V24+(P25*W25))))</f>
        <v>0</v>
      </c>
      <c r="W25" s="147" t="e">
        <f t="shared" si="7"/>
        <v>#DIV/0!</v>
      </c>
      <c r="X25" s="1"/>
      <c r="Y25" s="642"/>
      <c r="Z25" s="642"/>
      <c r="AA25" s="695"/>
      <c r="AB25" s="695"/>
      <c r="AC25" s="640"/>
      <c r="AD25" s="641"/>
      <c r="AE25" s="641"/>
    </row>
    <row r="26" spans="2:31" ht="13.9" customHeight="1" thickBot="1" x14ac:dyDescent="0.25">
      <c r="B26" s="49" t="s">
        <v>30</v>
      </c>
      <c r="C26" s="43"/>
      <c r="D26" s="11"/>
      <c r="E26" s="11"/>
      <c r="F26" s="27"/>
      <c r="G26" s="12">
        <f t="shared" si="10"/>
        <v>0</v>
      </c>
      <c r="H26" s="14">
        <f>ROUNDDOWN(IF(OR(B26="ACAO",B26="DIR",B26="ETF"),G26*Configurações!$B$9,IF(B26="OPCAO",G26*Configurações!$B$23,0)),2)</f>
        <v>0</v>
      </c>
      <c r="I26" s="14">
        <f>ROUNDDOWN(IF(OR(B26="ACAO",B26="ETF",B26="DIR"),G26*Configurações!$C$9,IF(B26="OPCAO",G26*Configurações!$C$23,0)),2)</f>
        <v>0</v>
      </c>
      <c r="J26" s="14">
        <f>ROUNDDOWN(IF(OR(B26="ACAO",B26="ETF",B26="DIR"),G26*Configurações!$D$9,IF(B26="OPCAO",G26*Configurações!$D$23,0)),2)</f>
        <v>0</v>
      </c>
      <c r="K26" s="27"/>
      <c r="L26" s="27"/>
      <c r="M26" s="15">
        <f t="shared" si="5"/>
        <v>0</v>
      </c>
      <c r="N26" s="17">
        <f t="shared" si="0"/>
        <v>0</v>
      </c>
      <c r="O26" s="113"/>
      <c r="P26" s="141">
        <f t="shared" si="1"/>
        <v>0</v>
      </c>
      <c r="Q26" s="142">
        <f t="shared" si="2"/>
        <v>0</v>
      </c>
      <c r="R26" s="143">
        <f t="shared" si="8"/>
        <v>0</v>
      </c>
      <c r="S26" s="144" t="e">
        <f t="shared" si="9"/>
        <v>#DIV/0!</v>
      </c>
      <c r="T26" s="145">
        <f t="shared" si="6"/>
        <v>0</v>
      </c>
      <c r="U26" s="145">
        <f t="shared" si="3"/>
        <v>0</v>
      </c>
      <c r="V26" s="146">
        <f>IF(P26&gt;0,SUM(T26,$U$7:U26),IF(P26=0,V25,IF(P26&lt;0,V25+(P26*W26))))</f>
        <v>0</v>
      </c>
      <c r="W26" s="147" t="e">
        <f t="shared" si="7"/>
        <v>#DIV/0!</v>
      </c>
      <c r="X26" s="1"/>
      <c r="Y26" s="642"/>
      <c r="Z26" s="642"/>
      <c r="AA26" s="695"/>
      <c r="AB26" s="695"/>
      <c r="AC26" s="640"/>
      <c r="AD26" s="641"/>
      <c r="AE26" s="641"/>
    </row>
    <row r="27" spans="2:31" ht="13.9" customHeight="1" thickBot="1" x14ac:dyDescent="0.25">
      <c r="B27" s="49" t="s">
        <v>30</v>
      </c>
      <c r="C27" s="43"/>
      <c r="D27" s="11"/>
      <c r="E27" s="11"/>
      <c r="F27" s="27"/>
      <c r="G27" s="12">
        <f t="shared" si="10"/>
        <v>0</v>
      </c>
      <c r="H27" s="14">
        <f>ROUNDDOWN(IF(OR(B27="ACAO",B27="DIR",B27="ETF"),G27*Configurações!$B$9,IF(B27="OPCAO",G27*Configurações!$B$23,0)),2)</f>
        <v>0</v>
      </c>
      <c r="I27" s="14">
        <f>ROUNDDOWN(IF(OR(B27="ACAO",B27="ETF",B27="DIR"),G27*Configurações!$C$9,IF(B27="OPCAO",G27*Configurações!$C$23,0)),2)</f>
        <v>0</v>
      </c>
      <c r="J27" s="14">
        <f>ROUNDDOWN(IF(OR(B27="ACAO",B27="ETF",B27="DIR"),G27*Configurações!$D$9,IF(B27="OPCAO",G27*Configurações!$D$23,0)),2)</f>
        <v>0</v>
      </c>
      <c r="K27" s="27"/>
      <c r="L27" s="27"/>
      <c r="M27" s="15">
        <f t="shared" si="5"/>
        <v>0</v>
      </c>
      <c r="N27" s="17">
        <f t="shared" si="0"/>
        <v>0</v>
      </c>
      <c r="O27" s="113"/>
      <c r="P27" s="141">
        <f t="shared" si="1"/>
        <v>0</v>
      </c>
      <c r="Q27" s="142">
        <f t="shared" si="2"/>
        <v>0</v>
      </c>
      <c r="R27" s="143">
        <f t="shared" si="8"/>
        <v>0</v>
      </c>
      <c r="S27" s="144" t="e">
        <f t="shared" si="9"/>
        <v>#DIV/0!</v>
      </c>
      <c r="T27" s="145">
        <f t="shared" si="6"/>
        <v>0</v>
      </c>
      <c r="U27" s="145">
        <f t="shared" si="3"/>
        <v>0</v>
      </c>
      <c r="V27" s="146">
        <f>IF(P27&gt;0,SUM(T27,$U$7:U27),IF(P27=0,V26,IF(P27&lt;0,V26+(P27*W27))))</f>
        <v>0</v>
      </c>
      <c r="W27" s="147" t="e">
        <f t="shared" si="7"/>
        <v>#DIV/0!</v>
      </c>
      <c r="X27" s="1"/>
      <c r="Y27" s="642" t="s">
        <v>171</v>
      </c>
      <c r="Z27" s="642"/>
      <c r="AA27" s="643" t="str">
        <f>IF(AA6="","-",(AA21-AA14)/AA14)</f>
        <v>-</v>
      </c>
      <c r="AB27" s="644"/>
      <c r="AC27" s="640" t="s">
        <v>167</v>
      </c>
      <c r="AD27" s="641"/>
      <c r="AE27" s="641"/>
    </row>
    <row r="28" spans="2:31" ht="13.9" customHeight="1" thickBot="1" x14ac:dyDescent="0.25">
      <c r="B28" s="49" t="s">
        <v>30</v>
      </c>
      <c r="C28" s="43"/>
      <c r="D28" s="11"/>
      <c r="E28" s="11"/>
      <c r="F28" s="27"/>
      <c r="G28" s="12">
        <f t="shared" si="10"/>
        <v>0</v>
      </c>
      <c r="H28" s="14">
        <f>ROUNDDOWN(IF(OR(B28="ACAO",B28="DIR",B28="ETF"),G28*Configurações!$B$9,IF(B28="OPCAO",G28*Configurações!$B$23,0)),2)</f>
        <v>0</v>
      </c>
      <c r="I28" s="14">
        <f>ROUNDDOWN(IF(OR(B28="ACAO",B28="ETF",B28="DIR"),G28*Configurações!$C$9,IF(B28="OPCAO",G28*Configurações!$C$23,0)),2)</f>
        <v>0</v>
      </c>
      <c r="J28" s="14">
        <f>ROUNDDOWN(IF(OR(B28="ACAO",B28="ETF",B28="DIR"),G28*Configurações!$D$9,IF(B28="OPCAO",G28*Configurações!$D$23,0)),2)</f>
        <v>0</v>
      </c>
      <c r="K28" s="27"/>
      <c r="L28" s="27"/>
      <c r="M28" s="15">
        <f t="shared" si="5"/>
        <v>0</v>
      </c>
      <c r="N28" s="17">
        <f t="shared" si="0"/>
        <v>0</v>
      </c>
      <c r="O28" s="113"/>
      <c r="P28" s="141">
        <f t="shared" si="1"/>
        <v>0</v>
      </c>
      <c r="Q28" s="142">
        <f t="shared" si="2"/>
        <v>0</v>
      </c>
      <c r="R28" s="143">
        <f t="shared" si="8"/>
        <v>0</v>
      </c>
      <c r="S28" s="144" t="e">
        <f t="shared" si="9"/>
        <v>#DIV/0!</v>
      </c>
      <c r="T28" s="145">
        <f t="shared" si="6"/>
        <v>0</v>
      </c>
      <c r="U28" s="145">
        <f t="shared" si="3"/>
        <v>0</v>
      </c>
      <c r="V28" s="146">
        <f>IF(P28&gt;0,SUM(T28,$U$7:U28),IF(P28=0,V27,IF(P28&lt;0,V27+(P28*W28))))</f>
        <v>0</v>
      </c>
      <c r="W28" s="147" t="e">
        <f t="shared" si="7"/>
        <v>#DIV/0!</v>
      </c>
      <c r="X28" s="1"/>
      <c r="Y28" s="642"/>
      <c r="Z28" s="642"/>
      <c r="AA28" s="645"/>
      <c r="AB28" s="646"/>
      <c r="AC28" s="640"/>
      <c r="AD28" s="641"/>
      <c r="AE28" s="641"/>
    </row>
    <row r="29" spans="2:31" ht="13.9" customHeight="1" thickBot="1" x14ac:dyDescent="0.25">
      <c r="B29" s="49" t="s">
        <v>30</v>
      </c>
      <c r="C29" s="43"/>
      <c r="D29" s="11"/>
      <c r="E29" s="11"/>
      <c r="F29" s="27"/>
      <c r="G29" s="12">
        <f t="shared" si="10"/>
        <v>0</v>
      </c>
      <c r="H29" s="14">
        <f>ROUNDDOWN(IF(OR(B29="ACAO",B29="DIR",B29="ETF"),G29*Configurações!$B$9,IF(B29="OPCAO",G29*Configurações!$B$23,0)),2)</f>
        <v>0</v>
      </c>
      <c r="I29" s="14">
        <f>ROUNDDOWN(IF(OR(B29="ACAO",B29="ETF",B29="DIR"),G29*Configurações!$C$9,IF(B29="OPCAO",G29*Configurações!$C$23,0)),2)</f>
        <v>0</v>
      </c>
      <c r="J29" s="14">
        <f>ROUNDDOWN(IF(OR(B29="ACAO",B29="ETF",B29="DIR"),G29*Configurações!$D$9,IF(B29="OPCAO",G29*Configurações!$D$23,0)),2)</f>
        <v>0</v>
      </c>
      <c r="K29" s="27"/>
      <c r="L29" s="27"/>
      <c r="M29" s="15">
        <f t="shared" si="5"/>
        <v>0</v>
      </c>
      <c r="N29" s="17">
        <f t="shared" si="0"/>
        <v>0</v>
      </c>
      <c r="O29" s="113"/>
      <c r="P29" s="141">
        <f t="shared" si="1"/>
        <v>0</v>
      </c>
      <c r="Q29" s="142">
        <f t="shared" si="2"/>
        <v>0</v>
      </c>
      <c r="R29" s="143">
        <f t="shared" si="8"/>
        <v>0</v>
      </c>
      <c r="S29" s="144" t="e">
        <f t="shared" si="9"/>
        <v>#DIV/0!</v>
      </c>
      <c r="T29" s="145">
        <f t="shared" si="6"/>
        <v>0</v>
      </c>
      <c r="U29" s="145">
        <f t="shared" si="3"/>
        <v>0</v>
      </c>
      <c r="V29" s="146">
        <f>IF(P29&gt;0,SUM(T29,$U$7:U29),IF(P29=0,V28,IF(P29&lt;0,V28+(P29*W29))))</f>
        <v>0</v>
      </c>
      <c r="W29" s="147" t="e">
        <f t="shared" si="7"/>
        <v>#DIV/0!</v>
      </c>
      <c r="X29" s="1"/>
      <c r="Y29" s="642"/>
      <c r="Z29" s="642"/>
      <c r="AA29" s="647"/>
      <c r="AB29" s="648"/>
      <c r="AC29" s="640"/>
      <c r="AD29" s="641"/>
      <c r="AE29" s="641"/>
    </row>
    <row r="30" spans="2:31" ht="13.9" customHeight="1" thickBot="1" x14ac:dyDescent="0.25">
      <c r="B30" s="49" t="s">
        <v>30</v>
      </c>
      <c r="C30" s="43"/>
      <c r="D30" s="11"/>
      <c r="E30" s="11"/>
      <c r="F30" s="27"/>
      <c r="G30" s="12">
        <f t="shared" si="10"/>
        <v>0</v>
      </c>
      <c r="H30" s="14">
        <f>ROUNDDOWN(IF(OR(B30="ACAO",B30="DIR",B30="ETF"),G30*Configurações!$B$9,IF(B30="OPCAO",G30*Configurações!$B$23,0)),2)</f>
        <v>0</v>
      </c>
      <c r="I30" s="14">
        <f>ROUNDDOWN(IF(OR(B30="ACAO",B30="ETF",B30="DIR"),G30*Configurações!$C$9,IF(B30="OPCAO",G30*Configurações!$C$23,0)),2)</f>
        <v>0</v>
      </c>
      <c r="J30" s="14">
        <f>ROUNDDOWN(IF(OR(B30="ACAO",B30="ETF",B30="DIR"),G30*Configurações!$D$9,IF(B30="OPCAO",G30*Configurações!$D$23,0)),2)</f>
        <v>0</v>
      </c>
      <c r="K30" s="27"/>
      <c r="L30" s="27"/>
      <c r="M30" s="15">
        <f t="shared" si="5"/>
        <v>0</v>
      </c>
      <c r="N30" s="17">
        <f t="shared" si="0"/>
        <v>0</v>
      </c>
      <c r="O30" s="113"/>
      <c r="P30" s="141">
        <f t="shared" si="1"/>
        <v>0</v>
      </c>
      <c r="Q30" s="142">
        <f t="shared" si="2"/>
        <v>0</v>
      </c>
      <c r="R30" s="143">
        <f t="shared" si="8"/>
        <v>0</v>
      </c>
      <c r="S30" s="144" t="e">
        <f t="shared" si="9"/>
        <v>#DIV/0!</v>
      </c>
      <c r="T30" s="145">
        <f t="shared" si="6"/>
        <v>0</v>
      </c>
      <c r="U30" s="145">
        <f t="shared" ref="U30:U81" si="11">IF(D:D=$Q$4,H30+I30+J30+K30+L30+N30,0)</f>
        <v>0</v>
      </c>
      <c r="V30" s="146">
        <f>IF(P30&gt;0,SUM(T30,$U$7:U30),IF(P30=0,V29,IF(P30&lt;0,V29+(P30*W30))))</f>
        <v>0</v>
      </c>
      <c r="W30" s="147" t="e">
        <f t="shared" si="7"/>
        <v>#DIV/0!</v>
      </c>
      <c r="X30" s="1"/>
      <c r="Y30" s="642" t="s">
        <v>161</v>
      </c>
      <c r="Z30" s="642"/>
      <c r="AA30" s="694"/>
      <c r="AB30" s="694"/>
      <c r="AC30" s="640"/>
      <c r="AD30" s="641"/>
      <c r="AE30" s="641"/>
    </row>
    <row r="31" spans="2:31" ht="13.9" customHeight="1" thickBot="1" x14ac:dyDescent="0.25">
      <c r="B31" s="49" t="s">
        <v>30</v>
      </c>
      <c r="C31" s="43"/>
      <c r="D31" s="11"/>
      <c r="E31" s="11"/>
      <c r="F31" s="27"/>
      <c r="G31" s="12">
        <f t="shared" si="10"/>
        <v>0</v>
      </c>
      <c r="H31" s="14">
        <f>ROUNDDOWN(IF(OR(B31="ACAO",B31="DIR",B31="ETF"),G31*Configurações!$B$9,IF(B31="OPCAO",G31*Configurações!$B$23,0)),2)</f>
        <v>0</v>
      </c>
      <c r="I31" s="14">
        <f>ROUNDDOWN(IF(OR(B31="ACAO",B31="ETF",B31="DIR"),G31*Configurações!$C$9,IF(B31="OPCAO",G31*Configurações!$C$23,0)),2)</f>
        <v>0</v>
      </c>
      <c r="J31" s="14">
        <f>ROUNDDOWN(IF(OR(B31="ACAO",B31="ETF",B31="DIR"),G31*Configurações!$D$9,IF(B31="OPCAO",G31*Configurações!$D$23,0)),2)</f>
        <v>0</v>
      </c>
      <c r="K31" s="27"/>
      <c r="L31" s="27"/>
      <c r="M31" s="15">
        <f t="shared" si="5"/>
        <v>0</v>
      </c>
      <c r="N31" s="17">
        <f t="shared" si="0"/>
        <v>0</v>
      </c>
      <c r="O31" s="113"/>
      <c r="P31" s="141">
        <f t="shared" si="1"/>
        <v>0</v>
      </c>
      <c r="Q31" s="142">
        <f t="shared" si="2"/>
        <v>0</v>
      </c>
      <c r="R31" s="143">
        <f t="shared" si="8"/>
        <v>0</v>
      </c>
      <c r="S31" s="144" t="e">
        <f t="shared" si="9"/>
        <v>#DIV/0!</v>
      </c>
      <c r="T31" s="145">
        <f t="shared" si="6"/>
        <v>0</v>
      </c>
      <c r="U31" s="145">
        <f t="shared" si="11"/>
        <v>0</v>
      </c>
      <c r="V31" s="146">
        <f>IF(P31&gt;0,SUM(T31,$U$7:U31),IF(P31=0,V30,IF(P31&lt;0,V30+(P31*W31))))</f>
        <v>0</v>
      </c>
      <c r="W31" s="147" t="e">
        <f t="shared" si="7"/>
        <v>#DIV/0!</v>
      </c>
      <c r="X31" s="1"/>
      <c r="Y31" s="642"/>
      <c r="Z31" s="642"/>
      <c r="AA31" s="694"/>
      <c r="AB31" s="694"/>
      <c r="AC31" s="640"/>
      <c r="AD31" s="641"/>
      <c r="AE31" s="641"/>
    </row>
    <row r="32" spans="2:31" ht="13.9" customHeight="1" thickBot="1" x14ac:dyDescent="0.25">
      <c r="B32" s="49" t="s">
        <v>30</v>
      </c>
      <c r="C32" s="43"/>
      <c r="D32" s="11"/>
      <c r="E32" s="11"/>
      <c r="F32" s="27"/>
      <c r="G32" s="12">
        <f t="shared" si="10"/>
        <v>0</v>
      </c>
      <c r="H32" s="14">
        <f>ROUNDDOWN(IF(OR(B32="ACAO",B32="DIR",B32="ETF"),G32*Configurações!$B$9,IF(B32="OPCAO",G32*Configurações!$B$23,0)),2)</f>
        <v>0</v>
      </c>
      <c r="I32" s="14">
        <f>ROUNDDOWN(IF(OR(B32="ACAO",B32="ETF",B32="DIR"),G32*Configurações!$C$9,IF(B32="OPCAO",G32*Configurações!$C$23,0)),2)</f>
        <v>0</v>
      </c>
      <c r="J32" s="14">
        <f>ROUNDDOWN(IF(OR(B32="ACAO",B32="ETF",B32="DIR"),G32*Configurações!$D$9,IF(B32="OPCAO",G32*Configurações!$D$23,0)),2)</f>
        <v>0</v>
      </c>
      <c r="K32" s="27"/>
      <c r="L32" s="27"/>
      <c r="M32" s="15">
        <f t="shared" si="5"/>
        <v>0</v>
      </c>
      <c r="N32" s="17">
        <f t="shared" si="0"/>
        <v>0</v>
      </c>
      <c r="O32" s="113"/>
      <c r="P32" s="141">
        <f t="shared" si="1"/>
        <v>0</v>
      </c>
      <c r="Q32" s="142">
        <f t="shared" si="2"/>
        <v>0</v>
      </c>
      <c r="R32" s="143">
        <f t="shared" si="8"/>
        <v>0</v>
      </c>
      <c r="S32" s="144" t="e">
        <f t="shared" si="9"/>
        <v>#DIV/0!</v>
      </c>
      <c r="T32" s="145">
        <f t="shared" si="6"/>
        <v>0</v>
      </c>
      <c r="U32" s="145">
        <f t="shared" si="11"/>
        <v>0</v>
      </c>
      <c r="V32" s="146">
        <f>IF(P32&gt;0,SUM(T32,$U$7:U32),IF(P32=0,V31,IF(P32&lt;0,V31+(P32*W32))))</f>
        <v>0</v>
      </c>
      <c r="W32" s="147" t="e">
        <f t="shared" si="7"/>
        <v>#DIV/0!</v>
      </c>
      <c r="X32" s="1"/>
      <c r="Y32" s="642"/>
      <c r="Z32" s="642"/>
      <c r="AA32" s="694"/>
      <c r="AB32" s="694"/>
      <c r="AC32" s="640"/>
      <c r="AD32" s="641"/>
      <c r="AE32" s="641"/>
    </row>
    <row r="33" spans="2:31" ht="13.9" customHeight="1" x14ac:dyDescent="0.2">
      <c r="B33" s="49" t="s">
        <v>30</v>
      </c>
      <c r="C33" s="43"/>
      <c r="D33" s="11"/>
      <c r="E33" s="11"/>
      <c r="F33" s="27"/>
      <c r="G33" s="12">
        <f t="shared" si="10"/>
        <v>0</v>
      </c>
      <c r="H33" s="14">
        <f>ROUNDDOWN(IF(OR(B33="ACAO",B33="DIR",B33="ETF"),G33*Configurações!$B$9,IF(B33="OPCAO",G33*Configurações!$B$23,0)),2)</f>
        <v>0</v>
      </c>
      <c r="I33" s="14">
        <f>ROUNDDOWN(IF(OR(B33="ACAO",B33="ETF",B33="DIR"),G33*Configurações!$C$9,IF(B33="OPCAO",G33*Configurações!$C$23,0)),2)</f>
        <v>0</v>
      </c>
      <c r="J33" s="14">
        <f>ROUNDDOWN(IF(OR(B33="ACAO",B33="ETF",B33="DIR"),G33*Configurações!$D$9,IF(B33="OPCAO",G33*Configurações!$D$23,0)),2)</f>
        <v>0</v>
      </c>
      <c r="K33" s="27"/>
      <c r="L33" s="27"/>
      <c r="M33" s="15">
        <f t="shared" si="5"/>
        <v>0</v>
      </c>
      <c r="N33" s="17">
        <f t="shared" si="0"/>
        <v>0</v>
      </c>
      <c r="O33" s="113"/>
      <c r="P33" s="141">
        <f t="shared" si="1"/>
        <v>0</v>
      </c>
      <c r="Q33" s="142">
        <f t="shared" si="2"/>
        <v>0</v>
      </c>
      <c r="R33" s="143">
        <f t="shared" si="8"/>
        <v>0</v>
      </c>
      <c r="S33" s="144" t="e">
        <f t="shared" si="9"/>
        <v>#DIV/0!</v>
      </c>
      <c r="T33" s="145">
        <f t="shared" si="6"/>
        <v>0</v>
      </c>
      <c r="U33" s="145">
        <f t="shared" si="11"/>
        <v>0</v>
      </c>
      <c r="V33" s="146">
        <f>IF(P33&gt;0,SUM(T33,$U$7:U33),IF(P33=0,V32,IF(P33&lt;0,V32+(P33*W33))))</f>
        <v>0</v>
      </c>
      <c r="W33" s="147" t="e">
        <f t="shared" si="7"/>
        <v>#DIV/0!</v>
      </c>
      <c r="X33" s="1"/>
      <c r="Y33" s="628" t="s">
        <v>154</v>
      </c>
      <c r="Z33" s="629"/>
      <c r="AA33" s="634" t="str">
        <f>IF(AA6="","-",(AA30-AA14)*AA8)</f>
        <v>-</v>
      </c>
      <c r="AB33" s="635"/>
      <c r="AC33" s="640" t="s">
        <v>167</v>
      </c>
      <c r="AD33" s="641"/>
      <c r="AE33" s="641"/>
    </row>
    <row r="34" spans="2:31" ht="13.9" customHeight="1" x14ac:dyDescent="0.2">
      <c r="B34" s="49" t="s">
        <v>30</v>
      </c>
      <c r="C34" s="43"/>
      <c r="D34" s="11"/>
      <c r="E34" s="11"/>
      <c r="F34" s="27"/>
      <c r="G34" s="12">
        <f t="shared" ref="G34:G57" si="12">E34*F34</f>
        <v>0</v>
      </c>
      <c r="H34" s="14">
        <f>ROUNDDOWN(IF(OR(B34="ACAO",B34="DIR",B34="ETF"),G34*Configurações!$B$9,IF(B34="OPCAO",G34*Configurações!$B$23,0)),2)</f>
        <v>0</v>
      </c>
      <c r="I34" s="14">
        <f>ROUNDDOWN(IF(OR(B34="ACAO",B34="ETF",B34="DIR"),G34*Configurações!$C$9,IF(B34="OPCAO",G34*Configurações!$C$23,0)),2)</f>
        <v>0</v>
      </c>
      <c r="J34" s="14">
        <f>ROUNDDOWN(IF(OR(B34="ACAO",B34="ETF",B34="DIR"),G34*Configurações!$D$9,IF(B34="OPCAO",G34*Configurações!$D$23,0)),2)</f>
        <v>0</v>
      </c>
      <c r="K34" s="27"/>
      <c r="L34" s="27"/>
      <c r="M34" s="15">
        <f t="shared" si="5"/>
        <v>0</v>
      </c>
      <c r="N34" s="17">
        <f t="shared" si="0"/>
        <v>0</v>
      </c>
      <c r="O34" s="113"/>
      <c r="P34" s="141">
        <f t="shared" si="1"/>
        <v>0</v>
      </c>
      <c r="Q34" s="142">
        <f t="shared" si="2"/>
        <v>0</v>
      </c>
      <c r="R34" s="143">
        <f t="shared" si="8"/>
        <v>0</v>
      </c>
      <c r="S34" s="144" t="e">
        <f t="shared" si="9"/>
        <v>#DIV/0!</v>
      </c>
      <c r="T34" s="145">
        <f t="shared" si="6"/>
        <v>0</v>
      </c>
      <c r="U34" s="145">
        <f t="shared" si="11"/>
        <v>0</v>
      </c>
      <c r="V34" s="146">
        <f>IF(P34&gt;0,SUM(T34,$U$7:U34),IF(P34=0,V33,IF(P34&lt;0,V33+(P34*W34))))</f>
        <v>0</v>
      </c>
      <c r="W34" s="147" t="e">
        <f t="shared" si="7"/>
        <v>#DIV/0!</v>
      </c>
      <c r="X34" s="1"/>
      <c r="Y34" s="630"/>
      <c r="Z34" s="631"/>
      <c r="AA34" s="636"/>
      <c r="AB34" s="637"/>
      <c r="AC34" s="640"/>
      <c r="AD34" s="641"/>
      <c r="AE34" s="641"/>
    </row>
    <row r="35" spans="2:31" ht="13.9" customHeight="1" thickBot="1" x14ac:dyDescent="0.25">
      <c r="B35" s="49" t="s">
        <v>30</v>
      </c>
      <c r="C35" s="43"/>
      <c r="D35" s="11"/>
      <c r="E35" s="11"/>
      <c r="F35" s="27"/>
      <c r="G35" s="12">
        <f t="shared" si="12"/>
        <v>0</v>
      </c>
      <c r="H35" s="14">
        <f>ROUNDDOWN(IF(OR(B35="ACAO",B35="DIR",B35="ETF"),G35*Configurações!$B$9,IF(B35="OPCAO",G35*Configurações!$B$23,0)),2)</f>
        <v>0</v>
      </c>
      <c r="I35" s="14">
        <f>ROUNDDOWN(IF(OR(B35="ACAO",B35="ETF",B35="DIR"),G35*Configurações!$C$9,IF(B35="OPCAO",G35*Configurações!$C$23,0)),2)</f>
        <v>0</v>
      </c>
      <c r="J35" s="14">
        <f>ROUNDDOWN(IF(OR(B35="ACAO",B35="ETF",B35="DIR"),G35*Configurações!$D$9,IF(B35="OPCAO",G35*Configurações!$D$23,0)),2)</f>
        <v>0</v>
      </c>
      <c r="K35" s="27"/>
      <c r="L35" s="27"/>
      <c r="M35" s="15">
        <f t="shared" si="5"/>
        <v>0</v>
      </c>
      <c r="N35" s="17">
        <f t="shared" si="0"/>
        <v>0</v>
      </c>
      <c r="O35" s="113"/>
      <c r="P35" s="141">
        <f t="shared" si="1"/>
        <v>0</v>
      </c>
      <c r="Q35" s="142">
        <f t="shared" si="2"/>
        <v>0</v>
      </c>
      <c r="R35" s="143">
        <f t="shared" si="8"/>
        <v>0</v>
      </c>
      <c r="S35" s="144" t="e">
        <f t="shared" si="9"/>
        <v>#DIV/0!</v>
      </c>
      <c r="T35" s="145">
        <f t="shared" si="6"/>
        <v>0</v>
      </c>
      <c r="U35" s="145">
        <f t="shared" si="11"/>
        <v>0</v>
      </c>
      <c r="V35" s="146">
        <f>IF(P35&gt;0,SUM(T35,$U$7:U35),IF(P35=0,V34,IF(P35&lt;0,V34+(P35*W35))))</f>
        <v>0</v>
      </c>
      <c r="W35" s="147" t="e">
        <f t="shared" si="7"/>
        <v>#DIV/0!</v>
      </c>
      <c r="X35" s="1"/>
      <c r="Y35" s="632"/>
      <c r="Z35" s="633"/>
      <c r="AA35" s="638"/>
      <c r="AB35" s="639"/>
      <c r="AC35" s="640"/>
      <c r="AD35" s="641"/>
      <c r="AE35" s="641"/>
    </row>
    <row r="36" spans="2:31" ht="13.9" customHeight="1" x14ac:dyDescent="0.2">
      <c r="B36" s="49" t="s">
        <v>30</v>
      </c>
      <c r="C36" s="43"/>
      <c r="D36" s="11"/>
      <c r="E36" s="11"/>
      <c r="F36" s="27"/>
      <c r="G36" s="12">
        <f t="shared" si="12"/>
        <v>0</v>
      </c>
      <c r="H36" s="14">
        <f>ROUNDDOWN(IF(OR(B36="ACAO",B36="DIR",B36="ETF"),G36*Configurações!$B$9,IF(B36="OPCAO",G36*Configurações!$B$23,0)),2)</f>
        <v>0</v>
      </c>
      <c r="I36" s="14">
        <f>ROUNDDOWN(IF(OR(B36="ACAO",B36="ETF",B36="DIR"),G36*Configurações!$C$9,IF(B36="OPCAO",G36*Configurações!$C$23,0)),2)</f>
        <v>0</v>
      </c>
      <c r="J36" s="14">
        <f>ROUNDDOWN(IF(OR(B36="ACAO",B36="ETF",B36="DIR"),G36*Configurações!$D$9,IF(B36="OPCAO",G36*Configurações!$D$23,0)),2)</f>
        <v>0</v>
      </c>
      <c r="K36" s="27"/>
      <c r="L36" s="27"/>
      <c r="M36" s="15">
        <f t="shared" si="5"/>
        <v>0</v>
      </c>
      <c r="N36" s="17">
        <f t="shared" si="0"/>
        <v>0</v>
      </c>
      <c r="O36" s="113"/>
      <c r="P36" s="141">
        <f t="shared" si="1"/>
        <v>0</v>
      </c>
      <c r="Q36" s="142">
        <f t="shared" si="2"/>
        <v>0</v>
      </c>
      <c r="R36" s="143">
        <f t="shared" si="8"/>
        <v>0</v>
      </c>
      <c r="S36" s="144" t="e">
        <f t="shared" si="9"/>
        <v>#DIV/0!</v>
      </c>
      <c r="T36" s="145">
        <f t="shared" si="6"/>
        <v>0</v>
      </c>
      <c r="U36" s="145">
        <f t="shared" si="11"/>
        <v>0</v>
      </c>
      <c r="V36" s="146">
        <f>IF(P36&gt;0,SUM(T36,$U$7:U36),IF(P36=0,V35,IF(P36&lt;0,V35+(P36*W36))))</f>
        <v>0</v>
      </c>
      <c r="W36" s="147" t="e">
        <f t="shared" si="7"/>
        <v>#DIV/0!</v>
      </c>
      <c r="X36" s="1"/>
      <c r="Y36" s="1"/>
      <c r="Z36" s="1"/>
      <c r="AA36" s="1"/>
      <c r="AB36" s="1"/>
    </row>
    <row r="37" spans="2:31" ht="13.9" customHeight="1" x14ac:dyDescent="0.2">
      <c r="B37" s="49" t="s">
        <v>30</v>
      </c>
      <c r="C37" s="43"/>
      <c r="D37" s="11"/>
      <c r="E37" s="11"/>
      <c r="F37" s="27"/>
      <c r="G37" s="12">
        <f t="shared" si="12"/>
        <v>0</v>
      </c>
      <c r="H37" s="14">
        <f>ROUNDDOWN(IF(OR(B37="ACAO",B37="DIR",B37="ETF"),G37*Configurações!$B$9,IF(B37="OPCAO",G37*Configurações!$B$23,0)),2)</f>
        <v>0</v>
      </c>
      <c r="I37" s="14">
        <f>ROUNDDOWN(IF(OR(B37="ACAO",B37="ETF",B37="DIR"),G37*Configurações!$C$9,IF(B37="OPCAO",G37*Configurações!$C$23,0)),2)</f>
        <v>0</v>
      </c>
      <c r="J37" s="14">
        <f>ROUNDDOWN(IF(OR(B37="ACAO",B37="ETF",B37="DIR"),G37*Configurações!$D$9,IF(B37="OPCAO",G37*Configurações!$D$23,0)),2)</f>
        <v>0</v>
      </c>
      <c r="K37" s="27"/>
      <c r="L37" s="27"/>
      <c r="M37" s="15">
        <f t="shared" si="5"/>
        <v>0</v>
      </c>
      <c r="N37" s="17">
        <f t="shared" si="0"/>
        <v>0</v>
      </c>
      <c r="O37" s="113"/>
      <c r="P37" s="141">
        <f t="shared" si="1"/>
        <v>0</v>
      </c>
      <c r="Q37" s="142">
        <f t="shared" si="2"/>
        <v>0</v>
      </c>
      <c r="R37" s="143">
        <f t="shared" si="8"/>
        <v>0</v>
      </c>
      <c r="S37" s="144" t="e">
        <f t="shared" si="9"/>
        <v>#DIV/0!</v>
      </c>
      <c r="T37" s="145">
        <f t="shared" si="6"/>
        <v>0</v>
      </c>
      <c r="U37" s="145">
        <f t="shared" si="11"/>
        <v>0</v>
      </c>
      <c r="V37" s="146">
        <f>IF(P37&gt;0,SUM(T37,$U$7:U37),IF(P37=0,V36,IF(P37&lt;0,V36+(P37*W37))))</f>
        <v>0</v>
      </c>
      <c r="W37" s="147" t="e">
        <f t="shared" si="7"/>
        <v>#DIV/0!</v>
      </c>
      <c r="X37" s="1"/>
      <c r="Y37" s="1"/>
      <c r="Z37" s="1"/>
      <c r="AA37" s="1"/>
      <c r="AB37" s="1"/>
    </row>
    <row r="38" spans="2:31" ht="13.9" customHeight="1" x14ac:dyDescent="0.2">
      <c r="B38" s="49" t="s">
        <v>30</v>
      </c>
      <c r="C38" s="43"/>
      <c r="D38" s="11"/>
      <c r="E38" s="11"/>
      <c r="F38" s="27"/>
      <c r="G38" s="12">
        <f t="shared" si="12"/>
        <v>0</v>
      </c>
      <c r="H38" s="14">
        <f>ROUNDDOWN(IF(OR(B38="ACAO",B38="DIR",B38="ETF"),G38*Configurações!$B$9,IF(B38="OPCAO",G38*Configurações!$B$23,0)),2)</f>
        <v>0</v>
      </c>
      <c r="I38" s="14">
        <f>ROUNDDOWN(IF(OR(B38="ACAO",B38="ETF",B38="DIR"),G38*Configurações!$C$9,IF(B38="OPCAO",G38*Configurações!$C$23,0)),2)</f>
        <v>0</v>
      </c>
      <c r="J38" s="14">
        <f>ROUNDDOWN(IF(OR(B38="ACAO",B38="ETF",B38="DIR"),G38*Configurações!$D$9,IF(B38="OPCAO",G38*Configurações!$D$23,0)),2)</f>
        <v>0</v>
      </c>
      <c r="K38" s="27"/>
      <c r="L38" s="27"/>
      <c r="M38" s="15">
        <f t="shared" si="5"/>
        <v>0</v>
      </c>
      <c r="N38" s="17">
        <f t="shared" si="0"/>
        <v>0</v>
      </c>
      <c r="O38" s="113"/>
      <c r="P38" s="141">
        <f t="shared" si="1"/>
        <v>0</v>
      </c>
      <c r="Q38" s="142">
        <f t="shared" si="2"/>
        <v>0</v>
      </c>
      <c r="R38" s="143">
        <f t="shared" si="8"/>
        <v>0</v>
      </c>
      <c r="S38" s="144" t="e">
        <f t="shared" si="9"/>
        <v>#DIV/0!</v>
      </c>
      <c r="T38" s="145">
        <f t="shared" si="6"/>
        <v>0</v>
      </c>
      <c r="U38" s="145">
        <f t="shared" si="11"/>
        <v>0</v>
      </c>
      <c r="V38" s="146">
        <f>IF(P38&gt;0,SUM(T38,$U$7:U38),IF(P38=0,V37,IF(P38&lt;0,V37+(P38*W38))))</f>
        <v>0</v>
      </c>
      <c r="W38" s="147" t="e">
        <f t="shared" si="7"/>
        <v>#DIV/0!</v>
      </c>
      <c r="X38" s="1"/>
      <c r="Y38" s="1"/>
      <c r="Z38" s="200" t="s">
        <v>170</v>
      </c>
      <c r="AA38" s="1"/>
      <c r="AB38" s="1"/>
    </row>
    <row r="39" spans="2:31" ht="13.9" customHeight="1" x14ac:dyDescent="0.2">
      <c r="B39" s="49" t="s">
        <v>30</v>
      </c>
      <c r="C39" s="43"/>
      <c r="D39" s="11"/>
      <c r="E39" s="11"/>
      <c r="F39" s="27"/>
      <c r="G39" s="12">
        <f t="shared" si="12"/>
        <v>0</v>
      </c>
      <c r="H39" s="14">
        <f>ROUNDDOWN(IF(OR(B39="ACAO",B39="DIR",B39="ETF"),G39*Configurações!$B$9,IF(B39="OPCAO",G39*Configurações!$B$23,0)),2)</f>
        <v>0</v>
      </c>
      <c r="I39" s="14">
        <f>ROUNDDOWN(IF(OR(B39="ACAO",B39="ETF",B39="DIR"),G39*Configurações!$C$9,IF(B39="OPCAO",G39*Configurações!$C$23,0)),2)</f>
        <v>0</v>
      </c>
      <c r="J39" s="14">
        <f>ROUNDDOWN(IF(OR(B39="ACAO",B39="ETF",B39="DIR"),G39*Configurações!$D$9,IF(B39="OPCAO",G39*Configurações!$D$23,0)),2)</f>
        <v>0</v>
      </c>
      <c r="K39" s="27"/>
      <c r="L39" s="27"/>
      <c r="M39" s="15">
        <f t="shared" si="5"/>
        <v>0</v>
      </c>
      <c r="N39" s="17">
        <f t="shared" si="0"/>
        <v>0</v>
      </c>
      <c r="O39" s="113"/>
      <c r="P39" s="141">
        <f t="shared" ref="P39:P70" si="13">IF(D:D=$Q$4,E39,0)</f>
        <v>0</v>
      </c>
      <c r="Q39" s="142">
        <f t="shared" ref="Q39:Q70" si="14">IF(D:D=$Q$4,G39,0)</f>
        <v>0</v>
      </c>
      <c r="R39" s="143">
        <f t="shared" si="8"/>
        <v>0</v>
      </c>
      <c r="S39" s="144" t="e">
        <f t="shared" si="9"/>
        <v>#DIV/0!</v>
      </c>
      <c r="T39" s="145">
        <f t="shared" si="6"/>
        <v>0</v>
      </c>
      <c r="U39" s="145">
        <f t="shared" si="11"/>
        <v>0</v>
      </c>
      <c r="V39" s="146">
        <f>IF(P39&gt;0,SUM(T39,$U$7:U39),IF(P39=0,V38,IF(P39&lt;0,V38+(P39*W39))))</f>
        <v>0</v>
      </c>
      <c r="W39" s="147" t="e">
        <f t="shared" si="7"/>
        <v>#DIV/0!</v>
      </c>
      <c r="X39" s="1"/>
      <c r="Y39" s="1"/>
      <c r="Z39" s="1"/>
      <c r="AA39" s="1"/>
      <c r="AB39" s="1"/>
    </row>
    <row r="40" spans="2:31" ht="13.9" customHeight="1" x14ac:dyDescent="0.2">
      <c r="B40" s="49" t="s">
        <v>30</v>
      </c>
      <c r="C40" s="43"/>
      <c r="D40" s="11"/>
      <c r="E40" s="11"/>
      <c r="F40" s="27"/>
      <c r="G40" s="12">
        <f t="shared" si="12"/>
        <v>0</v>
      </c>
      <c r="H40" s="14">
        <f>ROUNDDOWN(IF(OR(B40="ACAO",B40="DIR",B40="ETF"),G40*Configurações!$B$9,IF(B40="OPCAO",G40*Configurações!$B$23,0)),2)</f>
        <v>0</v>
      </c>
      <c r="I40" s="14">
        <f>ROUNDDOWN(IF(OR(B40="ACAO",B40="ETF",B40="DIR"),G40*Configurações!$C$9,IF(B40="OPCAO",G40*Configurações!$C$23,0)),2)</f>
        <v>0</v>
      </c>
      <c r="J40" s="14">
        <f>ROUNDDOWN(IF(OR(B40="ACAO",B40="ETF",B40="DIR"),G40*Configurações!$D$9,IF(B40="OPCAO",G40*Configurações!$D$23,0)),2)</f>
        <v>0</v>
      </c>
      <c r="K40" s="27"/>
      <c r="L40" s="27"/>
      <c r="M40" s="15">
        <f t="shared" si="5"/>
        <v>0</v>
      </c>
      <c r="N40" s="17">
        <f t="shared" si="0"/>
        <v>0</v>
      </c>
      <c r="O40" s="113"/>
      <c r="P40" s="141">
        <f t="shared" si="13"/>
        <v>0</v>
      </c>
      <c r="Q40" s="142">
        <f t="shared" si="14"/>
        <v>0</v>
      </c>
      <c r="R40" s="143">
        <f t="shared" si="8"/>
        <v>0</v>
      </c>
      <c r="S40" s="144" t="e">
        <f t="shared" si="9"/>
        <v>#DIV/0!</v>
      </c>
      <c r="T40" s="145">
        <f t="shared" si="6"/>
        <v>0</v>
      </c>
      <c r="U40" s="145">
        <f t="shared" si="11"/>
        <v>0</v>
      </c>
      <c r="V40" s="146">
        <f>IF(P40&gt;0,SUM(T40,$U$7:U40),IF(P40=0,V39,IF(P40&lt;0,V39+(P40*W40))))</f>
        <v>0</v>
      </c>
      <c r="W40" s="147" t="e">
        <f t="shared" si="7"/>
        <v>#DIV/0!</v>
      </c>
      <c r="X40" s="1"/>
      <c r="Y40" s="1"/>
      <c r="Z40" s="1"/>
      <c r="AA40" s="1"/>
      <c r="AB40" s="1"/>
    </row>
    <row r="41" spans="2:31" ht="13.9" customHeight="1" x14ac:dyDescent="0.2">
      <c r="B41" s="49" t="s">
        <v>30</v>
      </c>
      <c r="C41" s="43"/>
      <c r="D41" s="11"/>
      <c r="E41" s="11"/>
      <c r="F41" s="27"/>
      <c r="G41" s="12">
        <f t="shared" si="12"/>
        <v>0</v>
      </c>
      <c r="H41" s="14">
        <f>ROUNDDOWN(IF(OR(B41="ACAO",B41="DIR",B41="ETF"),G41*Configurações!$B$9,IF(B41="OPCAO",G41*Configurações!$B$23,0)),2)</f>
        <v>0</v>
      </c>
      <c r="I41" s="14">
        <f>ROUNDDOWN(IF(OR(B41="ACAO",B41="ETF",B41="DIR"),G41*Configurações!$C$9,IF(B41="OPCAO",G41*Configurações!$C$23,0)),2)</f>
        <v>0</v>
      </c>
      <c r="J41" s="14">
        <f>ROUNDDOWN(IF(OR(B41="ACAO",B41="ETF",B41="DIR"),G41*Configurações!$D$9,IF(B41="OPCAO",G41*Configurações!$D$23,0)),2)</f>
        <v>0</v>
      </c>
      <c r="K41" s="27"/>
      <c r="L41" s="27"/>
      <c r="M41" s="15">
        <f t="shared" si="5"/>
        <v>0</v>
      </c>
      <c r="N41" s="17">
        <f t="shared" si="0"/>
        <v>0</v>
      </c>
      <c r="O41" s="113"/>
      <c r="P41" s="141">
        <f t="shared" si="13"/>
        <v>0</v>
      </c>
      <c r="Q41" s="142">
        <f t="shared" si="14"/>
        <v>0</v>
      </c>
      <c r="R41" s="143">
        <f t="shared" si="8"/>
        <v>0</v>
      </c>
      <c r="S41" s="144" t="e">
        <f t="shared" si="9"/>
        <v>#DIV/0!</v>
      </c>
      <c r="T41" s="145">
        <f t="shared" si="6"/>
        <v>0</v>
      </c>
      <c r="U41" s="145">
        <f t="shared" si="11"/>
        <v>0</v>
      </c>
      <c r="V41" s="146">
        <f>IF(P41&gt;0,SUM(T41,$U$7:U41),IF(P41=0,V40,IF(P41&lt;0,V40+(P41*W41))))</f>
        <v>0</v>
      </c>
      <c r="W41" s="147" t="e">
        <f t="shared" si="7"/>
        <v>#DIV/0!</v>
      </c>
      <c r="X41" s="1"/>
      <c r="Y41" s="1"/>
      <c r="Z41" s="1"/>
      <c r="AA41" s="1"/>
      <c r="AB41" s="1"/>
    </row>
    <row r="42" spans="2:31" ht="13.9" customHeight="1" x14ac:dyDescent="0.2">
      <c r="B42" s="49" t="s">
        <v>30</v>
      </c>
      <c r="C42" s="43"/>
      <c r="D42" s="11"/>
      <c r="E42" s="11"/>
      <c r="F42" s="27"/>
      <c r="G42" s="12">
        <f t="shared" si="12"/>
        <v>0</v>
      </c>
      <c r="H42" s="14">
        <f>ROUNDDOWN(IF(OR(B42="ACAO",B42="DIR",B42="ETF"),G42*Configurações!$B$9,IF(B42="OPCAO",G42*Configurações!$B$23,0)),2)</f>
        <v>0</v>
      </c>
      <c r="I42" s="14">
        <f>ROUNDDOWN(IF(OR(B42="ACAO",B42="ETF",B42="DIR"),G42*Configurações!$C$9,IF(B42="OPCAO",G42*Configurações!$C$23,0)),2)</f>
        <v>0</v>
      </c>
      <c r="J42" s="14">
        <f>ROUNDDOWN(IF(OR(B42="ACAO",B42="ETF",B42="DIR"),G42*Configurações!$D$9,IF(B42="OPCAO",G42*Configurações!$D$23,0)),2)</f>
        <v>0</v>
      </c>
      <c r="K42" s="27"/>
      <c r="L42" s="27"/>
      <c r="M42" s="15">
        <f t="shared" si="5"/>
        <v>0</v>
      </c>
      <c r="N42" s="17">
        <f t="shared" si="0"/>
        <v>0</v>
      </c>
      <c r="O42" s="113"/>
      <c r="P42" s="141">
        <f t="shared" si="13"/>
        <v>0</v>
      </c>
      <c r="Q42" s="142">
        <f t="shared" si="14"/>
        <v>0</v>
      </c>
      <c r="R42" s="143">
        <f t="shared" si="8"/>
        <v>0</v>
      </c>
      <c r="S42" s="144" t="e">
        <f t="shared" si="9"/>
        <v>#DIV/0!</v>
      </c>
      <c r="T42" s="145">
        <f t="shared" si="6"/>
        <v>0</v>
      </c>
      <c r="U42" s="145">
        <f t="shared" si="11"/>
        <v>0</v>
      </c>
      <c r="V42" s="146">
        <f>IF(P42&gt;0,SUM(T42,$U$7:U42),IF(P42=0,V41,IF(P42&lt;0,V41+(P42*W42))))</f>
        <v>0</v>
      </c>
      <c r="W42" s="147" t="e">
        <f t="shared" si="7"/>
        <v>#DIV/0!</v>
      </c>
      <c r="X42" s="1"/>
      <c r="Y42" s="1"/>
      <c r="Z42" s="1"/>
      <c r="AA42" s="1"/>
      <c r="AB42" s="1"/>
    </row>
    <row r="43" spans="2:31" ht="13.9" customHeight="1" x14ac:dyDescent="0.2">
      <c r="B43" s="49" t="s">
        <v>30</v>
      </c>
      <c r="C43" s="43"/>
      <c r="D43" s="11"/>
      <c r="E43" s="11"/>
      <c r="F43" s="27"/>
      <c r="G43" s="12">
        <f t="shared" si="12"/>
        <v>0</v>
      </c>
      <c r="H43" s="14">
        <f>ROUNDDOWN(IF(OR(B43="ACAO",B43="DIR",B43="ETF"),G43*Configurações!$B$9,IF(B43="OPCAO",G43*Configurações!$B$23,0)),2)</f>
        <v>0</v>
      </c>
      <c r="I43" s="14">
        <f>ROUNDDOWN(IF(OR(B43="ACAO",B43="ETF",B43="DIR"),G43*Configurações!$C$9,IF(B43="OPCAO",G43*Configurações!$C$23,0)),2)</f>
        <v>0</v>
      </c>
      <c r="J43" s="14">
        <f>ROUNDDOWN(IF(OR(B43="ACAO",B43="ETF",B43="DIR"),G43*Configurações!$D$9,IF(B43="OPCAO",G43*Configurações!$D$23,0)),2)</f>
        <v>0</v>
      </c>
      <c r="K43" s="27"/>
      <c r="L43" s="27"/>
      <c r="M43" s="15">
        <f t="shared" si="5"/>
        <v>0</v>
      </c>
      <c r="N43" s="17">
        <f t="shared" si="0"/>
        <v>0</v>
      </c>
      <c r="O43" s="113"/>
      <c r="P43" s="141">
        <f t="shared" si="13"/>
        <v>0</v>
      </c>
      <c r="Q43" s="142">
        <f t="shared" si="14"/>
        <v>0</v>
      </c>
      <c r="R43" s="143">
        <f t="shared" si="8"/>
        <v>0</v>
      </c>
      <c r="S43" s="144" t="e">
        <f t="shared" si="9"/>
        <v>#DIV/0!</v>
      </c>
      <c r="T43" s="145">
        <f t="shared" si="6"/>
        <v>0</v>
      </c>
      <c r="U43" s="145">
        <f t="shared" si="11"/>
        <v>0</v>
      </c>
      <c r="V43" s="146">
        <f>IF(P43&gt;0,SUM(T43,$U$7:U43),IF(P43=0,V42,IF(P43&lt;0,V42+(P43*W43))))</f>
        <v>0</v>
      </c>
      <c r="W43" s="147" t="e">
        <f t="shared" si="7"/>
        <v>#DIV/0!</v>
      </c>
      <c r="X43" s="1"/>
      <c r="Y43" s="1"/>
      <c r="Z43" s="1"/>
      <c r="AA43" s="1"/>
      <c r="AB43" s="1"/>
    </row>
    <row r="44" spans="2:31" ht="13.9" customHeight="1" x14ac:dyDescent="0.2">
      <c r="B44" s="49" t="s">
        <v>30</v>
      </c>
      <c r="C44" s="43"/>
      <c r="D44" s="11"/>
      <c r="E44" s="11"/>
      <c r="F44" s="27"/>
      <c r="G44" s="12">
        <f t="shared" si="12"/>
        <v>0</v>
      </c>
      <c r="H44" s="14">
        <f>ROUNDDOWN(IF(OR(B44="ACAO",B44="DIR",B44="ETF"),G44*Configurações!$B$9,IF(B44="OPCAO",G44*Configurações!$B$23,0)),2)</f>
        <v>0</v>
      </c>
      <c r="I44" s="14">
        <f>ROUNDDOWN(IF(OR(B44="ACAO",B44="ETF",B44="DIR"),G44*Configurações!$C$9,IF(B44="OPCAO",G44*Configurações!$C$23,0)),2)</f>
        <v>0</v>
      </c>
      <c r="J44" s="14">
        <f>ROUNDDOWN(IF(OR(B44="ACAO",B44="ETF",B44="DIR"),G44*Configurações!$D$9,IF(B44="OPCAO",G44*Configurações!$D$23,0)),2)</f>
        <v>0</v>
      </c>
      <c r="K44" s="27"/>
      <c r="L44" s="27"/>
      <c r="M44" s="15">
        <f t="shared" si="5"/>
        <v>0</v>
      </c>
      <c r="N44" s="17">
        <f t="shared" si="0"/>
        <v>0</v>
      </c>
      <c r="O44" s="113"/>
      <c r="P44" s="141">
        <f t="shared" si="13"/>
        <v>0</v>
      </c>
      <c r="Q44" s="142">
        <f t="shared" si="14"/>
        <v>0</v>
      </c>
      <c r="R44" s="143">
        <f t="shared" si="8"/>
        <v>0</v>
      </c>
      <c r="S44" s="144" t="e">
        <f t="shared" si="9"/>
        <v>#DIV/0!</v>
      </c>
      <c r="T44" s="145">
        <f t="shared" si="6"/>
        <v>0</v>
      </c>
      <c r="U44" s="145">
        <f t="shared" si="11"/>
        <v>0</v>
      </c>
      <c r="V44" s="146">
        <f>IF(P44&gt;0,SUM(T44,$U$7:U44),IF(P44=0,V43,IF(P44&lt;0,V43+(P44*W44))))</f>
        <v>0</v>
      </c>
      <c r="W44" s="147" t="e">
        <f t="shared" si="7"/>
        <v>#DIV/0!</v>
      </c>
      <c r="X44" s="1"/>
      <c r="Y44" s="1"/>
      <c r="Z44" s="1"/>
      <c r="AA44" s="1"/>
      <c r="AB44" s="1"/>
    </row>
    <row r="45" spans="2:31" ht="13.9" customHeight="1" x14ac:dyDescent="0.2">
      <c r="B45" s="49" t="s">
        <v>30</v>
      </c>
      <c r="C45" s="43"/>
      <c r="D45" s="11"/>
      <c r="E45" s="11"/>
      <c r="F45" s="27"/>
      <c r="G45" s="12">
        <f t="shared" si="12"/>
        <v>0</v>
      </c>
      <c r="H45" s="14">
        <f>ROUNDDOWN(IF(OR(B45="ACAO",B45="DIR",B45="ETF"),G45*Configurações!$B$9,IF(B45="OPCAO",G45*Configurações!$B$23,0)),2)</f>
        <v>0</v>
      </c>
      <c r="I45" s="14">
        <f>ROUNDDOWN(IF(OR(B45="ACAO",B45="ETF",B45="DIR"),G45*Configurações!$C$9,IF(B45="OPCAO",G45*Configurações!$C$23,0)),2)</f>
        <v>0</v>
      </c>
      <c r="J45" s="14">
        <f>ROUNDDOWN(IF(OR(B45="ACAO",B45="ETF",B45="DIR"),G45*Configurações!$D$9,IF(B45="OPCAO",G45*Configurações!$D$23,0)),2)</f>
        <v>0</v>
      </c>
      <c r="K45" s="27"/>
      <c r="L45" s="27"/>
      <c r="M45" s="15">
        <f t="shared" si="5"/>
        <v>0</v>
      </c>
      <c r="N45" s="17">
        <f t="shared" si="0"/>
        <v>0</v>
      </c>
      <c r="O45" s="113"/>
      <c r="P45" s="141">
        <f t="shared" si="13"/>
        <v>0</v>
      </c>
      <c r="Q45" s="142">
        <f t="shared" si="14"/>
        <v>0</v>
      </c>
      <c r="R45" s="143">
        <f t="shared" si="8"/>
        <v>0</v>
      </c>
      <c r="S45" s="144" t="e">
        <f t="shared" si="9"/>
        <v>#DIV/0!</v>
      </c>
      <c r="T45" s="145">
        <f t="shared" si="6"/>
        <v>0</v>
      </c>
      <c r="U45" s="145">
        <f t="shared" si="11"/>
        <v>0</v>
      </c>
      <c r="V45" s="146">
        <f>IF(P45&gt;0,SUM(T45,$U$7:U45),IF(P45=0,V44,IF(P45&lt;0,V44+(P45*W45))))</f>
        <v>0</v>
      </c>
      <c r="W45" s="147" t="e">
        <f t="shared" si="7"/>
        <v>#DIV/0!</v>
      </c>
      <c r="X45" s="1"/>
      <c r="Y45" s="1"/>
      <c r="Z45" s="1"/>
      <c r="AA45" s="1"/>
      <c r="AB45" s="1"/>
    </row>
    <row r="46" spans="2:31" ht="13.9" customHeight="1" x14ac:dyDescent="0.2">
      <c r="B46" s="49" t="s">
        <v>30</v>
      </c>
      <c r="C46" s="43"/>
      <c r="D46" s="11"/>
      <c r="E46" s="11"/>
      <c r="F46" s="27"/>
      <c r="G46" s="12">
        <f t="shared" si="12"/>
        <v>0</v>
      </c>
      <c r="H46" s="14">
        <f>ROUNDDOWN(IF(OR(B46="ACAO",B46="DIR",B46="ETF"),G46*Configurações!$B$9,IF(B46="OPCAO",G46*Configurações!$B$23,0)),2)</f>
        <v>0</v>
      </c>
      <c r="I46" s="14">
        <f>ROUNDDOWN(IF(OR(B46="ACAO",B46="ETF",B46="DIR"),G46*Configurações!$C$9,IF(B46="OPCAO",G46*Configurações!$C$23,0)),2)</f>
        <v>0</v>
      </c>
      <c r="J46" s="14">
        <f>ROUNDDOWN(IF(OR(B46="ACAO",B46="ETF",B46="DIR"),G46*Configurações!$D$9,IF(B46="OPCAO",G46*Configurações!$D$23,0)),2)</f>
        <v>0</v>
      </c>
      <c r="K46" s="27"/>
      <c r="L46" s="27"/>
      <c r="M46" s="15">
        <f t="shared" ref="M46:M57" si="15">G46+J46+K46+N46+L46+I46+H46</f>
        <v>0</v>
      </c>
      <c r="N46" s="17">
        <f t="shared" ref="N46:N57" si="16">K46*$N$5</f>
        <v>0</v>
      </c>
      <c r="O46" s="113"/>
      <c r="P46" s="141">
        <f t="shared" si="13"/>
        <v>0</v>
      </c>
      <c r="Q46" s="142">
        <f t="shared" si="14"/>
        <v>0</v>
      </c>
      <c r="R46" s="143">
        <f t="shared" si="8"/>
        <v>0</v>
      </c>
      <c r="S46" s="144" t="e">
        <f t="shared" si="9"/>
        <v>#DIV/0!</v>
      </c>
      <c r="T46" s="145">
        <f t="shared" si="6"/>
        <v>0</v>
      </c>
      <c r="U46" s="145">
        <f t="shared" si="11"/>
        <v>0</v>
      </c>
      <c r="V46" s="146">
        <f>IF(P46&gt;0,SUM(T46,$U$7:U46),IF(P46=0,V45,IF(P46&lt;0,V45+(P46*W46))))</f>
        <v>0</v>
      </c>
      <c r="W46" s="147" t="e">
        <f t="shared" si="7"/>
        <v>#DIV/0!</v>
      </c>
      <c r="X46" s="1"/>
      <c r="Y46" s="1"/>
      <c r="Z46" s="1"/>
      <c r="AA46" s="1"/>
      <c r="AB46" s="1"/>
    </row>
    <row r="47" spans="2:31" ht="13.9" customHeight="1" x14ac:dyDescent="0.2">
      <c r="B47" s="49" t="s">
        <v>30</v>
      </c>
      <c r="C47" s="43"/>
      <c r="D47" s="11"/>
      <c r="E47" s="11"/>
      <c r="F47" s="27"/>
      <c r="G47" s="12">
        <f t="shared" si="12"/>
        <v>0</v>
      </c>
      <c r="H47" s="14">
        <f>ROUNDDOWN(IF(OR(B47="ACAO",B47="DIR",B47="ETF"),G47*Configurações!$B$9,IF(B47="OPCAO",G47*Configurações!$B$23,0)),2)</f>
        <v>0</v>
      </c>
      <c r="I47" s="14">
        <f>ROUNDDOWN(IF(OR(B47="ACAO",B47="ETF",B47="DIR"),G47*Configurações!$C$9,IF(B47="OPCAO",G47*Configurações!$C$23,0)),2)</f>
        <v>0</v>
      </c>
      <c r="J47" s="14">
        <f>ROUNDDOWN(IF(OR(B47="ACAO",B47="ETF",B47="DIR"),G47*Configurações!$D$9,IF(B47="OPCAO",G47*Configurações!$D$23,0)),2)</f>
        <v>0</v>
      </c>
      <c r="K47" s="27"/>
      <c r="L47" s="27"/>
      <c r="M47" s="15">
        <f t="shared" si="15"/>
        <v>0</v>
      </c>
      <c r="N47" s="17">
        <f t="shared" si="16"/>
        <v>0</v>
      </c>
      <c r="O47" s="113"/>
      <c r="P47" s="141">
        <f t="shared" si="13"/>
        <v>0</v>
      </c>
      <c r="Q47" s="142">
        <f t="shared" si="14"/>
        <v>0</v>
      </c>
      <c r="R47" s="143">
        <f t="shared" si="8"/>
        <v>0</v>
      </c>
      <c r="S47" s="144" t="e">
        <f t="shared" si="9"/>
        <v>#DIV/0!</v>
      </c>
      <c r="T47" s="145">
        <f t="shared" si="6"/>
        <v>0</v>
      </c>
      <c r="U47" s="145">
        <f t="shared" si="11"/>
        <v>0</v>
      </c>
      <c r="V47" s="146">
        <f>IF(P47&gt;0,SUM(T47,$U$7:U47),IF(P47=0,V46,IF(P47&lt;0,V46+(P47*W47))))</f>
        <v>0</v>
      </c>
      <c r="W47" s="147" t="e">
        <f t="shared" si="7"/>
        <v>#DIV/0!</v>
      </c>
      <c r="X47" s="1"/>
      <c r="Y47" s="1"/>
      <c r="Z47" s="1"/>
      <c r="AA47" s="1"/>
      <c r="AB47" s="1"/>
    </row>
    <row r="48" spans="2:31" ht="13.9" customHeight="1" x14ac:dyDescent="0.2">
      <c r="B48" s="49" t="s">
        <v>30</v>
      </c>
      <c r="C48" s="43"/>
      <c r="D48" s="11"/>
      <c r="E48" s="11"/>
      <c r="F48" s="27"/>
      <c r="G48" s="12">
        <f t="shared" si="12"/>
        <v>0</v>
      </c>
      <c r="H48" s="14">
        <f>ROUNDDOWN(IF(OR(B48="ACAO",B48="DIR",B48="ETF"),G48*Configurações!$B$9,IF(B48="OPCAO",G48*Configurações!$B$23,0)),2)</f>
        <v>0</v>
      </c>
      <c r="I48" s="14">
        <f>ROUNDDOWN(IF(OR(B48="ACAO",B48="ETF",B48="DIR"),G48*Configurações!$C$9,IF(B48="OPCAO",G48*Configurações!$C$23,0)),2)</f>
        <v>0</v>
      </c>
      <c r="J48" s="14">
        <f>ROUNDDOWN(IF(OR(B48="ACAO",B48="ETF",B48="DIR"),G48*Configurações!$D$9,IF(B48="OPCAO",G48*Configurações!$D$23,0)),2)</f>
        <v>0</v>
      </c>
      <c r="K48" s="27"/>
      <c r="L48" s="27"/>
      <c r="M48" s="15">
        <f t="shared" si="15"/>
        <v>0</v>
      </c>
      <c r="N48" s="17">
        <f t="shared" si="16"/>
        <v>0</v>
      </c>
      <c r="O48" s="113"/>
      <c r="P48" s="141">
        <f t="shared" si="13"/>
        <v>0</v>
      </c>
      <c r="Q48" s="142">
        <f t="shared" si="14"/>
        <v>0</v>
      </c>
      <c r="R48" s="143">
        <f t="shared" si="8"/>
        <v>0</v>
      </c>
      <c r="S48" s="144" t="e">
        <f t="shared" si="9"/>
        <v>#DIV/0!</v>
      </c>
      <c r="T48" s="145">
        <f t="shared" si="6"/>
        <v>0</v>
      </c>
      <c r="U48" s="145">
        <f t="shared" si="11"/>
        <v>0</v>
      </c>
      <c r="V48" s="146">
        <f>IF(P48&gt;0,SUM(T48,$U$7:U48),IF(P48=0,V47,IF(P48&lt;0,V47+(P48*W48))))</f>
        <v>0</v>
      </c>
      <c r="W48" s="147" t="e">
        <f t="shared" si="7"/>
        <v>#DIV/0!</v>
      </c>
      <c r="X48" s="1"/>
      <c r="Y48" s="1"/>
      <c r="Z48" s="1"/>
      <c r="AA48" s="1"/>
      <c r="AB48" s="1"/>
    </row>
    <row r="49" spans="2:28" ht="13.9" customHeight="1" x14ac:dyDescent="0.2">
      <c r="B49" s="49" t="s">
        <v>30</v>
      </c>
      <c r="C49" s="43"/>
      <c r="D49" s="11"/>
      <c r="E49" s="11"/>
      <c r="F49" s="27"/>
      <c r="G49" s="12">
        <f t="shared" si="12"/>
        <v>0</v>
      </c>
      <c r="H49" s="14">
        <f>ROUNDDOWN(IF(OR(B49="ACAO",B49="DIR",B49="ETF"),G49*Configurações!$B$9,IF(B49="OPCAO",G49*Configurações!$B$23,0)),2)</f>
        <v>0</v>
      </c>
      <c r="I49" s="14">
        <f>ROUNDDOWN(IF(OR(B49="ACAO",B49="ETF",B49="DIR"),G49*Configurações!$C$9,IF(B49="OPCAO",G49*Configurações!$C$23,0)),2)</f>
        <v>0</v>
      </c>
      <c r="J49" s="14">
        <f>ROUNDDOWN(IF(OR(B49="ACAO",B49="ETF",B49="DIR"),G49*Configurações!$D$9,IF(B49="OPCAO",G49*Configurações!$D$23,0)),2)</f>
        <v>0</v>
      </c>
      <c r="K49" s="27"/>
      <c r="L49" s="27"/>
      <c r="M49" s="15">
        <f t="shared" si="15"/>
        <v>0</v>
      </c>
      <c r="N49" s="17">
        <f t="shared" si="16"/>
        <v>0</v>
      </c>
      <c r="O49" s="113"/>
      <c r="P49" s="141">
        <f t="shared" si="13"/>
        <v>0</v>
      </c>
      <c r="Q49" s="142">
        <f t="shared" si="14"/>
        <v>0</v>
      </c>
      <c r="R49" s="143">
        <f t="shared" si="8"/>
        <v>0</v>
      </c>
      <c r="S49" s="144" t="e">
        <f t="shared" si="9"/>
        <v>#DIV/0!</v>
      </c>
      <c r="T49" s="145">
        <f t="shared" si="6"/>
        <v>0</v>
      </c>
      <c r="U49" s="145">
        <f t="shared" si="11"/>
        <v>0</v>
      </c>
      <c r="V49" s="146">
        <f>IF(P49&gt;0,SUM(T49,$U$7:U49),IF(P49=0,V48,IF(P49&lt;0,V48+(P49*W49))))</f>
        <v>0</v>
      </c>
      <c r="W49" s="147" t="e">
        <f t="shared" si="7"/>
        <v>#DIV/0!</v>
      </c>
      <c r="X49" s="1"/>
      <c r="Y49" s="1"/>
      <c r="Z49" s="1"/>
      <c r="AA49" s="1"/>
      <c r="AB49" s="1"/>
    </row>
    <row r="50" spans="2:28" ht="13.9" customHeight="1" x14ac:dyDescent="0.2">
      <c r="B50" s="49" t="s">
        <v>30</v>
      </c>
      <c r="C50" s="43"/>
      <c r="D50" s="11"/>
      <c r="E50" s="11"/>
      <c r="F50" s="27"/>
      <c r="G50" s="12">
        <f t="shared" si="12"/>
        <v>0</v>
      </c>
      <c r="H50" s="14">
        <f>ROUNDDOWN(IF(OR(B50="ACAO",B50="DIR",B50="ETF"),G50*Configurações!$B$9,IF(B50="OPCAO",G50*Configurações!$B$23,0)),2)</f>
        <v>0</v>
      </c>
      <c r="I50" s="14">
        <f>ROUNDDOWN(IF(OR(B50="ACAO",B50="ETF",B50="DIR"),G50*Configurações!$C$9,IF(B50="OPCAO",G50*Configurações!$C$23,0)),2)</f>
        <v>0</v>
      </c>
      <c r="J50" s="14">
        <f>ROUNDDOWN(IF(OR(B50="ACAO",B50="ETF",B50="DIR"),G50*Configurações!$D$9,IF(B50="OPCAO",G50*Configurações!$D$23,0)),2)</f>
        <v>0</v>
      </c>
      <c r="K50" s="27"/>
      <c r="L50" s="27"/>
      <c r="M50" s="15">
        <f t="shared" si="15"/>
        <v>0</v>
      </c>
      <c r="N50" s="17">
        <f t="shared" si="16"/>
        <v>0</v>
      </c>
      <c r="O50" s="113"/>
      <c r="P50" s="141">
        <f t="shared" si="13"/>
        <v>0</v>
      </c>
      <c r="Q50" s="142">
        <f t="shared" si="14"/>
        <v>0</v>
      </c>
      <c r="R50" s="143">
        <f t="shared" si="8"/>
        <v>0</v>
      </c>
      <c r="S50" s="144" t="e">
        <f t="shared" si="9"/>
        <v>#DIV/0!</v>
      </c>
      <c r="T50" s="145">
        <f t="shared" si="6"/>
        <v>0</v>
      </c>
      <c r="U50" s="145">
        <f t="shared" si="11"/>
        <v>0</v>
      </c>
      <c r="V50" s="146">
        <f>IF(P50&gt;0,SUM(T50,$U$7:U50),IF(P50=0,V49,IF(P50&lt;0,V49+(P50*W50))))</f>
        <v>0</v>
      </c>
      <c r="W50" s="147" t="e">
        <f t="shared" si="7"/>
        <v>#DIV/0!</v>
      </c>
      <c r="X50" s="1"/>
      <c r="Y50" s="1"/>
      <c r="Z50" s="1"/>
      <c r="AA50" s="1"/>
      <c r="AB50" s="1"/>
    </row>
    <row r="51" spans="2:28" ht="13.9" customHeight="1" x14ac:dyDescent="0.2">
      <c r="B51" s="49" t="s">
        <v>30</v>
      </c>
      <c r="C51" s="43"/>
      <c r="D51" s="11"/>
      <c r="E51" s="11"/>
      <c r="F51" s="27"/>
      <c r="G51" s="12">
        <f t="shared" si="12"/>
        <v>0</v>
      </c>
      <c r="H51" s="14">
        <f>ROUNDDOWN(IF(OR(B51="ACAO",B51="DIR",B51="ETF"),G51*Configurações!$B$9,IF(B51="OPCAO",G51*Configurações!$B$23,0)),2)</f>
        <v>0</v>
      </c>
      <c r="I51" s="14">
        <f>ROUNDDOWN(IF(OR(B51="ACAO",B51="ETF",B51="DIR"),G51*Configurações!$C$9,IF(B51="OPCAO",G51*Configurações!$C$23,0)),2)</f>
        <v>0</v>
      </c>
      <c r="J51" s="14">
        <f>ROUNDDOWN(IF(OR(B51="ACAO",B51="ETF",B51="DIR"),G51*Configurações!$D$9,IF(B51="OPCAO",G51*Configurações!$D$23,0)),2)</f>
        <v>0</v>
      </c>
      <c r="K51" s="27"/>
      <c r="L51" s="27"/>
      <c r="M51" s="15">
        <f t="shared" si="15"/>
        <v>0</v>
      </c>
      <c r="N51" s="17">
        <f t="shared" si="16"/>
        <v>0</v>
      </c>
      <c r="O51" s="113"/>
      <c r="P51" s="141">
        <f t="shared" si="13"/>
        <v>0</v>
      </c>
      <c r="Q51" s="142">
        <f t="shared" si="14"/>
        <v>0</v>
      </c>
      <c r="R51" s="143">
        <f t="shared" si="8"/>
        <v>0</v>
      </c>
      <c r="S51" s="144" t="e">
        <f t="shared" si="9"/>
        <v>#DIV/0!</v>
      </c>
      <c r="T51" s="145">
        <f t="shared" si="6"/>
        <v>0</v>
      </c>
      <c r="U51" s="145">
        <f t="shared" si="11"/>
        <v>0</v>
      </c>
      <c r="V51" s="146">
        <f>IF(P51&gt;0,SUM(T51,$U$7:U51),IF(P51=0,V50,IF(P51&lt;0,V50+(P51*W51))))</f>
        <v>0</v>
      </c>
      <c r="W51" s="147" t="e">
        <f t="shared" si="7"/>
        <v>#DIV/0!</v>
      </c>
      <c r="X51" s="1"/>
      <c r="Y51" s="1"/>
      <c r="Z51" s="1"/>
      <c r="AA51" s="1"/>
      <c r="AB51" s="1"/>
    </row>
    <row r="52" spans="2:28" ht="13.9" customHeight="1" x14ac:dyDescent="0.2">
      <c r="B52" s="49" t="s">
        <v>30</v>
      </c>
      <c r="C52" s="43"/>
      <c r="D52" s="11"/>
      <c r="E52" s="11"/>
      <c r="F52" s="27"/>
      <c r="G52" s="12">
        <f t="shared" si="12"/>
        <v>0</v>
      </c>
      <c r="H52" s="14">
        <f>ROUNDDOWN(IF(OR(B52="ACAO",B52="DIR",B52="ETF"),G52*Configurações!$B$9,IF(B52="OPCAO",G52*Configurações!$B$23,0)),2)</f>
        <v>0</v>
      </c>
      <c r="I52" s="14">
        <f>ROUNDDOWN(IF(OR(B52="ACAO",B52="ETF",B52="DIR"),G52*Configurações!$C$9,IF(B52="OPCAO",G52*Configurações!$C$23,0)),2)</f>
        <v>0</v>
      </c>
      <c r="J52" s="14">
        <f>ROUNDDOWN(IF(OR(B52="ACAO",B52="ETF",B52="DIR"),G52*Configurações!$D$9,IF(B52="OPCAO",G52*Configurações!$D$23,0)),2)</f>
        <v>0</v>
      </c>
      <c r="K52" s="27"/>
      <c r="L52" s="27"/>
      <c r="M52" s="15">
        <f t="shared" si="15"/>
        <v>0</v>
      </c>
      <c r="N52" s="17">
        <f t="shared" si="16"/>
        <v>0</v>
      </c>
      <c r="O52" s="113"/>
      <c r="P52" s="141">
        <f t="shared" si="13"/>
        <v>0</v>
      </c>
      <c r="Q52" s="142">
        <f t="shared" si="14"/>
        <v>0</v>
      </c>
      <c r="R52" s="143">
        <f t="shared" si="8"/>
        <v>0</v>
      </c>
      <c r="S52" s="144" t="e">
        <f t="shared" si="9"/>
        <v>#DIV/0!</v>
      </c>
      <c r="T52" s="145">
        <f t="shared" si="6"/>
        <v>0</v>
      </c>
      <c r="U52" s="145">
        <f t="shared" si="11"/>
        <v>0</v>
      </c>
      <c r="V52" s="146">
        <f>IF(P52&gt;0,SUM(T52,$U$7:U52),IF(P52=0,V51,IF(P52&lt;0,V51+(P52*W52))))</f>
        <v>0</v>
      </c>
      <c r="W52" s="147" t="e">
        <f t="shared" si="7"/>
        <v>#DIV/0!</v>
      </c>
      <c r="X52" s="1"/>
      <c r="Y52" s="1"/>
      <c r="Z52" s="1"/>
      <c r="AA52" s="1"/>
      <c r="AB52" s="1"/>
    </row>
    <row r="53" spans="2:28" ht="13.9" customHeight="1" x14ac:dyDescent="0.2">
      <c r="B53" s="49" t="s">
        <v>30</v>
      </c>
      <c r="C53" s="43"/>
      <c r="D53" s="11"/>
      <c r="E53" s="11"/>
      <c r="F53" s="27"/>
      <c r="G53" s="12">
        <f t="shared" si="12"/>
        <v>0</v>
      </c>
      <c r="H53" s="14">
        <f>ROUNDDOWN(IF(OR(B53="ACAO",B53="DIR",B53="ETF"),G53*Configurações!$B$9,IF(B53="OPCAO",G53*Configurações!$B$23,0)),2)</f>
        <v>0</v>
      </c>
      <c r="I53" s="14">
        <f>ROUNDDOWN(IF(OR(B53="ACAO",B53="ETF",B53="DIR"),G53*Configurações!$C$9,IF(B53="OPCAO",G53*Configurações!$C$23,0)),2)</f>
        <v>0</v>
      </c>
      <c r="J53" s="14">
        <f>ROUNDDOWN(IF(OR(B53="ACAO",B53="ETF",B53="DIR"),G53*Configurações!$D$9,IF(B53="OPCAO",G53*Configurações!$D$23,0)),2)</f>
        <v>0</v>
      </c>
      <c r="K53" s="27"/>
      <c r="L53" s="27"/>
      <c r="M53" s="15">
        <f t="shared" si="15"/>
        <v>0</v>
      </c>
      <c r="N53" s="17">
        <f t="shared" si="16"/>
        <v>0</v>
      </c>
      <c r="O53" s="113"/>
      <c r="P53" s="141">
        <f t="shared" si="13"/>
        <v>0</v>
      </c>
      <c r="Q53" s="142">
        <f t="shared" si="14"/>
        <v>0</v>
      </c>
      <c r="R53" s="143">
        <f t="shared" si="8"/>
        <v>0</v>
      </c>
      <c r="S53" s="144" t="e">
        <f t="shared" si="9"/>
        <v>#DIV/0!</v>
      </c>
      <c r="T53" s="145">
        <f t="shared" si="6"/>
        <v>0</v>
      </c>
      <c r="U53" s="145">
        <f t="shared" si="11"/>
        <v>0</v>
      </c>
      <c r="V53" s="146">
        <f>IF(P53&gt;0,SUM(T53,$U$7:U53),IF(P53=0,V52,IF(P53&lt;0,V52+(P53*W53))))</f>
        <v>0</v>
      </c>
      <c r="W53" s="147" t="e">
        <f t="shared" si="7"/>
        <v>#DIV/0!</v>
      </c>
      <c r="X53" s="1"/>
      <c r="Y53" s="1"/>
      <c r="Z53" s="1"/>
      <c r="AA53" s="1"/>
      <c r="AB53" s="1"/>
    </row>
    <row r="54" spans="2:28" ht="13.9" customHeight="1" x14ac:dyDescent="0.2">
      <c r="B54" s="49" t="s">
        <v>30</v>
      </c>
      <c r="C54" s="43"/>
      <c r="D54" s="11"/>
      <c r="E54" s="11"/>
      <c r="F54" s="27"/>
      <c r="G54" s="12">
        <f t="shared" si="12"/>
        <v>0</v>
      </c>
      <c r="H54" s="14">
        <f>ROUNDDOWN(IF(OR(B54="ACAO",B54="DIR",B54="ETF"),G54*Configurações!$B$9,IF(B54="OPCAO",G54*Configurações!$B$23,0)),2)</f>
        <v>0</v>
      </c>
      <c r="I54" s="14">
        <f>ROUNDDOWN(IF(OR(B54="ACAO",B54="ETF",B54="DIR"),G54*Configurações!$C$9,IF(B54="OPCAO",G54*Configurações!$C$23,0)),2)</f>
        <v>0</v>
      </c>
      <c r="J54" s="14">
        <f>ROUNDDOWN(IF(OR(B54="ACAO",B54="ETF",B54="DIR"),G54*Configurações!$D$9,IF(B54="OPCAO",G54*Configurações!$D$23,0)),2)</f>
        <v>0</v>
      </c>
      <c r="K54" s="27"/>
      <c r="L54" s="27"/>
      <c r="M54" s="15">
        <f t="shared" si="15"/>
        <v>0</v>
      </c>
      <c r="N54" s="17">
        <f t="shared" si="16"/>
        <v>0</v>
      </c>
      <c r="O54" s="113"/>
      <c r="P54" s="141">
        <f t="shared" si="13"/>
        <v>0</v>
      </c>
      <c r="Q54" s="142">
        <f t="shared" si="14"/>
        <v>0</v>
      </c>
      <c r="R54" s="143">
        <f t="shared" si="8"/>
        <v>0</v>
      </c>
      <c r="S54" s="144" t="e">
        <f t="shared" si="9"/>
        <v>#DIV/0!</v>
      </c>
      <c r="T54" s="145">
        <f t="shared" si="6"/>
        <v>0</v>
      </c>
      <c r="U54" s="145">
        <f t="shared" si="11"/>
        <v>0</v>
      </c>
      <c r="V54" s="146">
        <f>IF(P54&gt;0,SUM(T54,$U$7:U54),IF(P54=0,V53,IF(P54&lt;0,V53+(P54*W54))))</f>
        <v>0</v>
      </c>
      <c r="W54" s="147" t="e">
        <f t="shared" si="7"/>
        <v>#DIV/0!</v>
      </c>
      <c r="X54" s="1"/>
      <c r="Y54" s="1"/>
      <c r="Z54" s="1"/>
      <c r="AA54" s="1"/>
      <c r="AB54" s="1"/>
    </row>
    <row r="55" spans="2:28" ht="13.9" customHeight="1" x14ac:dyDescent="0.2">
      <c r="B55" s="49" t="s">
        <v>30</v>
      </c>
      <c r="C55" s="43"/>
      <c r="D55" s="11"/>
      <c r="E55" s="11"/>
      <c r="F55" s="27"/>
      <c r="G55" s="12">
        <f t="shared" si="12"/>
        <v>0</v>
      </c>
      <c r="H55" s="14">
        <f>ROUNDDOWN(IF(OR(B55="ACAO",B55="DIR",B55="ETF"),G55*Configurações!$B$9,IF(B55="OPCAO",G55*Configurações!$B$23,0)),2)</f>
        <v>0</v>
      </c>
      <c r="I55" s="14">
        <f>ROUNDDOWN(IF(OR(B55="ACAO",B55="ETF",B55="DIR"),G55*Configurações!$C$9,IF(B55="OPCAO",G55*Configurações!$C$23,0)),2)</f>
        <v>0</v>
      </c>
      <c r="J55" s="14">
        <f>ROUNDDOWN(IF(OR(B55="ACAO",B55="ETF",B55="DIR"),G55*Configurações!$D$9,IF(B55="OPCAO",G55*Configurações!$D$23,0)),2)</f>
        <v>0</v>
      </c>
      <c r="K55" s="27"/>
      <c r="L55" s="27"/>
      <c r="M55" s="15">
        <f t="shared" si="15"/>
        <v>0</v>
      </c>
      <c r="N55" s="17">
        <f t="shared" si="16"/>
        <v>0</v>
      </c>
      <c r="O55" s="113"/>
      <c r="P55" s="141">
        <f t="shared" si="13"/>
        <v>0</v>
      </c>
      <c r="Q55" s="142">
        <f t="shared" si="14"/>
        <v>0</v>
      </c>
      <c r="R55" s="143">
        <f t="shared" si="8"/>
        <v>0</v>
      </c>
      <c r="S55" s="144" t="e">
        <f t="shared" si="9"/>
        <v>#DIV/0!</v>
      </c>
      <c r="T55" s="145">
        <f t="shared" si="6"/>
        <v>0</v>
      </c>
      <c r="U55" s="145">
        <f t="shared" si="11"/>
        <v>0</v>
      </c>
      <c r="V55" s="146">
        <f>IF(P55&gt;0,SUM(T55,$U$7:U55),IF(P55=0,V54,IF(P55&lt;0,V54+(P55*W55))))</f>
        <v>0</v>
      </c>
      <c r="W55" s="147" t="e">
        <f t="shared" si="7"/>
        <v>#DIV/0!</v>
      </c>
      <c r="X55" s="1"/>
      <c r="Y55" s="1"/>
      <c r="Z55" s="1"/>
      <c r="AA55" s="1"/>
      <c r="AB55" s="1"/>
    </row>
    <row r="56" spans="2:28" ht="13.9" customHeight="1" x14ac:dyDescent="0.2">
      <c r="B56" s="49" t="s">
        <v>30</v>
      </c>
      <c r="C56" s="43"/>
      <c r="D56" s="11"/>
      <c r="E56" s="11"/>
      <c r="F56" s="27"/>
      <c r="G56" s="12">
        <f t="shared" si="12"/>
        <v>0</v>
      </c>
      <c r="H56" s="14">
        <f>ROUNDDOWN(IF(OR(B56="ACAO",B56="DIR",B56="ETF"),G56*Configurações!$B$9,IF(B56="OPCAO",G56*Configurações!$B$23,0)),2)</f>
        <v>0</v>
      </c>
      <c r="I56" s="14">
        <f>ROUNDDOWN(IF(OR(B56="ACAO",B56="ETF",B56="DIR"),G56*Configurações!$C$9,IF(B56="OPCAO",G56*Configurações!$C$23,0)),2)</f>
        <v>0</v>
      </c>
      <c r="J56" s="14">
        <f>ROUNDDOWN(IF(OR(B56="ACAO",B56="ETF",B56="DIR"),G56*Configurações!$D$9,IF(B56="OPCAO",G56*Configurações!$D$23,0)),2)</f>
        <v>0</v>
      </c>
      <c r="K56" s="27"/>
      <c r="L56" s="27"/>
      <c r="M56" s="15">
        <f t="shared" si="15"/>
        <v>0</v>
      </c>
      <c r="N56" s="17">
        <f t="shared" si="16"/>
        <v>0</v>
      </c>
      <c r="O56" s="113"/>
      <c r="P56" s="141">
        <f t="shared" si="13"/>
        <v>0</v>
      </c>
      <c r="Q56" s="142">
        <f t="shared" si="14"/>
        <v>0</v>
      </c>
      <c r="R56" s="143">
        <f t="shared" si="8"/>
        <v>0</v>
      </c>
      <c r="S56" s="144" t="e">
        <f t="shared" si="9"/>
        <v>#DIV/0!</v>
      </c>
      <c r="T56" s="145">
        <f t="shared" si="6"/>
        <v>0</v>
      </c>
      <c r="U56" s="145">
        <f t="shared" si="11"/>
        <v>0</v>
      </c>
      <c r="V56" s="146">
        <f>IF(P56&gt;0,SUM(T56,$U$7:U56),IF(P56=0,V55,IF(P56&lt;0,V55+(P56*W56))))</f>
        <v>0</v>
      </c>
      <c r="W56" s="147" t="e">
        <f t="shared" si="7"/>
        <v>#DIV/0!</v>
      </c>
      <c r="X56" s="1"/>
      <c r="Y56" s="1"/>
      <c r="Z56" s="1"/>
      <c r="AA56" s="1"/>
      <c r="AB56" s="1"/>
    </row>
    <row r="57" spans="2:28" ht="13.9" customHeight="1" x14ac:dyDescent="0.2">
      <c r="B57" s="49" t="s">
        <v>30</v>
      </c>
      <c r="C57" s="43"/>
      <c r="D57" s="11"/>
      <c r="E57" s="11"/>
      <c r="F57" s="27"/>
      <c r="G57" s="12">
        <f t="shared" si="12"/>
        <v>0</v>
      </c>
      <c r="H57" s="14">
        <f>ROUNDDOWN(IF(OR(B57="ACAO",B57="DIR",B57="ETF"),G57*Configurações!$B$9,IF(B57="OPCAO",G57*Configurações!$B$23,0)),2)</f>
        <v>0</v>
      </c>
      <c r="I57" s="14">
        <f>ROUNDDOWN(IF(OR(B57="ACAO",B57="ETF",B57="DIR"),G57*Configurações!$C$9,IF(B57="OPCAO",G57*Configurações!$C$23,0)),2)</f>
        <v>0</v>
      </c>
      <c r="J57" s="14">
        <f>ROUNDDOWN(IF(OR(B57="ACAO",B57="ETF",B57="DIR"),G57*Configurações!$D$9,IF(B57="OPCAO",G57*Configurações!$D$23,0)),2)</f>
        <v>0</v>
      </c>
      <c r="K57" s="27"/>
      <c r="L57" s="27"/>
      <c r="M57" s="15">
        <f t="shared" si="15"/>
        <v>0</v>
      </c>
      <c r="N57" s="17">
        <f t="shared" si="16"/>
        <v>0</v>
      </c>
      <c r="O57" s="113"/>
      <c r="P57" s="141">
        <f t="shared" si="13"/>
        <v>0</v>
      </c>
      <c r="Q57" s="142">
        <f t="shared" si="14"/>
        <v>0</v>
      </c>
      <c r="R57" s="143">
        <f t="shared" si="8"/>
        <v>0</v>
      </c>
      <c r="S57" s="144" t="e">
        <f t="shared" si="9"/>
        <v>#DIV/0!</v>
      </c>
      <c r="T57" s="145">
        <f t="shared" si="6"/>
        <v>0</v>
      </c>
      <c r="U57" s="145">
        <f t="shared" si="11"/>
        <v>0</v>
      </c>
      <c r="V57" s="146">
        <f>IF(P57&gt;0,SUM(T57,$U$7:U57),IF(P57=0,V56,IF(P57&lt;0,V56+(P57*W57))))</f>
        <v>0</v>
      </c>
      <c r="W57" s="147" t="e">
        <f t="shared" si="7"/>
        <v>#DIV/0!</v>
      </c>
      <c r="X57" s="1"/>
      <c r="Y57" s="1"/>
      <c r="Z57" s="1"/>
      <c r="AA57" s="1"/>
      <c r="AB57" s="1"/>
    </row>
    <row r="58" spans="2:28" ht="13.9" customHeight="1" x14ac:dyDescent="0.2">
      <c r="B58" s="49" t="s">
        <v>30</v>
      </c>
      <c r="C58" s="43"/>
      <c r="D58" s="11"/>
      <c r="E58" s="11"/>
      <c r="F58" s="27"/>
      <c r="G58" s="12">
        <f t="shared" ref="G58:G68" si="17">E58*F58</f>
        <v>0</v>
      </c>
      <c r="H58" s="14">
        <f>ROUNDDOWN(IF(OR(B58="ACAO",B58="DIR",B58="ETF"),G58*Configurações!$B$9,IF(B58="OPCAO",G58*Configurações!$B$23,0)),2)</f>
        <v>0</v>
      </c>
      <c r="I58" s="14">
        <f>ROUNDDOWN(IF(OR(B58="ACAO",B58="ETF",B58="DIR"),G58*Configurações!$C$9,IF(B58="OPCAO",G58*Configurações!$C$23,0)),2)</f>
        <v>0</v>
      </c>
      <c r="J58" s="14">
        <f>ROUNDDOWN(IF(OR(B58="ACAO",B58="ETF",B58="DIR"),G58*Configurações!$D$9,IF(B58="OPCAO",G58*Configurações!$D$23,0)),2)</f>
        <v>0</v>
      </c>
      <c r="K58" s="27"/>
      <c r="L58" s="27"/>
      <c r="M58" s="15">
        <f t="shared" ref="M58:M68" si="18">G58+J58+K58+N58+L58+I58+H58</f>
        <v>0</v>
      </c>
      <c r="N58" s="17">
        <f t="shared" ref="N58:N68" si="19">K58*$N$5</f>
        <v>0</v>
      </c>
      <c r="O58" s="113"/>
      <c r="P58" s="141">
        <f t="shared" si="13"/>
        <v>0</v>
      </c>
      <c r="Q58" s="142">
        <f t="shared" si="14"/>
        <v>0</v>
      </c>
      <c r="R58" s="143">
        <f t="shared" si="8"/>
        <v>0</v>
      </c>
      <c r="S58" s="144" t="e">
        <f t="shared" si="9"/>
        <v>#DIV/0!</v>
      </c>
      <c r="T58" s="145">
        <f t="shared" si="6"/>
        <v>0</v>
      </c>
      <c r="U58" s="145">
        <f t="shared" si="11"/>
        <v>0</v>
      </c>
      <c r="V58" s="146">
        <f>IF(P58&gt;0,SUM(T58,$U$7:U58),IF(P58=0,V57,IF(P58&lt;0,V57+(P58*W58))))</f>
        <v>0</v>
      </c>
      <c r="W58" s="147" t="e">
        <f t="shared" si="7"/>
        <v>#DIV/0!</v>
      </c>
      <c r="X58" s="1"/>
      <c r="Y58" s="1"/>
      <c r="Z58" s="1"/>
      <c r="AA58" s="1"/>
      <c r="AB58" s="1"/>
    </row>
    <row r="59" spans="2:28" ht="13.9" customHeight="1" x14ac:dyDescent="0.2">
      <c r="B59" s="49" t="s">
        <v>30</v>
      </c>
      <c r="C59" s="43"/>
      <c r="D59" s="11"/>
      <c r="E59" s="11"/>
      <c r="F59" s="27"/>
      <c r="G59" s="12">
        <f t="shared" si="17"/>
        <v>0</v>
      </c>
      <c r="H59" s="14">
        <f>ROUNDDOWN(IF(OR(B59="ACAO",B59="DIR",B59="ETF"),G59*Configurações!$B$9,IF(B59="OPCAO",G59*Configurações!$B$23,0)),2)</f>
        <v>0</v>
      </c>
      <c r="I59" s="14">
        <f>ROUNDDOWN(IF(OR(B59="ACAO",B59="ETF",B59="DIR"),G59*Configurações!$C$9,IF(B59="OPCAO",G59*Configurações!$C$23,0)),2)</f>
        <v>0</v>
      </c>
      <c r="J59" s="14">
        <f>ROUNDDOWN(IF(OR(B59="ACAO",B59="ETF",B59="DIR"),G59*Configurações!$D$9,IF(B59="OPCAO",G59*Configurações!$D$23,0)),2)</f>
        <v>0</v>
      </c>
      <c r="K59" s="27"/>
      <c r="L59" s="27"/>
      <c r="M59" s="15">
        <f t="shared" si="18"/>
        <v>0</v>
      </c>
      <c r="N59" s="17">
        <f t="shared" si="19"/>
        <v>0</v>
      </c>
      <c r="O59" s="113"/>
      <c r="P59" s="141">
        <f t="shared" si="13"/>
        <v>0</v>
      </c>
      <c r="Q59" s="142">
        <f t="shared" si="14"/>
        <v>0</v>
      </c>
      <c r="R59" s="143">
        <f t="shared" si="8"/>
        <v>0</v>
      </c>
      <c r="S59" s="144" t="e">
        <f t="shared" si="9"/>
        <v>#DIV/0!</v>
      </c>
      <c r="T59" s="145">
        <f t="shared" si="6"/>
        <v>0</v>
      </c>
      <c r="U59" s="145">
        <f t="shared" si="11"/>
        <v>0</v>
      </c>
      <c r="V59" s="146">
        <f>IF(P59&gt;0,SUM(T59,$U$7:U59),IF(P59=0,V58,IF(P59&lt;0,V58+(P59*W59))))</f>
        <v>0</v>
      </c>
      <c r="W59" s="147" t="e">
        <f t="shared" si="7"/>
        <v>#DIV/0!</v>
      </c>
      <c r="X59" s="1"/>
      <c r="Y59" s="1"/>
      <c r="Z59" s="1"/>
      <c r="AA59" s="1"/>
      <c r="AB59" s="1"/>
    </row>
    <row r="60" spans="2:28" ht="13.9" customHeight="1" x14ac:dyDescent="0.2">
      <c r="B60" s="49" t="s">
        <v>30</v>
      </c>
      <c r="C60" s="43"/>
      <c r="D60" s="11"/>
      <c r="E60" s="11"/>
      <c r="F60" s="27"/>
      <c r="G60" s="12">
        <f t="shared" si="17"/>
        <v>0</v>
      </c>
      <c r="H60" s="14">
        <f>ROUNDDOWN(IF(OR(B60="ACAO",B60="DIR",B60="ETF"),G60*Configurações!$B$9,IF(B60="OPCAO",G60*Configurações!$B$23,0)),2)</f>
        <v>0</v>
      </c>
      <c r="I60" s="14">
        <f>ROUNDDOWN(IF(OR(B60="ACAO",B60="ETF",B60="DIR"),G60*Configurações!$C$9,IF(B60="OPCAO",G60*Configurações!$C$23,0)),2)</f>
        <v>0</v>
      </c>
      <c r="J60" s="14">
        <f>ROUNDDOWN(IF(OR(B60="ACAO",B60="ETF",B60="DIR"),G60*Configurações!$D$9,IF(B60="OPCAO",G60*Configurações!$D$23,0)),2)</f>
        <v>0</v>
      </c>
      <c r="K60" s="27"/>
      <c r="L60" s="27"/>
      <c r="M60" s="15">
        <f t="shared" si="18"/>
        <v>0</v>
      </c>
      <c r="N60" s="17">
        <f t="shared" si="19"/>
        <v>0</v>
      </c>
      <c r="O60" s="113"/>
      <c r="P60" s="141">
        <f t="shared" si="13"/>
        <v>0</v>
      </c>
      <c r="Q60" s="142">
        <f t="shared" si="14"/>
        <v>0</v>
      </c>
      <c r="R60" s="143">
        <f t="shared" si="8"/>
        <v>0</v>
      </c>
      <c r="S60" s="144" t="e">
        <f t="shared" si="9"/>
        <v>#DIV/0!</v>
      </c>
      <c r="T60" s="145">
        <f t="shared" si="6"/>
        <v>0</v>
      </c>
      <c r="U60" s="145">
        <f t="shared" si="11"/>
        <v>0</v>
      </c>
      <c r="V60" s="146">
        <f>IF(P60&gt;0,SUM(T60,$U$7:U60),IF(P60=0,V59,IF(P60&lt;0,V59+(P60*W60))))</f>
        <v>0</v>
      </c>
      <c r="W60" s="147" t="e">
        <f t="shared" si="7"/>
        <v>#DIV/0!</v>
      </c>
      <c r="X60" s="1"/>
      <c r="Y60" s="1"/>
      <c r="Z60" s="1"/>
      <c r="AA60" s="1"/>
      <c r="AB60" s="1"/>
    </row>
    <row r="61" spans="2:28" ht="13.9" customHeight="1" x14ac:dyDescent="0.2">
      <c r="B61" s="49" t="s">
        <v>30</v>
      </c>
      <c r="C61" s="43"/>
      <c r="D61" s="11"/>
      <c r="E61" s="11"/>
      <c r="F61" s="27"/>
      <c r="G61" s="12">
        <f t="shared" si="17"/>
        <v>0</v>
      </c>
      <c r="H61" s="14">
        <f>ROUNDDOWN(IF(OR(B61="ACAO",B61="DIR",B61="ETF"),G61*Configurações!$B$9,IF(B61="OPCAO",G61*Configurações!$B$23,0)),2)</f>
        <v>0</v>
      </c>
      <c r="I61" s="14">
        <f>ROUNDDOWN(IF(OR(B61="ACAO",B61="ETF",B61="DIR"),G61*Configurações!$C$9,IF(B61="OPCAO",G61*Configurações!$C$23,0)),2)</f>
        <v>0</v>
      </c>
      <c r="J61" s="14">
        <f>ROUNDDOWN(IF(OR(B61="ACAO",B61="ETF",B61="DIR"),G61*Configurações!$D$9,IF(B61="OPCAO",G61*Configurações!$D$23,0)),2)</f>
        <v>0</v>
      </c>
      <c r="K61" s="27"/>
      <c r="L61" s="27"/>
      <c r="M61" s="15">
        <f t="shared" si="18"/>
        <v>0</v>
      </c>
      <c r="N61" s="17">
        <f t="shared" si="19"/>
        <v>0</v>
      </c>
      <c r="O61" s="113"/>
      <c r="P61" s="141">
        <f t="shared" si="13"/>
        <v>0</v>
      </c>
      <c r="Q61" s="142">
        <f t="shared" si="14"/>
        <v>0</v>
      </c>
      <c r="R61" s="143">
        <f t="shared" si="8"/>
        <v>0</v>
      </c>
      <c r="S61" s="144" t="e">
        <f t="shared" si="9"/>
        <v>#DIV/0!</v>
      </c>
      <c r="T61" s="145">
        <f t="shared" si="6"/>
        <v>0</v>
      </c>
      <c r="U61" s="145">
        <f t="shared" si="11"/>
        <v>0</v>
      </c>
      <c r="V61" s="146">
        <f>IF(P61&gt;0,SUM(T61,$U$7:U61),IF(P61=0,V60,IF(P61&lt;0,V60+(P61*W61))))</f>
        <v>0</v>
      </c>
      <c r="W61" s="147" t="e">
        <f t="shared" si="7"/>
        <v>#DIV/0!</v>
      </c>
      <c r="X61" s="1"/>
      <c r="Y61" s="1"/>
      <c r="Z61" s="1"/>
      <c r="AA61" s="1"/>
      <c r="AB61" s="1"/>
    </row>
    <row r="62" spans="2:28" ht="13.9" customHeight="1" x14ac:dyDescent="0.2">
      <c r="B62" s="49" t="s">
        <v>30</v>
      </c>
      <c r="C62" s="43"/>
      <c r="D62" s="11"/>
      <c r="E62" s="11"/>
      <c r="F62" s="27"/>
      <c r="G62" s="12">
        <f t="shared" si="17"/>
        <v>0</v>
      </c>
      <c r="H62" s="14">
        <f>ROUNDDOWN(IF(OR(B62="ACAO",B62="DIR",B62="ETF"),G62*Configurações!$B$9,IF(B62="OPCAO",G62*Configurações!$B$23,0)),2)</f>
        <v>0</v>
      </c>
      <c r="I62" s="14">
        <f>ROUNDDOWN(IF(OR(B62="ACAO",B62="ETF",B62="DIR"),G62*Configurações!$C$9,IF(B62="OPCAO",G62*Configurações!$C$23,0)),2)</f>
        <v>0</v>
      </c>
      <c r="J62" s="14">
        <f>ROUNDDOWN(IF(OR(B62="ACAO",B62="ETF",B62="DIR"),G62*Configurações!$D$9,IF(B62="OPCAO",G62*Configurações!$D$23,0)),2)</f>
        <v>0</v>
      </c>
      <c r="K62" s="27"/>
      <c r="L62" s="27"/>
      <c r="M62" s="15">
        <f t="shared" si="18"/>
        <v>0</v>
      </c>
      <c r="N62" s="17">
        <f t="shared" si="19"/>
        <v>0</v>
      </c>
      <c r="O62" s="113"/>
      <c r="P62" s="141">
        <f t="shared" si="13"/>
        <v>0</v>
      </c>
      <c r="Q62" s="142">
        <f t="shared" si="14"/>
        <v>0</v>
      </c>
      <c r="R62" s="143">
        <f t="shared" si="8"/>
        <v>0</v>
      </c>
      <c r="S62" s="144" t="e">
        <f t="shared" si="9"/>
        <v>#DIV/0!</v>
      </c>
      <c r="T62" s="145">
        <f t="shared" si="6"/>
        <v>0</v>
      </c>
      <c r="U62" s="145">
        <f t="shared" si="11"/>
        <v>0</v>
      </c>
      <c r="V62" s="146">
        <f>IF(P62&gt;0,SUM(T62,$U$7:U62),IF(P62=0,V61,IF(P62&lt;0,V61+(P62*W62))))</f>
        <v>0</v>
      </c>
      <c r="W62" s="147" t="e">
        <f t="shared" si="7"/>
        <v>#DIV/0!</v>
      </c>
      <c r="X62" s="1"/>
      <c r="Y62" s="1"/>
      <c r="Z62" s="1"/>
      <c r="AA62" s="1"/>
      <c r="AB62" s="1"/>
    </row>
    <row r="63" spans="2:28" ht="13.9" customHeight="1" x14ac:dyDescent="0.2">
      <c r="B63" s="49" t="s">
        <v>30</v>
      </c>
      <c r="C63" s="43"/>
      <c r="D63" s="11"/>
      <c r="E63" s="11"/>
      <c r="F63" s="27"/>
      <c r="G63" s="12">
        <f t="shared" si="17"/>
        <v>0</v>
      </c>
      <c r="H63" s="14">
        <f>ROUNDDOWN(IF(OR(B63="ACAO",B63="DIR",B63="ETF"),G63*Configurações!$B$9,IF(B63="OPCAO",G63*Configurações!$B$23,0)),2)</f>
        <v>0</v>
      </c>
      <c r="I63" s="14">
        <f>ROUNDDOWN(IF(OR(B63="ACAO",B63="ETF",B63="DIR"),G63*Configurações!$C$9,IF(B63="OPCAO",G63*Configurações!$C$23,0)),2)</f>
        <v>0</v>
      </c>
      <c r="J63" s="14">
        <f>ROUNDDOWN(IF(OR(B63="ACAO",B63="ETF",B63="DIR"),G63*Configurações!$D$9,IF(B63="OPCAO",G63*Configurações!$D$23,0)),2)</f>
        <v>0</v>
      </c>
      <c r="K63" s="27"/>
      <c r="L63" s="27"/>
      <c r="M63" s="15">
        <f t="shared" si="18"/>
        <v>0</v>
      </c>
      <c r="N63" s="17">
        <f t="shared" si="19"/>
        <v>0</v>
      </c>
      <c r="O63" s="113"/>
      <c r="P63" s="141">
        <f t="shared" si="13"/>
        <v>0</v>
      </c>
      <c r="Q63" s="142">
        <f t="shared" si="14"/>
        <v>0</v>
      </c>
      <c r="R63" s="143">
        <f t="shared" si="8"/>
        <v>0</v>
      </c>
      <c r="S63" s="144" t="e">
        <f t="shared" si="9"/>
        <v>#DIV/0!</v>
      </c>
      <c r="T63" s="145">
        <f t="shared" si="6"/>
        <v>0</v>
      </c>
      <c r="U63" s="145">
        <f t="shared" si="11"/>
        <v>0</v>
      </c>
      <c r="V63" s="146">
        <f>IF(P63&gt;0,SUM(T63,$U$7:U63),IF(P63=0,V62,IF(P63&lt;0,V62+(P63*W63))))</f>
        <v>0</v>
      </c>
      <c r="W63" s="147" t="e">
        <f t="shared" si="7"/>
        <v>#DIV/0!</v>
      </c>
      <c r="X63" s="1"/>
      <c r="Y63" s="1"/>
      <c r="Z63" s="1"/>
      <c r="AA63" s="1"/>
      <c r="AB63" s="1"/>
    </row>
    <row r="64" spans="2:28" ht="13.9" customHeight="1" x14ac:dyDescent="0.2">
      <c r="B64" s="49" t="s">
        <v>30</v>
      </c>
      <c r="C64" s="43"/>
      <c r="D64" s="11"/>
      <c r="E64" s="11"/>
      <c r="F64" s="27"/>
      <c r="G64" s="12">
        <f t="shared" si="17"/>
        <v>0</v>
      </c>
      <c r="H64" s="14">
        <f>ROUNDDOWN(IF(OR(B64="ACAO",B64="DIR",B64="ETF"),G64*Configurações!$B$9,IF(B64="OPCAO",G64*Configurações!$B$23,0)),2)</f>
        <v>0</v>
      </c>
      <c r="I64" s="14">
        <f>ROUNDDOWN(IF(OR(B64="ACAO",B64="ETF",B64="DIR"),G64*Configurações!$C$9,IF(B64="OPCAO",G64*Configurações!$C$23,0)),2)</f>
        <v>0</v>
      </c>
      <c r="J64" s="14">
        <f>ROUNDDOWN(IF(OR(B64="ACAO",B64="ETF",B64="DIR"),G64*Configurações!$D$9,IF(B64="OPCAO",G64*Configurações!$D$23,0)),2)</f>
        <v>0</v>
      </c>
      <c r="K64" s="27"/>
      <c r="L64" s="27"/>
      <c r="M64" s="15">
        <f t="shared" si="18"/>
        <v>0</v>
      </c>
      <c r="N64" s="17">
        <f t="shared" si="19"/>
        <v>0</v>
      </c>
      <c r="O64" s="113"/>
      <c r="P64" s="141">
        <f t="shared" si="13"/>
        <v>0</v>
      </c>
      <c r="Q64" s="142">
        <f t="shared" si="14"/>
        <v>0</v>
      </c>
      <c r="R64" s="143">
        <f t="shared" si="8"/>
        <v>0</v>
      </c>
      <c r="S64" s="144" t="e">
        <f t="shared" si="9"/>
        <v>#DIV/0!</v>
      </c>
      <c r="T64" s="145">
        <f t="shared" si="6"/>
        <v>0</v>
      </c>
      <c r="U64" s="145">
        <f t="shared" si="11"/>
        <v>0</v>
      </c>
      <c r="V64" s="146">
        <f>IF(P64&gt;0,SUM(T64,$U$7:U64),IF(P64=0,V63,IF(P64&lt;0,V63+(P64*W64))))</f>
        <v>0</v>
      </c>
      <c r="W64" s="147" t="e">
        <f t="shared" si="7"/>
        <v>#DIV/0!</v>
      </c>
      <c r="X64" s="1"/>
      <c r="Y64" s="1"/>
      <c r="Z64" s="1"/>
      <c r="AA64" s="1"/>
      <c r="AB64" s="1"/>
    </row>
    <row r="65" spans="2:28" ht="13.9" customHeight="1" x14ac:dyDescent="0.2">
      <c r="B65" s="49" t="s">
        <v>30</v>
      </c>
      <c r="C65" s="43"/>
      <c r="D65" s="11"/>
      <c r="E65" s="11"/>
      <c r="F65" s="27"/>
      <c r="G65" s="12">
        <f t="shared" si="17"/>
        <v>0</v>
      </c>
      <c r="H65" s="14">
        <f>ROUNDDOWN(IF(OR(B65="ACAO",B65="DIR",B65="ETF"),G65*Configurações!$B$9,IF(B65="OPCAO",G65*Configurações!$B$23,0)),2)</f>
        <v>0</v>
      </c>
      <c r="I65" s="14">
        <f>ROUNDDOWN(IF(OR(B65="ACAO",B65="ETF",B65="DIR"),G65*Configurações!$C$9,IF(B65="OPCAO",G65*Configurações!$C$23,0)),2)</f>
        <v>0</v>
      </c>
      <c r="J65" s="14">
        <f>ROUNDDOWN(IF(OR(B65="ACAO",B65="ETF",B65="DIR"),G65*Configurações!$D$9,IF(B65="OPCAO",G65*Configurações!$D$23,0)),2)</f>
        <v>0</v>
      </c>
      <c r="K65" s="27"/>
      <c r="L65" s="27"/>
      <c r="M65" s="15">
        <f t="shared" si="18"/>
        <v>0</v>
      </c>
      <c r="N65" s="17">
        <f t="shared" si="19"/>
        <v>0</v>
      </c>
      <c r="O65" s="113"/>
      <c r="P65" s="141">
        <f t="shared" si="13"/>
        <v>0</v>
      </c>
      <c r="Q65" s="142">
        <f t="shared" si="14"/>
        <v>0</v>
      </c>
      <c r="R65" s="143">
        <f t="shared" si="8"/>
        <v>0</v>
      </c>
      <c r="S65" s="144" t="e">
        <f t="shared" si="9"/>
        <v>#DIV/0!</v>
      </c>
      <c r="T65" s="145">
        <f t="shared" si="6"/>
        <v>0</v>
      </c>
      <c r="U65" s="145">
        <f t="shared" si="11"/>
        <v>0</v>
      </c>
      <c r="V65" s="146">
        <f>IF(P65&gt;0,SUM(T65,$U$7:U65),IF(P65=0,V64,IF(P65&lt;0,V64+(P65*W65))))</f>
        <v>0</v>
      </c>
      <c r="W65" s="147" t="e">
        <f t="shared" si="7"/>
        <v>#DIV/0!</v>
      </c>
      <c r="X65" s="1"/>
      <c r="Y65" s="1"/>
      <c r="Z65" s="1"/>
      <c r="AA65" s="1"/>
      <c r="AB65" s="1"/>
    </row>
    <row r="66" spans="2:28" ht="13.9" customHeight="1" x14ac:dyDescent="0.2">
      <c r="B66" s="49" t="s">
        <v>30</v>
      </c>
      <c r="C66" s="43"/>
      <c r="D66" s="11"/>
      <c r="E66" s="11"/>
      <c r="F66" s="27"/>
      <c r="G66" s="12">
        <f t="shared" si="17"/>
        <v>0</v>
      </c>
      <c r="H66" s="14">
        <f>ROUNDDOWN(IF(OR(B66="ACAO",B66="DIR",B66="ETF"),G66*Configurações!$B$9,IF(B66="OPCAO",G66*Configurações!$B$23,0)),2)</f>
        <v>0</v>
      </c>
      <c r="I66" s="14">
        <f>ROUNDDOWN(IF(OR(B66="ACAO",B66="ETF",B66="DIR"),G66*Configurações!$C$9,IF(B66="OPCAO",G66*Configurações!$C$23,0)),2)</f>
        <v>0</v>
      </c>
      <c r="J66" s="14">
        <f>ROUNDDOWN(IF(OR(B66="ACAO",B66="ETF",B66="DIR"),G66*Configurações!$D$9,IF(B66="OPCAO",G66*Configurações!$D$23,0)),2)</f>
        <v>0</v>
      </c>
      <c r="K66" s="27"/>
      <c r="L66" s="27"/>
      <c r="M66" s="15">
        <f t="shared" si="18"/>
        <v>0</v>
      </c>
      <c r="N66" s="17">
        <f t="shared" si="19"/>
        <v>0</v>
      </c>
      <c r="O66" s="113"/>
      <c r="P66" s="141">
        <f t="shared" si="13"/>
        <v>0</v>
      </c>
      <c r="Q66" s="142">
        <f t="shared" si="14"/>
        <v>0</v>
      </c>
      <c r="R66" s="143">
        <f t="shared" si="8"/>
        <v>0</v>
      </c>
      <c r="S66" s="144" t="e">
        <f t="shared" si="9"/>
        <v>#DIV/0!</v>
      </c>
      <c r="T66" s="145">
        <f t="shared" si="6"/>
        <v>0</v>
      </c>
      <c r="U66" s="145">
        <f t="shared" si="11"/>
        <v>0</v>
      </c>
      <c r="V66" s="146">
        <f>IF(P66&gt;0,SUM(T66,$U$7:U66),IF(P66=0,V65,IF(P66&lt;0,V65+(P66*W66))))</f>
        <v>0</v>
      </c>
      <c r="W66" s="147" t="e">
        <f t="shared" si="7"/>
        <v>#DIV/0!</v>
      </c>
      <c r="X66" s="1"/>
      <c r="Y66" s="1"/>
      <c r="Z66" s="1"/>
      <c r="AA66" s="1"/>
      <c r="AB66" s="1"/>
    </row>
    <row r="67" spans="2:28" ht="13.9" customHeight="1" x14ac:dyDescent="0.2">
      <c r="B67" s="49" t="s">
        <v>30</v>
      </c>
      <c r="C67" s="43"/>
      <c r="D67" s="11"/>
      <c r="E67" s="11"/>
      <c r="F67" s="27"/>
      <c r="G67" s="12">
        <f t="shared" si="17"/>
        <v>0</v>
      </c>
      <c r="H67" s="14">
        <f>ROUNDDOWN(IF(OR(B67="ACAO",B67="DIR",B67="ETF"),G67*Configurações!$B$9,IF(B67="OPCAO",G67*Configurações!$B$23,0)),2)</f>
        <v>0</v>
      </c>
      <c r="I67" s="14">
        <f>ROUNDDOWN(IF(OR(B67="ACAO",B67="ETF",B67="DIR"),G67*Configurações!$C$9,IF(B67="OPCAO",G67*Configurações!$C$23,0)),2)</f>
        <v>0</v>
      </c>
      <c r="J67" s="14">
        <f>ROUNDDOWN(IF(OR(B67="ACAO",B67="ETF",B67="DIR"),G67*Configurações!$D$9,IF(B67="OPCAO",G67*Configurações!$D$23,0)),2)</f>
        <v>0</v>
      </c>
      <c r="K67" s="27"/>
      <c r="L67" s="27"/>
      <c r="M67" s="15">
        <f t="shared" si="18"/>
        <v>0</v>
      </c>
      <c r="N67" s="17">
        <f t="shared" si="19"/>
        <v>0</v>
      </c>
      <c r="O67" s="113"/>
      <c r="P67" s="141">
        <f t="shared" si="13"/>
        <v>0</v>
      </c>
      <c r="Q67" s="142">
        <f t="shared" si="14"/>
        <v>0</v>
      </c>
      <c r="R67" s="143">
        <f t="shared" si="8"/>
        <v>0</v>
      </c>
      <c r="S67" s="144" t="e">
        <f t="shared" si="9"/>
        <v>#DIV/0!</v>
      </c>
      <c r="T67" s="145">
        <f t="shared" si="6"/>
        <v>0</v>
      </c>
      <c r="U67" s="145">
        <f t="shared" si="11"/>
        <v>0</v>
      </c>
      <c r="V67" s="146">
        <f>IF(P67&gt;0,SUM(T67,$U$7:U67),IF(P67=0,V66,IF(P67&lt;0,V66+(P67*W67))))</f>
        <v>0</v>
      </c>
      <c r="W67" s="147" t="e">
        <f t="shared" si="7"/>
        <v>#DIV/0!</v>
      </c>
      <c r="X67" s="1"/>
      <c r="Y67" s="1"/>
      <c r="Z67" s="1"/>
      <c r="AA67" s="1"/>
      <c r="AB67" s="1"/>
    </row>
    <row r="68" spans="2:28" ht="13.9" customHeight="1" x14ac:dyDescent="0.2">
      <c r="B68" s="49" t="s">
        <v>30</v>
      </c>
      <c r="C68" s="43"/>
      <c r="D68" s="11"/>
      <c r="E68" s="11"/>
      <c r="F68" s="27"/>
      <c r="G68" s="12">
        <f t="shared" si="17"/>
        <v>0</v>
      </c>
      <c r="H68" s="14">
        <f>ROUNDDOWN(IF(OR(B68="ACAO",B68="DIR",B68="ETF"),G68*Configurações!$B$9,IF(B68="OPCAO",G68*Configurações!$B$23,0)),2)</f>
        <v>0</v>
      </c>
      <c r="I68" s="14">
        <f>ROUNDDOWN(IF(OR(B68="ACAO",B68="ETF",B68="DIR"),G68*Configurações!$C$9,IF(B68="OPCAO",G68*Configurações!$C$23,0)),2)</f>
        <v>0</v>
      </c>
      <c r="J68" s="14">
        <f>ROUNDDOWN(IF(OR(B68="ACAO",B68="ETF",B68="DIR"),G68*Configurações!$D$9,IF(B68="OPCAO",G68*Configurações!$D$23,0)),2)</f>
        <v>0</v>
      </c>
      <c r="K68" s="27"/>
      <c r="L68" s="27"/>
      <c r="M68" s="15">
        <f t="shared" si="18"/>
        <v>0</v>
      </c>
      <c r="N68" s="17">
        <f t="shared" si="19"/>
        <v>0</v>
      </c>
      <c r="O68" s="113"/>
      <c r="P68" s="141">
        <f t="shared" si="13"/>
        <v>0</v>
      </c>
      <c r="Q68" s="142">
        <f t="shared" si="14"/>
        <v>0</v>
      </c>
      <c r="R68" s="143">
        <f t="shared" si="8"/>
        <v>0</v>
      </c>
      <c r="S68" s="144" t="e">
        <f t="shared" si="9"/>
        <v>#DIV/0!</v>
      </c>
      <c r="T68" s="145">
        <f t="shared" si="6"/>
        <v>0</v>
      </c>
      <c r="U68" s="145">
        <f t="shared" si="11"/>
        <v>0</v>
      </c>
      <c r="V68" s="146">
        <f>IF(P68&gt;0,SUM(T68,$U$7:U68),IF(P68=0,V67,IF(P68&lt;0,V67+(P68*W68))))</f>
        <v>0</v>
      </c>
      <c r="W68" s="147" t="e">
        <f t="shared" si="7"/>
        <v>#DIV/0!</v>
      </c>
      <c r="X68" s="1"/>
      <c r="Y68" s="1"/>
      <c r="Z68" s="1"/>
      <c r="AA68" s="1"/>
      <c r="AB68" s="1"/>
    </row>
    <row r="69" spans="2:28" ht="13.9" customHeight="1" x14ac:dyDescent="0.2">
      <c r="B69" s="49" t="s">
        <v>30</v>
      </c>
      <c r="C69" s="43"/>
      <c r="D69" s="11"/>
      <c r="E69" s="11"/>
      <c r="F69" s="27"/>
      <c r="G69" s="12">
        <f t="shared" ref="G69:G74" si="20">E69*F69</f>
        <v>0</v>
      </c>
      <c r="H69" s="14">
        <f>ROUNDDOWN(IF(OR(B69="ACAO",B69="DIR",B69="ETF"),G69*Configurações!$B$9,IF(B69="OPCAO",G69*Configurações!$B$23,0)),2)</f>
        <v>0</v>
      </c>
      <c r="I69" s="14">
        <f>ROUNDDOWN(IF(OR(B69="ACAO",B69="ETF",B69="DIR"),G69*Configurações!$C$9,IF(B69="OPCAO",G69*Configurações!$C$23,0)),2)</f>
        <v>0</v>
      </c>
      <c r="J69" s="14">
        <f>ROUNDDOWN(IF(OR(B69="ACAO",B69="ETF",B69="DIR"),G69*Configurações!$D$9,IF(B69="OPCAO",G69*Configurações!$D$23,0)),2)</f>
        <v>0</v>
      </c>
      <c r="K69" s="27"/>
      <c r="L69" s="27"/>
      <c r="M69" s="15">
        <f t="shared" si="5"/>
        <v>0</v>
      </c>
      <c r="N69" s="17">
        <f t="shared" si="0"/>
        <v>0</v>
      </c>
      <c r="O69" s="113"/>
      <c r="P69" s="141">
        <f t="shared" si="13"/>
        <v>0</v>
      </c>
      <c r="Q69" s="142">
        <f t="shared" si="14"/>
        <v>0</v>
      </c>
      <c r="R69" s="143">
        <f t="shared" si="8"/>
        <v>0</v>
      </c>
      <c r="S69" s="144" t="e">
        <f t="shared" si="9"/>
        <v>#DIV/0!</v>
      </c>
      <c r="T69" s="145">
        <f t="shared" si="6"/>
        <v>0</v>
      </c>
      <c r="U69" s="145">
        <f t="shared" si="11"/>
        <v>0</v>
      </c>
      <c r="V69" s="146">
        <f>IF(P69&gt;0,SUM(T69,$U$7:U69),IF(P69=0,V68,IF(P69&lt;0,V68+(P69*W69))))</f>
        <v>0</v>
      </c>
      <c r="W69" s="147" t="e">
        <f t="shared" si="7"/>
        <v>#DIV/0!</v>
      </c>
      <c r="X69" s="1"/>
      <c r="Y69" s="1"/>
      <c r="Z69" s="1"/>
      <c r="AA69" s="1"/>
      <c r="AB69" s="1"/>
    </row>
    <row r="70" spans="2:28" ht="13.9" customHeight="1" x14ac:dyDescent="0.2">
      <c r="B70" s="49" t="s">
        <v>30</v>
      </c>
      <c r="C70" s="43"/>
      <c r="D70" s="11"/>
      <c r="E70" s="11"/>
      <c r="F70" s="27"/>
      <c r="G70" s="12">
        <f t="shared" si="20"/>
        <v>0</v>
      </c>
      <c r="H70" s="14">
        <f>ROUNDDOWN(IF(OR(B70="ACAO",B70="DIR",B70="ETF"),G70*Configurações!$B$9,IF(B70="OPCAO",G70*Configurações!$B$23,0)),2)</f>
        <v>0</v>
      </c>
      <c r="I70" s="14">
        <f>ROUNDDOWN(IF(OR(B70="ACAO",B70="ETF",B70="DIR"),G70*Configurações!$C$9,IF(B70="OPCAO",G70*Configurações!$C$23,0)),2)</f>
        <v>0</v>
      </c>
      <c r="J70" s="14">
        <f>ROUNDDOWN(IF(OR(B70="ACAO",B70="ETF",B70="DIR"),G70*Configurações!$D$9,IF(B70="OPCAO",G70*Configurações!$D$23,0)),2)</f>
        <v>0</v>
      </c>
      <c r="K70" s="27"/>
      <c r="L70" s="27"/>
      <c r="M70" s="15">
        <f t="shared" si="5"/>
        <v>0</v>
      </c>
      <c r="N70" s="17">
        <f t="shared" si="0"/>
        <v>0</v>
      </c>
      <c r="O70" s="113"/>
      <c r="P70" s="141">
        <f t="shared" si="13"/>
        <v>0</v>
      </c>
      <c r="Q70" s="142">
        <f t="shared" si="14"/>
        <v>0</v>
      </c>
      <c r="R70" s="143">
        <f t="shared" si="8"/>
        <v>0</v>
      </c>
      <c r="S70" s="144" t="e">
        <f t="shared" si="9"/>
        <v>#DIV/0!</v>
      </c>
      <c r="T70" s="145">
        <f t="shared" si="6"/>
        <v>0</v>
      </c>
      <c r="U70" s="145">
        <f t="shared" si="11"/>
        <v>0</v>
      </c>
      <c r="V70" s="146">
        <f>IF(P70&gt;0,SUM(T70,$U$7:U70),IF(P70=0,V69,IF(P70&lt;0,V69+(P70*W70))))</f>
        <v>0</v>
      </c>
      <c r="W70" s="147" t="e">
        <f t="shared" si="7"/>
        <v>#DIV/0!</v>
      </c>
      <c r="X70" s="1"/>
      <c r="Y70" s="1"/>
      <c r="Z70" s="1"/>
      <c r="AA70" s="1"/>
      <c r="AB70" s="1"/>
    </row>
    <row r="71" spans="2:28" ht="13.9" customHeight="1" x14ac:dyDescent="0.2">
      <c r="B71" s="49" t="s">
        <v>30</v>
      </c>
      <c r="C71" s="43"/>
      <c r="D71" s="11"/>
      <c r="E71" s="11"/>
      <c r="F71" s="27"/>
      <c r="G71" s="12">
        <f t="shared" si="20"/>
        <v>0</v>
      </c>
      <c r="H71" s="14">
        <f>ROUNDDOWN(IF(OR(B71="ACAO",B71="DIR",B71="ETF"),G71*Configurações!$B$9,IF(B71="OPCAO",G71*Configurações!$B$23,0)),2)</f>
        <v>0</v>
      </c>
      <c r="I71" s="14">
        <f>ROUNDDOWN(IF(OR(B71="ACAO",B71="ETF",B71="DIR"),G71*Configurações!$C$9,IF(B71="OPCAO",G71*Configurações!$C$23,0)),2)</f>
        <v>0</v>
      </c>
      <c r="J71" s="14">
        <f>ROUNDDOWN(IF(OR(B71="ACAO",B71="ETF",B71="DIR"),G71*Configurações!$D$9,IF(B71="OPCAO",G71*Configurações!$D$23,0)),2)</f>
        <v>0</v>
      </c>
      <c r="K71" s="27"/>
      <c r="L71" s="27"/>
      <c r="M71" s="15">
        <f t="shared" si="5"/>
        <v>0</v>
      </c>
      <c r="N71" s="17">
        <f t="shared" si="0"/>
        <v>0</v>
      </c>
      <c r="O71" s="113"/>
      <c r="P71" s="141">
        <f t="shared" ref="P71:P81" si="21">IF(D:D=$Q$4,E71,0)</f>
        <v>0</v>
      </c>
      <c r="Q71" s="142">
        <f t="shared" ref="Q71:Q81" si="22">IF(D:D=$Q$4,G71,0)</f>
        <v>0</v>
      </c>
      <c r="R71" s="143">
        <f t="shared" si="8"/>
        <v>0</v>
      </c>
      <c r="S71" s="144" t="e">
        <f t="shared" si="9"/>
        <v>#DIV/0!</v>
      </c>
      <c r="T71" s="145">
        <f t="shared" si="6"/>
        <v>0</v>
      </c>
      <c r="U71" s="145">
        <f t="shared" si="11"/>
        <v>0</v>
      </c>
      <c r="V71" s="146">
        <f>IF(P71&gt;0,SUM(T71,$U$7:U71),IF(P71=0,V70,IF(P71&lt;0,V70+(P71*W71))))</f>
        <v>0</v>
      </c>
      <c r="W71" s="147" t="e">
        <f t="shared" si="7"/>
        <v>#DIV/0!</v>
      </c>
      <c r="X71" s="1"/>
      <c r="Y71" s="1"/>
      <c r="Z71" s="1"/>
      <c r="AA71" s="1"/>
      <c r="AB71" s="1"/>
    </row>
    <row r="72" spans="2:28" ht="13.9" customHeight="1" x14ac:dyDescent="0.2">
      <c r="B72" s="49" t="s">
        <v>30</v>
      </c>
      <c r="C72" s="43"/>
      <c r="D72" s="11"/>
      <c r="E72" s="11"/>
      <c r="F72" s="27"/>
      <c r="G72" s="12">
        <f t="shared" si="20"/>
        <v>0</v>
      </c>
      <c r="H72" s="14">
        <f>ROUNDDOWN(IF(OR(B72="ACAO",B72="DIR",B72="ETF"),G72*Configurações!$B$9,IF(B72="OPCAO",G72*Configurações!$B$23,0)),2)</f>
        <v>0</v>
      </c>
      <c r="I72" s="14">
        <f>ROUNDDOWN(IF(OR(B72="ACAO",B72="ETF",B72="DIR"),G72*Configurações!$C$9,IF(B72="OPCAO",G72*Configurações!$C$23,0)),2)</f>
        <v>0</v>
      </c>
      <c r="J72" s="14">
        <f>ROUNDDOWN(IF(OR(B72="ACAO",B72="ETF",B72="DIR"),G72*Configurações!$D$9,IF(B72="OPCAO",G72*Configurações!$D$23,0)),2)</f>
        <v>0</v>
      </c>
      <c r="K72" s="27"/>
      <c r="L72" s="27"/>
      <c r="M72" s="15">
        <f t="shared" si="5"/>
        <v>0</v>
      </c>
      <c r="N72" s="17">
        <f t="shared" ref="N72:N77" si="23">K72*$N$5</f>
        <v>0</v>
      </c>
      <c r="O72" s="113"/>
      <c r="P72" s="141">
        <f t="shared" si="21"/>
        <v>0</v>
      </c>
      <c r="Q72" s="142">
        <f t="shared" si="22"/>
        <v>0</v>
      </c>
      <c r="R72" s="143">
        <f t="shared" si="8"/>
        <v>0</v>
      </c>
      <c r="S72" s="144" t="e">
        <f t="shared" si="9"/>
        <v>#DIV/0!</v>
      </c>
      <c r="T72" s="145">
        <f t="shared" si="6"/>
        <v>0</v>
      </c>
      <c r="U72" s="145">
        <f t="shared" si="11"/>
        <v>0</v>
      </c>
      <c r="V72" s="146">
        <f>IF(P72&gt;0,SUM(T72,$U$7:U72),IF(P72=0,V71,IF(P72&lt;0,V71+(P72*W72))))</f>
        <v>0</v>
      </c>
      <c r="W72" s="147" t="e">
        <f t="shared" si="7"/>
        <v>#DIV/0!</v>
      </c>
      <c r="X72" s="1"/>
      <c r="Y72" s="1"/>
      <c r="Z72" s="1"/>
      <c r="AA72" s="1"/>
      <c r="AB72" s="1"/>
    </row>
    <row r="73" spans="2:28" ht="13.9" customHeight="1" x14ac:dyDescent="0.2">
      <c r="B73" s="49" t="s">
        <v>30</v>
      </c>
      <c r="C73" s="43"/>
      <c r="D73" s="11"/>
      <c r="E73" s="11"/>
      <c r="F73" s="27"/>
      <c r="G73" s="12">
        <f t="shared" si="20"/>
        <v>0</v>
      </c>
      <c r="H73" s="14">
        <f>ROUNDDOWN(IF(OR(B73="ACAO",B73="DIR",B73="ETF"),G73*Configurações!$B$9,IF(B73="OPCAO",G73*Configurações!$B$23,0)),2)</f>
        <v>0</v>
      </c>
      <c r="I73" s="14">
        <f>ROUNDDOWN(IF(OR(B73="ACAO",B73="ETF",B73="DIR"),G73*Configurações!$C$9,IF(B73="OPCAO",G73*Configurações!$C$23,0)),2)</f>
        <v>0</v>
      </c>
      <c r="J73" s="14">
        <f>ROUNDDOWN(IF(OR(B73="ACAO",B73="ETF",B73="DIR"),G73*Configurações!$D$9,IF(B73="OPCAO",G73*Configurações!$D$23,0)),2)</f>
        <v>0</v>
      </c>
      <c r="K73" s="27"/>
      <c r="L73" s="27"/>
      <c r="M73" s="15">
        <f t="shared" si="5"/>
        <v>0</v>
      </c>
      <c r="N73" s="17">
        <f t="shared" si="23"/>
        <v>0</v>
      </c>
      <c r="O73" s="113"/>
      <c r="P73" s="141">
        <f t="shared" si="21"/>
        <v>0</v>
      </c>
      <c r="Q73" s="142">
        <f t="shared" si="22"/>
        <v>0</v>
      </c>
      <c r="R73" s="143">
        <f t="shared" si="8"/>
        <v>0</v>
      </c>
      <c r="S73" s="144" t="e">
        <f t="shared" si="9"/>
        <v>#DIV/0!</v>
      </c>
      <c r="T73" s="145">
        <f t="shared" si="6"/>
        <v>0</v>
      </c>
      <c r="U73" s="145">
        <f t="shared" si="11"/>
        <v>0</v>
      </c>
      <c r="V73" s="146">
        <f>IF(P73&gt;0,SUM(T73,$U$7:U73),IF(P73=0,V72,IF(P73&lt;0,V72+(P73*W73))))</f>
        <v>0</v>
      </c>
      <c r="W73" s="147" t="e">
        <f t="shared" si="7"/>
        <v>#DIV/0!</v>
      </c>
      <c r="X73" s="1"/>
      <c r="Y73" s="1"/>
      <c r="Z73" s="1"/>
      <c r="AA73" s="1"/>
      <c r="AB73" s="1"/>
    </row>
    <row r="74" spans="2:28" ht="13.9" customHeight="1" x14ac:dyDescent="0.2">
      <c r="B74" s="49" t="s">
        <v>30</v>
      </c>
      <c r="C74" s="43"/>
      <c r="D74" s="11"/>
      <c r="E74" s="11"/>
      <c r="F74" s="27"/>
      <c r="G74" s="12">
        <f t="shared" si="20"/>
        <v>0</v>
      </c>
      <c r="H74" s="14">
        <f>ROUNDDOWN(IF(OR(B74="ACAO",B74="DIR",B74="ETF"),G74*Configurações!$B$9,IF(B74="OPCAO",G74*Configurações!$B$23,0)),2)</f>
        <v>0</v>
      </c>
      <c r="I74" s="14">
        <f>ROUNDDOWN(IF(OR(B74="ACAO",B74="ETF",B74="DIR"),G74*Configurações!$C$9,IF(B74="OPCAO",G74*Configurações!$C$23,0)),2)</f>
        <v>0</v>
      </c>
      <c r="J74" s="14">
        <f>ROUNDDOWN(IF(OR(B74="ACAO",B74="ETF",B74="DIR"),G74*Configurações!$D$9,IF(B74="OPCAO",G74*Configurações!$D$23,0)),2)</f>
        <v>0</v>
      </c>
      <c r="K74" s="27"/>
      <c r="L74" s="27"/>
      <c r="M74" s="15">
        <f t="shared" si="5"/>
        <v>0</v>
      </c>
      <c r="N74" s="17">
        <f t="shared" si="23"/>
        <v>0</v>
      </c>
      <c r="O74" s="113"/>
      <c r="P74" s="141">
        <f t="shared" si="21"/>
        <v>0</v>
      </c>
      <c r="Q74" s="142">
        <f t="shared" si="22"/>
        <v>0</v>
      </c>
      <c r="R74" s="143">
        <f t="shared" si="8"/>
        <v>0</v>
      </c>
      <c r="S74" s="144" t="e">
        <f t="shared" si="9"/>
        <v>#DIV/0!</v>
      </c>
      <c r="T74" s="145">
        <f t="shared" si="6"/>
        <v>0</v>
      </c>
      <c r="U74" s="145">
        <f t="shared" si="11"/>
        <v>0</v>
      </c>
      <c r="V74" s="146">
        <f>IF(P74&gt;0,SUM(T74,$U$7:U74),IF(P74=0,V73,IF(P74&lt;0,V73+(P74*W74))))</f>
        <v>0</v>
      </c>
      <c r="W74" s="147" t="e">
        <f t="shared" si="7"/>
        <v>#DIV/0!</v>
      </c>
      <c r="X74" s="1"/>
      <c r="Y74" s="1"/>
      <c r="Z74" s="1"/>
      <c r="AA74" s="1"/>
      <c r="AB74" s="1"/>
    </row>
    <row r="75" spans="2:28" ht="13.9" customHeight="1" x14ac:dyDescent="0.2">
      <c r="B75" s="49" t="s">
        <v>30</v>
      </c>
      <c r="C75" s="43"/>
      <c r="D75" s="11"/>
      <c r="E75" s="11"/>
      <c r="F75" s="27"/>
      <c r="G75" s="12">
        <f t="shared" ref="G75:G81" si="24">E75*F75</f>
        <v>0</v>
      </c>
      <c r="H75" s="14">
        <f>ROUNDDOWN(IF(OR(B75="ACAO",B75="DIR",B75="ETF"),G75*Configurações!$B$9,IF(B75="OPCAO",G75*Configurações!$B$23,0)),2)</f>
        <v>0</v>
      </c>
      <c r="I75" s="14">
        <f>ROUNDDOWN(IF(OR(B75="ACAO",B75="ETF",B75="DIR"),G75*Configurações!$C$9,IF(B75="OPCAO",G75*Configurações!$C$23,0)),2)</f>
        <v>0</v>
      </c>
      <c r="J75" s="14">
        <f>ROUNDDOWN(IF(OR(B75="ACAO",B75="ETF",B75="DIR"),G75*Configurações!$D$9,IF(B75="OPCAO",G75*Configurações!$D$23,0)),2)</f>
        <v>0</v>
      </c>
      <c r="K75" s="27"/>
      <c r="L75" s="27"/>
      <c r="M75" s="15">
        <f t="shared" si="5"/>
        <v>0</v>
      </c>
      <c r="N75" s="17">
        <f t="shared" si="23"/>
        <v>0</v>
      </c>
      <c r="O75" s="113"/>
      <c r="P75" s="141">
        <f t="shared" si="21"/>
        <v>0</v>
      </c>
      <c r="Q75" s="142">
        <f t="shared" si="22"/>
        <v>0</v>
      </c>
      <c r="R75" s="143">
        <f t="shared" si="8"/>
        <v>0</v>
      </c>
      <c r="S75" s="144" t="e">
        <f t="shared" si="9"/>
        <v>#DIV/0!</v>
      </c>
      <c r="T75" s="145">
        <f t="shared" si="6"/>
        <v>0</v>
      </c>
      <c r="U75" s="145">
        <f t="shared" si="11"/>
        <v>0</v>
      </c>
      <c r="V75" s="146">
        <f>IF(P75&gt;0,SUM(T75,$U$7:U75),IF(P75=0,V74,IF(P75&lt;0,V74+(P75*W75))))</f>
        <v>0</v>
      </c>
      <c r="W75" s="147" t="e">
        <f t="shared" si="7"/>
        <v>#DIV/0!</v>
      </c>
      <c r="X75" s="1"/>
      <c r="Y75" s="1"/>
      <c r="Z75" s="1"/>
      <c r="AA75" s="1"/>
      <c r="AB75" s="1"/>
    </row>
    <row r="76" spans="2:28" ht="13.9" customHeight="1" x14ac:dyDescent="0.2">
      <c r="B76" s="49" t="s">
        <v>30</v>
      </c>
      <c r="C76" s="43"/>
      <c r="D76" s="11"/>
      <c r="E76" s="11"/>
      <c r="F76" s="27"/>
      <c r="G76" s="12">
        <f t="shared" si="24"/>
        <v>0</v>
      </c>
      <c r="H76" s="14">
        <f>ROUNDDOWN(IF(OR(B76="ACAO",B76="DIR",B76="ETF"),G76*Configurações!$B$9,IF(B76="OPCAO",G76*Configurações!$B$23,0)),2)</f>
        <v>0</v>
      </c>
      <c r="I76" s="14">
        <f>ROUNDDOWN(IF(OR(B76="ACAO",B76="ETF",B76="DIR"),G76*Configurações!$C$9,IF(B76="OPCAO",G76*Configurações!$C$23,0)),2)</f>
        <v>0</v>
      </c>
      <c r="J76" s="14">
        <f>ROUNDDOWN(IF(OR(B76="ACAO",B76="ETF",B76="DIR"),G76*Configurações!$D$9,IF(B76="OPCAO",G76*Configurações!$D$23,0)),2)</f>
        <v>0</v>
      </c>
      <c r="K76" s="27"/>
      <c r="L76" s="27"/>
      <c r="M76" s="15">
        <f t="shared" si="5"/>
        <v>0</v>
      </c>
      <c r="N76" s="17">
        <f t="shared" si="23"/>
        <v>0</v>
      </c>
      <c r="O76" s="113"/>
      <c r="P76" s="141">
        <f t="shared" si="21"/>
        <v>0</v>
      </c>
      <c r="Q76" s="142">
        <f t="shared" si="22"/>
        <v>0</v>
      </c>
      <c r="R76" s="143">
        <f t="shared" si="8"/>
        <v>0</v>
      </c>
      <c r="S76" s="144" t="e">
        <f t="shared" si="9"/>
        <v>#DIV/0!</v>
      </c>
      <c r="T76" s="145">
        <f t="shared" si="6"/>
        <v>0</v>
      </c>
      <c r="U76" s="145">
        <f t="shared" si="11"/>
        <v>0</v>
      </c>
      <c r="V76" s="146">
        <f>IF(P76&gt;0,SUM(T76,$U$7:U76),IF(P76=0,V75,IF(P76&lt;0,V75+(P76*W76))))</f>
        <v>0</v>
      </c>
      <c r="W76" s="147" t="e">
        <f t="shared" si="7"/>
        <v>#DIV/0!</v>
      </c>
      <c r="X76" s="1"/>
      <c r="Y76" s="1"/>
      <c r="Z76" s="1"/>
      <c r="AA76" s="1"/>
      <c r="AB76" s="1"/>
    </row>
    <row r="77" spans="2:28" ht="13.9" customHeight="1" x14ac:dyDescent="0.2">
      <c r="B77" s="49" t="s">
        <v>30</v>
      </c>
      <c r="C77" s="43"/>
      <c r="D77" s="11"/>
      <c r="E77" s="11"/>
      <c r="F77" s="27"/>
      <c r="G77" s="12">
        <f t="shared" si="24"/>
        <v>0</v>
      </c>
      <c r="H77" s="14">
        <f>ROUNDDOWN(IF(OR(B77="ACAO",B77="DIR",B77="ETF"),G77*Configurações!$B$9,IF(B77="OPCAO",G77*Configurações!$B$23,0)),2)</f>
        <v>0</v>
      </c>
      <c r="I77" s="14">
        <f>ROUNDDOWN(IF(OR(B77="ACAO",B77="ETF",B77="DIR"),G77*Configurações!$C$9,IF(B77="OPCAO",G77*Configurações!$C$23,0)),2)</f>
        <v>0</v>
      </c>
      <c r="J77" s="14">
        <f>ROUNDDOWN(IF(OR(B77="ACAO",B77="ETF",B77="DIR"),G77*Configurações!$D$9,IF(B77="OPCAO",G77*Configurações!$D$23,0)),2)</f>
        <v>0</v>
      </c>
      <c r="K77" s="27"/>
      <c r="L77" s="27"/>
      <c r="M77" s="15">
        <f t="shared" si="5"/>
        <v>0</v>
      </c>
      <c r="N77" s="17">
        <f t="shared" si="23"/>
        <v>0</v>
      </c>
      <c r="O77" s="113"/>
      <c r="P77" s="141">
        <f t="shared" si="21"/>
        <v>0</v>
      </c>
      <c r="Q77" s="142">
        <f t="shared" si="22"/>
        <v>0</v>
      </c>
      <c r="R77" s="143">
        <f t="shared" si="8"/>
        <v>0</v>
      </c>
      <c r="S77" s="144" t="e">
        <f t="shared" si="9"/>
        <v>#DIV/0!</v>
      </c>
      <c r="T77" s="145">
        <f t="shared" si="6"/>
        <v>0</v>
      </c>
      <c r="U77" s="145">
        <f t="shared" si="11"/>
        <v>0</v>
      </c>
      <c r="V77" s="146">
        <f>IF(P77&gt;0,SUM(T77,$U$7:U77),IF(P77=0,V76,IF(P77&lt;0,V76+(P77*W77))))</f>
        <v>0</v>
      </c>
      <c r="W77" s="147" t="e">
        <f t="shared" si="7"/>
        <v>#DIV/0!</v>
      </c>
      <c r="X77" s="1"/>
      <c r="Y77" s="1"/>
      <c r="Z77" s="1"/>
      <c r="AA77" s="1"/>
      <c r="AB77" s="1"/>
    </row>
    <row r="78" spans="2:28" ht="13.9" customHeight="1" x14ac:dyDescent="0.2">
      <c r="B78" s="49" t="s">
        <v>30</v>
      </c>
      <c r="C78" s="43"/>
      <c r="D78" s="11"/>
      <c r="E78" s="11"/>
      <c r="F78" s="27"/>
      <c r="G78" s="12">
        <f t="shared" si="24"/>
        <v>0</v>
      </c>
      <c r="H78" s="14">
        <f>ROUNDDOWN(IF(OR(B78="ACAO",B78="DIR",B78="ETF"),G78*Configurações!$B$9,IF(B78="OPCAO",G78*Configurações!$B$23,0)),2)</f>
        <v>0</v>
      </c>
      <c r="I78" s="14">
        <f>ROUNDDOWN(IF(OR(B78="ACAO",B78="ETF",B78="DIR"),G78*Configurações!$C$9,IF(B78="OPCAO",G78*Configurações!$C$23,0)),2)</f>
        <v>0</v>
      </c>
      <c r="J78" s="14">
        <f>ROUNDDOWN(IF(OR(B78="ACAO",B78="ETF",B78="DIR"),G78*Configurações!$D$9,IF(B78="OPCAO",G78*Configurações!$D$23,0)),2)</f>
        <v>0</v>
      </c>
      <c r="K78" s="27"/>
      <c r="L78" s="27"/>
      <c r="M78" s="15">
        <f t="shared" si="5"/>
        <v>0</v>
      </c>
      <c r="N78" s="17">
        <f t="shared" si="0"/>
        <v>0</v>
      </c>
      <c r="O78" s="113"/>
      <c r="P78" s="141">
        <f t="shared" si="21"/>
        <v>0</v>
      </c>
      <c r="Q78" s="142">
        <f t="shared" si="22"/>
        <v>0</v>
      </c>
      <c r="R78" s="143">
        <f t="shared" si="8"/>
        <v>0</v>
      </c>
      <c r="S78" s="144" t="e">
        <f t="shared" si="9"/>
        <v>#DIV/0!</v>
      </c>
      <c r="T78" s="145">
        <f t="shared" si="6"/>
        <v>0</v>
      </c>
      <c r="U78" s="145">
        <f t="shared" si="11"/>
        <v>0</v>
      </c>
      <c r="V78" s="146">
        <f>IF(P78&gt;0,SUM(T78,$U$7:U78),IF(P78=0,V77,IF(P78&lt;0,V77+(P78*W78))))</f>
        <v>0</v>
      </c>
      <c r="W78" s="147" t="e">
        <f t="shared" si="7"/>
        <v>#DIV/0!</v>
      </c>
      <c r="X78" s="1"/>
      <c r="Y78" s="1"/>
      <c r="Z78" s="1"/>
      <c r="AA78" s="1"/>
      <c r="AB78" s="1"/>
    </row>
    <row r="79" spans="2:28" ht="13.9" customHeight="1" x14ac:dyDescent="0.2">
      <c r="B79" s="49" t="s">
        <v>30</v>
      </c>
      <c r="C79" s="43"/>
      <c r="D79" s="11"/>
      <c r="E79" s="11"/>
      <c r="F79" s="27"/>
      <c r="G79" s="12">
        <f t="shared" si="24"/>
        <v>0</v>
      </c>
      <c r="H79" s="14">
        <f>ROUNDDOWN(IF(OR(B79="ACAO",B79="DIR",B79="ETF"),G79*Configurações!$B$9,IF(B79="OPCAO",G79*Configurações!$B$23,0)),2)</f>
        <v>0</v>
      </c>
      <c r="I79" s="14">
        <f>ROUNDDOWN(IF(OR(B79="ACAO",B79="ETF",B79="DIR"),G79*Configurações!$C$9,IF(B79="OPCAO",G79*Configurações!$C$23,0)),2)</f>
        <v>0</v>
      </c>
      <c r="J79" s="14">
        <f>ROUNDDOWN(IF(OR(B79="ACAO",B79="ETF",B79="DIR"),G79*Configurações!$D$9,IF(B79="OPCAO",G79*Configurações!$D$23,0)),2)</f>
        <v>0</v>
      </c>
      <c r="K79" s="27"/>
      <c r="L79" s="27"/>
      <c r="M79" s="15">
        <f t="shared" si="5"/>
        <v>0</v>
      </c>
      <c r="N79" s="17">
        <f t="shared" si="0"/>
        <v>0</v>
      </c>
      <c r="O79" s="113"/>
      <c r="P79" s="141">
        <f t="shared" si="21"/>
        <v>0</v>
      </c>
      <c r="Q79" s="142">
        <f t="shared" si="22"/>
        <v>0</v>
      </c>
      <c r="R79" s="143">
        <f t="shared" si="8"/>
        <v>0</v>
      </c>
      <c r="S79" s="144" t="e">
        <f t="shared" si="9"/>
        <v>#DIV/0!</v>
      </c>
      <c r="T79" s="145">
        <f t="shared" si="6"/>
        <v>0</v>
      </c>
      <c r="U79" s="145">
        <f t="shared" si="11"/>
        <v>0</v>
      </c>
      <c r="V79" s="146">
        <f>IF(P79&gt;0,SUM(T79,$U$7:U79),IF(P79=0,V78,IF(P79&lt;0,V78+(P79*W79))))</f>
        <v>0</v>
      </c>
      <c r="W79" s="147" t="e">
        <f t="shared" si="7"/>
        <v>#DIV/0!</v>
      </c>
      <c r="X79" s="1"/>
      <c r="Y79" s="1"/>
      <c r="Z79" s="1"/>
      <c r="AA79" s="1"/>
      <c r="AB79" s="1"/>
    </row>
    <row r="80" spans="2:28" ht="13.9" customHeight="1" x14ac:dyDescent="0.2">
      <c r="B80" s="49" t="s">
        <v>30</v>
      </c>
      <c r="C80" s="43"/>
      <c r="D80" s="11"/>
      <c r="E80" s="11"/>
      <c r="F80" s="27"/>
      <c r="G80" s="12">
        <f t="shared" si="24"/>
        <v>0</v>
      </c>
      <c r="H80" s="14">
        <f>ROUNDDOWN(IF(OR(B80="ACAO",B80="DIR",B80="ETF"),G80*Configurações!$B$9,IF(B80="OPCAO",G80*Configurações!$B$23,0)),2)</f>
        <v>0</v>
      </c>
      <c r="I80" s="14">
        <f>ROUNDDOWN(IF(OR(B80="ACAO",B80="ETF",B80="DIR"),G80*Configurações!$C$9,IF(B80="OPCAO",G80*Configurações!$C$23,0)),2)</f>
        <v>0</v>
      </c>
      <c r="J80" s="14">
        <f>ROUNDDOWN(IF(OR(B80="ACAO",B80="ETF",B80="DIR"),G80*Configurações!$D$9,IF(B80="OPCAO",G80*Configurações!$D$23,0)),2)</f>
        <v>0</v>
      </c>
      <c r="K80" s="27"/>
      <c r="L80" s="27"/>
      <c r="M80" s="15">
        <f t="shared" si="5"/>
        <v>0</v>
      </c>
      <c r="N80" s="17">
        <f t="shared" si="0"/>
        <v>0</v>
      </c>
      <c r="O80" s="113"/>
      <c r="P80" s="141">
        <f t="shared" si="21"/>
        <v>0</v>
      </c>
      <c r="Q80" s="142">
        <f t="shared" si="22"/>
        <v>0</v>
      </c>
      <c r="R80" s="143">
        <f t="shared" si="8"/>
        <v>0</v>
      </c>
      <c r="S80" s="144" t="e">
        <f t="shared" si="9"/>
        <v>#DIV/0!</v>
      </c>
      <c r="T80" s="145">
        <f t="shared" si="6"/>
        <v>0</v>
      </c>
      <c r="U80" s="145">
        <f t="shared" si="11"/>
        <v>0</v>
      </c>
      <c r="V80" s="146">
        <f>IF(P80&gt;0,SUM(T80,$U$7:U80),IF(P80=0,V79,IF(P80&lt;0,V79+(P80*W80))))</f>
        <v>0</v>
      </c>
      <c r="W80" s="147" t="e">
        <f t="shared" si="7"/>
        <v>#DIV/0!</v>
      </c>
      <c r="X80" s="1"/>
      <c r="Y80" s="1"/>
      <c r="Z80" s="1"/>
      <c r="AA80" s="1"/>
      <c r="AB80" s="1"/>
    </row>
    <row r="81" spans="2:31" ht="13.9" customHeight="1" thickBot="1" x14ac:dyDescent="0.25">
      <c r="B81" s="51" t="s">
        <v>30</v>
      </c>
      <c r="C81" s="44"/>
      <c r="D81" s="18"/>
      <c r="E81" s="18"/>
      <c r="F81" s="28"/>
      <c r="G81" s="19">
        <f t="shared" si="24"/>
        <v>0</v>
      </c>
      <c r="H81" s="21">
        <f>ROUNDDOWN(IF(OR(B81="ACAO",B81="DIR",B81="ETF"),G81*Configurações!$B$9,IF(B81="OPCAO",G81*Configurações!$B$23,0)),2)</f>
        <v>0</v>
      </c>
      <c r="I81" s="21">
        <f>ROUNDDOWN(IF(OR(B81="ACAO",B81="ETF",B81="DIR"),G81*Configurações!$C$9,IF(B81="OPCAO",G81*Configurações!$C$23,0)),2)</f>
        <v>0</v>
      </c>
      <c r="J81" s="21">
        <f>ROUNDDOWN(IF(OR(B81="ACAO",B81="ETF",B81="DIR"),G81*Configurações!$D$9,IF(B81="OPCAO",G81*Configurações!$D$23,0)),2)</f>
        <v>0</v>
      </c>
      <c r="K81" s="28"/>
      <c r="L81" s="28"/>
      <c r="M81" s="22">
        <f t="shared" si="5"/>
        <v>0</v>
      </c>
      <c r="N81" s="24">
        <f t="shared" si="0"/>
        <v>0</v>
      </c>
      <c r="O81" s="113"/>
      <c r="P81" s="148">
        <f t="shared" si="21"/>
        <v>0</v>
      </c>
      <c r="Q81" s="149">
        <f t="shared" si="22"/>
        <v>0</v>
      </c>
      <c r="R81" s="150">
        <f t="shared" si="8"/>
        <v>0</v>
      </c>
      <c r="S81" s="151" t="e">
        <f t="shared" si="9"/>
        <v>#DIV/0!</v>
      </c>
      <c r="T81" s="152">
        <f t="shared" si="6"/>
        <v>0</v>
      </c>
      <c r="U81" s="152">
        <f t="shared" si="11"/>
        <v>0</v>
      </c>
      <c r="V81" s="153">
        <f>IF(P81&gt;0,SUM(T81,$U$7:U81),IF(P81=0,V80,IF(P81&lt;0,V80+(P81*W81))))</f>
        <v>0</v>
      </c>
      <c r="W81" s="154" t="e">
        <f t="shared" si="7"/>
        <v>#DIV/0!</v>
      </c>
      <c r="X81" s="1"/>
      <c r="Y81" s="1"/>
      <c r="Z81" s="1"/>
      <c r="AA81" s="1"/>
      <c r="AB81" s="1"/>
    </row>
    <row r="82" spans="2:31" ht="15" customHeight="1" x14ac:dyDescent="0.2">
      <c r="H82" s="30"/>
      <c r="I82" s="30"/>
      <c r="O82" s="113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2:31" ht="15" customHeight="1" thickBot="1" x14ac:dyDescent="0.25">
      <c r="O83" s="113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2:31" ht="20.100000000000001" customHeight="1" thickBot="1" x14ac:dyDescent="0.25">
      <c r="B84" s="663" t="s">
        <v>139</v>
      </c>
      <c r="C84" s="664"/>
      <c r="D84" s="664"/>
      <c r="E84" s="664"/>
      <c r="F84" s="664"/>
      <c r="G84" s="665"/>
      <c r="H84" s="30"/>
      <c r="I84" s="30"/>
      <c r="J84" s="30"/>
      <c r="K84" s="30"/>
      <c r="L84" s="30"/>
      <c r="M84" s="30"/>
      <c r="N84" s="3" t="s">
        <v>3</v>
      </c>
      <c r="O84" s="113"/>
      <c r="P84" s="133" t="s">
        <v>94</v>
      </c>
      <c r="Q84" s="134">
        <f>AA86</f>
        <v>0</v>
      </c>
      <c r="R84" s="685" t="s">
        <v>142</v>
      </c>
      <c r="S84" s="686"/>
      <c r="T84" s="686"/>
      <c r="U84" s="686"/>
      <c r="V84" s="686"/>
      <c r="W84" s="687"/>
      <c r="X84" s="1"/>
      <c r="Y84" s="676" t="s">
        <v>143</v>
      </c>
      <c r="Z84" s="676"/>
      <c r="AA84" s="676"/>
      <c r="AB84" s="676"/>
    </row>
    <row r="85" spans="2:31" ht="20.100000000000001" customHeight="1" thickBot="1" x14ac:dyDescent="0.25">
      <c r="B85" s="652" t="s">
        <v>27</v>
      </c>
      <c r="C85" s="654" t="s">
        <v>40</v>
      </c>
      <c r="D85" s="656" t="s">
        <v>140</v>
      </c>
      <c r="E85" s="656" t="s">
        <v>4</v>
      </c>
      <c r="F85" s="654" t="s">
        <v>42</v>
      </c>
      <c r="G85" s="660" t="s">
        <v>46</v>
      </c>
      <c r="H85" s="223" t="s">
        <v>58</v>
      </c>
      <c r="I85" s="223" t="s">
        <v>59</v>
      </c>
      <c r="J85" s="223" t="s">
        <v>60</v>
      </c>
      <c r="K85" s="674" t="s">
        <v>49</v>
      </c>
      <c r="L85" s="226" t="s">
        <v>36</v>
      </c>
      <c r="M85" s="666" t="s">
        <v>141</v>
      </c>
      <c r="N85" s="672">
        <f>'Operações Normais'!X7</f>
        <v>0.10680000000000001</v>
      </c>
      <c r="O85" s="113"/>
      <c r="P85" s="650" t="s">
        <v>4</v>
      </c>
      <c r="Q85" s="677" t="s">
        <v>9</v>
      </c>
      <c r="R85" s="679" t="s">
        <v>144</v>
      </c>
      <c r="S85" s="679" t="s">
        <v>145</v>
      </c>
      <c r="T85" s="679" t="s">
        <v>146</v>
      </c>
      <c r="U85" s="679" t="s">
        <v>147</v>
      </c>
      <c r="V85" s="679" t="s">
        <v>148</v>
      </c>
      <c r="W85" s="681" t="s">
        <v>149</v>
      </c>
      <c r="X85" s="1"/>
      <c r="Y85" s="676"/>
      <c r="Z85" s="676"/>
      <c r="AA85" s="676"/>
      <c r="AB85" s="676"/>
    </row>
    <row r="86" spans="2:31" ht="18" customHeight="1" thickBot="1" x14ac:dyDescent="0.25">
      <c r="B86" s="653"/>
      <c r="C86" s="655"/>
      <c r="D86" s="657"/>
      <c r="E86" s="657"/>
      <c r="F86" s="655"/>
      <c r="G86" s="661"/>
      <c r="H86" s="224"/>
      <c r="I86" s="224"/>
      <c r="J86" s="224"/>
      <c r="K86" s="655"/>
      <c r="L86" s="227"/>
      <c r="M86" s="667"/>
      <c r="N86" s="673"/>
      <c r="O86" s="113"/>
      <c r="P86" s="651"/>
      <c r="Q86" s="678"/>
      <c r="R86" s="680"/>
      <c r="S86" s="680"/>
      <c r="T86" s="680"/>
      <c r="U86" s="680"/>
      <c r="V86" s="680"/>
      <c r="W86" s="682"/>
      <c r="X86" s="1"/>
      <c r="Y86" s="683" t="s">
        <v>155</v>
      </c>
      <c r="Z86" s="683"/>
      <c r="AA86" s="684"/>
      <c r="AB86" s="684"/>
    </row>
    <row r="87" spans="2:31" ht="13.9" customHeight="1" thickBot="1" x14ac:dyDescent="0.25">
      <c r="B87" s="48" t="s">
        <v>30</v>
      </c>
      <c r="C87" s="42"/>
      <c r="D87" s="4"/>
      <c r="E87" s="4"/>
      <c r="F87" s="26"/>
      <c r="G87" s="5">
        <f>E87*F87</f>
        <v>0</v>
      </c>
      <c r="H87" s="7">
        <f>ROUNDDOWN(IF(OR(B87="ACAO",B87="DIR",B87="ETF"),G87*Configurações!$B$9,IF(B87="OPCAO",G87*Configurações!$B$23,0)),2)</f>
        <v>0</v>
      </c>
      <c r="I87" s="7">
        <f>ROUNDDOWN(IF(OR(B87="ACAO",B87="ETF",B87="DIR"),G87*Configurações!$C$9,IF(B87="OPCAO",G87*Configurações!$C$23,0)),2)</f>
        <v>0</v>
      </c>
      <c r="J87" s="7">
        <f>ROUNDDOWN(IF(OR(B87="ACAO",B87="ETF",B87="DIR"),G87*Configurações!$D$9,IF(B87="OPCAO",G87*Configurações!$D$23,0)),2)</f>
        <v>0</v>
      </c>
      <c r="K87" s="26"/>
      <c r="L87" s="26"/>
      <c r="M87" s="8">
        <f>-G87+J87+K87+N87+L87+I87+H87</f>
        <v>0</v>
      </c>
      <c r="N87" s="10">
        <f>K87*$N$85</f>
        <v>0</v>
      </c>
      <c r="O87" s="113"/>
      <c r="P87" s="155">
        <f t="shared" ref="P87:P92" si="25">IF(D:D=$Q$84,E87,0)</f>
        <v>0</v>
      </c>
      <c r="Q87" s="156">
        <f t="shared" ref="Q87:Q92" si="26">IF(D:D=$Q$84,G87,0)</f>
        <v>0</v>
      </c>
      <c r="R87" s="157">
        <f>P87</f>
        <v>0</v>
      </c>
      <c r="S87" s="158" t="e">
        <f>Q87/R87</f>
        <v>#DIV/0!</v>
      </c>
      <c r="T87" s="140">
        <f t="shared" ref="T87:T92" si="27">IF(R87=0,0,R87*S87)</f>
        <v>0</v>
      </c>
      <c r="U87" s="140">
        <f t="shared" ref="U87:U92" si="28">IF(D:D=$Q$84,H87+I87+J87+K87+L87+N87,0)</f>
        <v>0</v>
      </c>
      <c r="V87" s="140">
        <f>T87-U87</f>
        <v>0</v>
      </c>
      <c r="W87" s="159" t="e">
        <f>V87/R87</f>
        <v>#DIV/0!</v>
      </c>
      <c r="X87" s="1"/>
      <c r="Y87" s="683"/>
      <c r="Z87" s="683"/>
      <c r="AA87" s="684"/>
      <c r="AB87" s="684"/>
    </row>
    <row r="88" spans="2:31" ht="13.9" customHeight="1" thickBot="1" x14ac:dyDescent="0.25">
      <c r="B88" s="49" t="s">
        <v>30</v>
      </c>
      <c r="C88" s="43"/>
      <c r="D88" s="11"/>
      <c r="E88" s="11"/>
      <c r="F88" s="27"/>
      <c r="G88" s="12">
        <f t="shared" ref="G88:G100" si="29">E88*F88</f>
        <v>0</v>
      </c>
      <c r="H88" s="14">
        <f>ROUNDDOWN(IF(OR(B88="ACAO",B88="DIR",B88="ETF"),G88*Configurações!$B$9,IF(B88="OPCAO",G88*Configurações!$B$23,0)),2)</f>
        <v>0</v>
      </c>
      <c r="I88" s="14">
        <f>ROUNDDOWN(IF(OR(B88="ACAO",B88="ETF",B88="DIR"),G88*Configurações!$C$9,IF(B88="OPCAO",G88*Configurações!$C$23,0)),2)</f>
        <v>0</v>
      </c>
      <c r="J88" s="14">
        <f>ROUNDDOWN(IF(OR(B88="ACAO",B88="ETF",B88="DIR"),G88*Configurações!$D$9,IF(B88="OPCAO",G88*Configurações!$D$23,0)),2)</f>
        <v>0</v>
      </c>
      <c r="K88" s="27"/>
      <c r="L88" s="27"/>
      <c r="M88" s="15">
        <f t="shared" ref="M88:M161" si="30">-G88+J88+K88+N88+L88+I88+H88</f>
        <v>0</v>
      </c>
      <c r="N88" s="17">
        <f t="shared" ref="N88:N100" si="31">K88*$N$85</f>
        <v>0</v>
      </c>
      <c r="O88" s="113"/>
      <c r="P88" s="160">
        <f t="shared" si="25"/>
        <v>0</v>
      </c>
      <c r="Q88" s="161">
        <f t="shared" si="26"/>
        <v>0</v>
      </c>
      <c r="R88" s="162">
        <f>R87+P88</f>
        <v>0</v>
      </c>
      <c r="S88" s="163" t="e">
        <f>IF(P88&lt;=0,S87,IF(P88&gt;0,((T87+Q88)/R88)))</f>
        <v>#DIV/0!</v>
      </c>
      <c r="T88" s="146">
        <f t="shared" si="27"/>
        <v>0</v>
      </c>
      <c r="U88" s="146">
        <f t="shared" si="28"/>
        <v>0</v>
      </c>
      <c r="V88" s="146">
        <f>IF(P88&gt;0,T88-SUM($U$87:U88),IF(P88=0,V87,IF(P88&lt;0,V87+(P88*W88))))</f>
        <v>0</v>
      </c>
      <c r="W88" s="147" t="e">
        <f>IF(P88&lt;=0,W87,IF(P88&gt;0,V88/R88))</f>
        <v>#DIV/0!</v>
      </c>
      <c r="X88" s="1"/>
      <c r="Y88" s="688" t="s">
        <v>4</v>
      </c>
      <c r="Z88" s="688"/>
      <c r="AA88" s="690">
        <f>R161</f>
        <v>0</v>
      </c>
      <c r="AB88" s="690"/>
      <c r="AC88" s="640" t="s">
        <v>167</v>
      </c>
      <c r="AD88" s="641"/>
      <c r="AE88" s="641"/>
    </row>
    <row r="89" spans="2:31" ht="13.9" customHeight="1" thickBot="1" x14ac:dyDescent="0.25">
      <c r="B89" s="49" t="s">
        <v>30</v>
      </c>
      <c r="C89" s="43"/>
      <c r="D89" s="11"/>
      <c r="E89" s="11"/>
      <c r="F89" s="27"/>
      <c r="G89" s="12">
        <f t="shared" si="29"/>
        <v>0</v>
      </c>
      <c r="H89" s="14">
        <f>ROUNDDOWN(IF(OR(B89="ACAO",B89="DIR",B89="ETF"),G89*Configurações!$B$9,IF(B89="OPCAO",G89*Configurações!$B$23,0)),2)</f>
        <v>0</v>
      </c>
      <c r="I89" s="14">
        <f>ROUNDDOWN(IF(OR(B89="ACAO",B89="ETF",B89="DIR"),G89*Configurações!$C$9,IF(B89="OPCAO",G89*Configurações!$C$23,0)),2)</f>
        <v>0</v>
      </c>
      <c r="J89" s="14">
        <f>ROUNDDOWN(IF(OR(B89="ACAO",B89="ETF",B89="DIR"),G89*Configurações!$D$9,IF(B89="OPCAO",G89*Configurações!$D$23,0)),2)</f>
        <v>0</v>
      </c>
      <c r="K89" s="27"/>
      <c r="L89" s="27"/>
      <c r="M89" s="15">
        <f t="shared" si="30"/>
        <v>0</v>
      </c>
      <c r="N89" s="17">
        <f t="shared" si="31"/>
        <v>0</v>
      </c>
      <c r="O89" s="113"/>
      <c r="P89" s="160">
        <f t="shared" si="25"/>
        <v>0</v>
      </c>
      <c r="Q89" s="161">
        <f t="shared" si="26"/>
        <v>0</v>
      </c>
      <c r="R89" s="162">
        <f>R88+P89</f>
        <v>0</v>
      </c>
      <c r="S89" s="163" t="e">
        <f>IF(P89&lt;=0,S88,IF(P89&gt;0,((T88+Q89)/R89)))</f>
        <v>#DIV/0!</v>
      </c>
      <c r="T89" s="146">
        <f t="shared" si="27"/>
        <v>0</v>
      </c>
      <c r="U89" s="146">
        <f t="shared" si="28"/>
        <v>0</v>
      </c>
      <c r="V89" s="146">
        <f>IF(P89&gt;0,T89-SUM($U$87:U89),IF(P89=0,V88,IF(P89&lt;0,V88+(P89*W89))))</f>
        <v>0</v>
      </c>
      <c r="W89" s="147" t="e">
        <f>IF(P89&lt;=0,W88,IF(P89&gt;0,V89/R89))</f>
        <v>#DIV/0!</v>
      </c>
      <c r="X89" s="1"/>
      <c r="Y89" s="689"/>
      <c r="Z89" s="689"/>
      <c r="AA89" s="691"/>
      <c r="AB89" s="691"/>
      <c r="AC89" s="640"/>
      <c r="AD89" s="641"/>
      <c r="AE89" s="641"/>
    </row>
    <row r="90" spans="2:31" ht="13.9" customHeight="1" thickBot="1" x14ac:dyDescent="0.25">
      <c r="B90" s="49" t="s">
        <v>30</v>
      </c>
      <c r="C90" s="43"/>
      <c r="D90" s="11"/>
      <c r="E90" s="11"/>
      <c r="F90" s="27"/>
      <c r="G90" s="12">
        <f t="shared" si="29"/>
        <v>0</v>
      </c>
      <c r="H90" s="14">
        <f>ROUNDDOWN(IF(OR(B90="ACAO",B90="DIR",B90="ETF"),G90*Configurações!$B$9,IF(B90="OPCAO",G90*Configurações!$B$23,0)),2)</f>
        <v>0</v>
      </c>
      <c r="I90" s="14">
        <f>ROUNDDOWN(IF(OR(B90="ACAO",B90="ETF",B90="DIR"),G90*Configurações!$C$9,IF(B90="OPCAO",G90*Configurações!$C$23,0)),2)</f>
        <v>0</v>
      </c>
      <c r="J90" s="14">
        <f>ROUNDDOWN(IF(OR(B90="ACAO",B90="ETF",B90="DIR"),G90*Configurações!$D$9,IF(B90="OPCAO",G90*Configurações!$D$23,0)),2)</f>
        <v>0</v>
      </c>
      <c r="K90" s="27"/>
      <c r="L90" s="27"/>
      <c r="M90" s="15">
        <f t="shared" si="30"/>
        <v>0</v>
      </c>
      <c r="N90" s="17">
        <f t="shared" si="31"/>
        <v>0</v>
      </c>
      <c r="O90" s="113"/>
      <c r="P90" s="160">
        <f t="shared" si="25"/>
        <v>0</v>
      </c>
      <c r="Q90" s="161">
        <f t="shared" si="26"/>
        <v>0</v>
      </c>
      <c r="R90" s="162">
        <f>R89+P90</f>
        <v>0</v>
      </c>
      <c r="S90" s="163" t="e">
        <f>IF(P90&lt;=0,S89,IF(P90&gt;0,(T89+Q90)/R90))</f>
        <v>#DIV/0!</v>
      </c>
      <c r="T90" s="146">
        <f t="shared" si="27"/>
        <v>0</v>
      </c>
      <c r="U90" s="146">
        <f t="shared" si="28"/>
        <v>0</v>
      </c>
      <c r="V90" s="146">
        <f>IF(P90&gt;0,T90-SUM($U$87:U90),IF(P90=0,V89,IF(P90&lt;0,V89+(P90*W90))))</f>
        <v>0</v>
      </c>
      <c r="W90" s="147" t="e">
        <f>IF(P90&lt;=0,W89,IF(P90&gt;0,V90/R90))</f>
        <v>#DIV/0!</v>
      </c>
      <c r="X90" s="1"/>
      <c r="Y90" s="689"/>
      <c r="Z90" s="689"/>
      <c r="AA90" s="691"/>
      <c r="AB90" s="691"/>
      <c r="AC90" s="640"/>
      <c r="AD90" s="641"/>
      <c r="AE90" s="641"/>
    </row>
    <row r="91" spans="2:31" ht="13.9" customHeight="1" thickBot="1" x14ac:dyDescent="0.25">
      <c r="B91" s="49" t="s">
        <v>30</v>
      </c>
      <c r="C91" s="43"/>
      <c r="D91" s="11"/>
      <c r="E91" s="11"/>
      <c r="F91" s="27"/>
      <c r="G91" s="12">
        <f t="shared" si="29"/>
        <v>0</v>
      </c>
      <c r="H91" s="14">
        <f>ROUNDDOWN(IF(OR(B91="ACAO",B91="DIR",B91="ETF"),G91*Configurações!$B$9,IF(B91="OPCAO",G91*Configurações!$B$23,0)),2)</f>
        <v>0</v>
      </c>
      <c r="I91" s="14">
        <f>ROUNDDOWN(IF(OR(B91="ACAO",B91="ETF",B91="DIR"),G91*Configurações!$C$9,IF(B91="OPCAO",G91*Configurações!$C$23,0)),2)</f>
        <v>0</v>
      </c>
      <c r="J91" s="14">
        <f>ROUNDDOWN(IF(OR(B91="ACAO",B91="ETF",B91="DIR"),G91*Configurações!$D$9,IF(B91="OPCAO",G91*Configurações!$D$23,0)),2)</f>
        <v>0</v>
      </c>
      <c r="K91" s="27"/>
      <c r="L91" s="27"/>
      <c r="M91" s="15">
        <f t="shared" si="30"/>
        <v>0</v>
      </c>
      <c r="N91" s="17">
        <f t="shared" si="31"/>
        <v>0</v>
      </c>
      <c r="O91" s="113"/>
      <c r="P91" s="160">
        <f t="shared" si="25"/>
        <v>0</v>
      </c>
      <c r="Q91" s="161">
        <f t="shared" si="26"/>
        <v>0</v>
      </c>
      <c r="R91" s="162">
        <f>R90+P91</f>
        <v>0</v>
      </c>
      <c r="S91" s="163" t="e">
        <f>IF(P91&lt;=0,S90,IF(P91&gt;0,((T90+Q91)/R91)))</f>
        <v>#DIV/0!</v>
      </c>
      <c r="T91" s="146">
        <f t="shared" si="27"/>
        <v>0</v>
      </c>
      <c r="U91" s="146">
        <f t="shared" si="28"/>
        <v>0</v>
      </c>
      <c r="V91" s="146">
        <f>IF(P91&gt;0,T91-SUM($U$87:U91),IF(P91=0,V90,IF(P91&lt;0,V90+(P91*W91))))</f>
        <v>0</v>
      </c>
      <c r="W91" s="147" t="e">
        <f>IF(P91&lt;=0,W90,IF(P91&gt;0,V91/R91))</f>
        <v>#DIV/0!</v>
      </c>
      <c r="X91" s="1"/>
      <c r="Y91" s="689" t="s">
        <v>150</v>
      </c>
      <c r="Z91" s="689"/>
      <c r="AA91" s="692" t="str">
        <f>IF(AA86="","-",S161)</f>
        <v>-</v>
      </c>
      <c r="AB91" s="692"/>
      <c r="AC91" s="640" t="s">
        <v>167</v>
      </c>
      <c r="AD91" s="641"/>
      <c r="AE91" s="641"/>
    </row>
    <row r="92" spans="2:31" ht="13.9" customHeight="1" thickBot="1" x14ac:dyDescent="0.25">
      <c r="B92" s="49" t="s">
        <v>30</v>
      </c>
      <c r="C92" s="43"/>
      <c r="D92" s="11"/>
      <c r="E92" s="11"/>
      <c r="F92" s="27"/>
      <c r="G92" s="12">
        <f t="shared" si="29"/>
        <v>0</v>
      </c>
      <c r="H92" s="14">
        <f>ROUNDDOWN(IF(OR(B92="ACAO",B92="DIR",B92="ETF"),G92*Configurações!$B$9,IF(B92="OPCAO",G92*Configurações!$B$23,0)),2)</f>
        <v>0</v>
      </c>
      <c r="I92" s="14">
        <f>ROUNDDOWN(IF(OR(B92="ACAO",B92="ETF",B92="DIR"),G92*Configurações!$C$9,IF(B92="OPCAO",G92*Configurações!$C$23,0)),2)</f>
        <v>0</v>
      </c>
      <c r="J92" s="14">
        <f>ROUNDDOWN(IF(OR(B92="ACAO",B92="ETF",B92="DIR"),G92*Configurações!$D$9,IF(B92="OPCAO",G92*Configurações!$D$23,0)),2)</f>
        <v>0</v>
      </c>
      <c r="K92" s="27"/>
      <c r="L92" s="27"/>
      <c r="M92" s="15">
        <f t="shared" si="30"/>
        <v>0</v>
      </c>
      <c r="N92" s="17">
        <f t="shared" si="31"/>
        <v>0</v>
      </c>
      <c r="O92" s="113"/>
      <c r="P92" s="160">
        <f t="shared" si="25"/>
        <v>0</v>
      </c>
      <c r="Q92" s="161">
        <f t="shared" si="26"/>
        <v>0</v>
      </c>
      <c r="R92" s="162">
        <f>R91+P92</f>
        <v>0</v>
      </c>
      <c r="S92" s="163" t="e">
        <f>IF(P92&lt;=0,S91,IF(P92&gt;0,((T91+Q92)/R92)))</f>
        <v>#DIV/0!</v>
      </c>
      <c r="T92" s="146">
        <f t="shared" si="27"/>
        <v>0</v>
      </c>
      <c r="U92" s="146">
        <f t="shared" si="28"/>
        <v>0</v>
      </c>
      <c r="V92" s="146">
        <f>IF(P92&gt;0,T92-SUM($U$87:U92),IF(P92=0,V91,IF(P92&lt;0,V91+(P92*W92))))</f>
        <v>0</v>
      </c>
      <c r="W92" s="147" t="e">
        <f>IF(P92&lt;=0,W91,IF(P92&gt;0,V92/R92))</f>
        <v>#DIV/0!</v>
      </c>
      <c r="X92" s="1"/>
      <c r="Y92" s="689"/>
      <c r="Z92" s="689"/>
      <c r="AA92" s="692"/>
      <c r="AB92" s="692"/>
      <c r="AC92" s="640"/>
      <c r="AD92" s="641"/>
      <c r="AE92" s="641"/>
    </row>
    <row r="93" spans="2:31" ht="13.9" customHeight="1" thickBot="1" x14ac:dyDescent="0.25">
      <c r="B93" s="49" t="s">
        <v>30</v>
      </c>
      <c r="C93" s="43"/>
      <c r="D93" s="11"/>
      <c r="E93" s="11"/>
      <c r="F93" s="27"/>
      <c r="G93" s="12">
        <f t="shared" si="29"/>
        <v>0</v>
      </c>
      <c r="H93" s="14">
        <f>ROUNDDOWN(IF(OR(B93="ACAO",B93="DIR",B93="ETF"),G93*Configurações!$B$9,IF(B93="OPCAO",G93*Configurações!$B$23,0)),2)</f>
        <v>0</v>
      </c>
      <c r="I93" s="14">
        <f>ROUNDDOWN(IF(OR(B93="ACAO",B93="ETF",B93="DIR"),G93*Configurações!$C$9,IF(B93="OPCAO",G93*Configurações!$C$23,0)),2)</f>
        <v>0</v>
      </c>
      <c r="J93" s="14">
        <f>ROUNDDOWN(IF(OR(B93="ACAO",B93="ETF",B93="DIR"),G93*Configurações!$D$9,IF(B93="OPCAO",G93*Configurações!$D$23,0)),2)</f>
        <v>0</v>
      </c>
      <c r="K93" s="27"/>
      <c r="L93" s="27"/>
      <c r="M93" s="15">
        <f t="shared" si="30"/>
        <v>0</v>
      </c>
      <c r="N93" s="17">
        <f t="shared" si="31"/>
        <v>0</v>
      </c>
      <c r="O93" s="113"/>
      <c r="P93" s="160">
        <f t="shared" ref="P93:P156" si="32">IF(D:D=$Q$84,E93,0)</f>
        <v>0</v>
      </c>
      <c r="Q93" s="161">
        <f t="shared" ref="Q93:Q156" si="33">IF(D:D=$Q$84,G93,0)</f>
        <v>0</v>
      </c>
      <c r="R93" s="162">
        <f t="shared" ref="R93:R156" si="34">R92+P93</f>
        <v>0</v>
      </c>
      <c r="S93" s="163" t="e">
        <f t="shared" ref="S93:S156" si="35">IF(P93&lt;=0,S92,IF(P93&gt;0,((T92+Q93)/R93)))</f>
        <v>#DIV/0!</v>
      </c>
      <c r="T93" s="146">
        <f t="shared" ref="T93:T156" si="36">IF(R93=0,0,R93*S93)</f>
        <v>0</v>
      </c>
      <c r="U93" s="146">
        <f t="shared" ref="U93:U156" si="37">IF(D:D=$Q$84,H93+I93+J93+K93+L93+N93,0)</f>
        <v>0</v>
      </c>
      <c r="V93" s="146">
        <f>IF(P93&gt;0,T93-SUM($U$87:U93),IF(P93=0,V92,IF(P93&lt;0,V92+(P93*W93))))</f>
        <v>0</v>
      </c>
      <c r="W93" s="147" t="e">
        <f t="shared" ref="W93:W156" si="38">IF(P93&lt;=0,W92,IF(P93&gt;0,V93/R93))</f>
        <v>#DIV/0!</v>
      </c>
      <c r="X93" s="1"/>
      <c r="Y93" s="689"/>
      <c r="Z93" s="689"/>
      <c r="AA93" s="692"/>
      <c r="AB93" s="692"/>
      <c r="AC93" s="640"/>
      <c r="AD93" s="641"/>
      <c r="AE93" s="641"/>
    </row>
    <row r="94" spans="2:31" ht="13.9" customHeight="1" thickBot="1" x14ac:dyDescent="0.25">
      <c r="B94" s="49" t="s">
        <v>30</v>
      </c>
      <c r="C94" s="43"/>
      <c r="D94" s="11"/>
      <c r="E94" s="11"/>
      <c r="F94" s="27"/>
      <c r="G94" s="12">
        <f t="shared" si="29"/>
        <v>0</v>
      </c>
      <c r="H94" s="14">
        <f>ROUNDDOWN(IF(OR(B94="ACAO",B94="DIR",B94="ETF"),G94*Configurações!$B$9,IF(B94="OPCAO",G94*Configurações!$B$23,0)),2)</f>
        <v>0</v>
      </c>
      <c r="I94" s="14">
        <f>ROUNDDOWN(IF(OR(B94="ACAO",B94="ETF",B94="DIR"),G94*Configurações!$C$9,IF(B94="OPCAO",G94*Configurações!$C$23,0)),2)</f>
        <v>0</v>
      </c>
      <c r="J94" s="14">
        <f>ROUNDDOWN(IF(OR(B94="ACAO",B94="ETF",B94="DIR"),G94*Configurações!$D$9,IF(B94="OPCAO",G94*Configurações!$D$23,0)),2)</f>
        <v>0</v>
      </c>
      <c r="K94" s="27"/>
      <c r="L94" s="27"/>
      <c r="M94" s="15">
        <f t="shared" si="30"/>
        <v>0</v>
      </c>
      <c r="N94" s="17">
        <f t="shared" si="31"/>
        <v>0</v>
      </c>
      <c r="O94" s="113"/>
      <c r="P94" s="160">
        <f t="shared" si="32"/>
        <v>0</v>
      </c>
      <c r="Q94" s="161">
        <f t="shared" si="33"/>
        <v>0</v>
      </c>
      <c r="R94" s="162">
        <f t="shared" si="34"/>
        <v>0</v>
      </c>
      <c r="S94" s="163" t="e">
        <f t="shared" si="35"/>
        <v>#DIV/0!</v>
      </c>
      <c r="T94" s="146">
        <f t="shared" si="36"/>
        <v>0</v>
      </c>
      <c r="U94" s="146">
        <f t="shared" si="37"/>
        <v>0</v>
      </c>
      <c r="V94" s="146">
        <f>IF(P94&gt;0,T94-SUM($U$87:U94),IF(P94=0,V93,IF(P94&lt;0,V93+(P94*W94))))</f>
        <v>0</v>
      </c>
      <c r="W94" s="147" t="e">
        <f t="shared" si="38"/>
        <v>#DIV/0!</v>
      </c>
      <c r="X94" s="1"/>
      <c r="Y94" s="689" t="s">
        <v>151</v>
      </c>
      <c r="Z94" s="689"/>
      <c r="AA94" s="692" t="str">
        <f>IF(AA86="","-",W161)</f>
        <v>-</v>
      </c>
      <c r="AB94" s="692"/>
      <c r="AC94" s="640" t="s">
        <v>167</v>
      </c>
      <c r="AD94" s="641"/>
      <c r="AE94" s="641"/>
    </row>
    <row r="95" spans="2:31" ht="13.9" customHeight="1" thickBot="1" x14ac:dyDescent="0.25">
      <c r="B95" s="49" t="s">
        <v>30</v>
      </c>
      <c r="C95" s="43"/>
      <c r="D95" s="11"/>
      <c r="E95" s="11"/>
      <c r="F95" s="27"/>
      <c r="G95" s="12">
        <f t="shared" si="29"/>
        <v>0</v>
      </c>
      <c r="H95" s="14">
        <f>ROUNDDOWN(IF(OR(B95="ACAO",B95="DIR",B95="ETF"),G95*Configurações!$B$9,IF(B95="OPCAO",G95*Configurações!$B$23,0)),2)</f>
        <v>0</v>
      </c>
      <c r="I95" s="14">
        <f>ROUNDDOWN(IF(OR(B95="ACAO",B95="ETF",B95="DIR"),G95*Configurações!$C$9,IF(B95="OPCAO",G95*Configurações!$C$23,0)),2)</f>
        <v>0</v>
      </c>
      <c r="J95" s="14">
        <f>ROUNDDOWN(IF(OR(B95="ACAO",B95="ETF",B95="DIR"),G95*Configurações!$D$9,IF(B95="OPCAO",G95*Configurações!$D$23,0)),2)</f>
        <v>0</v>
      </c>
      <c r="K95" s="27"/>
      <c r="L95" s="27"/>
      <c r="M95" s="15">
        <f t="shared" si="30"/>
        <v>0</v>
      </c>
      <c r="N95" s="17">
        <f t="shared" si="31"/>
        <v>0</v>
      </c>
      <c r="O95" s="113"/>
      <c r="P95" s="160">
        <f t="shared" si="32"/>
        <v>0</v>
      </c>
      <c r="Q95" s="161">
        <f t="shared" si="33"/>
        <v>0</v>
      </c>
      <c r="R95" s="162">
        <f t="shared" si="34"/>
        <v>0</v>
      </c>
      <c r="S95" s="163" t="e">
        <f t="shared" si="35"/>
        <v>#DIV/0!</v>
      </c>
      <c r="T95" s="146">
        <f t="shared" si="36"/>
        <v>0</v>
      </c>
      <c r="U95" s="146">
        <f t="shared" si="37"/>
        <v>0</v>
      </c>
      <c r="V95" s="146">
        <f>IF(P95&gt;0,T95-SUM($U$87:U95),IF(P95=0,V94,IF(P95&lt;0,V94+(P95*W95))))</f>
        <v>0</v>
      </c>
      <c r="W95" s="147" t="e">
        <f t="shared" si="38"/>
        <v>#DIV/0!</v>
      </c>
      <c r="X95" s="1"/>
      <c r="Y95" s="689"/>
      <c r="Z95" s="689"/>
      <c r="AA95" s="692"/>
      <c r="AB95" s="692"/>
      <c r="AC95" s="640"/>
      <c r="AD95" s="641"/>
      <c r="AE95" s="641"/>
    </row>
    <row r="96" spans="2:31" ht="13.9" customHeight="1" thickBot="1" x14ac:dyDescent="0.25">
      <c r="B96" s="49" t="s">
        <v>30</v>
      </c>
      <c r="C96" s="43"/>
      <c r="D96" s="11"/>
      <c r="E96" s="11"/>
      <c r="F96" s="27"/>
      <c r="G96" s="12">
        <f t="shared" si="29"/>
        <v>0</v>
      </c>
      <c r="H96" s="14">
        <f>ROUNDDOWN(IF(OR(B96="ACAO",B96="DIR",B96="ETF"),G96*Configurações!$B$9,IF(B96="OPCAO",G96*Configurações!$B$23,0)),2)</f>
        <v>0</v>
      </c>
      <c r="I96" s="14">
        <f>ROUNDDOWN(IF(OR(B96="ACAO",B96="ETF",B96="DIR"),G96*Configurações!$C$9,IF(B96="OPCAO",G96*Configurações!$C$23,0)),2)</f>
        <v>0</v>
      </c>
      <c r="J96" s="14">
        <f>ROUNDDOWN(IF(OR(B96="ACAO",B96="ETF",B96="DIR"),G96*Configurações!$D$9,IF(B96="OPCAO",G96*Configurações!$D$23,0)),2)</f>
        <v>0</v>
      </c>
      <c r="K96" s="27"/>
      <c r="L96" s="27"/>
      <c r="M96" s="15">
        <f t="shared" si="30"/>
        <v>0</v>
      </c>
      <c r="N96" s="17">
        <f t="shared" si="31"/>
        <v>0</v>
      </c>
      <c r="O96" s="113"/>
      <c r="P96" s="160">
        <f t="shared" si="32"/>
        <v>0</v>
      </c>
      <c r="Q96" s="161">
        <f t="shared" si="33"/>
        <v>0</v>
      </c>
      <c r="R96" s="162">
        <f t="shared" si="34"/>
        <v>0</v>
      </c>
      <c r="S96" s="163" t="e">
        <f t="shared" si="35"/>
        <v>#DIV/0!</v>
      </c>
      <c r="T96" s="146">
        <f t="shared" si="36"/>
        <v>0</v>
      </c>
      <c r="U96" s="146">
        <f t="shared" si="37"/>
        <v>0</v>
      </c>
      <c r="V96" s="146">
        <f>IF(P96&gt;0,T96-SUM($U$87:U96),IF(P96=0,V95,IF(P96&lt;0,V95+(P96*W96))))</f>
        <v>0</v>
      </c>
      <c r="W96" s="147" t="e">
        <f t="shared" si="38"/>
        <v>#DIV/0!</v>
      </c>
      <c r="X96" s="1"/>
      <c r="Y96" s="689"/>
      <c r="Z96" s="689"/>
      <c r="AA96" s="692"/>
      <c r="AB96" s="692"/>
      <c r="AC96" s="640"/>
      <c r="AD96" s="641"/>
      <c r="AE96" s="641"/>
    </row>
    <row r="97" spans="2:31" ht="13.9" customHeight="1" thickBot="1" x14ac:dyDescent="0.25">
      <c r="B97" s="49" t="s">
        <v>30</v>
      </c>
      <c r="C97" s="43"/>
      <c r="D97" s="11"/>
      <c r="E97" s="11"/>
      <c r="F97" s="27"/>
      <c r="G97" s="12">
        <f t="shared" si="29"/>
        <v>0</v>
      </c>
      <c r="H97" s="14">
        <f>ROUNDDOWN(IF(OR(B97="ACAO",B97="DIR",B97="ETF"),G97*Configurações!$B$9,IF(B97="OPCAO",G97*Configurações!$B$23,0)),2)</f>
        <v>0</v>
      </c>
      <c r="I97" s="14">
        <f>ROUNDDOWN(IF(OR(B97="ACAO",B97="ETF",B97="DIR"),G97*Configurações!$C$9,IF(B97="OPCAO",G97*Configurações!$C$23,0)),2)</f>
        <v>0</v>
      </c>
      <c r="J97" s="14">
        <f>ROUNDDOWN(IF(OR(B97="ACAO",B97="ETF",B97="DIR"),G97*Configurações!$D$9,IF(B97="OPCAO",G97*Configurações!$D$23,0)),2)</f>
        <v>0</v>
      </c>
      <c r="K97" s="27"/>
      <c r="L97" s="27"/>
      <c r="M97" s="15">
        <f t="shared" si="30"/>
        <v>0</v>
      </c>
      <c r="N97" s="17">
        <f t="shared" si="31"/>
        <v>0</v>
      </c>
      <c r="O97" s="113"/>
      <c r="P97" s="160">
        <f t="shared" si="32"/>
        <v>0</v>
      </c>
      <c r="Q97" s="161">
        <f t="shared" si="33"/>
        <v>0</v>
      </c>
      <c r="R97" s="162">
        <f t="shared" si="34"/>
        <v>0</v>
      </c>
      <c r="S97" s="163" t="e">
        <f t="shared" si="35"/>
        <v>#DIV/0!</v>
      </c>
      <c r="T97" s="146">
        <f t="shared" si="36"/>
        <v>0</v>
      </c>
      <c r="U97" s="146">
        <f t="shared" si="37"/>
        <v>0</v>
      </c>
      <c r="V97" s="146">
        <f>IF(P97&gt;0,T97-SUM($U$87:U97),IF(P97=0,V96,IF(P97&lt;0,V96+(P97*W97))))</f>
        <v>0</v>
      </c>
      <c r="W97" s="147" t="e">
        <f t="shared" si="38"/>
        <v>#DIV/0!</v>
      </c>
      <c r="X97" s="1"/>
      <c r="Y97" s="1"/>
      <c r="Z97" s="1"/>
      <c r="AA97" s="1"/>
      <c r="AB97" s="1"/>
    </row>
    <row r="98" spans="2:31" ht="13.9" customHeight="1" thickBot="1" x14ac:dyDescent="0.25">
      <c r="B98" s="49" t="s">
        <v>30</v>
      </c>
      <c r="C98" s="43"/>
      <c r="D98" s="11"/>
      <c r="E98" s="11"/>
      <c r="F98" s="27"/>
      <c r="G98" s="12">
        <f t="shared" si="29"/>
        <v>0</v>
      </c>
      <c r="H98" s="14">
        <f>ROUNDDOWN(IF(OR(B98="ACAO",B98="DIR",B98="ETF"),G98*Configurações!$B$9,IF(B98="OPCAO",G98*Configurações!$B$23,0)),2)</f>
        <v>0</v>
      </c>
      <c r="I98" s="14">
        <f>ROUNDDOWN(IF(OR(B98="ACAO",B98="ETF",B98="DIR"),G98*Configurações!$C$9,IF(B98="OPCAO",G98*Configurações!$C$23,0)),2)</f>
        <v>0</v>
      </c>
      <c r="J98" s="14">
        <f>ROUNDDOWN(IF(OR(B98="ACAO",B98="ETF",B98="DIR"),G98*Configurações!$D$9,IF(B98="OPCAO",G98*Configurações!$D$23,0)),2)</f>
        <v>0</v>
      </c>
      <c r="K98" s="27"/>
      <c r="L98" s="27"/>
      <c r="M98" s="15">
        <f t="shared" si="30"/>
        <v>0</v>
      </c>
      <c r="N98" s="17">
        <f t="shared" si="31"/>
        <v>0</v>
      </c>
      <c r="O98" s="113"/>
      <c r="P98" s="160">
        <f t="shared" si="32"/>
        <v>0</v>
      </c>
      <c r="Q98" s="161">
        <f t="shared" si="33"/>
        <v>0</v>
      </c>
      <c r="R98" s="162">
        <f t="shared" si="34"/>
        <v>0</v>
      </c>
      <c r="S98" s="163" t="e">
        <f t="shared" si="35"/>
        <v>#DIV/0!</v>
      </c>
      <c r="T98" s="146">
        <f t="shared" si="36"/>
        <v>0</v>
      </c>
      <c r="U98" s="146">
        <f t="shared" si="37"/>
        <v>0</v>
      </c>
      <c r="V98" s="146">
        <f>IF(P98&gt;0,T98-SUM($U$87:U98),IF(P98=0,V97,IF(P98&lt;0,V97+(P98*W98))))</f>
        <v>0</v>
      </c>
      <c r="W98" s="147" t="e">
        <f t="shared" si="38"/>
        <v>#DIV/0!</v>
      </c>
      <c r="X98" s="1"/>
      <c r="Y98" s="693" t="s">
        <v>152</v>
      </c>
      <c r="Z98" s="693"/>
      <c r="AA98" s="693"/>
      <c r="AB98" s="693"/>
    </row>
    <row r="99" spans="2:31" ht="13.9" customHeight="1" thickBot="1" x14ac:dyDescent="0.25">
      <c r="B99" s="49" t="s">
        <v>30</v>
      </c>
      <c r="C99" s="43"/>
      <c r="D99" s="11"/>
      <c r="E99" s="11"/>
      <c r="F99" s="27"/>
      <c r="G99" s="12">
        <f t="shared" si="29"/>
        <v>0</v>
      </c>
      <c r="H99" s="14">
        <f>ROUNDDOWN(IF(OR(B99="ACAO",B99="DIR",B99="ETF"),G99*Configurações!$B$9,IF(B99="OPCAO",G99*Configurações!$B$23,0)),2)</f>
        <v>0</v>
      </c>
      <c r="I99" s="14">
        <f>ROUNDDOWN(IF(OR(B99="ACAO",B99="ETF",B99="DIR"),G99*Configurações!$C$9,IF(B99="OPCAO",G99*Configurações!$C$23,0)),2)</f>
        <v>0</v>
      </c>
      <c r="J99" s="14">
        <f>ROUNDDOWN(IF(OR(B99="ACAO",B99="ETF",B99="DIR"),G99*Configurações!$D$9,IF(B99="OPCAO",G99*Configurações!$D$23,0)),2)</f>
        <v>0</v>
      </c>
      <c r="K99" s="27"/>
      <c r="L99" s="27"/>
      <c r="M99" s="15">
        <f t="shared" si="30"/>
        <v>0</v>
      </c>
      <c r="N99" s="17">
        <f t="shared" si="31"/>
        <v>0</v>
      </c>
      <c r="O99" s="113"/>
      <c r="P99" s="160">
        <f t="shared" si="32"/>
        <v>0</v>
      </c>
      <c r="Q99" s="161">
        <f t="shared" si="33"/>
        <v>0</v>
      </c>
      <c r="R99" s="162">
        <f t="shared" si="34"/>
        <v>0</v>
      </c>
      <c r="S99" s="163" t="e">
        <f t="shared" si="35"/>
        <v>#DIV/0!</v>
      </c>
      <c r="T99" s="146">
        <f t="shared" si="36"/>
        <v>0</v>
      </c>
      <c r="U99" s="146">
        <f t="shared" si="37"/>
        <v>0</v>
      </c>
      <c r="V99" s="146">
        <f>IF(P99&gt;0,T99-SUM($U$87:U99),IF(P99=0,V98,IF(P99&lt;0,V98+(P99*W99))))</f>
        <v>0</v>
      </c>
      <c r="W99" s="147" t="e">
        <f t="shared" si="38"/>
        <v>#DIV/0!</v>
      </c>
      <c r="X99" s="1"/>
      <c r="Y99" s="693"/>
      <c r="Z99" s="693"/>
      <c r="AA99" s="693"/>
      <c r="AB99" s="693"/>
    </row>
    <row r="100" spans="2:31" ht="13.9" customHeight="1" thickBot="1" x14ac:dyDescent="0.25">
      <c r="B100" s="49" t="s">
        <v>30</v>
      </c>
      <c r="C100" s="43"/>
      <c r="D100" s="11"/>
      <c r="E100" s="11"/>
      <c r="F100" s="27"/>
      <c r="G100" s="12">
        <f t="shared" si="29"/>
        <v>0</v>
      </c>
      <c r="H100" s="14">
        <f>ROUNDDOWN(IF(OR(B100="ACAO",B100="DIR",B100="ETF"),G100*Configurações!$B$9,IF(B100="OPCAO",G100*Configurações!$B$23,0)),2)</f>
        <v>0</v>
      </c>
      <c r="I100" s="14">
        <f>ROUNDDOWN(IF(OR(B100="ACAO",B100="ETF",B100="DIR"),G100*Configurações!$C$9,IF(B100="OPCAO",G100*Configurações!$C$23,0)),2)</f>
        <v>0</v>
      </c>
      <c r="J100" s="14">
        <f>ROUNDDOWN(IF(OR(B100="ACAO",B100="ETF",B100="DIR"),G100*Configurações!$D$9,IF(B100="OPCAO",G100*Configurações!$D$23,0)),2)</f>
        <v>0</v>
      </c>
      <c r="K100" s="27"/>
      <c r="L100" s="27"/>
      <c r="M100" s="15">
        <f t="shared" si="30"/>
        <v>0</v>
      </c>
      <c r="N100" s="17">
        <f t="shared" si="31"/>
        <v>0</v>
      </c>
      <c r="O100" s="113"/>
      <c r="P100" s="160">
        <f t="shared" si="32"/>
        <v>0</v>
      </c>
      <c r="Q100" s="161">
        <f t="shared" si="33"/>
        <v>0</v>
      </c>
      <c r="R100" s="162">
        <f t="shared" si="34"/>
        <v>0</v>
      </c>
      <c r="S100" s="163" t="e">
        <f t="shared" si="35"/>
        <v>#DIV/0!</v>
      </c>
      <c r="T100" s="146">
        <f t="shared" si="36"/>
        <v>0</v>
      </c>
      <c r="U100" s="146">
        <f t="shared" si="37"/>
        <v>0</v>
      </c>
      <c r="V100" s="146">
        <f>IF(P100&gt;0,T100-SUM($U$87:U100),IF(P100=0,V99,IF(P100&lt;0,V99+(P100*W100))))</f>
        <v>0</v>
      </c>
      <c r="W100" s="147" t="e">
        <f t="shared" si="38"/>
        <v>#DIV/0!</v>
      </c>
      <c r="X100" s="1"/>
      <c r="Y100" s="693"/>
      <c r="Z100" s="693"/>
      <c r="AA100" s="693"/>
      <c r="AB100" s="693"/>
    </row>
    <row r="101" spans="2:31" ht="13.9" customHeight="1" thickBot="1" x14ac:dyDescent="0.25">
      <c r="B101" s="49" t="s">
        <v>30</v>
      </c>
      <c r="C101" s="43"/>
      <c r="D101" s="11"/>
      <c r="E101" s="11"/>
      <c r="F101" s="27"/>
      <c r="G101" s="12">
        <f t="shared" ref="G101:G125" si="39">E101*F101</f>
        <v>0</v>
      </c>
      <c r="H101" s="14">
        <f>ROUNDDOWN(IF(OR(B101="ACAO",B101="DIR",B101="ETF"),G101*Configurações!$B$9,IF(B101="OPCAO",G101*Configurações!$B$23,0)),2)</f>
        <v>0</v>
      </c>
      <c r="I101" s="14">
        <f>ROUNDDOWN(IF(OR(B101="ACAO",B101="ETF",B101="DIR"),G101*Configurações!$C$9,IF(B101="OPCAO",G101*Configurações!$C$23,0)),2)</f>
        <v>0</v>
      </c>
      <c r="J101" s="14">
        <f>ROUNDDOWN(IF(OR(B101="ACAO",B101="ETF",B101="DIR"),G101*Configurações!$D$9,IF(B101="OPCAO",G101*Configurações!$D$23,0)),2)</f>
        <v>0</v>
      </c>
      <c r="K101" s="27"/>
      <c r="L101" s="27"/>
      <c r="M101" s="15">
        <f t="shared" si="30"/>
        <v>0</v>
      </c>
      <c r="N101" s="17">
        <f t="shared" ref="N101:N125" si="40">K101*$N$85</f>
        <v>0</v>
      </c>
      <c r="O101" s="113"/>
      <c r="P101" s="160">
        <f t="shared" si="32"/>
        <v>0</v>
      </c>
      <c r="Q101" s="161">
        <f t="shared" si="33"/>
        <v>0</v>
      </c>
      <c r="R101" s="162">
        <f t="shared" si="34"/>
        <v>0</v>
      </c>
      <c r="S101" s="163" t="e">
        <f t="shared" si="35"/>
        <v>#DIV/0!</v>
      </c>
      <c r="T101" s="146">
        <f t="shared" si="36"/>
        <v>0</v>
      </c>
      <c r="U101" s="146">
        <f t="shared" si="37"/>
        <v>0</v>
      </c>
      <c r="V101" s="146">
        <f>IF(P101&gt;0,T101-SUM($U$87:U101),IF(P101=0,V100,IF(P101&lt;0,V100+(P101*W101))))</f>
        <v>0</v>
      </c>
      <c r="W101" s="147" t="e">
        <f t="shared" si="38"/>
        <v>#DIV/0!</v>
      </c>
      <c r="X101" s="1"/>
      <c r="Y101" s="642" t="s">
        <v>153</v>
      </c>
      <c r="Z101" s="642"/>
      <c r="AA101" s="694"/>
      <c r="AB101" s="694"/>
    </row>
    <row r="102" spans="2:31" ht="13.9" customHeight="1" thickBot="1" x14ac:dyDescent="0.25">
      <c r="B102" s="49" t="s">
        <v>30</v>
      </c>
      <c r="C102" s="43"/>
      <c r="D102" s="11"/>
      <c r="E102" s="11"/>
      <c r="F102" s="27"/>
      <c r="G102" s="12">
        <f t="shared" si="39"/>
        <v>0</v>
      </c>
      <c r="H102" s="14">
        <f>ROUNDDOWN(IF(OR(B102="ACAO",B102="DIR",B102="ETF"),G102*Configurações!$B$9,IF(B102="OPCAO",G102*Configurações!$B$23,0)),2)</f>
        <v>0</v>
      </c>
      <c r="I102" s="14">
        <f>ROUNDDOWN(IF(OR(B102="ACAO",B102="ETF",B102="DIR"),G102*Configurações!$C$9,IF(B102="OPCAO",G102*Configurações!$C$23,0)),2)</f>
        <v>0</v>
      </c>
      <c r="J102" s="14">
        <f>ROUNDDOWN(IF(OR(B102="ACAO",B102="ETF",B102="DIR"),G102*Configurações!$D$9,IF(B102="OPCAO",G102*Configurações!$D$23,0)),2)</f>
        <v>0</v>
      </c>
      <c r="K102" s="27"/>
      <c r="L102" s="27"/>
      <c r="M102" s="15">
        <f t="shared" si="30"/>
        <v>0</v>
      </c>
      <c r="N102" s="17">
        <f t="shared" si="40"/>
        <v>0</v>
      </c>
      <c r="O102" s="113"/>
      <c r="P102" s="160">
        <f t="shared" si="32"/>
        <v>0</v>
      </c>
      <c r="Q102" s="161">
        <f t="shared" si="33"/>
        <v>0</v>
      </c>
      <c r="R102" s="162">
        <f t="shared" si="34"/>
        <v>0</v>
      </c>
      <c r="S102" s="163" t="e">
        <f t="shared" si="35"/>
        <v>#DIV/0!</v>
      </c>
      <c r="T102" s="146">
        <f t="shared" si="36"/>
        <v>0</v>
      </c>
      <c r="U102" s="146">
        <f t="shared" si="37"/>
        <v>0</v>
      </c>
      <c r="V102" s="146">
        <f>IF(P102&gt;0,T102-SUM($U$87:U102),IF(P102=0,V101,IF(P102&lt;0,V101+(P102*W102))))</f>
        <v>0</v>
      </c>
      <c r="W102" s="147" t="e">
        <f t="shared" si="38"/>
        <v>#DIV/0!</v>
      </c>
      <c r="X102" s="1"/>
      <c r="Y102" s="642"/>
      <c r="Z102" s="642"/>
      <c r="AA102" s="694"/>
      <c r="AB102" s="694"/>
    </row>
    <row r="103" spans="2:31" ht="13.9" customHeight="1" thickBot="1" x14ac:dyDescent="0.25">
      <c r="B103" s="49" t="s">
        <v>30</v>
      </c>
      <c r="C103" s="43"/>
      <c r="D103" s="11"/>
      <c r="E103" s="11"/>
      <c r="F103" s="27"/>
      <c r="G103" s="12">
        <f t="shared" si="39"/>
        <v>0</v>
      </c>
      <c r="H103" s="14">
        <f>ROUNDDOWN(IF(OR(B103="ACAO",B103="DIR",B103="ETF"),G103*Configurações!$B$9,IF(B103="OPCAO",G103*Configurações!$B$23,0)),2)</f>
        <v>0</v>
      </c>
      <c r="I103" s="14">
        <f>ROUNDDOWN(IF(OR(B103="ACAO",B103="ETF",B103="DIR"),G103*Configurações!$C$9,IF(B103="OPCAO",G103*Configurações!$C$23,0)),2)</f>
        <v>0</v>
      </c>
      <c r="J103" s="14">
        <f>ROUNDDOWN(IF(OR(B103="ACAO",B103="ETF",B103="DIR"),G103*Configurações!$D$9,IF(B103="OPCAO",G103*Configurações!$D$23,0)),2)</f>
        <v>0</v>
      </c>
      <c r="K103" s="27"/>
      <c r="L103" s="27"/>
      <c r="M103" s="15">
        <f t="shared" si="30"/>
        <v>0</v>
      </c>
      <c r="N103" s="17">
        <f t="shared" si="40"/>
        <v>0</v>
      </c>
      <c r="O103" s="113"/>
      <c r="P103" s="160">
        <f t="shared" si="32"/>
        <v>0</v>
      </c>
      <c r="Q103" s="161">
        <f t="shared" si="33"/>
        <v>0</v>
      </c>
      <c r="R103" s="162">
        <f t="shared" si="34"/>
        <v>0</v>
      </c>
      <c r="S103" s="163" t="e">
        <f t="shared" si="35"/>
        <v>#DIV/0!</v>
      </c>
      <c r="T103" s="146">
        <f t="shared" si="36"/>
        <v>0</v>
      </c>
      <c r="U103" s="146">
        <f t="shared" si="37"/>
        <v>0</v>
      </c>
      <c r="V103" s="146">
        <f>IF(P103&gt;0,T103-SUM($U$87:U103),IF(P103=0,V102,IF(P103&lt;0,V102+(P103*W103))))</f>
        <v>0</v>
      </c>
      <c r="W103" s="147" t="e">
        <f t="shared" si="38"/>
        <v>#DIV/0!</v>
      </c>
      <c r="X103" s="1"/>
      <c r="Y103" s="642"/>
      <c r="Z103" s="642"/>
      <c r="AA103" s="694"/>
      <c r="AB103" s="694"/>
    </row>
    <row r="104" spans="2:31" ht="13.9" customHeight="1" thickBot="1" x14ac:dyDescent="0.25">
      <c r="B104" s="49" t="s">
        <v>30</v>
      </c>
      <c r="C104" s="43"/>
      <c r="D104" s="11"/>
      <c r="E104" s="11"/>
      <c r="F104" s="27"/>
      <c r="G104" s="12">
        <f t="shared" si="39"/>
        <v>0</v>
      </c>
      <c r="H104" s="14">
        <f>ROUNDDOWN(IF(OR(B104="ACAO",B104="DIR",B104="ETF"),G104*Configurações!$B$9,IF(B104="OPCAO",G104*Configurações!$B$23,0)),2)</f>
        <v>0</v>
      </c>
      <c r="I104" s="14">
        <f>ROUNDDOWN(IF(OR(B104="ACAO",B104="ETF",B104="DIR"),G104*Configurações!$C$9,IF(B104="OPCAO",G104*Configurações!$C$23,0)),2)</f>
        <v>0</v>
      </c>
      <c r="J104" s="14">
        <f>ROUNDDOWN(IF(OR(B104="ACAO",B104="ETF",B104="DIR"),G104*Configurações!$D$9,IF(B104="OPCAO",G104*Configurações!$D$23,0)),2)</f>
        <v>0</v>
      </c>
      <c r="K104" s="27"/>
      <c r="L104" s="27"/>
      <c r="M104" s="15">
        <f t="shared" si="30"/>
        <v>0</v>
      </c>
      <c r="N104" s="17">
        <f t="shared" si="40"/>
        <v>0</v>
      </c>
      <c r="O104" s="113"/>
      <c r="P104" s="160">
        <f t="shared" si="32"/>
        <v>0</v>
      </c>
      <c r="Q104" s="161">
        <f t="shared" si="33"/>
        <v>0</v>
      </c>
      <c r="R104" s="162">
        <f t="shared" si="34"/>
        <v>0</v>
      </c>
      <c r="S104" s="163" t="e">
        <f t="shared" si="35"/>
        <v>#DIV/0!</v>
      </c>
      <c r="T104" s="146">
        <f t="shared" si="36"/>
        <v>0</v>
      </c>
      <c r="U104" s="146">
        <f t="shared" si="37"/>
        <v>0</v>
      </c>
      <c r="V104" s="146">
        <f>IF(P104&gt;0,T104-SUM($U$87:U104),IF(P104=0,V103,IF(P104&lt;0,V103+(P104*W104))))</f>
        <v>0</v>
      </c>
      <c r="W104" s="147" t="e">
        <f t="shared" si="38"/>
        <v>#DIV/0!</v>
      </c>
      <c r="X104" s="1"/>
      <c r="Y104" s="642" t="s">
        <v>172</v>
      </c>
      <c r="Z104" s="642"/>
      <c r="AA104" s="695" t="str">
        <f>IF(AA86="","-",(AA94-AA101)*AA88)</f>
        <v>-</v>
      </c>
      <c r="AB104" s="695"/>
      <c r="AC104" s="640" t="s">
        <v>167</v>
      </c>
      <c r="AD104" s="641"/>
      <c r="AE104" s="641"/>
    </row>
    <row r="105" spans="2:31" ht="13.9" customHeight="1" thickBot="1" x14ac:dyDescent="0.25">
      <c r="B105" s="49" t="s">
        <v>30</v>
      </c>
      <c r="C105" s="43"/>
      <c r="D105" s="11"/>
      <c r="E105" s="11"/>
      <c r="F105" s="27"/>
      <c r="G105" s="12">
        <f t="shared" si="39"/>
        <v>0</v>
      </c>
      <c r="H105" s="14">
        <f>ROUNDDOWN(IF(OR(B105="ACAO",B105="DIR",B105="ETF"),G105*Configurações!$B$9,IF(B105="OPCAO",G105*Configurações!$B$23,0)),2)</f>
        <v>0</v>
      </c>
      <c r="I105" s="14">
        <f>ROUNDDOWN(IF(OR(B105="ACAO",B105="ETF",B105="DIR"),G105*Configurações!$C$9,IF(B105="OPCAO",G105*Configurações!$C$23,0)),2)</f>
        <v>0</v>
      </c>
      <c r="J105" s="14">
        <f>ROUNDDOWN(IF(OR(B105="ACAO",B105="ETF",B105="DIR"),G105*Configurações!$D$9,IF(B105="OPCAO",G105*Configurações!$D$23,0)),2)</f>
        <v>0</v>
      </c>
      <c r="K105" s="27"/>
      <c r="L105" s="27"/>
      <c r="M105" s="15">
        <f t="shared" si="30"/>
        <v>0</v>
      </c>
      <c r="N105" s="17">
        <f t="shared" si="40"/>
        <v>0</v>
      </c>
      <c r="O105" s="113"/>
      <c r="P105" s="160">
        <f t="shared" si="32"/>
        <v>0</v>
      </c>
      <c r="Q105" s="161">
        <f t="shared" si="33"/>
        <v>0</v>
      </c>
      <c r="R105" s="162">
        <f t="shared" si="34"/>
        <v>0</v>
      </c>
      <c r="S105" s="163" t="e">
        <f t="shared" si="35"/>
        <v>#DIV/0!</v>
      </c>
      <c r="T105" s="146">
        <f t="shared" si="36"/>
        <v>0</v>
      </c>
      <c r="U105" s="146">
        <f t="shared" si="37"/>
        <v>0</v>
      </c>
      <c r="V105" s="146">
        <f>IF(P105&gt;0,T105-SUM($U$87:U105),IF(P105=0,V104,IF(P105&lt;0,V104+(P105*W105))))</f>
        <v>0</v>
      </c>
      <c r="W105" s="147" t="e">
        <f t="shared" si="38"/>
        <v>#DIV/0!</v>
      </c>
      <c r="X105" s="1"/>
      <c r="Y105" s="642"/>
      <c r="Z105" s="642"/>
      <c r="AA105" s="695"/>
      <c r="AB105" s="695"/>
      <c r="AC105" s="640"/>
      <c r="AD105" s="641"/>
      <c r="AE105" s="641"/>
    </row>
    <row r="106" spans="2:31" ht="13.9" customHeight="1" thickBot="1" x14ac:dyDescent="0.25">
      <c r="B106" s="49" t="s">
        <v>30</v>
      </c>
      <c r="C106" s="43"/>
      <c r="D106" s="11"/>
      <c r="E106" s="11"/>
      <c r="F106" s="27"/>
      <c r="G106" s="12">
        <f t="shared" si="39"/>
        <v>0</v>
      </c>
      <c r="H106" s="14">
        <f>ROUNDDOWN(IF(OR(B106="ACAO",B106="DIR",B106="ETF"),G106*Configurações!$B$9,IF(B106="OPCAO",G106*Configurações!$B$23,0)),2)</f>
        <v>0</v>
      </c>
      <c r="I106" s="14">
        <f>ROUNDDOWN(IF(OR(B106="ACAO",B106="ETF",B106="DIR"),G106*Configurações!$C$9,IF(B106="OPCAO",G106*Configurações!$C$23,0)),2)</f>
        <v>0</v>
      </c>
      <c r="J106" s="14">
        <f>ROUNDDOWN(IF(OR(B106="ACAO",B106="ETF",B106="DIR"),G106*Configurações!$D$9,IF(B106="OPCAO",G106*Configurações!$D$23,0)),2)</f>
        <v>0</v>
      </c>
      <c r="K106" s="27"/>
      <c r="L106" s="27"/>
      <c r="M106" s="15">
        <f t="shared" si="30"/>
        <v>0</v>
      </c>
      <c r="N106" s="17">
        <f t="shared" si="40"/>
        <v>0</v>
      </c>
      <c r="O106" s="113"/>
      <c r="P106" s="160">
        <f t="shared" si="32"/>
        <v>0</v>
      </c>
      <c r="Q106" s="161">
        <f t="shared" si="33"/>
        <v>0</v>
      </c>
      <c r="R106" s="162">
        <f t="shared" si="34"/>
        <v>0</v>
      </c>
      <c r="S106" s="163" t="e">
        <f t="shared" si="35"/>
        <v>#DIV/0!</v>
      </c>
      <c r="T106" s="146">
        <f t="shared" si="36"/>
        <v>0</v>
      </c>
      <c r="U106" s="146">
        <f t="shared" si="37"/>
        <v>0</v>
      </c>
      <c r="V106" s="146">
        <f>IF(P106&gt;0,T106-SUM($U$87:U106),IF(P106=0,V105,IF(P106&lt;0,V105+(P106*W106))))</f>
        <v>0</v>
      </c>
      <c r="W106" s="147" t="e">
        <f t="shared" si="38"/>
        <v>#DIV/0!</v>
      </c>
      <c r="X106" s="1"/>
      <c r="Y106" s="642"/>
      <c r="Z106" s="642"/>
      <c r="AA106" s="695"/>
      <c r="AB106" s="695"/>
      <c r="AC106" s="640"/>
      <c r="AD106" s="641"/>
      <c r="AE106" s="641"/>
    </row>
    <row r="107" spans="2:31" ht="13.9" customHeight="1" thickBot="1" x14ac:dyDescent="0.25">
      <c r="B107" s="49" t="s">
        <v>30</v>
      </c>
      <c r="C107" s="43"/>
      <c r="D107" s="11"/>
      <c r="E107" s="11"/>
      <c r="F107" s="27"/>
      <c r="G107" s="12">
        <f t="shared" si="39"/>
        <v>0</v>
      </c>
      <c r="H107" s="14">
        <f>ROUNDDOWN(IF(OR(B107="ACAO",B107="DIR",B107="ETF"),G107*Configurações!$B$9,IF(B107="OPCAO",G107*Configurações!$B$23,0)),2)</f>
        <v>0</v>
      </c>
      <c r="I107" s="14">
        <f>ROUNDDOWN(IF(OR(B107="ACAO",B107="ETF",B107="DIR"),G107*Configurações!$C$9,IF(B107="OPCAO",G107*Configurações!$C$23,0)),2)</f>
        <v>0</v>
      </c>
      <c r="J107" s="14">
        <f>ROUNDDOWN(IF(OR(B107="ACAO",B107="ETF",B107="DIR"),G107*Configurações!$D$9,IF(B107="OPCAO",G107*Configurações!$D$23,0)),2)</f>
        <v>0</v>
      </c>
      <c r="K107" s="27"/>
      <c r="L107" s="27"/>
      <c r="M107" s="15">
        <f t="shared" si="30"/>
        <v>0</v>
      </c>
      <c r="N107" s="17">
        <f t="shared" si="40"/>
        <v>0</v>
      </c>
      <c r="O107" s="113"/>
      <c r="P107" s="160">
        <f t="shared" si="32"/>
        <v>0</v>
      </c>
      <c r="Q107" s="161">
        <f t="shared" si="33"/>
        <v>0</v>
      </c>
      <c r="R107" s="162">
        <f t="shared" si="34"/>
        <v>0</v>
      </c>
      <c r="S107" s="163" t="e">
        <f t="shared" si="35"/>
        <v>#DIV/0!</v>
      </c>
      <c r="T107" s="146">
        <f t="shared" si="36"/>
        <v>0</v>
      </c>
      <c r="U107" s="146">
        <f t="shared" si="37"/>
        <v>0</v>
      </c>
      <c r="V107" s="146">
        <f>IF(P107&gt;0,T107-SUM($U$87:U107),IF(P107=0,V106,IF(P107&lt;0,V106+(P107*W107))))</f>
        <v>0</v>
      </c>
      <c r="W107" s="147" t="e">
        <f t="shared" si="38"/>
        <v>#DIV/0!</v>
      </c>
      <c r="X107" s="1"/>
      <c r="Y107" s="642" t="s">
        <v>171</v>
      </c>
      <c r="Z107" s="642"/>
      <c r="AA107" s="649" t="str">
        <f>IF(AA86="","-",(AA94-AA101)/AA101)</f>
        <v>-</v>
      </c>
      <c r="AB107" s="649"/>
      <c r="AC107" s="640" t="s">
        <v>167</v>
      </c>
      <c r="AD107" s="641"/>
      <c r="AE107" s="641"/>
    </row>
    <row r="108" spans="2:31" ht="13.9" customHeight="1" thickBot="1" x14ac:dyDescent="0.25">
      <c r="B108" s="49" t="s">
        <v>30</v>
      </c>
      <c r="C108" s="43"/>
      <c r="D108" s="11"/>
      <c r="E108" s="11"/>
      <c r="F108" s="27"/>
      <c r="G108" s="12">
        <f t="shared" si="39"/>
        <v>0</v>
      </c>
      <c r="H108" s="14">
        <f>ROUNDDOWN(IF(OR(B108="ACAO",B108="DIR",B108="ETF"),G108*Configurações!$B$9,IF(B108="OPCAO",G108*Configurações!$B$23,0)),2)</f>
        <v>0</v>
      </c>
      <c r="I108" s="14">
        <f>ROUNDDOWN(IF(OR(B108="ACAO",B108="ETF",B108="DIR"),G108*Configurações!$C$9,IF(B108="OPCAO",G108*Configurações!$C$23,0)),2)</f>
        <v>0</v>
      </c>
      <c r="J108" s="14">
        <f>ROUNDDOWN(IF(OR(B108="ACAO",B108="ETF",B108="DIR"),G108*Configurações!$D$9,IF(B108="OPCAO",G108*Configurações!$D$23,0)),2)</f>
        <v>0</v>
      </c>
      <c r="K108" s="27"/>
      <c r="L108" s="27"/>
      <c r="M108" s="15">
        <f t="shared" si="30"/>
        <v>0</v>
      </c>
      <c r="N108" s="17">
        <f t="shared" si="40"/>
        <v>0</v>
      </c>
      <c r="O108" s="113"/>
      <c r="P108" s="160">
        <f t="shared" si="32"/>
        <v>0</v>
      </c>
      <c r="Q108" s="161">
        <f t="shared" si="33"/>
        <v>0</v>
      </c>
      <c r="R108" s="162">
        <f t="shared" si="34"/>
        <v>0</v>
      </c>
      <c r="S108" s="163" t="e">
        <f t="shared" si="35"/>
        <v>#DIV/0!</v>
      </c>
      <c r="T108" s="146">
        <f t="shared" si="36"/>
        <v>0</v>
      </c>
      <c r="U108" s="146">
        <f t="shared" si="37"/>
        <v>0</v>
      </c>
      <c r="V108" s="146">
        <f>IF(P108&gt;0,T108-SUM($U$87:U108),IF(P108=0,V107,IF(P108&lt;0,V107+(P108*W108))))</f>
        <v>0</v>
      </c>
      <c r="W108" s="147" t="e">
        <f t="shared" si="38"/>
        <v>#DIV/0!</v>
      </c>
      <c r="X108" s="1"/>
      <c r="Y108" s="642"/>
      <c r="Z108" s="642"/>
      <c r="AA108" s="649"/>
      <c r="AB108" s="649"/>
      <c r="AC108" s="640"/>
      <c r="AD108" s="641"/>
      <c r="AE108" s="641"/>
    </row>
    <row r="109" spans="2:31" ht="13.9" customHeight="1" thickBot="1" x14ac:dyDescent="0.25">
      <c r="B109" s="49" t="s">
        <v>30</v>
      </c>
      <c r="C109" s="43"/>
      <c r="D109" s="11"/>
      <c r="E109" s="11"/>
      <c r="F109" s="27"/>
      <c r="G109" s="12">
        <f t="shared" si="39"/>
        <v>0</v>
      </c>
      <c r="H109" s="14">
        <f>ROUNDDOWN(IF(OR(B109="ACAO",B109="DIR",B109="ETF"),G109*Configurações!$B$9,IF(B109="OPCAO",G109*Configurações!$B$23,0)),2)</f>
        <v>0</v>
      </c>
      <c r="I109" s="14">
        <f>ROUNDDOWN(IF(OR(B109="ACAO",B109="ETF",B109="DIR"),G109*Configurações!$C$9,IF(B109="OPCAO",G109*Configurações!$C$23,0)),2)</f>
        <v>0</v>
      </c>
      <c r="J109" s="14">
        <f>ROUNDDOWN(IF(OR(B109="ACAO",B109="ETF",B109="DIR"),G109*Configurações!$D$9,IF(B109="OPCAO",G109*Configurações!$D$23,0)),2)</f>
        <v>0</v>
      </c>
      <c r="K109" s="27"/>
      <c r="L109" s="27"/>
      <c r="M109" s="15">
        <f t="shared" si="30"/>
        <v>0</v>
      </c>
      <c r="N109" s="17">
        <f t="shared" si="40"/>
        <v>0</v>
      </c>
      <c r="O109" s="113"/>
      <c r="P109" s="160">
        <f t="shared" si="32"/>
        <v>0</v>
      </c>
      <c r="Q109" s="161">
        <f t="shared" si="33"/>
        <v>0</v>
      </c>
      <c r="R109" s="162">
        <f t="shared" si="34"/>
        <v>0</v>
      </c>
      <c r="S109" s="163" t="e">
        <f t="shared" si="35"/>
        <v>#DIV/0!</v>
      </c>
      <c r="T109" s="146">
        <f t="shared" si="36"/>
        <v>0</v>
      </c>
      <c r="U109" s="146">
        <f t="shared" si="37"/>
        <v>0</v>
      </c>
      <c r="V109" s="146">
        <f>IF(P109&gt;0,T109-SUM($U$87:U109),IF(P109=0,V108,IF(P109&lt;0,V108+(P109*W109))))</f>
        <v>0</v>
      </c>
      <c r="W109" s="147" t="e">
        <f t="shared" si="38"/>
        <v>#DIV/0!</v>
      </c>
      <c r="X109" s="1"/>
      <c r="Y109" s="642"/>
      <c r="Z109" s="642"/>
      <c r="AA109" s="649"/>
      <c r="AB109" s="649"/>
      <c r="AC109" s="640"/>
      <c r="AD109" s="641"/>
      <c r="AE109" s="641"/>
    </row>
    <row r="110" spans="2:31" ht="13.9" customHeight="1" thickBot="1" x14ac:dyDescent="0.25">
      <c r="B110" s="49" t="s">
        <v>30</v>
      </c>
      <c r="C110" s="43"/>
      <c r="D110" s="11"/>
      <c r="E110" s="11"/>
      <c r="F110" s="27"/>
      <c r="G110" s="12">
        <f t="shared" si="39"/>
        <v>0</v>
      </c>
      <c r="H110" s="14">
        <f>ROUNDDOWN(IF(OR(B110="ACAO",B110="DIR",B110="ETF"),G110*Configurações!$B$9,IF(B110="OPCAO",G110*Configurações!$B$23,0)),2)</f>
        <v>0</v>
      </c>
      <c r="I110" s="14">
        <f>ROUNDDOWN(IF(OR(B110="ACAO",B110="ETF",B110="DIR"),G110*Configurações!$C$9,IF(B110="OPCAO",G110*Configurações!$C$23,0)),2)</f>
        <v>0</v>
      </c>
      <c r="J110" s="14">
        <f>ROUNDDOWN(IF(OR(B110="ACAO",B110="ETF",B110="DIR"),G110*Configurações!$D$9,IF(B110="OPCAO",G110*Configurações!$D$23,0)),2)</f>
        <v>0</v>
      </c>
      <c r="K110" s="27"/>
      <c r="L110" s="27"/>
      <c r="M110" s="15">
        <f t="shared" si="30"/>
        <v>0</v>
      </c>
      <c r="N110" s="17">
        <f t="shared" si="40"/>
        <v>0</v>
      </c>
      <c r="O110" s="113"/>
      <c r="P110" s="160">
        <f t="shared" si="32"/>
        <v>0</v>
      </c>
      <c r="Q110" s="161">
        <f t="shared" si="33"/>
        <v>0</v>
      </c>
      <c r="R110" s="162">
        <f t="shared" si="34"/>
        <v>0</v>
      </c>
      <c r="S110" s="163" t="e">
        <f t="shared" si="35"/>
        <v>#DIV/0!</v>
      </c>
      <c r="T110" s="146">
        <f t="shared" si="36"/>
        <v>0</v>
      </c>
      <c r="U110" s="146">
        <f t="shared" si="37"/>
        <v>0</v>
      </c>
      <c r="V110" s="146">
        <f>IF(P110&gt;0,T110-SUM($U$87:U110),IF(P110=0,V109,IF(P110&lt;0,V109+(P110*W110))))</f>
        <v>0</v>
      </c>
      <c r="W110" s="147" t="e">
        <f t="shared" si="38"/>
        <v>#DIV/0!</v>
      </c>
      <c r="X110" s="1"/>
      <c r="Y110" s="642" t="s">
        <v>8</v>
      </c>
      <c r="Z110" s="642"/>
      <c r="AA110" s="694"/>
      <c r="AB110" s="694"/>
      <c r="AC110" s="640"/>
      <c r="AD110" s="641"/>
      <c r="AE110" s="641"/>
    </row>
    <row r="111" spans="2:31" ht="13.9" customHeight="1" thickBot="1" x14ac:dyDescent="0.25">
      <c r="B111" s="49" t="s">
        <v>30</v>
      </c>
      <c r="C111" s="43"/>
      <c r="D111" s="11"/>
      <c r="E111" s="11"/>
      <c r="F111" s="27"/>
      <c r="G111" s="12">
        <f t="shared" si="39"/>
        <v>0</v>
      </c>
      <c r="H111" s="14">
        <f>ROUNDDOWN(IF(OR(B111="ACAO",B111="DIR",B111="ETF"),G111*Configurações!$B$9,IF(B111="OPCAO",G111*Configurações!$B$23,0)),2)</f>
        <v>0</v>
      </c>
      <c r="I111" s="14">
        <f>ROUNDDOWN(IF(OR(B111="ACAO",B111="ETF",B111="DIR"),G111*Configurações!$C$9,IF(B111="OPCAO",G111*Configurações!$C$23,0)),2)</f>
        <v>0</v>
      </c>
      <c r="J111" s="14">
        <f>ROUNDDOWN(IF(OR(B111="ACAO",B111="ETF",B111="DIR"),G111*Configurações!$D$9,IF(B111="OPCAO",G111*Configurações!$D$23,0)),2)</f>
        <v>0</v>
      </c>
      <c r="K111" s="27"/>
      <c r="L111" s="27"/>
      <c r="M111" s="15">
        <f t="shared" si="30"/>
        <v>0</v>
      </c>
      <c r="N111" s="17">
        <f t="shared" si="40"/>
        <v>0</v>
      </c>
      <c r="O111" s="113"/>
      <c r="P111" s="160">
        <f t="shared" si="32"/>
        <v>0</v>
      </c>
      <c r="Q111" s="161">
        <f t="shared" si="33"/>
        <v>0</v>
      </c>
      <c r="R111" s="162">
        <f t="shared" si="34"/>
        <v>0</v>
      </c>
      <c r="S111" s="163" t="e">
        <f t="shared" si="35"/>
        <v>#DIV/0!</v>
      </c>
      <c r="T111" s="146">
        <f t="shared" si="36"/>
        <v>0</v>
      </c>
      <c r="U111" s="146">
        <f t="shared" si="37"/>
        <v>0</v>
      </c>
      <c r="V111" s="146">
        <f>IF(P111&gt;0,T111-SUM($U$87:U111),IF(P111=0,V110,IF(P111&lt;0,V110+(P111*W111))))</f>
        <v>0</v>
      </c>
      <c r="W111" s="147" t="e">
        <f t="shared" si="38"/>
        <v>#DIV/0!</v>
      </c>
      <c r="X111" s="1"/>
      <c r="Y111" s="642"/>
      <c r="Z111" s="642"/>
      <c r="AA111" s="694"/>
      <c r="AB111" s="694"/>
      <c r="AC111" s="640"/>
      <c r="AD111" s="641"/>
      <c r="AE111" s="641"/>
    </row>
    <row r="112" spans="2:31" ht="13.9" customHeight="1" thickBot="1" x14ac:dyDescent="0.25">
      <c r="B112" s="49" t="s">
        <v>30</v>
      </c>
      <c r="C112" s="43"/>
      <c r="D112" s="11"/>
      <c r="E112" s="11"/>
      <c r="F112" s="27"/>
      <c r="G112" s="12">
        <f t="shared" si="39"/>
        <v>0</v>
      </c>
      <c r="H112" s="14">
        <f>ROUNDDOWN(IF(OR(B112="ACAO",B112="DIR",B112="ETF"),G112*Configurações!$B$9,IF(B112="OPCAO",G112*Configurações!$B$23,0)),2)</f>
        <v>0</v>
      </c>
      <c r="I112" s="14">
        <f>ROUNDDOWN(IF(OR(B112="ACAO",B112="ETF",B112="DIR"),G112*Configurações!$C$9,IF(B112="OPCAO",G112*Configurações!$C$23,0)),2)</f>
        <v>0</v>
      </c>
      <c r="J112" s="14">
        <f>ROUNDDOWN(IF(OR(B112="ACAO",B112="ETF",B112="DIR"),G112*Configurações!$D$9,IF(B112="OPCAO",G112*Configurações!$D$23,0)),2)</f>
        <v>0</v>
      </c>
      <c r="K112" s="27"/>
      <c r="L112" s="27"/>
      <c r="M112" s="15">
        <f t="shared" si="30"/>
        <v>0</v>
      </c>
      <c r="N112" s="17">
        <f t="shared" si="40"/>
        <v>0</v>
      </c>
      <c r="O112" s="113"/>
      <c r="P112" s="160">
        <f t="shared" si="32"/>
        <v>0</v>
      </c>
      <c r="Q112" s="161">
        <f t="shared" si="33"/>
        <v>0</v>
      </c>
      <c r="R112" s="162">
        <f t="shared" si="34"/>
        <v>0</v>
      </c>
      <c r="S112" s="163" t="e">
        <f t="shared" si="35"/>
        <v>#DIV/0!</v>
      </c>
      <c r="T112" s="146">
        <f t="shared" si="36"/>
        <v>0</v>
      </c>
      <c r="U112" s="146">
        <f t="shared" si="37"/>
        <v>0</v>
      </c>
      <c r="V112" s="146">
        <f>IF(P112&gt;0,T112-SUM($U$87:U112),IF(P112=0,V111,IF(P112&lt;0,V111+(P112*W112))))</f>
        <v>0</v>
      </c>
      <c r="W112" s="147" t="e">
        <f t="shared" si="38"/>
        <v>#DIV/0!</v>
      </c>
      <c r="X112" s="1"/>
      <c r="Y112" s="642"/>
      <c r="Z112" s="642"/>
      <c r="AA112" s="694"/>
      <c r="AB112" s="694"/>
      <c r="AC112" s="640"/>
      <c r="AD112" s="641"/>
      <c r="AE112" s="641"/>
    </row>
    <row r="113" spans="2:31" ht="13.9" customHeight="1" x14ac:dyDescent="0.2">
      <c r="B113" s="49" t="s">
        <v>30</v>
      </c>
      <c r="C113" s="43"/>
      <c r="D113" s="11"/>
      <c r="E113" s="11"/>
      <c r="F113" s="27"/>
      <c r="G113" s="12">
        <f t="shared" si="39"/>
        <v>0</v>
      </c>
      <c r="H113" s="14">
        <f>ROUNDDOWN(IF(OR(B113="ACAO",B113="DIR",B113="ETF"),G113*Configurações!$B$9,IF(B113="OPCAO",G113*Configurações!$B$23,0)),2)</f>
        <v>0</v>
      </c>
      <c r="I113" s="14">
        <f>ROUNDDOWN(IF(OR(B113="ACAO",B113="ETF",B113="DIR"),G113*Configurações!$C$9,IF(B113="OPCAO",G113*Configurações!$C$23,0)),2)</f>
        <v>0</v>
      </c>
      <c r="J113" s="14">
        <f>ROUNDDOWN(IF(OR(B113="ACAO",B113="ETF",B113="DIR"),G113*Configurações!$D$9,IF(B113="OPCAO",G113*Configurações!$D$23,0)),2)</f>
        <v>0</v>
      </c>
      <c r="K113" s="27"/>
      <c r="L113" s="27"/>
      <c r="M113" s="15">
        <f t="shared" si="30"/>
        <v>0</v>
      </c>
      <c r="N113" s="17">
        <f t="shared" si="40"/>
        <v>0</v>
      </c>
      <c r="O113" s="113"/>
      <c r="P113" s="160">
        <f t="shared" si="32"/>
        <v>0</v>
      </c>
      <c r="Q113" s="161">
        <f t="shared" si="33"/>
        <v>0</v>
      </c>
      <c r="R113" s="162">
        <f t="shared" si="34"/>
        <v>0</v>
      </c>
      <c r="S113" s="163" t="e">
        <f t="shared" si="35"/>
        <v>#DIV/0!</v>
      </c>
      <c r="T113" s="146">
        <f t="shared" si="36"/>
        <v>0</v>
      </c>
      <c r="U113" s="146">
        <f t="shared" si="37"/>
        <v>0</v>
      </c>
      <c r="V113" s="146">
        <f>IF(P113&gt;0,T113-SUM($U$87:U113),IF(P113=0,V112,IF(P113&lt;0,V112+(P113*W113))))</f>
        <v>0</v>
      </c>
      <c r="W113" s="147" t="e">
        <f t="shared" si="38"/>
        <v>#DIV/0!</v>
      </c>
      <c r="X113" s="1"/>
      <c r="Y113" s="628" t="s">
        <v>154</v>
      </c>
      <c r="Z113" s="629"/>
      <c r="AA113" s="634" t="str">
        <f>IF(AA86="","-",(AA94-AA110)*AA88)</f>
        <v>-</v>
      </c>
      <c r="AB113" s="635"/>
      <c r="AC113" s="640" t="s">
        <v>167</v>
      </c>
      <c r="AD113" s="641"/>
      <c r="AE113" s="641"/>
    </row>
    <row r="114" spans="2:31" ht="13.9" customHeight="1" x14ac:dyDescent="0.2">
      <c r="B114" s="49" t="s">
        <v>30</v>
      </c>
      <c r="C114" s="43"/>
      <c r="D114" s="11"/>
      <c r="E114" s="11"/>
      <c r="F114" s="27"/>
      <c r="G114" s="12">
        <f t="shared" si="39"/>
        <v>0</v>
      </c>
      <c r="H114" s="14">
        <f>ROUNDDOWN(IF(OR(B114="ACAO",B114="DIR",B114="ETF"),G114*Configurações!$B$9,IF(B114="OPCAO",G114*Configurações!$B$23,0)),2)</f>
        <v>0</v>
      </c>
      <c r="I114" s="14">
        <f>ROUNDDOWN(IF(OR(B114="ACAO",B114="ETF",B114="DIR"),G114*Configurações!$C$9,IF(B114="OPCAO",G114*Configurações!$C$23,0)),2)</f>
        <v>0</v>
      </c>
      <c r="J114" s="14">
        <f>ROUNDDOWN(IF(OR(B114="ACAO",B114="ETF",B114="DIR"),G114*Configurações!$D$9,IF(B114="OPCAO",G114*Configurações!$D$23,0)),2)</f>
        <v>0</v>
      </c>
      <c r="K114" s="27"/>
      <c r="L114" s="27"/>
      <c r="M114" s="15">
        <f t="shared" si="30"/>
        <v>0</v>
      </c>
      <c r="N114" s="17">
        <f t="shared" si="40"/>
        <v>0</v>
      </c>
      <c r="O114" s="113"/>
      <c r="P114" s="160">
        <f t="shared" si="32"/>
        <v>0</v>
      </c>
      <c r="Q114" s="161">
        <f t="shared" si="33"/>
        <v>0</v>
      </c>
      <c r="R114" s="162">
        <f t="shared" si="34"/>
        <v>0</v>
      </c>
      <c r="S114" s="163" t="e">
        <f t="shared" si="35"/>
        <v>#DIV/0!</v>
      </c>
      <c r="T114" s="146">
        <f t="shared" si="36"/>
        <v>0</v>
      </c>
      <c r="U114" s="146">
        <f t="shared" si="37"/>
        <v>0</v>
      </c>
      <c r="V114" s="146">
        <f>IF(P114&gt;0,T114-SUM($U$87:U114),IF(P114=0,V113,IF(P114&lt;0,V113+(P114*W114))))</f>
        <v>0</v>
      </c>
      <c r="W114" s="147" t="e">
        <f t="shared" si="38"/>
        <v>#DIV/0!</v>
      </c>
      <c r="X114" s="1"/>
      <c r="Y114" s="630"/>
      <c r="Z114" s="631"/>
      <c r="AA114" s="636"/>
      <c r="AB114" s="637"/>
      <c r="AC114" s="640"/>
      <c r="AD114" s="641"/>
      <c r="AE114" s="641"/>
    </row>
    <row r="115" spans="2:31" ht="13.9" customHeight="1" thickBot="1" x14ac:dyDescent="0.25">
      <c r="B115" s="49" t="s">
        <v>30</v>
      </c>
      <c r="C115" s="43"/>
      <c r="D115" s="11"/>
      <c r="E115" s="11"/>
      <c r="F115" s="27"/>
      <c r="G115" s="12">
        <f t="shared" si="39"/>
        <v>0</v>
      </c>
      <c r="H115" s="14">
        <f>ROUNDDOWN(IF(OR(B115="ACAO",B115="DIR",B115="ETF"),G115*Configurações!$B$9,IF(B115="OPCAO",G115*Configurações!$B$23,0)),2)</f>
        <v>0</v>
      </c>
      <c r="I115" s="14">
        <f>ROUNDDOWN(IF(OR(B115="ACAO",B115="ETF",B115="DIR"),G115*Configurações!$C$9,IF(B115="OPCAO",G115*Configurações!$C$23,0)),2)</f>
        <v>0</v>
      </c>
      <c r="J115" s="14">
        <f>ROUNDDOWN(IF(OR(B115="ACAO",B115="ETF",B115="DIR"),G115*Configurações!$D$9,IF(B115="OPCAO",G115*Configurações!$D$23,0)),2)</f>
        <v>0</v>
      </c>
      <c r="K115" s="27"/>
      <c r="L115" s="27"/>
      <c r="M115" s="15">
        <f t="shared" si="30"/>
        <v>0</v>
      </c>
      <c r="N115" s="17">
        <f t="shared" si="40"/>
        <v>0</v>
      </c>
      <c r="O115" s="113"/>
      <c r="P115" s="160">
        <f t="shared" si="32"/>
        <v>0</v>
      </c>
      <c r="Q115" s="161">
        <f t="shared" si="33"/>
        <v>0</v>
      </c>
      <c r="R115" s="162">
        <f t="shared" si="34"/>
        <v>0</v>
      </c>
      <c r="S115" s="163" t="e">
        <f t="shared" si="35"/>
        <v>#DIV/0!</v>
      </c>
      <c r="T115" s="146">
        <f t="shared" si="36"/>
        <v>0</v>
      </c>
      <c r="U115" s="146">
        <f t="shared" si="37"/>
        <v>0</v>
      </c>
      <c r="V115" s="146">
        <f>IF(P115&gt;0,T115-SUM($U$87:U115),IF(P115=0,V114,IF(P115&lt;0,V114+(P115*W115))))</f>
        <v>0</v>
      </c>
      <c r="W115" s="147" t="e">
        <f t="shared" si="38"/>
        <v>#DIV/0!</v>
      </c>
      <c r="X115" s="1"/>
      <c r="Y115" s="632"/>
      <c r="Z115" s="633"/>
      <c r="AA115" s="638"/>
      <c r="AB115" s="639"/>
      <c r="AC115" s="640"/>
      <c r="AD115" s="641"/>
      <c r="AE115" s="641"/>
    </row>
    <row r="116" spans="2:31" ht="13.9" customHeight="1" x14ac:dyDescent="0.2">
      <c r="B116" s="49" t="s">
        <v>30</v>
      </c>
      <c r="C116" s="43"/>
      <c r="D116" s="11"/>
      <c r="E116" s="11"/>
      <c r="F116" s="27"/>
      <c r="G116" s="12">
        <f t="shared" si="39"/>
        <v>0</v>
      </c>
      <c r="H116" s="14">
        <f>ROUNDDOWN(IF(OR(B116="ACAO",B116="DIR",B116="ETF"),G116*Configurações!$B$9,IF(B116="OPCAO",G116*Configurações!$B$23,0)),2)</f>
        <v>0</v>
      </c>
      <c r="I116" s="14">
        <f>ROUNDDOWN(IF(OR(B116="ACAO",B116="ETF",B116="DIR"),G116*Configurações!$C$9,IF(B116="OPCAO",G116*Configurações!$C$23,0)),2)</f>
        <v>0</v>
      </c>
      <c r="J116" s="14">
        <f>ROUNDDOWN(IF(OR(B116="ACAO",B116="ETF",B116="DIR"),G116*Configurações!$D$9,IF(B116="OPCAO",G116*Configurações!$D$23,0)),2)</f>
        <v>0</v>
      </c>
      <c r="K116" s="27"/>
      <c r="L116" s="27"/>
      <c r="M116" s="15">
        <f t="shared" si="30"/>
        <v>0</v>
      </c>
      <c r="N116" s="17">
        <f t="shared" si="40"/>
        <v>0</v>
      </c>
      <c r="O116" s="113"/>
      <c r="P116" s="160">
        <f t="shared" si="32"/>
        <v>0</v>
      </c>
      <c r="Q116" s="161">
        <f t="shared" si="33"/>
        <v>0</v>
      </c>
      <c r="R116" s="162">
        <f t="shared" si="34"/>
        <v>0</v>
      </c>
      <c r="S116" s="163" t="e">
        <f t="shared" si="35"/>
        <v>#DIV/0!</v>
      </c>
      <c r="T116" s="146">
        <f t="shared" si="36"/>
        <v>0</v>
      </c>
      <c r="U116" s="146">
        <f t="shared" si="37"/>
        <v>0</v>
      </c>
      <c r="V116" s="146">
        <f>IF(P116&gt;0,T116-SUM($U$87:U116),IF(P116=0,V115,IF(P116&lt;0,V115+(P116*W116))))</f>
        <v>0</v>
      </c>
      <c r="W116" s="147" t="e">
        <f t="shared" si="38"/>
        <v>#DIV/0!</v>
      </c>
      <c r="X116" s="1"/>
      <c r="Y116" s="1"/>
      <c r="Z116" s="1"/>
      <c r="AA116" s="1"/>
      <c r="AB116" s="1"/>
    </row>
    <row r="117" spans="2:31" ht="13.9" customHeight="1" x14ac:dyDescent="0.2">
      <c r="B117" s="49" t="s">
        <v>30</v>
      </c>
      <c r="C117" s="43"/>
      <c r="D117" s="11"/>
      <c r="E117" s="11"/>
      <c r="F117" s="27"/>
      <c r="G117" s="12">
        <f t="shared" si="39"/>
        <v>0</v>
      </c>
      <c r="H117" s="14">
        <f>ROUNDDOWN(IF(OR(B117="ACAO",B117="DIR",B117="ETF"),G117*Configurações!$B$9,IF(B117="OPCAO",G117*Configurações!$B$23,0)),2)</f>
        <v>0</v>
      </c>
      <c r="I117" s="14">
        <f>ROUNDDOWN(IF(OR(B117="ACAO",B117="ETF",B117="DIR"),G117*Configurações!$C$9,IF(B117="OPCAO",G117*Configurações!$C$23,0)),2)</f>
        <v>0</v>
      </c>
      <c r="J117" s="14">
        <f>ROUNDDOWN(IF(OR(B117="ACAO",B117="ETF",B117="DIR"),G117*Configurações!$D$9,IF(B117="OPCAO",G117*Configurações!$D$23,0)),2)</f>
        <v>0</v>
      </c>
      <c r="K117" s="27"/>
      <c r="L117" s="27"/>
      <c r="M117" s="15">
        <f t="shared" si="30"/>
        <v>0</v>
      </c>
      <c r="N117" s="17">
        <f t="shared" si="40"/>
        <v>0</v>
      </c>
      <c r="O117" s="113"/>
      <c r="P117" s="160">
        <f t="shared" si="32"/>
        <v>0</v>
      </c>
      <c r="Q117" s="161">
        <f t="shared" si="33"/>
        <v>0</v>
      </c>
      <c r="R117" s="162">
        <f t="shared" si="34"/>
        <v>0</v>
      </c>
      <c r="S117" s="163" t="e">
        <f t="shared" si="35"/>
        <v>#DIV/0!</v>
      </c>
      <c r="T117" s="146">
        <f t="shared" si="36"/>
        <v>0</v>
      </c>
      <c r="U117" s="146">
        <f t="shared" si="37"/>
        <v>0</v>
      </c>
      <c r="V117" s="146">
        <f>IF(P117&gt;0,T117-SUM($U$87:U117),IF(P117=0,V116,IF(P117&lt;0,V116+(P117*W117))))</f>
        <v>0</v>
      </c>
      <c r="W117" s="147" t="e">
        <f t="shared" si="38"/>
        <v>#DIV/0!</v>
      </c>
      <c r="X117" s="1"/>
      <c r="Y117" s="1"/>
      <c r="Z117" s="1"/>
      <c r="AA117" s="1"/>
      <c r="AB117" s="1"/>
    </row>
    <row r="118" spans="2:31" ht="13.9" customHeight="1" x14ac:dyDescent="0.2">
      <c r="B118" s="49" t="s">
        <v>30</v>
      </c>
      <c r="C118" s="43"/>
      <c r="D118" s="11"/>
      <c r="E118" s="11"/>
      <c r="F118" s="27"/>
      <c r="G118" s="12">
        <f t="shared" si="39"/>
        <v>0</v>
      </c>
      <c r="H118" s="14">
        <f>ROUNDDOWN(IF(OR(B118="ACAO",B118="DIR",B118="ETF"),G118*Configurações!$B$9,IF(B118="OPCAO",G118*Configurações!$B$23,0)),2)</f>
        <v>0</v>
      </c>
      <c r="I118" s="14">
        <f>ROUNDDOWN(IF(OR(B118="ACAO",B118="ETF",B118="DIR"),G118*Configurações!$C$9,IF(B118="OPCAO",G118*Configurações!$C$23,0)),2)</f>
        <v>0</v>
      </c>
      <c r="J118" s="14">
        <f>ROUNDDOWN(IF(OR(B118="ACAO",B118="ETF",B118="DIR"),G118*Configurações!$D$9,IF(B118="OPCAO",G118*Configurações!$D$23,0)),2)</f>
        <v>0</v>
      </c>
      <c r="K118" s="27"/>
      <c r="L118" s="27"/>
      <c r="M118" s="15">
        <f t="shared" si="30"/>
        <v>0</v>
      </c>
      <c r="N118" s="17">
        <f t="shared" si="40"/>
        <v>0</v>
      </c>
      <c r="O118" s="113"/>
      <c r="P118" s="160">
        <f t="shared" si="32"/>
        <v>0</v>
      </c>
      <c r="Q118" s="161">
        <f t="shared" si="33"/>
        <v>0</v>
      </c>
      <c r="R118" s="162">
        <f t="shared" si="34"/>
        <v>0</v>
      </c>
      <c r="S118" s="163" t="e">
        <f t="shared" si="35"/>
        <v>#DIV/0!</v>
      </c>
      <c r="T118" s="146">
        <f t="shared" si="36"/>
        <v>0</v>
      </c>
      <c r="U118" s="146">
        <f t="shared" si="37"/>
        <v>0</v>
      </c>
      <c r="V118" s="146">
        <f>IF(P118&gt;0,T118-SUM($U$87:U118),IF(P118=0,V117,IF(P118&lt;0,V117+(P118*W118))))</f>
        <v>0</v>
      </c>
      <c r="W118" s="147" t="e">
        <f t="shared" si="38"/>
        <v>#DIV/0!</v>
      </c>
      <c r="X118" s="1"/>
      <c r="Y118" s="1"/>
      <c r="Z118" s="1"/>
      <c r="AA118" s="1"/>
      <c r="AB118" s="1"/>
    </row>
    <row r="119" spans="2:31" ht="13.9" customHeight="1" x14ac:dyDescent="0.2">
      <c r="B119" s="49" t="s">
        <v>30</v>
      </c>
      <c r="C119" s="43"/>
      <c r="D119" s="11"/>
      <c r="E119" s="11"/>
      <c r="F119" s="27"/>
      <c r="G119" s="12">
        <f t="shared" si="39"/>
        <v>0</v>
      </c>
      <c r="H119" s="14">
        <f>ROUNDDOWN(IF(OR(B119="ACAO",B119="DIR",B119="ETF"),G119*Configurações!$B$9,IF(B119="OPCAO",G119*Configurações!$B$23,0)),2)</f>
        <v>0</v>
      </c>
      <c r="I119" s="14">
        <f>ROUNDDOWN(IF(OR(B119="ACAO",B119="ETF",B119="DIR"),G119*Configurações!$C$9,IF(B119="OPCAO",G119*Configurações!$C$23,0)),2)</f>
        <v>0</v>
      </c>
      <c r="J119" s="14">
        <f>ROUNDDOWN(IF(OR(B119="ACAO",B119="ETF",B119="DIR"),G119*Configurações!$D$9,IF(B119="OPCAO",G119*Configurações!$D$23,0)),2)</f>
        <v>0</v>
      </c>
      <c r="K119" s="27"/>
      <c r="L119" s="27"/>
      <c r="M119" s="15">
        <f t="shared" si="30"/>
        <v>0</v>
      </c>
      <c r="N119" s="17">
        <f t="shared" si="40"/>
        <v>0</v>
      </c>
      <c r="O119" s="113"/>
      <c r="P119" s="160">
        <f t="shared" si="32"/>
        <v>0</v>
      </c>
      <c r="Q119" s="161">
        <f t="shared" si="33"/>
        <v>0</v>
      </c>
      <c r="R119" s="162">
        <f t="shared" si="34"/>
        <v>0</v>
      </c>
      <c r="S119" s="163" t="e">
        <f t="shared" si="35"/>
        <v>#DIV/0!</v>
      </c>
      <c r="T119" s="146">
        <f t="shared" si="36"/>
        <v>0</v>
      </c>
      <c r="U119" s="146">
        <f t="shared" si="37"/>
        <v>0</v>
      </c>
      <c r="V119" s="146">
        <f>IF(P119&gt;0,T119-SUM($U$87:U119),IF(P119=0,V118,IF(P119&lt;0,V118+(P119*W119))))</f>
        <v>0</v>
      </c>
      <c r="W119" s="147" t="e">
        <f t="shared" si="38"/>
        <v>#DIV/0!</v>
      </c>
      <c r="X119" s="1"/>
      <c r="Y119" s="1"/>
      <c r="Z119" s="1"/>
      <c r="AA119" s="1"/>
      <c r="AB119" s="1"/>
    </row>
    <row r="120" spans="2:31" ht="13.9" customHeight="1" x14ac:dyDescent="0.2">
      <c r="B120" s="49" t="s">
        <v>30</v>
      </c>
      <c r="C120" s="43"/>
      <c r="D120" s="11"/>
      <c r="E120" s="11"/>
      <c r="F120" s="27"/>
      <c r="G120" s="12">
        <f t="shared" si="39"/>
        <v>0</v>
      </c>
      <c r="H120" s="14">
        <f>ROUNDDOWN(IF(OR(B120="ACAO",B120="DIR",B120="ETF"),G120*Configurações!$B$9,IF(B120="OPCAO",G120*Configurações!$B$23,0)),2)</f>
        <v>0</v>
      </c>
      <c r="I120" s="14">
        <f>ROUNDDOWN(IF(OR(B120="ACAO",B120="ETF",B120="DIR"),G120*Configurações!$C$9,IF(B120="OPCAO",G120*Configurações!$C$23,0)),2)</f>
        <v>0</v>
      </c>
      <c r="J120" s="14">
        <f>ROUNDDOWN(IF(OR(B120="ACAO",B120="ETF",B120="DIR"),G120*Configurações!$D$9,IF(B120="OPCAO",G120*Configurações!$D$23,0)),2)</f>
        <v>0</v>
      </c>
      <c r="K120" s="27"/>
      <c r="L120" s="27"/>
      <c r="M120" s="15">
        <f t="shared" si="30"/>
        <v>0</v>
      </c>
      <c r="N120" s="17">
        <f t="shared" si="40"/>
        <v>0</v>
      </c>
      <c r="O120" s="113"/>
      <c r="P120" s="160">
        <f t="shared" si="32"/>
        <v>0</v>
      </c>
      <c r="Q120" s="161">
        <f t="shared" si="33"/>
        <v>0</v>
      </c>
      <c r="R120" s="162">
        <f t="shared" si="34"/>
        <v>0</v>
      </c>
      <c r="S120" s="163" t="e">
        <f t="shared" si="35"/>
        <v>#DIV/0!</v>
      </c>
      <c r="T120" s="146">
        <f t="shared" si="36"/>
        <v>0</v>
      </c>
      <c r="U120" s="146">
        <f t="shared" si="37"/>
        <v>0</v>
      </c>
      <c r="V120" s="146">
        <f>IF(P120&gt;0,T120-SUM($U$87:U120),IF(P120=0,V119,IF(P120&lt;0,V119+(P120*W120))))</f>
        <v>0</v>
      </c>
      <c r="W120" s="147" t="e">
        <f t="shared" si="38"/>
        <v>#DIV/0!</v>
      </c>
      <c r="X120" s="1"/>
      <c r="Y120" s="1"/>
      <c r="Z120" s="1"/>
      <c r="AA120" s="1"/>
      <c r="AB120" s="1"/>
    </row>
    <row r="121" spans="2:31" ht="13.9" customHeight="1" x14ac:dyDescent="0.2">
      <c r="B121" s="49" t="s">
        <v>30</v>
      </c>
      <c r="C121" s="43"/>
      <c r="D121" s="11"/>
      <c r="E121" s="11"/>
      <c r="F121" s="27"/>
      <c r="G121" s="12">
        <f t="shared" si="39"/>
        <v>0</v>
      </c>
      <c r="H121" s="14">
        <f>ROUNDDOWN(IF(OR(B121="ACAO",B121="DIR",B121="ETF"),G121*Configurações!$B$9,IF(B121="OPCAO",G121*Configurações!$B$23,0)),2)</f>
        <v>0</v>
      </c>
      <c r="I121" s="14">
        <f>ROUNDDOWN(IF(OR(B121="ACAO",B121="ETF",B121="DIR"),G121*Configurações!$C$9,IF(B121="OPCAO",G121*Configurações!$C$23,0)),2)</f>
        <v>0</v>
      </c>
      <c r="J121" s="14">
        <f>ROUNDDOWN(IF(OR(B121="ACAO",B121="ETF",B121="DIR"),G121*Configurações!$D$9,IF(B121="OPCAO",G121*Configurações!$D$23,0)),2)</f>
        <v>0</v>
      </c>
      <c r="K121" s="27"/>
      <c r="L121" s="27"/>
      <c r="M121" s="15">
        <f t="shared" si="30"/>
        <v>0</v>
      </c>
      <c r="N121" s="17">
        <f t="shared" si="40"/>
        <v>0</v>
      </c>
      <c r="O121" s="113"/>
      <c r="P121" s="160">
        <f t="shared" si="32"/>
        <v>0</v>
      </c>
      <c r="Q121" s="161">
        <f t="shared" si="33"/>
        <v>0</v>
      </c>
      <c r="R121" s="162">
        <f t="shared" si="34"/>
        <v>0</v>
      </c>
      <c r="S121" s="163" t="e">
        <f t="shared" si="35"/>
        <v>#DIV/0!</v>
      </c>
      <c r="T121" s="146">
        <f t="shared" si="36"/>
        <v>0</v>
      </c>
      <c r="U121" s="146">
        <f t="shared" si="37"/>
        <v>0</v>
      </c>
      <c r="V121" s="146">
        <f>IF(P121&gt;0,T121-SUM($U$87:U121),IF(P121=0,V120,IF(P121&lt;0,V120+(P121*W121))))</f>
        <v>0</v>
      </c>
      <c r="W121" s="147" t="e">
        <f t="shared" si="38"/>
        <v>#DIV/0!</v>
      </c>
      <c r="X121" s="1"/>
      <c r="Y121" s="1"/>
      <c r="Z121" s="1"/>
      <c r="AA121" s="1"/>
      <c r="AB121" s="1"/>
    </row>
    <row r="122" spans="2:31" ht="13.9" customHeight="1" x14ac:dyDescent="0.2">
      <c r="B122" s="49" t="s">
        <v>30</v>
      </c>
      <c r="C122" s="43"/>
      <c r="D122" s="11"/>
      <c r="E122" s="11"/>
      <c r="F122" s="27"/>
      <c r="G122" s="12">
        <f t="shared" si="39"/>
        <v>0</v>
      </c>
      <c r="H122" s="14">
        <f>ROUNDDOWN(IF(OR(B122="ACAO",B122="DIR",B122="ETF"),G122*Configurações!$B$9,IF(B122="OPCAO",G122*Configurações!$B$23,0)),2)</f>
        <v>0</v>
      </c>
      <c r="I122" s="14">
        <f>ROUNDDOWN(IF(OR(B122="ACAO",B122="ETF",B122="DIR"),G122*Configurações!$C$9,IF(B122="OPCAO",G122*Configurações!$C$23,0)),2)</f>
        <v>0</v>
      </c>
      <c r="J122" s="14">
        <f>ROUNDDOWN(IF(OR(B122="ACAO",B122="ETF",B122="DIR"),G122*Configurações!$D$9,IF(B122="OPCAO",G122*Configurações!$D$23,0)),2)</f>
        <v>0</v>
      </c>
      <c r="K122" s="27"/>
      <c r="L122" s="27"/>
      <c r="M122" s="15">
        <f t="shared" si="30"/>
        <v>0</v>
      </c>
      <c r="N122" s="17">
        <f t="shared" si="40"/>
        <v>0</v>
      </c>
      <c r="O122" s="113"/>
      <c r="P122" s="160">
        <f t="shared" si="32"/>
        <v>0</v>
      </c>
      <c r="Q122" s="161">
        <f t="shared" si="33"/>
        <v>0</v>
      </c>
      <c r="R122" s="162">
        <f t="shared" si="34"/>
        <v>0</v>
      </c>
      <c r="S122" s="163" t="e">
        <f t="shared" si="35"/>
        <v>#DIV/0!</v>
      </c>
      <c r="T122" s="146">
        <f t="shared" si="36"/>
        <v>0</v>
      </c>
      <c r="U122" s="146">
        <f t="shared" si="37"/>
        <v>0</v>
      </c>
      <c r="V122" s="146">
        <f>IF(P122&gt;0,T122-SUM($U$87:U122),IF(P122=0,V121,IF(P122&lt;0,V121+(P122*W122))))</f>
        <v>0</v>
      </c>
      <c r="W122" s="147" t="e">
        <f t="shared" si="38"/>
        <v>#DIV/0!</v>
      </c>
      <c r="X122" s="1"/>
      <c r="Y122" s="1"/>
      <c r="Z122" s="1"/>
      <c r="AA122" s="1"/>
      <c r="AB122" s="1"/>
    </row>
    <row r="123" spans="2:31" ht="13.9" customHeight="1" x14ac:dyDescent="0.2">
      <c r="B123" s="49" t="s">
        <v>30</v>
      </c>
      <c r="C123" s="43"/>
      <c r="D123" s="11"/>
      <c r="E123" s="11"/>
      <c r="F123" s="27"/>
      <c r="G123" s="12">
        <f t="shared" si="39"/>
        <v>0</v>
      </c>
      <c r="H123" s="14">
        <f>ROUNDDOWN(IF(OR(B123="ACAO",B123="DIR",B123="ETF"),G123*Configurações!$B$9,IF(B123="OPCAO",G123*Configurações!$B$23,0)),2)</f>
        <v>0</v>
      </c>
      <c r="I123" s="14">
        <f>ROUNDDOWN(IF(OR(B123="ACAO",B123="ETF",B123="DIR"),G123*Configurações!$C$9,IF(B123="OPCAO",G123*Configurações!$C$23,0)),2)</f>
        <v>0</v>
      </c>
      <c r="J123" s="14">
        <f>ROUNDDOWN(IF(OR(B123="ACAO",B123="ETF",B123="DIR"),G123*Configurações!$D$9,IF(B123="OPCAO",G123*Configurações!$D$23,0)),2)</f>
        <v>0</v>
      </c>
      <c r="K123" s="27"/>
      <c r="L123" s="27"/>
      <c r="M123" s="15">
        <f t="shared" si="30"/>
        <v>0</v>
      </c>
      <c r="N123" s="17">
        <f t="shared" si="40"/>
        <v>0</v>
      </c>
      <c r="O123" s="113"/>
      <c r="P123" s="160">
        <f t="shared" si="32"/>
        <v>0</v>
      </c>
      <c r="Q123" s="161">
        <f t="shared" si="33"/>
        <v>0</v>
      </c>
      <c r="R123" s="162">
        <f t="shared" si="34"/>
        <v>0</v>
      </c>
      <c r="S123" s="163" t="e">
        <f t="shared" si="35"/>
        <v>#DIV/0!</v>
      </c>
      <c r="T123" s="146">
        <f t="shared" si="36"/>
        <v>0</v>
      </c>
      <c r="U123" s="146">
        <f t="shared" si="37"/>
        <v>0</v>
      </c>
      <c r="V123" s="146">
        <f>IF(P123&gt;0,T123-SUM($U$87:U123),IF(P123=0,V122,IF(P123&lt;0,V122+(P123*W123))))</f>
        <v>0</v>
      </c>
      <c r="W123" s="147" t="e">
        <f t="shared" si="38"/>
        <v>#DIV/0!</v>
      </c>
      <c r="X123" s="1"/>
      <c r="Y123" s="1"/>
      <c r="Z123" s="1"/>
      <c r="AA123" s="1"/>
      <c r="AB123" s="1"/>
    </row>
    <row r="124" spans="2:31" ht="13.9" customHeight="1" x14ac:dyDescent="0.2">
      <c r="B124" s="49" t="s">
        <v>30</v>
      </c>
      <c r="C124" s="43"/>
      <c r="D124" s="11"/>
      <c r="E124" s="11"/>
      <c r="F124" s="27"/>
      <c r="G124" s="12">
        <f t="shared" si="39"/>
        <v>0</v>
      </c>
      <c r="H124" s="14">
        <f>ROUNDDOWN(IF(OR(B124="ACAO",B124="DIR",B124="ETF"),G124*Configurações!$B$9,IF(B124="OPCAO",G124*Configurações!$B$23,0)),2)</f>
        <v>0</v>
      </c>
      <c r="I124" s="14">
        <f>ROUNDDOWN(IF(OR(B124="ACAO",B124="ETF",B124="DIR"),G124*Configurações!$C$9,IF(B124="OPCAO",G124*Configurações!$C$23,0)),2)</f>
        <v>0</v>
      </c>
      <c r="J124" s="14">
        <f>ROUNDDOWN(IF(OR(B124="ACAO",B124="ETF",B124="DIR"),G124*Configurações!$D$9,IF(B124="OPCAO",G124*Configurações!$D$23,0)),2)</f>
        <v>0</v>
      </c>
      <c r="K124" s="27"/>
      <c r="L124" s="27"/>
      <c r="M124" s="15">
        <f t="shared" si="30"/>
        <v>0</v>
      </c>
      <c r="N124" s="17">
        <f t="shared" si="40"/>
        <v>0</v>
      </c>
      <c r="O124" s="113"/>
      <c r="P124" s="160">
        <f t="shared" si="32"/>
        <v>0</v>
      </c>
      <c r="Q124" s="161">
        <f t="shared" si="33"/>
        <v>0</v>
      </c>
      <c r="R124" s="162">
        <f t="shared" si="34"/>
        <v>0</v>
      </c>
      <c r="S124" s="163" t="e">
        <f t="shared" si="35"/>
        <v>#DIV/0!</v>
      </c>
      <c r="T124" s="146">
        <f t="shared" si="36"/>
        <v>0</v>
      </c>
      <c r="U124" s="146">
        <f t="shared" si="37"/>
        <v>0</v>
      </c>
      <c r="V124" s="146">
        <f>IF(P124&gt;0,T124-SUM($U$87:U124),IF(P124=0,V123,IF(P124&lt;0,V123+(P124*W124))))</f>
        <v>0</v>
      </c>
      <c r="W124" s="147" t="e">
        <f t="shared" si="38"/>
        <v>#DIV/0!</v>
      </c>
      <c r="X124" s="1"/>
      <c r="Y124" s="1"/>
      <c r="Z124" s="1"/>
      <c r="AA124" s="1"/>
      <c r="AB124" s="1"/>
    </row>
    <row r="125" spans="2:31" ht="13.9" customHeight="1" x14ac:dyDescent="0.2">
      <c r="B125" s="49" t="s">
        <v>30</v>
      </c>
      <c r="C125" s="43"/>
      <c r="D125" s="11"/>
      <c r="E125" s="11"/>
      <c r="F125" s="27"/>
      <c r="G125" s="12">
        <f t="shared" si="39"/>
        <v>0</v>
      </c>
      <c r="H125" s="14">
        <f>ROUNDDOWN(IF(OR(B125="ACAO",B125="DIR",B125="ETF"),G125*Configurações!$B$9,IF(B125="OPCAO",G125*Configurações!$B$23,0)),2)</f>
        <v>0</v>
      </c>
      <c r="I125" s="14">
        <f>ROUNDDOWN(IF(OR(B125="ACAO",B125="ETF",B125="DIR"),G125*Configurações!$C$9,IF(B125="OPCAO",G125*Configurações!$C$23,0)),2)</f>
        <v>0</v>
      </c>
      <c r="J125" s="14">
        <f>ROUNDDOWN(IF(OR(B125="ACAO",B125="ETF",B125="DIR"),G125*Configurações!$D$9,IF(B125="OPCAO",G125*Configurações!$D$23,0)),2)</f>
        <v>0</v>
      </c>
      <c r="K125" s="27"/>
      <c r="L125" s="27"/>
      <c r="M125" s="15">
        <f t="shared" si="30"/>
        <v>0</v>
      </c>
      <c r="N125" s="17">
        <f t="shared" si="40"/>
        <v>0</v>
      </c>
      <c r="O125" s="113"/>
      <c r="P125" s="160">
        <f t="shared" si="32"/>
        <v>0</v>
      </c>
      <c r="Q125" s="161">
        <f t="shared" si="33"/>
        <v>0</v>
      </c>
      <c r="R125" s="162">
        <f t="shared" si="34"/>
        <v>0</v>
      </c>
      <c r="S125" s="163" t="e">
        <f t="shared" si="35"/>
        <v>#DIV/0!</v>
      </c>
      <c r="T125" s="146">
        <f t="shared" si="36"/>
        <v>0</v>
      </c>
      <c r="U125" s="146">
        <f t="shared" si="37"/>
        <v>0</v>
      </c>
      <c r="V125" s="146">
        <f>IF(P125&gt;0,T125-SUM($U$87:U125),IF(P125=0,V124,IF(P125&lt;0,V124+(P125*W125))))</f>
        <v>0</v>
      </c>
      <c r="W125" s="147" t="e">
        <f t="shared" si="38"/>
        <v>#DIV/0!</v>
      </c>
      <c r="X125" s="1"/>
      <c r="Y125" s="1"/>
      <c r="Z125" s="1"/>
      <c r="AA125" s="1"/>
      <c r="AB125" s="1"/>
    </row>
    <row r="126" spans="2:31" ht="13.9" customHeight="1" x14ac:dyDescent="0.2">
      <c r="B126" s="49" t="s">
        <v>30</v>
      </c>
      <c r="C126" s="43"/>
      <c r="D126" s="11"/>
      <c r="E126" s="11"/>
      <c r="F126" s="27"/>
      <c r="G126" s="12">
        <f t="shared" ref="G126:G136" si="41">E126*F126</f>
        <v>0</v>
      </c>
      <c r="H126" s="14">
        <f>ROUNDDOWN(IF(OR(B126="ACAO",B126="DIR",B126="ETF"),G126*Configurações!$B$9,IF(B126="OPCAO",G126*Configurações!$B$23,0)),2)</f>
        <v>0</v>
      </c>
      <c r="I126" s="14">
        <f>ROUNDDOWN(IF(OR(B126="ACAO",B126="ETF",B126="DIR"),G126*Configurações!$C$9,IF(B126="OPCAO",G126*Configurações!$C$23,0)),2)</f>
        <v>0</v>
      </c>
      <c r="J126" s="14">
        <f>ROUNDDOWN(IF(OR(B126="ACAO",B126="ETF",B126="DIR"),G126*Configurações!$D$9,IF(B126="OPCAO",G126*Configurações!$D$23,0)),2)</f>
        <v>0</v>
      </c>
      <c r="K126" s="27"/>
      <c r="L126" s="27"/>
      <c r="M126" s="15">
        <f t="shared" ref="M126:M136" si="42">-G126+J126+K126+N126+L126+I126+H126</f>
        <v>0</v>
      </c>
      <c r="N126" s="17">
        <f t="shared" ref="N126:N136" si="43">K126*$N$85</f>
        <v>0</v>
      </c>
      <c r="O126" s="113"/>
      <c r="P126" s="160">
        <f t="shared" si="32"/>
        <v>0</v>
      </c>
      <c r="Q126" s="161">
        <f t="shared" si="33"/>
        <v>0</v>
      </c>
      <c r="R126" s="162">
        <f t="shared" si="34"/>
        <v>0</v>
      </c>
      <c r="S126" s="163" t="e">
        <f t="shared" si="35"/>
        <v>#DIV/0!</v>
      </c>
      <c r="T126" s="146">
        <f t="shared" si="36"/>
        <v>0</v>
      </c>
      <c r="U126" s="146">
        <f t="shared" si="37"/>
        <v>0</v>
      </c>
      <c r="V126" s="146">
        <f>IF(P126&gt;0,T126-SUM($U$87:U126),IF(P126=0,V125,IF(P126&lt;0,V125+(P126*W126))))</f>
        <v>0</v>
      </c>
      <c r="W126" s="147" t="e">
        <f t="shared" si="38"/>
        <v>#DIV/0!</v>
      </c>
      <c r="X126" s="1"/>
      <c r="Y126" s="1"/>
      <c r="Z126" s="1"/>
      <c r="AA126" s="1"/>
      <c r="AB126" s="1"/>
    </row>
    <row r="127" spans="2:31" ht="13.9" customHeight="1" x14ac:dyDescent="0.2">
      <c r="B127" s="49" t="s">
        <v>30</v>
      </c>
      <c r="C127" s="43"/>
      <c r="D127" s="11"/>
      <c r="E127" s="11"/>
      <c r="F127" s="27"/>
      <c r="G127" s="12">
        <f t="shared" si="41"/>
        <v>0</v>
      </c>
      <c r="H127" s="14">
        <f>ROUNDDOWN(IF(OR(B127="ACAO",B127="DIR",B127="ETF"),G127*Configurações!$B$9,IF(B127="OPCAO",G127*Configurações!$B$23,0)),2)</f>
        <v>0</v>
      </c>
      <c r="I127" s="14">
        <f>ROUNDDOWN(IF(OR(B127="ACAO",B127="ETF",B127="DIR"),G127*Configurações!$C$9,IF(B127="OPCAO",G127*Configurações!$C$23,0)),2)</f>
        <v>0</v>
      </c>
      <c r="J127" s="14">
        <f>ROUNDDOWN(IF(OR(B127="ACAO",B127="ETF",B127="DIR"),G127*Configurações!$D$9,IF(B127="OPCAO",G127*Configurações!$D$23,0)),2)</f>
        <v>0</v>
      </c>
      <c r="K127" s="27"/>
      <c r="L127" s="27"/>
      <c r="M127" s="15">
        <f t="shared" si="42"/>
        <v>0</v>
      </c>
      <c r="N127" s="17">
        <f t="shared" si="43"/>
        <v>0</v>
      </c>
      <c r="O127" s="113"/>
      <c r="P127" s="160">
        <f t="shared" si="32"/>
        <v>0</v>
      </c>
      <c r="Q127" s="161">
        <f t="shared" si="33"/>
        <v>0</v>
      </c>
      <c r="R127" s="162">
        <f t="shared" si="34"/>
        <v>0</v>
      </c>
      <c r="S127" s="163" t="e">
        <f t="shared" si="35"/>
        <v>#DIV/0!</v>
      </c>
      <c r="T127" s="146">
        <f t="shared" si="36"/>
        <v>0</v>
      </c>
      <c r="U127" s="146">
        <f t="shared" si="37"/>
        <v>0</v>
      </c>
      <c r="V127" s="146">
        <f>IF(P127&gt;0,T127-SUM($U$87:U127),IF(P127=0,V126,IF(P127&lt;0,V126+(P127*W127))))</f>
        <v>0</v>
      </c>
      <c r="W127" s="147" t="e">
        <f t="shared" si="38"/>
        <v>#DIV/0!</v>
      </c>
      <c r="X127" s="1"/>
      <c r="Y127" s="1"/>
      <c r="Z127" s="1"/>
      <c r="AA127" s="1"/>
      <c r="AB127" s="1"/>
    </row>
    <row r="128" spans="2:31" ht="13.9" customHeight="1" x14ac:dyDescent="0.2">
      <c r="B128" s="49" t="s">
        <v>30</v>
      </c>
      <c r="C128" s="43"/>
      <c r="D128" s="11"/>
      <c r="E128" s="11"/>
      <c r="F128" s="27"/>
      <c r="G128" s="12">
        <f t="shared" si="41"/>
        <v>0</v>
      </c>
      <c r="H128" s="14">
        <f>ROUNDDOWN(IF(OR(B128="ACAO",B128="DIR",B128="ETF"),G128*Configurações!$B$9,IF(B128="OPCAO",G128*Configurações!$B$23,0)),2)</f>
        <v>0</v>
      </c>
      <c r="I128" s="14">
        <f>ROUNDDOWN(IF(OR(B128="ACAO",B128="ETF",B128="DIR"),G128*Configurações!$C$9,IF(B128="OPCAO",G128*Configurações!$C$23,0)),2)</f>
        <v>0</v>
      </c>
      <c r="J128" s="14">
        <f>ROUNDDOWN(IF(OR(B128="ACAO",B128="ETF",B128="DIR"),G128*Configurações!$D$9,IF(B128="OPCAO",G128*Configurações!$D$23,0)),2)</f>
        <v>0</v>
      </c>
      <c r="K128" s="27"/>
      <c r="L128" s="27"/>
      <c r="M128" s="15">
        <f t="shared" si="42"/>
        <v>0</v>
      </c>
      <c r="N128" s="17">
        <f t="shared" si="43"/>
        <v>0</v>
      </c>
      <c r="O128" s="113"/>
      <c r="P128" s="160">
        <f t="shared" si="32"/>
        <v>0</v>
      </c>
      <c r="Q128" s="161">
        <f t="shared" si="33"/>
        <v>0</v>
      </c>
      <c r="R128" s="162">
        <f t="shared" si="34"/>
        <v>0</v>
      </c>
      <c r="S128" s="163" t="e">
        <f t="shared" si="35"/>
        <v>#DIV/0!</v>
      </c>
      <c r="T128" s="146">
        <f t="shared" si="36"/>
        <v>0</v>
      </c>
      <c r="U128" s="146">
        <f t="shared" si="37"/>
        <v>0</v>
      </c>
      <c r="V128" s="146">
        <f>IF(P128&gt;0,T128-SUM($U$87:U128),IF(P128=0,V127,IF(P128&lt;0,V127+(P128*W128))))</f>
        <v>0</v>
      </c>
      <c r="W128" s="147" t="e">
        <f t="shared" si="38"/>
        <v>#DIV/0!</v>
      </c>
      <c r="X128" s="1"/>
      <c r="Y128" s="1"/>
      <c r="Z128" s="1"/>
      <c r="AA128" s="1"/>
      <c r="AB128" s="1"/>
    </row>
    <row r="129" spans="2:28" ht="13.9" customHeight="1" x14ac:dyDescent="0.2">
      <c r="B129" s="49" t="s">
        <v>30</v>
      </c>
      <c r="C129" s="43"/>
      <c r="D129" s="11"/>
      <c r="E129" s="11"/>
      <c r="F129" s="27"/>
      <c r="G129" s="12">
        <f t="shared" si="41"/>
        <v>0</v>
      </c>
      <c r="H129" s="14">
        <f>ROUNDDOWN(IF(OR(B129="ACAO",B129="DIR",B129="ETF"),G129*Configurações!$B$9,IF(B129="OPCAO",G129*Configurações!$B$23,0)),2)</f>
        <v>0</v>
      </c>
      <c r="I129" s="14">
        <f>ROUNDDOWN(IF(OR(B129="ACAO",B129="ETF",B129="DIR"),G129*Configurações!$C$9,IF(B129="OPCAO",G129*Configurações!$C$23,0)),2)</f>
        <v>0</v>
      </c>
      <c r="J129" s="14">
        <f>ROUNDDOWN(IF(OR(B129="ACAO",B129="ETF",B129="DIR"),G129*Configurações!$D$9,IF(B129="OPCAO",G129*Configurações!$D$23,0)),2)</f>
        <v>0</v>
      </c>
      <c r="K129" s="27"/>
      <c r="L129" s="27"/>
      <c r="M129" s="15">
        <f t="shared" si="42"/>
        <v>0</v>
      </c>
      <c r="N129" s="17">
        <f t="shared" si="43"/>
        <v>0</v>
      </c>
      <c r="O129" s="113"/>
      <c r="P129" s="160">
        <f t="shared" si="32"/>
        <v>0</v>
      </c>
      <c r="Q129" s="161">
        <f t="shared" si="33"/>
        <v>0</v>
      </c>
      <c r="R129" s="162">
        <f t="shared" si="34"/>
        <v>0</v>
      </c>
      <c r="S129" s="163" t="e">
        <f t="shared" si="35"/>
        <v>#DIV/0!</v>
      </c>
      <c r="T129" s="146">
        <f t="shared" si="36"/>
        <v>0</v>
      </c>
      <c r="U129" s="146">
        <f t="shared" si="37"/>
        <v>0</v>
      </c>
      <c r="V129" s="146">
        <f>IF(P129&gt;0,T129-SUM($U$87:U129),IF(P129=0,V128,IF(P129&lt;0,V128+(P129*W129))))</f>
        <v>0</v>
      </c>
      <c r="W129" s="147" t="e">
        <f t="shared" si="38"/>
        <v>#DIV/0!</v>
      </c>
      <c r="X129" s="1"/>
      <c r="Y129" s="1"/>
      <c r="Z129" s="1"/>
      <c r="AA129" s="1"/>
      <c r="AB129" s="1"/>
    </row>
    <row r="130" spans="2:28" ht="13.9" customHeight="1" x14ac:dyDescent="0.2">
      <c r="B130" s="49" t="s">
        <v>30</v>
      </c>
      <c r="C130" s="43"/>
      <c r="D130" s="11"/>
      <c r="E130" s="11"/>
      <c r="F130" s="27"/>
      <c r="G130" s="12">
        <f t="shared" si="41"/>
        <v>0</v>
      </c>
      <c r="H130" s="14">
        <f>ROUNDDOWN(IF(OR(B130="ACAO",B130="DIR",B130="ETF"),G130*Configurações!$B$9,IF(B130="OPCAO",G130*Configurações!$B$23,0)),2)</f>
        <v>0</v>
      </c>
      <c r="I130" s="14">
        <f>ROUNDDOWN(IF(OR(B130="ACAO",B130="ETF",B130="DIR"),G130*Configurações!$C$9,IF(B130="OPCAO",G130*Configurações!$C$23,0)),2)</f>
        <v>0</v>
      </c>
      <c r="J130" s="14">
        <f>ROUNDDOWN(IF(OR(B130="ACAO",B130="ETF",B130="DIR"),G130*Configurações!$D$9,IF(B130="OPCAO",G130*Configurações!$D$23,0)),2)</f>
        <v>0</v>
      </c>
      <c r="K130" s="27"/>
      <c r="L130" s="27"/>
      <c r="M130" s="15">
        <f t="shared" si="42"/>
        <v>0</v>
      </c>
      <c r="N130" s="17">
        <f t="shared" si="43"/>
        <v>0</v>
      </c>
      <c r="O130" s="113"/>
      <c r="P130" s="160">
        <f t="shared" si="32"/>
        <v>0</v>
      </c>
      <c r="Q130" s="161">
        <f t="shared" si="33"/>
        <v>0</v>
      </c>
      <c r="R130" s="162">
        <f t="shared" si="34"/>
        <v>0</v>
      </c>
      <c r="S130" s="163" t="e">
        <f t="shared" si="35"/>
        <v>#DIV/0!</v>
      </c>
      <c r="T130" s="146">
        <f t="shared" si="36"/>
        <v>0</v>
      </c>
      <c r="U130" s="146">
        <f t="shared" si="37"/>
        <v>0</v>
      </c>
      <c r="V130" s="146">
        <f>IF(P130&gt;0,T130-SUM($U$87:U130),IF(P130=0,V129,IF(P130&lt;0,V129+(P130*W130))))</f>
        <v>0</v>
      </c>
      <c r="W130" s="147" t="e">
        <f t="shared" si="38"/>
        <v>#DIV/0!</v>
      </c>
      <c r="X130" s="1"/>
      <c r="Y130" s="1"/>
      <c r="Z130" s="1"/>
      <c r="AA130" s="1"/>
      <c r="AB130" s="1"/>
    </row>
    <row r="131" spans="2:28" ht="13.9" customHeight="1" x14ac:dyDescent="0.2">
      <c r="B131" s="49" t="s">
        <v>30</v>
      </c>
      <c r="C131" s="43"/>
      <c r="D131" s="11"/>
      <c r="E131" s="11"/>
      <c r="F131" s="27"/>
      <c r="G131" s="12">
        <f t="shared" si="41"/>
        <v>0</v>
      </c>
      <c r="H131" s="14">
        <f>ROUNDDOWN(IF(OR(B131="ACAO",B131="DIR",B131="ETF"),G131*Configurações!$B$9,IF(B131="OPCAO",G131*Configurações!$B$23,0)),2)</f>
        <v>0</v>
      </c>
      <c r="I131" s="14">
        <f>ROUNDDOWN(IF(OR(B131="ACAO",B131="ETF",B131="DIR"),G131*Configurações!$C$9,IF(B131="OPCAO",G131*Configurações!$C$23,0)),2)</f>
        <v>0</v>
      </c>
      <c r="J131" s="14">
        <f>ROUNDDOWN(IF(OR(B131="ACAO",B131="ETF",B131="DIR"),G131*Configurações!$D$9,IF(B131="OPCAO",G131*Configurações!$D$23,0)),2)</f>
        <v>0</v>
      </c>
      <c r="K131" s="27"/>
      <c r="L131" s="27"/>
      <c r="M131" s="15">
        <f t="shared" si="42"/>
        <v>0</v>
      </c>
      <c r="N131" s="17">
        <f t="shared" si="43"/>
        <v>0</v>
      </c>
      <c r="O131" s="113"/>
      <c r="P131" s="160">
        <f t="shared" si="32"/>
        <v>0</v>
      </c>
      <c r="Q131" s="161">
        <f t="shared" si="33"/>
        <v>0</v>
      </c>
      <c r="R131" s="162">
        <f t="shared" si="34"/>
        <v>0</v>
      </c>
      <c r="S131" s="163" t="e">
        <f t="shared" si="35"/>
        <v>#DIV/0!</v>
      </c>
      <c r="T131" s="146">
        <f t="shared" si="36"/>
        <v>0</v>
      </c>
      <c r="U131" s="146">
        <f t="shared" si="37"/>
        <v>0</v>
      </c>
      <c r="V131" s="146">
        <f>IF(P131&gt;0,T131-SUM($U$87:U131),IF(P131=0,V130,IF(P131&lt;0,V130+(P131*W131))))</f>
        <v>0</v>
      </c>
      <c r="W131" s="147" t="e">
        <f t="shared" si="38"/>
        <v>#DIV/0!</v>
      </c>
      <c r="X131" s="1"/>
      <c r="Y131" s="1"/>
      <c r="Z131" s="1"/>
      <c r="AA131" s="1"/>
      <c r="AB131" s="1"/>
    </row>
    <row r="132" spans="2:28" ht="13.9" customHeight="1" x14ac:dyDescent="0.2">
      <c r="B132" s="49" t="s">
        <v>30</v>
      </c>
      <c r="C132" s="43"/>
      <c r="D132" s="11"/>
      <c r="E132" s="11"/>
      <c r="F132" s="27"/>
      <c r="G132" s="12">
        <f t="shared" si="41"/>
        <v>0</v>
      </c>
      <c r="H132" s="14">
        <f>ROUNDDOWN(IF(OR(B132="ACAO",B132="DIR",B132="ETF"),G132*Configurações!$B$9,IF(B132="OPCAO",G132*Configurações!$B$23,0)),2)</f>
        <v>0</v>
      </c>
      <c r="I132" s="14">
        <f>ROUNDDOWN(IF(OR(B132="ACAO",B132="ETF",B132="DIR"),G132*Configurações!$C$9,IF(B132="OPCAO",G132*Configurações!$C$23,0)),2)</f>
        <v>0</v>
      </c>
      <c r="J132" s="14">
        <f>ROUNDDOWN(IF(OR(B132="ACAO",B132="ETF",B132="DIR"),G132*Configurações!$D$9,IF(B132="OPCAO",G132*Configurações!$D$23,0)),2)</f>
        <v>0</v>
      </c>
      <c r="K132" s="27"/>
      <c r="L132" s="27"/>
      <c r="M132" s="15">
        <f t="shared" si="42"/>
        <v>0</v>
      </c>
      <c r="N132" s="17">
        <f t="shared" si="43"/>
        <v>0</v>
      </c>
      <c r="O132" s="113"/>
      <c r="P132" s="160">
        <f t="shared" si="32"/>
        <v>0</v>
      </c>
      <c r="Q132" s="161">
        <f t="shared" si="33"/>
        <v>0</v>
      </c>
      <c r="R132" s="162">
        <f t="shared" si="34"/>
        <v>0</v>
      </c>
      <c r="S132" s="163" t="e">
        <f t="shared" si="35"/>
        <v>#DIV/0!</v>
      </c>
      <c r="T132" s="146">
        <f t="shared" si="36"/>
        <v>0</v>
      </c>
      <c r="U132" s="146">
        <f t="shared" si="37"/>
        <v>0</v>
      </c>
      <c r="V132" s="146">
        <f>IF(P132&gt;0,T132-SUM($U$87:U132),IF(P132=0,V131,IF(P132&lt;0,V131+(P132*W132))))</f>
        <v>0</v>
      </c>
      <c r="W132" s="147" t="e">
        <f t="shared" si="38"/>
        <v>#DIV/0!</v>
      </c>
      <c r="X132" s="1"/>
      <c r="Y132" s="1"/>
      <c r="Z132" s="1"/>
      <c r="AA132" s="1"/>
      <c r="AB132" s="1"/>
    </row>
    <row r="133" spans="2:28" ht="13.9" customHeight="1" x14ac:dyDescent="0.2">
      <c r="B133" s="49" t="s">
        <v>30</v>
      </c>
      <c r="C133" s="43"/>
      <c r="D133" s="11"/>
      <c r="E133" s="11"/>
      <c r="F133" s="27"/>
      <c r="G133" s="12">
        <f t="shared" si="41"/>
        <v>0</v>
      </c>
      <c r="H133" s="14">
        <f>ROUNDDOWN(IF(OR(B133="ACAO",B133="DIR",B133="ETF"),G133*Configurações!$B$9,IF(B133="OPCAO",G133*Configurações!$B$23,0)),2)</f>
        <v>0</v>
      </c>
      <c r="I133" s="14">
        <f>ROUNDDOWN(IF(OR(B133="ACAO",B133="ETF",B133="DIR"),G133*Configurações!$C$9,IF(B133="OPCAO",G133*Configurações!$C$23,0)),2)</f>
        <v>0</v>
      </c>
      <c r="J133" s="14">
        <f>ROUNDDOWN(IF(OR(B133="ACAO",B133="ETF",B133="DIR"),G133*Configurações!$D$9,IF(B133="OPCAO",G133*Configurações!$D$23,0)),2)</f>
        <v>0</v>
      </c>
      <c r="K133" s="27"/>
      <c r="L133" s="27"/>
      <c r="M133" s="15">
        <f t="shared" si="42"/>
        <v>0</v>
      </c>
      <c r="N133" s="17">
        <f t="shared" si="43"/>
        <v>0</v>
      </c>
      <c r="O133" s="113"/>
      <c r="P133" s="160">
        <f t="shared" si="32"/>
        <v>0</v>
      </c>
      <c r="Q133" s="161">
        <f t="shared" si="33"/>
        <v>0</v>
      </c>
      <c r="R133" s="162">
        <f t="shared" si="34"/>
        <v>0</v>
      </c>
      <c r="S133" s="163" t="e">
        <f t="shared" si="35"/>
        <v>#DIV/0!</v>
      </c>
      <c r="T133" s="146">
        <f t="shared" si="36"/>
        <v>0</v>
      </c>
      <c r="U133" s="146">
        <f t="shared" si="37"/>
        <v>0</v>
      </c>
      <c r="V133" s="146">
        <f>IF(P133&gt;0,T133-SUM($U$87:U133),IF(P133=0,V132,IF(P133&lt;0,V132+(P133*W133))))</f>
        <v>0</v>
      </c>
      <c r="W133" s="147" t="e">
        <f t="shared" si="38"/>
        <v>#DIV/0!</v>
      </c>
      <c r="X133" s="1"/>
      <c r="Y133" s="1"/>
      <c r="Z133" s="1"/>
      <c r="AA133" s="1"/>
      <c r="AB133" s="1"/>
    </row>
    <row r="134" spans="2:28" ht="13.9" customHeight="1" x14ac:dyDescent="0.2">
      <c r="B134" s="49" t="s">
        <v>30</v>
      </c>
      <c r="C134" s="43"/>
      <c r="D134" s="11"/>
      <c r="E134" s="11"/>
      <c r="F134" s="27"/>
      <c r="G134" s="12">
        <f t="shared" si="41"/>
        <v>0</v>
      </c>
      <c r="H134" s="14">
        <f>ROUNDDOWN(IF(OR(B134="ACAO",B134="DIR",B134="ETF"),G134*Configurações!$B$9,IF(B134="OPCAO",G134*Configurações!$B$23,0)),2)</f>
        <v>0</v>
      </c>
      <c r="I134" s="14">
        <f>ROUNDDOWN(IF(OR(B134="ACAO",B134="ETF",B134="DIR"),G134*Configurações!$C$9,IF(B134="OPCAO",G134*Configurações!$C$23,0)),2)</f>
        <v>0</v>
      </c>
      <c r="J134" s="14">
        <f>ROUNDDOWN(IF(OR(B134="ACAO",B134="ETF",B134="DIR"),G134*Configurações!$D$9,IF(B134="OPCAO",G134*Configurações!$D$23,0)),2)</f>
        <v>0</v>
      </c>
      <c r="K134" s="27"/>
      <c r="L134" s="27"/>
      <c r="M134" s="15">
        <f t="shared" si="42"/>
        <v>0</v>
      </c>
      <c r="N134" s="17">
        <f t="shared" si="43"/>
        <v>0</v>
      </c>
      <c r="O134" s="113"/>
      <c r="P134" s="160">
        <f t="shared" si="32"/>
        <v>0</v>
      </c>
      <c r="Q134" s="161">
        <f t="shared" si="33"/>
        <v>0</v>
      </c>
      <c r="R134" s="162">
        <f t="shared" si="34"/>
        <v>0</v>
      </c>
      <c r="S134" s="163" t="e">
        <f t="shared" si="35"/>
        <v>#DIV/0!</v>
      </c>
      <c r="T134" s="146">
        <f t="shared" si="36"/>
        <v>0</v>
      </c>
      <c r="U134" s="146">
        <f t="shared" si="37"/>
        <v>0</v>
      </c>
      <c r="V134" s="146">
        <f>IF(P134&gt;0,T134-SUM($U$87:U134),IF(P134=0,V133,IF(P134&lt;0,V133+(P134*W134))))</f>
        <v>0</v>
      </c>
      <c r="W134" s="147" t="e">
        <f t="shared" si="38"/>
        <v>#DIV/0!</v>
      </c>
      <c r="X134" s="1"/>
      <c r="Y134" s="1"/>
      <c r="Z134" s="1"/>
      <c r="AA134" s="1"/>
      <c r="AB134" s="1"/>
    </row>
    <row r="135" spans="2:28" ht="13.9" customHeight="1" x14ac:dyDescent="0.2">
      <c r="B135" s="49" t="s">
        <v>30</v>
      </c>
      <c r="C135" s="43"/>
      <c r="D135" s="11"/>
      <c r="E135" s="11"/>
      <c r="F135" s="27"/>
      <c r="G135" s="12">
        <f t="shared" si="41"/>
        <v>0</v>
      </c>
      <c r="H135" s="14">
        <f>ROUNDDOWN(IF(OR(B135="ACAO",B135="DIR",B135="ETF"),G135*Configurações!$B$9,IF(B135="OPCAO",G135*Configurações!$B$23,0)),2)</f>
        <v>0</v>
      </c>
      <c r="I135" s="14">
        <f>ROUNDDOWN(IF(OR(B135="ACAO",B135="ETF",B135="DIR"),G135*Configurações!$C$9,IF(B135="OPCAO",G135*Configurações!$C$23,0)),2)</f>
        <v>0</v>
      </c>
      <c r="J135" s="14">
        <f>ROUNDDOWN(IF(OR(B135="ACAO",B135="ETF",B135="DIR"),G135*Configurações!$D$9,IF(B135="OPCAO",G135*Configurações!$D$23,0)),2)</f>
        <v>0</v>
      </c>
      <c r="K135" s="27"/>
      <c r="L135" s="27"/>
      <c r="M135" s="15">
        <f t="shared" si="42"/>
        <v>0</v>
      </c>
      <c r="N135" s="17">
        <f t="shared" si="43"/>
        <v>0</v>
      </c>
      <c r="O135" s="113"/>
      <c r="P135" s="160">
        <f t="shared" si="32"/>
        <v>0</v>
      </c>
      <c r="Q135" s="161">
        <f t="shared" si="33"/>
        <v>0</v>
      </c>
      <c r="R135" s="162">
        <f t="shared" si="34"/>
        <v>0</v>
      </c>
      <c r="S135" s="163" t="e">
        <f t="shared" si="35"/>
        <v>#DIV/0!</v>
      </c>
      <c r="T135" s="146">
        <f t="shared" si="36"/>
        <v>0</v>
      </c>
      <c r="U135" s="146">
        <f t="shared" si="37"/>
        <v>0</v>
      </c>
      <c r="V135" s="146">
        <f>IF(P135&gt;0,T135-SUM($U$87:U135),IF(P135=0,V134,IF(P135&lt;0,V134+(P135*W135))))</f>
        <v>0</v>
      </c>
      <c r="W135" s="147" t="e">
        <f t="shared" si="38"/>
        <v>#DIV/0!</v>
      </c>
      <c r="X135" s="1"/>
      <c r="Y135" s="1"/>
      <c r="Z135" s="1"/>
      <c r="AA135" s="1"/>
      <c r="AB135" s="1"/>
    </row>
    <row r="136" spans="2:28" ht="13.9" customHeight="1" x14ac:dyDescent="0.2">
      <c r="B136" s="49" t="s">
        <v>30</v>
      </c>
      <c r="C136" s="43"/>
      <c r="D136" s="11"/>
      <c r="E136" s="11"/>
      <c r="F136" s="27"/>
      <c r="G136" s="12">
        <f t="shared" si="41"/>
        <v>0</v>
      </c>
      <c r="H136" s="14">
        <f>ROUNDDOWN(IF(OR(B136="ACAO",B136="DIR",B136="ETF"),G136*Configurações!$B$9,IF(B136="OPCAO",G136*Configurações!$B$23,0)),2)</f>
        <v>0</v>
      </c>
      <c r="I136" s="14">
        <f>ROUNDDOWN(IF(OR(B136="ACAO",B136="ETF",B136="DIR"),G136*Configurações!$C$9,IF(B136="OPCAO",G136*Configurações!$C$23,0)),2)</f>
        <v>0</v>
      </c>
      <c r="J136" s="14">
        <f>ROUNDDOWN(IF(OR(B136="ACAO",B136="ETF",B136="DIR"),G136*Configurações!$D$9,IF(B136="OPCAO",G136*Configurações!$D$23,0)),2)</f>
        <v>0</v>
      </c>
      <c r="K136" s="27"/>
      <c r="L136" s="27"/>
      <c r="M136" s="15">
        <f t="shared" si="42"/>
        <v>0</v>
      </c>
      <c r="N136" s="17">
        <f t="shared" si="43"/>
        <v>0</v>
      </c>
      <c r="O136" s="113"/>
      <c r="P136" s="160">
        <f t="shared" si="32"/>
        <v>0</v>
      </c>
      <c r="Q136" s="161">
        <f t="shared" si="33"/>
        <v>0</v>
      </c>
      <c r="R136" s="162">
        <f t="shared" si="34"/>
        <v>0</v>
      </c>
      <c r="S136" s="163" t="e">
        <f t="shared" si="35"/>
        <v>#DIV/0!</v>
      </c>
      <c r="T136" s="146">
        <f t="shared" si="36"/>
        <v>0</v>
      </c>
      <c r="U136" s="146">
        <f t="shared" si="37"/>
        <v>0</v>
      </c>
      <c r="V136" s="146">
        <f>IF(P136&gt;0,T136-SUM($U$87:U136),IF(P136=0,V135,IF(P136&lt;0,V135+(P136*W136))))</f>
        <v>0</v>
      </c>
      <c r="W136" s="147" t="e">
        <f t="shared" si="38"/>
        <v>#DIV/0!</v>
      </c>
      <c r="X136" s="1"/>
      <c r="Y136" s="1"/>
      <c r="Z136" s="1"/>
      <c r="AA136" s="1"/>
      <c r="AB136" s="1"/>
    </row>
    <row r="137" spans="2:28" ht="13.9" customHeight="1" x14ac:dyDescent="0.2">
      <c r="B137" s="49" t="s">
        <v>30</v>
      </c>
      <c r="C137" s="43"/>
      <c r="D137" s="11"/>
      <c r="E137" s="11"/>
      <c r="F137" s="27"/>
      <c r="G137" s="12">
        <f t="shared" ref="G137:G149" si="44">E137*F137</f>
        <v>0</v>
      </c>
      <c r="H137" s="14">
        <f>ROUNDDOWN(IF(OR(B137="ACAO",B137="DIR",B137="ETF"),G137*Configurações!$B$9,IF(B137="OPCAO",G137*Configurações!$B$23,0)),2)</f>
        <v>0</v>
      </c>
      <c r="I137" s="14">
        <f>ROUNDDOWN(IF(OR(B137="ACAO",B137="ETF",B137="DIR"),G137*Configurações!$C$9,IF(B137="OPCAO",G137*Configurações!$C$23,0)),2)</f>
        <v>0</v>
      </c>
      <c r="J137" s="14">
        <f>ROUNDDOWN(IF(OR(B137="ACAO",B137="ETF",B137="DIR"),G137*Configurações!$D$9,IF(B137="OPCAO",G137*Configurações!$D$23,0)),2)</f>
        <v>0</v>
      </c>
      <c r="K137" s="27"/>
      <c r="L137" s="27"/>
      <c r="M137" s="15">
        <f t="shared" ref="M137:M149" si="45">-G137+J137+K137+N137+L137+I137+H137</f>
        <v>0</v>
      </c>
      <c r="N137" s="17">
        <f t="shared" ref="N137:N149" si="46">K137*$N$85</f>
        <v>0</v>
      </c>
      <c r="O137" s="113"/>
      <c r="P137" s="160">
        <f t="shared" si="32"/>
        <v>0</v>
      </c>
      <c r="Q137" s="161">
        <f t="shared" si="33"/>
        <v>0</v>
      </c>
      <c r="R137" s="162">
        <f t="shared" si="34"/>
        <v>0</v>
      </c>
      <c r="S137" s="163" t="e">
        <f t="shared" si="35"/>
        <v>#DIV/0!</v>
      </c>
      <c r="T137" s="146">
        <f t="shared" si="36"/>
        <v>0</v>
      </c>
      <c r="U137" s="146">
        <f t="shared" si="37"/>
        <v>0</v>
      </c>
      <c r="V137" s="146">
        <f>IF(P137&gt;0,T137-SUM($U$87:U137),IF(P137=0,V136,IF(P137&lt;0,V136+(P137*W137))))</f>
        <v>0</v>
      </c>
      <c r="W137" s="147" t="e">
        <f t="shared" si="38"/>
        <v>#DIV/0!</v>
      </c>
      <c r="X137" s="1"/>
      <c r="Y137" s="1"/>
      <c r="Z137" s="1"/>
      <c r="AA137" s="1"/>
      <c r="AB137" s="1"/>
    </row>
    <row r="138" spans="2:28" ht="13.9" customHeight="1" x14ac:dyDescent="0.2">
      <c r="B138" s="49" t="s">
        <v>30</v>
      </c>
      <c r="C138" s="43"/>
      <c r="D138" s="11"/>
      <c r="E138" s="11"/>
      <c r="F138" s="27"/>
      <c r="G138" s="12">
        <f t="shared" si="44"/>
        <v>0</v>
      </c>
      <c r="H138" s="14">
        <f>ROUNDDOWN(IF(OR(B138="ACAO",B138="DIR",B138="ETF"),G138*Configurações!$B$9,IF(B138="OPCAO",G138*Configurações!$B$23,0)),2)</f>
        <v>0</v>
      </c>
      <c r="I138" s="14">
        <f>ROUNDDOWN(IF(OR(B138="ACAO",B138="ETF",B138="DIR"),G138*Configurações!$C$9,IF(B138="OPCAO",G138*Configurações!$C$23,0)),2)</f>
        <v>0</v>
      </c>
      <c r="J138" s="14">
        <f>ROUNDDOWN(IF(OR(B138="ACAO",B138="ETF",B138="DIR"),G138*Configurações!$D$9,IF(B138="OPCAO",G138*Configurações!$D$23,0)),2)</f>
        <v>0</v>
      </c>
      <c r="K138" s="27"/>
      <c r="L138" s="27"/>
      <c r="M138" s="15">
        <f t="shared" si="45"/>
        <v>0</v>
      </c>
      <c r="N138" s="17">
        <f t="shared" si="46"/>
        <v>0</v>
      </c>
      <c r="O138" s="113"/>
      <c r="P138" s="160">
        <f t="shared" si="32"/>
        <v>0</v>
      </c>
      <c r="Q138" s="161">
        <f t="shared" si="33"/>
        <v>0</v>
      </c>
      <c r="R138" s="162">
        <f t="shared" si="34"/>
        <v>0</v>
      </c>
      <c r="S138" s="163" t="e">
        <f t="shared" si="35"/>
        <v>#DIV/0!</v>
      </c>
      <c r="T138" s="146">
        <f t="shared" si="36"/>
        <v>0</v>
      </c>
      <c r="U138" s="146">
        <f t="shared" si="37"/>
        <v>0</v>
      </c>
      <c r="V138" s="146">
        <f>IF(P138&gt;0,T138-SUM($U$87:U138),IF(P138=0,V137,IF(P138&lt;0,V137+(P138*W138))))</f>
        <v>0</v>
      </c>
      <c r="W138" s="147" t="e">
        <f t="shared" si="38"/>
        <v>#DIV/0!</v>
      </c>
      <c r="X138" s="1"/>
      <c r="Y138" s="1"/>
      <c r="Z138" s="1"/>
      <c r="AA138" s="1"/>
      <c r="AB138" s="1"/>
    </row>
    <row r="139" spans="2:28" ht="13.9" customHeight="1" x14ac:dyDescent="0.2">
      <c r="B139" s="49" t="s">
        <v>30</v>
      </c>
      <c r="C139" s="43"/>
      <c r="D139" s="11"/>
      <c r="E139" s="11"/>
      <c r="F139" s="27"/>
      <c r="G139" s="12">
        <f t="shared" si="44"/>
        <v>0</v>
      </c>
      <c r="H139" s="14">
        <f>ROUNDDOWN(IF(OR(B139="ACAO",B139="DIR",B139="ETF"),G139*Configurações!$B$9,IF(B139="OPCAO",G139*Configurações!$B$23,0)),2)</f>
        <v>0</v>
      </c>
      <c r="I139" s="14">
        <f>ROUNDDOWN(IF(OR(B139="ACAO",B139="ETF",B139="DIR"),G139*Configurações!$C$9,IF(B139="OPCAO",G139*Configurações!$C$23,0)),2)</f>
        <v>0</v>
      </c>
      <c r="J139" s="14">
        <f>ROUNDDOWN(IF(OR(B139="ACAO",B139="ETF",B139="DIR"),G139*Configurações!$D$9,IF(B139="OPCAO",G139*Configurações!$D$23,0)),2)</f>
        <v>0</v>
      </c>
      <c r="K139" s="27"/>
      <c r="L139" s="27"/>
      <c r="M139" s="15">
        <f t="shared" si="45"/>
        <v>0</v>
      </c>
      <c r="N139" s="17">
        <f t="shared" si="46"/>
        <v>0</v>
      </c>
      <c r="O139" s="113"/>
      <c r="P139" s="160">
        <f t="shared" si="32"/>
        <v>0</v>
      </c>
      <c r="Q139" s="161">
        <f t="shared" si="33"/>
        <v>0</v>
      </c>
      <c r="R139" s="162">
        <f t="shared" si="34"/>
        <v>0</v>
      </c>
      <c r="S139" s="163" t="e">
        <f t="shared" si="35"/>
        <v>#DIV/0!</v>
      </c>
      <c r="T139" s="146">
        <f t="shared" si="36"/>
        <v>0</v>
      </c>
      <c r="U139" s="146">
        <f t="shared" si="37"/>
        <v>0</v>
      </c>
      <c r="V139" s="146">
        <f>IF(P139&gt;0,T139-SUM($U$87:U139),IF(P139=0,V138,IF(P139&lt;0,V138+(P139*W139))))</f>
        <v>0</v>
      </c>
      <c r="W139" s="147" t="e">
        <f t="shared" si="38"/>
        <v>#DIV/0!</v>
      </c>
      <c r="X139" s="1"/>
      <c r="Y139" s="1"/>
      <c r="Z139" s="1"/>
      <c r="AA139" s="1"/>
      <c r="AB139" s="1"/>
    </row>
    <row r="140" spans="2:28" ht="13.9" customHeight="1" x14ac:dyDescent="0.2">
      <c r="B140" s="49" t="s">
        <v>30</v>
      </c>
      <c r="C140" s="43"/>
      <c r="D140" s="11"/>
      <c r="E140" s="11"/>
      <c r="F140" s="27"/>
      <c r="G140" s="12">
        <f t="shared" si="44"/>
        <v>0</v>
      </c>
      <c r="H140" s="14">
        <f>ROUNDDOWN(IF(OR(B140="ACAO",B140="DIR",B140="ETF"),G140*Configurações!$B$9,IF(B140="OPCAO",G140*Configurações!$B$23,0)),2)</f>
        <v>0</v>
      </c>
      <c r="I140" s="14">
        <f>ROUNDDOWN(IF(OR(B140="ACAO",B140="ETF",B140="DIR"),G140*Configurações!$C$9,IF(B140="OPCAO",G140*Configurações!$C$23,0)),2)</f>
        <v>0</v>
      </c>
      <c r="J140" s="14">
        <f>ROUNDDOWN(IF(OR(B140="ACAO",B140="ETF",B140="DIR"),G140*Configurações!$D$9,IF(B140="OPCAO",G140*Configurações!$D$23,0)),2)</f>
        <v>0</v>
      </c>
      <c r="K140" s="27"/>
      <c r="L140" s="27"/>
      <c r="M140" s="15">
        <f t="shared" si="45"/>
        <v>0</v>
      </c>
      <c r="N140" s="17">
        <f t="shared" si="46"/>
        <v>0</v>
      </c>
      <c r="O140" s="113"/>
      <c r="P140" s="160">
        <f t="shared" si="32"/>
        <v>0</v>
      </c>
      <c r="Q140" s="161">
        <f t="shared" si="33"/>
        <v>0</v>
      </c>
      <c r="R140" s="162">
        <f t="shared" si="34"/>
        <v>0</v>
      </c>
      <c r="S140" s="163" t="e">
        <f t="shared" si="35"/>
        <v>#DIV/0!</v>
      </c>
      <c r="T140" s="146">
        <f t="shared" si="36"/>
        <v>0</v>
      </c>
      <c r="U140" s="146">
        <f t="shared" si="37"/>
        <v>0</v>
      </c>
      <c r="V140" s="146">
        <f>IF(P140&gt;0,T140-SUM($U$87:U140),IF(P140=0,V139,IF(P140&lt;0,V139+(P140*W140))))</f>
        <v>0</v>
      </c>
      <c r="W140" s="147" t="e">
        <f t="shared" si="38"/>
        <v>#DIV/0!</v>
      </c>
      <c r="X140" s="1"/>
      <c r="Y140" s="1"/>
      <c r="Z140" s="1"/>
      <c r="AA140" s="1"/>
      <c r="AB140" s="1"/>
    </row>
    <row r="141" spans="2:28" ht="13.9" customHeight="1" x14ac:dyDescent="0.2">
      <c r="B141" s="49" t="s">
        <v>30</v>
      </c>
      <c r="C141" s="43"/>
      <c r="D141" s="11"/>
      <c r="E141" s="11"/>
      <c r="F141" s="27"/>
      <c r="G141" s="12">
        <f t="shared" si="44"/>
        <v>0</v>
      </c>
      <c r="H141" s="14">
        <f>ROUNDDOWN(IF(OR(B141="ACAO",B141="DIR",B141="ETF"),G141*Configurações!$B$9,IF(B141="OPCAO",G141*Configurações!$B$23,0)),2)</f>
        <v>0</v>
      </c>
      <c r="I141" s="14">
        <f>ROUNDDOWN(IF(OR(B141="ACAO",B141="ETF",B141="DIR"),G141*Configurações!$C$9,IF(B141="OPCAO",G141*Configurações!$C$23,0)),2)</f>
        <v>0</v>
      </c>
      <c r="J141" s="14">
        <f>ROUNDDOWN(IF(OR(B141="ACAO",B141="ETF",B141="DIR"),G141*Configurações!$D$9,IF(B141="OPCAO",G141*Configurações!$D$23,0)),2)</f>
        <v>0</v>
      </c>
      <c r="K141" s="27"/>
      <c r="L141" s="27"/>
      <c r="M141" s="15">
        <f t="shared" si="45"/>
        <v>0</v>
      </c>
      <c r="N141" s="17">
        <f t="shared" si="46"/>
        <v>0</v>
      </c>
      <c r="O141" s="113"/>
      <c r="P141" s="160">
        <f t="shared" si="32"/>
        <v>0</v>
      </c>
      <c r="Q141" s="161">
        <f t="shared" si="33"/>
        <v>0</v>
      </c>
      <c r="R141" s="162">
        <f t="shared" si="34"/>
        <v>0</v>
      </c>
      <c r="S141" s="163" t="e">
        <f t="shared" si="35"/>
        <v>#DIV/0!</v>
      </c>
      <c r="T141" s="146">
        <f t="shared" si="36"/>
        <v>0</v>
      </c>
      <c r="U141" s="146">
        <f t="shared" si="37"/>
        <v>0</v>
      </c>
      <c r="V141" s="146">
        <f>IF(P141&gt;0,T141-SUM($U$87:U141),IF(P141=0,V140,IF(P141&lt;0,V140+(P141*W141))))</f>
        <v>0</v>
      </c>
      <c r="W141" s="147" t="e">
        <f t="shared" si="38"/>
        <v>#DIV/0!</v>
      </c>
      <c r="X141" s="1"/>
      <c r="Y141" s="1"/>
      <c r="Z141" s="1"/>
      <c r="AA141" s="1"/>
      <c r="AB141" s="1"/>
    </row>
    <row r="142" spans="2:28" ht="13.9" customHeight="1" x14ac:dyDescent="0.2">
      <c r="B142" s="49" t="s">
        <v>30</v>
      </c>
      <c r="C142" s="43"/>
      <c r="D142" s="11"/>
      <c r="E142" s="11"/>
      <c r="F142" s="27"/>
      <c r="G142" s="12">
        <f>E142*F142</f>
        <v>0</v>
      </c>
      <c r="H142" s="14">
        <f>ROUNDDOWN(IF(OR(B142="ACAO",B142="DIR",B142="ETF"),G142*Configurações!$B$9,IF(B142="OPCAO",G142*Configurações!$B$23,0)),2)</f>
        <v>0</v>
      </c>
      <c r="I142" s="14">
        <f>ROUNDDOWN(IF(OR(B142="ACAO",B142="ETF",B142="DIR"),G142*Configurações!$C$9,IF(B142="OPCAO",G142*Configurações!$C$23,0)),2)</f>
        <v>0</v>
      </c>
      <c r="J142" s="14">
        <f>ROUNDDOWN(IF(OR(B142="ACAO",B142="ETF",B142="DIR"),G142*Configurações!$D$9,IF(B142="OPCAO",G142*Configurações!$D$23,0)),2)</f>
        <v>0</v>
      </c>
      <c r="K142" s="27"/>
      <c r="L142" s="27"/>
      <c r="M142" s="15">
        <f>-G142+J142+K142+N142+L142+I142+H142</f>
        <v>0</v>
      </c>
      <c r="N142" s="17">
        <f>K142*$N$85</f>
        <v>0</v>
      </c>
      <c r="O142" s="113"/>
      <c r="P142" s="160">
        <f t="shared" si="32"/>
        <v>0</v>
      </c>
      <c r="Q142" s="161">
        <f t="shared" si="33"/>
        <v>0</v>
      </c>
      <c r="R142" s="162">
        <f t="shared" si="34"/>
        <v>0</v>
      </c>
      <c r="S142" s="163" t="e">
        <f t="shared" si="35"/>
        <v>#DIV/0!</v>
      </c>
      <c r="T142" s="146">
        <f t="shared" si="36"/>
        <v>0</v>
      </c>
      <c r="U142" s="146">
        <f t="shared" si="37"/>
        <v>0</v>
      </c>
      <c r="V142" s="146">
        <f>IF(P142&gt;0,T142-SUM($U$87:U142),IF(P142=0,V141,IF(P142&lt;0,V141+(P142*W142))))</f>
        <v>0</v>
      </c>
      <c r="W142" s="147" t="e">
        <f t="shared" si="38"/>
        <v>#DIV/0!</v>
      </c>
      <c r="X142" s="1"/>
      <c r="Y142" s="1"/>
      <c r="Z142" s="1"/>
      <c r="AA142" s="1"/>
      <c r="AB142" s="1"/>
    </row>
    <row r="143" spans="2:28" ht="13.9" customHeight="1" x14ac:dyDescent="0.2">
      <c r="B143" s="49" t="s">
        <v>30</v>
      </c>
      <c r="C143" s="43"/>
      <c r="D143" s="11"/>
      <c r="E143" s="11"/>
      <c r="F143" s="27"/>
      <c r="G143" s="12">
        <f>E143*F143</f>
        <v>0</v>
      </c>
      <c r="H143" s="14">
        <f>ROUNDDOWN(IF(OR(B143="ACAO",B143="DIR",B143="ETF"),G143*Configurações!$B$9,IF(B143="OPCAO",G143*Configurações!$B$23,0)),2)</f>
        <v>0</v>
      </c>
      <c r="I143" s="14">
        <f>ROUNDDOWN(IF(OR(B143="ACAO",B143="ETF",B143="DIR"),G143*Configurações!$C$9,IF(B143="OPCAO",G143*Configurações!$C$23,0)),2)</f>
        <v>0</v>
      </c>
      <c r="J143" s="14">
        <f>ROUNDDOWN(IF(OR(B143="ACAO",B143="ETF",B143="DIR"),G143*Configurações!$D$9,IF(B143="OPCAO",G143*Configurações!$D$23,0)),2)</f>
        <v>0</v>
      </c>
      <c r="K143" s="27"/>
      <c r="L143" s="27"/>
      <c r="M143" s="15">
        <f>-G143+J143+K143+N143+L143+I143+H143</f>
        <v>0</v>
      </c>
      <c r="N143" s="17">
        <f>K143*$N$85</f>
        <v>0</v>
      </c>
      <c r="O143" s="113"/>
      <c r="P143" s="160">
        <f t="shared" si="32"/>
        <v>0</v>
      </c>
      <c r="Q143" s="161">
        <f t="shared" si="33"/>
        <v>0</v>
      </c>
      <c r="R143" s="162">
        <f t="shared" si="34"/>
        <v>0</v>
      </c>
      <c r="S143" s="163" t="e">
        <f t="shared" si="35"/>
        <v>#DIV/0!</v>
      </c>
      <c r="T143" s="146">
        <f t="shared" si="36"/>
        <v>0</v>
      </c>
      <c r="U143" s="146">
        <f t="shared" si="37"/>
        <v>0</v>
      </c>
      <c r="V143" s="146">
        <f>IF(P143&gt;0,T143-SUM($U$87:U143),IF(P143=0,V142,IF(P143&lt;0,V142+(P143*W143))))</f>
        <v>0</v>
      </c>
      <c r="W143" s="147" t="e">
        <f t="shared" si="38"/>
        <v>#DIV/0!</v>
      </c>
      <c r="X143" s="1"/>
      <c r="Y143" s="1"/>
      <c r="Z143" s="1"/>
      <c r="AA143" s="1"/>
      <c r="AB143" s="1"/>
    </row>
    <row r="144" spans="2:28" ht="13.9" customHeight="1" x14ac:dyDescent="0.2">
      <c r="B144" s="49" t="s">
        <v>30</v>
      </c>
      <c r="C144" s="43"/>
      <c r="D144" s="11"/>
      <c r="E144" s="11"/>
      <c r="F144" s="27"/>
      <c r="G144" s="12">
        <f t="shared" si="44"/>
        <v>0</v>
      </c>
      <c r="H144" s="14">
        <f>ROUNDDOWN(IF(OR(B144="ACAO",B144="DIR",B144="ETF"),G144*Configurações!$B$9,IF(B144="OPCAO",G144*Configurações!$B$23,0)),2)</f>
        <v>0</v>
      </c>
      <c r="I144" s="14">
        <f>ROUNDDOWN(IF(OR(B144="ACAO",B144="ETF",B144="DIR"),G144*Configurações!$C$9,IF(B144="OPCAO",G144*Configurações!$C$23,0)),2)</f>
        <v>0</v>
      </c>
      <c r="J144" s="14">
        <f>ROUNDDOWN(IF(OR(B144="ACAO",B144="ETF",B144="DIR"),G144*Configurações!$D$9,IF(B144="OPCAO",G144*Configurações!$D$23,0)),2)</f>
        <v>0</v>
      </c>
      <c r="K144" s="27"/>
      <c r="L144" s="27"/>
      <c r="M144" s="15">
        <f t="shared" si="45"/>
        <v>0</v>
      </c>
      <c r="N144" s="17">
        <f t="shared" si="46"/>
        <v>0</v>
      </c>
      <c r="O144" s="113"/>
      <c r="P144" s="160">
        <f t="shared" si="32"/>
        <v>0</v>
      </c>
      <c r="Q144" s="161">
        <f t="shared" si="33"/>
        <v>0</v>
      </c>
      <c r="R144" s="162">
        <f t="shared" si="34"/>
        <v>0</v>
      </c>
      <c r="S144" s="163" t="e">
        <f t="shared" si="35"/>
        <v>#DIV/0!</v>
      </c>
      <c r="T144" s="146">
        <f t="shared" si="36"/>
        <v>0</v>
      </c>
      <c r="U144" s="146">
        <f t="shared" si="37"/>
        <v>0</v>
      </c>
      <c r="V144" s="146">
        <f>IF(P144&gt;0,T144-SUM($U$87:U144),IF(P144=0,V143,IF(P144&lt;0,V143+(P144*W144))))</f>
        <v>0</v>
      </c>
      <c r="W144" s="147" t="e">
        <f t="shared" si="38"/>
        <v>#DIV/0!</v>
      </c>
      <c r="X144" s="1"/>
      <c r="Y144" s="1"/>
      <c r="Z144" s="1"/>
      <c r="AA144" s="1"/>
      <c r="AB144" s="1"/>
    </row>
    <row r="145" spans="2:28" ht="13.9" customHeight="1" x14ac:dyDescent="0.2">
      <c r="B145" s="49" t="s">
        <v>30</v>
      </c>
      <c r="C145" s="43"/>
      <c r="D145" s="11"/>
      <c r="E145" s="11"/>
      <c r="F145" s="27"/>
      <c r="G145" s="12">
        <f t="shared" si="44"/>
        <v>0</v>
      </c>
      <c r="H145" s="14">
        <f>ROUNDDOWN(IF(OR(B145="ACAO",B145="DIR",B145="ETF"),G145*Configurações!$B$9,IF(B145="OPCAO",G145*Configurações!$B$23,0)),2)</f>
        <v>0</v>
      </c>
      <c r="I145" s="14">
        <f>ROUNDDOWN(IF(OR(B145="ACAO",B145="ETF",B145="DIR"),G145*Configurações!$C$9,IF(B145="OPCAO",G145*Configurações!$C$23,0)),2)</f>
        <v>0</v>
      </c>
      <c r="J145" s="14">
        <f>ROUNDDOWN(IF(OR(B145="ACAO",B145="ETF",B145="DIR"),G145*Configurações!$D$9,IF(B145="OPCAO",G145*Configurações!$D$23,0)),2)</f>
        <v>0</v>
      </c>
      <c r="K145" s="27"/>
      <c r="L145" s="27"/>
      <c r="M145" s="15">
        <f t="shared" si="45"/>
        <v>0</v>
      </c>
      <c r="N145" s="17">
        <f t="shared" si="46"/>
        <v>0</v>
      </c>
      <c r="O145" s="113"/>
      <c r="P145" s="160">
        <f t="shared" si="32"/>
        <v>0</v>
      </c>
      <c r="Q145" s="161">
        <f t="shared" si="33"/>
        <v>0</v>
      </c>
      <c r="R145" s="162">
        <f t="shared" si="34"/>
        <v>0</v>
      </c>
      <c r="S145" s="163" t="e">
        <f t="shared" si="35"/>
        <v>#DIV/0!</v>
      </c>
      <c r="T145" s="146">
        <f t="shared" si="36"/>
        <v>0</v>
      </c>
      <c r="U145" s="146">
        <f t="shared" si="37"/>
        <v>0</v>
      </c>
      <c r="V145" s="146">
        <f>IF(P145&gt;0,T145-SUM($U$87:U145),IF(P145=0,V144,IF(P145&lt;0,V144+(P145*W145))))</f>
        <v>0</v>
      </c>
      <c r="W145" s="147" t="e">
        <f t="shared" si="38"/>
        <v>#DIV/0!</v>
      </c>
      <c r="X145" s="1"/>
      <c r="Y145" s="1"/>
      <c r="Z145" s="1"/>
      <c r="AA145" s="1"/>
      <c r="AB145" s="1"/>
    </row>
    <row r="146" spans="2:28" ht="13.9" customHeight="1" x14ac:dyDescent="0.2">
      <c r="B146" s="49" t="s">
        <v>30</v>
      </c>
      <c r="C146" s="43"/>
      <c r="D146" s="11"/>
      <c r="E146" s="11"/>
      <c r="F146" s="27"/>
      <c r="G146" s="12">
        <f t="shared" si="44"/>
        <v>0</v>
      </c>
      <c r="H146" s="14">
        <f>ROUNDDOWN(IF(OR(B146="ACAO",B146="DIR",B146="ETF"),G146*Configurações!$B$9,IF(B146="OPCAO",G146*Configurações!$B$23,0)),2)</f>
        <v>0</v>
      </c>
      <c r="I146" s="14">
        <f>ROUNDDOWN(IF(OR(B146="ACAO",B146="ETF",B146="DIR"),G146*Configurações!$C$9,IF(B146="OPCAO",G146*Configurações!$C$23,0)),2)</f>
        <v>0</v>
      </c>
      <c r="J146" s="14">
        <f>ROUNDDOWN(IF(OR(B146="ACAO",B146="ETF",B146="DIR"),G146*Configurações!$D$9,IF(B146="OPCAO",G146*Configurações!$D$23,0)),2)</f>
        <v>0</v>
      </c>
      <c r="K146" s="27"/>
      <c r="L146" s="27"/>
      <c r="M146" s="15">
        <f t="shared" si="45"/>
        <v>0</v>
      </c>
      <c r="N146" s="17">
        <f t="shared" si="46"/>
        <v>0</v>
      </c>
      <c r="O146" s="113"/>
      <c r="P146" s="160">
        <f t="shared" si="32"/>
        <v>0</v>
      </c>
      <c r="Q146" s="161">
        <f t="shared" si="33"/>
        <v>0</v>
      </c>
      <c r="R146" s="162">
        <f t="shared" si="34"/>
        <v>0</v>
      </c>
      <c r="S146" s="163" t="e">
        <f t="shared" si="35"/>
        <v>#DIV/0!</v>
      </c>
      <c r="T146" s="146">
        <f t="shared" si="36"/>
        <v>0</v>
      </c>
      <c r="U146" s="146">
        <f t="shared" si="37"/>
        <v>0</v>
      </c>
      <c r="V146" s="146">
        <f>IF(P146&gt;0,T146-SUM($U$87:U146),IF(P146=0,V145,IF(P146&lt;0,V145+(P146*W146))))</f>
        <v>0</v>
      </c>
      <c r="W146" s="147" t="e">
        <f t="shared" si="38"/>
        <v>#DIV/0!</v>
      </c>
      <c r="X146" s="1"/>
      <c r="Y146" s="1"/>
      <c r="Z146" s="1"/>
      <c r="AA146" s="1"/>
      <c r="AB146" s="1"/>
    </row>
    <row r="147" spans="2:28" ht="13.9" customHeight="1" x14ac:dyDescent="0.2">
      <c r="B147" s="49" t="s">
        <v>30</v>
      </c>
      <c r="C147" s="43"/>
      <c r="D147" s="11"/>
      <c r="E147" s="11"/>
      <c r="F147" s="27"/>
      <c r="G147" s="12">
        <f t="shared" si="44"/>
        <v>0</v>
      </c>
      <c r="H147" s="14">
        <f>ROUNDDOWN(IF(OR(B147="ACAO",B147="DIR",B147="ETF"),G147*Configurações!$B$9,IF(B147="OPCAO",G147*Configurações!$B$23,0)),2)</f>
        <v>0</v>
      </c>
      <c r="I147" s="14">
        <f>ROUNDDOWN(IF(OR(B147="ACAO",B147="ETF",B147="DIR"),G147*Configurações!$C$9,IF(B147="OPCAO",G147*Configurações!$C$23,0)),2)</f>
        <v>0</v>
      </c>
      <c r="J147" s="14">
        <f>ROUNDDOWN(IF(OR(B147="ACAO",B147="ETF",B147="DIR"),G147*Configurações!$D$9,IF(B147="OPCAO",G147*Configurações!$D$23,0)),2)</f>
        <v>0</v>
      </c>
      <c r="K147" s="27"/>
      <c r="L147" s="27"/>
      <c r="M147" s="15">
        <f t="shared" si="45"/>
        <v>0</v>
      </c>
      <c r="N147" s="17">
        <f t="shared" si="46"/>
        <v>0</v>
      </c>
      <c r="O147" s="113"/>
      <c r="P147" s="160">
        <f t="shared" si="32"/>
        <v>0</v>
      </c>
      <c r="Q147" s="161">
        <f t="shared" si="33"/>
        <v>0</v>
      </c>
      <c r="R147" s="162">
        <f t="shared" si="34"/>
        <v>0</v>
      </c>
      <c r="S147" s="163" t="e">
        <f t="shared" si="35"/>
        <v>#DIV/0!</v>
      </c>
      <c r="T147" s="146">
        <f t="shared" si="36"/>
        <v>0</v>
      </c>
      <c r="U147" s="146">
        <f t="shared" si="37"/>
        <v>0</v>
      </c>
      <c r="V147" s="146">
        <f>IF(P147&gt;0,T147-SUM($U$87:U147),IF(P147=0,V146,IF(P147&lt;0,V146+(P147*W147))))</f>
        <v>0</v>
      </c>
      <c r="W147" s="147" t="e">
        <f t="shared" si="38"/>
        <v>#DIV/0!</v>
      </c>
      <c r="X147" s="1"/>
      <c r="Y147" s="1"/>
      <c r="Z147" s="1"/>
      <c r="AA147" s="1"/>
      <c r="AB147" s="1"/>
    </row>
    <row r="148" spans="2:28" ht="13.9" customHeight="1" x14ac:dyDescent="0.2">
      <c r="B148" s="49" t="s">
        <v>30</v>
      </c>
      <c r="C148" s="43"/>
      <c r="D148" s="11"/>
      <c r="E148" s="11"/>
      <c r="F148" s="27"/>
      <c r="G148" s="12">
        <f t="shared" si="44"/>
        <v>0</v>
      </c>
      <c r="H148" s="14">
        <f>ROUNDDOWN(IF(OR(B148="ACAO",B148="DIR",B148="ETF"),G148*Configurações!$B$9,IF(B148="OPCAO",G148*Configurações!$B$23,0)),2)</f>
        <v>0</v>
      </c>
      <c r="I148" s="14">
        <f>ROUNDDOWN(IF(OR(B148="ACAO",B148="ETF",B148="DIR"),G148*Configurações!$C$9,IF(B148="OPCAO",G148*Configurações!$C$23,0)),2)</f>
        <v>0</v>
      </c>
      <c r="J148" s="14">
        <f>ROUNDDOWN(IF(OR(B148="ACAO",B148="ETF",B148="DIR"),G148*Configurações!$D$9,IF(B148="OPCAO",G148*Configurações!$D$23,0)),2)</f>
        <v>0</v>
      </c>
      <c r="K148" s="27"/>
      <c r="L148" s="27"/>
      <c r="M148" s="15">
        <f t="shared" si="45"/>
        <v>0</v>
      </c>
      <c r="N148" s="17">
        <f t="shared" si="46"/>
        <v>0</v>
      </c>
      <c r="O148" s="113"/>
      <c r="P148" s="160">
        <f t="shared" si="32"/>
        <v>0</v>
      </c>
      <c r="Q148" s="161">
        <f t="shared" si="33"/>
        <v>0</v>
      </c>
      <c r="R148" s="162">
        <f t="shared" si="34"/>
        <v>0</v>
      </c>
      <c r="S148" s="163" t="e">
        <f t="shared" si="35"/>
        <v>#DIV/0!</v>
      </c>
      <c r="T148" s="146">
        <f t="shared" si="36"/>
        <v>0</v>
      </c>
      <c r="U148" s="146">
        <f t="shared" si="37"/>
        <v>0</v>
      </c>
      <c r="V148" s="146">
        <f>IF(P148&gt;0,T148-SUM($U$87:U148),IF(P148=0,V147,IF(P148&lt;0,V147+(P148*W148))))</f>
        <v>0</v>
      </c>
      <c r="W148" s="147" t="e">
        <f t="shared" si="38"/>
        <v>#DIV/0!</v>
      </c>
      <c r="X148" s="1"/>
      <c r="Y148" s="1"/>
      <c r="Z148" s="1"/>
      <c r="AA148" s="1"/>
      <c r="AB148" s="1"/>
    </row>
    <row r="149" spans="2:28" ht="13.9" customHeight="1" x14ac:dyDescent="0.2">
      <c r="B149" s="49" t="s">
        <v>30</v>
      </c>
      <c r="C149" s="43"/>
      <c r="D149" s="11"/>
      <c r="E149" s="11"/>
      <c r="F149" s="27"/>
      <c r="G149" s="12">
        <f t="shared" si="44"/>
        <v>0</v>
      </c>
      <c r="H149" s="14">
        <f>ROUNDDOWN(IF(OR(B149="ACAO",B149="DIR",B149="ETF"),G149*Configurações!$B$9,IF(B149="OPCAO",G149*Configurações!$B$23,0)),2)</f>
        <v>0</v>
      </c>
      <c r="I149" s="14">
        <f>ROUNDDOWN(IF(OR(B149="ACAO",B149="ETF",B149="DIR"),G149*Configurações!$C$9,IF(B149="OPCAO",G149*Configurações!$C$23,0)),2)</f>
        <v>0</v>
      </c>
      <c r="J149" s="14">
        <f>ROUNDDOWN(IF(OR(B149="ACAO",B149="ETF",B149="DIR"),G149*Configurações!$D$9,IF(B149="OPCAO",G149*Configurações!$D$23,0)),2)</f>
        <v>0</v>
      </c>
      <c r="K149" s="27"/>
      <c r="L149" s="27"/>
      <c r="M149" s="15">
        <f t="shared" si="45"/>
        <v>0</v>
      </c>
      <c r="N149" s="17">
        <f t="shared" si="46"/>
        <v>0</v>
      </c>
      <c r="O149" s="113"/>
      <c r="P149" s="160">
        <f t="shared" si="32"/>
        <v>0</v>
      </c>
      <c r="Q149" s="161">
        <f t="shared" si="33"/>
        <v>0</v>
      </c>
      <c r="R149" s="162">
        <f t="shared" si="34"/>
        <v>0</v>
      </c>
      <c r="S149" s="163" t="e">
        <f t="shared" si="35"/>
        <v>#DIV/0!</v>
      </c>
      <c r="T149" s="146">
        <f t="shared" si="36"/>
        <v>0</v>
      </c>
      <c r="U149" s="146">
        <f t="shared" si="37"/>
        <v>0</v>
      </c>
      <c r="V149" s="146">
        <f>IF(P149&gt;0,T149-SUM($U$87:U149),IF(P149=0,V148,IF(P149&lt;0,V148+(P149*W149))))</f>
        <v>0</v>
      </c>
      <c r="W149" s="147" t="e">
        <f t="shared" si="38"/>
        <v>#DIV/0!</v>
      </c>
      <c r="X149" s="1"/>
      <c r="Y149" s="1"/>
      <c r="Z149" s="1"/>
      <c r="AA149" s="1"/>
      <c r="AB149" s="1"/>
    </row>
    <row r="150" spans="2:28" ht="13.9" customHeight="1" x14ac:dyDescent="0.2">
      <c r="B150" s="49" t="s">
        <v>30</v>
      </c>
      <c r="C150" s="43"/>
      <c r="D150" s="11"/>
      <c r="E150" s="11"/>
      <c r="F150" s="27"/>
      <c r="G150" s="12">
        <f t="shared" ref="G150:G161" si="47">E150*F150</f>
        <v>0</v>
      </c>
      <c r="H150" s="14">
        <f>ROUNDDOWN(IF(OR(B150="ACAO",B150="DIR",B150="ETF"),G150*Configurações!$B$9,IF(B150="OPCAO",G150*Configurações!$B$23,0)),2)</f>
        <v>0</v>
      </c>
      <c r="I150" s="14">
        <f>ROUNDDOWN(IF(OR(B150="ACAO",B150="ETF",B150="DIR"),G150*Configurações!$C$9,IF(B150="OPCAO",G150*Configurações!$C$23,0)),2)</f>
        <v>0</v>
      </c>
      <c r="J150" s="14">
        <f>ROUNDDOWN(IF(OR(B150="ACAO",B150="ETF",B150="DIR"),G150*Configurações!$D$9,IF(B150="OPCAO",G150*Configurações!$D$23,0)),2)</f>
        <v>0</v>
      </c>
      <c r="K150" s="27"/>
      <c r="L150" s="27"/>
      <c r="M150" s="15">
        <f t="shared" si="30"/>
        <v>0</v>
      </c>
      <c r="N150" s="17">
        <f t="shared" ref="N150:N161" si="48">K150*$N$85</f>
        <v>0</v>
      </c>
      <c r="O150" s="113"/>
      <c r="P150" s="160">
        <f t="shared" si="32"/>
        <v>0</v>
      </c>
      <c r="Q150" s="161">
        <f t="shared" si="33"/>
        <v>0</v>
      </c>
      <c r="R150" s="162">
        <f t="shared" si="34"/>
        <v>0</v>
      </c>
      <c r="S150" s="163" t="e">
        <f t="shared" si="35"/>
        <v>#DIV/0!</v>
      </c>
      <c r="T150" s="146">
        <f t="shared" si="36"/>
        <v>0</v>
      </c>
      <c r="U150" s="146">
        <f t="shared" si="37"/>
        <v>0</v>
      </c>
      <c r="V150" s="146">
        <f>IF(P150&gt;0,T150-SUM($U$87:U150),IF(P150=0,V149,IF(P150&lt;0,V149+(P150*W150))))</f>
        <v>0</v>
      </c>
      <c r="W150" s="147" t="e">
        <f t="shared" si="38"/>
        <v>#DIV/0!</v>
      </c>
      <c r="X150" s="1"/>
      <c r="Y150" s="1"/>
      <c r="Z150" s="1"/>
      <c r="AA150" s="1"/>
      <c r="AB150" s="1"/>
    </row>
    <row r="151" spans="2:28" ht="13.9" customHeight="1" x14ac:dyDescent="0.2">
      <c r="B151" s="49" t="s">
        <v>30</v>
      </c>
      <c r="C151" s="43"/>
      <c r="D151" s="11"/>
      <c r="E151" s="11"/>
      <c r="F151" s="27"/>
      <c r="G151" s="12">
        <f t="shared" si="47"/>
        <v>0</v>
      </c>
      <c r="H151" s="14">
        <f>ROUNDDOWN(IF(OR(B151="ACAO",B151="DIR",B151="ETF"),G151*Configurações!$B$9,IF(B151="OPCAO",G151*Configurações!$B$23,0)),2)</f>
        <v>0</v>
      </c>
      <c r="I151" s="14">
        <f>ROUNDDOWN(IF(OR(B151="ACAO",B151="ETF",B151="DIR"),G151*Configurações!$C$9,IF(B151="OPCAO",G151*Configurações!$C$23,0)),2)</f>
        <v>0</v>
      </c>
      <c r="J151" s="14">
        <f>ROUNDDOWN(IF(OR(B151="ACAO",B151="ETF",B151="DIR"),G151*Configurações!$D$9,IF(B151="OPCAO",G151*Configurações!$D$23,0)),2)</f>
        <v>0</v>
      </c>
      <c r="K151" s="27"/>
      <c r="L151" s="27"/>
      <c r="M151" s="15">
        <f t="shared" si="30"/>
        <v>0</v>
      </c>
      <c r="N151" s="17">
        <f t="shared" si="48"/>
        <v>0</v>
      </c>
      <c r="O151" s="113"/>
      <c r="P151" s="160">
        <f t="shared" si="32"/>
        <v>0</v>
      </c>
      <c r="Q151" s="161">
        <f t="shared" si="33"/>
        <v>0</v>
      </c>
      <c r="R151" s="162">
        <f t="shared" si="34"/>
        <v>0</v>
      </c>
      <c r="S151" s="163" t="e">
        <f t="shared" si="35"/>
        <v>#DIV/0!</v>
      </c>
      <c r="T151" s="146">
        <f t="shared" si="36"/>
        <v>0</v>
      </c>
      <c r="U151" s="146">
        <f t="shared" si="37"/>
        <v>0</v>
      </c>
      <c r="V151" s="146">
        <f>IF(P151&gt;0,T151-SUM($U$87:U151),IF(P151=0,V150,IF(P151&lt;0,V150+(P151*W151))))</f>
        <v>0</v>
      </c>
      <c r="W151" s="147" t="e">
        <f t="shared" si="38"/>
        <v>#DIV/0!</v>
      </c>
      <c r="X151" s="1"/>
      <c r="Y151" s="1"/>
      <c r="Z151" s="1"/>
      <c r="AA151" s="1"/>
      <c r="AB151" s="1"/>
    </row>
    <row r="152" spans="2:28" ht="13.9" customHeight="1" x14ac:dyDescent="0.2">
      <c r="B152" s="49" t="s">
        <v>30</v>
      </c>
      <c r="C152" s="43"/>
      <c r="D152" s="11"/>
      <c r="E152" s="11"/>
      <c r="F152" s="27"/>
      <c r="G152" s="12">
        <f t="shared" si="47"/>
        <v>0</v>
      </c>
      <c r="H152" s="14">
        <f>ROUNDDOWN(IF(OR(B152="ACAO",B152="DIR",B152="ETF"),G152*Configurações!$B$9,IF(B152="OPCAO",G152*Configurações!$B$23,0)),2)</f>
        <v>0</v>
      </c>
      <c r="I152" s="14">
        <f>ROUNDDOWN(IF(OR(B152="ACAO",B152="ETF",B152="DIR"),G152*Configurações!$C$9,IF(B152="OPCAO",G152*Configurações!$C$23,0)),2)</f>
        <v>0</v>
      </c>
      <c r="J152" s="14">
        <f>ROUNDDOWN(IF(OR(B152="ACAO",B152="ETF",B152="DIR"),G152*Configurações!$D$9,IF(B152="OPCAO",G152*Configurações!$D$23,0)),2)</f>
        <v>0</v>
      </c>
      <c r="K152" s="27"/>
      <c r="L152" s="27"/>
      <c r="M152" s="15">
        <f t="shared" si="30"/>
        <v>0</v>
      </c>
      <c r="N152" s="17">
        <f t="shared" si="48"/>
        <v>0</v>
      </c>
      <c r="O152" s="113"/>
      <c r="P152" s="160">
        <f t="shared" si="32"/>
        <v>0</v>
      </c>
      <c r="Q152" s="161">
        <f t="shared" si="33"/>
        <v>0</v>
      </c>
      <c r="R152" s="162">
        <f t="shared" si="34"/>
        <v>0</v>
      </c>
      <c r="S152" s="163" t="e">
        <f t="shared" si="35"/>
        <v>#DIV/0!</v>
      </c>
      <c r="T152" s="146">
        <f t="shared" si="36"/>
        <v>0</v>
      </c>
      <c r="U152" s="146">
        <f t="shared" si="37"/>
        <v>0</v>
      </c>
      <c r="V152" s="146">
        <f>IF(P152&gt;0,T152-SUM($U$87:U152),IF(P152=0,V151,IF(P152&lt;0,V151+(P152*W152))))</f>
        <v>0</v>
      </c>
      <c r="W152" s="147" t="e">
        <f t="shared" si="38"/>
        <v>#DIV/0!</v>
      </c>
      <c r="X152" s="1"/>
      <c r="Y152" s="1"/>
      <c r="Z152" s="1"/>
      <c r="AA152" s="1"/>
      <c r="AB152" s="1"/>
    </row>
    <row r="153" spans="2:28" ht="13.9" customHeight="1" x14ac:dyDescent="0.2">
      <c r="B153" s="49" t="s">
        <v>30</v>
      </c>
      <c r="C153" s="43"/>
      <c r="D153" s="11"/>
      <c r="E153" s="11"/>
      <c r="F153" s="27"/>
      <c r="G153" s="12">
        <f t="shared" si="47"/>
        <v>0</v>
      </c>
      <c r="H153" s="14">
        <f>ROUNDDOWN(IF(OR(B153="ACAO",B153="DIR",B153="ETF"),G153*Configurações!$B$9,IF(B153="OPCAO",G153*Configurações!$B$23,0)),2)</f>
        <v>0</v>
      </c>
      <c r="I153" s="14">
        <f>ROUNDDOWN(IF(OR(B153="ACAO",B153="ETF",B153="DIR"),G153*Configurações!$C$9,IF(B153="OPCAO",G153*Configurações!$C$23,0)),2)</f>
        <v>0</v>
      </c>
      <c r="J153" s="14">
        <f>ROUNDDOWN(IF(OR(B153="ACAO",B153="ETF",B153="DIR"),G153*Configurações!$D$9,IF(B153="OPCAO",G153*Configurações!$D$23,0)),2)</f>
        <v>0</v>
      </c>
      <c r="K153" s="27"/>
      <c r="L153" s="27"/>
      <c r="M153" s="15">
        <f t="shared" si="30"/>
        <v>0</v>
      </c>
      <c r="N153" s="17">
        <f t="shared" si="48"/>
        <v>0</v>
      </c>
      <c r="O153" s="113"/>
      <c r="P153" s="160">
        <f t="shared" si="32"/>
        <v>0</v>
      </c>
      <c r="Q153" s="161">
        <f t="shared" si="33"/>
        <v>0</v>
      </c>
      <c r="R153" s="162">
        <f t="shared" si="34"/>
        <v>0</v>
      </c>
      <c r="S153" s="163" t="e">
        <f t="shared" si="35"/>
        <v>#DIV/0!</v>
      </c>
      <c r="T153" s="146">
        <f t="shared" si="36"/>
        <v>0</v>
      </c>
      <c r="U153" s="146">
        <f t="shared" si="37"/>
        <v>0</v>
      </c>
      <c r="V153" s="146">
        <f>IF(P153&gt;0,T153-SUM($U$87:U153),IF(P153=0,V152,IF(P153&lt;0,V152+(P153*W153))))</f>
        <v>0</v>
      </c>
      <c r="W153" s="147" t="e">
        <f t="shared" si="38"/>
        <v>#DIV/0!</v>
      </c>
      <c r="X153" s="1"/>
      <c r="Y153" s="1"/>
      <c r="Z153" s="1"/>
      <c r="AA153" s="1"/>
      <c r="AB153" s="1"/>
    </row>
    <row r="154" spans="2:28" ht="13.9" customHeight="1" x14ac:dyDescent="0.2">
      <c r="B154" s="49" t="s">
        <v>30</v>
      </c>
      <c r="C154" s="43"/>
      <c r="D154" s="11"/>
      <c r="E154" s="11"/>
      <c r="F154" s="27"/>
      <c r="G154" s="12">
        <f t="shared" si="47"/>
        <v>0</v>
      </c>
      <c r="H154" s="14">
        <f>ROUNDDOWN(IF(OR(B154="ACAO",B154="DIR",B154="ETF"),G154*Configurações!$B$9,IF(B154="OPCAO",G154*Configurações!$B$23,0)),2)</f>
        <v>0</v>
      </c>
      <c r="I154" s="14">
        <f>ROUNDDOWN(IF(OR(B154="ACAO",B154="ETF",B154="DIR"),G154*Configurações!$C$9,IF(B154="OPCAO",G154*Configurações!$C$23,0)),2)</f>
        <v>0</v>
      </c>
      <c r="J154" s="14">
        <f>ROUNDDOWN(IF(OR(B154="ACAO",B154="ETF",B154="DIR"),G154*Configurações!$D$9,IF(B154="OPCAO",G154*Configurações!$D$23,0)),2)</f>
        <v>0</v>
      </c>
      <c r="K154" s="27"/>
      <c r="L154" s="27"/>
      <c r="M154" s="15">
        <f t="shared" si="30"/>
        <v>0</v>
      </c>
      <c r="N154" s="17">
        <f t="shared" si="48"/>
        <v>0</v>
      </c>
      <c r="O154" s="113"/>
      <c r="P154" s="160">
        <f t="shared" si="32"/>
        <v>0</v>
      </c>
      <c r="Q154" s="161">
        <f t="shared" si="33"/>
        <v>0</v>
      </c>
      <c r="R154" s="162">
        <f t="shared" si="34"/>
        <v>0</v>
      </c>
      <c r="S154" s="163" t="e">
        <f t="shared" si="35"/>
        <v>#DIV/0!</v>
      </c>
      <c r="T154" s="146">
        <f t="shared" si="36"/>
        <v>0</v>
      </c>
      <c r="U154" s="146">
        <f t="shared" si="37"/>
        <v>0</v>
      </c>
      <c r="V154" s="146">
        <f>IF(P154&gt;0,T154-SUM($U$87:U154),IF(P154=0,V153,IF(P154&lt;0,V153+(P154*W154))))</f>
        <v>0</v>
      </c>
      <c r="W154" s="147" t="e">
        <f t="shared" si="38"/>
        <v>#DIV/0!</v>
      </c>
      <c r="X154" s="1"/>
      <c r="Y154" s="1"/>
      <c r="Z154" s="1"/>
      <c r="AA154" s="1"/>
      <c r="AB154" s="1"/>
    </row>
    <row r="155" spans="2:28" ht="13.9" customHeight="1" x14ac:dyDescent="0.2">
      <c r="B155" s="49" t="s">
        <v>30</v>
      </c>
      <c r="C155" s="43"/>
      <c r="D155" s="11"/>
      <c r="E155" s="11"/>
      <c r="F155" s="27"/>
      <c r="G155" s="12">
        <f t="shared" si="47"/>
        <v>0</v>
      </c>
      <c r="H155" s="14">
        <f>ROUNDDOWN(IF(OR(B155="ACAO",B155="DIR",B155="ETF"),G155*Configurações!$B$9,IF(B155="OPCAO",G155*Configurações!$B$23,0)),2)</f>
        <v>0</v>
      </c>
      <c r="I155" s="14">
        <f>ROUNDDOWN(IF(OR(B155="ACAO",B155="ETF",B155="DIR"),G155*Configurações!$C$9,IF(B155="OPCAO",G155*Configurações!$C$23,0)),2)</f>
        <v>0</v>
      </c>
      <c r="J155" s="14">
        <f>ROUNDDOWN(IF(OR(B155="ACAO",B155="ETF",B155="DIR"),G155*Configurações!$D$9,IF(B155="OPCAO",G155*Configurações!$D$23,0)),2)</f>
        <v>0</v>
      </c>
      <c r="K155" s="27"/>
      <c r="L155" s="27"/>
      <c r="M155" s="15">
        <f t="shared" si="30"/>
        <v>0</v>
      </c>
      <c r="N155" s="17">
        <f t="shared" si="48"/>
        <v>0</v>
      </c>
      <c r="O155" s="113"/>
      <c r="P155" s="160">
        <f t="shared" si="32"/>
        <v>0</v>
      </c>
      <c r="Q155" s="161">
        <f t="shared" si="33"/>
        <v>0</v>
      </c>
      <c r="R155" s="162">
        <f t="shared" si="34"/>
        <v>0</v>
      </c>
      <c r="S155" s="163" t="e">
        <f t="shared" si="35"/>
        <v>#DIV/0!</v>
      </c>
      <c r="T155" s="146">
        <f t="shared" si="36"/>
        <v>0</v>
      </c>
      <c r="U155" s="146">
        <f t="shared" si="37"/>
        <v>0</v>
      </c>
      <c r="V155" s="146">
        <f>IF(P155&gt;0,T155-SUM($U$87:U155),IF(P155=0,V154,IF(P155&lt;0,V154+(P155*W155))))</f>
        <v>0</v>
      </c>
      <c r="W155" s="147" t="e">
        <f t="shared" si="38"/>
        <v>#DIV/0!</v>
      </c>
      <c r="X155" s="1"/>
      <c r="Y155" s="1"/>
      <c r="Z155" s="1"/>
      <c r="AA155" s="1"/>
      <c r="AB155" s="1"/>
    </row>
    <row r="156" spans="2:28" ht="13.9" customHeight="1" x14ac:dyDescent="0.2">
      <c r="B156" s="49" t="s">
        <v>30</v>
      </c>
      <c r="C156" s="43"/>
      <c r="D156" s="11"/>
      <c r="E156" s="11"/>
      <c r="F156" s="27"/>
      <c r="G156" s="12">
        <f t="shared" si="47"/>
        <v>0</v>
      </c>
      <c r="H156" s="14">
        <f>ROUNDDOWN(IF(OR(B156="ACAO",B156="DIR",B156="ETF"),G156*Configurações!$B$9,IF(B156="OPCAO",G156*Configurações!$B$23,0)),2)</f>
        <v>0</v>
      </c>
      <c r="I156" s="14">
        <f>ROUNDDOWN(IF(OR(B156="ACAO",B156="ETF",B156="DIR"),G156*Configurações!$C$9,IF(B156="OPCAO",G156*Configurações!$C$23,0)),2)</f>
        <v>0</v>
      </c>
      <c r="J156" s="14">
        <f>ROUNDDOWN(IF(OR(B156="ACAO",B156="ETF",B156="DIR"),G156*Configurações!$D$9,IF(B156="OPCAO",G156*Configurações!$D$23,0)),2)</f>
        <v>0</v>
      </c>
      <c r="K156" s="27"/>
      <c r="L156" s="27"/>
      <c r="M156" s="15">
        <f t="shared" si="30"/>
        <v>0</v>
      </c>
      <c r="N156" s="17">
        <f t="shared" si="48"/>
        <v>0</v>
      </c>
      <c r="O156" s="113"/>
      <c r="P156" s="160">
        <f t="shared" si="32"/>
        <v>0</v>
      </c>
      <c r="Q156" s="161">
        <f t="shared" si="33"/>
        <v>0</v>
      </c>
      <c r="R156" s="162">
        <f t="shared" si="34"/>
        <v>0</v>
      </c>
      <c r="S156" s="163" t="e">
        <f t="shared" si="35"/>
        <v>#DIV/0!</v>
      </c>
      <c r="T156" s="146">
        <f t="shared" si="36"/>
        <v>0</v>
      </c>
      <c r="U156" s="146">
        <f t="shared" si="37"/>
        <v>0</v>
      </c>
      <c r="V156" s="146">
        <f>IF(P156&gt;0,T156-SUM($U$87:U156),IF(P156=0,V155,IF(P156&lt;0,V155+(P156*W156))))</f>
        <v>0</v>
      </c>
      <c r="W156" s="147" t="e">
        <f t="shared" si="38"/>
        <v>#DIV/0!</v>
      </c>
      <c r="X156" s="1"/>
      <c r="Y156" s="1"/>
      <c r="Z156" s="1"/>
      <c r="AA156" s="1"/>
      <c r="AB156" s="1"/>
    </row>
    <row r="157" spans="2:28" ht="13.9" customHeight="1" x14ac:dyDescent="0.2">
      <c r="B157" s="49" t="s">
        <v>30</v>
      </c>
      <c r="C157" s="43"/>
      <c r="D157" s="11"/>
      <c r="E157" s="11"/>
      <c r="F157" s="27"/>
      <c r="G157" s="12">
        <f t="shared" si="47"/>
        <v>0</v>
      </c>
      <c r="H157" s="14">
        <f>ROUNDDOWN(IF(OR(B157="ACAO",B157="DIR",B157="ETF"),G157*Configurações!$B$9,IF(B157="OPCAO",G157*Configurações!$B$23,0)),2)</f>
        <v>0</v>
      </c>
      <c r="I157" s="14">
        <f>ROUNDDOWN(IF(OR(B157="ACAO",B157="ETF",B157="DIR"),G157*Configurações!$C$9,IF(B157="OPCAO",G157*Configurações!$C$23,0)),2)</f>
        <v>0</v>
      </c>
      <c r="J157" s="14">
        <f>ROUNDDOWN(IF(OR(B157="ACAO",B157="ETF",B157="DIR"),G157*Configurações!$D$9,IF(B157="OPCAO",G157*Configurações!$D$23,0)),2)</f>
        <v>0</v>
      </c>
      <c r="K157" s="27"/>
      <c r="L157" s="27"/>
      <c r="M157" s="15">
        <f t="shared" si="30"/>
        <v>0</v>
      </c>
      <c r="N157" s="17">
        <f t="shared" si="48"/>
        <v>0</v>
      </c>
      <c r="O157" s="113"/>
      <c r="P157" s="160">
        <f>IF(D:D=$Q$84,E157,0)</f>
        <v>0</v>
      </c>
      <c r="Q157" s="161">
        <f>IF(D:D=$Q$84,G157,0)</f>
        <v>0</v>
      </c>
      <c r="R157" s="162">
        <f>R156+P157</f>
        <v>0</v>
      </c>
      <c r="S157" s="163" t="e">
        <f>IF(P157&lt;=0,S156,IF(P157&gt;0,((T156+Q157)/R157)))</f>
        <v>#DIV/0!</v>
      </c>
      <c r="T157" s="146">
        <f>IF(R157=0,0,R157*S157)</f>
        <v>0</v>
      </c>
      <c r="U157" s="146">
        <f>IF(D:D=$Q$84,H157+I157+J157+K157+L157+N157,0)</f>
        <v>0</v>
      </c>
      <c r="V157" s="146">
        <f>IF(P157&gt;0,T157-SUM($U$87:U157),IF(P157=0,V156,IF(P157&lt;0,V156+(P157*W157))))</f>
        <v>0</v>
      </c>
      <c r="W157" s="147" t="e">
        <f>IF(P157&lt;=0,W156,IF(P157&gt;0,V157/R157))</f>
        <v>#DIV/0!</v>
      </c>
      <c r="X157" s="1"/>
      <c r="Y157" s="1"/>
      <c r="Z157" s="1"/>
      <c r="AA157" s="1"/>
      <c r="AB157" s="1"/>
    </row>
    <row r="158" spans="2:28" ht="13.9" customHeight="1" x14ac:dyDescent="0.2">
      <c r="B158" s="49" t="s">
        <v>30</v>
      </c>
      <c r="C158" s="43"/>
      <c r="D158" s="11"/>
      <c r="E158" s="11"/>
      <c r="F158" s="27"/>
      <c r="G158" s="12">
        <f t="shared" si="47"/>
        <v>0</v>
      </c>
      <c r="H158" s="14">
        <f>ROUNDDOWN(IF(OR(B158="ACAO",B158="DIR",B158="ETF"),G158*Configurações!$B$9,IF(B158="OPCAO",G158*Configurações!$B$23,0)),2)</f>
        <v>0</v>
      </c>
      <c r="I158" s="14">
        <f>ROUNDDOWN(IF(OR(B158="ACAO",B158="ETF",B158="DIR"),G158*Configurações!$C$9,IF(B158="OPCAO",G158*Configurações!$C$23,0)),2)</f>
        <v>0</v>
      </c>
      <c r="J158" s="14">
        <f>ROUNDDOWN(IF(OR(B158="ACAO",B158="ETF",B158="DIR"),G158*Configurações!$D$9,IF(B158="OPCAO",G158*Configurações!$D$23,0)),2)</f>
        <v>0</v>
      </c>
      <c r="K158" s="27"/>
      <c r="L158" s="27"/>
      <c r="M158" s="15">
        <f t="shared" si="30"/>
        <v>0</v>
      </c>
      <c r="N158" s="17">
        <f t="shared" si="48"/>
        <v>0</v>
      </c>
      <c r="O158" s="113"/>
      <c r="P158" s="160">
        <f>IF(D:D=$Q$84,E158,0)</f>
        <v>0</v>
      </c>
      <c r="Q158" s="161">
        <f>IF(D:D=$Q$84,G158,0)</f>
        <v>0</v>
      </c>
      <c r="R158" s="162">
        <f>R157+P158</f>
        <v>0</v>
      </c>
      <c r="S158" s="163" t="e">
        <f>IF(P158&lt;=0,S157,IF(P158&gt;0,((T157+Q158)/R158)))</f>
        <v>#DIV/0!</v>
      </c>
      <c r="T158" s="146">
        <f>IF(R158=0,0,R158*S158)</f>
        <v>0</v>
      </c>
      <c r="U158" s="146">
        <f>IF(D:D=$Q$84,H158+I158+J158+K158+L158+N158,0)</f>
        <v>0</v>
      </c>
      <c r="V158" s="146">
        <f>IF(P158&gt;0,T158-SUM($U$87:U158),IF(P158=0,V157,IF(P158&lt;0,V157+(P158*W158))))</f>
        <v>0</v>
      </c>
      <c r="W158" s="147" t="e">
        <f>IF(P158&lt;=0,W157,IF(P158&gt;0,V158/R158))</f>
        <v>#DIV/0!</v>
      </c>
      <c r="X158" s="1"/>
      <c r="Y158" s="1"/>
      <c r="Z158" s="1"/>
      <c r="AA158" s="1"/>
      <c r="AB158" s="1"/>
    </row>
    <row r="159" spans="2:28" ht="13.9" customHeight="1" x14ac:dyDescent="0.2">
      <c r="B159" s="49" t="s">
        <v>30</v>
      </c>
      <c r="C159" s="43"/>
      <c r="D159" s="11"/>
      <c r="E159" s="11"/>
      <c r="F159" s="27"/>
      <c r="G159" s="12">
        <f t="shared" si="47"/>
        <v>0</v>
      </c>
      <c r="H159" s="14">
        <f>ROUNDDOWN(IF(OR(B159="ACAO",B159="DIR",B159="ETF"),G159*Configurações!$B$9,IF(B159="OPCAO",G159*Configurações!$B$23,0)),2)</f>
        <v>0</v>
      </c>
      <c r="I159" s="14">
        <f>ROUNDDOWN(IF(OR(B159="ACAO",B159="ETF",B159="DIR"),G159*Configurações!$C$9,IF(B159="OPCAO",G159*Configurações!$C$23,0)),2)</f>
        <v>0</v>
      </c>
      <c r="J159" s="14">
        <f>ROUNDDOWN(IF(OR(B159="ACAO",B159="ETF",B159="DIR"),G159*Configurações!$D$9,IF(B159="OPCAO",G159*Configurações!$D$23,0)),2)</f>
        <v>0</v>
      </c>
      <c r="K159" s="27"/>
      <c r="L159" s="27"/>
      <c r="M159" s="15">
        <f t="shared" si="30"/>
        <v>0</v>
      </c>
      <c r="N159" s="17">
        <f t="shared" si="48"/>
        <v>0</v>
      </c>
      <c r="O159" s="113"/>
      <c r="P159" s="160">
        <f>IF(D:D=$Q$84,E159,0)</f>
        <v>0</v>
      </c>
      <c r="Q159" s="161">
        <f>IF(D:D=$Q$84,G159,0)</f>
        <v>0</v>
      </c>
      <c r="R159" s="162">
        <f>R158+P159</f>
        <v>0</v>
      </c>
      <c r="S159" s="163" t="e">
        <f>IF(P159&lt;=0,S158,IF(P159&gt;0,((T158+Q159)/R159)))</f>
        <v>#DIV/0!</v>
      </c>
      <c r="T159" s="146">
        <f>IF(R159=0,0,R159*S159)</f>
        <v>0</v>
      </c>
      <c r="U159" s="146">
        <f>IF(D:D=$Q$84,H159+I159+J159+K159+L159+N159,0)</f>
        <v>0</v>
      </c>
      <c r="V159" s="146">
        <f>IF(P159&gt;0,T159-SUM($U$87:U159),IF(P159=0,V158,IF(P159&lt;0,V158+(P159*W159))))</f>
        <v>0</v>
      </c>
      <c r="W159" s="147" t="e">
        <f>IF(P159&lt;=0,W158,IF(P159&gt;0,V159/R159))</f>
        <v>#DIV/0!</v>
      </c>
      <c r="X159" s="1"/>
      <c r="Y159" s="1"/>
      <c r="Z159" s="1"/>
      <c r="AA159" s="1"/>
      <c r="AB159" s="1"/>
    </row>
    <row r="160" spans="2:28" ht="13.9" customHeight="1" x14ac:dyDescent="0.2">
      <c r="B160" s="49" t="s">
        <v>30</v>
      </c>
      <c r="C160" s="43"/>
      <c r="D160" s="11"/>
      <c r="E160" s="11"/>
      <c r="F160" s="27"/>
      <c r="G160" s="12">
        <f t="shared" si="47"/>
        <v>0</v>
      </c>
      <c r="H160" s="14">
        <f>ROUNDDOWN(IF(OR(B160="ACAO",B160="DIR",B160="ETF"),G160*Configurações!$B$9,IF(B160="OPCAO",G160*Configurações!$B$23,0)),2)</f>
        <v>0</v>
      </c>
      <c r="I160" s="14">
        <f>ROUNDDOWN(IF(OR(B160="ACAO",B160="ETF",B160="DIR"),G160*Configurações!$C$9,IF(B160="OPCAO",G160*Configurações!$C$23,0)),2)</f>
        <v>0</v>
      </c>
      <c r="J160" s="14">
        <f>ROUNDDOWN(IF(OR(B160="ACAO",B160="ETF",B160="DIR"),G160*Configurações!$D$9,IF(B160="OPCAO",G160*Configurações!$D$23,0)),2)</f>
        <v>0</v>
      </c>
      <c r="K160" s="27"/>
      <c r="L160" s="27"/>
      <c r="M160" s="15">
        <f t="shared" si="30"/>
        <v>0</v>
      </c>
      <c r="N160" s="17">
        <f t="shared" si="48"/>
        <v>0</v>
      </c>
      <c r="O160" s="113"/>
      <c r="P160" s="160">
        <f>IF(D:D=$Q$84,E160,0)</f>
        <v>0</v>
      </c>
      <c r="Q160" s="161">
        <f>IF(D:D=$Q$84,G160,0)</f>
        <v>0</v>
      </c>
      <c r="R160" s="162">
        <f>R159+P160</f>
        <v>0</v>
      </c>
      <c r="S160" s="163" t="e">
        <f>IF(P160&lt;=0,S159,IF(P160&gt;0,((T159+Q160)/R160)))</f>
        <v>#DIV/0!</v>
      </c>
      <c r="T160" s="146">
        <f>IF(R160=0,0,R160*S160)</f>
        <v>0</v>
      </c>
      <c r="U160" s="146">
        <f>IF(D:D=$Q$84,H160+I160+J160+K160+L160+N160,0)</f>
        <v>0</v>
      </c>
      <c r="V160" s="146">
        <f>IF(P160&gt;0,T160-SUM($U$87:U160),IF(P160=0,V159,IF(P160&lt;0,V159+(P160*W160))))</f>
        <v>0</v>
      </c>
      <c r="W160" s="147" t="e">
        <f>IF(P160&lt;=0,W159,IF(P160&gt;0,V160/R160))</f>
        <v>#DIV/0!</v>
      </c>
      <c r="X160" s="1"/>
      <c r="Y160" s="1"/>
      <c r="Z160" s="1"/>
      <c r="AA160" s="1"/>
      <c r="AB160" s="1"/>
    </row>
    <row r="161" spans="2:28" ht="13.9" customHeight="1" thickBot="1" x14ac:dyDescent="0.25">
      <c r="B161" s="51" t="s">
        <v>30</v>
      </c>
      <c r="C161" s="44"/>
      <c r="D161" s="18"/>
      <c r="E161" s="18"/>
      <c r="F161" s="28"/>
      <c r="G161" s="19">
        <f t="shared" si="47"/>
        <v>0</v>
      </c>
      <c r="H161" s="21">
        <f>ROUNDDOWN(IF(OR(B161="ACAO",B161="DIR",B161="ETF"),G161*Configurações!$B$9,IF(B161="OPCAO",G161*Configurações!$B$23,0)),2)</f>
        <v>0</v>
      </c>
      <c r="I161" s="21">
        <f>ROUNDDOWN(IF(OR(B161="ACAO",B161="ETF",B161="DIR"),G161*Configurações!$C$9,IF(B161="OPCAO",G161*Configurações!$C$23,0)),2)</f>
        <v>0</v>
      </c>
      <c r="J161" s="21">
        <f>ROUNDDOWN(IF(OR(B161="ACAO",B161="ETF",B161="DIR"),G161*Configurações!$D$9,IF(B161="OPCAO",G161*Configurações!$D$23,0)),2)</f>
        <v>0</v>
      </c>
      <c r="K161" s="28"/>
      <c r="L161" s="28"/>
      <c r="M161" s="22">
        <f t="shared" si="30"/>
        <v>0</v>
      </c>
      <c r="N161" s="24">
        <f t="shared" si="48"/>
        <v>0</v>
      </c>
      <c r="O161" s="113"/>
      <c r="P161" s="164">
        <f>IF(D:D=$Q$84,E161,0)</f>
        <v>0</v>
      </c>
      <c r="Q161" s="165">
        <f>IF(D:D=$Q$84,G161,0)</f>
        <v>0</v>
      </c>
      <c r="R161" s="166">
        <f>R160+P161</f>
        <v>0</v>
      </c>
      <c r="S161" s="167" t="e">
        <f>IF(P161&lt;=0,S160,IF(P161&gt;0,((T160+Q161)/R161)))</f>
        <v>#DIV/0!</v>
      </c>
      <c r="T161" s="153">
        <f>IF(R161=0,0,R161*S161)</f>
        <v>0</v>
      </c>
      <c r="U161" s="153">
        <f>IF(D:D=$Q$84,H161+I161+J161+K161+L161+N161,0)</f>
        <v>0</v>
      </c>
      <c r="V161" s="153">
        <f>IF(P161&gt;0,T161-SUM($U$87:U161),IF(P161=0,V160,IF(P161&lt;0,V160+(P161*W161))))</f>
        <v>0</v>
      </c>
      <c r="W161" s="154" t="e">
        <f>IF(P161&lt;=0,W160,IF(P161&gt;0,V161/R161))</f>
        <v>#DIV/0!</v>
      </c>
      <c r="X161" s="1"/>
      <c r="Y161" s="1"/>
      <c r="Z161" s="1"/>
      <c r="AA161" s="1"/>
      <c r="AB161" s="1"/>
    </row>
    <row r="162" spans="2:28" x14ac:dyDescent="0.2">
      <c r="H162" s="30"/>
      <c r="I162" s="30"/>
      <c r="J162" s="30"/>
      <c r="K162" s="46"/>
    </row>
    <row r="163" spans="2:28" x14ac:dyDescent="0.2">
      <c r="O163" s="87"/>
      <c r="U163" s="116"/>
      <c r="V163" s="116"/>
      <c r="W163" s="116"/>
    </row>
    <row r="167" spans="2:28" hidden="1" x14ac:dyDescent="0.2">
      <c r="B167" s="1" t="s">
        <v>30</v>
      </c>
    </row>
    <row r="168" spans="2:28" hidden="1" x14ac:dyDescent="0.2">
      <c r="B168" s="1" t="s">
        <v>88</v>
      </c>
    </row>
    <row r="169" spans="2:28" hidden="1" x14ac:dyDescent="0.2">
      <c r="B169" s="1" t="s">
        <v>89</v>
      </c>
    </row>
    <row r="170" spans="2:28" hidden="1" x14ac:dyDescent="0.2">
      <c r="B170" s="1" t="s">
        <v>90</v>
      </c>
    </row>
  </sheetData>
  <sheetProtection selectLockedCells="1" selectUnlockedCells="1"/>
  <mergeCells count="101">
    <mergeCell ref="AC8:AE10"/>
    <mergeCell ref="AC11:AE13"/>
    <mergeCell ref="AC14:AE16"/>
    <mergeCell ref="AC24:AE26"/>
    <mergeCell ref="AC30:AE32"/>
    <mergeCell ref="AC104:AE106"/>
    <mergeCell ref="AC110:AE112"/>
    <mergeCell ref="Y98:AB100"/>
    <mergeCell ref="Y101:Z103"/>
    <mergeCell ref="AA101:AB103"/>
    <mergeCell ref="Y104:Z106"/>
    <mergeCell ref="AA104:AB106"/>
    <mergeCell ref="Y110:Z112"/>
    <mergeCell ref="AA110:AB112"/>
    <mergeCell ref="Y24:Z26"/>
    <mergeCell ref="AA24:AB26"/>
    <mergeCell ref="Y30:Z32"/>
    <mergeCell ref="AA30:AB32"/>
    <mergeCell ref="Q85:Q86"/>
    <mergeCell ref="R85:R86"/>
    <mergeCell ref="S85:S86"/>
    <mergeCell ref="T85:T86"/>
    <mergeCell ref="U85:U86"/>
    <mergeCell ref="AC88:AE90"/>
    <mergeCell ref="AC91:AE93"/>
    <mergeCell ref="AC94:AE96"/>
    <mergeCell ref="Y88:Z90"/>
    <mergeCell ref="AA88:AB90"/>
    <mergeCell ref="Y91:Z93"/>
    <mergeCell ref="AA91:AB93"/>
    <mergeCell ref="Y94:Z96"/>
    <mergeCell ref="AA94:AB96"/>
    <mergeCell ref="R84:W84"/>
    <mergeCell ref="Y84:AB85"/>
    <mergeCell ref="V85:V86"/>
    <mergeCell ref="W85:W86"/>
    <mergeCell ref="Y86:Z87"/>
    <mergeCell ref="AA86:AB87"/>
    <mergeCell ref="Y8:Z10"/>
    <mergeCell ref="AA8:AB10"/>
    <mergeCell ref="Y11:Z13"/>
    <mergeCell ref="AA11:AB13"/>
    <mergeCell ref="Y14:Z16"/>
    <mergeCell ref="AA14:AB16"/>
    <mergeCell ref="Y18:AB20"/>
    <mergeCell ref="Y21:Z23"/>
    <mergeCell ref="AA21:AB23"/>
    <mergeCell ref="Y4:AB5"/>
    <mergeCell ref="Q5:Q6"/>
    <mergeCell ref="R5:R6"/>
    <mergeCell ref="S5:S6"/>
    <mergeCell ref="T5:T6"/>
    <mergeCell ref="U5:U6"/>
    <mergeCell ref="V5:V6"/>
    <mergeCell ref="W5:W6"/>
    <mergeCell ref="Y6:Z7"/>
    <mergeCell ref="AA6:AB7"/>
    <mergeCell ref="R4:W4"/>
    <mergeCell ref="B2:M2"/>
    <mergeCell ref="B4:G4"/>
    <mergeCell ref="B84:G84"/>
    <mergeCell ref="M5:M6"/>
    <mergeCell ref="F5:F6"/>
    <mergeCell ref="G5:G6"/>
    <mergeCell ref="N5:N6"/>
    <mergeCell ref="N85:N86"/>
    <mergeCell ref="L85:L86"/>
    <mergeCell ref="K85:K86"/>
    <mergeCell ref="L5:L6"/>
    <mergeCell ref="M85:M86"/>
    <mergeCell ref="K5:K6"/>
    <mergeCell ref="H85:H86"/>
    <mergeCell ref="I85:I86"/>
    <mergeCell ref="P85:P86"/>
    <mergeCell ref="P5:P6"/>
    <mergeCell ref="B85:B86"/>
    <mergeCell ref="C85:C86"/>
    <mergeCell ref="D85:D86"/>
    <mergeCell ref="E85:E86"/>
    <mergeCell ref="F85:F86"/>
    <mergeCell ref="B5:B6"/>
    <mergeCell ref="C5:C6"/>
    <mergeCell ref="D5:D6"/>
    <mergeCell ref="J5:J6"/>
    <mergeCell ref="H5:H6"/>
    <mergeCell ref="I5:I6"/>
    <mergeCell ref="E5:E6"/>
    <mergeCell ref="G85:G86"/>
    <mergeCell ref="J85:J86"/>
    <mergeCell ref="Y113:Z115"/>
    <mergeCell ref="AA113:AB115"/>
    <mergeCell ref="AC113:AE115"/>
    <mergeCell ref="AC107:AE109"/>
    <mergeCell ref="AC27:AE29"/>
    <mergeCell ref="AC33:AE35"/>
    <mergeCell ref="Y33:Z35"/>
    <mergeCell ref="AA33:AB35"/>
    <mergeCell ref="Y27:Z29"/>
    <mergeCell ref="AA27:AB29"/>
    <mergeCell ref="Y107:Z109"/>
    <mergeCell ref="AA107:AB109"/>
  </mergeCells>
  <conditionalFormatting sqref="AA27:AB29 AA107:AB109">
    <cfRule type="cellIs" dxfId="2" priority="3" operator="greaterThan">
      <formula>0</formula>
    </cfRule>
  </conditionalFormatting>
  <conditionalFormatting sqref="AA107:AB109 AA27:AB29">
    <cfRule type="cellIs" dxfId="1" priority="2" operator="lessThan">
      <formula>0</formula>
    </cfRule>
  </conditionalFormatting>
  <dataValidations count="3">
    <dataValidation type="list" allowBlank="1" showInputMessage="1" showErrorMessage="1" errorTitle="Inválido" promptTitle="Selecione" prompt="Selecione o Tipo de ativo" sqref="B7:B81 B87:B161">
      <formula1>$B$167:$B$170</formula1>
    </dataValidation>
    <dataValidation type="list" allowBlank="1" showDropDown="1" showInputMessage="1" showErrorMessage="1" sqref="AA86:AB87">
      <formula1>$D$87:$D$161</formula1>
    </dataValidation>
    <dataValidation type="list" allowBlank="1" showDropDown="1" showInputMessage="1" showErrorMessage="1" sqref="AA6:AB7">
      <formula1>$D$7:$D$81</formula1>
    </dataValidation>
  </dataValidations>
  <pageMargins left="0.39370078740157483" right="0.39370078740157483" top="0.39370078740157483" bottom="0.39370078740157483" header="0.39370078740157483" footer="0.39370078740157483"/>
  <pageSetup paperSize="9" scale="44" firstPageNumber="0" orientation="landscape" horizontalDpi="300" verticalDpi="300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ndsWith" priority="1" operator="endsWith" id="{7FCC12C0-8F95-4749-9A48-C3D10F848258}">
            <xm:f>RIGHT(AA27,LEN("-"))="-"</xm:f>
            <xm:f>"-"</xm:f>
            <x14:dxf>
              <font>
                <color theme="1"/>
              </font>
              <fill>
                <patternFill>
                  <bgColor theme="0" tint="-0.14996795556505021"/>
                </patternFill>
              </fill>
            </x14:dxf>
          </x14:cfRule>
          <xm:sqref>AA107:AB109 AA27:AB29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46"/>
  <sheetViews>
    <sheetView zoomScale="80" zoomScaleNormal="80" workbookViewId="0">
      <selection activeCell="C9" sqref="C9"/>
    </sheetView>
  </sheetViews>
  <sheetFormatPr defaultColWidth="8.85546875" defaultRowHeight="12.75" x14ac:dyDescent="0.2"/>
  <cols>
    <col min="1" max="1" width="8.85546875" style="168"/>
    <col min="2" max="13" width="15.7109375" style="168" customWidth="1"/>
    <col min="14" max="15" width="8.85546875" style="168"/>
    <col min="16" max="16" width="0" style="168" hidden="1" customWidth="1"/>
    <col min="17" max="16384" width="8.85546875" style="168"/>
  </cols>
  <sheetData>
    <row r="2" spans="2:16" ht="28.5" thickBot="1" x14ac:dyDescent="0.25">
      <c r="B2" s="707" t="s">
        <v>96</v>
      </c>
      <c r="C2" s="707"/>
      <c r="D2" s="707"/>
      <c r="E2" s="707"/>
      <c r="F2" s="707"/>
      <c r="G2" s="707"/>
      <c r="H2" s="707"/>
      <c r="I2" s="707"/>
      <c r="J2" s="707"/>
      <c r="K2" s="707"/>
      <c r="L2" s="707"/>
      <c r="M2" s="707"/>
    </row>
    <row r="3" spans="2:16" ht="14.25" thickTop="1" thickBot="1" x14ac:dyDescent="0.25"/>
    <row r="4" spans="2:16" x14ac:dyDescent="0.2">
      <c r="B4" s="728" t="s">
        <v>158</v>
      </c>
      <c r="C4" s="729"/>
      <c r="D4" s="732">
        <f>SUMIF(C9:C46,"JSCP",J9:K46)</f>
        <v>0</v>
      </c>
      <c r="E4" s="725"/>
      <c r="F4" s="734" t="s">
        <v>81</v>
      </c>
      <c r="G4" s="728" t="s">
        <v>159</v>
      </c>
      <c r="H4" s="729"/>
      <c r="I4" s="732">
        <f>SUMIF(C9:C46,"DIVIDENDOS",J9:K46)</f>
        <v>0</v>
      </c>
      <c r="J4" s="725"/>
      <c r="K4" s="734" t="s">
        <v>82</v>
      </c>
      <c r="L4" s="724">
        <f>SUM(D4,I4)</f>
        <v>0</v>
      </c>
      <c r="M4" s="725"/>
    </row>
    <row r="5" spans="2:16" ht="13.5" thickBot="1" x14ac:dyDescent="0.25">
      <c r="B5" s="730"/>
      <c r="C5" s="731"/>
      <c r="D5" s="733"/>
      <c r="E5" s="727"/>
      <c r="F5" s="734"/>
      <c r="G5" s="730"/>
      <c r="H5" s="731"/>
      <c r="I5" s="733"/>
      <c r="J5" s="727"/>
      <c r="K5" s="734"/>
      <c r="L5" s="726"/>
      <c r="M5" s="727"/>
    </row>
    <row r="6" spans="2:16" ht="13.5" thickBot="1" x14ac:dyDescent="0.25"/>
    <row r="7" spans="2:16" ht="19.899999999999999" customHeight="1" x14ac:dyDescent="0.2">
      <c r="B7" s="710" t="s">
        <v>94</v>
      </c>
      <c r="C7" s="708" t="s">
        <v>97</v>
      </c>
      <c r="D7" s="712" t="s">
        <v>101</v>
      </c>
      <c r="E7" s="712"/>
      <c r="F7" s="712"/>
      <c r="G7" s="712"/>
      <c r="H7" s="712"/>
      <c r="I7" s="713"/>
      <c r="J7" s="716" t="s">
        <v>156</v>
      </c>
      <c r="K7" s="717"/>
      <c r="L7" s="720" t="s">
        <v>157</v>
      </c>
      <c r="M7" s="721"/>
      <c r="P7" s="168" t="s">
        <v>100</v>
      </c>
    </row>
    <row r="8" spans="2:16" ht="19.899999999999999" customHeight="1" thickBot="1" x14ac:dyDescent="0.25">
      <c r="B8" s="711"/>
      <c r="C8" s="709"/>
      <c r="D8" s="714"/>
      <c r="E8" s="714"/>
      <c r="F8" s="714"/>
      <c r="G8" s="714"/>
      <c r="H8" s="714"/>
      <c r="I8" s="715"/>
      <c r="J8" s="718"/>
      <c r="K8" s="719"/>
      <c r="L8" s="722"/>
      <c r="M8" s="723"/>
      <c r="P8" s="168" t="s">
        <v>95</v>
      </c>
    </row>
    <row r="9" spans="2:16" ht="19.899999999999999" customHeight="1" x14ac:dyDescent="0.2">
      <c r="B9" s="173"/>
      <c r="C9" s="174" t="s">
        <v>98</v>
      </c>
      <c r="D9" s="702"/>
      <c r="E9" s="702"/>
      <c r="F9" s="702"/>
      <c r="G9" s="702"/>
      <c r="H9" s="702"/>
      <c r="I9" s="702"/>
      <c r="J9" s="735"/>
      <c r="K9" s="735"/>
      <c r="L9" s="705"/>
      <c r="M9" s="706"/>
      <c r="P9" s="168" t="s">
        <v>98</v>
      </c>
    </row>
    <row r="10" spans="2:16" ht="19.899999999999999" customHeight="1" x14ac:dyDescent="0.2">
      <c r="B10" s="171"/>
      <c r="C10" s="169"/>
      <c r="D10" s="696"/>
      <c r="E10" s="696"/>
      <c r="F10" s="696"/>
      <c r="G10" s="696"/>
      <c r="H10" s="696"/>
      <c r="I10" s="696"/>
      <c r="J10" s="703"/>
      <c r="K10" s="703"/>
      <c r="L10" s="698"/>
      <c r="M10" s="699"/>
      <c r="P10" s="168" t="s">
        <v>99</v>
      </c>
    </row>
    <row r="11" spans="2:16" ht="19.899999999999999" customHeight="1" x14ac:dyDescent="0.2">
      <c r="B11" s="171"/>
      <c r="C11" s="169"/>
      <c r="D11" s="696"/>
      <c r="E11" s="696"/>
      <c r="F11" s="696"/>
      <c r="G11" s="696"/>
      <c r="H11" s="696"/>
      <c r="I11" s="696"/>
      <c r="J11" s="703"/>
      <c r="K11" s="703"/>
      <c r="L11" s="698"/>
      <c r="M11" s="699"/>
    </row>
    <row r="12" spans="2:16" ht="19.899999999999999" customHeight="1" x14ac:dyDescent="0.2">
      <c r="B12" s="171"/>
      <c r="C12" s="169"/>
      <c r="D12" s="696"/>
      <c r="E12" s="696"/>
      <c r="F12" s="696"/>
      <c r="G12" s="696"/>
      <c r="H12" s="696"/>
      <c r="I12" s="696"/>
      <c r="J12" s="703"/>
      <c r="K12" s="703"/>
      <c r="L12" s="698"/>
      <c r="M12" s="699"/>
    </row>
    <row r="13" spans="2:16" ht="19.899999999999999" customHeight="1" x14ac:dyDescent="0.2">
      <c r="B13" s="171"/>
      <c r="C13" s="169"/>
      <c r="D13" s="696"/>
      <c r="E13" s="696"/>
      <c r="F13" s="696"/>
      <c r="G13" s="696"/>
      <c r="H13" s="696"/>
      <c r="I13" s="696"/>
      <c r="J13" s="703"/>
      <c r="K13" s="703"/>
      <c r="L13" s="698"/>
      <c r="M13" s="699"/>
    </row>
    <row r="14" spans="2:16" ht="19.899999999999999" customHeight="1" x14ac:dyDescent="0.2">
      <c r="B14" s="171"/>
      <c r="C14" s="169"/>
      <c r="D14" s="696"/>
      <c r="E14" s="696"/>
      <c r="F14" s="696"/>
      <c r="G14" s="696"/>
      <c r="H14" s="696"/>
      <c r="I14" s="696"/>
      <c r="J14" s="703"/>
      <c r="K14" s="703"/>
      <c r="L14" s="698"/>
      <c r="M14" s="699"/>
    </row>
    <row r="15" spans="2:16" ht="19.899999999999999" customHeight="1" x14ac:dyDescent="0.2">
      <c r="B15" s="171"/>
      <c r="C15" s="169"/>
      <c r="D15" s="696"/>
      <c r="E15" s="696"/>
      <c r="F15" s="696"/>
      <c r="G15" s="696"/>
      <c r="H15" s="696"/>
      <c r="I15" s="696"/>
      <c r="J15" s="703"/>
      <c r="K15" s="703"/>
      <c r="L15" s="698"/>
      <c r="M15" s="699"/>
    </row>
    <row r="16" spans="2:16" ht="19.899999999999999" customHeight="1" x14ac:dyDescent="0.2">
      <c r="B16" s="171"/>
      <c r="C16" s="169"/>
      <c r="D16" s="696"/>
      <c r="E16" s="696"/>
      <c r="F16" s="696"/>
      <c r="G16" s="696"/>
      <c r="H16" s="696"/>
      <c r="I16" s="696"/>
      <c r="J16" s="703"/>
      <c r="K16" s="703"/>
      <c r="L16" s="698"/>
      <c r="M16" s="699"/>
    </row>
    <row r="17" spans="2:13" ht="19.899999999999999" customHeight="1" x14ac:dyDescent="0.2">
      <c r="B17" s="171"/>
      <c r="C17" s="169"/>
      <c r="D17" s="696"/>
      <c r="E17" s="696"/>
      <c r="F17" s="696"/>
      <c r="G17" s="696"/>
      <c r="H17" s="696"/>
      <c r="I17" s="696"/>
      <c r="J17" s="703"/>
      <c r="K17" s="703"/>
      <c r="L17" s="698"/>
      <c r="M17" s="699"/>
    </row>
    <row r="18" spans="2:13" ht="19.899999999999999" customHeight="1" x14ac:dyDescent="0.2">
      <c r="B18" s="171"/>
      <c r="C18" s="169"/>
      <c r="D18" s="696"/>
      <c r="E18" s="696"/>
      <c r="F18" s="696"/>
      <c r="G18" s="696"/>
      <c r="H18" s="696"/>
      <c r="I18" s="696"/>
      <c r="J18" s="703"/>
      <c r="K18" s="703"/>
      <c r="L18" s="698"/>
      <c r="M18" s="699"/>
    </row>
    <row r="19" spans="2:13" ht="19.899999999999999" customHeight="1" x14ac:dyDescent="0.2">
      <c r="B19" s="171"/>
      <c r="C19" s="169"/>
      <c r="D19" s="696"/>
      <c r="E19" s="696"/>
      <c r="F19" s="696"/>
      <c r="G19" s="696"/>
      <c r="H19" s="696"/>
      <c r="I19" s="696"/>
      <c r="J19" s="703"/>
      <c r="K19" s="703"/>
      <c r="L19" s="698"/>
      <c r="M19" s="699"/>
    </row>
    <row r="20" spans="2:13" ht="19.899999999999999" customHeight="1" x14ac:dyDescent="0.2">
      <c r="B20" s="171"/>
      <c r="C20" s="169"/>
      <c r="D20" s="696"/>
      <c r="E20" s="696"/>
      <c r="F20" s="696"/>
      <c r="G20" s="696"/>
      <c r="H20" s="696"/>
      <c r="I20" s="696"/>
      <c r="J20" s="703"/>
      <c r="K20" s="703"/>
      <c r="L20" s="698"/>
      <c r="M20" s="699"/>
    </row>
    <row r="21" spans="2:13" ht="19.899999999999999" customHeight="1" x14ac:dyDescent="0.2">
      <c r="B21" s="171"/>
      <c r="C21" s="169"/>
      <c r="D21" s="696"/>
      <c r="E21" s="696"/>
      <c r="F21" s="696"/>
      <c r="G21" s="696"/>
      <c r="H21" s="696"/>
      <c r="I21" s="696"/>
      <c r="J21" s="703"/>
      <c r="K21" s="703"/>
      <c r="L21" s="698"/>
      <c r="M21" s="699"/>
    </row>
    <row r="22" spans="2:13" ht="19.899999999999999" customHeight="1" x14ac:dyDescent="0.2">
      <c r="B22" s="171"/>
      <c r="C22" s="169"/>
      <c r="D22" s="696"/>
      <c r="E22" s="696"/>
      <c r="F22" s="696"/>
      <c r="G22" s="696"/>
      <c r="H22" s="696"/>
      <c r="I22" s="696"/>
      <c r="J22" s="703"/>
      <c r="K22" s="703"/>
      <c r="L22" s="698"/>
      <c r="M22" s="699"/>
    </row>
    <row r="23" spans="2:13" ht="19.899999999999999" customHeight="1" x14ac:dyDescent="0.2">
      <c r="B23" s="171"/>
      <c r="C23" s="169"/>
      <c r="D23" s="696"/>
      <c r="E23" s="696"/>
      <c r="F23" s="696"/>
      <c r="G23" s="696"/>
      <c r="H23" s="696"/>
      <c r="I23" s="696"/>
      <c r="J23" s="703"/>
      <c r="K23" s="703"/>
      <c r="L23" s="698"/>
      <c r="M23" s="699"/>
    </row>
    <row r="24" spans="2:13" ht="19.899999999999999" customHeight="1" x14ac:dyDescent="0.2">
      <c r="B24" s="171"/>
      <c r="C24" s="169"/>
      <c r="D24" s="696"/>
      <c r="E24" s="696"/>
      <c r="F24" s="696"/>
      <c r="G24" s="696"/>
      <c r="H24" s="696"/>
      <c r="I24" s="696"/>
      <c r="J24" s="703"/>
      <c r="K24" s="703"/>
      <c r="L24" s="698"/>
      <c r="M24" s="699"/>
    </row>
    <row r="25" spans="2:13" ht="19.899999999999999" customHeight="1" x14ac:dyDescent="0.2">
      <c r="B25" s="171"/>
      <c r="C25" s="169"/>
      <c r="D25" s="696"/>
      <c r="E25" s="696"/>
      <c r="F25" s="696"/>
      <c r="G25" s="696"/>
      <c r="H25" s="696"/>
      <c r="I25" s="696"/>
      <c r="J25" s="703"/>
      <c r="K25" s="703"/>
      <c r="L25" s="698"/>
      <c r="M25" s="699"/>
    </row>
    <row r="26" spans="2:13" ht="19.899999999999999" customHeight="1" x14ac:dyDescent="0.2">
      <c r="B26" s="171"/>
      <c r="C26" s="169"/>
      <c r="D26" s="696"/>
      <c r="E26" s="696"/>
      <c r="F26" s="696"/>
      <c r="G26" s="696"/>
      <c r="H26" s="696"/>
      <c r="I26" s="696"/>
      <c r="J26" s="703"/>
      <c r="K26" s="703"/>
      <c r="L26" s="698"/>
      <c r="M26" s="699"/>
    </row>
    <row r="27" spans="2:13" ht="19.899999999999999" customHeight="1" x14ac:dyDescent="0.2">
      <c r="B27" s="171"/>
      <c r="C27" s="169"/>
      <c r="D27" s="696"/>
      <c r="E27" s="696"/>
      <c r="F27" s="696"/>
      <c r="G27" s="696"/>
      <c r="H27" s="696"/>
      <c r="I27" s="696"/>
      <c r="J27" s="703"/>
      <c r="K27" s="703"/>
      <c r="L27" s="698"/>
      <c r="M27" s="699"/>
    </row>
    <row r="28" spans="2:13" ht="19.899999999999999" customHeight="1" x14ac:dyDescent="0.2">
      <c r="B28" s="171"/>
      <c r="C28" s="169"/>
      <c r="D28" s="696"/>
      <c r="E28" s="696"/>
      <c r="F28" s="696"/>
      <c r="G28" s="696"/>
      <c r="H28" s="696"/>
      <c r="I28" s="696"/>
      <c r="J28" s="703"/>
      <c r="K28" s="703"/>
      <c r="L28" s="698"/>
      <c r="M28" s="699"/>
    </row>
    <row r="29" spans="2:13" ht="19.899999999999999" customHeight="1" x14ac:dyDescent="0.2">
      <c r="B29" s="171"/>
      <c r="C29" s="169"/>
      <c r="D29" s="696"/>
      <c r="E29" s="696"/>
      <c r="F29" s="696"/>
      <c r="G29" s="696"/>
      <c r="H29" s="696"/>
      <c r="I29" s="696"/>
      <c r="J29" s="703"/>
      <c r="K29" s="703"/>
      <c r="L29" s="698"/>
      <c r="M29" s="699"/>
    </row>
    <row r="30" spans="2:13" ht="19.899999999999999" customHeight="1" x14ac:dyDescent="0.2">
      <c r="B30" s="171"/>
      <c r="C30" s="169"/>
      <c r="D30" s="696"/>
      <c r="E30" s="696"/>
      <c r="F30" s="696"/>
      <c r="G30" s="696"/>
      <c r="H30" s="696"/>
      <c r="I30" s="696"/>
      <c r="J30" s="703"/>
      <c r="K30" s="703"/>
      <c r="L30" s="698"/>
      <c r="M30" s="699"/>
    </row>
    <row r="31" spans="2:13" ht="19.899999999999999" customHeight="1" x14ac:dyDescent="0.2">
      <c r="B31" s="171"/>
      <c r="C31" s="169"/>
      <c r="D31" s="696"/>
      <c r="E31" s="696"/>
      <c r="F31" s="696"/>
      <c r="G31" s="696"/>
      <c r="H31" s="696"/>
      <c r="I31" s="696"/>
      <c r="J31" s="703"/>
      <c r="K31" s="703"/>
      <c r="L31" s="698"/>
      <c r="M31" s="699"/>
    </row>
    <row r="32" spans="2:13" ht="19.899999999999999" customHeight="1" x14ac:dyDescent="0.2">
      <c r="B32" s="171"/>
      <c r="C32" s="169"/>
      <c r="D32" s="696"/>
      <c r="E32" s="696"/>
      <c r="F32" s="696"/>
      <c r="G32" s="696"/>
      <c r="H32" s="696"/>
      <c r="I32" s="696"/>
      <c r="J32" s="703"/>
      <c r="K32" s="703"/>
      <c r="L32" s="698"/>
      <c r="M32" s="699"/>
    </row>
    <row r="33" spans="2:13" ht="19.899999999999999" customHeight="1" x14ac:dyDescent="0.2">
      <c r="B33" s="171"/>
      <c r="C33" s="169"/>
      <c r="D33" s="696"/>
      <c r="E33" s="696"/>
      <c r="F33" s="696"/>
      <c r="G33" s="696"/>
      <c r="H33" s="696"/>
      <c r="I33" s="696"/>
      <c r="J33" s="703"/>
      <c r="K33" s="703"/>
      <c r="L33" s="698"/>
      <c r="M33" s="699"/>
    </row>
    <row r="34" spans="2:13" ht="19.899999999999999" customHeight="1" x14ac:dyDescent="0.2">
      <c r="B34" s="171"/>
      <c r="C34" s="169"/>
      <c r="D34" s="696"/>
      <c r="E34" s="696"/>
      <c r="F34" s="696"/>
      <c r="G34" s="696"/>
      <c r="H34" s="696"/>
      <c r="I34" s="696"/>
      <c r="J34" s="703"/>
      <c r="K34" s="703"/>
      <c r="L34" s="698"/>
      <c r="M34" s="699"/>
    </row>
    <row r="35" spans="2:13" ht="19.899999999999999" customHeight="1" x14ac:dyDescent="0.2">
      <c r="B35" s="171"/>
      <c r="C35" s="169"/>
      <c r="D35" s="696"/>
      <c r="E35" s="696"/>
      <c r="F35" s="696"/>
      <c r="G35" s="696"/>
      <c r="H35" s="696"/>
      <c r="I35" s="696"/>
      <c r="J35" s="703"/>
      <c r="K35" s="703"/>
      <c r="L35" s="698"/>
      <c r="M35" s="699"/>
    </row>
    <row r="36" spans="2:13" ht="19.899999999999999" customHeight="1" x14ac:dyDescent="0.2">
      <c r="B36" s="171"/>
      <c r="C36" s="169"/>
      <c r="D36" s="696"/>
      <c r="E36" s="696"/>
      <c r="F36" s="696"/>
      <c r="G36" s="696"/>
      <c r="H36" s="696"/>
      <c r="I36" s="696"/>
      <c r="J36" s="703"/>
      <c r="K36" s="703"/>
      <c r="L36" s="698"/>
      <c r="M36" s="699"/>
    </row>
    <row r="37" spans="2:13" ht="19.899999999999999" customHeight="1" x14ac:dyDescent="0.2">
      <c r="B37" s="171"/>
      <c r="C37" s="169"/>
      <c r="D37" s="696"/>
      <c r="E37" s="696"/>
      <c r="F37" s="696"/>
      <c r="G37" s="696"/>
      <c r="H37" s="696"/>
      <c r="I37" s="696"/>
      <c r="J37" s="703"/>
      <c r="K37" s="703"/>
      <c r="L37" s="698"/>
      <c r="M37" s="699"/>
    </row>
    <row r="38" spans="2:13" ht="19.899999999999999" customHeight="1" x14ac:dyDescent="0.2">
      <c r="B38" s="171"/>
      <c r="C38" s="169"/>
      <c r="D38" s="696"/>
      <c r="E38" s="696"/>
      <c r="F38" s="696"/>
      <c r="G38" s="696"/>
      <c r="H38" s="696"/>
      <c r="I38" s="696"/>
      <c r="J38" s="703"/>
      <c r="K38" s="703"/>
      <c r="L38" s="698"/>
      <c r="M38" s="699"/>
    </row>
    <row r="39" spans="2:13" ht="19.899999999999999" customHeight="1" x14ac:dyDescent="0.2">
      <c r="B39" s="171"/>
      <c r="C39" s="169"/>
      <c r="D39" s="696"/>
      <c r="E39" s="696"/>
      <c r="F39" s="696"/>
      <c r="G39" s="696"/>
      <c r="H39" s="696"/>
      <c r="I39" s="696"/>
      <c r="J39" s="703"/>
      <c r="K39" s="703"/>
      <c r="L39" s="698"/>
      <c r="M39" s="699"/>
    </row>
    <row r="40" spans="2:13" ht="19.899999999999999" customHeight="1" x14ac:dyDescent="0.2">
      <c r="B40" s="171"/>
      <c r="C40" s="169"/>
      <c r="D40" s="696"/>
      <c r="E40" s="696"/>
      <c r="F40" s="696"/>
      <c r="G40" s="696"/>
      <c r="H40" s="696"/>
      <c r="I40" s="696"/>
      <c r="J40" s="703"/>
      <c r="K40" s="703"/>
      <c r="L40" s="698"/>
      <c r="M40" s="699"/>
    </row>
    <row r="41" spans="2:13" ht="19.899999999999999" customHeight="1" x14ac:dyDescent="0.2">
      <c r="B41" s="171"/>
      <c r="C41" s="169"/>
      <c r="D41" s="696"/>
      <c r="E41" s="696"/>
      <c r="F41" s="696"/>
      <c r="G41" s="696"/>
      <c r="H41" s="696"/>
      <c r="I41" s="696"/>
      <c r="J41" s="703"/>
      <c r="K41" s="703"/>
      <c r="L41" s="698"/>
      <c r="M41" s="699"/>
    </row>
    <row r="42" spans="2:13" ht="19.899999999999999" customHeight="1" x14ac:dyDescent="0.2">
      <c r="B42" s="171"/>
      <c r="C42" s="169"/>
      <c r="D42" s="696"/>
      <c r="E42" s="696"/>
      <c r="F42" s="696"/>
      <c r="G42" s="696"/>
      <c r="H42" s="696"/>
      <c r="I42" s="696"/>
      <c r="J42" s="703"/>
      <c r="K42" s="703"/>
      <c r="L42" s="698"/>
      <c r="M42" s="699"/>
    </row>
    <row r="43" spans="2:13" ht="19.899999999999999" customHeight="1" x14ac:dyDescent="0.2">
      <c r="B43" s="171"/>
      <c r="C43" s="169"/>
      <c r="D43" s="696"/>
      <c r="E43" s="696"/>
      <c r="F43" s="696"/>
      <c r="G43" s="696"/>
      <c r="H43" s="696"/>
      <c r="I43" s="696"/>
      <c r="J43" s="703"/>
      <c r="K43" s="703"/>
      <c r="L43" s="698"/>
      <c r="M43" s="699"/>
    </row>
    <row r="44" spans="2:13" ht="19.899999999999999" customHeight="1" x14ac:dyDescent="0.2">
      <c r="B44" s="171"/>
      <c r="C44" s="169"/>
      <c r="D44" s="696"/>
      <c r="E44" s="696"/>
      <c r="F44" s="696"/>
      <c r="G44" s="696"/>
      <c r="H44" s="696"/>
      <c r="I44" s="696"/>
      <c r="J44" s="703"/>
      <c r="K44" s="703"/>
      <c r="L44" s="698"/>
      <c r="M44" s="699"/>
    </row>
    <row r="45" spans="2:13" ht="19.899999999999999" customHeight="1" x14ac:dyDescent="0.2">
      <c r="B45" s="171"/>
      <c r="C45" s="169"/>
      <c r="D45" s="696"/>
      <c r="E45" s="696"/>
      <c r="F45" s="696"/>
      <c r="G45" s="696"/>
      <c r="H45" s="696"/>
      <c r="I45" s="696"/>
      <c r="J45" s="703"/>
      <c r="K45" s="703"/>
      <c r="L45" s="698"/>
      <c r="M45" s="699"/>
    </row>
    <row r="46" spans="2:13" ht="19.899999999999999" customHeight="1" thickBot="1" x14ac:dyDescent="0.25">
      <c r="B46" s="172"/>
      <c r="C46" s="170"/>
      <c r="D46" s="697"/>
      <c r="E46" s="697"/>
      <c r="F46" s="697"/>
      <c r="G46" s="697"/>
      <c r="H46" s="697"/>
      <c r="I46" s="697"/>
      <c r="J46" s="704"/>
      <c r="K46" s="704"/>
      <c r="L46" s="700"/>
      <c r="M46" s="701"/>
    </row>
  </sheetData>
  <mergeCells count="127">
    <mergeCell ref="D16:I16"/>
    <mergeCell ref="J14:K14"/>
    <mergeCell ref="L13:M13"/>
    <mergeCell ref="L11:M11"/>
    <mergeCell ref="L12:M12"/>
    <mergeCell ref="L9:M9"/>
    <mergeCell ref="L10:M10"/>
    <mergeCell ref="B2:M2"/>
    <mergeCell ref="C7:C8"/>
    <mergeCell ref="B7:B8"/>
    <mergeCell ref="D7:I8"/>
    <mergeCell ref="J7:K8"/>
    <mergeCell ref="L7:M8"/>
    <mergeCell ref="L14:M14"/>
    <mergeCell ref="L15:M15"/>
    <mergeCell ref="L16:M16"/>
    <mergeCell ref="L4:M5"/>
    <mergeCell ref="B4:C5"/>
    <mergeCell ref="D4:E5"/>
    <mergeCell ref="F4:F5"/>
    <mergeCell ref="G4:H5"/>
    <mergeCell ref="I4:J5"/>
    <mergeCell ref="K4:K5"/>
    <mergeCell ref="J9:K9"/>
    <mergeCell ref="J10:K10"/>
    <mergeCell ref="J11:K11"/>
    <mergeCell ref="J12:K12"/>
    <mergeCell ref="J13:K13"/>
    <mergeCell ref="J15:K15"/>
    <mergeCell ref="J25:K25"/>
    <mergeCell ref="J26:K26"/>
    <mergeCell ref="J23:K23"/>
    <mergeCell ref="J24:K24"/>
    <mergeCell ref="J21:K21"/>
    <mergeCell ref="J22:K22"/>
    <mergeCell ref="J19:K19"/>
    <mergeCell ref="J20:K20"/>
    <mergeCell ref="J17:K17"/>
    <mergeCell ref="J18:K18"/>
    <mergeCell ref="J16:K16"/>
    <mergeCell ref="J27:K27"/>
    <mergeCell ref="J28:K28"/>
    <mergeCell ref="J29:K29"/>
    <mergeCell ref="J30:K30"/>
    <mergeCell ref="L37:M37"/>
    <mergeCell ref="L26:M26"/>
    <mergeCell ref="L27:M27"/>
    <mergeCell ref="J31:K31"/>
    <mergeCell ref="J32:K32"/>
    <mergeCell ref="L31:M31"/>
    <mergeCell ref="J45:K45"/>
    <mergeCell ref="J46:K46"/>
    <mergeCell ref="J39:K39"/>
    <mergeCell ref="J40:K40"/>
    <mergeCell ref="J41:K41"/>
    <mergeCell ref="J42:K42"/>
    <mergeCell ref="J43:K43"/>
    <mergeCell ref="J44:K44"/>
    <mergeCell ref="J33:K33"/>
    <mergeCell ref="J34:K34"/>
    <mergeCell ref="J35:K35"/>
    <mergeCell ref="J36:K36"/>
    <mergeCell ref="J37:K37"/>
    <mergeCell ref="J38:K38"/>
    <mergeCell ref="L20:M20"/>
    <mergeCell ref="L21:M21"/>
    <mergeCell ref="L22:M22"/>
    <mergeCell ref="L23:M23"/>
    <mergeCell ref="L24:M24"/>
    <mergeCell ref="L25:M25"/>
    <mergeCell ref="L17:M17"/>
    <mergeCell ref="L18:M18"/>
    <mergeCell ref="L19:M19"/>
    <mergeCell ref="L44:M44"/>
    <mergeCell ref="L45:M45"/>
    <mergeCell ref="L46:M46"/>
    <mergeCell ref="D9:I9"/>
    <mergeCell ref="D10:I10"/>
    <mergeCell ref="D11:I11"/>
    <mergeCell ref="D12:I12"/>
    <mergeCell ref="D13:I13"/>
    <mergeCell ref="D14:I14"/>
    <mergeCell ref="D15:I15"/>
    <mergeCell ref="L38:M38"/>
    <mergeCell ref="L39:M39"/>
    <mergeCell ref="L40:M40"/>
    <mergeCell ref="L41:M41"/>
    <mergeCell ref="L42:M42"/>
    <mergeCell ref="L43:M43"/>
    <mergeCell ref="L32:M32"/>
    <mergeCell ref="L33:M33"/>
    <mergeCell ref="L34:M34"/>
    <mergeCell ref="L35:M35"/>
    <mergeCell ref="L36:M36"/>
    <mergeCell ref="L28:M28"/>
    <mergeCell ref="L29:M29"/>
    <mergeCell ref="L30:M30"/>
    <mergeCell ref="D43:I43"/>
    <mergeCell ref="D44:I44"/>
    <mergeCell ref="D45:I45"/>
    <mergeCell ref="D46:I46"/>
    <mergeCell ref="D35:I35"/>
    <mergeCell ref="D36:I36"/>
    <mergeCell ref="D37:I37"/>
    <mergeCell ref="D38:I38"/>
    <mergeCell ref="D39:I39"/>
    <mergeCell ref="D40:I40"/>
    <mergeCell ref="D41:I41"/>
    <mergeCell ref="D42:I42"/>
    <mergeCell ref="D17:I17"/>
    <mergeCell ref="D18:I18"/>
    <mergeCell ref="D19:I19"/>
    <mergeCell ref="D29:I29"/>
    <mergeCell ref="D30:I30"/>
    <mergeCell ref="D31:I31"/>
    <mergeCell ref="D32:I32"/>
    <mergeCell ref="D33:I33"/>
    <mergeCell ref="D34:I34"/>
    <mergeCell ref="D23:I23"/>
    <mergeCell ref="D24:I24"/>
    <mergeCell ref="D25:I25"/>
    <mergeCell ref="D26:I26"/>
    <mergeCell ref="D27:I27"/>
    <mergeCell ref="D28:I28"/>
    <mergeCell ref="D20:I20"/>
    <mergeCell ref="D21:I21"/>
    <mergeCell ref="D22:I22"/>
  </mergeCells>
  <dataValidations count="1">
    <dataValidation type="list" allowBlank="1" showInputMessage="1" showErrorMessage="1" errorTitle="Tipo de provento inválido" error="Tipo de provento inválido" promptTitle="Selecione o TIPO de Provento" prompt="Selecione o TIPO de Provento" sqref="C9:C46">
      <formula1>$P$7:$P$10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48"/>
  <sheetViews>
    <sheetView topLeftCell="A20" zoomScale="90" zoomScaleNormal="90" workbookViewId="0">
      <selection activeCell="B47" sqref="B47"/>
    </sheetView>
  </sheetViews>
  <sheetFormatPr defaultColWidth="11.5703125" defaultRowHeight="12.75" customHeight="1" x14ac:dyDescent="0.2"/>
  <cols>
    <col min="1" max="1" width="11.5703125" style="1"/>
    <col min="2" max="2" width="27.5703125" style="1" customWidth="1"/>
    <col min="3" max="3" width="24.28515625" style="1" customWidth="1"/>
    <col min="4" max="6" width="14.7109375" style="1" customWidth="1"/>
    <col min="7" max="16384" width="11.5703125" style="1"/>
  </cols>
  <sheetData>
    <row r="2" spans="2:13" ht="38.1" customHeight="1" thickBot="1" x14ac:dyDescent="0.25">
      <c r="B2" s="707" t="s">
        <v>115</v>
      </c>
      <c r="C2" s="707"/>
      <c r="D2" s="707"/>
      <c r="E2" s="707"/>
      <c r="F2" s="29"/>
      <c r="H2" s="45"/>
      <c r="I2" s="45"/>
    </row>
    <row r="3" spans="2:13" ht="12.75" customHeight="1" thickTop="1" x14ac:dyDescent="0.2">
      <c r="B3" s="122" t="s">
        <v>124</v>
      </c>
      <c r="C3" s="120"/>
      <c r="D3" s="121"/>
      <c r="E3" s="120"/>
      <c r="F3" s="29"/>
      <c r="J3" s="32"/>
      <c r="K3" s="32"/>
    </row>
    <row r="4" spans="2:13" ht="12.75" customHeight="1" thickBot="1" x14ac:dyDescent="0.25">
      <c r="B4" s="32"/>
      <c r="C4" s="32"/>
      <c r="D4" s="32"/>
      <c r="E4" s="29"/>
      <c r="F4" s="29"/>
      <c r="J4" s="32"/>
      <c r="K4" s="32"/>
    </row>
    <row r="5" spans="2:13" ht="13.5" customHeight="1" x14ac:dyDescent="0.2">
      <c r="B5" s="747" t="s">
        <v>122</v>
      </c>
      <c r="C5" s="748"/>
      <c r="D5" s="748"/>
      <c r="E5" s="749"/>
      <c r="F5" s="29"/>
      <c r="J5" s="32"/>
      <c r="K5" s="32"/>
    </row>
    <row r="6" spans="2:13" ht="13.5" customHeight="1" thickBot="1" x14ac:dyDescent="0.25">
      <c r="B6" s="750"/>
      <c r="C6" s="751"/>
      <c r="D6" s="751"/>
      <c r="E6" s="752"/>
      <c r="F6" s="29"/>
      <c r="J6" s="32"/>
      <c r="K6" s="32"/>
      <c r="L6" s="29"/>
      <c r="M6" s="29"/>
    </row>
    <row r="7" spans="2:13" ht="13.5" customHeight="1" x14ac:dyDescent="0.2">
      <c r="B7" s="757" t="s">
        <v>117</v>
      </c>
      <c r="C7" s="759" t="s">
        <v>116</v>
      </c>
      <c r="D7" s="759" t="s">
        <v>118</v>
      </c>
      <c r="E7" s="761"/>
      <c r="F7" s="29"/>
      <c r="J7" s="32"/>
      <c r="K7" s="32"/>
      <c r="L7" s="29"/>
      <c r="M7" s="29"/>
    </row>
    <row r="8" spans="2:13" ht="13.5" customHeight="1" x14ac:dyDescent="0.2">
      <c r="B8" s="758"/>
      <c r="C8" s="760"/>
      <c r="D8" s="760"/>
      <c r="E8" s="762"/>
      <c r="F8" s="29"/>
      <c r="J8" s="32"/>
      <c r="K8" s="32"/>
      <c r="L8" s="29"/>
      <c r="M8" s="29"/>
    </row>
    <row r="9" spans="2:13" ht="13.5" customHeight="1" x14ac:dyDescent="0.2">
      <c r="B9" s="740">
        <v>3.3399999999999999E-5</v>
      </c>
      <c r="C9" s="753">
        <v>2.7500000000000002E-4</v>
      </c>
      <c r="D9" s="767">
        <v>0</v>
      </c>
      <c r="E9" s="768"/>
      <c r="F9" s="29"/>
      <c r="J9" s="32"/>
      <c r="K9" s="32"/>
      <c r="L9" s="29"/>
      <c r="M9" s="29"/>
    </row>
    <row r="10" spans="2:13" ht="13.5" customHeight="1" thickBot="1" x14ac:dyDescent="0.25">
      <c r="B10" s="741"/>
      <c r="C10" s="754"/>
      <c r="D10" s="769"/>
      <c r="E10" s="770"/>
      <c r="F10" s="29"/>
      <c r="J10" s="32"/>
      <c r="K10" s="32"/>
      <c r="L10" s="29"/>
      <c r="M10" s="29"/>
    </row>
    <row r="11" spans="2:13" ht="13.5" customHeight="1" thickBot="1" x14ac:dyDescent="0.25">
      <c r="B11" s="32"/>
      <c r="C11" s="32"/>
      <c r="D11" s="32"/>
      <c r="E11" s="29"/>
      <c r="F11" s="29"/>
      <c r="J11" s="32"/>
      <c r="K11" s="32"/>
      <c r="L11" s="29"/>
      <c r="M11" s="29"/>
    </row>
    <row r="12" spans="2:13" ht="13.5" customHeight="1" x14ac:dyDescent="0.2">
      <c r="B12" s="747" t="s">
        <v>119</v>
      </c>
      <c r="C12" s="748"/>
      <c r="D12" s="748"/>
      <c r="E12" s="749"/>
      <c r="F12" s="29"/>
      <c r="J12" s="32"/>
      <c r="K12" s="32"/>
      <c r="L12" s="29"/>
      <c r="M12" s="29"/>
    </row>
    <row r="13" spans="2:13" ht="13.5" customHeight="1" thickBot="1" x14ac:dyDescent="0.25">
      <c r="B13" s="750"/>
      <c r="C13" s="751"/>
      <c r="D13" s="751"/>
      <c r="E13" s="752"/>
      <c r="F13" s="29"/>
      <c r="J13" s="32"/>
      <c r="K13" s="32"/>
      <c r="L13" s="29"/>
      <c r="M13" s="29"/>
    </row>
    <row r="14" spans="2:13" ht="13.5" customHeight="1" x14ac:dyDescent="0.2">
      <c r="B14" s="757" t="s">
        <v>117</v>
      </c>
      <c r="C14" s="759" t="s">
        <v>116</v>
      </c>
      <c r="D14" s="759" t="s">
        <v>118</v>
      </c>
      <c r="E14" s="761"/>
      <c r="F14" s="29"/>
      <c r="J14" s="32"/>
      <c r="K14" s="32"/>
      <c r="L14" s="29"/>
      <c r="M14" s="29"/>
    </row>
    <row r="15" spans="2:13" ht="13.5" customHeight="1" x14ac:dyDescent="0.2">
      <c r="B15" s="758"/>
      <c r="C15" s="760"/>
      <c r="D15" s="760"/>
      <c r="E15" s="762"/>
      <c r="F15" s="29"/>
      <c r="J15" s="32"/>
      <c r="K15" s="32"/>
      <c r="L15" s="29"/>
      <c r="M15" s="29"/>
    </row>
    <row r="16" spans="2:13" ht="13.5" customHeight="1" x14ac:dyDescent="0.2">
      <c r="B16" s="740">
        <v>3.3399999999999999E-5</v>
      </c>
      <c r="C16" s="753">
        <v>2.0000000000000001E-4</v>
      </c>
      <c r="D16" s="736">
        <v>0</v>
      </c>
      <c r="E16" s="737"/>
      <c r="F16" s="29"/>
      <c r="J16" s="32"/>
      <c r="K16" s="32"/>
      <c r="L16" s="29"/>
      <c r="M16" s="29"/>
    </row>
    <row r="17" spans="2:13" ht="13.5" customHeight="1" thickBot="1" x14ac:dyDescent="0.25">
      <c r="B17" s="741"/>
      <c r="C17" s="754"/>
      <c r="D17" s="738"/>
      <c r="E17" s="739"/>
      <c r="F17" s="29"/>
      <c r="J17" s="32"/>
      <c r="K17" s="32"/>
      <c r="L17" s="29"/>
      <c r="M17" s="29"/>
    </row>
    <row r="18" spans="2:13" ht="13.5" customHeight="1" thickBot="1" x14ac:dyDescent="0.25">
      <c r="B18" s="32"/>
      <c r="C18" s="32"/>
      <c r="D18" s="32"/>
      <c r="E18" s="29"/>
      <c r="F18" s="29"/>
      <c r="J18" s="32"/>
      <c r="K18" s="32"/>
      <c r="L18" s="29"/>
      <c r="M18" s="29"/>
    </row>
    <row r="19" spans="2:13" ht="13.5" customHeight="1" x14ac:dyDescent="0.2">
      <c r="B19" s="747" t="s">
        <v>123</v>
      </c>
      <c r="C19" s="748"/>
      <c r="D19" s="748"/>
      <c r="E19" s="749"/>
      <c r="F19" s="29"/>
      <c r="J19" s="32"/>
      <c r="K19" s="32"/>
      <c r="L19" s="29"/>
      <c r="M19" s="29"/>
    </row>
    <row r="20" spans="2:13" ht="13.5" customHeight="1" thickBot="1" x14ac:dyDescent="0.25">
      <c r="B20" s="750"/>
      <c r="C20" s="751"/>
      <c r="D20" s="751"/>
      <c r="E20" s="752"/>
      <c r="F20" s="29"/>
      <c r="J20" s="32"/>
      <c r="K20" s="32"/>
      <c r="L20" s="29"/>
      <c r="M20" s="29"/>
    </row>
    <row r="21" spans="2:13" ht="13.5" customHeight="1" x14ac:dyDescent="0.2">
      <c r="B21" s="757" t="s">
        <v>117</v>
      </c>
      <c r="C21" s="759" t="s">
        <v>116</v>
      </c>
      <c r="D21" s="759" t="s">
        <v>118</v>
      </c>
      <c r="E21" s="761"/>
      <c r="F21" s="29"/>
      <c r="J21" s="32"/>
      <c r="K21" s="32"/>
      <c r="L21" s="29"/>
      <c r="M21" s="29"/>
    </row>
    <row r="22" spans="2:13" ht="13.5" customHeight="1" x14ac:dyDescent="0.2">
      <c r="B22" s="758"/>
      <c r="C22" s="760"/>
      <c r="D22" s="760"/>
      <c r="E22" s="762"/>
      <c r="F22" s="29"/>
      <c r="J22" s="32"/>
      <c r="K22" s="32"/>
      <c r="L22" s="29"/>
      <c r="M22" s="29"/>
    </row>
    <row r="23" spans="2:13" ht="13.5" customHeight="1" x14ac:dyDescent="0.2">
      <c r="B23" s="740">
        <v>3.6999999999999999E-4</v>
      </c>
      <c r="C23" s="753">
        <v>2.7500000000000002E-4</v>
      </c>
      <c r="D23" s="736">
        <v>6.9499999999999998E-4</v>
      </c>
      <c r="E23" s="737"/>
      <c r="F23" s="29"/>
      <c r="J23" s="32"/>
      <c r="K23" s="32"/>
      <c r="L23" s="29"/>
      <c r="M23" s="29"/>
    </row>
    <row r="24" spans="2:13" ht="13.5" customHeight="1" thickBot="1" x14ac:dyDescent="0.25">
      <c r="B24" s="741"/>
      <c r="C24" s="754"/>
      <c r="D24" s="738"/>
      <c r="E24" s="739"/>
      <c r="F24" s="29"/>
      <c r="J24" s="32"/>
      <c r="K24" s="32"/>
      <c r="L24" s="29"/>
      <c r="M24" s="29"/>
    </row>
    <row r="25" spans="2:13" ht="13.5" customHeight="1" thickBot="1" x14ac:dyDescent="0.25">
      <c r="B25" s="32"/>
      <c r="C25" s="32"/>
      <c r="D25" s="32"/>
      <c r="E25" s="29"/>
      <c r="F25" s="29"/>
      <c r="J25" s="32"/>
      <c r="K25" s="32"/>
      <c r="L25" s="29"/>
      <c r="M25" s="29"/>
    </row>
    <row r="26" spans="2:13" ht="13.5" customHeight="1" x14ac:dyDescent="0.2">
      <c r="B26" s="747" t="s">
        <v>120</v>
      </c>
      <c r="C26" s="748"/>
      <c r="D26" s="748"/>
      <c r="E26" s="749"/>
      <c r="F26" s="29"/>
      <c r="J26" s="32"/>
      <c r="K26" s="32"/>
      <c r="L26" s="29"/>
      <c r="M26" s="29"/>
    </row>
    <row r="27" spans="2:13" ht="13.5" customHeight="1" thickBot="1" x14ac:dyDescent="0.25">
      <c r="B27" s="750"/>
      <c r="C27" s="751"/>
      <c r="D27" s="751"/>
      <c r="E27" s="752"/>
      <c r="F27" s="29"/>
      <c r="J27" s="32"/>
      <c r="K27" s="32"/>
      <c r="L27" s="29"/>
      <c r="M27" s="29"/>
    </row>
    <row r="28" spans="2:13" ht="13.5" customHeight="1" x14ac:dyDescent="0.2">
      <c r="B28" s="757" t="s">
        <v>117</v>
      </c>
      <c r="C28" s="759" t="s">
        <v>116</v>
      </c>
      <c r="D28" s="759" t="s">
        <v>118</v>
      </c>
      <c r="E28" s="761"/>
      <c r="F28" s="29"/>
      <c r="J28" s="32"/>
      <c r="K28" s="32"/>
      <c r="L28" s="29"/>
      <c r="M28" s="29"/>
    </row>
    <row r="29" spans="2:13" ht="13.5" customHeight="1" x14ac:dyDescent="0.2">
      <c r="B29" s="758"/>
      <c r="C29" s="760"/>
      <c r="D29" s="760"/>
      <c r="E29" s="762"/>
      <c r="F29" s="29"/>
      <c r="J29" s="32"/>
      <c r="K29" s="32"/>
      <c r="L29" s="29"/>
      <c r="M29" s="29"/>
    </row>
    <row r="30" spans="2:13" ht="13.5" customHeight="1" x14ac:dyDescent="0.2">
      <c r="B30" s="740">
        <v>1.2999999999999999E-4</v>
      </c>
      <c r="C30" s="753">
        <v>1.8000000000000001E-4</v>
      </c>
      <c r="D30" s="736">
        <v>1.3999999999999999E-4</v>
      </c>
      <c r="E30" s="737"/>
      <c r="F30" s="29"/>
      <c r="J30" s="32"/>
      <c r="K30" s="32"/>
      <c r="L30" s="29"/>
      <c r="M30" s="29"/>
    </row>
    <row r="31" spans="2:13" ht="13.5" customHeight="1" thickBot="1" x14ac:dyDescent="0.25">
      <c r="B31" s="741"/>
      <c r="C31" s="754"/>
      <c r="D31" s="738"/>
      <c r="E31" s="739"/>
      <c r="F31" s="29"/>
      <c r="J31" s="32"/>
      <c r="K31" s="32"/>
      <c r="L31" s="29"/>
      <c r="M31" s="29"/>
    </row>
    <row r="32" spans="2:13" ht="13.5" customHeight="1" thickBot="1" x14ac:dyDescent="0.25">
      <c r="E32" s="32"/>
      <c r="F32" s="32"/>
      <c r="G32" s="29"/>
      <c r="H32" s="29"/>
      <c r="J32" s="32"/>
      <c r="K32" s="32"/>
      <c r="L32" s="29"/>
      <c r="M32" s="29"/>
    </row>
    <row r="33" spans="2:13" ht="13.5" customHeight="1" x14ac:dyDescent="0.2">
      <c r="B33" s="747" t="s">
        <v>127</v>
      </c>
      <c r="C33" s="748"/>
      <c r="D33" s="748"/>
      <c r="E33" s="749"/>
      <c r="F33" s="32"/>
      <c r="G33" s="29"/>
      <c r="H33" s="29"/>
      <c r="J33" s="32"/>
      <c r="K33" s="32"/>
      <c r="L33" s="29"/>
      <c r="M33" s="29"/>
    </row>
    <row r="34" spans="2:13" ht="13.5" customHeight="1" thickBot="1" x14ac:dyDescent="0.25">
      <c r="B34" s="750"/>
      <c r="C34" s="751"/>
      <c r="D34" s="751"/>
      <c r="E34" s="752"/>
      <c r="F34" s="32"/>
      <c r="G34" s="29"/>
      <c r="H34" s="29"/>
      <c r="J34" s="32"/>
      <c r="K34" s="32"/>
      <c r="L34" s="29"/>
      <c r="M34" s="29"/>
    </row>
    <row r="35" spans="2:13" ht="13.5" customHeight="1" x14ac:dyDescent="0.2">
      <c r="B35" s="757" t="s">
        <v>117</v>
      </c>
      <c r="C35" s="759" t="s">
        <v>116</v>
      </c>
      <c r="D35" s="759" t="s">
        <v>118</v>
      </c>
      <c r="E35" s="761"/>
      <c r="F35" s="29"/>
      <c r="H35" s="32"/>
      <c r="I35" s="32"/>
      <c r="J35" s="29"/>
      <c r="K35" s="32"/>
      <c r="L35" s="29"/>
      <c r="M35" s="29"/>
    </row>
    <row r="36" spans="2:13" ht="13.5" customHeight="1" x14ac:dyDescent="0.2">
      <c r="B36" s="758"/>
      <c r="C36" s="760"/>
      <c r="D36" s="760"/>
      <c r="E36" s="762"/>
      <c r="F36" s="29"/>
      <c r="H36" s="32"/>
      <c r="I36" s="32"/>
      <c r="J36" s="29"/>
      <c r="K36" s="32"/>
      <c r="L36" s="29"/>
      <c r="M36" s="29"/>
    </row>
    <row r="37" spans="2:13" ht="13.5" customHeight="1" x14ac:dyDescent="0.2">
      <c r="B37" s="740">
        <v>4.1149999999999997E-5</v>
      </c>
      <c r="C37" s="753">
        <v>2.0000000000000001E-4</v>
      </c>
      <c r="D37" s="736">
        <v>0</v>
      </c>
      <c r="E37" s="737"/>
      <c r="F37" s="29"/>
      <c r="H37" s="32"/>
      <c r="I37" s="32"/>
      <c r="J37" s="29"/>
      <c r="K37" s="32"/>
      <c r="L37" s="29"/>
      <c r="M37" s="29"/>
    </row>
    <row r="38" spans="2:13" ht="13.5" customHeight="1" thickBot="1" x14ac:dyDescent="0.25">
      <c r="B38" s="741"/>
      <c r="C38" s="771"/>
      <c r="D38" s="755"/>
      <c r="E38" s="756"/>
      <c r="F38" s="29"/>
      <c r="H38" s="32"/>
      <c r="I38" s="32"/>
      <c r="J38" s="32"/>
      <c r="K38" s="32"/>
      <c r="L38" s="29"/>
      <c r="M38" s="29"/>
    </row>
    <row r="39" spans="2:13" ht="13.5" customHeight="1" x14ac:dyDescent="0.2">
      <c r="B39" s="744" t="s">
        <v>129</v>
      </c>
      <c r="C39" s="745"/>
      <c r="D39" s="745"/>
      <c r="E39" s="746"/>
      <c r="F39" s="29"/>
      <c r="H39" s="32"/>
      <c r="I39" s="32"/>
      <c r="J39" s="32"/>
      <c r="K39" s="32"/>
      <c r="L39" s="29"/>
      <c r="M39" s="29"/>
    </row>
    <row r="40" spans="2:13" ht="13.5" customHeight="1" thickBot="1" x14ac:dyDescent="0.25">
      <c r="B40" s="126" t="s">
        <v>128</v>
      </c>
      <c r="C40" s="125"/>
      <c r="D40" s="123"/>
      <c r="E40" s="124"/>
      <c r="F40" s="32"/>
      <c r="G40" s="32"/>
      <c r="H40" s="32"/>
      <c r="I40" s="32"/>
      <c r="J40" s="32"/>
      <c r="K40" s="32"/>
      <c r="L40" s="29"/>
      <c r="M40" s="29"/>
    </row>
    <row r="41" spans="2:13" ht="13.5" customHeight="1" thickBot="1" x14ac:dyDescent="0.25">
      <c r="B41" s="32"/>
      <c r="C41" s="32"/>
      <c r="D41" s="32"/>
      <c r="E41" s="29"/>
      <c r="F41" s="29"/>
      <c r="J41" s="32"/>
      <c r="K41" s="32"/>
      <c r="L41" s="29"/>
      <c r="M41" s="29"/>
    </row>
    <row r="42" spans="2:13" ht="13.5" customHeight="1" x14ac:dyDescent="0.2">
      <c r="B42" s="763" t="s">
        <v>121</v>
      </c>
      <c r="C42" s="764"/>
      <c r="D42" s="32"/>
      <c r="E42" s="29"/>
      <c r="F42" s="29"/>
      <c r="J42" s="32"/>
      <c r="K42" s="32"/>
      <c r="L42" s="29"/>
      <c r="M42" s="29"/>
    </row>
    <row r="43" spans="2:13" ht="13.5" customHeight="1" thickBot="1" x14ac:dyDescent="0.25">
      <c r="B43" s="765"/>
      <c r="C43" s="766"/>
      <c r="D43" s="32"/>
      <c r="E43" s="29"/>
      <c r="F43" s="29"/>
      <c r="J43" s="32"/>
      <c r="K43" s="32"/>
      <c r="L43" s="29"/>
      <c r="M43" s="29"/>
    </row>
    <row r="44" spans="2:13" ht="12.75" customHeight="1" x14ac:dyDescent="0.2">
      <c r="B44" s="742" t="s">
        <v>125</v>
      </c>
      <c r="C44" s="742"/>
      <c r="D44" s="32"/>
      <c r="E44" s="29"/>
      <c r="F44" s="29"/>
      <c r="J44" s="32"/>
      <c r="K44" s="32"/>
      <c r="L44" s="29"/>
      <c r="M44" s="29"/>
    </row>
    <row r="45" spans="2:13" ht="12.75" customHeight="1" x14ac:dyDescent="0.2">
      <c r="B45" s="743"/>
      <c r="C45" s="743"/>
      <c r="D45" s="32"/>
      <c r="E45" s="29"/>
      <c r="F45" s="29"/>
      <c r="J45" s="32"/>
      <c r="K45" s="32"/>
      <c r="L45" s="29"/>
      <c r="M45" s="29"/>
    </row>
    <row r="46" spans="2:13" ht="12.75" customHeight="1" x14ac:dyDescent="0.2">
      <c r="B46" s="32"/>
      <c r="C46" s="32"/>
      <c r="D46" s="32"/>
      <c r="E46" s="29"/>
      <c r="F46" s="29"/>
      <c r="J46" s="32"/>
      <c r="K46" s="32"/>
      <c r="L46" s="29"/>
      <c r="M46" s="29"/>
    </row>
    <row r="47" spans="2:13" ht="12.75" customHeight="1" x14ac:dyDescent="0.2">
      <c r="B47" s="33"/>
      <c r="C47" s="33"/>
      <c r="D47" s="33"/>
      <c r="E47" s="29"/>
      <c r="F47" s="29"/>
      <c r="J47" s="32"/>
      <c r="K47" s="32"/>
      <c r="L47" s="29"/>
      <c r="M47" s="29"/>
    </row>
    <row r="48" spans="2:13" ht="12.75" customHeight="1" x14ac:dyDescent="0.2">
      <c r="B48" s="33"/>
      <c r="C48" s="33"/>
      <c r="D48" s="33"/>
      <c r="E48" s="29"/>
      <c r="F48" s="29"/>
      <c r="J48" s="32"/>
      <c r="K48" s="32"/>
      <c r="L48" s="29"/>
      <c r="M48" s="29"/>
    </row>
  </sheetData>
  <sheetProtection sheet="1" objects="1" scenarios="1"/>
  <mergeCells count="39">
    <mergeCell ref="B33:E34"/>
    <mergeCell ref="B35:B36"/>
    <mergeCell ref="C35:C36"/>
    <mergeCell ref="D35:E36"/>
    <mergeCell ref="B37:B38"/>
    <mergeCell ref="C37:C38"/>
    <mergeCell ref="C23:C24"/>
    <mergeCell ref="D23:E24"/>
    <mergeCell ref="B26:E27"/>
    <mergeCell ref="B28:B29"/>
    <mergeCell ref="C28:C29"/>
    <mergeCell ref="D28:E29"/>
    <mergeCell ref="B2:E2"/>
    <mergeCell ref="B12:E13"/>
    <mergeCell ref="B14:B15"/>
    <mergeCell ref="C14:C15"/>
    <mergeCell ref="D14:E15"/>
    <mergeCell ref="B7:B8"/>
    <mergeCell ref="C7:C8"/>
    <mergeCell ref="D7:E8"/>
    <mergeCell ref="B9:B10"/>
    <mergeCell ref="C9:C10"/>
    <mergeCell ref="D9:E10"/>
    <mergeCell ref="D16:E17"/>
    <mergeCell ref="B16:B17"/>
    <mergeCell ref="B44:C45"/>
    <mergeCell ref="B39:E39"/>
    <mergeCell ref="B5:E6"/>
    <mergeCell ref="C16:C17"/>
    <mergeCell ref="D37:E38"/>
    <mergeCell ref="B30:B31"/>
    <mergeCell ref="B19:E20"/>
    <mergeCell ref="B21:B22"/>
    <mergeCell ref="C21:C22"/>
    <mergeCell ref="D21:E22"/>
    <mergeCell ref="C30:C31"/>
    <mergeCell ref="D30:E31"/>
    <mergeCell ref="B42:C43"/>
    <mergeCell ref="B23:B24"/>
  </mergeCells>
  <hyperlinks>
    <hyperlink ref="B44:C45" r:id="rId1" display="CLIQUE AQUI E CONFIRA NO SITE DA B3"/>
  </hyperlinks>
  <pageMargins left="0.39370078740157483" right="0.39370078740157483" top="0.39370078740157483" bottom="0.39370078740157483" header="0.39370078740157483" footer="0.39370078740157483"/>
  <pageSetup paperSize="8" scale="65" firstPageNumber="0" fitToHeight="2" orientation="portrait" horizontalDpi="300" verticalDpi="300" r:id="rId2"/>
  <headerFooter alignWithMargins="0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Operações Normais</vt:lpstr>
      <vt:lpstr>Operações Day Trade</vt:lpstr>
      <vt:lpstr>Normais Índice e Dólar</vt:lpstr>
      <vt:lpstr>Day Trade Índice e Dólar</vt:lpstr>
      <vt:lpstr>Resumo Imposto</vt:lpstr>
      <vt:lpstr>Posições Abertas</vt:lpstr>
      <vt:lpstr>Proventos</vt:lpstr>
      <vt:lpstr>Configurações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Carlin</dc:creator>
  <cp:lastModifiedBy>DenioJoseRibeiro</cp:lastModifiedBy>
  <cp:lastPrinted>2019-05-11T20:49:37Z</cp:lastPrinted>
  <dcterms:created xsi:type="dcterms:W3CDTF">2016-05-20T01:53:11Z</dcterms:created>
  <dcterms:modified xsi:type="dcterms:W3CDTF">2020-08-04T01:01:11Z</dcterms:modified>
</cp:coreProperties>
</file>