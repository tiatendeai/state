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Gilberto\Downloads\Blog Caltrab\Planilhas rescisão blog\"/>
    </mc:Choice>
  </mc:AlternateContent>
  <xr:revisionPtr revIDLastSave="0" documentId="13_ncr:1_{2F61E82D-DE42-42FF-9324-9712715634EC}" xr6:coauthVersionLast="40" xr6:coauthVersionMax="40" xr10:uidLastSave="{00000000-0000-0000-0000-000000000000}"/>
  <bookViews>
    <workbookView xWindow="-120" yWindow="-120" windowWidth="29040" windowHeight="15840" activeTab="1" xr2:uid="{00000000-000D-0000-FFFF-FFFF00000000}"/>
  </bookViews>
  <sheets>
    <sheet name="Início" sheetId="16" r:id="rId1"/>
    <sheet name="Cálculos" sheetId="13" r:id="rId2"/>
    <sheet name="Feriados" sheetId="11" r:id="rId3"/>
    <sheet name="Links" sheetId="14" r:id="rId4"/>
  </sheets>
  <functionGroups builtInGroupCount="19"/>
  <definedNames>
    <definedName name="_aviso">Início!$L$10</definedName>
    <definedName name="_FER">_FER_02+SUM(IF((DATE(YEAR(admissão),MONTH(admissão)+(ROW(INDIRECT("A1:A"&amp;DATEDIF(admissão,ultimo_diatrab,"m")+3))),DAY(admissão)-1)&lt;=ultimo_diatrab),1))</definedName>
    <definedName name="_FER_02">IF(ultimo_diatrab-MAX(IF((DATE(YEAR(admissão),MONTH(admissão)-1+(ROW(INDIRECT("A1:A"&amp;DATEDIF(admissão,ultimo_diatrab,"m")+3))),DAY(admissão)-1)&lt;=ultimo_diatrab),DATE(YEAR(admissão),MONTH(admissão)-1+(ROW(INDIRECT("A1:A"&amp;DATEDIF(admissão,ultimo_diatrab,"m")+3))),DAY(admissão)-1)))&gt;14,1,0)</definedName>
    <definedName name="_prescrição">Início!$D$14</definedName>
    <definedName name="_prescriçãototal">Cálculos!$E$176</definedName>
    <definedName name="Abril">IF(MONTH(DATE(aa,4,1))&lt;&gt;MONTH(DATE(aa,4,1)-(WEEKDAY(DATE(aa,4,1))-1)+{0;1;2;3;4;5}*7+{1,2,3,4,5,6,7}-1),"",DATE(aa,4,1)-(WEEKDAY(DATE(aa,4,1))-1)+{0;1;2;3;4;5}*7+{1,2,3,4,5,6,7}-1)</definedName>
    <definedName name="admissão">Início!$D$8</definedName>
    <definedName name="Agosto">IF(MONTH(DATE(aa,8,1))&lt;&gt;MONTH(DATE(aa,8,1)-(WEEKDAY(DATE(aa,8,1))-1)+{0;1;2;3;4;5}*7+{1,2,3,4,5,6,7}-1),"",DATE(aa,8,1)-(WEEKDAY(DATE(aa,8,1))-1)+{0;1;2;3;4;5}*7+{1,2,3,4,5,6,7}-1)</definedName>
    <definedName name="anno">Feriados!$K$3</definedName>
    <definedName name="ano">Feriados!$H$2</definedName>
    <definedName name="ap">Início!$H$256</definedName>
    <definedName name="ap_proporcional">Cálculos!$C$154</definedName>
    <definedName name="_xlnm.Print_Area" localSheetId="1">Cálculos!$D$3:$M$28</definedName>
    <definedName name="aviso1ano">Cálculos!$C$157</definedName>
    <definedName name="aviso1anopro">Cálculos!$C$156</definedName>
    <definedName name="data_ajuiza">Início!$D$12</definedName>
    <definedName name="data_limpagto">Cálculos!$E$164</definedName>
    <definedName name="data_pg">Cálculos!$F$51</definedName>
    <definedName name="datacom">Início!$D$10</definedName>
    <definedName name="Dezembro">IF(MONTH(DATE(aa,12,1))&lt;&gt;MONTH(DATE(aa,12,1)-(WEEKDAY(DATE(aa,12,1))-1)+{0;1;2;3;4;5}*7+{1,2,3,4,5,6,7}-1),"",DATE(aa,12,1)-(WEEKDAY(DATE(aa,12,1))-1)+{0;1;2;3;4;5}*7+{1,2,3,4,5,6,7}-1)</definedName>
    <definedName name="dh">TODAY()</definedName>
    <definedName name="dia_1">Feriados!$J$29</definedName>
    <definedName name="dia_2">Feriados!$J$30</definedName>
    <definedName name="dispensa">Cálculos!$H$13</definedName>
    <definedName name="fcarnaval">Feriados!$D$102</definedName>
    <definedName name="fcorpus">Feriados!$D$101</definedName>
    <definedName name="Fer">Feriados!$C$3:$I$15</definedName>
    <definedName name="Fevereiro">IF(MONTH(DATE(aa,2,1))&lt;&gt;MONTH(DATE(aa,2,1)-(WEEKDAY(DATE(aa,2,1))-1)+{0;1;2;3;4;5}*7+{1,2,3,4,5,6,7}-1),"",DATE(aa,2,1)-(WEEKDAY(DATE(aa,2,1))-1)+{0;1;2;3;4;5}*7+{1,2,3,4,5,6,7}-1)</definedName>
    <definedName name="fsexta">Feriados!$D$100</definedName>
    <definedName name="Janeiro">IF(MONTH(DATE(aa,1,1))&lt;&gt;MONTH(DATE(aa,1,1)-(WEEKDAY(DATE(aa,1,1))-1)+{0;1;2;3;4;5}*7+{1,2,3,4,5,6,7}-1),"",DATE(aa,1,1)-(WEEKDAY(DATE(aa,1,1))-1)+{0;1;2;3;4;5}*7+{1,2,3,4,5,6,7}-1)</definedName>
    <definedName name="Julho">IF(MONTH(DATE(aa,7,1))&lt;&gt;MONTH(DATE(aa,7,1)-(WEEKDAY(DATE(aa,7,1))-1)+{0;1;2;3;4;5}*7+{1,2,3,4,5,6,7}-1),"",DATE(aa,7,1)-(WEEKDAY(DATE(aa,7,1))-1)+{0;1;2;3;4;5}*7+{1,2,3,4,5,6,7}-1)</definedName>
    <definedName name="Junho">IF(MONTH(DATE(aa,6,1))&lt;&gt;MONTH(DATE(aa,6,1)-(WEEKDAY(DATE(aa,6,1))-1)+{0;1;2;3;4;5}*7+{1,2,3,4,5,6,7}-1),"",DATE(aa,6,1)-(WEEKDAY(DATE(aa,6,1))-1)+{0;1;2;3;4;5}*7+{1,2,3,4,5,6,7}-1)</definedName>
    <definedName name="Maio">IF(MONTH(DATE(aa,5,1))&lt;&gt;MONTH(DATE(aa,5,1)-(WEEKDAY(DATE(aa,5,1))-1)+{0;1;2;3;4;5}*7+{1,2,3,4,5,6,7}-1),"",DATE(aa,5,1)-(WEEKDAY(DATE(aa,5,1))-1)+{0;1;2;3;4;5}*7+{1,2,3,4,5,6,7}-1)</definedName>
    <definedName name="Marco">IF(MONTH(DATE(aa,3,1))&lt;&gt;MONTH(DATE(aa,3,1)-(WEEKDAY(DATE(aa,3,1))-1)+{0;1;2;3;4;5}*7+{1,2,3,4,5,6,7}-1),"",DATE(aa,3,1)-(WEEKDAY(DATE(aa,3,1))-1)+{0;1;2;3;4;5}*7+{1,2,3,4,5,6,7}-1)</definedName>
    <definedName name="mes_1">Feriados!$I$29</definedName>
    <definedName name="mes_2">Feriados!$I$30</definedName>
    <definedName name="Meses">Feriados!$AK$52:$AK$63</definedName>
    <definedName name="NMês">Feriados!$AL$52:$AL$63</definedName>
    <definedName name="Novembro">IF(MONTH(DATE(aa,11,1))&lt;&gt;MONTH(DATE(aa,11,1)-(WEEKDAY(DATE(aa,11,1))-1)+{0;1;2;3;4;5}*7+{1,2,3,4,5,6,7}-1),"",DATE(aa,11,1)-(WEEKDAY(DATE(aa,11,1))-1)+{0;1;2;3;4;5}*7+{1,2,3,4,5,6,7}-1)</definedName>
    <definedName name="Outubro">IF(MONTH(DATE(aa,10,1))&lt;&gt;MONTH(DATE(aa,10,1)-(WEEKDAY(DATE(aa,10,1))-1)+{0;1;2;3;4;5}*7+{1,2,3,4,5,6,7}-1),"",DATE(aa,10,1)-(WEEKDAY(DATE(aa,10,1))-1)+{0;1;2;3;4;5}*7+{1,2,3,4,5,6,7}-1)</definedName>
    <definedName name="PDia">Feriados!$AK$51</definedName>
    <definedName name="remuneração">Início!$D$6</definedName>
    <definedName name="Setembro">IF(MONTH(DATE(aa,9,1))&lt;&gt;MONTH(DATE(aa,9,1)-(WEEKDAY(DATE(aa,9,1))-1)+{0;1;2;3;4;5}*7+{1,2,3,4,5,6,7}-1),"",DATE(aa,9,1)-(WEEKDAY(DATE(aa,9,1))-1)+{0;1;2;3;4;5}*7+{1,2,3,4,5,6,7}-1)</definedName>
    <definedName name="UDia">Feriados!$AL$51</definedName>
    <definedName name="ultimo_diaano">Cálculos!$E$174</definedName>
    <definedName name="ultimo_diatrab">Cálculos!$D$13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3" l="1"/>
  <c r="J10" i="13" l="1"/>
  <c r="H10" i="13"/>
  <c r="D10" i="13"/>
  <c r="F10" i="13"/>
  <c r="F188" i="13"/>
  <c r="D170" i="13" l="1"/>
  <c r="D169" i="13"/>
  <c r="D168" i="13"/>
  <c r="D167" i="13"/>
  <c r="D166" i="13"/>
  <c r="K15" i="11"/>
  <c r="D102" i="11"/>
  <c r="A15" i="11" s="1"/>
  <c r="AK51" i="11"/>
  <c r="S7" i="11" s="1"/>
  <c r="M3" i="11"/>
  <c r="AL51" i="11" s="1"/>
  <c r="D101" i="11"/>
  <c r="A14" i="11" s="1"/>
  <c r="D100" i="11"/>
  <c r="A13" i="11" s="1"/>
  <c r="C156" i="13"/>
  <c r="C157" i="13"/>
  <c r="P8" i="16"/>
  <c r="G17" i="16" l="1"/>
  <c r="C154" i="13"/>
  <c r="F13" i="13" s="1"/>
  <c r="G17" i="13" s="1"/>
  <c r="U7" i="11"/>
  <c r="K6" i="11"/>
  <c r="L6" i="11" s="1"/>
  <c r="M6" i="11" s="1"/>
  <c r="N6" i="11" s="1"/>
  <c r="O6" i="11" s="1"/>
  <c r="P6" i="11" s="1"/>
  <c r="Q6" i="11" s="1"/>
  <c r="K7" i="11" s="1"/>
  <c r="L7" i="11" s="1"/>
  <c r="M7" i="11" s="1"/>
  <c r="N7" i="11" s="1"/>
  <c r="O7" i="11" s="1"/>
  <c r="P7" i="11" s="1"/>
  <c r="Q7" i="11" s="1"/>
  <c r="K8" i="11" s="1"/>
  <c r="L8" i="11" s="1"/>
  <c r="M8" i="11" s="1"/>
  <c r="N8" i="11" s="1"/>
  <c r="O8" i="11" s="1"/>
  <c r="P8" i="11" s="1"/>
  <c r="Q8" i="11" s="1"/>
  <c r="K9" i="11" s="1"/>
  <c r="L9" i="11" s="1"/>
  <c r="M9" i="11" s="1"/>
  <c r="N9" i="11" s="1"/>
  <c r="O9" i="11" s="1"/>
  <c r="P9" i="11" s="1"/>
  <c r="Q9" i="11" s="1"/>
  <c r="K10" i="11" s="1"/>
  <c r="L10" i="11" s="1"/>
  <c r="M10" i="11" s="1"/>
  <c r="N10" i="11" s="1"/>
  <c r="O10" i="11" s="1"/>
  <c r="P10" i="11" s="1"/>
  <c r="Q10" i="11" s="1"/>
  <c r="K11" i="11" s="1"/>
  <c r="L11" i="11" s="1"/>
  <c r="M11" i="11" s="1"/>
  <c r="N11" i="11" s="1"/>
  <c r="O11" i="11" s="1"/>
  <c r="P11" i="11" s="1"/>
  <c r="Q11" i="11" s="1"/>
  <c r="C15" i="11"/>
  <c r="C21" i="11" s="1"/>
  <c r="G15" i="11"/>
  <c r="G21" i="11" s="1"/>
  <c r="H15" i="11"/>
  <c r="H21" i="11" s="1"/>
  <c r="F15" i="11"/>
  <c r="F21" i="11" s="1"/>
  <c r="D15" i="11"/>
  <c r="D21" i="11" s="1"/>
  <c r="E15" i="11"/>
  <c r="E21" i="11" s="1"/>
  <c r="I15" i="11"/>
  <c r="I21" i="11" s="1"/>
  <c r="V7" i="11"/>
  <c r="H13" i="13" l="1"/>
  <c r="H12" i="13"/>
  <c r="L10" i="13"/>
  <c r="K14" i="16"/>
  <c r="P12" i="16"/>
  <c r="D13" i="13" l="1"/>
  <c r="G42" i="13"/>
  <c r="H42" i="13" s="1"/>
  <c r="H17" i="13"/>
  <c r="H2" i="11"/>
  <c r="T21" i="13"/>
  <c r="R17" i="13"/>
  <c r="G21" i="13"/>
  <c r="G20" i="13"/>
  <c r="R16" i="13"/>
  <c r="T16" i="13"/>
  <c r="T22" i="13"/>
  <c r="R23" i="13"/>
  <c r="G18" i="13"/>
  <c r="R22" i="13"/>
  <c r="P20" i="13"/>
  <c r="D30" i="13" l="1"/>
  <c r="F186" i="13"/>
  <c r="G16" i="13"/>
  <c r="F185" i="13"/>
  <c r="G185" i="13" s="1"/>
  <c r="H20" i="13"/>
  <c r="H18" i="13"/>
  <c r="T23" i="13"/>
  <c r="G22" i="13" s="1"/>
  <c r="H21" i="13"/>
  <c r="E176" i="13"/>
  <c r="E174" i="13"/>
  <c r="H18" i="11"/>
  <c r="G2" i="11"/>
  <c r="E2" i="11"/>
  <c r="C2" i="11"/>
  <c r="C3" i="11" s="1"/>
  <c r="H11" i="11"/>
  <c r="H9" i="11"/>
  <c r="H7" i="11"/>
  <c r="H5" i="11"/>
  <c r="H3" i="11"/>
  <c r="I2" i="11"/>
  <c r="F2" i="11"/>
  <c r="H12" i="11"/>
  <c r="H8" i="11"/>
  <c r="H4" i="11"/>
  <c r="D2" i="11"/>
  <c r="H10" i="11"/>
  <c r="H6" i="11"/>
  <c r="T17" i="13"/>
  <c r="R21" i="13"/>
  <c r="G19" i="13"/>
  <c r="H16" i="13" l="1"/>
  <c r="L16" i="13" s="1"/>
  <c r="H22" i="13"/>
  <c r="H19" i="13"/>
  <c r="L17" i="13" s="1"/>
  <c r="D18" i="11"/>
  <c r="D11" i="11"/>
  <c r="D9" i="11"/>
  <c r="D7" i="11"/>
  <c r="D5" i="11"/>
  <c r="D3" i="11"/>
  <c r="D12" i="11"/>
  <c r="D8" i="11"/>
  <c r="D4" i="11"/>
  <c r="D10" i="11"/>
  <c r="D6" i="11"/>
  <c r="F18" i="11"/>
  <c r="F11" i="11"/>
  <c r="F9" i="11"/>
  <c r="F7" i="11"/>
  <c r="F5" i="11"/>
  <c r="F3" i="11"/>
  <c r="F10" i="11"/>
  <c r="F6" i="11"/>
  <c r="F12" i="11"/>
  <c r="F8" i="11"/>
  <c r="F4" i="11"/>
  <c r="E12" i="11"/>
  <c r="E10" i="11"/>
  <c r="E8" i="11"/>
  <c r="E6" i="11"/>
  <c r="E4" i="11"/>
  <c r="E18" i="11"/>
  <c r="E9" i="11"/>
  <c r="E5" i="11"/>
  <c r="E11" i="11"/>
  <c r="E7" i="11"/>
  <c r="E3" i="11"/>
  <c r="H23" i="11"/>
  <c r="H13" i="11"/>
  <c r="H22" i="11" s="1"/>
  <c r="H14" i="11"/>
  <c r="H24" i="11" s="1"/>
  <c r="I18" i="11"/>
  <c r="I12" i="11"/>
  <c r="I10" i="11"/>
  <c r="I8" i="11"/>
  <c r="I6" i="11"/>
  <c r="I4" i="11"/>
  <c r="I9" i="11"/>
  <c r="I5" i="11"/>
  <c r="I11" i="11"/>
  <c r="I7" i="11"/>
  <c r="I3" i="11"/>
  <c r="C12" i="11"/>
  <c r="C10" i="11"/>
  <c r="C8" i="11"/>
  <c r="C6" i="11"/>
  <c r="C4" i="11"/>
  <c r="C11" i="11"/>
  <c r="C7" i="11"/>
  <c r="C18" i="11"/>
  <c r="C9" i="11"/>
  <c r="C5" i="11"/>
  <c r="G12" i="11"/>
  <c r="G10" i="11"/>
  <c r="G8" i="11"/>
  <c r="G6" i="11"/>
  <c r="G4" i="11"/>
  <c r="G11" i="11"/>
  <c r="G7" i="11"/>
  <c r="G3" i="11"/>
  <c r="G18" i="11"/>
  <c r="G9" i="11"/>
  <c r="G5" i="11"/>
  <c r="H23" i="13" l="1"/>
  <c r="M16" i="13"/>
  <c r="M17" i="13"/>
  <c r="C23" i="11"/>
  <c r="C13" i="11"/>
  <c r="C22" i="11" s="1"/>
  <c r="C14" i="11"/>
  <c r="C24" i="11" s="1"/>
  <c r="E23" i="11"/>
  <c r="E13" i="11"/>
  <c r="E22" i="11" s="1"/>
  <c r="E14" i="11"/>
  <c r="E24" i="11" s="1"/>
  <c r="F23" i="11"/>
  <c r="F14" i="11"/>
  <c r="F24" i="11" s="1"/>
  <c r="F13" i="11"/>
  <c r="F22" i="11" s="1"/>
  <c r="G23" i="11"/>
  <c r="G13" i="11"/>
  <c r="G22" i="11" s="1"/>
  <c r="G14" i="11"/>
  <c r="G24" i="11" s="1"/>
  <c r="I14" i="11"/>
  <c r="I24" i="11" s="1"/>
  <c r="I23" i="11"/>
  <c r="I13" i="11"/>
  <c r="I22" i="11" s="1"/>
  <c r="D23" i="11"/>
  <c r="D13" i="11"/>
  <c r="D22" i="11" s="1"/>
  <c r="D14" i="11"/>
  <c r="D24" i="11" s="1"/>
  <c r="H27" i="13" l="1"/>
  <c r="M27" i="13"/>
  <c r="F166" i="13"/>
  <c r="E164" i="13"/>
  <c r="E166" i="13"/>
  <c r="E167" i="13"/>
  <c r="E172" i="13"/>
  <c r="F172" i="13" s="1"/>
  <c r="E169" i="13"/>
  <c r="E168" i="13"/>
  <c r="H28" i="13" l="1"/>
  <c r="G51" i="13"/>
  <c r="H51" i="13"/>
  <c r="J13" i="13"/>
  <c r="I57" i="13"/>
  <c r="W7" i="11"/>
</calcChain>
</file>

<file path=xl/sharedStrings.xml><?xml version="1.0" encoding="utf-8"?>
<sst xmlns="http://schemas.openxmlformats.org/spreadsheetml/2006/main" count="187" uniqueCount="163">
  <si>
    <t>Remuneração</t>
  </si>
  <si>
    <t>Período Aquisitivo</t>
  </si>
  <si>
    <t>TABELA AUTOMÁTICA DE TODOS OS FERIADOS NACIONAIS - RELIGIOSOS E LOCAIS</t>
  </si>
  <si>
    <t>FERIADOS</t>
  </si>
  <si>
    <t>Confraternização Universal</t>
  </si>
  <si>
    <t>Tiradentes</t>
  </si>
  <si>
    <t>Dia do Trabalho</t>
  </si>
  <si>
    <t>Independência do Brasil</t>
  </si>
  <si>
    <t>N. Sra. Aparecida (Lei 6.802/1980)</t>
  </si>
  <si>
    <t>Dia de Finados</t>
  </si>
  <si>
    <t>Proclamação da República</t>
  </si>
  <si>
    <t>Natal</t>
  </si>
  <si>
    <t>Feriado Municipal 1</t>
  </si>
  <si>
    <t>Feriado Municipal 2</t>
  </si>
  <si>
    <t>Sexta-feira santa</t>
  </si>
  <si>
    <t>Corpus Christi</t>
  </si>
  <si>
    <t>Terça-Feira de Carnaval</t>
  </si>
  <si>
    <t>DOMINGO DE PÁSCOA</t>
  </si>
  <si>
    <t>Carnaval</t>
  </si>
  <si>
    <t xml:space="preserve">Sexta-feira </t>
  </si>
  <si>
    <t>Páscoa</t>
  </si>
  <si>
    <t>Instruções para o preenchimento dos feriados municipais e estaduais:</t>
  </si>
  <si>
    <t>do exemplo,  que referem-se aos dois feriados municipais de Foz do Iguaçu/PR.</t>
  </si>
  <si>
    <t>Contato:</t>
  </si>
  <si>
    <t>gilber.braga@bol.com.br</t>
  </si>
  <si>
    <t>Fixo / Móvel</t>
  </si>
  <si>
    <t>LEGISLAÇÃO CORRESPONDENTE</t>
  </si>
  <si>
    <t>Confraternização Universal - 01 de janeiro</t>
  </si>
  <si>
    <t>Data fixa</t>
  </si>
  <si>
    <t>Lei 666, de 06/04/1949, art. 1º</t>
  </si>
  <si>
    <t>Dia de Tiradentes - 21 de abril</t>
  </si>
  <si>
    <t>Lei 1.266, de 08/12/1950,art. 3º; Lei 662, de 06/04/1949, art. 1º</t>
  </si>
  <si>
    <t>Dia do Trabalho - 01 de maio</t>
  </si>
  <si>
    <t>Dia da Independência do Brasil - 07 de setembro</t>
  </si>
  <si>
    <t>Padroeira do Brasil - 12 de outubro</t>
  </si>
  <si>
    <t>Lei 6.802, de 30.06.1980</t>
  </si>
  <si>
    <t>Dia de eleições gerais</t>
  </si>
  <si>
    <t>Dia de Finados - 02 de novembro</t>
  </si>
  <si>
    <t>Lei 666, de 06/04/1949, art. 1º, com a redação dada pela Lei 10.607, de 19/12/2002</t>
  </si>
  <si>
    <t>Dia de Natal - 25 de dezembro</t>
  </si>
  <si>
    <t>FERIADOS MUNICIPAIS</t>
  </si>
  <si>
    <t>Local 1</t>
  </si>
  <si>
    <t>Local 2</t>
  </si>
  <si>
    <t>MÊS</t>
  </si>
  <si>
    <t>DIA</t>
  </si>
  <si>
    <t>Insira na tabela ao lado, os feriados fixos do seu município.</t>
  </si>
  <si>
    <t>Nas colunas MÊS E DIA, digite o algarismo correspondente, apagando os dados</t>
  </si>
  <si>
    <t xml:space="preserve">Para feriados móveis, use a tabela de feriados móveis (por exemplo, terça-feira de carnaval não é </t>
  </si>
  <si>
    <t>feriado na maior parte dos municípios &gt; basta desmarcar a cx de seleção).</t>
  </si>
  <si>
    <t>Ter</t>
  </si>
  <si>
    <t>Qua</t>
  </si>
  <si>
    <t>Qui</t>
  </si>
  <si>
    <t>Sex</t>
  </si>
  <si>
    <t>Sab</t>
  </si>
  <si>
    <t>Dom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</si>
  <si>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</si>
  <si>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</si>
  <si>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</si>
  <si>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</si>
  <si>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</si>
  <si>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</si>
  <si>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</si>
  <si>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</si>
  <si>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</si>
  <si>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</si>
  <si>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</si>
  <si>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</si>
  <si>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Pdia</t>
  </si>
  <si>
    <t>Udia</t>
  </si>
  <si>
    <t>CALENDÁRIO</t>
  </si>
  <si>
    <t>Seg</t>
  </si>
  <si>
    <t>Dias Indenizados</t>
  </si>
  <si>
    <t>CONTRATO DE TRABALHO</t>
  </si>
  <si>
    <t>TEMPO DE SERVIÇO</t>
  </si>
  <si>
    <t>TRABALHADO</t>
  </si>
  <si>
    <t>INDENIZADO</t>
  </si>
  <si>
    <t>MISTO</t>
  </si>
  <si>
    <t>AVISO PRÉVIO PROPORCIONAL</t>
  </si>
  <si>
    <t>Cálculo</t>
  </si>
  <si>
    <t>Art. 20, § único, da IN 15/2010 da SRT/MTE</t>
  </si>
  <si>
    <t>Constituição Federal, art. 7º, Inciso XXI - Aviso prévio proporcional</t>
  </si>
  <si>
    <t>CLT, arts. 487 a 491 - Aviso prévio</t>
  </si>
  <si>
    <t>Lei 12506, de 2011 - Aviso prévio proporcional</t>
  </si>
  <si>
    <t>Súmula TST 163 - Contrato de experiência</t>
  </si>
  <si>
    <t>Súmula TST 182 - Indenização compensatória. Cômputo do tempo do aviso prévio</t>
  </si>
  <si>
    <t>Súmula TST 230 - Horas extras no período do aviso prévio</t>
  </si>
  <si>
    <t>Súmula TST 276 - Aviso prévio. Renúncia pelo empregado</t>
  </si>
  <si>
    <t>Súmula TST 305 - FGTS. Incidência sobre aviso prévio</t>
  </si>
  <si>
    <t>Súmula TST 348 - Aviso prévio. Concessão na fluência da garantia de emprego. Invalidade</t>
  </si>
  <si>
    <t>Súmula TST 371 - Aviso prévio indenizado. Efeitos. Superveniência de auxílio-doença no curso deste</t>
  </si>
  <si>
    <t>Súmula TST 380 - Aviso prévio. Início da contagem</t>
  </si>
  <si>
    <t>Súmula TST 441 - Aviso prévio. Proporcionalidade</t>
  </si>
  <si>
    <t>Orientação Jurisprudencial SDI1 014 - Aviso prévio cumprido em casa. Prazo para pagamento</t>
  </si>
  <si>
    <t>Orientação Jurisprudencial SDI1 082 - Aviso prévio. Baixa na CTPS</t>
  </si>
  <si>
    <t>Orientação Jurisprudencial SDI1 367 - Aviso prévio 60 dias. Elastecimento por norma coletiva. Reflexos nas parcelas trabalhistas</t>
  </si>
  <si>
    <t>LEGISLAÇÃO</t>
  </si>
  <si>
    <t>JURISPRUDÊNCIA</t>
  </si>
  <si>
    <t>Dias úteis do mês escolhido:</t>
  </si>
  <si>
    <t>Seg a Sab</t>
  </si>
  <si>
    <t>Sem Fer.</t>
  </si>
  <si>
    <t>a</t>
  </si>
  <si>
    <t>Admissão</t>
  </si>
  <si>
    <t>Remuneração :</t>
  </si>
  <si>
    <t>Data de Admissão :</t>
  </si>
  <si>
    <t>Data do Aviso Prévio :</t>
  </si>
  <si>
    <t>Aviso :</t>
  </si>
  <si>
    <t>Quantidade de dias AP:</t>
  </si>
  <si>
    <t>prescrição total BIENAL</t>
  </si>
  <si>
    <t>data limite pagamento</t>
  </si>
  <si>
    <t>Na data da comunicação do Aviso</t>
  </si>
  <si>
    <t>No término da projeção do aviso</t>
  </si>
  <si>
    <t>EMPREGADO...  :</t>
  </si>
  <si>
    <t>EMPRESA........... :</t>
  </si>
  <si>
    <t>Tipo de Aviso</t>
  </si>
  <si>
    <t>Data Limite Pagamento</t>
  </si>
  <si>
    <t>Férias Vencidas ?</t>
  </si>
  <si>
    <t>Quantidade Dias de Aviso Prévio</t>
  </si>
  <si>
    <t>Comunicação do Aviso Prévio</t>
  </si>
  <si>
    <t>SIM</t>
  </si>
  <si>
    <t>NÃO</t>
  </si>
  <si>
    <t>VENCIMENTOS</t>
  </si>
  <si>
    <t>DESCONTOS</t>
  </si>
  <si>
    <t>Saldo de Salários</t>
  </si>
  <si>
    <t>Aviso Prévio</t>
  </si>
  <si>
    <t>13º Proporcional</t>
  </si>
  <si>
    <t>13º Indenizado</t>
  </si>
  <si>
    <t>Férias Proporcionais</t>
  </si>
  <si>
    <t>Férias Indenizadas</t>
  </si>
  <si>
    <t>Férias Vencidas</t>
  </si>
  <si>
    <t>Terço de Férias</t>
  </si>
  <si>
    <t>1/3</t>
  </si>
  <si>
    <t>I.R.R.F</t>
  </si>
  <si>
    <t>Adiantamentos</t>
  </si>
  <si>
    <t>Faltas / Atrasos</t>
  </si>
  <si>
    <t>Vale Transporte</t>
  </si>
  <si>
    <t>INSS S/ Salários</t>
  </si>
  <si>
    <t>INSS S/ 13º Salário</t>
  </si>
  <si>
    <t>Ultimo dia trab</t>
  </si>
  <si>
    <t>Mês dispensa</t>
  </si>
  <si>
    <t>Divisor salário</t>
  </si>
  <si>
    <t>dividir por:</t>
  </si>
  <si>
    <t xml:space="preserve">Saldo de Salários, </t>
  </si>
  <si>
    <t>Cálculos Acessórios</t>
  </si>
  <si>
    <t>13º proporcional</t>
  </si>
  <si>
    <t>13º salário</t>
  </si>
  <si>
    <t>13º indenizado</t>
  </si>
  <si>
    <t>Férias</t>
  </si>
  <si>
    <t>Total:</t>
  </si>
  <si>
    <t>Férias proporcionais</t>
  </si>
  <si>
    <t>De acordo com a Lei nº 13.467, que alterou a redação do artigo 477, da CLT, a data limite para pagamento será de acordo com:</t>
  </si>
  <si>
    <t>TOTAL DE VENCIMENTOS:</t>
  </si>
  <si>
    <t>TOTAL DE DESCONTOS:</t>
  </si>
  <si>
    <t>VALOR LÍQUIDO DA RESCISÃO:</t>
  </si>
  <si>
    <t>CÁLCULO RESCISÓRIO - RESCISÃO SEM JUSTA CAUSA</t>
  </si>
  <si>
    <t>SALÁRIO DE CONTRIBUIÇÃO</t>
  </si>
  <si>
    <t>Até</t>
  </si>
  <si>
    <t>De</t>
  </si>
  <si>
    <t>Art. 477, §  6º, da CLT</t>
  </si>
  <si>
    <t>Parâmetros do Cálculo</t>
  </si>
  <si>
    <t>Multa do artigo 477, da CLT :</t>
  </si>
  <si>
    <t>Indenização da data base - artigo 9ª das Leis nº 6.708/1979 e 7.238/1984 21/03/2018 :</t>
  </si>
  <si>
    <t>Adiantamento do 13º salário</t>
  </si>
  <si>
    <t>TABELA DO INSS - 2019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</si>
</sst>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(&quot;R$ &quot;* #,##0.00_);_(&quot;R$ &quot;* \(#,##0.00\);_(&quot;R$ &quot;* &quot;-&quot;??_);_(@_)"/>
    <numFmt numFmtId="167" formatCode="General&quot; dias&quot;"/>
    <numFmt numFmtId="168" formatCode="General&quot; /12 avos&quot;"/>
    <numFmt numFmtId="169" formatCode="&quot;$&quot;#,##0_);[Red]\(&quot;$&quot;#,##0\)"/>
    <numFmt numFmtId="170" formatCode="d"/>
    <numFmt numFmtId="171" formatCode="d;dd;;"/>
    <numFmt numFmtId="172" formatCode="mmmm\,\ yyyy"/>
    <numFmt numFmtId="173" formatCode="_-&quot;£&quot;* #,##0_-;\-&quot;£&quot;* #,##0_-;_-&quot;£&quot;* &quot;-&quot;_-;_-@_-"/>
    <numFmt numFmtId="174" formatCode="_-&quot;£&quot;* #,##0.00_-;\-&quot;£&quot;* #,##0.00_-;_-&quot;£&quot;* &quot;-&quot;??_-;_-@_-"/>
    <numFmt numFmtId="175" formatCode="&quot;Hoje é&quot;\ dddd\,\ dd/mmmm/yyyy"/>
    <numFmt numFmtId="176" formatCode="ddd\ dd/mm/yyyy"/>
    <numFmt numFmtId="177" formatCode="dddd"/>
    <numFmt numFmtId="178" formatCode="ddd\,\ dd/mm/yyyy"/>
    <numFmt numFmtId="181" formatCode="_(&quot;R$ &quot;* #,##0.00_);_(&quot;R$ &quot;* \(#,##0.00\);_(&quot;R$ &quot;* \-??_);_(@_)"/>
  </numFmts>
  <fonts count="9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indexed="36"/>
      <name val="Arial"/>
      <family val="2"/>
    </font>
    <font>
      <sz val="8"/>
      <color indexed="12"/>
      <name val="Helv"/>
    </font>
    <font>
      <sz val="10"/>
      <name val="Geneva"/>
    </font>
    <font>
      <sz val="10"/>
      <name val="MS Sans Serif"/>
    </font>
    <font>
      <sz val="8"/>
      <color indexed="8"/>
      <name val="Helv"/>
    </font>
    <font>
      <sz val="10"/>
      <color indexed="10"/>
      <name val="MS Sans Serif"/>
    </font>
    <font>
      <sz val="8"/>
      <name val="Helv"/>
    </font>
    <font>
      <sz val="14"/>
      <color indexed="9"/>
      <name val="Arial"/>
      <family val="2"/>
    </font>
    <font>
      <b/>
      <sz val="10"/>
      <color indexed="9"/>
      <name val="Bookman Old Style"/>
      <family val="1"/>
    </font>
    <font>
      <b/>
      <sz val="9"/>
      <color indexed="9"/>
      <name val="Bookman Old Style"/>
      <family val="1"/>
    </font>
    <font>
      <sz val="9"/>
      <name val="Bookman Old Style"/>
      <family val="1"/>
    </font>
    <font>
      <sz val="10"/>
      <color indexed="9"/>
      <name val="Arial"/>
      <family val="2"/>
    </font>
    <font>
      <b/>
      <sz val="9"/>
      <name val="Bookman Old Style"/>
      <family val="1"/>
    </font>
    <font>
      <b/>
      <sz val="12"/>
      <color indexed="9"/>
      <name val="Bookman Old Style"/>
      <family val="1"/>
    </font>
    <font>
      <b/>
      <sz val="10"/>
      <name val="Arial"/>
      <family val="2"/>
    </font>
    <font>
      <b/>
      <sz val="11"/>
      <name val="Arial"/>
      <family val="2"/>
    </font>
    <font>
      <b/>
      <sz val="10"/>
      <color indexed="9"/>
      <name val="Arial"/>
      <family val="2"/>
    </font>
    <font>
      <b/>
      <sz val="10"/>
      <name val="Bookman Old Style"/>
      <family val="1"/>
    </font>
    <font>
      <sz val="10"/>
      <name val="Bookman Old Style"/>
      <family val="1"/>
    </font>
    <font>
      <sz val="10"/>
      <color indexed="9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0"/>
      <name val="Verdana"/>
      <family val="2"/>
    </font>
    <font>
      <sz val="18"/>
      <name val="Comic Sans MS"/>
      <family val="4"/>
    </font>
    <font>
      <sz val="22"/>
      <name val="Comic Sans MS"/>
      <family val="4"/>
    </font>
    <font>
      <sz val="14"/>
      <color indexed="9"/>
      <name val="Comic Sans MS"/>
      <family val="4"/>
    </font>
    <font>
      <sz val="24"/>
      <color indexed="9"/>
      <name val="Comic Sans MS"/>
      <family val="4"/>
    </font>
    <font>
      <b/>
      <sz val="12"/>
      <color indexed="9"/>
      <name val="Comic Sans MS"/>
      <family val="4"/>
    </font>
    <font>
      <b/>
      <sz val="12"/>
      <name val="Comic Sans MS"/>
      <family val="4"/>
    </font>
    <font>
      <b/>
      <sz val="10"/>
      <color indexed="9"/>
      <name val="Comic Sans MS"/>
      <family val="4"/>
    </font>
    <font>
      <b/>
      <sz val="9"/>
      <color indexed="9"/>
      <name val="Comic Sans MS"/>
      <family val="4"/>
    </font>
    <font>
      <sz val="14"/>
      <color indexed="54"/>
      <name val="Comic Sans MS"/>
      <family val="4"/>
    </font>
    <font>
      <sz val="9"/>
      <color indexed="9"/>
      <name val="Bookman Old Style"/>
      <family val="1"/>
    </font>
    <font>
      <b/>
      <sz val="11"/>
      <color indexed="9"/>
      <name val="Bookman Old Style"/>
      <family val="1"/>
    </font>
    <font>
      <sz val="11"/>
      <color indexed="9"/>
      <name val="Arial"/>
      <family val="2"/>
    </font>
    <font>
      <sz val="10"/>
      <name val="Calibri"/>
      <family val="2"/>
      <scheme val="minor"/>
    </font>
    <font>
      <sz val="8"/>
      <color rgb="FF000000"/>
      <name val="Tahoma"/>
      <family val="2"/>
    </font>
    <font>
      <b/>
      <u/>
      <sz val="12"/>
      <name val="Cambria"/>
      <family val="1"/>
      <scheme val="major"/>
    </font>
    <font>
      <b/>
      <u/>
      <sz val="10"/>
      <name val="Arial"/>
      <family val="2"/>
    </font>
    <font>
      <sz val="10"/>
      <color indexed="54"/>
      <name val="Comic Sans MS"/>
      <family val="4"/>
    </font>
    <font>
      <sz val="10"/>
      <color rgb="FF666699"/>
      <name val="Comic Sans MS"/>
      <family val="4"/>
    </font>
    <font>
      <sz val="11"/>
      <name val="Calibri"/>
      <family val="2"/>
    </font>
    <font>
      <b/>
      <i/>
      <u/>
      <sz val="18"/>
      <color rgb="FF002060"/>
      <name val="Calisto MT"/>
      <family val="1"/>
    </font>
    <font>
      <b/>
      <sz val="11"/>
      <color rgb="FFFFFF00"/>
      <name val="Calisto MT"/>
      <family val="1"/>
    </font>
    <font>
      <sz val="11"/>
      <color rgb="FFFFFF00"/>
      <name val="Calisto MT"/>
      <family val="1"/>
    </font>
    <font>
      <b/>
      <sz val="11"/>
      <name val="Calisto MT"/>
      <family val="1"/>
    </font>
    <font>
      <sz val="11"/>
      <name val="Calisto MT"/>
      <family val="1"/>
    </font>
    <font>
      <b/>
      <sz val="11"/>
      <color theme="0"/>
      <name val="Calisto MT"/>
      <family val="1"/>
    </font>
    <font>
      <b/>
      <sz val="10"/>
      <name val="Calisto MT"/>
      <family val="1"/>
    </font>
    <font>
      <sz val="10"/>
      <name val="Calisto MT"/>
      <family val="1"/>
    </font>
    <font>
      <sz val="12"/>
      <name val="Calisto MT"/>
      <family val="1"/>
    </font>
    <font>
      <sz val="11"/>
      <color indexed="8"/>
      <name val="Calisto MT"/>
      <family val="1"/>
    </font>
    <font>
      <b/>
      <sz val="11"/>
      <color indexed="8"/>
      <name val="Calisto MT"/>
      <family val="1"/>
    </font>
    <font>
      <b/>
      <sz val="10"/>
      <color indexed="8"/>
      <name val="Calisto MT"/>
      <family val="1"/>
    </font>
    <font>
      <sz val="10"/>
      <color indexed="8"/>
      <name val="Calisto MT"/>
      <family val="1"/>
    </font>
    <font>
      <sz val="11"/>
      <color indexed="9"/>
      <name val="Calisto MT"/>
      <family val="1"/>
    </font>
    <font>
      <sz val="10"/>
      <color indexed="9"/>
      <name val="Calisto MT"/>
      <family val="1"/>
    </font>
    <font>
      <b/>
      <sz val="12"/>
      <name val="Calisto MT"/>
      <family val="1"/>
    </font>
    <font>
      <sz val="10"/>
      <color indexed="10"/>
      <name val="Calisto MT"/>
      <family val="1"/>
    </font>
    <font>
      <b/>
      <sz val="11"/>
      <color indexed="9"/>
      <name val="Calisto MT"/>
      <family val="1"/>
    </font>
    <font>
      <b/>
      <sz val="10"/>
      <name val="Calibri"/>
      <family val="2"/>
      <scheme val="minor"/>
    </font>
    <font>
      <sz val="10"/>
      <color theme="0"/>
      <name val="Calisto MT"/>
      <family val="1"/>
    </font>
    <font>
      <sz val="12"/>
      <color indexed="8"/>
      <name val="Calisto MT"/>
      <family val="1"/>
    </font>
    <font>
      <b/>
      <sz val="12"/>
      <color rgb="FFFFFF00"/>
      <name val="Calisto MT"/>
      <family val="1"/>
    </font>
    <font>
      <sz val="10"/>
      <color theme="0"/>
      <name val="Calibri"/>
      <family val="2"/>
      <scheme val="minor"/>
    </font>
    <font>
      <sz val="12"/>
      <color theme="0"/>
      <name val="Calisto MT"/>
      <family val="1"/>
    </font>
    <font>
      <sz val="8"/>
      <color rgb="FF000000"/>
      <name val="Segoe UI"/>
      <family val="2"/>
    </font>
    <font>
      <b/>
      <i/>
      <sz val="11"/>
      <color indexed="8"/>
      <name val="Calisto MT"/>
      <family val="1"/>
    </font>
    <font>
      <u/>
      <sz val="10"/>
      <name val="Calisto MT"/>
      <family val="1"/>
    </font>
    <font>
      <i/>
      <sz val="11"/>
      <color rgb="FFC00000"/>
      <name val="Calisto MT"/>
      <family val="1"/>
    </font>
    <font>
      <i/>
      <sz val="11"/>
      <color rgb="FFC0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3"/>
      </patternFill>
    </fill>
    <fill>
      <patternFill patternType="solid">
        <fgColor indexed="5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5DBCB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249977111117893"/>
        <bgColor indexed="64"/>
      </patternFill>
    </fill>
  </fills>
  <borders count="1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auto="1"/>
      </right>
      <top/>
      <bottom/>
      <diagonal/>
    </border>
    <border>
      <left/>
      <right/>
      <top style="thick">
        <color rgb="FF0070C0"/>
      </top>
      <bottom/>
      <diagonal/>
    </border>
    <border>
      <left/>
      <right/>
      <top style="double">
        <color auto="1"/>
      </top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/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66CC"/>
      </left>
      <right/>
      <top style="thick">
        <color rgb="FF0066CC"/>
      </top>
      <bottom/>
      <diagonal/>
    </border>
    <border>
      <left/>
      <right/>
      <top style="thick">
        <color rgb="FF0066CC"/>
      </top>
      <bottom/>
      <diagonal/>
    </border>
    <border>
      <left/>
      <right style="thick">
        <color rgb="FF0066CC"/>
      </right>
      <top style="thick">
        <color rgb="FF0066CC"/>
      </top>
      <bottom/>
      <diagonal/>
    </border>
    <border>
      <left style="thick">
        <color rgb="FF0066CC"/>
      </left>
      <right/>
      <top/>
      <bottom/>
      <diagonal/>
    </border>
    <border>
      <left/>
      <right style="thick">
        <color rgb="FF0066CC"/>
      </right>
      <top/>
      <bottom/>
      <diagonal/>
    </border>
    <border>
      <left style="double">
        <color indexed="23"/>
      </left>
      <right style="thin">
        <color indexed="23"/>
      </right>
      <top style="double">
        <color indexed="23"/>
      </top>
      <bottom style="double">
        <color indexed="23"/>
      </bottom>
      <diagonal/>
    </border>
    <border>
      <left style="thin">
        <color indexed="23"/>
      </left>
      <right style="thin">
        <color indexed="23"/>
      </right>
      <top style="double">
        <color indexed="23"/>
      </top>
      <bottom style="double">
        <color indexed="23"/>
      </bottom>
      <diagonal/>
    </border>
    <border>
      <left style="thin">
        <color indexed="23"/>
      </left>
      <right style="double">
        <color indexed="23"/>
      </right>
      <top style="double">
        <color indexed="23"/>
      </top>
      <bottom style="double">
        <color indexed="23"/>
      </bottom>
      <diagonal/>
    </border>
    <border>
      <left/>
      <right/>
      <top style="double">
        <color indexed="23"/>
      </top>
      <bottom/>
      <diagonal/>
    </border>
    <border>
      <left style="double">
        <color indexed="64"/>
      </left>
      <right style="thin">
        <color indexed="2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double">
        <color indexed="64"/>
      </right>
      <top style="double">
        <color indexed="63"/>
      </top>
      <bottom style="double">
        <color indexed="63"/>
      </bottom>
      <diagonal/>
    </border>
    <border>
      <left style="double">
        <color indexed="23"/>
      </left>
      <right style="thin">
        <color indexed="23"/>
      </right>
      <top/>
      <bottom/>
      <diagonal/>
    </border>
    <border>
      <left/>
      <right/>
      <top style="thick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rgb="FFFFC000"/>
      </top>
      <bottom/>
      <diagonal/>
    </border>
    <border>
      <left style="thin">
        <color theme="0" tint="-0.499984740745262"/>
      </left>
      <right/>
      <top style="thick">
        <color theme="0" tint="-0.499984740745262"/>
      </top>
      <bottom style="medium">
        <color theme="0" tint="-0.499984740745262"/>
      </bottom>
      <diagonal/>
    </border>
    <border>
      <left/>
      <right style="thick">
        <color theme="0" tint="-0.499984740745262"/>
      </right>
      <top style="thick">
        <color theme="0" tint="-0.499984740745262"/>
      </top>
      <bottom style="medium">
        <color theme="0" tint="-0.499984740745262"/>
      </bottom>
      <diagonal/>
    </border>
    <border>
      <left/>
      <right style="double">
        <color indexed="63"/>
      </right>
      <top/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 style="double">
        <color indexed="63"/>
      </bottom>
      <diagonal/>
    </border>
    <border>
      <left style="double">
        <color indexed="63"/>
      </left>
      <right/>
      <top/>
      <bottom style="double">
        <color indexed="63"/>
      </bottom>
      <diagonal/>
    </border>
    <border>
      <left/>
      <right style="double">
        <color indexed="63"/>
      </right>
      <top style="double">
        <color indexed="63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/>
      <diagonal/>
    </border>
    <border>
      <left style="double">
        <color indexed="63"/>
      </left>
      <right/>
      <top style="double">
        <color indexed="63"/>
      </top>
      <bottom/>
      <diagonal/>
    </border>
    <border>
      <left style="thin">
        <color auto="1"/>
      </left>
      <right style="thin">
        <color indexed="22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</borders>
  <cellStyleXfs count="144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24" fillId="0" borderId="1">
      <protection hidden="1"/>
    </xf>
    <xf numFmtId="0" fontId="25" fillId="20" borderId="1" applyNumberFormat="0" applyFont="0" applyBorder="0" applyAlignment="0" applyProtection="0">
      <protection hidden="1"/>
    </xf>
    <xf numFmtId="0" fontId="14" fillId="0" borderId="0" applyNumberFormat="0" applyFill="0" applyBorder="0" applyAlignment="0" applyProtection="0"/>
    <xf numFmtId="0" fontId="21" fillId="21" borderId="0">
      <alignment horizontal="center"/>
    </xf>
    <xf numFmtId="0" fontId="11" fillId="3" borderId="0" applyNumberFormat="0" applyBorder="0" applyAlignment="0" applyProtection="0"/>
    <xf numFmtId="0" fontId="6" fillId="4" borderId="0" applyNumberFormat="0" applyBorder="0" applyAlignment="0" applyProtection="0"/>
    <xf numFmtId="0" fontId="7" fillId="20" borderId="2" applyNumberFormat="0" applyAlignment="0" applyProtection="0"/>
    <xf numFmtId="0" fontId="7" fillId="20" borderId="2" applyNumberFormat="0" applyAlignment="0" applyProtection="0"/>
    <xf numFmtId="0" fontId="7" fillId="20" borderId="2" applyNumberFormat="0" applyAlignment="0" applyProtection="0"/>
    <xf numFmtId="0" fontId="9" fillId="0" borderId="3" applyNumberFormat="0" applyFill="0" applyAlignment="0" applyProtection="0"/>
    <xf numFmtId="0" fontId="8" fillId="22" borderId="4" applyNumberFormat="0" applyAlignment="0" applyProtection="0"/>
    <xf numFmtId="0" fontId="9" fillId="0" borderId="3" applyNumberFormat="0" applyFill="0" applyAlignment="0" applyProtection="0"/>
    <xf numFmtId="0" fontId="8" fillId="22" borderId="4" applyNumberFormat="0" applyAlignment="0" applyProtection="0"/>
    <xf numFmtId="38" fontId="26" fillId="0" borderId="0" applyFont="0" applyFill="0" applyBorder="0" applyAlignment="0" applyProtection="0"/>
    <xf numFmtId="40" fontId="26" fillId="0" borderId="0" applyFont="0" applyFill="0" applyBorder="0" applyAlignment="0" applyProtection="0"/>
    <xf numFmtId="0" fontId="4" fillId="23" borderId="5" applyNumberFormat="0" applyFont="0" applyAlignment="0" applyProtection="0"/>
    <xf numFmtId="169" fontId="26" fillId="0" borderId="0" applyFont="0" applyFill="0" applyBorder="0" applyAlignment="0" applyProtection="0"/>
    <xf numFmtId="0" fontId="1" fillId="0" borderId="0" applyFont="0" applyFill="0" applyBorder="0" applyAlignment="0" applyProtection="0"/>
    <xf numFmtId="170" fontId="21" fillId="24" borderId="5">
      <alignment horizontal="center"/>
    </xf>
    <xf numFmtId="0" fontId="21" fillId="21" borderId="5" applyNumberFormat="0">
      <alignment horizontal="center"/>
    </xf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10" fillId="7" borderId="2" applyNumberFormat="0" applyAlignment="0" applyProtection="0"/>
    <xf numFmtId="0" fontId="10" fillId="7" borderId="2" applyNumberFormat="0" applyAlignment="0" applyProtection="0"/>
    <xf numFmtId="0" fontId="15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6" fillId="4" borderId="0" applyNumberFormat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9" fillId="0" borderId="8" applyNumberFormat="0" applyFill="0" applyAlignment="0" applyProtection="0"/>
    <xf numFmtId="0" fontId="19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11" fillId="3" borderId="0" applyNumberFormat="0" applyBorder="0" applyAlignment="0" applyProtection="0"/>
    <xf numFmtId="0" fontId="10" fillId="7" borderId="2" applyNumberFormat="0" applyAlignment="0" applyProtection="0"/>
    <xf numFmtId="0" fontId="11" fillId="3" borderId="0" applyNumberFormat="0" applyBorder="0" applyAlignment="0" applyProtection="0"/>
    <xf numFmtId="0" fontId="9" fillId="0" borderId="3" applyNumberFormat="0" applyFill="0" applyAlignment="0" applyProtection="0"/>
    <xf numFmtId="0" fontId="27" fillId="0" borderId="1">
      <alignment horizontal="left"/>
      <protection locked="0"/>
    </xf>
    <xf numFmtId="172" fontId="42" fillId="25" borderId="5" applyNumberFormat="0">
      <alignment horizontal="center" vertical="center"/>
    </xf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3" fillId="0" borderId="0"/>
    <xf numFmtId="0" fontId="21" fillId="0" borderId="0"/>
    <xf numFmtId="0" fontId="44" fillId="0" borderId="0"/>
    <xf numFmtId="0" fontId="21" fillId="0" borderId="0"/>
    <xf numFmtId="0" fontId="4" fillId="23" borderId="5" applyNumberFormat="0" applyFont="0" applyAlignment="0" applyProtection="0"/>
    <xf numFmtId="0" fontId="45" fillId="23" borderId="5" applyNumberFormat="0" applyFont="0" applyAlignment="0" applyProtection="0"/>
    <xf numFmtId="0" fontId="13" fillId="20" borderId="9" applyNumberFormat="0" applyAlignment="0" applyProtection="0"/>
    <xf numFmtId="0" fontId="28" fillId="0" borderId="1" applyNumberFormat="0" applyFill="0" applyBorder="0" applyAlignment="0" applyProtection="0">
      <protection hidden="1"/>
    </xf>
    <xf numFmtId="0" fontId="13" fillId="20" borderId="9" applyNumberFormat="0" applyAlignment="0" applyProtection="0"/>
    <xf numFmtId="0" fontId="6" fillId="4" borderId="0" applyNumberFormat="0" applyBorder="0" applyAlignment="0" applyProtection="0"/>
    <xf numFmtId="0" fontId="13" fillId="20" borderId="9" applyNumberFormat="0" applyAlignment="0" applyProtection="0"/>
    <xf numFmtId="0" fontId="1" fillId="27" borderId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9" fillId="0" borderId="8" applyNumberFormat="0" applyFill="0" applyAlignment="0" applyProtection="0"/>
    <xf numFmtId="0" fontId="19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9" fillId="0" borderId="8" applyNumberFormat="0" applyFill="0" applyAlignment="0" applyProtection="0"/>
    <xf numFmtId="0" fontId="19" fillId="0" borderId="0" applyNumberFormat="0" applyFill="0" applyBorder="0" applyAlignment="0" applyProtection="0"/>
    <xf numFmtId="0" fontId="29" fillId="20" borderId="1"/>
    <xf numFmtId="0" fontId="20" fillId="0" borderId="10" applyNumberFormat="0" applyFill="0" applyAlignment="0" applyProtection="0"/>
    <xf numFmtId="0" fontId="8" fillId="22" borderId="4" applyNumberFormat="0" applyAlignment="0" applyProtection="0"/>
    <xf numFmtId="17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66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1" fillId="0" borderId="0"/>
  </cellStyleXfs>
  <cellXfs count="485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32" fillId="29" borderId="11" xfId="0" applyFont="1" applyFill="1" applyBorder="1" applyAlignment="1">
      <alignment horizontal="center" vertical="center"/>
    </xf>
    <xf numFmtId="0" fontId="32" fillId="29" borderId="12" xfId="0" applyFont="1" applyFill="1" applyBorder="1" applyAlignment="1">
      <alignment horizontal="center" vertical="center"/>
    </xf>
    <xf numFmtId="0" fontId="34" fillId="0" borderId="0" xfId="0" applyFont="1"/>
    <xf numFmtId="0" fontId="1" fillId="0" borderId="0" xfId="0" applyFont="1" applyFill="1"/>
    <xf numFmtId="0" fontId="33" fillId="0" borderId="0" xfId="0" applyFont="1"/>
    <xf numFmtId="0" fontId="33" fillId="30" borderId="13" xfId="0" applyFont="1" applyFill="1" applyBorder="1" applyAlignment="1">
      <alignment horizontal="center"/>
    </xf>
    <xf numFmtId="0" fontId="33" fillId="30" borderId="14" xfId="0" applyFont="1" applyFill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16" xfId="0" applyFont="1" applyBorder="1" applyAlignment="1">
      <alignment horizontal="center"/>
    </xf>
    <xf numFmtId="0" fontId="33" fillId="31" borderId="15" xfId="0" applyFont="1" applyFill="1" applyBorder="1" applyAlignment="1">
      <alignment horizontal="center"/>
    </xf>
    <xf numFmtId="0" fontId="33" fillId="31" borderId="16" xfId="0" applyFont="1" applyFill="1" applyBorder="1" applyAlignment="1">
      <alignment horizontal="center"/>
    </xf>
    <xf numFmtId="0" fontId="33" fillId="0" borderId="17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38" fillId="0" borderId="0" xfId="0" applyFont="1" applyFill="1" applyBorder="1"/>
    <xf numFmtId="0" fontId="22" fillId="0" borderId="0" xfId="96" applyFill="1" applyBorder="1" applyAlignment="1" applyProtection="1"/>
    <xf numFmtId="0" fontId="32" fillId="29" borderId="24" xfId="0" applyFont="1" applyFill="1" applyBorder="1" applyAlignment="1">
      <alignment horizontal="center" vertical="center"/>
    </xf>
    <xf numFmtId="0" fontId="35" fillId="0" borderId="24" xfId="0" applyFont="1" applyFill="1" applyBorder="1" applyAlignment="1">
      <alignment horizontal="left" vertical="center" wrapText="1" indent="1"/>
    </xf>
    <xf numFmtId="0" fontId="35" fillId="0" borderId="25" xfId="0" applyFont="1" applyFill="1" applyBorder="1" applyAlignment="1">
      <alignment horizontal="center" vertical="center"/>
    </xf>
    <xf numFmtId="0" fontId="35" fillId="0" borderId="24" xfId="0" applyFont="1" applyFill="1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Fill="1"/>
    <xf numFmtId="0" fontId="40" fillId="30" borderId="26" xfId="0" applyFont="1" applyFill="1" applyBorder="1"/>
    <xf numFmtId="0" fontId="40" fillId="0" borderId="27" xfId="0" applyFont="1" applyBorder="1"/>
    <xf numFmtId="0" fontId="40" fillId="31" borderId="27" xfId="0" applyFont="1" applyFill="1" applyBorder="1"/>
    <xf numFmtId="0" fontId="40" fillId="0" borderId="28" xfId="0" applyFont="1" applyBorder="1"/>
    <xf numFmtId="0" fontId="33" fillId="0" borderId="29" xfId="0" applyFont="1" applyBorder="1"/>
    <xf numFmtId="0" fontId="33" fillId="0" borderId="30" xfId="0" applyFont="1" applyBorder="1"/>
    <xf numFmtId="0" fontId="33" fillId="0" borderId="31" xfId="0" applyFont="1" applyFill="1" applyBorder="1"/>
    <xf numFmtId="0" fontId="41" fillId="31" borderId="24" xfId="0" applyFont="1" applyFill="1" applyBorder="1" applyAlignment="1">
      <alignment horizontal="center"/>
    </xf>
    <xf numFmtId="0" fontId="41" fillId="32" borderId="26" xfId="0" applyFont="1" applyFill="1" applyBorder="1" applyAlignment="1">
      <alignment horizontal="left" vertical="center"/>
    </xf>
    <xf numFmtId="0" fontId="41" fillId="32" borderId="26" xfId="0" applyFont="1" applyFill="1" applyBorder="1" applyAlignment="1">
      <alignment horizontal="center" vertical="center"/>
    </xf>
    <xf numFmtId="0" fontId="41" fillId="32" borderId="28" xfId="0" applyFont="1" applyFill="1" applyBorder="1" applyAlignment="1">
      <alignment horizontal="left" vertical="center"/>
    </xf>
    <xf numFmtId="0" fontId="41" fillId="32" borderId="28" xfId="0" applyFont="1" applyFill="1" applyBorder="1" applyAlignment="1">
      <alignment horizontal="center" vertical="center"/>
    </xf>
    <xf numFmtId="0" fontId="32" fillId="29" borderId="32" xfId="0" applyFont="1" applyFill="1" applyBorder="1" applyAlignment="1">
      <alignment horizontal="center" vertical="center"/>
    </xf>
    <xf numFmtId="0" fontId="30" fillId="0" borderId="30" xfId="0" applyFont="1" applyFill="1" applyBorder="1" applyAlignment="1">
      <alignment horizontal="center" vertical="center"/>
    </xf>
    <xf numFmtId="0" fontId="32" fillId="0" borderId="30" xfId="0" applyFont="1" applyFill="1" applyBorder="1" applyAlignment="1">
      <alignment horizontal="center" vertical="center"/>
    </xf>
    <xf numFmtId="14" fontId="33" fillId="0" borderId="30" xfId="0" applyNumberFormat="1" applyFont="1" applyFill="1" applyBorder="1"/>
    <xf numFmtId="14" fontId="33" fillId="0" borderId="0" xfId="0" applyNumberFormat="1" applyFont="1" applyFill="1" applyBorder="1"/>
    <xf numFmtId="14" fontId="35" fillId="0" borderId="30" xfId="0" quotePrefix="1" applyNumberFormat="1" applyFont="1" applyFill="1" applyBorder="1"/>
    <xf numFmtId="14" fontId="35" fillId="0" borderId="0" xfId="0" quotePrefix="1" applyNumberFormat="1" applyFont="1" applyFill="1" applyBorder="1"/>
    <xf numFmtId="0" fontId="33" fillId="30" borderId="33" xfId="0" applyFont="1" applyFill="1" applyBorder="1" applyAlignment="1">
      <alignment horizontal="center"/>
    </xf>
    <xf numFmtId="0" fontId="33" fillId="0" borderId="34" xfId="0" applyFont="1" applyBorder="1" applyAlignment="1">
      <alignment horizontal="center"/>
    </xf>
    <xf numFmtId="0" fontId="33" fillId="31" borderId="34" xfId="0" applyFont="1" applyFill="1" applyBorder="1" applyAlignment="1">
      <alignment horizontal="center"/>
    </xf>
    <xf numFmtId="0" fontId="33" fillId="0" borderId="35" xfId="0" applyFont="1" applyBorder="1" applyAlignment="1">
      <alignment horizontal="center"/>
    </xf>
    <xf numFmtId="0" fontId="33" fillId="0" borderId="3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14" fontId="35" fillId="28" borderId="36" xfId="0" quotePrefix="1" applyNumberFormat="1" applyFont="1" applyFill="1" applyBorder="1" applyAlignment="1">
      <alignment vertical="center"/>
    </xf>
    <xf numFmtId="14" fontId="35" fillId="28" borderId="37" xfId="0" quotePrefix="1" applyNumberFormat="1" applyFont="1" applyFill="1" applyBorder="1" applyAlignment="1">
      <alignment vertical="center"/>
    </xf>
    <xf numFmtId="14" fontId="35" fillId="28" borderId="38" xfId="0" quotePrefix="1" applyNumberFormat="1" applyFont="1" applyFill="1" applyBorder="1" applyAlignment="1">
      <alignment vertical="center"/>
    </xf>
    <xf numFmtId="14" fontId="33" fillId="32" borderId="39" xfId="0" applyNumberFormat="1" applyFont="1" applyFill="1" applyBorder="1" applyAlignment="1">
      <alignment vertical="center"/>
    </xf>
    <xf numFmtId="14" fontId="33" fillId="32" borderId="40" xfId="0" applyNumberFormat="1" applyFont="1" applyFill="1" applyBorder="1" applyAlignment="1">
      <alignment vertical="center"/>
    </xf>
    <xf numFmtId="14" fontId="33" fillId="32" borderId="41" xfId="0" applyNumberFormat="1" applyFont="1" applyFill="1" applyBorder="1" applyAlignment="1">
      <alignment vertical="center"/>
    </xf>
    <xf numFmtId="14" fontId="33" fillId="32" borderId="15" xfId="0" applyNumberFormat="1" applyFont="1" applyFill="1" applyBorder="1" applyAlignment="1">
      <alignment vertical="center"/>
    </xf>
    <xf numFmtId="14" fontId="33" fillId="32" borderId="16" xfId="0" applyNumberFormat="1" applyFont="1" applyFill="1" applyBorder="1" applyAlignment="1">
      <alignment vertical="center"/>
    </xf>
    <xf numFmtId="14" fontId="33" fillId="32" borderId="42" xfId="0" applyNumberFormat="1" applyFont="1" applyFill="1" applyBorder="1" applyAlignment="1">
      <alignment vertical="center"/>
    </xf>
    <xf numFmtId="14" fontId="33" fillId="31" borderId="15" xfId="0" applyNumberFormat="1" applyFont="1" applyFill="1" applyBorder="1" applyAlignment="1">
      <alignment vertical="center"/>
    </xf>
    <xf numFmtId="14" fontId="33" fillId="31" borderId="16" xfId="0" applyNumberFormat="1" applyFont="1" applyFill="1" applyBorder="1" applyAlignment="1">
      <alignment vertical="center"/>
    </xf>
    <xf numFmtId="14" fontId="33" fillId="31" borderId="42" xfId="0" applyNumberFormat="1" applyFont="1" applyFill="1" applyBorder="1" applyAlignment="1">
      <alignment vertical="center"/>
    </xf>
    <xf numFmtId="14" fontId="33" fillId="33" borderId="43" xfId="0" applyNumberFormat="1" applyFont="1" applyFill="1" applyBorder="1" applyAlignment="1">
      <alignment vertical="center"/>
    </xf>
    <xf numFmtId="14" fontId="33" fillId="33" borderId="15" xfId="0" applyNumberFormat="1" applyFont="1" applyFill="1" applyBorder="1" applyAlignment="1">
      <alignment vertical="center"/>
    </xf>
    <xf numFmtId="14" fontId="33" fillId="33" borderId="44" xfId="0" applyNumberFormat="1" applyFont="1" applyFill="1" applyBorder="1" applyAlignment="1">
      <alignment vertical="center"/>
    </xf>
    <xf numFmtId="14" fontId="33" fillId="33" borderId="45" xfId="0" applyNumberFormat="1" applyFont="1" applyFill="1" applyBorder="1" applyAlignment="1">
      <alignment vertical="center"/>
    </xf>
    <xf numFmtId="14" fontId="33" fillId="33" borderId="18" xfId="0" applyNumberFormat="1" applyFont="1" applyFill="1" applyBorder="1" applyAlignment="1">
      <alignment vertical="center"/>
    </xf>
    <xf numFmtId="14" fontId="33" fillId="33" borderId="46" xfId="0" applyNumberFormat="1" applyFont="1" applyFill="1" applyBorder="1" applyAlignment="1">
      <alignment vertical="center"/>
    </xf>
    <xf numFmtId="14" fontId="48" fillId="29" borderId="24" xfId="0" applyNumberFormat="1" applyFont="1" applyFill="1" applyBorder="1" applyAlignment="1">
      <alignment horizontal="center" vertical="center"/>
    </xf>
    <xf numFmtId="0" fontId="48" fillId="29" borderId="24" xfId="0" applyFont="1" applyFill="1" applyBorder="1" applyAlignment="1">
      <alignment horizontal="center" vertical="center"/>
    </xf>
    <xf numFmtId="0" fontId="52" fillId="29" borderId="47" xfId="0" applyFont="1" applyFill="1" applyBorder="1" applyAlignment="1">
      <alignment horizontal="center" vertical="center"/>
    </xf>
    <xf numFmtId="171" fontId="54" fillId="0" borderId="24" xfId="0" applyNumberFormat="1" applyFont="1" applyFill="1" applyBorder="1" applyAlignment="1">
      <alignment horizontal="center" vertical="center"/>
    </xf>
    <xf numFmtId="171" fontId="54" fillId="0" borderId="24" xfId="0" applyNumberFormat="1" applyFont="1" applyBorder="1" applyAlignment="1">
      <alignment horizontal="center" vertical="center"/>
    </xf>
    <xf numFmtId="0" fontId="53" fillId="29" borderId="47" xfId="0" applyFont="1" applyFill="1" applyBorder="1" applyAlignment="1" applyProtection="1">
      <alignment vertical="center"/>
    </xf>
    <xf numFmtId="0" fontId="53" fillId="29" borderId="48" xfId="0" applyFont="1" applyFill="1" applyBorder="1" applyAlignment="1" applyProtection="1">
      <alignment vertical="center"/>
    </xf>
    <xf numFmtId="0" fontId="53" fillId="29" borderId="24" xfId="0" applyFont="1" applyFill="1" applyBorder="1" applyAlignment="1" applyProtection="1">
      <alignment vertical="center"/>
    </xf>
    <xf numFmtId="0" fontId="55" fillId="0" borderId="0" xfId="0" applyFont="1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center" indent="1"/>
    </xf>
    <xf numFmtId="0" fontId="22" fillId="0" borderId="0" xfId="96" applyAlignment="1" applyProtection="1">
      <alignment horizontal="left" vertical="center" indent="1"/>
    </xf>
    <xf numFmtId="0" fontId="60" fillId="0" borderId="0" xfId="0" applyFont="1" applyAlignment="1">
      <alignment horizontal="left" vertical="center" indent="1"/>
    </xf>
    <xf numFmtId="0" fontId="61" fillId="0" borderId="0" xfId="0" applyFont="1"/>
    <xf numFmtId="0" fontId="58" fillId="0" borderId="0" xfId="0" applyFont="1" applyProtection="1">
      <protection locked="0"/>
    </xf>
    <xf numFmtId="0" fontId="0" fillId="0" borderId="0" xfId="0" applyProtection="1">
      <protection locked="0"/>
    </xf>
    <xf numFmtId="0" fontId="58" fillId="0" borderId="74" xfId="0" applyFont="1" applyBorder="1" applyProtection="1">
      <protection locked="0"/>
    </xf>
    <xf numFmtId="0" fontId="58" fillId="0" borderId="0" xfId="0" applyFont="1" applyBorder="1" applyProtection="1">
      <protection locked="0"/>
    </xf>
    <xf numFmtId="0" fontId="58" fillId="0" borderId="0" xfId="0" applyFont="1" applyFill="1" applyBorder="1" applyProtection="1">
      <protection locked="0"/>
    </xf>
    <xf numFmtId="0" fontId="5" fillId="0" borderId="0" xfId="49" applyNumberFormat="1" applyFill="1" applyBorder="1" applyAlignment="1" applyProtection="1">
      <alignment horizontal="center" vertical="center"/>
      <protection locked="0"/>
    </xf>
    <xf numFmtId="0" fontId="5" fillId="0" borderId="0" xfId="43" applyFill="1" applyBorder="1" applyProtection="1">
      <protection locked="0"/>
    </xf>
    <xf numFmtId="0" fontId="5" fillId="0" borderId="0" xfId="43" applyNumberFormat="1" applyFill="1" applyBorder="1" applyAlignment="1" applyProtection="1">
      <alignment horizontal="center" vertical="center"/>
      <protection locked="0"/>
    </xf>
    <xf numFmtId="0" fontId="58" fillId="0" borderId="0" xfId="0" applyFont="1" applyBorder="1" applyAlignment="1" applyProtection="1">
      <alignment horizontal="left" vertical="center" indent="1"/>
      <protection locked="0"/>
    </xf>
    <xf numFmtId="0" fontId="58" fillId="0" borderId="0" xfId="0" applyFont="1" applyBorder="1" applyAlignment="1" applyProtection="1">
      <alignment horizontal="center" vertical="center"/>
      <protection locked="0"/>
    </xf>
    <xf numFmtId="0" fontId="4" fillId="0" borderId="0" xfId="19" applyFill="1" applyBorder="1" applyAlignment="1" applyProtection="1">
      <alignment horizontal="center" vertical="center" wrapText="1"/>
      <protection locked="0"/>
    </xf>
    <xf numFmtId="49" fontId="58" fillId="0" borderId="0" xfId="0" applyNumberFormat="1" applyFont="1" applyFill="1" applyBorder="1" applyAlignment="1" applyProtection="1">
      <alignment horizontal="center" vertical="center"/>
      <protection locked="0"/>
    </xf>
    <xf numFmtId="167" fontId="58" fillId="0" borderId="0" xfId="0" applyNumberFormat="1" applyFont="1" applyFill="1" applyBorder="1" applyAlignment="1" applyProtection="1">
      <alignment horizontal="center" vertical="center"/>
      <protection locked="0"/>
    </xf>
    <xf numFmtId="0" fontId="5" fillId="12" borderId="63" xfId="37" applyBorder="1" applyProtection="1">
      <protection locked="0"/>
    </xf>
    <xf numFmtId="0" fontId="5" fillId="12" borderId="64" xfId="37" applyBorder="1" applyProtection="1">
      <protection locked="0"/>
    </xf>
    <xf numFmtId="0" fontId="5" fillId="12" borderId="0" xfId="37" applyBorder="1" applyProtection="1">
      <protection locked="0"/>
    </xf>
    <xf numFmtId="0" fontId="5" fillId="12" borderId="70" xfId="37" applyBorder="1" applyProtection="1">
      <protection locked="0"/>
    </xf>
    <xf numFmtId="0" fontId="5" fillId="12" borderId="66" xfId="37" applyBorder="1" applyProtection="1">
      <protection locked="0"/>
    </xf>
    <xf numFmtId="0" fontId="5" fillId="12" borderId="67" xfId="37" applyBorder="1" applyProtection="1">
      <protection locked="0"/>
    </xf>
    <xf numFmtId="0" fontId="10" fillId="0" borderId="0" xfId="87" applyFill="1" applyBorder="1" applyAlignment="1" applyProtection="1">
      <alignment horizontal="center" vertical="center"/>
      <protection locked="0"/>
    </xf>
    <xf numFmtId="0" fontId="58" fillId="0" borderId="0" xfId="0" applyFont="1" applyProtection="1">
      <protection hidden="1"/>
    </xf>
    <xf numFmtId="0" fontId="58" fillId="34" borderId="0" xfId="0" applyFont="1" applyFill="1" applyProtection="1">
      <protection locked="0" hidden="1"/>
    </xf>
    <xf numFmtId="0" fontId="58" fillId="0" borderId="0" xfId="0" applyFont="1" applyProtection="1">
      <protection locked="0" hidden="1"/>
    </xf>
    <xf numFmtId="0" fontId="0" fillId="0" borderId="0" xfId="0" applyProtection="1">
      <protection locked="0" hidden="1"/>
    </xf>
    <xf numFmtId="14" fontId="33" fillId="0" borderId="0" xfId="0" applyNumberFormat="1" applyFont="1"/>
    <xf numFmtId="0" fontId="33" fillId="0" borderId="0" xfId="0" quotePrefix="1" applyFont="1"/>
    <xf numFmtId="14" fontId="62" fillId="0" borderId="84" xfId="0" applyNumberFormat="1" applyFont="1" applyFill="1" applyBorder="1" applyAlignment="1">
      <alignment horizontal="center" vertical="center"/>
    </xf>
    <xf numFmtId="14" fontId="63" fillId="0" borderId="86" xfId="0" applyNumberFormat="1" applyFont="1" applyFill="1" applyBorder="1" applyAlignment="1">
      <alignment horizontal="center" vertical="center"/>
    </xf>
    <xf numFmtId="14" fontId="62" fillId="0" borderId="85" xfId="0" applyNumberFormat="1" applyFont="1" applyFill="1" applyBorder="1" applyAlignment="1">
      <alignment horizontal="center" vertical="center"/>
    </xf>
    <xf numFmtId="0" fontId="63" fillId="0" borderId="82" xfId="0" applyFont="1" applyBorder="1" applyAlignment="1">
      <alignment horizontal="center"/>
    </xf>
    <xf numFmtId="0" fontId="1" fillId="0" borderId="83" xfId="0" applyFont="1" applyBorder="1" applyAlignment="1">
      <alignment horizontal="center" vertical="center"/>
    </xf>
    <xf numFmtId="0" fontId="0" fillId="0" borderId="0" xfId="0" applyBorder="1" applyProtection="1">
      <protection locked="0"/>
    </xf>
    <xf numFmtId="0" fontId="58" fillId="0" borderId="66" xfId="0" applyFont="1" applyBorder="1" applyProtection="1">
      <protection locked="0"/>
    </xf>
    <xf numFmtId="0" fontId="0" fillId="0" borderId="66" xfId="0" applyBorder="1" applyProtection="1">
      <protection locked="0"/>
    </xf>
    <xf numFmtId="0" fontId="4" fillId="0" borderId="0" xfId="26" applyFill="1" applyBorder="1" applyAlignment="1" applyProtection="1">
      <alignment horizontal="center" vertical="center"/>
      <protection locked="0"/>
    </xf>
    <xf numFmtId="0" fontId="58" fillId="0" borderId="0" xfId="0" applyFont="1" applyAlignment="1" applyProtection="1">
      <alignment horizontal="center"/>
      <protection locked="0" hidden="1"/>
    </xf>
    <xf numFmtId="14" fontId="58" fillId="0" borderId="0" xfId="0" applyNumberFormat="1" applyFont="1" applyProtection="1">
      <protection locked="0"/>
    </xf>
    <xf numFmtId="177" fontId="58" fillId="0" borderId="0" xfId="0" applyNumberFormat="1" applyFont="1" applyProtection="1">
      <protection locked="0"/>
    </xf>
    <xf numFmtId="14" fontId="83" fillId="0" borderId="0" xfId="0" quotePrefix="1" applyNumberFormat="1" applyFont="1" applyProtection="1">
      <protection locked="0"/>
    </xf>
    <xf numFmtId="0" fontId="58" fillId="36" borderId="90" xfId="0" applyFont="1" applyFill="1" applyBorder="1" applyProtection="1">
      <protection locked="0"/>
    </xf>
    <xf numFmtId="0" fontId="58" fillId="36" borderId="0" xfId="0" applyFont="1" applyFill="1" applyBorder="1" applyProtection="1">
      <protection locked="0"/>
    </xf>
    <xf numFmtId="0" fontId="58" fillId="36" borderId="91" xfId="0" applyFont="1" applyFill="1" applyBorder="1" applyProtection="1">
      <protection locked="0"/>
    </xf>
    <xf numFmtId="0" fontId="0" fillId="36" borderId="87" xfId="0" applyFill="1" applyBorder="1" applyProtection="1">
      <protection locked="0"/>
    </xf>
    <xf numFmtId="0" fontId="0" fillId="36" borderId="88" xfId="0" applyFill="1" applyBorder="1" applyProtection="1">
      <protection locked="0"/>
    </xf>
    <xf numFmtId="0" fontId="0" fillId="0" borderId="88" xfId="0" applyBorder="1" applyProtection="1">
      <protection locked="0"/>
    </xf>
    <xf numFmtId="0" fontId="0" fillId="36" borderId="89" xfId="0" applyFill="1" applyBorder="1" applyProtection="1">
      <protection locked="0"/>
    </xf>
    <xf numFmtId="0" fontId="58" fillId="36" borderId="69" xfId="0" applyFont="1" applyFill="1" applyBorder="1" applyAlignment="1" applyProtection="1">
      <alignment horizontal="center" vertical="center"/>
      <protection locked="0"/>
    </xf>
    <xf numFmtId="0" fontId="4" fillId="0" borderId="0" xfId="26" applyFill="1" applyBorder="1" applyAlignment="1" applyProtection="1">
      <alignment horizontal="left" vertical="center" indent="1"/>
      <protection locked="0"/>
    </xf>
    <xf numFmtId="14" fontId="58" fillId="0" borderId="0" xfId="0" applyNumberFormat="1" applyFont="1" applyBorder="1" applyProtection="1">
      <protection locked="0"/>
    </xf>
    <xf numFmtId="168" fontId="72" fillId="0" borderId="0" xfId="42" applyNumberFormat="1" applyFont="1" applyFill="1" applyBorder="1" applyAlignment="1" applyProtection="1">
      <alignment horizontal="center" vertical="center"/>
      <protection hidden="1"/>
    </xf>
    <xf numFmtId="14" fontId="84" fillId="38" borderId="68" xfId="0" applyNumberFormat="1" applyFont="1" applyFill="1" applyBorder="1" applyAlignment="1">
      <alignment horizontal="centerContinuous" vertical="center"/>
    </xf>
    <xf numFmtId="0" fontId="71" fillId="0" borderId="0" xfId="60" applyNumberFormat="1" applyFont="1" applyFill="1" applyBorder="1" applyAlignment="1">
      <alignment horizontal="center" vertical="center"/>
    </xf>
    <xf numFmtId="167" fontId="71" fillId="0" borderId="0" xfId="48" applyNumberFormat="1" applyFont="1" applyFill="1" applyBorder="1" applyAlignment="1">
      <alignment horizontal="center" vertical="center"/>
    </xf>
    <xf numFmtId="176" fontId="71" fillId="0" borderId="0" xfId="48" applyNumberFormat="1" applyFont="1" applyFill="1" applyBorder="1" applyAlignment="1">
      <alignment horizontal="center" vertical="center"/>
    </xf>
    <xf numFmtId="0" fontId="4" fillId="0" borderId="0" xfId="19" applyFill="1" applyBorder="1" applyProtection="1">
      <protection locked="0"/>
    </xf>
    <xf numFmtId="0" fontId="4" fillId="0" borderId="0" xfId="19" applyNumberFormat="1" applyFill="1" applyBorder="1" applyAlignment="1" applyProtection="1">
      <alignment horizontal="center"/>
      <protection locked="0"/>
    </xf>
    <xf numFmtId="0" fontId="74" fillId="0" borderId="0" xfId="19" applyFont="1" applyFill="1" applyBorder="1" applyProtection="1">
      <protection locked="0"/>
    </xf>
    <xf numFmtId="0" fontId="74" fillId="0" borderId="0" xfId="19" applyNumberFormat="1" applyFont="1" applyFill="1" applyBorder="1" applyAlignment="1" applyProtection="1">
      <alignment horizontal="center"/>
      <protection locked="0"/>
    </xf>
    <xf numFmtId="0" fontId="73" fillId="0" borderId="0" xfId="0" applyFont="1"/>
    <xf numFmtId="0" fontId="85" fillId="0" borderId="0" xfId="19" applyFont="1" applyFill="1" applyBorder="1" applyProtection="1">
      <protection locked="0"/>
    </xf>
    <xf numFmtId="0" fontId="85" fillId="0" borderId="0" xfId="19" applyNumberFormat="1" applyFont="1" applyFill="1" applyBorder="1" applyAlignment="1" applyProtection="1">
      <alignment horizontal="center"/>
      <protection locked="0"/>
    </xf>
    <xf numFmtId="0" fontId="80" fillId="0" borderId="0" xfId="60" applyNumberFormat="1" applyFont="1" applyFill="1" applyBorder="1" applyAlignment="1">
      <alignment horizontal="center" vertical="center"/>
    </xf>
    <xf numFmtId="14" fontId="73" fillId="0" borderId="0" xfId="48" applyNumberFormat="1" applyFont="1" applyFill="1" applyBorder="1" applyAlignment="1">
      <alignment horizontal="center" vertical="center"/>
    </xf>
    <xf numFmtId="167" fontId="80" fillId="0" borderId="0" xfId="48" applyNumberFormat="1" applyFont="1" applyFill="1" applyBorder="1" applyAlignment="1">
      <alignment horizontal="center" vertical="center"/>
    </xf>
    <xf numFmtId="176" fontId="80" fillId="0" borderId="0" xfId="48" applyNumberFormat="1" applyFont="1" applyFill="1" applyBorder="1" applyAlignment="1">
      <alignment horizontal="center" vertical="center"/>
    </xf>
    <xf numFmtId="0" fontId="73" fillId="0" borderId="72" xfId="0" applyFont="1" applyFill="1" applyBorder="1"/>
    <xf numFmtId="0" fontId="73" fillId="41" borderId="79" xfId="0" applyFont="1" applyFill="1" applyBorder="1"/>
    <xf numFmtId="0" fontId="73" fillId="41" borderId="72" xfId="0" applyFont="1" applyFill="1" applyBorder="1"/>
    <xf numFmtId="0" fontId="73" fillId="41" borderId="80" xfId="0" applyFont="1" applyFill="1" applyBorder="1"/>
    <xf numFmtId="0" fontId="73" fillId="41" borderId="59" xfId="0" applyFont="1" applyFill="1" applyBorder="1"/>
    <xf numFmtId="0" fontId="73" fillId="41" borderId="56" xfId="0" applyFont="1" applyFill="1" applyBorder="1"/>
    <xf numFmtId="0" fontId="73" fillId="41" borderId="60" xfId="0" applyFont="1" applyFill="1" applyBorder="1"/>
    <xf numFmtId="0" fontId="0" fillId="41" borderId="60" xfId="0" applyFill="1" applyBorder="1"/>
    <xf numFmtId="0" fontId="73" fillId="41" borderId="58" xfId="0" applyFont="1" applyFill="1" applyBorder="1"/>
    <xf numFmtId="0" fontId="73" fillId="41" borderId="0" xfId="0" applyFont="1" applyFill="1" applyBorder="1"/>
    <xf numFmtId="0" fontId="73" fillId="41" borderId="0" xfId="0" applyFont="1" applyFill="1" applyBorder="1" applyAlignment="1">
      <alignment horizontal="right" indent="1"/>
    </xf>
    <xf numFmtId="0" fontId="73" fillId="41" borderId="57" xfId="0" applyFont="1" applyFill="1" applyBorder="1"/>
    <xf numFmtId="0" fontId="73" fillId="0" borderId="0" xfId="0" applyFont="1" applyFill="1" applyBorder="1"/>
    <xf numFmtId="0" fontId="0" fillId="0" borderId="0" xfId="0" applyFill="1" applyBorder="1"/>
    <xf numFmtId="0" fontId="73" fillId="41" borderId="95" xfId="0" applyFont="1" applyFill="1" applyBorder="1"/>
    <xf numFmtId="0" fontId="73" fillId="37" borderId="0" xfId="0" applyFont="1" applyFill="1" applyBorder="1"/>
    <xf numFmtId="0" fontId="72" fillId="37" borderId="0" xfId="0" applyFont="1" applyFill="1" applyBorder="1"/>
    <xf numFmtId="0" fontId="0" fillId="37" borderId="0" xfId="0" applyFill="1" applyBorder="1"/>
    <xf numFmtId="0" fontId="81" fillId="0" borderId="0" xfId="140" applyFont="1" applyBorder="1" applyAlignment="1" applyProtection="1">
      <alignment horizontal="left" vertical="center" wrapText="1" indent="1"/>
      <protection hidden="1"/>
    </xf>
    <xf numFmtId="0" fontId="68" fillId="0" borderId="0" xfId="60" applyNumberFormat="1" applyFont="1" applyFill="1" applyBorder="1" applyAlignment="1">
      <alignment horizontal="right" vertical="center" indent="2"/>
    </xf>
    <xf numFmtId="0" fontId="71" fillId="0" borderId="0" xfId="0" applyFont="1" applyFill="1" applyBorder="1" applyAlignment="1">
      <alignment horizontal="right" vertical="center" indent="2"/>
    </xf>
    <xf numFmtId="167" fontId="72" fillId="0" borderId="0" xfId="48" applyNumberFormat="1" applyFont="1" applyFill="1" applyBorder="1" applyAlignment="1">
      <alignment horizontal="center" vertical="center"/>
    </xf>
    <xf numFmtId="0" fontId="72" fillId="0" borderId="0" xfId="0" applyFont="1" applyBorder="1" applyProtection="1">
      <protection locked="0"/>
    </xf>
    <xf numFmtId="168" fontId="72" fillId="0" borderId="0" xfId="42" applyNumberFormat="1" applyFont="1" applyFill="1" applyBorder="1" applyAlignment="1" applyProtection="1">
      <alignment horizontal="centerContinuous" vertical="center"/>
      <protection hidden="1"/>
    </xf>
    <xf numFmtId="167" fontId="68" fillId="37" borderId="83" xfId="0" applyNumberFormat="1" applyFont="1" applyFill="1" applyBorder="1" applyAlignment="1">
      <alignment horizontal="center" vertical="center"/>
    </xf>
    <xf numFmtId="0" fontId="68" fillId="37" borderId="0" xfId="0" applyFont="1" applyFill="1" applyBorder="1" applyAlignment="1">
      <alignment vertical="center"/>
    </xf>
    <xf numFmtId="0" fontId="4" fillId="0" borderId="0" xfId="26" applyFill="1" applyBorder="1" applyAlignment="1" applyProtection="1">
      <alignment horizontal="left" vertical="center" indent="1"/>
    </xf>
    <xf numFmtId="0" fontId="4" fillId="0" borderId="0" xfId="26" applyFill="1" applyBorder="1" applyAlignment="1" applyProtection="1">
      <alignment horizontal="center" vertical="center"/>
    </xf>
    <xf numFmtId="0" fontId="78" fillId="0" borderId="0" xfId="0" applyFont="1" applyBorder="1" applyAlignment="1" applyProtection="1">
      <alignment horizontal="center" vertical="center"/>
      <protection locked="0"/>
    </xf>
    <xf numFmtId="14" fontId="69" fillId="0" borderId="0" xfId="0" applyNumberFormat="1" applyFont="1" applyBorder="1" applyAlignment="1" applyProtection="1">
      <alignment horizontal="center" vertical="center"/>
      <protection locked="0"/>
    </xf>
    <xf numFmtId="0" fontId="81" fillId="0" borderId="0" xfId="140" applyFont="1" applyBorder="1" applyAlignment="1" applyProtection="1">
      <alignment vertical="center" wrapText="1"/>
      <protection hidden="1"/>
    </xf>
    <xf numFmtId="14" fontId="82" fillId="0" borderId="0" xfId="71" applyNumberFormat="1" applyFont="1" applyFill="1" applyBorder="1" applyAlignment="1" applyProtection="1">
      <alignment vertical="center"/>
      <protection locked="0"/>
    </xf>
    <xf numFmtId="0" fontId="78" fillId="0" borderId="0" xfId="0" applyFont="1" applyFill="1" applyBorder="1" applyAlignment="1" applyProtection="1">
      <alignment vertical="center"/>
      <protection locked="0"/>
    </xf>
    <xf numFmtId="164" fontId="78" fillId="0" borderId="0" xfId="37" applyNumberFormat="1" applyFont="1" applyFill="1" applyBorder="1" applyAlignment="1" applyProtection="1">
      <alignment vertical="center"/>
      <protection hidden="1"/>
    </xf>
    <xf numFmtId="164" fontId="78" fillId="0" borderId="0" xfId="37" applyNumberFormat="1" applyFont="1" applyFill="1" applyBorder="1" applyAlignment="1" applyProtection="1">
      <alignment horizontal="center" vertical="center"/>
      <protection hidden="1"/>
    </xf>
    <xf numFmtId="0" fontId="5" fillId="0" borderId="0" xfId="56" applyFill="1" applyBorder="1" applyAlignment="1" applyProtection="1">
      <alignment vertical="center" wrapText="1"/>
    </xf>
    <xf numFmtId="0" fontId="58" fillId="0" borderId="0" xfId="0" applyFont="1" applyFill="1" applyBorder="1" applyAlignment="1" applyProtection="1">
      <alignment horizontal="center" vertical="center"/>
      <protection locked="0"/>
    </xf>
    <xf numFmtId="0" fontId="66" fillId="0" borderId="0" xfId="55" applyFont="1" applyFill="1" applyBorder="1" applyAlignment="1" applyProtection="1">
      <alignment vertical="center"/>
      <protection locked="0"/>
    </xf>
    <xf numFmtId="0" fontId="66" fillId="0" borderId="0" xfId="55" applyFont="1" applyFill="1" applyBorder="1" applyAlignment="1" applyProtection="1">
      <alignment horizontal="center" vertical="center"/>
      <protection locked="0"/>
    </xf>
    <xf numFmtId="14" fontId="72" fillId="0" borderId="0" xfId="0" applyNumberFormat="1" applyFont="1" applyFill="1" applyBorder="1" applyAlignment="1">
      <alignment horizontal="centerContinuous" vertical="center"/>
    </xf>
    <xf numFmtId="14" fontId="72" fillId="0" borderId="0" xfId="0" applyNumberFormat="1" applyFont="1" applyFill="1" applyBorder="1" applyAlignment="1">
      <alignment horizontal="center" vertical="center"/>
    </xf>
    <xf numFmtId="0" fontId="68" fillId="0" borderId="0" xfId="0" applyFont="1" applyFill="1" applyBorder="1" applyAlignment="1">
      <alignment horizontal="center" vertical="center"/>
    </xf>
    <xf numFmtId="0" fontId="72" fillId="0" borderId="0" xfId="42" applyFont="1" applyFill="1" applyBorder="1" applyAlignment="1" applyProtection="1">
      <alignment horizontal="centerContinuous" vertical="center"/>
      <protection hidden="1"/>
    </xf>
    <xf numFmtId="176" fontId="76" fillId="0" borderId="0" xfId="48" applyNumberFormat="1" applyFont="1" applyFill="1" applyBorder="1" applyAlignment="1">
      <alignment horizontal="centerContinuous" vertical="center"/>
    </xf>
    <xf numFmtId="176" fontId="5" fillId="0" borderId="0" xfId="48" applyNumberFormat="1" applyFill="1" applyBorder="1" applyAlignment="1">
      <alignment horizontal="centerContinuous" vertical="center"/>
    </xf>
    <xf numFmtId="0" fontId="72" fillId="0" borderId="0" xfId="26" applyFont="1" applyFill="1" applyBorder="1" applyAlignment="1" applyProtection="1">
      <alignment horizontal="left" vertical="center" indent="1"/>
      <protection hidden="1"/>
    </xf>
    <xf numFmtId="0" fontId="64" fillId="0" borderId="0" xfId="26" applyFont="1" applyFill="1" applyBorder="1" applyAlignment="1" applyProtection="1">
      <alignment horizontal="left" vertical="center" indent="1"/>
      <protection locked="0"/>
    </xf>
    <xf numFmtId="0" fontId="64" fillId="0" borderId="0" xfId="26" applyFont="1" applyFill="1" applyBorder="1" applyAlignment="1" applyProtection="1">
      <alignment horizontal="center" vertical="center"/>
    </xf>
    <xf numFmtId="176" fontId="71" fillId="0" borderId="0" xfId="48" applyNumberFormat="1" applyFont="1" applyFill="1" applyBorder="1" applyAlignment="1">
      <alignment horizontal="centerContinuous" vertical="center"/>
    </xf>
    <xf numFmtId="0" fontId="77" fillId="0" borderId="0" xfId="26" applyFont="1" applyFill="1" applyBorder="1" applyAlignment="1" applyProtection="1">
      <alignment horizontal="left" vertical="center" indent="1"/>
      <protection hidden="1"/>
    </xf>
    <xf numFmtId="14" fontId="72" fillId="0" borderId="0" xfId="56" quotePrefix="1" applyNumberFormat="1" applyFont="1" applyFill="1" applyBorder="1" applyAlignment="1" applyProtection="1">
      <alignment horizontal="center" vertical="center"/>
      <protection hidden="1"/>
    </xf>
    <xf numFmtId="0" fontId="68" fillId="0" borderId="0" xfId="48" applyFont="1" applyFill="1" applyBorder="1" applyAlignment="1" applyProtection="1">
      <alignment horizontal="center" vertical="center"/>
      <protection hidden="1"/>
    </xf>
    <xf numFmtId="0" fontId="64" fillId="0" borderId="0" xfId="48" applyFont="1" applyFill="1" applyBorder="1" applyAlignment="1" applyProtection="1">
      <alignment horizontal="center" vertical="center"/>
    </xf>
    <xf numFmtId="0" fontId="70" fillId="0" borderId="0" xfId="55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vertical="center"/>
    </xf>
    <xf numFmtId="0" fontId="58" fillId="0" borderId="0" xfId="0" applyFont="1" applyFill="1" applyBorder="1" applyAlignment="1" applyProtection="1">
      <alignment horizontal="left" vertical="center" indent="1"/>
      <protection locked="0"/>
    </xf>
    <xf numFmtId="14" fontId="84" fillId="0" borderId="0" xfId="0" applyNumberFormat="1" applyFont="1" applyFill="1" applyBorder="1" applyAlignment="1">
      <alignment horizontal="centerContinuous" vertical="center"/>
    </xf>
    <xf numFmtId="0" fontId="79" fillId="0" borderId="0" xfId="56" applyFont="1" applyFill="1" applyBorder="1" applyAlignment="1" applyProtection="1">
      <alignment horizontal="center" vertical="center"/>
      <protection hidden="1"/>
    </xf>
    <xf numFmtId="0" fontId="42" fillId="0" borderId="0" xfId="102" applyNumberFormat="1" applyFill="1" applyBorder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14" fontId="79" fillId="0" borderId="0" xfId="56" applyNumberFormat="1" applyFont="1" applyFill="1" applyBorder="1" applyAlignment="1" applyProtection="1">
      <alignment horizontal="center" vertical="center"/>
      <protection hidden="1"/>
    </xf>
    <xf numFmtId="14" fontId="87" fillId="38" borderId="0" xfId="0" quotePrefix="1" applyNumberFormat="1" applyFont="1" applyFill="1" applyAlignment="1" applyProtection="1">
      <alignment horizontal="center" vertical="center"/>
      <protection locked="0" hidden="1"/>
    </xf>
    <xf numFmtId="0" fontId="0" fillId="0" borderId="0" xfId="0" applyFill="1" applyBorder="1" applyProtection="1">
      <protection locked="0"/>
    </xf>
    <xf numFmtId="0" fontId="72" fillId="0" borderId="0" xfId="0" applyFont="1" applyFill="1" applyBorder="1" applyAlignment="1">
      <alignment vertical="center"/>
    </xf>
    <xf numFmtId="0" fontId="65" fillId="0" borderId="71" xfId="0" applyFont="1" applyBorder="1" applyAlignment="1" applyProtection="1">
      <alignment vertical="center"/>
      <protection locked="0"/>
    </xf>
    <xf numFmtId="0" fontId="73" fillId="39" borderId="101" xfId="0" applyFont="1" applyFill="1" applyBorder="1" applyAlignment="1">
      <alignment horizontal="right" indent="1"/>
    </xf>
    <xf numFmtId="164" fontId="73" fillId="39" borderId="100" xfId="0" applyNumberFormat="1" applyFont="1" applyFill="1" applyBorder="1"/>
    <xf numFmtId="14" fontId="73" fillId="39" borderId="100" xfId="0" applyNumberFormat="1" applyFont="1" applyFill="1" applyBorder="1"/>
    <xf numFmtId="0" fontId="73" fillId="41" borderId="102" xfId="0" applyFont="1" applyFill="1" applyBorder="1"/>
    <xf numFmtId="0" fontId="73" fillId="39" borderId="103" xfId="0" applyFont="1" applyFill="1" applyBorder="1" applyAlignment="1">
      <alignment horizontal="centerContinuous" vertical="center"/>
    </xf>
    <xf numFmtId="0" fontId="73" fillId="39" borderId="99" xfId="0" applyFont="1" applyFill="1" applyBorder="1" applyAlignment="1">
      <alignment horizontal="centerContinuous" vertical="center"/>
    </xf>
    <xf numFmtId="0" fontId="73" fillId="39" borderId="104" xfId="0" applyFont="1" applyFill="1" applyBorder="1" applyAlignment="1">
      <alignment horizontal="centerContinuous" vertical="center"/>
    </xf>
    <xf numFmtId="0" fontId="88" fillId="37" borderId="0" xfId="0" applyFont="1" applyFill="1" applyBorder="1"/>
    <xf numFmtId="0" fontId="69" fillId="0" borderId="0" xfId="0" applyFont="1" applyBorder="1" applyAlignment="1" applyProtection="1">
      <alignment horizontal="left" indent="1"/>
      <protection locked="0"/>
    </xf>
    <xf numFmtId="0" fontId="72" fillId="0" borderId="73" xfId="0" applyFont="1" applyBorder="1" applyProtection="1">
      <protection locked="0"/>
    </xf>
    <xf numFmtId="0" fontId="72" fillId="0" borderId="74" xfId="0" applyFont="1" applyBorder="1" applyProtection="1">
      <protection locked="0"/>
    </xf>
    <xf numFmtId="0" fontId="74" fillId="0" borderId="0" xfId="19" applyNumberFormat="1" applyFont="1" applyFill="1" applyBorder="1" applyAlignment="1" applyProtection="1">
      <alignment horizontal="center" vertical="center"/>
      <protection locked="0"/>
    </xf>
    <xf numFmtId="0" fontId="74" fillId="0" borderId="0" xfId="35" applyNumberFormat="1" applyFont="1" applyFill="1" applyBorder="1" applyAlignment="1" applyProtection="1">
      <alignment horizontal="center" vertical="center"/>
      <protection locked="0"/>
    </xf>
    <xf numFmtId="0" fontId="74" fillId="0" borderId="0" xfId="19" applyFont="1" applyFill="1" applyBorder="1" applyAlignment="1" applyProtection="1">
      <alignment horizontal="center" vertical="center"/>
      <protection locked="0"/>
    </xf>
    <xf numFmtId="0" fontId="74" fillId="0" borderId="0" xfId="35" applyFont="1" applyFill="1" applyBorder="1" applyProtection="1">
      <protection locked="0"/>
    </xf>
    <xf numFmtId="0" fontId="72" fillId="0" borderId="0" xfId="0" applyFont="1" applyFill="1" applyBorder="1" applyProtection="1">
      <protection locked="0"/>
    </xf>
    <xf numFmtId="0" fontId="67" fillId="0" borderId="0" xfId="55" applyFont="1" applyFill="1" applyBorder="1" applyProtection="1">
      <protection locked="0"/>
    </xf>
    <xf numFmtId="14" fontId="72" fillId="0" borderId="0" xfId="0" applyNumberFormat="1" applyFont="1" applyBorder="1" applyProtection="1">
      <protection locked="0"/>
    </xf>
    <xf numFmtId="164" fontId="72" fillId="0" borderId="0" xfId="0" applyNumberFormat="1" applyFont="1" applyFill="1" applyBorder="1" applyProtection="1">
      <protection locked="0"/>
    </xf>
    <xf numFmtId="0" fontId="74" fillId="0" borderId="0" xfId="24" applyFont="1" applyFill="1" applyBorder="1" applyAlignment="1" applyProtection="1">
      <alignment vertical="center"/>
      <protection hidden="1"/>
    </xf>
    <xf numFmtId="0" fontId="75" fillId="0" borderId="0" xfId="60" applyFont="1" applyFill="1" applyBorder="1" applyAlignment="1" applyProtection="1">
      <alignment vertical="center"/>
      <protection locked="0"/>
    </xf>
    <xf numFmtId="0" fontId="74" fillId="0" borderId="81" xfId="19" applyNumberFormat="1" applyFont="1" applyFill="1" applyBorder="1" applyAlignment="1" applyProtection="1">
      <alignment horizontal="center" vertical="center"/>
      <protection locked="0"/>
    </xf>
    <xf numFmtId="0" fontId="72" fillId="0" borderId="66" xfId="0" applyFont="1" applyBorder="1" applyProtection="1">
      <protection locked="0"/>
    </xf>
    <xf numFmtId="0" fontId="1" fillId="0" borderId="0" xfId="0" applyFont="1" applyProtection="1">
      <protection locked="0"/>
    </xf>
    <xf numFmtId="14" fontId="0" fillId="0" borderId="0" xfId="0" applyNumberFormat="1" applyProtection="1">
      <protection locked="0"/>
    </xf>
    <xf numFmtId="0" fontId="37" fillId="0" borderId="0" xfId="0" applyFont="1" applyProtection="1">
      <protection locked="0"/>
    </xf>
    <xf numFmtId="164" fontId="74" fillId="0" borderId="0" xfId="19" applyNumberFormat="1" applyFont="1" applyFill="1" applyBorder="1" applyAlignment="1" applyProtection="1">
      <alignment horizontal="center" vertical="center"/>
      <protection locked="0"/>
    </xf>
    <xf numFmtId="0" fontId="72" fillId="39" borderId="0" xfId="0" applyFont="1" applyFill="1" applyBorder="1" applyProtection="1">
      <protection locked="0"/>
    </xf>
    <xf numFmtId="0" fontId="72" fillId="0" borderId="70" xfId="0" applyFont="1" applyBorder="1" applyProtection="1">
      <protection locked="0"/>
    </xf>
    <xf numFmtId="0" fontId="72" fillId="0" borderId="70" xfId="0" applyFont="1" applyFill="1" applyBorder="1" applyProtection="1">
      <protection locked="0"/>
    </xf>
    <xf numFmtId="0" fontId="74" fillId="42" borderId="114" xfId="19" applyNumberFormat="1" applyFont="1" applyFill="1" applyBorder="1" applyAlignment="1" applyProtection="1">
      <alignment horizontal="left" vertical="center"/>
      <protection locked="0"/>
    </xf>
    <xf numFmtId="0" fontId="74" fillId="42" borderId="115" xfId="19" applyNumberFormat="1" applyFont="1" applyFill="1" applyBorder="1" applyAlignment="1" applyProtection="1">
      <alignment horizontal="center" vertical="center"/>
      <protection locked="0"/>
    </xf>
    <xf numFmtId="0" fontId="74" fillId="42" borderId="116" xfId="19" applyNumberFormat="1" applyFont="1" applyFill="1" applyBorder="1" applyAlignment="1" applyProtection="1">
      <alignment horizontal="center" vertical="center"/>
      <protection locked="0"/>
    </xf>
    <xf numFmtId="0" fontId="74" fillId="42" borderId="113" xfId="19" applyNumberFormat="1" applyFont="1" applyFill="1" applyBorder="1" applyAlignment="1" applyProtection="1">
      <alignment horizontal="center" vertical="center"/>
      <protection locked="0"/>
    </xf>
    <xf numFmtId="0" fontId="74" fillId="42" borderId="112" xfId="19" applyNumberFormat="1" applyFont="1" applyFill="1" applyBorder="1" applyAlignment="1" applyProtection="1">
      <alignment horizontal="center" vertical="center"/>
      <protection locked="0"/>
    </xf>
    <xf numFmtId="176" fontId="72" fillId="0" borderId="0" xfId="48" quotePrefix="1" applyNumberFormat="1" applyFont="1" applyFill="1" applyBorder="1" applyAlignment="1">
      <alignment horizontal="centerContinuous" vertical="center"/>
    </xf>
    <xf numFmtId="176" fontId="64" fillId="0" borderId="0" xfId="48" applyNumberFormat="1" applyFont="1" applyFill="1" applyBorder="1" applyAlignment="1">
      <alignment horizontal="centerContinuous" vertical="center"/>
    </xf>
    <xf numFmtId="168" fontId="72" fillId="0" borderId="0" xfId="42" quotePrefix="1" applyNumberFormat="1" applyFont="1" applyFill="1" applyBorder="1" applyAlignment="1" applyProtection="1">
      <alignment horizontal="centerContinuous" vertical="center"/>
      <protection hidden="1"/>
    </xf>
    <xf numFmtId="0" fontId="68" fillId="0" borderId="0" xfId="0" quotePrefix="1" applyFont="1" applyFill="1" applyBorder="1" applyAlignment="1" applyProtection="1">
      <alignment horizontal="centerContinuous" vertical="center"/>
      <protection locked="0"/>
    </xf>
    <xf numFmtId="168" fontId="72" fillId="0" borderId="0" xfId="0" applyNumberFormat="1" applyFont="1" applyFill="1" applyBorder="1" applyAlignment="1">
      <alignment horizontal="centerContinuous" vertical="center"/>
    </xf>
    <xf numFmtId="168" fontId="72" fillId="0" borderId="0" xfId="0" quotePrefix="1" applyNumberFormat="1" applyFont="1" applyFill="1" applyBorder="1" applyAlignment="1">
      <alignment horizontal="centerContinuous" vertical="center"/>
    </xf>
    <xf numFmtId="0" fontId="72" fillId="0" borderId="0" xfId="0" applyFont="1" applyFill="1" applyBorder="1" applyAlignment="1">
      <alignment horizontal="centerContinuous" vertical="center"/>
    </xf>
    <xf numFmtId="0" fontId="68" fillId="0" borderId="0" xfId="60" applyNumberFormat="1" applyFont="1" applyFill="1" applyBorder="1" applyAlignment="1">
      <alignment vertical="center" textRotation="136"/>
    </xf>
    <xf numFmtId="0" fontId="68" fillId="0" borderId="0" xfId="60" applyNumberFormat="1" applyFont="1" applyFill="1" applyBorder="1" applyAlignment="1">
      <alignment vertical="center"/>
    </xf>
    <xf numFmtId="0" fontId="71" fillId="0" borderId="0" xfId="0" applyFont="1" applyFill="1" applyBorder="1" applyAlignment="1">
      <alignment vertical="center"/>
    </xf>
    <xf numFmtId="14" fontId="71" fillId="39" borderId="113" xfId="48" applyNumberFormat="1" applyFont="1" applyFill="1" applyBorder="1" applyAlignment="1">
      <alignment horizontal="center" vertical="center"/>
    </xf>
    <xf numFmtId="0" fontId="75" fillId="0" borderId="0" xfId="19" applyFont="1" applyFill="1" applyBorder="1" applyAlignment="1" applyProtection="1">
      <alignment horizontal="left" vertical="center"/>
      <protection locked="0"/>
    </xf>
    <xf numFmtId="0" fontId="20" fillId="0" borderId="0" xfId="19" applyFont="1" applyFill="1" applyBorder="1" applyAlignment="1" applyProtection="1">
      <alignment vertical="center"/>
      <protection locked="0"/>
    </xf>
    <xf numFmtId="14" fontId="76" fillId="39" borderId="113" xfId="19" applyNumberFormat="1" applyFont="1" applyFill="1" applyBorder="1" applyAlignment="1" applyProtection="1">
      <alignment horizontal="center" vertical="center"/>
      <protection locked="0"/>
    </xf>
    <xf numFmtId="0" fontId="90" fillId="39" borderId="113" xfId="19" applyFont="1" applyFill="1" applyBorder="1" applyAlignment="1" applyProtection="1">
      <alignment horizontal="center" vertical="center"/>
      <protection locked="0"/>
    </xf>
    <xf numFmtId="0" fontId="82" fillId="0" borderId="0" xfId="71" applyFont="1" applyFill="1" applyBorder="1" applyAlignment="1" applyProtection="1">
      <alignment vertical="center"/>
      <protection locked="0"/>
    </xf>
    <xf numFmtId="0" fontId="76" fillId="39" borderId="113" xfId="19" applyNumberFormat="1" applyFont="1" applyFill="1" applyBorder="1" applyAlignment="1" applyProtection="1">
      <alignment horizontal="center" vertical="center"/>
      <protection locked="0"/>
    </xf>
    <xf numFmtId="0" fontId="65" fillId="0" borderId="71" xfId="0" applyFont="1" applyBorder="1" applyAlignment="1" applyProtection="1">
      <alignment horizontal="centerContinuous" vertical="center"/>
      <protection locked="0"/>
    </xf>
    <xf numFmtId="167" fontId="77" fillId="39" borderId="83" xfId="19" applyNumberFormat="1" applyFont="1" applyFill="1" applyBorder="1" applyAlignment="1" applyProtection="1">
      <alignment horizontal="center"/>
      <protection locked="0"/>
    </xf>
    <xf numFmtId="165" fontId="72" fillId="39" borderId="83" xfId="0" quotePrefix="1" applyNumberFormat="1" applyFont="1" applyFill="1" applyBorder="1" applyProtection="1">
      <protection locked="0"/>
    </xf>
    <xf numFmtId="165" fontId="72" fillId="39" borderId="83" xfId="0" applyNumberFormat="1" applyFont="1" applyFill="1" applyBorder="1" applyProtection="1">
      <protection locked="0"/>
    </xf>
    <xf numFmtId="168" fontId="77" fillId="39" borderId="83" xfId="19" applyNumberFormat="1" applyFont="1" applyFill="1" applyBorder="1" applyAlignment="1" applyProtection="1">
      <alignment horizontal="center"/>
      <protection locked="0"/>
    </xf>
    <xf numFmtId="0" fontId="77" fillId="39" borderId="83" xfId="19" quotePrefix="1" applyFont="1" applyFill="1" applyBorder="1" applyAlignment="1" applyProtection="1">
      <alignment horizontal="center"/>
      <protection locked="0"/>
    </xf>
    <xf numFmtId="0" fontId="77" fillId="39" borderId="113" xfId="19" quotePrefix="1" applyFont="1" applyFill="1" applyBorder="1" applyAlignment="1" applyProtection="1">
      <alignment horizontal="center"/>
      <protection locked="0"/>
    </xf>
    <xf numFmtId="165" fontId="72" fillId="39" borderId="113" xfId="0" applyNumberFormat="1" applyFont="1" applyFill="1" applyBorder="1" applyProtection="1">
      <protection locked="0"/>
    </xf>
    <xf numFmtId="0" fontId="0" fillId="39" borderId="0" xfId="0" applyFill="1" applyBorder="1" applyProtection="1">
      <protection locked="0"/>
    </xf>
    <xf numFmtId="0" fontId="0" fillId="39" borderId="114" xfId="0" applyFill="1" applyBorder="1" applyProtection="1">
      <protection locked="0"/>
    </xf>
    <xf numFmtId="0" fontId="0" fillId="39" borderId="115" xfId="0" applyFill="1" applyBorder="1" applyProtection="1">
      <protection locked="0"/>
    </xf>
    <xf numFmtId="0" fontId="0" fillId="39" borderId="116" xfId="0" applyFill="1" applyBorder="1" applyProtection="1">
      <protection locked="0"/>
    </xf>
    <xf numFmtId="0" fontId="65" fillId="0" borderId="0" xfId="0" applyFont="1" applyBorder="1" applyAlignment="1" applyProtection="1">
      <alignment vertical="center"/>
      <protection locked="0"/>
    </xf>
    <xf numFmtId="0" fontId="65" fillId="0" borderId="0" xfId="0" applyFont="1" applyFill="1" applyBorder="1" applyAlignment="1" applyProtection="1">
      <alignment vertical="center"/>
      <protection locked="0"/>
    </xf>
    <xf numFmtId="49" fontId="4" fillId="0" borderId="0" xfId="19" applyNumberFormat="1" applyFill="1" applyBorder="1" applyAlignment="1" applyProtection="1">
      <alignment horizontal="center" vertical="center"/>
      <protection locked="0"/>
    </xf>
    <xf numFmtId="0" fontId="58" fillId="36" borderId="77" xfId="0" applyFont="1" applyFill="1" applyBorder="1" applyProtection="1">
      <protection locked="0"/>
    </xf>
    <xf numFmtId="0" fontId="0" fillId="36" borderId="90" xfId="0" applyFill="1" applyBorder="1" applyProtection="1">
      <protection locked="0"/>
    </xf>
    <xf numFmtId="0" fontId="0" fillId="36" borderId="91" xfId="0" applyFill="1" applyBorder="1" applyProtection="1">
      <protection locked="0"/>
    </xf>
    <xf numFmtId="0" fontId="58" fillId="36" borderId="76" xfId="0" applyFont="1" applyFill="1" applyBorder="1" applyProtection="1">
      <protection locked="0"/>
    </xf>
    <xf numFmtId="0" fontId="58" fillId="36" borderId="74" xfId="0" applyFont="1" applyFill="1" applyBorder="1" applyProtection="1">
      <protection locked="0"/>
    </xf>
    <xf numFmtId="0" fontId="58" fillId="36" borderId="75" xfId="0" applyFont="1" applyFill="1" applyBorder="1" applyProtection="1">
      <protection locked="0"/>
    </xf>
    <xf numFmtId="0" fontId="58" fillId="36" borderId="78" xfId="0" applyFont="1" applyFill="1" applyBorder="1" applyProtection="1">
      <protection locked="0"/>
    </xf>
    <xf numFmtId="0" fontId="58" fillId="36" borderId="71" xfId="0" applyFont="1" applyFill="1" applyBorder="1" applyProtection="1">
      <protection locked="0"/>
    </xf>
    <xf numFmtId="0" fontId="70" fillId="0" borderId="0" xfId="55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>
      <alignment horizontal="center" vertical="center"/>
    </xf>
    <xf numFmtId="0" fontId="74" fillId="42" borderId="115" xfId="19" applyNumberFormat="1" applyFont="1" applyFill="1" applyBorder="1" applyAlignment="1" applyProtection="1">
      <alignment horizontal="centerContinuous" vertical="center"/>
      <protection locked="0"/>
    </xf>
    <xf numFmtId="0" fontId="76" fillId="42" borderId="115" xfId="19" applyNumberFormat="1" applyFont="1" applyFill="1" applyBorder="1" applyAlignment="1" applyProtection="1">
      <alignment horizontal="centerContinuous" vertical="center"/>
      <protection locked="0"/>
    </xf>
    <xf numFmtId="0" fontId="74" fillId="39" borderId="119" xfId="19" applyNumberFormat="1" applyFont="1" applyFill="1" applyBorder="1" applyAlignment="1" applyProtection="1">
      <alignment horizontal="center" vertical="center"/>
      <protection locked="0"/>
    </xf>
    <xf numFmtId="165" fontId="77" fillId="39" borderId="40" xfId="19" applyNumberFormat="1" applyFont="1" applyFill="1" applyBorder="1" applyAlignment="1" applyProtection="1">
      <alignment horizontal="center" vertical="center"/>
      <protection locked="0"/>
    </xf>
    <xf numFmtId="0" fontId="74" fillId="39" borderId="40" xfId="19" applyNumberFormat="1" applyFont="1" applyFill="1" applyBorder="1" applyAlignment="1" applyProtection="1">
      <alignment horizontal="center" vertical="center"/>
      <protection locked="0"/>
    </xf>
    <xf numFmtId="9" fontId="77" fillId="39" borderId="40" xfId="19" applyNumberFormat="1" applyFont="1" applyFill="1" applyBorder="1" applyAlignment="1" applyProtection="1">
      <alignment horizontal="center" vertical="center"/>
      <protection locked="0"/>
    </xf>
    <xf numFmtId="0" fontId="74" fillId="39" borderId="117" xfId="19" applyNumberFormat="1" applyFont="1" applyFill="1" applyBorder="1" applyAlignment="1" applyProtection="1">
      <alignment horizontal="center" vertical="center"/>
      <protection locked="0"/>
    </xf>
    <xf numFmtId="165" fontId="77" fillId="39" borderId="16" xfId="19" applyNumberFormat="1" applyFont="1" applyFill="1" applyBorder="1" applyAlignment="1" applyProtection="1">
      <alignment horizontal="center" vertical="center"/>
      <protection locked="0"/>
    </xf>
    <xf numFmtId="0" fontId="74" fillId="39" borderId="16" xfId="19" applyNumberFormat="1" applyFont="1" applyFill="1" applyBorder="1" applyAlignment="1" applyProtection="1">
      <alignment horizontal="center" vertical="center"/>
      <protection locked="0"/>
    </xf>
    <xf numFmtId="9" fontId="77" fillId="39" borderId="16" xfId="19" applyNumberFormat="1" applyFont="1" applyFill="1" applyBorder="1" applyAlignment="1" applyProtection="1">
      <alignment horizontal="center" vertical="center"/>
      <protection locked="0"/>
    </xf>
    <xf numFmtId="0" fontId="74" fillId="39" borderId="118" xfId="19" applyNumberFormat="1" applyFont="1" applyFill="1" applyBorder="1" applyAlignment="1" applyProtection="1">
      <alignment horizontal="center" vertical="center"/>
      <protection locked="0"/>
    </xf>
    <xf numFmtId="165" fontId="77" fillId="39" borderId="18" xfId="19" applyNumberFormat="1" applyFont="1" applyFill="1" applyBorder="1" applyAlignment="1" applyProtection="1">
      <alignment horizontal="center" vertical="center"/>
      <protection locked="0"/>
    </xf>
    <xf numFmtId="0" fontId="74" fillId="39" borderId="18" xfId="19" applyNumberFormat="1" applyFont="1" applyFill="1" applyBorder="1" applyAlignment="1" applyProtection="1">
      <alignment horizontal="center" vertical="center"/>
      <protection locked="0"/>
    </xf>
    <xf numFmtId="9" fontId="77" fillId="39" borderId="18" xfId="19" applyNumberFormat="1" applyFont="1" applyFill="1" applyBorder="1" applyAlignment="1" applyProtection="1">
      <alignment horizontal="center" vertical="center"/>
      <protection locked="0"/>
    </xf>
    <xf numFmtId="0" fontId="74" fillId="39" borderId="81" xfId="19" applyNumberFormat="1" applyFont="1" applyFill="1" applyBorder="1" applyAlignment="1" applyProtection="1">
      <alignment horizontal="left" vertical="center"/>
      <protection locked="0"/>
    </xf>
    <xf numFmtId="0" fontId="74" fillId="39" borderId="0" xfId="19" applyNumberFormat="1" applyFont="1" applyFill="1" applyBorder="1" applyAlignment="1" applyProtection="1">
      <alignment horizontal="center" vertical="center"/>
      <protection locked="0"/>
    </xf>
    <xf numFmtId="0" fontId="74" fillId="39" borderId="0" xfId="19" applyNumberFormat="1" applyFont="1" applyFill="1" applyBorder="1" applyAlignment="1" applyProtection="1">
      <alignment horizontal="centerContinuous" vertical="center"/>
      <protection locked="0"/>
    </xf>
    <xf numFmtId="0" fontId="77" fillId="39" borderId="0" xfId="19" applyNumberFormat="1" applyFont="1" applyFill="1" applyBorder="1" applyAlignment="1" applyProtection="1">
      <alignment horizontal="centerContinuous" vertical="center"/>
      <protection locked="0"/>
    </xf>
    <xf numFmtId="168" fontId="72" fillId="39" borderId="70" xfId="0" applyNumberFormat="1" applyFont="1" applyFill="1" applyBorder="1" applyAlignment="1" applyProtection="1">
      <alignment horizontal="center" vertical="center"/>
      <protection locked="0"/>
    </xf>
    <xf numFmtId="168" fontId="77" fillId="39" borderId="70" xfId="19" applyNumberFormat="1" applyFont="1" applyFill="1" applyBorder="1" applyAlignment="1" applyProtection="1">
      <alignment horizontal="center" vertical="center"/>
      <protection locked="0"/>
    </xf>
    <xf numFmtId="0" fontId="74" fillId="39" borderId="65" xfId="19" applyNumberFormat="1" applyFont="1" applyFill="1" applyBorder="1" applyAlignment="1" applyProtection="1">
      <alignment horizontal="left" vertical="center"/>
      <protection locked="0"/>
    </xf>
    <xf numFmtId="0" fontId="74" fillId="39" borderId="66" xfId="19" applyNumberFormat="1" applyFont="1" applyFill="1" applyBorder="1" applyAlignment="1" applyProtection="1">
      <alignment horizontal="center" vertical="center"/>
      <protection locked="0"/>
    </xf>
    <xf numFmtId="0" fontId="74" fillId="39" borderId="66" xfId="19" applyNumberFormat="1" applyFont="1" applyFill="1" applyBorder="1" applyAlignment="1" applyProtection="1">
      <alignment horizontal="centerContinuous" vertical="center"/>
      <protection locked="0"/>
    </xf>
    <xf numFmtId="0" fontId="77" fillId="39" borderId="66" xfId="19" applyNumberFormat="1" applyFont="1" applyFill="1" applyBorder="1" applyAlignment="1" applyProtection="1">
      <alignment horizontal="centerContinuous" vertical="center"/>
      <protection locked="0"/>
    </xf>
    <xf numFmtId="168" fontId="72" fillId="39" borderId="67" xfId="0" applyNumberFormat="1" applyFont="1" applyFill="1" applyBorder="1" applyAlignment="1" applyProtection="1">
      <alignment horizontal="center" vertical="center"/>
      <protection locked="0"/>
    </xf>
    <xf numFmtId="0" fontId="74" fillId="39" borderId="62" xfId="19" applyNumberFormat="1" applyFont="1" applyFill="1" applyBorder="1" applyAlignment="1" applyProtection="1">
      <alignment horizontal="left" vertical="center"/>
      <protection locked="0"/>
    </xf>
    <xf numFmtId="0" fontId="72" fillId="39" borderId="63" xfId="0" applyFont="1" applyFill="1" applyBorder="1" applyAlignment="1" applyProtection="1">
      <alignment vertical="center"/>
      <protection locked="0"/>
    </xf>
    <xf numFmtId="0" fontId="72" fillId="39" borderId="63" xfId="0" applyFont="1" applyFill="1" applyBorder="1" applyAlignment="1" applyProtection="1">
      <alignment horizontal="centerContinuous" vertical="center"/>
      <protection locked="0"/>
    </xf>
    <xf numFmtId="168" fontId="72" fillId="39" borderId="64" xfId="0" applyNumberFormat="1" applyFont="1" applyFill="1" applyBorder="1" applyAlignment="1" applyProtection="1">
      <alignment horizontal="center" vertical="center"/>
      <protection locked="0"/>
    </xf>
    <xf numFmtId="167" fontId="71" fillId="39" borderId="66" xfId="48" applyNumberFormat="1" applyFont="1" applyFill="1" applyBorder="1" applyAlignment="1">
      <alignment horizontal="center" vertical="center"/>
    </xf>
    <xf numFmtId="0" fontId="0" fillId="39" borderId="81" xfId="0" applyFill="1" applyBorder="1" applyProtection="1">
      <protection locked="0"/>
    </xf>
    <xf numFmtId="0" fontId="72" fillId="39" borderId="70" xfId="0" applyFont="1" applyFill="1" applyBorder="1" applyProtection="1">
      <protection locked="0"/>
    </xf>
    <xf numFmtId="0" fontId="91" fillId="39" borderId="81" xfId="0" applyFont="1" applyFill="1" applyBorder="1" applyAlignment="1" applyProtection="1">
      <alignment horizontal="left" indent="1"/>
      <protection locked="0"/>
    </xf>
    <xf numFmtId="0" fontId="71" fillId="39" borderId="81" xfId="0" applyFont="1" applyFill="1" applyBorder="1" applyAlignment="1" applyProtection="1">
      <alignment horizontal="left" vertical="top" indent="1"/>
      <protection locked="0"/>
    </xf>
    <xf numFmtId="10" fontId="72" fillId="39" borderId="113" xfId="55" applyNumberFormat="1" applyFont="1" applyFill="1" applyBorder="1" applyAlignment="1" applyProtection="1">
      <alignment horizontal="center" vertical="center"/>
      <protection locked="0"/>
    </xf>
    <xf numFmtId="10" fontId="72" fillId="39" borderId="113" xfId="19" applyNumberFormat="1" applyFont="1" applyFill="1" applyBorder="1" applyAlignment="1" applyProtection="1">
      <alignment horizontal="center" vertical="center"/>
      <protection locked="0"/>
    </xf>
    <xf numFmtId="0" fontId="72" fillId="39" borderId="113" xfId="19" applyNumberFormat="1" applyFont="1" applyFill="1" applyBorder="1" applyAlignment="1" applyProtection="1">
      <alignment horizontal="center" vertical="center"/>
      <protection locked="0"/>
    </xf>
    <xf numFmtId="0" fontId="71" fillId="39" borderId="113" xfId="60" applyFont="1" applyFill="1" applyBorder="1" applyAlignment="1" applyProtection="1">
      <alignment vertical="center"/>
      <protection locked="0"/>
    </xf>
    <xf numFmtId="0" fontId="72" fillId="39" borderId="113" xfId="24" applyFont="1" applyFill="1" applyBorder="1" applyAlignment="1" applyProtection="1">
      <alignment vertical="center"/>
      <protection hidden="1"/>
    </xf>
    <xf numFmtId="165" fontId="72" fillId="39" borderId="113" xfId="19" applyNumberFormat="1" applyFont="1" applyFill="1" applyBorder="1" applyAlignment="1" applyProtection="1">
      <alignment horizontal="center" vertical="center"/>
      <protection locked="0"/>
    </xf>
    <xf numFmtId="0" fontId="71" fillId="39" borderId="66" xfId="48" applyNumberFormat="1" applyFont="1" applyFill="1" applyBorder="1" applyAlignment="1">
      <alignment horizontal="centerContinuous" vertical="center"/>
    </xf>
    <xf numFmtId="0" fontId="72" fillId="39" borderId="66" xfId="48" applyNumberFormat="1" applyFont="1" applyFill="1" applyBorder="1" applyAlignment="1">
      <alignment horizontal="centerContinuous" vertical="center"/>
    </xf>
    <xf numFmtId="168" fontId="72" fillId="39" borderId="67" xfId="48" applyNumberFormat="1" applyFont="1" applyFill="1" applyBorder="1" applyAlignment="1">
      <alignment horizontal="center" vertical="center"/>
    </xf>
    <xf numFmtId="0" fontId="77" fillId="39" borderId="0" xfId="19" quotePrefix="1" applyNumberFormat="1" applyFont="1" applyFill="1" applyBorder="1" applyAlignment="1" applyProtection="1">
      <alignment horizontal="centerContinuous" vertical="center"/>
      <protection locked="0"/>
    </xf>
    <xf numFmtId="0" fontId="73" fillId="41" borderId="57" xfId="0" applyFont="1" applyFill="1" applyBorder="1" applyAlignment="1">
      <alignment horizontal="right" indent="1"/>
    </xf>
    <xf numFmtId="0" fontId="73" fillId="0" borderId="72" xfId="0" applyFont="1" applyFill="1" applyBorder="1" applyAlignment="1">
      <alignment horizontal="right" indent="1"/>
    </xf>
    <xf numFmtId="164" fontId="71" fillId="39" borderId="113" xfId="0" applyNumberFormat="1" applyFont="1" applyFill="1" applyBorder="1" applyAlignment="1" applyProtection="1">
      <alignment vertical="center"/>
      <protection locked="0"/>
    </xf>
    <xf numFmtId="164" fontId="71" fillId="39" borderId="113" xfId="0" applyNumberFormat="1" applyFont="1" applyFill="1" applyBorder="1" applyAlignment="1" applyProtection="1">
      <alignment horizontal="center" vertical="center"/>
      <protection locked="0"/>
    </xf>
    <xf numFmtId="164" fontId="71" fillId="39" borderId="65" xfId="0" applyNumberFormat="1" applyFont="1" applyFill="1" applyBorder="1" applyAlignment="1" applyProtection="1">
      <alignment horizontal="centerContinuous" vertical="center"/>
      <protection locked="0"/>
    </xf>
    <xf numFmtId="0" fontId="72" fillId="39" borderId="67" xfId="0" applyFont="1" applyFill="1" applyBorder="1" applyAlignment="1" applyProtection="1">
      <alignment horizontal="centerContinuous" vertical="center"/>
      <protection locked="0"/>
    </xf>
    <xf numFmtId="14" fontId="71" fillId="39" borderId="65" xfId="0" applyNumberFormat="1" applyFont="1" applyFill="1" applyBorder="1" applyAlignment="1" applyProtection="1">
      <alignment horizontal="centerContinuous" vertical="center"/>
      <protection locked="0"/>
    </xf>
    <xf numFmtId="14" fontId="72" fillId="39" borderId="67" xfId="0" applyNumberFormat="1" applyFont="1" applyFill="1" applyBorder="1" applyAlignment="1" applyProtection="1">
      <alignment horizontal="centerContinuous" vertical="center"/>
      <protection locked="0"/>
    </xf>
    <xf numFmtId="0" fontId="71" fillId="39" borderId="65" xfId="0" applyFont="1" applyFill="1" applyBorder="1" applyAlignment="1" applyProtection="1">
      <alignment horizontal="centerContinuous" vertical="center"/>
      <protection locked="0"/>
    </xf>
    <xf numFmtId="167" fontId="71" fillId="39" borderId="65" xfId="0" applyNumberFormat="1" applyFont="1" applyFill="1" applyBorder="1" applyAlignment="1" applyProtection="1">
      <alignment horizontal="centerContinuous" vertical="center"/>
      <protection locked="0"/>
    </xf>
    <xf numFmtId="167" fontId="72" fillId="39" borderId="67" xfId="0" applyNumberFormat="1" applyFont="1" applyFill="1" applyBorder="1" applyAlignment="1" applyProtection="1">
      <alignment horizontal="centerContinuous" vertical="center"/>
      <protection locked="0"/>
    </xf>
    <xf numFmtId="14" fontId="71" fillId="39" borderId="111" xfId="48" applyNumberFormat="1" applyFont="1" applyFill="1" applyBorder="1" applyAlignment="1">
      <alignment horizontal="centerContinuous" vertical="center"/>
    </xf>
    <xf numFmtId="178" fontId="71" fillId="39" borderId="65" xfId="0" applyNumberFormat="1" applyFont="1" applyFill="1" applyBorder="1" applyAlignment="1" applyProtection="1">
      <alignment horizontal="centerContinuous" vertical="center"/>
      <protection locked="0"/>
    </xf>
    <xf numFmtId="0" fontId="72" fillId="39" borderId="65" xfId="0" applyFont="1" applyFill="1" applyBorder="1" applyProtection="1">
      <protection locked="0"/>
    </xf>
    <xf numFmtId="0" fontId="72" fillId="39" borderId="67" xfId="0" applyFont="1" applyFill="1" applyBorder="1" applyProtection="1">
      <protection locked="0"/>
    </xf>
    <xf numFmtId="165" fontId="71" fillId="41" borderId="113" xfId="0" applyNumberFormat="1" applyFont="1" applyFill="1" applyBorder="1" applyProtection="1">
      <protection locked="0"/>
    </xf>
    <xf numFmtId="165" fontId="71" fillId="41" borderId="83" xfId="0" applyNumberFormat="1" applyFont="1" applyFill="1" applyBorder="1" applyProtection="1">
      <protection locked="0"/>
    </xf>
    <xf numFmtId="165" fontId="71" fillId="41" borderId="113" xfId="19" applyNumberFormat="1" applyFont="1" applyFill="1" applyBorder="1" applyAlignment="1" applyProtection="1">
      <alignment horizontal="center" vertical="center"/>
      <protection locked="0"/>
    </xf>
    <xf numFmtId="0" fontId="72" fillId="42" borderId="116" xfId="0" applyFont="1" applyFill="1" applyBorder="1" applyAlignment="1" applyProtection="1">
      <alignment horizontal="center" vertical="center"/>
      <protection locked="0"/>
    </xf>
    <xf numFmtId="0" fontId="74" fillId="0" borderId="105" xfId="24" quotePrefix="1" applyFont="1" applyFill="1" applyBorder="1" applyAlignment="1" applyProtection="1">
      <alignment horizontal="center" vertical="center"/>
      <protection hidden="1"/>
    </xf>
    <xf numFmtId="0" fontId="74" fillId="0" borderId="106" xfId="24" applyFont="1" applyFill="1" applyBorder="1" applyAlignment="1" applyProtection="1">
      <alignment horizontal="center" vertical="center"/>
      <protection hidden="1"/>
    </xf>
    <xf numFmtId="0" fontId="74" fillId="0" borderId="107" xfId="24" applyFont="1" applyFill="1" applyBorder="1" applyAlignment="1" applyProtection="1">
      <alignment horizontal="center" vertical="center"/>
      <protection hidden="1"/>
    </xf>
    <xf numFmtId="0" fontId="74" fillId="0" borderId="108" xfId="24" applyFont="1" applyFill="1" applyBorder="1" applyAlignment="1" applyProtection="1">
      <alignment horizontal="center" vertical="center"/>
      <protection hidden="1"/>
    </xf>
    <xf numFmtId="0" fontId="74" fillId="0" borderId="109" xfId="24" applyFont="1" applyFill="1" applyBorder="1" applyAlignment="1" applyProtection="1">
      <alignment horizontal="center" vertical="center"/>
      <protection hidden="1"/>
    </xf>
    <xf numFmtId="0" fontId="74" fillId="0" borderId="110" xfId="24" applyFont="1" applyFill="1" applyBorder="1" applyAlignment="1" applyProtection="1">
      <alignment horizontal="center" vertical="center"/>
      <protection hidden="1"/>
    </xf>
    <xf numFmtId="0" fontId="86" fillId="0" borderId="0" xfId="55" applyNumberFormat="1" applyFont="1" applyFill="1" applyBorder="1" applyAlignment="1" applyProtection="1">
      <alignment horizontal="center" vertical="center"/>
      <protection locked="0"/>
    </xf>
    <xf numFmtId="0" fontId="86" fillId="0" borderId="0" xfId="55" applyFont="1" applyFill="1" applyBorder="1" applyAlignment="1" applyProtection="1">
      <alignment horizontal="center" vertical="center"/>
      <protection locked="0"/>
    </xf>
    <xf numFmtId="0" fontId="66" fillId="35" borderId="96" xfId="55" applyFont="1" applyFill="1" applyBorder="1" applyAlignment="1" applyProtection="1">
      <alignment horizontal="center" vertical="center"/>
      <protection locked="0"/>
    </xf>
    <xf numFmtId="0" fontId="66" fillId="35" borderId="97" xfId="55" applyFont="1" applyFill="1" applyBorder="1" applyAlignment="1" applyProtection="1">
      <alignment horizontal="center" vertical="center"/>
      <protection locked="0"/>
    </xf>
    <xf numFmtId="0" fontId="66" fillId="35" borderId="92" xfId="55" applyFont="1" applyFill="1" applyBorder="1" applyAlignment="1" applyProtection="1">
      <alignment horizontal="center" vertical="center"/>
      <protection locked="0"/>
    </xf>
    <xf numFmtId="0" fontId="66" fillId="35" borderId="93" xfId="55" applyFont="1" applyFill="1" applyBorder="1" applyAlignment="1" applyProtection="1">
      <alignment horizontal="center" vertical="center"/>
      <protection locked="0"/>
    </xf>
    <xf numFmtId="0" fontId="66" fillId="35" borderId="94" xfId="55" applyFont="1" applyFill="1" applyBorder="1" applyAlignment="1" applyProtection="1">
      <alignment horizontal="center" vertical="center"/>
      <protection locked="0"/>
    </xf>
    <xf numFmtId="0" fontId="71" fillId="37" borderId="83" xfId="0" applyFont="1" applyFill="1" applyBorder="1" applyAlignment="1">
      <alignment horizontal="center" vertical="center"/>
    </xf>
    <xf numFmtId="0" fontId="66" fillId="35" borderId="98" xfId="55" applyFont="1" applyFill="1" applyBorder="1" applyAlignment="1" applyProtection="1">
      <alignment horizontal="center" vertical="center"/>
      <protection locked="0"/>
    </xf>
    <xf numFmtId="0" fontId="66" fillId="35" borderId="61" xfId="55" applyFont="1" applyFill="1" applyBorder="1" applyAlignment="1" applyProtection="1">
      <alignment horizontal="center" vertical="center"/>
      <protection locked="0"/>
    </xf>
    <xf numFmtId="0" fontId="73" fillId="40" borderId="103" xfId="0" applyFont="1" applyFill="1" applyBorder="1" applyAlignment="1">
      <alignment horizontal="center" vertical="center"/>
    </xf>
    <xf numFmtId="0" fontId="73" fillId="40" borderId="99" xfId="0" applyFont="1" applyFill="1" applyBorder="1" applyAlignment="1">
      <alignment horizontal="center" vertical="center"/>
    </xf>
    <xf numFmtId="0" fontId="73" fillId="40" borderId="104" xfId="0" applyFont="1" applyFill="1" applyBorder="1" applyAlignment="1">
      <alignment horizontal="center" vertical="center"/>
    </xf>
    <xf numFmtId="0" fontId="74" fillId="0" borderId="0" xfId="19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74" fillId="41" borderId="84" xfId="19" applyFont="1" applyFill="1" applyBorder="1" applyAlignment="1" applyProtection="1">
      <alignment horizontal="center" vertical="center"/>
      <protection locked="0"/>
    </xf>
    <xf numFmtId="0" fontId="0" fillId="41" borderId="85" xfId="0" applyFill="1" applyBorder="1" applyAlignment="1">
      <alignment horizontal="center" vertical="center"/>
    </xf>
    <xf numFmtId="0" fontId="0" fillId="41" borderId="86" xfId="0" applyFill="1" applyBorder="1" applyAlignment="1">
      <alignment horizontal="center" vertical="center"/>
    </xf>
    <xf numFmtId="0" fontId="74" fillId="41" borderId="84" xfId="19" applyNumberFormat="1" applyFont="1" applyFill="1" applyBorder="1" applyAlignment="1" applyProtection="1">
      <alignment horizontal="center" vertical="center"/>
      <protection locked="0"/>
    </xf>
    <xf numFmtId="0" fontId="71" fillId="41" borderId="62" xfId="0" applyFont="1" applyFill="1" applyBorder="1" applyAlignment="1" applyProtection="1">
      <alignment horizontal="center" vertical="center" wrapText="1"/>
      <protection locked="0"/>
    </xf>
    <xf numFmtId="0" fontId="71" fillId="41" borderId="64" xfId="0" applyFont="1" applyFill="1" applyBorder="1" applyAlignment="1" applyProtection="1">
      <alignment horizontal="center" vertical="center" wrapText="1"/>
      <protection locked="0"/>
    </xf>
    <xf numFmtId="0" fontId="71" fillId="41" borderId="62" xfId="0" applyFont="1" applyFill="1" applyBorder="1" applyAlignment="1" applyProtection="1">
      <alignment horizontal="center" vertical="center"/>
      <protection locked="0"/>
    </xf>
    <xf numFmtId="0" fontId="71" fillId="41" borderId="64" xfId="0" applyFont="1" applyFill="1" applyBorder="1" applyAlignment="1" applyProtection="1">
      <alignment horizontal="center" vertical="center"/>
      <protection locked="0"/>
    </xf>
    <xf numFmtId="0" fontId="71" fillId="41" borderId="64" xfId="0" applyFont="1" applyFill="1" applyBorder="1" applyAlignment="1">
      <alignment horizontal="center" vertical="center"/>
    </xf>
    <xf numFmtId="0" fontId="10" fillId="0" borderId="0" xfId="87" applyFill="1" applyBorder="1" applyAlignment="1" applyProtection="1">
      <alignment horizontal="center" vertical="center"/>
      <protection locked="0"/>
    </xf>
    <xf numFmtId="0" fontId="5" fillId="12" borderId="62" xfId="37" applyBorder="1" applyAlignment="1" applyProtection="1">
      <alignment horizontal="center" vertical="center" wrapText="1"/>
      <protection locked="0"/>
    </xf>
    <xf numFmtId="0" fontId="5" fillId="12" borderId="64" xfId="37" applyBorder="1" applyAlignment="1" applyProtection="1">
      <alignment horizontal="center" vertical="center"/>
      <protection locked="0"/>
    </xf>
    <xf numFmtId="0" fontId="5" fillId="12" borderId="81" xfId="37" applyBorder="1" applyAlignment="1" applyProtection="1">
      <alignment horizontal="center" vertical="center"/>
      <protection locked="0"/>
    </xf>
    <xf numFmtId="0" fontId="5" fillId="12" borderId="70" xfId="37" applyBorder="1" applyAlignment="1" applyProtection="1">
      <alignment horizontal="center" vertical="center"/>
      <protection locked="0"/>
    </xf>
    <xf numFmtId="0" fontId="5" fillId="12" borderId="65" xfId="37" applyBorder="1" applyAlignment="1" applyProtection="1">
      <alignment horizontal="center" vertical="center"/>
      <protection locked="0"/>
    </xf>
    <xf numFmtId="0" fontId="5" fillId="12" borderId="67" xfId="37" applyBorder="1" applyAlignment="1" applyProtection="1">
      <alignment horizontal="center" vertical="center"/>
      <protection locked="0"/>
    </xf>
    <xf numFmtId="0" fontId="70" fillId="0" borderId="0" xfId="55" applyFont="1" applyFill="1" applyBorder="1" applyAlignment="1" applyProtection="1">
      <alignment horizontal="center" vertical="center"/>
      <protection locked="0"/>
    </xf>
    <xf numFmtId="0" fontId="66" fillId="0" borderId="0" xfId="55" applyFont="1" applyFill="1" applyBorder="1" applyAlignment="1" applyProtection="1">
      <alignment horizontal="center" vertical="center"/>
      <protection locked="0"/>
    </xf>
    <xf numFmtId="167" fontId="72" fillId="0" borderId="0" xfId="48" quotePrefix="1" applyNumberFormat="1" applyFont="1" applyFill="1" applyBorder="1" applyAlignment="1">
      <alignment horizontal="center" vertical="center"/>
    </xf>
    <xf numFmtId="167" fontId="72" fillId="0" borderId="0" xfId="48" applyNumberFormat="1" applyFont="1" applyFill="1" applyBorder="1" applyAlignment="1">
      <alignment horizontal="center" vertical="center"/>
    </xf>
    <xf numFmtId="0" fontId="68" fillId="0" borderId="0" xfId="60" applyNumberFormat="1" applyFont="1" applyFill="1" applyBorder="1" applyAlignment="1">
      <alignment horizontal="right" vertical="center" indent="2"/>
    </xf>
    <xf numFmtId="0" fontId="71" fillId="0" borderId="0" xfId="0" applyFont="1" applyFill="1" applyBorder="1" applyAlignment="1">
      <alignment horizontal="right" vertical="center" indent="2"/>
    </xf>
    <xf numFmtId="0" fontId="8" fillId="17" borderId="62" xfId="56" applyFont="1" applyBorder="1" applyAlignment="1" applyProtection="1">
      <alignment horizontal="left" vertical="center" wrapText="1" indent="1"/>
    </xf>
    <xf numFmtId="0" fontId="37" fillId="0" borderId="63" xfId="0" applyFont="1" applyBorder="1" applyAlignment="1">
      <alignment horizontal="left" vertical="center" wrapText="1" indent="1"/>
    </xf>
    <xf numFmtId="0" fontId="37" fillId="0" borderId="64" xfId="0" applyFont="1" applyBorder="1" applyAlignment="1">
      <alignment horizontal="left" vertical="center" wrapText="1" indent="1"/>
    </xf>
    <xf numFmtId="0" fontId="37" fillId="0" borderId="81" xfId="0" applyFont="1" applyBorder="1" applyAlignment="1">
      <alignment horizontal="left" vertical="center" wrapText="1" indent="1"/>
    </xf>
    <xf numFmtId="0" fontId="37" fillId="0" borderId="0" xfId="0" applyFont="1" applyAlignment="1">
      <alignment horizontal="left" vertical="center" wrapText="1" indent="1"/>
    </xf>
    <xf numFmtId="0" fontId="37" fillId="0" borderId="70" xfId="0" applyFont="1" applyBorder="1" applyAlignment="1">
      <alignment horizontal="left" vertical="center" wrapText="1" indent="1"/>
    </xf>
    <xf numFmtId="0" fontId="37" fillId="0" borderId="65" xfId="0" applyFont="1" applyBorder="1" applyAlignment="1">
      <alignment horizontal="left" vertical="center" wrapText="1" indent="1"/>
    </xf>
    <xf numFmtId="0" fontId="37" fillId="0" borderId="66" xfId="0" applyFont="1" applyBorder="1" applyAlignment="1">
      <alignment horizontal="left" vertical="center" wrapText="1" indent="1"/>
    </xf>
    <xf numFmtId="0" fontId="37" fillId="0" borderId="67" xfId="0" applyFont="1" applyBorder="1" applyAlignment="1">
      <alignment horizontal="left" vertical="center" wrapText="1" indent="1"/>
    </xf>
    <xf numFmtId="176" fontId="72" fillId="0" borderId="0" xfId="48" quotePrefix="1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92" fillId="0" borderId="79" xfId="140" applyFont="1" applyBorder="1" applyAlignment="1" applyProtection="1">
      <alignment horizontal="left" vertical="center" wrapText="1" indent="1"/>
      <protection hidden="1"/>
    </xf>
    <xf numFmtId="0" fontId="93" fillId="0" borderId="72" xfId="0" applyFont="1" applyBorder="1" applyAlignment="1">
      <alignment horizontal="left" vertical="center" wrapText="1" indent="1"/>
    </xf>
    <xf numFmtId="0" fontId="93" fillId="0" borderId="80" xfId="0" applyFont="1" applyBorder="1" applyAlignment="1">
      <alignment horizontal="left" vertical="center" wrapText="1" indent="1"/>
    </xf>
    <xf numFmtId="0" fontId="93" fillId="0" borderId="59" xfId="0" applyFont="1" applyBorder="1" applyAlignment="1">
      <alignment horizontal="left" vertical="center" wrapText="1" indent="1"/>
    </xf>
    <xf numFmtId="0" fontId="93" fillId="0" borderId="0" xfId="0" applyFont="1" applyAlignment="1">
      <alignment horizontal="left" vertical="center" wrapText="1" indent="1"/>
    </xf>
    <xf numFmtId="0" fontId="93" fillId="0" borderId="60" xfId="0" applyFont="1" applyBorder="1" applyAlignment="1">
      <alignment horizontal="left" vertical="center" wrapText="1" indent="1"/>
    </xf>
    <xf numFmtId="0" fontId="93" fillId="0" borderId="56" xfId="0" applyFont="1" applyBorder="1" applyAlignment="1">
      <alignment horizontal="left" vertical="center" wrapText="1" indent="1"/>
    </xf>
    <xf numFmtId="0" fontId="93" fillId="0" borderId="57" xfId="0" applyFont="1" applyBorder="1" applyAlignment="1">
      <alignment horizontal="left" vertical="center" wrapText="1" indent="1"/>
    </xf>
    <xf numFmtId="0" fontId="93" fillId="0" borderId="58" xfId="0" applyFont="1" applyBorder="1" applyAlignment="1">
      <alignment horizontal="left" vertical="center" wrapText="1" indent="1"/>
    </xf>
    <xf numFmtId="0" fontId="74" fillId="39" borderId="114" xfId="19" applyNumberFormat="1" applyFont="1" applyFill="1" applyBorder="1" applyAlignment="1" applyProtection="1">
      <alignment horizontal="right" vertical="center" indent="1"/>
      <protection locked="0"/>
    </xf>
    <xf numFmtId="0" fontId="0" fillId="39" borderId="115" xfId="0" applyFill="1" applyBorder="1" applyAlignment="1">
      <alignment horizontal="right" vertical="center" indent="1"/>
    </xf>
    <xf numFmtId="0" fontId="0" fillId="39" borderId="116" xfId="0" applyFill="1" applyBorder="1" applyAlignment="1">
      <alignment horizontal="right" vertical="center" indent="1"/>
    </xf>
    <xf numFmtId="0" fontId="70" fillId="0" borderId="0" xfId="55" applyNumberFormat="1" applyFont="1" applyFill="1" applyBorder="1" applyAlignment="1" applyProtection="1">
      <alignment horizontal="center" vertical="center"/>
      <protection locked="0"/>
    </xf>
    <xf numFmtId="0" fontId="74" fillId="39" borderId="84" xfId="19" applyFont="1" applyFill="1" applyBorder="1" applyAlignment="1" applyProtection="1">
      <alignment horizontal="left" vertical="center" indent="2"/>
      <protection locked="0"/>
    </xf>
    <xf numFmtId="0" fontId="0" fillId="39" borderId="85" xfId="0" applyFill="1" applyBorder="1" applyAlignment="1">
      <alignment horizontal="left" vertical="center" indent="2"/>
    </xf>
    <xf numFmtId="0" fontId="0" fillId="39" borderId="86" xfId="0" applyFill="1" applyBorder="1" applyAlignment="1">
      <alignment horizontal="left" vertical="center" indent="2"/>
    </xf>
    <xf numFmtId="0" fontId="74" fillId="39" borderId="84" xfId="19" applyNumberFormat="1" applyFont="1" applyFill="1" applyBorder="1" applyAlignment="1" applyProtection="1">
      <alignment horizontal="left" vertical="center" indent="2"/>
      <protection locked="0"/>
    </xf>
    <xf numFmtId="0" fontId="74" fillId="39" borderId="85" xfId="19" applyNumberFormat="1" applyFont="1" applyFill="1" applyBorder="1" applyAlignment="1" applyProtection="1">
      <alignment horizontal="left" vertical="center" indent="2"/>
      <protection locked="0"/>
    </xf>
    <xf numFmtId="0" fontId="74" fillId="39" borderId="86" xfId="19" applyNumberFormat="1" applyFont="1" applyFill="1" applyBorder="1" applyAlignment="1" applyProtection="1">
      <alignment horizontal="left" vertical="center" indent="2"/>
      <protection locked="0"/>
    </xf>
    <xf numFmtId="0" fontId="69" fillId="41" borderId="114" xfId="0" applyFont="1" applyFill="1" applyBorder="1" applyAlignment="1" applyProtection="1">
      <alignment horizontal="center" vertical="center"/>
      <protection locked="0"/>
    </xf>
    <xf numFmtId="0" fontId="69" fillId="41" borderId="115" xfId="0" applyFont="1" applyFill="1" applyBorder="1" applyAlignment="1" applyProtection="1">
      <alignment horizontal="center" vertical="center"/>
      <protection locked="0"/>
    </xf>
    <xf numFmtId="0" fontId="69" fillId="41" borderId="116" xfId="0" applyFont="1" applyFill="1" applyBorder="1" applyAlignment="1" applyProtection="1">
      <alignment horizontal="center" vertical="center"/>
      <protection locked="0"/>
    </xf>
    <xf numFmtId="0" fontId="74" fillId="39" borderId="84" xfId="19" applyNumberFormat="1" applyFont="1" applyFill="1" applyBorder="1" applyAlignment="1" applyProtection="1">
      <alignment horizontal="left" indent="2"/>
      <protection locked="0"/>
    </xf>
    <xf numFmtId="0" fontId="74" fillId="39" borderId="85" xfId="19" applyNumberFormat="1" applyFont="1" applyFill="1" applyBorder="1" applyAlignment="1" applyProtection="1">
      <alignment horizontal="left" indent="2"/>
      <protection locked="0"/>
    </xf>
    <xf numFmtId="0" fontId="74" fillId="39" borderId="86" xfId="19" applyNumberFormat="1" applyFont="1" applyFill="1" applyBorder="1" applyAlignment="1" applyProtection="1">
      <alignment horizontal="left" indent="2"/>
      <protection locked="0"/>
    </xf>
    <xf numFmtId="0" fontId="72" fillId="39" borderId="120" xfId="0" applyFont="1" applyFill="1" applyBorder="1" applyAlignment="1" applyProtection="1">
      <alignment horizontal="center" vertical="center"/>
      <protection locked="0"/>
    </xf>
    <xf numFmtId="0" fontId="72" fillId="39" borderId="121" xfId="0" applyFont="1" applyFill="1" applyBorder="1" applyAlignment="1" applyProtection="1">
      <alignment horizontal="center" vertical="center"/>
      <protection locked="0"/>
    </xf>
    <xf numFmtId="0" fontId="72" fillId="39" borderId="122" xfId="0" applyFont="1" applyFill="1" applyBorder="1" applyAlignment="1" applyProtection="1">
      <alignment horizontal="center" vertical="center"/>
      <protection locked="0"/>
    </xf>
    <xf numFmtId="0" fontId="74" fillId="39" borderId="114" xfId="19" applyFont="1" applyFill="1" applyBorder="1" applyAlignment="1" applyProtection="1">
      <alignment horizontal="left" vertical="center" indent="2"/>
      <protection locked="0"/>
    </xf>
    <xf numFmtId="0" fontId="74" fillId="39" borderId="115" xfId="19" applyFont="1" applyFill="1" applyBorder="1" applyAlignment="1" applyProtection="1">
      <alignment horizontal="left" vertical="center" indent="2"/>
      <protection locked="0"/>
    </xf>
    <xf numFmtId="0" fontId="74" fillId="39" borderId="116" xfId="19" applyFont="1" applyFill="1" applyBorder="1" applyAlignment="1" applyProtection="1">
      <alignment horizontal="left" vertical="center" indent="2"/>
      <protection locked="0"/>
    </xf>
    <xf numFmtId="0" fontId="74" fillId="39" borderId="113" xfId="19" applyNumberFormat="1" applyFont="1" applyFill="1" applyBorder="1" applyAlignment="1" applyProtection="1">
      <alignment horizontal="left" vertical="center" indent="2"/>
      <protection locked="0"/>
    </xf>
    <xf numFmtId="0" fontId="35" fillId="0" borderId="25" xfId="0" applyFont="1" applyFill="1" applyBorder="1" applyAlignment="1">
      <alignment horizontal="left" vertical="center" wrapText="1" indent="1"/>
    </xf>
    <xf numFmtId="0" fontId="35" fillId="0" borderId="49" xfId="0" applyFont="1" applyFill="1" applyBorder="1" applyAlignment="1">
      <alignment horizontal="left" vertical="center" wrapText="1" indent="1"/>
    </xf>
    <xf numFmtId="0" fontId="35" fillId="0" borderId="50" xfId="0" applyFont="1" applyFill="1" applyBorder="1" applyAlignment="1">
      <alignment horizontal="left" vertical="center" wrapText="1" indent="1"/>
    </xf>
    <xf numFmtId="0" fontId="35" fillId="0" borderId="25" xfId="0" applyFont="1" applyFill="1" applyBorder="1" applyAlignment="1">
      <alignment horizontal="left" vertical="center" indent="1"/>
    </xf>
    <xf numFmtId="0" fontId="35" fillId="0" borderId="49" xfId="0" applyFont="1" applyFill="1" applyBorder="1" applyAlignment="1">
      <alignment horizontal="left" vertical="center" indent="1"/>
    </xf>
    <xf numFmtId="0" fontId="35" fillId="0" borderId="50" xfId="0" applyFont="1" applyFill="1" applyBorder="1" applyAlignment="1">
      <alignment horizontal="left" vertical="center" indent="1"/>
    </xf>
    <xf numFmtId="14" fontId="35" fillId="0" borderId="84" xfId="0" quotePrefix="1" applyNumberFormat="1" applyFont="1" applyFill="1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49" fillId="29" borderId="29" xfId="0" applyFont="1" applyFill="1" applyBorder="1" applyAlignment="1">
      <alignment horizontal="center" vertical="center"/>
    </xf>
    <xf numFmtId="0" fontId="49" fillId="29" borderId="19" xfId="0" applyFont="1" applyFill="1" applyBorder="1" applyAlignment="1">
      <alignment horizontal="center" vertical="center"/>
    </xf>
    <xf numFmtId="0" fontId="49" fillId="29" borderId="20" xfId="0" applyFont="1" applyFill="1" applyBorder="1" applyAlignment="1">
      <alignment horizontal="center" vertical="center"/>
    </xf>
    <xf numFmtId="0" fontId="49" fillId="29" borderId="31" xfId="0" applyFont="1" applyFill="1" applyBorder="1" applyAlignment="1">
      <alignment horizontal="center" vertical="center"/>
    </xf>
    <xf numFmtId="0" fontId="49" fillId="29" borderId="22" xfId="0" applyFont="1" applyFill="1" applyBorder="1" applyAlignment="1">
      <alignment horizontal="center" vertical="center"/>
    </xf>
    <xf numFmtId="0" fontId="49" fillId="29" borderId="23" xfId="0" applyFont="1" applyFill="1" applyBorder="1" applyAlignment="1">
      <alignment horizontal="center" vertical="center"/>
    </xf>
    <xf numFmtId="0" fontId="50" fillId="29" borderId="51" xfId="0" applyFont="1" applyFill="1" applyBorder="1" applyAlignment="1">
      <alignment horizontal="center" vertical="center"/>
    </xf>
    <xf numFmtId="0" fontId="51" fillId="0" borderId="52" xfId="0" applyFont="1" applyBorder="1" applyAlignment="1">
      <alignment horizontal="center" vertical="center"/>
    </xf>
    <xf numFmtId="0" fontId="51" fillId="0" borderId="53" xfId="0" applyFont="1" applyBorder="1" applyAlignment="1">
      <alignment horizontal="center" vertical="center"/>
    </xf>
    <xf numFmtId="0" fontId="36" fillId="29" borderId="29" xfId="0" applyFont="1" applyFill="1" applyBorder="1" applyAlignment="1"/>
    <xf numFmtId="0" fontId="37" fillId="29" borderId="19" xfId="0" applyFont="1" applyFill="1" applyBorder="1" applyAlignment="1"/>
    <xf numFmtId="0" fontId="37" fillId="29" borderId="20" xfId="0" applyFont="1" applyFill="1" applyBorder="1" applyAlignment="1"/>
    <xf numFmtId="0" fontId="32" fillId="29" borderId="25" xfId="0" applyFont="1" applyFill="1" applyBorder="1" applyAlignment="1">
      <alignment horizontal="center" vertical="center"/>
    </xf>
    <xf numFmtId="0" fontId="39" fillId="29" borderId="49" xfId="0" applyFont="1" applyFill="1" applyBorder="1" applyAlignment="1">
      <alignment horizontal="center" vertical="center"/>
    </xf>
    <xf numFmtId="0" fontId="39" fillId="29" borderId="50" xfId="0" applyFont="1" applyFill="1" applyBorder="1" applyAlignment="1">
      <alignment horizontal="center" vertical="center"/>
    </xf>
    <xf numFmtId="0" fontId="31" fillId="29" borderId="25" xfId="0" applyFont="1" applyFill="1" applyBorder="1" applyAlignment="1">
      <alignment horizontal="center" vertical="center"/>
    </xf>
    <xf numFmtId="0" fontId="31" fillId="29" borderId="49" xfId="0" applyFont="1" applyFill="1" applyBorder="1" applyAlignment="1">
      <alignment horizontal="center" vertical="center"/>
    </xf>
    <xf numFmtId="0" fontId="31" fillId="29" borderId="50" xfId="0" applyFont="1" applyFill="1" applyBorder="1" applyAlignment="1">
      <alignment horizontal="center" vertical="center"/>
    </xf>
    <xf numFmtId="14" fontId="47" fillId="32" borderId="29" xfId="0" applyNumberFormat="1" applyFont="1" applyFill="1" applyBorder="1" applyAlignment="1">
      <alignment horizontal="center" vertical="center"/>
    </xf>
    <xf numFmtId="0" fontId="47" fillId="32" borderId="19" xfId="0" applyFont="1" applyFill="1" applyBorder="1" applyAlignment="1">
      <alignment horizontal="center" vertical="center"/>
    </xf>
    <xf numFmtId="0" fontId="47" fillId="32" borderId="20" xfId="0" applyFont="1" applyFill="1" applyBorder="1" applyAlignment="1">
      <alignment horizontal="center" vertical="center"/>
    </xf>
    <xf numFmtId="0" fontId="47" fillId="32" borderId="31" xfId="0" applyFont="1" applyFill="1" applyBorder="1" applyAlignment="1">
      <alignment horizontal="center" vertical="center"/>
    </xf>
    <xf numFmtId="0" fontId="47" fillId="32" borderId="22" xfId="0" applyFont="1" applyFill="1" applyBorder="1" applyAlignment="1">
      <alignment horizontal="center" vertical="center"/>
    </xf>
    <xf numFmtId="0" fontId="47" fillId="32" borderId="23" xfId="0" applyFont="1" applyFill="1" applyBorder="1" applyAlignment="1">
      <alignment horizontal="center" vertical="center"/>
    </xf>
    <xf numFmtId="0" fontId="46" fillId="31" borderId="29" xfId="0" applyNumberFormat="1" applyFont="1" applyFill="1" applyBorder="1" applyAlignment="1">
      <alignment horizontal="right" vertical="center"/>
    </xf>
    <xf numFmtId="0" fontId="46" fillId="31" borderId="20" xfId="0" applyNumberFormat="1" applyFont="1" applyFill="1" applyBorder="1" applyAlignment="1">
      <alignment horizontal="right" vertical="center"/>
    </xf>
    <xf numFmtId="0" fontId="46" fillId="31" borderId="31" xfId="0" applyNumberFormat="1" applyFont="1" applyFill="1" applyBorder="1" applyAlignment="1">
      <alignment horizontal="right" vertical="center"/>
    </xf>
    <xf numFmtId="0" fontId="46" fillId="31" borderId="23" xfId="0" applyNumberFormat="1" applyFont="1" applyFill="1" applyBorder="1" applyAlignment="1">
      <alignment horizontal="right" vertical="center"/>
    </xf>
    <xf numFmtId="0" fontId="0" fillId="0" borderId="54" xfId="0" applyBorder="1" applyAlignment="1"/>
    <xf numFmtId="0" fontId="0" fillId="0" borderId="55" xfId="0" applyBorder="1" applyAlignment="1"/>
    <xf numFmtId="175" fontId="56" fillId="29" borderId="0" xfId="0" applyNumberFormat="1" applyFont="1" applyFill="1" applyBorder="1" applyAlignment="1">
      <alignment horizontal="left" vertical="center" indent="1"/>
    </xf>
    <xf numFmtId="0" fontId="57" fillId="0" borderId="0" xfId="0" applyFont="1" applyAlignment="1">
      <alignment horizontal="left" vertical="center" indent="1"/>
    </xf>
  </cellXfs>
  <cellStyles count="144">
    <cellStyle name="20 % - Accent1" xfId="1" xr:uid="{00000000-0005-0000-0000-000000000000}"/>
    <cellStyle name="20 % - Accent2" xfId="2" xr:uid="{00000000-0005-0000-0000-000001000000}"/>
    <cellStyle name="20 % - Accent3" xfId="3" xr:uid="{00000000-0005-0000-0000-000002000000}"/>
    <cellStyle name="20 % - Accent4" xfId="4" xr:uid="{00000000-0005-0000-0000-000003000000}"/>
    <cellStyle name="20 % - Accent5" xfId="5" xr:uid="{00000000-0005-0000-0000-000004000000}"/>
    <cellStyle name="20 % - Accent6" xfId="6" xr:uid="{00000000-0005-0000-0000-000005000000}"/>
    <cellStyle name="20% - Accent1" xfId="7" xr:uid="{00000000-0005-0000-0000-000006000000}"/>
    <cellStyle name="20% - Accent2" xfId="8" xr:uid="{00000000-0005-0000-0000-000007000000}"/>
    <cellStyle name="20% - Accent3" xfId="9" xr:uid="{00000000-0005-0000-0000-000008000000}"/>
    <cellStyle name="20% - Accent4" xfId="10" xr:uid="{00000000-0005-0000-0000-000009000000}"/>
    <cellStyle name="20% - Accent5" xfId="11" xr:uid="{00000000-0005-0000-0000-00000A000000}"/>
    <cellStyle name="20% - Accent6" xfId="12" xr:uid="{00000000-0005-0000-0000-00000B000000}"/>
    <cellStyle name="20% - Ênfase1" xfId="13" builtinId="30" customBuiltin="1"/>
    <cellStyle name="20% - Ênfase2" xfId="14" builtinId="34" customBuiltin="1"/>
    <cellStyle name="20% - Ênfase3" xfId="15" builtinId="38" customBuiltin="1"/>
    <cellStyle name="20% - Ênfase4" xfId="16" builtinId="42" customBuiltin="1"/>
    <cellStyle name="20% - Ênfase5" xfId="17" builtinId="46" customBuiltin="1"/>
    <cellStyle name="20% - Ênfase6" xfId="18" builtinId="50" customBuiltin="1"/>
    <cellStyle name="40 % - Accent1" xfId="19" xr:uid="{00000000-0005-0000-0000-000012000000}"/>
    <cellStyle name="40 % - Accent2" xfId="20" xr:uid="{00000000-0005-0000-0000-000013000000}"/>
    <cellStyle name="40 % - Accent3" xfId="21" xr:uid="{00000000-0005-0000-0000-000014000000}"/>
    <cellStyle name="40 % - Accent4" xfId="22" xr:uid="{00000000-0005-0000-0000-000015000000}"/>
    <cellStyle name="40 % - Accent5" xfId="23" xr:uid="{00000000-0005-0000-0000-000016000000}"/>
    <cellStyle name="40 % - Accent6" xfId="24" xr:uid="{00000000-0005-0000-0000-000017000000}"/>
    <cellStyle name="40% - Accent1" xfId="25" xr:uid="{00000000-0005-0000-0000-000018000000}"/>
    <cellStyle name="40% - Accent2" xfId="26" xr:uid="{00000000-0005-0000-0000-000019000000}"/>
    <cellStyle name="40% - Accent3" xfId="27" xr:uid="{00000000-0005-0000-0000-00001A000000}"/>
    <cellStyle name="40% - Accent4" xfId="28" xr:uid="{00000000-0005-0000-0000-00001B000000}"/>
    <cellStyle name="40% - Accent5" xfId="29" xr:uid="{00000000-0005-0000-0000-00001C000000}"/>
    <cellStyle name="40% - Accent6" xfId="30" xr:uid="{00000000-0005-0000-0000-00001D000000}"/>
    <cellStyle name="40% - Ênfase1" xfId="31" builtinId="31" customBuiltin="1"/>
    <cellStyle name="40% - Ênfase2" xfId="32" builtinId="35" customBuiltin="1"/>
    <cellStyle name="40% - Ênfase3" xfId="33" builtinId="39" customBuiltin="1"/>
    <cellStyle name="40% - Ênfase4" xfId="34" builtinId="43" customBuiltin="1"/>
    <cellStyle name="40% - Ênfase5" xfId="35" builtinId="47" customBuiltin="1"/>
    <cellStyle name="40% - Ênfase6" xfId="36" builtinId="51" customBuiltin="1"/>
    <cellStyle name="60 % - Accent1" xfId="37" xr:uid="{00000000-0005-0000-0000-000024000000}"/>
    <cellStyle name="60 % - Accent2" xfId="38" xr:uid="{00000000-0005-0000-0000-000025000000}"/>
    <cellStyle name="60 % - Accent3" xfId="39" xr:uid="{00000000-0005-0000-0000-000026000000}"/>
    <cellStyle name="60 % - Accent4" xfId="40" xr:uid="{00000000-0005-0000-0000-000027000000}"/>
    <cellStyle name="60 % - Accent5" xfId="41" xr:uid="{00000000-0005-0000-0000-000028000000}"/>
    <cellStyle name="60 % - Accent6" xfId="42" xr:uid="{00000000-0005-0000-0000-000029000000}"/>
    <cellStyle name="60% - Accent1" xfId="43" xr:uid="{00000000-0005-0000-0000-00002A000000}"/>
    <cellStyle name="60% - Accent2" xfId="44" xr:uid="{00000000-0005-0000-0000-00002B000000}"/>
    <cellStyle name="60% - Accent3" xfId="45" xr:uid="{00000000-0005-0000-0000-00002C000000}"/>
    <cellStyle name="60% - Accent4" xfId="46" xr:uid="{00000000-0005-0000-0000-00002D000000}"/>
    <cellStyle name="60% - Accent5" xfId="47" xr:uid="{00000000-0005-0000-0000-00002E000000}"/>
    <cellStyle name="60% - Accent6" xfId="48" xr:uid="{00000000-0005-0000-0000-00002F000000}"/>
    <cellStyle name="60% - Ênfase1" xfId="49" builtinId="32" customBuiltin="1"/>
    <cellStyle name="60% - Ênfase2" xfId="50" builtinId="36" customBuiltin="1"/>
    <cellStyle name="60% - Ênfase3" xfId="51" builtinId="40" customBuiltin="1"/>
    <cellStyle name="60% - Ênfase4" xfId="52" builtinId="44" customBuiltin="1"/>
    <cellStyle name="60% - Ênfase5" xfId="53" builtinId="48" customBuiltin="1"/>
    <cellStyle name="60% - Ênfase6" xfId="54" builtinId="52" customBuiltin="1"/>
    <cellStyle name="Accent1" xfId="55" xr:uid="{00000000-0005-0000-0000-000036000000}"/>
    <cellStyle name="Accent2" xfId="56" xr:uid="{00000000-0005-0000-0000-000037000000}"/>
    <cellStyle name="Accent3" xfId="57" xr:uid="{00000000-0005-0000-0000-000038000000}"/>
    <cellStyle name="Accent4" xfId="58" xr:uid="{00000000-0005-0000-0000-000039000000}"/>
    <cellStyle name="Accent5" xfId="59" xr:uid="{00000000-0005-0000-0000-00003A000000}"/>
    <cellStyle name="Accent6" xfId="60" xr:uid="{00000000-0005-0000-0000-00003B000000}"/>
    <cellStyle name="Array" xfId="61" xr:uid="{00000000-0005-0000-0000-00003C000000}"/>
    <cellStyle name="Array Enter" xfId="62" xr:uid="{00000000-0005-0000-0000-00003D000000}"/>
    <cellStyle name="Avertissement" xfId="63" xr:uid="{00000000-0005-0000-0000-00003E000000}"/>
    <cellStyle name="Background" xfId="64" xr:uid="{00000000-0005-0000-0000-00003F000000}"/>
    <cellStyle name="Bad" xfId="65" xr:uid="{00000000-0005-0000-0000-000040000000}"/>
    <cellStyle name="Bom" xfId="66" builtinId="26" customBuiltin="1"/>
    <cellStyle name="Calcul" xfId="67" xr:uid="{00000000-0005-0000-0000-000042000000}"/>
    <cellStyle name="Calculation" xfId="68" xr:uid="{00000000-0005-0000-0000-000043000000}"/>
    <cellStyle name="Cálculo" xfId="69" builtinId="22" customBuiltin="1"/>
    <cellStyle name="Cellule liée" xfId="70" xr:uid="{00000000-0005-0000-0000-000045000000}"/>
    <cellStyle name="Célula de Verificação" xfId="71" builtinId="23" customBuiltin="1"/>
    <cellStyle name="Célula Vinculada" xfId="72" builtinId="24" customBuiltin="1"/>
    <cellStyle name="Check Cell" xfId="73" xr:uid="{00000000-0005-0000-0000-000048000000}"/>
    <cellStyle name="Comma [0]_MMAMACRO" xfId="74" xr:uid="{00000000-0005-0000-0000-000049000000}"/>
    <cellStyle name="Comma_MMAMACRO" xfId="75" xr:uid="{00000000-0005-0000-0000-00004A000000}"/>
    <cellStyle name="Commentaire" xfId="76" xr:uid="{00000000-0005-0000-0000-00004B000000}"/>
    <cellStyle name="Currency [0]_MMAMACRO" xfId="77" xr:uid="{00000000-0005-0000-0000-00004C000000}"/>
    <cellStyle name="Currency_laroux" xfId="78" xr:uid="{00000000-0005-0000-0000-00004D000000}"/>
    <cellStyle name="DateCells" xfId="79" xr:uid="{00000000-0005-0000-0000-00004E000000}"/>
    <cellStyle name="DayNames" xfId="80" xr:uid="{00000000-0005-0000-0000-00004F000000}"/>
    <cellStyle name="Ênfase1" xfId="81" builtinId="29" customBuiltin="1"/>
    <cellStyle name="Ênfase2" xfId="82" builtinId="33" customBuiltin="1"/>
    <cellStyle name="Ênfase3" xfId="83" builtinId="37" customBuiltin="1"/>
    <cellStyle name="Ênfase4" xfId="84" builtinId="41" customBuiltin="1"/>
    <cellStyle name="Ênfase5" xfId="85" builtinId="45" customBuiltin="1"/>
    <cellStyle name="Ênfase6" xfId="86" builtinId="49" customBuiltin="1"/>
    <cellStyle name="Entrada" xfId="87" builtinId="20" customBuiltin="1"/>
    <cellStyle name="Entrée" xfId="88" xr:uid="{00000000-0005-0000-0000-000057000000}"/>
    <cellStyle name="Explanatory Text" xfId="89" xr:uid="{00000000-0005-0000-0000-000058000000}"/>
    <cellStyle name="Followed Hyperlink" xfId="90" xr:uid="{00000000-0005-0000-0000-000059000000}"/>
    <cellStyle name="Good" xfId="91" xr:uid="{00000000-0005-0000-0000-00005A000000}"/>
    <cellStyle name="Heading 1" xfId="92" xr:uid="{00000000-0005-0000-0000-00005B000000}"/>
    <cellStyle name="Heading 2" xfId="93" xr:uid="{00000000-0005-0000-0000-00005C000000}"/>
    <cellStyle name="Heading 3" xfId="94" xr:uid="{00000000-0005-0000-0000-00005D000000}"/>
    <cellStyle name="Heading 4" xfId="95" xr:uid="{00000000-0005-0000-0000-00005E000000}"/>
    <cellStyle name="Hiperlink" xfId="96" builtinId="8"/>
    <cellStyle name="Input" xfId="98" xr:uid="{00000000-0005-0000-0000-000061000000}"/>
    <cellStyle name="Insatisfaisant" xfId="99" xr:uid="{00000000-0005-0000-0000-000062000000}"/>
    <cellStyle name="Linked Cell" xfId="100" xr:uid="{00000000-0005-0000-0000-000063000000}"/>
    <cellStyle name="MacroCode" xfId="101" xr:uid="{00000000-0005-0000-0000-000064000000}"/>
    <cellStyle name="Moeda 2" xfId="141" xr:uid="{00000000-0005-0000-0000-000065000000}"/>
    <cellStyle name="MonthHeader" xfId="102" xr:uid="{00000000-0005-0000-0000-000066000000}"/>
    <cellStyle name="Neutral" xfId="104" xr:uid="{00000000-0005-0000-0000-000068000000}"/>
    <cellStyle name="Neutre" xfId="105" xr:uid="{00000000-0005-0000-0000-000069000000}"/>
    <cellStyle name="Neutro" xfId="103" builtinId="28" customBuiltin="1"/>
    <cellStyle name="Normal" xfId="0" builtinId="0"/>
    <cellStyle name="Normal 2" xfId="106" xr:uid="{00000000-0005-0000-0000-00006B000000}"/>
    <cellStyle name="Normal 2 2" xfId="107" xr:uid="{00000000-0005-0000-0000-00006C000000}"/>
    <cellStyle name="Normal 2_Bloco e Agenda" xfId="108" xr:uid="{00000000-0005-0000-0000-00006D000000}"/>
    <cellStyle name="Normal 3" xfId="109" xr:uid="{00000000-0005-0000-0000-00006E000000}"/>
    <cellStyle name="Normal 3 2" xfId="110" xr:uid="{00000000-0005-0000-0000-00006F000000}"/>
    <cellStyle name="Normal 4" xfId="111" xr:uid="{00000000-0005-0000-0000-000070000000}"/>
    <cellStyle name="Normal 5" xfId="112" xr:uid="{00000000-0005-0000-0000-000071000000}"/>
    <cellStyle name="Normal 6" xfId="143" xr:uid="{00000000-0005-0000-0000-000072000000}"/>
    <cellStyle name="Nota" xfId="113" builtinId="10" customBuiltin="1"/>
    <cellStyle name="Note" xfId="114" xr:uid="{00000000-0005-0000-0000-000074000000}"/>
    <cellStyle name="Output" xfId="115" xr:uid="{00000000-0005-0000-0000-000075000000}"/>
    <cellStyle name="Red Text" xfId="116" xr:uid="{00000000-0005-0000-0000-000076000000}"/>
    <cellStyle name="Ruim" xfId="97" builtinId="27" customBuiltin="1"/>
    <cellStyle name="Saída" xfId="117" builtinId="21" customBuiltin="1"/>
    <cellStyle name="Satisfaisant" xfId="118" xr:uid="{00000000-0005-0000-0000-000078000000}"/>
    <cellStyle name="Sortie" xfId="119" xr:uid="{00000000-0005-0000-0000-000079000000}"/>
    <cellStyle name="Standard_Anpassen der Amortisation" xfId="120" xr:uid="{00000000-0005-0000-0000-00007A000000}"/>
    <cellStyle name="Texte explicatif" xfId="121" xr:uid="{00000000-0005-0000-0000-00007B000000}"/>
    <cellStyle name="Texto de Aviso" xfId="122" builtinId="11" customBuiltin="1"/>
    <cellStyle name="Texto Explicativo" xfId="123" builtinId="53" customBuiltin="1"/>
    <cellStyle name="Title" xfId="124" xr:uid="{00000000-0005-0000-0000-00007E000000}"/>
    <cellStyle name="Titre" xfId="125" xr:uid="{00000000-0005-0000-0000-00007F000000}"/>
    <cellStyle name="Titre 1" xfId="126" xr:uid="{00000000-0005-0000-0000-000080000000}"/>
    <cellStyle name="Titre 2" xfId="127" xr:uid="{00000000-0005-0000-0000-000081000000}"/>
    <cellStyle name="Titre 3" xfId="128" xr:uid="{00000000-0005-0000-0000-000082000000}"/>
    <cellStyle name="Titre 4" xfId="129" xr:uid="{00000000-0005-0000-0000-000083000000}"/>
    <cellStyle name="Título" xfId="130" builtinId="15" customBuiltin="1"/>
    <cellStyle name="Título 1" xfId="131" builtinId="16" customBuiltin="1"/>
    <cellStyle name="Título 2" xfId="132" builtinId="17" customBuiltin="1"/>
    <cellStyle name="Título 3" xfId="133" builtinId="18" customBuiltin="1"/>
    <cellStyle name="Título 4" xfId="134" builtinId="19" customBuiltin="1"/>
    <cellStyle name="TopGrey" xfId="135" xr:uid="{00000000-0005-0000-0000-000089000000}"/>
    <cellStyle name="Total" xfId="136" builtinId="25" customBuiltin="1"/>
    <cellStyle name="Vérification" xfId="137" xr:uid="{00000000-0005-0000-0000-00008B000000}"/>
    <cellStyle name="Vírgula 2" xfId="142" xr:uid="{00000000-0005-0000-0000-00008C000000}"/>
    <cellStyle name="Währung [0]_Compiling Utility Macros" xfId="138" xr:uid="{00000000-0005-0000-0000-00008D000000}"/>
    <cellStyle name="Währung_Compiling Utility Macros" xfId="139" xr:uid="{00000000-0005-0000-0000-00008E000000}"/>
    <cellStyle name="Warning Text" xfId="140" xr:uid="{00000000-0005-0000-0000-00008F000000}"/>
  </cellStyles>
  <dxfs count="19">
    <dxf>
      <fill>
        <gradientFill degree="90">
          <stop position="0">
            <color rgb="FFFFC000"/>
          </stop>
          <stop position="1">
            <color theme="8" tint="0.59999389629810485"/>
          </stop>
        </gradientFill>
      </fill>
    </dxf>
    <dxf>
      <font>
        <b/>
        <i val="0"/>
        <condense val="0"/>
        <extend val="0"/>
        <color indexed="16"/>
      </font>
      <fill>
        <patternFill>
          <bgColor indexed="4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ont>
        <condense val="0"/>
        <extend val="0"/>
        <color indexed="44"/>
      </font>
      <fill>
        <patternFill>
          <bgColor indexed="44"/>
        </patternFill>
      </fill>
    </dxf>
    <dxf>
      <fill>
        <gradientFill degree="90">
          <stop position="0">
            <color rgb="FFFFC000"/>
          </stop>
          <stop position="1">
            <color theme="8" tint="0.59999389629810485"/>
          </stop>
        </gradientFill>
      </fill>
    </dxf>
    <dxf>
      <font>
        <b/>
        <i val="0"/>
        <condense val="0"/>
        <extend val="0"/>
        <color indexed="16"/>
      </font>
      <fill>
        <patternFill>
          <bgColor indexed="4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4"/>
      </font>
    </dxf>
    <dxf>
      <font>
        <condense val="0"/>
        <extend val="0"/>
        <color indexed="44"/>
      </font>
    </dxf>
    <dxf>
      <font>
        <condense val="0"/>
        <extend val="0"/>
        <color indexed="44"/>
      </font>
    </dxf>
    <dxf>
      <font>
        <condense val="0"/>
        <extend val="0"/>
        <color indexed="44"/>
      </font>
    </dxf>
    <dxf>
      <font>
        <condense val="0"/>
        <extend val="0"/>
        <color indexed="44"/>
      </font>
    </dxf>
    <dxf>
      <font>
        <condense val="0"/>
        <extend val="0"/>
        <color indexed="44"/>
      </font>
    </dxf>
    <dxf>
      <font>
        <condense val="0"/>
        <extend val="0"/>
        <color indexed="44"/>
      </font>
    </dxf>
    <dxf>
      <font>
        <condense val="0"/>
        <extend val="0"/>
        <color indexed="44"/>
      </font>
    </dxf>
    <dxf>
      <font>
        <condense val="0"/>
        <extend val="0"/>
        <color indexed="44"/>
      </font>
    </dxf>
    <dxf>
      <font>
        <condense val="0"/>
        <extend val="0"/>
        <color indexed="44"/>
      </font>
    </dxf>
    <dxf>
      <font>
        <condense val="0"/>
        <extend val="0"/>
        <color indexed="44"/>
      </font>
    </dxf>
    <dxf>
      <font>
        <b/>
        <i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</dxfs>
  <tableStyles count="0" defaultTableStyle="TableStyleMedium2" defaultPivotStyle="PivotStyleLight16"/>
  <colors>
    <mruColors>
      <color rgb="FFFFCC99"/>
      <color rgb="FFC0C0C0"/>
      <color rgb="FF9E7800"/>
      <color rgb="FFCCECFF"/>
      <color rgb="FFF5DBCB"/>
      <color rgb="FF0066CC"/>
      <color rgb="FF99CCFF"/>
      <color rgb="FF6699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fmlaLink="$L$10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Drop" dropStyle="combo" dx="16" fmlaLink="$H$256" fmlaRange="$I$255:$I$257" sel="2" val="0"/>
</file>

<file path=xl/ctrlProps/ctrlProp5.xml><?xml version="1.0" encoding="utf-8"?>
<formControlPr xmlns="http://schemas.microsoft.com/office/spreadsheetml/2009/9/main" objectType="Drop" dropLines="2" dropStyle="combo" dx="16" fmlaLink="$C$161" fmlaRange="$E$161:$E$162" sel="2" val="0"/>
</file>

<file path=xl/ctrlProps/ctrlProp6.xml><?xml version="1.0" encoding="utf-8"?>
<formControlPr xmlns="http://schemas.microsoft.com/office/spreadsheetml/2009/9/main" objectType="CheckBox" checked="Checked" fmlaLink="$E$181" lockText="1"/>
</file>

<file path=xl/ctrlProps/ctrlProp7.xml><?xml version="1.0" encoding="utf-8"?>
<formControlPr xmlns="http://schemas.microsoft.com/office/spreadsheetml/2009/9/main" objectType="Radio" checked="Checked" firstButton="1" fmlaLink="$E$183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CheckBox" checked="Checked" fmlaLink="$C$100" lockText="1"/>
</file>

<file path=xl/ctrlProps/ctrlProp11.xml><?xml version="1.0" encoding="utf-8"?>
<formControlPr xmlns="http://schemas.microsoft.com/office/spreadsheetml/2009/9/main" objectType="CheckBox" checked="Checked" fmlaLink="$C$101" lockText="1"/>
</file>

<file path=xl/ctrlProps/ctrlProp12.xml><?xml version="1.0" encoding="utf-8"?>
<formControlPr xmlns="http://schemas.microsoft.com/office/spreadsheetml/2009/9/main" objectType="CheckBox" fmlaLink="$C$102" lockText="1"/>
</file>

<file path=xl/ctrlProps/ctrlProp13.xml><?xml version="1.0" encoding="utf-8"?>
<formControlPr xmlns="http://schemas.microsoft.com/office/spreadsheetml/2009/9/main" objectType="Spin" dx="16" fmlaLink="$K$3" max="2050" min="1950" page="10" val="2018"/>
</file>

<file path=xl/ctrlProps/ctrlProp14.xml><?xml version="1.0" encoding="utf-8"?>
<formControlPr xmlns="http://schemas.microsoft.com/office/spreadsheetml/2009/9/main" objectType="Spin" dx="16" fmlaLink="$Q$3" max="12" min="1" page="10" val="3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104775</xdr:colOff>
      <xdr:row>15</xdr:row>
      <xdr:rowOff>190500</xdr:rowOff>
    </xdr:from>
    <xdr:to>
      <xdr:col>25</xdr:col>
      <xdr:colOff>600074</xdr:colOff>
      <xdr:row>22</xdr:row>
      <xdr:rowOff>146118</xdr:rowOff>
    </xdr:to>
    <xdr:pic>
      <xdr:nvPicPr>
        <xdr:cNvPr id="14" name="Image 58" descr="Panneaubleu.JP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96575" y="3990975"/>
          <a:ext cx="3543299" cy="14700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</xdr:row>
          <xdr:rowOff>0</xdr:rowOff>
        </xdr:from>
        <xdr:to>
          <xdr:col>12</xdr:col>
          <xdr:colOff>19050</xdr:colOff>
          <xdr:row>10</xdr:row>
          <xdr:rowOff>9525</xdr:rowOff>
        </xdr:to>
        <xdr:sp macro="" textlink="">
          <xdr:nvSpPr>
            <xdr:cNvPr id="17409" name="Group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OPÇÕES DE CÁLCULO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5</xdr:row>
          <xdr:rowOff>219075</xdr:rowOff>
        </xdr:from>
        <xdr:to>
          <xdr:col>10</xdr:col>
          <xdr:colOff>609600</xdr:colOff>
          <xdr:row>7</xdr:row>
          <xdr:rowOff>85725</xdr:rowOff>
        </xdr:to>
        <xdr:sp macro="" textlink="">
          <xdr:nvSpPr>
            <xdr:cNvPr id="17410" name="Option 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99" mc:Ignorable="a14" a14:legacySpreadsheetColorIndex="47"/>
            </a:solidFill>
            <a:ln w="6350">
              <a:solidFill>
                <a:srgbClr val="993300" mc:Ignorable="a14" a14:legacySpreadsheetColorIndex="6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Data da Comunicação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228600</xdr:rowOff>
        </xdr:from>
        <xdr:to>
          <xdr:col>11</xdr:col>
          <xdr:colOff>9525</xdr:colOff>
          <xdr:row>9</xdr:row>
          <xdr:rowOff>95250</xdr:rowOff>
        </xdr:to>
        <xdr:sp macro="" textlink="">
          <xdr:nvSpPr>
            <xdr:cNvPr id="17411" name="Option 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99" mc:Ignorable="a14" a14:legacySpreadsheetColorIndex="47"/>
            </a:solidFill>
            <a:ln w="6350">
              <a:solidFill>
                <a:srgbClr val="993300" mc:Ignorable="a14" a14:legacySpreadsheetColorIndex="6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Projeção do Aviso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10</xdr:row>
          <xdr:rowOff>190500</xdr:rowOff>
        </xdr:from>
        <xdr:to>
          <xdr:col>10</xdr:col>
          <xdr:colOff>457200</xdr:colOff>
          <xdr:row>11</xdr:row>
          <xdr:rowOff>304800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200025</xdr:colOff>
      <xdr:row>22</xdr:row>
      <xdr:rowOff>19050</xdr:rowOff>
    </xdr:from>
    <xdr:to>
      <xdr:col>3</xdr:col>
      <xdr:colOff>301212</xdr:colOff>
      <xdr:row>28</xdr:row>
      <xdr:rowOff>190500</xdr:rowOff>
    </xdr:to>
    <xdr:pic>
      <xdr:nvPicPr>
        <xdr:cNvPr id="6" name="Image 58" descr="Panneaubleu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5334000"/>
          <a:ext cx="2387187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95250</xdr:colOff>
      <xdr:row>15</xdr:row>
      <xdr:rowOff>190500</xdr:rowOff>
    </xdr:from>
    <xdr:to>
      <xdr:col>20</xdr:col>
      <xdr:colOff>47625</xdr:colOff>
      <xdr:row>22</xdr:row>
      <xdr:rowOff>152401</xdr:rowOff>
    </xdr:to>
    <xdr:pic>
      <xdr:nvPicPr>
        <xdr:cNvPr id="7" name="Image 58" descr="Panneaubleu.JP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3990975"/>
          <a:ext cx="3019425" cy="14763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20</xdr:col>
      <xdr:colOff>304800</xdr:colOff>
      <xdr:row>18</xdr:row>
      <xdr:rowOff>114300</xdr:rowOff>
    </xdr:from>
    <xdr:to>
      <xdr:col>25</xdr:col>
      <xdr:colOff>228600</xdr:colOff>
      <xdr:row>22</xdr:row>
      <xdr:rowOff>85725</xdr:rowOff>
    </xdr:to>
    <xdr:sp macro="" textlink="">
      <xdr:nvSpPr>
        <xdr:cNvPr id="8" name="ZoneTexte 2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 rot="10800000" flipV="1">
          <a:off x="10896600" y="4629150"/>
          <a:ext cx="2971800" cy="771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900" b="1" i="0" u="sng" strike="noStrike" baseline="0">
              <a:solidFill>
                <a:srgbClr val="800000"/>
              </a:solidFill>
              <a:latin typeface="Calibri"/>
            </a:rPr>
            <a:t>Observação</a:t>
          </a:r>
          <a:r>
            <a:rPr lang="pt-BR" sz="900" b="0" i="0" u="none" strike="noStrike" baseline="0">
              <a:solidFill>
                <a:srgbClr val="800000"/>
              </a:solidFill>
              <a:latin typeface="Calibri"/>
            </a:rPr>
            <a:t>: a opção de cálculo 2 é a recomendada</a:t>
          </a:r>
        </a:p>
        <a:p>
          <a:pPr algn="l" rtl="0">
            <a:defRPr sz="1000"/>
          </a:pPr>
          <a:r>
            <a:rPr lang="pt-BR" sz="900" b="0" i="0" u="none" strike="noStrike" baseline="0">
              <a:solidFill>
                <a:srgbClr val="800000"/>
              </a:solidFill>
              <a:latin typeface="Calibri"/>
            </a:rPr>
            <a:t>pela Secretaria de Relações do Trabalho, do MTE, cfe.. Nota Técnica nº 184/2012/CGRT/SRT/MTE. É a mais favorável para o</a:t>
          </a:r>
        </a:p>
        <a:p>
          <a:pPr algn="l" rtl="0">
            <a:defRPr sz="1000"/>
          </a:pPr>
          <a:r>
            <a:rPr lang="pt-BR" sz="900" b="0" i="0" u="none" strike="noStrike" baseline="0">
              <a:solidFill>
                <a:srgbClr val="800000"/>
              </a:solidFill>
              <a:latin typeface="Calibri"/>
            </a:rPr>
            <a:t>trabalhador, pois considera o tempo do próprio aviso prévio.</a:t>
          </a:r>
        </a:p>
      </xdr:txBody>
    </xdr:sp>
    <xdr:clientData/>
  </xdr:twoCellAnchor>
  <xdr:twoCellAnchor>
    <xdr:from>
      <xdr:col>14</xdr:col>
      <xdr:colOff>304800</xdr:colOff>
      <xdr:row>18</xdr:row>
      <xdr:rowOff>161925</xdr:rowOff>
    </xdr:from>
    <xdr:to>
      <xdr:col>19</xdr:col>
      <xdr:colOff>257177</xdr:colOff>
      <xdr:row>22</xdr:row>
      <xdr:rowOff>57150</xdr:rowOff>
    </xdr:to>
    <xdr:sp macro="" textlink="">
      <xdr:nvSpPr>
        <xdr:cNvPr id="9" name="ZoneTexte 2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 rot="10800000" flipV="1">
          <a:off x="7829550" y="4676775"/>
          <a:ext cx="2705102" cy="695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900" b="0" i="0" u="none" strike="noStrike" baseline="0">
              <a:solidFill>
                <a:srgbClr val="800000"/>
              </a:solidFill>
              <a:latin typeface="Calibri"/>
            </a:rPr>
            <a:t>Posteriormente, a Nota Técnica Conjunta SIT/SRT</a:t>
          </a:r>
        </a:p>
        <a:p>
          <a:pPr algn="l" rtl="0">
            <a:defRPr sz="1000"/>
          </a:pPr>
          <a:r>
            <a:rPr lang="pt-BR" sz="900" b="0" i="0" u="none" strike="noStrike" baseline="0">
              <a:solidFill>
                <a:srgbClr val="800000"/>
              </a:solidFill>
              <a:latin typeface="Calibri"/>
            </a:rPr>
            <a:t>01/2012  </a:t>
          </a:r>
          <a:r>
            <a:rPr lang="pt-BR" sz="900" b="1" i="0" u="none" strike="noStrike" baseline="0">
              <a:solidFill>
                <a:srgbClr val="800000"/>
              </a:solidFill>
              <a:latin typeface="Calibri"/>
            </a:rPr>
            <a:t>recomendou a </a:t>
          </a:r>
          <a:r>
            <a:rPr lang="pt-BR" sz="900" b="0" i="0" u="none" strike="noStrike" baseline="0">
              <a:solidFill>
                <a:srgbClr val="800000"/>
              </a:solidFill>
              <a:latin typeface="Calibri"/>
            </a:rPr>
            <a:t>opção de cálculo 1. De acordo com esta opção, o cálculo é realizado com base no tempo de serviço na data da comunicação do aviso prévio.          </a:t>
          </a:r>
        </a:p>
      </xdr:txBody>
    </xdr:sp>
    <xdr:clientData/>
  </xdr:twoCellAnchor>
  <xdr:twoCellAnchor>
    <xdr:from>
      <xdr:col>14</xdr:col>
      <xdr:colOff>124927</xdr:colOff>
      <xdr:row>13</xdr:row>
      <xdr:rowOff>68726</xdr:rowOff>
    </xdr:from>
    <xdr:to>
      <xdr:col>19</xdr:col>
      <xdr:colOff>180973</xdr:colOff>
      <xdr:row>15</xdr:row>
      <xdr:rowOff>152522</xdr:rowOff>
    </xdr:to>
    <xdr:grpSp>
      <xdr:nvGrpSpPr>
        <xdr:cNvPr id="10" name="Group 3676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>
          <a:grpSpLocks/>
        </xdr:cNvGrpSpPr>
      </xdr:nvGrpSpPr>
      <xdr:grpSpPr bwMode="auto">
        <a:xfrm>
          <a:off x="7649677" y="3345326"/>
          <a:ext cx="2808771" cy="607671"/>
          <a:chOff x="619" y="666"/>
          <a:chExt cx="313" cy="80"/>
        </a:xfrm>
      </xdr:grpSpPr>
      <xdr:sp macro="" textlink="">
        <xdr:nvSpPr>
          <xdr:cNvPr id="11" name="Rectangle 85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Arrowheads="1"/>
          </xdr:cNvSpPr>
        </xdr:nvSpPr>
        <xdr:spPr bwMode="auto">
          <a:xfrm>
            <a:off x="622" y="666"/>
            <a:ext cx="303" cy="79"/>
          </a:xfrm>
          <a:prstGeom prst="rect">
            <a:avLst/>
          </a:prstGeom>
          <a:noFill/>
          <a:ln w="9525" algn="ctr">
            <a:solidFill>
              <a:srgbClr val="3232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pic>
        <xdr:nvPicPr>
          <xdr:cNvPr id="12" name="Image 113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6475"/>
          <a:stretch>
            <a:fillRect/>
          </a:stretch>
        </xdr:blipFill>
        <xdr:spPr bwMode="auto">
          <a:xfrm>
            <a:off x="619" y="678"/>
            <a:ext cx="55" cy="5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3" name="Text Box 90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6" y="678"/>
            <a:ext cx="256" cy="6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fr-FR" sz="1000" b="0" i="1" strike="noStrike">
                <a:solidFill>
                  <a:srgbClr val="333333"/>
                </a:solidFill>
                <a:latin typeface="Arial"/>
                <a:cs typeface="Arial"/>
              </a:rPr>
              <a:t>Para</a:t>
            </a:r>
            <a:r>
              <a:rPr lang="fr-FR" sz="1000" b="0" i="1" strike="noStrike" baseline="0">
                <a:solidFill>
                  <a:srgbClr val="333333"/>
                </a:solidFill>
                <a:latin typeface="Arial"/>
                <a:cs typeface="Arial"/>
              </a:rPr>
              <a:t> a planilha funcionar corretamente é necessário habilitar as macros.</a:t>
            </a:r>
            <a:endParaRPr lang="fr-FR" sz="1000" b="0" i="1" strike="noStrike">
              <a:solidFill>
                <a:srgbClr val="333333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fr-FR" sz="1000" b="0" i="1" strike="noStrike">
              <a:solidFill>
                <a:srgbClr val="33333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200025</xdr:colOff>
      <xdr:row>15</xdr:row>
      <xdr:rowOff>238124</xdr:rowOff>
    </xdr:from>
    <xdr:to>
      <xdr:col>5</xdr:col>
      <xdr:colOff>2683</xdr:colOff>
      <xdr:row>21</xdr:row>
      <xdr:rowOff>170839</xdr:rowOff>
    </xdr:to>
    <xdr:grpSp>
      <xdr:nvGrpSpPr>
        <xdr:cNvPr id="15" name="Groupe 59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>
          <a:grpSpLocks/>
        </xdr:cNvGrpSpPr>
      </xdr:nvGrpSpPr>
      <xdr:grpSpPr bwMode="auto">
        <a:xfrm>
          <a:off x="200025" y="4038599"/>
          <a:ext cx="3507883" cy="1247165"/>
          <a:chOff x="5846393" y="5179328"/>
          <a:chExt cx="2797342" cy="1158134"/>
        </a:xfrm>
      </xdr:grpSpPr>
      <xdr:pic>
        <xdr:nvPicPr>
          <xdr:cNvPr id="16" name="Image 58" descr="Panneaubleu.JPG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46393" y="5179328"/>
            <a:ext cx="2797342" cy="11581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7" name="ZoneTexte 23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952731" y="5718875"/>
            <a:ext cx="2681268" cy="557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pt-BR" sz="900" b="1" i="0" u="none" strike="noStrike" baseline="0">
                <a:solidFill>
                  <a:srgbClr val="800000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Dúvidas, sugestões , ou caso encontre alguma incorreção    nos cálculos, encaminhe email para gilberto.braga2000@gmail.com</a:t>
            </a:r>
          </a:p>
        </xdr:txBody>
      </xdr:sp>
    </xdr:grpSp>
    <xdr:clientData/>
  </xdr:twoCellAnchor>
  <xdr:twoCellAnchor>
    <xdr:from>
      <xdr:col>1</xdr:col>
      <xdr:colOff>161925</xdr:colOff>
      <xdr:row>25</xdr:row>
      <xdr:rowOff>152400</xdr:rowOff>
    </xdr:from>
    <xdr:to>
      <xdr:col>3</xdr:col>
      <xdr:colOff>28575</xdr:colOff>
      <xdr:row>28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7675" y="6067425"/>
          <a:ext cx="186690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rgbClr val="C00000"/>
              </a:solidFill>
            </a:rPr>
            <a:t>Para mais informações</a:t>
          </a:r>
          <a:r>
            <a:rPr lang="pt-BR" sz="1000" b="1" baseline="0">
              <a:solidFill>
                <a:srgbClr val="C00000"/>
              </a:solidFill>
            </a:rPr>
            <a:t> acesse caltrab.com</a:t>
          </a:r>
          <a:endParaRPr lang="pt-BR" sz="1000" b="1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20</xdr:col>
      <xdr:colOff>200025</xdr:colOff>
      <xdr:row>2</xdr:row>
      <xdr:rowOff>28575</xdr:rowOff>
    </xdr:from>
    <xdr:to>
      <xdr:col>24</xdr:col>
      <xdr:colOff>152401</xdr:colOff>
      <xdr:row>13</xdr:row>
      <xdr:rowOff>28575</xdr:rowOff>
    </xdr:to>
    <xdr:pic>
      <xdr:nvPicPr>
        <xdr:cNvPr id="19" name="Picture 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  <a:extLst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10791825" y="438150"/>
          <a:ext cx="2390776" cy="2867025"/>
        </a:xfrm>
        <a:prstGeom prst="rect">
          <a:avLst/>
        </a:prstGeom>
        <a:solidFill>
          <a:srgbClr val="6699FF">
            <a:alpha val="37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57</xdr:row>
          <xdr:rowOff>19050</xdr:rowOff>
        </xdr:from>
        <xdr:to>
          <xdr:col>7</xdr:col>
          <xdr:colOff>476250</xdr:colOff>
          <xdr:row>59</xdr:row>
          <xdr:rowOff>47625</xdr:rowOff>
        </xdr:to>
        <xdr:sp macro="" textlink="">
          <xdr:nvSpPr>
            <xdr:cNvPr id="13322" name="Drop Dow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1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15</xdr:col>
      <xdr:colOff>600074</xdr:colOff>
      <xdr:row>41</xdr:row>
      <xdr:rowOff>133348</xdr:rowOff>
    </xdr:from>
    <xdr:to>
      <xdr:col>19</xdr:col>
      <xdr:colOff>419100</xdr:colOff>
      <xdr:row>48</xdr:row>
      <xdr:rowOff>57149</xdr:rowOff>
    </xdr:to>
    <xdr:grpSp>
      <xdr:nvGrpSpPr>
        <xdr:cNvPr id="16" name="Groupe 59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>
          <a:grpSpLocks/>
        </xdr:cNvGrpSpPr>
      </xdr:nvGrpSpPr>
      <xdr:grpSpPr bwMode="auto">
        <a:xfrm>
          <a:off x="11058524" y="9524998"/>
          <a:ext cx="2400301" cy="1295401"/>
          <a:chOff x="5846393" y="5179328"/>
          <a:chExt cx="2871159" cy="1569698"/>
        </a:xfrm>
      </xdr:grpSpPr>
      <xdr:pic>
        <xdr:nvPicPr>
          <xdr:cNvPr id="17" name="Image 58" descr="Panneaubleu.JPG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46393" y="5179328"/>
            <a:ext cx="2797342" cy="11581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8" name="ZoneTexte 23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926149" y="5687776"/>
            <a:ext cx="2791403" cy="106125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pt-BR" sz="900" b="0" i="0" u="none" strike="noStrike" baseline="0">
                <a:solidFill>
                  <a:srgbClr val="800000"/>
                </a:solidFill>
                <a:latin typeface="Calibri"/>
              </a:rPr>
              <a:t>Dúvidas, sugestões , ou caso encontre alguma incorreção nos cálculos, encaminhe email</a:t>
            </a:r>
          </a:p>
          <a:p>
            <a:pPr algn="l" rtl="0">
              <a:defRPr sz="1000"/>
            </a:pPr>
            <a:r>
              <a:rPr lang="pt-BR" sz="900" b="0" i="0" u="none" strike="noStrike" baseline="0">
                <a:solidFill>
                  <a:srgbClr val="800000"/>
                </a:solidFill>
                <a:latin typeface="Calibri"/>
              </a:rPr>
              <a:t>para gilberto.braga2000@gmail.com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12</xdr:row>
          <xdr:rowOff>9525</xdr:rowOff>
        </xdr:from>
        <xdr:to>
          <xdr:col>12</xdr:col>
          <xdr:colOff>152400</xdr:colOff>
          <xdr:row>12</xdr:row>
          <xdr:rowOff>228600</xdr:rowOff>
        </xdr:to>
        <xdr:sp macro="" textlink="">
          <xdr:nvSpPr>
            <xdr:cNvPr id="13335" name="Check Box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1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 w="6350">
              <a:solidFill>
                <a:srgbClr val="3366FF" mc:Ignorable="a14" a14:legacySpreadsheetColorIndex="48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38100</xdr:rowOff>
        </xdr:from>
        <xdr:to>
          <xdr:col>18</xdr:col>
          <xdr:colOff>476250</xdr:colOff>
          <xdr:row>10</xdr:row>
          <xdr:rowOff>47625</xdr:rowOff>
        </xdr:to>
        <xdr:sp macro="" textlink="">
          <xdr:nvSpPr>
            <xdr:cNvPr id="13336" name="Botão de opção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1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99CCFF" mc:Ignorable="a14" a14:legacySpreadsheetColorIndex="4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Sempre dividir por 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10</xdr:row>
          <xdr:rowOff>133350</xdr:rowOff>
        </xdr:from>
        <xdr:to>
          <xdr:col>18</xdr:col>
          <xdr:colOff>485775</xdr:colOff>
          <xdr:row>11</xdr:row>
          <xdr:rowOff>295275</xdr:rowOff>
        </xdr:to>
        <xdr:sp macro="" textlink="">
          <xdr:nvSpPr>
            <xdr:cNvPr id="13337" name="Botão de opção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1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 w="6350">
              <a:solidFill>
                <a:srgbClr val="99CCFF" mc:Ignorable="a14" a14:legacySpreadsheetColorIndex="4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28 / 29 / 30 ou 31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514349</xdr:colOff>
      <xdr:row>39</xdr:row>
      <xdr:rowOff>0</xdr:rowOff>
    </xdr:from>
    <xdr:to>
      <xdr:col>4</xdr:col>
      <xdr:colOff>666749</xdr:colOff>
      <xdr:row>44</xdr:row>
      <xdr:rowOff>47625</xdr:rowOff>
    </xdr:to>
    <xdr:sp macro="" textlink="">
      <xdr:nvSpPr>
        <xdr:cNvPr id="11" name="Seta para a direita 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819149" y="7934325"/>
          <a:ext cx="1514475" cy="857250"/>
        </a:xfrm>
        <a:prstGeom prst="rightArrow">
          <a:avLst/>
        </a:prstGeom>
        <a:solidFill>
          <a:srgbClr val="0070C0">
            <a:alpha val="90000"/>
          </a:srgbClr>
        </a:solidFill>
        <a:ln cap="rnd">
          <a:solidFill>
            <a:srgbClr val="002060"/>
          </a:solidFill>
        </a:ln>
        <a:effectLst>
          <a:glow rad="228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 extrusionH="76200">
          <a:extrusionClr>
            <a:srgbClr val="00B0F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Calisto MT" panose="02040603050505030304" pitchFamily="18" charset="0"/>
            </a:rPr>
            <a:t>Insira</a:t>
          </a:r>
          <a:r>
            <a:rPr lang="pt-BR" sz="1100" baseline="0">
              <a:latin typeface="Calisto MT" panose="02040603050505030304" pitchFamily="18" charset="0"/>
            </a:rPr>
            <a:t> aqui a data base da categoria</a:t>
          </a:r>
          <a:endParaRPr lang="pt-BR" sz="1100">
            <a:latin typeface="Calisto MT" panose="02040603050505030304" pitchFamily="18" charset="0"/>
          </a:endParaRPr>
        </a:p>
      </xdr:txBody>
    </xdr:sp>
    <xdr:clientData/>
  </xdr:twoCellAnchor>
  <xdr:twoCellAnchor>
    <xdr:from>
      <xdr:col>3</xdr:col>
      <xdr:colOff>0</xdr:colOff>
      <xdr:row>48</xdr:row>
      <xdr:rowOff>19050</xdr:rowOff>
    </xdr:from>
    <xdr:to>
      <xdr:col>4</xdr:col>
      <xdr:colOff>666750</xdr:colOff>
      <xdr:row>53</xdr:row>
      <xdr:rowOff>152400</xdr:rowOff>
    </xdr:to>
    <xdr:sp macro="" textlink="">
      <xdr:nvSpPr>
        <xdr:cNvPr id="13" name="Seta para a direita 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819150" y="9801225"/>
          <a:ext cx="1514475" cy="942975"/>
        </a:xfrm>
        <a:prstGeom prst="rightArrow">
          <a:avLst/>
        </a:prstGeom>
        <a:solidFill>
          <a:srgbClr val="0070C0">
            <a:alpha val="90000"/>
          </a:srgbClr>
        </a:solidFill>
        <a:ln cap="rnd">
          <a:solidFill>
            <a:srgbClr val="002060"/>
          </a:solidFill>
        </a:ln>
        <a:effectLst>
          <a:glow rad="228600">
            <a:schemeClr val="accent4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 extrusionH="76200">
          <a:extrusionClr>
            <a:srgbClr val="00B0F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Calisto MT" panose="02040603050505030304" pitchFamily="18" charset="0"/>
            </a:rPr>
            <a:t>Insira</a:t>
          </a:r>
          <a:r>
            <a:rPr lang="pt-BR" sz="1100" baseline="0">
              <a:latin typeface="Calisto MT" panose="02040603050505030304" pitchFamily="18" charset="0"/>
            </a:rPr>
            <a:t> aqui a data do efetivo pagto.</a:t>
          </a:r>
          <a:endParaRPr lang="pt-BR" sz="1100">
            <a:latin typeface="Calisto MT" panose="0204060305050503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25</xdr:row>
          <xdr:rowOff>0</xdr:rowOff>
        </xdr:from>
        <xdr:to>
          <xdr:col>13</xdr:col>
          <xdr:colOff>85725</xdr:colOff>
          <xdr:row>28</xdr:row>
          <xdr:rowOff>219075</xdr:rowOff>
        </xdr:to>
        <xdr:sp macro="" textlink="">
          <xdr:nvSpPr>
            <xdr:cNvPr id="7169" name="Group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Feriados Móveis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26</xdr:row>
          <xdr:rowOff>9525</xdr:rowOff>
        </xdr:from>
        <xdr:to>
          <xdr:col>12</xdr:col>
          <xdr:colOff>400050</xdr:colOff>
          <xdr:row>26</xdr:row>
          <xdr:rowOff>228600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Sexta-feira Santa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27</xdr:row>
          <xdr:rowOff>9525</xdr:rowOff>
        </xdr:from>
        <xdr:to>
          <xdr:col>12</xdr:col>
          <xdr:colOff>400050</xdr:colOff>
          <xdr:row>27</xdr:row>
          <xdr:rowOff>228600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Corpus Christi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28</xdr:row>
          <xdr:rowOff>0</xdr:rowOff>
        </xdr:from>
        <xdr:to>
          <xdr:col>12</xdr:col>
          <xdr:colOff>523875</xdr:colOff>
          <xdr:row>28</xdr:row>
          <xdr:rowOff>238125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Terça-feira de Carnaval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19050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7176" name="Spinner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19050</xdr:rowOff>
        </xdr:from>
        <xdr:to>
          <xdr:col>17</xdr:col>
          <xdr:colOff>9525</xdr:colOff>
          <xdr:row>4</xdr:row>
          <xdr:rowOff>0</xdr:rowOff>
        </xdr:to>
        <xdr:sp macro="" textlink="">
          <xdr:nvSpPr>
            <xdr:cNvPr id="7177" name="Spinner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ala de Cinza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gilber.braga@bol.com.br" TargetMode="Externa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3.tst.jus.br/jurisprudencia/Sumulas_com_indice/Sumulas_Ind_301_350.html" TargetMode="External"/><Relationship Id="rId13" Type="http://schemas.openxmlformats.org/officeDocument/2006/relationships/hyperlink" Target="http://www3.tst.jus.br/jurisprudencia/OJ_SDI_1/n_s1_001.htm" TargetMode="External"/><Relationship Id="rId3" Type="http://schemas.openxmlformats.org/officeDocument/2006/relationships/hyperlink" Target="http://www.planalto.gov.br/CCIVIL_03/_Ato2011-2014/2011/Lei/L12506.htm" TargetMode="External"/><Relationship Id="rId7" Type="http://schemas.openxmlformats.org/officeDocument/2006/relationships/hyperlink" Target="http://www3.tst.jus.br/jurisprudencia/Sumulas_com_indice/Sumulas_Ind_251_300.html" TargetMode="External"/><Relationship Id="rId12" Type="http://schemas.openxmlformats.org/officeDocument/2006/relationships/hyperlink" Target="http://www3.tst.jus.br/jurisprudencia/Sumulas_com_indice/Sumulas_Ind_401_450.html" TargetMode="External"/><Relationship Id="rId2" Type="http://schemas.openxmlformats.org/officeDocument/2006/relationships/hyperlink" Target="http://www.planalto.gov.br/ccivil_03/Decreto-Lei/Del5452.htm" TargetMode="External"/><Relationship Id="rId1" Type="http://schemas.openxmlformats.org/officeDocument/2006/relationships/hyperlink" Target="http://www.planalto.gov.br/ccivil_03/Constituicao/Constituicao.htm" TargetMode="External"/><Relationship Id="rId6" Type="http://schemas.openxmlformats.org/officeDocument/2006/relationships/hyperlink" Target="http://www3.tst.jus.br/jurisprudencia/Sumulas_com_indice/Sumulas_Ind_201_250.html" TargetMode="External"/><Relationship Id="rId11" Type="http://schemas.openxmlformats.org/officeDocument/2006/relationships/hyperlink" Target="http://www3.tst.jus.br/jurisprudencia/Sumulas_com_indice/Sumulas_Ind_351_400.html" TargetMode="External"/><Relationship Id="rId5" Type="http://schemas.openxmlformats.org/officeDocument/2006/relationships/hyperlink" Target="http://www3.tst.jus.br/jurisprudencia/Sumulas_com_indice/Sumulas_Ind_151_200.html" TargetMode="External"/><Relationship Id="rId15" Type="http://schemas.openxmlformats.org/officeDocument/2006/relationships/hyperlink" Target="http://www3.tst.jus.br/jurisprudencia/OJ_SDI_1/n_s1_361.htm" TargetMode="External"/><Relationship Id="rId10" Type="http://schemas.openxmlformats.org/officeDocument/2006/relationships/hyperlink" Target="http://www3.tst.jus.br/jurisprudencia/Sumulas_com_indice/Sumulas_Ind_351_400.html" TargetMode="External"/><Relationship Id="rId4" Type="http://schemas.openxmlformats.org/officeDocument/2006/relationships/hyperlink" Target="http://www3.tst.jus.br/jurisprudencia/Sumulas_com_indice/Sumulas_Ind_151_200.html" TargetMode="External"/><Relationship Id="rId9" Type="http://schemas.openxmlformats.org/officeDocument/2006/relationships/hyperlink" Target="http://www3.tst.jus.br/jurisprudencia/Sumulas_com_indice/Sumulas_Ind_301_350.html" TargetMode="External"/><Relationship Id="rId14" Type="http://schemas.openxmlformats.org/officeDocument/2006/relationships/hyperlink" Target="http://www3.tst.jus.br/jurisprudencia/OJ_SDI_1/n_s1_081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>
    <tabColor rgb="FF00B0F0"/>
  </sheetPr>
  <dimension ref="A1:BR619"/>
  <sheetViews>
    <sheetView showGridLines="0" workbookViewId="0">
      <selection activeCell="D10" sqref="D10"/>
    </sheetView>
  </sheetViews>
  <sheetFormatPr defaultColWidth="0" defaultRowHeight="12.75" zeroHeight="1"/>
  <cols>
    <col min="1" max="1" width="4.28515625" customWidth="1"/>
    <col min="2" max="2" width="4.7109375" customWidth="1"/>
    <col min="3" max="3" width="25.28515625" customWidth="1"/>
    <col min="4" max="4" width="16.5703125" customWidth="1"/>
    <col min="5" max="5" width="4.7109375" customWidth="1"/>
    <col min="6" max="6" width="4.28515625" customWidth="1"/>
    <col min="7" max="7" width="4.7109375" customWidth="1"/>
    <col min="8" max="8" width="5.7109375" customWidth="1"/>
    <col min="9" max="11" width="9.28515625" customWidth="1"/>
    <col min="12" max="12" width="5.7109375" customWidth="1"/>
    <col min="13" max="13" width="4.7109375" customWidth="1"/>
    <col min="14" max="14" width="4.28515625" customWidth="1"/>
    <col min="15" max="15" width="4.7109375" customWidth="1"/>
    <col min="16" max="19" width="9.140625" customWidth="1"/>
    <col min="20" max="20" width="4.7109375" customWidth="1"/>
    <col min="21" max="26" width="9.140625" customWidth="1"/>
    <col min="27" max="70" width="0" hidden="1" customWidth="1"/>
    <col min="71" max="16384" width="9.140625" hidden="1"/>
  </cols>
  <sheetData>
    <row r="1" spans="2:70" ht="15.75"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46"/>
      <c r="BQ1" s="146"/>
      <c r="BR1" s="146"/>
    </row>
    <row r="2" spans="2:70" ht="16.5" thickBot="1"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</row>
    <row r="3" spans="2:70" ht="17.25" thickTop="1" thickBot="1">
      <c r="B3" s="154"/>
      <c r="C3" s="155"/>
      <c r="D3" s="155"/>
      <c r="E3" s="156"/>
      <c r="F3" s="165"/>
      <c r="G3" s="154"/>
      <c r="H3" s="155"/>
      <c r="I3" s="155"/>
      <c r="J3" s="155"/>
      <c r="K3" s="155"/>
      <c r="L3" s="155"/>
      <c r="M3" s="156"/>
      <c r="N3" s="146"/>
      <c r="O3" s="154"/>
      <c r="P3" s="155"/>
      <c r="Q3" s="155"/>
      <c r="R3" s="155"/>
      <c r="S3" s="155"/>
      <c r="T3" s="15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  <c r="AH3" s="146"/>
      <c r="AI3" s="146"/>
      <c r="AJ3" s="146"/>
      <c r="AK3" s="146"/>
      <c r="AL3" s="146"/>
      <c r="AM3" s="146"/>
      <c r="AN3" s="146"/>
      <c r="AO3" s="146"/>
      <c r="AP3" s="146"/>
      <c r="AQ3" s="146"/>
      <c r="AR3" s="146"/>
      <c r="AS3" s="146"/>
      <c r="AT3" s="146"/>
      <c r="AU3" s="146"/>
      <c r="AV3" s="146"/>
      <c r="AW3" s="146"/>
      <c r="AX3" s="146"/>
      <c r="AY3" s="146"/>
      <c r="AZ3" s="146"/>
      <c r="BA3" s="146"/>
      <c r="BB3" s="146"/>
      <c r="BC3" s="146"/>
      <c r="BD3" s="146"/>
      <c r="BE3" s="146"/>
      <c r="BF3" s="146"/>
      <c r="BG3" s="146"/>
      <c r="BH3" s="146"/>
      <c r="BI3" s="146"/>
      <c r="BJ3" s="146"/>
      <c r="BK3" s="146"/>
      <c r="BL3" s="146"/>
      <c r="BM3" s="146"/>
      <c r="BN3" s="146"/>
      <c r="BO3" s="146"/>
      <c r="BP3" s="146"/>
      <c r="BQ3" s="146"/>
      <c r="BR3" s="146"/>
    </row>
    <row r="4" spans="2:70" ht="24.95" customHeight="1" thickTop="1" thickBot="1">
      <c r="B4" s="157"/>
      <c r="C4" s="366" t="s">
        <v>72</v>
      </c>
      <c r="D4" s="367"/>
      <c r="E4" s="159"/>
      <c r="F4" s="165"/>
      <c r="G4" s="157"/>
      <c r="H4" s="368" t="s">
        <v>77</v>
      </c>
      <c r="I4" s="369"/>
      <c r="J4" s="369"/>
      <c r="K4" s="369"/>
      <c r="L4" s="370"/>
      <c r="M4" s="159"/>
      <c r="N4" s="146"/>
      <c r="O4" s="157"/>
      <c r="P4" s="372" t="s">
        <v>73</v>
      </c>
      <c r="Q4" s="373"/>
      <c r="R4" s="373"/>
      <c r="S4" s="373"/>
      <c r="T4" s="159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/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/>
      <c r="BN4" s="146"/>
      <c r="BO4" s="146"/>
      <c r="BP4" s="146"/>
      <c r="BQ4" s="146"/>
      <c r="BR4" s="146"/>
    </row>
    <row r="5" spans="2:70" ht="17.25" thickTop="1" thickBot="1">
      <c r="B5" s="157"/>
      <c r="C5" s="162"/>
      <c r="D5" s="162"/>
      <c r="E5" s="159"/>
      <c r="F5" s="165"/>
      <c r="G5" s="157"/>
      <c r="H5" s="167"/>
      <c r="I5" s="167"/>
      <c r="J5" s="167"/>
      <c r="K5" s="167"/>
      <c r="L5" s="167"/>
      <c r="M5" s="159"/>
      <c r="N5" s="146"/>
      <c r="O5" s="157"/>
      <c r="P5" s="221"/>
      <c r="Q5" s="221"/>
      <c r="R5" s="221"/>
      <c r="S5" s="221"/>
      <c r="T5" s="159"/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  <c r="AH5" s="146"/>
      <c r="AI5" s="146"/>
      <c r="AJ5" s="146"/>
      <c r="AK5" s="146"/>
      <c r="AL5" s="146"/>
      <c r="AM5" s="146"/>
      <c r="AN5" s="146"/>
      <c r="AO5" s="146"/>
      <c r="AP5" s="146"/>
      <c r="AQ5" s="146"/>
      <c r="AR5" s="146"/>
      <c r="AS5" s="146"/>
      <c r="AT5" s="146"/>
      <c r="AU5" s="146"/>
      <c r="AV5" s="146"/>
      <c r="AW5" s="146"/>
      <c r="AX5" s="146"/>
      <c r="AY5" s="146"/>
      <c r="AZ5" s="146"/>
      <c r="BA5" s="146"/>
      <c r="BB5" s="146"/>
      <c r="BC5" s="146"/>
      <c r="BD5" s="146"/>
      <c r="BE5" s="146"/>
      <c r="BF5" s="146"/>
      <c r="BG5" s="146"/>
      <c r="BH5" s="146"/>
      <c r="BI5" s="146"/>
      <c r="BJ5" s="146"/>
      <c r="BK5" s="146"/>
      <c r="BL5" s="146"/>
      <c r="BM5" s="146"/>
      <c r="BN5" s="146"/>
      <c r="BO5" s="146"/>
      <c r="BP5" s="146"/>
      <c r="BQ5" s="146"/>
      <c r="BR5" s="146"/>
    </row>
    <row r="6" spans="2:70" ht="24.95" customHeight="1" thickTop="1" thickBot="1">
      <c r="B6" s="157"/>
      <c r="C6" s="218" t="s">
        <v>102</v>
      </c>
      <c r="D6" s="219">
        <v>1800</v>
      </c>
      <c r="E6" s="159"/>
      <c r="F6" s="165"/>
      <c r="G6" s="157"/>
      <c r="H6" s="170"/>
      <c r="I6" s="170"/>
      <c r="J6" s="170"/>
      <c r="K6" s="170"/>
      <c r="L6" s="170"/>
      <c r="M6" s="159"/>
      <c r="N6" s="146"/>
      <c r="O6" s="157"/>
      <c r="P6" s="374" t="s">
        <v>109</v>
      </c>
      <c r="Q6" s="375"/>
      <c r="R6" s="375"/>
      <c r="S6" s="376"/>
      <c r="T6" s="159"/>
      <c r="U6" s="146"/>
      <c r="V6" s="146"/>
      <c r="W6" s="146"/>
      <c r="X6" s="146"/>
      <c r="Y6" s="146"/>
      <c r="Z6" s="146"/>
      <c r="AA6" s="146"/>
      <c r="AB6" s="146"/>
      <c r="AC6" s="146"/>
      <c r="AD6" s="146"/>
      <c r="AE6" s="146"/>
      <c r="AF6" s="146"/>
      <c r="AG6" s="146"/>
      <c r="AH6" s="146"/>
      <c r="AI6" s="146"/>
      <c r="AJ6" s="146"/>
      <c r="AK6" s="146"/>
      <c r="AL6" s="146"/>
      <c r="AM6" s="146"/>
      <c r="AN6" s="146"/>
      <c r="AO6" s="146"/>
      <c r="AP6" s="146"/>
      <c r="AQ6" s="146"/>
      <c r="AR6" s="146"/>
      <c r="AS6" s="146"/>
      <c r="AT6" s="146"/>
      <c r="AU6" s="146"/>
      <c r="AV6" s="146"/>
      <c r="AW6" s="146"/>
      <c r="AX6" s="146"/>
      <c r="AY6" s="146"/>
      <c r="AZ6" s="146"/>
      <c r="BA6" s="146"/>
      <c r="BB6" s="146"/>
      <c r="BC6" s="146"/>
      <c r="BD6" s="14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BO6" s="146"/>
      <c r="BP6" s="146"/>
      <c r="BQ6" s="146"/>
      <c r="BR6" s="146"/>
    </row>
    <row r="7" spans="2:70" ht="16.5" thickBot="1">
      <c r="B7" s="157"/>
      <c r="C7" s="162"/>
      <c r="D7" s="162"/>
      <c r="E7" s="159"/>
      <c r="F7" s="165"/>
      <c r="G7" s="157"/>
      <c r="H7" s="169">
        <v>1</v>
      </c>
      <c r="I7" s="168"/>
      <c r="J7" s="168"/>
      <c r="K7" s="168"/>
      <c r="L7" s="168"/>
      <c r="M7" s="159"/>
      <c r="N7" s="146"/>
      <c r="O7" s="157"/>
      <c r="P7" s="162"/>
      <c r="Q7" s="162"/>
      <c r="R7" s="162"/>
      <c r="S7" s="162"/>
      <c r="T7" s="159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</row>
    <row r="8" spans="2:70" ht="24.95" customHeight="1" thickTop="1" thickBot="1">
      <c r="B8" s="157"/>
      <c r="C8" s="218" t="s">
        <v>103</v>
      </c>
      <c r="D8" s="220">
        <v>41054</v>
      </c>
      <c r="E8" s="160"/>
      <c r="F8" s="166"/>
      <c r="G8" s="157"/>
      <c r="H8" s="170"/>
      <c r="I8" s="168"/>
      <c r="J8" s="168"/>
      <c r="K8" s="168"/>
      <c r="L8" s="168"/>
      <c r="M8" s="159"/>
      <c r="N8" s="146"/>
      <c r="O8" s="157"/>
      <c r="P8" s="222" t="str">
        <f ca="1">diffDateP(admissão,datacom,,,0,1)</f>
        <v>6 anos 8 meses 17 dias</v>
      </c>
      <c r="Q8" s="223"/>
      <c r="R8" s="223"/>
      <c r="S8" s="224"/>
      <c r="T8" s="159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  <c r="AH8" s="146"/>
      <c r="AI8" s="146"/>
      <c r="AJ8" s="146"/>
      <c r="AK8" s="146"/>
      <c r="AL8" s="146"/>
      <c r="AM8" s="146"/>
      <c r="AN8" s="146"/>
      <c r="AO8" s="146"/>
      <c r="AP8" s="146"/>
      <c r="AQ8" s="146"/>
      <c r="AR8" s="146"/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</row>
    <row r="9" spans="2:70" ht="16.5" thickBot="1">
      <c r="B9" s="157"/>
      <c r="C9" s="163"/>
      <c r="D9" s="162"/>
      <c r="E9" s="159"/>
      <c r="F9" s="165"/>
      <c r="G9" s="157"/>
      <c r="H9" s="169">
        <v>2</v>
      </c>
      <c r="I9" s="168"/>
      <c r="J9" s="168"/>
      <c r="K9" s="168"/>
      <c r="L9" s="168"/>
      <c r="M9" s="159"/>
      <c r="N9" s="146"/>
      <c r="O9" s="157"/>
      <c r="P9" s="162"/>
      <c r="Q9" s="162"/>
      <c r="R9" s="162"/>
      <c r="S9" s="162"/>
      <c r="T9" s="159"/>
      <c r="U9" s="146"/>
      <c r="V9" s="146"/>
      <c r="W9" s="146"/>
      <c r="X9" s="146"/>
      <c r="Y9" s="146"/>
      <c r="Z9" s="146"/>
      <c r="AA9" s="146"/>
      <c r="AB9" s="146"/>
      <c r="AC9" s="146"/>
      <c r="AD9" s="146"/>
      <c r="AE9" s="146"/>
      <c r="AF9" s="146"/>
      <c r="AG9" s="146"/>
      <c r="AH9" s="146"/>
      <c r="AI9" s="146"/>
      <c r="AJ9" s="146"/>
      <c r="AK9" s="146"/>
      <c r="AL9" s="146"/>
      <c r="AM9" s="146"/>
      <c r="AN9" s="146"/>
      <c r="AO9" s="146"/>
      <c r="AP9" s="146"/>
      <c r="AQ9" s="146"/>
      <c r="AR9" s="146"/>
      <c r="AS9" s="146"/>
      <c r="AT9" s="146"/>
      <c r="AU9" s="146"/>
      <c r="AV9" s="146"/>
      <c r="AW9" s="146"/>
      <c r="AX9" s="146"/>
      <c r="AY9" s="146"/>
      <c r="AZ9" s="146"/>
      <c r="BA9" s="146"/>
      <c r="BB9" s="146"/>
      <c r="BC9" s="146"/>
      <c r="BD9" s="146"/>
      <c r="BE9" s="146"/>
      <c r="BF9" s="146"/>
      <c r="BG9" s="146"/>
      <c r="BH9" s="146"/>
      <c r="BI9" s="146"/>
      <c r="BJ9" s="146"/>
      <c r="BK9" s="146"/>
      <c r="BL9" s="146"/>
      <c r="BM9" s="146"/>
      <c r="BN9" s="146"/>
      <c r="BO9" s="146"/>
      <c r="BP9" s="146"/>
      <c r="BQ9" s="146"/>
      <c r="BR9" s="146"/>
    </row>
    <row r="10" spans="2:70" ht="24.95" customHeight="1" thickTop="1" thickBot="1">
      <c r="B10" s="157"/>
      <c r="C10" s="218" t="s">
        <v>104</v>
      </c>
      <c r="D10" s="220">
        <v>43506</v>
      </c>
      <c r="E10" s="159"/>
      <c r="F10" s="165"/>
      <c r="G10" s="157"/>
      <c r="H10" s="168"/>
      <c r="I10" s="168"/>
      <c r="J10" s="168"/>
      <c r="K10" s="168"/>
      <c r="L10" s="225">
        <v>1</v>
      </c>
      <c r="M10" s="159"/>
      <c r="N10" s="146"/>
      <c r="O10" s="157"/>
      <c r="P10" s="374" t="s">
        <v>110</v>
      </c>
      <c r="Q10" s="375"/>
      <c r="R10" s="375"/>
      <c r="S10" s="376"/>
      <c r="T10" s="159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146"/>
      <c r="AK10" s="146"/>
      <c r="AL10" s="146"/>
      <c r="AM10" s="146"/>
      <c r="AN10" s="146"/>
      <c r="AO10" s="146"/>
      <c r="AP10" s="146"/>
      <c r="AQ10" s="146"/>
      <c r="AR10" s="146"/>
      <c r="AS10" s="146"/>
      <c r="AT10" s="146"/>
      <c r="AU10" s="146"/>
      <c r="AV10" s="146"/>
      <c r="AW10" s="146"/>
      <c r="AX10" s="146"/>
      <c r="AY10" s="146"/>
      <c r="AZ10" s="146"/>
      <c r="BA10" s="146"/>
      <c r="BB10" s="146"/>
      <c r="BC10" s="146"/>
      <c r="BD10" s="146"/>
      <c r="BE10" s="146"/>
      <c r="BF10" s="146"/>
      <c r="BG10" s="146"/>
      <c r="BH10" s="146"/>
      <c r="BI10" s="146"/>
      <c r="BJ10" s="146"/>
      <c r="BK10" s="146"/>
      <c r="BL10" s="146"/>
      <c r="BM10" s="146"/>
      <c r="BN10" s="146"/>
      <c r="BO10" s="146"/>
      <c r="BP10" s="146"/>
      <c r="BQ10" s="146"/>
      <c r="BR10" s="146"/>
    </row>
    <row r="11" spans="2:70" ht="17.25" customHeight="1" thickBot="1">
      <c r="B11" s="157"/>
      <c r="C11" s="163"/>
      <c r="D11" s="162"/>
      <c r="E11" s="159"/>
      <c r="F11" s="165"/>
      <c r="G11" s="157"/>
      <c r="H11" s="162"/>
      <c r="I11" s="162"/>
      <c r="J11" s="162"/>
      <c r="K11" s="162"/>
      <c r="L11" s="162"/>
      <c r="M11" s="159"/>
      <c r="N11" s="146"/>
      <c r="O11" s="157"/>
      <c r="P11" s="162"/>
      <c r="Q11" s="162"/>
      <c r="R11" s="162"/>
      <c r="S11" s="162"/>
      <c r="T11" s="159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6"/>
      <c r="AZ11" s="146"/>
      <c r="BA11" s="146"/>
      <c r="BB11" s="146"/>
      <c r="BC11" s="146"/>
      <c r="BD11" s="146"/>
      <c r="BE11" s="146"/>
      <c r="BF11" s="146"/>
      <c r="BG11" s="146"/>
      <c r="BH11" s="146"/>
      <c r="BI11" s="146"/>
      <c r="BJ11" s="146"/>
      <c r="BK11" s="146"/>
      <c r="BL11" s="146"/>
      <c r="BM11" s="146"/>
      <c r="BN11" s="146"/>
      <c r="BO11" s="146"/>
      <c r="BP11" s="146"/>
      <c r="BQ11" s="146"/>
      <c r="BR11" s="146"/>
    </row>
    <row r="12" spans="2:70" ht="24.95" customHeight="1" thickTop="1" thickBot="1">
      <c r="B12" s="157"/>
      <c r="C12" s="163"/>
      <c r="D12" s="163"/>
      <c r="E12" s="159"/>
      <c r="F12" s="165"/>
      <c r="G12" s="157"/>
      <c r="H12" s="162"/>
      <c r="I12" s="178" t="s">
        <v>105</v>
      </c>
      <c r="J12" s="162"/>
      <c r="K12" s="162"/>
      <c r="L12" s="162"/>
      <c r="M12" s="159"/>
      <c r="N12" s="146"/>
      <c r="O12" s="157"/>
      <c r="P12" s="222" t="str">
        <f ca="1">diffDateP(admissão,dispensa,,,0,1)</f>
        <v>6 anos 10 meses 6 dias</v>
      </c>
      <c r="Q12" s="223"/>
      <c r="R12" s="223"/>
      <c r="S12" s="224"/>
      <c r="T12" s="159"/>
      <c r="U12" s="146"/>
      <c r="V12" s="358"/>
      <c r="W12" s="359"/>
      <c r="X12" s="360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  <c r="BA12" s="146"/>
      <c r="BB12" s="146"/>
      <c r="BC12" s="146"/>
      <c r="BD12" s="146"/>
      <c r="BE12" s="146"/>
      <c r="BF12" s="146"/>
      <c r="BG12" s="146"/>
      <c r="BH12" s="146"/>
      <c r="BI12" s="146"/>
      <c r="BJ12" s="146"/>
      <c r="BK12" s="146"/>
      <c r="BL12" s="146"/>
      <c r="BM12" s="146"/>
      <c r="BN12" s="146"/>
      <c r="BO12" s="146"/>
      <c r="BP12" s="146"/>
      <c r="BQ12" s="146"/>
      <c r="BR12" s="146"/>
    </row>
    <row r="13" spans="2:70" ht="17.25" customHeight="1" thickTop="1" thickBot="1">
      <c r="B13" s="158"/>
      <c r="C13" s="339"/>
      <c r="D13" s="164"/>
      <c r="E13" s="161"/>
      <c r="F13" s="165"/>
      <c r="G13" s="157"/>
      <c r="H13" s="162"/>
      <c r="I13" s="162"/>
      <c r="J13" s="162"/>
      <c r="K13" s="162"/>
      <c r="L13" s="162"/>
      <c r="M13" s="159"/>
      <c r="N13" s="146"/>
      <c r="O13" s="158"/>
      <c r="P13" s="164"/>
      <c r="Q13" s="164"/>
      <c r="R13" s="164"/>
      <c r="S13" s="164"/>
      <c r="T13" s="161"/>
      <c r="U13" s="146"/>
      <c r="V13" s="361"/>
      <c r="W13" s="362"/>
      <c r="X13" s="363"/>
      <c r="Y13" s="146"/>
      <c r="Z13" s="146"/>
      <c r="AA13" s="146"/>
      <c r="AB13" s="146"/>
      <c r="AC13" s="146"/>
      <c r="AD13" s="146"/>
      <c r="AE13" s="146"/>
      <c r="AF13" s="146"/>
      <c r="AG13" s="146"/>
      <c r="AH13" s="146"/>
      <c r="AI13" s="146"/>
      <c r="AJ13" s="146"/>
      <c r="AK13" s="146"/>
      <c r="AL13" s="146"/>
      <c r="AM13" s="146"/>
      <c r="AN13" s="146"/>
      <c r="AO13" s="146"/>
      <c r="AP13" s="146"/>
      <c r="AQ13" s="146"/>
      <c r="AR13" s="146"/>
      <c r="AS13" s="146"/>
      <c r="AT13" s="146"/>
      <c r="AU13" s="146"/>
      <c r="AV13" s="146"/>
      <c r="AW13" s="146"/>
      <c r="AX13" s="146"/>
      <c r="AY13" s="146"/>
      <c r="AZ13" s="146"/>
      <c r="BA13" s="146"/>
      <c r="BB13" s="146"/>
      <c r="BC13" s="146"/>
      <c r="BD13" s="146"/>
      <c r="BE13" s="146"/>
      <c r="BF13" s="146"/>
      <c r="BG13" s="146"/>
      <c r="BH13" s="146"/>
      <c r="BI13" s="146"/>
      <c r="BJ13" s="146"/>
      <c r="BK13" s="146"/>
      <c r="BL13" s="146"/>
      <c r="BM13" s="146"/>
      <c r="BN13" s="146"/>
      <c r="BO13" s="146"/>
      <c r="BP13" s="146"/>
      <c r="BQ13" s="146"/>
      <c r="BR13" s="146"/>
    </row>
    <row r="14" spans="2:70" ht="24.95" customHeight="1" thickTop="1">
      <c r="B14" s="153"/>
      <c r="C14" s="340"/>
      <c r="D14" s="340"/>
      <c r="E14" s="153"/>
      <c r="F14" s="165"/>
      <c r="G14" s="157"/>
      <c r="H14" s="371" t="s">
        <v>106</v>
      </c>
      <c r="I14" s="371"/>
      <c r="J14" s="371"/>
      <c r="K14" s="177">
        <f>ap_proporcional</f>
        <v>48</v>
      </c>
      <c r="L14" s="162"/>
      <c r="M14" s="159"/>
      <c r="N14" s="146"/>
      <c r="O14" s="153"/>
      <c r="P14" s="153"/>
      <c r="Q14" s="153"/>
      <c r="R14" s="153"/>
      <c r="S14" s="153"/>
      <c r="T14" s="153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46"/>
      <c r="AI14" s="146"/>
      <c r="AJ14" s="146"/>
      <c r="AK14" s="146"/>
      <c r="AL14" s="146"/>
      <c r="AM14" s="146"/>
      <c r="AN14" s="146"/>
      <c r="AO14" s="146"/>
      <c r="AP14" s="146"/>
      <c r="AQ14" s="146"/>
      <c r="AR14" s="146"/>
      <c r="AS14" s="146"/>
      <c r="AT14" s="146"/>
      <c r="AU14" s="146"/>
      <c r="AV14" s="146"/>
      <c r="AW14" s="146"/>
      <c r="AX14" s="146"/>
      <c r="AY14" s="146"/>
      <c r="AZ14" s="146"/>
      <c r="BA14" s="146"/>
      <c r="BB14" s="146"/>
      <c r="BC14" s="146"/>
      <c r="BD14" s="146"/>
      <c r="BE14" s="146"/>
      <c r="BF14" s="146"/>
      <c r="BG14" s="146"/>
      <c r="BH14" s="146"/>
      <c r="BI14" s="146"/>
      <c r="BJ14" s="146"/>
      <c r="BK14" s="146"/>
      <c r="BL14" s="146"/>
      <c r="BM14" s="146"/>
      <c r="BN14" s="146"/>
      <c r="BO14" s="146"/>
      <c r="BP14" s="146"/>
      <c r="BQ14" s="146"/>
      <c r="BR14" s="146"/>
    </row>
    <row r="15" spans="2:70" ht="16.5" thickBot="1">
      <c r="B15" s="165"/>
      <c r="C15" s="165"/>
      <c r="D15" s="165"/>
      <c r="E15" s="165"/>
      <c r="F15" s="165"/>
      <c r="G15" s="158"/>
      <c r="H15" s="164"/>
      <c r="I15" s="164"/>
      <c r="J15" s="164"/>
      <c r="K15" s="164"/>
      <c r="L15" s="164"/>
      <c r="M15" s="161"/>
      <c r="N15" s="146"/>
      <c r="O15" s="165"/>
      <c r="P15" s="165"/>
      <c r="Q15" s="165"/>
      <c r="R15" s="165"/>
      <c r="S15" s="165"/>
      <c r="T15" s="165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46"/>
      <c r="AO15" s="146"/>
      <c r="AP15" s="146"/>
      <c r="AQ15" s="146"/>
      <c r="AR15" s="146"/>
      <c r="AS15" s="146"/>
      <c r="AT15" s="146"/>
      <c r="AU15" s="146"/>
      <c r="AV15" s="146"/>
      <c r="AW15" s="146"/>
      <c r="AX15" s="146"/>
      <c r="AY15" s="146"/>
      <c r="AZ15" s="146"/>
      <c r="BA15" s="146"/>
      <c r="BB15" s="146"/>
      <c r="BC15" s="146"/>
      <c r="BD15" s="146"/>
      <c r="BE15" s="146"/>
      <c r="BF15" s="146"/>
      <c r="BG15" s="146"/>
      <c r="BH15" s="146"/>
      <c r="BI15" s="146"/>
      <c r="BJ15" s="146"/>
      <c r="BK15" s="146"/>
      <c r="BL15" s="146"/>
      <c r="BM15" s="146"/>
      <c r="BN15" s="146"/>
      <c r="BO15" s="146"/>
      <c r="BP15" s="146"/>
      <c r="BQ15" s="146"/>
      <c r="BR15" s="146"/>
    </row>
    <row r="16" spans="2:70" ht="24.95" customHeight="1" thickTop="1">
      <c r="B16" s="146"/>
      <c r="C16" s="146"/>
      <c r="D16" s="146"/>
      <c r="E16" s="147"/>
      <c r="F16" s="147"/>
      <c r="G16" s="165"/>
      <c r="H16" s="166"/>
      <c r="I16" s="166"/>
      <c r="J16" s="165"/>
      <c r="K16" s="165"/>
      <c r="L16" s="165"/>
      <c r="M16" s="165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AY16" s="146"/>
      <c r="AZ16" s="146"/>
      <c r="BA16" s="146"/>
      <c r="BB16" s="146"/>
      <c r="BC16" s="146"/>
      <c r="BD16" s="146"/>
      <c r="BE16" s="146"/>
      <c r="BF16" s="146"/>
      <c r="BG16" s="146"/>
      <c r="BH16" s="146"/>
      <c r="BI16" s="146"/>
      <c r="BJ16" s="146"/>
      <c r="BK16" s="146"/>
      <c r="BL16" s="146"/>
      <c r="BM16" s="146"/>
      <c r="BN16" s="146"/>
      <c r="BO16" s="146"/>
      <c r="BP16" s="146"/>
      <c r="BQ16" s="146"/>
      <c r="BR16" s="146"/>
    </row>
    <row r="17" spans="2:70" ht="15.75">
      <c r="B17" s="146"/>
      <c r="C17" s="146"/>
      <c r="D17" s="146"/>
      <c r="E17" s="147"/>
      <c r="F17" s="147"/>
      <c r="G17" s="377" t="str">
        <f>IF(aviso1ano&lt;&gt;aviso1anopro,"ATENÇÃO!!! A opção de cálculo do aviso prévio considerando a projeção do próprio aviso resulta em mais 3 dias de aviso prévio.","")</f>
        <v/>
      </c>
      <c r="H17" s="378"/>
      <c r="I17" s="378"/>
      <c r="J17" s="378"/>
      <c r="K17" s="378"/>
      <c r="L17" s="378"/>
      <c r="M17" s="378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146"/>
      <c r="AV17" s="146"/>
      <c r="AW17" s="146"/>
      <c r="AX17" s="146"/>
      <c r="AY17" s="146"/>
      <c r="AZ17" s="146"/>
      <c r="BA17" s="146"/>
      <c r="BB17" s="146"/>
      <c r="BC17" s="146"/>
      <c r="BD17" s="146"/>
      <c r="BE17" s="146"/>
      <c r="BF17" s="146"/>
      <c r="BG17" s="146"/>
      <c r="BH17" s="146"/>
      <c r="BI17" s="146"/>
      <c r="BJ17" s="146"/>
      <c r="BK17" s="146"/>
      <c r="BL17" s="146"/>
      <c r="BM17" s="146"/>
      <c r="BN17" s="146"/>
      <c r="BO17" s="146"/>
      <c r="BP17" s="146"/>
      <c r="BQ17" s="146"/>
      <c r="BR17" s="146"/>
    </row>
    <row r="18" spans="2:70" ht="15.75">
      <c r="B18" s="146"/>
      <c r="C18" s="146"/>
      <c r="D18" s="146"/>
      <c r="E18" s="147"/>
      <c r="F18" s="147"/>
      <c r="G18" s="378"/>
      <c r="H18" s="378"/>
      <c r="I18" s="378"/>
      <c r="J18" s="378"/>
      <c r="K18" s="378"/>
      <c r="L18" s="378"/>
      <c r="M18" s="378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146"/>
      <c r="AK18" s="146"/>
      <c r="AL18" s="146"/>
      <c r="AM18" s="146"/>
      <c r="AN18" s="146"/>
      <c r="AO18" s="146"/>
      <c r="AP18" s="146"/>
      <c r="AQ18" s="146"/>
      <c r="AR18" s="146"/>
      <c r="AS18" s="146"/>
      <c r="AT18" s="146"/>
      <c r="AU18" s="146"/>
      <c r="AV18" s="146"/>
      <c r="AW18" s="146"/>
      <c r="AX18" s="146"/>
      <c r="AY18" s="146"/>
      <c r="AZ18" s="146"/>
      <c r="BA18" s="146"/>
      <c r="BB18" s="146"/>
      <c r="BC18" s="146"/>
      <c r="BD18" s="146"/>
      <c r="BE18" s="146"/>
      <c r="BF18" s="146"/>
      <c r="BG18" s="146"/>
      <c r="BH18" s="146"/>
      <c r="BI18" s="146"/>
      <c r="BJ18" s="146"/>
      <c r="BK18" s="146"/>
      <c r="BL18" s="146"/>
      <c r="BM18" s="146"/>
      <c r="BN18" s="146"/>
      <c r="BO18" s="146"/>
      <c r="BP18" s="146"/>
      <c r="BQ18" s="146"/>
      <c r="BR18" s="146"/>
    </row>
    <row r="19" spans="2:70" ht="15.75">
      <c r="B19" s="146"/>
      <c r="C19" s="146"/>
      <c r="D19" s="146"/>
      <c r="E19" s="147"/>
      <c r="F19" s="147"/>
      <c r="G19" s="378"/>
      <c r="H19" s="378"/>
      <c r="I19" s="378"/>
      <c r="J19" s="378"/>
      <c r="K19" s="378"/>
      <c r="L19" s="378"/>
      <c r="M19" s="378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  <c r="AO19" s="146"/>
      <c r="AP19" s="146"/>
      <c r="AQ19" s="146"/>
      <c r="AR19" s="146"/>
      <c r="AS19" s="146"/>
      <c r="AT19" s="146"/>
      <c r="AU19" s="146"/>
      <c r="AV19" s="146"/>
      <c r="AW19" s="146"/>
      <c r="AX19" s="146"/>
      <c r="AY19" s="146"/>
      <c r="AZ19" s="146"/>
      <c r="BA19" s="146"/>
      <c r="BB19" s="146"/>
      <c r="BC19" s="146"/>
      <c r="BD19" s="146"/>
      <c r="BE19" s="146"/>
      <c r="BF19" s="146"/>
      <c r="BG19" s="146"/>
      <c r="BH19" s="146"/>
      <c r="BI19" s="146"/>
      <c r="BJ19" s="146"/>
      <c r="BK19" s="146"/>
      <c r="BL19" s="146"/>
      <c r="BM19" s="146"/>
      <c r="BN19" s="146"/>
      <c r="BO19" s="146"/>
      <c r="BP19" s="146"/>
      <c r="BQ19" s="146"/>
      <c r="BR19" s="146"/>
    </row>
    <row r="20" spans="2:70" ht="15.75">
      <c r="B20" s="146"/>
      <c r="C20" s="146"/>
      <c r="D20" s="146"/>
      <c r="E20" s="147"/>
      <c r="F20" s="147"/>
      <c r="G20" s="378"/>
      <c r="H20" s="378"/>
      <c r="I20" s="378"/>
      <c r="J20" s="378"/>
      <c r="K20" s="378"/>
      <c r="L20" s="378"/>
      <c r="M20" s="378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146"/>
      <c r="AK20" s="146"/>
      <c r="AL20" s="146"/>
      <c r="AM20" s="146"/>
      <c r="AN20" s="146"/>
      <c r="AO20" s="146"/>
      <c r="AP20" s="146"/>
      <c r="AQ20" s="146"/>
      <c r="AR20" s="146"/>
      <c r="AS20" s="146"/>
      <c r="AT20" s="146"/>
      <c r="AU20" s="146"/>
      <c r="AV20" s="146"/>
      <c r="AW20" s="146"/>
      <c r="AX20" s="146"/>
      <c r="AY20" s="146"/>
      <c r="AZ20" s="146"/>
      <c r="BA20" s="146"/>
      <c r="BB20" s="146"/>
      <c r="BC20" s="146"/>
      <c r="BD20" s="146"/>
      <c r="BE20" s="146"/>
      <c r="BF20" s="146"/>
      <c r="BG20" s="146"/>
      <c r="BH20" s="146"/>
      <c r="BI20" s="146"/>
      <c r="BJ20" s="146"/>
      <c r="BK20" s="146"/>
      <c r="BL20" s="146"/>
      <c r="BM20" s="146"/>
      <c r="BN20" s="146"/>
      <c r="BO20" s="146"/>
      <c r="BP20" s="146"/>
      <c r="BQ20" s="146"/>
      <c r="BR20" s="146"/>
    </row>
    <row r="21" spans="2:70" ht="15.75">
      <c r="B21" s="146"/>
      <c r="C21" s="146"/>
      <c r="D21" s="146"/>
      <c r="E21" s="147"/>
      <c r="F21" s="147"/>
      <c r="G21" s="378"/>
      <c r="H21" s="378"/>
      <c r="I21" s="378"/>
      <c r="J21" s="378"/>
      <c r="K21" s="378"/>
      <c r="L21" s="378"/>
      <c r="M21" s="378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  <c r="AO21" s="146"/>
      <c r="AP21" s="146"/>
      <c r="AQ21" s="146"/>
      <c r="AR21" s="146"/>
      <c r="AS21" s="146"/>
      <c r="AT21" s="146"/>
      <c r="AU21" s="146"/>
      <c r="AV21" s="146"/>
      <c r="AW21" s="146"/>
      <c r="AX21" s="146"/>
      <c r="AY21" s="146"/>
      <c r="AZ21" s="146"/>
      <c r="BA21" s="146"/>
      <c r="BB21" s="146"/>
      <c r="BC21" s="146"/>
      <c r="BD21" s="146"/>
      <c r="BE21" s="146"/>
      <c r="BF21" s="146"/>
      <c r="BG21" s="146"/>
      <c r="BH21" s="146"/>
      <c r="BI21" s="146"/>
      <c r="BJ21" s="146"/>
      <c r="BK21" s="146"/>
      <c r="BL21" s="146"/>
      <c r="BM21" s="146"/>
      <c r="BN21" s="146"/>
      <c r="BO21" s="146"/>
      <c r="BP21" s="146"/>
      <c r="BQ21" s="146"/>
      <c r="BR21" s="146"/>
    </row>
    <row r="22" spans="2:70" ht="15.75">
      <c r="B22" s="146"/>
      <c r="C22" s="146"/>
      <c r="D22" s="146"/>
      <c r="E22" s="147"/>
      <c r="F22" s="147"/>
      <c r="G22" s="148"/>
      <c r="H22" s="148"/>
      <c r="I22" s="147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46"/>
      <c r="BO22" s="146"/>
      <c r="BP22" s="146"/>
      <c r="BQ22" s="146"/>
      <c r="BR22" s="146"/>
    </row>
    <row r="23" spans="2:70" ht="15.75">
      <c r="B23" s="146"/>
      <c r="C23" s="146"/>
      <c r="D23" s="146"/>
      <c r="E23" s="147"/>
      <c r="F23" s="147"/>
      <c r="G23" s="148"/>
      <c r="H23" s="148"/>
      <c r="I23" s="147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46"/>
      <c r="AQ23" s="146"/>
      <c r="AR23" s="146"/>
      <c r="AS23" s="146"/>
      <c r="AT23" s="146"/>
      <c r="AU23" s="146"/>
      <c r="AV23" s="146"/>
      <c r="AW23" s="146"/>
      <c r="AX23" s="146"/>
      <c r="AY23" s="146"/>
      <c r="AZ23" s="146"/>
      <c r="BA23" s="146"/>
      <c r="BB23" s="146"/>
      <c r="BC23" s="146"/>
      <c r="BD23" s="146"/>
      <c r="BE23" s="146"/>
      <c r="BF23" s="146"/>
      <c r="BG23" s="146"/>
      <c r="BH23" s="146"/>
      <c r="BI23" s="146"/>
      <c r="BJ23" s="146"/>
      <c r="BK23" s="146"/>
      <c r="BL23" s="146"/>
      <c r="BM23" s="146"/>
      <c r="BN23" s="146"/>
      <c r="BO23" s="146"/>
      <c r="BP23" s="146"/>
      <c r="BQ23" s="146"/>
      <c r="BR23" s="146"/>
    </row>
    <row r="24" spans="2:70" ht="15.75">
      <c r="B24" s="146"/>
      <c r="C24" s="146"/>
      <c r="D24" s="146"/>
      <c r="E24" s="147"/>
      <c r="F24" s="147"/>
      <c r="G24" s="149"/>
      <c r="H24" s="150"/>
      <c r="I24" s="147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</row>
    <row r="25" spans="2:70" ht="15.75">
      <c r="B25" s="146"/>
      <c r="C25" s="146"/>
      <c r="D25" s="146"/>
      <c r="E25" s="147"/>
      <c r="F25" s="147"/>
      <c r="G25" s="148"/>
      <c r="H25" s="148"/>
      <c r="I25" s="147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  <c r="AO25" s="146"/>
      <c r="AP25" s="146"/>
      <c r="AQ25" s="146"/>
      <c r="AR25" s="146"/>
      <c r="AS25" s="146"/>
      <c r="AT25" s="146"/>
      <c r="AU25" s="146"/>
      <c r="AV25" s="146"/>
      <c r="AW25" s="146"/>
      <c r="AX25" s="146"/>
      <c r="AY25" s="146"/>
      <c r="AZ25" s="146"/>
      <c r="BA25" s="146"/>
      <c r="BB25" s="146"/>
      <c r="BC25" s="146"/>
      <c r="BD25" s="146"/>
      <c r="BE25" s="146"/>
      <c r="BF25" s="146"/>
      <c r="BG25" s="146"/>
      <c r="BH25" s="146"/>
      <c r="BI25" s="146"/>
      <c r="BJ25" s="146"/>
      <c r="BK25" s="146"/>
      <c r="BL25" s="146"/>
      <c r="BM25" s="146"/>
      <c r="BN25" s="146"/>
      <c r="BO25" s="146"/>
      <c r="BP25" s="146"/>
      <c r="BQ25" s="146"/>
      <c r="BR25" s="146"/>
    </row>
    <row r="26" spans="2:70" ht="15.75">
      <c r="B26" s="146"/>
      <c r="C26" s="146"/>
      <c r="D26" s="146"/>
      <c r="E26" s="147"/>
      <c r="F26" s="147"/>
      <c r="G26" s="148"/>
      <c r="H26" s="148"/>
      <c r="I26" s="147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  <c r="AM26" s="146"/>
      <c r="AN26" s="146"/>
      <c r="AO26" s="146"/>
      <c r="AP26" s="146"/>
      <c r="AQ26" s="146"/>
      <c r="AR26" s="146"/>
      <c r="AS26" s="146"/>
      <c r="AT26" s="146"/>
      <c r="AU26" s="146"/>
      <c r="AV26" s="146"/>
      <c r="AW26" s="146"/>
      <c r="AX26" s="146"/>
      <c r="AY26" s="146"/>
      <c r="AZ26" s="146"/>
      <c r="BA26" s="146"/>
      <c r="BB26" s="146"/>
      <c r="BC26" s="146"/>
      <c r="BD26" s="146"/>
      <c r="BE26" s="146"/>
      <c r="BF26" s="146"/>
      <c r="BG26" s="146"/>
      <c r="BH26" s="146"/>
      <c r="BI26" s="146"/>
      <c r="BJ26" s="146"/>
      <c r="BK26" s="146"/>
      <c r="BL26" s="146"/>
      <c r="BM26" s="146"/>
      <c r="BN26" s="146"/>
      <c r="BO26" s="146"/>
      <c r="BP26" s="146"/>
      <c r="BQ26" s="146"/>
      <c r="BR26" s="146"/>
    </row>
    <row r="27" spans="2:70" ht="15.75">
      <c r="B27" s="146"/>
      <c r="C27" s="146"/>
      <c r="D27" s="146"/>
      <c r="E27" s="147"/>
      <c r="F27" s="147"/>
      <c r="G27" s="149"/>
      <c r="H27" s="150"/>
      <c r="I27" s="147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146"/>
      <c r="AK27" s="146"/>
      <c r="AL27" s="146"/>
      <c r="AM27" s="146"/>
      <c r="AN27" s="146"/>
      <c r="AO27" s="146"/>
      <c r="AP27" s="146"/>
      <c r="AQ27" s="146"/>
      <c r="AR27" s="146"/>
      <c r="AS27" s="146"/>
      <c r="AT27" s="146"/>
      <c r="AU27" s="146"/>
      <c r="AV27" s="146"/>
      <c r="AW27" s="146"/>
      <c r="AX27" s="146"/>
      <c r="AY27" s="146"/>
      <c r="AZ27" s="146"/>
      <c r="BA27" s="146"/>
      <c r="BB27" s="146"/>
      <c r="BC27" s="146"/>
      <c r="BD27" s="146"/>
      <c r="BE27" s="146"/>
      <c r="BF27" s="146"/>
      <c r="BG27" s="146"/>
      <c r="BH27" s="146"/>
      <c r="BI27" s="146"/>
      <c r="BJ27" s="146"/>
      <c r="BK27" s="146"/>
      <c r="BL27" s="146"/>
      <c r="BM27" s="146"/>
      <c r="BN27" s="146"/>
      <c r="BO27" s="146"/>
      <c r="BP27" s="146"/>
      <c r="BQ27" s="146"/>
      <c r="BR27" s="146"/>
    </row>
    <row r="28" spans="2:70" ht="15.75">
      <c r="B28" s="146"/>
      <c r="C28" s="146"/>
      <c r="D28" s="146"/>
      <c r="E28" s="147"/>
      <c r="F28" s="147"/>
      <c r="G28" s="148"/>
      <c r="H28" s="148"/>
      <c r="I28" s="147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146"/>
      <c r="AK28" s="146"/>
      <c r="AL28" s="146"/>
      <c r="AM28" s="146"/>
      <c r="AN28" s="146"/>
      <c r="AO28" s="146"/>
      <c r="AP28" s="146"/>
      <c r="AQ28" s="146"/>
      <c r="AR28" s="146"/>
      <c r="AS28" s="146"/>
      <c r="AT28" s="146"/>
      <c r="AU28" s="146"/>
      <c r="AV28" s="146"/>
      <c r="AW28" s="146"/>
      <c r="AX28" s="146"/>
      <c r="AY28" s="146"/>
      <c r="AZ28" s="146"/>
      <c r="BA28" s="146"/>
      <c r="BB28" s="146"/>
      <c r="BC28" s="146"/>
      <c r="BD28" s="146"/>
      <c r="BE28" s="146"/>
      <c r="BF28" s="146"/>
      <c r="BG28" s="146"/>
      <c r="BH28" s="146"/>
      <c r="BI28" s="146"/>
      <c r="BJ28" s="146"/>
      <c r="BK28" s="146"/>
      <c r="BL28" s="146"/>
      <c r="BM28" s="146"/>
      <c r="BN28" s="146"/>
      <c r="BO28" s="146"/>
      <c r="BP28" s="146"/>
      <c r="BQ28" s="146"/>
      <c r="BR28" s="146"/>
    </row>
    <row r="29" spans="2:70" ht="15.75">
      <c r="B29" s="146"/>
      <c r="C29" s="146"/>
      <c r="D29" s="146"/>
      <c r="E29" s="147"/>
      <c r="F29" s="147"/>
      <c r="G29" s="364"/>
      <c r="H29" s="365"/>
      <c r="I29" s="147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</row>
    <row r="30" spans="2:70" ht="15.75">
      <c r="B30" s="146"/>
      <c r="C30" s="146"/>
      <c r="D30" s="146"/>
      <c r="E30" s="147"/>
      <c r="F30" s="147"/>
      <c r="G30" s="148"/>
      <c r="H30" s="148"/>
      <c r="I30" s="147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  <c r="AP30" s="146"/>
      <c r="AQ30" s="146"/>
      <c r="AR30" s="146"/>
      <c r="AS30" s="146"/>
      <c r="AT30" s="146"/>
      <c r="AU30" s="146"/>
      <c r="AV30" s="146"/>
      <c r="AW30" s="146"/>
      <c r="AX30" s="146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</row>
    <row r="31" spans="2:70" ht="15.75">
      <c r="B31" s="146"/>
      <c r="C31" s="146"/>
      <c r="D31" s="146"/>
      <c r="E31" s="147"/>
      <c r="F31" s="147"/>
      <c r="G31" s="149"/>
      <c r="H31" s="151"/>
      <c r="I31" s="147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146"/>
      <c r="AK31" s="146"/>
      <c r="AL31" s="146"/>
      <c r="AM31" s="146"/>
      <c r="AN31" s="146"/>
      <c r="AO31" s="146"/>
      <c r="AP31" s="146"/>
      <c r="AQ31" s="146"/>
      <c r="AR31" s="146"/>
      <c r="AS31" s="146"/>
      <c r="AT31" s="146"/>
      <c r="AU31" s="146"/>
      <c r="AV31" s="146"/>
      <c r="AW31" s="146"/>
      <c r="AX31" s="146"/>
      <c r="AY31" s="146"/>
      <c r="AZ31" s="146"/>
      <c r="BA31" s="146"/>
      <c r="BB31" s="146"/>
      <c r="BC31" s="146"/>
      <c r="BD31" s="146"/>
      <c r="BE31" s="146"/>
      <c r="BF31" s="146"/>
      <c r="BG31" s="146"/>
      <c r="BH31" s="146"/>
      <c r="BI31" s="146"/>
      <c r="BJ31" s="146"/>
      <c r="BK31" s="146"/>
      <c r="BL31" s="146"/>
      <c r="BM31" s="146"/>
      <c r="BN31" s="146"/>
      <c r="BO31" s="146"/>
      <c r="BP31" s="146"/>
      <c r="BQ31" s="146"/>
      <c r="BR31" s="146"/>
    </row>
    <row r="32" spans="2:70" ht="15.75" hidden="1">
      <c r="B32" s="146"/>
      <c r="C32" s="146"/>
      <c r="D32" s="146"/>
      <c r="E32" s="147"/>
      <c r="F32" s="147"/>
      <c r="G32" s="148"/>
      <c r="H32" s="148"/>
      <c r="I32" s="147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  <c r="AO32" s="146"/>
      <c r="AP32" s="146"/>
      <c r="AQ32" s="146"/>
      <c r="AR32" s="146"/>
      <c r="AS32" s="146"/>
      <c r="AT32" s="146"/>
      <c r="AU32" s="146"/>
      <c r="AV32" s="146"/>
      <c r="AW32" s="146"/>
      <c r="AX32" s="146"/>
      <c r="AY32" s="146"/>
      <c r="AZ32" s="146"/>
      <c r="BA32" s="146"/>
      <c r="BB32" s="146"/>
      <c r="BC32" s="146"/>
      <c r="BD32" s="146"/>
      <c r="BE32" s="146"/>
      <c r="BF32" s="146"/>
      <c r="BG32" s="146"/>
      <c r="BH32" s="146"/>
      <c r="BI32" s="146"/>
      <c r="BJ32" s="146"/>
      <c r="BK32" s="146"/>
      <c r="BL32" s="146"/>
      <c r="BM32" s="146"/>
      <c r="BN32" s="146"/>
      <c r="BO32" s="146"/>
      <c r="BP32" s="146"/>
      <c r="BQ32" s="146"/>
      <c r="BR32" s="146"/>
    </row>
    <row r="33" spans="2:70" ht="15.75" hidden="1">
      <c r="B33" s="146"/>
      <c r="C33" s="146"/>
      <c r="D33" s="146"/>
      <c r="E33" s="147"/>
      <c r="F33" s="147"/>
      <c r="G33" s="148"/>
      <c r="H33" s="148"/>
      <c r="I33" s="147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146"/>
      <c r="AK33" s="146"/>
      <c r="AL33" s="146"/>
      <c r="AM33" s="146"/>
      <c r="AN33" s="146"/>
      <c r="AO33" s="146"/>
      <c r="AP33" s="146"/>
      <c r="AQ33" s="146"/>
      <c r="AR33" s="146"/>
      <c r="AS33" s="146"/>
      <c r="AT33" s="146"/>
      <c r="AU33" s="146"/>
      <c r="AV33" s="146"/>
      <c r="AW33" s="146"/>
      <c r="AX33" s="146"/>
      <c r="AY33" s="146"/>
      <c r="AZ33" s="146"/>
      <c r="BA33" s="146"/>
      <c r="BB33" s="146"/>
      <c r="BC33" s="146"/>
      <c r="BD33" s="146"/>
      <c r="BE33" s="146"/>
      <c r="BF33" s="146"/>
      <c r="BG33" s="146"/>
      <c r="BH33" s="146"/>
      <c r="BI33" s="146"/>
      <c r="BJ33" s="146"/>
      <c r="BK33" s="146"/>
      <c r="BL33" s="146"/>
      <c r="BM33" s="146"/>
      <c r="BN33" s="146"/>
      <c r="BO33" s="146"/>
      <c r="BP33" s="146"/>
      <c r="BQ33" s="146"/>
      <c r="BR33" s="146"/>
    </row>
    <row r="34" spans="2:70" ht="15.75" hidden="1">
      <c r="B34" s="146"/>
      <c r="C34" s="146"/>
      <c r="D34" s="146"/>
      <c r="E34" s="147"/>
      <c r="F34" s="147"/>
      <c r="G34" s="149"/>
      <c r="H34" s="152"/>
      <c r="I34" s="147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  <c r="BA34" s="146"/>
      <c r="BB34" s="146"/>
      <c r="BC34" s="146"/>
      <c r="BD34" s="146"/>
      <c r="BE34" s="146"/>
      <c r="BF34" s="146"/>
      <c r="BG34" s="146"/>
      <c r="BH34" s="146"/>
      <c r="BI34" s="146"/>
      <c r="BJ34" s="146"/>
      <c r="BK34" s="146"/>
      <c r="BL34" s="146"/>
      <c r="BM34" s="146"/>
      <c r="BN34" s="146"/>
      <c r="BO34" s="146"/>
      <c r="BP34" s="146"/>
      <c r="BQ34" s="146"/>
      <c r="BR34" s="146"/>
    </row>
    <row r="35" spans="2:70" ht="15.75" hidden="1">
      <c r="B35" s="146"/>
      <c r="C35" s="146"/>
      <c r="D35" s="146"/>
      <c r="E35" s="147"/>
      <c r="F35" s="147"/>
      <c r="G35" s="148"/>
      <c r="H35" s="148"/>
      <c r="I35" s="147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146"/>
      <c r="AK35" s="146"/>
      <c r="AL35" s="146"/>
      <c r="AM35" s="146"/>
      <c r="AN35" s="146"/>
      <c r="AO35" s="146"/>
      <c r="AP35" s="146"/>
      <c r="AQ35" s="146"/>
      <c r="AR35" s="146"/>
      <c r="AS35" s="146"/>
      <c r="AT35" s="146"/>
      <c r="AU35" s="146"/>
      <c r="AV35" s="146"/>
      <c r="AW35" s="146"/>
      <c r="AX35" s="146"/>
      <c r="AY35" s="146"/>
      <c r="AZ35" s="146"/>
      <c r="BA35" s="146"/>
      <c r="BB35" s="146"/>
      <c r="BC35" s="146"/>
      <c r="BD35" s="146"/>
      <c r="BE35" s="146"/>
      <c r="BF35" s="146"/>
      <c r="BG35" s="146"/>
      <c r="BH35" s="146"/>
      <c r="BI35" s="146"/>
      <c r="BJ35" s="146"/>
      <c r="BK35" s="146"/>
      <c r="BL35" s="146"/>
      <c r="BM35" s="146"/>
      <c r="BN35" s="146"/>
      <c r="BO35" s="146"/>
      <c r="BP35" s="146"/>
      <c r="BQ35" s="146"/>
      <c r="BR35" s="146"/>
    </row>
    <row r="36" spans="2:70" ht="15.75" hidden="1">
      <c r="B36" s="146"/>
      <c r="C36" s="146"/>
      <c r="D36" s="146"/>
      <c r="E36" s="147"/>
      <c r="F36" s="147"/>
      <c r="G36" s="148"/>
      <c r="H36" s="148"/>
      <c r="I36" s="147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146"/>
      <c r="AK36" s="146"/>
      <c r="AL36" s="146"/>
      <c r="AM36" s="146"/>
      <c r="AN36" s="146"/>
      <c r="AO36" s="146"/>
      <c r="AP36" s="146"/>
      <c r="AQ36" s="146"/>
      <c r="AR36" s="146"/>
      <c r="AS36" s="146"/>
      <c r="AT36" s="146"/>
      <c r="AU36" s="146"/>
      <c r="AV36" s="146"/>
      <c r="AW36" s="146"/>
      <c r="AX36" s="146"/>
      <c r="AY36" s="146"/>
      <c r="AZ36" s="146"/>
      <c r="BA36" s="146"/>
      <c r="BB36" s="146"/>
      <c r="BC36" s="146"/>
      <c r="BD36" s="146"/>
      <c r="BE36" s="146"/>
      <c r="BF36" s="146"/>
      <c r="BG36" s="146"/>
      <c r="BH36" s="146"/>
      <c r="BI36" s="146"/>
      <c r="BJ36" s="146"/>
      <c r="BK36" s="146"/>
      <c r="BL36" s="146"/>
      <c r="BM36" s="146"/>
      <c r="BN36" s="146"/>
      <c r="BO36" s="146"/>
      <c r="BP36" s="146"/>
      <c r="BQ36" s="146"/>
      <c r="BR36" s="146"/>
    </row>
    <row r="37" spans="2:70" ht="15.75" hidden="1">
      <c r="B37" s="146"/>
      <c r="C37" s="146"/>
      <c r="D37" s="146"/>
      <c r="E37" s="147"/>
      <c r="F37" s="147"/>
      <c r="G37" s="149"/>
      <c r="H37" s="151"/>
      <c r="I37" s="147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146"/>
      <c r="AK37" s="146"/>
      <c r="AL37" s="146"/>
      <c r="AM37" s="146"/>
      <c r="AN37" s="146"/>
      <c r="AO37" s="146"/>
      <c r="AP37" s="146"/>
      <c r="AQ37" s="146"/>
      <c r="AR37" s="146"/>
      <c r="AS37" s="146"/>
      <c r="AT37" s="146"/>
      <c r="AU37" s="146"/>
      <c r="AV37" s="146"/>
      <c r="AW37" s="146"/>
      <c r="AX37" s="146"/>
      <c r="AY37" s="146"/>
      <c r="AZ37" s="146"/>
      <c r="BA37" s="146"/>
      <c r="BB37" s="146"/>
      <c r="BC37" s="146"/>
      <c r="BD37" s="146"/>
      <c r="BE37" s="146"/>
      <c r="BF37" s="146"/>
      <c r="BG37" s="146"/>
      <c r="BH37" s="146"/>
      <c r="BI37" s="146"/>
      <c r="BJ37" s="146"/>
      <c r="BK37" s="146"/>
      <c r="BL37" s="146"/>
      <c r="BM37" s="146"/>
      <c r="BN37" s="146"/>
      <c r="BO37" s="146"/>
      <c r="BP37" s="146"/>
      <c r="BQ37" s="146"/>
      <c r="BR37" s="146"/>
    </row>
    <row r="38" spans="2:70" ht="15.75" hidden="1">
      <c r="B38" s="146"/>
      <c r="C38" s="146"/>
      <c r="D38" s="146"/>
      <c r="E38" s="147"/>
      <c r="F38" s="147"/>
      <c r="G38" s="148"/>
      <c r="H38" s="148"/>
      <c r="I38" s="147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146"/>
      <c r="AK38" s="146"/>
      <c r="AL38" s="146"/>
      <c r="AM38" s="146"/>
      <c r="AN38" s="146"/>
      <c r="AO38" s="146"/>
      <c r="AP38" s="146"/>
      <c r="AQ38" s="146"/>
      <c r="AR38" s="146"/>
      <c r="AS38" s="146"/>
      <c r="AT38" s="146"/>
      <c r="AU38" s="146"/>
      <c r="AV38" s="146"/>
      <c r="AW38" s="146"/>
      <c r="AX38" s="146"/>
      <c r="AY38" s="146"/>
      <c r="AZ38" s="146"/>
      <c r="BA38" s="146"/>
      <c r="BB38" s="146"/>
      <c r="BC38" s="146"/>
      <c r="BD38" s="146"/>
      <c r="BE38" s="146"/>
      <c r="BF38" s="146"/>
      <c r="BG38" s="146"/>
      <c r="BH38" s="146"/>
      <c r="BI38" s="146"/>
      <c r="BJ38" s="146"/>
      <c r="BK38" s="146"/>
      <c r="BL38" s="146"/>
      <c r="BM38" s="146"/>
      <c r="BN38" s="146"/>
      <c r="BO38" s="146"/>
      <c r="BP38" s="146"/>
      <c r="BQ38" s="146"/>
      <c r="BR38" s="146"/>
    </row>
    <row r="39" spans="2:70" ht="15.75" hidden="1">
      <c r="B39" s="146"/>
      <c r="C39" s="146"/>
      <c r="D39" s="146"/>
      <c r="E39" s="147"/>
      <c r="F39" s="147"/>
      <c r="G39" s="148"/>
      <c r="H39" s="148"/>
      <c r="I39" s="147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6"/>
      <c r="BC39" s="146"/>
      <c r="BD39" s="146"/>
      <c r="BE39" s="146"/>
      <c r="BF39" s="146"/>
      <c r="BG39" s="146"/>
      <c r="BH39" s="146"/>
      <c r="BI39" s="146"/>
      <c r="BJ39" s="146"/>
      <c r="BK39" s="146"/>
      <c r="BL39" s="146"/>
      <c r="BM39" s="146"/>
      <c r="BN39" s="146"/>
      <c r="BO39" s="146"/>
      <c r="BP39" s="146"/>
      <c r="BQ39" s="146"/>
      <c r="BR39" s="146"/>
    </row>
    <row r="40" spans="2:70" ht="15.75" hidden="1">
      <c r="B40" s="146"/>
      <c r="C40" s="146"/>
      <c r="D40" s="146"/>
      <c r="E40" s="147"/>
      <c r="F40" s="147"/>
      <c r="G40" s="149"/>
      <c r="H40" s="152"/>
      <c r="I40" s="147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146"/>
      <c r="AK40" s="146"/>
      <c r="AL40" s="146"/>
      <c r="AM40" s="146"/>
      <c r="AN40" s="146"/>
      <c r="AO40" s="146"/>
      <c r="AP40" s="146"/>
      <c r="AQ40" s="146"/>
      <c r="AR40" s="146"/>
      <c r="AS40" s="146"/>
      <c r="AT40" s="146"/>
      <c r="AU40" s="146"/>
      <c r="AV40" s="146"/>
      <c r="AW40" s="146"/>
      <c r="AX40" s="146"/>
      <c r="AY40" s="146"/>
      <c r="AZ40" s="146"/>
      <c r="BA40" s="146"/>
      <c r="BB40" s="146"/>
      <c r="BC40" s="146"/>
      <c r="BD40" s="146"/>
      <c r="BE40" s="146"/>
      <c r="BF40" s="146"/>
      <c r="BG40" s="146"/>
      <c r="BH40" s="146"/>
      <c r="BI40" s="146"/>
      <c r="BJ40" s="146"/>
      <c r="BK40" s="146"/>
      <c r="BL40" s="146"/>
      <c r="BM40" s="146"/>
      <c r="BN40" s="146"/>
      <c r="BO40" s="146"/>
      <c r="BP40" s="146"/>
      <c r="BQ40" s="146"/>
      <c r="BR40" s="146"/>
    </row>
    <row r="41" spans="2:70" ht="15.75" hidden="1">
      <c r="B41" s="146"/>
      <c r="C41" s="146"/>
      <c r="D41" s="146"/>
      <c r="E41" s="147"/>
      <c r="F41" s="147"/>
      <c r="G41" s="147"/>
      <c r="H41" s="147"/>
      <c r="I41" s="147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146"/>
      <c r="AK41" s="146"/>
      <c r="AL41" s="146"/>
      <c r="AM41" s="146"/>
      <c r="AN41" s="146"/>
      <c r="AO41" s="146"/>
      <c r="AP41" s="146"/>
      <c r="AQ41" s="146"/>
      <c r="AR41" s="146"/>
      <c r="AS41" s="146"/>
      <c r="AT41" s="146"/>
      <c r="AU41" s="146"/>
      <c r="AV41" s="146"/>
      <c r="AW41" s="146"/>
      <c r="AX41" s="146"/>
      <c r="AY41" s="146"/>
      <c r="AZ41" s="146"/>
      <c r="BA41" s="146"/>
      <c r="BB41" s="146"/>
      <c r="BC41" s="146"/>
      <c r="BD41" s="146"/>
      <c r="BE41" s="146"/>
      <c r="BF41" s="146"/>
      <c r="BG41" s="146"/>
      <c r="BH41" s="146"/>
      <c r="BI41" s="146"/>
      <c r="BJ41" s="146"/>
      <c r="BK41" s="146"/>
      <c r="BL41" s="146"/>
      <c r="BM41" s="146"/>
      <c r="BN41" s="146"/>
      <c r="BO41" s="146"/>
      <c r="BP41" s="146"/>
      <c r="BQ41" s="146"/>
      <c r="BR41" s="146"/>
    </row>
    <row r="42" spans="2:70" ht="15.75" hidden="1">
      <c r="B42" s="146"/>
      <c r="C42" s="146"/>
      <c r="D42" s="146"/>
      <c r="E42" s="147"/>
      <c r="F42" s="147"/>
      <c r="G42" s="147"/>
      <c r="H42" s="147"/>
      <c r="I42" s="147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146"/>
      <c r="AK42" s="146"/>
      <c r="AL42" s="146"/>
      <c r="AM42" s="146"/>
      <c r="AN42" s="146"/>
      <c r="AO42" s="146"/>
      <c r="AP42" s="146"/>
      <c r="AQ42" s="146"/>
      <c r="AR42" s="146"/>
      <c r="AS42" s="146"/>
      <c r="AT42" s="146"/>
      <c r="AU42" s="146"/>
      <c r="AV42" s="146"/>
      <c r="AW42" s="146"/>
      <c r="AX42" s="146"/>
      <c r="AY42" s="146"/>
      <c r="AZ42" s="146"/>
      <c r="BA42" s="146"/>
      <c r="BB42" s="146"/>
      <c r="BC42" s="146"/>
      <c r="BD42" s="146"/>
      <c r="BE42" s="146"/>
      <c r="BF42" s="146"/>
      <c r="BG42" s="146"/>
      <c r="BH42" s="146"/>
      <c r="BI42" s="146"/>
      <c r="BJ42" s="146"/>
      <c r="BK42" s="146"/>
      <c r="BL42" s="146"/>
      <c r="BM42" s="146"/>
      <c r="BN42" s="146"/>
      <c r="BO42" s="146"/>
      <c r="BP42" s="146"/>
      <c r="BQ42" s="146"/>
      <c r="BR42" s="146"/>
    </row>
    <row r="43" spans="2:70" ht="15.75" hidden="1">
      <c r="B43" s="146"/>
      <c r="C43" s="146"/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146"/>
      <c r="AK43" s="146"/>
      <c r="AL43" s="146"/>
      <c r="AM43" s="146"/>
      <c r="AN43" s="146"/>
      <c r="AO43" s="146"/>
      <c r="AP43" s="146"/>
      <c r="AQ43" s="146"/>
      <c r="AR43" s="146"/>
      <c r="AS43" s="146"/>
      <c r="AT43" s="146"/>
      <c r="AU43" s="146"/>
      <c r="AV43" s="146"/>
      <c r="AW43" s="146"/>
      <c r="AX43" s="146"/>
      <c r="AY43" s="146"/>
      <c r="AZ43" s="146"/>
      <c r="BA43" s="146"/>
      <c r="BB43" s="146"/>
      <c r="BC43" s="146"/>
      <c r="BD43" s="146"/>
      <c r="BE43" s="146"/>
      <c r="BF43" s="146"/>
      <c r="BG43" s="146"/>
      <c r="BH43" s="146"/>
      <c r="BI43" s="146"/>
      <c r="BJ43" s="146"/>
      <c r="BK43" s="146"/>
      <c r="BL43" s="146"/>
      <c r="BM43" s="146"/>
      <c r="BN43" s="146"/>
      <c r="BO43" s="146"/>
      <c r="BP43" s="146"/>
      <c r="BQ43" s="146"/>
      <c r="BR43" s="146"/>
    </row>
    <row r="44" spans="2:70" ht="15.75" hidden="1">
      <c r="B44" s="146"/>
      <c r="C44" s="146"/>
      <c r="D44" s="146"/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146"/>
      <c r="AK44" s="146"/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  <c r="BC44" s="146"/>
      <c r="BD44" s="146"/>
      <c r="BE44" s="146"/>
      <c r="BF44" s="146"/>
      <c r="BG44" s="146"/>
      <c r="BH44" s="146"/>
      <c r="BI44" s="146"/>
      <c r="BJ44" s="146"/>
      <c r="BK44" s="146"/>
      <c r="BL44" s="146"/>
      <c r="BM44" s="146"/>
      <c r="BN44" s="146"/>
      <c r="BO44" s="146"/>
      <c r="BP44" s="146"/>
      <c r="BQ44" s="146"/>
      <c r="BR44" s="146"/>
    </row>
    <row r="45" spans="2:70" ht="15.75" hidden="1"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146"/>
      <c r="AK45" s="146"/>
      <c r="AL45" s="146"/>
      <c r="AM45" s="146"/>
      <c r="AN45" s="146"/>
      <c r="AO45" s="146"/>
      <c r="AP45" s="146"/>
      <c r="AQ45" s="146"/>
      <c r="AR45" s="146"/>
      <c r="AS45" s="146"/>
      <c r="AT45" s="146"/>
      <c r="AU45" s="146"/>
      <c r="AV45" s="146"/>
      <c r="AW45" s="146"/>
      <c r="AX45" s="146"/>
      <c r="AY45" s="146"/>
      <c r="AZ45" s="146"/>
      <c r="BA45" s="146"/>
      <c r="BB45" s="146"/>
      <c r="BC45" s="146"/>
      <c r="BD45" s="146"/>
      <c r="BE45" s="146"/>
      <c r="BF45" s="146"/>
      <c r="BG45" s="146"/>
      <c r="BH45" s="146"/>
      <c r="BI45" s="146"/>
      <c r="BJ45" s="146"/>
      <c r="BK45" s="146"/>
      <c r="BL45" s="146"/>
      <c r="BM45" s="146"/>
      <c r="BN45" s="146"/>
      <c r="BO45" s="146"/>
      <c r="BP45" s="146"/>
      <c r="BQ45" s="146"/>
      <c r="BR45" s="146"/>
    </row>
    <row r="46" spans="2:70" ht="15.75" hidden="1"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146"/>
      <c r="AK46" s="146"/>
      <c r="AL46" s="146"/>
      <c r="AM46" s="146"/>
      <c r="AN46" s="146"/>
      <c r="AO46" s="146"/>
      <c r="AP46" s="146"/>
      <c r="AQ46" s="146"/>
      <c r="AR46" s="146"/>
      <c r="AS46" s="146"/>
      <c r="AT46" s="146"/>
      <c r="AU46" s="146"/>
      <c r="AV46" s="146"/>
      <c r="AW46" s="146"/>
      <c r="AX46" s="146"/>
      <c r="AY46" s="146"/>
      <c r="AZ46" s="146"/>
      <c r="BA46" s="146"/>
      <c r="BB46" s="146"/>
      <c r="BC46" s="146"/>
      <c r="BD46" s="146"/>
      <c r="BE46" s="146"/>
      <c r="BF46" s="146"/>
      <c r="BG46" s="146"/>
      <c r="BH46" s="146"/>
      <c r="BI46" s="146"/>
      <c r="BJ46" s="146"/>
      <c r="BK46" s="146"/>
      <c r="BL46" s="146"/>
      <c r="BM46" s="146"/>
      <c r="BN46" s="146"/>
      <c r="BO46" s="146"/>
      <c r="BP46" s="146"/>
      <c r="BQ46" s="146"/>
      <c r="BR46" s="146"/>
    </row>
    <row r="47" spans="2:70" ht="15.75" hidden="1"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  <c r="BA47" s="146"/>
      <c r="BB47" s="146"/>
      <c r="BC47" s="146"/>
      <c r="BD47" s="146"/>
      <c r="BE47" s="146"/>
      <c r="BF47" s="146"/>
      <c r="BG47" s="146"/>
      <c r="BH47" s="146"/>
      <c r="BI47" s="146"/>
      <c r="BJ47" s="146"/>
      <c r="BK47" s="146"/>
      <c r="BL47" s="146"/>
      <c r="BM47" s="146"/>
      <c r="BN47" s="146"/>
      <c r="BO47" s="146"/>
      <c r="BP47" s="146"/>
      <c r="BQ47" s="146"/>
      <c r="BR47" s="146"/>
    </row>
    <row r="48" spans="2:70" ht="15.75" hidden="1"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46"/>
      <c r="AY48" s="146"/>
      <c r="AZ48" s="146"/>
      <c r="BA48" s="146"/>
      <c r="BB48" s="146"/>
      <c r="BC48" s="146"/>
      <c r="BD48" s="146"/>
      <c r="BE48" s="146"/>
      <c r="BF48" s="146"/>
      <c r="BG48" s="146"/>
      <c r="BH48" s="146"/>
      <c r="BI48" s="146"/>
      <c r="BJ48" s="146"/>
      <c r="BK48" s="146"/>
      <c r="BL48" s="146"/>
      <c r="BM48" s="146"/>
      <c r="BN48" s="146"/>
      <c r="BO48" s="146"/>
      <c r="BP48" s="146"/>
      <c r="BQ48" s="146"/>
      <c r="BR48" s="146"/>
    </row>
    <row r="49" spans="2:70" ht="15.75" hidden="1"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146"/>
      <c r="AK49" s="146"/>
      <c r="AL49" s="146"/>
      <c r="AM49" s="146"/>
      <c r="AN49" s="146"/>
      <c r="AO49" s="146"/>
      <c r="AP49" s="146"/>
      <c r="AQ49" s="146"/>
      <c r="AR49" s="146"/>
      <c r="AS49" s="146"/>
      <c r="AT49" s="146"/>
      <c r="AU49" s="146"/>
      <c r="AV49" s="146"/>
      <c r="AW49" s="146"/>
      <c r="AX49" s="146"/>
      <c r="AY49" s="146"/>
      <c r="AZ49" s="146"/>
      <c r="BA49" s="146"/>
      <c r="BB49" s="146"/>
      <c r="BC49" s="146"/>
      <c r="BD49" s="146"/>
      <c r="BE49" s="146"/>
      <c r="BF49" s="146"/>
      <c r="BG49" s="146"/>
      <c r="BH49" s="146"/>
      <c r="BI49" s="146"/>
      <c r="BJ49" s="146"/>
      <c r="BK49" s="146"/>
      <c r="BL49" s="146"/>
      <c r="BM49" s="146"/>
      <c r="BN49" s="146"/>
      <c r="BO49" s="146"/>
      <c r="BP49" s="146"/>
      <c r="BQ49" s="146"/>
      <c r="BR49" s="146"/>
    </row>
    <row r="50" spans="2:70" ht="15.75" hidden="1"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  <c r="AP50" s="146"/>
      <c r="AQ50" s="146"/>
      <c r="AR50" s="146"/>
      <c r="AS50" s="146"/>
      <c r="AT50" s="146"/>
      <c r="AU50" s="146"/>
      <c r="AV50" s="146"/>
      <c r="AW50" s="146"/>
      <c r="AX50" s="146"/>
      <c r="AY50" s="146"/>
      <c r="AZ50" s="146"/>
      <c r="BA50" s="146"/>
      <c r="BB50" s="146"/>
      <c r="BC50" s="146"/>
      <c r="BD50" s="146"/>
      <c r="BE50" s="146"/>
      <c r="BF50" s="146"/>
      <c r="BG50" s="146"/>
      <c r="BH50" s="146"/>
      <c r="BI50" s="146"/>
      <c r="BJ50" s="146"/>
      <c r="BK50" s="146"/>
      <c r="BL50" s="146"/>
      <c r="BM50" s="146"/>
      <c r="BN50" s="146"/>
      <c r="BO50" s="146"/>
      <c r="BP50" s="146"/>
      <c r="BQ50" s="146"/>
      <c r="BR50" s="146"/>
    </row>
    <row r="51" spans="2:70" ht="15.75" hidden="1"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  <c r="BA51" s="146"/>
      <c r="BB51" s="146"/>
      <c r="BC51" s="146"/>
      <c r="BD51" s="146"/>
      <c r="BE51" s="146"/>
      <c r="BF51" s="146"/>
      <c r="BG51" s="146"/>
      <c r="BH51" s="146"/>
      <c r="BI51" s="146"/>
      <c r="BJ51" s="146"/>
      <c r="BK51" s="146"/>
      <c r="BL51" s="146"/>
      <c r="BM51" s="146"/>
      <c r="BN51" s="146"/>
      <c r="BO51" s="146"/>
      <c r="BP51" s="146"/>
      <c r="BQ51" s="146"/>
      <c r="BR51" s="146"/>
    </row>
    <row r="52" spans="2:70" ht="15.75" hidden="1"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  <c r="AH52" s="146"/>
      <c r="AI52" s="146"/>
      <c r="AJ52" s="146"/>
      <c r="AK52" s="146"/>
      <c r="AL52" s="146"/>
      <c r="AM52" s="146"/>
      <c r="AN52" s="146"/>
      <c r="AO52" s="146"/>
      <c r="AP52" s="146"/>
      <c r="AQ52" s="146"/>
      <c r="AR52" s="146"/>
      <c r="AS52" s="146"/>
      <c r="AT52" s="146"/>
      <c r="AU52" s="146"/>
      <c r="AV52" s="146"/>
      <c r="AW52" s="146"/>
      <c r="AX52" s="146"/>
      <c r="AY52" s="146"/>
      <c r="AZ52" s="146"/>
      <c r="BA52" s="146"/>
      <c r="BB52" s="146"/>
      <c r="BC52" s="146"/>
      <c r="BD52" s="146"/>
      <c r="BE52" s="146"/>
      <c r="BF52" s="146"/>
      <c r="BG52" s="146"/>
      <c r="BH52" s="146"/>
      <c r="BI52" s="146"/>
      <c r="BJ52" s="146"/>
      <c r="BK52" s="146"/>
      <c r="BL52" s="146"/>
      <c r="BM52" s="146"/>
      <c r="BN52" s="146"/>
      <c r="BO52" s="146"/>
      <c r="BP52" s="146"/>
      <c r="BQ52" s="146"/>
      <c r="BR52" s="146"/>
    </row>
    <row r="53" spans="2:70" ht="15.75" hidden="1"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  <c r="AF53" s="146"/>
      <c r="AG53" s="146"/>
      <c r="AH53" s="146"/>
      <c r="AI53" s="146"/>
      <c r="AJ53" s="146"/>
      <c r="AK53" s="146"/>
      <c r="AL53" s="146"/>
      <c r="AM53" s="146"/>
      <c r="AN53" s="146"/>
      <c r="AO53" s="146"/>
      <c r="AP53" s="146"/>
      <c r="AQ53" s="146"/>
      <c r="AR53" s="146"/>
      <c r="AS53" s="146"/>
      <c r="AT53" s="146"/>
      <c r="AU53" s="146"/>
      <c r="AV53" s="146"/>
      <c r="AW53" s="146"/>
      <c r="AX53" s="146"/>
      <c r="AY53" s="146"/>
      <c r="AZ53" s="146"/>
      <c r="BA53" s="146"/>
      <c r="BB53" s="146"/>
      <c r="BC53" s="146"/>
      <c r="BD53" s="146"/>
      <c r="BE53" s="146"/>
      <c r="BF53" s="146"/>
      <c r="BG53" s="146"/>
      <c r="BH53" s="146"/>
      <c r="BI53" s="146"/>
      <c r="BJ53" s="146"/>
      <c r="BK53" s="146"/>
      <c r="BL53" s="146"/>
      <c r="BM53" s="146"/>
      <c r="BN53" s="146"/>
      <c r="BO53" s="146"/>
      <c r="BP53" s="146"/>
      <c r="BQ53" s="146"/>
      <c r="BR53" s="146"/>
    </row>
    <row r="54" spans="2:70" ht="15.75" hidden="1"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  <c r="AF54" s="146"/>
      <c r="AG54" s="146"/>
      <c r="AH54" s="146"/>
      <c r="AI54" s="146"/>
      <c r="AJ54" s="146"/>
      <c r="AK54" s="146"/>
      <c r="AL54" s="146"/>
      <c r="AM54" s="146"/>
      <c r="AN54" s="146"/>
      <c r="AO54" s="146"/>
      <c r="AP54" s="146"/>
      <c r="AQ54" s="146"/>
      <c r="AR54" s="146"/>
      <c r="AS54" s="146"/>
      <c r="AT54" s="146"/>
      <c r="AU54" s="146"/>
      <c r="AV54" s="146"/>
      <c r="AW54" s="146"/>
      <c r="AX54" s="146"/>
      <c r="AY54" s="146"/>
      <c r="AZ54" s="146"/>
      <c r="BA54" s="146"/>
      <c r="BB54" s="146"/>
      <c r="BC54" s="146"/>
      <c r="BD54" s="146"/>
      <c r="BE54" s="146"/>
      <c r="BF54" s="146"/>
      <c r="BG54" s="146"/>
      <c r="BH54" s="146"/>
      <c r="BI54" s="146"/>
      <c r="BJ54" s="146"/>
      <c r="BK54" s="146"/>
      <c r="BL54" s="146"/>
      <c r="BM54" s="146"/>
      <c r="BN54" s="146"/>
      <c r="BO54" s="146"/>
      <c r="BP54" s="146"/>
      <c r="BQ54" s="146"/>
      <c r="BR54" s="146"/>
    </row>
    <row r="55" spans="2:70" ht="15.75" hidden="1"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  <c r="AH55" s="146"/>
      <c r="AI55" s="146"/>
      <c r="AJ55" s="146"/>
      <c r="AK55" s="146"/>
      <c r="AL55" s="146"/>
      <c r="AM55" s="146"/>
      <c r="AN55" s="146"/>
      <c r="AO55" s="146"/>
      <c r="AP55" s="146"/>
      <c r="AQ55" s="146"/>
      <c r="AR55" s="146"/>
      <c r="AS55" s="146"/>
      <c r="AT55" s="146"/>
      <c r="AU55" s="146"/>
      <c r="AV55" s="146"/>
      <c r="AW55" s="146"/>
      <c r="AX55" s="146"/>
      <c r="AY55" s="146"/>
      <c r="AZ55" s="146"/>
      <c r="BA55" s="146"/>
      <c r="BB55" s="146"/>
      <c r="BC55" s="146"/>
      <c r="BD55" s="146"/>
      <c r="BE55" s="146"/>
      <c r="BF55" s="146"/>
      <c r="BG55" s="146"/>
      <c r="BH55" s="146"/>
      <c r="BI55" s="146"/>
      <c r="BJ55" s="146"/>
      <c r="BK55" s="146"/>
      <c r="BL55" s="146"/>
      <c r="BM55" s="146"/>
      <c r="BN55" s="146"/>
      <c r="BO55" s="146"/>
      <c r="BP55" s="146"/>
      <c r="BQ55" s="146"/>
      <c r="BR55" s="146"/>
    </row>
    <row r="56" spans="2:70" ht="15.75" hidden="1"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  <c r="AF56" s="146"/>
      <c r="AG56" s="146"/>
      <c r="AH56" s="146"/>
      <c r="AI56" s="146"/>
      <c r="AJ56" s="146"/>
      <c r="AK56" s="146"/>
      <c r="AL56" s="146"/>
      <c r="AM56" s="146"/>
      <c r="AN56" s="146"/>
      <c r="AO56" s="146"/>
      <c r="AP56" s="146"/>
      <c r="AQ56" s="146"/>
      <c r="AR56" s="146"/>
      <c r="AS56" s="146"/>
      <c r="AT56" s="146"/>
      <c r="AU56" s="146"/>
      <c r="AV56" s="146"/>
      <c r="AW56" s="146"/>
      <c r="AX56" s="146"/>
      <c r="AY56" s="146"/>
      <c r="AZ56" s="146"/>
      <c r="BA56" s="146"/>
      <c r="BB56" s="146"/>
      <c r="BC56" s="146"/>
      <c r="BD56" s="146"/>
      <c r="BE56" s="146"/>
      <c r="BF56" s="146"/>
      <c r="BG56" s="146"/>
      <c r="BH56" s="146"/>
      <c r="BI56" s="146"/>
      <c r="BJ56" s="146"/>
      <c r="BK56" s="146"/>
      <c r="BL56" s="146"/>
      <c r="BM56" s="146"/>
      <c r="BN56" s="146"/>
      <c r="BO56" s="146"/>
      <c r="BP56" s="146"/>
      <c r="BQ56" s="146"/>
      <c r="BR56" s="146"/>
    </row>
    <row r="57" spans="2:70" ht="15.75" hidden="1"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  <c r="AF57" s="146"/>
      <c r="AG57" s="146"/>
      <c r="AH57" s="146"/>
      <c r="AI57" s="146"/>
      <c r="AJ57" s="146"/>
      <c r="AK57" s="146"/>
      <c r="AL57" s="146"/>
      <c r="AM57" s="146"/>
      <c r="AN57" s="146"/>
      <c r="AO57" s="146"/>
      <c r="AP57" s="146"/>
      <c r="AQ57" s="146"/>
      <c r="AR57" s="146"/>
      <c r="AS57" s="146"/>
      <c r="AT57" s="146"/>
      <c r="AU57" s="146"/>
      <c r="AV57" s="146"/>
      <c r="AW57" s="146"/>
      <c r="AX57" s="146"/>
      <c r="AY57" s="146"/>
      <c r="AZ57" s="146"/>
      <c r="BA57" s="146"/>
      <c r="BB57" s="146"/>
      <c r="BC57" s="146"/>
      <c r="BD57" s="146"/>
      <c r="BE57" s="146"/>
      <c r="BF57" s="146"/>
      <c r="BG57" s="146"/>
      <c r="BH57" s="146"/>
      <c r="BI57" s="146"/>
      <c r="BJ57" s="146"/>
      <c r="BK57" s="146"/>
      <c r="BL57" s="146"/>
      <c r="BM57" s="146"/>
      <c r="BN57" s="146"/>
      <c r="BO57" s="146"/>
      <c r="BP57" s="146"/>
      <c r="BQ57" s="146"/>
      <c r="BR57" s="146"/>
    </row>
    <row r="58" spans="2:70" ht="15.75" hidden="1"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  <c r="AF58" s="146"/>
      <c r="AG58" s="146"/>
      <c r="AH58" s="146"/>
      <c r="AI58" s="146"/>
      <c r="AJ58" s="146"/>
      <c r="AK58" s="146"/>
      <c r="AL58" s="146"/>
      <c r="AM58" s="146"/>
      <c r="AN58" s="146"/>
      <c r="AO58" s="146"/>
      <c r="AP58" s="146"/>
      <c r="AQ58" s="146"/>
      <c r="AR58" s="146"/>
      <c r="AS58" s="146"/>
      <c r="AT58" s="146"/>
      <c r="AU58" s="146"/>
      <c r="AV58" s="146"/>
      <c r="AW58" s="146"/>
      <c r="AX58" s="146"/>
      <c r="AY58" s="146"/>
      <c r="AZ58" s="146"/>
      <c r="BA58" s="146"/>
      <c r="BB58" s="146"/>
      <c r="BC58" s="146"/>
      <c r="BD58" s="146"/>
      <c r="BE58" s="146"/>
      <c r="BF58" s="146"/>
      <c r="BG58" s="146"/>
      <c r="BH58" s="146"/>
      <c r="BI58" s="146"/>
      <c r="BJ58" s="146"/>
      <c r="BK58" s="146"/>
      <c r="BL58" s="146"/>
      <c r="BM58" s="146"/>
      <c r="BN58" s="146"/>
      <c r="BO58" s="146"/>
      <c r="BP58" s="146"/>
      <c r="BQ58" s="146"/>
      <c r="BR58" s="146"/>
    </row>
    <row r="59" spans="2:70" ht="15.75" hidden="1"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  <c r="AF59" s="146"/>
      <c r="AG59" s="146"/>
      <c r="AH59" s="146"/>
      <c r="AI59" s="146"/>
      <c r="AJ59" s="146"/>
      <c r="AK59" s="146"/>
      <c r="AL59" s="146"/>
      <c r="AM59" s="146"/>
      <c r="AN59" s="146"/>
      <c r="AO59" s="146"/>
      <c r="AP59" s="146"/>
      <c r="AQ59" s="146"/>
      <c r="AR59" s="146"/>
      <c r="AS59" s="146"/>
      <c r="AT59" s="146"/>
      <c r="AU59" s="146"/>
      <c r="AV59" s="146"/>
      <c r="AW59" s="146"/>
      <c r="AX59" s="146"/>
      <c r="AY59" s="146"/>
      <c r="AZ59" s="146"/>
      <c r="BA59" s="146"/>
      <c r="BB59" s="146"/>
      <c r="BC59" s="146"/>
      <c r="BD59" s="146"/>
      <c r="BE59" s="146"/>
      <c r="BF59" s="146"/>
      <c r="BG59" s="146"/>
      <c r="BH59" s="146"/>
      <c r="BI59" s="146"/>
      <c r="BJ59" s="146"/>
      <c r="BK59" s="146"/>
      <c r="BL59" s="146"/>
      <c r="BM59" s="146"/>
      <c r="BN59" s="146"/>
      <c r="BO59" s="146"/>
      <c r="BP59" s="146"/>
      <c r="BQ59" s="146"/>
      <c r="BR59" s="146"/>
    </row>
    <row r="60" spans="2:70" ht="15.75" hidden="1"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  <c r="AF60" s="146"/>
      <c r="AG60" s="146"/>
      <c r="AH60" s="146"/>
      <c r="AI60" s="146"/>
      <c r="AJ60" s="146"/>
      <c r="AK60" s="146"/>
      <c r="AL60" s="146"/>
      <c r="AM60" s="146"/>
      <c r="AN60" s="146"/>
      <c r="AO60" s="146"/>
      <c r="AP60" s="146"/>
      <c r="AQ60" s="146"/>
      <c r="AR60" s="146"/>
      <c r="AS60" s="146"/>
      <c r="AT60" s="146"/>
      <c r="AU60" s="146"/>
      <c r="AV60" s="146"/>
      <c r="AW60" s="146"/>
      <c r="AX60" s="146"/>
      <c r="AY60" s="146"/>
      <c r="AZ60" s="146"/>
      <c r="BA60" s="146"/>
      <c r="BB60" s="146"/>
      <c r="BC60" s="146"/>
      <c r="BD60" s="146"/>
      <c r="BE60" s="146"/>
      <c r="BF60" s="146"/>
      <c r="BG60" s="146"/>
      <c r="BH60" s="146"/>
      <c r="BI60" s="146"/>
      <c r="BJ60" s="146"/>
      <c r="BK60" s="146"/>
      <c r="BL60" s="146"/>
      <c r="BM60" s="146"/>
      <c r="BN60" s="146"/>
      <c r="BO60" s="146"/>
      <c r="BP60" s="146"/>
      <c r="BQ60" s="146"/>
      <c r="BR60" s="146"/>
    </row>
    <row r="61" spans="2:70" ht="15.75" hidden="1"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  <c r="AF61" s="146"/>
      <c r="AG61" s="146"/>
      <c r="AH61" s="146"/>
      <c r="AI61" s="146"/>
      <c r="AJ61" s="146"/>
      <c r="AK61" s="146"/>
      <c r="AL61" s="146"/>
      <c r="AM61" s="146"/>
      <c r="AN61" s="146"/>
      <c r="AO61" s="146"/>
      <c r="AP61" s="146"/>
      <c r="AQ61" s="146"/>
      <c r="AR61" s="146"/>
      <c r="AS61" s="146"/>
      <c r="AT61" s="146"/>
      <c r="AU61" s="146"/>
      <c r="AV61" s="146"/>
      <c r="AW61" s="146"/>
      <c r="AX61" s="146"/>
      <c r="AY61" s="146"/>
      <c r="AZ61" s="146"/>
      <c r="BA61" s="146"/>
      <c r="BB61" s="146"/>
      <c r="BC61" s="146"/>
      <c r="BD61" s="146"/>
      <c r="BE61" s="146"/>
      <c r="BF61" s="146"/>
      <c r="BG61" s="146"/>
      <c r="BH61" s="146"/>
      <c r="BI61" s="146"/>
      <c r="BJ61" s="146"/>
      <c r="BK61" s="146"/>
      <c r="BL61" s="146"/>
      <c r="BM61" s="146"/>
      <c r="BN61" s="146"/>
      <c r="BO61" s="146"/>
      <c r="BP61" s="146"/>
      <c r="BQ61" s="146"/>
      <c r="BR61" s="146"/>
    </row>
    <row r="62" spans="2:70" ht="15.75" hidden="1"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  <c r="AF62" s="146"/>
      <c r="AG62" s="146"/>
      <c r="AH62" s="146"/>
      <c r="AI62" s="146"/>
      <c r="AJ62" s="146"/>
      <c r="AK62" s="146"/>
      <c r="AL62" s="146"/>
      <c r="AM62" s="146"/>
      <c r="AN62" s="146"/>
      <c r="AO62" s="146"/>
      <c r="AP62" s="146"/>
      <c r="AQ62" s="146"/>
      <c r="AR62" s="146"/>
      <c r="AS62" s="146"/>
      <c r="AT62" s="146"/>
      <c r="AU62" s="146"/>
      <c r="AV62" s="146"/>
      <c r="AW62" s="146"/>
      <c r="AX62" s="146"/>
      <c r="AY62" s="146"/>
      <c r="AZ62" s="146"/>
      <c r="BA62" s="146"/>
      <c r="BB62" s="146"/>
      <c r="BC62" s="146"/>
      <c r="BD62" s="146"/>
      <c r="BE62" s="146"/>
      <c r="BF62" s="146"/>
      <c r="BG62" s="146"/>
      <c r="BH62" s="146"/>
      <c r="BI62" s="146"/>
      <c r="BJ62" s="146"/>
      <c r="BK62" s="146"/>
      <c r="BL62" s="146"/>
      <c r="BM62" s="146"/>
      <c r="BN62" s="146"/>
      <c r="BO62" s="146"/>
      <c r="BP62" s="146"/>
      <c r="BQ62" s="146"/>
      <c r="BR62" s="146"/>
    </row>
    <row r="63" spans="2:70" ht="15.75" hidden="1"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  <c r="AN63" s="146"/>
      <c r="AO63" s="146"/>
      <c r="AP63" s="146"/>
      <c r="AQ63" s="146"/>
      <c r="AR63" s="146"/>
      <c r="AS63" s="146"/>
      <c r="AT63" s="146"/>
      <c r="AU63" s="146"/>
      <c r="AV63" s="146"/>
      <c r="AW63" s="146"/>
      <c r="AX63" s="146"/>
      <c r="AY63" s="146"/>
      <c r="AZ63" s="146"/>
      <c r="BA63" s="146"/>
      <c r="BB63" s="146"/>
      <c r="BC63" s="146"/>
      <c r="BD63" s="146"/>
      <c r="BE63" s="146"/>
      <c r="BF63" s="146"/>
      <c r="BG63" s="146"/>
      <c r="BH63" s="146"/>
      <c r="BI63" s="146"/>
      <c r="BJ63" s="146"/>
      <c r="BK63" s="146"/>
      <c r="BL63" s="146"/>
      <c r="BM63" s="146"/>
      <c r="BN63" s="146"/>
      <c r="BO63" s="146"/>
      <c r="BP63" s="146"/>
      <c r="BQ63" s="146"/>
      <c r="BR63" s="146"/>
    </row>
    <row r="64" spans="2:70" ht="15.75" hidden="1"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  <c r="AK64" s="146"/>
      <c r="AL64" s="146"/>
      <c r="AM64" s="146"/>
      <c r="AN64" s="146"/>
      <c r="AO64" s="146"/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46"/>
      <c r="BA64" s="146"/>
      <c r="BB64" s="146"/>
      <c r="BC64" s="146"/>
      <c r="BD64" s="146"/>
      <c r="BE64" s="146"/>
      <c r="BF64" s="146"/>
      <c r="BG64" s="146"/>
      <c r="BH64" s="146"/>
      <c r="BI64" s="146"/>
      <c r="BJ64" s="146"/>
      <c r="BK64" s="146"/>
      <c r="BL64" s="146"/>
      <c r="BM64" s="146"/>
      <c r="BN64" s="146"/>
      <c r="BO64" s="146"/>
      <c r="BP64" s="146"/>
      <c r="BQ64" s="146"/>
      <c r="BR64" s="146"/>
    </row>
    <row r="65" spans="2:70" ht="15.75" hidden="1"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  <c r="AF65" s="146"/>
      <c r="AG65" s="146"/>
      <c r="AH65" s="146"/>
      <c r="AI65" s="146"/>
      <c r="AJ65" s="146"/>
      <c r="AK65" s="146"/>
      <c r="AL65" s="146"/>
      <c r="AM65" s="146"/>
      <c r="AN65" s="146"/>
      <c r="AO65" s="146"/>
      <c r="AP65" s="146"/>
      <c r="AQ65" s="146"/>
      <c r="AR65" s="146"/>
      <c r="AS65" s="146"/>
      <c r="AT65" s="146"/>
      <c r="AU65" s="146"/>
      <c r="AV65" s="146"/>
      <c r="AW65" s="146"/>
      <c r="AX65" s="146"/>
      <c r="AY65" s="146"/>
      <c r="AZ65" s="146"/>
      <c r="BA65" s="146"/>
      <c r="BB65" s="146"/>
      <c r="BC65" s="146"/>
      <c r="BD65" s="146"/>
      <c r="BE65" s="146"/>
      <c r="BF65" s="146"/>
      <c r="BG65" s="146"/>
      <c r="BH65" s="146"/>
      <c r="BI65" s="146"/>
      <c r="BJ65" s="146"/>
      <c r="BK65" s="146"/>
      <c r="BL65" s="146"/>
      <c r="BM65" s="146"/>
      <c r="BN65" s="146"/>
      <c r="BO65" s="146"/>
      <c r="BP65" s="146"/>
      <c r="BQ65" s="146"/>
      <c r="BR65" s="146"/>
    </row>
    <row r="66" spans="2:70" ht="15.75" hidden="1"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  <c r="AF66" s="146"/>
      <c r="AG66" s="146"/>
      <c r="AH66" s="146"/>
      <c r="AI66" s="146"/>
      <c r="AJ66" s="146"/>
      <c r="AK66" s="146"/>
      <c r="AL66" s="146"/>
      <c r="AM66" s="146"/>
      <c r="AN66" s="146"/>
      <c r="AO66" s="146"/>
      <c r="AP66" s="146"/>
      <c r="AQ66" s="146"/>
      <c r="AR66" s="146"/>
      <c r="AS66" s="146"/>
      <c r="AT66" s="146"/>
      <c r="AU66" s="146"/>
      <c r="AV66" s="146"/>
      <c r="AW66" s="146"/>
      <c r="AX66" s="146"/>
      <c r="AY66" s="146"/>
      <c r="AZ66" s="146"/>
      <c r="BA66" s="146"/>
      <c r="BB66" s="146"/>
      <c r="BC66" s="146"/>
      <c r="BD66" s="146"/>
      <c r="BE66" s="146"/>
      <c r="BF66" s="146"/>
      <c r="BG66" s="146"/>
      <c r="BH66" s="146"/>
      <c r="BI66" s="146"/>
      <c r="BJ66" s="146"/>
      <c r="BK66" s="146"/>
      <c r="BL66" s="146"/>
      <c r="BM66" s="146"/>
      <c r="BN66" s="146"/>
      <c r="BO66" s="146"/>
      <c r="BP66" s="146"/>
      <c r="BQ66" s="146"/>
      <c r="BR66" s="146"/>
    </row>
    <row r="67" spans="2:70" ht="15.75" hidden="1"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  <c r="AF67" s="146"/>
      <c r="AG67" s="146"/>
      <c r="AH67" s="146"/>
      <c r="AI67" s="146"/>
      <c r="AJ67" s="146"/>
      <c r="AK67" s="146"/>
      <c r="AL67" s="146"/>
      <c r="AM67" s="146"/>
      <c r="AN67" s="146"/>
      <c r="AO67" s="146"/>
      <c r="AP67" s="146"/>
      <c r="AQ67" s="146"/>
      <c r="AR67" s="146"/>
      <c r="AS67" s="146"/>
      <c r="AT67" s="146"/>
      <c r="AU67" s="146"/>
      <c r="AV67" s="146"/>
      <c r="AW67" s="146"/>
      <c r="AX67" s="146"/>
      <c r="AY67" s="146"/>
      <c r="AZ67" s="146"/>
      <c r="BA67" s="146"/>
      <c r="BB67" s="146"/>
      <c r="BC67" s="146"/>
      <c r="BD67" s="146"/>
      <c r="BE67" s="146"/>
      <c r="BF67" s="146"/>
      <c r="BG67" s="146"/>
      <c r="BH67" s="146"/>
      <c r="BI67" s="146"/>
      <c r="BJ67" s="146"/>
      <c r="BK67" s="146"/>
      <c r="BL67" s="146"/>
      <c r="BM67" s="146"/>
      <c r="BN67" s="146"/>
      <c r="BO67" s="146"/>
      <c r="BP67" s="146"/>
      <c r="BQ67" s="146"/>
      <c r="BR67" s="146"/>
    </row>
    <row r="68" spans="2:70" ht="15.75" hidden="1"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  <c r="AF68" s="146"/>
      <c r="AG68" s="146"/>
      <c r="AH68" s="146"/>
      <c r="AI68" s="146"/>
      <c r="AJ68" s="146"/>
      <c r="AK68" s="146"/>
      <c r="AL68" s="146"/>
      <c r="AM68" s="146"/>
      <c r="AN68" s="146"/>
      <c r="AO68" s="146"/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46"/>
      <c r="BA68" s="146"/>
      <c r="BB68" s="146"/>
      <c r="BC68" s="146"/>
      <c r="BD68" s="146"/>
      <c r="BE68" s="146"/>
      <c r="BF68" s="146"/>
      <c r="BG68" s="146"/>
      <c r="BH68" s="146"/>
      <c r="BI68" s="146"/>
      <c r="BJ68" s="146"/>
      <c r="BK68" s="146"/>
      <c r="BL68" s="146"/>
      <c r="BM68" s="146"/>
      <c r="BN68" s="146"/>
      <c r="BO68" s="146"/>
      <c r="BP68" s="146"/>
      <c r="BQ68" s="146"/>
      <c r="BR68" s="146"/>
    </row>
    <row r="69" spans="2:70" ht="15.75" hidden="1"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  <c r="AF69" s="146"/>
      <c r="AG69" s="146"/>
      <c r="AH69" s="146"/>
      <c r="AI69" s="146"/>
      <c r="AJ69" s="146"/>
      <c r="AK69" s="146"/>
      <c r="AL69" s="146"/>
      <c r="AM69" s="146"/>
      <c r="AN69" s="146"/>
      <c r="AO69" s="146"/>
      <c r="AP69" s="146"/>
      <c r="AQ69" s="146"/>
      <c r="AR69" s="146"/>
      <c r="AS69" s="146"/>
      <c r="AT69" s="146"/>
      <c r="AU69" s="146"/>
      <c r="AV69" s="146"/>
      <c r="AW69" s="146"/>
      <c r="AX69" s="146"/>
      <c r="AY69" s="146"/>
      <c r="AZ69" s="146"/>
      <c r="BA69" s="146"/>
      <c r="BB69" s="146"/>
      <c r="BC69" s="146"/>
      <c r="BD69" s="146"/>
      <c r="BE69" s="146"/>
      <c r="BF69" s="146"/>
      <c r="BG69" s="146"/>
      <c r="BH69" s="146"/>
      <c r="BI69" s="146"/>
      <c r="BJ69" s="146"/>
      <c r="BK69" s="146"/>
      <c r="BL69" s="146"/>
      <c r="BM69" s="146"/>
      <c r="BN69" s="146"/>
      <c r="BO69" s="146"/>
      <c r="BP69" s="146"/>
      <c r="BQ69" s="146"/>
      <c r="BR69" s="146"/>
    </row>
    <row r="70" spans="2:70" ht="15.75" hidden="1"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  <c r="AF70" s="146"/>
      <c r="AG70" s="146"/>
      <c r="AH70" s="146"/>
      <c r="AI70" s="146"/>
      <c r="AJ70" s="146"/>
      <c r="AK70" s="146"/>
      <c r="AL70" s="146"/>
      <c r="AM70" s="146"/>
      <c r="AN70" s="146"/>
      <c r="AO70" s="146"/>
      <c r="AP70" s="146"/>
      <c r="AQ70" s="146"/>
      <c r="AR70" s="146"/>
      <c r="AS70" s="146"/>
      <c r="AT70" s="146"/>
      <c r="AU70" s="146"/>
      <c r="AV70" s="146"/>
      <c r="AW70" s="146"/>
      <c r="AX70" s="146"/>
      <c r="AY70" s="146"/>
      <c r="AZ70" s="146"/>
      <c r="BA70" s="146"/>
      <c r="BB70" s="146"/>
      <c r="BC70" s="146"/>
      <c r="BD70" s="146"/>
      <c r="BE70" s="146"/>
      <c r="BF70" s="146"/>
      <c r="BG70" s="146"/>
      <c r="BH70" s="146"/>
      <c r="BI70" s="146"/>
      <c r="BJ70" s="146"/>
      <c r="BK70" s="146"/>
      <c r="BL70" s="146"/>
      <c r="BM70" s="146"/>
      <c r="BN70" s="146"/>
      <c r="BO70" s="146"/>
      <c r="BP70" s="146"/>
      <c r="BQ70" s="146"/>
      <c r="BR70" s="146"/>
    </row>
    <row r="71" spans="2:70" ht="15.75" hidden="1"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6"/>
      <c r="AE71" s="146"/>
      <c r="AF71" s="146"/>
      <c r="AG71" s="146"/>
      <c r="AH71" s="146"/>
      <c r="AI71" s="146"/>
      <c r="AJ71" s="146"/>
      <c r="AK71" s="146"/>
      <c r="AL71" s="146"/>
      <c r="AM71" s="146"/>
      <c r="AN71" s="146"/>
      <c r="AO71" s="146"/>
      <c r="AP71" s="146"/>
      <c r="AQ71" s="146"/>
      <c r="AR71" s="146"/>
      <c r="AS71" s="146"/>
      <c r="AT71" s="146"/>
      <c r="AU71" s="146"/>
      <c r="AV71" s="146"/>
      <c r="AW71" s="146"/>
      <c r="AX71" s="146"/>
      <c r="AY71" s="146"/>
      <c r="AZ71" s="146"/>
      <c r="BA71" s="146"/>
      <c r="BB71" s="146"/>
      <c r="BC71" s="146"/>
      <c r="BD71" s="146"/>
      <c r="BE71" s="146"/>
      <c r="BF71" s="146"/>
      <c r="BG71" s="146"/>
      <c r="BH71" s="146"/>
      <c r="BI71" s="146"/>
      <c r="BJ71" s="146"/>
      <c r="BK71" s="146"/>
      <c r="BL71" s="146"/>
      <c r="BM71" s="146"/>
      <c r="BN71" s="146"/>
      <c r="BO71" s="146"/>
      <c r="BP71" s="146"/>
      <c r="BQ71" s="146"/>
      <c r="BR71" s="146"/>
    </row>
    <row r="72" spans="2:70" ht="15.75" hidden="1"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  <c r="AF72" s="146"/>
      <c r="AG72" s="146"/>
      <c r="AH72" s="146"/>
      <c r="AI72" s="146"/>
      <c r="AJ72" s="146"/>
      <c r="AK72" s="146"/>
      <c r="AL72" s="146"/>
      <c r="AM72" s="146"/>
      <c r="AN72" s="146"/>
      <c r="AO72" s="146"/>
      <c r="AP72" s="146"/>
      <c r="AQ72" s="146"/>
      <c r="AR72" s="146"/>
      <c r="AS72" s="146"/>
      <c r="AT72" s="146"/>
      <c r="AU72" s="146"/>
      <c r="AV72" s="146"/>
      <c r="AW72" s="146"/>
      <c r="AX72" s="146"/>
      <c r="AY72" s="146"/>
      <c r="AZ72" s="146"/>
      <c r="BA72" s="146"/>
      <c r="BB72" s="146"/>
      <c r="BC72" s="146"/>
      <c r="BD72" s="146"/>
      <c r="BE72" s="146"/>
      <c r="BF72" s="146"/>
      <c r="BG72" s="146"/>
      <c r="BH72" s="146"/>
      <c r="BI72" s="146"/>
      <c r="BJ72" s="146"/>
      <c r="BK72" s="146"/>
      <c r="BL72" s="146"/>
      <c r="BM72" s="146"/>
      <c r="BN72" s="146"/>
      <c r="BO72" s="146"/>
      <c r="BP72" s="146"/>
      <c r="BQ72" s="146"/>
      <c r="BR72" s="146"/>
    </row>
    <row r="73" spans="2:70" ht="15.75" hidden="1"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  <c r="AF73" s="146"/>
      <c r="AG73" s="146"/>
      <c r="AH73" s="146"/>
      <c r="AI73" s="146"/>
      <c r="AJ73" s="146"/>
      <c r="AK73" s="146"/>
      <c r="AL73" s="146"/>
      <c r="AM73" s="146"/>
      <c r="AN73" s="146"/>
      <c r="AO73" s="146"/>
      <c r="AP73" s="146"/>
      <c r="AQ73" s="146"/>
      <c r="AR73" s="146"/>
      <c r="AS73" s="146"/>
      <c r="AT73" s="146"/>
      <c r="AU73" s="146"/>
      <c r="AV73" s="146"/>
      <c r="AW73" s="146"/>
      <c r="AX73" s="146"/>
      <c r="AY73" s="146"/>
      <c r="AZ73" s="146"/>
      <c r="BA73" s="146"/>
      <c r="BB73" s="146"/>
      <c r="BC73" s="146"/>
      <c r="BD73" s="146"/>
      <c r="BE73" s="146"/>
      <c r="BF73" s="146"/>
      <c r="BG73" s="146"/>
      <c r="BH73" s="146"/>
      <c r="BI73" s="146"/>
      <c r="BJ73" s="146"/>
      <c r="BK73" s="146"/>
      <c r="BL73" s="146"/>
      <c r="BM73" s="146"/>
      <c r="BN73" s="146"/>
      <c r="BO73" s="146"/>
      <c r="BP73" s="146"/>
      <c r="BQ73" s="146"/>
      <c r="BR73" s="146"/>
    </row>
    <row r="74" spans="2:70" ht="15.75" hidden="1"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  <c r="AF74" s="146"/>
      <c r="AG74" s="146"/>
      <c r="AH74" s="146"/>
      <c r="AI74" s="146"/>
      <c r="AJ74" s="146"/>
      <c r="AK74" s="146"/>
      <c r="AL74" s="146"/>
      <c r="AM74" s="146"/>
      <c r="AN74" s="146"/>
      <c r="AO74" s="146"/>
      <c r="AP74" s="146"/>
      <c r="AQ74" s="146"/>
      <c r="AR74" s="146"/>
      <c r="AS74" s="146"/>
      <c r="AT74" s="146"/>
      <c r="AU74" s="146"/>
      <c r="AV74" s="146"/>
      <c r="AW74" s="146"/>
      <c r="AX74" s="146"/>
      <c r="AY74" s="146"/>
      <c r="AZ74" s="146"/>
      <c r="BA74" s="146"/>
      <c r="BB74" s="146"/>
      <c r="BC74" s="146"/>
      <c r="BD74" s="146"/>
      <c r="BE74" s="146"/>
      <c r="BF74" s="146"/>
      <c r="BG74" s="146"/>
      <c r="BH74" s="146"/>
      <c r="BI74" s="146"/>
      <c r="BJ74" s="146"/>
      <c r="BK74" s="146"/>
      <c r="BL74" s="146"/>
      <c r="BM74" s="146"/>
      <c r="BN74" s="146"/>
      <c r="BO74" s="146"/>
      <c r="BP74" s="146"/>
      <c r="BQ74" s="146"/>
      <c r="BR74" s="146"/>
    </row>
    <row r="75" spans="2:70" ht="15.75" hidden="1"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</row>
    <row r="76" spans="2:70" ht="15.75" hidden="1"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  <c r="AF76" s="146"/>
      <c r="AG76" s="146"/>
      <c r="AH76" s="146"/>
      <c r="AI76" s="146"/>
      <c r="AJ76" s="146"/>
      <c r="AK76" s="146"/>
      <c r="AL76" s="146"/>
      <c r="AM76" s="146"/>
      <c r="AN76" s="146"/>
      <c r="AO76" s="146"/>
      <c r="AP76" s="146"/>
      <c r="AQ76" s="146"/>
      <c r="AR76" s="146"/>
      <c r="AS76" s="146"/>
      <c r="AT76" s="146"/>
      <c r="AU76" s="146"/>
      <c r="AV76" s="146"/>
      <c r="AW76" s="146"/>
      <c r="AX76" s="146"/>
      <c r="AY76" s="146"/>
      <c r="AZ76" s="146"/>
      <c r="BA76" s="146"/>
      <c r="BB76" s="146"/>
      <c r="BC76" s="146"/>
      <c r="BD76" s="146"/>
      <c r="BE76" s="146"/>
      <c r="BF76" s="146"/>
      <c r="BG76" s="146"/>
      <c r="BH76" s="146"/>
      <c r="BI76" s="146"/>
      <c r="BJ76" s="146"/>
      <c r="BK76" s="146"/>
      <c r="BL76" s="146"/>
      <c r="BM76" s="146"/>
      <c r="BN76" s="146"/>
      <c r="BO76" s="146"/>
      <c r="BP76" s="146"/>
      <c r="BQ76" s="146"/>
      <c r="BR76" s="146"/>
    </row>
    <row r="77" spans="2:70" ht="15.75" hidden="1"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  <c r="AF77" s="146"/>
      <c r="AG77" s="146"/>
      <c r="AH77" s="146"/>
      <c r="AI77" s="146"/>
      <c r="AJ77" s="146"/>
      <c r="AK77" s="146"/>
      <c r="AL77" s="146"/>
      <c r="AM77" s="146"/>
      <c r="AN77" s="146"/>
      <c r="AO77" s="146"/>
      <c r="AP77" s="146"/>
      <c r="AQ77" s="146"/>
      <c r="AR77" s="146"/>
      <c r="AS77" s="146"/>
      <c r="AT77" s="146"/>
      <c r="AU77" s="146"/>
      <c r="AV77" s="146"/>
      <c r="AW77" s="146"/>
      <c r="AX77" s="146"/>
      <c r="AY77" s="146"/>
      <c r="AZ77" s="146"/>
      <c r="BA77" s="146"/>
      <c r="BB77" s="146"/>
      <c r="BC77" s="146"/>
      <c r="BD77" s="146"/>
      <c r="BE77" s="146"/>
      <c r="BF77" s="146"/>
      <c r="BG77" s="146"/>
      <c r="BH77" s="146"/>
      <c r="BI77" s="146"/>
      <c r="BJ77" s="146"/>
      <c r="BK77" s="146"/>
      <c r="BL77" s="146"/>
      <c r="BM77" s="146"/>
      <c r="BN77" s="146"/>
      <c r="BO77" s="146"/>
      <c r="BP77" s="146"/>
      <c r="BQ77" s="146"/>
      <c r="BR77" s="146"/>
    </row>
    <row r="78" spans="2:70" ht="15.75" hidden="1"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  <c r="AF78" s="146"/>
      <c r="AG78" s="146"/>
      <c r="AH78" s="146"/>
      <c r="AI78" s="146"/>
      <c r="AJ78" s="146"/>
      <c r="AK78" s="146"/>
      <c r="AL78" s="146"/>
      <c r="AM78" s="146"/>
      <c r="AN78" s="146"/>
      <c r="AO78" s="146"/>
      <c r="AP78" s="146"/>
      <c r="AQ78" s="146"/>
      <c r="AR78" s="146"/>
      <c r="AS78" s="146"/>
      <c r="AT78" s="146"/>
      <c r="AU78" s="146"/>
      <c r="AV78" s="146"/>
      <c r="AW78" s="146"/>
      <c r="AX78" s="146"/>
      <c r="AY78" s="146"/>
      <c r="AZ78" s="146"/>
      <c r="BA78" s="146"/>
      <c r="BB78" s="146"/>
      <c r="BC78" s="146"/>
      <c r="BD78" s="146"/>
      <c r="BE78" s="146"/>
      <c r="BF78" s="146"/>
      <c r="BG78" s="146"/>
      <c r="BH78" s="146"/>
      <c r="BI78" s="146"/>
      <c r="BJ78" s="146"/>
      <c r="BK78" s="146"/>
      <c r="BL78" s="146"/>
      <c r="BM78" s="146"/>
      <c r="BN78" s="146"/>
      <c r="BO78" s="146"/>
      <c r="BP78" s="146"/>
      <c r="BQ78" s="146"/>
      <c r="BR78" s="146"/>
    </row>
    <row r="79" spans="2:70" ht="15.75" hidden="1"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  <c r="AF79" s="146"/>
      <c r="AG79" s="146"/>
      <c r="AH79" s="146"/>
      <c r="AI79" s="146"/>
      <c r="AJ79" s="146"/>
      <c r="AK79" s="146"/>
      <c r="AL79" s="146"/>
      <c r="AM79" s="146"/>
      <c r="AN79" s="146"/>
      <c r="AO79" s="146"/>
      <c r="AP79" s="146"/>
      <c r="AQ79" s="146"/>
      <c r="AR79" s="146"/>
      <c r="AS79" s="146"/>
      <c r="AT79" s="146"/>
      <c r="AU79" s="146"/>
      <c r="AV79" s="146"/>
      <c r="AW79" s="146"/>
      <c r="AX79" s="146"/>
      <c r="AY79" s="146"/>
      <c r="AZ79" s="146"/>
      <c r="BA79" s="146"/>
      <c r="BB79" s="146"/>
      <c r="BC79" s="146"/>
      <c r="BD79" s="146"/>
      <c r="BE79" s="146"/>
      <c r="BF79" s="146"/>
      <c r="BG79" s="146"/>
      <c r="BH79" s="146"/>
      <c r="BI79" s="146"/>
      <c r="BJ79" s="146"/>
      <c r="BK79" s="146"/>
      <c r="BL79" s="146"/>
      <c r="BM79" s="146"/>
      <c r="BN79" s="146"/>
      <c r="BO79" s="146"/>
      <c r="BP79" s="146"/>
      <c r="BQ79" s="146"/>
      <c r="BR79" s="146"/>
    </row>
    <row r="80" spans="2:70" ht="15.75" hidden="1"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  <c r="AF80" s="146"/>
      <c r="AG80" s="146"/>
      <c r="AH80" s="146"/>
      <c r="AI80" s="146"/>
      <c r="AJ80" s="146"/>
      <c r="AK80" s="146"/>
      <c r="AL80" s="146"/>
      <c r="AM80" s="146"/>
      <c r="AN80" s="146"/>
      <c r="AO80" s="146"/>
      <c r="AP80" s="146"/>
      <c r="AQ80" s="146"/>
      <c r="AR80" s="146"/>
      <c r="AS80" s="146"/>
      <c r="AT80" s="146"/>
      <c r="AU80" s="146"/>
      <c r="AV80" s="146"/>
      <c r="AW80" s="146"/>
      <c r="AX80" s="146"/>
      <c r="AY80" s="146"/>
      <c r="AZ80" s="146"/>
      <c r="BA80" s="146"/>
      <c r="BB80" s="146"/>
      <c r="BC80" s="146"/>
      <c r="BD80" s="146"/>
      <c r="BE80" s="146"/>
      <c r="BF80" s="146"/>
      <c r="BG80" s="146"/>
      <c r="BH80" s="146"/>
      <c r="BI80" s="146"/>
      <c r="BJ80" s="146"/>
      <c r="BK80" s="146"/>
      <c r="BL80" s="146"/>
      <c r="BM80" s="146"/>
      <c r="BN80" s="146"/>
      <c r="BO80" s="146"/>
      <c r="BP80" s="146"/>
      <c r="BQ80" s="146"/>
      <c r="BR80" s="146"/>
    </row>
    <row r="81" spans="2:70" ht="15.75" hidden="1"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  <c r="AF81" s="146"/>
      <c r="AG81" s="146"/>
      <c r="AH81" s="146"/>
      <c r="AI81" s="146"/>
      <c r="AJ81" s="146"/>
      <c r="AK81" s="146"/>
      <c r="AL81" s="146"/>
      <c r="AM81" s="146"/>
      <c r="AN81" s="146"/>
      <c r="AO81" s="146"/>
      <c r="AP81" s="146"/>
      <c r="AQ81" s="146"/>
      <c r="AR81" s="146"/>
      <c r="AS81" s="146"/>
      <c r="AT81" s="146"/>
      <c r="AU81" s="146"/>
      <c r="AV81" s="146"/>
      <c r="AW81" s="146"/>
      <c r="AX81" s="146"/>
      <c r="AY81" s="146"/>
      <c r="AZ81" s="146"/>
      <c r="BA81" s="146"/>
      <c r="BB81" s="146"/>
      <c r="BC81" s="146"/>
      <c r="BD81" s="146"/>
      <c r="BE81" s="146"/>
      <c r="BF81" s="146"/>
      <c r="BG81" s="146"/>
      <c r="BH81" s="146"/>
      <c r="BI81" s="146"/>
      <c r="BJ81" s="146"/>
      <c r="BK81" s="146"/>
      <c r="BL81" s="146"/>
      <c r="BM81" s="146"/>
      <c r="BN81" s="146"/>
      <c r="BO81" s="146"/>
      <c r="BP81" s="146"/>
      <c r="BQ81" s="146"/>
      <c r="BR81" s="146"/>
    </row>
    <row r="82" spans="2:70" ht="15.75" hidden="1"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  <c r="AF82" s="146"/>
      <c r="AG82" s="146"/>
      <c r="AH82" s="146"/>
      <c r="AI82" s="146"/>
      <c r="AJ82" s="146"/>
      <c r="AK82" s="146"/>
      <c r="AL82" s="146"/>
      <c r="AM82" s="146"/>
      <c r="AN82" s="146"/>
      <c r="AO82" s="146"/>
      <c r="AP82" s="146"/>
      <c r="AQ82" s="146"/>
      <c r="AR82" s="146"/>
      <c r="AS82" s="146"/>
      <c r="AT82" s="146"/>
      <c r="AU82" s="146"/>
      <c r="AV82" s="146"/>
      <c r="AW82" s="146"/>
      <c r="AX82" s="146"/>
      <c r="AY82" s="146"/>
      <c r="AZ82" s="146"/>
      <c r="BA82" s="146"/>
      <c r="BB82" s="146"/>
      <c r="BC82" s="146"/>
      <c r="BD82" s="146"/>
      <c r="BE82" s="146"/>
      <c r="BF82" s="146"/>
      <c r="BG82" s="146"/>
      <c r="BH82" s="146"/>
      <c r="BI82" s="146"/>
      <c r="BJ82" s="146"/>
      <c r="BK82" s="146"/>
      <c r="BL82" s="146"/>
      <c r="BM82" s="146"/>
      <c r="BN82" s="146"/>
      <c r="BO82" s="146"/>
      <c r="BP82" s="146"/>
      <c r="BQ82" s="146"/>
      <c r="BR82" s="146"/>
    </row>
    <row r="83" spans="2:70" ht="15.75" hidden="1"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6"/>
      <c r="AE83" s="146"/>
      <c r="AF83" s="146"/>
      <c r="AG83" s="146"/>
      <c r="AH83" s="146"/>
      <c r="AI83" s="146"/>
      <c r="AJ83" s="146"/>
      <c r="AK83" s="146"/>
      <c r="AL83" s="146"/>
      <c r="AM83" s="146"/>
      <c r="AN83" s="146"/>
      <c r="AO83" s="146"/>
      <c r="AP83" s="146"/>
      <c r="AQ83" s="146"/>
      <c r="AR83" s="146"/>
      <c r="AS83" s="146"/>
      <c r="AT83" s="146"/>
      <c r="AU83" s="146"/>
      <c r="AV83" s="146"/>
      <c r="AW83" s="146"/>
      <c r="AX83" s="146"/>
      <c r="AY83" s="146"/>
      <c r="AZ83" s="146"/>
      <c r="BA83" s="146"/>
      <c r="BB83" s="146"/>
      <c r="BC83" s="146"/>
      <c r="BD83" s="146"/>
      <c r="BE83" s="146"/>
      <c r="BF83" s="146"/>
      <c r="BG83" s="146"/>
      <c r="BH83" s="146"/>
      <c r="BI83" s="146"/>
      <c r="BJ83" s="146"/>
      <c r="BK83" s="146"/>
      <c r="BL83" s="146"/>
      <c r="BM83" s="146"/>
      <c r="BN83" s="146"/>
      <c r="BO83" s="146"/>
      <c r="BP83" s="146"/>
      <c r="BQ83" s="146"/>
      <c r="BR83" s="146"/>
    </row>
    <row r="84" spans="2:70" ht="15.75" hidden="1"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  <c r="AH84" s="146"/>
      <c r="AI84" s="146"/>
      <c r="AJ84" s="146"/>
      <c r="AK84" s="146"/>
      <c r="AL84" s="146"/>
      <c r="AM84" s="146"/>
      <c r="AN84" s="146"/>
      <c r="AO84" s="146"/>
      <c r="AP84" s="146"/>
      <c r="AQ84" s="146"/>
      <c r="AR84" s="146"/>
      <c r="AS84" s="146"/>
      <c r="AT84" s="146"/>
      <c r="AU84" s="146"/>
      <c r="AV84" s="146"/>
      <c r="AW84" s="146"/>
      <c r="AX84" s="146"/>
      <c r="AY84" s="146"/>
      <c r="AZ84" s="146"/>
      <c r="BA84" s="146"/>
      <c r="BB84" s="146"/>
      <c r="BC84" s="146"/>
      <c r="BD84" s="146"/>
      <c r="BE84" s="146"/>
      <c r="BF84" s="146"/>
      <c r="BG84" s="146"/>
      <c r="BH84" s="146"/>
      <c r="BI84" s="146"/>
      <c r="BJ84" s="146"/>
      <c r="BK84" s="146"/>
      <c r="BL84" s="146"/>
      <c r="BM84" s="146"/>
      <c r="BN84" s="146"/>
      <c r="BO84" s="146"/>
      <c r="BP84" s="146"/>
      <c r="BQ84" s="146"/>
      <c r="BR84" s="146"/>
    </row>
    <row r="85" spans="2:70" ht="15.75" hidden="1"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  <c r="AF85" s="146"/>
      <c r="AG85" s="146"/>
      <c r="AH85" s="146"/>
      <c r="AI85" s="146"/>
      <c r="AJ85" s="146"/>
      <c r="AK85" s="146"/>
      <c r="AL85" s="146"/>
      <c r="AM85" s="146"/>
      <c r="AN85" s="146"/>
      <c r="AO85" s="146"/>
      <c r="AP85" s="146"/>
      <c r="AQ85" s="146"/>
      <c r="AR85" s="146"/>
      <c r="AS85" s="146"/>
      <c r="AT85" s="146"/>
      <c r="AU85" s="146"/>
      <c r="AV85" s="146"/>
      <c r="AW85" s="146"/>
      <c r="AX85" s="146"/>
      <c r="AY85" s="146"/>
      <c r="AZ85" s="146"/>
      <c r="BA85" s="146"/>
      <c r="BB85" s="146"/>
      <c r="BC85" s="146"/>
      <c r="BD85" s="146"/>
      <c r="BE85" s="146"/>
      <c r="BF85" s="146"/>
      <c r="BG85" s="146"/>
      <c r="BH85" s="146"/>
      <c r="BI85" s="146"/>
      <c r="BJ85" s="146"/>
      <c r="BK85" s="146"/>
      <c r="BL85" s="146"/>
      <c r="BM85" s="146"/>
      <c r="BN85" s="146"/>
      <c r="BO85" s="146"/>
      <c r="BP85" s="146"/>
      <c r="BQ85" s="146"/>
      <c r="BR85" s="146"/>
    </row>
    <row r="86" spans="2:70" ht="15.75" hidden="1"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F86" s="146"/>
      <c r="AG86" s="146"/>
      <c r="AH86" s="146"/>
      <c r="AI86" s="146"/>
      <c r="AJ86" s="146"/>
      <c r="AK86" s="146"/>
      <c r="AL86" s="146"/>
      <c r="AM86" s="146"/>
      <c r="AN86" s="146"/>
      <c r="AO86" s="146"/>
      <c r="AP86" s="146"/>
      <c r="AQ86" s="146"/>
      <c r="AR86" s="146"/>
      <c r="AS86" s="146"/>
      <c r="AT86" s="146"/>
      <c r="AU86" s="146"/>
      <c r="AV86" s="146"/>
      <c r="AW86" s="146"/>
      <c r="AX86" s="146"/>
      <c r="AY86" s="146"/>
      <c r="AZ86" s="146"/>
      <c r="BA86" s="146"/>
      <c r="BB86" s="146"/>
      <c r="BC86" s="146"/>
      <c r="BD86" s="146"/>
      <c r="BE86" s="146"/>
      <c r="BF86" s="146"/>
      <c r="BG86" s="146"/>
      <c r="BH86" s="146"/>
      <c r="BI86" s="146"/>
      <c r="BJ86" s="146"/>
      <c r="BK86" s="146"/>
      <c r="BL86" s="146"/>
      <c r="BM86" s="146"/>
      <c r="BN86" s="146"/>
      <c r="BO86" s="146"/>
      <c r="BP86" s="146"/>
      <c r="BQ86" s="146"/>
      <c r="BR86" s="146"/>
    </row>
    <row r="87" spans="2:70" ht="15.75" hidden="1"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  <c r="AF87" s="146"/>
      <c r="AG87" s="146"/>
      <c r="AH87" s="146"/>
      <c r="AI87" s="146"/>
      <c r="AJ87" s="146"/>
      <c r="AK87" s="146"/>
      <c r="AL87" s="146"/>
      <c r="AM87" s="146"/>
      <c r="AN87" s="146"/>
      <c r="AO87" s="146"/>
      <c r="AP87" s="146"/>
      <c r="AQ87" s="146"/>
      <c r="AR87" s="146"/>
      <c r="AS87" s="146"/>
      <c r="AT87" s="146"/>
      <c r="AU87" s="146"/>
      <c r="AV87" s="146"/>
      <c r="AW87" s="146"/>
      <c r="AX87" s="146"/>
      <c r="AY87" s="146"/>
      <c r="AZ87" s="146"/>
      <c r="BA87" s="146"/>
      <c r="BB87" s="146"/>
      <c r="BC87" s="146"/>
      <c r="BD87" s="146"/>
      <c r="BE87" s="146"/>
      <c r="BF87" s="146"/>
      <c r="BG87" s="146"/>
      <c r="BH87" s="146"/>
      <c r="BI87" s="146"/>
      <c r="BJ87" s="146"/>
      <c r="BK87" s="146"/>
      <c r="BL87" s="146"/>
      <c r="BM87" s="146"/>
      <c r="BN87" s="146"/>
      <c r="BO87" s="146"/>
      <c r="BP87" s="146"/>
      <c r="BQ87" s="146"/>
      <c r="BR87" s="146"/>
    </row>
    <row r="88" spans="2:70" ht="15.75" hidden="1"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6"/>
      <c r="AE88" s="146"/>
      <c r="AF88" s="146"/>
      <c r="AG88" s="146"/>
      <c r="AH88" s="146"/>
      <c r="AI88" s="146"/>
      <c r="AJ88" s="146"/>
      <c r="AK88" s="146"/>
      <c r="AL88" s="146"/>
      <c r="AM88" s="146"/>
      <c r="AN88" s="146"/>
      <c r="AO88" s="146"/>
      <c r="AP88" s="146"/>
      <c r="AQ88" s="146"/>
      <c r="AR88" s="146"/>
      <c r="AS88" s="146"/>
      <c r="AT88" s="146"/>
      <c r="AU88" s="146"/>
      <c r="AV88" s="146"/>
      <c r="AW88" s="146"/>
      <c r="AX88" s="146"/>
      <c r="AY88" s="146"/>
      <c r="AZ88" s="146"/>
      <c r="BA88" s="146"/>
      <c r="BB88" s="146"/>
      <c r="BC88" s="146"/>
      <c r="BD88" s="146"/>
      <c r="BE88" s="146"/>
      <c r="BF88" s="146"/>
      <c r="BG88" s="146"/>
      <c r="BH88" s="146"/>
      <c r="BI88" s="146"/>
      <c r="BJ88" s="146"/>
      <c r="BK88" s="146"/>
      <c r="BL88" s="146"/>
      <c r="BM88" s="146"/>
      <c r="BN88" s="146"/>
      <c r="BO88" s="146"/>
      <c r="BP88" s="146"/>
      <c r="BQ88" s="146"/>
      <c r="BR88" s="146"/>
    </row>
    <row r="89" spans="2:70" ht="15.75" hidden="1"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  <c r="AH89" s="146"/>
      <c r="AI89" s="146"/>
      <c r="AJ89" s="146"/>
      <c r="AK89" s="146"/>
      <c r="AL89" s="146"/>
      <c r="AM89" s="146"/>
      <c r="AN89" s="146"/>
      <c r="AO89" s="146"/>
      <c r="AP89" s="146"/>
      <c r="AQ89" s="146"/>
      <c r="AR89" s="146"/>
      <c r="AS89" s="146"/>
      <c r="AT89" s="146"/>
      <c r="AU89" s="146"/>
      <c r="AV89" s="146"/>
      <c r="AW89" s="146"/>
      <c r="AX89" s="146"/>
      <c r="AY89" s="146"/>
      <c r="AZ89" s="146"/>
      <c r="BA89" s="146"/>
      <c r="BB89" s="146"/>
      <c r="BC89" s="146"/>
      <c r="BD89" s="146"/>
      <c r="BE89" s="146"/>
      <c r="BF89" s="146"/>
      <c r="BG89" s="146"/>
      <c r="BH89" s="146"/>
      <c r="BI89" s="146"/>
      <c r="BJ89" s="146"/>
      <c r="BK89" s="146"/>
      <c r="BL89" s="146"/>
      <c r="BM89" s="146"/>
      <c r="BN89" s="146"/>
      <c r="BO89" s="146"/>
      <c r="BP89" s="146"/>
      <c r="BQ89" s="146"/>
      <c r="BR89" s="146"/>
    </row>
    <row r="90" spans="2:70" ht="15.75" hidden="1"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  <c r="AH90" s="146"/>
      <c r="AI90" s="146"/>
      <c r="AJ90" s="146"/>
      <c r="AK90" s="146"/>
      <c r="AL90" s="146"/>
      <c r="AM90" s="146"/>
      <c r="AN90" s="146"/>
      <c r="AO90" s="146"/>
      <c r="AP90" s="146"/>
      <c r="AQ90" s="146"/>
      <c r="AR90" s="146"/>
      <c r="AS90" s="146"/>
      <c r="AT90" s="146"/>
      <c r="AU90" s="146"/>
      <c r="AV90" s="146"/>
      <c r="AW90" s="146"/>
      <c r="AX90" s="146"/>
      <c r="AY90" s="146"/>
      <c r="AZ90" s="146"/>
      <c r="BA90" s="146"/>
      <c r="BB90" s="146"/>
      <c r="BC90" s="146"/>
      <c r="BD90" s="146"/>
      <c r="BE90" s="146"/>
      <c r="BF90" s="146"/>
      <c r="BG90" s="146"/>
      <c r="BH90" s="146"/>
      <c r="BI90" s="146"/>
      <c r="BJ90" s="146"/>
      <c r="BK90" s="146"/>
      <c r="BL90" s="146"/>
      <c r="BM90" s="146"/>
      <c r="BN90" s="146"/>
      <c r="BO90" s="146"/>
      <c r="BP90" s="146"/>
      <c r="BQ90" s="146"/>
      <c r="BR90" s="146"/>
    </row>
    <row r="91" spans="2:70" ht="15.75" hidden="1"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  <c r="AH91" s="146"/>
      <c r="AI91" s="146"/>
      <c r="AJ91" s="146"/>
      <c r="AK91" s="146"/>
      <c r="AL91" s="146"/>
      <c r="AM91" s="146"/>
      <c r="AN91" s="146"/>
      <c r="AO91" s="146"/>
      <c r="AP91" s="146"/>
      <c r="AQ91" s="146"/>
      <c r="AR91" s="146"/>
      <c r="AS91" s="146"/>
      <c r="AT91" s="146"/>
      <c r="AU91" s="146"/>
      <c r="AV91" s="146"/>
      <c r="AW91" s="146"/>
      <c r="AX91" s="146"/>
      <c r="AY91" s="146"/>
      <c r="AZ91" s="146"/>
      <c r="BA91" s="146"/>
      <c r="BB91" s="146"/>
      <c r="BC91" s="146"/>
      <c r="BD91" s="146"/>
      <c r="BE91" s="146"/>
      <c r="BF91" s="146"/>
      <c r="BG91" s="146"/>
      <c r="BH91" s="146"/>
      <c r="BI91" s="146"/>
      <c r="BJ91" s="146"/>
      <c r="BK91" s="146"/>
      <c r="BL91" s="146"/>
      <c r="BM91" s="146"/>
      <c r="BN91" s="146"/>
      <c r="BO91" s="146"/>
      <c r="BP91" s="146"/>
      <c r="BQ91" s="146"/>
      <c r="BR91" s="146"/>
    </row>
    <row r="92" spans="2:70" ht="15.75" hidden="1"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  <c r="AH92" s="146"/>
      <c r="AI92" s="146"/>
      <c r="AJ92" s="146"/>
      <c r="AK92" s="146"/>
      <c r="AL92" s="146"/>
      <c r="AM92" s="146"/>
      <c r="AN92" s="146"/>
      <c r="AO92" s="146"/>
      <c r="AP92" s="146"/>
      <c r="AQ92" s="146"/>
      <c r="AR92" s="146"/>
      <c r="AS92" s="146"/>
      <c r="AT92" s="146"/>
      <c r="AU92" s="146"/>
      <c r="AV92" s="146"/>
      <c r="AW92" s="146"/>
      <c r="AX92" s="146"/>
      <c r="AY92" s="146"/>
      <c r="AZ92" s="146"/>
      <c r="BA92" s="146"/>
      <c r="BB92" s="146"/>
      <c r="BC92" s="146"/>
      <c r="BD92" s="146"/>
      <c r="BE92" s="146"/>
      <c r="BF92" s="146"/>
      <c r="BG92" s="146"/>
      <c r="BH92" s="146"/>
      <c r="BI92" s="146"/>
      <c r="BJ92" s="146"/>
      <c r="BK92" s="146"/>
      <c r="BL92" s="146"/>
      <c r="BM92" s="146"/>
      <c r="BN92" s="146"/>
      <c r="BO92" s="146"/>
      <c r="BP92" s="146"/>
      <c r="BQ92" s="146"/>
      <c r="BR92" s="146"/>
    </row>
    <row r="93" spans="2:70" ht="15.75" hidden="1"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6"/>
      <c r="AL93" s="146"/>
      <c r="AM93" s="146"/>
      <c r="AN93" s="146"/>
      <c r="AO93" s="146"/>
      <c r="AP93" s="146"/>
      <c r="AQ93" s="146"/>
      <c r="AR93" s="146"/>
      <c r="AS93" s="146"/>
      <c r="AT93" s="146"/>
      <c r="AU93" s="146"/>
      <c r="AV93" s="146"/>
      <c r="AW93" s="146"/>
      <c r="AX93" s="146"/>
      <c r="AY93" s="146"/>
      <c r="AZ93" s="146"/>
      <c r="BA93" s="146"/>
      <c r="BB93" s="146"/>
      <c r="BC93" s="146"/>
      <c r="BD93" s="146"/>
      <c r="BE93" s="146"/>
      <c r="BF93" s="146"/>
      <c r="BG93" s="146"/>
      <c r="BH93" s="146"/>
      <c r="BI93" s="146"/>
      <c r="BJ93" s="146"/>
      <c r="BK93" s="146"/>
      <c r="BL93" s="146"/>
      <c r="BM93" s="146"/>
      <c r="BN93" s="146"/>
      <c r="BO93" s="146"/>
      <c r="BP93" s="146"/>
      <c r="BQ93" s="146"/>
      <c r="BR93" s="146"/>
    </row>
    <row r="94" spans="2:70" ht="15.75" hidden="1"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6"/>
      <c r="AE94" s="146"/>
      <c r="AF94" s="146"/>
      <c r="AG94" s="146"/>
      <c r="AH94" s="146"/>
      <c r="AI94" s="146"/>
      <c r="AJ94" s="146"/>
      <c r="AK94" s="146"/>
      <c r="AL94" s="146"/>
      <c r="AM94" s="146"/>
      <c r="AN94" s="146"/>
      <c r="AO94" s="146"/>
      <c r="AP94" s="146"/>
      <c r="AQ94" s="146"/>
      <c r="AR94" s="146"/>
      <c r="AS94" s="146"/>
      <c r="AT94" s="146"/>
      <c r="AU94" s="146"/>
      <c r="AV94" s="146"/>
      <c r="AW94" s="146"/>
      <c r="AX94" s="146"/>
      <c r="AY94" s="146"/>
      <c r="AZ94" s="146"/>
      <c r="BA94" s="146"/>
      <c r="BB94" s="146"/>
      <c r="BC94" s="146"/>
      <c r="BD94" s="146"/>
      <c r="BE94" s="146"/>
      <c r="BF94" s="146"/>
      <c r="BG94" s="146"/>
      <c r="BH94" s="146"/>
      <c r="BI94" s="146"/>
      <c r="BJ94" s="146"/>
      <c r="BK94" s="146"/>
      <c r="BL94" s="146"/>
      <c r="BM94" s="146"/>
      <c r="BN94" s="146"/>
      <c r="BO94" s="146"/>
      <c r="BP94" s="146"/>
      <c r="BQ94" s="146"/>
      <c r="BR94" s="146"/>
    </row>
    <row r="95" spans="2:70" ht="15.75" hidden="1"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6"/>
      <c r="AE95" s="146"/>
      <c r="AF95" s="146"/>
      <c r="AG95" s="146"/>
      <c r="AH95" s="146"/>
      <c r="AI95" s="146"/>
      <c r="AJ95" s="146"/>
      <c r="AK95" s="146"/>
      <c r="AL95" s="146"/>
      <c r="AM95" s="146"/>
      <c r="AN95" s="146"/>
      <c r="AO95" s="146"/>
      <c r="AP95" s="146"/>
      <c r="AQ95" s="146"/>
      <c r="AR95" s="146"/>
      <c r="AS95" s="146"/>
      <c r="AT95" s="146"/>
      <c r="AU95" s="146"/>
      <c r="AV95" s="146"/>
      <c r="AW95" s="146"/>
      <c r="AX95" s="146"/>
      <c r="AY95" s="146"/>
      <c r="AZ95" s="146"/>
      <c r="BA95" s="146"/>
      <c r="BB95" s="146"/>
      <c r="BC95" s="146"/>
      <c r="BD95" s="146"/>
      <c r="BE95" s="146"/>
      <c r="BF95" s="146"/>
      <c r="BG95" s="146"/>
      <c r="BH95" s="146"/>
      <c r="BI95" s="146"/>
      <c r="BJ95" s="146"/>
      <c r="BK95" s="146"/>
      <c r="BL95" s="146"/>
      <c r="BM95" s="146"/>
      <c r="BN95" s="146"/>
      <c r="BO95" s="146"/>
      <c r="BP95" s="146"/>
      <c r="BQ95" s="146"/>
      <c r="BR95" s="146"/>
    </row>
    <row r="96" spans="2:70" ht="15.75" hidden="1"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6"/>
      <c r="AE96" s="146"/>
      <c r="AF96" s="146"/>
      <c r="AG96" s="146"/>
      <c r="AH96" s="146"/>
      <c r="AI96" s="146"/>
      <c r="AJ96" s="146"/>
      <c r="AK96" s="146"/>
      <c r="AL96" s="146"/>
      <c r="AM96" s="146"/>
      <c r="AN96" s="146"/>
      <c r="AO96" s="146"/>
      <c r="AP96" s="146"/>
      <c r="AQ96" s="146"/>
      <c r="AR96" s="146"/>
      <c r="AS96" s="146"/>
      <c r="AT96" s="146"/>
      <c r="AU96" s="146"/>
      <c r="AV96" s="146"/>
      <c r="AW96" s="146"/>
      <c r="AX96" s="146"/>
      <c r="AY96" s="146"/>
      <c r="AZ96" s="146"/>
      <c r="BA96" s="146"/>
      <c r="BB96" s="146"/>
      <c r="BC96" s="146"/>
      <c r="BD96" s="146"/>
      <c r="BE96" s="146"/>
      <c r="BF96" s="146"/>
      <c r="BG96" s="146"/>
      <c r="BH96" s="146"/>
      <c r="BI96" s="146"/>
      <c r="BJ96" s="146"/>
      <c r="BK96" s="146"/>
      <c r="BL96" s="146"/>
      <c r="BM96" s="146"/>
      <c r="BN96" s="146"/>
      <c r="BO96" s="146"/>
      <c r="BP96" s="146"/>
      <c r="BQ96" s="146"/>
      <c r="BR96" s="146"/>
    </row>
    <row r="97" spans="2:70" ht="15.75" hidden="1"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6"/>
      <c r="AE97" s="146"/>
      <c r="AF97" s="146"/>
      <c r="AG97" s="146"/>
      <c r="AH97" s="146"/>
      <c r="AI97" s="146"/>
      <c r="AJ97" s="146"/>
      <c r="AK97" s="146"/>
      <c r="AL97" s="146"/>
      <c r="AM97" s="146"/>
      <c r="AN97" s="146"/>
      <c r="AO97" s="146"/>
      <c r="AP97" s="146"/>
      <c r="AQ97" s="146"/>
      <c r="AR97" s="146"/>
      <c r="AS97" s="146"/>
      <c r="AT97" s="146"/>
      <c r="AU97" s="146"/>
      <c r="AV97" s="146"/>
      <c r="AW97" s="146"/>
      <c r="AX97" s="146"/>
      <c r="AY97" s="146"/>
      <c r="AZ97" s="146"/>
      <c r="BA97" s="146"/>
      <c r="BB97" s="146"/>
      <c r="BC97" s="146"/>
      <c r="BD97" s="146"/>
      <c r="BE97" s="146"/>
      <c r="BF97" s="146"/>
      <c r="BG97" s="146"/>
      <c r="BH97" s="146"/>
      <c r="BI97" s="146"/>
      <c r="BJ97" s="146"/>
      <c r="BK97" s="146"/>
      <c r="BL97" s="146"/>
      <c r="BM97" s="146"/>
      <c r="BN97" s="146"/>
      <c r="BO97" s="146"/>
      <c r="BP97" s="146"/>
      <c r="BQ97" s="146"/>
      <c r="BR97" s="146"/>
    </row>
    <row r="98" spans="2:70" ht="15.75" hidden="1"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6"/>
      <c r="AE98" s="146"/>
      <c r="AF98" s="146"/>
      <c r="AG98" s="146"/>
      <c r="AH98" s="146"/>
      <c r="AI98" s="146"/>
      <c r="AJ98" s="146"/>
      <c r="AK98" s="146"/>
      <c r="AL98" s="146"/>
      <c r="AM98" s="146"/>
      <c r="AN98" s="146"/>
      <c r="AO98" s="146"/>
      <c r="AP98" s="146"/>
      <c r="AQ98" s="146"/>
      <c r="AR98" s="146"/>
      <c r="AS98" s="146"/>
      <c r="AT98" s="146"/>
      <c r="AU98" s="146"/>
      <c r="AV98" s="146"/>
      <c r="AW98" s="146"/>
      <c r="AX98" s="146"/>
      <c r="AY98" s="146"/>
      <c r="AZ98" s="146"/>
      <c r="BA98" s="146"/>
      <c r="BB98" s="146"/>
      <c r="BC98" s="146"/>
      <c r="BD98" s="146"/>
      <c r="BE98" s="146"/>
      <c r="BF98" s="146"/>
      <c r="BG98" s="146"/>
      <c r="BH98" s="146"/>
      <c r="BI98" s="146"/>
      <c r="BJ98" s="146"/>
      <c r="BK98" s="146"/>
      <c r="BL98" s="146"/>
      <c r="BM98" s="146"/>
      <c r="BN98" s="146"/>
      <c r="BO98" s="146"/>
      <c r="BP98" s="146"/>
      <c r="BQ98" s="146"/>
      <c r="BR98" s="146"/>
    </row>
    <row r="99" spans="2:70" ht="15.75" hidden="1"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6"/>
      <c r="AE99" s="146"/>
      <c r="AF99" s="146"/>
      <c r="AG99" s="146"/>
      <c r="AH99" s="146"/>
      <c r="AI99" s="146"/>
      <c r="AJ99" s="146"/>
      <c r="AK99" s="146"/>
      <c r="AL99" s="146"/>
      <c r="AM99" s="146"/>
      <c r="AN99" s="146"/>
      <c r="AO99" s="146"/>
      <c r="AP99" s="146"/>
      <c r="AQ99" s="146"/>
      <c r="AR99" s="146"/>
      <c r="AS99" s="146"/>
      <c r="AT99" s="146"/>
      <c r="AU99" s="146"/>
      <c r="AV99" s="146"/>
      <c r="AW99" s="146"/>
      <c r="AX99" s="146"/>
      <c r="AY99" s="146"/>
      <c r="AZ99" s="146"/>
      <c r="BA99" s="146"/>
      <c r="BB99" s="146"/>
      <c r="BC99" s="146"/>
      <c r="BD99" s="146"/>
      <c r="BE99" s="146"/>
      <c r="BF99" s="146"/>
      <c r="BG99" s="146"/>
      <c r="BH99" s="146"/>
      <c r="BI99" s="146"/>
      <c r="BJ99" s="146"/>
      <c r="BK99" s="146"/>
      <c r="BL99" s="146"/>
      <c r="BM99" s="146"/>
      <c r="BN99" s="146"/>
      <c r="BO99" s="146"/>
      <c r="BP99" s="146"/>
      <c r="BQ99" s="146"/>
      <c r="BR99" s="146"/>
    </row>
    <row r="100" spans="2:70" ht="15.75" hidden="1"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6"/>
      <c r="AE100" s="146"/>
      <c r="AF100" s="146"/>
      <c r="AG100" s="146"/>
      <c r="AH100" s="146"/>
      <c r="AI100" s="146"/>
      <c r="AJ100" s="146"/>
      <c r="AK100" s="146"/>
      <c r="AL100" s="146"/>
      <c r="AM100" s="146"/>
      <c r="AN100" s="146"/>
      <c r="AO100" s="146"/>
      <c r="AP100" s="146"/>
      <c r="AQ100" s="146"/>
      <c r="AR100" s="146"/>
      <c r="AS100" s="146"/>
      <c r="AT100" s="146"/>
      <c r="AU100" s="146"/>
      <c r="AV100" s="146"/>
      <c r="AW100" s="146"/>
      <c r="AX100" s="146"/>
      <c r="AY100" s="146"/>
      <c r="AZ100" s="146"/>
      <c r="BA100" s="146"/>
      <c r="BB100" s="146"/>
      <c r="BC100" s="146"/>
      <c r="BD100" s="146"/>
      <c r="BE100" s="146"/>
      <c r="BF100" s="146"/>
      <c r="BG100" s="146"/>
      <c r="BH100" s="146"/>
      <c r="BI100" s="146"/>
      <c r="BJ100" s="146"/>
      <c r="BK100" s="146"/>
      <c r="BL100" s="146"/>
      <c r="BM100" s="146"/>
      <c r="BN100" s="146"/>
      <c r="BO100" s="146"/>
      <c r="BP100" s="146"/>
      <c r="BQ100" s="146"/>
      <c r="BR100" s="146"/>
    </row>
    <row r="101" spans="2:70" ht="15.75" hidden="1"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6"/>
      <c r="AE101" s="146"/>
      <c r="AF101" s="146"/>
      <c r="AG101" s="146"/>
      <c r="AH101" s="146"/>
      <c r="AI101" s="146"/>
      <c r="AJ101" s="146"/>
      <c r="AK101" s="146"/>
      <c r="AL101" s="146"/>
      <c r="AM101" s="146"/>
      <c r="AN101" s="146"/>
      <c r="AO101" s="146"/>
      <c r="AP101" s="146"/>
      <c r="AQ101" s="146"/>
      <c r="AR101" s="146"/>
      <c r="AS101" s="146"/>
      <c r="AT101" s="146"/>
      <c r="AU101" s="146"/>
      <c r="AV101" s="146"/>
      <c r="AW101" s="146"/>
      <c r="AX101" s="146"/>
      <c r="AY101" s="146"/>
      <c r="AZ101" s="146"/>
      <c r="BA101" s="146"/>
      <c r="BB101" s="146"/>
      <c r="BC101" s="146"/>
      <c r="BD101" s="146"/>
      <c r="BE101" s="146"/>
      <c r="BF101" s="146"/>
      <c r="BG101" s="146"/>
      <c r="BH101" s="146"/>
      <c r="BI101" s="146"/>
      <c r="BJ101" s="146"/>
      <c r="BK101" s="146"/>
      <c r="BL101" s="146"/>
      <c r="BM101" s="146"/>
      <c r="BN101" s="146"/>
      <c r="BO101" s="146"/>
      <c r="BP101" s="146"/>
      <c r="BQ101" s="146"/>
      <c r="BR101" s="146"/>
    </row>
    <row r="102" spans="2:70" ht="15.75" hidden="1"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  <c r="AH102" s="146"/>
      <c r="AI102" s="146"/>
      <c r="AJ102" s="146"/>
      <c r="AK102" s="146"/>
      <c r="AL102" s="146"/>
      <c r="AM102" s="146"/>
      <c r="AN102" s="146"/>
      <c r="AO102" s="146"/>
      <c r="AP102" s="146"/>
      <c r="AQ102" s="146"/>
      <c r="AR102" s="146"/>
      <c r="AS102" s="146"/>
      <c r="AT102" s="146"/>
      <c r="AU102" s="146"/>
      <c r="AV102" s="146"/>
      <c r="AW102" s="146"/>
      <c r="AX102" s="146"/>
      <c r="AY102" s="146"/>
      <c r="AZ102" s="146"/>
      <c r="BA102" s="146"/>
      <c r="BB102" s="146"/>
      <c r="BC102" s="146"/>
      <c r="BD102" s="146"/>
      <c r="BE102" s="146"/>
      <c r="BF102" s="146"/>
      <c r="BG102" s="146"/>
      <c r="BH102" s="146"/>
      <c r="BI102" s="146"/>
      <c r="BJ102" s="146"/>
      <c r="BK102" s="146"/>
      <c r="BL102" s="146"/>
      <c r="BM102" s="146"/>
      <c r="BN102" s="146"/>
      <c r="BO102" s="146"/>
      <c r="BP102" s="146"/>
      <c r="BQ102" s="146"/>
      <c r="BR102" s="146"/>
    </row>
    <row r="103" spans="2:70" ht="15.75" hidden="1"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  <c r="AH103" s="146"/>
      <c r="AI103" s="146"/>
      <c r="AJ103" s="146"/>
      <c r="AK103" s="146"/>
      <c r="AL103" s="146"/>
      <c r="AM103" s="146"/>
      <c r="AN103" s="146"/>
      <c r="AO103" s="146"/>
      <c r="AP103" s="146"/>
      <c r="AQ103" s="146"/>
      <c r="AR103" s="146"/>
      <c r="AS103" s="146"/>
      <c r="AT103" s="146"/>
      <c r="AU103" s="146"/>
      <c r="AV103" s="146"/>
      <c r="AW103" s="146"/>
      <c r="AX103" s="146"/>
      <c r="AY103" s="146"/>
      <c r="AZ103" s="146"/>
      <c r="BA103" s="146"/>
      <c r="BB103" s="146"/>
      <c r="BC103" s="146"/>
      <c r="BD103" s="146"/>
      <c r="BE103" s="146"/>
      <c r="BF103" s="146"/>
      <c r="BG103" s="146"/>
      <c r="BH103" s="146"/>
      <c r="BI103" s="146"/>
      <c r="BJ103" s="146"/>
      <c r="BK103" s="146"/>
      <c r="BL103" s="146"/>
      <c r="BM103" s="146"/>
      <c r="BN103" s="146"/>
      <c r="BO103" s="146"/>
      <c r="BP103" s="146"/>
      <c r="BQ103" s="146"/>
      <c r="BR103" s="146"/>
    </row>
    <row r="104" spans="2:70" ht="15.75" hidden="1"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6"/>
      <c r="AE104" s="146"/>
      <c r="AF104" s="146"/>
      <c r="AG104" s="146"/>
      <c r="AH104" s="146"/>
      <c r="AI104" s="146"/>
      <c r="AJ104" s="146"/>
      <c r="AK104" s="146"/>
      <c r="AL104" s="146"/>
      <c r="AM104" s="146"/>
      <c r="AN104" s="146"/>
      <c r="AO104" s="146"/>
      <c r="AP104" s="146"/>
      <c r="AQ104" s="146"/>
      <c r="AR104" s="146"/>
      <c r="AS104" s="146"/>
      <c r="AT104" s="146"/>
      <c r="AU104" s="146"/>
      <c r="AV104" s="146"/>
      <c r="AW104" s="146"/>
      <c r="AX104" s="146"/>
      <c r="AY104" s="146"/>
      <c r="AZ104" s="146"/>
      <c r="BA104" s="146"/>
      <c r="BB104" s="146"/>
      <c r="BC104" s="146"/>
      <c r="BD104" s="146"/>
      <c r="BE104" s="146"/>
      <c r="BF104" s="146"/>
      <c r="BG104" s="146"/>
      <c r="BH104" s="146"/>
      <c r="BI104" s="146"/>
      <c r="BJ104" s="146"/>
      <c r="BK104" s="146"/>
      <c r="BL104" s="146"/>
      <c r="BM104" s="146"/>
      <c r="BN104" s="146"/>
      <c r="BO104" s="146"/>
      <c r="BP104" s="146"/>
      <c r="BQ104" s="146"/>
      <c r="BR104" s="146"/>
    </row>
    <row r="105" spans="2:70" ht="15.75" hidden="1"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6"/>
      <c r="AE105" s="146"/>
      <c r="AF105" s="146"/>
      <c r="AG105" s="146"/>
      <c r="AH105" s="146"/>
      <c r="AI105" s="146"/>
      <c r="AJ105" s="146"/>
      <c r="AK105" s="146"/>
      <c r="AL105" s="146"/>
      <c r="AM105" s="146"/>
      <c r="AN105" s="146"/>
      <c r="AO105" s="146"/>
      <c r="AP105" s="146"/>
      <c r="AQ105" s="146"/>
      <c r="AR105" s="146"/>
      <c r="AS105" s="146"/>
      <c r="AT105" s="146"/>
      <c r="AU105" s="146"/>
      <c r="AV105" s="146"/>
      <c r="AW105" s="146"/>
      <c r="AX105" s="146"/>
      <c r="AY105" s="146"/>
      <c r="AZ105" s="146"/>
      <c r="BA105" s="146"/>
      <c r="BB105" s="146"/>
      <c r="BC105" s="146"/>
      <c r="BD105" s="146"/>
      <c r="BE105" s="146"/>
      <c r="BF105" s="146"/>
      <c r="BG105" s="146"/>
      <c r="BH105" s="146"/>
      <c r="BI105" s="146"/>
      <c r="BJ105" s="146"/>
      <c r="BK105" s="146"/>
      <c r="BL105" s="146"/>
      <c r="BM105" s="146"/>
      <c r="BN105" s="146"/>
      <c r="BO105" s="146"/>
      <c r="BP105" s="146"/>
      <c r="BQ105" s="146"/>
      <c r="BR105" s="146"/>
    </row>
    <row r="106" spans="2:70" ht="15.75" hidden="1"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6"/>
      <c r="AE106" s="146"/>
      <c r="AF106" s="146"/>
      <c r="AG106" s="146"/>
      <c r="AH106" s="146"/>
      <c r="AI106" s="146"/>
      <c r="AJ106" s="146"/>
      <c r="AK106" s="146"/>
      <c r="AL106" s="146"/>
      <c r="AM106" s="146"/>
      <c r="AN106" s="146"/>
      <c r="AO106" s="146"/>
      <c r="AP106" s="146"/>
      <c r="AQ106" s="146"/>
      <c r="AR106" s="146"/>
      <c r="AS106" s="146"/>
      <c r="AT106" s="146"/>
      <c r="AU106" s="146"/>
      <c r="AV106" s="146"/>
      <c r="AW106" s="146"/>
      <c r="AX106" s="146"/>
      <c r="AY106" s="146"/>
      <c r="AZ106" s="146"/>
      <c r="BA106" s="146"/>
      <c r="BB106" s="146"/>
      <c r="BC106" s="146"/>
      <c r="BD106" s="146"/>
      <c r="BE106" s="146"/>
      <c r="BF106" s="146"/>
      <c r="BG106" s="146"/>
      <c r="BH106" s="146"/>
      <c r="BI106" s="146"/>
      <c r="BJ106" s="146"/>
      <c r="BK106" s="146"/>
      <c r="BL106" s="146"/>
      <c r="BM106" s="146"/>
      <c r="BN106" s="146"/>
      <c r="BO106" s="146"/>
      <c r="BP106" s="146"/>
      <c r="BQ106" s="146"/>
      <c r="BR106" s="146"/>
    </row>
    <row r="107" spans="2:70" ht="15.75" hidden="1"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6"/>
      <c r="AE107" s="146"/>
      <c r="AF107" s="146"/>
      <c r="AG107" s="146"/>
      <c r="AH107" s="146"/>
      <c r="AI107" s="146"/>
      <c r="AJ107" s="146"/>
      <c r="AK107" s="146"/>
      <c r="AL107" s="146"/>
      <c r="AM107" s="146"/>
      <c r="AN107" s="146"/>
      <c r="AO107" s="146"/>
      <c r="AP107" s="146"/>
      <c r="AQ107" s="146"/>
      <c r="AR107" s="146"/>
      <c r="AS107" s="146"/>
      <c r="AT107" s="146"/>
      <c r="AU107" s="146"/>
      <c r="AV107" s="146"/>
      <c r="AW107" s="146"/>
      <c r="AX107" s="146"/>
      <c r="AY107" s="146"/>
      <c r="AZ107" s="146"/>
      <c r="BA107" s="146"/>
      <c r="BB107" s="146"/>
      <c r="BC107" s="146"/>
      <c r="BD107" s="146"/>
      <c r="BE107" s="146"/>
      <c r="BF107" s="146"/>
      <c r="BG107" s="146"/>
      <c r="BH107" s="146"/>
      <c r="BI107" s="146"/>
      <c r="BJ107" s="146"/>
      <c r="BK107" s="146"/>
      <c r="BL107" s="146"/>
      <c r="BM107" s="146"/>
      <c r="BN107" s="146"/>
      <c r="BO107" s="146"/>
      <c r="BP107" s="146"/>
      <c r="BQ107" s="146"/>
      <c r="BR107" s="146"/>
    </row>
    <row r="108" spans="2:70" ht="15.75" hidden="1"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6"/>
      <c r="AE108" s="146"/>
      <c r="AF108" s="146"/>
      <c r="AG108" s="146"/>
      <c r="AH108" s="146"/>
      <c r="AI108" s="146"/>
      <c r="AJ108" s="146"/>
      <c r="AK108" s="146"/>
      <c r="AL108" s="146"/>
      <c r="AM108" s="146"/>
      <c r="AN108" s="146"/>
      <c r="AO108" s="146"/>
      <c r="AP108" s="146"/>
      <c r="AQ108" s="146"/>
      <c r="AR108" s="146"/>
      <c r="AS108" s="146"/>
      <c r="AT108" s="146"/>
      <c r="AU108" s="146"/>
      <c r="AV108" s="146"/>
      <c r="AW108" s="146"/>
      <c r="AX108" s="146"/>
      <c r="AY108" s="146"/>
      <c r="AZ108" s="146"/>
      <c r="BA108" s="146"/>
      <c r="BB108" s="146"/>
      <c r="BC108" s="146"/>
      <c r="BD108" s="146"/>
      <c r="BE108" s="146"/>
      <c r="BF108" s="146"/>
      <c r="BG108" s="146"/>
      <c r="BH108" s="146"/>
      <c r="BI108" s="146"/>
      <c r="BJ108" s="146"/>
      <c r="BK108" s="146"/>
      <c r="BL108" s="146"/>
      <c r="BM108" s="146"/>
      <c r="BN108" s="146"/>
      <c r="BO108" s="146"/>
      <c r="BP108" s="146"/>
      <c r="BQ108" s="146"/>
      <c r="BR108" s="146"/>
    </row>
    <row r="109" spans="2:70" ht="15.75" hidden="1"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6"/>
      <c r="AE109" s="146"/>
      <c r="AF109" s="146"/>
      <c r="AG109" s="146"/>
      <c r="AH109" s="146"/>
      <c r="AI109" s="146"/>
      <c r="AJ109" s="146"/>
      <c r="AK109" s="146"/>
      <c r="AL109" s="146"/>
      <c r="AM109" s="146"/>
      <c r="AN109" s="146"/>
      <c r="AO109" s="146"/>
      <c r="AP109" s="146"/>
      <c r="AQ109" s="146"/>
      <c r="AR109" s="146"/>
      <c r="AS109" s="146"/>
      <c r="AT109" s="146"/>
      <c r="AU109" s="146"/>
      <c r="AV109" s="146"/>
      <c r="AW109" s="146"/>
      <c r="AX109" s="146"/>
      <c r="AY109" s="146"/>
      <c r="AZ109" s="146"/>
      <c r="BA109" s="146"/>
      <c r="BB109" s="146"/>
      <c r="BC109" s="146"/>
      <c r="BD109" s="146"/>
      <c r="BE109" s="146"/>
      <c r="BF109" s="146"/>
      <c r="BG109" s="146"/>
      <c r="BH109" s="146"/>
      <c r="BI109" s="146"/>
      <c r="BJ109" s="146"/>
      <c r="BK109" s="146"/>
      <c r="BL109" s="146"/>
      <c r="BM109" s="146"/>
      <c r="BN109" s="146"/>
      <c r="BO109" s="146"/>
      <c r="BP109" s="146"/>
      <c r="BQ109" s="146"/>
      <c r="BR109" s="146"/>
    </row>
    <row r="110" spans="2:70" ht="15.75" hidden="1"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6"/>
      <c r="AE110" s="146"/>
      <c r="AF110" s="146"/>
      <c r="AG110" s="146"/>
      <c r="AH110" s="146"/>
      <c r="AI110" s="146"/>
      <c r="AJ110" s="146"/>
      <c r="AK110" s="146"/>
      <c r="AL110" s="146"/>
      <c r="AM110" s="146"/>
      <c r="AN110" s="146"/>
      <c r="AO110" s="146"/>
      <c r="AP110" s="146"/>
      <c r="AQ110" s="146"/>
      <c r="AR110" s="146"/>
      <c r="AS110" s="146"/>
      <c r="AT110" s="146"/>
      <c r="AU110" s="146"/>
      <c r="AV110" s="146"/>
      <c r="AW110" s="146"/>
      <c r="AX110" s="146"/>
      <c r="AY110" s="146"/>
      <c r="AZ110" s="146"/>
      <c r="BA110" s="146"/>
      <c r="BB110" s="146"/>
      <c r="BC110" s="146"/>
      <c r="BD110" s="146"/>
      <c r="BE110" s="146"/>
      <c r="BF110" s="146"/>
      <c r="BG110" s="146"/>
      <c r="BH110" s="146"/>
      <c r="BI110" s="146"/>
      <c r="BJ110" s="146"/>
      <c r="BK110" s="146"/>
      <c r="BL110" s="146"/>
      <c r="BM110" s="146"/>
      <c r="BN110" s="146"/>
      <c r="BO110" s="146"/>
      <c r="BP110" s="146"/>
      <c r="BQ110" s="146"/>
      <c r="BR110" s="146"/>
    </row>
    <row r="111" spans="2:70" ht="15.75" hidden="1"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6"/>
      <c r="AE111" s="146"/>
      <c r="AF111" s="146"/>
      <c r="AG111" s="146"/>
      <c r="AH111" s="146"/>
      <c r="AI111" s="146"/>
      <c r="AJ111" s="146"/>
      <c r="AK111" s="146"/>
      <c r="AL111" s="146"/>
      <c r="AM111" s="146"/>
      <c r="AN111" s="146"/>
      <c r="AO111" s="146"/>
      <c r="AP111" s="146"/>
      <c r="AQ111" s="146"/>
      <c r="AR111" s="146"/>
      <c r="AS111" s="146"/>
      <c r="AT111" s="146"/>
      <c r="AU111" s="146"/>
      <c r="AV111" s="146"/>
      <c r="AW111" s="146"/>
      <c r="AX111" s="146"/>
      <c r="AY111" s="146"/>
      <c r="AZ111" s="146"/>
      <c r="BA111" s="146"/>
      <c r="BB111" s="146"/>
      <c r="BC111" s="146"/>
      <c r="BD111" s="146"/>
      <c r="BE111" s="146"/>
      <c r="BF111" s="146"/>
      <c r="BG111" s="146"/>
      <c r="BH111" s="146"/>
      <c r="BI111" s="146"/>
      <c r="BJ111" s="146"/>
      <c r="BK111" s="146"/>
      <c r="BL111" s="146"/>
      <c r="BM111" s="146"/>
      <c r="BN111" s="146"/>
      <c r="BO111" s="146"/>
      <c r="BP111" s="146"/>
      <c r="BQ111" s="146"/>
      <c r="BR111" s="146"/>
    </row>
    <row r="112" spans="2:70" ht="15.75" hidden="1"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  <c r="AH112" s="146"/>
      <c r="AI112" s="146"/>
      <c r="AJ112" s="146"/>
      <c r="AK112" s="146"/>
      <c r="AL112" s="146"/>
      <c r="AM112" s="146"/>
      <c r="AN112" s="146"/>
      <c r="AO112" s="146"/>
      <c r="AP112" s="146"/>
      <c r="AQ112" s="146"/>
      <c r="AR112" s="146"/>
      <c r="AS112" s="146"/>
      <c r="AT112" s="146"/>
      <c r="AU112" s="146"/>
      <c r="AV112" s="146"/>
      <c r="AW112" s="146"/>
      <c r="AX112" s="146"/>
      <c r="AY112" s="146"/>
      <c r="AZ112" s="146"/>
      <c r="BA112" s="146"/>
      <c r="BB112" s="146"/>
      <c r="BC112" s="146"/>
      <c r="BD112" s="146"/>
      <c r="BE112" s="146"/>
      <c r="BF112" s="146"/>
      <c r="BG112" s="146"/>
      <c r="BH112" s="146"/>
      <c r="BI112" s="146"/>
      <c r="BJ112" s="146"/>
      <c r="BK112" s="146"/>
      <c r="BL112" s="146"/>
      <c r="BM112" s="146"/>
      <c r="BN112" s="146"/>
      <c r="BO112" s="146"/>
      <c r="BP112" s="146"/>
      <c r="BQ112" s="146"/>
      <c r="BR112" s="146"/>
    </row>
    <row r="113" spans="2:70" ht="15.75" hidden="1"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  <c r="AH113" s="146"/>
      <c r="AI113" s="146"/>
      <c r="AJ113" s="146"/>
      <c r="AK113" s="146"/>
      <c r="AL113" s="146"/>
      <c r="AM113" s="146"/>
      <c r="AN113" s="146"/>
      <c r="AO113" s="146"/>
      <c r="AP113" s="146"/>
      <c r="AQ113" s="146"/>
      <c r="AR113" s="146"/>
      <c r="AS113" s="146"/>
      <c r="AT113" s="146"/>
      <c r="AU113" s="146"/>
      <c r="AV113" s="146"/>
      <c r="AW113" s="146"/>
      <c r="AX113" s="146"/>
      <c r="AY113" s="146"/>
      <c r="AZ113" s="146"/>
      <c r="BA113" s="146"/>
      <c r="BB113" s="146"/>
      <c r="BC113" s="146"/>
      <c r="BD113" s="146"/>
      <c r="BE113" s="146"/>
      <c r="BF113" s="146"/>
      <c r="BG113" s="146"/>
      <c r="BH113" s="146"/>
      <c r="BI113" s="146"/>
      <c r="BJ113" s="146"/>
      <c r="BK113" s="146"/>
      <c r="BL113" s="146"/>
      <c r="BM113" s="146"/>
      <c r="BN113" s="146"/>
      <c r="BO113" s="146"/>
      <c r="BP113" s="146"/>
      <c r="BQ113" s="146"/>
      <c r="BR113" s="146"/>
    </row>
    <row r="114" spans="2:70" ht="15.75" hidden="1"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6"/>
      <c r="AE114" s="146"/>
      <c r="AF114" s="146"/>
      <c r="AG114" s="146"/>
      <c r="AH114" s="146"/>
      <c r="AI114" s="146"/>
      <c r="AJ114" s="146"/>
      <c r="AK114" s="146"/>
      <c r="AL114" s="146"/>
      <c r="AM114" s="146"/>
      <c r="AN114" s="146"/>
      <c r="AO114" s="146"/>
      <c r="AP114" s="146"/>
      <c r="AQ114" s="146"/>
      <c r="AR114" s="146"/>
      <c r="AS114" s="146"/>
      <c r="AT114" s="146"/>
      <c r="AU114" s="146"/>
      <c r="AV114" s="146"/>
      <c r="AW114" s="146"/>
      <c r="AX114" s="146"/>
      <c r="AY114" s="146"/>
      <c r="AZ114" s="146"/>
      <c r="BA114" s="146"/>
      <c r="BB114" s="146"/>
      <c r="BC114" s="146"/>
      <c r="BD114" s="146"/>
      <c r="BE114" s="146"/>
      <c r="BF114" s="146"/>
      <c r="BG114" s="146"/>
      <c r="BH114" s="146"/>
      <c r="BI114" s="146"/>
      <c r="BJ114" s="146"/>
      <c r="BK114" s="146"/>
      <c r="BL114" s="146"/>
      <c r="BM114" s="146"/>
      <c r="BN114" s="146"/>
      <c r="BO114" s="146"/>
      <c r="BP114" s="146"/>
      <c r="BQ114" s="146"/>
      <c r="BR114" s="146"/>
    </row>
    <row r="115" spans="2:70" ht="15.75" hidden="1"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6"/>
      <c r="AE115" s="146"/>
      <c r="AF115" s="146"/>
      <c r="AG115" s="146"/>
      <c r="AH115" s="146"/>
      <c r="AI115" s="146"/>
      <c r="AJ115" s="146"/>
      <c r="AK115" s="146"/>
      <c r="AL115" s="146"/>
      <c r="AM115" s="146"/>
      <c r="AN115" s="146"/>
      <c r="AO115" s="146"/>
      <c r="AP115" s="146"/>
      <c r="AQ115" s="146"/>
      <c r="AR115" s="146"/>
      <c r="AS115" s="146"/>
      <c r="AT115" s="146"/>
      <c r="AU115" s="146"/>
      <c r="AV115" s="146"/>
      <c r="AW115" s="146"/>
      <c r="AX115" s="146"/>
      <c r="AY115" s="146"/>
      <c r="AZ115" s="146"/>
      <c r="BA115" s="146"/>
      <c r="BB115" s="146"/>
      <c r="BC115" s="146"/>
      <c r="BD115" s="146"/>
      <c r="BE115" s="146"/>
      <c r="BF115" s="146"/>
      <c r="BG115" s="146"/>
      <c r="BH115" s="146"/>
      <c r="BI115" s="146"/>
      <c r="BJ115" s="146"/>
      <c r="BK115" s="146"/>
      <c r="BL115" s="146"/>
      <c r="BM115" s="146"/>
      <c r="BN115" s="146"/>
      <c r="BO115" s="146"/>
      <c r="BP115" s="146"/>
      <c r="BQ115" s="146"/>
      <c r="BR115" s="146"/>
    </row>
    <row r="116" spans="2:70" ht="15.75" hidden="1"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6"/>
      <c r="AE116" s="146"/>
      <c r="AF116" s="146"/>
      <c r="AG116" s="146"/>
      <c r="AH116" s="146"/>
      <c r="AI116" s="146"/>
      <c r="AJ116" s="146"/>
      <c r="AK116" s="146"/>
      <c r="AL116" s="146"/>
      <c r="AM116" s="146"/>
      <c r="AN116" s="146"/>
      <c r="AO116" s="146"/>
      <c r="AP116" s="146"/>
      <c r="AQ116" s="146"/>
      <c r="AR116" s="146"/>
      <c r="AS116" s="146"/>
      <c r="AT116" s="146"/>
      <c r="AU116" s="146"/>
      <c r="AV116" s="146"/>
      <c r="AW116" s="146"/>
      <c r="AX116" s="146"/>
      <c r="AY116" s="146"/>
      <c r="AZ116" s="146"/>
      <c r="BA116" s="146"/>
      <c r="BB116" s="146"/>
      <c r="BC116" s="146"/>
      <c r="BD116" s="146"/>
      <c r="BE116" s="146"/>
      <c r="BF116" s="146"/>
      <c r="BG116" s="146"/>
      <c r="BH116" s="146"/>
      <c r="BI116" s="146"/>
      <c r="BJ116" s="146"/>
      <c r="BK116" s="146"/>
      <c r="BL116" s="146"/>
      <c r="BM116" s="146"/>
      <c r="BN116" s="146"/>
      <c r="BO116" s="146"/>
      <c r="BP116" s="146"/>
      <c r="BQ116" s="146"/>
      <c r="BR116" s="146"/>
    </row>
    <row r="117" spans="2:70" ht="15.75" hidden="1"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6"/>
      <c r="AE117" s="146"/>
      <c r="AF117" s="146"/>
      <c r="AG117" s="146"/>
      <c r="AH117" s="146"/>
      <c r="AI117" s="146"/>
      <c r="AJ117" s="146"/>
      <c r="AK117" s="146"/>
      <c r="AL117" s="146"/>
      <c r="AM117" s="146"/>
      <c r="AN117" s="146"/>
      <c r="AO117" s="146"/>
      <c r="AP117" s="146"/>
      <c r="AQ117" s="146"/>
      <c r="AR117" s="146"/>
      <c r="AS117" s="146"/>
      <c r="AT117" s="146"/>
      <c r="AU117" s="146"/>
      <c r="AV117" s="146"/>
      <c r="AW117" s="146"/>
      <c r="AX117" s="146"/>
      <c r="AY117" s="146"/>
      <c r="AZ117" s="146"/>
      <c r="BA117" s="146"/>
      <c r="BB117" s="146"/>
      <c r="BC117" s="146"/>
      <c r="BD117" s="146"/>
      <c r="BE117" s="146"/>
      <c r="BF117" s="146"/>
      <c r="BG117" s="146"/>
      <c r="BH117" s="146"/>
      <c r="BI117" s="146"/>
      <c r="BJ117" s="146"/>
      <c r="BK117" s="146"/>
      <c r="BL117" s="146"/>
      <c r="BM117" s="146"/>
      <c r="BN117" s="146"/>
      <c r="BO117" s="146"/>
      <c r="BP117" s="146"/>
      <c r="BQ117" s="146"/>
      <c r="BR117" s="146"/>
    </row>
    <row r="118" spans="2:70" ht="15.75" hidden="1"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6"/>
      <c r="AE118" s="146"/>
      <c r="AF118" s="146"/>
      <c r="AG118" s="146"/>
      <c r="AH118" s="146"/>
      <c r="AI118" s="146"/>
      <c r="AJ118" s="146"/>
      <c r="AK118" s="146"/>
      <c r="AL118" s="146"/>
      <c r="AM118" s="146"/>
      <c r="AN118" s="146"/>
      <c r="AO118" s="146"/>
      <c r="AP118" s="146"/>
      <c r="AQ118" s="146"/>
      <c r="AR118" s="146"/>
      <c r="AS118" s="146"/>
      <c r="AT118" s="146"/>
      <c r="AU118" s="146"/>
      <c r="AV118" s="146"/>
      <c r="AW118" s="146"/>
      <c r="AX118" s="146"/>
      <c r="AY118" s="146"/>
      <c r="AZ118" s="146"/>
      <c r="BA118" s="146"/>
      <c r="BB118" s="146"/>
      <c r="BC118" s="146"/>
      <c r="BD118" s="146"/>
      <c r="BE118" s="146"/>
      <c r="BF118" s="146"/>
      <c r="BG118" s="146"/>
      <c r="BH118" s="146"/>
      <c r="BI118" s="146"/>
      <c r="BJ118" s="146"/>
      <c r="BK118" s="146"/>
      <c r="BL118" s="146"/>
      <c r="BM118" s="146"/>
      <c r="BN118" s="146"/>
      <c r="BO118" s="146"/>
      <c r="BP118" s="146"/>
      <c r="BQ118" s="146"/>
      <c r="BR118" s="146"/>
    </row>
    <row r="119" spans="2:70" ht="15.75" hidden="1"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6"/>
      <c r="AE119" s="146"/>
      <c r="AF119" s="146"/>
      <c r="AG119" s="146"/>
      <c r="AH119" s="146"/>
      <c r="AI119" s="146"/>
      <c r="AJ119" s="146"/>
      <c r="AK119" s="146"/>
      <c r="AL119" s="146"/>
      <c r="AM119" s="146"/>
      <c r="AN119" s="146"/>
      <c r="AO119" s="146"/>
      <c r="AP119" s="146"/>
      <c r="AQ119" s="146"/>
      <c r="AR119" s="146"/>
      <c r="AS119" s="146"/>
      <c r="AT119" s="146"/>
      <c r="AU119" s="146"/>
      <c r="AV119" s="146"/>
      <c r="AW119" s="146"/>
      <c r="AX119" s="146"/>
      <c r="AY119" s="146"/>
      <c r="AZ119" s="146"/>
      <c r="BA119" s="146"/>
      <c r="BB119" s="146"/>
      <c r="BC119" s="146"/>
      <c r="BD119" s="146"/>
      <c r="BE119" s="146"/>
      <c r="BF119" s="146"/>
      <c r="BG119" s="146"/>
      <c r="BH119" s="146"/>
      <c r="BI119" s="146"/>
      <c r="BJ119" s="146"/>
      <c r="BK119" s="146"/>
      <c r="BL119" s="146"/>
      <c r="BM119" s="146"/>
      <c r="BN119" s="146"/>
      <c r="BO119" s="146"/>
      <c r="BP119" s="146"/>
      <c r="BQ119" s="146"/>
      <c r="BR119" s="146"/>
    </row>
    <row r="120" spans="2:70" ht="15.75" hidden="1"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6"/>
      <c r="AE120" s="146"/>
      <c r="AF120" s="146"/>
      <c r="AG120" s="146"/>
      <c r="AH120" s="146"/>
      <c r="AI120" s="146"/>
      <c r="AJ120" s="146"/>
      <c r="AK120" s="146"/>
      <c r="AL120" s="146"/>
      <c r="AM120" s="146"/>
      <c r="AN120" s="146"/>
      <c r="AO120" s="146"/>
      <c r="AP120" s="146"/>
      <c r="AQ120" s="146"/>
      <c r="AR120" s="146"/>
      <c r="AS120" s="146"/>
      <c r="AT120" s="146"/>
      <c r="AU120" s="146"/>
      <c r="AV120" s="146"/>
      <c r="AW120" s="146"/>
      <c r="AX120" s="146"/>
      <c r="AY120" s="146"/>
      <c r="AZ120" s="146"/>
      <c r="BA120" s="146"/>
      <c r="BB120" s="146"/>
      <c r="BC120" s="146"/>
      <c r="BD120" s="146"/>
      <c r="BE120" s="146"/>
      <c r="BF120" s="146"/>
      <c r="BG120" s="146"/>
      <c r="BH120" s="146"/>
      <c r="BI120" s="146"/>
      <c r="BJ120" s="146"/>
      <c r="BK120" s="146"/>
      <c r="BL120" s="146"/>
      <c r="BM120" s="146"/>
      <c r="BN120" s="146"/>
      <c r="BO120" s="146"/>
      <c r="BP120" s="146"/>
      <c r="BQ120" s="146"/>
      <c r="BR120" s="146"/>
    </row>
    <row r="121" spans="2:70" ht="15.75" hidden="1"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6"/>
      <c r="AE121" s="146"/>
      <c r="AF121" s="146"/>
      <c r="AG121" s="146"/>
      <c r="AH121" s="146"/>
      <c r="AI121" s="146"/>
      <c r="AJ121" s="146"/>
      <c r="AK121" s="146"/>
      <c r="AL121" s="146"/>
      <c r="AM121" s="146"/>
      <c r="AN121" s="146"/>
      <c r="AO121" s="146"/>
      <c r="AP121" s="146"/>
      <c r="AQ121" s="146"/>
      <c r="AR121" s="146"/>
      <c r="AS121" s="146"/>
      <c r="AT121" s="146"/>
      <c r="AU121" s="146"/>
      <c r="AV121" s="146"/>
      <c r="AW121" s="146"/>
      <c r="AX121" s="146"/>
      <c r="AY121" s="146"/>
      <c r="AZ121" s="146"/>
      <c r="BA121" s="146"/>
      <c r="BB121" s="146"/>
      <c r="BC121" s="146"/>
      <c r="BD121" s="146"/>
      <c r="BE121" s="146"/>
      <c r="BF121" s="146"/>
      <c r="BG121" s="146"/>
      <c r="BH121" s="146"/>
      <c r="BI121" s="146"/>
      <c r="BJ121" s="146"/>
      <c r="BK121" s="146"/>
      <c r="BL121" s="146"/>
      <c r="BM121" s="146"/>
      <c r="BN121" s="146"/>
      <c r="BO121" s="146"/>
      <c r="BP121" s="146"/>
      <c r="BQ121" s="146"/>
      <c r="BR121" s="146"/>
    </row>
    <row r="122" spans="2:70" ht="15.75" hidden="1"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6"/>
      <c r="AE122" s="146"/>
      <c r="AF122" s="146"/>
      <c r="AG122" s="146"/>
      <c r="AH122" s="146"/>
      <c r="AI122" s="146"/>
      <c r="AJ122" s="146"/>
      <c r="AK122" s="146"/>
      <c r="AL122" s="146"/>
      <c r="AM122" s="146"/>
      <c r="AN122" s="146"/>
      <c r="AO122" s="146"/>
      <c r="AP122" s="146"/>
      <c r="AQ122" s="146"/>
      <c r="AR122" s="146"/>
      <c r="AS122" s="146"/>
      <c r="AT122" s="146"/>
      <c r="AU122" s="146"/>
      <c r="AV122" s="146"/>
      <c r="AW122" s="146"/>
      <c r="AX122" s="146"/>
      <c r="AY122" s="146"/>
      <c r="AZ122" s="146"/>
      <c r="BA122" s="146"/>
      <c r="BB122" s="146"/>
      <c r="BC122" s="146"/>
      <c r="BD122" s="146"/>
      <c r="BE122" s="146"/>
      <c r="BF122" s="146"/>
      <c r="BG122" s="146"/>
      <c r="BH122" s="146"/>
      <c r="BI122" s="146"/>
      <c r="BJ122" s="146"/>
      <c r="BK122" s="146"/>
      <c r="BL122" s="146"/>
      <c r="BM122" s="146"/>
      <c r="BN122" s="146"/>
      <c r="BO122" s="146"/>
      <c r="BP122" s="146"/>
      <c r="BQ122" s="146"/>
      <c r="BR122" s="146"/>
    </row>
    <row r="123" spans="2:70" ht="15.75" hidden="1"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  <c r="AK123" s="146"/>
      <c r="AL123" s="146"/>
      <c r="AM123" s="146"/>
      <c r="AN123" s="146"/>
      <c r="AO123" s="146"/>
      <c r="AP123" s="146"/>
      <c r="AQ123" s="146"/>
      <c r="AR123" s="146"/>
      <c r="AS123" s="146"/>
      <c r="AT123" s="146"/>
      <c r="AU123" s="146"/>
      <c r="AV123" s="146"/>
      <c r="AW123" s="146"/>
      <c r="AX123" s="146"/>
      <c r="AY123" s="146"/>
      <c r="AZ123" s="146"/>
      <c r="BA123" s="146"/>
      <c r="BB123" s="146"/>
      <c r="BC123" s="146"/>
      <c r="BD123" s="146"/>
      <c r="BE123" s="146"/>
      <c r="BF123" s="146"/>
      <c r="BG123" s="146"/>
      <c r="BH123" s="146"/>
      <c r="BI123" s="146"/>
      <c r="BJ123" s="146"/>
      <c r="BK123" s="146"/>
      <c r="BL123" s="146"/>
      <c r="BM123" s="146"/>
      <c r="BN123" s="146"/>
      <c r="BO123" s="146"/>
      <c r="BP123" s="146"/>
      <c r="BQ123" s="146"/>
      <c r="BR123" s="146"/>
    </row>
    <row r="124" spans="2:70" ht="15.75" hidden="1"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46"/>
      <c r="AL124" s="146"/>
      <c r="AM124" s="146"/>
      <c r="AN124" s="146"/>
      <c r="AO124" s="146"/>
      <c r="AP124" s="146"/>
      <c r="AQ124" s="146"/>
      <c r="AR124" s="146"/>
      <c r="AS124" s="146"/>
      <c r="AT124" s="146"/>
      <c r="AU124" s="146"/>
      <c r="AV124" s="146"/>
      <c r="AW124" s="146"/>
      <c r="AX124" s="146"/>
      <c r="AY124" s="146"/>
      <c r="AZ124" s="146"/>
      <c r="BA124" s="146"/>
      <c r="BB124" s="146"/>
      <c r="BC124" s="146"/>
      <c r="BD124" s="146"/>
      <c r="BE124" s="146"/>
      <c r="BF124" s="146"/>
      <c r="BG124" s="146"/>
      <c r="BH124" s="146"/>
      <c r="BI124" s="146"/>
      <c r="BJ124" s="146"/>
      <c r="BK124" s="146"/>
      <c r="BL124" s="146"/>
      <c r="BM124" s="146"/>
      <c r="BN124" s="146"/>
      <c r="BO124" s="146"/>
      <c r="BP124" s="146"/>
      <c r="BQ124" s="146"/>
      <c r="BR124" s="146"/>
    </row>
    <row r="125" spans="2:70" ht="15.75" hidden="1"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6"/>
      <c r="AE125" s="146"/>
      <c r="AF125" s="146"/>
      <c r="AG125" s="146"/>
      <c r="AH125" s="146"/>
      <c r="AI125" s="146"/>
      <c r="AJ125" s="146"/>
      <c r="AK125" s="146"/>
      <c r="AL125" s="146"/>
      <c r="AM125" s="146"/>
      <c r="AN125" s="146"/>
      <c r="AO125" s="146"/>
      <c r="AP125" s="146"/>
      <c r="AQ125" s="146"/>
      <c r="AR125" s="146"/>
      <c r="AS125" s="146"/>
      <c r="AT125" s="146"/>
      <c r="AU125" s="146"/>
      <c r="AV125" s="146"/>
      <c r="AW125" s="146"/>
      <c r="AX125" s="146"/>
      <c r="AY125" s="146"/>
      <c r="AZ125" s="146"/>
      <c r="BA125" s="146"/>
      <c r="BB125" s="146"/>
      <c r="BC125" s="146"/>
      <c r="BD125" s="146"/>
      <c r="BE125" s="146"/>
      <c r="BF125" s="146"/>
      <c r="BG125" s="146"/>
      <c r="BH125" s="146"/>
      <c r="BI125" s="146"/>
      <c r="BJ125" s="146"/>
      <c r="BK125" s="146"/>
      <c r="BL125" s="146"/>
      <c r="BM125" s="146"/>
      <c r="BN125" s="146"/>
      <c r="BO125" s="146"/>
      <c r="BP125" s="146"/>
      <c r="BQ125" s="146"/>
      <c r="BR125" s="146"/>
    </row>
    <row r="126" spans="2:70" ht="15.75" hidden="1"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6"/>
      <c r="AE126" s="146"/>
      <c r="AF126" s="146"/>
      <c r="AG126" s="146"/>
      <c r="AH126" s="146"/>
      <c r="AI126" s="146"/>
      <c r="AJ126" s="146"/>
      <c r="AK126" s="146"/>
      <c r="AL126" s="146"/>
      <c r="AM126" s="146"/>
      <c r="AN126" s="146"/>
      <c r="AO126" s="146"/>
      <c r="AP126" s="146"/>
      <c r="AQ126" s="146"/>
      <c r="AR126" s="146"/>
      <c r="AS126" s="146"/>
      <c r="AT126" s="146"/>
      <c r="AU126" s="146"/>
      <c r="AV126" s="146"/>
      <c r="AW126" s="146"/>
      <c r="AX126" s="146"/>
      <c r="AY126" s="146"/>
      <c r="AZ126" s="146"/>
      <c r="BA126" s="146"/>
      <c r="BB126" s="146"/>
      <c r="BC126" s="146"/>
      <c r="BD126" s="146"/>
      <c r="BE126" s="146"/>
      <c r="BF126" s="146"/>
      <c r="BG126" s="146"/>
      <c r="BH126" s="146"/>
      <c r="BI126" s="146"/>
      <c r="BJ126" s="146"/>
      <c r="BK126" s="146"/>
      <c r="BL126" s="146"/>
      <c r="BM126" s="146"/>
      <c r="BN126" s="146"/>
      <c r="BO126" s="146"/>
      <c r="BP126" s="146"/>
      <c r="BQ126" s="146"/>
      <c r="BR126" s="146"/>
    </row>
    <row r="127" spans="2:70" ht="15.75" hidden="1"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6"/>
      <c r="AE127" s="146"/>
      <c r="AF127" s="146"/>
      <c r="AG127" s="146"/>
      <c r="AH127" s="146"/>
      <c r="AI127" s="146"/>
      <c r="AJ127" s="146"/>
      <c r="AK127" s="146"/>
      <c r="AL127" s="146"/>
      <c r="AM127" s="146"/>
      <c r="AN127" s="146"/>
      <c r="AO127" s="146"/>
      <c r="AP127" s="146"/>
      <c r="AQ127" s="146"/>
      <c r="AR127" s="146"/>
      <c r="AS127" s="146"/>
      <c r="AT127" s="146"/>
      <c r="AU127" s="146"/>
      <c r="AV127" s="146"/>
      <c r="AW127" s="146"/>
      <c r="AX127" s="146"/>
      <c r="AY127" s="146"/>
      <c r="AZ127" s="146"/>
      <c r="BA127" s="146"/>
      <c r="BB127" s="146"/>
      <c r="BC127" s="146"/>
      <c r="BD127" s="146"/>
      <c r="BE127" s="146"/>
      <c r="BF127" s="146"/>
      <c r="BG127" s="146"/>
      <c r="BH127" s="146"/>
      <c r="BI127" s="146"/>
      <c r="BJ127" s="146"/>
      <c r="BK127" s="146"/>
      <c r="BL127" s="146"/>
      <c r="BM127" s="146"/>
      <c r="BN127" s="146"/>
      <c r="BO127" s="146"/>
      <c r="BP127" s="146"/>
      <c r="BQ127" s="146"/>
      <c r="BR127" s="146"/>
    </row>
    <row r="128" spans="2:70" ht="15.75" hidden="1"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6"/>
      <c r="AE128" s="146"/>
      <c r="AF128" s="146"/>
      <c r="AG128" s="146"/>
      <c r="AH128" s="146"/>
      <c r="AI128" s="146"/>
      <c r="AJ128" s="146"/>
      <c r="AK128" s="146"/>
      <c r="AL128" s="146"/>
      <c r="AM128" s="146"/>
      <c r="AN128" s="146"/>
      <c r="AO128" s="146"/>
      <c r="AP128" s="146"/>
      <c r="AQ128" s="146"/>
      <c r="AR128" s="146"/>
      <c r="AS128" s="146"/>
      <c r="AT128" s="146"/>
      <c r="AU128" s="146"/>
      <c r="AV128" s="146"/>
      <c r="AW128" s="146"/>
      <c r="AX128" s="146"/>
      <c r="AY128" s="146"/>
      <c r="AZ128" s="146"/>
      <c r="BA128" s="146"/>
      <c r="BB128" s="146"/>
      <c r="BC128" s="146"/>
      <c r="BD128" s="146"/>
      <c r="BE128" s="146"/>
      <c r="BF128" s="146"/>
      <c r="BG128" s="146"/>
      <c r="BH128" s="146"/>
      <c r="BI128" s="146"/>
      <c r="BJ128" s="146"/>
      <c r="BK128" s="146"/>
      <c r="BL128" s="146"/>
      <c r="BM128" s="146"/>
      <c r="BN128" s="146"/>
      <c r="BO128" s="146"/>
      <c r="BP128" s="146"/>
      <c r="BQ128" s="146"/>
      <c r="BR128" s="146"/>
    </row>
    <row r="129" spans="2:70" ht="15.75" hidden="1"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6"/>
      <c r="AE129" s="146"/>
      <c r="AF129" s="146"/>
      <c r="AG129" s="146"/>
      <c r="AH129" s="146"/>
      <c r="AI129" s="146"/>
      <c r="AJ129" s="146"/>
      <c r="AK129" s="146"/>
      <c r="AL129" s="146"/>
      <c r="AM129" s="146"/>
      <c r="AN129" s="146"/>
      <c r="AO129" s="146"/>
      <c r="AP129" s="146"/>
      <c r="AQ129" s="146"/>
      <c r="AR129" s="146"/>
      <c r="AS129" s="146"/>
      <c r="AT129" s="146"/>
      <c r="AU129" s="146"/>
      <c r="AV129" s="146"/>
      <c r="AW129" s="146"/>
      <c r="AX129" s="146"/>
      <c r="AY129" s="146"/>
      <c r="AZ129" s="146"/>
      <c r="BA129" s="146"/>
      <c r="BB129" s="146"/>
      <c r="BC129" s="146"/>
      <c r="BD129" s="146"/>
      <c r="BE129" s="146"/>
      <c r="BF129" s="146"/>
      <c r="BG129" s="146"/>
      <c r="BH129" s="146"/>
      <c r="BI129" s="146"/>
      <c r="BJ129" s="146"/>
      <c r="BK129" s="146"/>
      <c r="BL129" s="146"/>
      <c r="BM129" s="146"/>
      <c r="BN129" s="146"/>
      <c r="BO129" s="146"/>
      <c r="BP129" s="146"/>
      <c r="BQ129" s="146"/>
      <c r="BR129" s="146"/>
    </row>
    <row r="130" spans="2:70" ht="15.75" hidden="1"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6"/>
      <c r="AE130" s="146"/>
      <c r="AF130" s="146"/>
      <c r="AG130" s="146"/>
      <c r="AH130" s="146"/>
      <c r="AI130" s="146"/>
      <c r="AJ130" s="146"/>
      <c r="AK130" s="146"/>
      <c r="AL130" s="146"/>
      <c r="AM130" s="146"/>
      <c r="AN130" s="146"/>
      <c r="AO130" s="146"/>
      <c r="AP130" s="146"/>
      <c r="AQ130" s="146"/>
      <c r="AR130" s="146"/>
      <c r="AS130" s="146"/>
      <c r="AT130" s="146"/>
      <c r="AU130" s="146"/>
      <c r="AV130" s="146"/>
      <c r="AW130" s="146"/>
      <c r="AX130" s="146"/>
      <c r="AY130" s="146"/>
      <c r="AZ130" s="146"/>
      <c r="BA130" s="146"/>
      <c r="BB130" s="146"/>
      <c r="BC130" s="146"/>
      <c r="BD130" s="146"/>
      <c r="BE130" s="146"/>
      <c r="BF130" s="146"/>
      <c r="BG130" s="146"/>
      <c r="BH130" s="146"/>
      <c r="BI130" s="146"/>
      <c r="BJ130" s="146"/>
      <c r="BK130" s="146"/>
      <c r="BL130" s="146"/>
      <c r="BM130" s="146"/>
      <c r="BN130" s="146"/>
      <c r="BO130" s="146"/>
      <c r="BP130" s="146"/>
      <c r="BQ130" s="146"/>
      <c r="BR130" s="146"/>
    </row>
    <row r="131" spans="2:70" ht="15.75" hidden="1"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  <c r="AH131" s="146"/>
      <c r="AI131" s="146"/>
      <c r="AJ131" s="146"/>
      <c r="AK131" s="146"/>
      <c r="AL131" s="146"/>
      <c r="AM131" s="146"/>
      <c r="AN131" s="146"/>
      <c r="AO131" s="146"/>
      <c r="AP131" s="146"/>
      <c r="AQ131" s="146"/>
      <c r="AR131" s="146"/>
      <c r="AS131" s="146"/>
      <c r="AT131" s="146"/>
      <c r="AU131" s="146"/>
      <c r="AV131" s="146"/>
      <c r="AW131" s="146"/>
      <c r="AX131" s="146"/>
      <c r="AY131" s="146"/>
      <c r="AZ131" s="146"/>
      <c r="BA131" s="146"/>
      <c r="BB131" s="146"/>
      <c r="BC131" s="146"/>
      <c r="BD131" s="146"/>
      <c r="BE131" s="146"/>
      <c r="BF131" s="146"/>
      <c r="BG131" s="146"/>
      <c r="BH131" s="146"/>
      <c r="BI131" s="146"/>
      <c r="BJ131" s="146"/>
      <c r="BK131" s="146"/>
      <c r="BL131" s="146"/>
      <c r="BM131" s="146"/>
      <c r="BN131" s="146"/>
      <c r="BO131" s="146"/>
      <c r="BP131" s="146"/>
      <c r="BQ131" s="146"/>
      <c r="BR131" s="146"/>
    </row>
    <row r="132" spans="2:70" ht="15.75" hidden="1"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6"/>
      <c r="AE132" s="146"/>
      <c r="AF132" s="146"/>
      <c r="AG132" s="146"/>
      <c r="AH132" s="146"/>
      <c r="AI132" s="146"/>
      <c r="AJ132" s="146"/>
      <c r="AK132" s="146"/>
      <c r="AL132" s="146"/>
      <c r="AM132" s="146"/>
      <c r="AN132" s="146"/>
      <c r="AO132" s="146"/>
      <c r="AP132" s="146"/>
      <c r="AQ132" s="146"/>
      <c r="AR132" s="146"/>
      <c r="AS132" s="146"/>
      <c r="AT132" s="146"/>
      <c r="AU132" s="146"/>
      <c r="AV132" s="146"/>
      <c r="AW132" s="146"/>
      <c r="AX132" s="146"/>
      <c r="AY132" s="146"/>
      <c r="AZ132" s="146"/>
      <c r="BA132" s="146"/>
      <c r="BB132" s="146"/>
      <c r="BC132" s="146"/>
      <c r="BD132" s="146"/>
      <c r="BE132" s="146"/>
      <c r="BF132" s="146"/>
      <c r="BG132" s="146"/>
      <c r="BH132" s="146"/>
      <c r="BI132" s="146"/>
      <c r="BJ132" s="146"/>
      <c r="BK132" s="146"/>
      <c r="BL132" s="146"/>
      <c r="BM132" s="146"/>
      <c r="BN132" s="146"/>
      <c r="BO132" s="146"/>
      <c r="BP132" s="146"/>
      <c r="BQ132" s="146"/>
      <c r="BR132" s="146"/>
    </row>
    <row r="133" spans="2:70" ht="15.75" hidden="1"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  <c r="AH133" s="146"/>
      <c r="AI133" s="146"/>
      <c r="AJ133" s="146"/>
      <c r="AK133" s="146"/>
      <c r="AL133" s="146"/>
      <c r="AM133" s="146"/>
      <c r="AN133" s="146"/>
      <c r="AO133" s="146"/>
      <c r="AP133" s="146"/>
      <c r="AQ133" s="146"/>
      <c r="AR133" s="146"/>
      <c r="AS133" s="146"/>
      <c r="AT133" s="146"/>
      <c r="AU133" s="146"/>
      <c r="AV133" s="146"/>
      <c r="AW133" s="146"/>
      <c r="AX133" s="146"/>
      <c r="AY133" s="146"/>
      <c r="AZ133" s="146"/>
      <c r="BA133" s="146"/>
      <c r="BB133" s="146"/>
      <c r="BC133" s="146"/>
      <c r="BD133" s="146"/>
      <c r="BE133" s="146"/>
      <c r="BF133" s="146"/>
      <c r="BG133" s="146"/>
      <c r="BH133" s="146"/>
      <c r="BI133" s="146"/>
      <c r="BJ133" s="146"/>
      <c r="BK133" s="146"/>
      <c r="BL133" s="146"/>
      <c r="BM133" s="146"/>
      <c r="BN133" s="146"/>
      <c r="BO133" s="146"/>
      <c r="BP133" s="146"/>
      <c r="BQ133" s="146"/>
      <c r="BR133" s="146"/>
    </row>
    <row r="134" spans="2:70" ht="15.75" hidden="1"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6"/>
      <c r="AE134" s="146"/>
      <c r="AF134" s="146"/>
      <c r="AG134" s="146"/>
      <c r="AH134" s="146"/>
      <c r="AI134" s="146"/>
      <c r="AJ134" s="146"/>
      <c r="AK134" s="146"/>
      <c r="AL134" s="146"/>
      <c r="AM134" s="146"/>
      <c r="AN134" s="146"/>
      <c r="AO134" s="146"/>
      <c r="AP134" s="146"/>
      <c r="AQ134" s="146"/>
      <c r="AR134" s="146"/>
      <c r="AS134" s="146"/>
      <c r="AT134" s="146"/>
      <c r="AU134" s="146"/>
      <c r="AV134" s="146"/>
      <c r="AW134" s="146"/>
      <c r="AX134" s="146"/>
      <c r="AY134" s="146"/>
      <c r="AZ134" s="146"/>
      <c r="BA134" s="146"/>
      <c r="BB134" s="146"/>
      <c r="BC134" s="146"/>
      <c r="BD134" s="146"/>
      <c r="BE134" s="146"/>
      <c r="BF134" s="146"/>
      <c r="BG134" s="146"/>
      <c r="BH134" s="146"/>
      <c r="BI134" s="146"/>
      <c r="BJ134" s="146"/>
      <c r="BK134" s="146"/>
      <c r="BL134" s="146"/>
      <c r="BM134" s="146"/>
      <c r="BN134" s="146"/>
      <c r="BO134" s="146"/>
      <c r="BP134" s="146"/>
      <c r="BQ134" s="146"/>
      <c r="BR134" s="146"/>
    </row>
    <row r="135" spans="2:70" ht="15.75" hidden="1"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  <c r="AH135" s="146"/>
      <c r="AI135" s="146"/>
      <c r="AJ135" s="146"/>
      <c r="AK135" s="146"/>
      <c r="AL135" s="146"/>
      <c r="AM135" s="146"/>
      <c r="AN135" s="146"/>
      <c r="AO135" s="146"/>
      <c r="AP135" s="146"/>
      <c r="AQ135" s="146"/>
      <c r="AR135" s="146"/>
      <c r="AS135" s="146"/>
      <c r="AT135" s="146"/>
      <c r="AU135" s="146"/>
      <c r="AV135" s="146"/>
      <c r="AW135" s="146"/>
      <c r="AX135" s="146"/>
      <c r="AY135" s="146"/>
      <c r="AZ135" s="146"/>
      <c r="BA135" s="146"/>
      <c r="BB135" s="146"/>
      <c r="BC135" s="146"/>
      <c r="BD135" s="146"/>
      <c r="BE135" s="146"/>
      <c r="BF135" s="146"/>
      <c r="BG135" s="146"/>
      <c r="BH135" s="146"/>
      <c r="BI135" s="146"/>
      <c r="BJ135" s="146"/>
      <c r="BK135" s="146"/>
      <c r="BL135" s="146"/>
      <c r="BM135" s="146"/>
      <c r="BN135" s="146"/>
      <c r="BO135" s="146"/>
      <c r="BP135" s="146"/>
      <c r="BQ135" s="146"/>
      <c r="BR135" s="146"/>
    </row>
    <row r="136" spans="2:70" ht="15.75" hidden="1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6"/>
      <c r="AE136" s="146"/>
      <c r="AF136" s="146"/>
      <c r="AG136" s="146"/>
      <c r="AH136" s="146"/>
      <c r="AI136" s="146"/>
      <c r="AJ136" s="146"/>
      <c r="AK136" s="146"/>
      <c r="AL136" s="146"/>
      <c r="AM136" s="146"/>
      <c r="AN136" s="146"/>
      <c r="AO136" s="146"/>
      <c r="AP136" s="146"/>
      <c r="AQ136" s="146"/>
      <c r="AR136" s="146"/>
      <c r="AS136" s="146"/>
      <c r="AT136" s="146"/>
      <c r="AU136" s="146"/>
      <c r="AV136" s="146"/>
      <c r="AW136" s="146"/>
      <c r="AX136" s="146"/>
      <c r="AY136" s="146"/>
      <c r="AZ136" s="146"/>
      <c r="BA136" s="146"/>
      <c r="BB136" s="146"/>
      <c r="BC136" s="146"/>
      <c r="BD136" s="146"/>
      <c r="BE136" s="146"/>
      <c r="BF136" s="146"/>
      <c r="BG136" s="146"/>
      <c r="BH136" s="146"/>
      <c r="BI136" s="146"/>
      <c r="BJ136" s="146"/>
      <c r="BK136" s="146"/>
      <c r="BL136" s="146"/>
      <c r="BM136" s="146"/>
      <c r="BN136" s="146"/>
      <c r="BO136" s="146"/>
      <c r="BP136" s="146"/>
      <c r="BQ136" s="146"/>
      <c r="BR136" s="146"/>
    </row>
    <row r="137" spans="2:70" ht="15.75" hidden="1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6"/>
      <c r="AE137" s="146"/>
      <c r="AF137" s="146"/>
      <c r="AG137" s="146"/>
      <c r="AH137" s="146"/>
      <c r="AI137" s="146"/>
      <c r="AJ137" s="146"/>
      <c r="AK137" s="146"/>
      <c r="AL137" s="146"/>
      <c r="AM137" s="146"/>
      <c r="AN137" s="146"/>
      <c r="AO137" s="146"/>
      <c r="AP137" s="146"/>
      <c r="AQ137" s="146"/>
      <c r="AR137" s="146"/>
      <c r="AS137" s="146"/>
      <c r="AT137" s="146"/>
      <c r="AU137" s="146"/>
      <c r="AV137" s="146"/>
      <c r="AW137" s="146"/>
      <c r="AX137" s="146"/>
      <c r="AY137" s="146"/>
      <c r="AZ137" s="146"/>
      <c r="BA137" s="146"/>
      <c r="BB137" s="146"/>
      <c r="BC137" s="146"/>
      <c r="BD137" s="146"/>
      <c r="BE137" s="146"/>
      <c r="BF137" s="146"/>
      <c r="BG137" s="146"/>
      <c r="BH137" s="146"/>
      <c r="BI137" s="146"/>
      <c r="BJ137" s="146"/>
      <c r="BK137" s="146"/>
      <c r="BL137" s="146"/>
      <c r="BM137" s="146"/>
      <c r="BN137" s="146"/>
      <c r="BO137" s="146"/>
      <c r="BP137" s="146"/>
      <c r="BQ137" s="146"/>
      <c r="BR137" s="146"/>
    </row>
    <row r="138" spans="2:70" ht="15.75" hidden="1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6"/>
      <c r="AE138" s="146"/>
      <c r="AF138" s="146"/>
      <c r="AG138" s="146"/>
      <c r="AH138" s="146"/>
      <c r="AI138" s="146"/>
      <c r="AJ138" s="146"/>
      <c r="AK138" s="146"/>
      <c r="AL138" s="146"/>
      <c r="AM138" s="146"/>
      <c r="AN138" s="146"/>
      <c r="AO138" s="146"/>
      <c r="AP138" s="146"/>
      <c r="AQ138" s="146"/>
      <c r="AR138" s="146"/>
      <c r="AS138" s="146"/>
      <c r="AT138" s="146"/>
      <c r="AU138" s="146"/>
      <c r="AV138" s="146"/>
      <c r="AW138" s="146"/>
      <c r="AX138" s="146"/>
      <c r="AY138" s="146"/>
      <c r="AZ138" s="146"/>
      <c r="BA138" s="146"/>
      <c r="BB138" s="146"/>
      <c r="BC138" s="146"/>
      <c r="BD138" s="146"/>
      <c r="BE138" s="146"/>
      <c r="BF138" s="146"/>
      <c r="BG138" s="146"/>
      <c r="BH138" s="146"/>
      <c r="BI138" s="146"/>
      <c r="BJ138" s="146"/>
      <c r="BK138" s="146"/>
      <c r="BL138" s="146"/>
      <c r="BM138" s="146"/>
      <c r="BN138" s="146"/>
      <c r="BO138" s="146"/>
      <c r="BP138" s="146"/>
      <c r="BQ138" s="146"/>
      <c r="BR138" s="146"/>
    </row>
    <row r="139" spans="2:70" ht="15.75" hidden="1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6"/>
      <c r="AE139" s="146"/>
      <c r="AF139" s="146"/>
      <c r="AG139" s="146"/>
      <c r="AH139" s="146"/>
      <c r="AI139" s="146"/>
      <c r="AJ139" s="146"/>
      <c r="AK139" s="146"/>
      <c r="AL139" s="146"/>
      <c r="AM139" s="146"/>
      <c r="AN139" s="146"/>
      <c r="AO139" s="146"/>
      <c r="AP139" s="146"/>
      <c r="AQ139" s="146"/>
      <c r="AR139" s="146"/>
      <c r="AS139" s="146"/>
      <c r="AT139" s="146"/>
      <c r="AU139" s="146"/>
      <c r="AV139" s="146"/>
      <c r="AW139" s="146"/>
      <c r="AX139" s="146"/>
      <c r="AY139" s="146"/>
      <c r="AZ139" s="146"/>
      <c r="BA139" s="146"/>
      <c r="BB139" s="146"/>
      <c r="BC139" s="146"/>
      <c r="BD139" s="146"/>
      <c r="BE139" s="146"/>
      <c r="BF139" s="146"/>
      <c r="BG139" s="146"/>
      <c r="BH139" s="146"/>
      <c r="BI139" s="146"/>
      <c r="BJ139" s="146"/>
      <c r="BK139" s="146"/>
      <c r="BL139" s="146"/>
      <c r="BM139" s="146"/>
      <c r="BN139" s="146"/>
      <c r="BO139" s="146"/>
      <c r="BP139" s="146"/>
      <c r="BQ139" s="146"/>
      <c r="BR139" s="146"/>
    </row>
    <row r="140" spans="2:70" ht="15.75" hidden="1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6"/>
      <c r="AE140" s="146"/>
      <c r="AF140" s="146"/>
      <c r="AG140" s="146"/>
      <c r="AH140" s="146"/>
      <c r="AI140" s="146"/>
      <c r="AJ140" s="146"/>
      <c r="AK140" s="146"/>
      <c r="AL140" s="146"/>
      <c r="AM140" s="146"/>
      <c r="AN140" s="146"/>
      <c r="AO140" s="146"/>
      <c r="AP140" s="146"/>
      <c r="AQ140" s="146"/>
      <c r="AR140" s="146"/>
      <c r="AS140" s="146"/>
      <c r="AT140" s="146"/>
      <c r="AU140" s="146"/>
      <c r="AV140" s="146"/>
      <c r="AW140" s="146"/>
      <c r="AX140" s="146"/>
      <c r="AY140" s="146"/>
      <c r="AZ140" s="146"/>
      <c r="BA140" s="146"/>
      <c r="BB140" s="146"/>
      <c r="BC140" s="146"/>
      <c r="BD140" s="146"/>
      <c r="BE140" s="146"/>
      <c r="BF140" s="146"/>
      <c r="BG140" s="146"/>
      <c r="BH140" s="146"/>
      <c r="BI140" s="146"/>
      <c r="BJ140" s="146"/>
      <c r="BK140" s="146"/>
      <c r="BL140" s="146"/>
      <c r="BM140" s="146"/>
      <c r="BN140" s="146"/>
      <c r="BO140" s="146"/>
      <c r="BP140" s="146"/>
      <c r="BQ140" s="146"/>
      <c r="BR140" s="146"/>
    </row>
    <row r="141" spans="2:70" ht="15.75" hidden="1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6"/>
      <c r="AE141" s="146"/>
      <c r="AF141" s="146"/>
      <c r="AG141" s="146"/>
      <c r="AH141" s="146"/>
      <c r="AI141" s="146"/>
      <c r="AJ141" s="146"/>
      <c r="AK141" s="146"/>
      <c r="AL141" s="146"/>
      <c r="AM141" s="146"/>
      <c r="AN141" s="146"/>
      <c r="AO141" s="146"/>
      <c r="AP141" s="146"/>
      <c r="AQ141" s="146"/>
      <c r="AR141" s="146"/>
      <c r="AS141" s="146"/>
      <c r="AT141" s="146"/>
      <c r="AU141" s="146"/>
      <c r="AV141" s="146"/>
      <c r="AW141" s="146"/>
      <c r="AX141" s="146"/>
      <c r="AY141" s="146"/>
      <c r="AZ141" s="146"/>
      <c r="BA141" s="146"/>
      <c r="BB141" s="146"/>
      <c r="BC141" s="146"/>
      <c r="BD141" s="146"/>
      <c r="BE141" s="146"/>
      <c r="BF141" s="146"/>
      <c r="BG141" s="146"/>
      <c r="BH141" s="146"/>
      <c r="BI141" s="146"/>
      <c r="BJ141" s="146"/>
      <c r="BK141" s="146"/>
      <c r="BL141" s="146"/>
      <c r="BM141" s="146"/>
      <c r="BN141" s="146"/>
      <c r="BO141" s="146"/>
      <c r="BP141" s="146"/>
      <c r="BQ141" s="146"/>
      <c r="BR141" s="146"/>
    </row>
    <row r="142" spans="2:70" ht="15.75" hidden="1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6"/>
      <c r="AE142" s="146"/>
      <c r="AF142" s="146"/>
      <c r="AG142" s="146"/>
      <c r="AH142" s="146"/>
      <c r="AI142" s="146"/>
      <c r="AJ142" s="146"/>
      <c r="AK142" s="146"/>
      <c r="AL142" s="146"/>
      <c r="AM142" s="146"/>
      <c r="AN142" s="146"/>
      <c r="AO142" s="146"/>
      <c r="AP142" s="146"/>
      <c r="AQ142" s="146"/>
      <c r="AR142" s="146"/>
      <c r="AS142" s="146"/>
      <c r="AT142" s="146"/>
      <c r="AU142" s="146"/>
      <c r="AV142" s="146"/>
      <c r="AW142" s="146"/>
      <c r="AX142" s="146"/>
      <c r="AY142" s="146"/>
      <c r="AZ142" s="146"/>
      <c r="BA142" s="146"/>
      <c r="BB142" s="146"/>
      <c r="BC142" s="146"/>
      <c r="BD142" s="146"/>
      <c r="BE142" s="146"/>
      <c r="BF142" s="146"/>
      <c r="BG142" s="146"/>
      <c r="BH142" s="146"/>
      <c r="BI142" s="146"/>
      <c r="BJ142" s="146"/>
      <c r="BK142" s="146"/>
      <c r="BL142" s="146"/>
      <c r="BM142" s="146"/>
      <c r="BN142" s="146"/>
      <c r="BO142" s="146"/>
      <c r="BP142" s="146"/>
      <c r="BQ142" s="146"/>
      <c r="BR142" s="146"/>
    </row>
    <row r="143" spans="2:70" ht="15.75" hidden="1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6"/>
      <c r="AE143" s="146"/>
      <c r="AF143" s="146"/>
      <c r="AG143" s="146"/>
      <c r="AH143" s="146"/>
      <c r="AI143" s="146"/>
      <c r="AJ143" s="146"/>
      <c r="AK143" s="146"/>
      <c r="AL143" s="146"/>
      <c r="AM143" s="146"/>
      <c r="AN143" s="146"/>
      <c r="AO143" s="146"/>
      <c r="AP143" s="146"/>
      <c r="AQ143" s="146"/>
      <c r="AR143" s="146"/>
      <c r="AS143" s="146"/>
      <c r="AT143" s="146"/>
      <c r="AU143" s="146"/>
      <c r="AV143" s="146"/>
      <c r="AW143" s="146"/>
      <c r="AX143" s="146"/>
      <c r="AY143" s="146"/>
      <c r="AZ143" s="146"/>
      <c r="BA143" s="146"/>
      <c r="BB143" s="146"/>
      <c r="BC143" s="146"/>
      <c r="BD143" s="146"/>
      <c r="BE143" s="146"/>
      <c r="BF143" s="146"/>
      <c r="BG143" s="146"/>
      <c r="BH143" s="146"/>
      <c r="BI143" s="146"/>
      <c r="BJ143" s="146"/>
      <c r="BK143" s="146"/>
      <c r="BL143" s="146"/>
      <c r="BM143" s="146"/>
      <c r="BN143" s="146"/>
      <c r="BO143" s="146"/>
      <c r="BP143" s="146"/>
      <c r="BQ143" s="146"/>
      <c r="BR143" s="146"/>
    </row>
    <row r="144" spans="2:70" ht="15.75" hidden="1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6"/>
      <c r="AE144" s="146"/>
      <c r="AF144" s="146"/>
      <c r="AG144" s="146"/>
      <c r="AH144" s="146"/>
      <c r="AI144" s="146"/>
      <c r="AJ144" s="146"/>
      <c r="AK144" s="146"/>
      <c r="AL144" s="146"/>
      <c r="AM144" s="146"/>
      <c r="AN144" s="146"/>
      <c r="AO144" s="146"/>
      <c r="AP144" s="146"/>
      <c r="AQ144" s="146"/>
      <c r="AR144" s="146"/>
      <c r="AS144" s="146"/>
      <c r="AT144" s="146"/>
      <c r="AU144" s="146"/>
      <c r="AV144" s="146"/>
      <c r="AW144" s="146"/>
      <c r="AX144" s="146"/>
      <c r="AY144" s="146"/>
      <c r="AZ144" s="146"/>
      <c r="BA144" s="146"/>
      <c r="BB144" s="146"/>
      <c r="BC144" s="146"/>
      <c r="BD144" s="146"/>
      <c r="BE144" s="146"/>
      <c r="BF144" s="146"/>
      <c r="BG144" s="146"/>
      <c r="BH144" s="146"/>
      <c r="BI144" s="146"/>
      <c r="BJ144" s="146"/>
      <c r="BK144" s="146"/>
      <c r="BL144" s="146"/>
      <c r="BM144" s="146"/>
      <c r="BN144" s="146"/>
      <c r="BO144" s="146"/>
      <c r="BP144" s="146"/>
      <c r="BQ144" s="146"/>
      <c r="BR144" s="146"/>
    </row>
    <row r="145" spans="2:70" ht="15.75" hidden="1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6"/>
      <c r="AE145" s="146"/>
      <c r="AF145" s="146"/>
      <c r="AG145" s="146"/>
      <c r="AH145" s="146"/>
      <c r="AI145" s="146"/>
      <c r="AJ145" s="146"/>
      <c r="AK145" s="146"/>
      <c r="AL145" s="146"/>
      <c r="AM145" s="146"/>
      <c r="AN145" s="146"/>
      <c r="AO145" s="146"/>
      <c r="AP145" s="146"/>
      <c r="AQ145" s="146"/>
      <c r="AR145" s="146"/>
      <c r="AS145" s="146"/>
      <c r="AT145" s="146"/>
      <c r="AU145" s="146"/>
      <c r="AV145" s="146"/>
      <c r="AW145" s="146"/>
      <c r="AX145" s="146"/>
      <c r="AY145" s="146"/>
      <c r="AZ145" s="146"/>
      <c r="BA145" s="146"/>
      <c r="BB145" s="146"/>
      <c r="BC145" s="146"/>
      <c r="BD145" s="146"/>
      <c r="BE145" s="146"/>
      <c r="BF145" s="146"/>
      <c r="BG145" s="146"/>
      <c r="BH145" s="146"/>
      <c r="BI145" s="146"/>
      <c r="BJ145" s="146"/>
      <c r="BK145" s="146"/>
      <c r="BL145" s="146"/>
      <c r="BM145" s="146"/>
      <c r="BN145" s="146"/>
      <c r="BO145" s="146"/>
      <c r="BP145" s="146"/>
      <c r="BQ145" s="146"/>
      <c r="BR145" s="146"/>
    </row>
    <row r="146" spans="2:70" ht="15.75" hidden="1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6"/>
      <c r="AE146" s="146"/>
      <c r="AF146" s="146"/>
      <c r="AG146" s="146"/>
      <c r="AH146" s="146"/>
      <c r="AI146" s="146"/>
      <c r="AJ146" s="146"/>
      <c r="AK146" s="146"/>
      <c r="AL146" s="146"/>
      <c r="AM146" s="146"/>
      <c r="AN146" s="146"/>
      <c r="AO146" s="146"/>
      <c r="AP146" s="146"/>
      <c r="AQ146" s="146"/>
      <c r="AR146" s="146"/>
      <c r="AS146" s="146"/>
      <c r="AT146" s="146"/>
      <c r="AU146" s="146"/>
      <c r="AV146" s="146"/>
      <c r="AW146" s="146"/>
      <c r="AX146" s="146"/>
      <c r="AY146" s="146"/>
      <c r="AZ146" s="146"/>
      <c r="BA146" s="146"/>
      <c r="BB146" s="146"/>
      <c r="BC146" s="146"/>
      <c r="BD146" s="146"/>
      <c r="BE146" s="146"/>
      <c r="BF146" s="146"/>
      <c r="BG146" s="146"/>
      <c r="BH146" s="146"/>
      <c r="BI146" s="146"/>
      <c r="BJ146" s="146"/>
      <c r="BK146" s="146"/>
      <c r="BL146" s="146"/>
      <c r="BM146" s="146"/>
      <c r="BN146" s="146"/>
      <c r="BO146" s="146"/>
      <c r="BP146" s="146"/>
      <c r="BQ146" s="146"/>
      <c r="BR146" s="146"/>
    </row>
    <row r="147" spans="2:70" ht="15.75" hidden="1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6"/>
      <c r="AE147" s="146"/>
      <c r="AF147" s="146"/>
      <c r="AG147" s="146"/>
      <c r="AH147" s="146"/>
      <c r="AI147" s="146"/>
      <c r="AJ147" s="146"/>
      <c r="AK147" s="146"/>
      <c r="AL147" s="146"/>
      <c r="AM147" s="146"/>
      <c r="AN147" s="146"/>
      <c r="AO147" s="146"/>
      <c r="AP147" s="146"/>
      <c r="AQ147" s="146"/>
      <c r="AR147" s="146"/>
      <c r="AS147" s="146"/>
      <c r="AT147" s="146"/>
      <c r="AU147" s="146"/>
      <c r="AV147" s="146"/>
      <c r="AW147" s="146"/>
      <c r="AX147" s="146"/>
      <c r="AY147" s="146"/>
      <c r="AZ147" s="146"/>
      <c r="BA147" s="146"/>
      <c r="BB147" s="146"/>
      <c r="BC147" s="146"/>
      <c r="BD147" s="146"/>
      <c r="BE147" s="146"/>
      <c r="BF147" s="146"/>
      <c r="BG147" s="146"/>
      <c r="BH147" s="146"/>
      <c r="BI147" s="146"/>
      <c r="BJ147" s="146"/>
      <c r="BK147" s="146"/>
      <c r="BL147" s="146"/>
      <c r="BM147" s="146"/>
      <c r="BN147" s="146"/>
      <c r="BO147" s="146"/>
      <c r="BP147" s="146"/>
      <c r="BQ147" s="146"/>
      <c r="BR147" s="146"/>
    </row>
    <row r="148" spans="2:70" ht="15.75" hidden="1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6"/>
      <c r="AE148" s="146"/>
      <c r="AF148" s="146"/>
      <c r="AG148" s="146"/>
      <c r="AH148" s="146"/>
      <c r="AI148" s="146"/>
      <c r="AJ148" s="146"/>
      <c r="AK148" s="146"/>
      <c r="AL148" s="146"/>
      <c r="AM148" s="146"/>
      <c r="AN148" s="146"/>
      <c r="AO148" s="146"/>
      <c r="AP148" s="146"/>
      <c r="AQ148" s="146"/>
      <c r="AR148" s="146"/>
      <c r="AS148" s="146"/>
      <c r="AT148" s="146"/>
      <c r="AU148" s="146"/>
      <c r="AV148" s="146"/>
      <c r="AW148" s="146"/>
      <c r="AX148" s="146"/>
      <c r="AY148" s="146"/>
      <c r="AZ148" s="146"/>
      <c r="BA148" s="146"/>
      <c r="BB148" s="146"/>
      <c r="BC148" s="146"/>
      <c r="BD148" s="146"/>
      <c r="BE148" s="146"/>
      <c r="BF148" s="146"/>
      <c r="BG148" s="146"/>
      <c r="BH148" s="146"/>
      <c r="BI148" s="146"/>
      <c r="BJ148" s="146"/>
      <c r="BK148" s="146"/>
      <c r="BL148" s="146"/>
      <c r="BM148" s="146"/>
      <c r="BN148" s="146"/>
      <c r="BO148" s="146"/>
      <c r="BP148" s="146"/>
      <c r="BQ148" s="146"/>
      <c r="BR148" s="146"/>
    </row>
    <row r="149" spans="2:70" ht="15.75" hidden="1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6"/>
      <c r="AE149" s="146"/>
      <c r="AF149" s="146"/>
      <c r="AG149" s="146"/>
      <c r="AH149" s="146"/>
      <c r="AI149" s="146"/>
      <c r="AJ149" s="146"/>
      <c r="AK149" s="146"/>
      <c r="AL149" s="146"/>
      <c r="AM149" s="146"/>
      <c r="AN149" s="146"/>
      <c r="AO149" s="146"/>
      <c r="AP149" s="146"/>
      <c r="AQ149" s="146"/>
      <c r="AR149" s="146"/>
      <c r="AS149" s="146"/>
      <c r="AT149" s="146"/>
      <c r="AU149" s="146"/>
      <c r="AV149" s="146"/>
      <c r="AW149" s="146"/>
      <c r="AX149" s="146"/>
      <c r="AY149" s="146"/>
      <c r="AZ149" s="146"/>
      <c r="BA149" s="146"/>
      <c r="BB149" s="146"/>
      <c r="BC149" s="146"/>
      <c r="BD149" s="146"/>
      <c r="BE149" s="146"/>
      <c r="BF149" s="146"/>
      <c r="BG149" s="146"/>
      <c r="BH149" s="146"/>
      <c r="BI149" s="146"/>
      <c r="BJ149" s="146"/>
      <c r="BK149" s="146"/>
      <c r="BL149" s="146"/>
      <c r="BM149" s="146"/>
      <c r="BN149" s="146"/>
      <c r="BO149" s="146"/>
      <c r="BP149" s="146"/>
      <c r="BQ149" s="146"/>
      <c r="BR149" s="146"/>
    </row>
    <row r="150" spans="2:70" ht="15.75" hidden="1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6"/>
      <c r="AE150" s="146"/>
      <c r="AF150" s="146"/>
      <c r="AG150" s="146"/>
      <c r="AH150" s="146"/>
      <c r="AI150" s="146"/>
      <c r="AJ150" s="146"/>
      <c r="AK150" s="146"/>
      <c r="AL150" s="146"/>
      <c r="AM150" s="146"/>
      <c r="AN150" s="146"/>
      <c r="AO150" s="146"/>
      <c r="AP150" s="146"/>
      <c r="AQ150" s="146"/>
      <c r="AR150" s="146"/>
      <c r="AS150" s="146"/>
      <c r="AT150" s="146"/>
      <c r="AU150" s="146"/>
      <c r="AV150" s="146"/>
      <c r="AW150" s="146"/>
      <c r="AX150" s="146"/>
      <c r="AY150" s="146"/>
      <c r="AZ150" s="146"/>
      <c r="BA150" s="146"/>
      <c r="BB150" s="146"/>
      <c r="BC150" s="146"/>
      <c r="BD150" s="146"/>
      <c r="BE150" s="146"/>
      <c r="BF150" s="146"/>
      <c r="BG150" s="146"/>
      <c r="BH150" s="146"/>
      <c r="BI150" s="146"/>
      <c r="BJ150" s="146"/>
      <c r="BK150" s="146"/>
      <c r="BL150" s="146"/>
      <c r="BM150" s="146"/>
      <c r="BN150" s="146"/>
      <c r="BO150" s="146"/>
      <c r="BP150" s="146"/>
      <c r="BQ150" s="146"/>
      <c r="BR150" s="146"/>
    </row>
    <row r="151" spans="2:70" ht="15.75" hidden="1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6"/>
      <c r="AE151" s="146"/>
      <c r="AF151" s="146"/>
      <c r="AG151" s="146"/>
      <c r="AH151" s="146"/>
      <c r="AI151" s="146"/>
      <c r="AJ151" s="146"/>
      <c r="AK151" s="146"/>
      <c r="AL151" s="146"/>
      <c r="AM151" s="146"/>
      <c r="AN151" s="146"/>
      <c r="AO151" s="146"/>
      <c r="AP151" s="146"/>
      <c r="AQ151" s="146"/>
      <c r="AR151" s="146"/>
      <c r="AS151" s="146"/>
      <c r="AT151" s="146"/>
      <c r="AU151" s="146"/>
      <c r="AV151" s="146"/>
      <c r="AW151" s="146"/>
      <c r="AX151" s="146"/>
      <c r="AY151" s="146"/>
      <c r="AZ151" s="146"/>
      <c r="BA151" s="146"/>
      <c r="BB151" s="146"/>
      <c r="BC151" s="146"/>
      <c r="BD151" s="146"/>
      <c r="BE151" s="146"/>
      <c r="BF151" s="146"/>
      <c r="BG151" s="146"/>
      <c r="BH151" s="146"/>
      <c r="BI151" s="146"/>
      <c r="BJ151" s="146"/>
      <c r="BK151" s="146"/>
      <c r="BL151" s="146"/>
      <c r="BM151" s="146"/>
      <c r="BN151" s="146"/>
      <c r="BO151" s="146"/>
      <c r="BP151" s="146"/>
      <c r="BQ151" s="146"/>
      <c r="BR151" s="146"/>
    </row>
    <row r="152" spans="2:70" ht="15.75" hidden="1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  <c r="AH152" s="146"/>
      <c r="AI152" s="146"/>
      <c r="AJ152" s="146"/>
      <c r="AK152" s="146"/>
      <c r="AL152" s="146"/>
      <c r="AM152" s="146"/>
      <c r="AN152" s="146"/>
      <c r="AO152" s="146"/>
      <c r="AP152" s="146"/>
      <c r="AQ152" s="146"/>
      <c r="AR152" s="146"/>
      <c r="AS152" s="146"/>
      <c r="AT152" s="146"/>
      <c r="AU152" s="146"/>
      <c r="AV152" s="146"/>
      <c r="AW152" s="146"/>
      <c r="AX152" s="146"/>
      <c r="AY152" s="146"/>
      <c r="AZ152" s="146"/>
      <c r="BA152" s="146"/>
      <c r="BB152" s="146"/>
      <c r="BC152" s="146"/>
      <c r="BD152" s="146"/>
      <c r="BE152" s="146"/>
      <c r="BF152" s="146"/>
      <c r="BG152" s="146"/>
      <c r="BH152" s="146"/>
      <c r="BI152" s="146"/>
      <c r="BJ152" s="146"/>
      <c r="BK152" s="146"/>
      <c r="BL152" s="146"/>
      <c r="BM152" s="146"/>
      <c r="BN152" s="146"/>
      <c r="BO152" s="146"/>
      <c r="BP152" s="146"/>
      <c r="BQ152" s="146"/>
      <c r="BR152" s="146"/>
    </row>
    <row r="153" spans="2:70" ht="15.75" hidden="1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6"/>
      <c r="AE153" s="146"/>
      <c r="AF153" s="146"/>
      <c r="AG153" s="146"/>
      <c r="AH153" s="146"/>
      <c r="AI153" s="146"/>
      <c r="AJ153" s="146"/>
      <c r="AK153" s="146"/>
      <c r="AL153" s="146"/>
      <c r="AM153" s="146"/>
      <c r="AN153" s="146"/>
      <c r="AO153" s="146"/>
      <c r="AP153" s="146"/>
      <c r="AQ153" s="146"/>
      <c r="AR153" s="146"/>
      <c r="AS153" s="146"/>
      <c r="AT153" s="146"/>
      <c r="AU153" s="146"/>
      <c r="AV153" s="146"/>
      <c r="AW153" s="146"/>
      <c r="AX153" s="146"/>
      <c r="AY153" s="146"/>
      <c r="AZ153" s="146"/>
      <c r="BA153" s="146"/>
      <c r="BB153" s="146"/>
      <c r="BC153" s="146"/>
      <c r="BD153" s="146"/>
      <c r="BE153" s="146"/>
      <c r="BF153" s="146"/>
      <c r="BG153" s="146"/>
      <c r="BH153" s="146"/>
      <c r="BI153" s="146"/>
      <c r="BJ153" s="146"/>
      <c r="BK153" s="146"/>
      <c r="BL153" s="146"/>
      <c r="BM153" s="146"/>
      <c r="BN153" s="146"/>
      <c r="BO153" s="146"/>
      <c r="BP153" s="146"/>
      <c r="BQ153" s="146"/>
      <c r="BR153" s="146"/>
    </row>
    <row r="154" spans="2:70" ht="15.75" hidden="1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6"/>
      <c r="AE154" s="146"/>
      <c r="AF154" s="146"/>
      <c r="AG154" s="146"/>
      <c r="AH154" s="146"/>
      <c r="AI154" s="146"/>
      <c r="AJ154" s="146"/>
      <c r="AK154" s="146"/>
      <c r="AL154" s="146"/>
      <c r="AM154" s="146"/>
      <c r="AN154" s="146"/>
      <c r="AO154" s="146"/>
      <c r="AP154" s="146"/>
      <c r="AQ154" s="146"/>
      <c r="AR154" s="146"/>
      <c r="AS154" s="146"/>
      <c r="AT154" s="146"/>
      <c r="AU154" s="146"/>
      <c r="AV154" s="146"/>
      <c r="AW154" s="146"/>
      <c r="AX154" s="146"/>
      <c r="AY154" s="146"/>
      <c r="AZ154" s="146"/>
      <c r="BA154" s="146"/>
      <c r="BB154" s="146"/>
      <c r="BC154" s="146"/>
      <c r="BD154" s="146"/>
      <c r="BE154" s="146"/>
      <c r="BF154" s="146"/>
      <c r="BG154" s="146"/>
      <c r="BH154" s="146"/>
      <c r="BI154" s="146"/>
      <c r="BJ154" s="146"/>
      <c r="BK154" s="146"/>
      <c r="BL154" s="146"/>
      <c r="BM154" s="146"/>
      <c r="BN154" s="146"/>
      <c r="BO154" s="146"/>
      <c r="BP154" s="146"/>
      <c r="BQ154" s="146"/>
      <c r="BR154" s="146"/>
    </row>
    <row r="155" spans="2:70" ht="15.75" hidden="1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6"/>
      <c r="AE155" s="146"/>
      <c r="AF155" s="146"/>
      <c r="AG155" s="146"/>
      <c r="AH155" s="146"/>
      <c r="AI155" s="146"/>
      <c r="AJ155" s="146"/>
      <c r="AK155" s="146"/>
      <c r="AL155" s="146"/>
      <c r="AM155" s="146"/>
      <c r="AN155" s="146"/>
      <c r="AO155" s="146"/>
      <c r="AP155" s="146"/>
      <c r="AQ155" s="146"/>
      <c r="AR155" s="146"/>
      <c r="AS155" s="146"/>
      <c r="AT155" s="146"/>
      <c r="AU155" s="146"/>
      <c r="AV155" s="146"/>
      <c r="AW155" s="146"/>
      <c r="AX155" s="146"/>
      <c r="AY155" s="146"/>
      <c r="AZ155" s="146"/>
      <c r="BA155" s="146"/>
      <c r="BB155" s="146"/>
      <c r="BC155" s="146"/>
      <c r="BD155" s="146"/>
      <c r="BE155" s="146"/>
      <c r="BF155" s="146"/>
      <c r="BG155" s="146"/>
      <c r="BH155" s="146"/>
      <c r="BI155" s="146"/>
      <c r="BJ155" s="146"/>
      <c r="BK155" s="146"/>
      <c r="BL155" s="146"/>
      <c r="BM155" s="146"/>
      <c r="BN155" s="146"/>
      <c r="BO155" s="146"/>
      <c r="BP155" s="146"/>
      <c r="BQ155" s="146"/>
      <c r="BR155" s="146"/>
    </row>
    <row r="156" spans="2:70" ht="15.75" hidden="1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6"/>
      <c r="AE156" s="146"/>
      <c r="AF156" s="146"/>
      <c r="AG156" s="146"/>
      <c r="AH156" s="146"/>
      <c r="AI156" s="146"/>
      <c r="AJ156" s="146"/>
      <c r="AK156" s="146"/>
      <c r="AL156" s="146"/>
      <c r="AM156" s="146"/>
      <c r="AN156" s="146"/>
      <c r="AO156" s="146"/>
      <c r="AP156" s="146"/>
      <c r="AQ156" s="146"/>
      <c r="AR156" s="146"/>
      <c r="AS156" s="146"/>
      <c r="AT156" s="146"/>
      <c r="AU156" s="146"/>
      <c r="AV156" s="146"/>
      <c r="AW156" s="146"/>
      <c r="AX156" s="146"/>
      <c r="AY156" s="146"/>
      <c r="AZ156" s="146"/>
      <c r="BA156" s="146"/>
      <c r="BB156" s="146"/>
      <c r="BC156" s="146"/>
      <c r="BD156" s="146"/>
      <c r="BE156" s="146"/>
      <c r="BF156" s="146"/>
      <c r="BG156" s="146"/>
      <c r="BH156" s="146"/>
      <c r="BI156" s="146"/>
      <c r="BJ156" s="146"/>
      <c r="BK156" s="146"/>
      <c r="BL156" s="146"/>
      <c r="BM156" s="146"/>
      <c r="BN156" s="146"/>
      <c r="BO156" s="146"/>
      <c r="BP156" s="146"/>
      <c r="BQ156" s="146"/>
      <c r="BR156" s="146"/>
    </row>
    <row r="157" spans="2:70" ht="15.75" hidden="1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6"/>
      <c r="AE157" s="146"/>
      <c r="AF157" s="146"/>
      <c r="AG157" s="146"/>
      <c r="AH157" s="146"/>
      <c r="AI157" s="146"/>
      <c r="AJ157" s="146"/>
      <c r="AK157" s="146"/>
      <c r="AL157" s="146"/>
      <c r="AM157" s="146"/>
      <c r="AN157" s="146"/>
      <c r="AO157" s="146"/>
      <c r="AP157" s="146"/>
      <c r="AQ157" s="146"/>
      <c r="AR157" s="146"/>
      <c r="AS157" s="146"/>
      <c r="AT157" s="146"/>
      <c r="AU157" s="146"/>
      <c r="AV157" s="146"/>
      <c r="AW157" s="146"/>
      <c r="AX157" s="146"/>
      <c r="AY157" s="146"/>
      <c r="AZ157" s="146"/>
      <c r="BA157" s="146"/>
      <c r="BB157" s="146"/>
      <c r="BC157" s="146"/>
      <c r="BD157" s="146"/>
      <c r="BE157" s="146"/>
      <c r="BF157" s="146"/>
      <c r="BG157" s="146"/>
      <c r="BH157" s="146"/>
      <c r="BI157" s="146"/>
      <c r="BJ157" s="146"/>
      <c r="BK157" s="146"/>
      <c r="BL157" s="146"/>
      <c r="BM157" s="146"/>
      <c r="BN157" s="146"/>
      <c r="BO157" s="146"/>
      <c r="BP157" s="146"/>
      <c r="BQ157" s="146"/>
      <c r="BR157" s="146"/>
    </row>
    <row r="158" spans="2:70" ht="15.75" hidden="1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  <c r="AH158" s="146"/>
      <c r="AI158" s="146"/>
      <c r="AJ158" s="146"/>
      <c r="AK158" s="146"/>
      <c r="AL158" s="146"/>
      <c r="AM158" s="146"/>
      <c r="AN158" s="146"/>
      <c r="AO158" s="146"/>
      <c r="AP158" s="146"/>
      <c r="AQ158" s="146"/>
      <c r="AR158" s="146"/>
      <c r="AS158" s="146"/>
      <c r="AT158" s="146"/>
      <c r="AU158" s="146"/>
      <c r="AV158" s="146"/>
      <c r="AW158" s="146"/>
      <c r="AX158" s="146"/>
      <c r="AY158" s="146"/>
      <c r="AZ158" s="146"/>
      <c r="BA158" s="146"/>
      <c r="BB158" s="146"/>
      <c r="BC158" s="146"/>
      <c r="BD158" s="146"/>
      <c r="BE158" s="146"/>
      <c r="BF158" s="146"/>
      <c r="BG158" s="146"/>
      <c r="BH158" s="146"/>
      <c r="BI158" s="146"/>
      <c r="BJ158" s="146"/>
      <c r="BK158" s="146"/>
      <c r="BL158" s="146"/>
      <c r="BM158" s="146"/>
      <c r="BN158" s="146"/>
      <c r="BO158" s="146"/>
      <c r="BP158" s="146"/>
      <c r="BQ158" s="146"/>
      <c r="BR158" s="146"/>
    </row>
    <row r="159" spans="2:70" ht="15.75" hidden="1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6"/>
      <c r="AE159" s="146"/>
      <c r="AF159" s="146"/>
      <c r="AG159" s="146"/>
      <c r="AH159" s="146"/>
      <c r="AI159" s="146"/>
      <c r="AJ159" s="146"/>
      <c r="AK159" s="146"/>
      <c r="AL159" s="146"/>
      <c r="AM159" s="146"/>
      <c r="AN159" s="146"/>
      <c r="AO159" s="146"/>
      <c r="AP159" s="146"/>
      <c r="AQ159" s="146"/>
      <c r="AR159" s="146"/>
      <c r="AS159" s="146"/>
      <c r="AT159" s="146"/>
      <c r="AU159" s="146"/>
      <c r="AV159" s="146"/>
      <c r="AW159" s="146"/>
      <c r="AX159" s="146"/>
      <c r="AY159" s="146"/>
      <c r="AZ159" s="146"/>
      <c r="BA159" s="146"/>
      <c r="BB159" s="146"/>
      <c r="BC159" s="146"/>
      <c r="BD159" s="146"/>
      <c r="BE159" s="146"/>
      <c r="BF159" s="146"/>
      <c r="BG159" s="146"/>
      <c r="BH159" s="146"/>
      <c r="BI159" s="146"/>
      <c r="BJ159" s="146"/>
      <c r="BK159" s="146"/>
      <c r="BL159" s="146"/>
      <c r="BM159" s="146"/>
      <c r="BN159" s="146"/>
      <c r="BO159" s="146"/>
      <c r="BP159" s="146"/>
      <c r="BQ159" s="146"/>
      <c r="BR159" s="146"/>
    </row>
    <row r="160" spans="2:70" ht="15.75" hidden="1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6"/>
      <c r="AE160" s="146"/>
      <c r="AF160" s="146"/>
      <c r="AG160" s="146"/>
      <c r="AH160" s="146"/>
      <c r="AI160" s="146"/>
      <c r="AJ160" s="146"/>
      <c r="AK160" s="146"/>
      <c r="AL160" s="146"/>
      <c r="AM160" s="146"/>
      <c r="AN160" s="146"/>
      <c r="AO160" s="146"/>
      <c r="AP160" s="146"/>
      <c r="AQ160" s="146"/>
      <c r="AR160" s="146"/>
      <c r="AS160" s="146"/>
      <c r="AT160" s="146"/>
      <c r="AU160" s="146"/>
      <c r="AV160" s="146"/>
      <c r="AW160" s="146"/>
      <c r="AX160" s="146"/>
      <c r="AY160" s="146"/>
      <c r="AZ160" s="146"/>
      <c r="BA160" s="146"/>
      <c r="BB160" s="146"/>
      <c r="BC160" s="146"/>
      <c r="BD160" s="146"/>
      <c r="BE160" s="146"/>
      <c r="BF160" s="146"/>
      <c r="BG160" s="146"/>
      <c r="BH160" s="146"/>
      <c r="BI160" s="146"/>
      <c r="BJ160" s="146"/>
      <c r="BK160" s="146"/>
      <c r="BL160" s="146"/>
      <c r="BM160" s="146"/>
      <c r="BN160" s="146"/>
      <c r="BO160" s="146"/>
      <c r="BP160" s="146"/>
      <c r="BQ160" s="146"/>
      <c r="BR160" s="146"/>
    </row>
    <row r="161" spans="2:70" ht="15.75" hidden="1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6"/>
      <c r="AE161" s="146"/>
      <c r="AF161" s="146"/>
      <c r="AG161" s="146"/>
      <c r="AH161" s="146"/>
      <c r="AI161" s="146"/>
      <c r="AJ161" s="146"/>
      <c r="AK161" s="146"/>
      <c r="AL161" s="146"/>
      <c r="AM161" s="146"/>
      <c r="AN161" s="146"/>
      <c r="AO161" s="146"/>
      <c r="AP161" s="146"/>
      <c r="AQ161" s="146"/>
      <c r="AR161" s="146"/>
      <c r="AS161" s="146"/>
      <c r="AT161" s="146"/>
      <c r="AU161" s="146"/>
      <c r="AV161" s="146"/>
      <c r="AW161" s="146"/>
      <c r="AX161" s="146"/>
      <c r="AY161" s="146"/>
      <c r="AZ161" s="146"/>
      <c r="BA161" s="146"/>
      <c r="BB161" s="146"/>
      <c r="BC161" s="146"/>
      <c r="BD161" s="146"/>
      <c r="BE161" s="146"/>
      <c r="BF161" s="146"/>
      <c r="BG161" s="146"/>
      <c r="BH161" s="146"/>
      <c r="BI161" s="146"/>
      <c r="BJ161" s="146"/>
      <c r="BK161" s="146"/>
      <c r="BL161" s="146"/>
      <c r="BM161" s="146"/>
      <c r="BN161" s="146"/>
      <c r="BO161" s="146"/>
      <c r="BP161" s="146"/>
      <c r="BQ161" s="146"/>
      <c r="BR161" s="146"/>
    </row>
    <row r="162" spans="2:70" ht="15.75" hidden="1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6"/>
      <c r="AE162" s="146"/>
      <c r="AF162" s="146"/>
      <c r="AG162" s="146"/>
      <c r="AH162" s="146"/>
      <c r="AI162" s="146"/>
      <c r="AJ162" s="146"/>
      <c r="AK162" s="146"/>
      <c r="AL162" s="146"/>
      <c r="AM162" s="146"/>
      <c r="AN162" s="146"/>
      <c r="AO162" s="146"/>
      <c r="AP162" s="146"/>
      <c r="AQ162" s="146"/>
      <c r="AR162" s="146"/>
      <c r="AS162" s="146"/>
      <c r="AT162" s="146"/>
      <c r="AU162" s="146"/>
      <c r="AV162" s="146"/>
      <c r="AW162" s="146"/>
      <c r="AX162" s="146"/>
      <c r="AY162" s="146"/>
      <c r="AZ162" s="146"/>
      <c r="BA162" s="146"/>
      <c r="BB162" s="146"/>
      <c r="BC162" s="146"/>
      <c r="BD162" s="146"/>
      <c r="BE162" s="146"/>
      <c r="BF162" s="146"/>
      <c r="BG162" s="146"/>
      <c r="BH162" s="146"/>
      <c r="BI162" s="146"/>
      <c r="BJ162" s="146"/>
      <c r="BK162" s="146"/>
      <c r="BL162" s="146"/>
      <c r="BM162" s="146"/>
      <c r="BN162" s="146"/>
      <c r="BO162" s="146"/>
      <c r="BP162" s="146"/>
      <c r="BQ162" s="146"/>
      <c r="BR162" s="146"/>
    </row>
    <row r="163" spans="2:70" ht="15.75" hidden="1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6"/>
      <c r="AE163" s="146"/>
      <c r="AF163" s="146"/>
      <c r="AG163" s="146"/>
      <c r="AH163" s="146"/>
      <c r="AI163" s="146"/>
      <c r="AJ163" s="146"/>
      <c r="AK163" s="146"/>
      <c r="AL163" s="146"/>
      <c r="AM163" s="146"/>
      <c r="AN163" s="146"/>
      <c r="AO163" s="146"/>
      <c r="AP163" s="146"/>
      <c r="AQ163" s="146"/>
      <c r="AR163" s="146"/>
      <c r="AS163" s="146"/>
      <c r="AT163" s="146"/>
      <c r="AU163" s="146"/>
      <c r="AV163" s="146"/>
      <c r="AW163" s="146"/>
      <c r="AX163" s="146"/>
      <c r="AY163" s="146"/>
      <c r="AZ163" s="146"/>
      <c r="BA163" s="146"/>
      <c r="BB163" s="146"/>
      <c r="BC163" s="146"/>
      <c r="BD163" s="146"/>
      <c r="BE163" s="146"/>
      <c r="BF163" s="146"/>
      <c r="BG163" s="146"/>
      <c r="BH163" s="146"/>
      <c r="BI163" s="146"/>
      <c r="BJ163" s="146"/>
      <c r="BK163" s="146"/>
      <c r="BL163" s="146"/>
      <c r="BM163" s="146"/>
      <c r="BN163" s="146"/>
      <c r="BO163" s="146"/>
      <c r="BP163" s="146"/>
      <c r="BQ163" s="146"/>
      <c r="BR163" s="146"/>
    </row>
    <row r="164" spans="2:70" ht="15.75" hidden="1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6"/>
      <c r="AE164" s="146"/>
      <c r="AF164" s="146"/>
      <c r="AG164" s="146"/>
      <c r="AH164" s="146"/>
      <c r="AI164" s="146"/>
      <c r="AJ164" s="146"/>
      <c r="AK164" s="146"/>
      <c r="AL164" s="146"/>
      <c r="AM164" s="146"/>
      <c r="AN164" s="146"/>
      <c r="AO164" s="146"/>
      <c r="AP164" s="146"/>
      <c r="AQ164" s="146"/>
      <c r="AR164" s="146"/>
      <c r="AS164" s="146"/>
      <c r="AT164" s="146"/>
      <c r="AU164" s="146"/>
      <c r="AV164" s="146"/>
      <c r="AW164" s="146"/>
      <c r="AX164" s="146"/>
      <c r="AY164" s="146"/>
      <c r="AZ164" s="146"/>
      <c r="BA164" s="146"/>
      <c r="BB164" s="146"/>
      <c r="BC164" s="146"/>
      <c r="BD164" s="146"/>
      <c r="BE164" s="146"/>
      <c r="BF164" s="146"/>
      <c r="BG164" s="146"/>
      <c r="BH164" s="146"/>
      <c r="BI164" s="146"/>
      <c r="BJ164" s="146"/>
      <c r="BK164" s="146"/>
      <c r="BL164" s="146"/>
      <c r="BM164" s="146"/>
      <c r="BN164" s="146"/>
      <c r="BO164" s="146"/>
      <c r="BP164" s="146"/>
      <c r="BQ164" s="146"/>
      <c r="BR164" s="146"/>
    </row>
    <row r="165" spans="2:70" ht="15.75" hidden="1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6"/>
      <c r="AE165" s="146"/>
      <c r="AF165" s="146"/>
      <c r="AG165" s="146"/>
      <c r="AH165" s="146"/>
      <c r="AI165" s="146"/>
      <c r="AJ165" s="146"/>
      <c r="AK165" s="146"/>
      <c r="AL165" s="146"/>
      <c r="AM165" s="146"/>
      <c r="AN165" s="146"/>
      <c r="AO165" s="146"/>
      <c r="AP165" s="146"/>
      <c r="AQ165" s="146"/>
      <c r="AR165" s="146"/>
      <c r="AS165" s="146"/>
      <c r="AT165" s="146"/>
      <c r="AU165" s="146"/>
      <c r="AV165" s="146"/>
      <c r="AW165" s="146"/>
      <c r="AX165" s="146"/>
      <c r="AY165" s="146"/>
      <c r="AZ165" s="146"/>
      <c r="BA165" s="146"/>
      <c r="BB165" s="146"/>
      <c r="BC165" s="146"/>
      <c r="BD165" s="146"/>
      <c r="BE165" s="146"/>
      <c r="BF165" s="146"/>
      <c r="BG165" s="146"/>
      <c r="BH165" s="146"/>
      <c r="BI165" s="146"/>
      <c r="BJ165" s="146"/>
      <c r="BK165" s="146"/>
      <c r="BL165" s="146"/>
      <c r="BM165" s="146"/>
      <c r="BN165" s="146"/>
      <c r="BO165" s="146"/>
      <c r="BP165" s="146"/>
      <c r="BQ165" s="146"/>
      <c r="BR165" s="146"/>
    </row>
    <row r="166" spans="2:70" ht="15.75" hidden="1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6"/>
      <c r="AE166" s="146"/>
      <c r="AF166" s="146"/>
      <c r="AG166" s="146"/>
      <c r="AH166" s="146"/>
      <c r="AI166" s="146"/>
      <c r="AJ166" s="146"/>
      <c r="AK166" s="146"/>
      <c r="AL166" s="146"/>
      <c r="AM166" s="146"/>
      <c r="AN166" s="146"/>
      <c r="AO166" s="146"/>
      <c r="AP166" s="146"/>
      <c r="AQ166" s="146"/>
      <c r="AR166" s="146"/>
      <c r="AS166" s="146"/>
      <c r="AT166" s="146"/>
      <c r="AU166" s="146"/>
      <c r="AV166" s="146"/>
      <c r="AW166" s="146"/>
      <c r="AX166" s="146"/>
      <c r="AY166" s="146"/>
      <c r="AZ166" s="146"/>
      <c r="BA166" s="146"/>
      <c r="BB166" s="146"/>
      <c r="BC166" s="146"/>
      <c r="BD166" s="146"/>
      <c r="BE166" s="146"/>
      <c r="BF166" s="146"/>
      <c r="BG166" s="146"/>
      <c r="BH166" s="146"/>
      <c r="BI166" s="146"/>
      <c r="BJ166" s="146"/>
      <c r="BK166" s="146"/>
      <c r="BL166" s="146"/>
      <c r="BM166" s="146"/>
      <c r="BN166" s="146"/>
      <c r="BO166" s="146"/>
      <c r="BP166" s="146"/>
      <c r="BQ166" s="146"/>
      <c r="BR166" s="146"/>
    </row>
    <row r="167" spans="2:70" ht="15.75" hidden="1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6"/>
      <c r="AE167" s="146"/>
      <c r="AF167" s="146"/>
      <c r="AG167" s="146"/>
      <c r="AH167" s="146"/>
      <c r="AI167" s="146"/>
      <c r="AJ167" s="146"/>
      <c r="AK167" s="146"/>
      <c r="AL167" s="146"/>
      <c r="AM167" s="146"/>
      <c r="AN167" s="146"/>
      <c r="AO167" s="146"/>
      <c r="AP167" s="146"/>
      <c r="AQ167" s="146"/>
      <c r="AR167" s="146"/>
      <c r="AS167" s="146"/>
      <c r="AT167" s="146"/>
      <c r="AU167" s="146"/>
      <c r="AV167" s="146"/>
      <c r="AW167" s="146"/>
      <c r="AX167" s="146"/>
      <c r="AY167" s="146"/>
      <c r="AZ167" s="146"/>
      <c r="BA167" s="146"/>
      <c r="BB167" s="146"/>
      <c r="BC167" s="146"/>
      <c r="BD167" s="146"/>
      <c r="BE167" s="146"/>
      <c r="BF167" s="146"/>
      <c r="BG167" s="146"/>
      <c r="BH167" s="146"/>
      <c r="BI167" s="146"/>
      <c r="BJ167" s="146"/>
      <c r="BK167" s="146"/>
      <c r="BL167" s="146"/>
      <c r="BM167" s="146"/>
      <c r="BN167" s="146"/>
      <c r="BO167" s="146"/>
      <c r="BP167" s="146"/>
      <c r="BQ167" s="146"/>
      <c r="BR167" s="146"/>
    </row>
    <row r="168" spans="2:70" ht="15.75" hidden="1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6"/>
      <c r="AE168" s="146"/>
      <c r="AF168" s="146"/>
      <c r="AG168" s="146"/>
      <c r="AH168" s="146"/>
      <c r="AI168" s="146"/>
      <c r="AJ168" s="146"/>
      <c r="AK168" s="146"/>
      <c r="AL168" s="146"/>
      <c r="AM168" s="146"/>
      <c r="AN168" s="146"/>
      <c r="AO168" s="146"/>
      <c r="AP168" s="146"/>
      <c r="AQ168" s="146"/>
      <c r="AR168" s="146"/>
      <c r="AS168" s="146"/>
      <c r="AT168" s="146"/>
      <c r="AU168" s="146"/>
      <c r="AV168" s="146"/>
      <c r="AW168" s="146"/>
      <c r="AX168" s="146"/>
      <c r="AY168" s="146"/>
      <c r="AZ168" s="146"/>
      <c r="BA168" s="146"/>
      <c r="BB168" s="146"/>
      <c r="BC168" s="146"/>
      <c r="BD168" s="146"/>
      <c r="BE168" s="146"/>
      <c r="BF168" s="146"/>
      <c r="BG168" s="146"/>
      <c r="BH168" s="146"/>
      <c r="BI168" s="146"/>
      <c r="BJ168" s="146"/>
      <c r="BK168" s="146"/>
      <c r="BL168" s="146"/>
      <c r="BM168" s="146"/>
      <c r="BN168" s="146"/>
      <c r="BO168" s="146"/>
      <c r="BP168" s="146"/>
      <c r="BQ168" s="146"/>
      <c r="BR168" s="146"/>
    </row>
    <row r="169" spans="2:70" ht="15.75" hidden="1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6"/>
      <c r="AE169" s="146"/>
      <c r="AF169" s="146"/>
      <c r="AG169" s="146"/>
      <c r="AH169" s="146"/>
      <c r="AI169" s="146"/>
      <c r="AJ169" s="146"/>
      <c r="AK169" s="146"/>
      <c r="AL169" s="146"/>
      <c r="AM169" s="146"/>
      <c r="AN169" s="146"/>
      <c r="AO169" s="146"/>
      <c r="AP169" s="146"/>
      <c r="AQ169" s="146"/>
      <c r="AR169" s="146"/>
      <c r="AS169" s="146"/>
      <c r="AT169" s="146"/>
      <c r="AU169" s="146"/>
      <c r="AV169" s="146"/>
      <c r="AW169" s="146"/>
      <c r="AX169" s="146"/>
      <c r="AY169" s="146"/>
      <c r="AZ169" s="146"/>
      <c r="BA169" s="146"/>
      <c r="BB169" s="146"/>
      <c r="BC169" s="146"/>
      <c r="BD169" s="146"/>
      <c r="BE169" s="146"/>
      <c r="BF169" s="146"/>
      <c r="BG169" s="146"/>
      <c r="BH169" s="146"/>
      <c r="BI169" s="146"/>
      <c r="BJ169" s="146"/>
      <c r="BK169" s="146"/>
      <c r="BL169" s="146"/>
      <c r="BM169" s="146"/>
      <c r="BN169" s="146"/>
      <c r="BO169" s="146"/>
      <c r="BP169" s="146"/>
      <c r="BQ169" s="146"/>
      <c r="BR169" s="146"/>
    </row>
    <row r="170" spans="2:70" ht="15.75" hidden="1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6"/>
      <c r="AE170" s="146"/>
      <c r="AF170" s="146"/>
      <c r="AG170" s="146"/>
      <c r="AH170" s="146"/>
      <c r="AI170" s="146"/>
      <c r="AJ170" s="146"/>
      <c r="AK170" s="146"/>
      <c r="AL170" s="146"/>
      <c r="AM170" s="146"/>
      <c r="AN170" s="146"/>
      <c r="AO170" s="146"/>
      <c r="AP170" s="146"/>
      <c r="AQ170" s="146"/>
      <c r="AR170" s="146"/>
      <c r="AS170" s="146"/>
      <c r="AT170" s="146"/>
      <c r="AU170" s="146"/>
      <c r="AV170" s="146"/>
      <c r="AW170" s="146"/>
      <c r="AX170" s="146"/>
      <c r="AY170" s="146"/>
      <c r="AZ170" s="146"/>
      <c r="BA170" s="146"/>
      <c r="BB170" s="146"/>
      <c r="BC170" s="146"/>
      <c r="BD170" s="146"/>
      <c r="BE170" s="146"/>
      <c r="BF170" s="146"/>
      <c r="BG170" s="146"/>
      <c r="BH170" s="146"/>
      <c r="BI170" s="146"/>
      <c r="BJ170" s="146"/>
      <c r="BK170" s="146"/>
      <c r="BL170" s="146"/>
      <c r="BM170" s="146"/>
      <c r="BN170" s="146"/>
      <c r="BO170" s="146"/>
      <c r="BP170" s="146"/>
      <c r="BQ170" s="146"/>
      <c r="BR170" s="146"/>
    </row>
    <row r="171" spans="2:70" ht="15.75" hidden="1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6"/>
      <c r="AE171" s="146"/>
      <c r="AF171" s="146"/>
      <c r="AG171" s="146"/>
      <c r="AH171" s="146"/>
      <c r="AI171" s="146"/>
      <c r="AJ171" s="146"/>
      <c r="AK171" s="146"/>
      <c r="AL171" s="146"/>
      <c r="AM171" s="146"/>
      <c r="AN171" s="146"/>
      <c r="AO171" s="146"/>
      <c r="AP171" s="146"/>
      <c r="AQ171" s="146"/>
      <c r="AR171" s="146"/>
      <c r="AS171" s="146"/>
      <c r="AT171" s="146"/>
      <c r="AU171" s="146"/>
      <c r="AV171" s="146"/>
      <c r="AW171" s="146"/>
      <c r="AX171" s="146"/>
      <c r="AY171" s="146"/>
      <c r="AZ171" s="146"/>
      <c r="BA171" s="146"/>
      <c r="BB171" s="146"/>
      <c r="BC171" s="146"/>
      <c r="BD171" s="146"/>
      <c r="BE171" s="146"/>
      <c r="BF171" s="146"/>
      <c r="BG171" s="146"/>
      <c r="BH171" s="146"/>
      <c r="BI171" s="146"/>
      <c r="BJ171" s="146"/>
      <c r="BK171" s="146"/>
      <c r="BL171" s="146"/>
      <c r="BM171" s="146"/>
      <c r="BN171" s="146"/>
      <c r="BO171" s="146"/>
      <c r="BP171" s="146"/>
      <c r="BQ171" s="146"/>
      <c r="BR171" s="146"/>
    </row>
    <row r="172" spans="2:70" ht="15.75" hidden="1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6"/>
      <c r="AE172" s="146"/>
      <c r="AF172" s="146"/>
      <c r="AG172" s="146"/>
      <c r="AH172" s="146"/>
      <c r="AI172" s="146"/>
      <c r="AJ172" s="146"/>
      <c r="AK172" s="146"/>
      <c r="AL172" s="146"/>
      <c r="AM172" s="146"/>
      <c r="AN172" s="146"/>
      <c r="AO172" s="146"/>
      <c r="AP172" s="146"/>
      <c r="AQ172" s="146"/>
      <c r="AR172" s="146"/>
      <c r="AS172" s="146"/>
      <c r="AT172" s="146"/>
      <c r="AU172" s="146"/>
      <c r="AV172" s="146"/>
      <c r="AW172" s="146"/>
      <c r="AX172" s="146"/>
      <c r="AY172" s="146"/>
      <c r="AZ172" s="146"/>
      <c r="BA172" s="146"/>
      <c r="BB172" s="146"/>
      <c r="BC172" s="146"/>
      <c r="BD172" s="146"/>
      <c r="BE172" s="146"/>
      <c r="BF172" s="146"/>
      <c r="BG172" s="146"/>
      <c r="BH172" s="146"/>
      <c r="BI172" s="146"/>
      <c r="BJ172" s="146"/>
      <c r="BK172" s="146"/>
      <c r="BL172" s="146"/>
      <c r="BM172" s="146"/>
      <c r="BN172" s="146"/>
      <c r="BO172" s="146"/>
      <c r="BP172" s="146"/>
      <c r="BQ172" s="146"/>
      <c r="BR172" s="146"/>
    </row>
    <row r="173" spans="2:70" ht="15.75" hidden="1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6"/>
      <c r="AE173" s="146"/>
      <c r="AF173" s="146"/>
      <c r="AG173" s="146"/>
      <c r="AH173" s="146"/>
      <c r="AI173" s="146"/>
      <c r="AJ173" s="146"/>
      <c r="AK173" s="146"/>
      <c r="AL173" s="146"/>
      <c r="AM173" s="146"/>
      <c r="AN173" s="146"/>
      <c r="AO173" s="146"/>
      <c r="AP173" s="146"/>
      <c r="AQ173" s="146"/>
      <c r="AR173" s="146"/>
      <c r="AS173" s="146"/>
      <c r="AT173" s="146"/>
      <c r="AU173" s="146"/>
      <c r="AV173" s="146"/>
      <c r="AW173" s="146"/>
      <c r="AX173" s="146"/>
      <c r="AY173" s="146"/>
      <c r="AZ173" s="146"/>
      <c r="BA173" s="146"/>
      <c r="BB173" s="146"/>
      <c r="BC173" s="146"/>
      <c r="BD173" s="146"/>
      <c r="BE173" s="146"/>
      <c r="BF173" s="146"/>
      <c r="BG173" s="146"/>
      <c r="BH173" s="146"/>
      <c r="BI173" s="146"/>
      <c r="BJ173" s="146"/>
      <c r="BK173" s="146"/>
      <c r="BL173" s="146"/>
      <c r="BM173" s="146"/>
      <c r="BN173" s="146"/>
      <c r="BO173" s="146"/>
      <c r="BP173" s="146"/>
      <c r="BQ173" s="146"/>
      <c r="BR173" s="146"/>
    </row>
    <row r="174" spans="2:70" ht="15.75" hidden="1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6"/>
      <c r="AE174" s="146"/>
      <c r="AF174" s="146"/>
      <c r="AG174" s="146"/>
      <c r="AH174" s="146"/>
      <c r="AI174" s="146"/>
      <c r="AJ174" s="146"/>
      <c r="AK174" s="146"/>
      <c r="AL174" s="146"/>
      <c r="AM174" s="146"/>
      <c r="AN174" s="146"/>
      <c r="AO174" s="146"/>
      <c r="AP174" s="146"/>
      <c r="AQ174" s="146"/>
      <c r="AR174" s="146"/>
      <c r="AS174" s="146"/>
      <c r="AT174" s="146"/>
      <c r="AU174" s="146"/>
      <c r="AV174" s="146"/>
      <c r="AW174" s="146"/>
      <c r="AX174" s="146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</row>
    <row r="175" spans="2:70" ht="15.75" hidden="1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6"/>
      <c r="AE175" s="146"/>
      <c r="AF175" s="146"/>
      <c r="AG175" s="146"/>
      <c r="AH175" s="146"/>
      <c r="AI175" s="146"/>
      <c r="AJ175" s="146"/>
      <c r="AK175" s="146"/>
      <c r="AL175" s="146"/>
      <c r="AM175" s="146"/>
      <c r="AN175" s="146"/>
      <c r="AO175" s="146"/>
      <c r="AP175" s="146"/>
      <c r="AQ175" s="146"/>
      <c r="AR175" s="146"/>
      <c r="AS175" s="146"/>
      <c r="AT175" s="146"/>
      <c r="AU175" s="146"/>
      <c r="AV175" s="146"/>
      <c r="AW175" s="146"/>
      <c r="AX175" s="146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</row>
    <row r="176" spans="2:70" ht="15.75" hidden="1">
      <c r="B176" s="146"/>
      <c r="C176" s="146"/>
      <c r="D176" s="146"/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146"/>
      <c r="W176" s="146"/>
      <c r="X176" s="146"/>
      <c r="Y176" s="146"/>
      <c r="Z176" s="146"/>
      <c r="AA176" s="146"/>
      <c r="AB176" s="146"/>
      <c r="AC176" s="146"/>
      <c r="AD176" s="146"/>
      <c r="AE176" s="146"/>
      <c r="AF176" s="146"/>
      <c r="AG176" s="146"/>
      <c r="AH176" s="146"/>
      <c r="AI176" s="146"/>
      <c r="AJ176" s="146"/>
      <c r="AK176" s="146"/>
      <c r="AL176" s="146"/>
      <c r="AM176" s="146"/>
      <c r="AN176" s="146"/>
      <c r="AO176" s="146"/>
      <c r="AP176" s="146"/>
      <c r="AQ176" s="146"/>
      <c r="AR176" s="146"/>
      <c r="AS176" s="146"/>
      <c r="AT176" s="146"/>
      <c r="AU176" s="146"/>
      <c r="AV176" s="146"/>
      <c r="AW176" s="146"/>
      <c r="AX176" s="146"/>
      <c r="AY176" s="146"/>
      <c r="AZ176" s="146"/>
      <c r="BA176" s="146"/>
      <c r="BB176" s="146"/>
      <c r="BC176" s="146"/>
      <c r="BD176" s="146"/>
      <c r="BE176" s="146"/>
      <c r="BF176" s="146"/>
      <c r="BG176" s="146"/>
      <c r="BH176" s="146"/>
      <c r="BI176" s="146"/>
      <c r="BJ176" s="146"/>
      <c r="BK176" s="146"/>
      <c r="BL176" s="146"/>
      <c r="BM176" s="146"/>
      <c r="BN176" s="146"/>
      <c r="BO176" s="146"/>
      <c r="BP176" s="146"/>
      <c r="BQ176" s="146"/>
      <c r="BR176" s="146"/>
    </row>
    <row r="177" spans="2:70" ht="15.75" hidden="1">
      <c r="B177" s="146"/>
      <c r="C177" s="146"/>
      <c r="D177" s="146"/>
      <c r="E177" s="146"/>
      <c r="F177" s="146"/>
      <c r="G177" s="146"/>
      <c r="H177" s="146"/>
      <c r="I177" s="146"/>
      <c r="J177" s="146"/>
      <c r="K177" s="146"/>
      <c r="L177" s="146"/>
      <c r="M177" s="146"/>
      <c r="N177" s="146"/>
      <c r="O177" s="146"/>
      <c r="P177" s="146"/>
      <c r="Q177" s="146"/>
      <c r="R177" s="146"/>
      <c r="S177" s="146"/>
      <c r="T177" s="146"/>
      <c r="U177" s="146"/>
      <c r="V177" s="146"/>
      <c r="W177" s="146"/>
      <c r="X177" s="146"/>
      <c r="Y177" s="146"/>
      <c r="Z177" s="146"/>
      <c r="AA177" s="146"/>
      <c r="AB177" s="146"/>
      <c r="AC177" s="146"/>
      <c r="AD177" s="146"/>
      <c r="AE177" s="146"/>
      <c r="AF177" s="146"/>
      <c r="AG177" s="146"/>
      <c r="AH177" s="146"/>
      <c r="AI177" s="146"/>
      <c r="AJ177" s="146"/>
      <c r="AK177" s="146"/>
      <c r="AL177" s="146"/>
      <c r="AM177" s="146"/>
      <c r="AN177" s="146"/>
      <c r="AO177" s="146"/>
      <c r="AP177" s="146"/>
      <c r="AQ177" s="146"/>
      <c r="AR177" s="146"/>
      <c r="AS177" s="146"/>
      <c r="AT177" s="146"/>
      <c r="AU177" s="146"/>
      <c r="AV177" s="146"/>
      <c r="AW177" s="146"/>
      <c r="AX177" s="146"/>
      <c r="AY177" s="146"/>
      <c r="AZ177" s="146"/>
      <c r="BA177" s="146"/>
      <c r="BB177" s="146"/>
      <c r="BC177" s="146"/>
      <c r="BD177" s="146"/>
      <c r="BE177" s="146"/>
      <c r="BF177" s="146"/>
      <c r="BG177" s="146"/>
      <c r="BH177" s="146"/>
      <c r="BI177" s="146"/>
      <c r="BJ177" s="146"/>
      <c r="BK177" s="146"/>
      <c r="BL177" s="146"/>
      <c r="BM177" s="146"/>
      <c r="BN177" s="146"/>
      <c r="BO177" s="146"/>
      <c r="BP177" s="146"/>
      <c r="BQ177" s="146"/>
      <c r="BR177" s="146"/>
    </row>
    <row r="178" spans="2:70" ht="15.75" hidden="1">
      <c r="B178" s="146"/>
      <c r="C178" s="146"/>
      <c r="D178" s="146"/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146"/>
      <c r="W178" s="146"/>
      <c r="X178" s="146"/>
      <c r="Y178" s="146"/>
      <c r="Z178" s="146"/>
      <c r="AA178" s="146"/>
      <c r="AB178" s="146"/>
      <c r="AC178" s="146"/>
      <c r="AD178" s="146"/>
      <c r="AE178" s="146"/>
      <c r="AF178" s="146"/>
      <c r="AG178" s="146"/>
      <c r="AH178" s="146"/>
      <c r="AI178" s="146"/>
      <c r="AJ178" s="146"/>
      <c r="AK178" s="146"/>
      <c r="AL178" s="146"/>
      <c r="AM178" s="146"/>
      <c r="AN178" s="146"/>
      <c r="AO178" s="146"/>
      <c r="AP178" s="146"/>
      <c r="AQ178" s="146"/>
      <c r="AR178" s="146"/>
      <c r="AS178" s="146"/>
      <c r="AT178" s="146"/>
      <c r="AU178" s="146"/>
      <c r="AV178" s="146"/>
      <c r="AW178" s="146"/>
      <c r="AX178" s="146"/>
      <c r="AY178" s="146"/>
      <c r="AZ178" s="146"/>
      <c r="BA178" s="146"/>
      <c r="BB178" s="146"/>
      <c r="BC178" s="146"/>
      <c r="BD178" s="146"/>
      <c r="BE178" s="146"/>
      <c r="BF178" s="146"/>
      <c r="BG178" s="146"/>
      <c r="BH178" s="146"/>
      <c r="BI178" s="146"/>
      <c r="BJ178" s="146"/>
      <c r="BK178" s="146"/>
      <c r="BL178" s="146"/>
      <c r="BM178" s="146"/>
      <c r="BN178" s="146"/>
      <c r="BO178" s="146"/>
      <c r="BP178" s="146"/>
      <c r="BQ178" s="146"/>
      <c r="BR178" s="146"/>
    </row>
    <row r="179" spans="2:70" ht="15.75" hidden="1">
      <c r="B179" s="146"/>
      <c r="C179" s="146"/>
      <c r="D179" s="146"/>
      <c r="E179" s="146"/>
      <c r="F179" s="146"/>
      <c r="G179" s="146"/>
      <c r="H179" s="146"/>
      <c r="I179" s="146"/>
      <c r="J179" s="146"/>
      <c r="K179" s="146"/>
      <c r="L179" s="146"/>
      <c r="M179" s="146"/>
      <c r="N179" s="146"/>
      <c r="O179" s="146"/>
      <c r="P179" s="146"/>
      <c r="Q179" s="146"/>
      <c r="R179" s="146"/>
      <c r="S179" s="146"/>
      <c r="T179" s="146"/>
      <c r="U179" s="146"/>
      <c r="V179" s="146"/>
      <c r="W179" s="146"/>
      <c r="X179" s="146"/>
      <c r="Y179" s="146"/>
      <c r="Z179" s="146"/>
      <c r="AA179" s="146"/>
      <c r="AB179" s="146"/>
      <c r="AC179" s="146"/>
      <c r="AD179" s="146"/>
      <c r="AE179" s="146"/>
      <c r="AF179" s="146"/>
      <c r="AG179" s="146"/>
      <c r="AH179" s="146"/>
      <c r="AI179" s="146"/>
      <c r="AJ179" s="146"/>
      <c r="AK179" s="146"/>
      <c r="AL179" s="146"/>
      <c r="AM179" s="146"/>
      <c r="AN179" s="146"/>
      <c r="AO179" s="146"/>
      <c r="AP179" s="146"/>
      <c r="AQ179" s="146"/>
      <c r="AR179" s="146"/>
      <c r="AS179" s="146"/>
      <c r="AT179" s="146"/>
      <c r="AU179" s="146"/>
      <c r="AV179" s="146"/>
      <c r="AW179" s="146"/>
      <c r="AX179" s="146"/>
      <c r="AY179" s="146"/>
      <c r="AZ179" s="146"/>
      <c r="BA179" s="146"/>
      <c r="BB179" s="146"/>
      <c r="BC179" s="146"/>
      <c r="BD179" s="146"/>
      <c r="BE179" s="146"/>
      <c r="BF179" s="146"/>
      <c r="BG179" s="146"/>
      <c r="BH179" s="146"/>
      <c r="BI179" s="146"/>
      <c r="BJ179" s="146"/>
      <c r="BK179" s="146"/>
      <c r="BL179" s="146"/>
      <c r="BM179" s="146"/>
      <c r="BN179" s="146"/>
      <c r="BO179" s="146"/>
      <c r="BP179" s="146"/>
      <c r="BQ179" s="146"/>
      <c r="BR179" s="146"/>
    </row>
    <row r="180" spans="2:70" ht="15.75" hidden="1">
      <c r="B180" s="146"/>
      <c r="C180" s="146"/>
      <c r="D180" s="146"/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146"/>
      <c r="W180" s="146"/>
      <c r="X180" s="146"/>
      <c r="Y180" s="146"/>
      <c r="Z180" s="146"/>
      <c r="AA180" s="146"/>
      <c r="AB180" s="146"/>
      <c r="AC180" s="146"/>
      <c r="AD180" s="146"/>
      <c r="AE180" s="146"/>
      <c r="AF180" s="146"/>
      <c r="AG180" s="146"/>
      <c r="AH180" s="146"/>
      <c r="AI180" s="146"/>
      <c r="AJ180" s="146"/>
      <c r="AK180" s="146"/>
      <c r="AL180" s="146"/>
      <c r="AM180" s="146"/>
      <c r="AN180" s="146"/>
      <c r="AO180" s="146"/>
      <c r="AP180" s="146"/>
      <c r="AQ180" s="146"/>
      <c r="AR180" s="146"/>
      <c r="AS180" s="146"/>
      <c r="AT180" s="146"/>
      <c r="AU180" s="146"/>
      <c r="AV180" s="146"/>
      <c r="AW180" s="146"/>
      <c r="AX180" s="146"/>
      <c r="AY180" s="146"/>
      <c r="AZ180" s="146"/>
      <c r="BA180" s="146"/>
      <c r="BB180" s="146"/>
      <c r="BC180" s="146"/>
      <c r="BD180" s="146"/>
      <c r="BE180" s="146"/>
      <c r="BF180" s="146"/>
      <c r="BG180" s="146"/>
      <c r="BH180" s="146"/>
      <c r="BI180" s="146"/>
      <c r="BJ180" s="146"/>
      <c r="BK180" s="146"/>
      <c r="BL180" s="146"/>
      <c r="BM180" s="146"/>
      <c r="BN180" s="146"/>
      <c r="BO180" s="146"/>
      <c r="BP180" s="146"/>
      <c r="BQ180" s="146"/>
      <c r="BR180" s="146"/>
    </row>
    <row r="181" spans="2:70" ht="15.75" hidden="1">
      <c r="B181" s="146"/>
      <c r="C181" s="146"/>
      <c r="D181" s="146"/>
      <c r="E181" s="146"/>
      <c r="F181" s="146"/>
      <c r="G181" s="146"/>
      <c r="H181" s="146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6"/>
      <c r="AA181" s="146"/>
      <c r="AB181" s="146"/>
      <c r="AC181" s="146"/>
      <c r="AD181" s="146"/>
      <c r="AE181" s="146"/>
      <c r="AF181" s="146"/>
      <c r="AG181" s="146"/>
      <c r="AH181" s="146"/>
      <c r="AI181" s="146"/>
      <c r="AJ181" s="146"/>
      <c r="AK181" s="146"/>
      <c r="AL181" s="146"/>
      <c r="AM181" s="146"/>
      <c r="AN181" s="146"/>
      <c r="AO181" s="146"/>
      <c r="AP181" s="146"/>
      <c r="AQ181" s="146"/>
      <c r="AR181" s="146"/>
      <c r="AS181" s="146"/>
      <c r="AT181" s="146"/>
      <c r="AU181" s="146"/>
      <c r="AV181" s="146"/>
      <c r="AW181" s="146"/>
      <c r="AX181" s="146"/>
      <c r="AY181" s="146"/>
      <c r="AZ181" s="146"/>
      <c r="BA181" s="146"/>
      <c r="BB181" s="146"/>
      <c r="BC181" s="146"/>
      <c r="BD181" s="146"/>
      <c r="BE181" s="146"/>
      <c r="BF181" s="146"/>
      <c r="BG181" s="146"/>
      <c r="BH181" s="146"/>
      <c r="BI181" s="146"/>
      <c r="BJ181" s="146"/>
      <c r="BK181" s="146"/>
      <c r="BL181" s="146"/>
      <c r="BM181" s="146"/>
      <c r="BN181" s="146"/>
      <c r="BO181" s="146"/>
      <c r="BP181" s="146"/>
      <c r="BQ181" s="146"/>
      <c r="BR181" s="146"/>
    </row>
    <row r="182" spans="2:70" ht="15.75" hidden="1">
      <c r="B182" s="146"/>
      <c r="C182" s="146"/>
      <c r="D182" s="146"/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6"/>
      <c r="AA182" s="146"/>
      <c r="AB182" s="146"/>
      <c r="AC182" s="146"/>
      <c r="AD182" s="146"/>
      <c r="AE182" s="146"/>
      <c r="AF182" s="146"/>
      <c r="AG182" s="146"/>
      <c r="AH182" s="146"/>
      <c r="AI182" s="146"/>
      <c r="AJ182" s="146"/>
      <c r="AK182" s="146"/>
      <c r="AL182" s="146"/>
      <c r="AM182" s="146"/>
      <c r="AN182" s="146"/>
      <c r="AO182" s="146"/>
      <c r="AP182" s="146"/>
      <c r="AQ182" s="146"/>
      <c r="AR182" s="146"/>
      <c r="AS182" s="146"/>
      <c r="AT182" s="146"/>
      <c r="AU182" s="146"/>
      <c r="AV182" s="146"/>
      <c r="AW182" s="146"/>
      <c r="AX182" s="146"/>
      <c r="AY182" s="146"/>
      <c r="AZ182" s="146"/>
      <c r="BA182" s="146"/>
      <c r="BB182" s="146"/>
      <c r="BC182" s="146"/>
      <c r="BD182" s="146"/>
      <c r="BE182" s="146"/>
      <c r="BF182" s="146"/>
      <c r="BG182" s="146"/>
      <c r="BH182" s="146"/>
      <c r="BI182" s="146"/>
      <c r="BJ182" s="146"/>
      <c r="BK182" s="146"/>
      <c r="BL182" s="146"/>
      <c r="BM182" s="146"/>
      <c r="BN182" s="146"/>
      <c r="BO182" s="146"/>
      <c r="BP182" s="146"/>
      <c r="BQ182" s="146"/>
      <c r="BR182" s="146"/>
    </row>
    <row r="183" spans="2:70" ht="15.75" hidden="1">
      <c r="B183" s="146"/>
      <c r="C183" s="146"/>
      <c r="D183" s="146"/>
      <c r="E183" s="146"/>
      <c r="F183" s="146"/>
      <c r="G183" s="146"/>
      <c r="H183" s="146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6"/>
      <c r="AA183" s="146"/>
      <c r="AB183" s="146"/>
      <c r="AC183" s="146"/>
      <c r="AD183" s="146"/>
      <c r="AE183" s="146"/>
      <c r="AF183" s="146"/>
      <c r="AG183" s="146"/>
      <c r="AH183" s="146"/>
      <c r="AI183" s="146"/>
      <c r="AJ183" s="146"/>
      <c r="AK183" s="146"/>
      <c r="AL183" s="146"/>
      <c r="AM183" s="146"/>
      <c r="AN183" s="146"/>
      <c r="AO183" s="146"/>
      <c r="AP183" s="146"/>
      <c r="AQ183" s="146"/>
      <c r="AR183" s="146"/>
      <c r="AS183" s="146"/>
      <c r="AT183" s="146"/>
      <c r="AU183" s="146"/>
      <c r="AV183" s="146"/>
      <c r="AW183" s="146"/>
      <c r="AX183" s="146"/>
      <c r="AY183" s="146"/>
      <c r="AZ183" s="146"/>
      <c r="BA183" s="146"/>
      <c r="BB183" s="146"/>
      <c r="BC183" s="146"/>
      <c r="BD183" s="146"/>
      <c r="BE183" s="146"/>
      <c r="BF183" s="146"/>
      <c r="BG183" s="146"/>
      <c r="BH183" s="146"/>
      <c r="BI183" s="146"/>
      <c r="BJ183" s="146"/>
      <c r="BK183" s="146"/>
      <c r="BL183" s="146"/>
      <c r="BM183" s="146"/>
      <c r="BN183" s="146"/>
      <c r="BO183" s="146"/>
      <c r="BP183" s="146"/>
      <c r="BQ183" s="146"/>
      <c r="BR183" s="146"/>
    </row>
    <row r="184" spans="2:70" ht="15.75" hidden="1">
      <c r="B184" s="146"/>
      <c r="C184" s="146"/>
      <c r="D184" s="146"/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6"/>
      <c r="AA184" s="146"/>
      <c r="AB184" s="146"/>
      <c r="AC184" s="146"/>
      <c r="AD184" s="146"/>
      <c r="AE184" s="146"/>
      <c r="AF184" s="146"/>
      <c r="AG184" s="146"/>
      <c r="AH184" s="146"/>
      <c r="AI184" s="146"/>
      <c r="AJ184" s="146"/>
      <c r="AK184" s="146"/>
      <c r="AL184" s="146"/>
      <c r="AM184" s="146"/>
      <c r="AN184" s="146"/>
      <c r="AO184" s="146"/>
      <c r="AP184" s="146"/>
      <c r="AQ184" s="146"/>
      <c r="AR184" s="146"/>
      <c r="AS184" s="146"/>
      <c r="AT184" s="146"/>
      <c r="AU184" s="146"/>
      <c r="AV184" s="146"/>
      <c r="AW184" s="146"/>
      <c r="AX184" s="146"/>
      <c r="AY184" s="146"/>
      <c r="AZ184" s="146"/>
      <c r="BA184" s="146"/>
      <c r="BB184" s="146"/>
      <c r="BC184" s="146"/>
      <c r="BD184" s="146"/>
      <c r="BE184" s="146"/>
      <c r="BF184" s="146"/>
      <c r="BG184" s="146"/>
      <c r="BH184" s="146"/>
      <c r="BI184" s="146"/>
      <c r="BJ184" s="146"/>
      <c r="BK184" s="146"/>
      <c r="BL184" s="146"/>
      <c r="BM184" s="146"/>
      <c r="BN184" s="146"/>
      <c r="BO184" s="146"/>
      <c r="BP184" s="146"/>
      <c r="BQ184" s="146"/>
      <c r="BR184" s="146"/>
    </row>
    <row r="185" spans="2:70" ht="15.75" hidden="1">
      <c r="B185" s="146"/>
      <c r="C185" s="146"/>
      <c r="D185" s="146"/>
      <c r="E185" s="146"/>
      <c r="F185" s="146"/>
      <c r="G185" s="146"/>
      <c r="H185" s="146"/>
      <c r="I185" s="146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6"/>
      <c r="AA185" s="146"/>
      <c r="AB185" s="146"/>
      <c r="AC185" s="146"/>
      <c r="AD185" s="146"/>
      <c r="AE185" s="146"/>
      <c r="AF185" s="146"/>
      <c r="AG185" s="146"/>
      <c r="AH185" s="146"/>
      <c r="AI185" s="146"/>
      <c r="AJ185" s="146"/>
      <c r="AK185" s="146"/>
      <c r="AL185" s="146"/>
      <c r="AM185" s="146"/>
      <c r="AN185" s="146"/>
      <c r="AO185" s="146"/>
      <c r="AP185" s="146"/>
      <c r="AQ185" s="146"/>
      <c r="AR185" s="146"/>
      <c r="AS185" s="146"/>
      <c r="AT185" s="146"/>
      <c r="AU185" s="146"/>
      <c r="AV185" s="146"/>
      <c r="AW185" s="146"/>
      <c r="AX185" s="146"/>
      <c r="AY185" s="146"/>
      <c r="AZ185" s="146"/>
      <c r="BA185" s="146"/>
      <c r="BB185" s="146"/>
      <c r="BC185" s="146"/>
      <c r="BD185" s="146"/>
      <c r="BE185" s="146"/>
      <c r="BF185" s="146"/>
      <c r="BG185" s="146"/>
      <c r="BH185" s="146"/>
      <c r="BI185" s="146"/>
      <c r="BJ185" s="146"/>
      <c r="BK185" s="146"/>
      <c r="BL185" s="146"/>
      <c r="BM185" s="146"/>
      <c r="BN185" s="146"/>
      <c r="BO185" s="146"/>
      <c r="BP185" s="146"/>
      <c r="BQ185" s="146"/>
      <c r="BR185" s="146"/>
    </row>
    <row r="186" spans="2:70" ht="15.75" hidden="1">
      <c r="B186" s="146"/>
      <c r="C186" s="146"/>
      <c r="D186" s="146"/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6"/>
      <c r="AA186" s="146"/>
      <c r="AB186" s="146"/>
      <c r="AC186" s="146"/>
      <c r="AD186" s="146"/>
      <c r="AE186" s="146"/>
      <c r="AF186" s="146"/>
      <c r="AG186" s="146"/>
      <c r="AH186" s="146"/>
      <c r="AI186" s="146"/>
      <c r="AJ186" s="146"/>
      <c r="AK186" s="146"/>
      <c r="AL186" s="146"/>
      <c r="AM186" s="146"/>
      <c r="AN186" s="146"/>
      <c r="AO186" s="146"/>
      <c r="AP186" s="146"/>
      <c r="AQ186" s="146"/>
      <c r="AR186" s="146"/>
      <c r="AS186" s="146"/>
      <c r="AT186" s="146"/>
      <c r="AU186" s="146"/>
      <c r="AV186" s="146"/>
      <c r="AW186" s="146"/>
      <c r="AX186" s="146"/>
      <c r="AY186" s="146"/>
      <c r="AZ186" s="146"/>
      <c r="BA186" s="146"/>
      <c r="BB186" s="146"/>
      <c r="BC186" s="146"/>
      <c r="BD186" s="146"/>
      <c r="BE186" s="146"/>
      <c r="BF186" s="146"/>
      <c r="BG186" s="146"/>
      <c r="BH186" s="146"/>
      <c r="BI186" s="146"/>
      <c r="BJ186" s="146"/>
      <c r="BK186" s="146"/>
      <c r="BL186" s="146"/>
      <c r="BM186" s="146"/>
      <c r="BN186" s="146"/>
      <c r="BO186" s="146"/>
      <c r="BP186" s="146"/>
      <c r="BQ186" s="146"/>
      <c r="BR186" s="146"/>
    </row>
    <row r="187" spans="2:70" ht="15.75" hidden="1">
      <c r="B187" s="146"/>
      <c r="C187" s="146"/>
      <c r="D187" s="146"/>
      <c r="E187" s="146"/>
      <c r="F187" s="146"/>
      <c r="G187" s="146"/>
      <c r="H187" s="146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6"/>
      <c r="AA187" s="146"/>
      <c r="AB187" s="146"/>
      <c r="AC187" s="146"/>
      <c r="AD187" s="146"/>
      <c r="AE187" s="146"/>
      <c r="AF187" s="146"/>
      <c r="AG187" s="146"/>
      <c r="AH187" s="146"/>
      <c r="AI187" s="146"/>
      <c r="AJ187" s="146"/>
      <c r="AK187" s="146"/>
      <c r="AL187" s="146"/>
      <c r="AM187" s="146"/>
      <c r="AN187" s="146"/>
      <c r="AO187" s="146"/>
      <c r="AP187" s="146"/>
      <c r="AQ187" s="146"/>
      <c r="AR187" s="146"/>
      <c r="AS187" s="146"/>
      <c r="AT187" s="146"/>
      <c r="AU187" s="146"/>
      <c r="AV187" s="146"/>
      <c r="AW187" s="146"/>
      <c r="AX187" s="146"/>
      <c r="AY187" s="146"/>
      <c r="AZ187" s="146"/>
      <c r="BA187" s="146"/>
      <c r="BB187" s="146"/>
      <c r="BC187" s="146"/>
      <c r="BD187" s="146"/>
      <c r="BE187" s="146"/>
      <c r="BF187" s="146"/>
      <c r="BG187" s="146"/>
      <c r="BH187" s="146"/>
      <c r="BI187" s="146"/>
      <c r="BJ187" s="146"/>
      <c r="BK187" s="146"/>
      <c r="BL187" s="146"/>
      <c r="BM187" s="146"/>
      <c r="BN187" s="146"/>
      <c r="BO187" s="146"/>
      <c r="BP187" s="146"/>
      <c r="BQ187" s="146"/>
      <c r="BR187" s="146"/>
    </row>
    <row r="188" spans="2:70" ht="15.75" hidden="1">
      <c r="B188" s="146"/>
      <c r="C188" s="146"/>
      <c r="D188" s="146"/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6"/>
      <c r="AA188" s="146"/>
      <c r="AB188" s="146"/>
      <c r="AC188" s="146"/>
      <c r="AD188" s="146"/>
      <c r="AE188" s="146"/>
      <c r="AF188" s="146"/>
      <c r="AG188" s="146"/>
      <c r="AH188" s="146"/>
      <c r="AI188" s="146"/>
      <c r="AJ188" s="146"/>
      <c r="AK188" s="146"/>
      <c r="AL188" s="146"/>
      <c r="AM188" s="146"/>
      <c r="AN188" s="146"/>
      <c r="AO188" s="146"/>
      <c r="AP188" s="146"/>
      <c r="AQ188" s="146"/>
      <c r="AR188" s="146"/>
      <c r="AS188" s="146"/>
      <c r="AT188" s="146"/>
      <c r="AU188" s="146"/>
      <c r="AV188" s="146"/>
      <c r="AW188" s="146"/>
      <c r="AX188" s="146"/>
      <c r="AY188" s="146"/>
      <c r="AZ188" s="146"/>
      <c r="BA188" s="146"/>
      <c r="BB188" s="146"/>
      <c r="BC188" s="146"/>
      <c r="BD188" s="146"/>
      <c r="BE188" s="146"/>
      <c r="BF188" s="146"/>
      <c r="BG188" s="146"/>
      <c r="BH188" s="146"/>
      <c r="BI188" s="146"/>
      <c r="BJ188" s="146"/>
      <c r="BK188" s="146"/>
      <c r="BL188" s="146"/>
      <c r="BM188" s="146"/>
      <c r="BN188" s="146"/>
      <c r="BO188" s="146"/>
      <c r="BP188" s="146"/>
      <c r="BQ188" s="146"/>
      <c r="BR188" s="146"/>
    </row>
    <row r="189" spans="2:70" ht="15.75" hidden="1">
      <c r="B189" s="146"/>
      <c r="C189" s="146"/>
      <c r="D189" s="146"/>
      <c r="E189" s="146"/>
      <c r="F189" s="146"/>
      <c r="G189" s="146"/>
      <c r="H189" s="146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6"/>
      <c r="AA189" s="146"/>
      <c r="AB189" s="146"/>
      <c r="AC189" s="146"/>
      <c r="AD189" s="146"/>
      <c r="AE189" s="146"/>
      <c r="AF189" s="146"/>
      <c r="AG189" s="146"/>
      <c r="AH189" s="146"/>
      <c r="AI189" s="146"/>
      <c r="AJ189" s="146"/>
      <c r="AK189" s="146"/>
      <c r="AL189" s="146"/>
      <c r="AM189" s="146"/>
      <c r="AN189" s="146"/>
      <c r="AO189" s="146"/>
      <c r="AP189" s="146"/>
      <c r="AQ189" s="146"/>
      <c r="AR189" s="146"/>
      <c r="AS189" s="146"/>
      <c r="AT189" s="146"/>
      <c r="AU189" s="146"/>
      <c r="AV189" s="146"/>
      <c r="AW189" s="146"/>
      <c r="AX189" s="146"/>
      <c r="AY189" s="146"/>
      <c r="AZ189" s="146"/>
      <c r="BA189" s="146"/>
      <c r="BB189" s="146"/>
      <c r="BC189" s="146"/>
      <c r="BD189" s="146"/>
      <c r="BE189" s="146"/>
      <c r="BF189" s="146"/>
      <c r="BG189" s="146"/>
      <c r="BH189" s="146"/>
      <c r="BI189" s="146"/>
      <c r="BJ189" s="146"/>
      <c r="BK189" s="146"/>
      <c r="BL189" s="146"/>
      <c r="BM189" s="146"/>
      <c r="BN189" s="146"/>
      <c r="BO189" s="146"/>
      <c r="BP189" s="146"/>
      <c r="BQ189" s="146"/>
      <c r="BR189" s="146"/>
    </row>
    <row r="190" spans="2:70" ht="15.75" hidden="1">
      <c r="B190" s="146"/>
      <c r="C190" s="146"/>
      <c r="D190" s="146"/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146"/>
      <c r="W190" s="146"/>
      <c r="X190" s="146"/>
      <c r="Y190" s="146"/>
      <c r="Z190" s="146"/>
      <c r="AA190" s="146"/>
      <c r="AB190" s="146"/>
      <c r="AC190" s="146"/>
      <c r="AD190" s="146"/>
      <c r="AE190" s="146"/>
      <c r="AF190" s="146"/>
      <c r="AG190" s="146"/>
      <c r="AH190" s="146"/>
      <c r="AI190" s="146"/>
      <c r="AJ190" s="146"/>
      <c r="AK190" s="146"/>
      <c r="AL190" s="146"/>
      <c r="AM190" s="146"/>
      <c r="AN190" s="146"/>
      <c r="AO190" s="146"/>
      <c r="AP190" s="146"/>
      <c r="AQ190" s="146"/>
      <c r="AR190" s="146"/>
      <c r="AS190" s="146"/>
      <c r="AT190" s="146"/>
      <c r="AU190" s="146"/>
      <c r="AV190" s="146"/>
      <c r="AW190" s="146"/>
      <c r="AX190" s="146"/>
      <c r="AY190" s="146"/>
      <c r="AZ190" s="146"/>
      <c r="BA190" s="146"/>
      <c r="BB190" s="146"/>
      <c r="BC190" s="146"/>
      <c r="BD190" s="146"/>
      <c r="BE190" s="146"/>
      <c r="BF190" s="146"/>
      <c r="BG190" s="146"/>
      <c r="BH190" s="146"/>
      <c r="BI190" s="146"/>
      <c r="BJ190" s="146"/>
      <c r="BK190" s="146"/>
      <c r="BL190" s="146"/>
      <c r="BM190" s="146"/>
      <c r="BN190" s="146"/>
      <c r="BO190" s="146"/>
      <c r="BP190" s="146"/>
      <c r="BQ190" s="146"/>
      <c r="BR190" s="146"/>
    </row>
    <row r="191" spans="2:70" ht="15.75" hidden="1">
      <c r="B191" s="146"/>
      <c r="C191" s="146"/>
      <c r="D191" s="146"/>
      <c r="E191" s="146"/>
      <c r="F191" s="146"/>
      <c r="G191" s="146"/>
      <c r="H191" s="146"/>
      <c r="I191" s="146"/>
      <c r="J191" s="146"/>
      <c r="K191" s="146"/>
      <c r="L191" s="146"/>
      <c r="M191" s="146"/>
      <c r="N191" s="146"/>
      <c r="O191" s="146"/>
      <c r="P191" s="146"/>
      <c r="Q191" s="146"/>
      <c r="R191" s="146"/>
      <c r="S191" s="146"/>
      <c r="T191" s="146"/>
      <c r="U191" s="146"/>
      <c r="V191" s="146"/>
      <c r="W191" s="146"/>
      <c r="X191" s="146"/>
      <c r="Y191" s="146"/>
      <c r="Z191" s="146"/>
      <c r="AA191" s="146"/>
      <c r="AB191" s="146"/>
      <c r="AC191" s="146"/>
      <c r="AD191" s="146"/>
      <c r="AE191" s="146"/>
      <c r="AF191" s="146"/>
      <c r="AG191" s="146"/>
      <c r="AH191" s="146"/>
      <c r="AI191" s="146"/>
      <c r="AJ191" s="146"/>
      <c r="AK191" s="146"/>
      <c r="AL191" s="146"/>
      <c r="AM191" s="146"/>
      <c r="AN191" s="146"/>
      <c r="AO191" s="146"/>
      <c r="AP191" s="146"/>
      <c r="AQ191" s="146"/>
      <c r="AR191" s="146"/>
      <c r="AS191" s="146"/>
      <c r="AT191" s="146"/>
      <c r="AU191" s="146"/>
      <c r="AV191" s="146"/>
      <c r="AW191" s="146"/>
      <c r="AX191" s="146"/>
      <c r="AY191" s="146"/>
      <c r="AZ191" s="146"/>
      <c r="BA191" s="146"/>
      <c r="BB191" s="146"/>
      <c r="BC191" s="146"/>
      <c r="BD191" s="146"/>
      <c r="BE191" s="146"/>
      <c r="BF191" s="146"/>
      <c r="BG191" s="146"/>
      <c r="BH191" s="146"/>
      <c r="BI191" s="146"/>
      <c r="BJ191" s="146"/>
      <c r="BK191" s="146"/>
      <c r="BL191" s="146"/>
      <c r="BM191" s="146"/>
      <c r="BN191" s="146"/>
      <c r="BO191" s="146"/>
      <c r="BP191" s="146"/>
      <c r="BQ191" s="146"/>
      <c r="BR191" s="146"/>
    </row>
    <row r="192" spans="2:70" ht="15.75" hidden="1">
      <c r="B192" s="146"/>
      <c r="C192" s="146"/>
      <c r="D192" s="146"/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146"/>
      <c r="W192" s="146"/>
      <c r="X192" s="146"/>
      <c r="Y192" s="146"/>
      <c r="Z192" s="146"/>
      <c r="AA192" s="146"/>
      <c r="AB192" s="146"/>
      <c r="AC192" s="146"/>
      <c r="AD192" s="146"/>
      <c r="AE192" s="146"/>
      <c r="AF192" s="146"/>
      <c r="AG192" s="146"/>
      <c r="AH192" s="146"/>
      <c r="AI192" s="146"/>
      <c r="AJ192" s="146"/>
      <c r="AK192" s="146"/>
      <c r="AL192" s="146"/>
      <c r="AM192" s="146"/>
      <c r="AN192" s="146"/>
      <c r="AO192" s="146"/>
      <c r="AP192" s="146"/>
      <c r="AQ192" s="146"/>
      <c r="AR192" s="146"/>
      <c r="AS192" s="146"/>
      <c r="AT192" s="146"/>
      <c r="AU192" s="146"/>
      <c r="AV192" s="146"/>
      <c r="AW192" s="146"/>
      <c r="AX192" s="146"/>
      <c r="AY192" s="146"/>
      <c r="AZ192" s="146"/>
      <c r="BA192" s="146"/>
      <c r="BB192" s="146"/>
      <c r="BC192" s="146"/>
      <c r="BD192" s="146"/>
      <c r="BE192" s="146"/>
      <c r="BF192" s="146"/>
      <c r="BG192" s="146"/>
      <c r="BH192" s="146"/>
      <c r="BI192" s="146"/>
      <c r="BJ192" s="146"/>
      <c r="BK192" s="146"/>
      <c r="BL192" s="146"/>
      <c r="BM192" s="146"/>
      <c r="BN192" s="146"/>
      <c r="BO192" s="146"/>
      <c r="BP192" s="146"/>
      <c r="BQ192" s="146"/>
      <c r="BR192" s="146"/>
    </row>
    <row r="193" spans="2:70" ht="15.75" hidden="1">
      <c r="B193" s="146"/>
      <c r="C193" s="146"/>
      <c r="D193" s="146"/>
      <c r="E193" s="146"/>
      <c r="F193" s="146"/>
      <c r="G193" s="146"/>
      <c r="H193" s="146"/>
      <c r="I193" s="146"/>
      <c r="J193" s="146"/>
      <c r="K193" s="146"/>
      <c r="L193" s="146"/>
      <c r="M193" s="146"/>
      <c r="N193" s="146"/>
      <c r="O193" s="146"/>
      <c r="P193" s="146"/>
      <c r="Q193" s="146"/>
      <c r="R193" s="146"/>
      <c r="S193" s="146"/>
      <c r="T193" s="146"/>
      <c r="U193" s="146"/>
      <c r="V193" s="146"/>
      <c r="W193" s="146"/>
      <c r="X193" s="146"/>
      <c r="Y193" s="146"/>
      <c r="Z193" s="146"/>
      <c r="AA193" s="146"/>
      <c r="AB193" s="146"/>
      <c r="AC193" s="146"/>
      <c r="AD193" s="146"/>
      <c r="AE193" s="146"/>
      <c r="AF193" s="146"/>
      <c r="AG193" s="146"/>
      <c r="AH193" s="146"/>
      <c r="AI193" s="146"/>
      <c r="AJ193" s="146"/>
      <c r="AK193" s="146"/>
      <c r="AL193" s="146"/>
      <c r="AM193" s="146"/>
      <c r="AN193" s="146"/>
      <c r="AO193" s="146"/>
      <c r="AP193" s="146"/>
      <c r="AQ193" s="146"/>
      <c r="AR193" s="146"/>
      <c r="AS193" s="146"/>
      <c r="AT193" s="146"/>
      <c r="AU193" s="146"/>
      <c r="AV193" s="146"/>
      <c r="AW193" s="146"/>
      <c r="AX193" s="146"/>
      <c r="AY193" s="146"/>
      <c r="AZ193" s="146"/>
      <c r="BA193" s="146"/>
      <c r="BB193" s="146"/>
      <c r="BC193" s="146"/>
      <c r="BD193" s="146"/>
      <c r="BE193" s="146"/>
      <c r="BF193" s="146"/>
      <c r="BG193" s="146"/>
      <c r="BH193" s="146"/>
      <c r="BI193" s="146"/>
      <c r="BJ193" s="146"/>
      <c r="BK193" s="146"/>
      <c r="BL193" s="146"/>
      <c r="BM193" s="146"/>
      <c r="BN193" s="146"/>
      <c r="BO193" s="146"/>
      <c r="BP193" s="146"/>
      <c r="BQ193" s="146"/>
      <c r="BR193" s="146"/>
    </row>
    <row r="194" spans="2:70" ht="15.75" hidden="1">
      <c r="B194" s="146"/>
      <c r="C194" s="146"/>
      <c r="D194" s="146"/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6"/>
      <c r="AA194" s="146"/>
      <c r="AB194" s="146"/>
      <c r="AC194" s="146"/>
      <c r="AD194" s="146"/>
      <c r="AE194" s="146"/>
      <c r="AF194" s="146"/>
      <c r="AG194" s="146"/>
      <c r="AH194" s="146"/>
      <c r="AI194" s="146"/>
      <c r="AJ194" s="146"/>
      <c r="AK194" s="146"/>
      <c r="AL194" s="146"/>
      <c r="AM194" s="146"/>
      <c r="AN194" s="146"/>
      <c r="AO194" s="146"/>
      <c r="AP194" s="146"/>
      <c r="AQ194" s="146"/>
      <c r="AR194" s="146"/>
      <c r="AS194" s="146"/>
      <c r="AT194" s="146"/>
      <c r="AU194" s="146"/>
      <c r="AV194" s="146"/>
      <c r="AW194" s="146"/>
      <c r="AX194" s="146"/>
      <c r="AY194" s="146"/>
      <c r="AZ194" s="146"/>
      <c r="BA194" s="146"/>
      <c r="BB194" s="146"/>
      <c r="BC194" s="146"/>
      <c r="BD194" s="146"/>
      <c r="BE194" s="146"/>
      <c r="BF194" s="146"/>
      <c r="BG194" s="146"/>
      <c r="BH194" s="146"/>
      <c r="BI194" s="146"/>
      <c r="BJ194" s="146"/>
      <c r="BK194" s="146"/>
      <c r="BL194" s="146"/>
      <c r="BM194" s="146"/>
      <c r="BN194" s="146"/>
      <c r="BO194" s="146"/>
      <c r="BP194" s="146"/>
      <c r="BQ194" s="146"/>
      <c r="BR194" s="146"/>
    </row>
    <row r="195" spans="2:70" ht="15.75" hidden="1">
      <c r="B195" s="146"/>
      <c r="C195" s="146"/>
      <c r="D195" s="146"/>
      <c r="E195" s="146"/>
      <c r="F195" s="146"/>
      <c r="G195" s="146"/>
      <c r="H195" s="146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6"/>
      <c r="AA195" s="146"/>
      <c r="AB195" s="146"/>
      <c r="AC195" s="146"/>
      <c r="AD195" s="146"/>
      <c r="AE195" s="146"/>
      <c r="AF195" s="146"/>
      <c r="AG195" s="146"/>
      <c r="AH195" s="146"/>
      <c r="AI195" s="146"/>
      <c r="AJ195" s="146"/>
      <c r="AK195" s="146"/>
      <c r="AL195" s="146"/>
      <c r="AM195" s="146"/>
      <c r="AN195" s="146"/>
      <c r="AO195" s="146"/>
      <c r="AP195" s="146"/>
      <c r="AQ195" s="146"/>
      <c r="AR195" s="146"/>
      <c r="AS195" s="146"/>
      <c r="AT195" s="146"/>
      <c r="AU195" s="146"/>
      <c r="AV195" s="146"/>
      <c r="AW195" s="146"/>
      <c r="AX195" s="146"/>
      <c r="AY195" s="146"/>
      <c r="AZ195" s="146"/>
      <c r="BA195" s="146"/>
      <c r="BB195" s="146"/>
      <c r="BC195" s="146"/>
      <c r="BD195" s="146"/>
      <c r="BE195" s="146"/>
      <c r="BF195" s="146"/>
      <c r="BG195" s="146"/>
      <c r="BH195" s="146"/>
      <c r="BI195" s="146"/>
      <c r="BJ195" s="146"/>
      <c r="BK195" s="146"/>
      <c r="BL195" s="146"/>
      <c r="BM195" s="146"/>
      <c r="BN195" s="146"/>
      <c r="BO195" s="146"/>
      <c r="BP195" s="146"/>
      <c r="BQ195" s="146"/>
      <c r="BR195" s="146"/>
    </row>
    <row r="196" spans="2:70" ht="15.75" hidden="1">
      <c r="B196" s="146"/>
      <c r="C196" s="146"/>
      <c r="D196" s="146"/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6"/>
      <c r="AA196" s="146"/>
      <c r="AB196" s="146"/>
      <c r="AC196" s="146"/>
      <c r="AD196" s="146"/>
      <c r="AE196" s="146"/>
      <c r="AF196" s="146"/>
      <c r="AG196" s="146"/>
      <c r="AH196" s="146"/>
      <c r="AI196" s="146"/>
      <c r="AJ196" s="146"/>
      <c r="AK196" s="146"/>
      <c r="AL196" s="146"/>
      <c r="AM196" s="146"/>
      <c r="AN196" s="146"/>
      <c r="AO196" s="146"/>
      <c r="AP196" s="146"/>
      <c r="AQ196" s="146"/>
      <c r="AR196" s="146"/>
      <c r="AS196" s="146"/>
      <c r="AT196" s="146"/>
      <c r="AU196" s="146"/>
      <c r="AV196" s="146"/>
      <c r="AW196" s="146"/>
      <c r="AX196" s="146"/>
      <c r="AY196" s="146"/>
      <c r="AZ196" s="146"/>
      <c r="BA196" s="146"/>
      <c r="BB196" s="146"/>
      <c r="BC196" s="146"/>
      <c r="BD196" s="146"/>
      <c r="BE196" s="146"/>
      <c r="BF196" s="146"/>
      <c r="BG196" s="146"/>
      <c r="BH196" s="146"/>
      <c r="BI196" s="146"/>
      <c r="BJ196" s="146"/>
      <c r="BK196" s="146"/>
      <c r="BL196" s="146"/>
      <c r="BM196" s="146"/>
      <c r="BN196" s="146"/>
      <c r="BO196" s="146"/>
      <c r="BP196" s="146"/>
      <c r="BQ196" s="146"/>
      <c r="BR196" s="146"/>
    </row>
    <row r="197" spans="2:70" ht="15.75" hidden="1">
      <c r="B197" s="146"/>
      <c r="C197" s="146"/>
      <c r="D197" s="146"/>
      <c r="E197" s="146"/>
      <c r="F197" s="146"/>
      <c r="G197" s="146"/>
      <c r="H197" s="146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46"/>
      <c r="Z197" s="146"/>
      <c r="AA197" s="146"/>
      <c r="AB197" s="146"/>
      <c r="AC197" s="146"/>
      <c r="AD197" s="146"/>
      <c r="AE197" s="146"/>
      <c r="AF197" s="146"/>
      <c r="AG197" s="146"/>
      <c r="AH197" s="146"/>
      <c r="AI197" s="146"/>
      <c r="AJ197" s="146"/>
      <c r="AK197" s="146"/>
      <c r="AL197" s="146"/>
      <c r="AM197" s="146"/>
      <c r="AN197" s="146"/>
      <c r="AO197" s="146"/>
      <c r="AP197" s="146"/>
      <c r="AQ197" s="146"/>
      <c r="AR197" s="146"/>
      <c r="AS197" s="146"/>
      <c r="AT197" s="146"/>
      <c r="AU197" s="146"/>
      <c r="AV197" s="146"/>
      <c r="AW197" s="146"/>
      <c r="AX197" s="146"/>
      <c r="AY197" s="146"/>
      <c r="AZ197" s="146"/>
      <c r="BA197" s="146"/>
      <c r="BB197" s="146"/>
      <c r="BC197" s="146"/>
      <c r="BD197" s="146"/>
      <c r="BE197" s="146"/>
      <c r="BF197" s="146"/>
      <c r="BG197" s="146"/>
      <c r="BH197" s="146"/>
      <c r="BI197" s="146"/>
      <c r="BJ197" s="146"/>
      <c r="BK197" s="146"/>
      <c r="BL197" s="146"/>
      <c r="BM197" s="146"/>
      <c r="BN197" s="146"/>
      <c r="BO197" s="146"/>
      <c r="BP197" s="146"/>
      <c r="BQ197" s="146"/>
      <c r="BR197" s="146"/>
    </row>
    <row r="198" spans="2:70" ht="15.75" hidden="1">
      <c r="B198" s="146"/>
      <c r="C198" s="146"/>
      <c r="D198" s="146"/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6"/>
      <c r="AA198" s="146"/>
      <c r="AB198" s="146"/>
      <c r="AC198" s="146"/>
      <c r="AD198" s="146"/>
      <c r="AE198" s="146"/>
      <c r="AF198" s="146"/>
      <c r="AG198" s="146"/>
      <c r="AH198" s="146"/>
      <c r="AI198" s="146"/>
      <c r="AJ198" s="146"/>
      <c r="AK198" s="146"/>
      <c r="AL198" s="146"/>
      <c r="AM198" s="146"/>
      <c r="AN198" s="146"/>
      <c r="AO198" s="146"/>
      <c r="AP198" s="146"/>
      <c r="AQ198" s="146"/>
      <c r="AR198" s="146"/>
      <c r="AS198" s="146"/>
      <c r="AT198" s="146"/>
      <c r="AU198" s="146"/>
      <c r="AV198" s="146"/>
      <c r="AW198" s="146"/>
      <c r="AX198" s="146"/>
      <c r="AY198" s="146"/>
      <c r="AZ198" s="146"/>
      <c r="BA198" s="146"/>
      <c r="BB198" s="146"/>
      <c r="BC198" s="146"/>
      <c r="BD198" s="146"/>
      <c r="BE198" s="146"/>
      <c r="BF198" s="146"/>
      <c r="BG198" s="146"/>
      <c r="BH198" s="146"/>
      <c r="BI198" s="146"/>
      <c r="BJ198" s="146"/>
      <c r="BK198" s="146"/>
      <c r="BL198" s="146"/>
      <c r="BM198" s="146"/>
      <c r="BN198" s="146"/>
      <c r="BO198" s="146"/>
      <c r="BP198" s="146"/>
      <c r="BQ198" s="146"/>
      <c r="BR198" s="146"/>
    </row>
    <row r="199" spans="2:70" ht="15.75" hidden="1">
      <c r="B199" s="146"/>
      <c r="C199" s="146"/>
      <c r="D199" s="146"/>
      <c r="E199" s="146"/>
      <c r="F199" s="146"/>
      <c r="G199" s="146"/>
      <c r="H199" s="146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6"/>
      <c r="AA199" s="146"/>
      <c r="AB199" s="146"/>
      <c r="AC199" s="146"/>
      <c r="AD199" s="146"/>
      <c r="AE199" s="146"/>
      <c r="AF199" s="146"/>
      <c r="AG199" s="146"/>
      <c r="AH199" s="146"/>
      <c r="AI199" s="146"/>
      <c r="AJ199" s="146"/>
      <c r="AK199" s="146"/>
      <c r="AL199" s="146"/>
      <c r="AM199" s="146"/>
      <c r="AN199" s="146"/>
      <c r="AO199" s="146"/>
      <c r="AP199" s="146"/>
      <c r="AQ199" s="146"/>
      <c r="AR199" s="146"/>
      <c r="AS199" s="146"/>
      <c r="AT199" s="146"/>
      <c r="AU199" s="146"/>
      <c r="AV199" s="146"/>
      <c r="AW199" s="146"/>
      <c r="AX199" s="146"/>
      <c r="AY199" s="146"/>
      <c r="AZ199" s="146"/>
      <c r="BA199" s="146"/>
      <c r="BB199" s="146"/>
      <c r="BC199" s="146"/>
      <c r="BD199" s="146"/>
      <c r="BE199" s="146"/>
      <c r="BF199" s="146"/>
      <c r="BG199" s="146"/>
      <c r="BH199" s="146"/>
      <c r="BI199" s="146"/>
      <c r="BJ199" s="146"/>
      <c r="BK199" s="146"/>
      <c r="BL199" s="146"/>
      <c r="BM199" s="146"/>
      <c r="BN199" s="146"/>
      <c r="BO199" s="146"/>
      <c r="BP199" s="146"/>
      <c r="BQ199" s="146"/>
      <c r="BR199" s="146"/>
    </row>
    <row r="200" spans="2:70" ht="15.75" hidden="1">
      <c r="B200" s="146"/>
      <c r="C200" s="146"/>
      <c r="D200" s="146"/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6"/>
      <c r="AA200" s="146"/>
      <c r="AB200" s="146"/>
      <c r="AC200" s="146"/>
      <c r="AD200" s="146"/>
      <c r="AE200" s="146"/>
      <c r="AF200" s="146"/>
      <c r="AG200" s="146"/>
      <c r="AH200" s="146"/>
      <c r="AI200" s="146"/>
      <c r="AJ200" s="146"/>
      <c r="AK200" s="146"/>
      <c r="AL200" s="146"/>
      <c r="AM200" s="146"/>
      <c r="AN200" s="146"/>
      <c r="AO200" s="146"/>
      <c r="AP200" s="146"/>
      <c r="AQ200" s="146"/>
      <c r="AR200" s="146"/>
      <c r="AS200" s="146"/>
      <c r="AT200" s="146"/>
      <c r="AU200" s="146"/>
      <c r="AV200" s="146"/>
      <c r="AW200" s="146"/>
      <c r="AX200" s="146"/>
      <c r="AY200" s="146"/>
      <c r="AZ200" s="146"/>
      <c r="BA200" s="146"/>
      <c r="BB200" s="146"/>
      <c r="BC200" s="146"/>
      <c r="BD200" s="146"/>
      <c r="BE200" s="146"/>
      <c r="BF200" s="146"/>
      <c r="BG200" s="146"/>
      <c r="BH200" s="146"/>
      <c r="BI200" s="146"/>
      <c r="BJ200" s="146"/>
      <c r="BK200" s="146"/>
      <c r="BL200" s="146"/>
      <c r="BM200" s="146"/>
      <c r="BN200" s="146"/>
      <c r="BO200" s="146"/>
      <c r="BP200" s="146"/>
      <c r="BQ200" s="146"/>
      <c r="BR200" s="146"/>
    </row>
    <row r="201" spans="2:70" ht="15.75" hidden="1">
      <c r="B201" s="146"/>
      <c r="C201" s="146"/>
      <c r="D201" s="146"/>
      <c r="E201" s="146"/>
      <c r="F201" s="146"/>
      <c r="G201" s="146"/>
      <c r="H201" s="146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  <c r="AF201" s="146"/>
      <c r="AG201" s="146"/>
      <c r="AH201" s="146"/>
      <c r="AI201" s="146"/>
      <c r="AJ201" s="146"/>
      <c r="AK201" s="146"/>
      <c r="AL201" s="146"/>
      <c r="AM201" s="146"/>
      <c r="AN201" s="146"/>
      <c r="AO201" s="146"/>
      <c r="AP201" s="146"/>
      <c r="AQ201" s="146"/>
      <c r="AR201" s="146"/>
      <c r="AS201" s="146"/>
      <c r="AT201" s="146"/>
      <c r="AU201" s="146"/>
      <c r="AV201" s="146"/>
      <c r="AW201" s="146"/>
      <c r="AX201" s="146"/>
      <c r="AY201" s="146"/>
      <c r="AZ201" s="146"/>
      <c r="BA201" s="146"/>
      <c r="BB201" s="146"/>
      <c r="BC201" s="146"/>
      <c r="BD201" s="146"/>
      <c r="BE201" s="146"/>
      <c r="BF201" s="146"/>
      <c r="BG201" s="146"/>
      <c r="BH201" s="146"/>
      <c r="BI201" s="146"/>
      <c r="BJ201" s="146"/>
      <c r="BK201" s="146"/>
      <c r="BL201" s="146"/>
      <c r="BM201" s="146"/>
      <c r="BN201" s="146"/>
      <c r="BO201" s="146"/>
      <c r="BP201" s="146"/>
      <c r="BQ201" s="146"/>
      <c r="BR201" s="146"/>
    </row>
    <row r="202" spans="2:70" ht="15.75" hidden="1">
      <c r="B202" s="146"/>
      <c r="C202" s="146"/>
      <c r="D202" s="146"/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  <c r="AF202" s="146"/>
      <c r="AG202" s="146"/>
      <c r="AH202" s="146"/>
      <c r="AI202" s="146"/>
      <c r="AJ202" s="146"/>
      <c r="AK202" s="146"/>
      <c r="AL202" s="146"/>
      <c r="AM202" s="146"/>
      <c r="AN202" s="146"/>
      <c r="AO202" s="146"/>
      <c r="AP202" s="146"/>
      <c r="AQ202" s="146"/>
      <c r="AR202" s="146"/>
      <c r="AS202" s="146"/>
      <c r="AT202" s="146"/>
      <c r="AU202" s="146"/>
      <c r="AV202" s="146"/>
      <c r="AW202" s="146"/>
      <c r="AX202" s="146"/>
      <c r="AY202" s="146"/>
      <c r="AZ202" s="146"/>
      <c r="BA202" s="146"/>
      <c r="BB202" s="146"/>
      <c r="BC202" s="146"/>
      <c r="BD202" s="146"/>
      <c r="BE202" s="146"/>
      <c r="BF202" s="146"/>
      <c r="BG202" s="146"/>
      <c r="BH202" s="146"/>
      <c r="BI202" s="146"/>
      <c r="BJ202" s="146"/>
      <c r="BK202" s="146"/>
      <c r="BL202" s="146"/>
      <c r="BM202" s="146"/>
      <c r="BN202" s="146"/>
      <c r="BO202" s="146"/>
      <c r="BP202" s="146"/>
      <c r="BQ202" s="146"/>
      <c r="BR202" s="146"/>
    </row>
    <row r="203" spans="2:70" ht="15.75" hidden="1">
      <c r="B203" s="146"/>
      <c r="C203" s="146"/>
      <c r="D203" s="146"/>
      <c r="E203" s="146"/>
      <c r="F203" s="146"/>
      <c r="G203" s="146"/>
      <c r="H203" s="146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  <c r="AF203" s="146"/>
      <c r="AG203" s="146"/>
      <c r="AH203" s="146"/>
      <c r="AI203" s="146"/>
      <c r="AJ203" s="146"/>
      <c r="AK203" s="146"/>
      <c r="AL203" s="146"/>
      <c r="AM203" s="146"/>
      <c r="AN203" s="146"/>
      <c r="AO203" s="146"/>
      <c r="AP203" s="146"/>
      <c r="AQ203" s="146"/>
      <c r="AR203" s="146"/>
      <c r="AS203" s="146"/>
      <c r="AT203" s="146"/>
      <c r="AU203" s="146"/>
      <c r="AV203" s="146"/>
      <c r="AW203" s="146"/>
      <c r="AX203" s="146"/>
      <c r="AY203" s="146"/>
      <c r="AZ203" s="146"/>
      <c r="BA203" s="146"/>
      <c r="BB203" s="146"/>
      <c r="BC203" s="146"/>
      <c r="BD203" s="146"/>
      <c r="BE203" s="146"/>
      <c r="BF203" s="146"/>
      <c r="BG203" s="146"/>
      <c r="BH203" s="146"/>
      <c r="BI203" s="146"/>
      <c r="BJ203" s="146"/>
      <c r="BK203" s="146"/>
      <c r="BL203" s="146"/>
      <c r="BM203" s="146"/>
      <c r="BN203" s="146"/>
      <c r="BO203" s="146"/>
      <c r="BP203" s="146"/>
      <c r="BQ203" s="146"/>
      <c r="BR203" s="146"/>
    </row>
    <row r="204" spans="2:70" ht="15.75" hidden="1">
      <c r="B204" s="146"/>
      <c r="C204" s="146"/>
      <c r="D204" s="146"/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  <c r="AF204" s="146"/>
      <c r="AG204" s="146"/>
      <c r="AH204" s="146"/>
      <c r="AI204" s="146"/>
      <c r="AJ204" s="146"/>
      <c r="AK204" s="146"/>
      <c r="AL204" s="146"/>
      <c r="AM204" s="146"/>
      <c r="AN204" s="146"/>
      <c r="AO204" s="146"/>
      <c r="AP204" s="146"/>
      <c r="AQ204" s="146"/>
      <c r="AR204" s="146"/>
      <c r="AS204" s="146"/>
      <c r="AT204" s="146"/>
      <c r="AU204" s="146"/>
      <c r="AV204" s="146"/>
      <c r="AW204" s="146"/>
      <c r="AX204" s="146"/>
      <c r="AY204" s="146"/>
      <c r="AZ204" s="146"/>
      <c r="BA204" s="146"/>
      <c r="BB204" s="146"/>
      <c r="BC204" s="146"/>
      <c r="BD204" s="146"/>
      <c r="BE204" s="146"/>
      <c r="BF204" s="146"/>
      <c r="BG204" s="146"/>
      <c r="BH204" s="146"/>
      <c r="BI204" s="146"/>
      <c r="BJ204" s="146"/>
      <c r="BK204" s="146"/>
      <c r="BL204" s="146"/>
      <c r="BM204" s="146"/>
      <c r="BN204" s="146"/>
      <c r="BO204" s="146"/>
      <c r="BP204" s="146"/>
      <c r="BQ204" s="146"/>
      <c r="BR204" s="146"/>
    </row>
    <row r="205" spans="2:70" ht="15.75" hidden="1">
      <c r="B205" s="146"/>
      <c r="C205" s="146"/>
      <c r="D205" s="146"/>
      <c r="E205" s="146"/>
      <c r="F205" s="146"/>
      <c r="G205" s="146"/>
      <c r="H205" s="146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  <c r="AF205" s="146"/>
      <c r="AG205" s="146"/>
      <c r="AH205" s="146"/>
      <c r="AI205" s="146"/>
      <c r="AJ205" s="146"/>
      <c r="AK205" s="146"/>
      <c r="AL205" s="146"/>
      <c r="AM205" s="146"/>
      <c r="AN205" s="146"/>
      <c r="AO205" s="146"/>
      <c r="AP205" s="146"/>
      <c r="AQ205" s="146"/>
      <c r="AR205" s="146"/>
      <c r="AS205" s="146"/>
      <c r="AT205" s="146"/>
      <c r="AU205" s="146"/>
      <c r="AV205" s="146"/>
      <c r="AW205" s="146"/>
      <c r="AX205" s="146"/>
      <c r="AY205" s="146"/>
      <c r="AZ205" s="146"/>
      <c r="BA205" s="146"/>
      <c r="BB205" s="146"/>
      <c r="BC205" s="146"/>
      <c r="BD205" s="146"/>
      <c r="BE205" s="146"/>
      <c r="BF205" s="146"/>
      <c r="BG205" s="146"/>
      <c r="BH205" s="146"/>
      <c r="BI205" s="146"/>
      <c r="BJ205" s="146"/>
      <c r="BK205" s="146"/>
      <c r="BL205" s="146"/>
      <c r="BM205" s="146"/>
      <c r="BN205" s="146"/>
      <c r="BO205" s="146"/>
      <c r="BP205" s="146"/>
      <c r="BQ205" s="146"/>
      <c r="BR205" s="146"/>
    </row>
    <row r="206" spans="2:70" ht="15.75" hidden="1">
      <c r="B206" s="146"/>
      <c r="C206" s="146"/>
      <c r="D206" s="146"/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  <c r="AF206" s="146"/>
      <c r="AG206" s="146"/>
      <c r="AH206" s="146"/>
      <c r="AI206" s="146"/>
      <c r="AJ206" s="146"/>
      <c r="AK206" s="146"/>
      <c r="AL206" s="146"/>
      <c r="AM206" s="146"/>
      <c r="AN206" s="146"/>
      <c r="AO206" s="146"/>
      <c r="AP206" s="146"/>
      <c r="AQ206" s="146"/>
      <c r="AR206" s="146"/>
      <c r="AS206" s="146"/>
      <c r="AT206" s="146"/>
      <c r="AU206" s="146"/>
      <c r="AV206" s="146"/>
      <c r="AW206" s="146"/>
      <c r="AX206" s="146"/>
      <c r="AY206" s="146"/>
      <c r="AZ206" s="146"/>
      <c r="BA206" s="146"/>
      <c r="BB206" s="146"/>
      <c r="BC206" s="146"/>
      <c r="BD206" s="146"/>
      <c r="BE206" s="146"/>
      <c r="BF206" s="146"/>
      <c r="BG206" s="146"/>
      <c r="BH206" s="146"/>
      <c r="BI206" s="146"/>
      <c r="BJ206" s="146"/>
      <c r="BK206" s="146"/>
      <c r="BL206" s="146"/>
      <c r="BM206" s="146"/>
      <c r="BN206" s="146"/>
      <c r="BO206" s="146"/>
      <c r="BP206" s="146"/>
      <c r="BQ206" s="146"/>
      <c r="BR206" s="146"/>
    </row>
    <row r="207" spans="2:70" ht="15.75" hidden="1">
      <c r="B207" s="146"/>
      <c r="C207" s="146"/>
      <c r="D207" s="146"/>
      <c r="E207" s="146"/>
      <c r="F207" s="146"/>
      <c r="G207" s="146"/>
      <c r="H207" s="146"/>
      <c r="I207" s="146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  <c r="AF207" s="146"/>
      <c r="AG207" s="146"/>
      <c r="AH207" s="146"/>
      <c r="AI207" s="146"/>
      <c r="AJ207" s="146"/>
      <c r="AK207" s="146"/>
      <c r="AL207" s="146"/>
      <c r="AM207" s="146"/>
      <c r="AN207" s="146"/>
      <c r="AO207" s="146"/>
      <c r="AP207" s="146"/>
      <c r="AQ207" s="146"/>
      <c r="AR207" s="146"/>
      <c r="AS207" s="146"/>
      <c r="AT207" s="146"/>
      <c r="AU207" s="146"/>
      <c r="AV207" s="146"/>
      <c r="AW207" s="146"/>
      <c r="AX207" s="146"/>
      <c r="AY207" s="146"/>
      <c r="AZ207" s="146"/>
      <c r="BA207" s="146"/>
      <c r="BB207" s="146"/>
      <c r="BC207" s="146"/>
      <c r="BD207" s="146"/>
      <c r="BE207" s="146"/>
      <c r="BF207" s="146"/>
      <c r="BG207" s="146"/>
      <c r="BH207" s="146"/>
      <c r="BI207" s="146"/>
      <c r="BJ207" s="146"/>
      <c r="BK207" s="146"/>
      <c r="BL207" s="146"/>
      <c r="BM207" s="146"/>
      <c r="BN207" s="146"/>
      <c r="BO207" s="146"/>
      <c r="BP207" s="146"/>
      <c r="BQ207" s="146"/>
      <c r="BR207" s="146"/>
    </row>
    <row r="208" spans="2:70" ht="15.75" hidden="1">
      <c r="B208" s="146"/>
      <c r="C208" s="146"/>
      <c r="D208" s="146"/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  <c r="AF208" s="146"/>
      <c r="AG208" s="146"/>
      <c r="AH208" s="146"/>
      <c r="AI208" s="146"/>
      <c r="AJ208" s="146"/>
      <c r="AK208" s="146"/>
      <c r="AL208" s="146"/>
      <c r="AM208" s="146"/>
      <c r="AN208" s="146"/>
      <c r="AO208" s="146"/>
      <c r="AP208" s="146"/>
      <c r="AQ208" s="146"/>
      <c r="AR208" s="146"/>
      <c r="AS208" s="146"/>
      <c r="AT208" s="146"/>
      <c r="AU208" s="146"/>
      <c r="AV208" s="146"/>
      <c r="AW208" s="146"/>
      <c r="AX208" s="146"/>
      <c r="AY208" s="146"/>
      <c r="AZ208" s="146"/>
      <c r="BA208" s="146"/>
      <c r="BB208" s="146"/>
      <c r="BC208" s="146"/>
      <c r="BD208" s="146"/>
      <c r="BE208" s="146"/>
      <c r="BF208" s="146"/>
      <c r="BG208" s="146"/>
      <c r="BH208" s="146"/>
      <c r="BI208" s="146"/>
      <c r="BJ208" s="146"/>
      <c r="BK208" s="146"/>
      <c r="BL208" s="146"/>
      <c r="BM208" s="146"/>
      <c r="BN208" s="146"/>
      <c r="BO208" s="146"/>
      <c r="BP208" s="146"/>
      <c r="BQ208" s="146"/>
      <c r="BR208" s="146"/>
    </row>
    <row r="209" spans="2:70" ht="15.75" hidden="1">
      <c r="B209" s="146"/>
      <c r="C209" s="146"/>
      <c r="D209" s="146"/>
      <c r="E209" s="146"/>
      <c r="F209" s="146"/>
      <c r="G209" s="146"/>
      <c r="H209" s="146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  <c r="AF209" s="146"/>
      <c r="AG209" s="146"/>
      <c r="AH209" s="146"/>
      <c r="AI209" s="146"/>
      <c r="AJ209" s="146"/>
      <c r="AK209" s="146"/>
      <c r="AL209" s="146"/>
      <c r="AM209" s="146"/>
      <c r="AN209" s="146"/>
      <c r="AO209" s="146"/>
      <c r="AP209" s="146"/>
      <c r="AQ209" s="146"/>
      <c r="AR209" s="146"/>
      <c r="AS209" s="146"/>
      <c r="AT209" s="146"/>
      <c r="AU209" s="146"/>
      <c r="AV209" s="146"/>
      <c r="AW209" s="146"/>
      <c r="AX209" s="146"/>
      <c r="AY209" s="146"/>
      <c r="AZ209" s="146"/>
      <c r="BA209" s="146"/>
      <c r="BB209" s="146"/>
      <c r="BC209" s="146"/>
      <c r="BD209" s="146"/>
      <c r="BE209" s="146"/>
      <c r="BF209" s="146"/>
      <c r="BG209" s="146"/>
      <c r="BH209" s="146"/>
      <c r="BI209" s="146"/>
      <c r="BJ209" s="146"/>
      <c r="BK209" s="146"/>
      <c r="BL209" s="146"/>
      <c r="BM209" s="146"/>
      <c r="BN209" s="146"/>
      <c r="BO209" s="146"/>
      <c r="BP209" s="146"/>
      <c r="BQ209" s="146"/>
      <c r="BR209" s="146"/>
    </row>
    <row r="210" spans="2:70" ht="15.75" hidden="1">
      <c r="B210" s="146"/>
      <c r="C210" s="146"/>
      <c r="D210" s="146"/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  <c r="AF210" s="146"/>
      <c r="AG210" s="146"/>
      <c r="AH210" s="146"/>
      <c r="AI210" s="146"/>
      <c r="AJ210" s="146"/>
      <c r="AK210" s="146"/>
      <c r="AL210" s="146"/>
      <c r="AM210" s="146"/>
      <c r="AN210" s="146"/>
      <c r="AO210" s="146"/>
      <c r="AP210" s="146"/>
      <c r="AQ210" s="146"/>
      <c r="AR210" s="146"/>
      <c r="AS210" s="146"/>
      <c r="AT210" s="146"/>
      <c r="AU210" s="146"/>
      <c r="AV210" s="146"/>
      <c r="AW210" s="146"/>
      <c r="AX210" s="146"/>
      <c r="AY210" s="146"/>
      <c r="AZ210" s="146"/>
      <c r="BA210" s="146"/>
      <c r="BB210" s="146"/>
      <c r="BC210" s="146"/>
      <c r="BD210" s="146"/>
      <c r="BE210" s="146"/>
      <c r="BF210" s="146"/>
      <c r="BG210" s="146"/>
      <c r="BH210" s="146"/>
      <c r="BI210" s="146"/>
      <c r="BJ210" s="146"/>
      <c r="BK210" s="146"/>
      <c r="BL210" s="146"/>
      <c r="BM210" s="146"/>
      <c r="BN210" s="146"/>
      <c r="BO210" s="146"/>
      <c r="BP210" s="146"/>
      <c r="BQ210" s="146"/>
      <c r="BR210" s="146"/>
    </row>
    <row r="211" spans="2:70" ht="15.75" hidden="1">
      <c r="B211" s="146"/>
      <c r="C211" s="146"/>
      <c r="D211" s="146"/>
      <c r="E211" s="146"/>
      <c r="F211" s="146"/>
      <c r="G211" s="146"/>
      <c r="H211" s="146"/>
      <c r="I211" s="146"/>
      <c r="J211" s="146"/>
      <c r="K211" s="146"/>
      <c r="L211" s="146"/>
      <c r="M211" s="146"/>
      <c r="N211" s="146"/>
      <c r="O211" s="146"/>
      <c r="P211" s="146"/>
      <c r="Q211" s="146"/>
      <c r="R211" s="146"/>
      <c r="S211" s="146"/>
      <c r="T211" s="146"/>
      <c r="U211" s="146"/>
      <c r="V211" s="146"/>
      <c r="W211" s="146"/>
      <c r="X211" s="146"/>
      <c r="Y211" s="146"/>
      <c r="Z211" s="146"/>
      <c r="AA211" s="146"/>
      <c r="AB211" s="146"/>
      <c r="AC211" s="146"/>
      <c r="AD211" s="146"/>
      <c r="AE211" s="146"/>
      <c r="AF211" s="146"/>
      <c r="AG211" s="146"/>
      <c r="AH211" s="146"/>
      <c r="AI211" s="146"/>
      <c r="AJ211" s="146"/>
      <c r="AK211" s="146"/>
      <c r="AL211" s="146"/>
      <c r="AM211" s="146"/>
      <c r="AN211" s="146"/>
      <c r="AO211" s="146"/>
      <c r="AP211" s="146"/>
      <c r="AQ211" s="146"/>
      <c r="AR211" s="146"/>
      <c r="AS211" s="146"/>
      <c r="AT211" s="146"/>
      <c r="AU211" s="146"/>
      <c r="AV211" s="146"/>
      <c r="AW211" s="146"/>
      <c r="AX211" s="146"/>
      <c r="AY211" s="146"/>
      <c r="AZ211" s="146"/>
      <c r="BA211" s="146"/>
      <c r="BB211" s="146"/>
      <c r="BC211" s="146"/>
      <c r="BD211" s="146"/>
      <c r="BE211" s="146"/>
      <c r="BF211" s="146"/>
      <c r="BG211" s="146"/>
      <c r="BH211" s="146"/>
      <c r="BI211" s="146"/>
      <c r="BJ211" s="146"/>
      <c r="BK211" s="146"/>
      <c r="BL211" s="146"/>
      <c r="BM211" s="146"/>
      <c r="BN211" s="146"/>
      <c r="BO211" s="146"/>
      <c r="BP211" s="146"/>
      <c r="BQ211" s="146"/>
      <c r="BR211" s="146"/>
    </row>
    <row r="212" spans="2:70" ht="15.75" hidden="1">
      <c r="B212" s="146"/>
      <c r="C212" s="146"/>
      <c r="D212" s="146"/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  <c r="AF212" s="146"/>
      <c r="AG212" s="146"/>
      <c r="AH212" s="146"/>
      <c r="AI212" s="146"/>
      <c r="AJ212" s="146"/>
      <c r="AK212" s="146"/>
      <c r="AL212" s="146"/>
      <c r="AM212" s="146"/>
      <c r="AN212" s="146"/>
      <c r="AO212" s="146"/>
      <c r="AP212" s="146"/>
      <c r="AQ212" s="146"/>
      <c r="AR212" s="146"/>
      <c r="AS212" s="146"/>
      <c r="AT212" s="146"/>
      <c r="AU212" s="146"/>
      <c r="AV212" s="146"/>
      <c r="AW212" s="146"/>
      <c r="AX212" s="146"/>
      <c r="AY212" s="146"/>
      <c r="AZ212" s="146"/>
      <c r="BA212" s="146"/>
      <c r="BB212" s="146"/>
      <c r="BC212" s="146"/>
      <c r="BD212" s="146"/>
      <c r="BE212" s="146"/>
      <c r="BF212" s="146"/>
      <c r="BG212" s="146"/>
      <c r="BH212" s="146"/>
      <c r="BI212" s="146"/>
      <c r="BJ212" s="146"/>
      <c r="BK212" s="146"/>
      <c r="BL212" s="146"/>
      <c r="BM212" s="146"/>
      <c r="BN212" s="146"/>
      <c r="BO212" s="146"/>
      <c r="BP212" s="146"/>
      <c r="BQ212" s="146"/>
      <c r="BR212" s="146"/>
    </row>
    <row r="213" spans="2:70" ht="15.75" hidden="1">
      <c r="B213" s="146"/>
      <c r="C213" s="146"/>
      <c r="D213" s="146"/>
      <c r="E213" s="146"/>
      <c r="F213" s="146"/>
      <c r="G213" s="146"/>
      <c r="H213" s="146"/>
      <c r="I213" s="146"/>
      <c r="J213" s="146"/>
      <c r="K213" s="146"/>
      <c r="L213" s="146"/>
      <c r="M213" s="146"/>
      <c r="N213" s="146"/>
      <c r="O213" s="146"/>
      <c r="P213" s="146"/>
      <c r="Q213" s="146"/>
      <c r="R213" s="146"/>
      <c r="S213" s="146"/>
      <c r="T213" s="146"/>
      <c r="U213" s="146"/>
      <c r="V213" s="146"/>
      <c r="W213" s="146"/>
      <c r="X213" s="146"/>
      <c r="Y213" s="146"/>
      <c r="Z213" s="146"/>
      <c r="AA213" s="146"/>
      <c r="AB213" s="146"/>
      <c r="AC213" s="146"/>
      <c r="AD213" s="146"/>
      <c r="AE213" s="146"/>
      <c r="AF213" s="146"/>
      <c r="AG213" s="146"/>
      <c r="AH213" s="146"/>
      <c r="AI213" s="146"/>
      <c r="AJ213" s="146"/>
      <c r="AK213" s="146"/>
      <c r="AL213" s="146"/>
      <c r="AM213" s="146"/>
      <c r="AN213" s="146"/>
      <c r="AO213" s="146"/>
      <c r="AP213" s="146"/>
      <c r="AQ213" s="146"/>
      <c r="AR213" s="146"/>
      <c r="AS213" s="146"/>
      <c r="AT213" s="146"/>
      <c r="AU213" s="146"/>
      <c r="AV213" s="146"/>
      <c r="AW213" s="146"/>
      <c r="AX213" s="146"/>
      <c r="AY213" s="146"/>
      <c r="AZ213" s="146"/>
      <c r="BA213" s="146"/>
      <c r="BB213" s="146"/>
      <c r="BC213" s="146"/>
      <c r="BD213" s="146"/>
      <c r="BE213" s="146"/>
      <c r="BF213" s="146"/>
      <c r="BG213" s="146"/>
      <c r="BH213" s="146"/>
      <c r="BI213" s="146"/>
      <c r="BJ213" s="146"/>
      <c r="BK213" s="146"/>
      <c r="BL213" s="146"/>
      <c r="BM213" s="146"/>
      <c r="BN213" s="146"/>
      <c r="BO213" s="146"/>
      <c r="BP213" s="146"/>
      <c r="BQ213" s="146"/>
      <c r="BR213" s="146"/>
    </row>
    <row r="214" spans="2:70" ht="15.75" hidden="1">
      <c r="B214" s="146"/>
      <c r="C214" s="146"/>
      <c r="D214" s="146"/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  <c r="AF214" s="146"/>
      <c r="AG214" s="146"/>
      <c r="AH214" s="146"/>
      <c r="AI214" s="146"/>
      <c r="AJ214" s="146"/>
      <c r="AK214" s="146"/>
      <c r="AL214" s="146"/>
      <c r="AM214" s="146"/>
      <c r="AN214" s="146"/>
      <c r="AO214" s="146"/>
      <c r="AP214" s="146"/>
      <c r="AQ214" s="146"/>
      <c r="AR214" s="146"/>
      <c r="AS214" s="146"/>
      <c r="AT214" s="146"/>
      <c r="AU214" s="146"/>
      <c r="AV214" s="146"/>
      <c r="AW214" s="146"/>
      <c r="AX214" s="146"/>
      <c r="AY214" s="146"/>
      <c r="AZ214" s="146"/>
      <c r="BA214" s="146"/>
      <c r="BB214" s="146"/>
      <c r="BC214" s="146"/>
      <c r="BD214" s="146"/>
      <c r="BE214" s="146"/>
      <c r="BF214" s="146"/>
      <c r="BG214" s="146"/>
      <c r="BH214" s="146"/>
      <c r="BI214" s="146"/>
      <c r="BJ214" s="146"/>
      <c r="BK214" s="146"/>
      <c r="BL214" s="146"/>
      <c r="BM214" s="146"/>
      <c r="BN214" s="146"/>
      <c r="BO214" s="146"/>
      <c r="BP214" s="146"/>
      <c r="BQ214" s="146"/>
      <c r="BR214" s="146"/>
    </row>
    <row r="215" spans="2:70" ht="15.75" hidden="1">
      <c r="B215" s="146"/>
      <c r="C215" s="146"/>
      <c r="D215" s="146"/>
      <c r="E215" s="146"/>
      <c r="F215" s="146"/>
      <c r="G215" s="146"/>
      <c r="H215" s="146"/>
      <c r="I215" s="146"/>
      <c r="J215" s="146"/>
      <c r="K215" s="146"/>
      <c r="L215" s="146"/>
      <c r="M215" s="146"/>
      <c r="N215" s="146"/>
      <c r="O215" s="146"/>
      <c r="P215" s="146"/>
      <c r="Q215" s="146"/>
      <c r="R215" s="146"/>
      <c r="S215" s="146"/>
      <c r="T215" s="146"/>
      <c r="U215" s="146"/>
      <c r="V215" s="146"/>
      <c r="W215" s="146"/>
      <c r="X215" s="146"/>
      <c r="Y215" s="146"/>
      <c r="Z215" s="146"/>
      <c r="AA215" s="146"/>
      <c r="AB215" s="146"/>
      <c r="AC215" s="146"/>
      <c r="AD215" s="146"/>
      <c r="AE215" s="146"/>
      <c r="AF215" s="146"/>
      <c r="AG215" s="146"/>
      <c r="AH215" s="146"/>
      <c r="AI215" s="146"/>
      <c r="AJ215" s="146"/>
      <c r="AK215" s="146"/>
      <c r="AL215" s="146"/>
      <c r="AM215" s="146"/>
      <c r="AN215" s="146"/>
      <c r="AO215" s="146"/>
      <c r="AP215" s="146"/>
      <c r="AQ215" s="146"/>
      <c r="AR215" s="146"/>
      <c r="AS215" s="146"/>
      <c r="AT215" s="146"/>
      <c r="AU215" s="146"/>
      <c r="AV215" s="146"/>
      <c r="AW215" s="146"/>
      <c r="AX215" s="146"/>
      <c r="AY215" s="146"/>
      <c r="AZ215" s="146"/>
      <c r="BA215" s="146"/>
      <c r="BB215" s="146"/>
      <c r="BC215" s="146"/>
      <c r="BD215" s="146"/>
      <c r="BE215" s="146"/>
      <c r="BF215" s="146"/>
      <c r="BG215" s="146"/>
      <c r="BH215" s="146"/>
      <c r="BI215" s="146"/>
      <c r="BJ215" s="146"/>
      <c r="BK215" s="146"/>
      <c r="BL215" s="146"/>
      <c r="BM215" s="146"/>
      <c r="BN215" s="146"/>
      <c r="BO215" s="146"/>
      <c r="BP215" s="146"/>
      <c r="BQ215" s="146"/>
      <c r="BR215" s="146"/>
    </row>
    <row r="216" spans="2:70" ht="15.75" hidden="1">
      <c r="B216" s="146"/>
      <c r="C216" s="146"/>
      <c r="D216" s="146"/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  <c r="AF216" s="146"/>
      <c r="AG216" s="146"/>
      <c r="AH216" s="146"/>
      <c r="AI216" s="146"/>
      <c r="AJ216" s="146"/>
      <c r="AK216" s="146"/>
      <c r="AL216" s="146"/>
      <c r="AM216" s="146"/>
      <c r="AN216" s="146"/>
      <c r="AO216" s="146"/>
      <c r="AP216" s="146"/>
      <c r="AQ216" s="146"/>
      <c r="AR216" s="146"/>
      <c r="AS216" s="146"/>
      <c r="AT216" s="146"/>
      <c r="AU216" s="146"/>
      <c r="AV216" s="146"/>
      <c r="AW216" s="146"/>
      <c r="AX216" s="146"/>
      <c r="AY216" s="146"/>
      <c r="AZ216" s="146"/>
      <c r="BA216" s="146"/>
      <c r="BB216" s="146"/>
      <c r="BC216" s="146"/>
      <c r="BD216" s="146"/>
      <c r="BE216" s="146"/>
      <c r="BF216" s="146"/>
      <c r="BG216" s="146"/>
      <c r="BH216" s="146"/>
      <c r="BI216" s="146"/>
      <c r="BJ216" s="146"/>
      <c r="BK216" s="146"/>
      <c r="BL216" s="146"/>
      <c r="BM216" s="146"/>
      <c r="BN216" s="146"/>
      <c r="BO216" s="146"/>
      <c r="BP216" s="146"/>
      <c r="BQ216" s="146"/>
      <c r="BR216" s="146"/>
    </row>
    <row r="217" spans="2:70" ht="15.75" hidden="1">
      <c r="B217" s="146"/>
      <c r="C217" s="146"/>
      <c r="D217" s="146"/>
      <c r="E217" s="146"/>
      <c r="F217" s="146"/>
      <c r="G217" s="146"/>
      <c r="H217" s="146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  <c r="AF217" s="146"/>
      <c r="AG217" s="146"/>
      <c r="AH217" s="146"/>
      <c r="AI217" s="146"/>
      <c r="AJ217" s="146"/>
      <c r="AK217" s="146"/>
      <c r="AL217" s="146"/>
      <c r="AM217" s="146"/>
      <c r="AN217" s="146"/>
      <c r="AO217" s="146"/>
      <c r="AP217" s="146"/>
      <c r="AQ217" s="146"/>
      <c r="AR217" s="146"/>
      <c r="AS217" s="146"/>
      <c r="AT217" s="146"/>
      <c r="AU217" s="146"/>
      <c r="AV217" s="146"/>
      <c r="AW217" s="146"/>
      <c r="AX217" s="146"/>
      <c r="AY217" s="146"/>
      <c r="AZ217" s="146"/>
      <c r="BA217" s="146"/>
      <c r="BB217" s="146"/>
      <c r="BC217" s="146"/>
      <c r="BD217" s="146"/>
      <c r="BE217" s="146"/>
      <c r="BF217" s="146"/>
      <c r="BG217" s="146"/>
      <c r="BH217" s="146"/>
      <c r="BI217" s="146"/>
      <c r="BJ217" s="146"/>
      <c r="BK217" s="146"/>
      <c r="BL217" s="146"/>
      <c r="BM217" s="146"/>
      <c r="BN217" s="146"/>
      <c r="BO217" s="146"/>
      <c r="BP217" s="146"/>
      <c r="BQ217" s="146"/>
      <c r="BR217" s="146"/>
    </row>
    <row r="218" spans="2:70" ht="15.75" hidden="1">
      <c r="B218" s="146"/>
      <c r="C218" s="146"/>
      <c r="D218" s="146"/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6"/>
      <c r="AA218" s="146"/>
      <c r="AB218" s="146"/>
      <c r="AC218" s="146"/>
      <c r="AD218" s="146"/>
      <c r="AE218" s="146"/>
      <c r="AF218" s="146"/>
      <c r="AG218" s="146"/>
      <c r="AH218" s="146"/>
      <c r="AI218" s="146"/>
      <c r="AJ218" s="146"/>
      <c r="AK218" s="146"/>
      <c r="AL218" s="146"/>
      <c r="AM218" s="146"/>
      <c r="AN218" s="146"/>
      <c r="AO218" s="146"/>
      <c r="AP218" s="146"/>
      <c r="AQ218" s="146"/>
      <c r="AR218" s="146"/>
      <c r="AS218" s="146"/>
      <c r="AT218" s="146"/>
      <c r="AU218" s="146"/>
      <c r="AV218" s="146"/>
      <c r="AW218" s="146"/>
      <c r="AX218" s="146"/>
      <c r="AY218" s="146"/>
      <c r="AZ218" s="146"/>
      <c r="BA218" s="146"/>
      <c r="BB218" s="146"/>
      <c r="BC218" s="146"/>
      <c r="BD218" s="146"/>
      <c r="BE218" s="146"/>
      <c r="BF218" s="146"/>
      <c r="BG218" s="146"/>
      <c r="BH218" s="146"/>
      <c r="BI218" s="146"/>
      <c r="BJ218" s="146"/>
      <c r="BK218" s="146"/>
      <c r="BL218" s="146"/>
      <c r="BM218" s="146"/>
      <c r="BN218" s="146"/>
      <c r="BO218" s="146"/>
      <c r="BP218" s="146"/>
      <c r="BQ218" s="146"/>
      <c r="BR218" s="146"/>
    </row>
    <row r="219" spans="2:70" ht="15.75" hidden="1">
      <c r="B219" s="146"/>
      <c r="C219" s="146"/>
      <c r="D219" s="146"/>
      <c r="E219" s="146"/>
      <c r="F219" s="146"/>
      <c r="G219" s="146"/>
      <c r="H219" s="146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  <c r="T219" s="146"/>
      <c r="U219" s="146"/>
      <c r="V219" s="146"/>
      <c r="W219" s="146"/>
      <c r="X219" s="146"/>
      <c r="Y219" s="146"/>
      <c r="Z219" s="146"/>
      <c r="AA219" s="146"/>
      <c r="AB219" s="146"/>
      <c r="AC219" s="146"/>
      <c r="AD219" s="146"/>
      <c r="AE219" s="146"/>
      <c r="AF219" s="146"/>
      <c r="AG219" s="146"/>
      <c r="AH219" s="146"/>
      <c r="AI219" s="146"/>
      <c r="AJ219" s="146"/>
      <c r="AK219" s="146"/>
      <c r="AL219" s="146"/>
      <c r="AM219" s="146"/>
      <c r="AN219" s="146"/>
      <c r="AO219" s="146"/>
      <c r="AP219" s="146"/>
      <c r="AQ219" s="146"/>
      <c r="AR219" s="146"/>
      <c r="AS219" s="146"/>
      <c r="AT219" s="146"/>
      <c r="AU219" s="146"/>
      <c r="AV219" s="146"/>
      <c r="AW219" s="146"/>
      <c r="AX219" s="146"/>
      <c r="AY219" s="146"/>
      <c r="AZ219" s="146"/>
      <c r="BA219" s="146"/>
      <c r="BB219" s="146"/>
      <c r="BC219" s="146"/>
      <c r="BD219" s="146"/>
      <c r="BE219" s="146"/>
      <c r="BF219" s="146"/>
      <c r="BG219" s="146"/>
      <c r="BH219" s="146"/>
      <c r="BI219" s="146"/>
      <c r="BJ219" s="146"/>
      <c r="BK219" s="146"/>
      <c r="BL219" s="146"/>
      <c r="BM219" s="146"/>
      <c r="BN219" s="146"/>
      <c r="BO219" s="146"/>
      <c r="BP219" s="146"/>
      <c r="BQ219" s="146"/>
      <c r="BR219" s="146"/>
    </row>
    <row r="220" spans="2:70" ht="15.75" hidden="1">
      <c r="B220" s="146"/>
      <c r="C220" s="146"/>
      <c r="D220" s="146"/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6"/>
      <c r="AA220" s="146"/>
      <c r="AB220" s="146"/>
      <c r="AC220" s="146"/>
      <c r="AD220" s="146"/>
      <c r="AE220" s="146"/>
      <c r="AF220" s="146"/>
      <c r="AG220" s="146"/>
      <c r="AH220" s="146"/>
      <c r="AI220" s="146"/>
      <c r="AJ220" s="146"/>
      <c r="AK220" s="146"/>
      <c r="AL220" s="146"/>
      <c r="AM220" s="146"/>
      <c r="AN220" s="146"/>
      <c r="AO220" s="146"/>
      <c r="AP220" s="146"/>
      <c r="AQ220" s="146"/>
      <c r="AR220" s="146"/>
      <c r="AS220" s="146"/>
      <c r="AT220" s="146"/>
      <c r="AU220" s="146"/>
      <c r="AV220" s="146"/>
      <c r="AW220" s="146"/>
      <c r="AX220" s="146"/>
      <c r="AY220" s="146"/>
      <c r="AZ220" s="146"/>
      <c r="BA220" s="146"/>
      <c r="BB220" s="146"/>
      <c r="BC220" s="146"/>
      <c r="BD220" s="146"/>
      <c r="BE220" s="146"/>
      <c r="BF220" s="146"/>
      <c r="BG220" s="146"/>
      <c r="BH220" s="146"/>
      <c r="BI220" s="146"/>
      <c r="BJ220" s="146"/>
      <c r="BK220" s="146"/>
      <c r="BL220" s="146"/>
      <c r="BM220" s="146"/>
      <c r="BN220" s="146"/>
      <c r="BO220" s="146"/>
      <c r="BP220" s="146"/>
      <c r="BQ220" s="146"/>
      <c r="BR220" s="146"/>
    </row>
    <row r="221" spans="2:70" ht="15.75" hidden="1">
      <c r="B221" s="146"/>
      <c r="C221" s="146"/>
      <c r="D221" s="146"/>
      <c r="E221" s="146"/>
      <c r="F221" s="146"/>
      <c r="G221" s="146"/>
      <c r="H221" s="146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6"/>
      <c r="AA221" s="146"/>
      <c r="AB221" s="146"/>
      <c r="AC221" s="146"/>
      <c r="AD221" s="146"/>
      <c r="AE221" s="146"/>
      <c r="AF221" s="146"/>
      <c r="AG221" s="146"/>
      <c r="AH221" s="146"/>
      <c r="AI221" s="146"/>
      <c r="AJ221" s="146"/>
      <c r="AK221" s="146"/>
      <c r="AL221" s="146"/>
      <c r="AM221" s="146"/>
      <c r="AN221" s="146"/>
      <c r="AO221" s="146"/>
      <c r="AP221" s="146"/>
      <c r="AQ221" s="146"/>
      <c r="AR221" s="146"/>
      <c r="AS221" s="146"/>
      <c r="AT221" s="146"/>
      <c r="AU221" s="146"/>
      <c r="AV221" s="146"/>
      <c r="AW221" s="146"/>
      <c r="AX221" s="146"/>
      <c r="AY221" s="146"/>
      <c r="AZ221" s="146"/>
      <c r="BA221" s="146"/>
      <c r="BB221" s="146"/>
      <c r="BC221" s="146"/>
      <c r="BD221" s="146"/>
      <c r="BE221" s="146"/>
      <c r="BF221" s="146"/>
      <c r="BG221" s="146"/>
      <c r="BH221" s="146"/>
      <c r="BI221" s="146"/>
      <c r="BJ221" s="146"/>
      <c r="BK221" s="146"/>
      <c r="BL221" s="146"/>
      <c r="BM221" s="146"/>
      <c r="BN221" s="146"/>
      <c r="BO221" s="146"/>
      <c r="BP221" s="146"/>
      <c r="BQ221" s="146"/>
      <c r="BR221" s="146"/>
    </row>
    <row r="222" spans="2:70" ht="15.75" hidden="1">
      <c r="B222" s="146"/>
      <c r="C222" s="146"/>
      <c r="D222" s="146"/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6"/>
      <c r="AA222" s="146"/>
      <c r="AB222" s="146"/>
      <c r="AC222" s="146"/>
      <c r="AD222" s="146"/>
      <c r="AE222" s="146"/>
      <c r="AF222" s="146"/>
      <c r="AG222" s="146"/>
      <c r="AH222" s="146"/>
      <c r="AI222" s="146"/>
      <c r="AJ222" s="146"/>
      <c r="AK222" s="146"/>
      <c r="AL222" s="146"/>
      <c r="AM222" s="146"/>
      <c r="AN222" s="146"/>
      <c r="AO222" s="146"/>
      <c r="AP222" s="146"/>
      <c r="AQ222" s="146"/>
      <c r="AR222" s="146"/>
      <c r="AS222" s="146"/>
      <c r="AT222" s="146"/>
      <c r="AU222" s="146"/>
      <c r="AV222" s="146"/>
      <c r="AW222" s="146"/>
      <c r="AX222" s="146"/>
      <c r="AY222" s="146"/>
      <c r="AZ222" s="146"/>
      <c r="BA222" s="146"/>
      <c r="BB222" s="146"/>
      <c r="BC222" s="146"/>
      <c r="BD222" s="146"/>
      <c r="BE222" s="146"/>
      <c r="BF222" s="146"/>
      <c r="BG222" s="146"/>
      <c r="BH222" s="146"/>
      <c r="BI222" s="146"/>
      <c r="BJ222" s="146"/>
      <c r="BK222" s="146"/>
      <c r="BL222" s="146"/>
      <c r="BM222" s="146"/>
      <c r="BN222" s="146"/>
      <c r="BO222" s="146"/>
      <c r="BP222" s="146"/>
      <c r="BQ222" s="146"/>
      <c r="BR222" s="146"/>
    </row>
    <row r="223" spans="2:70" ht="15.75" hidden="1">
      <c r="B223" s="146"/>
      <c r="C223" s="146"/>
      <c r="D223" s="146"/>
      <c r="E223" s="146"/>
      <c r="F223" s="146"/>
      <c r="G223" s="146"/>
      <c r="H223" s="146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  <c r="AF223" s="146"/>
      <c r="AG223" s="146"/>
      <c r="AH223" s="146"/>
      <c r="AI223" s="146"/>
      <c r="AJ223" s="146"/>
      <c r="AK223" s="146"/>
      <c r="AL223" s="146"/>
      <c r="AM223" s="146"/>
      <c r="AN223" s="146"/>
      <c r="AO223" s="146"/>
      <c r="AP223" s="146"/>
      <c r="AQ223" s="146"/>
      <c r="AR223" s="146"/>
      <c r="AS223" s="146"/>
      <c r="AT223" s="146"/>
      <c r="AU223" s="146"/>
      <c r="AV223" s="146"/>
      <c r="AW223" s="146"/>
      <c r="AX223" s="146"/>
      <c r="AY223" s="146"/>
      <c r="AZ223" s="146"/>
      <c r="BA223" s="146"/>
      <c r="BB223" s="146"/>
      <c r="BC223" s="146"/>
      <c r="BD223" s="146"/>
      <c r="BE223" s="146"/>
      <c r="BF223" s="146"/>
      <c r="BG223" s="146"/>
      <c r="BH223" s="146"/>
      <c r="BI223" s="146"/>
      <c r="BJ223" s="146"/>
      <c r="BK223" s="146"/>
      <c r="BL223" s="146"/>
      <c r="BM223" s="146"/>
      <c r="BN223" s="146"/>
      <c r="BO223" s="146"/>
      <c r="BP223" s="146"/>
      <c r="BQ223" s="146"/>
      <c r="BR223" s="146"/>
    </row>
    <row r="224" spans="2:70" ht="15.75" hidden="1">
      <c r="B224" s="146"/>
      <c r="C224" s="146"/>
      <c r="D224" s="146"/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146"/>
      <c r="W224" s="146"/>
      <c r="X224" s="146"/>
      <c r="Y224" s="146"/>
      <c r="Z224" s="146"/>
      <c r="AA224" s="146"/>
      <c r="AB224" s="146"/>
      <c r="AC224" s="146"/>
      <c r="AD224" s="146"/>
      <c r="AE224" s="146"/>
      <c r="AF224" s="146"/>
      <c r="AG224" s="146"/>
      <c r="AH224" s="146"/>
      <c r="AI224" s="146"/>
      <c r="AJ224" s="146"/>
      <c r="AK224" s="146"/>
      <c r="AL224" s="146"/>
      <c r="AM224" s="146"/>
      <c r="AN224" s="146"/>
      <c r="AO224" s="146"/>
      <c r="AP224" s="146"/>
      <c r="AQ224" s="146"/>
      <c r="AR224" s="146"/>
      <c r="AS224" s="146"/>
      <c r="AT224" s="146"/>
      <c r="AU224" s="146"/>
      <c r="AV224" s="146"/>
      <c r="AW224" s="146"/>
      <c r="AX224" s="146"/>
      <c r="AY224" s="146"/>
      <c r="AZ224" s="146"/>
      <c r="BA224" s="146"/>
      <c r="BB224" s="146"/>
      <c r="BC224" s="146"/>
      <c r="BD224" s="146"/>
      <c r="BE224" s="146"/>
      <c r="BF224" s="146"/>
      <c r="BG224" s="146"/>
      <c r="BH224" s="146"/>
      <c r="BI224" s="146"/>
      <c r="BJ224" s="146"/>
      <c r="BK224" s="146"/>
      <c r="BL224" s="146"/>
      <c r="BM224" s="146"/>
      <c r="BN224" s="146"/>
      <c r="BO224" s="146"/>
      <c r="BP224" s="146"/>
      <c r="BQ224" s="146"/>
      <c r="BR224" s="146"/>
    </row>
    <row r="225" spans="2:70" ht="15.75" hidden="1">
      <c r="B225" s="146"/>
      <c r="C225" s="146"/>
      <c r="D225" s="146"/>
      <c r="E225" s="146"/>
      <c r="F225" s="146"/>
      <c r="G225" s="146"/>
      <c r="H225" s="146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6"/>
      <c r="AA225" s="146"/>
      <c r="AB225" s="146"/>
      <c r="AC225" s="146"/>
      <c r="AD225" s="146"/>
      <c r="AE225" s="146"/>
      <c r="AF225" s="146"/>
      <c r="AG225" s="146"/>
      <c r="AH225" s="146"/>
      <c r="AI225" s="146"/>
      <c r="AJ225" s="146"/>
      <c r="AK225" s="146"/>
      <c r="AL225" s="146"/>
      <c r="AM225" s="146"/>
      <c r="AN225" s="146"/>
      <c r="AO225" s="146"/>
      <c r="AP225" s="146"/>
      <c r="AQ225" s="146"/>
      <c r="AR225" s="146"/>
      <c r="AS225" s="146"/>
      <c r="AT225" s="146"/>
      <c r="AU225" s="146"/>
      <c r="AV225" s="146"/>
      <c r="AW225" s="146"/>
      <c r="AX225" s="146"/>
      <c r="AY225" s="146"/>
      <c r="AZ225" s="146"/>
      <c r="BA225" s="146"/>
      <c r="BB225" s="146"/>
      <c r="BC225" s="146"/>
      <c r="BD225" s="146"/>
      <c r="BE225" s="146"/>
      <c r="BF225" s="146"/>
      <c r="BG225" s="146"/>
      <c r="BH225" s="146"/>
      <c r="BI225" s="146"/>
      <c r="BJ225" s="146"/>
      <c r="BK225" s="146"/>
      <c r="BL225" s="146"/>
      <c r="BM225" s="146"/>
      <c r="BN225" s="146"/>
      <c r="BO225" s="146"/>
      <c r="BP225" s="146"/>
      <c r="BQ225" s="146"/>
      <c r="BR225" s="146"/>
    </row>
    <row r="226" spans="2:70" ht="15.75" hidden="1">
      <c r="B226" s="146"/>
      <c r="C226" s="146"/>
      <c r="D226" s="146"/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6"/>
      <c r="AA226" s="146"/>
      <c r="AB226" s="146"/>
      <c r="AC226" s="146"/>
      <c r="AD226" s="146"/>
      <c r="AE226" s="146"/>
      <c r="AF226" s="146"/>
      <c r="AG226" s="146"/>
      <c r="AH226" s="146"/>
      <c r="AI226" s="146"/>
      <c r="AJ226" s="146"/>
      <c r="AK226" s="146"/>
      <c r="AL226" s="146"/>
      <c r="AM226" s="146"/>
      <c r="AN226" s="146"/>
      <c r="AO226" s="146"/>
      <c r="AP226" s="146"/>
      <c r="AQ226" s="146"/>
      <c r="AR226" s="146"/>
      <c r="AS226" s="146"/>
      <c r="AT226" s="146"/>
      <c r="AU226" s="146"/>
      <c r="AV226" s="146"/>
      <c r="AW226" s="146"/>
      <c r="AX226" s="146"/>
      <c r="AY226" s="146"/>
      <c r="AZ226" s="146"/>
      <c r="BA226" s="146"/>
      <c r="BB226" s="146"/>
      <c r="BC226" s="146"/>
      <c r="BD226" s="146"/>
      <c r="BE226" s="146"/>
      <c r="BF226" s="146"/>
      <c r="BG226" s="146"/>
      <c r="BH226" s="146"/>
      <c r="BI226" s="146"/>
      <c r="BJ226" s="146"/>
      <c r="BK226" s="146"/>
      <c r="BL226" s="146"/>
      <c r="BM226" s="146"/>
      <c r="BN226" s="146"/>
      <c r="BO226" s="146"/>
      <c r="BP226" s="146"/>
      <c r="BQ226" s="146"/>
      <c r="BR226" s="146"/>
    </row>
    <row r="227" spans="2:70" ht="15.75" hidden="1">
      <c r="B227" s="146"/>
      <c r="C227" s="146"/>
      <c r="D227" s="146"/>
      <c r="E227" s="146"/>
      <c r="F227" s="146"/>
      <c r="G227" s="146"/>
      <c r="H227" s="146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6"/>
      <c r="AA227" s="146"/>
      <c r="AB227" s="146"/>
      <c r="AC227" s="146"/>
      <c r="AD227" s="146"/>
      <c r="AE227" s="146"/>
      <c r="AF227" s="146"/>
      <c r="AG227" s="146"/>
      <c r="AH227" s="146"/>
      <c r="AI227" s="146"/>
      <c r="AJ227" s="146"/>
      <c r="AK227" s="146"/>
      <c r="AL227" s="146"/>
      <c r="AM227" s="146"/>
      <c r="AN227" s="146"/>
      <c r="AO227" s="146"/>
      <c r="AP227" s="146"/>
      <c r="AQ227" s="146"/>
      <c r="AR227" s="146"/>
      <c r="AS227" s="146"/>
      <c r="AT227" s="146"/>
      <c r="AU227" s="146"/>
      <c r="AV227" s="146"/>
      <c r="AW227" s="146"/>
      <c r="AX227" s="146"/>
      <c r="AY227" s="146"/>
      <c r="AZ227" s="146"/>
      <c r="BA227" s="146"/>
      <c r="BB227" s="146"/>
      <c r="BC227" s="146"/>
      <c r="BD227" s="146"/>
      <c r="BE227" s="146"/>
      <c r="BF227" s="146"/>
      <c r="BG227" s="146"/>
      <c r="BH227" s="146"/>
      <c r="BI227" s="146"/>
      <c r="BJ227" s="146"/>
      <c r="BK227" s="146"/>
      <c r="BL227" s="146"/>
      <c r="BM227" s="146"/>
      <c r="BN227" s="146"/>
      <c r="BO227" s="146"/>
      <c r="BP227" s="146"/>
      <c r="BQ227" s="146"/>
      <c r="BR227" s="146"/>
    </row>
    <row r="228" spans="2:70" ht="15.75" hidden="1">
      <c r="B228" s="146"/>
      <c r="C228" s="146"/>
      <c r="D228" s="146"/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6"/>
      <c r="AA228" s="146"/>
      <c r="AB228" s="146"/>
      <c r="AC228" s="146"/>
      <c r="AD228" s="146"/>
      <c r="AE228" s="146"/>
      <c r="AF228" s="146"/>
      <c r="AG228" s="146"/>
      <c r="AH228" s="146"/>
      <c r="AI228" s="146"/>
      <c r="AJ228" s="146"/>
      <c r="AK228" s="146"/>
      <c r="AL228" s="146"/>
      <c r="AM228" s="146"/>
      <c r="AN228" s="146"/>
      <c r="AO228" s="146"/>
      <c r="AP228" s="146"/>
      <c r="AQ228" s="146"/>
      <c r="AR228" s="146"/>
      <c r="AS228" s="146"/>
      <c r="AT228" s="146"/>
      <c r="AU228" s="146"/>
      <c r="AV228" s="146"/>
      <c r="AW228" s="146"/>
      <c r="AX228" s="146"/>
      <c r="AY228" s="146"/>
      <c r="AZ228" s="146"/>
      <c r="BA228" s="146"/>
      <c r="BB228" s="146"/>
      <c r="BC228" s="146"/>
      <c r="BD228" s="146"/>
      <c r="BE228" s="146"/>
      <c r="BF228" s="146"/>
      <c r="BG228" s="146"/>
      <c r="BH228" s="146"/>
      <c r="BI228" s="146"/>
      <c r="BJ228" s="146"/>
      <c r="BK228" s="146"/>
      <c r="BL228" s="146"/>
      <c r="BM228" s="146"/>
      <c r="BN228" s="146"/>
      <c r="BO228" s="146"/>
      <c r="BP228" s="146"/>
      <c r="BQ228" s="146"/>
      <c r="BR228" s="146"/>
    </row>
    <row r="229" spans="2:70" ht="15.75" hidden="1">
      <c r="B229" s="146"/>
      <c r="C229" s="146"/>
      <c r="D229" s="146"/>
      <c r="E229" s="146"/>
      <c r="F229" s="146"/>
      <c r="G229" s="146"/>
      <c r="H229" s="146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6"/>
      <c r="AA229" s="146"/>
      <c r="AB229" s="146"/>
      <c r="AC229" s="146"/>
      <c r="AD229" s="146"/>
      <c r="AE229" s="146"/>
      <c r="AF229" s="146"/>
      <c r="AG229" s="146"/>
      <c r="AH229" s="146"/>
      <c r="AI229" s="146"/>
      <c r="AJ229" s="146"/>
      <c r="AK229" s="146"/>
      <c r="AL229" s="146"/>
      <c r="AM229" s="146"/>
      <c r="AN229" s="146"/>
      <c r="AO229" s="146"/>
      <c r="AP229" s="146"/>
      <c r="AQ229" s="146"/>
      <c r="AR229" s="146"/>
      <c r="AS229" s="146"/>
      <c r="AT229" s="146"/>
      <c r="AU229" s="146"/>
      <c r="AV229" s="146"/>
      <c r="AW229" s="146"/>
      <c r="AX229" s="146"/>
      <c r="AY229" s="146"/>
      <c r="AZ229" s="146"/>
      <c r="BA229" s="146"/>
      <c r="BB229" s="146"/>
      <c r="BC229" s="146"/>
      <c r="BD229" s="146"/>
      <c r="BE229" s="146"/>
      <c r="BF229" s="146"/>
      <c r="BG229" s="146"/>
      <c r="BH229" s="146"/>
      <c r="BI229" s="146"/>
      <c r="BJ229" s="146"/>
      <c r="BK229" s="146"/>
      <c r="BL229" s="146"/>
      <c r="BM229" s="146"/>
      <c r="BN229" s="146"/>
      <c r="BO229" s="146"/>
      <c r="BP229" s="146"/>
      <c r="BQ229" s="146"/>
      <c r="BR229" s="146"/>
    </row>
    <row r="230" spans="2:70" ht="15.75" hidden="1">
      <c r="B230" s="146"/>
      <c r="C230" s="146"/>
      <c r="D230" s="146"/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46"/>
      <c r="Z230" s="146"/>
      <c r="AA230" s="146"/>
      <c r="AB230" s="146"/>
      <c r="AC230" s="146"/>
      <c r="AD230" s="146"/>
      <c r="AE230" s="146"/>
      <c r="AF230" s="146"/>
      <c r="AG230" s="146"/>
      <c r="AH230" s="146"/>
      <c r="AI230" s="146"/>
      <c r="AJ230" s="146"/>
      <c r="AK230" s="146"/>
      <c r="AL230" s="146"/>
      <c r="AM230" s="146"/>
      <c r="AN230" s="146"/>
      <c r="AO230" s="146"/>
      <c r="AP230" s="146"/>
      <c r="AQ230" s="146"/>
      <c r="AR230" s="146"/>
      <c r="AS230" s="146"/>
      <c r="AT230" s="146"/>
      <c r="AU230" s="146"/>
      <c r="AV230" s="146"/>
      <c r="AW230" s="146"/>
      <c r="AX230" s="146"/>
      <c r="AY230" s="146"/>
      <c r="AZ230" s="146"/>
      <c r="BA230" s="146"/>
      <c r="BB230" s="146"/>
      <c r="BC230" s="146"/>
      <c r="BD230" s="146"/>
      <c r="BE230" s="146"/>
      <c r="BF230" s="146"/>
      <c r="BG230" s="146"/>
      <c r="BH230" s="146"/>
      <c r="BI230" s="146"/>
      <c r="BJ230" s="146"/>
      <c r="BK230" s="146"/>
      <c r="BL230" s="146"/>
      <c r="BM230" s="146"/>
      <c r="BN230" s="146"/>
      <c r="BO230" s="146"/>
      <c r="BP230" s="146"/>
      <c r="BQ230" s="146"/>
      <c r="BR230" s="146"/>
    </row>
    <row r="231" spans="2:70" ht="15.75" hidden="1">
      <c r="B231" s="146"/>
      <c r="C231" s="146"/>
      <c r="D231" s="146"/>
      <c r="E231" s="146"/>
      <c r="F231" s="146"/>
      <c r="G231" s="146"/>
      <c r="H231" s="146"/>
      <c r="I231" s="146"/>
      <c r="J231" s="146"/>
      <c r="K231" s="146"/>
      <c r="L231" s="146"/>
      <c r="M231" s="146"/>
      <c r="N231" s="146"/>
      <c r="O231" s="146"/>
      <c r="P231" s="146"/>
      <c r="Q231" s="146"/>
      <c r="R231" s="146"/>
      <c r="S231" s="146"/>
      <c r="T231" s="146"/>
      <c r="U231" s="146"/>
      <c r="V231" s="146"/>
      <c r="W231" s="146"/>
      <c r="X231" s="146"/>
      <c r="Y231" s="146"/>
      <c r="Z231" s="146"/>
      <c r="AA231" s="146"/>
      <c r="AB231" s="146"/>
      <c r="AC231" s="146"/>
      <c r="AD231" s="146"/>
      <c r="AE231" s="146"/>
      <c r="AF231" s="146"/>
      <c r="AG231" s="146"/>
      <c r="AH231" s="146"/>
      <c r="AI231" s="146"/>
      <c r="AJ231" s="146"/>
      <c r="AK231" s="146"/>
      <c r="AL231" s="146"/>
      <c r="AM231" s="146"/>
      <c r="AN231" s="146"/>
      <c r="AO231" s="146"/>
      <c r="AP231" s="146"/>
      <c r="AQ231" s="146"/>
      <c r="AR231" s="146"/>
      <c r="AS231" s="146"/>
      <c r="AT231" s="146"/>
      <c r="AU231" s="146"/>
      <c r="AV231" s="146"/>
      <c r="AW231" s="146"/>
      <c r="AX231" s="146"/>
      <c r="AY231" s="146"/>
      <c r="AZ231" s="146"/>
      <c r="BA231" s="146"/>
      <c r="BB231" s="146"/>
      <c r="BC231" s="146"/>
      <c r="BD231" s="146"/>
      <c r="BE231" s="146"/>
      <c r="BF231" s="146"/>
      <c r="BG231" s="146"/>
      <c r="BH231" s="146"/>
      <c r="BI231" s="146"/>
      <c r="BJ231" s="146"/>
      <c r="BK231" s="146"/>
      <c r="BL231" s="146"/>
      <c r="BM231" s="146"/>
      <c r="BN231" s="146"/>
      <c r="BO231" s="146"/>
      <c r="BP231" s="146"/>
      <c r="BQ231" s="146"/>
      <c r="BR231" s="146"/>
    </row>
    <row r="232" spans="2:70" ht="15.75" hidden="1">
      <c r="B232" s="146"/>
      <c r="C232" s="146"/>
      <c r="D232" s="146"/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6"/>
      <c r="AA232" s="146"/>
      <c r="AB232" s="146"/>
      <c r="AC232" s="146"/>
      <c r="AD232" s="146"/>
      <c r="AE232" s="146"/>
      <c r="AF232" s="146"/>
      <c r="AG232" s="146"/>
      <c r="AH232" s="146"/>
      <c r="AI232" s="146"/>
      <c r="AJ232" s="146"/>
      <c r="AK232" s="146"/>
      <c r="AL232" s="146"/>
      <c r="AM232" s="146"/>
      <c r="AN232" s="146"/>
      <c r="AO232" s="146"/>
      <c r="AP232" s="146"/>
      <c r="AQ232" s="146"/>
      <c r="AR232" s="146"/>
      <c r="AS232" s="146"/>
      <c r="AT232" s="146"/>
      <c r="AU232" s="146"/>
      <c r="AV232" s="146"/>
      <c r="AW232" s="146"/>
      <c r="AX232" s="146"/>
      <c r="AY232" s="146"/>
      <c r="AZ232" s="146"/>
      <c r="BA232" s="146"/>
      <c r="BB232" s="146"/>
      <c r="BC232" s="146"/>
      <c r="BD232" s="146"/>
      <c r="BE232" s="146"/>
      <c r="BF232" s="146"/>
      <c r="BG232" s="146"/>
      <c r="BH232" s="146"/>
      <c r="BI232" s="146"/>
      <c r="BJ232" s="146"/>
      <c r="BK232" s="146"/>
      <c r="BL232" s="146"/>
      <c r="BM232" s="146"/>
      <c r="BN232" s="146"/>
      <c r="BO232" s="146"/>
      <c r="BP232" s="146"/>
      <c r="BQ232" s="146"/>
      <c r="BR232" s="146"/>
    </row>
    <row r="233" spans="2:70" ht="15.75" hidden="1">
      <c r="B233" s="146"/>
      <c r="C233" s="146"/>
      <c r="D233" s="146"/>
      <c r="E233" s="146"/>
      <c r="F233" s="146"/>
      <c r="G233" s="146"/>
      <c r="H233" s="146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  <c r="AF233" s="146"/>
      <c r="AG233" s="146"/>
      <c r="AH233" s="146"/>
      <c r="AI233" s="146"/>
      <c r="AJ233" s="146"/>
      <c r="AK233" s="146"/>
      <c r="AL233" s="146"/>
      <c r="AM233" s="146"/>
      <c r="AN233" s="146"/>
      <c r="AO233" s="146"/>
      <c r="AP233" s="146"/>
      <c r="AQ233" s="146"/>
      <c r="AR233" s="146"/>
      <c r="AS233" s="146"/>
      <c r="AT233" s="146"/>
      <c r="AU233" s="146"/>
      <c r="AV233" s="146"/>
      <c r="AW233" s="146"/>
      <c r="AX233" s="146"/>
      <c r="AY233" s="146"/>
      <c r="AZ233" s="146"/>
      <c r="BA233" s="146"/>
      <c r="BB233" s="146"/>
      <c r="BC233" s="146"/>
      <c r="BD233" s="146"/>
      <c r="BE233" s="146"/>
      <c r="BF233" s="146"/>
      <c r="BG233" s="146"/>
      <c r="BH233" s="146"/>
      <c r="BI233" s="146"/>
      <c r="BJ233" s="146"/>
      <c r="BK233" s="146"/>
      <c r="BL233" s="146"/>
      <c r="BM233" s="146"/>
      <c r="BN233" s="146"/>
      <c r="BO233" s="146"/>
      <c r="BP233" s="146"/>
      <c r="BQ233" s="146"/>
      <c r="BR233" s="146"/>
    </row>
    <row r="234" spans="2:70" ht="15.75" hidden="1">
      <c r="B234" s="146"/>
      <c r="C234" s="146"/>
      <c r="D234" s="146"/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6"/>
      <c r="AA234" s="146"/>
      <c r="AB234" s="146"/>
      <c r="AC234" s="146"/>
      <c r="AD234" s="146"/>
      <c r="AE234" s="146"/>
      <c r="AF234" s="146"/>
      <c r="AG234" s="146"/>
      <c r="AH234" s="146"/>
      <c r="AI234" s="146"/>
      <c r="AJ234" s="146"/>
      <c r="AK234" s="146"/>
      <c r="AL234" s="146"/>
      <c r="AM234" s="146"/>
      <c r="AN234" s="146"/>
      <c r="AO234" s="146"/>
      <c r="AP234" s="146"/>
      <c r="AQ234" s="146"/>
      <c r="AR234" s="146"/>
      <c r="AS234" s="146"/>
      <c r="AT234" s="146"/>
      <c r="AU234" s="146"/>
      <c r="AV234" s="146"/>
      <c r="AW234" s="146"/>
      <c r="AX234" s="146"/>
      <c r="AY234" s="146"/>
      <c r="AZ234" s="146"/>
      <c r="BA234" s="146"/>
      <c r="BB234" s="146"/>
      <c r="BC234" s="146"/>
      <c r="BD234" s="146"/>
      <c r="BE234" s="146"/>
      <c r="BF234" s="146"/>
      <c r="BG234" s="146"/>
      <c r="BH234" s="146"/>
      <c r="BI234" s="146"/>
      <c r="BJ234" s="146"/>
      <c r="BK234" s="146"/>
      <c r="BL234" s="146"/>
      <c r="BM234" s="146"/>
      <c r="BN234" s="146"/>
      <c r="BO234" s="146"/>
      <c r="BP234" s="146"/>
      <c r="BQ234" s="146"/>
      <c r="BR234" s="146"/>
    </row>
    <row r="235" spans="2:70" ht="15.75" hidden="1">
      <c r="B235" s="146"/>
      <c r="C235" s="146"/>
      <c r="D235" s="146"/>
      <c r="E235" s="146"/>
      <c r="F235" s="146"/>
      <c r="G235" s="146"/>
      <c r="H235" s="146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6"/>
      <c r="AA235" s="146"/>
      <c r="AB235" s="146"/>
      <c r="AC235" s="146"/>
      <c r="AD235" s="146"/>
      <c r="AE235" s="146"/>
      <c r="AF235" s="146"/>
      <c r="AG235" s="146"/>
      <c r="AH235" s="146"/>
      <c r="AI235" s="146"/>
      <c r="AJ235" s="146"/>
      <c r="AK235" s="146"/>
      <c r="AL235" s="146"/>
      <c r="AM235" s="146"/>
      <c r="AN235" s="146"/>
      <c r="AO235" s="146"/>
      <c r="AP235" s="146"/>
      <c r="AQ235" s="146"/>
      <c r="AR235" s="146"/>
      <c r="AS235" s="146"/>
      <c r="AT235" s="146"/>
      <c r="AU235" s="146"/>
      <c r="AV235" s="146"/>
      <c r="AW235" s="146"/>
      <c r="AX235" s="146"/>
      <c r="AY235" s="146"/>
      <c r="AZ235" s="146"/>
      <c r="BA235" s="146"/>
      <c r="BB235" s="146"/>
      <c r="BC235" s="146"/>
      <c r="BD235" s="146"/>
      <c r="BE235" s="146"/>
      <c r="BF235" s="146"/>
      <c r="BG235" s="146"/>
      <c r="BH235" s="146"/>
      <c r="BI235" s="146"/>
      <c r="BJ235" s="146"/>
      <c r="BK235" s="146"/>
      <c r="BL235" s="146"/>
      <c r="BM235" s="146"/>
      <c r="BN235" s="146"/>
      <c r="BO235" s="146"/>
      <c r="BP235" s="146"/>
      <c r="BQ235" s="146"/>
      <c r="BR235" s="146"/>
    </row>
    <row r="236" spans="2:70" ht="15.75" hidden="1">
      <c r="B236" s="146"/>
      <c r="C236" s="146"/>
      <c r="D236" s="146"/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146"/>
      <c r="W236" s="146"/>
      <c r="X236" s="146"/>
      <c r="Y236" s="146"/>
      <c r="Z236" s="146"/>
      <c r="AA236" s="146"/>
      <c r="AB236" s="146"/>
      <c r="AC236" s="146"/>
      <c r="AD236" s="146"/>
      <c r="AE236" s="146"/>
      <c r="AF236" s="146"/>
      <c r="AG236" s="146"/>
      <c r="AH236" s="146"/>
      <c r="AI236" s="146"/>
      <c r="AJ236" s="146"/>
      <c r="AK236" s="146"/>
      <c r="AL236" s="146"/>
      <c r="AM236" s="146"/>
      <c r="AN236" s="146"/>
      <c r="AO236" s="146"/>
      <c r="AP236" s="146"/>
      <c r="AQ236" s="146"/>
      <c r="AR236" s="146"/>
      <c r="AS236" s="146"/>
      <c r="AT236" s="146"/>
      <c r="AU236" s="146"/>
      <c r="AV236" s="146"/>
      <c r="AW236" s="146"/>
      <c r="AX236" s="146"/>
      <c r="AY236" s="146"/>
      <c r="AZ236" s="146"/>
      <c r="BA236" s="146"/>
      <c r="BB236" s="146"/>
      <c r="BC236" s="146"/>
      <c r="BD236" s="146"/>
      <c r="BE236" s="146"/>
      <c r="BF236" s="146"/>
      <c r="BG236" s="146"/>
      <c r="BH236" s="146"/>
      <c r="BI236" s="146"/>
      <c r="BJ236" s="146"/>
      <c r="BK236" s="146"/>
      <c r="BL236" s="146"/>
      <c r="BM236" s="146"/>
      <c r="BN236" s="146"/>
      <c r="BO236" s="146"/>
      <c r="BP236" s="146"/>
      <c r="BQ236" s="146"/>
      <c r="BR236" s="146"/>
    </row>
    <row r="237" spans="2:70" ht="15.75" hidden="1">
      <c r="B237" s="146"/>
      <c r="C237" s="146"/>
      <c r="D237" s="146"/>
      <c r="E237" s="146"/>
      <c r="F237" s="146"/>
      <c r="G237" s="146"/>
      <c r="H237" s="146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6"/>
      <c r="AA237" s="146"/>
      <c r="AB237" s="146"/>
      <c r="AC237" s="146"/>
      <c r="AD237" s="146"/>
      <c r="AE237" s="146"/>
      <c r="AF237" s="146"/>
      <c r="AG237" s="146"/>
      <c r="AH237" s="146"/>
      <c r="AI237" s="146"/>
      <c r="AJ237" s="146"/>
      <c r="AK237" s="146"/>
      <c r="AL237" s="146"/>
      <c r="AM237" s="146"/>
      <c r="AN237" s="146"/>
      <c r="AO237" s="146"/>
      <c r="AP237" s="146"/>
      <c r="AQ237" s="146"/>
      <c r="AR237" s="146"/>
      <c r="AS237" s="146"/>
      <c r="AT237" s="146"/>
      <c r="AU237" s="146"/>
      <c r="AV237" s="146"/>
      <c r="AW237" s="146"/>
      <c r="AX237" s="146"/>
      <c r="AY237" s="146"/>
      <c r="AZ237" s="146"/>
      <c r="BA237" s="146"/>
      <c r="BB237" s="146"/>
      <c r="BC237" s="146"/>
      <c r="BD237" s="146"/>
      <c r="BE237" s="146"/>
      <c r="BF237" s="146"/>
      <c r="BG237" s="146"/>
      <c r="BH237" s="146"/>
      <c r="BI237" s="146"/>
      <c r="BJ237" s="146"/>
      <c r="BK237" s="146"/>
      <c r="BL237" s="146"/>
      <c r="BM237" s="146"/>
      <c r="BN237" s="146"/>
      <c r="BO237" s="146"/>
      <c r="BP237" s="146"/>
      <c r="BQ237" s="146"/>
      <c r="BR237" s="146"/>
    </row>
    <row r="238" spans="2:70" ht="15.75" hidden="1">
      <c r="B238" s="146"/>
      <c r="C238" s="146"/>
      <c r="D238" s="146"/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6"/>
      <c r="AA238" s="146"/>
      <c r="AB238" s="146"/>
      <c r="AC238" s="146"/>
      <c r="AD238" s="146"/>
      <c r="AE238" s="146"/>
      <c r="AF238" s="146"/>
      <c r="AG238" s="146"/>
      <c r="AH238" s="146"/>
      <c r="AI238" s="146"/>
      <c r="AJ238" s="146"/>
      <c r="AK238" s="146"/>
      <c r="AL238" s="146"/>
      <c r="AM238" s="146"/>
      <c r="AN238" s="146"/>
      <c r="AO238" s="146"/>
      <c r="AP238" s="146"/>
      <c r="AQ238" s="146"/>
      <c r="AR238" s="146"/>
      <c r="AS238" s="146"/>
      <c r="AT238" s="146"/>
      <c r="AU238" s="146"/>
      <c r="AV238" s="146"/>
      <c r="AW238" s="146"/>
      <c r="AX238" s="146"/>
      <c r="AY238" s="146"/>
      <c r="AZ238" s="146"/>
      <c r="BA238" s="146"/>
      <c r="BB238" s="146"/>
      <c r="BC238" s="146"/>
      <c r="BD238" s="146"/>
      <c r="BE238" s="146"/>
      <c r="BF238" s="146"/>
      <c r="BG238" s="146"/>
      <c r="BH238" s="146"/>
      <c r="BI238" s="146"/>
      <c r="BJ238" s="146"/>
      <c r="BK238" s="146"/>
      <c r="BL238" s="146"/>
      <c r="BM238" s="146"/>
      <c r="BN238" s="146"/>
      <c r="BO238" s="146"/>
      <c r="BP238" s="146"/>
      <c r="BQ238" s="146"/>
      <c r="BR238" s="146"/>
    </row>
    <row r="239" spans="2:70" ht="15.75" hidden="1">
      <c r="B239" s="146"/>
      <c r="C239" s="146"/>
      <c r="D239" s="146"/>
      <c r="E239" s="146"/>
      <c r="F239" s="146"/>
      <c r="G239" s="146"/>
      <c r="H239" s="146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6"/>
      <c r="AA239" s="146"/>
      <c r="AB239" s="146"/>
      <c r="AC239" s="146"/>
      <c r="AD239" s="146"/>
      <c r="AE239" s="146"/>
      <c r="AF239" s="146"/>
      <c r="AG239" s="146"/>
      <c r="AH239" s="146"/>
      <c r="AI239" s="146"/>
      <c r="AJ239" s="146"/>
      <c r="AK239" s="146"/>
      <c r="AL239" s="146"/>
      <c r="AM239" s="146"/>
      <c r="AN239" s="146"/>
      <c r="AO239" s="146"/>
      <c r="AP239" s="146"/>
      <c r="AQ239" s="146"/>
      <c r="AR239" s="146"/>
      <c r="AS239" s="146"/>
      <c r="AT239" s="146"/>
      <c r="AU239" s="146"/>
      <c r="AV239" s="146"/>
      <c r="AW239" s="146"/>
      <c r="AX239" s="146"/>
      <c r="AY239" s="146"/>
      <c r="AZ239" s="146"/>
      <c r="BA239" s="146"/>
      <c r="BB239" s="146"/>
      <c r="BC239" s="146"/>
      <c r="BD239" s="146"/>
      <c r="BE239" s="146"/>
      <c r="BF239" s="146"/>
      <c r="BG239" s="146"/>
      <c r="BH239" s="146"/>
      <c r="BI239" s="146"/>
      <c r="BJ239" s="146"/>
      <c r="BK239" s="146"/>
      <c r="BL239" s="146"/>
      <c r="BM239" s="146"/>
      <c r="BN239" s="146"/>
      <c r="BO239" s="146"/>
      <c r="BP239" s="146"/>
      <c r="BQ239" s="146"/>
      <c r="BR239" s="146"/>
    </row>
    <row r="240" spans="2:70" ht="15.75" hidden="1">
      <c r="B240" s="146"/>
      <c r="C240" s="146"/>
      <c r="D240" s="146"/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6"/>
      <c r="AA240" s="146"/>
      <c r="AB240" s="146"/>
      <c r="AC240" s="146"/>
      <c r="AD240" s="146"/>
      <c r="AE240" s="146"/>
      <c r="AF240" s="146"/>
      <c r="AG240" s="146"/>
      <c r="AH240" s="146"/>
      <c r="AI240" s="146"/>
      <c r="AJ240" s="146"/>
      <c r="AK240" s="146"/>
      <c r="AL240" s="146"/>
      <c r="AM240" s="146"/>
      <c r="AN240" s="146"/>
      <c r="AO240" s="146"/>
      <c r="AP240" s="146"/>
      <c r="AQ240" s="146"/>
      <c r="AR240" s="146"/>
      <c r="AS240" s="146"/>
      <c r="AT240" s="146"/>
      <c r="AU240" s="146"/>
      <c r="AV240" s="146"/>
      <c r="AW240" s="146"/>
      <c r="AX240" s="146"/>
      <c r="AY240" s="146"/>
      <c r="AZ240" s="146"/>
      <c r="BA240" s="146"/>
      <c r="BB240" s="146"/>
      <c r="BC240" s="146"/>
      <c r="BD240" s="146"/>
      <c r="BE240" s="146"/>
      <c r="BF240" s="146"/>
      <c r="BG240" s="146"/>
      <c r="BH240" s="146"/>
      <c r="BI240" s="146"/>
      <c r="BJ240" s="146"/>
      <c r="BK240" s="146"/>
      <c r="BL240" s="146"/>
      <c r="BM240" s="146"/>
      <c r="BN240" s="146"/>
      <c r="BO240" s="146"/>
      <c r="BP240" s="146"/>
      <c r="BQ240" s="146"/>
      <c r="BR240" s="146"/>
    </row>
    <row r="241" spans="2:70" ht="15.75" hidden="1">
      <c r="B241" s="146"/>
      <c r="C241" s="146"/>
      <c r="D241" s="146"/>
      <c r="E241" s="146"/>
      <c r="F241" s="146"/>
      <c r="G241" s="146"/>
      <c r="H241" s="146"/>
      <c r="I241" s="146"/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  <c r="T241" s="146"/>
      <c r="U241" s="146"/>
      <c r="V241" s="146"/>
      <c r="W241" s="146"/>
      <c r="X241" s="146"/>
      <c r="Y241" s="146"/>
      <c r="Z241" s="146"/>
      <c r="AA241" s="146"/>
      <c r="AB241" s="146"/>
      <c r="AC241" s="146"/>
      <c r="AD241" s="146"/>
      <c r="AE241" s="146"/>
      <c r="AF241" s="146"/>
      <c r="AG241" s="146"/>
      <c r="AH241" s="146"/>
      <c r="AI241" s="146"/>
      <c r="AJ241" s="146"/>
      <c r="AK241" s="146"/>
      <c r="AL241" s="146"/>
      <c r="AM241" s="146"/>
      <c r="AN241" s="146"/>
      <c r="AO241" s="146"/>
      <c r="AP241" s="146"/>
      <c r="AQ241" s="146"/>
      <c r="AR241" s="146"/>
      <c r="AS241" s="146"/>
      <c r="AT241" s="146"/>
      <c r="AU241" s="146"/>
      <c r="AV241" s="146"/>
      <c r="AW241" s="146"/>
      <c r="AX241" s="146"/>
      <c r="AY241" s="146"/>
      <c r="AZ241" s="146"/>
      <c r="BA241" s="146"/>
      <c r="BB241" s="146"/>
      <c r="BC241" s="146"/>
      <c r="BD241" s="146"/>
      <c r="BE241" s="146"/>
      <c r="BF241" s="146"/>
      <c r="BG241" s="146"/>
      <c r="BH241" s="146"/>
      <c r="BI241" s="146"/>
      <c r="BJ241" s="146"/>
      <c r="BK241" s="146"/>
      <c r="BL241" s="146"/>
      <c r="BM241" s="146"/>
      <c r="BN241" s="146"/>
      <c r="BO241" s="146"/>
      <c r="BP241" s="146"/>
      <c r="BQ241" s="146"/>
      <c r="BR241" s="146"/>
    </row>
    <row r="242" spans="2:70" ht="15.75" hidden="1">
      <c r="B242" s="146"/>
      <c r="C242" s="146"/>
      <c r="D242" s="146"/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6"/>
      <c r="AA242" s="146"/>
      <c r="AB242" s="146"/>
      <c r="AC242" s="146"/>
      <c r="AD242" s="146"/>
      <c r="AE242" s="146"/>
      <c r="AF242" s="146"/>
      <c r="AG242" s="146"/>
      <c r="AH242" s="146"/>
      <c r="AI242" s="146"/>
      <c r="AJ242" s="146"/>
      <c r="AK242" s="146"/>
      <c r="AL242" s="146"/>
      <c r="AM242" s="146"/>
      <c r="AN242" s="146"/>
      <c r="AO242" s="146"/>
      <c r="AP242" s="146"/>
      <c r="AQ242" s="146"/>
      <c r="AR242" s="146"/>
      <c r="AS242" s="146"/>
      <c r="AT242" s="146"/>
      <c r="AU242" s="146"/>
      <c r="AV242" s="146"/>
      <c r="AW242" s="146"/>
      <c r="AX242" s="146"/>
      <c r="AY242" s="146"/>
      <c r="AZ242" s="146"/>
      <c r="BA242" s="146"/>
      <c r="BB242" s="146"/>
      <c r="BC242" s="146"/>
      <c r="BD242" s="146"/>
      <c r="BE242" s="146"/>
      <c r="BF242" s="146"/>
      <c r="BG242" s="146"/>
      <c r="BH242" s="146"/>
      <c r="BI242" s="146"/>
      <c r="BJ242" s="146"/>
      <c r="BK242" s="146"/>
      <c r="BL242" s="146"/>
      <c r="BM242" s="146"/>
      <c r="BN242" s="146"/>
      <c r="BO242" s="146"/>
      <c r="BP242" s="146"/>
      <c r="BQ242" s="146"/>
      <c r="BR242" s="146"/>
    </row>
    <row r="243" spans="2:70" ht="15.75" hidden="1">
      <c r="B243" s="146"/>
      <c r="C243" s="146"/>
      <c r="D243" s="146"/>
      <c r="E243" s="146"/>
      <c r="F243" s="146"/>
      <c r="G243" s="146"/>
      <c r="H243" s="146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6"/>
      <c r="AA243" s="146"/>
      <c r="AB243" s="146"/>
      <c r="AC243" s="146"/>
      <c r="AD243" s="146"/>
      <c r="AE243" s="146"/>
      <c r="AF243" s="146"/>
      <c r="AG243" s="146"/>
      <c r="AH243" s="146"/>
      <c r="AI243" s="146"/>
      <c r="AJ243" s="146"/>
      <c r="AK243" s="146"/>
      <c r="AL243" s="146"/>
      <c r="AM243" s="146"/>
      <c r="AN243" s="146"/>
      <c r="AO243" s="146"/>
      <c r="AP243" s="146"/>
      <c r="AQ243" s="146"/>
      <c r="AR243" s="146"/>
      <c r="AS243" s="146"/>
      <c r="AT243" s="146"/>
      <c r="AU243" s="146"/>
      <c r="AV243" s="146"/>
      <c r="AW243" s="146"/>
      <c r="AX243" s="146"/>
      <c r="AY243" s="146"/>
      <c r="AZ243" s="146"/>
      <c r="BA243" s="146"/>
      <c r="BB243" s="146"/>
      <c r="BC243" s="146"/>
      <c r="BD243" s="146"/>
      <c r="BE243" s="146"/>
      <c r="BF243" s="146"/>
      <c r="BG243" s="146"/>
      <c r="BH243" s="146"/>
      <c r="BI243" s="146"/>
      <c r="BJ243" s="146"/>
      <c r="BK243" s="146"/>
      <c r="BL243" s="146"/>
      <c r="BM243" s="146"/>
      <c r="BN243" s="146"/>
      <c r="BO243" s="146"/>
      <c r="BP243" s="146"/>
      <c r="BQ243" s="146"/>
      <c r="BR243" s="146"/>
    </row>
    <row r="244" spans="2:70" ht="15.75" hidden="1">
      <c r="B244" s="146"/>
      <c r="C244" s="146"/>
      <c r="D244" s="146"/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6"/>
      <c r="AA244" s="146"/>
      <c r="AB244" s="146"/>
      <c r="AC244" s="146"/>
      <c r="AD244" s="146"/>
      <c r="AE244" s="146"/>
      <c r="AF244" s="146"/>
      <c r="AG244" s="146"/>
      <c r="AH244" s="146"/>
      <c r="AI244" s="146"/>
      <c r="AJ244" s="146"/>
      <c r="AK244" s="146"/>
      <c r="AL244" s="146"/>
      <c r="AM244" s="146"/>
      <c r="AN244" s="146"/>
      <c r="AO244" s="146"/>
      <c r="AP244" s="146"/>
      <c r="AQ244" s="146"/>
      <c r="AR244" s="146"/>
      <c r="AS244" s="146"/>
      <c r="AT244" s="146"/>
      <c r="AU244" s="146"/>
      <c r="AV244" s="146"/>
      <c r="AW244" s="146"/>
      <c r="AX244" s="146"/>
      <c r="AY244" s="146"/>
      <c r="AZ244" s="146"/>
      <c r="BA244" s="146"/>
      <c r="BB244" s="146"/>
      <c r="BC244" s="146"/>
      <c r="BD244" s="146"/>
      <c r="BE244" s="146"/>
      <c r="BF244" s="146"/>
      <c r="BG244" s="146"/>
      <c r="BH244" s="146"/>
      <c r="BI244" s="146"/>
      <c r="BJ244" s="146"/>
      <c r="BK244" s="146"/>
      <c r="BL244" s="146"/>
      <c r="BM244" s="146"/>
      <c r="BN244" s="146"/>
      <c r="BO244" s="146"/>
      <c r="BP244" s="146"/>
      <c r="BQ244" s="146"/>
      <c r="BR244" s="146"/>
    </row>
    <row r="245" spans="2:70" ht="15.75" hidden="1">
      <c r="B245" s="146"/>
      <c r="C245" s="146"/>
      <c r="D245" s="146"/>
      <c r="E245" s="146"/>
      <c r="F245" s="146"/>
      <c r="G245" s="146"/>
      <c r="H245" s="146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6"/>
      <c r="AA245" s="146"/>
      <c r="AB245" s="146"/>
      <c r="AC245" s="146"/>
      <c r="AD245" s="146"/>
      <c r="AE245" s="146"/>
      <c r="AF245" s="146"/>
      <c r="AG245" s="146"/>
      <c r="AH245" s="146"/>
      <c r="AI245" s="146"/>
      <c r="AJ245" s="146"/>
      <c r="AK245" s="146"/>
      <c r="AL245" s="146"/>
      <c r="AM245" s="146"/>
      <c r="AN245" s="146"/>
      <c r="AO245" s="146"/>
      <c r="AP245" s="146"/>
      <c r="AQ245" s="146"/>
      <c r="AR245" s="146"/>
      <c r="AS245" s="146"/>
      <c r="AT245" s="146"/>
      <c r="AU245" s="146"/>
      <c r="AV245" s="146"/>
      <c r="AW245" s="146"/>
      <c r="AX245" s="146"/>
      <c r="AY245" s="146"/>
      <c r="AZ245" s="146"/>
      <c r="BA245" s="146"/>
      <c r="BB245" s="146"/>
      <c r="BC245" s="146"/>
      <c r="BD245" s="146"/>
      <c r="BE245" s="146"/>
      <c r="BF245" s="146"/>
      <c r="BG245" s="146"/>
      <c r="BH245" s="146"/>
      <c r="BI245" s="146"/>
      <c r="BJ245" s="146"/>
      <c r="BK245" s="146"/>
      <c r="BL245" s="146"/>
      <c r="BM245" s="146"/>
      <c r="BN245" s="146"/>
      <c r="BO245" s="146"/>
      <c r="BP245" s="146"/>
      <c r="BQ245" s="146"/>
      <c r="BR245" s="146"/>
    </row>
    <row r="246" spans="2:70" ht="15.75" hidden="1">
      <c r="B246" s="146"/>
      <c r="C246" s="146"/>
      <c r="D246" s="146"/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6"/>
      <c r="AA246" s="146"/>
      <c r="AB246" s="146"/>
      <c r="AC246" s="146"/>
      <c r="AD246" s="146"/>
      <c r="AE246" s="146"/>
      <c r="AF246" s="146"/>
      <c r="AG246" s="146"/>
      <c r="AH246" s="146"/>
      <c r="AI246" s="146"/>
      <c r="AJ246" s="146"/>
      <c r="AK246" s="146"/>
      <c r="AL246" s="146"/>
      <c r="AM246" s="146"/>
      <c r="AN246" s="146"/>
      <c r="AO246" s="146"/>
      <c r="AP246" s="146"/>
      <c r="AQ246" s="146"/>
      <c r="AR246" s="146"/>
      <c r="AS246" s="146"/>
      <c r="AT246" s="146"/>
      <c r="AU246" s="146"/>
      <c r="AV246" s="146"/>
      <c r="AW246" s="146"/>
      <c r="AX246" s="146"/>
      <c r="AY246" s="146"/>
      <c r="AZ246" s="146"/>
      <c r="BA246" s="146"/>
      <c r="BB246" s="146"/>
      <c r="BC246" s="146"/>
      <c r="BD246" s="146"/>
      <c r="BE246" s="146"/>
      <c r="BF246" s="146"/>
      <c r="BG246" s="146"/>
      <c r="BH246" s="146"/>
      <c r="BI246" s="146"/>
      <c r="BJ246" s="146"/>
      <c r="BK246" s="146"/>
      <c r="BL246" s="146"/>
      <c r="BM246" s="146"/>
      <c r="BN246" s="146"/>
      <c r="BO246" s="146"/>
      <c r="BP246" s="146"/>
      <c r="BQ246" s="146"/>
      <c r="BR246" s="146"/>
    </row>
    <row r="247" spans="2:70" ht="15.75" hidden="1">
      <c r="B247" s="146"/>
      <c r="C247" s="146"/>
      <c r="D247" s="146"/>
      <c r="E247" s="146"/>
      <c r="F247" s="146"/>
      <c r="G247" s="146"/>
      <c r="H247" s="146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6"/>
      <c r="AA247" s="146"/>
      <c r="AB247" s="146"/>
      <c r="AC247" s="146"/>
      <c r="AD247" s="146"/>
      <c r="AE247" s="146"/>
      <c r="AF247" s="146"/>
      <c r="AG247" s="146"/>
      <c r="AH247" s="146"/>
      <c r="AI247" s="146"/>
      <c r="AJ247" s="146"/>
      <c r="AK247" s="146"/>
      <c r="AL247" s="146"/>
      <c r="AM247" s="146"/>
      <c r="AN247" s="146"/>
      <c r="AO247" s="146"/>
      <c r="AP247" s="146"/>
      <c r="AQ247" s="146"/>
      <c r="AR247" s="146"/>
      <c r="AS247" s="146"/>
      <c r="AT247" s="146"/>
      <c r="AU247" s="146"/>
      <c r="AV247" s="146"/>
      <c r="AW247" s="146"/>
      <c r="AX247" s="146"/>
      <c r="AY247" s="146"/>
      <c r="AZ247" s="146"/>
      <c r="BA247" s="146"/>
      <c r="BB247" s="146"/>
      <c r="BC247" s="146"/>
      <c r="BD247" s="146"/>
      <c r="BE247" s="146"/>
      <c r="BF247" s="146"/>
      <c r="BG247" s="146"/>
      <c r="BH247" s="146"/>
      <c r="BI247" s="146"/>
      <c r="BJ247" s="146"/>
      <c r="BK247" s="146"/>
      <c r="BL247" s="146"/>
      <c r="BM247" s="146"/>
      <c r="BN247" s="146"/>
      <c r="BO247" s="146"/>
      <c r="BP247" s="146"/>
      <c r="BQ247" s="146"/>
      <c r="BR247" s="146"/>
    </row>
    <row r="248" spans="2:70" ht="15.75" hidden="1">
      <c r="B248" s="146"/>
      <c r="C248" s="146"/>
      <c r="D248" s="146"/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6"/>
      <c r="AA248" s="146"/>
      <c r="AB248" s="146"/>
      <c r="AC248" s="146"/>
      <c r="AD248" s="146"/>
      <c r="AE248" s="146"/>
      <c r="AF248" s="146"/>
      <c r="AG248" s="146"/>
      <c r="AH248" s="146"/>
      <c r="AI248" s="146"/>
      <c r="AJ248" s="146"/>
      <c r="AK248" s="146"/>
      <c r="AL248" s="146"/>
      <c r="AM248" s="146"/>
      <c r="AN248" s="146"/>
      <c r="AO248" s="146"/>
      <c r="AP248" s="146"/>
      <c r="AQ248" s="146"/>
      <c r="AR248" s="146"/>
      <c r="AS248" s="146"/>
      <c r="AT248" s="146"/>
      <c r="AU248" s="146"/>
      <c r="AV248" s="146"/>
      <c r="AW248" s="146"/>
      <c r="AX248" s="146"/>
      <c r="AY248" s="146"/>
      <c r="AZ248" s="146"/>
      <c r="BA248" s="146"/>
      <c r="BB248" s="146"/>
      <c r="BC248" s="146"/>
      <c r="BD248" s="146"/>
      <c r="BE248" s="146"/>
      <c r="BF248" s="146"/>
      <c r="BG248" s="146"/>
      <c r="BH248" s="146"/>
      <c r="BI248" s="146"/>
      <c r="BJ248" s="146"/>
      <c r="BK248" s="146"/>
      <c r="BL248" s="146"/>
      <c r="BM248" s="146"/>
      <c r="BN248" s="146"/>
      <c r="BO248" s="146"/>
      <c r="BP248" s="146"/>
      <c r="BQ248" s="146"/>
      <c r="BR248" s="146"/>
    </row>
    <row r="249" spans="2:70" ht="15.75" hidden="1">
      <c r="B249" s="146"/>
      <c r="C249" s="146"/>
      <c r="D249" s="146"/>
      <c r="E249" s="146"/>
      <c r="F249" s="146"/>
      <c r="G249" s="146"/>
      <c r="H249" s="146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  <c r="AF249" s="146"/>
      <c r="AG249" s="146"/>
      <c r="AH249" s="146"/>
      <c r="AI249" s="146"/>
      <c r="AJ249" s="146"/>
      <c r="AK249" s="146"/>
      <c r="AL249" s="146"/>
      <c r="AM249" s="146"/>
      <c r="AN249" s="146"/>
      <c r="AO249" s="146"/>
      <c r="AP249" s="146"/>
      <c r="AQ249" s="146"/>
      <c r="AR249" s="146"/>
      <c r="AS249" s="146"/>
      <c r="AT249" s="146"/>
      <c r="AU249" s="146"/>
      <c r="AV249" s="146"/>
      <c r="AW249" s="146"/>
      <c r="AX249" s="146"/>
      <c r="AY249" s="146"/>
      <c r="AZ249" s="146"/>
      <c r="BA249" s="146"/>
      <c r="BB249" s="146"/>
      <c r="BC249" s="146"/>
      <c r="BD249" s="146"/>
      <c r="BE249" s="146"/>
      <c r="BF249" s="146"/>
      <c r="BG249" s="146"/>
      <c r="BH249" s="146"/>
      <c r="BI249" s="146"/>
      <c r="BJ249" s="146"/>
      <c r="BK249" s="146"/>
      <c r="BL249" s="146"/>
      <c r="BM249" s="146"/>
      <c r="BN249" s="146"/>
      <c r="BO249" s="146"/>
      <c r="BP249" s="146"/>
      <c r="BQ249" s="146"/>
      <c r="BR249" s="146"/>
    </row>
    <row r="250" spans="2:70" ht="15.75" hidden="1">
      <c r="B250" s="146"/>
      <c r="C250" s="146"/>
      <c r="D250" s="146"/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6"/>
      <c r="AA250" s="146"/>
      <c r="AB250" s="146"/>
      <c r="AC250" s="146"/>
      <c r="AD250" s="146"/>
      <c r="AE250" s="146"/>
      <c r="AF250" s="146"/>
      <c r="AG250" s="146"/>
      <c r="AH250" s="146"/>
      <c r="AI250" s="146"/>
      <c r="AJ250" s="146"/>
      <c r="AK250" s="146"/>
      <c r="AL250" s="146"/>
      <c r="AM250" s="146"/>
      <c r="AN250" s="146"/>
      <c r="AO250" s="146"/>
      <c r="AP250" s="146"/>
      <c r="AQ250" s="146"/>
      <c r="AR250" s="146"/>
      <c r="AS250" s="146"/>
      <c r="AT250" s="146"/>
      <c r="AU250" s="146"/>
      <c r="AV250" s="146"/>
      <c r="AW250" s="146"/>
      <c r="AX250" s="146"/>
      <c r="AY250" s="146"/>
      <c r="AZ250" s="146"/>
      <c r="BA250" s="146"/>
      <c r="BB250" s="146"/>
      <c r="BC250" s="146"/>
      <c r="BD250" s="146"/>
      <c r="BE250" s="146"/>
      <c r="BF250" s="146"/>
      <c r="BG250" s="146"/>
      <c r="BH250" s="146"/>
      <c r="BI250" s="146"/>
      <c r="BJ250" s="146"/>
      <c r="BK250" s="146"/>
      <c r="BL250" s="146"/>
      <c r="BM250" s="146"/>
      <c r="BN250" s="146"/>
      <c r="BO250" s="146"/>
      <c r="BP250" s="146"/>
      <c r="BQ250" s="146"/>
      <c r="BR250" s="146"/>
    </row>
    <row r="251" spans="2:70" ht="15.75" hidden="1">
      <c r="B251" s="146"/>
      <c r="C251" s="146"/>
      <c r="D251" s="146"/>
      <c r="E251" s="146"/>
      <c r="F251" s="146"/>
      <c r="G251" s="146"/>
      <c r="H251" s="146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6"/>
      <c r="AA251" s="146"/>
      <c r="AB251" s="146"/>
      <c r="AC251" s="146"/>
      <c r="AD251" s="146"/>
      <c r="AE251" s="146"/>
      <c r="AF251" s="146"/>
      <c r="AG251" s="146"/>
      <c r="AH251" s="146"/>
      <c r="AI251" s="146"/>
      <c r="AJ251" s="146"/>
      <c r="AK251" s="146"/>
      <c r="AL251" s="146"/>
      <c r="AM251" s="146"/>
      <c r="AN251" s="146"/>
      <c r="AO251" s="146"/>
      <c r="AP251" s="146"/>
      <c r="AQ251" s="146"/>
      <c r="AR251" s="146"/>
      <c r="AS251" s="146"/>
      <c r="AT251" s="146"/>
      <c r="AU251" s="146"/>
      <c r="AV251" s="146"/>
      <c r="AW251" s="146"/>
      <c r="AX251" s="146"/>
      <c r="AY251" s="146"/>
      <c r="AZ251" s="146"/>
      <c r="BA251" s="146"/>
      <c r="BB251" s="146"/>
      <c r="BC251" s="146"/>
      <c r="BD251" s="146"/>
      <c r="BE251" s="146"/>
      <c r="BF251" s="146"/>
      <c r="BG251" s="146"/>
      <c r="BH251" s="146"/>
      <c r="BI251" s="146"/>
      <c r="BJ251" s="146"/>
      <c r="BK251" s="146"/>
      <c r="BL251" s="146"/>
      <c r="BM251" s="146"/>
      <c r="BN251" s="146"/>
      <c r="BO251" s="146"/>
      <c r="BP251" s="146"/>
      <c r="BQ251" s="146"/>
      <c r="BR251" s="146"/>
    </row>
    <row r="252" spans="2:70" ht="15.75" hidden="1">
      <c r="B252" s="146"/>
      <c r="C252" s="146"/>
      <c r="D252" s="146"/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  <c r="AF252" s="146"/>
      <c r="AG252" s="146"/>
      <c r="AH252" s="146"/>
      <c r="AI252" s="146"/>
      <c r="AJ252" s="146"/>
      <c r="AK252" s="146"/>
      <c r="AL252" s="146"/>
      <c r="AM252" s="146"/>
      <c r="AN252" s="146"/>
      <c r="AO252" s="146"/>
      <c r="AP252" s="146"/>
      <c r="AQ252" s="146"/>
      <c r="AR252" s="146"/>
      <c r="AS252" s="146"/>
      <c r="AT252" s="146"/>
      <c r="AU252" s="146"/>
      <c r="AV252" s="146"/>
      <c r="AW252" s="146"/>
      <c r="AX252" s="146"/>
      <c r="AY252" s="146"/>
      <c r="AZ252" s="146"/>
      <c r="BA252" s="146"/>
      <c r="BB252" s="146"/>
      <c r="BC252" s="146"/>
      <c r="BD252" s="146"/>
      <c r="BE252" s="146"/>
      <c r="BF252" s="146"/>
      <c r="BG252" s="146"/>
      <c r="BH252" s="146"/>
      <c r="BI252" s="146"/>
      <c r="BJ252" s="146"/>
      <c r="BK252" s="146"/>
      <c r="BL252" s="146"/>
      <c r="BM252" s="146"/>
      <c r="BN252" s="146"/>
      <c r="BO252" s="146"/>
      <c r="BP252" s="146"/>
      <c r="BQ252" s="146"/>
      <c r="BR252" s="146"/>
    </row>
    <row r="253" spans="2:70" ht="15.75" hidden="1">
      <c r="B253" s="146"/>
      <c r="C253" s="146"/>
      <c r="D253" s="146"/>
      <c r="E253" s="146"/>
      <c r="F253" s="146"/>
      <c r="G253" s="146"/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  <c r="AF253" s="146"/>
      <c r="AG253" s="146"/>
      <c r="AH253" s="146"/>
      <c r="AI253" s="146"/>
      <c r="AJ253" s="146"/>
      <c r="AK253" s="146"/>
      <c r="AL253" s="146"/>
      <c r="AM253" s="146"/>
      <c r="AN253" s="146"/>
      <c r="AO253" s="146"/>
      <c r="AP253" s="146"/>
      <c r="AQ253" s="146"/>
      <c r="AR253" s="146"/>
      <c r="AS253" s="146"/>
      <c r="AT253" s="146"/>
      <c r="AU253" s="146"/>
      <c r="AV253" s="146"/>
      <c r="AW253" s="146"/>
      <c r="AX253" s="146"/>
      <c r="AY253" s="146"/>
      <c r="AZ253" s="146"/>
      <c r="BA253" s="146"/>
      <c r="BB253" s="146"/>
      <c r="BC253" s="146"/>
      <c r="BD253" s="146"/>
      <c r="BE253" s="146"/>
      <c r="BF253" s="146"/>
      <c r="BG253" s="146"/>
      <c r="BH253" s="146"/>
      <c r="BI253" s="146"/>
      <c r="BJ253" s="146"/>
      <c r="BK253" s="146"/>
      <c r="BL253" s="146"/>
      <c r="BM253" s="146"/>
      <c r="BN253" s="146"/>
      <c r="BO253" s="146"/>
      <c r="BP253" s="146"/>
      <c r="BQ253" s="146"/>
      <c r="BR253" s="146"/>
    </row>
    <row r="254" spans="2:70" ht="15.75" hidden="1">
      <c r="B254" s="146"/>
      <c r="C254" s="146"/>
      <c r="D254" s="146"/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  <c r="AD254" s="146"/>
      <c r="AE254" s="146"/>
      <c r="AF254" s="146"/>
      <c r="AG254" s="146"/>
      <c r="AH254" s="146"/>
      <c r="AI254" s="146"/>
      <c r="AJ254" s="146"/>
      <c r="AK254" s="146"/>
      <c r="AL254" s="146"/>
      <c r="AM254" s="146"/>
      <c r="AN254" s="146"/>
      <c r="AO254" s="146"/>
      <c r="AP254" s="146"/>
      <c r="AQ254" s="146"/>
      <c r="AR254" s="146"/>
      <c r="AS254" s="146"/>
      <c r="AT254" s="146"/>
      <c r="AU254" s="146"/>
      <c r="AV254" s="146"/>
      <c r="AW254" s="146"/>
      <c r="AX254" s="146"/>
      <c r="AY254" s="146"/>
      <c r="AZ254" s="146"/>
      <c r="BA254" s="146"/>
      <c r="BB254" s="146"/>
      <c r="BC254" s="146"/>
      <c r="BD254" s="146"/>
      <c r="BE254" s="146"/>
      <c r="BF254" s="146"/>
      <c r="BG254" s="146"/>
      <c r="BH254" s="146"/>
      <c r="BI254" s="146"/>
      <c r="BJ254" s="146"/>
      <c r="BK254" s="146"/>
      <c r="BL254" s="146"/>
      <c r="BM254" s="146"/>
      <c r="BN254" s="146"/>
      <c r="BO254" s="146"/>
      <c r="BP254" s="146"/>
      <c r="BQ254" s="146"/>
      <c r="BR254" s="146"/>
    </row>
    <row r="255" spans="2:70" ht="15.75" hidden="1">
      <c r="B255" s="146"/>
      <c r="C255" s="146"/>
      <c r="D255" s="146"/>
      <c r="E255" s="146"/>
      <c r="F255" s="146"/>
      <c r="G255" s="146"/>
      <c r="H255" s="110"/>
      <c r="I255" s="123" t="s">
        <v>74</v>
      </c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  <c r="AD255" s="146"/>
      <c r="AE255" s="146"/>
      <c r="AF255" s="146"/>
      <c r="AG255" s="146"/>
      <c r="AH255" s="146"/>
      <c r="AI255" s="146"/>
      <c r="AJ255" s="146"/>
      <c r="AK255" s="146"/>
      <c r="AL255" s="146"/>
      <c r="AM255" s="146"/>
      <c r="AN255" s="146"/>
      <c r="AO255" s="146"/>
      <c r="AP255" s="146"/>
      <c r="AQ255" s="146"/>
      <c r="AR255" s="146"/>
      <c r="AS255" s="146"/>
      <c r="AT255" s="146"/>
      <c r="AU255" s="146"/>
      <c r="AV255" s="146"/>
      <c r="AW255" s="146"/>
      <c r="AX255" s="146"/>
      <c r="AY255" s="146"/>
      <c r="AZ255" s="146"/>
      <c r="BA255" s="146"/>
      <c r="BB255" s="146"/>
      <c r="BC255" s="146"/>
      <c r="BD255" s="146"/>
      <c r="BE255" s="146"/>
      <c r="BF255" s="146"/>
      <c r="BG255" s="146"/>
      <c r="BH255" s="146"/>
      <c r="BI255" s="146"/>
      <c r="BJ255" s="146"/>
      <c r="BK255" s="146"/>
      <c r="BL255" s="146"/>
      <c r="BM255" s="146"/>
      <c r="BN255" s="146"/>
      <c r="BO255" s="146"/>
      <c r="BP255" s="146"/>
      <c r="BQ255" s="146"/>
      <c r="BR255" s="146"/>
    </row>
    <row r="256" spans="2:70" ht="15.75" hidden="1">
      <c r="B256" s="146"/>
      <c r="C256" s="146"/>
      <c r="D256" s="146"/>
      <c r="E256" s="146"/>
      <c r="F256" s="146"/>
      <c r="G256" s="146"/>
      <c r="H256" s="110">
        <v>2</v>
      </c>
      <c r="I256" s="123" t="s">
        <v>75</v>
      </c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  <c r="AF256" s="146"/>
      <c r="AG256" s="146"/>
      <c r="AH256" s="146"/>
      <c r="AI256" s="146"/>
      <c r="AJ256" s="146"/>
      <c r="AK256" s="146"/>
      <c r="AL256" s="146"/>
      <c r="AM256" s="146"/>
      <c r="AN256" s="146"/>
      <c r="AO256" s="146"/>
      <c r="AP256" s="146"/>
      <c r="AQ256" s="146"/>
      <c r="AR256" s="146"/>
      <c r="AS256" s="146"/>
      <c r="AT256" s="146"/>
      <c r="AU256" s="146"/>
      <c r="AV256" s="146"/>
      <c r="AW256" s="146"/>
      <c r="AX256" s="146"/>
      <c r="AY256" s="146"/>
      <c r="AZ256" s="146"/>
      <c r="BA256" s="146"/>
      <c r="BB256" s="146"/>
      <c r="BC256" s="146"/>
      <c r="BD256" s="146"/>
      <c r="BE256" s="146"/>
      <c r="BF256" s="146"/>
      <c r="BG256" s="146"/>
      <c r="BH256" s="146"/>
      <c r="BI256" s="146"/>
      <c r="BJ256" s="146"/>
      <c r="BK256" s="146"/>
      <c r="BL256" s="146"/>
      <c r="BM256" s="146"/>
      <c r="BN256" s="146"/>
      <c r="BO256" s="146"/>
      <c r="BP256" s="146"/>
      <c r="BQ256" s="146"/>
      <c r="BR256" s="146"/>
    </row>
    <row r="257" spans="2:70" ht="15.75" hidden="1">
      <c r="B257" s="146"/>
      <c r="C257" s="146"/>
      <c r="D257" s="146"/>
      <c r="E257" s="146"/>
      <c r="F257" s="146"/>
      <c r="G257" s="146"/>
      <c r="H257" s="110"/>
      <c r="I257" s="123" t="s">
        <v>76</v>
      </c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  <c r="AF257" s="146"/>
      <c r="AG257" s="146"/>
      <c r="AH257" s="146"/>
      <c r="AI257" s="146"/>
      <c r="AJ257" s="146"/>
      <c r="AK257" s="146"/>
      <c r="AL257" s="146"/>
      <c r="AM257" s="146"/>
      <c r="AN257" s="146"/>
      <c r="AO257" s="146"/>
      <c r="AP257" s="146"/>
      <c r="AQ257" s="146"/>
      <c r="AR257" s="146"/>
      <c r="AS257" s="146"/>
      <c r="AT257" s="146"/>
      <c r="AU257" s="146"/>
      <c r="AV257" s="146"/>
      <c r="AW257" s="146"/>
      <c r="AX257" s="146"/>
      <c r="AY257" s="146"/>
      <c r="AZ257" s="146"/>
      <c r="BA257" s="146"/>
      <c r="BB257" s="146"/>
      <c r="BC257" s="146"/>
      <c r="BD257" s="146"/>
      <c r="BE257" s="146"/>
      <c r="BF257" s="146"/>
      <c r="BG257" s="146"/>
      <c r="BH257" s="146"/>
      <c r="BI257" s="146"/>
      <c r="BJ257" s="146"/>
      <c r="BK257" s="146"/>
      <c r="BL257" s="146"/>
      <c r="BM257" s="146"/>
      <c r="BN257" s="146"/>
      <c r="BO257" s="146"/>
      <c r="BP257" s="146"/>
      <c r="BQ257" s="146"/>
      <c r="BR257" s="146"/>
    </row>
    <row r="258" spans="2:70" ht="15.75" hidden="1">
      <c r="B258" s="146"/>
      <c r="C258" s="146"/>
      <c r="D258" s="146"/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  <c r="AD258" s="146"/>
      <c r="AE258" s="146"/>
      <c r="AF258" s="146"/>
      <c r="AG258" s="146"/>
      <c r="AH258" s="146"/>
      <c r="AI258" s="146"/>
      <c r="AJ258" s="146"/>
      <c r="AK258" s="146"/>
      <c r="AL258" s="146"/>
      <c r="AM258" s="146"/>
      <c r="AN258" s="146"/>
      <c r="AO258" s="146"/>
      <c r="AP258" s="146"/>
      <c r="AQ258" s="146"/>
      <c r="AR258" s="146"/>
      <c r="AS258" s="146"/>
      <c r="AT258" s="146"/>
      <c r="AU258" s="146"/>
      <c r="AV258" s="146"/>
      <c r="AW258" s="146"/>
      <c r="AX258" s="146"/>
      <c r="AY258" s="146"/>
      <c r="AZ258" s="146"/>
      <c r="BA258" s="146"/>
      <c r="BB258" s="146"/>
      <c r="BC258" s="146"/>
      <c r="BD258" s="146"/>
      <c r="BE258" s="146"/>
      <c r="BF258" s="146"/>
      <c r="BG258" s="146"/>
      <c r="BH258" s="146"/>
      <c r="BI258" s="146"/>
      <c r="BJ258" s="146"/>
      <c r="BK258" s="146"/>
      <c r="BL258" s="146"/>
      <c r="BM258" s="146"/>
      <c r="BN258" s="146"/>
      <c r="BO258" s="146"/>
      <c r="BP258" s="146"/>
      <c r="BQ258" s="146"/>
      <c r="BR258" s="146"/>
    </row>
    <row r="259" spans="2:70" ht="15.75" hidden="1">
      <c r="B259" s="146"/>
      <c r="C259" s="146"/>
      <c r="D259" s="146"/>
      <c r="E259" s="146"/>
      <c r="F259" s="146"/>
      <c r="G259" s="146"/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  <c r="AF259" s="146"/>
      <c r="AG259" s="146"/>
      <c r="AH259" s="146"/>
      <c r="AI259" s="146"/>
      <c r="AJ259" s="146"/>
      <c r="AK259" s="146"/>
      <c r="AL259" s="146"/>
      <c r="AM259" s="146"/>
      <c r="AN259" s="146"/>
      <c r="AO259" s="146"/>
      <c r="AP259" s="146"/>
      <c r="AQ259" s="146"/>
      <c r="AR259" s="146"/>
      <c r="AS259" s="146"/>
      <c r="AT259" s="146"/>
      <c r="AU259" s="146"/>
      <c r="AV259" s="146"/>
      <c r="AW259" s="146"/>
      <c r="AX259" s="146"/>
      <c r="AY259" s="146"/>
      <c r="AZ259" s="146"/>
      <c r="BA259" s="146"/>
      <c r="BB259" s="146"/>
      <c r="BC259" s="146"/>
      <c r="BD259" s="146"/>
      <c r="BE259" s="146"/>
      <c r="BF259" s="146"/>
      <c r="BG259" s="146"/>
      <c r="BH259" s="146"/>
      <c r="BI259" s="146"/>
      <c r="BJ259" s="146"/>
      <c r="BK259" s="146"/>
      <c r="BL259" s="146"/>
      <c r="BM259" s="146"/>
      <c r="BN259" s="146"/>
      <c r="BO259" s="146"/>
      <c r="BP259" s="146"/>
      <c r="BQ259" s="146"/>
      <c r="BR259" s="146"/>
    </row>
    <row r="260" spans="2:70" ht="15.75" hidden="1">
      <c r="B260" s="146"/>
      <c r="C260" s="146"/>
      <c r="D260" s="146"/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  <c r="AF260" s="146"/>
      <c r="AG260" s="146"/>
      <c r="AH260" s="146"/>
      <c r="AI260" s="146"/>
      <c r="AJ260" s="146"/>
      <c r="AK260" s="146"/>
      <c r="AL260" s="146"/>
      <c r="AM260" s="146"/>
      <c r="AN260" s="146"/>
      <c r="AO260" s="146"/>
      <c r="AP260" s="146"/>
      <c r="AQ260" s="146"/>
      <c r="AR260" s="146"/>
      <c r="AS260" s="146"/>
      <c r="AT260" s="146"/>
      <c r="AU260" s="146"/>
      <c r="AV260" s="146"/>
      <c r="AW260" s="146"/>
      <c r="AX260" s="146"/>
      <c r="AY260" s="146"/>
      <c r="AZ260" s="146"/>
      <c r="BA260" s="146"/>
      <c r="BB260" s="146"/>
      <c r="BC260" s="146"/>
      <c r="BD260" s="146"/>
      <c r="BE260" s="146"/>
      <c r="BF260" s="146"/>
      <c r="BG260" s="146"/>
      <c r="BH260" s="146"/>
      <c r="BI260" s="146"/>
      <c r="BJ260" s="146"/>
      <c r="BK260" s="146"/>
      <c r="BL260" s="146"/>
      <c r="BM260" s="146"/>
      <c r="BN260" s="146"/>
      <c r="BO260" s="146"/>
      <c r="BP260" s="146"/>
      <c r="BQ260" s="146"/>
      <c r="BR260" s="146"/>
    </row>
    <row r="261" spans="2:70" ht="15.75" hidden="1">
      <c r="B261" s="146"/>
      <c r="C261" s="146"/>
      <c r="D261" s="146"/>
      <c r="E261" s="146"/>
      <c r="F261" s="146"/>
      <c r="G261" s="146"/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  <c r="AF261" s="146"/>
      <c r="AG261" s="146"/>
      <c r="AH261" s="146"/>
      <c r="AI261" s="146"/>
      <c r="AJ261" s="146"/>
      <c r="AK261" s="146"/>
      <c r="AL261" s="146"/>
      <c r="AM261" s="146"/>
      <c r="AN261" s="146"/>
      <c r="AO261" s="146"/>
      <c r="AP261" s="146"/>
      <c r="AQ261" s="146"/>
      <c r="AR261" s="146"/>
      <c r="AS261" s="146"/>
      <c r="AT261" s="146"/>
      <c r="AU261" s="146"/>
      <c r="AV261" s="146"/>
      <c r="AW261" s="146"/>
      <c r="AX261" s="146"/>
      <c r="AY261" s="146"/>
      <c r="AZ261" s="146"/>
      <c r="BA261" s="146"/>
      <c r="BB261" s="146"/>
      <c r="BC261" s="146"/>
      <c r="BD261" s="146"/>
      <c r="BE261" s="146"/>
      <c r="BF261" s="146"/>
      <c r="BG261" s="146"/>
      <c r="BH261" s="146"/>
      <c r="BI261" s="146"/>
      <c r="BJ261" s="146"/>
      <c r="BK261" s="146"/>
      <c r="BL261" s="146"/>
      <c r="BM261" s="146"/>
      <c r="BN261" s="146"/>
      <c r="BO261" s="146"/>
      <c r="BP261" s="146"/>
      <c r="BQ261" s="146"/>
      <c r="BR261" s="146"/>
    </row>
    <row r="262" spans="2:70" ht="15.75" hidden="1">
      <c r="B262" s="146"/>
      <c r="C262" s="146"/>
      <c r="D262" s="146"/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  <c r="AD262" s="146"/>
      <c r="AE262" s="146"/>
      <c r="AF262" s="146"/>
      <c r="AG262" s="146"/>
      <c r="AH262" s="146"/>
      <c r="AI262" s="146"/>
      <c r="AJ262" s="146"/>
      <c r="AK262" s="146"/>
      <c r="AL262" s="146"/>
      <c r="AM262" s="146"/>
      <c r="AN262" s="146"/>
      <c r="AO262" s="146"/>
      <c r="AP262" s="146"/>
      <c r="AQ262" s="146"/>
      <c r="AR262" s="146"/>
      <c r="AS262" s="146"/>
      <c r="AT262" s="146"/>
      <c r="AU262" s="146"/>
      <c r="AV262" s="146"/>
      <c r="AW262" s="146"/>
      <c r="AX262" s="146"/>
      <c r="AY262" s="146"/>
      <c r="AZ262" s="146"/>
      <c r="BA262" s="146"/>
      <c r="BB262" s="146"/>
      <c r="BC262" s="146"/>
      <c r="BD262" s="146"/>
      <c r="BE262" s="146"/>
      <c r="BF262" s="146"/>
      <c r="BG262" s="146"/>
      <c r="BH262" s="146"/>
      <c r="BI262" s="146"/>
      <c r="BJ262" s="146"/>
      <c r="BK262" s="146"/>
      <c r="BL262" s="146"/>
      <c r="BM262" s="146"/>
      <c r="BN262" s="146"/>
      <c r="BO262" s="146"/>
      <c r="BP262" s="146"/>
      <c r="BQ262" s="146"/>
      <c r="BR262" s="146"/>
    </row>
    <row r="263" spans="2:70" ht="15.75" hidden="1">
      <c r="B263" s="146"/>
      <c r="C263" s="146"/>
      <c r="D263" s="146"/>
      <c r="E263" s="146"/>
      <c r="F263" s="146"/>
      <c r="G263" s="146"/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  <c r="AF263" s="146"/>
      <c r="AG263" s="146"/>
      <c r="AH263" s="146"/>
      <c r="AI263" s="146"/>
      <c r="AJ263" s="146"/>
      <c r="AK263" s="146"/>
      <c r="AL263" s="146"/>
      <c r="AM263" s="146"/>
      <c r="AN263" s="146"/>
      <c r="AO263" s="146"/>
      <c r="AP263" s="146"/>
      <c r="AQ263" s="146"/>
      <c r="AR263" s="146"/>
      <c r="AS263" s="146"/>
      <c r="AT263" s="146"/>
      <c r="AU263" s="146"/>
      <c r="AV263" s="146"/>
      <c r="AW263" s="146"/>
      <c r="AX263" s="146"/>
      <c r="AY263" s="146"/>
      <c r="AZ263" s="146"/>
      <c r="BA263" s="146"/>
      <c r="BB263" s="146"/>
      <c r="BC263" s="146"/>
      <c r="BD263" s="146"/>
      <c r="BE263" s="146"/>
      <c r="BF263" s="146"/>
      <c r="BG263" s="146"/>
      <c r="BH263" s="146"/>
      <c r="BI263" s="146"/>
      <c r="BJ263" s="146"/>
      <c r="BK263" s="146"/>
      <c r="BL263" s="146"/>
      <c r="BM263" s="146"/>
      <c r="BN263" s="146"/>
      <c r="BO263" s="146"/>
      <c r="BP263" s="146"/>
      <c r="BQ263" s="146"/>
      <c r="BR263" s="146"/>
    </row>
    <row r="264" spans="2:70" ht="15.75" hidden="1">
      <c r="B264" s="146"/>
      <c r="C264" s="146"/>
      <c r="D264" s="146"/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  <c r="AF264" s="146"/>
      <c r="AG264" s="146"/>
      <c r="AH264" s="146"/>
      <c r="AI264" s="146"/>
      <c r="AJ264" s="146"/>
      <c r="AK264" s="146"/>
      <c r="AL264" s="146"/>
      <c r="AM264" s="146"/>
      <c r="AN264" s="146"/>
      <c r="AO264" s="146"/>
      <c r="AP264" s="146"/>
      <c r="AQ264" s="146"/>
      <c r="AR264" s="146"/>
      <c r="AS264" s="146"/>
      <c r="AT264" s="146"/>
      <c r="AU264" s="146"/>
      <c r="AV264" s="146"/>
      <c r="AW264" s="146"/>
      <c r="AX264" s="146"/>
      <c r="AY264" s="146"/>
      <c r="AZ264" s="146"/>
      <c r="BA264" s="146"/>
      <c r="BB264" s="146"/>
      <c r="BC264" s="146"/>
      <c r="BD264" s="146"/>
      <c r="BE264" s="146"/>
      <c r="BF264" s="146"/>
      <c r="BG264" s="146"/>
      <c r="BH264" s="146"/>
      <c r="BI264" s="146"/>
      <c r="BJ264" s="146"/>
      <c r="BK264" s="146"/>
      <c r="BL264" s="146"/>
      <c r="BM264" s="146"/>
      <c r="BN264" s="146"/>
      <c r="BO264" s="146"/>
      <c r="BP264" s="146"/>
      <c r="BQ264" s="146"/>
      <c r="BR264" s="146"/>
    </row>
    <row r="265" spans="2:70" ht="15.75" hidden="1">
      <c r="B265" s="146"/>
      <c r="C265" s="146"/>
      <c r="D265" s="146"/>
      <c r="E265" s="146"/>
      <c r="F265" s="146"/>
      <c r="G265" s="146"/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  <c r="AF265" s="146"/>
      <c r="AG265" s="146"/>
      <c r="AH265" s="146"/>
      <c r="AI265" s="146"/>
      <c r="AJ265" s="146"/>
      <c r="AK265" s="146"/>
      <c r="AL265" s="146"/>
      <c r="AM265" s="146"/>
      <c r="AN265" s="146"/>
      <c r="AO265" s="146"/>
      <c r="AP265" s="146"/>
      <c r="AQ265" s="146"/>
      <c r="AR265" s="146"/>
      <c r="AS265" s="146"/>
      <c r="AT265" s="146"/>
      <c r="AU265" s="146"/>
      <c r="AV265" s="146"/>
      <c r="AW265" s="146"/>
      <c r="AX265" s="146"/>
      <c r="AY265" s="146"/>
      <c r="AZ265" s="146"/>
      <c r="BA265" s="146"/>
      <c r="BB265" s="146"/>
      <c r="BC265" s="146"/>
      <c r="BD265" s="146"/>
      <c r="BE265" s="146"/>
      <c r="BF265" s="146"/>
      <c r="BG265" s="146"/>
      <c r="BH265" s="146"/>
      <c r="BI265" s="146"/>
      <c r="BJ265" s="146"/>
      <c r="BK265" s="146"/>
      <c r="BL265" s="146"/>
      <c r="BM265" s="146"/>
      <c r="BN265" s="146"/>
      <c r="BO265" s="146"/>
      <c r="BP265" s="146"/>
      <c r="BQ265" s="146"/>
      <c r="BR265" s="146"/>
    </row>
    <row r="266" spans="2:70" ht="15.75" hidden="1">
      <c r="B266" s="146"/>
      <c r="C266" s="146"/>
      <c r="D266" s="146"/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  <c r="AD266" s="146"/>
      <c r="AE266" s="146"/>
      <c r="AF266" s="146"/>
      <c r="AG266" s="146"/>
      <c r="AH266" s="146"/>
      <c r="AI266" s="146"/>
      <c r="AJ266" s="146"/>
      <c r="AK266" s="146"/>
      <c r="AL266" s="146"/>
      <c r="AM266" s="146"/>
      <c r="AN266" s="146"/>
      <c r="AO266" s="146"/>
      <c r="AP266" s="146"/>
      <c r="AQ266" s="146"/>
      <c r="AR266" s="146"/>
      <c r="AS266" s="146"/>
      <c r="AT266" s="146"/>
      <c r="AU266" s="146"/>
      <c r="AV266" s="146"/>
      <c r="AW266" s="146"/>
      <c r="AX266" s="146"/>
      <c r="AY266" s="146"/>
      <c r="AZ266" s="146"/>
      <c r="BA266" s="146"/>
      <c r="BB266" s="146"/>
      <c r="BC266" s="146"/>
      <c r="BD266" s="146"/>
      <c r="BE266" s="146"/>
      <c r="BF266" s="146"/>
      <c r="BG266" s="146"/>
      <c r="BH266" s="146"/>
      <c r="BI266" s="146"/>
      <c r="BJ266" s="146"/>
      <c r="BK266" s="146"/>
      <c r="BL266" s="146"/>
      <c r="BM266" s="146"/>
      <c r="BN266" s="146"/>
      <c r="BO266" s="146"/>
      <c r="BP266" s="146"/>
      <c r="BQ266" s="146"/>
      <c r="BR266" s="146"/>
    </row>
    <row r="267" spans="2:70" ht="15.75" hidden="1">
      <c r="B267" s="146"/>
      <c r="C267" s="146"/>
      <c r="D267" s="146"/>
      <c r="E267" s="146"/>
      <c r="F267" s="146"/>
      <c r="G267" s="146"/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  <c r="AF267" s="146"/>
      <c r="AG267" s="146"/>
      <c r="AH267" s="146"/>
      <c r="AI267" s="146"/>
      <c r="AJ267" s="146"/>
      <c r="AK267" s="146"/>
      <c r="AL267" s="146"/>
      <c r="AM267" s="146"/>
      <c r="AN267" s="146"/>
      <c r="AO267" s="146"/>
      <c r="AP267" s="146"/>
      <c r="AQ267" s="146"/>
      <c r="AR267" s="146"/>
      <c r="AS267" s="146"/>
      <c r="AT267" s="146"/>
      <c r="AU267" s="146"/>
      <c r="AV267" s="146"/>
      <c r="AW267" s="146"/>
      <c r="AX267" s="146"/>
      <c r="AY267" s="146"/>
      <c r="AZ267" s="146"/>
      <c r="BA267" s="146"/>
      <c r="BB267" s="146"/>
      <c r="BC267" s="146"/>
      <c r="BD267" s="146"/>
      <c r="BE267" s="146"/>
      <c r="BF267" s="146"/>
      <c r="BG267" s="146"/>
      <c r="BH267" s="146"/>
      <c r="BI267" s="146"/>
      <c r="BJ267" s="146"/>
      <c r="BK267" s="146"/>
      <c r="BL267" s="146"/>
      <c r="BM267" s="146"/>
      <c r="BN267" s="146"/>
      <c r="BO267" s="146"/>
      <c r="BP267" s="146"/>
      <c r="BQ267" s="146"/>
      <c r="BR267" s="146"/>
    </row>
    <row r="268" spans="2:70" ht="15.75" hidden="1">
      <c r="B268" s="146"/>
      <c r="C268" s="146"/>
      <c r="D268" s="146"/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  <c r="AD268" s="146"/>
      <c r="AE268" s="146"/>
      <c r="AF268" s="146"/>
      <c r="AG268" s="146"/>
      <c r="AH268" s="146"/>
      <c r="AI268" s="146"/>
      <c r="AJ268" s="146"/>
      <c r="AK268" s="146"/>
      <c r="AL268" s="146"/>
      <c r="AM268" s="146"/>
      <c r="AN268" s="146"/>
      <c r="AO268" s="146"/>
      <c r="AP268" s="146"/>
      <c r="AQ268" s="146"/>
      <c r="AR268" s="146"/>
      <c r="AS268" s="146"/>
      <c r="AT268" s="146"/>
      <c r="AU268" s="146"/>
      <c r="AV268" s="146"/>
      <c r="AW268" s="146"/>
      <c r="AX268" s="146"/>
      <c r="AY268" s="146"/>
      <c r="AZ268" s="146"/>
      <c r="BA268" s="146"/>
      <c r="BB268" s="146"/>
      <c r="BC268" s="146"/>
      <c r="BD268" s="146"/>
      <c r="BE268" s="146"/>
      <c r="BF268" s="146"/>
      <c r="BG268" s="146"/>
      <c r="BH268" s="146"/>
      <c r="BI268" s="146"/>
      <c r="BJ268" s="146"/>
      <c r="BK268" s="146"/>
      <c r="BL268" s="146"/>
      <c r="BM268" s="146"/>
      <c r="BN268" s="146"/>
      <c r="BO268" s="146"/>
      <c r="BP268" s="146"/>
      <c r="BQ268" s="146"/>
      <c r="BR268" s="146"/>
    </row>
    <row r="269" spans="2:70" ht="15.75" hidden="1">
      <c r="B269" s="146"/>
      <c r="C269" s="146"/>
      <c r="D269" s="146"/>
      <c r="E269" s="146"/>
      <c r="F269" s="146"/>
      <c r="G269" s="146"/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  <c r="AF269" s="146"/>
      <c r="AG269" s="146"/>
      <c r="AH269" s="146"/>
      <c r="AI269" s="146"/>
      <c r="AJ269" s="146"/>
      <c r="AK269" s="146"/>
      <c r="AL269" s="146"/>
      <c r="AM269" s="146"/>
      <c r="AN269" s="146"/>
      <c r="AO269" s="146"/>
      <c r="AP269" s="146"/>
      <c r="AQ269" s="146"/>
      <c r="AR269" s="146"/>
      <c r="AS269" s="146"/>
      <c r="AT269" s="146"/>
      <c r="AU269" s="146"/>
      <c r="AV269" s="146"/>
      <c r="AW269" s="146"/>
      <c r="AX269" s="146"/>
      <c r="AY269" s="146"/>
      <c r="AZ269" s="146"/>
      <c r="BA269" s="146"/>
      <c r="BB269" s="146"/>
      <c r="BC269" s="146"/>
      <c r="BD269" s="146"/>
      <c r="BE269" s="146"/>
      <c r="BF269" s="146"/>
      <c r="BG269" s="146"/>
      <c r="BH269" s="146"/>
      <c r="BI269" s="146"/>
      <c r="BJ269" s="146"/>
      <c r="BK269" s="146"/>
      <c r="BL269" s="146"/>
      <c r="BM269" s="146"/>
      <c r="BN269" s="146"/>
      <c r="BO269" s="146"/>
      <c r="BP269" s="146"/>
      <c r="BQ269" s="146"/>
      <c r="BR269" s="146"/>
    </row>
    <row r="270" spans="2:70" ht="15.75" hidden="1">
      <c r="B270" s="146"/>
      <c r="C270" s="146"/>
      <c r="D270" s="146"/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  <c r="AF270" s="146"/>
      <c r="AG270" s="146"/>
      <c r="AH270" s="146"/>
      <c r="AI270" s="146"/>
      <c r="AJ270" s="146"/>
      <c r="AK270" s="146"/>
      <c r="AL270" s="146"/>
      <c r="AM270" s="146"/>
      <c r="AN270" s="146"/>
      <c r="AO270" s="146"/>
      <c r="AP270" s="146"/>
      <c r="AQ270" s="146"/>
      <c r="AR270" s="146"/>
      <c r="AS270" s="146"/>
      <c r="AT270" s="146"/>
      <c r="AU270" s="146"/>
      <c r="AV270" s="146"/>
      <c r="AW270" s="146"/>
      <c r="AX270" s="146"/>
      <c r="AY270" s="146"/>
      <c r="AZ270" s="146"/>
      <c r="BA270" s="146"/>
      <c r="BB270" s="146"/>
      <c r="BC270" s="146"/>
      <c r="BD270" s="146"/>
      <c r="BE270" s="146"/>
      <c r="BF270" s="146"/>
      <c r="BG270" s="146"/>
      <c r="BH270" s="146"/>
      <c r="BI270" s="146"/>
      <c r="BJ270" s="146"/>
      <c r="BK270" s="146"/>
      <c r="BL270" s="146"/>
      <c r="BM270" s="146"/>
      <c r="BN270" s="146"/>
      <c r="BO270" s="146"/>
      <c r="BP270" s="146"/>
      <c r="BQ270" s="146"/>
      <c r="BR270" s="146"/>
    </row>
    <row r="271" spans="2:70" ht="15.75" hidden="1">
      <c r="B271" s="146"/>
      <c r="C271" s="146"/>
      <c r="D271" s="146"/>
      <c r="E271" s="146"/>
      <c r="F271" s="146"/>
      <c r="G271" s="146"/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  <c r="AF271" s="146"/>
      <c r="AG271" s="146"/>
      <c r="AH271" s="146"/>
      <c r="AI271" s="146"/>
      <c r="AJ271" s="146"/>
      <c r="AK271" s="146"/>
      <c r="AL271" s="146"/>
      <c r="AM271" s="146"/>
      <c r="AN271" s="146"/>
      <c r="AO271" s="146"/>
      <c r="AP271" s="146"/>
      <c r="AQ271" s="146"/>
      <c r="AR271" s="146"/>
      <c r="AS271" s="146"/>
      <c r="AT271" s="146"/>
      <c r="AU271" s="146"/>
      <c r="AV271" s="146"/>
      <c r="AW271" s="146"/>
      <c r="AX271" s="146"/>
      <c r="AY271" s="146"/>
      <c r="AZ271" s="146"/>
      <c r="BA271" s="146"/>
      <c r="BB271" s="146"/>
      <c r="BC271" s="146"/>
      <c r="BD271" s="146"/>
      <c r="BE271" s="146"/>
      <c r="BF271" s="146"/>
      <c r="BG271" s="146"/>
      <c r="BH271" s="146"/>
      <c r="BI271" s="146"/>
      <c r="BJ271" s="146"/>
      <c r="BK271" s="146"/>
      <c r="BL271" s="146"/>
      <c r="BM271" s="146"/>
      <c r="BN271" s="146"/>
      <c r="BO271" s="146"/>
      <c r="BP271" s="146"/>
      <c r="BQ271" s="146"/>
      <c r="BR271" s="146"/>
    </row>
    <row r="272" spans="2:70" ht="15.75" hidden="1">
      <c r="B272" s="146"/>
      <c r="C272" s="146"/>
      <c r="D272" s="146"/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  <c r="AD272" s="146"/>
      <c r="AE272" s="146"/>
      <c r="AF272" s="146"/>
      <c r="AG272" s="146"/>
      <c r="AH272" s="146"/>
      <c r="AI272" s="146"/>
      <c r="AJ272" s="146"/>
      <c r="AK272" s="146"/>
      <c r="AL272" s="146"/>
      <c r="AM272" s="146"/>
      <c r="AN272" s="146"/>
      <c r="AO272" s="146"/>
      <c r="AP272" s="146"/>
      <c r="AQ272" s="146"/>
      <c r="AR272" s="146"/>
      <c r="AS272" s="146"/>
      <c r="AT272" s="146"/>
      <c r="AU272" s="146"/>
      <c r="AV272" s="146"/>
      <c r="AW272" s="146"/>
      <c r="AX272" s="146"/>
      <c r="AY272" s="146"/>
      <c r="AZ272" s="146"/>
      <c r="BA272" s="146"/>
      <c r="BB272" s="146"/>
      <c r="BC272" s="146"/>
      <c r="BD272" s="146"/>
      <c r="BE272" s="146"/>
      <c r="BF272" s="146"/>
      <c r="BG272" s="146"/>
      <c r="BH272" s="146"/>
      <c r="BI272" s="146"/>
      <c r="BJ272" s="146"/>
      <c r="BK272" s="146"/>
      <c r="BL272" s="146"/>
      <c r="BM272" s="146"/>
      <c r="BN272" s="146"/>
      <c r="BO272" s="146"/>
      <c r="BP272" s="146"/>
      <c r="BQ272" s="146"/>
      <c r="BR272" s="146"/>
    </row>
    <row r="273" spans="2:70" ht="15.75" hidden="1">
      <c r="B273" s="146"/>
      <c r="C273" s="146"/>
      <c r="D273" s="146"/>
      <c r="E273" s="146"/>
      <c r="F273" s="146"/>
      <c r="G273" s="146"/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  <c r="AF273" s="146"/>
      <c r="AG273" s="146"/>
      <c r="AH273" s="146"/>
      <c r="AI273" s="146"/>
      <c r="AJ273" s="146"/>
      <c r="AK273" s="146"/>
      <c r="AL273" s="146"/>
      <c r="AM273" s="146"/>
      <c r="AN273" s="146"/>
      <c r="AO273" s="146"/>
      <c r="AP273" s="146"/>
      <c r="AQ273" s="146"/>
      <c r="AR273" s="146"/>
      <c r="AS273" s="146"/>
      <c r="AT273" s="146"/>
      <c r="AU273" s="146"/>
      <c r="AV273" s="146"/>
      <c r="AW273" s="146"/>
      <c r="AX273" s="146"/>
      <c r="AY273" s="146"/>
      <c r="AZ273" s="146"/>
      <c r="BA273" s="146"/>
      <c r="BB273" s="146"/>
      <c r="BC273" s="146"/>
      <c r="BD273" s="146"/>
      <c r="BE273" s="146"/>
      <c r="BF273" s="146"/>
      <c r="BG273" s="146"/>
      <c r="BH273" s="146"/>
      <c r="BI273" s="146"/>
      <c r="BJ273" s="146"/>
      <c r="BK273" s="146"/>
      <c r="BL273" s="146"/>
      <c r="BM273" s="146"/>
      <c r="BN273" s="146"/>
      <c r="BO273" s="146"/>
      <c r="BP273" s="146"/>
      <c r="BQ273" s="146"/>
      <c r="BR273" s="146"/>
    </row>
    <row r="274" spans="2:70" ht="15.75" hidden="1">
      <c r="B274" s="146"/>
      <c r="C274" s="146"/>
      <c r="D274" s="146"/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  <c r="AF274" s="146"/>
      <c r="AG274" s="146"/>
      <c r="AH274" s="146"/>
      <c r="AI274" s="146"/>
      <c r="AJ274" s="146"/>
      <c r="AK274" s="146"/>
      <c r="AL274" s="146"/>
      <c r="AM274" s="146"/>
      <c r="AN274" s="146"/>
      <c r="AO274" s="146"/>
      <c r="AP274" s="146"/>
      <c r="AQ274" s="146"/>
      <c r="AR274" s="146"/>
      <c r="AS274" s="146"/>
      <c r="AT274" s="146"/>
      <c r="AU274" s="146"/>
      <c r="AV274" s="146"/>
      <c r="AW274" s="146"/>
      <c r="AX274" s="146"/>
      <c r="AY274" s="146"/>
      <c r="AZ274" s="146"/>
      <c r="BA274" s="146"/>
      <c r="BB274" s="146"/>
      <c r="BC274" s="146"/>
      <c r="BD274" s="146"/>
      <c r="BE274" s="146"/>
      <c r="BF274" s="146"/>
      <c r="BG274" s="146"/>
      <c r="BH274" s="146"/>
      <c r="BI274" s="146"/>
      <c r="BJ274" s="146"/>
      <c r="BK274" s="146"/>
      <c r="BL274" s="146"/>
      <c r="BM274" s="146"/>
      <c r="BN274" s="146"/>
      <c r="BO274" s="146"/>
      <c r="BP274" s="146"/>
      <c r="BQ274" s="146"/>
      <c r="BR274" s="146"/>
    </row>
    <row r="275" spans="2:70" ht="15.75" hidden="1">
      <c r="B275" s="146"/>
      <c r="C275" s="146"/>
      <c r="D275" s="146"/>
      <c r="E275" s="146"/>
      <c r="F275" s="146"/>
      <c r="G275" s="146"/>
      <c r="H275" s="146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  <c r="AF275" s="146"/>
      <c r="AG275" s="146"/>
      <c r="AH275" s="146"/>
      <c r="AI275" s="146"/>
      <c r="AJ275" s="146"/>
      <c r="AK275" s="146"/>
      <c r="AL275" s="146"/>
      <c r="AM275" s="146"/>
      <c r="AN275" s="146"/>
      <c r="AO275" s="146"/>
      <c r="AP275" s="146"/>
      <c r="AQ275" s="146"/>
      <c r="AR275" s="146"/>
      <c r="AS275" s="146"/>
      <c r="AT275" s="146"/>
      <c r="AU275" s="146"/>
      <c r="AV275" s="146"/>
      <c r="AW275" s="146"/>
      <c r="AX275" s="146"/>
      <c r="AY275" s="146"/>
      <c r="AZ275" s="146"/>
      <c r="BA275" s="146"/>
      <c r="BB275" s="146"/>
      <c r="BC275" s="146"/>
      <c r="BD275" s="146"/>
      <c r="BE275" s="146"/>
      <c r="BF275" s="146"/>
      <c r="BG275" s="146"/>
      <c r="BH275" s="146"/>
      <c r="BI275" s="146"/>
      <c r="BJ275" s="146"/>
      <c r="BK275" s="146"/>
      <c r="BL275" s="146"/>
      <c r="BM275" s="146"/>
      <c r="BN275" s="146"/>
      <c r="BO275" s="146"/>
      <c r="BP275" s="146"/>
      <c r="BQ275" s="146"/>
      <c r="BR275" s="146"/>
    </row>
    <row r="276" spans="2:70" ht="15.75" hidden="1">
      <c r="B276" s="146"/>
      <c r="C276" s="146"/>
      <c r="D276" s="146"/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  <c r="AF276" s="146"/>
      <c r="AG276" s="146"/>
      <c r="AH276" s="146"/>
      <c r="AI276" s="146"/>
      <c r="AJ276" s="146"/>
      <c r="AK276" s="146"/>
      <c r="AL276" s="146"/>
      <c r="AM276" s="146"/>
      <c r="AN276" s="146"/>
      <c r="AO276" s="146"/>
      <c r="AP276" s="146"/>
      <c r="AQ276" s="146"/>
      <c r="AR276" s="146"/>
      <c r="AS276" s="146"/>
      <c r="AT276" s="146"/>
      <c r="AU276" s="146"/>
      <c r="AV276" s="146"/>
      <c r="AW276" s="146"/>
      <c r="AX276" s="146"/>
      <c r="AY276" s="146"/>
      <c r="AZ276" s="146"/>
      <c r="BA276" s="146"/>
      <c r="BB276" s="146"/>
      <c r="BC276" s="146"/>
      <c r="BD276" s="146"/>
      <c r="BE276" s="146"/>
      <c r="BF276" s="146"/>
      <c r="BG276" s="146"/>
      <c r="BH276" s="146"/>
      <c r="BI276" s="146"/>
      <c r="BJ276" s="146"/>
      <c r="BK276" s="146"/>
      <c r="BL276" s="146"/>
      <c r="BM276" s="146"/>
      <c r="BN276" s="146"/>
      <c r="BO276" s="146"/>
      <c r="BP276" s="146"/>
      <c r="BQ276" s="146"/>
      <c r="BR276" s="146"/>
    </row>
    <row r="277" spans="2:70" ht="15.75" hidden="1">
      <c r="B277" s="146"/>
      <c r="C277" s="146"/>
      <c r="D277" s="146"/>
      <c r="E277" s="146"/>
      <c r="F277" s="146"/>
      <c r="G277" s="146"/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  <c r="AF277" s="146"/>
      <c r="AG277" s="146"/>
      <c r="AH277" s="146"/>
      <c r="AI277" s="146"/>
      <c r="AJ277" s="146"/>
      <c r="AK277" s="146"/>
      <c r="AL277" s="146"/>
      <c r="AM277" s="146"/>
      <c r="AN277" s="146"/>
      <c r="AO277" s="146"/>
      <c r="AP277" s="146"/>
      <c r="AQ277" s="146"/>
      <c r="AR277" s="146"/>
      <c r="AS277" s="146"/>
      <c r="AT277" s="146"/>
      <c r="AU277" s="146"/>
      <c r="AV277" s="146"/>
      <c r="AW277" s="146"/>
      <c r="AX277" s="146"/>
      <c r="AY277" s="146"/>
      <c r="AZ277" s="146"/>
      <c r="BA277" s="146"/>
      <c r="BB277" s="146"/>
      <c r="BC277" s="146"/>
      <c r="BD277" s="146"/>
      <c r="BE277" s="146"/>
      <c r="BF277" s="146"/>
      <c r="BG277" s="146"/>
      <c r="BH277" s="146"/>
      <c r="BI277" s="146"/>
      <c r="BJ277" s="146"/>
      <c r="BK277" s="146"/>
      <c r="BL277" s="146"/>
      <c r="BM277" s="146"/>
      <c r="BN277" s="146"/>
      <c r="BO277" s="146"/>
      <c r="BP277" s="146"/>
      <c r="BQ277" s="146"/>
      <c r="BR277" s="146"/>
    </row>
    <row r="278" spans="2:70" ht="15.75" hidden="1">
      <c r="B278" s="146"/>
      <c r="C278" s="146"/>
      <c r="D278" s="146"/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  <c r="AF278" s="146"/>
      <c r="AG278" s="146"/>
      <c r="AH278" s="146"/>
      <c r="AI278" s="146"/>
      <c r="AJ278" s="146"/>
      <c r="AK278" s="146"/>
      <c r="AL278" s="146"/>
      <c r="AM278" s="146"/>
      <c r="AN278" s="146"/>
      <c r="AO278" s="146"/>
      <c r="AP278" s="146"/>
      <c r="AQ278" s="146"/>
      <c r="AR278" s="146"/>
      <c r="AS278" s="146"/>
      <c r="AT278" s="146"/>
      <c r="AU278" s="146"/>
      <c r="AV278" s="146"/>
      <c r="AW278" s="146"/>
      <c r="AX278" s="146"/>
      <c r="AY278" s="146"/>
      <c r="AZ278" s="146"/>
      <c r="BA278" s="146"/>
      <c r="BB278" s="146"/>
      <c r="BC278" s="146"/>
      <c r="BD278" s="146"/>
      <c r="BE278" s="146"/>
      <c r="BF278" s="146"/>
      <c r="BG278" s="146"/>
      <c r="BH278" s="146"/>
      <c r="BI278" s="146"/>
      <c r="BJ278" s="146"/>
      <c r="BK278" s="146"/>
      <c r="BL278" s="146"/>
      <c r="BM278" s="146"/>
      <c r="BN278" s="146"/>
      <c r="BO278" s="146"/>
      <c r="BP278" s="146"/>
      <c r="BQ278" s="146"/>
      <c r="BR278" s="146"/>
    </row>
    <row r="279" spans="2:70" ht="15.75" hidden="1">
      <c r="B279" s="146"/>
      <c r="C279" s="146"/>
      <c r="D279" s="146"/>
      <c r="E279" s="146"/>
      <c r="F279" s="146"/>
      <c r="G279" s="146"/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  <c r="AF279" s="146"/>
      <c r="AG279" s="146"/>
      <c r="AH279" s="146"/>
      <c r="AI279" s="146"/>
      <c r="AJ279" s="146"/>
      <c r="AK279" s="146"/>
      <c r="AL279" s="146"/>
      <c r="AM279" s="146"/>
      <c r="AN279" s="146"/>
      <c r="AO279" s="146"/>
      <c r="AP279" s="146"/>
      <c r="AQ279" s="146"/>
      <c r="AR279" s="146"/>
      <c r="AS279" s="146"/>
      <c r="AT279" s="146"/>
      <c r="AU279" s="146"/>
      <c r="AV279" s="146"/>
      <c r="AW279" s="146"/>
      <c r="AX279" s="146"/>
      <c r="AY279" s="146"/>
      <c r="AZ279" s="146"/>
      <c r="BA279" s="146"/>
      <c r="BB279" s="146"/>
      <c r="BC279" s="146"/>
      <c r="BD279" s="146"/>
      <c r="BE279" s="146"/>
      <c r="BF279" s="146"/>
      <c r="BG279" s="146"/>
      <c r="BH279" s="146"/>
      <c r="BI279" s="146"/>
      <c r="BJ279" s="146"/>
      <c r="BK279" s="146"/>
      <c r="BL279" s="146"/>
      <c r="BM279" s="146"/>
      <c r="BN279" s="146"/>
      <c r="BO279" s="146"/>
      <c r="BP279" s="146"/>
      <c r="BQ279" s="146"/>
      <c r="BR279" s="146"/>
    </row>
    <row r="280" spans="2:70" ht="15.75" hidden="1">
      <c r="B280" s="146"/>
      <c r="C280" s="146"/>
      <c r="D280" s="146"/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  <c r="AF280" s="146"/>
      <c r="AG280" s="146"/>
      <c r="AH280" s="146"/>
      <c r="AI280" s="146"/>
      <c r="AJ280" s="146"/>
      <c r="AK280" s="146"/>
      <c r="AL280" s="146"/>
      <c r="AM280" s="146"/>
      <c r="AN280" s="146"/>
      <c r="AO280" s="146"/>
      <c r="AP280" s="146"/>
      <c r="AQ280" s="146"/>
      <c r="AR280" s="146"/>
      <c r="AS280" s="146"/>
      <c r="AT280" s="146"/>
      <c r="AU280" s="146"/>
      <c r="AV280" s="146"/>
      <c r="AW280" s="146"/>
      <c r="AX280" s="146"/>
      <c r="AY280" s="146"/>
      <c r="AZ280" s="146"/>
      <c r="BA280" s="146"/>
      <c r="BB280" s="146"/>
      <c r="BC280" s="146"/>
      <c r="BD280" s="146"/>
      <c r="BE280" s="146"/>
      <c r="BF280" s="146"/>
      <c r="BG280" s="146"/>
      <c r="BH280" s="146"/>
      <c r="BI280" s="146"/>
      <c r="BJ280" s="146"/>
      <c r="BK280" s="146"/>
      <c r="BL280" s="146"/>
      <c r="BM280" s="146"/>
      <c r="BN280" s="146"/>
      <c r="BO280" s="146"/>
      <c r="BP280" s="146"/>
      <c r="BQ280" s="146"/>
      <c r="BR280" s="146"/>
    </row>
    <row r="281" spans="2:70" ht="15.75" hidden="1">
      <c r="B281" s="146"/>
      <c r="C281" s="146"/>
      <c r="D281" s="146"/>
      <c r="E281" s="146"/>
      <c r="F281" s="146"/>
      <c r="G281" s="146"/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  <c r="AF281" s="146"/>
      <c r="AG281" s="146"/>
      <c r="AH281" s="146"/>
      <c r="AI281" s="146"/>
      <c r="AJ281" s="146"/>
      <c r="AK281" s="146"/>
      <c r="AL281" s="146"/>
      <c r="AM281" s="146"/>
      <c r="AN281" s="146"/>
      <c r="AO281" s="146"/>
      <c r="AP281" s="146"/>
      <c r="AQ281" s="146"/>
      <c r="AR281" s="146"/>
      <c r="AS281" s="146"/>
      <c r="AT281" s="146"/>
      <c r="AU281" s="146"/>
      <c r="AV281" s="146"/>
      <c r="AW281" s="146"/>
      <c r="AX281" s="146"/>
      <c r="AY281" s="146"/>
      <c r="AZ281" s="146"/>
      <c r="BA281" s="146"/>
      <c r="BB281" s="146"/>
      <c r="BC281" s="146"/>
      <c r="BD281" s="146"/>
      <c r="BE281" s="146"/>
      <c r="BF281" s="146"/>
      <c r="BG281" s="146"/>
      <c r="BH281" s="146"/>
      <c r="BI281" s="146"/>
      <c r="BJ281" s="146"/>
      <c r="BK281" s="146"/>
      <c r="BL281" s="146"/>
      <c r="BM281" s="146"/>
      <c r="BN281" s="146"/>
      <c r="BO281" s="146"/>
      <c r="BP281" s="146"/>
      <c r="BQ281" s="146"/>
      <c r="BR281" s="146"/>
    </row>
    <row r="282" spans="2:70" ht="15.75" hidden="1">
      <c r="B282" s="146"/>
      <c r="C282" s="146"/>
      <c r="D282" s="146"/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  <c r="AF282" s="146"/>
      <c r="AG282" s="146"/>
      <c r="AH282" s="146"/>
      <c r="AI282" s="146"/>
      <c r="AJ282" s="146"/>
      <c r="AK282" s="146"/>
      <c r="AL282" s="146"/>
      <c r="AM282" s="146"/>
      <c r="AN282" s="146"/>
      <c r="AO282" s="146"/>
      <c r="AP282" s="146"/>
      <c r="AQ282" s="146"/>
      <c r="AR282" s="146"/>
      <c r="AS282" s="146"/>
      <c r="AT282" s="146"/>
      <c r="AU282" s="146"/>
      <c r="AV282" s="146"/>
      <c r="AW282" s="146"/>
      <c r="AX282" s="146"/>
      <c r="AY282" s="146"/>
      <c r="AZ282" s="146"/>
      <c r="BA282" s="146"/>
      <c r="BB282" s="146"/>
      <c r="BC282" s="146"/>
      <c r="BD282" s="146"/>
      <c r="BE282" s="146"/>
      <c r="BF282" s="146"/>
      <c r="BG282" s="146"/>
      <c r="BH282" s="146"/>
      <c r="BI282" s="146"/>
      <c r="BJ282" s="146"/>
      <c r="BK282" s="146"/>
      <c r="BL282" s="146"/>
      <c r="BM282" s="146"/>
      <c r="BN282" s="146"/>
      <c r="BO282" s="146"/>
      <c r="BP282" s="146"/>
      <c r="BQ282" s="146"/>
      <c r="BR282" s="146"/>
    </row>
    <row r="283" spans="2:70" ht="15.75" hidden="1">
      <c r="B283" s="146"/>
      <c r="C283" s="146"/>
      <c r="D283" s="146"/>
      <c r="E283" s="146"/>
      <c r="F283" s="146"/>
      <c r="G283" s="146"/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  <c r="AF283" s="146"/>
      <c r="AG283" s="146"/>
      <c r="AH283" s="146"/>
      <c r="AI283" s="146"/>
      <c r="AJ283" s="146"/>
      <c r="AK283" s="146"/>
      <c r="AL283" s="146"/>
      <c r="AM283" s="146"/>
      <c r="AN283" s="146"/>
      <c r="AO283" s="146"/>
      <c r="AP283" s="146"/>
      <c r="AQ283" s="146"/>
      <c r="AR283" s="146"/>
      <c r="AS283" s="146"/>
      <c r="AT283" s="146"/>
      <c r="AU283" s="146"/>
      <c r="AV283" s="146"/>
      <c r="AW283" s="146"/>
      <c r="AX283" s="146"/>
      <c r="AY283" s="146"/>
      <c r="AZ283" s="146"/>
      <c r="BA283" s="146"/>
      <c r="BB283" s="146"/>
      <c r="BC283" s="146"/>
      <c r="BD283" s="146"/>
      <c r="BE283" s="146"/>
      <c r="BF283" s="146"/>
      <c r="BG283" s="146"/>
      <c r="BH283" s="146"/>
      <c r="BI283" s="146"/>
      <c r="BJ283" s="146"/>
      <c r="BK283" s="146"/>
      <c r="BL283" s="146"/>
      <c r="BM283" s="146"/>
      <c r="BN283" s="146"/>
      <c r="BO283" s="146"/>
      <c r="BP283" s="146"/>
      <c r="BQ283" s="146"/>
      <c r="BR283" s="146"/>
    </row>
    <row r="284" spans="2:70" ht="15.75" hidden="1">
      <c r="B284" s="146"/>
      <c r="C284" s="146"/>
      <c r="D284" s="146"/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  <c r="AF284" s="146"/>
      <c r="AG284" s="146"/>
      <c r="AH284" s="146"/>
      <c r="AI284" s="146"/>
      <c r="AJ284" s="146"/>
      <c r="AK284" s="146"/>
      <c r="AL284" s="146"/>
      <c r="AM284" s="146"/>
      <c r="AN284" s="146"/>
      <c r="AO284" s="146"/>
      <c r="AP284" s="146"/>
      <c r="AQ284" s="146"/>
      <c r="AR284" s="146"/>
      <c r="AS284" s="146"/>
      <c r="AT284" s="146"/>
      <c r="AU284" s="146"/>
      <c r="AV284" s="146"/>
      <c r="AW284" s="146"/>
      <c r="AX284" s="146"/>
      <c r="AY284" s="146"/>
      <c r="AZ284" s="146"/>
      <c r="BA284" s="146"/>
      <c r="BB284" s="146"/>
      <c r="BC284" s="146"/>
      <c r="BD284" s="146"/>
      <c r="BE284" s="146"/>
      <c r="BF284" s="146"/>
      <c r="BG284" s="146"/>
      <c r="BH284" s="146"/>
      <c r="BI284" s="146"/>
      <c r="BJ284" s="146"/>
      <c r="BK284" s="146"/>
      <c r="BL284" s="146"/>
      <c r="BM284" s="146"/>
      <c r="BN284" s="146"/>
      <c r="BO284" s="146"/>
      <c r="BP284" s="146"/>
      <c r="BQ284" s="146"/>
      <c r="BR284" s="146"/>
    </row>
    <row r="285" spans="2:70" ht="15.75" hidden="1">
      <c r="B285" s="146"/>
      <c r="C285" s="146"/>
      <c r="D285" s="146"/>
      <c r="E285" s="146"/>
      <c r="F285" s="146"/>
      <c r="G285" s="146"/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  <c r="AF285" s="146"/>
      <c r="AG285" s="146"/>
      <c r="AH285" s="146"/>
      <c r="AI285" s="146"/>
      <c r="AJ285" s="146"/>
      <c r="AK285" s="146"/>
      <c r="AL285" s="146"/>
      <c r="AM285" s="146"/>
      <c r="AN285" s="146"/>
      <c r="AO285" s="146"/>
      <c r="AP285" s="146"/>
      <c r="AQ285" s="146"/>
      <c r="AR285" s="146"/>
      <c r="AS285" s="146"/>
      <c r="AT285" s="146"/>
      <c r="AU285" s="146"/>
      <c r="AV285" s="146"/>
      <c r="AW285" s="146"/>
      <c r="AX285" s="146"/>
      <c r="AY285" s="146"/>
      <c r="AZ285" s="146"/>
      <c r="BA285" s="146"/>
      <c r="BB285" s="146"/>
      <c r="BC285" s="146"/>
      <c r="BD285" s="146"/>
      <c r="BE285" s="146"/>
      <c r="BF285" s="146"/>
      <c r="BG285" s="146"/>
      <c r="BH285" s="146"/>
      <c r="BI285" s="146"/>
      <c r="BJ285" s="146"/>
      <c r="BK285" s="146"/>
      <c r="BL285" s="146"/>
      <c r="BM285" s="146"/>
      <c r="BN285" s="146"/>
      <c r="BO285" s="146"/>
      <c r="BP285" s="146"/>
      <c r="BQ285" s="146"/>
      <c r="BR285" s="146"/>
    </row>
    <row r="286" spans="2:70" ht="15.75" hidden="1">
      <c r="B286" s="146"/>
      <c r="C286" s="146"/>
      <c r="D286" s="146"/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  <c r="AD286" s="146"/>
      <c r="AE286" s="146"/>
      <c r="AF286" s="146"/>
      <c r="AG286" s="146"/>
      <c r="AH286" s="146"/>
      <c r="AI286" s="146"/>
      <c r="AJ286" s="146"/>
      <c r="AK286" s="146"/>
      <c r="AL286" s="146"/>
      <c r="AM286" s="146"/>
      <c r="AN286" s="146"/>
      <c r="AO286" s="146"/>
      <c r="AP286" s="146"/>
      <c r="AQ286" s="146"/>
      <c r="AR286" s="146"/>
      <c r="AS286" s="146"/>
      <c r="AT286" s="146"/>
      <c r="AU286" s="146"/>
      <c r="AV286" s="146"/>
      <c r="AW286" s="146"/>
      <c r="AX286" s="146"/>
      <c r="AY286" s="146"/>
      <c r="AZ286" s="146"/>
      <c r="BA286" s="146"/>
      <c r="BB286" s="146"/>
      <c r="BC286" s="146"/>
      <c r="BD286" s="146"/>
      <c r="BE286" s="146"/>
      <c r="BF286" s="146"/>
      <c r="BG286" s="146"/>
      <c r="BH286" s="146"/>
      <c r="BI286" s="146"/>
      <c r="BJ286" s="146"/>
      <c r="BK286" s="146"/>
      <c r="BL286" s="146"/>
      <c r="BM286" s="146"/>
      <c r="BN286" s="146"/>
      <c r="BO286" s="146"/>
      <c r="BP286" s="146"/>
      <c r="BQ286" s="146"/>
      <c r="BR286" s="146"/>
    </row>
    <row r="287" spans="2:70" ht="15.75" hidden="1">
      <c r="B287" s="146"/>
      <c r="C287" s="146"/>
      <c r="D287" s="146"/>
      <c r="E287" s="146"/>
      <c r="F287" s="146"/>
      <c r="G287" s="146"/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  <c r="AD287" s="146"/>
      <c r="AE287" s="146"/>
      <c r="AF287" s="146"/>
      <c r="AG287" s="146"/>
      <c r="AH287" s="146"/>
      <c r="AI287" s="146"/>
      <c r="AJ287" s="146"/>
      <c r="AK287" s="146"/>
      <c r="AL287" s="146"/>
      <c r="AM287" s="146"/>
      <c r="AN287" s="146"/>
      <c r="AO287" s="146"/>
      <c r="AP287" s="146"/>
      <c r="AQ287" s="146"/>
      <c r="AR287" s="146"/>
      <c r="AS287" s="146"/>
      <c r="AT287" s="146"/>
      <c r="AU287" s="146"/>
      <c r="AV287" s="146"/>
      <c r="AW287" s="146"/>
      <c r="AX287" s="146"/>
      <c r="AY287" s="146"/>
      <c r="AZ287" s="146"/>
      <c r="BA287" s="146"/>
      <c r="BB287" s="146"/>
      <c r="BC287" s="146"/>
      <c r="BD287" s="146"/>
      <c r="BE287" s="146"/>
      <c r="BF287" s="146"/>
      <c r="BG287" s="146"/>
      <c r="BH287" s="146"/>
      <c r="BI287" s="146"/>
      <c r="BJ287" s="146"/>
      <c r="BK287" s="146"/>
      <c r="BL287" s="146"/>
      <c r="BM287" s="146"/>
      <c r="BN287" s="146"/>
      <c r="BO287" s="146"/>
      <c r="BP287" s="146"/>
      <c r="BQ287" s="146"/>
      <c r="BR287" s="146"/>
    </row>
    <row r="288" spans="2:70" ht="15.75" hidden="1">
      <c r="B288" s="146"/>
      <c r="C288" s="146"/>
      <c r="D288" s="146"/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  <c r="AD288" s="146"/>
      <c r="AE288" s="146"/>
      <c r="AF288" s="146"/>
      <c r="AG288" s="146"/>
      <c r="AH288" s="146"/>
      <c r="AI288" s="146"/>
      <c r="AJ288" s="146"/>
      <c r="AK288" s="146"/>
      <c r="AL288" s="146"/>
      <c r="AM288" s="146"/>
      <c r="AN288" s="146"/>
      <c r="AO288" s="146"/>
      <c r="AP288" s="146"/>
      <c r="AQ288" s="146"/>
      <c r="AR288" s="146"/>
      <c r="AS288" s="146"/>
      <c r="AT288" s="146"/>
      <c r="AU288" s="146"/>
      <c r="AV288" s="146"/>
      <c r="AW288" s="146"/>
      <c r="AX288" s="146"/>
      <c r="AY288" s="146"/>
      <c r="AZ288" s="146"/>
      <c r="BA288" s="146"/>
      <c r="BB288" s="146"/>
      <c r="BC288" s="146"/>
      <c r="BD288" s="146"/>
      <c r="BE288" s="146"/>
      <c r="BF288" s="146"/>
      <c r="BG288" s="146"/>
      <c r="BH288" s="146"/>
      <c r="BI288" s="146"/>
      <c r="BJ288" s="146"/>
      <c r="BK288" s="146"/>
      <c r="BL288" s="146"/>
      <c r="BM288" s="146"/>
      <c r="BN288" s="146"/>
      <c r="BO288" s="146"/>
      <c r="BP288" s="146"/>
      <c r="BQ288" s="146"/>
      <c r="BR288" s="146"/>
    </row>
    <row r="289" spans="2:70" ht="15.75" hidden="1">
      <c r="B289" s="146"/>
      <c r="C289" s="146"/>
      <c r="D289" s="146"/>
      <c r="E289" s="146"/>
      <c r="F289" s="146"/>
      <c r="G289" s="146"/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  <c r="AF289" s="146"/>
      <c r="AG289" s="146"/>
      <c r="AH289" s="146"/>
      <c r="AI289" s="146"/>
      <c r="AJ289" s="146"/>
      <c r="AK289" s="146"/>
      <c r="AL289" s="146"/>
      <c r="AM289" s="146"/>
      <c r="AN289" s="146"/>
      <c r="AO289" s="146"/>
      <c r="AP289" s="146"/>
      <c r="AQ289" s="146"/>
      <c r="AR289" s="146"/>
      <c r="AS289" s="146"/>
      <c r="AT289" s="146"/>
      <c r="AU289" s="146"/>
      <c r="AV289" s="146"/>
      <c r="AW289" s="146"/>
      <c r="AX289" s="146"/>
      <c r="AY289" s="146"/>
      <c r="AZ289" s="146"/>
      <c r="BA289" s="146"/>
      <c r="BB289" s="146"/>
      <c r="BC289" s="146"/>
      <c r="BD289" s="146"/>
      <c r="BE289" s="146"/>
      <c r="BF289" s="146"/>
      <c r="BG289" s="146"/>
      <c r="BH289" s="146"/>
      <c r="BI289" s="146"/>
      <c r="BJ289" s="146"/>
      <c r="BK289" s="146"/>
      <c r="BL289" s="146"/>
      <c r="BM289" s="146"/>
      <c r="BN289" s="146"/>
      <c r="BO289" s="146"/>
      <c r="BP289" s="146"/>
      <c r="BQ289" s="146"/>
      <c r="BR289" s="146"/>
    </row>
    <row r="290" spans="2:70" ht="15.75" hidden="1">
      <c r="B290" s="146"/>
      <c r="C290" s="146"/>
      <c r="D290" s="146"/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  <c r="AD290" s="146"/>
      <c r="AE290" s="146"/>
      <c r="AF290" s="146"/>
      <c r="AG290" s="146"/>
      <c r="AH290" s="146"/>
      <c r="AI290" s="146"/>
      <c r="AJ290" s="146"/>
      <c r="AK290" s="146"/>
      <c r="AL290" s="146"/>
      <c r="AM290" s="146"/>
      <c r="AN290" s="146"/>
      <c r="AO290" s="146"/>
      <c r="AP290" s="146"/>
      <c r="AQ290" s="146"/>
      <c r="AR290" s="146"/>
      <c r="AS290" s="146"/>
      <c r="AT290" s="146"/>
      <c r="AU290" s="146"/>
      <c r="AV290" s="146"/>
      <c r="AW290" s="146"/>
      <c r="AX290" s="146"/>
      <c r="AY290" s="146"/>
      <c r="AZ290" s="146"/>
      <c r="BA290" s="146"/>
      <c r="BB290" s="146"/>
      <c r="BC290" s="146"/>
      <c r="BD290" s="146"/>
      <c r="BE290" s="146"/>
      <c r="BF290" s="146"/>
      <c r="BG290" s="146"/>
      <c r="BH290" s="146"/>
      <c r="BI290" s="146"/>
      <c r="BJ290" s="146"/>
      <c r="BK290" s="146"/>
      <c r="BL290" s="146"/>
      <c r="BM290" s="146"/>
      <c r="BN290" s="146"/>
      <c r="BO290" s="146"/>
      <c r="BP290" s="146"/>
      <c r="BQ290" s="146"/>
      <c r="BR290" s="146"/>
    </row>
    <row r="291" spans="2:70" ht="15.75" hidden="1">
      <c r="B291" s="146"/>
      <c r="C291" s="146"/>
      <c r="D291" s="146"/>
      <c r="E291" s="146"/>
      <c r="F291" s="146"/>
      <c r="G291" s="146"/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  <c r="AF291" s="146"/>
      <c r="AG291" s="146"/>
      <c r="AH291" s="146"/>
      <c r="AI291" s="146"/>
      <c r="AJ291" s="146"/>
      <c r="AK291" s="146"/>
      <c r="AL291" s="146"/>
      <c r="AM291" s="146"/>
      <c r="AN291" s="146"/>
      <c r="AO291" s="146"/>
      <c r="AP291" s="146"/>
      <c r="AQ291" s="146"/>
      <c r="AR291" s="146"/>
      <c r="AS291" s="146"/>
      <c r="AT291" s="146"/>
      <c r="AU291" s="146"/>
      <c r="AV291" s="146"/>
      <c r="AW291" s="146"/>
      <c r="AX291" s="146"/>
      <c r="AY291" s="146"/>
      <c r="AZ291" s="146"/>
      <c r="BA291" s="146"/>
      <c r="BB291" s="146"/>
      <c r="BC291" s="146"/>
      <c r="BD291" s="146"/>
      <c r="BE291" s="146"/>
      <c r="BF291" s="146"/>
      <c r="BG291" s="146"/>
      <c r="BH291" s="146"/>
      <c r="BI291" s="146"/>
      <c r="BJ291" s="146"/>
      <c r="BK291" s="146"/>
      <c r="BL291" s="146"/>
      <c r="BM291" s="146"/>
      <c r="BN291" s="146"/>
      <c r="BO291" s="146"/>
      <c r="BP291" s="146"/>
      <c r="BQ291" s="146"/>
      <c r="BR291" s="146"/>
    </row>
    <row r="292" spans="2:70" ht="15.75" hidden="1">
      <c r="B292" s="146"/>
      <c r="C292" s="146"/>
      <c r="D292" s="146"/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  <c r="AD292" s="146"/>
      <c r="AE292" s="146"/>
      <c r="AF292" s="146"/>
      <c r="AG292" s="146"/>
      <c r="AH292" s="146"/>
      <c r="AI292" s="146"/>
      <c r="AJ292" s="146"/>
      <c r="AK292" s="146"/>
      <c r="AL292" s="146"/>
      <c r="AM292" s="146"/>
      <c r="AN292" s="146"/>
      <c r="AO292" s="146"/>
      <c r="AP292" s="146"/>
      <c r="AQ292" s="146"/>
      <c r="AR292" s="146"/>
      <c r="AS292" s="146"/>
      <c r="AT292" s="146"/>
      <c r="AU292" s="146"/>
      <c r="AV292" s="146"/>
      <c r="AW292" s="146"/>
      <c r="AX292" s="146"/>
      <c r="AY292" s="146"/>
      <c r="AZ292" s="146"/>
      <c r="BA292" s="146"/>
      <c r="BB292" s="146"/>
      <c r="BC292" s="146"/>
      <c r="BD292" s="146"/>
      <c r="BE292" s="146"/>
      <c r="BF292" s="146"/>
      <c r="BG292" s="146"/>
      <c r="BH292" s="146"/>
      <c r="BI292" s="146"/>
      <c r="BJ292" s="146"/>
      <c r="BK292" s="146"/>
      <c r="BL292" s="146"/>
      <c r="BM292" s="146"/>
      <c r="BN292" s="146"/>
      <c r="BO292" s="146"/>
      <c r="BP292" s="146"/>
      <c r="BQ292" s="146"/>
      <c r="BR292" s="146"/>
    </row>
    <row r="293" spans="2:70" ht="15.75" hidden="1">
      <c r="B293" s="146"/>
      <c r="C293" s="146"/>
      <c r="D293" s="146"/>
      <c r="E293" s="146"/>
      <c r="F293" s="146"/>
      <c r="G293" s="146"/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  <c r="AF293" s="146"/>
      <c r="AG293" s="146"/>
      <c r="AH293" s="146"/>
      <c r="AI293" s="146"/>
      <c r="AJ293" s="146"/>
      <c r="AK293" s="146"/>
      <c r="AL293" s="146"/>
      <c r="AM293" s="146"/>
      <c r="AN293" s="146"/>
      <c r="AO293" s="146"/>
      <c r="AP293" s="146"/>
      <c r="AQ293" s="146"/>
      <c r="AR293" s="146"/>
      <c r="AS293" s="146"/>
      <c r="AT293" s="146"/>
      <c r="AU293" s="146"/>
      <c r="AV293" s="146"/>
      <c r="AW293" s="146"/>
      <c r="AX293" s="146"/>
      <c r="AY293" s="146"/>
      <c r="AZ293" s="146"/>
      <c r="BA293" s="146"/>
      <c r="BB293" s="146"/>
      <c r="BC293" s="146"/>
      <c r="BD293" s="146"/>
      <c r="BE293" s="146"/>
      <c r="BF293" s="146"/>
      <c r="BG293" s="146"/>
      <c r="BH293" s="146"/>
      <c r="BI293" s="146"/>
      <c r="BJ293" s="146"/>
      <c r="BK293" s="146"/>
      <c r="BL293" s="146"/>
      <c r="BM293" s="146"/>
      <c r="BN293" s="146"/>
      <c r="BO293" s="146"/>
      <c r="BP293" s="146"/>
      <c r="BQ293" s="146"/>
      <c r="BR293" s="146"/>
    </row>
    <row r="294" spans="2:70" ht="15.75" hidden="1">
      <c r="B294" s="146"/>
      <c r="C294" s="146"/>
      <c r="D294" s="146"/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  <c r="AF294" s="146"/>
      <c r="AG294" s="146"/>
      <c r="AH294" s="146"/>
      <c r="AI294" s="146"/>
      <c r="AJ294" s="146"/>
      <c r="AK294" s="146"/>
      <c r="AL294" s="146"/>
      <c r="AM294" s="146"/>
      <c r="AN294" s="146"/>
      <c r="AO294" s="146"/>
      <c r="AP294" s="146"/>
      <c r="AQ294" s="146"/>
      <c r="AR294" s="146"/>
      <c r="AS294" s="146"/>
      <c r="AT294" s="146"/>
      <c r="AU294" s="146"/>
      <c r="AV294" s="146"/>
      <c r="AW294" s="146"/>
      <c r="AX294" s="146"/>
      <c r="AY294" s="146"/>
      <c r="AZ294" s="146"/>
      <c r="BA294" s="146"/>
      <c r="BB294" s="146"/>
      <c r="BC294" s="146"/>
      <c r="BD294" s="146"/>
      <c r="BE294" s="146"/>
      <c r="BF294" s="146"/>
      <c r="BG294" s="146"/>
      <c r="BH294" s="146"/>
      <c r="BI294" s="146"/>
      <c r="BJ294" s="146"/>
      <c r="BK294" s="146"/>
      <c r="BL294" s="146"/>
      <c r="BM294" s="146"/>
      <c r="BN294" s="146"/>
      <c r="BO294" s="146"/>
      <c r="BP294" s="146"/>
      <c r="BQ294" s="146"/>
      <c r="BR294" s="146"/>
    </row>
    <row r="295" spans="2:70" ht="15.75" hidden="1">
      <c r="B295" s="146"/>
      <c r="C295" s="146"/>
      <c r="D295" s="146"/>
      <c r="E295" s="146"/>
      <c r="F295" s="146"/>
      <c r="G295" s="146"/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  <c r="AF295" s="146"/>
      <c r="AG295" s="146"/>
      <c r="AH295" s="146"/>
      <c r="AI295" s="146"/>
      <c r="AJ295" s="146"/>
      <c r="AK295" s="146"/>
      <c r="AL295" s="146"/>
      <c r="AM295" s="146"/>
      <c r="AN295" s="146"/>
      <c r="AO295" s="146"/>
      <c r="AP295" s="146"/>
      <c r="AQ295" s="146"/>
      <c r="AR295" s="146"/>
      <c r="AS295" s="146"/>
      <c r="AT295" s="146"/>
      <c r="AU295" s="146"/>
      <c r="AV295" s="146"/>
      <c r="AW295" s="146"/>
      <c r="AX295" s="146"/>
      <c r="AY295" s="146"/>
      <c r="AZ295" s="146"/>
      <c r="BA295" s="146"/>
      <c r="BB295" s="146"/>
      <c r="BC295" s="146"/>
      <c r="BD295" s="146"/>
      <c r="BE295" s="146"/>
      <c r="BF295" s="146"/>
      <c r="BG295" s="146"/>
      <c r="BH295" s="146"/>
      <c r="BI295" s="146"/>
      <c r="BJ295" s="146"/>
      <c r="BK295" s="146"/>
      <c r="BL295" s="146"/>
      <c r="BM295" s="146"/>
      <c r="BN295" s="146"/>
      <c r="BO295" s="146"/>
      <c r="BP295" s="146"/>
      <c r="BQ295" s="146"/>
      <c r="BR295" s="146"/>
    </row>
    <row r="296" spans="2:70" ht="15.75" hidden="1">
      <c r="B296" s="146"/>
      <c r="C296" s="146"/>
      <c r="D296" s="146"/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  <c r="AF296" s="146"/>
      <c r="AG296" s="146"/>
      <c r="AH296" s="146"/>
      <c r="AI296" s="146"/>
      <c r="AJ296" s="146"/>
      <c r="AK296" s="146"/>
      <c r="AL296" s="146"/>
      <c r="AM296" s="146"/>
      <c r="AN296" s="146"/>
      <c r="AO296" s="146"/>
      <c r="AP296" s="146"/>
      <c r="AQ296" s="146"/>
      <c r="AR296" s="146"/>
      <c r="AS296" s="146"/>
      <c r="AT296" s="146"/>
      <c r="AU296" s="146"/>
      <c r="AV296" s="146"/>
      <c r="AW296" s="146"/>
      <c r="AX296" s="146"/>
      <c r="AY296" s="146"/>
      <c r="AZ296" s="146"/>
      <c r="BA296" s="146"/>
      <c r="BB296" s="146"/>
      <c r="BC296" s="146"/>
      <c r="BD296" s="146"/>
      <c r="BE296" s="146"/>
      <c r="BF296" s="146"/>
      <c r="BG296" s="146"/>
      <c r="BH296" s="146"/>
      <c r="BI296" s="146"/>
      <c r="BJ296" s="146"/>
      <c r="BK296" s="146"/>
      <c r="BL296" s="146"/>
      <c r="BM296" s="146"/>
      <c r="BN296" s="146"/>
      <c r="BO296" s="146"/>
      <c r="BP296" s="146"/>
      <c r="BQ296" s="146"/>
      <c r="BR296" s="146"/>
    </row>
    <row r="297" spans="2:70" ht="15.75" hidden="1">
      <c r="B297" s="146"/>
      <c r="C297" s="146"/>
      <c r="D297" s="146"/>
      <c r="E297" s="146"/>
      <c r="F297" s="146"/>
      <c r="G297" s="146"/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  <c r="AF297" s="146"/>
      <c r="AG297" s="146"/>
      <c r="AH297" s="146"/>
      <c r="AI297" s="146"/>
      <c r="AJ297" s="146"/>
      <c r="AK297" s="146"/>
      <c r="AL297" s="146"/>
      <c r="AM297" s="146"/>
      <c r="AN297" s="146"/>
      <c r="AO297" s="146"/>
      <c r="AP297" s="146"/>
      <c r="AQ297" s="146"/>
      <c r="AR297" s="146"/>
      <c r="AS297" s="146"/>
      <c r="AT297" s="146"/>
      <c r="AU297" s="146"/>
      <c r="AV297" s="146"/>
      <c r="AW297" s="146"/>
      <c r="AX297" s="146"/>
      <c r="AY297" s="146"/>
      <c r="AZ297" s="146"/>
      <c r="BA297" s="146"/>
      <c r="BB297" s="146"/>
      <c r="BC297" s="146"/>
      <c r="BD297" s="146"/>
      <c r="BE297" s="146"/>
      <c r="BF297" s="146"/>
      <c r="BG297" s="146"/>
      <c r="BH297" s="146"/>
      <c r="BI297" s="146"/>
      <c r="BJ297" s="146"/>
      <c r="BK297" s="146"/>
      <c r="BL297" s="146"/>
      <c r="BM297" s="146"/>
      <c r="BN297" s="146"/>
      <c r="BO297" s="146"/>
      <c r="BP297" s="146"/>
      <c r="BQ297" s="146"/>
      <c r="BR297" s="146"/>
    </row>
    <row r="298" spans="2:70" ht="15.75" hidden="1">
      <c r="B298" s="146"/>
      <c r="C298" s="146"/>
      <c r="D298" s="146"/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  <c r="AF298" s="146"/>
      <c r="AG298" s="146"/>
      <c r="AH298" s="146"/>
      <c r="AI298" s="146"/>
      <c r="AJ298" s="146"/>
      <c r="AK298" s="146"/>
      <c r="AL298" s="146"/>
      <c r="AM298" s="146"/>
      <c r="AN298" s="146"/>
      <c r="AO298" s="146"/>
      <c r="AP298" s="146"/>
      <c r="AQ298" s="146"/>
      <c r="AR298" s="146"/>
      <c r="AS298" s="146"/>
      <c r="AT298" s="146"/>
      <c r="AU298" s="146"/>
      <c r="AV298" s="146"/>
      <c r="AW298" s="146"/>
      <c r="AX298" s="146"/>
      <c r="AY298" s="146"/>
      <c r="AZ298" s="146"/>
      <c r="BA298" s="146"/>
      <c r="BB298" s="146"/>
      <c r="BC298" s="146"/>
      <c r="BD298" s="146"/>
      <c r="BE298" s="146"/>
      <c r="BF298" s="146"/>
      <c r="BG298" s="146"/>
      <c r="BH298" s="146"/>
      <c r="BI298" s="146"/>
      <c r="BJ298" s="146"/>
      <c r="BK298" s="146"/>
      <c r="BL298" s="146"/>
      <c r="BM298" s="146"/>
      <c r="BN298" s="146"/>
      <c r="BO298" s="146"/>
      <c r="BP298" s="146"/>
      <c r="BQ298" s="146"/>
      <c r="BR298" s="146"/>
    </row>
    <row r="299" spans="2:70" ht="15.75" hidden="1">
      <c r="B299" s="146"/>
      <c r="C299" s="146"/>
      <c r="D299" s="146"/>
      <c r="E299" s="146"/>
      <c r="F299" s="146"/>
      <c r="G299" s="146"/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  <c r="AD299" s="146"/>
      <c r="AE299" s="146"/>
      <c r="AF299" s="146"/>
      <c r="AG299" s="146"/>
      <c r="AH299" s="146"/>
      <c r="AI299" s="146"/>
      <c r="AJ299" s="146"/>
      <c r="AK299" s="146"/>
      <c r="AL299" s="146"/>
      <c r="AM299" s="146"/>
      <c r="AN299" s="146"/>
      <c r="AO299" s="146"/>
      <c r="AP299" s="146"/>
      <c r="AQ299" s="146"/>
      <c r="AR299" s="146"/>
      <c r="AS299" s="146"/>
      <c r="AT299" s="146"/>
      <c r="AU299" s="146"/>
      <c r="AV299" s="146"/>
      <c r="AW299" s="146"/>
      <c r="AX299" s="146"/>
      <c r="AY299" s="146"/>
      <c r="AZ299" s="146"/>
      <c r="BA299" s="146"/>
      <c r="BB299" s="146"/>
      <c r="BC299" s="146"/>
      <c r="BD299" s="146"/>
      <c r="BE299" s="146"/>
      <c r="BF299" s="146"/>
      <c r="BG299" s="146"/>
      <c r="BH299" s="146"/>
      <c r="BI299" s="146"/>
      <c r="BJ299" s="146"/>
      <c r="BK299" s="146"/>
      <c r="BL299" s="146"/>
      <c r="BM299" s="146"/>
      <c r="BN299" s="146"/>
      <c r="BO299" s="146"/>
      <c r="BP299" s="146"/>
      <c r="BQ299" s="146"/>
      <c r="BR299" s="146"/>
    </row>
    <row r="300" spans="2:70" ht="15.75" hidden="1">
      <c r="B300" s="146"/>
      <c r="C300" s="146"/>
      <c r="D300" s="146"/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  <c r="AF300" s="146"/>
      <c r="AG300" s="146"/>
      <c r="AH300" s="146"/>
      <c r="AI300" s="146"/>
      <c r="AJ300" s="146"/>
      <c r="AK300" s="146"/>
      <c r="AL300" s="146"/>
      <c r="AM300" s="146"/>
      <c r="AN300" s="146"/>
      <c r="AO300" s="146"/>
      <c r="AP300" s="146"/>
      <c r="AQ300" s="146"/>
      <c r="AR300" s="146"/>
      <c r="AS300" s="146"/>
      <c r="AT300" s="146"/>
      <c r="AU300" s="146"/>
      <c r="AV300" s="146"/>
      <c r="AW300" s="146"/>
      <c r="AX300" s="146"/>
      <c r="AY300" s="146"/>
      <c r="AZ300" s="146"/>
      <c r="BA300" s="146"/>
      <c r="BB300" s="146"/>
      <c r="BC300" s="146"/>
      <c r="BD300" s="146"/>
      <c r="BE300" s="146"/>
      <c r="BF300" s="146"/>
      <c r="BG300" s="146"/>
      <c r="BH300" s="146"/>
      <c r="BI300" s="146"/>
      <c r="BJ300" s="146"/>
      <c r="BK300" s="146"/>
      <c r="BL300" s="146"/>
      <c r="BM300" s="146"/>
      <c r="BN300" s="146"/>
      <c r="BO300" s="146"/>
      <c r="BP300" s="146"/>
      <c r="BQ300" s="146"/>
      <c r="BR300" s="146"/>
    </row>
    <row r="301" spans="2:70" ht="15.75" hidden="1">
      <c r="B301" s="146"/>
      <c r="C301" s="146"/>
      <c r="D301" s="146"/>
      <c r="E301" s="146"/>
      <c r="F301" s="146"/>
      <c r="G301" s="146"/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  <c r="AF301" s="146"/>
      <c r="AG301" s="146"/>
      <c r="AH301" s="146"/>
      <c r="AI301" s="146"/>
      <c r="AJ301" s="146"/>
      <c r="AK301" s="146"/>
      <c r="AL301" s="146"/>
      <c r="AM301" s="146"/>
      <c r="AN301" s="146"/>
      <c r="AO301" s="146"/>
      <c r="AP301" s="146"/>
      <c r="AQ301" s="146"/>
      <c r="AR301" s="146"/>
      <c r="AS301" s="146"/>
      <c r="AT301" s="146"/>
      <c r="AU301" s="146"/>
      <c r="AV301" s="146"/>
      <c r="AW301" s="146"/>
      <c r="AX301" s="146"/>
      <c r="AY301" s="146"/>
      <c r="AZ301" s="146"/>
      <c r="BA301" s="146"/>
      <c r="BB301" s="146"/>
      <c r="BC301" s="146"/>
      <c r="BD301" s="146"/>
      <c r="BE301" s="146"/>
      <c r="BF301" s="146"/>
      <c r="BG301" s="146"/>
      <c r="BH301" s="146"/>
      <c r="BI301" s="146"/>
      <c r="BJ301" s="146"/>
      <c r="BK301" s="146"/>
      <c r="BL301" s="146"/>
      <c r="BM301" s="146"/>
      <c r="BN301" s="146"/>
      <c r="BO301" s="146"/>
      <c r="BP301" s="146"/>
      <c r="BQ301" s="146"/>
      <c r="BR301" s="146"/>
    </row>
    <row r="302" spans="2:70" ht="15.75" hidden="1">
      <c r="B302" s="146"/>
      <c r="C302" s="146"/>
      <c r="D302" s="146"/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  <c r="AF302" s="146"/>
      <c r="AG302" s="146"/>
      <c r="AH302" s="146"/>
      <c r="AI302" s="146"/>
      <c r="AJ302" s="146"/>
      <c r="AK302" s="146"/>
      <c r="AL302" s="146"/>
      <c r="AM302" s="146"/>
      <c r="AN302" s="146"/>
      <c r="AO302" s="146"/>
      <c r="AP302" s="146"/>
      <c r="AQ302" s="146"/>
      <c r="AR302" s="146"/>
      <c r="AS302" s="146"/>
      <c r="AT302" s="146"/>
      <c r="AU302" s="146"/>
      <c r="AV302" s="146"/>
      <c r="AW302" s="146"/>
      <c r="AX302" s="146"/>
      <c r="AY302" s="146"/>
      <c r="AZ302" s="146"/>
      <c r="BA302" s="146"/>
      <c r="BB302" s="146"/>
      <c r="BC302" s="146"/>
      <c r="BD302" s="146"/>
      <c r="BE302" s="146"/>
      <c r="BF302" s="146"/>
      <c r="BG302" s="146"/>
      <c r="BH302" s="146"/>
      <c r="BI302" s="146"/>
      <c r="BJ302" s="146"/>
      <c r="BK302" s="146"/>
      <c r="BL302" s="146"/>
      <c r="BM302" s="146"/>
      <c r="BN302" s="146"/>
      <c r="BO302" s="146"/>
      <c r="BP302" s="146"/>
      <c r="BQ302" s="146"/>
      <c r="BR302" s="146"/>
    </row>
    <row r="303" spans="2:70" ht="15.75" hidden="1">
      <c r="B303" s="146"/>
      <c r="C303" s="146"/>
      <c r="D303" s="146"/>
      <c r="E303" s="146"/>
      <c r="F303" s="146"/>
      <c r="G303" s="146"/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  <c r="AF303" s="146"/>
      <c r="AG303" s="146"/>
      <c r="AH303" s="146"/>
      <c r="AI303" s="146"/>
      <c r="AJ303" s="146"/>
      <c r="AK303" s="146"/>
      <c r="AL303" s="146"/>
      <c r="AM303" s="146"/>
      <c r="AN303" s="146"/>
      <c r="AO303" s="146"/>
      <c r="AP303" s="146"/>
      <c r="AQ303" s="146"/>
      <c r="AR303" s="146"/>
      <c r="AS303" s="146"/>
      <c r="AT303" s="146"/>
      <c r="AU303" s="146"/>
      <c r="AV303" s="146"/>
      <c r="AW303" s="146"/>
      <c r="AX303" s="146"/>
      <c r="AY303" s="146"/>
      <c r="AZ303" s="146"/>
      <c r="BA303" s="146"/>
      <c r="BB303" s="146"/>
      <c r="BC303" s="146"/>
      <c r="BD303" s="146"/>
      <c r="BE303" s="146"/>
      <c r="BF303" s="146"/>
      <c r="BG303" s="146"/>
      <c r="BH303" s="146"/>
      <c r="BI303" s="146"/>
      <c r="BJ303" s="146"/>
      <c r="BK303" s="146"/>
      <c r="BL303" s="146"/>
      <c r="BM303" s="146"/>
      <c r="BN303" s="146"/>
      <c r="BO303" s="146"/>
      <c r="BP303" s="146"/>
      <c r="BQ303" s="146"/>
      <c r="BR303" s="146"/>
    </row>
    <row r="304" spans="2:70" ht="15.75" hidden="1">
      <c r="B304" s="146"/>
      <c r="C304" s="146"/>
      <c r="D304" s="146"/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  <c r="AF304" s="146"/>
      <c r="AG304" s="146"/>
      <c r="AH304" s="146"/>
      <c r="AI304" s="146"/>
      <c r="AJ304" s="146"/>
      <c r="AK304" s="146"/>
      <c r="AL304" s="146"/>
      <c r="AM304" s="146"/>
      <c r="AN304" s="146"/>
      <c r="AO304" s="146"/>
      <c r="AP304" s="146"/>
      <c r="AQ304" s="146"/>
      <c r="AR304" s="146"/>
      <c r="AS304" s="146"/>
      <c r="AT304" s="146"/>
      <c r="AU304" s="146"/>
      <c r="AV304" s="146"/>
      <c r="AW304" s="146"/>
      <c r="AX304" s="146"/>
      <c r="AY304" s="146"/>
      <c r="AZ304" s="146"/>
      <c r="BA304" s="146"/>
      <c r="BB304" s="146"/>
      <c r="BC304" s="146"/>
      <c r="BD304" s="146"/>
      <c r="BE304" s="146"/>
      <c r="BF304" s="146"/>
      <c r="BG304" s="146"/>
      <c r="BH304" s="146"/>
      <c r="BI304" s="146"/>
      <c r="BJ304" s="146"/>
      <c r="BK304" s="146"/>
      <c r="BL304" s="146"/>
      <c r="BM304" s="146"/>
      <c r="BN304" s="146"/>
      <c r="BO304" s="146"/>
      <c r="BP304" s="146"/>
      <c r="BQ304" s="146"/>
      <c r="BR304" s="146"/>
    </row>
    <row r="305" spans="2:70" ht="15.75" hidden="1">
      <c r="B305" s="146"/>
      <c r="C305" s="146"/>
      <c r="D305" s="146"/>
      <c r="E305" s="146"/>
      <c r="F305" s="146"/>
      <c r="G305" s="146"/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  <c r="AF305" s="146"/>
      <c r="AG305" s="146"/>
      <c r="AH305" s="146"/>
      <c r="AI305" s="146"/>
      <c r="AJ305" s="146"/>
      <c r="AK305" s="146"/>
      <c r="AL305" s="146"/>
      <c r="AM305" s="146"/>
      <c r="AN305" s="146"/>
      <c r="AO305" s="146"/>
      <c r="AP305" s="146"/>
      <c r="AQ305" s="146"/>
      <c r="AR305" s="146"/>
      <c r="AS305" s="146"/>
      <c r="AT305" s="146"/>
      <c r="AU305" s="146"/>
      <c r="AV305" s="146"/>
      <c r="AW305" s="146"/>
      <c r="AX305" s="146"/>
      <c r="AY305" s="146"/>
      <c r="AZ305" s="146"/>
      <c r="BA305" s="146"/>
      <c r="BB305" s="146"/>
      <c r="BC305" s="146"/>
      <c r="BD305" s="146"/>
      <c r="BE305" s="146"/>
      <c r="BF305" s="146"/>
      <c r="BG305" s="146"/>
      <c r="BH305" s="146"/>
      <c r="BI305" s="146"/>
      <c r="BJ305" s="146"/>
      <c r="BK305" s="146"/>
      <c r="BL305" s="146"/>
      <c r="BM305" s="146"/>
      <c r="BN305" s="146"/>
      <c r="BO305" s="146"/>
      <c r="BP305" s="146"/>
      <c r="BQ305" s="146"/>
      <c r="BR305" s="146"/>
    </row>
    <row r="306" spans="2:70" ht="15.75" hidden="1">
      <c r="B306" s="146"/>
      <c r="C306" s="146"/>
      <c r="D306" s="146"/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  <c r="AF306" s="146"/>
      <c r="AG306" s="146"/>
      <c r="AH306" s="146"/>
      <c r="AI306" s="146"/>
      <c r="AJ306" s="146"/>
      <c r="AK306" s="146"/>
      <c r="AL306" s="146"/>
      <c r="AM306" s="146"/>
      <c r="AN306" s="146"/>
      <c r="AO306" s="146"/>
      <c r="AP306" s="146"/>
      <c r="AQ306" s="146"/>
      <c r="AR306" s="146"/>
      <c r="AS306" s="146"/>
      <c r="AT306" s="146"/>
      <c r="AU306" s="146"/>
      <c r="AV306" s="146"/>
      <c r="AW306" s="146"/>
      <c r="AX306" s="146"/>
      <c r="AY306" s="146"/>
      <c r="AZ306" s="146"/>
      <c r="BA306" s="146"/>
      <c r="BB306" s="146"/>
      <c r="BC306" s="146"/>
      <c r="BD306" s="146"/>
      <c r="BE306" s="146"/>
      <c r="BF306" s="146"/>
      <c r="BG306" s="146"/>
      <c r="BH306" s="146"/>
      <c r="BI306" s="146"/>
      <c r="BJ306" s="146"/>
      <c r="BK306" s="146"/>
      <c r="BL306" s="146"/>
      <c r="BM306" s="146"/>
      <c r="BN306" s="146"/>
      <c r="BO306" s="146"/>
      <c r="BP306" s="146"/>
      <c r="BQ306" s="146"/>
      <c r="BR306" s="146"/>
    </row>
    <row r="307" spans="2:70" ht="15.75" hidden="1">
      <c r="B307" s="146"/>
      <c r="C307" s="146"/>
      <c r="D307" s="146"/>
      <c r="E307" s="146"/>
      <c r="F307" s="146"/>
      <c r="G307" s="146"/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  <c r="AD307" s="146"/>
      <c r="AE307" s="146"/>
      <c r="AF307" s="146"/>
      <c r="AG307" s="146"/>
      <c r="AH307" s="146"/>
      <c r="AI307" s="146"/>
      <c r="AJ307" s="146"/>
      <c r="AK307" s="146"/>
      <c r="AL307" s="146"/>
      <c r="AM307" s="146"/>
      <c r="AN307" s="146"/>
      <c r="AO307" s="146"/>
      <c r="AP307" s="146"/>
      <c r="AQ307" s="146"/>
      <c r="AR307" s="146"/>
      <c r="AS307" s="146"/>
      <c r="AT307" s="146"/>
      <c r="AU307" s="146"/>
      <c r="AV307" s="146"/>
      <c r="AW307" s="146"/>
      <c r="AX307" s="146"/>
      <c r="AY307" s="146"/>
      <c r="AZ307" s="146"/>
      <c r="BA307" s="146"/>
      <c r="BB307" s="146"/>
      <c r="BC307" s="146"/>
      <c r="BD307" s="146"/>
      <c r="BE307" s="146"/>
      <c r="BF307" s="146"/>
      <c r="BG307" s="146"/>
      <c r="BH307" s="146"/>
      <c r="BI307" s="146"/>
      <c r="BJ307" s="146"/>
      <c r="BK307" s="146"/>
      <c r="BL307" s="146"/>
      <c r="BM307" s="146"/>
      <c r="BN307" s="146"/>
      <c r="BO307" s="146"/>
      <c r="BP307" s="146"/>
      <c r="BQ307" s="146"/>
      <c r="BR307" s="146"/>
    </row>
    <row r="308" spans="2:70" ht="15.75" hidden="1">
      <c r="B308" s="146"/>
      <c r="C308" s="146"/>
      <c r="D308" s="146"/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  <c r="AF308" s="146"/>
      <c r="AG308" s="146"/>
      <c r="AH308" s="146"/>
      <c r="AI308" s="146"/>
      <c r="AJ308" s="146"/>
      <c r="AK308" s="146"/>
      <c r="AL308" s="146"/>
      <c r="AM308" s="146"/>
      <c r="AN308" s="146"/>
      <c r="AO308" s="146"/>
      <c r="AP308" s="146"/>
      <c r="AQ308" s="146"/>
      <c r="AR308" s="146"/>
      <c r="AS308" s="146"/>
      <c r="AT308" s="146"/>
      <c r="AU308" s="146"/>
      <c r="AV308" s="146"/>
      <c r="AW308" s="146"/>
      <c r="AX308" s="146"/>
      <c r="AY308" s="146"/>
      <c r="AZ308" s="146"/>
      <c r="BA308" s="146"/>
      <c r="BB308" s="146"/>
      <c r="BC308" s="146"/>
      <c r="BD308" s="146"/>
      <c r="BE308" s="146"/>
      <c r="BF308" s="146"/>
      <c r="BG308" s="146"/>
      <c r="BH308" s="146"/>
      <c r="BI308" s="146"/>
      <c r="BJ308" s="146"/>
      <c r="BK308" s="146"/>
      <c r="BL308" s="146"/>
      <c r="BM308" s="146"/>
      <c r="BN308" s="146"/>
      <c r="BO308" s="146"/>
      <c r="BP308" s="146"/>
      <c r="BQ308" s="146"/>
      <c r="BR308" s="146"/>
    </row>
    <row r="309" spans="2:70" ht="15.75" hidden="1">
      <c r="B309" s="146"/>
      <c r="C309" s="146"/>
      <c r="D309" s="146"/>
      <c r="E309" s="146"/>
      <c r="F309" s="146"/>
      <c r="G309" s="146"/>
      <c r="H309" s="146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  <c r="AD309" s="146"/>
      <c r="AE309" s="146"/>
      <c r="AF309" s="146"/>
      <c r="AG309" s="146"/>
      <c r="AH309" s="146"/>
      <c r="AI309" s="146"/>
      <c r="AJ309" s="146"/>
      <c r="AK309" s="146"/>
      <c r="AL309" s="146"/>
      <c r="AM309" s="146"/>
      <c r="AN309" s="146"/>
      <c r="AO309" s="146"/>
      <c r="AP309" s="146"/>
      <c r="AQ309" s="146"/>
      <c r="AR309" s="146"/>
      <c r="AS309" s="146"/>
      <c r="AT309" s="146"/>
      <c r="AU309" s="146"/>
      <c r="AV309" s="146"/>
      <c r="AW309" s="146"/>
      <c r="AX309" s="146"/>
      <c r="AY309" s="146"/>
      <c r="AZ309" s="146"/>
      <c r="BA309" s="146"/>
      <c r="BB309" s="146"/>
      <c r="BC309" s="146"/>
      <c r="BD309" s="146"/>
      <c r="BE309" s="146"/>
      <c r="BF309" s="146"/>
      <c r="BG309" s="146"/>
      <c r="BH309" s="146"/>
      <c r="BI309" s="146"/>
      <c r="BJ309" s="146"/>
      <c r="BK309" s="146"/>
      <c r="BL309" s="146"/>
      <c r="BM309" s="146"/>
      <c r="BN309" s="146"/>
      <c r="BO309" s="146"/>
      <c r="BP309" s="146"/>
      <c r="BQ309" s="146"/>
      <c r="BR309" s="146"/>
    </row>
    <row r="310" spans="2:70" ht="15.75" hidden="1">
      <c r="B310" s="146"/>
      <c r="C310" s="146"/>
      <c r="D310" s="146"/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  <c r="AF310" s="146"/>
      <c r="AG310" s="146"/>
      <c r="AH310" s="146"/>
      <c r="AI310" s="146"/>
      <c r="AJ310" s="146"/>
      <c r="AK310" s="146"/>
      <c r="AL310" s="146"/>
      <c r="AM310" s="146"/>
      <c r="AN310" s="146"/>
      <c r="AO310" s="146"/>
      <c r="AP310" s="146"/>
      <c r="AQ310" s="146"/>
      <c r="AR310" s="146"/>
      <c r="AS310" s="146"/>
      <c r="AT310" s="146"/>
      <c r="AU310" s="146"/>
      <c r="AV310" s="146"/>
      <c r="AW310" s="146"/>
      <c r="AX310" s="146"/>
      <c r="AY310" s="146"/>
      <c r="AZ310" s="146"/>
      <c r="BA310" s="146"/>
      <c r="BB310" s="146"/>
      <c r="BC310" s="146"/>
      <c r="BD310" s="146"/>
      <c r="BE310" s="146"/>
      <c r="BF310" s="146"/>
      <c r="BG310" s="146"/>
      <c r="BH310" s="146"/>
      <c r="BI310" s="146"/>
      <c r="BJ310" s="146"/>
      <c r="BK310" s="146"/>
      <c r="BL310" s="146"/>
      <c r="BM310" s="146"/>
      <c r="BN310" s="146"/>
      <c r="BO310" s="146"/>
      <c r="BP310" s="146"/>
      <c r="BQ310" s="146"/>
      <c r="BR310" s="146"/>
    </row>
    <row r="311" spans="2:70" ht="15.75" hidden="1">
      <c r="B311" s="146"/>
      <c r="C311" s="146"/>
      <c r="D311" s="146"/>
      <c r="E311" s="146"/>
      <c r="F311" s="146"/>
      <c r="G311" s="146"/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  <c r="AD311" s="146"/>
      <c r="AE311" s="146"/>
      <c r="AF311" s="146"/>
      <c r="AG311" s="146"/>
      <c r="AH311" s="146"/>
      <c r="AI311" s="146"/>
      <c r="AJ311" s="146"/>
      <c r="AK311" s="146"/>
      <c r="AL311" s="146"/>
      <c r="AM311" s="146"/>
      <c r="AN311" s="146"/>
      <c r="AO311" s="146"/>
      <c r="AP311" s="146"/>
      <c r="AQ311" s="146"/>
      <c r="AR311" s="146"/>
      <c r="AS311" s="146"/>
      <c r="AT311" s="146"/>
      <c r="AU311" s="146"/>
      <c r="AV311" s="146"/>
      <c r="AW311" s="146"/>
      <c r="AX311" s="146"/>
      <c r="AY311" s="146"/>
      <c r="AZ311" s="146"/>
      <c r="BA311" s="146"/>
      <c r="BB311" s="146"/>
      <c r="BC311" s="146"/>
      <c r="BD311" s="146"/>
      <c r="BE311" s="146"/>
      <c r="BF311" s="146"/>
      <c r="BG311" s="146"/>
      <c r="BH311" s="146"/>
      <c r="BI311" s="146"/>
      <c r="BJ311" s="146"/>
      <c r="BK311" s="146"/>
      <c r="BL311" s="146"/>
      <c r="BM311" s="146"/>
      <c r="BN311" s="146"/>
      <c r="BO311" s="146"/>
      <c r="BP311" s="146"/>
      <c r="BQ311" s="146"/>
      <c r="BR311" s="146"/>
    </row>
    <row r="312" spans="2:70" ht="15.75" hidden="1">
      <c r="B312" s="146"/>
      <c r="C312" s="146"/>
      <c r="D312" s="146"/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  <c r="AF312" s="146"/>
      <c r="AG312" s="146"/>
      <c r="AH312" s="146"/>
      <c r="AI312" s="146"/>
      <c r="AJ312" s="146"/>
      <c r="AK312" s="146"/>
      <c r="AL312" s="146"/>
      <c r="AM312" s="146"/>
      <c r="AN312" s="146"/>
      <c r="AO312" s="146"/>
      <c r="AP312" s="146"/>
      <c r="AQ312" s="146"/>
      <c r="AR312" s="146"/>
      <c r="AS312" s="146"/>
      <c r="AT312" s="146"/>
      <c r="AU312" s="146"/>
      <c r="AV312" s="146"/>
      <c r="AW312" s="146"/>
      <c r="AX312" s="146"/>
      <c r="AY312" s="146"/>
      <c r="AZ312" s="146"/>
      <c r="BA312" s="146"/>
      <c r="BB312" s="146"/>
      <c r="BC312" s="146"/>
      <c r="BD312" s="146"/>
      <c r="BE312" s="146"/>
      <c r="BF312" s="146"/>
      <c r="BG312" s="146"/>
      <c r="BH312" s="146"/>
      <c r="BI312" s="146"/>
      <c r="BJ312" s="146"/>
      <c r="BK312" s="146"/>
      <c r="BL312" s="146"/>
      <c r="BM312" s="146"/>
      <c r="BN312" s="146"/>
      <c r="BO312" s="146"/>
      <c r="BP312" s="146"/>
      <c r="BQ312" s="146"/>
      <c r="BR312" s="146"/>
    </row>
    <row r="313" spans="2:70" ht="15.75" hidden="1">
      <c r="B313" s="146"/>
      <c r="C313" s="146"/>
      <c r="D313" s="146"/>
      <c r="E313" s="146"/>
      <c r="F313" s="146"/>
      <c r="G313" s="146"/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  <c r="AD313" s="146"/>
      <c r="AE313" s="146"/>
      <c r="AF313" s="146"/>
      <c r="AG313" s="146"/>
      <c r="AH313" s="146"/>
      <c r="AI313" s="146"/>
      <c r="AJ313" s="146"/>
      <c r="AK313" s="146"/>
      <c r="AL313" s="146"/>
      <c r="AM313" s="146"/>
      <c r="AN313" s="146"/>
      <c r="AO313" s="146"/>
      <c r="AP313" s="146"/>
      <c r="AQ313" s="146"/>
      <c r="AR313" s="146"/>
      <c r="AS313" s="146"/>
      <c r="AT313" s="146"/>
      <c r="AU313" s="146"/>
      <c r="AV313" s="146"/>
      <c r="AW313" s="146"/>
      <c r="AX313" s="146"/>
      <c r="AY313" s="146"/>
      <c r="AZ313" s="146"/>
      <c r="BA313" s="146"/>
      <c r="BB313" s="146"/>
      <c r="BC313" s="146"/>
      <c r="BD313" s="146"/>
      <c r="BE313" s="146"/>
      <c r="BF313" s="146"/>
      <c r="BG313" s="146"/>
      <c r="BH313" s="146"/>
      <c r="BI313" s="146"/>
      <c r="BJ313" s="146"/>
      <c r="BK313" s="146"/>
      <c r="BL313" s="146"/>
      <c r="BM313" s="146"/>
      <c r="BN313" s="146"/>
      <c r="BO313" s="146"/>
      <c r="BP313" s="146"/>
      <c r="BQ313" s="146"/>
      <c r="BR313" s="146"/>
    </row>
    <row r="314" spans="2:70" ht="15.75" hidden="1">
      <c r="B314" s="146"/>
      <c r="C314" s="146"/>
      <c r="D314" s="146"/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  <c r="AD314" s="146"/>
      <c r="AE314" s="146"/>
      <c r="AF314" s="146"/>
      <c r="AG314" s="146"/>
      <c r="AH314" s="146"/>
      <c r="AI314" s="146"/>
      <c r="AJ314" s="146"/>
      <c r="AK314" s="146"/>
      <c r="AL314" s="146"/>
      <c r="AM314" s="146"/>
      <c r="AN314" s="146"/>
      <c r="AO314" s="146"/>
      <c r="AP314" s="146"/>
      <c r="AQ314" s="146"/>
      <c r="AR314" s="146"/>
      <c r="AS314" s="146"/>
      <c r="AT314" s="146"/>
      <c r="AU314" s="146"/>
      <c r="AV314" s="146"/>
      <c r="AW314" s="146"/>
      <c r="AX314" s="146"/>
      <c r="AY314" s="146"/>
      <c r="AZ314" s="146"/>
      <c r="BA314" s="146"/>
      <c r="BB314" s="146"/>
      <c r="BC314" s="146"/>
      <c r="BD314" s="146"/>
      <c r="BE314" s="146"/>
      <c r="BF314" s="146"/>
      <c r="BG314" s="146"/>
      <c r="BH314" s="146"/>
      <c r="BI314" s="146"/>
      <c r="BJ314" s="146"/>
      <c r="BK314" s="146"/>
      <c r="BL314" s="146"/>
      <c r="BM314" s="146"/>
      <c r="BN314" s="146"/>
      <c r="BO314" s="146"/>
      <c r="BP314" s="146"/>
      <c r="BQ314" s="146"/>
      <c r="BR314" s="146"/>
    </row>
    <row r="315" spans="2:70" ht="15.75" hidden="1">
      <c r="B315" s="146"/>
      <c r="C315" s="146"/>
      <c r="D315" s="146"/>
      <c r="E315" s="146"/>
      <c r="F315" s="146"/>
      <c r="G315" s="146"/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  <c r="AF315" s="146"/>
      <c r="AG315" s="146"/>
      <c r="AH315" s="146"/>
      <c r="AI315" s="146"/>
      <c r="AJ315" s="146"/>
      <c r="AK315" s="146"/>
      <c r="AL315" s="146"/>
      <c r="AM315" s="146"/>
      <c r="AN315" s="146"/>
      <c r="AO315" s="146"/>
      <c r="AP315" s="146"/>
      <c r="AQ315" s="146"/>
      <c r="AR315" s="146"/>
      <c r="AS315" s="146"/>
      <c r="AT315" s="146"/>
      <c r="AU315" s="146"/>
      <c r="AV315" s="146"/>
      <c r="AW315" s="146"/>
      <c r="AX315" s="146"/>
      <c r="AY315" s="146"/>
      <c r="AZ315" s="146"/>
      <c r="BA315" s="146"/>
      <c r="BB315" s="146"/>
      <c r="BC315" s="146"/>
      <c r="BD315" s="146"/>
      <c r="BE315" s="146"/>
      <c r="BF315" s="146"/>
      <c r="BG315" s="146"/>
      <c r="BH315" s="146"/>
      <c r="BI315" s="146"/>
      <c r="BJ315" s="146"/>
      <c r="BK315" s="146"/>
      <c r="BL315" s="146"/>
      <c r="BM315" s="146"/>
      <c r="BN315" s="146"/>
      <c r="BO315" s="146"/>
      <c r="BP315" s="146"/>
      <c r="BQ315" s="146"/>
      <c r="BR315" s="146"/>
    </row>
    <row r="316" spans="2:70" ht="15.75" hidden="1">
      <c r="B316" s="146"/>
      <c r="C316" s="146"/>
      <c r="D316" s="146"/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  <c r="AD316" s="146"/>
      <c r="AE316" s="146"/>
      <c r="AF316" s="146"/>
      <c r="AG316" s="146"/>
      <c r="AH316" s="146"/>
      <c r="AI316" s="146"/>
      <c r="AJ316" s="146"/>
      <c r="AK316" s="146"/>
      <c r="AL316" s="146"/>
      <c r="AM316" s="146"/>
      <c r="AN316" s="146"/>
      <c r="AO316" s="146"/>
      <c r="AP316" s="146"/>
      <c r="AQ316" s="146"/>
      <c r="AR316" s="146"/>
      <c r="AS316" s="146"/>
      <c r="AT316" s="146"/>
      <c r="AU316" s="146"/>
      <c r="AV316" s="146"/>
      <c r="AW316" s="146"/>
      <c r="AX316" s="146"/>
      <c r="AY316" s="146"/>
      <c r="AZ316" s="146"/>
      <c r="BA316" s="146"/>
      <c r="BB316" s="146"/>
      <c r="BC316" s="146"/>
      <c r="BD316" s="146"/>
      <c r="BE316" s="146"/>
      <c r="BF316" s="146"/>
      <c r="BG316" s="146"/>
      <c r="BH316" s="146"/>
      <c r="BI316" s="146"/>
      <c r="BJ316" s="146"/>
      <c r="BK316" s="146"/>
      <c r="BL316" s="146"/>
      <c r="BM316" s="146"/>
      <c r="BN316" s="146"/>
      <c r="BO316" s="146"/>
      <c r="BP316" s="146"/>
      <c r="BQ316" s="146"/>
      <c r="BR316" s="146"/>
    </row>
    <row r="317" spans="2:70" ht="15.75" hidden="1">
      <c r="B317" s="146"/>
      <c r="C317" s="146"/>
      <c r="D317" s="146"/>
      <c r="E317" s="146"/>
      <c r="F317" s="146"/>
      <c r="G317" s="146"/>
      <c r="H317" s="146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  <c r="AD317" s="146"/>
      <c r="AE317" s="146"/>
      <c r="AF317" s="146"/>
      <c r="AG317" s="146"/>
      <c r="AH317" s="146"/>
      <c r="AI317" s="146"/>
      <c r="AJ317" s="146"/>
      <c r="AK317" s="146"/>
      <c r="AL317" s="146"/>
      <c r="AM317" s="146"/>
      <c r="AN317" s="146"/>
      <c r="AO317" s="146"/>
      <c r="AP317" s="146"/>
      <c r="AQ317" s="146"/>
      <c r="AR317" s="146"/>
      <c r="AS317" s="146"/>
      <c r="AT317" s="146"/>
      <c r="AU317" s="146"/>
      <c r="AV317" s="146"/>
      <c r="AW317" s="146"/>
      <c r="AX317" s="146"/>
      <c r="AY317" s="146"/>
      <c r="AZ317" s="146"/>
      <c r="BA317" s="146"/>
      <c r="BB317" s="146"/>
      <c r="BC317" s="146"/>
      <c r="BD317" s="146"/>
      <c r="BE317" s="146"/>
      <c r="BF317" s="146"/>
      <c r="BG317" s="146"/>
      <c r="BH317" s="146"/>
      <c r="BI317" s="146"/>
      <c r="BJ317" s="146"/>
      <c r="BK317" s="146"/>
      <c r="BL317" s="146"/>
      <c r="BM317" s="146"/>
      <c r="BN317" s="146"/>
      <c r="BO317" s="146"/>
      <c r="BP317" s="146"/>
      <c r="BQ317" s="146"/>
      <c r="BR317" s="146"/>
    </row>
    <row r="318" spans="2:70" ht="15.75" hidden="1">
      <c r="B318" s="146"/>
      <c r="C318" s="146"/>
      <c r="D318" s="146"/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  <c r="AD318" s="146"/>
      <c r="AE318" s="146"/>
      <c r="AF318" s="146"/>
      <c r="AG318" s="146"/>
      <c r="AH318" s="146"/>
      <c r="AI318" s="146"/>
      <c r="AJ318" s="146"/>
      <c r="AK318" s="146"/>
      <c r="AL318" s="146"/>
      <c r="AM318" s="146"/>
      <c r="AN318" s="146"/>
      <c r="AO318" s="146"/>
      <c r="AP318" s="146"/>
      <c r="AQ318" s="146"/>
      <c r="AR318" s="146"/>
      <c r="AS318" s="146"/>
      <c r="AT318" s="146"/>
      <c r="AU318" s="146"/>
      <c r="AV318" s="146"/>
      <c r="AW318" s="146"/>
      <c r="AX318" s="146"/>
      <c r="AY318" s="146"/>
      <c r="AZ318" s="146"/>
      <c r="BA318" s="146"/>
      <c r="BB318" s="146"/>
      <c r="BC318" s="146"/>
      <c r="BD318" s="146"/>
      <c r="BE318" s="146"/>
      <c r="BF318" s="146"/>
      <c r="BG318" s="146"/>
      <c r="BH318" s="146"/>
      <c r="BI318" s="146"/>
      <c r="BJ318" s="146"/>
      <c r="BK318" s="146"/>
      <c r="BL318" s="146"/>
      <c r="BM318" s="146"/>
      <c r="BN318" s="146"/>
      <c r="BO318" s="146"/>
      <c r="BP318" s="146"/>
      <c r="BQ318" s="146"/>
      <c r="BR318" s="146"/>
    </row>
    <row r="319" spans="2:70" ht="15.75" hidden="1">
      <c r="B319" s="146"/>
      <c r="C319" s="146"/>
      <c r="D319" s="146"/>
      <c r="E319" s="146"/>
      <c r="F319" s="146"/>
      <c r="G319" s="146"/>
      <c r="H319" s="146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  <c r="AD319" s="146"/>
      <c r="AE319" s="146"/>
      <c r="AF319" s="146"/>
      <c r="AG319" s="146"/>
      <c r="AH319" s="146"/>
      <c r="AI319" s="146"/>
      <c r="AJ319" s="146"/>
      <c r="AK319" s="146"/>
      <c r="AL319" s="146"/>
      <c r="AM319" s="146"/>
      <c r="AN319" s="146"/>
      <c r="AO319" s="146"/>
      <c r="AP319" s="146"/>
      <c r="AQ319" s="146"/>
      <c r="AR319" s="146"/>
      <c r="AS319" s="146"/>
      <c r="AT319" s="146"/>
      <c r="AU319" s="146"/>
      <c r="AV319" s="146"/>
      <c r="AW319" s="146"/>
      <c r="AX319" s="146"/>
      <c r="AY319" s="146"/>
      <c r="AZ319" s="146"/>
      <c r="BA319" s="146"/>
      <c r="BB319" s="146"/>
      <c r="BC319" s="146"/>
      <c r="BD319" s="146"/>
      <c r="BE319" s="146"/>
      <c r="BF319" s="146"/>
      <c r="BG319" s="146"/>
      <c r="BH319" s="146"/>
      <c r="BI319" s="146"/>
      <c r="BJ319" s="146"/>
      <c r="BK319" s="146"/>
      <c r="BL319" s="146"/>
      <c r="BM319" s="146"/>
      <c r="BN319" s="146"/>
      <c r="BO319" s="146"/>
      <c r="BP319" s="146"/>
      <c r="BQ319" s="146"/>
      <c r="BR319" s="146"/>
    </row>
    <row r="320" spans="2:70" ht="15.75" hidden="1">
      <c r="B320" s="146"/>
      <c r="C320" s="146"/>
      <c r="D320" s="146"/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  <c r="AD320" s="146"/>
      <c r="AE320" s="146"/>
      <c r="AF320" s="146"/>
      <c r="AG320" s="146"/>
      <c r="AH320" s="146"/>
      <c r="AI320" s="146"/>
      <c r="AJ320" s="146"/>
      <c r="AK320" s="146"/>
      <c r="AL320" s="146"/>
      <c r="AM320" s="146"/>
      <c r="AN320" s="146"/>
      <c r="AO320" s="146"/>
      <c r="AP320" s="146"/>
      <c r="AQ320" s="146"/>
      <c r="AR320" s="146"/>
      <c r="AS320" s="146"/>
      <c r="AT320" s="146"/>
      <c r="AU320" s="146"/>
      <c r="AV320" s="146"/>
      <c r="AW320" s="146"/>
      <c r="AX320" s="146"/>
      <c r="AY320" s="146"/>
      <c r="AZ320" s="146"/>
      <c r="BA320" s="146"/>
      <c r="BB320" s="146"/>
      <c r="BC320" s="146"/>
      <c r="BD320" s="146"/>
      <c r="BE320" s="146"/>
      <c r="BF320" s="146"/>
      <c r="BG320" s="146"/>
      <c r="BH320" s="146"/>
      <c r="BI320" s="146"/>
      <c r="BJ320" s="146"/>
      <c r="BK320" s="146"/>
      <c r="BL320" s="146"/>
      <c r="BM320" s="146"/>
      <c r="BN320" s="146"/>
      <c r="BO320" s="146"/>
      <c r="BP320" s="146"/>
      <c r="BQ320" s="146"/>
      <c r="BR320" s="146"/>
    </row>
    <row r="321" spans="2:70" ht="15.75" hidden="1">
      <c r="B321" s="146"/>
      <c r="C321" s="146"/>
      <c r="D321" s="146"/>
      <c r="E321" s="146"/>
      <c r="F321" s="146"/>
      <c r="G321" s="146"/>
      <c r="H321" s="146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  <c r="AF321" s="146"/>
      <c r="AG321" s="146"/>
      <c r="AH321" s="146"/>
      <c r="AI321" s="146"/>
      <c r="AJ321" s="146"/>
      <c r="AK321" s="146"/>
      <c r="AL321" s="146"/>
      <c r="AM321" s="146"/>
      <c r="AN321" s="146"/>
      <c r="AO321" s="146"/>
      <c r="AP321" s="146"/>
      <c r="AQ321" s="146"/>
      <c r="AR321" s="146"/>
      <c r="AS321" s="146"/>
      <c r="AT321" s="146"/>
      <c r="AU321" s="146"/>
      <c r="AV321" s="146"/>
      <c r="AW321" s="146"/>
      <c r="AX321" s="146"/>
      <c r="AY321" s="146"/>
      <c r="AZ321" s="146"/>
      <c r="BA321" s="146"/>
      <c r="BB321" s="146"/>
      <c r="BC321" s="146"/>
      <c r="BD321" s="146"/>
      <c r="BE321" s="146"/>
      <c r="BF321" s="146"/>
      <c r="BG321" s="146"/>
      <c r="BH321" s="146"/>
      <c r="BI321" s="146"/>
      <c r="BJ321" s="146"/>
      <c r="BK321" s="146"/>
      <c r="BL321" s="146"/>
      <c r="BM321" s="146"/>
      <c r="BN321" s="146"/>
      <c r="BO321" s="146"/>
      <c r="BP321" s="146"/>
      <c r="BQ321" s="146"/>
      <c r="BR321" s="146"/>
    </row>
    <row r="322" spans="2:70" ht="15.75" hidden="1">
      <c r="B322" s="146"/>
      <c r="C322" s="146"/>
      <c r="D322" s="146"/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  <c r="AD322" s="146"/>
      <c r="AE322" s="146"/>
      <c r="AF322" s="146"/>
      <c r="AG322" s="146"/>
      <c r="AH322" s="146"/>
      <c r="AI322" s="146"/>
      <c r="AJ322" s="146"/>
      <c r="AK322" s="146"/>
      <c r="AL322" s="146"/>
      <c r="AM322" s="146"/>
      <c r="AN322" s="146"/>
      <c r="AO322" s="146"/>
      <c r="AP322" s="146"/>
      <c r="AQ322" s="146"/>
      <c r="AR322" s="146"/>
      <c r="AS322" s="146"/>
      <c r="AT322" s="146"/>
      <c r="AU322" s="146"/>
      <c r="AV322" s="146"/>
      <c r="AW322" s="146"/>
      <c r="AX322" s="146"/>
      <c r="AY322" s="146"/>
      <c r="AZ322" s="146"/>
      <c r="BA322" s="146"/>
      <c r="BB322" s="146"/>
      <c r="BC322" s="146"/>
      <c r="BD322" s="146"/>
      <c r="BE322" s="146"/>
      <c r="BF322" s="146"/>
      <c r="BG322" s="146"/>
      <c r="BH322" s="146"/>
      <c r="BI322" s="146"/>
      <c r="BJ322" s="146"/>
      <c r="BK322" s="146"/>
      <c r="BL322" s="146"/>
      <c r="BM322" s="146"/>
      <c r="BN322" s="146"/>
      <c r="BO322" s="146"/>
      <c r="BP322" s="146"/>
      <c r="BQ322" s="146"/>
      <c r="BR322" s="146"/>
    </row>
    <row r="323" spans="2:70" ht="15.75" hidden="1">
      <c r="B323" s="146"/>
      <c r="C323" s="146"/>
      <c r="D323" s="146"/>
      <c r="E323" s="146"/>
      <c r="F323" s="146"/>
      <c r="G323" s="146"/>
      <c r="H323" s="146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  <c r="AD323" s="146"/>
      <c r="AE323" s="146"/>
      <c r="AF323" s="146"/>
      <c r="AG323" s="146"/>
      <c r="AH323" s="146"/>
      <c r="AI323" s="146"/>
      <c r="AJ323" s="146"/>
      <c r="AK323" s="146"/>
      <c r="AL323" s="146"/>
      <c r="AM323" s="146"/>
      <c r="AN323" s="146"/>
      <c r="AO323" s="146"/>
      <c r="AP323" s="146"/>
      <c r="AQ323" s="146"/>
      <c r="AR323" s="146"/>
      <c r="AS323" s="146"/>
      <c r="AT323" s="146"/>
      <c r="AU323" s="146"/>
      <c r="AV323" s="146"/>
      <c r="AW323" s="146"/>
      <c r="AX323" s="146"/>
      <c r="AY323" s="146"/>
      <c r="AZ323" s="146"/>
      <c r="BA323" s="146"/>
      <c r="BB323" s="146"/>
      <c r="BC323" s="146"/>
      <c r="BD323" s="146"/>
      <c r="BE323" s="146"/>
      <c r="BF323" s="146"/>
      <c r="BG323" s="146"/>
      <c r="BH323" s="146"/>
      <c r="BI323" s="146"/>
      <c r="BJ323" s="146"/>
      <c r="BK323" s="146"/>
      <c r="BL323" s="146"/>
      <c r="BM323" s="146"/>
      <c r="BN323" s="146"/>
      <c r="BO323" s="146"/>
      <c r="BP323" s="146"/>
      <c r="BQ323" s="146"/>
      <c r="BR323" s="146"/>
    </row>
    <row r="324" spans="2:70" ht="15.75" hidden="1">
      <c r="B324" s="146"/>
      <c r="C324" s="146"/>
      <c r="D324" s="146"/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  <c r="AD324" s="146"/>
      <c r="AE324" s="146"/>
      <c r="AF324" s="146"/>
      <c r="AG324" s="146"/>
      <c r="AH324" s="146"/>
      <c r="AI324" s="146"/>
      <c r="AJ324" s="146"/>
      <c r="AK324" s="146"/>
      <c r="AL324" s="146"/>
      <c r="AM324" s="146"/>
      <c r="AN324" s="146"/>
      <c r="AO324" s="146"/>
      <c r="AP324" s="146"/>
      <c r="AQ324" s="146"/>
      <c r="AR324" s="146"/>
      <c r="AS324" s="146"/>
      <c r="AT324" s="146"/>
      <c r="AU324" s="146"/>
      <c r="AV324" s="146"/>
      <c r="AW324" s="146"/>
      <c r="AX324" s="146"/>
      <c r="AY324" s="146"/>
      <c r="AZ324" s="146"/>
      <c r="BA324" s="146"/>
      <c r="BB324" s="146"/>
      <c r="BC324" s="146"/>
      <c r="BD324" s="146"/>
      <c r="BE324" s="146"/>
      <c r="BF324" s="146"/>
      <c r="BG324" s="146"/>
      <c r="BH324" s="146"/>
      <c r="BI324" s="146"/>
      <c r="BJ324" s="146"/>
      <c r="BK324" s="146"/>
      <c r="BL324" s="146"/>
      <c r="BM324" s="146"/>
      <c r="BN324" s="146"/>
      <c r="BO324" s="146"/>
      <c r="BP324" s="146"/>
      <c r="BQ324" s="146"/>
      <c r="BR324" s="146"/>
    </row>
    <row r="325" spans="2:70" ht="15.75" hidden="1">
      <c r="B325" s="146"/>
      <c r="C325" s="146"/>
      <c r="D325" s="146"/>
      <c r="E325" s="146"/>
      <c r="F325" s="146"/>
      <c r="G325" s="146"/>
      <c r="H325" s="146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  <c r="AD325" s="146"/>
      <c r="AE325" s="146"/>
      <c r="AF325" s="146"/>
      <c r="AG325" s="146"/>
      <c r="AH325" s="146"/>
      <c r="AI325" s="146"/>
      <c r="AJ325" s="146"/>
      <c r="AK325" s="146"/>
      <c r="AL325" s="146"/>
      <c r="AM325" s="146"/>
      <c r="AN325" s="146"/>
      <c r="AO325" s="146"/>
      <c r="AP325" s="146"/>
      <c r="AQ325" s="146"/>
      <c r="AR325" s="146"/>
      <c r="AS325" s="146"/>
      <c r="AT325" s="146"/>
      <c r="AU325" s="146"/>
      <c r="AV325" s="146"/>
      <c r="AW325" s="146"/>
      <c r="AX325" s="146"/>
      <c r="AY325" s="146"/>
      <c r="AZ325" s="146"/>
      <c r="BA325" s="146"/>
      <c r="BB325" s="146"/>
      <c r="BC325" s="146"/>
      <c r="BD325" s="146"/>
      <c r="BE325" s="146"/>
      <c r="BF325" s="146"/>
      <c r="BG325" s="146"/>
      <c r="BH325" s="146"/>
      <c r="BI325" s="146"/>
      <c r="BJ325" s="146"/>
      <c r="BK325" s="146"/>
      <c r="BL325" s="146"/>
      <c r="BM325" s="146"/>
      <c r="BN325" s="146"/>
      <c r="BO325" s="146"/>
      <c r="BP325" s="146"/>
      <c r="BQ325" s="146"/>
      <c r="BR325" s="146"/>
    </row>
    <row r="326" spans="2:70" ht="15.75" hidden="1">
      <c r="B326" s="146"/>
      <c r="C326" s="146"/>
      <c r="D326" s="146"/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  <c r="AD326" s="146"/>
      <c r="AE326" s="146"/>
      <c r="AF326" s="146"/>
      <c r="AG326" s="146"/>
      <c r="AH326" s="146"/>
      <c r="AI326" s="146"/>
      <c r="AJ326" s="146"/>
      <c r="AK326" s="146"/>
      <c r="AL326" s="146"/>
      <c r="AM326" s="146"/>
      <c r="AN326" s="146"/>
      <c r="AO326" s="146"/>
      <c r="AP326" s="146"/>
      <c r="AQ326" s="146"/>
      <c r="AR326" s="146"/>
      <c r="AS326" s="146"/>
      <c r="AT326" s="146"/>
      <c r="AU326" s="146"/>
      <c r="AV326" s="146"/>
      <c r="AW326" s="146"/>
      <c r="AX326" s="146"/>
      <c r="AY326" s="146"/>
      <c r="AZ326" s="146"/>
      <c r="BA326" s="146"/>
      <c r="BB326" s="146"/>
      <c r="BC326" s="146"/>
      <c r="BD326" s="146"/>
      <c r="BE326" s="146"/>
      <c r="BF326" s="146"/>
      <c r="BG326" s="146"/>
      <c r="BH326" s="146"/>
      <c r="BI326" s="146"/>
      <c r="BJ326" s="146"/>
      <c r="BK326" s="146"/>
      <c r="BL326" s="146"/>
      <c r="BM326" s="146"/>
      <c r="BN326" s="146"/>
      <c r="BO326" s="146"/>
      <c r="BP326" s="146"/>
      <c r="BQ326" s="146"/>
      <c r="BR326" s="146"/>
    </row>
    <row r="327" spans="2:70" ht="15.75" hidden="1">
      <c r="B327" s="146"/>
      <c r="C327" s="146"/>
      <c r="D327" s="146"/>
      <c r="E327" s="146"/>
      <c r="F327" s="146"/>
      <c r="G327" s="146"/>
      <c r="H327" s="146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  <c r="AD327" s="146"/>
      <c r="AE327" s="146"/>
      <c r="AF327" s="146"/>
      <c r="AG327" s="146"/>
      <c r="AH327" s="146"/>
      <c r="AI327" s="146"/>
      <c r="AJ327" s="146"/>
      <c r="AK327" s="146"/>
      <c r="AL327" s="146"/>
      <c r="AM327" s="146"/>
      <c r="AN327" s="146"/>
      <c r="AO327" s="146"/>
      <c r="AP327" s="146"/>
      <c r="AQ327" s="146"/>
      <c r="AR327" s="146"/>
      <c r="AS327" s="146"/>
      <c r="AT327" s="146"/>
      <c r="AU327" s="146"/>
      <c r="AV327" s="146"/>
      <c r="AW327" s="146"/>
      <c r="AX327" s="146"/>
      <c r="AY327" s="146"/>
      <c r="AZ327" s="146"/>
      <c r="BA327" s="146"/>
      <c r="BB327" s="146"/>
      <c r="BC327" s="146"/>
      <c r="BD327" s="146"/>
      <c r="BE327" s="146"/>
      <c r="BF327" s="146"/>
      <c r="BG327" s="146"/>
      <c r="BH327" s="146"/>
      <c r="BI327" s="146"/>
      <c r="BJ327" s="146"/>
      <c r="BK327" s="146"/>
      <c r="BL327" s="146"/>
      <c r="BM327" s="146"/>
      <c r="BN327" s="146"/>
      <c r="BO327" s="146"/>
      <c r="BP327" s="146"/>
      <c r="BQ327" s="146"/>
      <c r="BR327" s="146"/>
    </row>
    <row r="328" spans="2:70" ht="15.75" hidden="1">
      <c r="B328" s="146"/>
      <c r="C328" s="146"/>
      <c r="D328" s="146"/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  <c r="AD328" s="146"/>
      <c r="AE328" s="146"/>
      <c r="AF328" s="146"/>
      <c r="AG328" s="146"/>
      <c r="AH328" s="146"/>
      <c r="AI328" s="146"/>
      <c r="AJ328" s="146"/>
      <c r="AK328" s="146"/>
      <c r="AL328" s="146"/>
      <c r="AM328" s="146"/>
      <c r="AN328" s="146"/>
      <c r="AO328" s="146"/>
      <c r="AP328" s="146"/>
      <c r="AQ328" s="146"/>
      <c r="AR328" s="146"/>
      <c r="AS328" s="146"/>
      <c r="AT328" s="146"/>
      <c r="AU328" s="146"/>
      <c r="AV328" s="146"/>
      <c r="AW328" s="146"/>
      <c r="AX328" s="146"/>
      <c r="AY328" s="146"/>
      <c r="AZ328" s="146"/>
      <c r="BA328" s="146"/>
      <c r="BB328" s="146"/>
      <c r="BC328" s="146"/>
      <c r="BD328" s="146"/>
      <c r="BE328" s="146"/>
      <c r="BF328" s="146"/>
      <c r="BG328" s="146"/>
      <c r="BH328" s="146"/>
      <c r="BI328" s="146"/>
      <c r="BJ328" s="146"/>
      <c r="BK328" s="146"/>
      <c r="BL328" s="146"/>
      <c r="BM328" s="146"/>
      <c r="BN328" s="146"/>
      <c r="BO328" s="146"/>
      <c r="BP328" s="146"/>
      <c r="BQ328" s="146"/>
      <c r="BR328" s="146"/>
    </row>
    <row r="329" spans="2:70" ht="15.75" hidden="1">
      <c r="B329" s="146"/>
      <c r="C329" s="146"/>
      <c r="D329" s="146"/>
      <c r="E329" s="146"/>
      <c r="F329" s="146"/>
      <c r="G329" s="146"/>
      <c r="H329" s="146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  <c r="AD329" s="146"/>
      <c r="AE329" s="146"/>
      <c r="AF329" s="146"/>
      <c r="AG329" s="146"/>
      <c r="AH329" s="146"/>
      <c r="AI329" s="146"/>
      <c r="AJ329" s="146"/>
      <c r="AK329" s="146"/>
      <c r="AL329" s="146"/>
      <c r="AM329" s="146"/>
      <c r="AN329" s="146"/>
      <c r="AO329" s="146"/>
      <c r="AP329" s="146"/>
      <c r="AQ329" s="146"/>
      <c r="AR329" s="146"/>
      <c r="AS329" s="146"/>
      <c r="AT329" s="146"/>
      <c r="AU329" s="146"/>
      <c r="AV329" s="146"/>
      <c r="AW329" s="146"/>
      <c r="AX329" s="146"/>
      <c r="AY329" s="146"/>
      <c r="AZ329" s="146"/>
      <c r="BA329" s="146"/>
      <c r="BB329" s="146"/>
      <c r="BC329" s="146"/>
      <c r="BD329" s="146"/>
      <c r="BE329" s="146"/>
      <c r="BF329" s="146"/>
      <c r="BG329" s="146"/>
      <c r="BH329" s="146"/>
      <c r="BI329" s="146"/>
      <c r="BJ329" s="146"/>
      <c r="BK329" s="146"/>
      <c r="BL329" s="146"/>
      <c r="BM329" s="146"/>
      <c r="BN329" s="146"/>
      <c r="BO329" s="146"/>
      <c r="BP329" s="146"/>
      <c r="BQ329" s="146"/>
      <c r="BR329" s="146"/>
    </row>
    <row r="330" spans="2:70" ht="15.75" hidden="1">
      <c r="B330" s="146"/>
      <c r="C330" s="146"/>
      <c r="D330" s="146"/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  <c r="AD330" s="146"/>
      <c r="AE330" s="146"/>
      <c r="AF330" s="146"/>
      <c r="AG330" s="146"/>
      <c r="AH330" s="146"/>
      <c r="AI330" s="146"/>
      <c r="AJ330" s="146"/>
      <c r="AK330" s="146"/>
      <c r="AL330" s="146"/>
      <c r="AM330" s="146"/>
      <c r="AN330" s="146"/>
      <c r="AO330" s="146"/>
      <c r="AP330" s="146"/>
      <c r="AQ330" s="146"/>
      <c r="AR330" s="146"/>
      <c r="AS330" s="146"/>
      <c r="AT330" s="146"/>
      <c r="AU330" s="146"/>
      <c r="AV330" s="146"/>
      <c r="AW330" s="146"/>
      <c r="AX330" s="146"/>
      <c r="AY330" s="146"/>
      <c r="AZ330" s="146"/>
      <c r="BA330" s="146"/>
      <c r="BB330" s="146"/>
      <c r="BC330" s="146"/>
      <c r="BD330" s="146"/>
      <c r="BE330" s="146"/>
      <c r="BF330" s="146"/>
      <c r="BG330" s="146"/>
      <c r="BH330" s="146"/>
      <c r="BI330" s="146"/>
      <c r="BJ330" s="146"/>
      <c r="BK330" s="146"/>
      <c r="BL330" s="146"/>
      <c r="BM330" s="146"/>
      <c r="BN330" s="146"/>
      <c r="BO330" s="146"/>
      <c r="BP330" s="146"/>
      <c r="BQ330" s="146"/>
      <c r="BR330" s="146"/>
    </row>
    <row r="331" spans="2:70" ht="15.75" hidden="1">
      <c r="B331" s="146"/>
      <c r="C331" s="146"/>
      <c r="D331" s="146"/>
      <c r="E331" s="146"/>
      <c r="F331" s="146"/>
      <c r="G331" s="146"/>
      <c r="H331" s="146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  <c r="AD331" s="146"/>
      <c r="AE331" s="146"/>
      <c r="AF331" s="146"/>
      <c r="AG331" s="146"/>
      <c r="AH331" s="146"/>
      <c r="AI331" s="146"/>
      <c r="AJ331" s="146"/>
      <c r="AK331" s="146"/>
      <c r="AL331" s="146"/>
      <c r="AM331" s="146"/>
      <c r="AN331" s="146"/>
      <c r="AO331" s="146"/>
      <c r="AP331" s="146"/>
      <c r="AQ331" s="146"/>
      <c r="AR331" s="146"/>
      <c r="AS331" s="146"/>
      <c r="AT331" s="146"/>
      <c r="AU331" s="146"/>
      <c r="AV331" s="146"/>
      <c r="AW331" s="146"/>
      <c r="AX331" s="146"/>
      <c r="AY331" s="146"/>
      <c r="AZ331" s="146"/>
      <c r="BA331" s="146"/>
      <c r="BB331" s="146"/>
      <c r="BC331" s="146"/>
      <c r="BD331" s="146"/>
      <c r="BE331" s="146"/>
      <c r="BF331" s="146"/>
      <c r="BG331" s="146"/>
      <c r="BH331" s="146"/>
      <c r="BI331" s="146"/>
      <c r="BJ331" s="146"/>
      <c r="BK331" s="146"/>
      <c r="BL331" s="146"/>
      <c r="BM331" s="146"/>
      <c r="BN331" s="146"/>
      <c r="BO331" s="146"/>
      <c r="BP331" s="146"/>
      <c r="BQ331" s="146"/>
      <c r="BR331" s="146"/>
    </row>
    <row r="332" spans="2:70" ht="15.75" hidden="1">
      <c r="B332" s="146"/>
      <c r="C332" s="146"/>
      <c r="D332" s="146"/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  <c r="AD332" s="146"/>
      <c r="AE332" s="146"/>
      <c r="AF332" s="146"/>
      <c r="AG332" s="146"/>
      <c r="AH332" s="146"/>
      <c r="AI332" s="146"/>
      <c r="AJ332" s="146"/>
      <c r="AK332" s="146"/>
      <c r="AL332" s="146"/>
      <c r="AM332" s="146"/>
      <c r="AN332" s="146"/>
      <c r="AO332" s="146"/>
      <c r="AP332" s="146"/>
      <c r="AQ332" s="146"/>
      <c r="AR332" s="146"/>
      <c r="AS332" s="146"/>
      <c r="AT332" s="146"/>
      <c r="AU332" s="146"/>
      <c r="AV332" s="146"/>
      <c r="AW332" s="146"/>
      <c r="AX332" s="146"/>
      <c r="AY332" s="146"/>
      <c r="AZ332" s="146"/>
      <c r="BA332" s="146"/>
      <c r="BB332" s="146"/>
      <c r="BC332" s="146"/>
      <c r="BD332" s="146"/>
      <c r="BE332" s="146"/>
      <c r="BF332" s="146"/>
      <c r="BG332" s="146"/>
      <c r="BH332" s="146"/>
      <c r="BI332" s="146"/>
      <c r="BJ332" s="146"/>
      <c r="BK332" s="146"/>
      <c r="BL332" s="146"/>
      <c r="BM332" s="146"/>
      <c r="BN332" s="146"/>
      <c r="BO332" s="146"/>
      <c r="BP332" s="146"/>
      <c r="BQ332" s="146"/>
      <c r="BR332" s="146"/>
    </row>
    <row r="333" spans="2:70" ht="15.75" hidden="1">
      <c r="B333" s="146"/>
      <c r="C333" s="146"/>
      <c r="D333" s="146"/>
      <c r="E333" s="146"/>
      <c r="F333" s="146"/>
      <c r="G333" s="146"/>
      <c r="H333" s="146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  <c r="AD333" s="146"/>
      <c r="AE333" s="146"/>
      <c r="AF333" s="146"/>
      <c r="AG333" s="146"/>
      <c r="AH333" s="146"/>
      <c r="AI333" s="146"/>
      <c r="AJ333" s="146"/>
      <c r="AK333" s="146"/>
      <c r="AL333" s="146"/>
      <c r="AM333" s="146"/>
      <c r="AN333" s="146"/>
      <c r="AO333" s="146"/>
      <c r="AP333" s="146"/>
      <c r="AQ333" s="146"/>
      <c r="AR333" s="146"/>
      <c r="AS333" s="146"/>
      <c r="AT333" s="146"/>
      <c r="AU333" s="146"/>
      <c r="AV333" s="146"/>
      <c r="AW333" s="146"/>
      <c r="AX333" s="146"/>
      <c r="AY333" s="146"/>
      <c r="AZ333" s="146"/>
      <c r="BA333" s="146"/>
      <c r="BB333" s="146"/>
      <c r="BC333" s="146"/>
      <c r="BD333" s="146"/>
      <c r="BE333" s="146"/>
      <c r="BF333" s="146"/>
      <c r="BG333" s="146"/>
      <c r="BH333" s="146"/>
      <c r="BI333" s="146"/>
      <c r="BJ333" s="146"/>
      <c r="BK333" s="146"/>
      <c r="BL333" s="146"/>
      <c r="BM333" s="146"/>
      <c r="BN333" s="146"/>
      <c r="BO333" s="146"/>
      <c r="BP333" s="146"/>
      <c r="BQ333" s="146"/>
      <c r="BR333" s="146"/>
    </row>
    <row r="334" spans="2:70" ht="15.75" hidden="1">
      <c r="B334" s="146"/>
      <c r="C334" s="146"/>
      <c r="D334" s="146"/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  <c r="AD334" s="146"/>
      <c r="AE334" s="146"/>
      <c r="AF334" s="146"/>
      <c r="AG334" s="146"/>
      <c r="AH334" s="146"/>
      <c r="AI334" s="146"/>
      <c r="AJ334" s="146"/>
      <c r="AK334" s="146"/>
      <c r="AL334" s="146"/>
      <c r="AM334" s="146"/>
      <c r="AN334" s="146"/>
      <c r="AO334" s="146"/>
      <c r="AP334" s="146"/>
      <c r="AQ334" s="146"/>
      <c r="AR334" s="146"/>
      <c r="AS334" s="146"/>
      <c r="AT334" s="146"/>
      <c r="AU334" s="146"/>
      <c r="AV334" s="146"/>
      <c r="AW334" s="146"/>
      <c r="AX334" s="146"/>
      <c r="AY334" s="146"/>
      <c r="AZ334" s="146"/>
      <c r="BA334" s="146"/>
      <c r="BB334" s="146"/>
      <c r="BC334" s="146"/>
      <c r="BD334" s="146"/>
      <c r="BE334" s="146"/>
      <c r="BF334" s="146"/>
      <c r="BG334" s="146"/>
      <c r="BH334" s="146"/>
      <c r="BI334" s="146"/>
      <c r="BJ334" s="146"/>
      <c r="BK334" s="146"/>
      <c r="BL334" s="146"/>
      <c r="BM334" s="146"/>
      <c r="BN334" s="146"/>
      <c r="BO334" s="146"/>
      <c r="BP334" s="146"/>
      <c r="BQ334" s="146"/>
      <c r="BR334" s="146"/>
    </row>
    <row r="335" spans="2:70" ht="15.75" hidden="1">
      <c r="B335" s="146"/>
      <c r="C335" s="146"/>
      <c r="D335" s="146"/>
      <c r="E335" s="146"/>
      <c r="F335" s="146"/>
      <c r="G335" s="146"/>
      <c r="H335" s="146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  <c r="AD335" s="146"/>
      <c r="AE335" s="146"/>
      <c r="AF335" s="146"/>
      <c r="AG335" s="146"/>
      <c r="AH335" s="146"/>
      <c r="AI335" s="146"/>
      <c r="AJ335" s="146"/>
      <c r="AK335" s="146"/>
      <c r="AL335" s="146"/>
      <c r="AM335" s="146"/>
      <c r="AN335" s="146"/>
      <c r="AO335" s="146"/>
      <c r="AP335" s="146"/>
      <c r="AQ335" s="146"/>
      <c r="AR335" s="146"/>
      <c r="AS335" s="146"/>
      <c r="AT335" s="146"/>
      <c r="AU335" s="146"/>
      <c r="AV335" s="146"/>
      <c r="AW335" s="146"/>
      <c r="AX335" s="146"/>
      <c r="AY335" s="146"/>
      <c r="AZ335" s="146"/>
      <c r="BA335" s="146"/>
      <c r="BB335" s="146"/>
      <c r="BC335" s="146"/>
      <c r="BD335" s="146"/>
      <c r="BE335" s="146"/>
      <c r="BF335" s="146"/>
      <c r="BG335" s="146"/>
      <c r="BH335" s="146"/>
      <c r="BI335" s="146"/>
      <c r="BJ335" s="146"/>
      <c r="BK335" s="146"/>
      <c r="BL335" s="146"/>
      <c r="BM335" s="146"/>
      <c r="BN335" s="146"/>
      <c r="BO335" s="146"/>
      <c r="BP335" s="146"/>
      <c r="BQ335" s="146"/>
      <c r="BR335" s="146"/>
    </row>
    <row r="336" spans="2:70" ht="15.75" hidden="1">
      <c r="B336" s="146"/>
      <c r="C336" s="146"/>
      <c r="D336" s="146"/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  <c r="AD336" s="146"/>
      <c r="AE336" s="146"/>
      <c r="AF336" s="146"/>
      <c r="AG336" s="146"/>
      <c r="AH336" s="146"/>
      <c r="AI336" s="146"/>
      <c r="AJ336" s="146"/>
      <c r="AK336" s="146"/>
      <c r="AL336" s="146"/>
      <c r="AM336" s="146"/>
      <c r="AN336" s="146"/>
      <c r="AO336" s="146"/>
      <c r="AP336" s="146"/>
      <c r="AQ336" s="146"/>
      <c r="AR336" s="146"/>
      <c r="AS336" s="146"/>
      <c r="AT336" s="146"/>
      <c r="AU336" s="146"/>
      <c r="AV336" s="146"/>
      <c r="AW336" s="146"/>
      <c r="AX336" s="146"/>
      <c r="AY336" s="146"/>
      <c r="AZ336" s="146"/>
      <c r="BA336" s="146"/>
      <c r="BB336" s="146"/>
      <c r="BC336" s="146"/>
      <c r="BD336" s="146"/>
      <c r="BE336" s="146"/>
      <c r="BF336" s="146"/>
      <c r="BG336" s="146"/>
      <c r="BH336" s="146"/>
      <c r="BI336" s="146"/>
      <c r="BJ336" s="146"/>
      <c r="BK336" s="146"/>
      <c r="BL336" s="146"/>
      <c r="BM336" s="146"/>
      <c r="BN336" s="146"/>
      <c r="BO336" s="146"/>
      <c r="BP336" s="146"/>
      <c r="BQ336" s="146"/>
      <c r="BR336" s="146"/>
    </row>
    <row r="337" spans="2:70" ht="15.75" hidden="1">
      <c r="B337" s="146"/>
      <c r="C337" s="146"/>
      <c r="D337" s="146"/>
      <c r="E337" s="146"/>
      <c r="F337" s="146"/>
      <c r="G337" s="146"/>
      <c r="H337" s="146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  <c r="AD337" s="146"/>
      <c r="AE337" s="146"/>
      <c r="AF337" s="146"/>
      <c r="AG337" s="146"/>
      <c r="AH337" s="146"/>
      <c r="AI337" s="146"/>
      <c r="AJ337" s="146"/>
      <c r="AK337" s="146"/>
      <c r="AL337" s="146"/>
      <c r="AM337" s="146"/>
      <c r="AN337" s="146"/>
      <c r="AO337" s="146"/>
      <c r="AP337" s="146"/>
      <c r="AQ337" s="146"/>
      <c r="AR337" s="146"/>
      <c r="AS337" s="146"/>
      <c r="AT337" s="146"/>
      <c r="AU337" s="146"/>
      <c r="AV337" s="146"/>
      <c r="AW337" s="146"/>
      <c r="AX337" s="146"/>
      <c r="AY337" s="146"/>
      <c r="AZ337" s="146"/>
      <c r="BA337" s="146"/>
      <c r="BB337" s="146"/>
      <c r="BC337" s="146"/>
      <c r="BD337" s="146"/>
      <c r="BE337" s="146"/>
      <c r="BF337" s="146"/>
      <c r="BG337" s="146"/>
      <c r="BH337" s="146"/>
      <c r="BI337" s="146"/>
      <c r="BJ337" s="146"/>
      <c r="BK337" s="146"/>
      <c r="BL337" s="146"/>
      <c r="BM337" s="146"/>
      <c r="BN337" s="146"/>
      <c r="BO337" s="146"/>
      <c r="BP337" s="146"/>
      <c r="BQ337" s="146"/>
      <c r="BR337" s="146"/>
    </row>
    <row r="338" spans="2:70" ht="15.75" hidden="1">
      <c r="B338" s="146"/>
      <c r="C338" s="146"/>
      <c r="D338" s="146"/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  <c r="AD338" s="146"/>
      <c r="AE338" s="146"/>
      <c r="AF338" s="146"/>
      <c r="AG338" s="146"/>
      <c r="AH338" s="146"/>
      <c r="AI338" s="146"/>
      <c r="AJ338" s="146"/>
      <c r="AK338" s="146"/>
      <c r="AL338" s="146"/>
      <c r="AM338" s="146"/>
      <c r="AN338" s="146"/>
      <c r="AO338" s="146"/>
      <c r="AP338" s="146"/>
      <c r="AQ338" s="146"/>
      <c r="AR338" s="146"/>
      <c r="AS338" s="146"/>
      <c r="AT338" s="146"/>
      <c r="AU338" s="146"/>
      <c r="AV338" s="146"/>
      <c r="AW338" s="146"/>
      <c r="AX338" s="146"/>
      <c r="AY338" s="146"/>
      <c r="AZ338" s="146"/>
      <c r="BA338" s="146"/>
      <c r="BB338" s="146"/>
      <c r="BC338" s="146"/>
      <c r="BD338" s="146"/>
      <c r="BE338" s="146"/>
      <c r="BF338" s="146"/>
      <c r="BG338" s="146"/>
      <c r="BH338" s="146"/>
      <c r="BI338" s="146"/>
      <c r="BJ338" s="146"/>
      <c r="BK338" s="146"/>
      <c r="BL338" s="146"/>
      <c r="BM338" s="146"/>
      <c r="BN338" s="146"/>
      <c r="BO338" s="146"/>
      <c r="BP338" s="146"/>
      <c r="BQ338" s="146"/>
      <c r="BR338" s="146"/>
    </row>
    <row r="339" spans="2:70" ht="15.75" hidden="1">
      <c r="B339" s="146"/>
      <c r="C339" s="146"/>
      <c r="D339" s="146"/>
      <c r="E339" s="146"/>
      <c r="F339" s="146"/>
      <c r="G339" s="146"/>
      <c r="H339" s="146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  <c r="AD339" s="146"/>
      <c r="AE339" s="146"/>
      <c r="AF339" s="146"/>
      <c r="AG339" s="146"/>
      <c r="AH339" s="146"/>
      <c r="AI339" s="146"/>
      <c r="AJ339" s="146"/>
      <c r="AK339" s="146"/>
      <c r="AL339" s="146"/>
      <c r="AM339" s="146"/>
      <c r="AN339" s="146"/>
      <c r="AO339" s="146"/>
      <c r="AP339" s="146"/>
      <c r="AQ339" s="146"/>
      <c r="AR339" s="146"/>
      <c r="AS339" s="146"/>
      <c r="AT339" s="146"/>
      <c r="AU339" s="146"/>
      <c r="AV339" s="146"/>
      <c r="AW339" s="146"/>
      <c r="AX339" s="146"/>
      <c r="AY339" s="146"/>
      <c r="AZ339" s="146"/>
      <c r="BA339" s="146"/>
      <c r="BB339" s="146"/>
      <c r="BC339" s="146"/>
      <c r="BD339" s="146"/>
      <c r="BE339" s="146"/>
      <c r="BF339" s="146"/>
      <c r="BG339" s="146"/>
      <c r="BH339" s="146"/>
      <c r="BI339" s="146"/>
      <c r="BJ339" s="146"/>
      <c r="BK339" s="146"/>
      <c r="BL339" s="146"/>
      <c r="BM339" s="146"/>
      <c r="BN339" s="146"/>
      <c r="BO339" s="146"/>
      <c r="BP339" s="146"/>
      <c r="BQ339" s="146"/>
      <c r="BR339" s="146"/>
    </row>
    <row r="340" spans="2:70" ht="15.75" hidden="1">
      <c r="B340" s="146"/>
      <c r="C340" s="146"/>
      <c r="D340" s="146"/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  <c r="AD340" s="146"/>
      <c r="AE340" s="146"/>
      <c r="AF340" s="146"/>
      <c r="AG340" s="146"/>
      <c r="AH340" s="146"/>
      <c r="AI340" s="146"/>
      <c r="AJ340" s="146"/>
      <c r="AK340" s="146"/>
      <c r="AL340" s="146"/>
      <c r="AM340" s="146"/>
      <c r="AN340" s="146"/>
      <c r="AO340" s="146"/>
      <c r="AP340" s="146"/>
      <c r="AQ340" s="146"/>
      <c r="AR340" s="146"/>
      <c r="AS340" s="146"/>
      <c r="AT340" s="146"/>
      <c r="AU340" s="146"/>
      <c r="AV340" s="146"/>
      <c r="AW340" s="146"/>
      <c r="AX340" s="146"/>
      <c r="AY340" s="146"/>
      <c r="AZ340" s="146"/>
      <c r="BA340" s="146"/>
      <c r="BB340" s="146"/>
      <c r="BC340" s="146"/>
      <c r="BD340" s="146"/>
      <c r="BE340" s="146"/>
      <c r="BF340" s="146"/>
      <c r="BG340" s="146"/>
      <c r="BH340" s="146"/>
      <c r="BI340" s="146"/>
      <c r="BJ340" s="146"/>
      <c r="BK340" s="146"/>
      <c r="BL340" s="146"/>
      <c r="BM340" s="146"/>
      <c r="BN340" s="146"/>
      <c r="BO340" s="146"/>
      <c r="BP340" s="146"/>
      <c r="BQ340" s="146"/>
      <c r="BR340" s="146"/>
    </row>
    <row r="341" spans="2:70" ht="15.75" hidden="1">
      <c r="B341" s="146"/>
      <c r="C341" s="146"/>
      <c r="D341" s="146"/>
      <c r="E341" s="146"/>
      <c r="F341" s="146"/>
      <c r="G341" s="146"/>
      <c r="H341" s="146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  <c r="AD341" s="146"/>
      <c r="AE341" s="146"/>
      <c r="AF341" s="146"/>
      <c r="AG341" s="146"/>
      <c r="AH341" s="146"/>
      <c r="AI341" s="146"/>
      <c r="AJ341" s="146"/>
      <c r="AK341" s="146"/>
      <c r="AL341" s="146"/>
      <c r="AM341" s="146"/>
      <c r="AN341" s="146"/>
      <c r="AO341" s="146"/>
      <c r="AP341" s="146"/>
      <c r="AQ341" s="146"/>
      <c r="AR341" s="146"/>
      <c r="AS341" s="146"/>
      <c r="AT341" s="146"/>
      <c r="AU341" s="146"/>
      <c r="AV341" s="146"/>
      <c r="AW341" s="146"/>
      <c r="AX341" s="146"/>
      <c r="AY341" s="146"/>
      <c r="AZ341" s="146"/>
      <c r="BA341" s="146"/>
      <c r="BB341" s="146"/>
      <c r="BC341" s="146"/>
      <c r="BD341" s="146"/>
      <c r="BE341" s="146"/>
      <c r="BF341" s="146"/>
      <c r="BG341" s="146"/>
      <c r="BH341" s="146"/>
      <c r="BI341" s="146"/>
      <c r="BJ341" s="146"/>
      <c r="BK341" s="146"/>
      <c r="BL341" s="146"/>
      <c r="BM341" s="146"/>
      <c r="BN341" s="146"/>
      <c r="BO341" s="146"/>
      <c r="BP341" s="146"/>
      <c r="BQ341" s="146"/>
      <c r="BR341" s="146"/>
    </row>
    <row r="342" spans="2:70" ht="15.75" hidden="1">
      <c r="B342" s="146"/>
      <c r="C342" s="146"/>
      <c r="D342" s="146"/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  <c r="AD342" s="146"/>
      <c r="AE342" s="146"/>
      <c r="AF342" s="146"/>
      <c r="AG342" s="146"/>
      <c r="AH342" s="146"/>
      <c r="AI342" s="146"/>
      <c r="AJ342" s="146"/>
      <c r="AK342" s="146"/>
      <c r="AL342" s="146"/>
      <c r="AM342" s="146"/>
      <c r="AN342" s="146"/>
      <c r="AO342" s="146"/>
      <c r="AP342" s="146"/>
      <c r="AQ342" s="146"/>
      <c r="AR342" s="146"/>
      <c r="AS342" s="146"/>
      <c r="AT342" s="146"/>
      <c r="AU342" s="146"/>
      <c r="AV342" s="146"/>
      <c r="AW342" s="146"/>
      <c r="AX342" s="146"/>
      <c r="AY342" s="146"/>
      <c r="AZ342" s="146"/>
      <c r="BA342" s="146"/>
      <c r="BB342" s="146"/>
      <c r="BC342" s="146"/>
      <c r="BD342" s="146"/>
      <c r="BE342" s="146"/>
      <c r="BF342" s="146"/>
      <c r="BG342" s="146"/>
      <c r="BH342" s="146"/>
      <c r="BI342" s="146"/>
      <c r="BJ342" s="146"/>
      <c r="BK342" s="146"/>
      <c r="BL342" s="146"/>
      <c r="BM342" s="146"/>
      <c r="BN342" s="146"/>
      <c r="BO342" s="146"/>
      <c r="BP342" s="146"/>
      <c r="BQ342" s="146"/>
      <c r="BR342" s="146"/>
    </row>
    <row r="343" spans="2:70" ht="15.75" hidden="1">
      <c r="B343" s="146"/>
      <c r="C343" s="146"/>
      <c r="D343" s="146"/>
      <c r="E343" s="146"/>
      <c r="F343" s="146"/>
      <c r="G343" s="146"/>
      <c r="H343" s="146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  <c r="AD343" s="146"/>
      <c r="AE343" s="146"/>
      <c r="AF343" s="146"/>
      <c r="AG343" s="146"/>
      <c r="AH343" s="146"/>
      <c r="AI343" s="146"/>
      <c r="AJ343" s="146"/>
      <c r="AK343" s="146"/>
      <c r="AL343" s="146"/>
      <c r="AM343" s="146"/>
      <c r="AN343" s="146"/>
      <c r="AO343" s="146"/>
      <c r="AP343" s="146"/>
      <c r="AQ343" s="146"/>
      <c r="AR343" s="146"/>
      <c r="AS343" s="146"/>
      <c r="AT343" s="146"/>
      <c r="AU343" s="146"/>
      <c r="AV343" s="146"/>
      <c r="AW343" s="146"/>
      <c r="AX343" s="146"/>
      <c r="AY343" s="146"/>
      <c r="AZ343" s="146"/>
      <c r="BA343" s="146"/>
      <c r="BB343" s="146"/>
      <c r="BC343" s="146"/>
      <c r="BD343" s="146"/>
      <c r="BE343" s="146"/>
      <c r="BF343" s="146"/>
      <c r="BG343" s="146"/>
      <c r="BH343" s="146"/>
      <c r="BI343" s="146"/>
      <c r="BJ343" s="146"/>
      <c r="BK343" s="146"/>
      <c r="BL343" s="146"/>
      <c r="BM343" s="146"/>
      <c r="BN343" s="146"/>
      <c r="BO343" s="146"/>
      <c r="BP343" s="146"/>
      <c r="BQ343" s="146"/>
      <c r="BR343" s="146"/>
    </row>
    <row r="344" spans="2:70" ht="15.75" hidden="1">
      <c r="B344" s="146"/>
      <c r="C344" s="146"/>
      <c r="D344" s="146"/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  <c r="AD344" s="146"/>
      <c r="AE344" s="146"/>
      <c r="AF344" s="146"/>
      <c r="AG344" s="146"/>
      <c r="AH344" s="146"/>
      <c r="AI344" s="146"/>
      <c r="AJ344" s="146"/>
      <c r="AK344" s="146"/>
      <c r="AL344" s="146"/>
      <c r="AM344" s="146"/>
      <c r="AN344" s="146"/>
      <c r="AO344" s="146"/>
      <c r="AP344" s="146"/>
      <c r="AQ344" s="146"/>
      <c r="AR344" s="146"/>
      <c r="AS344" s="146"/>
      <c r="AT344" s="146"/>
      <c r="AU344" s="146"/>
      <c r="AV344" s="146"/>
      <c r="AW344" s="146"/>
      <c r="AX344" s="146"/>
      <c r="AY344" s="146"/>
      <c r="AZ344" s="146"/>
      <c r="BA344" s="146"/>
      <c r="BB344" s="146"/>
      <c r="BC344" s="146"/>
      <c r="BD344" s="146"/>
      <c r="BE344" s="146"/>
      <c r="BF344" s="146"/>
      <c r="BG344" s="146"/>
      <c r="BH344" s="146"/>
      <c r="BI344" s="146"/>
      <c r="BJ344" s="146"/>
      <c r="BK344" s="146"/>
      <c r="BL344" s="146"/>
      <c r="BM344" s="146"/>
      <c r="BN344" s="146"/>
      <c r="BO344" s="146"/>
      <c r="BP344" s="146"/>
      <c r="BQ344" s="146"/>
      <c r="BR344" s="146"/>
    </row>
    <row r="345" spans="2:70" ht="15.75" hidden="1">
      <c r="B345" s="146"/>
      <c r="C345" s="146"/>
      <c r="D345" s="146"/>
      <c r="E345" s="146"/>
      <c r="F345" s="146"/>
      <c r="G345" s="146"/>
      <c r="H345" s="146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  <c r="AD345" s="146"/>
      <c r="AE345" s="146"/>
      <c r="AF345" s="146"/>
      <c r="AG345" s="146"/>
      <c r="AH345" s="146"/>
      <c r="AI345" s="146"/>
      <c r="AJ345" s="146"/>
      <c r="AK345" s="146"/>
      <c r="AL345" s="146"/>
      <c r="AM345" s="146"/>
      <c r="AN345" s="146"/>
      <c r="AO345" s="146"/>
      <c r="AP345" s="146"/>
      <c r="AQ345" s="146"/>
      <c r="AR345" s="146"/>
      <c r="AS345" s="146"/>
      <c r="AT345" s="146"/>
      <c r="AU345" s="146"/>
      <c r="AV345" s="146"/>
      <c r="AW345" s="146"/>
      <c r="AX345" s="146"/>
      <c r="AY345" s="146"/>
      <c r="AZ345" s="146"/>
      <c r="BA345" s="146"/>
      <c r="BB345" s="146"/>
      <c r="BC345" s="146"/>
      <c r="BD345" s="146"/>
      <c r="BE345" s="146"/>
      <c r="BF345" s="146"/>
      <c r="BG345" s="146"/>
      <c r="BH345" s="146"/>
      <c r="BI345" s="146"/>
      <c r="BJ345" s="146"/>
      <c r="BK345" s="146"/>
      <c r="BL345" s="146"/>
      <c r="BM345" s="146"/>
      <c r="BN345" s="146"/>
      <c r="BO345" s="146"/>
      <c r="BP345" s="146"/>
      <c r="BQ345" s="146"/>
      <c r="BR345" s="146"/>
    </row>
    <row r="346" spans="2:70" ht="15.75" hidden="1">
      <c r="B346" s="146"/>
      <c r="C346" s="146"/>
      <c r="D346" s="146"/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  <c r="AD346" s="146"/>
      <c r="AE346" s="146"/>
      <c r="AF346" s="146"/>
      <c r="AG346" s="146"/>
      <c r="AH346" s="146"/>
      <c r="AI346" s="146"/>
      <c r="AJ346" s="146"/>
      <c r="AK346" s="146"/>
      <c r="AL346" s="146"/>
      <c r="AM346" s="146"/>
      <c r="AN346" s="146"/>
      <c r="AO346" s="146"/>
      <c r="AP346" s="146"/>
      <c r="AQ346" s="146"/>
      <c r="AR346" s="146"/>
      <c r="AS346" s="146"/>
      <c r="AT346" s="146"/>
      <c r="AU346" s="146"/>
      <c r="AV346" s="146"/>
      <c r="AW346" s="146"/>
      <c r="AX346" s="146"/>
      <c r="AY346" s="146"/>
      <c r="AZ346" s="146"/>
      <c r="BA346" s="146"/>
      <c r="BB346" s="146"/>
      <c r="BC346" s="146"/>
      <c r="BD346" s="146"/>
      <c r="BE346" s="146"/>
      <c r="BF346" s="146"/>
      <c r="BG346" s="146"/>
      <c r="BH346" s="146"/>
      <c r="BI346" s="146"/>
      <c r="BJ346" s="146"/>
      <c r="BK346" s="146"/>
      <c r="BL346" s="146"/>
      <c r="BM346" s="146"/>
      <c r="BN346" s="146"/>
      <c r="BO346" s="146"/>
      <c r="BP346" s="146"/>
      <c r="BQ346" s="146"/>
      <c r="BR346" s="146"/>
    </row>
    <row r="347" spans="2:70" ht="15.75" hidden="1">
      <c r="B347" s="146"/>
      <c r="C347" s="146"/>
      <c r="D347" s="146"/>
      <c r="E347" s="146"/>
      <c r="F347" s="146"/>
      <c r="G347" s="146"/>
      <c r="H347" s="146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  <c r="AD347" s="146"/>
      <c r="AE347" s="146"/>
      <c r="AF347" s="146"/>
      <c r="AG347" s="146"/>
      <c r="AH347" s="146"/>
      <c r="AI347" s="146"/>
      <c r="AJ347" s="146"/>
      <c r="AK347" s="146"/>
      <c r="AL347" s="146"/>
      <c r="AM347" s="146"/>
      <c r="AN347" s="146"/>
      <c r="AO347" s="146"/>
      <c r="AP347" s="146"/>
      <c r="AQ347" s="146"/>
      <c r="AR347" s="146"/>
      <c r="AS347" s="146"/>
      <c r="AT347" s="146"/>
      <c r="AU347" s="146"/>
      <c r="AV347" s="146"/>
      <c r="AW347" s="146"/>
      <c r="AX347" s="146"/>
      <c r="AY347" s="146"/>
      <c r="AZ347" s="146"/>
      <c r="BA347" s="146"/>
      <c r="BB347" s="146"/>
      <c r="BC347" s="146"/>
      <c r="BD347" s="146"/>
      <c r="BE347" s="146"/>
      <c r="BF347" s="146"/>
      <c r="BG347" s="146"/>
      <c r="BH347" s="146"/>
      <c r="BI347" s="146"/>
      <c r="BJ347" s="146"/>
      <c r="BK347" s="146"/>
      <c r="BL347" s="146"/>
      <c r="BM347" s="146"/>
      <c r="BN347" s="146"/>
      <c r="BO347" s="146"/>
      <c r="BP347" s="146"/>
      <c r="BQ347" s="146"/>
      <c r="BR347" s="146"/>
    </row>
    <row r="348" spans="2:70" ht="15.75" hidden="1">
      <c r="B348" s="146"/>
      <c r="C348" s="146"/>
      <c r="D348" s="146"/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  <c r="AD348" s="146"/>
      <c r="AE348" s="146"/>
      <c r="AF348" s="146"/>
      <c r="AG348" s="146"/>
      <c r="AH348" s="146"/>
      <c r="AI348" s="146"/>
      <c r="AJ348" s="146"/>
      <c r="AK348" s="146"/>
      <c r="AL348" s="146"/>
      <c r="AM348" s="146"/>
      <c r="AN348" s="146"/>
      <c r="AO348" s="146"/>
      <c r="AP348" s="146"/>
      <c r="AQ348" s="146"/>
      <c r="AR348" s="146"/>
      <c r="AS348" s="146"/>
      <c r="AT348" s="146"/>
      <c r="AU348" s="146"/>
      <c r="AV348" s="146"/>
      <c r="AW348" s="146"/>
      <c r="AX348" s="146"/>
      <c r="AY348" s="146"/>
      <c r="AZ348" s="146"/>
      <c r="BA348" s="146"/>
      <c r="BB348" s="146"/>
      <c r="BC348" s="146"/>
      <c r="BD348" s="146"/>
      <c r="BE348" s="146"/>
      <c r="BF348" s="146"/>
      <c r="BG348" s="146"/>
      <c r="BH348" s="146"/>
      <c r="BI348" s="146"/>
      <c r="BJ348" s="146"/>
      <c r="BK348" s="146"/>
      <c r="BL348" s="146"/>
      <c r="BM348" s="146"/>
      <c r="BN348" s="146"/>
      <c r="BO348" s="146"/>
      <c r="BP348" s="146"/>
      <c r="BQ348" s="146"/>
      <c r="BR348" s="146"/>
    </row>
    <row r="349" spans="2:70" ht="15.75" hidden="1">
      <c r="B349" s="146"/>
      <c r="C349" s="146"/>
      <c r="D349" s="146"/>
      <c r="E349" s="146"/>
      <c r="F349" s="146"/>
      <c r="G349" s="146"/>
      <c r="H349" s="146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  <c r="AD349" s="146"/>
      <c r="AE349" s="146"/>
      <c r="AF349" s="146"/>
      <c r="AG349" s="146"/>
      <c r="AH349" s="146"/>
      <c r="AI349" s="146"/>
      <c r="AJ349" s="146"/>
      <c r="AK349" s="146"/>
      <c r="AL349" s="146"/>
      <c r="AM349" s="146"/>
      <c r="AN349" s="146"/>
      <c r="AO349" s="146"/>
      <c r="AP349" s="146"/>
      <c r="AQ349" s="146"/>
      <c r="AR349" s="146"/>
      <c r="AS349" s="146"/>
      <c r="AT349" s="146"/>
      <c r="AU349" s="146"/>
      <c r="AV349" s="146"/>
      <c r="AW349" s="146"/>
      <c r="AX349" s="146"/>
      <c r="AY349" s="146"/>
      <c r="AZ349" s="146"/>
      <c r="BA349" s="146"/>
      <c r="BB349" s="146"/>
      <c r="BC349" s="146"/>
      <c r="BD349" s="146"/>
      <c r="BE349" s="146"/>
      <c r="BF349" s="146"/>
      <c r="BG349" s="146"/>
      <c r="BH349" s="146"/>
      <c r="BI349" s="146"/>
      <c r="BJ349" s="146"/>
      <c r="BK349" s="146"/>
      <c r="BL349" s="146"/>
      <c r="BM349" s="146"/>
      <c r="BN349" s="146"/>
      <c r="BO349" s="146"/>
      <c r="BP349" s="146"/>
      <c r="BQ349" s="146"/>
      <c r="BR349" s="146"/>
    </row>
    <row r="350" spans="2:70" ht="15.75" hidden="1">
      <c r="B350" s="146"/>
      <c r="C350" s="146"/>
      <c r="D350" s="146"/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  <c r="AD350" s="146"/>
      <c r="AE350" s="146"/>
      <c r="AF350" s="146"/>
      <c r="AG350" s="146"/>
      <c r="AH350" s="146"/>
      <c r="AI350" s="146"/>
      <c r="AJ350" s="146"/>
      <c r="AK350" s="146"/>
      <c r="AL350" s="146"/>
      <c r="AM350" s="146"/>
      <c r="AN350" s="146"/>
      <c r="AO350" s="146"/>
      <c r="AP350" s="146"/>
      <c r="AQ350" s="146"/>
      <c r="AR350" s="146"/>
      <c r="AS350" s="146"/>
      <c r="AT350" s="146"/>
      <c r="AU350" s="146"/>
      <c r="AV350" s="146"/>
      <c r="AW350" s="146"/>
      <c r="AX350" s="146"/>
      <c r="AY350" s="146"/>
      <c r="AZ350" s="146"/>
      <c r="BA350" s="146"/>
      <c r="BB350" s="146"/>
      <c r="BC350" s="146"/>
      <c r="BD350" s="146"/>
      <c r="BE350" s="146"/>
      <c r="BF350" s="146"/>
      <c r="BG350" s="146"/>
      <c r="BH350" s="146"/>
      <c r="BI350" s="146"/>
      <c r="BJ350" s="146"/>
      <c r="BK350" s="146"/>
      <c r="BL350" s="146"/>
      <c r="BM350" s="146"/>
      <c r="BN350" s="146"/>
      <c r="BO350" s="146"/>
      <c r="BP350" s="146"/>
      <c r="BQ350" s="146"/>
      <c r="BR350" s="146"/>
    </row>
    <row r="351" spans="2:70" ht="15.75" hidden="1">
      <c r="B351" s="146"/>
      <c r="C351" s="146"/>
      <c r="D351" s="146"/>
      <c r="E351" s="146"/>
      <c r="F351" s="146"/>
      <c r="G351" s="146"/>
      <c r="H351" s="146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  <c r="AD351" s="146"/>
      <c r="AE351" s="146"/>
      <c r="AF351" s="146"/>
      <c r="AG351" s="146"/>
      <c r="AH351" s="146"/>
      <c r="AI351" s="146"/>
      <c r="AJ351" s="146"/>
      <c r="AK351" s="146"/>
      <c r="AL351" s="146"/>
      <c r="AM351" s="146"/>
      <c r="AN351" s="146"/>
      <c r="AO351" s="146"/>
      <c r="AP351" s="146"/>
      <c r="AQ351" s="146"/>
      <c r="AR351" s="146"/>
      <c r="AS351" s="146"/>
      <c r="AT351" s="146"/>
      <c r="AU351" s="146"/>
      <c r="AV351" s="146"/>
      <c r="AW351" s="146"/>
      <c r="AX351" s="146"/>
      <c r="AY351" s="146"/>
      <c r="AZ351" s="146"/>
      <c r="BA351" s="146"/>
      <c r="BB351" s="146"/>
      <c r="BC351" s="146"/>
      <c r="BD351" s="146"/>
      <c r="BE351" s="146"/>
      <c r="BF351" s="146"/>
      <c r="BG351" s="146"/>
      <c r="BH351" s="146"/>
      <c r="BI351" s="146"/>
      <c r="BJ351" s="146"/>
      <c r="BK351" s="146"/>
      <c r="BL351" s="146"/>
      <c r="BM351" s="146"/>
      <c r="BN351" s="146"/>
      <c r="BO351" s="146"/>
      <c r="BP351" s="146"/>
      <c r="BQ351" s="146"/>
      <c r="BR351" s="146"/>
    </row>
    <row r="352" spans="2:70" ht="15.75" hidden="1">
      <c r="B352" s="146"/>
      <c r="C352" s="146"/>
      <c r="D352" s="146"/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  <c r="AD352" s="146"/>
      <c r="AE352" s="146"/>
      <c r="AF352" s="146"/>
      <c r="AG352" s="146"/>
      <c r="AH352" s="146"/>
      <c r="AI352" s="146"/>
      <c r="AJ352" s="146"/>
      <c r="AK352" s="146"/>
      <c r="AL352" s="146"/>
      <c r="AM352" s="146"/>
      <c r="AN352" s="146"/>
      <c r="AO352" s="146"/>
      <c r="AP352" s="146"/>
      <c r="AQ352" s="146"/>
      <c r="AR352" s="146"/>
      <c r="AS352" s="146"/>
      <c r="AT352" s="146"/>
      <c r="AU352" s="146"/>
      <c r="AV352" s="146"/>
      <c r="AW352" s="146"/>
      <c r="AX352" s="146"/>
      <c r="AY352" s="146"/>
      <c r="AZ352" s="146"/>
      <c r="BA352" s="146"/>
      <c r="BB352" s="146"/>
      <c r="BC352" s="146"/>
      <c r="BD352" s="146"/>
      <c r="BE352" s="146"/>
      <c r="BF352" s="146"/>
      <c r="BG352" s="146"/>
      <c r="BH352" s="146"/>
      <c r="BI352" s="146"/>
      <c r="BJ352" s="146"/>
      <c r="BK352" s="146"/>
      <c r="BL352" s="146"/>
      <c r="BM352" s="146"/>
      <c r="BN352" s="146"/>
      <c r="BO352" s="146"/>
      <c r="BP352" s="146"/>
      <c r="BQ352" s="146"/>
      <c r="BR352" s="146"/>
    </row>
    <row r="353" spans="2:70" ht="15.75" hidden="1">
      <c r="B353" s="146"/>
      <c r="C353" s="146"/>
      <c r="D353" s="146"/>
      <c r="E353" s="146"/>
      <c r="F353" s="146"/>
      <c r="G353" s="146"/>
      <c r="H353" s="146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  <c r="AD353" s="146"/>
      <c r="AE353" s="146"/>
      <c r="AF353" s="146"/>
      <c r="AG353" s="146"/>
      <c r="AH353" s="146"/>
      <c r="AI353" s="146"/>
      <c r="AJ353" s="146"/>
      <c r="AK353" s="146"/>
      <c r="AL353" s="146"/>
      <c r="AM353" s="146"/>
      <c r="AN353" s="146"/>
      <c r="AO353" s="146"/>
      <c r="AP353" s="146"/>
      <c r="AQ353" s="146"/>
      <c r="AR353" s="146"/>
      <c r="AS353" s="146"/>
      <c r="AT353" s="146"/>
      <c r="AU353" s="146"/>
      <c r="AV353" s="146"/>
      <c r="AW353" s="146"/>
      <c r="AX353" s="146"/>
      <c r="AY353" s="146"/>
      <c r="AZ353" s="146"/>
      <c r="BA353" s="146"/>
      <c r="BB353" s="146"/>
      <c r="BC353" s="146"/>
      <c r="BD353" s="146"/>
      <c r="BE353" s="146"/>
      <c r="BF353" s="146"/>
      <c r="BG353" s="146"/>
      <c r="BH353" s="146"/>
      <c r="BI353" s="146"/>
      <c r="BJ353" s="146"/>
      <c r="BK353" s="146"/>
      <c r="BL353" s="146"/>
      <c r="BM353" s="146"/>
      <c r="BN353" s="146"/>
      <c r="BO353" s="146"/>
      <c r="BP353" s="146"/>
      <c r="BQ353" s="146"/>
      <c r="BR353" s="146"/>
    </row>
    <row r="354" spans="2:70" ht="15.75" hidden="1">
      <c r="B354" s="146"/>
      <c r="C354" s="146"/>
      <c r="D354" s="146"/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  <c r="AD354" s="146"/>
      <c r="AE354" s="146"/>
      <c r="AF354" s="146"/>
      <c r="AG354" s="146"/>
      <c r="AH354" s="146"/>
      <c r="AI354" s="146"/>
      <c r="AJ354" s="146"/>
      <c r="AK354" s="146"/>
      <c r="AL354" s="146"/>
      <c r="AM354" s="146"/>
      <c r="AN354" s="146"/>
      <c r="AO354" s="146"/>
      <c r="AP354" s="146"/>
      <c r="AQ354" s="146"/>
      <c r="AR354" s="146"/>
      <c r="AS354" s="146"/>
      <c r="AT354" s="146"/>
      <c r="AU354" s="146"/>
      <c r="AV354" s="146"/>
      <c r="AW354" s="146"/>
      <c r="AX354" s="146"/>
      <c r="AY354" s="146"/>
      <c r="AZ354" s="146"/>
      <c r="BA354" s="146"/>
      <c r="BB354" s="146"/>
      <c r="BC354" s="146"/>
      <c r="BD354" s="146"/>
      <c r="BE354" s="146"/>
      <c r="BF354" s="146"/>
      <c r="BG354" s="146"/>
      <c r="BH354" s="146"/>
      <c r="BI354" s="146"/>
      <c r="BJ354" s="146"/>
      <c r="BK354" s="146"/>
      <c r="BL354" s="146"/>
      <c r="BM354" s="146"/>
      <c r="BN354" s="146"/>
      <c r="BO354" s="146"/>
      <c r="BP354" s="146"/>
      <c r="BQ354" s="146"/>
      <c r="BR354" s="146"/>
    </row>
    <row r="355" spans="2:70" ht="15.75" hidden="1">
      <c r="B355" s="146"/>
      <c r="C355" s="146"/>
      <c r="D355" s="146"/>
      <c r="E355" s="146"/>
      <c r="F355" s="146"/>
      <c r="G355" s="146"/>
      <c r="H355" s="146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  <c r="AD355" s="146"/>
      <c r="AE355" s="146"/>
      <c r="AF355" s="146"/>
      <c r="AG355" s="146"/>
      <c r="AH355" s="146"/>
      <c r="AI355" s="146"/>
      <c r="AJ355" s="146"/>
      <c r="AK355" s="146"/>
      <c r="AL355" s="146"/>
      <c r="AM355" s="146"/>
      <c r="AN355" s="146"/>
      <c r="AO355" s="146"/>
      <c r="AP355" s="146"/>
      <c r="AQ355" s="146"/>
      <c r="AR355" s="146"/>
      <c r="AS355" s="146"/>
      <c r="AT355" s="146"/>
      <c r="AU355" s="146"/>
      <c r="AV355" s="146"/>
      <c r="AW355" s="146"/>
      <c r="AX355" s="146"/>
      <c r="AY355" s="146"/>
      <c r="AZ355" s="146"/>
      <c r="BA355" s="146"/>
      <c r="BB355" s="146"/>
      <c r="BC355" s="146"/>
      <c r="BD355" s="146"/>
      <c r="BE355" s="146"/>
      <c r="BF355" s="146"/>
      <c r="BG355" s="146"/>
      <c r="BH355" s="146"/>
      <c r="BI355" s="146"/>
      <c r="BJ355" s="146"/>
      <c r="BK355" s="146"/>
      <c r="BL355" s="146"/>
      <c r="BM355" s="146"/>
      <c r="BN355" s="146"/>
      <c r="BO355" s="146"/>
      <c r="BP355" s="146"/>
      <c r="BQ355" s="146"/>
      <c r="BR355" s="146"/>
    </row>
    <row r="356" spans="2:70" ht="15.75" hidden="1">
      <c r="B356" s="146"/>
      <c r="C356" s="146"/>
      <c r="D356" s="146"/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  <c r="AD356" s="146"/>
      <c r="AE356" s="146"/>
      <c r="AF356" s="146"/>
      <c r="AG356" s="146"/>
      <c r="AH356" s="146"/>
      <c r="AI356" s="146"/>
      <c r="AJ356" s="146"/>
      <c r="AK356" s="146"/>
      <c r="AL356" s="146"/>
      <c r="AM356" s="146"/>
      <c r="AN356" s="146"/>
      <c r="AO356" s="146"/>
      <c r="AP356" s="146"/>
      <c r="AQ356" s="146"/>
      <c r="AR356" s="146"/>
      <c r="AS356" s="146"/>
      <c r="AT356" s="146"/>
      <c r="AU356" s="146"/>
      <c r="AV356" s="146"/>
      <c r="AW356" s="146"/>
      <c r="AX356" s="146"/>
      <c r="AY356" s="146"/>
      <c r="AZ356" s="146"/>
      <c r="BA356" s="146"/>
      <c r="BB356" s="146"/>
      <c r="BC356" s="146"/>
      <c r="BD356" s="146"/>
      <c r="BE356" s="146"/>
      <c r="BF356" s="146"/>
      <c r="BG356" s="146"/>
      <c r="BH356" s="146"/>
      <c r="BI356" s="146"/>
      <c r="BJ356" s="146"/>
      <c r="BK356" s="146"/>
      <c r="BL356" s="146"/>
      <c r="BM356" s="146"/>
      <c r="BN356" s="146"/>
      <c r="BO356" s="146"/>
      <c r="BP356" s="146"/>
      <c r="BQ356" s="146"/>
      <c r="BR356" s="146"/>
    </row>
    <row r="357" spans="2:70" ht="15.75" hidden="1">
      <c r="B357" s="146"/>
      <c r="C357" s="146"/>
      <c r="D357" s="146"/>
      <c r="E357" s="146"/>
      <c r="F357" s="146"/>
      <c r="G357" s="146"/>
      <c r="H357" s="146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  <c r="AD357" s="146"/>
      <c r="AE357" s="146"/>
      <c r="AF357" s="146"/>
      <c r="AG357" s="146"/>
      <c r="AH357" s="146"/>
      <c r="AI357" s="146"/>
      <c r="AJ357" s="146"/>
      <c r="AK357" s="146"/>
      <c r="AL357" s="146"/>
      <c r="AM357" s="146"/>
      <c r="AN357" s="146"/>
      <c r="AO357" s="146"/>
      <c r="AP357" s="146"/>
      <c r="AQ357" s="146"/>
      <c r="AR357" s="146"/>
      <c r="AS357" s="146"/>
      <c r="AT357" s="146"/>
      <c r="AU357" s="146"/>
      <c r="AV357" s="146"/>
      <c r="AW357" s="146"/>
      <c r="AX357" s="146"/>
      <c r="AY357" s="146"/>
      <c r="AZ357" s="146"/>
      <c r="BA357" s="146"/>
      <c r="BB357" s="146"/>
      <c r="BC357" s="146"/>
      <c r="BD357" s="146"/>
      <c r="BE357" s="146"/>
      <c r="BF357" s="146"/>
      <c r="BG357" s="146"/>
      <c r="BH357" s="146"/>
      <c r="BI357" s="146"/>
      <c r="BJ357" s="146"/>
      <c r="BK357" s="146"/>
      <c r="BL357" s="146"/>
      <c r="BM357" s="146"/>
      <c r="BN357" s="146"/>
      <c r="BO357" s="146"/>
      <c r="BP357" s="146"/>
      <c r="BQ357" s="146"/>
      <c r="BR357" s="146"/>
    </row>
    <row r="358" spans="2:70" ht="15.75" hidden="1">
      <c r="B358" s="146"/>
      <c r="C358" s="146"/>
      <c r="D358" s="146"/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  <c r="AD358" s="146"/>
      <c r="AE358" s="146"/>
      <c r="AF358" s="146"/>
      <c r="AG358" s="146"/>
      <c r="AH358" s="146"/>
      <c r="AI358" s="146"/>
      <c r="AJ358" s="146"/>
      <c r="AK358" s="146"/>
      <c r="AL358" s="146"/>
      <c r="AM358" s="146"/>
      <c r="AN358" s="146"/>
      <c r="AO358" s="146"/>
      <c r="AP358" s="146"/>
      <c r="AQ358" s="146"/>
      <c r="AR358" s="146"/>
      <c r="AS358" s="146"/>
      <c r="AT358" s="146"/>
      <c r="AU358" s="146"/>
      <c r="AV358" s="146"/>
      <c r="AW358" s="146"/>
      <c r="AX358" s="146"/>
      <c r="AY358" s="146"/>
      <c r="AZ358" s="146"/>
      <c r="BA358" s="146"/>
      <c r="BB358" s="146"/>
      <c r="BC358" s="146"/>
      <c r="BD358" s="146"/>
      <c r="BE358" s="146"/>
      <c r="BF358" s="146"/>
      <c r="BG358" s="146"/>
      <c r="BH358" s="146"/>
      <c r="BI358" s="146"/>
      <c r="BJ358" s="146"/>
      <c r="BK358" s="146"/>
      <c r="BL358" s="146"/>
      <c r="BM358" s="146"/>
      <c r="BN358" s="146"/>
      <c r="BO358" s="146"/>
      <c r="BP358" s="146"/>
      <c r="BQ358" s="146"/>
      <c r="BR358" s="146"/>
    </row>
    <row r="359" spans="2:70" ht="15.75" hidden="1">
      <c r="B359" s="146"/>
      <c r="C359" s="146"/>
      <c r="D359" s="146"/>
      <c r="E359" s="146"/>
      <c r="F359" s="146"/>
      <c r="G359" s="146"/>
      <c r="H359" s="146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  <c r="AD359" s="146"/>
      <c r="AE359" s="146"/>
      <c r="AF359" s="146"/>
      <c r="AG359" s="146"/>
      <c r="AH359" s="146"/>
      <c r="AI359" s="146"/>
      <c r="AJ359" s="146"/>
      <c r="AK359" s="146"/>
      <c r="AL359" s="146"/>
      <c r="AM359" s="146"/>
      <c r="AN359" s="146"/>
      <c r="AO359" s="146"/>
      <c r="AP359" s="146"/>
      <c r="AQ359" s="146"/>
      <c r="AR359" s="146"/>
      <c r="AS359" s="146"/>
      <c r="AT359" s="146"/>
      <c r="AU359" s="146"/>
      <c r="AV359" s="146"/>
      <c r="AW359" s="146"/>
      <c r="AX359" s="146"/>
      <c r="AY359" s="146"/>
      <c r="AZ359" s="146"/>
      <c r="BA359" s="146"/>
      <c r="BB359" s="146"/>
      <c r="BC359" s="146"/>
      <c r="BD359" s="146"/>
      <c r="BE359" s="146"/>
      <c r="BF359" s="146"/>
      <c r="BG359" s="146"/>
      <c r="BH359" s="146"/>
      <c r="BI359" s="146"/>
      <c r="BJ359" s="146"/>
      <c r="BK359" s="146"/>
      <c r="BL359" s="146"/>
      <c r="BM359" s="146"/>
      <c r="BN359" s="146"/>
      <c r="BO359" s="146"/>
      <c r="BP359" s="146"/>
      <c r="BQ359" s="146"/>
      <c r="BR359" s="146"/>
    </row>
    <row r="360" spans="2:70" ht="15.75" hidden="1">
      <c r="B360" s="146"/>
      <c r="C360" s="146"/>
      <c r="D360" s="146"/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  <c r="AD360" s="146"/>
      <c r="AE360" s="146"/>
      <c r="AF360" s="146"/>
      <c r="AG360" s="146"/>
      <c r="AH360" s="146"/>
      <c r="AI360" s="146"/>
      <c r="AJ360" s="146"/>
      <c r="AK360" s="146"/>
      <c r="AL360" s="146"/>
      <c r="AM360" s="146"/>
      <c r="AN360" s="146"/>
      <c r="AO360" s="146"/>
      <c r="AP360" s="146"/>
      <c r="AQ360" s="146"/>
      <c r="AR360" s="146"/>
      <c r="AS360" s="146"/>
      <c r="AT360" s="146"/>
      <c r="AU360" s="146"/>
      <c r="AV360" s="146"/>
      <c r="AW360" s="146"/>
      <c r="AX360" s="146"/>
      <c r="AY360" s="146"/>
      <c r="AZ360" s="146"/>
      <c r="BA360" s="146"/>
      <c r="BB360" s="146"/>
      <c r="BC360" s="146"/>
      <c r="BD360" s="146"/>
      <c r="BE360" s="146"/>
      <c r="BF360" s="146"/>
      <c r="BG360" s="146"/>
      <c r="BH360" s="146"/>
      <c r="BI360" s="146"/>
      <c r="BJ360" s="146"/>
      <c r="BK360" s="146"/>
      <c r="BL360" s="146"/>
      <c r="BM360" s="146"/>
      <c r="BN360" s="146"/>
      <c r="BO360" s="146"/>
      <c r="BP360" s="146"/>
      <c r="BQ360" s="146"/>
      <c r="BR360" s="146"/>
    </row>
    <row r="361" spans="2:70" ht="15.75" hidden="1">
      <c r="B361" s="146"/>
      <c r="C361" s="146"/>
      <c r="D361" s="146"/>
      <c r="E361" s="146"/>
      <c r="F361" s="146"/>
      <c r="G361" s="146"/>
      <c r="H361" s="146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  <c r="AD361" s="146"/>
      <c r="AE361" s="146"/>
      <c r="AF361" s="146"/>
      <c r="AG361" s="146"/>
      <c r="AH361" s="146"/>
      <c r="AI361" s="146"/>
      <c r="AJ361" s="146"/>
      <c r="AK361" s="146"/>
      <c r="AL361" s="146"/>
      <c r="AM361" s="146"/>
      <c r="AN361" s="146"/>
      <c r="AO361" s="146"/>
      <c r="AP361" s="146"/>
      <c r="AQ361" s="146"/>
      <c r="AR361" s="146"/>
      <c r="AS361" s="146"/>
      <c r="AT361" s="146"/>
      <c r="AU361" s="146"/>
      <c r="AV361" s="146"/>
      <c r="AW361" s="146"/>
      <c r="AX361" s="146"/>
      <c r="AY361" s="146"/>
      <c r="AZ361" s="146"/>
      <c r="BA361" s="146"/>
      <c r="BB361" s="146"/>
      <c r="BC361" s="146"/>
      <c r="BD361" s="146"/>
      <c r="BE361" s="146"/>
      <c r="BF361" s="146"/>
      <c r="BG361" s="146"/>
      <c r="BH361" s="146"/>
      <c r="BI361" s="146"/>
      <c r="BJ361" s="146"/>
      <c r="BK361" s="146"/>
      <c r="BL361" s="146"/>
      <c r="BM361" s="146"/>
      <c r="BN361" s="146"/>
      <c r="BO361" s="146"/>
      <c r="BP361" s="146"/>
      <c r="BQ361" s="146"/>
      <c r="BR361" s="146"/>
    </row>
    <row r="362" spans="2:70" ht="15.75" hidden="1">
      <c r="B362" s="146"/>
      <c r="C362" s="146"/>
      <c r="D362" s="146"/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  <c r="AD362" s="146"/>
      <c r="AE362" s="146"/>
      <c r="AF362" s="146"/>
      <c r="AG362" s="146"/>
      <c r="AH362" s="146"/>
      <c r="AI362" s="146"/>
      <c r="AJ362" s="146"/>
      <c r="AK362" s="146"/>
      <c r="AL362" s="146"/>
      <c r="AM362" s="146"/>
      <c r="AN362" s="146"/>
      <c r="AO362" s="146"/>
      <c r="AP362" s="146"/>
      <c r="AQ362" s="146"/>
      <c r="AR362" s="146"/>
      <c r="AS362" s="146"/>
      <c r="AT362" s="146"/>
      <c r="AU362" s="146"/>
      <c r="AV362" s="146"/>
      <c r="AW362" s="146"/>
      <c r="AX362" s="146"/>
      <c r="AY362" s="146"/>
      <c r="AZ362" s="146"/>
      <c r="BA362" s="146"/>
      <c r="BB362" s="146"/>
      <c r="BC362" s="146"/>
      <c r="BD362" s="146"/>
      <c r="BE362" s="146"/>
      <c r="BF362" s="146"/>
      <c r="BG362" s="146"/>
      <c r="BH362" s="146"/>
      <c r="BI362" s="146"/>
      <c r="BJ362" s="146"/>
      <c r="BK362" s="146"/>
      <c r="BL362" s="146"/>
      <c r="BM362" s="146"/>
      <c r="BN362" s="146"/>
      <c r="BO362" s="146"/>
      <c r="BP362" s="146"/>
      <c r="BQ362" s="146"/>
      <c r="BR362" s="146"/>
    </row>
    <row r="363" spans="2:70" ht="15.75" hidden="1">
      <c r="B363" s="146"/>
      <c r="C363" s="146"/>
      <c r="D363" s="146"/>
      <c r="E363" s="146"/>
      <c r="F363" s="146"/>
      <c r="G363" s="146"/>
      <c r="H363" s="146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  <c r="AD363" s="146"/>
      <c r="AE363" s="146"/>
      <c r="AF363" s="146"/>
      <c r="AG363" s="146"/>
      <c r="AH363" s="146"/>
      <c r="AI363" s="146"/>
      <c r="AJ363" s="146"/>
      <c r="AK363" s="146"/>
      <c r="AL363" s="146"/>
      <c r="AM363" s="146"/>
      <c r="AN363" s="146"/>
      <c r="AO363" s="146"/>
      <c r="AP363" s="146"/>
      <c r="AQ363" s="146"/>
      <c r="AR363" s="146"/>
      <c r="AS363" s="146"/>
      <c r="AT363" s="146"/>
      <c r="AU363" s="146"/>
      <c r="AV363" s="146"/>
      <c r="AW363" s="146"/>
      <c r="AX363" s="146"/>
      <c r="AY363" s="146"/>
      <c r="AZ363" s="146"/>
      <c r="BA363" s="146"/>
      <c r="BB363" s="146"/>
      <c r="BC363" s="146"/>
      <c r="BD363" s="146"/>
      <c r="BE363" s="146"/>
      <c r="BF363" s="146"/>
      <c r="BG363" s="146"/>
      <c r="BH363" s="146"/>
      <c r="BI363" s="146"/>
      <c r="BJ363" s="146"/>
      <c r="BK363" s="146"/>
      <c r="BL363" s="146"/>
      <c r="BM363" s="146"/>
      <c r="BN363" s="146"/>
      <c r="BO363" s="146"/>
      <c r="BP363" s="146"/>
      <c r="BQ363" s="146"/>
      <c r="BR363" s="146"/>
    </row>
    <row r="364" spans="2:70" ht="15.75" hidden="1">
      <c r="B364" s="146"/>
      <c r="C364" s="146"/>
      <c r="D364" s="146"/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  <c r="AD364" s="146"/>
      <c r="AE364" s="146"/>
      <c r="AF364" s="146"/>
      <c r="AG364" s="146"/>
      <c r="AH364" s="146"/>
      <c r="AI364" s="146"/>
      <c r="AJ364" s="146"/>
      <c r="AK364" s="146"/>
      <c r="AL364" s="146"/>
      <c r="AM364" s="146"/>
      <c r="AN364" s="146"/>
      <c r="AO364" s="146"/>
      <c r="AP364" s="146"/>
      <c r="AQ364" s="146"/>
      <c r="AR364" s="146"/>
      <c r="AS364" s="146"/>
      <c r="AT364" s="146"/>
      <c r="AU364" s="146"/>
      <c r="AV364" s="146"/>
      <c r="AW364" s="146"/>
      <c r="AX364" s="146"/>
      <c r="AY364" s="146"/>
      <c r="AZ364" s="146"/>
      <c r="BA364" s="146"/>
      <c r="BB364" s="146"/>
      <c r="BC364" s="146"/>
      <c r="BD364" s="146"/>
      <c r="BE364" s="146"/>
      <c r="BF364" s="146"/>
      <c r="BG364" s="146"/>
      <c r="BH364" s="146"/>
      <c r="BI364" s="146"/>
      <c r="BJ364" s="146"/>
      <c r="BK364" s="146"/>
      <c r="BL364" s="146"/>
      <c r="BM364" s="146"/>
      <c r="BN364" s="146"/>
      <c r="BO364" s="146"/>
      <c r="BP364" s="146"/>
      <c r="BQ364" s="146"/>
      <c r="BR364" s="146"/>
    </row>
    <row r="365" spans="2:70" ht="15.75" hidden="1">
      <c r="B365" s="146"/>
      <c r="C365" s="146"/>
      <c r="D365" s="146"/>
      <c r="E365" s="146"/>
      <c r="F365" s="146"/>
      <c r="G365" s="146"/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  <c r="AD365" s="146"/>
      <c r="AE365" s="146"/>
      <c r="AF365" s="146"/>
      <c r="AG365" s="146"/>
      <c r="AH365" s="146"/>
      <c r="AI365" s="146"/>
      <c r="AJ365" s="146"/>
      <c r="AK365" s="146"/>
      <c r="AL365" s="146"/>
      <c r="AM365" s="146"/>
      <c r="AN365" s="146"/>
      <c r="AO365" s="146"/>
      <c r="AP365" s="146"/>
      <c r="AQ365" s="146"/>
      <c r="AR365" s="146"/>
      <c r="AS365" s="146"/>
      <c r="AT365" s="146"/>
      <c r="AU365" s="146"/>
      <c r="AV365" s="146"/>
      <c r="AW365" s="146"/>
      <c r="AX365" s="146"/>
      <c r="AY365" s="146"/>
      <c r="AZ365" s="146"/>
      <c r="BA365" s="146"/>
      <c r="BB365" s="146"/>
      <c r="BC365" s="146"/>
      <c r="BD365" s="146"/>
      <c r="BE365" s="146"/>
      <c r="BF365" s="146"/>
      <c r="BG365" s="146"/>
      <c r="BH365" s="146"/>
      <c r="BI365" s="146"/>
      <c r="BJ365" s="146"/>
      <c r="BK365" s="146"/>
      <c r="BL365" s="146"/>
      <c r="BM365" s="146"/>
      <c r="BN365" s="146"/>
      <c r="BO365" s="146"/>
      <c r="BP365" s="146"/>
      <c r="BQ365" s="146"/>
      <c r="BR365" s="146"/>
    </row>
    <row r="366" spans="2:70" ht="15.75" hidden="1">
      <c r="B366" s="146"/>
      <c r="C366" s="146"/>
      <c r="D366" s="146"/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  <c r="AD366" s="146"/>
      <c r="AE366" s="146"/>
      <c r="AF366" s="146"/>
      <c r="AG366" s="146"/>
      <c r="AH366" s="146"/>
      <c r="AI366" s="146"/>
      <c r="AJ366" s="146"/>
      <c r="AK366" s="146"/>
      <c r="AL366" s="146"/>
      <c r="AM366" s="146"/>
      <c r="AN366" s="146"/>
      <c r="AO366" s="146"/>
      <c r="AP366" s="146"/>
      <c r="AQ366" s="146"/>
      <c r="AR366" s="146"/>
      <c r="AS366" s="146"/>
      <c r="AT366" s="146"/>
      <c r="AU366" s="146"/>
      <c r="AV366" s="146"/>
      <c r="AW366" s="146"/>
      <c r="AX366" s="146"/>
      <c r="AY366" s="146"/>
      <c r="AZ366" s="146"/>
      <c r="BA366" s="146"/>
      <c r="BB366" s="146"/>
      <c r="BC366" s="146"/>
      <c r="BD366" s="146"/>
      <c r="BE366" s="146"/>
      <c r="BF366" s="146"/>
      <c r="BG366" s="146"/>
      <c r="BH366" s="146"/>
      <c r="BI366" s="146"/>
      <c r="BJ366" s="146"/>
      <c r="BK366" s="146"/>
      <c r="BL366" s="146"/>
      <c r="BM366" s="146"/>
      <c r="BN366" s="146"/>
      <c r="BO366" s="146"/>
      <c r="BP366" s="146"/>
      <c r="BQ366" s="146"/>
      <c r="BR366" s="146"/>
    </row>
    <row r="367" spans="2:70" ht="15.75" hidden="1">
      <c r="B367" s="146"/>
      <c r="C367" s="146"/>
      <c r="D367" s="146"/>
      <c r="E367" s="146"/>
      <c r="F367" s="146"/>
      <c r="G367" s="146"/>
      <c r="H367" s="146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  <c r="AD367" s="146"/>
      <c r="AE367" s="146"/>
      <c r="AF367" s="146"/>
      <c r="AG367" s="146"/>
      <c r="AH367" s="146"/>
      <c r="AI367" s="146"/>
      <c r="AJ367" s="146"/>
      <c r="AK367" s="146"/>
      <c r="AL367" s="146"/>
      <c r="AM367" s="146"/>
      <c r="AN367" s="146"/>
      <c r="AO367" s="146"/>
      <c r="AP367" s="146"/>
      <c r="AQ367" s="146"/>
      <c r="AR367" s="146"/>
      <c r="AS367" s="146"/>
      <c r="AT367" s="146"/>
      <c r="AU367" s="146"/>
      <c r="AV367" s="146"/>
      <c r="AW367" s="146"/>
      <c r="AX367" s="146"/>
      <c r="AY367" s="146"/>
      <c r="AZ367" s="146"/>
      <c r="BA367" s="146"/>
      <c r="BB367" s="146"/>
      <c r="BC367" s="146"/>
      <c r="BD367" s="146"/>
      <c r="BE367" s="146"/>
      <c r="BF367" s="146"/>
      <c r="BG367" s="146"/>
      <c r="BH367" s="146"/>
      <c r="BI367" s="146"/>
      <c r="BJ367" s="146"/>
      <c r="BK367" s="146"/>
      <c r="BL367" s="146"/>
      <c r="BM367" s="146"/>
      <c r="BN367" s="146"/>
      <c r="BO367" s="146"/>
      <c r="BP367" s="146"/>
      <c r="BQ367" s="146"/>
      <c r="BR367" s="146"/>
    </row>
    <row r="368" spans="2:70" ht="15.75" hidden="1">
      <c r="B368" s="146"/>
      <c r="C368" s="146"/>
      <c r="D368" s="146"/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  <c r="AD368" s="146"/>
      <c r="AE368" s="146"/>
      <c r="AF368" s="146"/>
      <c r="AG368" s="146"/>
      <c r="AH368" s="146"/>
      <c r="AI368" s="146"/>
      <c r="AJ368" s="146"/>
      <c r="AK368" s="146"/>
      <c r="AL368" s="146"/>
      <c r="AM368" s="146"/>
      <c r="AN368" s="146"/>
      <c r="AO368" s="146"/>
      <c r="AP368" s="146"/>
      <c r="AQ368" s="146"/>
      <c r="AR368" s="146"/>
      <c r="AS368" s="146"/>
      <c r="AT368" s="146"/>
      <c r="AU368" s="146"/>
      <c r="AV368" s="146"/>
      <c r="AW368" s="146"/>
      <c r="AX368" s="146"/>
      <c r="AY368" s="146"/>
      <c r="AZ368" s="146"/>
      <c r="BA368" s="146"/>
      <c r="BB368" s="146"/>
      <c r="BC368" s="146"/>
      <c r="BD368" s="146"/>
      <c r="BE368" s="146"/>
      <c r="BF368" s="146"/>
      <c r="BG368" s="146"/>
      <c r="BH368" s="146"/>
      <c r="BI368" s="146"/>
      <c r="BJ368" s="146"/>
      <c r="BK368" s="146"/>
      <c r="BL368" s="146"/>
      <c r="BM368" s="146"/>
      <c r="BN368" s="146"/>
      <c r="BO368" s="146"/>
      <c r="BP368" s="146"/>
      <c r="BQ368" s="146"/>
      <c r="BR368" s="146"/>
    </row>
    <row r="369" spans="2:70" ht="15.75" hidden="1">
      <c r="B369" s="146"/>
      <c r="C369" s="146"/>
      <c r="D369" s="146"/>
      <c r="E369" s="146"/>
      <c r="F369" s="146"/>
      <c r="G369" s="146"/>
      <c r="H369" s="146"/>
      <c r="I369" s="146"/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  <c r="AD369" s="146"/>
      <c r="AE369" s="146"/>
      <c r="AF369" s="146"/>
      <c r="AG369" s="146"/>
      <c r="AH369" s="146"/>
      <c r="AI369" s="146"/>
      <c r="AJ369" s="146"/>
      <c r="AK369" s="146"/>
      <c r="AL369" s="146"/>
      <c r="AM369" s="146"/>
      <c r="AN369" s="146"/>
      <c r="AO369" s="146"/>
      <c r="AP369" s="146"/>
      <c r="AQ369" s="146"/>
      <c r="AR369" s="146"/>
      <c r="AS369" s="146"/>
      <c r="AT369" s="146"/>
      <c r="AU369" s="146"/>
      <c r="AV369" s="146"/>
      <c r="AW369" s="146"/>
      <c r="AX369" s="146"/>
      <c r="AY369" s="146"/>
      <c r="AZ369" s="146"/>
      <c r="BA369" s="146"/>
      <c r="BB369" s="146"/>
      <c r="BC369" s="146"/>
      <c r="BD369" s="146"/>
      <c r="BE369" s="146"/>
      <c r="BF369" s="146"/>
      <c r="BG369" s="146"/>
      <c r="BH369" s="146"/>
      <c r="BI369" s="146"/>
      <c r="BJ369" s="146"/>
      <c r="BK369" s="146"/>
      <c r="BL369" s="146"/>
      <c r="BM369" s="146"/>
      <c r="BN369" s="146"/>
      <c r="BO369" s="146"/>
      <c r="BP369" s="146"/>
      <c r="BQ369" s="146"/>
      <c r="BR369" s="146"/>
    </row>
    <row r="370" spans="2:70" ht="15.75" hidden="1">
      <c r="B370" s="146"/>
      <c r="C370" s="146"/>
      <c r="D370" s="146"/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  <c r="AD370" s="146"/>
      <c r="AE370" s="146"/>
      <c r="AF370" s="146"/>
      <c r="AG370" s="146"/>
      <c r="AH370" s="146"/>
      <c r="AI370" s="146"/>
      <c r="AJ370" s="146"/>
      <c r="AK370" s="146"/>
      <c r="AL370" s="146"/>
      <c r="AM370" s="146"/>
      <c r="AN370" s="146"/>
      <c r="AO370" s="146"/>
      <c r="AP370" s="146"/>
      <c r="AQ370" s="146"/>
      <c r="AR370" s="146"/>
      <c r="AS370" s="146"/>
      <c r="AT370" s="146"/>
      <c r="AU370" s="146"/>
      <c r="AV370" s="146"/>
      <c r="AW370" s="146"/>
      <c r="AX370" s="146"/>
      <c r="AY370" s="146"/>
      <c r="AZ370" s="146"/>
      <c r="BA370" s="146"/>
      <c r="BB370" s="146"/>
      <c r="BC370" s="146"/>
      <c r="BD370" s="146"/>
      <c r="BE370" s="146"/>
      <c r="BF370" s="146"/>
      <c r="BG370" s="146"/>
      <c r="BH370" s="146"/>
      <c r="BI370" s="146"/>
      <c r="BJ370" s="146"/>
      <c r="BK370" s="146"/>
      <c r="BL370" s="146"/>
      <c r="BM370" s="146"/>
      <c r="BN370" s="146"/>
      <c r="BO370" s="146"/>
      <c r="BP370" s="146"/>
      <c r="BQ370" s="146"/>
      <c r="BR370" s="146"/>
    </row>
    <row r="371" spans="2:70" ht="15.75" hidden="1">
      <c r="B371" s="146"/>
      <c r="C371" s="146"/>
      <c r="D371" s="146"/>
      <c r="E371" s="146"/>
      <c r="F371" s="146"/>
      <c r="G371" s="146"/>
      <c r="H371" s="146"/>
      <c r="I371" s="146"/>
      <c r="J371" s="146"/>
      <c r="K371" s="146"/>
      <c r="L371" s="146"/>
      <c r="M371" s="146"/>
      <c r="N371" s="146"/>
      <c r="O371" s="146"/>
      <c r="P371" s="146"/>
      <c r="Q371" s="146"/>
      <c r="R371" s="146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  <c r="AD371" s="146"/>
      <c r="AE371" s="146"/>
      <c r="AF371" s="146"/>
      <c r="AG371" s="146"/>
      <c r="AH371" s="146"/>
      <c r="AI371" s="146"/>
      <c r="AJ371" s="146"/>
      <c r="AK371" s="146"/>
      <c r="AL371" s="146"/>
      <c r="AM371" s="146"/>
      <c r="AN371" s="146"/>
      <c r="AO371" s="146"/>
      <c r="AP371" s="146"/>
      <c r="AQ371" s="146"/>
      <c r="AR371" s="146"/>
      <c r="AS371" s="146"/>
      <c r="AT371" s="146"/>
      <c r="AU371" s="146"/>
      <c r="AV371" s="146"/>
      <c r="AW371" s="146"/>
      <c r="AX371" s="146"/>
      <c r="AY371" s="146"/>
      <c r="AZ371" s="146"/>
      <c r="BA371" s="146"/>
      <c r="BB371" s="146"/>
      <c r="BC371" s="146"/>
      <c r="BD371" s="146"/>
      <c r="BE371" s="146"/>
      <c r="BF371" s="146"/>
      <c r="BG371" s="146"/>
      <c r="BH371" s="146"/>
      <c r="BI371" s="146"/>
      <c r="BJ371" s="146"/>
      <c r="BK371" s="146"/>
      <c r="BL371" s="146"/>
      <c r="BM371" s="146"/>
      <c r="BN371" s="146"/>
      <c r="BO371" s="146"/>
      <c r="BP371" s="146"/>
      <c r="BQ371" s="146"/>
      <c r="BR371" s="146"/>
    </row>
    <row r="372" spans="2:70" ht="15.75" hidden="1">
      <c r="B372" s="146"/>
      <c r="C372" s="146"/>
      <c r="D372" s="146"/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  <c r="AD372" s="146"/>
      <c r="AE372" s="146"/>
      <c r="AF372" s="146"/>
      <c r="AG372" s="146"/>
      <c r="AH372" s="146"/>
      <c r="AI372" s="146"/>
      <c r="AJ372" s="146"/>
      <c r="AK372" s="146"/>
      <c r="AL372" s="146"/>
      <c r="AM372" s="146"/>
      <c r="AN372" s="146"/>
      <c r="AO372" s="146"/>
      <c r="AP372" s="146"/>
      <c r="AQ372" s="146"/>
      <c r="AR372" s="146"/>
      <c r="AS372" s="146"/>
      <c r="AT372" s="146"/>
      <c r="AU372" s="146"/>
      <c r="AV372" s="146"/>
      <c r="AW372" s="146"/>
      <c r="AX372" s="146"/>
      <c r="AY372" s="146"/>
      <c r="AZ372" s="146"/>
      <c r="BA372" s="146"/>
      <c r="BB372" s="146"/>
      <c r="BC372" s="146"/>
      <c r="BD372" s="146"/>
      <c r="BE372" s="146"/>
      <c r="BF372" s="146"/>
      <c r="BG372" s="146"/>
      <c r="BH372" s="146"/>
      <c r="BI372" s="146"/>
      <c r="BJ372" s="146"/>
      <c r="BK372" s="146"/>
      <c r="BL372" s="146"/>
      <c r="BM372" s="146"/>
      <c r="BN372" s="146"/>
      <c r="BO372" s="146"/>
      <c r="BP372" s="146"/>
      <c r="BQ372" s="146"/>
      <c r="BR372" s="146"/>
    </row>
    <row r="373" spans="2:70" ht="15.75" hidden="1">
      <c r="B373" s="146"/>
      <c r="C373" s="146"/>
      <c r="D373" s="146"/>
      <c r="E373" s="146"/>
      <c r="F373" s="146"/>
      <c r="G373" s="146"/>
      <c r="H373" s="146"/>
      <c r="I373" s="146"/>
      <c r="J373" s="146"/>
      <c r="K373" s="146"/>
      <c r="L373" s="146"/>
      <c r="M373" s="146"/>
      <c r="N373" s="146"/>
      <c r="O373" s="146"/>
      <c r="P373" s="146"/>
      <c r="Q373" s="146"/>
      <c r="R373" s="146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  <c r="AD373" s="146"/>
      <c r="AE373" s="146"/>
      <c r="AF373" s="146"/>
      <c r="AG373" s="146"/>
      <c r="AH373" s="146"/>
      <c r="AI373" s="146"/>
      <c r="AJ373" s="146"/>
      <c r="AK373" s="146"/>
      <c r="AL373" s="146"/>
      <c r="AM373" s="146"/>
      <c r="AN373" s="146"/>
      <c r="AO373" s="146"/>
      <c r="AP373" s="146"/>
      <c r="AQ373" s="146"/>
      <c r="AR373" s="146"/>
      <c r="AS373" s="146"/>
      <c r="AT373" s="146"/>
      <c r="AU373" s="146"/>
      <c r="AV373" s="146"/>
      <c r="AW373" s="146"/>
      <c r="AX373" s="146"/>
      <c r="AY373" s="146"/>
      <c r="AZ373" s="146"/>
      <c r="BA373" s="146"/>
      <c r="BB373" s="146"/>
      <c r="BC373" s="146"/>
      <c r="BD373" s="146"/>
      <c r="BE373" s="146"/>
      <c r="BF373" s="146"/>
      <c r="BG373" s="146"/>
      <c r="BH373" s="146"/>
      <c r="BI373" s="146"/>
      <c r="BJ373" s="146"/>
      <c r="BK373" s="146"/>
      <c r="BL373" s="146"/>
      <c r="BM373" s="146"/>
      <c r="BN373" s="146"/>
      <c r="BO373" s="146"/>
      <c r="BP373" s="146"/>
      <c r="BQ373" s="146"/>
      <c r="BR373" s="146"/>
    </row>
    <row r="374" spans="2:70" ht="15.75" hidden="1">
      <c r="B374" s="146"/>
      <c r="C374" s="146"/>
      <c r="D374" s="146"/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  <c r="AD374" s="146"/>
      <c r="AE374" s="146"/>
      <c r="AF374" s="146"/>
      <c r="AG374" s="146"/>
      <c r="AH374" s="146"/>
      <c r="AI374" s="146"/>
      <c r="AJ374" s="146"/>
      <c r="AK374" s="146"/>
      <c r="AL374" s="146"/>
      <c r="AM374" s="146"/>
      <c r="AN374" s="146"/>
      <c r="AO374" s="146"/>
      <c r="AP374" s="146"/>
      <c r="AQ374" s="146"/>
      <c r="AR374" s="146"/>
      <c r="AS374" s="146"/>
      <c r="AT374" s="146"/>
      <c r="AU374" s="146"/>
      <c r="AV374" s="146"/>
      <c r="AW374" s="146"/>
      <c r="AX374" s="146"/>
      <c r="AY374" s="146"/>
      <c r="AZ374" s="146"/>
      <c r="BA374" s="146"/>
      <c r="BB374" s="146"/>
      <c r="BC374" s="146"/>
      <c r="BD374" s="146"/>
      <c r="BE374" s="146"/>
      <c r="BF374" s="146"/>
      <c r="BG374" s="146"/>
      <c r="BH374" s="146"/>
      <c r="BI374" s="146"/>
      <c r="BJ374" s="146"/>
      <c r="BK374" s="146"/>
      <c r="BL374" s="146"/>
      <c r="BM374" s="146"/>
      <c r="BN374" s="146"/>
      <c r="BO374" s="146"/>
      <c r="BP374" s="146"/>
      <c r="BQ374" s="146"/>
      <c r="BR374" s="146"/>
    </row>
    <row r="375" spans="2:70" ht="15.75" hidden="1">
      <c r="B375" s="146"/>
      <c r="C375" s="146"/>
      <c r="D375" s="146"/>
      <c r="E375" s="146"/>
      <c r="F375" s="146"/>
      <c r="G375" s="146"/>
      <c r="H375" s="146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  <c r="AD375" s="146"/>
      <c r="AE375" s="146"/>
      <c r="AF375" s="146"/>
      <c r="AG375" s="146"/>
      <c r="AH375" s="146"/>
      <c r="AI375" s="146"/>
      <c r="AJ375" s="146"/>
      <c r="AK375" s="146"/>
      <c r="AL375" s="146"/>
      <c r="AM375" s="146"/>
      <c r="AN375" s="146"/>
      <c r="AO375" s="146"/>
      <c r="AP375" s="146"/>
      <c r="AQ375" s="146"/>
      <c r="AR375" s="146"/>
      <c r="AS375" s="146"/>
      <c r="AT375" s="146"/>
      <c r="AU375" s="146"/>
      <c r="AV375" s="146"/>
      <c r="AW375" s="146"/>
      <c r="AX375" s="146"/>
      <c r="AY375" s="146"/>
      <c r="AZ375" s="146"/>
      <c r="BA375" s="146"/>
      <c r="BB375" s="146"/>
      <c r="BC375" s="146"/>
      <c r="BD375" s="146"/>
      <c r="BE375" s="146"/>
      <c r="BF375" s="146"/>
      <c r="BG375" s="146"/>
      <c r="BH375" s="146"/>
      <c r="BI375" s="146"/>
      <c r="BJ375" s="146"/>
      <c r="BK375" s="146"/>
      <c r="BL375" s="146"/>
      <c r="BM375" s="146"/>
      <c r="BN375" s="146"/>
      <c r="BO375" s="146"/>
      <c r="BP375" s="146"/>
      <c r="BQ375" s="146"/>
      <c r="BR375" s="146"/>
    </row>
    <row r="376" spans="2:70" ht="15.75" hidden="1">
      <c r="B376" s="146"/>
      <c r="C376" s="146"/>
      <c r="D376" s="146"/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  <c r="AD376" s="146"/>
      <c r="AE376" s="146"/>
      <c r="AF376" s="146"/>
      <c r="AG376" s="146"/>
      <c r="AH376" s="146"/>
      <c r="AI376" s="146"/>
      <c r="AJ376" s="146"/>
      <c r="AK376" s="146"/>
      <c r="AL376" s="146"/>
      <c r="AM376" s="146"/>
      <c r="AN376" s="146"/>
      <c r="AO376" s="146"/>
      <c r="AP376" s="146"/>
      <c r="AQ376" s="146"/>
      <c r="AR376" s="146"/>
      <c r="AS376" s="146"/>
      <c r="AT376" s="146"/>
      <c r="AU376" s="146"/>
      <c r="AV376" s="146"/>
      <c r="AW376" s="146"/>
      <c r="AX376" s="146"/>
      <c r="AY376" s="146"/>
      <c r="AZ376" s="146"/>
      <c r="BA376" s="146"/>
      <c r="BB376" s="146"/>
      <c r="BC376" s="146"/>
      <c r="BD376" s="146"/>
      <c r="BE376" s="146"/>
      <c r="BF376" s="146"/>
      <c r="BG376" s="146"/>
      <c r="BH376" s="146"/>
      <c r="BI376" s="146"/>
      <c r="BJ376" s="146"/>
      <c r="BK376" s="146"/>
      <c r="BL376" s="146"/>
      <c r="BM376" s="146"/>
      <c r="BN376" s="146"/>
      <c r="BO376" s="146"/>
      <c r="BP376" s="146"/>
      <c r="BQ376" s="146"/>
      <c r="BR376" s="146"/>
    </row>
    <row r="377" spans="2:70" ht="15.75" hidden="1">
      <c r="B377" s="146"/>
      <c r="C377" s="146"/>
      <c r="D377" s="146"/>
      <c r="E377" s="146"/>
      <c r="F377" s="146"/>
      <c r="G377" s="146"/>
      <c r="H377" s="146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  <c r="AD377" s="146"/>
      <c r="AE377" s="146"/>
      <c r="AF377" s="146"/>
      <c r="AG377" s="146"/>
      <c r="AH377" s="146"/>
      <c r="AI377" s="146"/>
      <c r="AJ377" s="146"/>
      <c r="AK377" s="146"/>
      <c r="AL377" s="146"/>
      <c r="AM377" s="146"/>
      <c r="AN377" s="146"/>
      <c r="AO377" s="146"/>
      <c r="AP377" s="146"/>
      <c r="AQ377" s="146"/>
      <c r="AR377" s="146"/>
      <c r="AS377" s="146"/>
      <c r="AT377" s="146"/>
      <c r="AU377" s="146"/>
      <c r="AV377" s="146"/>
      <c r="AW377" s="146"/>
      <c r="AX377" s="146"/>
      <c r="AY377" s="146"/>
      <c r="AZ377" s="146"/>
      <c r="BA377" s="146"/>
      <c r="BB377" s="146"/>
      <c r="BC377" s="146"/>
      <c r="BD377" s="146"/>
      <c r="BE377" s="146"/>
      <c r="BF377" s="146"/>
      <c r="BG377" s="146"/>
      <c r="BH377" s="146"/>
      <c r="BI377" s="146"/>
      <c r="BJ377" s="146"/>
      <c r="BK377" s="146"/>
      <c r="BL377" s="146"/>
      <c r="BM377" s="146"/>
      <c r="BN377" s="146"/>
      <c r="BO377" s="146"/>
      <c r="BP377" s="146"/>
      <c r="BQ377" s="146"/>
      <c r="BR377" s="146"/>
    </row>
    <row r="378" spans="2:70" ht="15.75" hidden="1">
      <c r="B378" s="146"/>
      <c r="C378" s="146"/>
      <c r="D378" s="146"/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  <c r="AD378" s="146"/>
      <c r="AE378" s="146"/>
      <c r="AF378" s="146"/>
      <c r="AG378" s="146"/>
      <c r="AH378" s="146"/>
      <c r="AI378" s="146"/>
      <c r="AJ378" s="146"/>
      <c r="AK378" s="146"/>
      <c r="AL378" s="146"/>
      <c r="AM378" s="146"/>
      <c r="AN378" s="146"/>
      <c r="AO378" s="146"/>
      <c r="AP378" s="146"/>
      <c r="AQ378" s="146"/>
      <c r="AR378" s="146"/>
      <c r="AS378" s="146"/>
      <c r="AT378" s="146"/>
      <c r="AU378" s="146"/>
      <c r="AV378" s="146"/>
      <c r="AW378" s="146"/>
      <c r="AX378" s="146"/>
      <c r="AY378" s="146"/>
      <c r="AZ378" s="146"/>
      <c r="BA378" s="146"/>
      <c r="BB378" s="146"/>
      <c r="BC378" s="146"/>
      <c r="BD378" s="146"/>
      <c r="BE378" s="146"/>
      <c r="BF378" s="146"/>
      <c r="BG378" s="146"/>
      <c r="BH378" s="146"/>
      <c r="BI378" s="146"/>
      <c r="BJ378" s="146"/>
      <c r="BK378" s="146"/>
      <c r="BL378" s="146"/>
      <c r="BM378" s="146"/>
      <c r="BN378" s="146"/>
      <c r="BO378" s="146"/>
      <c r="BP378" s="146"/>
      <c r="BQ378" s="146"/>
      <c r="BR378" s="146"/>
    </row>
    <row r="379" spans="2:70" ht="15.75" hidden="1">
      <c r="B379" s="146"/>
      <c r="C379" s="146"/>
      <c r="D379" s="146"/>
      <c r="E379" s="146"/>
      <c r="F379" s="146"/>
      <c r="G379" s="146"/>
      <c r="H379" s="146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  <c r="AD379" s="146"/>
      <c r="AE379" s="146"/>
      <c r="AF379" s="146"/>
      <c r="AG379" s="146"/>
      <c r="AH379" s="146"/>
      <c r="AI379" s="146"/>
      <c r="AJ379" s="146"/>
      <c r="AK379" s="146"/>
      <c r="AL379" s="146"/>
      <c r="AM379" s="146"/>
      <c r="AN379" s="146"/>
      <c r="AO379" s="146"/>
      <c r="AP379" s="146"/>
      <c r="AQ379" s="146"/>
      <c r="AR379" s="146"/>
      <c r="AS379" s="146"/>
      <c r="AT379" s="146"/>
      <c r="AU379" s="146"/>
      <c r="AV379" s="146"/>
      <c r="AW379" s="146"/>
      <c r="AX379" s="146"/>
      <c r="AY379" s="146"/>
      <c r="AZ379" s="146"/>
      <c r="BA379" s="146"/>
      <c r="BB379" s="146"/>
      <c r="BC379" s="146"/>
      <c r="BD379" s="146"/>
      <c r="BE379" s="146"/>
      <c r="BF379" s="146"/>
      <c r="BG379" s="146"/>
      <c r="BH379" s="146"/>
      <c r="BI379" s="146"/>
      <c r="BJ379" s="146"/>
      <c r="BK379" s="146"/>
      <c r="BL379" s="146"/>
      <c r="BM379" s="146"/>
      <c r="BN379" s="146"/>
      <c r="BO379" s="146"/>
      <c r="BP379" s="146"/>
      <c r="BQ379" s="146"/>
      <c r="BR379" s="146"/>
    </row>
    <row r="380" spans="2:70" ht="15.75" hidden="1">
      <c r="B380" s="146"/>
      <c r="C380" s="146"/>
      <c r="D380" s="146"/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  <c r="AD380" s="146"/>
      <c r="AE380" s="146"/>
      <c r="AF380" s="146"/>
      <c r="AG380" s="146"/>
      <c r="AH380" s="146"/>
      <c r="AI380" s="146"/>
      <c r="AJ380" s="146"/>
      <c r="AK380" s="146"/>
      <c r="AL380" s="146"/>
      <c r="AM380" s="146"/>
      <c r="AN380" s="146"/>
      <c r="AO380" s="146"/>
      <c r="AP380" s="146"/>
      <c r="AQ380" s="146"/>
      <c r="AR380" s="146"/>
      <c r="AS380" s="146"/>
      <c r="AT380" s="146"/>
      <c r="AU380" s="146"/>
      <c r="AV380" s="146"/>
      <c r="AW380" s="146"/>
      <c r="AX380" s="146"/>
      <c r="AY380" s="146"/>
      <c r="AZ380" s="146"/>
      <c r="BA380" s="146"/>
      <c r="BB380" s="146"/>
      <c r="BC380" s="146"/>
      <c r="BD380" s="146"/>
      <c r="BE380" s="146"/>
      <c r="BF380" s="146"/>
      <c r="BG380" s="146"/>
      <c r="BH380" s="146"/>
      <c r="BI380" s="146"/>
      <c r="BJ380" s="146"/>
      <c r="BK380" s="146"/>
      <c r="BL380" s="146"/>
      <c r="BM380" s="146"/>
      <c r="BN380" s="146"/>
      <c r="BO380" s="146"/>
      <c r="BP380" s="146"/>
      <c r="BQ380" s="146"/>
      <c r="BR380" s="146"/>
    </row>
    <row r="381" spans="2:70" ht="15.75" hidden="1">
      <c r="B381" s="146"/>
      <c r="C381" s="146"/>
      <c r="D381" s="146"/>
      <c r="E381" s="146"/>
      <c r="F381" s="146"/>
      <c r="G381" s="146"/>
      <c r="H381" s="146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  <c r="AD381" s="146"/>
      <c r="AE381" s="146"/>
      <c r="AF381" s="146"/>
      <c r="AG381" s="146"/>
      <c r="AH381" s="146"/>
      <c r="AI381" s="146"/>
      <c r="AJ381" s="146"/>
      <c r="AK381" s="146"/>
      <c r="AL381" s="146"/>
      <c r="AM381" s="146"/>
      <c r="AN381" s="146"/>
      <c r="AO381" s="146"/>
      <c r="AP381" s="146"/>
      <c r="AQ381" s="146"/>
      <c r="AR381" s="146"/>
      <c r="AS381" s="146"/>
      <c r="AT381" s="146"/>
      <c r="AU381" s="146"/>
      <c r="AV381" s="146"/>
      <c r="AW381" s="146"/>
      <c r="AX381" s="146"/>
      <c r="AY381" s="146"/>
      <c r="AZ381" s="146"/>
      <c r="BA381" s="146"/>
      <c r="BB381" s="146"/>
      <c r="BC381" s="146"/>
      <c r="BD381" s="146"/>
      <c r="BE381" s="146"/>
      <c r="BF381" s="146"/>
      <c r="BG381" s="146"/>
      <c r="BH381" s="146"/>
      <c r="BI381" s="146"/>
      <c r="BJ381" s="146"/>
      <c r="BK381" s="146"/>
      <c r="BL381" s="146"/>
      <c r="BM381" s="146"/>
      <c r="BN381" s="146"/>
      <c r="BO381" s="146"/>
      <c r="BP381" s="146"/>
      <c r="BQ381" s="146"/>
      <c r="BR381" s="146"/>
    </row>
    <row r="382" spans="2:70" ht="15.75" hidden="1">
      <c r="B382" s="146"/>
      <c r="C382" s="146"/>
      <c r="D382" s="146"/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  <c r="AD382" s="146"/>
      <c r="AE382" s="146"/>
      <c r="AF382" s="146"/>
      <c r="AG382" s="146"/>
      <c r="AH382" s="146"/>
      <c r="AI382" s="146"/>
      <c r="AJ382" s="146"/>
      <c r="AK382" s="146"/>
      <c r="AL382" s="146"/>
      <c r="AM382" s="146"/>
      <c r="AN382" s="146"/>
      <c r="AO382" s="146"/>
      <c r="AP382" s="146"/>
      <c r="AQ382" s="146"/>
      <c r="AR382" s="146"/>
      <c r="AS382" s="146"/>
      <c r="AT382" s="146"/>
      <c r="AU382" s="146"/>
      <c r="AV382" s="146"/>
      <c r="AW382" s="146"/>
      <c r="AX382" s="146"/>
      <c r="AY382" s="146"/>
      <c r="AZ382" s="146"/>
      <c r="BA382" s="146"/>
      <c r="BB382" s="146"/>
      <c r="BC382" s="146"/>
      <c r="BD382" s="146"/>
      <c r="BE382" s="146"/>
      <c r="BF382" s="146"/>
      <c r="BG382" s="146"/>
      <c r="BH382" s="146"/>
      <c r="BI382" s="146"/>
      <c r="BJ382" s="146"/>
      <c r="BK382" s="146"/>
      <c r="BL382" s="146"/>
      <c r="BM382" s="146"/>
      <c r="BN382" s="146"/>
      <c r="BO382" s="146"/>
      <c r="BP382" s="146"/>
      <c r="BQ382" s="146"/>
      <c r="BR382" s="146"/>
    </row>
    <row r="383" spans="2:70" ht="15.75" hidden="1">
      <c r="B383" s="146"/>
      <c r="C383" s="146"/>
      <c r="D383" s="146"/>
      <c r="E383" s="146"/>
      <c r="F383" s="146"/>
      <c r="G383" s="146"/>
      <c r="H383" s="146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  <c r="AD383" s="146"/>
      <c r="AE383" s="146"/>
      <c r="AF383" s="146"/>
      <c r="AG383" s="146"/>
      <c r="AH383" s="146"/>
      <c r="AI383" s="146"/>
      <c r="AJ383" s="146"/>
      <c r="AK383" s="146"/>
      <c r="AL383" s="146"/>
      <c r="AM383" s="146"/>
      <c r="AN383" s="146"/>
      <c r="AO383" s="146"/>
      <c r="AP383" s="146"/>
      <c r="AQ383" s="146"/>
      <c r="AR383" s="146"/>
      <c r="AS383" s="146"/>
      <c r="AT383" s="146"/>
      <c r="AU383" s="146"/>
      <c r="AV383" s="146"/>
      <c r="AW383" s="146"/>
      <c r="AX383" s="146"/>
      <c r="AY383" s="146"/>
      <c r="AZ383" s="146"/>
      <c r="BA383" s="146"/>
      <c r="BB383" s="146"/>
      <c r="BC383" s="146"/>
      <c r="BD383" s="146"/>
      <c r="BE383" s="146"/>
      <c r="BF383" s="146"/>
      <c r="BG383" s="146"/>
      <c r="BH383" s="146"/>
      <c r="BI383" s="146"/>
      <c r="BJ383" s="146"/>
      <c r="BK383" s="146"/>
      <c r="BL383" s="146"/>
      <c r="BM383" s="146"/>
      <c r="BN383" s="146"/>
      <c r="BO383" s="146"/>
      <c r="BP383" s="146"/>
      <c r="BQ383" s="146"/>
      <c r="BR383" s="146"/>
    </row>
    <row r="384" spans="2:70" ht="15.75" hidden="1">
      <c r="B384" s="146"/>
      <c r="C384" s="146"/>
      <c r="D384" s="146"/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  <c r="AD384" s="146"/>
      <c r="AE384" s="146"/>
      <c r="AF384" s="146"/>
      <c r="AG384" s="146"/>
      <c r="AH384" s="146"/>
      <c r="AI384" s="146"/>
      <c r="AJ384" s="146"/>
      <c r="AK384" s="146"/>
      <c r="AL384" s="146"/>
      <c r="AM384" s="146"/>
      <c r="AN384" s="146"/>
      <c r="AO384" s="146"/>
      <c r="AP384" s="146"/>
      <c r="AQ384" s="146"/>
      <c r="AR384" s="146"/>
      <c r="AS384" s="146"/>
      <c r="AT384" s="146"/>
      <c r="AU384" s="146"/>
      <c r="AV384" s="146"/>
      <c r="AW384" s="146"/>
      <c r="AX384" s="146"/>
      <c r="AY384" s="146"/>
      <c r="AZ384" s="146"/>
      <c r="BA384" s="146"/>
      <c r="BB384" s="146"/>
      <c r="BC384" s="146"/>
      <c r="BD384" s="146"/>
      <c r="BE384" s="146"/>
      <c r="BF384" s="146"/>
      <c r="BG384" s="146"/>
      <c r="BH384" s="146"/>
      <c r="BI384" s="146"/>
      <c r="BJ384" s="146"/>
      <c r="BK384" s="146"/>
      <c r="BL384" s="146"/>
      <c r="BM384" s="146"/>
      <c r="BN384" s="146"/>
      <c r="BO384" s="146"/>
      <c r="BP384" s="146"/>
      <c r="BQ384" s="146"/>
      <c r="BR384" s="146"/>
    </row>
    <row r="385" spans="2:70" ht="15.75" hidden="1">
      <c r="B385" s="146"/>
      <c r="C385" s="146"/>
      <c r="D385" s="146"/>
      <c r="E385" s="146"/>
      <c r="F385" s="146"/>
      <c r="G385" s="146"/>
      <c r="H385" s="146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  <c r="AD385" s="146"/>
      <c r="AE385" s="146"/>
      <c r="AF385" s="146"/>
      <c r="AG385" s="146"/>
      <c r="AH385" s="146"/>
      <c r="AI385" s="146"/>
      <c r="AJ385" s="146"/>
      <c r="AK385" s="146"/>
      <c r="AL385" s="146"/>
      <c r="AM385" s="146"/>
      <c r="AN385" s="146"/>
      <c r="AO385" s="146"/>
      <c r="AP385" s="146"/>
      <c r="AQ385" s="146"/>
      <c r="AR385" s="146"/>
      <c r="AS385" s="146"/>
      <c r="AT385" s="146"/>
      <c r="AU385" s="146"/>
      <c r="AV385" s="146"/>
      <c r="AW385" s="146"/>
      <c r="AX385" s="146"/>
      <c r="AY385" s="146"/>
      <c r="AZ385" s="146"/>
      <c r="BA385" s="146"/>
      <c r="BB385" s="146"/>
      <c r="BC385" s="146"/>
      <c r="BD385" s="146"/>
      <c r="BE385" s="146"/>
      <c r="BF385" s="146"/>
      <c r="BG385" s="146"/>
      <c r="BH385" s="146"/>
      <c r="BI385" s="146"/>
      <c r="BJ385" s="146"/>
      <c r="BK385" s="146"/>
      <c r="BL385" s="146"/>
      <c r="BM385" s="146"/>
      <c r="BN385" s="146"/>
      <c r="BO385" s="146"/>
      <c r="BP385" s="146"/>
      <c r="BQ385" s="146"/>
      <c r="BR385" s="146"/>
    </row>
    <row r="386" spans="2:70" ht="15.75" hidden="1">
      <c r="B386" s="146"/>
      <c r="C386" s="146"/>
      <c r="D386" s="146"/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  <c r="AD386" s="146"/>
      <c r="AE386" s="146"/>
      <c r="AF386" s="146"/>
      <c r="AG386" s="146"/>
      <c r="AH386" s="146"/>
      <c r="AI386" s="146"/>
      <c r="AJ386" s="146"/>
      <c r="AK386" s="146"/>
      <c r="AL386" s="146"/>
      <c r="AM386" s="146"/>
      <c r="AN386" s="146"/>
      <c r="AO386" s="146"/>
      <c r="AP386" s="146"/>
      <c r="AQ386" s="146"/>
      <c r="AR386" s="146"/>
      <c r="AS386" s="146"/>
      <c r="AT386" s="146"/>
      <c r="AU386" s="146"/>
      <c r="AV386" s="146"/>
      <c r="AW386" s="146"/>
      <c r="AX386" s="146"/>
      <c r="AY386" s="146"/>
      <c r="AZ386" s="146"/>
      <c r="BA386" s="146"/>
      <c r="BB386" s="146"/>
      <c r="BC386" s="146"/>
      <c r="BD386" s="146"/>
      <c r="BE386" s="146"/>
      <c r="BF386" s="146"/>
      <c r="BG386" s="146"/>
      <c r="BH386" s="146"/>
      <c r="BI386" s="146"/>
      <c r="BJ386" s="146"/>
      <c r="BK386" s="146"/>
      <c r="BL386" s="146"/>
      <c r="BM386" s="146"/>
      <c r="BN386" s="146"/>
      <c r="BO386" s="146"/>
      <c r="BP386" s="146"/>
      <c r="BQ386" s="146"/>
      <c r="BR386" s="146"/>
    </row>
    <row r="387" spans="2:70" ht="15.75" hidden="1">
      <c r="B387" s="146"/>
      <c r="C387" s="146"/>
      <c r="D387" s="146"/>
      <c r="E387" s="146"/>
      <c r="F387" s="146"/>
      <c r="G387" s="146"/>
      <c r="H387" s="146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  <c r="AD387" s="146"/>
      <c r="AE387" s="146"/>
      <c r="AF387" s="146"/>
      <c r="AG387" s="146"/>
      <c r="AH387" s="146"/>
      <c r="AI387" s="146"/>
      <c r="AJ387" s="146"/>
      <c r="AK387" s="146"/>
      <c r="AL387" s="146"/>
      <c r="AM387" s="146"/>
      <c r="AN387" s="146"/>
      <c r="AO387" s="146"/>
      <c r="AP387" s="146"/>
      <c r="AQ387" s="146"/>
      <c r="AR387" s="146"/>
      <c r="AS387" s="146"/>
      <c r="AT387" s="146"/>
      <c r="AU387" s="146"/>
      <c r="AV387" s="146"/>
      <c r="AW387" s="146"/>
      <c r="AX387" s="146"/>
      <c r="AY387" s="146"/>
      <c r="AZ387" s="146"/>
      <c r="BA387" s="146"/>
      <c r="BB387" s="146"/>
      <c r="BC387" s="146"/>
      <c r="BD387" s="146"/>
      <c r="BE387" s="146"/>
      <c r="BF387" s="146"/>
      <c r="BG387" s="146"/>
      <c r="BH387" s="146"/>
      <c r="BI387" s="146"/>
      <c r="BJ387" s="146"/>
      <c r="BK387" s="146"/>
      <c r="BL387" s="146"/>
      <c r="BM387" s="146"/>
      <c r="BN387" s="146"/>
      <c r="BO387" s="146"/>
      <c r="BP387" s="146"/>
      <c r="BQ387" s="146"/>
      <c r="BR387" s="146"/>
    </row>
    <row r="388" spans="2:70" ht="15.75" hidden="1">
      <c r="B388" s="146"/>
      <c r="C388" s="146"/>
      <c r="D388" s="146"/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  <c r="AD388" s="146"/>
      <c r="AE388" s="146"/>
      <c r="AF388" s="146"/>
      <c r="AG388" s="146"/>
      <c r="AH388" s="146"/>
      <c r="AI388" s="146"/>
      <c r="AJ388" s="146"/>
      <c r="AK388" s="146"/>
      <c r="AL388" s="146"/>
      <c r="AM388" s="146"/>
      <c r="AN388" s="146"/>
      <c r="AO388" s="146"/>
      <c r="AP388" s="146"/>
      <c r="AQ388" s="146"/>
      <c r="AR388" s="146"/>
      <c r="AS388" s="146"/>
      <c r="AT388" s="146"/>
      <c r="AU388" s="146"/>
      <c r="AV388" s="146"/>
      <c r="AW388" s="146"/>
      <c r="AX388" s="146"/>
      <c r="AY388" s="146"/>
      <c r="AZ388" s="146"/>
      <c r="BA388" s="146"/>
      <c r="BB388" s="146"/>
      <c r="BC388" s="146"/>
      <c r="BD388" s="146"/>
      <c r="BE388" s="146"/>
      <c r="BF388" s="146"/>
      <c r="BG388" s="146"/>
      <c r="BH388" s="146"/>
      <c r="BI388" s="146"/>
      <c r="BJ388" s="146"/>
      <c r="BK388" s="146"/>
      <c r="BL388" s="146"/>
      <c r="BM388" s="146"/>
      <c r="BN388" s="146"/>
      <c r="BO388" s="146"/>
      <c r="BP388" s="146"/>
      <c r="BQ388" s="146"/>
      <c r="BR388" s="146"/>
    </row>
    <row r="389" spans="2:70" ht="15.75" hidden="1">
      <c r="B389" s="146"/>
      <c r="C389" s="146"/>
      <c r="D389" s="146"/>
      <c r="E389" s="146"/>
      <c r="F389" s="146"/>
      <c r="G389" s="146"/>
      <c r="H389" s="146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  <c r="AD389" s="146"/>
      <c r="AE389" s="146"/>
      <c r="AF389" s="146"/>
      <c r="AG389" s="146"/>
      <c r="AH389" s="146"/>
      <c r="AI389" s="146"/>
      <c r="AJ389" s="146"/>
      <c r="AK389" s="146"/>
      <c r="AL389" s="146"/>
      <c r="AM389" s="146"/>
      <c r="AN389" s="146"/>
      <c r="AO389" s="146"/>
      <c r="AP389" s="146"/>
      <c r="AQ389" s="146"/>
      <c r="AR389" s="146"/>
      <c r="AS389" s="146"/>
      <c r="AT389" s="146"/>
      <c r="AU389" s="146"/>
      <c r="AV389" s="146"/>
      <c r="AW389" s="146"/>
      <c r="AX389" s="146"/>
      <c r="AY389" s="146"/>
      <c r="AZ389" s="146"/>
      <c r="BA389" s="146"/>
      <c r="BB389" s="146"/>
      <c r="BC389" s="146"/>
      <c r="BD389" s="146"/>
      <c r="BE389" s="146"/>
      <c r="BF389" s="146"/>
      <c r="BG389" s="146"/>
      <c r="BH389" s="146"/>
      <c r="BI389" s="146"/>
      <c r="BJ389" s="146"/>
      <c r="BK389" s="146"/>
      <c r="BL389" s="146"/>
      <c r="BM389" s="146"/>
      <c r="BN389" s="146"/>
      <c r="BO389" s="146"/>
      <c r="BP389" s="146"/>
      <c r="BQ389" s="146"/>
      <c r="BR389" s="146"/>
    </row>
    <row r="390" spans="2:70" ht="15.75" hidden="1">
      <c r="B390" s="146"/>
      <c r="C390" s="146"/>
      <c r="D390" s="146"/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  <c r="AD390" s="146"/>
      <c r="AE390" s="146"/>
      <c r="AF390" s="146"/>
      <c r="AG390" s="146"/>
      <c r="AH390" s="146"/>
      <c r="AI390" s="146"/>
      <c r="AJ390" s="146"/>
      <c r="AK390" s="146"/>
      <c r="AL390" s="146"/>
      <c r="AM390" s="146"/>
      <c r="AN390" s="146"/>
      <c r="AO390" s="146"/>
      <c r="AP390" s="146"/>
      <c r="AQ390" s="146"/>
      <c r="AR390" s="146"/>
      <c r="AS390" s="146"/>
      <c r="AT390" s="146"/>
      <c r="AU390" s="146"/>
      <c r="AV390" s="146"/>
      <c r="AW390" s="146"/>
      <c r="AX390" s="146"/>
      <c r="AY390" s="146"/>
      <c r="AZ390" s="146"/>
      <c r="BA390" s="146"/>
      <c r="BB390" s="146"/>
      <c r="BC390" s="146"/>
      <c r="BD390" s="146"/>
      <c r="BE390" s="146"/>
      <c r="BF390" s="146"/>
      <c r="BG390" s="146"/>
      <c r="BH390" s="146"/>
      <c r="BI390" s="146"/>
      <c r="BJ390" s="146"/>
      <c r="BK390" s="146"/>
      <c r="BL390" s="146"/>
      <c r="BM390" s="146"/>
      <c r="BN390" s="146"/>
      <c r="BO390" s="146"/>
      <c r="BP390" s="146"/>
      <c r="BQ390" s="146"/>
      <c r="BR390" s="146"/>
    </row>
    <row r="391" spans="2:70" ht="15.75" hidden="1">
      <c r="B391" s="146"/>
      <c r="C391" s="146"/>
      <c r="D391" s="146"/>
      <c r="E391" s="146"/>
      <c r="F391" s="146"/>
      <c r="G391" s="146"/>
      <c r="H391" s="146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  <c r="AD391" s="146"/>
      <c r="AE391" s="146"/>
      <c r="AF391" s="146"/>
      <c r="AG391" s="146"/>
      <c r="AH391" s="146"/>
      <c r="AI391" s="146"/>
      <c r="AJ391" s="146"/>
      <c r="AK391" s="146"/>
      <c r="AL391" s="146"/>
      <c r="AM391" s="146"/>
      <c r="AN391" s="146"/>
      <c r="AO391" s="146"/>
      <c r="AP391" s="146"/>
      <c r="AQ391" s="146"/>
      <c r="AR391" s="146"/>
      <c r="AS391" s="146"/>
      <c r="AT391" s="146"/>
      <c r="AU391" s="146"/>
      <c r="AV391" s="146"/>
      <c r="AW391" s="146"/>
      <c r="AX391" s="146"/>
      <c r="AY391" s="146"/>
      <c r="AZ391" s="146"/>
      <c r="BA391" s="146"/>
      <c r="BB391" s="146"/>
      <c r="BC391" s="146"/>
      <c r="BD391" s="146"/>
      <c r="BE391" s="146"/>
      <c r="BF391" s="146"/>
      <c r="BG391" s="146"/>
      <c r="BH391" s="146"/>
      <c r="BI391" s="146"/>
      <c r="BJ391" s="146"/>
      <c r="BK391" s="146"/>
      <c r="BL391" s="146"/>
      <c r="BM391" s="146"/>
      <c r="BN391" s="146"/>
      <c r="BO391" s="146"/>
      <c r="BP391" s="146"/>
      <c r="BQ391" s="146"/>
      <c r="BR391" s="146"/>
    </row>
    <row r="392" spans="2:70" ht="15.75" hidden="1">
      <c r="B392" s="146"/>
      <c r="C392" s="146"/>
      <c r="D392" s="146"/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  <c r="AD392" s="146"/>
      <c r="AE392" s="146"/>
      <c r="AF392" s="146"/>
      <c r="AG392" s="146"/>
      <c r="AH392" s="146"/>
      <c r="AI392" s="146"/>
      <c r="AJ392" s="146"/>
      <c r="AK392" s="146"/>
      <c r="AL392" s="146"/>
      <c r="AM392" s="146"/>
      <c r="AN392" s="146"/>
      <c r="AO392" s="146"/>
      <c r="AP392" s="146"/>
      <c r="AQ392" s="146"/>
      <c r="AR392" s="146"/>
      <c r="AS392" s="146"/>
      <c r="AT392" s="146"/>
      <c r="AU392" s="146"/>
      <c r="AV392" s="146"/>
      <c r="AW392" s="146"/>
      <c r="AX392" s="146"/>
      <c r="AY392" s="146"/>
      <c r="AZ392" s="146"/>
      <c r="BA392" s="146"/>
      <c r="BB392" s="146"/>
      <c r="BC392" s="146"/>
      <c r="BD392" s="146"/>
      <c r="BE392" s="146"/>
      <c r="BF392" s="146"/>
      <c r="BG392" s="146"/>
      <c r="BH392" s="146"/>
      <c r="BI392" s="146"/>
      <c r="BJ392" s="146"/>
      <c r="BK392" s="146"/>
      <c r="BL392" s="146"/>
      <c r="BM392" s="146"/>
      <c r="BN392" s="146"/>
      <c r="BO392" s="146"/>
      <c r="BP392" s="146"/>
      <c r="BQ392" s="146"/>
      <c r="BR392" s="146"/>
    </row>
    <row r="393" spans="2:70" ht="15.75" hidden="1">
      <c r="B393" s="146"/>
      <c r="C393" s="146"/>
      <c r="D393" s="146"/>
      <c r="E393" s="146"/>
      <c r="F393" s="146"/>
      <c r="G393" s="146"/>
      <c r="H393" s="146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  <c r="AD393" s="146"/>
      <c r="AE393" s="146"/>
      <c r="AF393" s="146"/>
      <c r="AG393" s="146"/>
      <c r="AH393" s="146"/>
      <c r="AI393" s="146"/>
      <c r="AJ393" s="146"/>
      <c r="AK393" s="146"/>
      <c r="AL393" s="146"/>
      <c r="AM393" s="146"/>
      <c r="AN393" s="146"/>
      <c r="AO393" s="146"/>
      <c r="AP393" s="146"/>
      <c r="AQ393" s="146"/>
      <c r="AR393" s="146"/>
      <c r="AS393" s="146"/>
      <c r="AT393" s="146"/>
      <c r="AU393" s="146"/>
      <c r="AV393" s="146"/>
      <c r="AW393" s="146"/>
      <c r="AX393" s="146"/>
      <c r="AY393" s="146"/>
      <c r="AZ393" s="146"/>
      <c r="BA393" s="146"/>
      <c r="BB393" s="146"/>
      <c r="BC393" s="146"/>
      <c r="BD393" s="146"/>
      <c r="BE393" s="146"/>
      <c r="BF393" s="146"/>
      <c r="BG393" s="146"/>
      <c r="BH393" s="146"/>
      <c r="BI393" s="146"/>
      <c r="BJ393" s="146"/>
      <c r="BK393" s="146"/>
      <c r="BL393" s="146"/>
      <c r="BM393" s="146"/>
      <c r="BN393" s="146"/>
      <c r="BO393" s="146"/>
      <c r="BP393" s="146"/>
      <c r="BQ393" s="146"/>
      <c r="BR393" s="146"/>
    </row>
    <row r="394" spans="2:70" ht="15.75" hidden="1">
      <c r="B394" s="146"/>
      <c r="C394" s="146"/>
      <c r="D394" s="146"/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  <c r="AD394" s="146"/>
      <c r="AE394" s="146"/>
      <c r="AF394" s="146"/>
      <c r="AG394" s="146"/>
      <c r="AH394" s="146"/>
      <c r="AI394" s="146"/>
      <c r="AJ394" s="146"/>
      <c r="AK394" s="146"/>
      <c r="AL394" s="146"/>
      <c r="AM394" s="146"/>
      <c r="AN394" s="146"/>
      <c r="AO394" s="146"/>
      <c r="AP394" s="146"/>
      <c r="AQ394" s="146"/>
      <c r="AR394" s="146"/>
      <c r="AS394" s="146"/>
      <c r="AT394" s="146"/>
      <c r="AU394" s="146"/>
      <c r="AV394" s="146"/>
      <c r="AW394" s="146"/>
      <c r="AX394" s="146"/>
      <c r="AY394" s="146"/>
      <c r="AZ394" s="146"/>
      <c r="BA394" s="146"/>
      <c r="BB394" s="146"/>
      <c r="BC394" s="146"/>
      <c r="BD394" s="146"/>
      <c r="BE394" s="146"/>
      <c r="BF394" s="146"/>
      <c r="BG394" s="146"/>
      <c r="BH394" s="146"/>
      <c r="BI394" s="146"/>
      <c r="BJ394" s="146"/>
      <c r="BK394" s="146"/>
      <c r="BL394" s="146"/>
      <c r="BM394" s="146"/>
      <c r="BN394" s="146"/>
      <c r="BO394" s="146"/>
      <c r="BP394" s="146"/>
      <c r="BQ394" s="146"/>
      <c r="BR394" s="146"/>
    </row>
    <row r="395" spans="2:70" ht="15.75" hidden="1">
      <c r="B395" s="146"/>
      <c r="C395" s="146"/>
      <c r="D395" s="146"/>
      <c r="E395" s="146"/>
      <c r="F395" s="146"/>
      <c r="G395" s="146"/>
      <c r="H395" s="146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  <c r="AD395" s="146"/>
      <c r="AE395" s="146"/>
      <c r="AF395" s="146"/>
      <c r="AG395" s="146"/>
      <c r="AH395" s="146"/>
      <c r="AI395" s="146"/>
      <c r="AJ395" s="146"/>
      <c r="AK395" s="146"/>
      <c r="AL395" s="146"/>
      <c r="AM395" s="146"/>
      <c r="AN395" s="146"/>
      <c r="AO395" s="146"/>
      <c r="AP395" s="146"/>
      <c r="AQ395" s="146"/>
      <c r="AR395" s="146"/>
      <c r="AS395" s="146"/>
      <c r="AT395" s="146"/>
      <c r="AU395" s="146"/>
      <c r="AV395" s="146"/>
      <c r="AW395" s="146"/>
      <c r="AX395" s="146"/>
      <c r="AY395" s="146"/>
      <c r="AZ395" s="146"/>
      <c r="BA395" s="146"/>
      <c r="BB395" s="146"/>
      <c r="BC395" s="146"/>
      <c r="BD395" s="146"/>
      <c r="BE395" s="146"/>
      <c r="BF395" s="146"/>
      <c r="BG395" s="146"/>
      <c r="BH395" s="146"/>
      <c r="BI395" s="146"/>
      <c r="BJ395" s="146"/>
      <c r="BK395" s="146"/>
      <c r="BL395" s="146"/>
      <c r="BM395" s="146"/>
      <c r="BN395" s="146"/>
      <c r="BO395" s="146"/>
      <c r="BP395" s="146"/>
      <c r="BQ395" s="146"/>
      <c r="BR395" s="146"/>
    </row>
    <row r="396" spans="2:70" ht="15.75" hidden="1">
      <c r="B396" s="146"/>
      <c r="C396" s="146"/>
      <c r="D396" s="146"/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  <c r="AD396" s="146"/>
      <c r="AE396" s="146"/>
      <c r="AF396" s="146"/>
      <c r="AG396" s="146"/>
      <c r="AH396" s="146"/>
      <c r="AI396" s="146"/>
      <c r="AJ396" s="146"/>
      <c r="AK396" s="146"/>
      <c r="AL396" s="146"/>
      <c r="AM396" s="146"/>
      <c r="AN396" s="146"/>
      <c r="AO396" s="146"/>
      <c r="AP396" s="146"/>
      <c r="AQ396" s="146"/>
      <c r="AR396" s="146"/>
      <c r="AS396" s="146"/>
      <c r="AT396" s="146"/>
      <c r="AU396" s="146"/>
      <c r="AV396" s="146"/>
      <c r="AW396" s="146"/>
      <c r="AX396" s="146"/>
      <c r="AY396" s="146"/>
      <c r="AZ396" s="146"/>
      <c r="BA396" s="146"/>
      <c r="BB396" s="146"/>
      <c r="BC396" s="146"/>
      <c r="BD396" s="146"/>
      <c r="BE396" s="146"/>
      <c r="BF396" s="146"/>
      <c r="BG396" s="146"/>
      <c r="BH396" s="146"/>
      <c r="BI396" s="146"/>
      <c r="BJ396" s="146"/>
      <c r="BK396" s="146"/>
      <c r="BL396" s="146"/>
      <c r="BM396" s="146"/>
      <c r="BN396" s="146"/>
      <c r="BO396" s="146"/>
      <c r="BP396" s="146"/>
      <c r="BQ396" s="146"/>
      <c r="BR396" s="146"/>
    </row>
    <row r="397" spans="2:70" ht="15.75" hidden="1">
      <c r="B397" s="146"/>
      <c r="C397" s="146"/>
      <c r="D397" s="146"/>
      <c r="E397" s="146"/>
      <c r="F397" s="146"/>
      <c r="G397" s="146"/>
      <c r="H397" s="146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  <c r="AD397" s="146"/>
      <c r="AE397" s="146"/>
      <c r="AF397" s="146"/>
      <c r="AG397" s="146"/>
      <c r="AH397" s="146"/>
      <c r="AI397" s="146"/>
      <c r="AJ397" s="146"/>
      <c r="AK397" s="146"/>
      <c r="AL397" s="146"/>
      <c r="AM397" s="146"/>
      <c r="AN397" s="146"/>
      <c r="AO397" s="146"/>
      <c r="AP397" s="146"/>
      <c r="AQ397" s="146"/>
      <c r="AR397" s="146"/>
      <c r="AS397" s="146"/>
      <c r="AT397" s="146"/>
      <c r="AU397" s="146"/>
      <c r="AV397" s="146"/>
      <c r="AW397" s="146"/>
      <c r="AX397" s="146"/>
      <c r="AY397" s="146"/>
      <c r="AZ397" s="146"/>
      <c r="BA397" s="146"/>
      <c r="BB397" s="146"/>
      <c r="BC397" s="146"/>
      <c r="BD397" s="146"/>
      <c r="BE397" s="146"/>
      <c r="BF397" s="146"/>
      <c r="BG397" s="146"/>
      <c r="BH397" s="146"/>
      <c r="BI397" s="146"/>
      <c r="BJ397" s="146"/>
      <c r="BK397" s="146"/>
      <c r="BL397" s="146"/>
      <c r="BM397" s="146"/>
      <c r="BN397" s="146"/>
      <c r="BO397" s="146"/>
      <c r="BP397" s="146"/>
      <c r="BQ397" s="146"/>
      <c r="BR397" s="146"/>
    </row>
    <row r="398" spans="2:70" ht="15.75" hidden="1">
      <c r="B398" s="146"/>
      <c r="C398" s="146"/>
      <c r="D398" s="146"/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  <c r="AD398" s="146"/>
      <c r="AE398" s="146"/>
      <c r="AF398" s="146"/>
      <c r="AG398" s="146"/>
      <c r="AH398" s="146"/>
      <c r="AI398" s="146"/>
      <c r="AJ398" s="146"/>
      <c r="AK398" s="146"/>
      <c r="AL398" s="146"/>
      <c r="AM398" s="146"/>
      <c r="AN398" s="146"/>
      <c r="AO398" s="146"/>
      <c r="AP398" s="146"/>
      <c r="AQ398" s="146"/>
      <c r="AR398" s="146"/>
      <c r="AS398" s="146"/>
      <c r="AT398" s="146"/>
      <c r="AU398" s="146"/>
      <c r="AV398" s="146"/>
      <c r="AW398" s="146"/>
      <c r="AX398" s="146"/>
      <c r="AY398" s="146"/>
      <c r="AZ398" s="146"/>
      <c r="BA398" s="146"/>
      <c r="BB398" s="146"/>
      <c r="BC398" s="146"/>
      <c r="BD398" s="146"/>
      <c r="BE398" s="146"/>
      <c r="BF398" s="146"/>
      <c r="BG398" s="146"/>
      <c r="BH398" s="146"/>
      <c r="BI398" s="146"/>
      <c r="BJ398" s="146"/>
      <c r="BK398" s="146"/>
      <c r="BL398" s="146"/>
      <c r="BM398" s="146"/>
      <c r="BN398" s="146"/>
      <c r="BO398" s="146"/>
      <c r="BP398" s="146"/>
      <c r="BQ398" s="146"/>
      <c r="BR398" s="146"/>
    </row>
    <row r="399" spans="2:70" ht="15.75" hidden="1">
      <c r="B399" s="146"/>
      <c r="C399" s="146"/>
      <c r="D399" s="146"/>
      <c r="E399" s="146"/>
      <c r="F399" s="146"/>
      <c r="G399" s="146"/>
      <c r="H399" s="146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  <c r="AD399" s="146"/>
      <c r="AE399" s="146"/>
      <c r="AF399" s="146"/>
      <c r="AG399" s="146"/>
      <c r="AH399" s="146"/>
      <c r="AI399" s="146"/>
      <c r="AJ399" s="146"/>
      <c r="AK399" s="146"/>
      <c r="AL399" s="146"/>
      <c r="AM399" s="146"/>
      <c r="AN399" s="146"/>
      <c r="AO399" s="146"/>
      <c r="AP399" s="146"/>
      <c r="AQ399" s="146"/>
      <c r="AR399" s="146"/>
      <c r="AS399" s="146"/>
      <c r="AT399" s="146"/>
      <c r="AU399" s="146"/>
      <c r="AV399" s="146"/>
      <c r="AW399" s="146"/>
      <c r="AX399" s="146"/>
      <c r="AY399" s="146"/>
      <c r="AZ399" s="146"/>
      <c r="BA399" s="146"/>
      <c r="BB399" s="146"/>
      <c r="BC399" s="146"/>
      <c r="BD399" s="146"/>
      <c r="BE399" s="146"/>
      <c r="BF399" s="146"/>
      <c r="BG399" s="146"/>
      <c r="BH399" s="146"/>
      <c r="BI399" s="146"/>
      <c r="BJ399" s="146"/>
      <c r="BK399" s="146"/>
      <c r="BL399" s="146"/>
      <c r="BM399" s="146"/>
      <c r="BN399" s="146"/>
      <c r="BO399" s="146"/>
      <c r="BP399" s="146"/>
      <c r="BQ399" s="146"/>
      <c r="BR399" s="146"/>
    </row>
    <row r="400" spans="2:70" ht="15.75" hidden="1">
      <c r="B400" s="146"/>
      <c r="C400" s="146"/>
      <c r="D400" s="146"/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  <c r="AD400" s="146"/>
      <c r="AE400" s="146"/>
      <c r="AF400" s="146"/>
      <c r="AG400" s="146"/>
      <c r="AH400" s="146"/>
      <c r="AI400" s="146"/>
      <c r="AJ400" s="146"/>
      <c r="AK400" s="146"/>
      <c r="AL400" s="146"/>
      <c r="AM400" s="146"/>
      <c r="AN400" s="146"/>
      <c r="AO400" s="146"/>
      <c r="AP400" s="146"/>
      <c r="AQ400" s="146"/>
      <c r="AR400" s="146"/>
      <c r="AS400" s="146"/>
      <c r="AT400" s="146"/>
      <c r="AU400" s="146"/>
      <c r="AV400" s="146"/>
      <c r="AW400" s="146"/>
      <c r="AX400" s="146"/>
      <c r="AY400" s="146"/>
      <c r="AZ400" s="146"/>
      <c r="BA400" s="146"/>
      <c r="BB400" s="146"/>
      <c r="BC400" s="146"/>
      <c r="BD400" s="146"/>
      <c r="BE400" s="146"/>
      <c r="BF400" s="146"/>
      <c r="BG400" s="146"/>
      <c r="BH400" s="146"/>
      <c r="BI400" s="146"/>
      <c r="BJ400" s="146"/>
      <c r="BK400" s="146"/>
      <c r="BL400" s="146"/>
      <c r="BM400" s="146"/>
      <c r="BN400" s="146"/>
      <c r="BO400" s="146"/>
      <c r="BP400" s="146"/>
      <c r="BQ400" s="146"/>
      <c r="BR400" s="146"/>
    </row>
    <row r="401" spans="2:70" ht="15.75" hidden="1">
      <c r="B401" s="146"/>
      <c r="C401" s="146"/>
      <c r="D401" s="146"/>
      <c r="E401" s="146"/>
      <c r="F401" s="146"/>
      <c r="G401" s="146"/>
      <c r="H401" s="146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  <c r="AD401" s="146"/>
      <c r="AE401" s="146"/>
      <c r="AF401" s="146"/>
      <c r="AG401" s="146"/>
      <c r="AH401" s="146"/>
      <c r="AI401" s="146"/>
      <c r="AJ401" s="146"/>
      <c r="AK401" s="146"/>
      <c r="AL401" s="146"/>
      <c r="AM401" s="146"/>
      <c r="AN401" s="146"/>
      <c r="AO401" s="146"/>
      <c r="AP401" s="146"/>
      <c r="AQ401" s="146"/>
      <c r="AR401" s="146"/>
      <c r="AS401" s="146"/>
      <c r="AT401" s="146"/>
      <c r="AU401" s="146"/>
      <c r="AV401" s="146"/>
      <c r="AW401" s="146"/>
      <c r="AX401" s="146"/>
      <c r="AY401" s="146"/>
      <c r="AZ401" s="146"/>
      <c r="BA401" s="146"/>
      <c r="BB401" s="146"/>
      <c r="BC401" s="146"/>
      <c r="BD401" s="146"/>
      <c r="BE401" s="146"/>
      <c r="BF401" s="146"/>
      <c r="BG401" s="146"/>
      <c r="BH401" s="146"/>
      <c r="BI401" s="146"/>
      <c r="BJ401" s="146"/>
      <c r="BK401" s="146"/>
      <c r="BL401" s="146"/>
      <c r="BM401" s="146"/>
      <c r="BN401" s="146"/>
      <c r="BO401" s="146"/>
      <c r="BP401" s="146"/>
      <c r="BQ401" s="146"/>
      <c r="BR401" s="146"/>
    </row>
    <row r="402" spans="2:70" ht="15.75" hidden="1">
      <c r="B402" s="146"/>
      <c r="C402" s="146"/>
      <c r="D402" s="146"/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  <c r="AD402" s="146"/>
      <c r="AE402" s="146"/>
      <c r="AF402" s="146"/>
      <c r="AG402" s="146"/>
      <c r="AH402" s="146"/>
      <c r="AI402" s="146"/>
      <c r="AJ402" s="146"/>
      <c r="AK402" s="146"/>
      <c r="AL402" s="146"/>
      <c r="AM402" s="146"/>
      <c r="AN402" s="146"/>
      <c r="AO402" s="146"/>
      <c r="AP402" s="146"/>
      <c r="AQ402" s="146"/>
      <c r="AR402" s="146"/>
      <c r="AS402" s="146"/>
      <c r="AT402" s="146"/>
      <c r="AU402" s="146"/>
      <c r="AV402" s="146"/>
      <c r="AW402" s="146"/>
      <c r="AX402" s="146"/>
      <c r="AY402" s="146"/>
      <c r="AZ402" s="146"/>
      <c r="BA402" s="146"/>
      <c r="BB402" s="146"/>
      <c r="BC402" s="146"/>
      <c r="BD402" s="146"/>
      <c r="BE402" s="146"/>
      <c r="BF402" s="146"/>
      <c r="BG402" s="146"/>
      <c r="BH402" s="146"/>
      <c r="BI402" s="146"/>
      <c r="BJ402" s="146"/>
      <c r="BK402" s="146"/>
      <c r="BL402" s="146"/>
      <c r="BM402" s="146"/>
      <c r="BN402" s="146"/>
      <c r="BO402" s="146"/>
      <c r="BP402" s="146"/>
      <c r="BQ402" s="146"/>
      <c r="BR402" s="146"/>
    </row>
    <row r="403" spans="2:70" ht="15.75" hidden="1">
      <c r="B403" s="146"/>
      <c r="C403" s="146"/>
      <c r="D403" s="146"/>
      <c r="E403" s="146"/>
      <c r="F403" s="146"/>
      <c r="G403" s="146"/>
      <c r="H403" s="146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  <c r="AD403" s="146"/>
      <c r="AE403" s="146"/>
      <c r="AF403" s="146"/>
      <c r="AG403" s="146"/>
      <c r="AH403" s="146"/>
      <c r="AI403" s="146"/>
      <c r="AJ403" s="146"/>
      <c r="AK403" s="146"/>
      <c r="AL403" s="146"/>
      <c r="AM403" s="146"/>
      <c r="AN403" s="146"/>
      <c r="AO403" s="146"/>
      <c r="AP403" s="146"/>
      <c r="AQ403" s="146"/>
      <c r="AR403" s="146"/>
      <c r="AS403" s="146"/>
      <c r="AT403" s="146"/>
      <c r="AU403" s="146"/>
      <c r="AV403" s="146"/>
      <c r="AW403" s="146"/>
      <c r="AX403" s="146"/>
      <c r="AY403" s="146"/>
      <c r="AZ403" s="146"/>
      <c r="BA403" s="146"/>
      <c r="BB403" s="146"/>
      <c r="BC403" s="146"/>
      <c r="BD403" s="146"/>
      <c r="BE403" s="146"/>
      <c r="BF403" s="146"/>
      <c r="BG403" s="146"/>
      <c r="BH403" s="146"/>
      <c r="BI403" s="146"/>
      <c r="BJ403" s="146"/>
      <c r="BK403" s="146"/>
      <c r="BL403" s="146"/>
      <c r="BM403" s="146"/>
      <c r="BN403" s="146"/>
      <c r="BO403" s="146"/>
      <c r="BP403" s="146"/>
      <c r="BQ403" s="146"/>
      <c r="BR403" s="146"/>
    </row>
    <row r="404" spans="2:70" ht="15.75" hidden="1">
      <c r="B404" s="146"/>
      <c r="C404" s="146"/>
      <c r="D404" s="146"/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  <c r="AD404" s="146"/>
      <c r="AE404" s="146"/>
      <c r="AF404" s="146"/>
      <c r="AG404" s="146"/>
      <c r="AH404" s="146"/>
      <c r="AI404" s="146"/>
      <c r="AJ404" s="146"/>
      <c r="AK404" s="146"/>
      <c r="AL404" s="146"/>
      <c r="AM404" s="146"/>
      <c r="AN404" s="146"/>
      <c r="AO404" s="146"/>
      <c r="AP404" s="146"/>
      <c r="AQ404" s="146"/>
      <c r="AR404" s="146"/>
      <c r="AS404" s="146"/>
      <c r="AT404" s="146"/>
      <c r="AU404" s="146"/>
      <c r="AV404" s="146"/>
      <c r="AW404" s="146"/>
      <c r="AX404" s="146"/>
      <c r="AY404" s="146"/>
      <c r="AZ404" s="146"/>
      <c r="BA404" s="146"/>
      <c r="BB404" s="146"/>
      <c r="BC404" s="146"/>
      <c r="BD404" s="146"/>
      <c r="BE404" s="146"/>
      <c r="BF404" s="146"/>
      <c r="BG404" s="146"/>
      <c r="BH404" s="146"/>
      <c r="BI404" s="146"/>
      <c r="BJ404" s="146"/>
      <c r="BK404" s="146"/>
      <c r="BL404" s="146"/>
      <c r="BM404" s="146"/>
      <c r="BN404" s="146"/>
      <c r="BO404" s="146"/>
      <c r="BP404" s="146"/>
      <c r="BQ404" s="146"/>
      <c r="BR404" s="146"/>
    </row>
    <row r="405" spans="2:70" ht="15.75" hidden="1">
      <c r="B405" s="146"/>
      <c r="C405" s="146"/>
      <c r="D405" s="146"/>
      <c r="E405" s="146"/>
      <c r="F405" s="146"/>
      <c r="G405" s="146"/>
      <c r="H405" s="146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  <c r="AD405" s="146"/>
      <c r="AE405" s="146"/>
      <c r="AF405" s="146"/>
      <c r="AG405" s="146"/>
      <c r="AH405" s="146"/>
      <c r="AI405" s="146"/>
      <c r="AJ405" s="146"/>
      <c r="AK405" s="146"/>
      <c r="AL405" s="146"/>
      <c r="AM405" s="146"/>
      <c r="AN405" s="146"/>
      <c r="AO405" s="146"/>
      <c r="AP405" s="146"/>
      <c r="AQ405" s="146"/>
      <c r="AR405" s="146"/>
      <c r="AS405" s="146"/>
      <c r="AT405" s="146"/>
      <c r="AU405" s="146"/>
      <c r="AV405" s="146"/>
      <c r="AW405" s="146"/>
      <c r="AX405" s="146"/>
      <c r="AY405" s="146"/>
      <c r="AZ405" s="146"/>
      <c r="BA405" s="146"/>
      <c r="BB405" s="146"/>
      <c r="BC405" s="146"/>
      <c r="BD405" s="146"/>
      <c r="BE405" s="146"/>
      <c r="BF405" s="146"/>
      <c r="BG405" s="146"/>
      <c r="BH405" s="146"/>
      <c r="BI405" s="146"/>
      <c r="BJ405" s="146"/>
      <c r="BK405" s="146"/>
      <c r="BL405" s="146"/>
      <c r="BM405" s="146"/>
      <c r="BN405" s="146"/>
      <c r="BO405" s="146"/>
      <c r="BP405" s="146"/>
      <c r="BQ405" s="146"/>
      <c r="BR405" s="146"/>
    </row>
    <row r="406" spans="2:70" ht="15.75" hidden="1">
      <c r="B406" s="146"/>
      <c r="C406" s="146"/>
      <c r="D406" s="146"/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  <c r="AD406" s="146"/>
      <c r="AE406" s="146"/>
      <c r="AF406" s="146"/>
      <c r="AG406" s="146"/>
      <c r="AH406" s="146"/>
      <c r="AI406" s="146"/>
      <c r="AJ406" s="146"/>
      <c r="AK406" s="146"/>
      <c r="AL406" s="146"/>
      <c r="AM406" s="146"/>
      <c r="AN406" s="146"/>
      <c r="AO406" s="146"/>
      <c r="AP406" s="146"/>
      <c r="AQ406" s="146"/>
      <c r="AR406" s="146"/>
      <c r="AS406" s="146"/>
      <c r="AT406" s="146"/>
      <c r="AU406" s="146"/>
      <c r="AV406" s="146"/>
      <c r="AW406" s="146"/>
      <c r="AX406" s="146"/>
      <c r="AY406" s="146"/>
      <c r="AZ406" s="146"/>
      <c r="BA406" s="146"/>
      <c r="BB406" s="146"/>
      <c r="BC406" s="146"/>
      <c r="BD406" s="146"/>
      <c r="BE406" s="146"/>
      <c r="BF406" s="146"/>
      <c r="BG406" s="146"/>
      <c r="BH406" s="146"/>
      <c r="BI406" s="146"/>
      <c r="BJ406" s="146"/>
      <c r="BK406" s="146"/>
      <c r="BL406" s="146"/>
      <c r="BM406" s="146"/>
      <c r="BN406" s="146"/>
      <c r="BO406" s="146"/>
      <c r="BP406" s="146"/>
      <c r="BQ406" s="146"/>
      <c r="BR406" s="146"/>
    </row>
    <row r="407" spans="2:70" ht="15.75" hidden="1">
      <c r="B407" s="146"/>
      <c r="C407" s="146"/>
      <c r="D407" s="146"/>
      <c r="E407" s="146"/>
      <c r="F407" s="146"/>
      <c r="G407" s="146"/>
      <c r="H407" s="146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  <c r="AD407" s="146"/>
      <c r="AE407" s="146"/>
      <c r="AF407" s="146"/>
      <c r="AG407" s="146"/>
      <c r="AH407" s="146"/>
      <c r="AI407" s="146"/>
      <c r="AJ407" s="146"/>
      <c r="AK407" s="146"/>
      <c r="AL407" s="146"/>
      <c r="AM407" s="146"/>
      <c r="AN407" s="146"/>
      <c r="AO407" s="146"/>
      <c r="AP407" s="146"/>
      <c r="AQ407" s="146"/>
      <c r="AR407" s="146"/>
      <c r="AS407" s="146"/>
      <c r="AT407" s="146"/>
      <c r="AU407" s="146"/>
      <c r="AV407" s="146"/>
      <c r="AW407" s="146"/>
      <c r="AX407" s="146"/>
      <c r="AY407" s="146"/>
      <c r="AZ407" s="146"/>
      <c r="BA407" s="146"/>
      <c r="BB407" s="146"/>
      <c r="BC407" s="146"/>
      <c r="BD407" s="146"/>
      <c r="BE407" s="146"/>
      <c r="BF407" s="146"/>
      <c r="BG407" s="146"/>
      <c r="BH407" s="146"/>
      <c r="BI407" s="146"/>
      <c r="BJ407" s="146"/>
      <c r="BK407" s="146"/>
      <c r="BL407" s="146"/>
      <c r="BM407" s="146"/>
      <c r="BN407" s="146"/>
      <c r="BO407" s="146"/>
      <c r="BP407" s="146"/>
      <c r="BQ407" s="146"/>
      <c r="BR407" s="146"/>
    </row>
    <row r="408" spans="2:70" ht="15.75" hidden="1">
      <c r="B408" s="146"/>
      <c r="C408" s="146"/>
      <c r="D408" s="146"/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  <c r="AD408" s="146"/>
      <c r="AE408" s="146"/>
      <c r="AF408" s="146"/>
      <c r="AG408" s="146"/>
      <c r="AH408" s="146"/>
      <c r="AI408" s="146"/>
      <c r="AJ408" s="146"/>
      <c r="AK408" s="146"/>
      <c r="AL408" s="146"/>
      <c r="AM408" s="146"/>
      <c r="AN408" s="146"/>
      <c r="AO408" s="146"/>
      <c r="AP408" s="146"/>
      <c r="AQ408" s="146"/>
      <c r="AR408" s="146"/>
      <c r="AS408" s="146"/>
      <c r="AT408" s="146"/>
      <c r="AU408" s="146"/>
      <c r="AV408" s="146"/>
      <c r="AW408" s="146"/>
      <c r="AX408" s="146"/>
      <c r="AY408" s="146"/>
      <c r="AZ408" s="146"/>
      <c r="BA408" s="146"/>
      <c r="BB408" s="146"/>
      <c r="BC408" s="146"/>
      <c r="BD408" s="146"/>
      <c r="BE408" s="146"/>
      <c r="BF408" s="146"/>
      <c r="BG408" s="146"/>
      <c r="BH408" s="146"/>
      <c r="BI408" s="146"/>
      <c r="BJ408" s="146"/>
      <c r="BK408" s="146"/>
      <c r="BL408" s="146"/>
      <c r="BM408" s="146"/>
      <c r="BN408" s="146"/>
      <c r="BO408" s="146"/>
      <c r="BP408" s="146"/>
      <c r="BQ408" s="146"/>
      <c r="BR408" s="146"/>
    </row>
    <row r="409" spans="2:70" ht="15.75" hidden="1">
      <c r="B409" s="146"/>
      <c r="C409" s="146"/>
      <c r="D409" s="146"/>
      <c r="E409" s="146"/>
      <c r="F409" s="146"/>
      <c r="G409" s="146"/>
      <c r="H409" s="146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  <c r="AD409" s="146"/>
      <c r="AE409" s="146"/>
      <c r="AF409" s="146"/>
      <c r="AG409" s="146"/>
      <c r="AH409" s="146"/>
      <c r="AI409" s="146"/>
      <c r="AJ409" s="146"/>
      <c r="AK409" s="146"/>
      <c r="AL409" s="146"/>
      <c r="AM409" s="146"/>
      <c r="AN409" s="146"/>
      <c r="AO409" s="146"/>
      <c r="AP409" s="146"/>
      <c r="AQ409" s="146"/>
      <c r="AR409" s="146"/>
      <c r="AS409" s="146"/>
      <c r="AT409" s="146"/>
      <c r="AU409" s="146"/>
      <c r="AV409" s="146"/>
      <c r="AW409" s="146"/>
      <c r="AX409" s="146"/>
      <c r="AY409" s="146"/>
      <c r="AZ409" s="146"/>
      <c r="BA409" s="146"/>
      <c r="BB409" s="146"/>
      <c r="BC409" s="146"/>
      <c r="BD409" s="146"/>
      <c r="BE409" s="146"/>
      <c r="BF409" s="146"/>
      <c r="BG409" s="146"/>
      <c r="BH409" s="146"/>
      <c r="BI409" s="146"/>
      <c r="BJ409" s="146"/>
      <c r="BK409" s="146"/>
      <c r="BL409" s="146"/>
      <c r="BM409" s="146"/>
      <c r="BN409" s="146"/>
      <c r="BO409" s="146"/>
      <c r="BP409" s="146"/>
      <c r="BQ409" s="146"/>
      <c r="BR409" s="146"/>
    </row>
    <row r="410" spans="2:70" ht="15.75" hidden="1">
      <c r="B410" s="146"/>
      <c r="C410" s="146"/>
      <c r="D410" s="146"/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  <c r="AD410" s="146"/>
      <c r="AE410" s="146"/>
      <c r="AF410" s="146"/>
      <c r="AG410" s="146"/>
      <c r="AH410" s="146"/>
      <c r="AI410" s="146"/>
      <c r="AJ410" s="146"/>
      <c r="AK410" s="146"/>
      <c r="AL410" s="146"/>
      <c r="AM410" s="146"/>
      <c r="AN410" s="146"/>
      <c r="AO410" s="146"/>
      <c r="AP410" s="146"/>
      <c r="AQ410" s="146"/>
      <c r="AR410" s="146"/>
      <c r="AS410" s="146"/>
      <c r="AT410" s="146"/>
      <c r="AU410" s="146"/>
      <c r="AV410" s="146"/>
      <c r="AW410" s="146"/>
      <c r="AX410" s="146"/>
      <c r="AY410" s="146"/>
      <c r="AZ410" s="146"/>
      <c r="BA410" s="146"/>
      <c r="BB410" s="146"/>
      <c r="BC410" s="146"/>
      <c r="BD410" s="146"/>
      <c r="BE410" s="146"/>
      <c r="BF410" s="146"/>
      <c r="BG410" s="146"/>
      <c r="BH410" s="146"/>
      <c r="BI410" s="146"/>
      <c r="BJ410" s="146"/>
      <c r="BK410" s="146"/>
      <c r="BL410" s="146"/>
      <c r="BM410" s="146"/>
      <c r="BN410" s="146"/>
      <c r="BO410" s="146"/>
      <c r="BP410" s="146"/>
      <c r="BQ410" s="146"/>
      <c r="BR410" s="146"/>
    </row>
    <row r="411" spans="2:70" ht="15.75" hidden="1">
      <c r="B411" s="146"/>
      <c r="C411" s="146"/>
      <c r="D411" s="146"/>
      <c r="E411" s="146"/>
      <c r="F411" s="146"/>
      <c r="G411" s="146"/>
      <c r="H411" s="146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  <c r="AD411" s="146"/>
      <c r="AE411" s="146"/>
      <c r="AF411" s="146"/>
      <c r="AG411" s="146"/>
      <c r="AH411" s="146"/>
      <c r="AI411" s="146"/>
      <c r="AJ411" s="146"/>
      <c r="AK411" s="146"/>
      <c r="AL411" s="146"/>
      <c r="AM411" s="146"/>
      <c r="AN411" s="146"/>
      <c r="AO411" s="146"/>
      <c r="AP411" s="146"/>
      <c r="AQ411" s="146"/>
      <c r="AR411" s="146"/>
      <c r="AS411" s="146"/>
      <c r="AT411" s="146"/>
      <c r="AU411" s="146"/>
      <c r="AV411" s="146"/>
      <c r="AW411" s="146"/>
      <c r="AX411" s="146"/>
      <c r="AY411" s="146"/>
      <c r="AZ411" s="146"/>
      <c r="BA411" s="146"/>
      <c r="BB411" s="146"/>
      <c r="BC411" s="146"/>
      <c r="BD411" s="146"/>
      <c r="BE411" s="146"/>
      <c r="BF411" s="146"/>
      <c r="BG411" s="146"/>
      <c r="BH411" s="146"/>
      <c r="BI411" s="146"/>
      <c r="BJ411" s="146"/>
      <c r="BK411" s="146"/>
      <c r="BL411" s="146"/>
      <c r="BM411" s="146"/>
      <c r="BN411" s="146"/>
      <c r="BO411" s="146"/>
      <c r="BP411" s="146"/>
      <c r="BQ411" s="146"/>
      <c r="BR411" s="146"/>
    </row>
    <row r="412" spans="2:70" ht="15.75" hidden="1">
      <c r="B412" s="146"/>
      <c r="C412" s="146"/>
      <c r="D412" s="146"/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  <c r="AD412" s="146"/>
      <c r="AE412" s="146"/>
      <c r="AF412" s="146"/>
      <c r="AG412" s="146"/>
      <c r="AH412" s="146"/>
      <c r="AI412" s="146"/>
      <c r="AJ412" s="146"/>
      <c r="AK412" s="146"/>
      <c r="AL412" s="146"/>
      <c r="AM412" s="146"/>
      <c r="AN412" s="146"/>
      <c r="AO412" s="146"/>
      <c r="AP412" s="146"/>
      <c r="AQ412" s="146"/>
      <c r="AR412" s="146"/>
      <c r="AS412" s="146"/>
      <c r="AT412" s="146"/>
      <c r="AU412" s="146"/>
      <c r="AV412" s="146"/>
      <c r="AW412" s="146"/>
      <c r="AX412" s="146"/>
      <c r="AY412" s="146"/>
      <c r="AZ412" s="146"/>
      <c r="BA412" s="146"/>
      <c r="BB412" s="146"/>
      <c r="BC412" s="146"/>
      <c r="BD412" s="146"/>
      <c r="BE412" s="146"/>
      <c r="BF412" s="146"/>
      <c r="BG412" s="146"/>
      <c r="BH412" s="146"/>
      <c r="BI412" s="146"/>
      <c r="BJ412" s="146"/>
      <c r="BK412" s="146"/>
      <c r="BL412" s="146"/>
      <c r="BM412" s="146"/>
      <c r="BN412" s="146"/>
      <c r="BO412" s="146"/>
      <c r="BP412" s="146"/>
      <c r="BQ412" s="146"/>
      <c r="BR412" s="146"/>
    </row>
    <row r="413" spans="2:70" ht="15.75" hidden="1">
      <c r="B413" s="146"/>
      <c r="C413" s="146"/>
      <c r="D413" s="146"/>
      <c r="E413" s="146"/>
      <c r="F413" s="146"/>
      <c r="G413" s="146"/>
      <c r="H413" s="146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  <c r="AD413" s="146"/>
      <c r="AE413" s="146"/>
      <c r="AF413" s="146"/>
      <c r="AG413" s="146"/>
      <c r="AH413" s="146"/>
      <c r="AI413" s="146"/>
      <c r="AJ413" s="146"/>
      <c r="AK413" s="146"/>
      <c r="AL413" s="146"/>
      <c r="AM413" s="146"/>
      <c r="AN413" s="146"/>
      <c r="AO413" s="146"/>
      <c r="AP413" s="146"/>
      <c r="AQ413" s="146"/>
      <c r="AR413" s="146"/>
      <c r="AS413" s="146"/>
      <c r="AT413" s="146"/>
      <c r="AU413" s="146"/>
      <c r="AV413" s="146"/>
      <c r="AW413" s="146"/>
      <c r="AX413" s="146"/>
      <c r="AY413" s="146"/>
      <c r="AZ413" s="146"/>
      <c r="BA413" s="146"/>
      <c r="BB413" s="146"/>
      <c r="BC413" s="146"/>
      <c r="BD413" s="146"/>
      <c r="BE413" s="146"/>
      <c r="BF413" s="146"/>
      <c r="BG413" s="146"/>
      <c r="BH413" s="146"/>
      <c r="BI413" s="146"/>
      <c r="BJ413" s="146"/>
      <c r="BK413" s="146"/>
      <c r="BL413" s="146"/>
      <c r="BM413" s="146"/>
      <c r="BN413" s="146"/>
      <c r="BO413" s="146"/>
      <c r="BP413" s="146"/>
      <c r="BQ413" s="146"/>
      <c r="BR413" s="146"/>
    </row>
    <row r="414" spans="2:70" ht="15.75" hidden="1">
      <c r="B414" s="146"/>
      <c r="C414" s="146"/>
      <c r="D414" s="146"/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  <c r="AD414" s="146"/>
      <c r="AE414" s="146"/>
      <c r="AF414" s="146"/>
      <c r="AG414" s="146"/>
      <c r="AH414" s="146"/>
      <c r="AI414" s="146"/>
      <c r="AJ414" s="146"/>
      <c r="AK414" s="146"/>
      <c r="AL414" s="146"/>
      <c r="AM414" s="146"/>
      <c r="AN414" s="146"/>
      <c r="AO414" s="146"/>
      <c r="AP414" s="146"/>
      <c r="AQ414" s="146"/>
      <c r="AR414" s="146"/>
      <c r="AS414" s="146"/>
      <c r="AT414" s="146"/>
      <c r="AU414" s="146"/>
      <c r="AV414" s="146"/>
      <c r="AW414" s="146"/>
      <c r="AX414" s="146"/>
      <c r="AY414" s="146"/>
      <c r="AZ414" s="146"/>
      <c r="BA414" s="146"/>
      <c r="BB414" s="146"/>
      <c r="BC414" s="146"/>
      <c r="BD414" s="146"/>
      <c r="BE414" s="146"/>
      <c r="BF414" s="146"/>
      <c r="BG414" s="146"/>
      <c r="BH414" s="146"/>
      <c r="BI414" s="146"/>
      <c r="BJ414" s="146"/>
      <c r="BK414" s="146"/>
      <c r="BL414" s="146"/>
      <c r="BM414" s="146"/>
      <c r="BN414" s="146"/>
      <c r="BO414" s="146"/>
      <c r="BP414" s="146"/>
      <c r="BQ414" s="146"/>
      <c r="BR414" s="146"/>
    </row>
    <row r="415" spans="2:70" ht="15.75" hidden="1">
      <c r="B415" s="146"/>
      <c r="C415" s="146"/>
      <c r="D415" s="146"/>
      <c r="E415" s="146"/>
      <c r="F415" s="146"/>
      <c r="G415" s="146"/>
      <c r="H415" s="146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  <c r="AD415" s="146"/>
      <c r="AE415" s="146"/>
      <c r="AF415" s="146"/>
      <c r="AG415" s="146"/>
      <c r="AH415" s="146"/>
      <c r="AI415" s="146"/>
      <c r="AJ415" s="146"/>
      <c r="AK415" s="146"/>
      <c r="AL415" s="146"/>
      <c r="AM415" s="146"/>
      <c r="AN415" s="146"/>
      <c r="AO415" s="146"/>
      <c r="AP415" s="146"/>
      <c r="AQ415" s="146"/>
      <c r="AR415" s="146"/>
      <c r="AS415" s="146"/>
      <c r="AT415" s="146"/>
      <c r="AU415" s="146"/>
      <c r="AV415" s="146"/>
      <c r="AW415" s="146"/>
      <c r="AX415" s="146"/>
      <c r="AY415" s="146"/>
      <c r="AZ415" s="146"/>
      <c r="BA415" s="146"/>
      <c r="BB415" s="146"/>
      <c r="BC415" s="146"/>
      <c r="BD415" s="146"/>
      <c r="BE415" s="146"/>
      <c r="BF415" s="146"/>
      <c r="BG415" s="146"/>
      <c r="BH415" s="146"/>
      <c r="BI415" s="146"/>
      <c r="BJ415" s="146"/>
      <c r="BK415" s="146"/>
      <c r="BL415" s="146"/>
      <c r="BM415" s="146"/>
      <c r="BN415" s="146"/>
      <c r="BO415" s="146"/>
      <c r="BP415" s="146"/>
      <c r="BQ415" s="146"/>
      <c r="BR415" s="146"/>
    </row>
    <row r="416" spans="2:70" ht="15.75" hidden="1">
      <c r="B416" s="146"/>
      <c r="C416" s="146"/>
      <c r="D416" s="146"/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  <c r="AF416" s="146"/>
      <c r="AG416" s="146"/>
      <c r="AH416" s="146"/>
      <c r="AI416" s="146"/>
      <c r="AJ416" s="146"/>
      <c r="AK416" s="146"/>
      <c r="AL416" s="146"/>
      <c r="AM416" s="146"/>
      <c r="AN416" s="146"/>
      <c r="AO416" s="146"/>
      <c r="AP416" s="146"/>
      <c r="AQ416" s="146"/>
      <c r="AR416" s="146"/>
      <c r="AS416" s="146"/>
      <c r="AT416" s="146"/>
      <c r="AU416" s="146"/>
      <c r="AV416" s="146"/>
      <c r="AW416" s="146"/>
      <c r="AX416" s="146"/>
      <c r="AY416" s="146"/>
      <c r="AZ416" s="146"/>
      <c r="BA416" s="146"/>
      <c r="BB416" s="146"/>
      <c r="BC416" s="146"/>
      <c r="BD416" s="146"/>
      <c r="BE416" s="146"/>
      <c r="BF416" s="146"/>
      <c r="BG416" s="146"/>
      <c r="BH416" s="146"/>
      <c r="BI416" s="146"/>
      <c r="BJ416" s="146"/>
      <c r="BK416" s="146"/>
      <c r="BL416" s="146"/>
      <c r="BM416" s="146"/>
      <c r="BN416" s="146"/>
      <c r="BO416" s="146"/>
      <c r="BP416" s="146"/>
      <c r="BQ416" s="146"/>
      <c r="BR416" s="146"/>
    </row>
    <row r="417" spans="2:70" ht="15.75" hidden="1">
      <c r="B417" s="146"/>
      <c r="C417" s="146"/>
      <c r="D417" s="146"/>
      <c r="E417" s="146"/>
      <c r="F417" s="146"/>
      <c r="G417" s="146"/>
      <c r="H417" s="146"/>
      <c r="I417" s="146"/>
      <c r="J417" s="146"/>
      <c r="K417" s="146"/>
      <c r="L417" s="146"/>
      <c r="M417" s="146"/>
      <c r="N417" s="146"/>
      <c r="O417" s="146"/>
      <c r="P417" s="146"/>
      <c r="Q417" s="146"/>
      <c r="R417" s="146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  <c r="AD417" s="146"/>
      <c r="AE417" s="146"/>
      <c r="AF417" s="146"/>
      <c r="AG417" s="146"/>
      <c r="AH417" s="146"/>
      <c r="AI417" s="146"/>
      <c r="AJ417" s="146"/>
      <c r="AK417" s="146"/>
      <c r="AL417" s="146"/>
      <c r="AM417" s="146"/>
      <c r="AN417" s="146"/>
      <c r="AO417" s="146"/>
      <c r="AP417" s="146"/>
      <c r="AQ417" s="146"/>
      <c r="AR417" s="146"/>
      <c r="AS417" s="146"/>
      <c r="AT417" s="146"/>
      <c r="AU417" s="146"/>
      <c r="AV417" s="146"/>
      <c r="AW417" s="146"/>
      <c r="AX417" s="146"/>
      <c r="AY417" s="146"/>
      <c r="AZ417" s="146"/>
      <c r="BA417" s="146"/>
      <c r="BB417" s="146"/>
      <c r="BC417" s="146"/>
      <c r="BD417" s="146"/>
      <c r="BE417" s="146"/>
      <c r="BF417" s="146"/>
      <c r="BG417" s="146"/>
      <c r="BH417" s="146"/>
      <c r="BI417" s="146"/>
      <c r="BJ417" s="146"/>
      <c r="BK417" s="146"/>
      <c r="BL417" s="146"/>
      <c r="BM417" s="146"/>
      <c r="BN417" s="146"/>
      <c r="BO417" s="146"/>
      <c r="BP417" s="146"/>
      <c r="BQ417" s="146"/>
      <c r="BR417" s="146"/>
    </row>
    <row r="418" spans="2:70" ht="15.75" hidden="1">
      <c r="B418" s="146"/>
      <c r="C418" s="146"/>
      <c r="D418" s="146"/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  <c r="AD418" s="146"/>
      <c r="AE418" s="146"/>
      <c r="AF418" s="146"/>
      <c r="AG418" s="146"/>
      <c r="AH418" s="146"/>
      <c r="AI418" s="146"/>
      <c r="AJ418" s="146"/>
      <c r="AK418" s="146"/>
      <c r="AL418" s="146"/>
      <c r="AM418" s="146"/>
      <c r="AN418" s="146"/>
      <c r="AO418" s="146"/>
      <c r="AP418" s="146"/>
      <c r="AQ418" s="146"/>
      <c r="AR418" s="146"/>
      <c r="AS418" s="146"/>
      <c r="AT418" s="146"/>
      <c r="AU418" s="146"/>
      <c r="AV418" s="146"/>
      <c r="AW418" s="146"/>
      <c r="AX418" s="146"/>
      <c r="AY418" s="146"/>
      <c r="AZ418" s="146"/>
      <c r="BA418" s="146"/>
      <c r="BB418" s="146"/>
      <c r="BC418" s="146"/>
      <c r="BD418" s="146"/>
      <c r="BE418" s="146"/>
      <c r="BF418" s="146"/>
      <c r="BG418" s="146"/>
      <c r="BH418" s="146"/>
      <c r="BI418" s="146"/>
      <c r="BJ418" s="146"/>
      <c r="BK418" s="146"/>
      <c r="BL418" s="146"/>
      <c r="BM418" s="146"/>
      <c r="BN418" s="146"/>
      <c r="BO418" s="146"/>
      <c r="BP418" s="146"/>
      <c r="BQ418" s="146"/>
      <c r="BR418" s="146"/>
    </row>
    <row r="419" spans="2:70" ht="15.75" hidden="1">
      <c r="B419" s="146"/>
      <c r="C419" s="146"/>
      <c r="D419" s="146"/>
      <c r="E419" s="146"/>
      <c r="F419" s="146"/>
      <c r="G419" s="146"/>
      <c r="H419" s="146"/>
      <c r="I419" s="146"/>
      <c r="J419" s="146"/>
      <c r="K419" s="146"/>
      <c r="L419" s="146"/>
      <c r="M419" s="146"/>
      <c r="N419" s="146"/>
      <c r="O419" s="146"/>
      <c r="P419" s="146"/>
      <c r="Q419" s="146"/>
      <c r="R419" s="146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  <c r="AD419" s="146"/>
      <c r="AE419" s="146"/>
      <c r="AF419" s="146"/>
      <c r="AG419" s="146"/>
      <c r="AH419" s="146"/>
      <c r="AI419" s="146"/>
      <c r="AJ419" s="146"/>
      <c r="AK419" s="146"/>
      <c r="AL419" s="146"/>
      <c r="AM419" s="146"/>
      <c r="AN419" s="146"/>
      <c r="AO419" s="146"/>
      <c r="AP419" s="146"/>
      <c r="AQ419" s="146"/>
      <c r="AR419" s="146"/>
      <c r="AS419" s="146"/>
      <c r="AT419" s="146"/>
      <c r="AU419" s="146"/>
      <c r="AV419" s="146"/>
      <c r="AW419" s="146"/>
      <c r="AX419" s="146"/>
      <c r="AY419" s="146"/>
      <c r="AZ419" s="146"/>
      <c r="BA419" s="146"/>
      <c r="BB419" s="146"/>
      <c r="BC419" s="146"/>
      <c r="BD419" s="146"/>
      <c r="BE419" s="146"/>
      <c r="BF419" s="146"/>
      <c r="BG419" s="146"/>
      <c r="BH419" s="146"/>
      <c r="BI419" s="146"/>
      <c r="BJ419" s="146"/>
      <c r="BK419" s="146"/>
      <c r="BL419" s="146"/>
      <c r="BM419" s="146"/>
      <c r="BN419" s="146"/>
      <c r="BO419" s="146"/>
      <c r="BP419" s="146"/>
      <c r="BQ419" s="146"/>
      <c r="BR419" s="146"/>
    </row>
    <row r="420" spans="2:70" ht="15.75" hidden="1">
      <c r="B420" s="146"/>
      <c r="C420" s="146"/>
      <c r="D420" s="146"/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  <c r="AD420" s="146"/>
      <c r="AE420" s="146"/>
      <c r="AF420" s="146"/>
      <c r="AG420" s="146"/>
      <c r="AH420" s="146"/>
      <c r="AI420" s="146"/>
      <c r="AJ420" s="146"/>
      <c r="AK420" s="146"/>
      <c r="AL420" s="146"/>
      <c r="AM420" s="146"/>
      <c r="AN420" s="146"/>
      <c r="AO420" s="146"/>
      <c r="AP420" s="146"/>
      <c r="AQ420" s="146"/>
      <c r="AR420" s="146"/>
      <c r="AS420" s="146"/>
      <c r="AT420" s="146"/>
      <c r="AU420" s="146"/>
      <c r="AV420" s="146"/>
      <c r="AW420" s="146"/>
      <c r="AX420" s="146"/>
      <c r="AY420" s="146"/>
      <c r="AZ420" s="146"/>
      <c r="BA420" s="146"/>
      <c r="BB420" s="146"/>
      <c r="BC420" s="146"/>
      <c r="BD420" s="146"/>
      <c r="BE420" s="146"/>
      <c r="BF420" s="146"/>
      <c r="BG420" s="146"/>
      <c r="BH420" s="146"/>
      <c r="BI420" s="146"/>
      <c r="BJ420" s="146"/>
      <c r="BK420" s="146"/>
      <c r="BL420" s="146"/>
      <c r="BM420" s="146"/>
      <c r="BN420" s="146"/>
      <c r="BO420" s="146"/>
      <c r="BP420" s="146"/>
      <c r="BQ420" s="146"/>
      <c r="BR420" s="146"/>
    </row>
    <row r="421" spans="2:70" ht="15.75" hidden="1">
      <c r="B421" s="146"/>
      <c r="C421" s="146"/>
      <c r="D421" s="146"/>
      <c r="E421" s="146"/>
      <c r="F421" s="146"/>
      <c r="G421" s="146"/>
      <c r="H421" s="146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  <c r="AD421" s="146"/>
      <c r="AE421" s="146"/>
      <c r="AF421" s="146"/>
      <c r="AG421" s="146"/>
      <c r="AH421" s="146"/>
      <c r="AI421" s="146"/>
      <c r="AJ421" s="146"/>
      <c r="AK421" s="146"/>
      <c r="AL421" s="146"/>
      <c r="AM421" s="146"/>
      <c r="AN421" s="146"/>
      <c r="AO421" s="146"/>
      <c r="AP421" s="146"/>
      <c r="AQ421" s="146"/>
      <c r="AR421" s="146"/>
      <c r="AS421" s="146"/>
      <c r="AT421" s="146"/>
      <c r="AU421" s="146"/>
      <c r="AV421" s="146"/>
      <c r="AW421" s="146"/>
      <c r="AX421" s="146"/>
      <c r="AY421" s="146"/>
      <c r="AZ421" s="146"/>
      <c r="BA421" s="146"/>
      <c r="BB421" s="146"/>
      <c r="BC421" s="146"/>
      <c r="BD421" s="146"/>
      <c r="BE421" s="146"/>
      <c r="BF421" s="146"/>
      <c r="BG421" s="146"/>
      <c r="BH421" s="146"/>
      <c r="BI421" s="146"/>
      <c r="BJ421" s="146"/>
      <c r="BK421" s="146"/>
      <c r="BL421" s="146"/>
      <c r="BM421" s="146"/>
      <c r="BN421" s="146"/>
      <c r="BO421" s="146"/>
      <c r="BP421" s="146"/>
      <c r="BQ421" s="146"/>
      <c r="BR421" s="146"/>
    </row>
    <row r="422" spans="2:70" ht="15.75" hidden="1">
      <c r="B422" s="146"/>
      <c r="C422" s="146"/>
      <c r="D422" s="146"/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  <c r="AD422" s="146"/>
      <c r="AE422" s="146"/>
      <c r="AF422" s="146"/>
      <c r="AG422" s="146"/>
      <c r="AH422" s="146"/>
      <c r="AI422" s="146"/>
      <c r="AJ422" s="146"/>
      <c r="AK422" s="146"/>
      <c r="AL422" s="146"/>
      <c r="AM422" s="146"/>
      <c r="AN422" s="146"/>
      <c r="AO422" s="146"/>
      <c r="AP422" s="146"/>
      <c r="AQ422" s="146"/>
      <c r="AR422" s="146"/>
      <c r="AS422" s="146"/>
      <c r="AT422" s="146"/>
      <c r="AU422" s="146"/>
      <c r="AV422" s="146"/>
      <c r="AW422" s="146"/>
      <c r="AX422" s="146"/>
      <c r="AY422" s="146"/>
      <c r="AZ422" s="146"/>
      <c r="BA422" s="146"/>
      <c r="BB422" s="146"/>
      <c r="BC422" s="146"/>
      <c r="BD422" s="146"/>
      <c r="BE422" s="146"/>
      <c r="BF422" s="146"/>
      <c r="BG422" s="146"/>
      <c r="BH422" s="146"/>
      <c r="BI422" s="146"/>
      <c r="BJ422" s="146"/>
      <c r="BK422" s="146"/>
      <c r="BL422" s="146"/>
      <c r="BM422" s="146"/>
      <c r="BN422" s="146"/>
      <c r="BO422" s="146"/>
      <c r="BP422" s="146"/>
      <c r="BQ422" s="146"/>
      <c r="BR422" s="146"/>
    </row>
    <row r="423" spans="2:70" ht="15.75" hidden="1">
      <c r="B423" s="146"/>
      <c r="C423" s="146"/>
      <c r="D423" s="146"/>
      <c r="E423" s="146"/>
      <c r="F423" s="146"/>
      <c r="G423" s="146"/>
      <c r="H423" s="146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  <c r="AD423" s="146"/>
      <c r="AE423" s="146"/>
      <c r="AF423" s="146"/>
      <c r="AG423" s="146"/>
      <c r="AH423" s="146"/>
      <c r="AI423" s="146"/>
      <c r="AJ423" s="146"/>
      <c r="AK423" s="146"/>
      <c r="AL423" s="146"/>
      <c r="AM423" s="146"/>
      <c r="AN423" s="146"/>
      <c r="AO423" s="146"/>
      <c r="AP423" s="146"/>
      <c r="AQ423" s="146"/>
      <c r="AR423" s="146"/>
      <c r="AS423" s="146"/>
      <c r="AT423" s="146"/>
      <c r="AU423" s="146"/>
      <c r="AV423" s="146"/>
      <c r="AW423" s="146"/>
      <c r="AX423" s="146"/>
      <c r="AY423" s="146"/>
      <c r="AZ423" s="146"/>
      <c r="BA423" s="146"/>
      <c r="BB423" s="146"/>
      <c r="BC423" s="146"/>
      <c r="BD423" s="146"/>
      <c r="BE423" s="146"/>
      <c r="BF423" s="146"/>
      <c r="BG423" s="146"/>
      <c r="BH423" s="146"/>
      <c r="BI423" s="146"/>
      <c r="BJ423" s="146"/>
      <c r="BK423" s="146"/>
      <c r="BL423" s="146"/>
      <c r="BM423" s="146"/>
      <c r="BN423" s="146"/>
      <c r="BO423" s="146"/>
      <c r="BP423" s="146"/>
      <c r="BQ423" s="146"/>
      <c r="BR423" s="146"/>
    </row>
    <row r="424" spans="2:70" ht="15.75" hidden="1">
      <c r="B424" s="146"/>
      <c r="C424" s="146"/>
      <c r="D424" s="146"/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  <c r="AD424" s="146"/>
      <c r="AE424" s="146"/>
      <c r="AF424" s="146"/>
      <c r="AG424" s="146"/>
      <c r="AH424" s="146"/>
      <c r="AI424" s="146"/>
      <c r="AJ424" s="146"/>
      <c r="AK424" s="146"/>
      <c r="AL424" s="146"/>
      <c r="AM424" s="146"/>
      <c r="AN424" s="146"/>
      <c r="AO424" s="146"/>
      <c r="AP424" s="146"/>
      <c r="AQ424" s="146"/>
      <c r="AR424" s="146"/>
      <c r="AS424" s="146"/>
      <c r="AT424" s="146"/>
      <c r="AU424" s="146"/>
      <c r="AV424" s="146"/>
      <c r="AW424" s="146"/>
      <c r="AX424" s="146"/>
      <c r="AY424" s="146"/>
      <c r="AZ424" s="146"/>
      <c r="BA424" s="146"/>
      <c r="BB424" s="146"/>
      <c r="BC424" s="146"/>
      <c r="BD424" s="146"/>
      <c r="BE424" s="146"/>
      <c r="BF424" s="146"/>
      <c r="BG424" s="146"/>
      <c r="BH424" s="146"/>
      <c r="BI424" s="146"/>
      <c r="BJ424" s="146"/>
      <c r="BK424" s="146"/>
      <c r="BL424" s="146"/>
      <c r="BM424" s="146"/>
      <c r="BN424" s="146"/>
      <c r="BO424" s="146"/>
      <c r="BP424" s="146"/>
      <c r="BQ424" s="146"/>
      <c r="BR424" s="146"/>
    </row>
    <row r="425" spans="2:70" ht="15.75" hidden="1">
      <c r="B425" s="146"/>
      <c r="C425" s="146"/>
      <c r="D425" s="146"/>
      <c r="E425" s="146"/>
      <c r="F425" s="146"/>
      <c r="G425" s="146"/>
      <c r="H425" s="146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  <c r="AD425" s="146"/>
      <c r="AE425" s="146"/>
      <c r="AF425" s="146"/>
      <c r="AG425" s="146"/>
      <c r="AH425" s="146"/>
      <c r="AI425" s="146"/>
      <c r="AJ425" s="146"/>
      <c r="AK425" s="146"/>
      <c r="AL425" s="146"/>
      <c r="AM425" s="146"/>
      <c r="AN425" s="146"/>
      <c r="AO425" s="146"/>
      <c r="AP425" s="146"/>
      <c r="AQ425" s="146"/>
      <c r="AR425" s="146"/>
      <c r="AS425" s="146"/>
      <c r="AT425" s="146"/>
      <c r="AU425" s="146"/>
      <c r="AV425" s="146"/>
      <c r="AW425" s="146"/>
      <c r="AX425" s="146"/>
      <c r="AY425" s="146"/>
      <c r="AZ425" s="146"/>
      <c r="BA425" s="146"/>
      <c r="BB425" s="146"/>
      <c r="BC425" s="146"/>
      <c r="BD425" s="146"/>
      <c r="BE425" s="146"/>
      <c r="BF425" s="146"/>
      <c r="BG425" s="146"/>
      <c r="BH425" s="146"/>
      <c r="BI425" s="146"/>
      <c r="BJ425" s="146"/>
      <c r="BK425" s="146"/>
      <c r="BL425" s="146"/>
      <c r="BM425" s="146"/>
      <c r="BN425" s="146"/>
      <c r="BO425" s="146"/>
      <c r="BP425" s="146"/>
      <c r="BQ425" s="146"/>
      <c r="BR425" s="146"/>
    </row>
    <row r="426" spans="2:70" ht="15.75" hidden="1">
      <c r="B426" s="146"/>
      <c r="C426" s="146"/>
      <c r="D426" s="146"/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  <c r="AD426" s="146"/>
      <c r="AE426" s="146"/>
      <c r="AF426" s="146"/>
      <c r="AG426" s="146"/>
      <c r="AH426" s="146"/>
      <c r="AI426" s="146"/>
      <c r="AJ426" s="146"/>
      <c r="AK426" s="146"/>
      <c r="AL426" s="146"/>
      <c r="AM426" s="146"/>
      <c r="AN426" s="146"/>
      <c r="AO426" s="146"/>
      <c r="AP426" s="146"/>
      <c r="AQ426" s="146"/>
      <c r="AR426" s="146"/>
      <c r="AS426" s="146"/>
      <c r="AT426" s="146"/>
      <c r="AU426" s="146"/>
      <c r="AV426" s="146"/>
      <c r="AW426" s="146"/>
      <c r="AX426" s="146"/>
      <c r="AY426" s="146"/>
      <c r="AZ426" s="146"/>
      <c r="BA426" s="146"/>
      <c r="BB426" s="146"/>
      <c r="BC426" s="146"/>
      <c r="BD426" s="146"/>
      <c r="BE426" s="146"/>
      <c r="BF426" s="146"/>
      <c r="BG426" s="146"/>
      <c r="BH426" s="146"/>
      <c r="BI426" s="146"/>
      <c r="BJ426" s="146"/>
      <c r="BK426" s="146"/>
      <c r="BL426" s="146"/>
      <c r="BM426" s="146"/>
      <c r="BN426" s="146"/>
      <c r="BO426" s="146"/>
      <c r="BP426" s="146"/>
      <c r="BQ426" s="146"/>
      <c r="BR426" s="146"/>
    </row>
    <row r="427" spans="2:70" ht="15.75" hidden="1">
      <c r="B427" s="146"/>
      <c r="C427" s="146"/>
      <c r="D427" s="146"/>
      <c r="E427" s="146"/>
      <c r="F427" s="146"/>
      <c r="G427" s="146"/>
      <c r="H427" s="146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  <c r="AD427" s="146"/>
      <c r="AE427" s="146"/>
      <c r="AF427" s="146"/>
      <c r="AG427" s="146"/>
      <c r="AH427" s="146"/>
      <c r="AI427" s="146"/>
      <c r="AJ427" s="146"/>
      <c r="AK427" s="146"/>
      <c r="AL427" s="146"/>
      <c r="AM427" s="146"/>
      <c r="AN427" s="146"/>
      <c r="AO427" s="146"/>
      <c r="AP427" s="146"/>
      <c r="AQ427" s="146"/>
      <c r="AR427" s="146"/>
      <c r="AS427" s="146"/>
      <c r="AT427" s="146"/>
      <c r="AU427" s="146"/>
      <c r="AV427" s="146"/>
      <c r="AW427" s="146"/>
      <c r="AX427" s="146"/>
      <c r="AY427" s="146"/>
      <c r="AZ427" s="146"/>
      <c r="BA427" s="146"/>
      <c r="BB427" s="146"/>
      <c r="BC427" s="146"/>
      <c r="BD427" s="146"/>
      <c r="BE427" s="146"/>
      <c r="BF427" s="146"/>
      <c r="BG427" s="146"/>
      <c r="BH427" s="146"/>
      <c r="BI427" s="146"/>
      <c r="BJ427" s="146"/>
      <c r="BK427" s="146"/>
      <c r="BL427" s="146"/>
      <c r="BM427" s="146"/>
      <c r="BN427" s="146"/>
      <c r="BO427" s="146"/>
      <c r="BP427" s="146"/>
      <c r="BQ427" s="146"/>
      <c r="BR427" s="146"/>
    </row>
    <row r="428" spans="2:70" ht="15.75" hidden="1">
      <c r="B428" s="146"/>
      <c r="C428" s="146"/>
      <c r="D428" s="146"/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  <c r="AD428" s="146"/>
      <c r="AE428" s="146"/>
      <c r="AF428" s="146"/>
      <c r="AG428" s="146"/>
      <c r="AH428" s="146"/>
      <c r="AI428" s="146"/>
      <c r="AJ428" s="146"/>
      <c r="AK428" s="146"/>
      <c r="AL428" s="146"/>
      <c r="AM428" s="146"/>
      <c r="AN428" s="146"/>
      <c r="AO428" s="146"/>
      <c r="AP428" s="146"/>
      <c r="AQ428" s="146"/>
      <c r="AR428" s="146"/>
      <c r="AS428" s="146"/>
      <c r="AT428" s="146"/>
      <c r="AU428" s="146"/>
      <c r="AV428" s="146"/>
      <c r="AW428" s="146"/>
      <c r="AX428" s="146"/>
      <c r="AY428" s="146"/>
      <c r="AZ428" s="146"/>
      <c r="BA428" s="146"/>
      <c r="BB428" s="146"/>
      <c r="BC428" s="146"/>
      <c r="BD428" s="146"/>
      <c r="BE428" s="146"/>
      <c r="BF428" s="146"/>
      <c r="BG428" s="146"/>
      <c r="BH428" s="146"/>
      <c r="BI428" s="146"/>
      <c r="BJ428" s="146"/>
      <c r="BK428" s="146"/>
      <c r="BL428" s="146"/>
      <c r="BM428" s="146"/>
      <c r="BN428" s="146"/>
      <c r="BO428" s="146"/>
      <c r="BP428" s="146"/>
      <c r="BQ428" s="146"/>
      <c r="BR428" s="146"/>
    </row>
    <row r="429" spans="2:70" ht="15.75" hidden="1">
      <c r="B429" s="146"/>
      <c r="C429" s="146"/>
      <c r="D429" s="146"/>
      <c r="E429" s="146"/>
      <c r="F429" s="146"/>
      <c r="G429" s="146"/>
      <c r="H429" s="146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  <c r="AD429" s="146"/>
      <c r="AE429" s="146"/>
      <c r="AF429" s="146"/>
      <c r="AG429" s="146"/>
      <c r="AH429" s="146"/>
      <c r="AI429" s="146"/>
      <c r="AJ429" s="146"/>
      <c r="AK429" s="146"/>
      <c r="AL429" s="146"/>
      <c r="AM429" s="146"/>
      <c r="AN429" s="146"/>
      <c r="AO429" s="146"/>
      <c r="AP429" s="146"/>
      <c r="AQ429" s="146"/>
      <c r="AR429" s="146"/>
      <c r="AS429" s="146"/>
      <c r="AT429" s="146"/>
      <c r="AU429" s="146"/>
      <c r="AV429" s="146"/>
      <c r="AW429" s="146"/>
      <c r="AX429" s="146"/>
      <c r="AY429" s="146"/>
      <c r="AZ429" s="146"/>
      <c r="BA429" s="146"/>
      <c r="BB429" s="146"/>
      <c r="BC429" s="146"/>
      <c r="BD429" s="146"/>
      <c r="BE429" s="146"/>
      <c r="BF429" s="146"/>
      <c r="BG429" s="146"/>
      <c r="BH429" s="146"/>
      <c r="BI429" s="146"/>
      <c r="BJ429" s="146"/>
      <c r="BK429" s="146"/>
      <c r="BL429" s="146"/>
      <c r="BM429" s="146"/>
      <c r="BN429" s="146"/>
      <c r="BO429" s="146"/>
      <c r="BP429" s="146"/>
      <c r="BQ429" s="146"/>
      <c r="BR429" s="146"/>
    </row>
    <row r="430" spans="2:70" ht="15.75" hidden="1">
      <c r="B430" s="146"/>
      <c r="C430" s="146"/>
      <c r="D430" s="146"/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  <c r="AD430" s="146"/>
      <c r="AE430" s="146"/>
      <c r="AF430" s="146"/>
      <c r="AG430" s="146"/>
      <c r="AH430" s="146"/>
      <c r="AI430" s="146"/>
      <c r="AJ430" s="146"/>
      <c r="AK430" s="146"/>
      <c r="AL430" s="146"/>
      <c r="AM430" s="146"/>
      <c r="AN430" s="146"/>
      <c r="AO430" s="146"/>
      <c r="AP430" s="146"/>
      <c r="AQ430" s="146"/>
      <c r="AR430" s="146"/>
      <c r="AS430" s="146"/>
      <c r="AT430" s="146"/>
      <c r="AU430" s="146"/>
      <c r="AV430" s="146"/>
      <c r="AW430" s="146"/>
      <c r="AX430" s="146"/>
      <c r="AY430" s="146"/>
      <c r="AZ430" s="146"/>
      <c r="BA430" s="146"/>
      <c r="BB430" s="146"/>
      <c r="BC430" s="146"/>
      <c r="BD430" s="146"/>
      <c r="BE430" s="146"/>
      <c r="BF430" s="146"/>
      <c r="BG430" s="146"/>
      <c r="BH430" s="146"/>
      <c r="BI430" s="146"/>
      <c r="BJ430" s="146"/>
      <c r="BK430" s="146"/>
      <c r="BL430" s="146"/>
      <c r="BM430" s="146"/>
      <c r="BN430" s="146"/>
      <c r="BO430" s="146"/>
      <c r="BP430" s="146"/>
      <c r="BQ430" s="146"/>
      <c r="BR430" s="146"/>
    </row>
    <row r="431" spans="2:70" ht="15.75" hidden="1">
      <c r="B431" s="146"/>
      <c r="C431" s="146"/>
      <c r="D431" s="146"/>
      <c r="E431" s="146"/>
      <c r="F431" s="146"/>
      <c r="G431" s="146"/>
      <c r="H431" s="146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  <c r="AD431" s="146"/>
      <c r="AE431" s="146"/>
      <c r="AF431" s="146"/>
      <c r="AG431" s="146"/>
      <c r="AH431" s="146"/>
      <c r="AI431" s="146"/>
      <c r="AJ431" s="146"/>
      <c r="AK431" s="146"/>
      <c r="AL431" s="146"/>
      <c r="AM431" s="146"/>
      <c r="AN431" s="146"/>
      <c r="AO431" s="146"/>
      <c r="AP431" s="146"/>
      <c r="AQ431" s="146"/>
      <c r="AR431" s="146"/>
      <c r="AS431" s="146"/>
      <c r="AT431" s="146"/>
      <c r="AU431" s="146"/>
      <c r="AV431" s="146"/>
      <c r="AW431" s="146"/>
      <c r="AX431" s="146"/>
      <c r="AY431" s="146"/>
      <c r="AZ431" s="146"/>
      <c r="BA431" s="146"/>
      <c r="BB431" s="146"/>
      <c r="BC431" s="146"/>
      <c r="BD431" s="146"/>
      <c r="BE431" s="146"/>
      <c r="BF431" s="146"/>
      <c r="BG431" s="146"/>
      <c r="BH431" s="146"/>
      <c r="BI431" s="146"/>
      <c r="BJ431" s="146"/>
      <c r="BK431" s="146"/>
      <c r="BL431" s="146"/>
      <c r="BM431" s="146"/>
      <c r="BN431" s="146"/>
      <c r="BO431" s="146"/>
      <c r="BP431" s="146"/>
      <c r="BQ431" s="146"/>
      <c r="BR431" s="146"/>
    </row>
    <row r="432" spans="2:70" ht="15.75" hidden="1">
      <c r="B432" s="146"/>
      <c r="C432" s="146"/>
      <c r="D432" s="146"/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  <c r="AD432" s="146"/>
      <c r="AE432" s="146"/>
      <c r="AF432" s="146"/>
      <c r="AG432" s="146"/>
      <c r="AH432" s="146"/>
      <c r="AI432" s="146"/>
      <c r="AJ432" s="146"/>
      <c r="AK432" s="146"/>
      <c r="AL432" s="146"/>
      <c r="AM432" s="146"/>
      <c r="AN432" s="146"/>
      <c r="AO432" s="146"/>
      <c r="AP432" s="146"/>
      <c r="AQ432" s="146"/>
      <c r="AR432" s="146"/>
      <c r="AS432" s="146"/>
      <c r="AT432" s="146"/>
      <c r="AU432" s="146"/>
      <c r="AV432" s="146"/>
      <c r="AW432" s="146"/>
      <c r="AX432" s="146"/>
      <c r="AY432" s="146"/>
      <c r="AZ432" s="146"/>
      <c r="BA432" s="146"/>
      <c r="BB432" s="146"/>
      <c r="BC432" s="146"/>
      <c r="BD432" s="146"/>
      <c r="BE432" s="146"/>
      <c r="BF432" s="146"/>
      <c r="BG432" s="146"/>
      <c r="BH432" s="146"/>
      <c r="BI432" s="146"/>
      <c r="BJ432" s="146"/>
      <c r="BK432" s="146"/>
      <c r="BL432" s="146"/>
      <c r="BM432" s="146"/>
      <c r="BN432" s="146"/>
      <c r="BO432" s="146"/>
      <c r="BP432" s="146"/>
      <c r="BQ432" s="146"/>
      <c r="BR432" s="146"/>
    </row>
    <row r="433" spans="2:70" ht="15.75" hidden="1">
      <c r="B433" s="146"/>
      <c r="C433" s="146"/>
      <c r="D433" s="146"/>
      <c r="E433" s="146"/>
      <c r="F433" s="146"/>
      <c r="G433" s="146"/>
      <c r="H433" s="146"/>
      <c r="I433" s="146"/>
      <c r="J433" s="146"/>
      <c r="K433" s="146"/>
      <c r="L433" s="146"/>
      <c r="M433" s="146"/>
      <c r="N433" s="146"/>
      <c r="O433" s="146"/>
      <c r="P433" s="146"/>
      <c r="Q433" s="146"/>
      <c r="R433" s="146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  <c r="AD433" s="146"/>
      <c r="AE433" s="146"/>
      <c r="AF433" s="146"/>
      <c r="AG433" s="146"/>
      <c r="AH433" s="146"/>
      <c r="AI433" s="146"/>
      <c r="AJ433" s="146"/>
      <c r="AK433" s="146"/>
      <c r="AL433" s="146"/>
      <c r="AM433" s="146"/>
      <c r="AN433" s="146"/>
      <c r="AO433" s="146"/>
      <c r="AP433" s="146"/>
      <c r="AQ433" s="146"/>
      <c r="AR433" s="146"/>
      <c r="AS433" s="146"/>
      <c r="AT433" s="146"/>
      <c r="AU433" s="146"/>
      <c r="AV433" s="146"/>
      <c r="AW433" s="146"/>
      <c r="AX433" s="146"/>
      <c r="AY433" s="146"/>
      <c r="AZ433" s="146"/>
      <c r="BA433" s="146"/>
      <c r="BB433" s="146"/>
      <c r="BC433" s="146"/>
      <c r="BD433" s="146"/>
      <c r="BE433" s="146"/>
      <c r="BF433" s="146"/>
      <c r="BG433" s="146"/>
      <c r="BH433" s="146"/>
      <c r="BI433" s="146"/>
      <c r="BJ433" s="146"/>
      <c r="BK433" s="146"/>
      <c r="BL433" s="146"/>
      <c r="BM433" s="146"/>
      <c r="BN433" s="146"/>
      <c r="BO433" s="146"/>
      <c r="BP433" s="146"/>
      <c r="BQ433" s="146"/>
      <c r="BR433" s="146"/>
    </row>
    <row r="434" spans="2:70" ht="15.75" hidden="1">
      <c r="B434" s="146"/>
      <c r="C434" s="146"/>
      <c r="D434" s="146"/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  <c r="AD434" s="146"/>
      <c r="AE434" s="146"/>
      <c r="AF434" s="146"/>
      <c r="AG434" s="146"/>
      <c r="AH434" s="146"/>
      <c r="AI434" s="146"/>
      <c r="AJ434" s="146"/>
      <c r="AK434" s="146"/>
      <c r="AL434" s="146"/>
      <c r="AM434" s="146"/>
      <c r="AN434" s="146"/>
      <c r="AO434" s="146"/>
      <c r="AP434" s="146"/>
      <c r="AQ434" s="146"/>
      <c r="AR434" s="146"/>
      <c r="AS434" s="146"/>
      <c r="AT434" s="146"/>
      <c r="AU434" s="146"/>
      <c r="AV434" s="146"/>
      <c r="AW434" s="146"/>
      <c r="AX434" s="146"/>
      <c r="AY434" s="146"/>
      <c r="AZ434" s="146"/>
      <c r="BA434" s="146"/>
      <c r="BB434" s="146"/>
      <c r="BC434" s="146"/>
      <c r="BD434" s="146"/>
      <c r="BE434" s="146"/>
      <c r="BF434" s="146"/>
      <c r="BG434" s="146"/>
      <c r="BH434" s="146"/>
      <c r="BI434" s="146"/>
      <c r="BJ434" s="146"/>
      <c r="BK434" s="146"/>
      <c r="BL434" s="146"/>
      <c r="BM434" s="146"/>
      <c r="BN434" s="146"/>
      <c r="BO434" s="146"/>
      <c r="BP434" s="146"/>
      <c r="BQ434" s="146"/>
      <c r="BR434" s="146"/>
    </row>
    <row r="435" spans="2:70" ht="15.75" hidden="1">
      <c r="B435" s="146"/>
      <c r="C435" s="146"/>
      <c r="D435" s="146"/>
      <c r="E435" s="146"/>
      <c r="F435" s="146"/>
      <c r="G435" s="146"/>
      <c r="H435" s="146"/>
      <c r="I435" s="146"/>
      <c r="J435" s="146"/>
      <c r="K435" s="146"/>
      <c r="L435" s="146"/>
      <c r="M435" s="146"/>
      <c r="N435" s="146"/>
      <c r="O435" s="146"/>
      <c r="P435" s="146"/>
      <c r="Q435" s="146"/>
      <c r="R435" s="146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  <c r="AD435" s="146"/>
      <c r="AE435" s="146"/>
      <c r="AF435" s="146"/>
      <c r="AG435" s="146"/>
      <c r="AH435" s="146"/>
      <c r="AI435" s="146"/>
      <c r="AJ435" s="146"/>
      <c r="AK435" s="146"/>
      <c r="AL435" s="146"/>
      <c r="AM435" s="146"/>
      <c r="AN435" s="146"/>
      <c r="AO435" s="146"/>
      <c r="AP435" s="146"/>
      <c r="AQ435" s="146"/>
      <c r="AR435" s="146"/>
      <c r="AS435" s="146"/>
      <c r="AT435" s="146"/>
      <c r="AU435" s="146"/>
      <c r="AV435" s="146"/>
      <c r="AW435" s="146"/>
      <c r="AX435" s="146"/>
      <c r="AY435" s="146"/>
      <c r="AZ435" s="146"/>
      <c r="BA435" s="146"/>
      <c r="BB435" s="146"/>
      <c r="BC435" s="146"/>
      <c r="BD435" s="146"/>
      <c r="BE435" s="146"/>
      <c r="BF435" s="146"/>
      <c r="BG435" s="146"/>
      <c r="BH435" s="146"/>
      <c r="BI435" s="146"/>
      <c r="BJ435" s="146"/>
      <c r="BK435" s="146"/>
      <c r="BL435" s="146"/>
      <c r="BM435" s="146"/>
      <c r="BN435" s="146"/>
      <c r="BO435" s="146"/>
      <c r="BP435" s="146"/>
      <c r="BQ435" s="146"/>
      <c r="BR435" s="146"/>
    </row>
    <row r="436" spans="2:70" ht="15.75" hidden="1">
      <c r="B436" s="146"/>
      <c r="C436" s="146"/>
      <c r="D436" s="146"/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  <c r="AD436" s="146"/>
      <c r="AE436" s="146"/>
      <c r="AF436" s="146"/>
      <c r="AG436" s="146"/>
      <c r="AH436" s="146"/>
      <c r="AI436" s="146"/>
      <c r="AJ436" s="146"/>
      <c r="AK436" s="146"/>
      <c r="AL436" s="146"/>
      <c r="AM436" s="146"/>
      <c r="AN436" s="146"/>
      <c r="AO436" s="146"/>
      <c r="AP436" s="146"/>
      <c r="AQ436" s="146"/>
      <c r="AR436" s="146"/>
      <c r="AS436" s="146"/>
      <c r="AT436" s="146"/>
      <c r="AU436" s="146"/>
      <c r="AV436" s="146"/>
      <c r="AW436" s="146"/>
      <c r="AX436" s="146"/>
      <c r="AY436" s="146"/>
      <c r="AZ436" s="146"/>
      <c r="BA436" s="146"/>
      <c r="BB436" s="146"/>
      <c r="BC436" s="146"/>
      <c r="BD436" s="146"/>
      <c r="BE436" s="146"/>
      <c r="BF436" s="146"/>
      <c r="BG436" s="146"/>
      <c r="BH436" s="146"/>
      <c r="BI436" s="146"/>
      <c r="BJ436" s="146"/>
      <c r="BK436" s="146"/>
      <c r="BL436" s="146"/>
      <c r="BM436" s="146"/>
      <c r="BN436" s="146"/>
      <c r="BO436" s="146"/>
      <c r="BP436" s="146"/>
      <c r="BQ436" s="146"/>
      <c r="BR436" s="146"/>
    </row>
    <row r="437" spans="2:70" ht="15.75" hidden="1">
      <c r="B437" s="146"/>
      <c r="C437" s="146"/>
      <c r="D437" s="146"/>
      <c r="E437" s="146"/>
      <c r="F437" s="146"/>
      <c r="G437" s="146"/>
      <c r="H437" s="146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  <c r="AD437" s="146"/>
      <c r="AE437" s="146"/>
      <c r="AF437" s="146"/>
      <c r="AG437" s="146"/>
      <c r="AH437" s="146"/>
      <c r="AI437" s="146"/>
      <c r="AJ437" s="146"/>
      <c r="AK437" s="146"/>
      <c r="AL437" s="146"/>
      <c r="AM437" s="146"/>
      <c r="AN437" s="146"/>
      <c r="AO437" s="146"/>
      <c r="AP437" s="146"/>
      <c r="AQ437" s="146"/>
      <c r="AR437" s="146"/>
      <c r="AS437" s="146"/>
      <c r="AT437" s="146"/>
      <c r="AU437" s="146"/>
      <c r="AV437" s="146"/>
      <c r="AW437" s="146"/>
      <c r="AX437" s="146"/>
      <c r="AY437" s="146"/>
      <c r="AZ437" s="146"/>
      <c r="BA437" s="146"/>
      <c r="BB437" s="146"/>
      <c r="BC437" s="146"/>
      <c r="BD437" s="146"/>
      <c r="BE437" s="146"/>
      <c r="BF437" s="146"/>
      <c r="BG437" s="146"/>
      <c r="BH437" s="146"/>
      <c r="BI437" s="146"/>
      <c r="BJ437" s="146"/>
      <c r="BK437" s="146"/>
      <c r="BL437" s="146"/>
      <c r="BM437" s="146"/>
      <c r="BN437" s="146"/>
      <c r="BO437" s="146"/>
      <c r="BP437" s="146"/>
      <c r="BQ437" s="146"/>
      <c r="BR437" s="146"/>
    </row>
    <row r="438" spans="2:70" ht="15.75" hidden="1">
      <c r="B438" s="146"/>
      <c r="C438" s="146"/>
      <c r="D438" s="146"/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  <c r="AD438" s="146"/>
      <c r="AE438" s="146"/>
      <c r="AF438" s="146"/>
      <c r="AG438" s="146"/>
      <c r="AH438" s="146"/>
      <c r="AI438" s="146"/>
      <c r="AJ438" s="146"/>
      <c r="AK438" s="146"/>
      <c r="AL438" s="146"/>
      <c r="AM438" s="146"/>
      <c r="AN438" s="146"/>
      <c r="AO438" s="146"/>
      <c r="AP438" s="146"/>
      <c r="AQ438" s="146"/>
      <c r="AR438" s="146"/>
      <c r="AS438" s="146"/>
      <c r="AT438" s="146"/>
      <c r="AU438" s="146"/>
      <c r="AV438" s="146"/>
      <c r="AW438" s="146"/>
      <c r="AX438" s="146"/>
      <c r="AY438" s="146"/>
      <c r="AZ438" s="146"/>
      <c r="BA438" s="146"/>
      <c r="BB438" s="146"/>
      <c r="BC438" s="146"/>
      <c r="BD438" s="146"/>
      <c r="BE438" s="146"/>
      <c r="BF438" s="146"/>
      <c r="BG438" s="146"/>
      <c r="BH438" s="146"/>
      <c r="BI438" s="146"/>
      <c r="BJ438" s="146"/>
      <c r="BK438" s="146"/>
      <c r="BL438" s="146"/>
      <c r="BM438" s="146"/>
      <c r="BN438" s="146"/>
      <c r="BO438" s="146"/>
      <c r="BP438" s="146"/>
      <c r="BQ438" s="146"/>
      <c r="BR438" s="146"/>
    </row>
    <row r="439" spans="2:70" ht="15.75" hidden="1">
      <c r="B439" s="146"/>
      <c r="C439" s="146"/>
      <c r="D439" s="146"/>
      <c r="E439" s="146"/>
      <c r="F439" s="146"/>
      <c r="G439" s="146"/>
      <c r="H439" s="146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  <c r="AD439" s="146"/>
      <c r="AE439" s="146"/>
      <c r="AF439" s="146"/>
      <c r="AG439" s="146"/>
      <c r="AH439" s="146"/>
      <c r="AI439" s="146"/>
      <c r="AJ439" s="146"/>
      <c r="AK439" s="146"/>
      <c r="AL439" s="146"/>
      <c r="AM439" s="146"/>
      <c r="AN439" s="146"/>
      <c r="AO439" s="146"/>
      <c r="AP439" s="146"/>
      <c r="AQ439" s="146"/>
      <c r="AR439" s="146"/>
      <c r="AS439" s="146"/>
      <c r="AT439" s="146"/>
      <c r="AU439" s="146"/>
      <c r="AV439" s="146"/>
      <c r="AW439" s="146"/>
      <c r="AX439" s="146"/>
      <c r="AY439" s="146"/>
      <c r="AZ439" s="146"/>
      <c r="BA439" s="146"/>
      <c r="BB439" s="146"/>
      <c r="BC439" s="146"/>
      <c r="BD439" s="146"/>
      <c r="BE439" s="146"/>
      <c r="BF439" s="146"/>
      <c r="BG439" s="146"/>
      <c r="BH439" s="146"/>
      <c r="BI439" s="146"/>
      <c r="BJ439" s="146"/>
      <c r="BK439" s="146"/>
      <c r="BL439" s="146"/>
      <c r="BM439" s="146"/>
      <c r="BN439" s="146"/>
      <c r="BO439" s="146"/>
      <c r="BP439" s="146"/>
      <c r="BQ439" s="146"/>
      <c r="BR439" s="146"/>
    </row>
    <row r="440" spans="2:70" ht="15.75" hidden="1">
      <c r="B440" s="146"/>
      <c r="C440" s="146"/>
      <c r="D440" s="146"/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  <c r="AD440" s="146"/>
      <c r="AE440" s="146"/>
      <c r="AF440" s="146"/>
      <c r="AG440" s="146"/>
      <c r="AH440" s="146"/>
      <c r="AI440" s="146"/>
      <c r="AJ440" s="146"/>
      <c r="AK440" s="146"/>
      <c r="AL440" s="146"/>
      <c r="AM440" s="146"/>
      <c r="AN440" s="146"/>
      <c r="AO440" s="146"/>
      <c r="AP440" s="146"/>
      <c r="AQ440" s="146"/>
      <c r="AR440" s="146"/>
      <c r="AS440" s="146"/>
      <c r="AT440" s="146"/>
      <c r="AU440" s="146"/>
      <c r="AV440" s="146"/>
      <c r="AW440" s="146"/>
      <c r="AX440" s="146"/>
      <c r="AY440" s="146"/>
      <c r="AZ440" s="146"/>
      <c r="BA440" s="146"/>
      <c r="BB440" s="146"/>
      <c r="BC440" s="146"/>
      <c r="BD440" s="146"/>
      <c r="BE440" s="146"/>
      <c r="BF440" s="146"/>
      <c r="BG440" s="146"/>
      <c r="BH440" s="146"/>
      <c r="BI440" s="146"/>
      <c r="BJ440" s="146"/>
      <c r="BK440" s="146"/>
      <c r="BL440" s="146"/>
      <c r="BM440" s="146"/>
      <c r="BN440" s="146"/>
      <c r="BO440" s="146"/>
      <c r="BP440" s="146"/>
      <c r="BQ440" s="146"/>
      <c r="BR440" s="146"/>
    </row>
    <row r="441" spans="2:70" ht="15.75" hidden="1">
      <c r="B441" s="146"/>
      <c r="C441" s="146"/>
      <c r="D441" s="146"/>
      <c r="E441" s="146"/>
      <c r="F441" s="146"/>
      <c r="G441" s="146"/>
      <c r="H441" s="146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  <c r="AD441" s="146"/>
      <c r="AE441" s="146"/>
      <c r="AF441" s="146"/>
      <c r="AG441" s="146"/>
      <c r="AH441" s="146"/>
      <c r="AI441" s="146"/>
      <c r="AJ441" s="146"/>
      <c r="AK441" s="146"/>
      <c r="AL441" s="146"/>
      <c r="AM441" s="146"/>
      <c r="AN441" s="146"/>
      <c r="AO441" s="146"/>
      <c r="AP441" s="146"/>
      <c r="AQ441" s="146"/>
      <c r="AR441" s="146"/>
      <c r="AS441" s="146"/>
      <c r="AT441" s="146"/>
      <c r="AU441" s="146"/>
      <c r="AV441" s="146"/>
      <c r="AW441" s="146"/>
      <c r="AX441" s="146"/>
      <c r="AY441" s="146"/>
      <c r="AZ441" s="146"/>
      <c r="BA441" s="146"/>
      <c r="BB441" s="146"/>
      <c r="BC441" s="146"/>
      <c r="BD441" s="146"/>
      <c r="BE441" s="146"/>
      <c r="BF441" s="146"/>
      <c r="BG441" s="146"/>
      <c r="BH441" s="146"/>
      <c r="BI441" s="146"/>
      <c r="BJ441" s="146"/>
      <c r="BK441" s="146"/>
      <c r="BL441" s="146"/>
      <c r="BM441" s="146"/>
      <c r="BN441" s="146"/>
      <c r="BO441" s="146"/>
      <c r="BP441" s="146"/>
      <c r="BQ441" s="146"/>
      <c r="BR441" s="146"/>
    </row>
    <row r="442" spans="2:70" ht="15.75" hidden="1">
      <c r="B442" s="146"/>
      <c r="C442" s="146"/>
      <c r="D442" s="146"/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  <c r="AD442" s="146"/>
      <c r="AE442" s="146"/>
      <c r="AF442" s="146"/>
      <c r="AG442" s="146"/>
      <c r="AH442" s="146"/>
      <c r="AI442" s="146"/>
      <c r="AJ442" s="146"/>
      <c r="AK442" s="146"/>
      <c r="AL442" s="146"/>
      <c r="AM442" s="146"/>
      <c r="AN442" s="146"/>
      <c r="AO442" s="146"/>
      <c r="AP442" s="146"/>
      <c r="AQ442" s="146"/>
      <c r="AR442" s="146"/>
      <c r="AS442" s="146"/>
      <c r="AT442" s="146"/>
      <c r="AU442" s="146"/>
      <c r="AV442" s="146"/>
      <c r="AW442" s="146"/>
      <c r="AX442" s="146"/>
      <c r="AY442" s="146"/>
      <c r="AZ442" s="146"/>
      <c r="BA442" s="146"/>
      <c r="BB442" s="146"/>
      <c r="BC442" s="146"/>
      <c r="BD442" s="146"/>
      <c r="BE442" s="146"/>
      <c r="BF442" s="146"/>
      <c r="BG442" s="146"/>
      <c r="BH442" s="146"/>
      <c r="BI442" s="146"/>
      <c r="BJ442" s="146"/>
      <c r="BK442" s="146"/>
      <c r="BL442" s="146"/>
      <c r="BM442" s="146"/>
      <c r="BN442" s="146"/>
      <c r="BO442" s="146"/>
      <c r="BP442" s="146"/>
      <c r="BQ442" s="146"/>
      <c r="BR442" s="146"/>
    </row>
    <row r="443" spans="2:70" ht="15.75" hidden="1">
      <c r="B443" s="146"/>
      <c r="C443" s="146"/>
      <c r="D443" s="146"/>
      <c r="E443" s="146"/>
      <c r="F443" s="146"/>
      <c r="G443" s="146"/>
      <c r="H443" s="146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  <c r="AD443" s="146"/>
      <c r="AE443" s="146"/>
      <c r="AF443" s="146"/>
      <c r="AG443" s="146"/>
      <c r="AH443" s="146"/>
      <c r="AI443" s="146"/>
      <c r="AJ443" s="146"/>
      <c r="AK443" s="146"/>
      <c r="AL443" s="146"/>
      <c r="AM443" s="146"/>
      <c r="AN443" s="146"/>
      <c r="AO443" s="146"/>
      <c r="AP443" s="146"/>
      <c r="AQ443" s="146"/>
      <c r="AR443" s="146"/>
      <c r="AS443" s="146"/>
      <c r="AT443" s="146"/>
      <c r="AU443" s="146"/>
      <c r="AV443" s="146"/>
      <c r="AW443" s="146"/>
      <c r="AX443" s="146"/>
      <c r="AY443" s="146"/>
      <c r="AZ443" s="146"/>
      <c r="BA443" s="146"/>
      <c r="BB443" s="146"/>
      <c r="BC443" s="146"/>
      <c r="BD443" s="146"/>
      <c r="BE443" s="146"/>
      <c r="BF443" s="146"/>
      <c r="BG443" s="146"/>
      <c r="BH443" s="146"/>
      <c r="BI443" s="146"/>
      <c r="BJ443" s="146"/>
      <c r="BK443" s="146"/>
      <c r="BL443" s="146"/>
      <c r="BM443" s="146"/>
      <c r="BN443" s="146"/>
      <c r="BO443" s="146"/>
      <c r="BP443" s="146"/>
      <c r="BQ443" s="146"/>
      <c r="BR443" s="146"/>
    </row>
    <row r="444" spans="2:70" ht="15.75" hidden="1">
      <c r="B444" s="146"/>
      <c r="C444" s="146"/>
      <c r="D444" s="146"/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  <c r="AD444" s="146"/>
      <c r="AE444" s="146"/>
      <c r="AF444" s="146"/>
      <c r="AG444" s="146"/>
      <c r="AH444" s="146"/>
      <c r="AI444" s="146"/>
      <c r="AJ444" s="146"/>
      <c r="AK444" s="146"/>
      <c r="AL444" s="146"/>
      <c r="AM444" s="146"/>
      <c r="AN444" s="146"/>
      <c r="AO444" s="146"/>
      <c r="AP444" s="146"/>
      <c r="AQ444" s="146"/>
      <c r="AR444" s="146"/>
      <c r="AS444" s="146"/>
      <c r="AT444" s="146"/>
      <c r="AU444" s="146"/>
      <c r="AV444" s="146"/>
      <c r="AW444" s="146"/>
      <c r="AX444" s="146"/>
      <c r="AY444" s="146"/>
      <c r="AZ444" s="146"/>
      <c r="BA444" s="146"/>
      <c r="BB444" s="146"/>
      <c r="BC444" s="146"/>
      <c r="BD444" s="146"/>
      <c r="BE444" s="146"/>
      <c r="BF444" s="146"/>
      <c r="BG444" s="146"/>
      <c r="BH444" s="146"/>
      <c r="BI444" s="146"/>
      <c r="BJ444" s="146"/>
      <c r="BK444" s="146"/>
      <c r="BL444" s="146"/>
      <c r="BM444" s="146"/>
      <c r="BN444" s="146"/>
      <c r="BO444" s="146"/>
      <c r="BP444" s="146"/>
      <c r="BQ444" s="146"/>
      <c r="BR444" s="146"/>
    </row>
    <row r="445" spans="2:70" ht="15.75" hidden="1">
      <c r="B445" s="146"/>
      <c r="C445" s="146"/>
      <c r="D445" s="146"/>
      <c r="E445" s="146"/>
      <c r="F445" s="146"/>
      <c r="G445" s="146"/>
      <c r="H445" s="146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  <c r="AD445" s="146"/>
      <c r="AE445" s="146"/>
      <c r="AF445" s="146"/>
      <c r="AG445" s="146"/>
      <c r="AH445" s="146"/>
      <c r="AI445" s="146"/>
      <c r="AJ445" s="146"/>
      <c r="AK445" s="146"/>
      <c r="AL445" s="146"/>
      <c r="AM445" s="146"/>
      <c r="AN445" s="146"/>
      <c r="AO445" s="146"/>
      <c r="AP445" s="146"/>
      <c r="AQ445" s="146"/>
      <c r="AR445" s="146"/>
      <c r="AS445" s="146"/>
      <c r="AT445" s="146"/>
      <c r="AU445" s="146"/>
      <c r="AV445" s="146"/>
      <c r="AW445" s="146"/>
      <c r="AX445" s="146"/>
      <c r="AY445" s="146"/>
      <c r="AZ445" s="146"/>
      <c r="BA445" s="146"/>
      <c r="BB445" s="146"/>
      <c r="BC445" s="146"/>
      <c r="BD445" s="146"/>
      <c r="BE445" s="146"/>
      <c r="BF445" s="146"/>
      <c r="BG445" s="146"/>
      <c r="BH445" s="146"/>
      <c r="BI445" s="146"/>
      <c r="BJ445" s="146"/>
      <c r="BK445" s="146"/>
      <c r="BL445" s="146"/>
      <c r="BM445" s="146"/>
      <c r="BN445" s="146"/>
      <c r="BO445" s="146"/>
      <c r="BP445" s="146"/>
      <c r="BQ445" s="146"/>
      <c r="BR445" s="146"/>
    </row>
    <row r="446" spans="2:70" ht="15.75" hidden="1">
      <c r="B446" s="146"/>
      <c r="C446" s="146"/>
      <c r="D446" s="146"/>
      <c r="E446" s="146"/>
      <c r="F446" s="146"/>
      <c r="G446" s="146"/>
      <c r="H446" s="146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  <c r="AD446" s="146"/>
      <c r="AE446" s="146"/>
      <c r="AF446" s="146"/>
      <c r="AG446" s="146"/>
      <c r="AH446" s="146"/>
      <c r="AI446" s="146"/>
      <c r="AJ446" s="146"/>
      <c r="AK446" s="146"/>
      <c r="AL446" s="146"/>
      <c r="AM446" s="146"/>
      <c r="AN446" s="146"/>
      <c r="AO446" s="146"/>
      <c r="AP446" s="146"/>
      <c r="AQ446" s="146"/>
      <c r="AR446" s="146"/>
      <c r="AS446" s="146"/>
      <c r="AT446" s="146"/>
      <c r="AU446" s="146"/>
      <c r="AV446" s="146"/>
      <c r="AW446" s="146"/>
      <c r="AX446" s="146"/>
      <c r="AY446" s="146"/>
      <c r="AZ446" s="146"/>
      <c r="BA446" s="146"/>
      <c r="BB446" s="146"/>
      <c r="BC446" s="146"/>
      <c r="BD446" s="146"/>
      <c r="BE446" s="146"/>
      <c r="BF446" s="146"/>
      <c r="BG446" s="146"/>
      <c r="BH446" s="146"/>
      <c r="BI446" s="146"/>
      <c r="BJ446" s="146"/>
      <c r="BK446" s="146"/>
      <c r="BL446" s="146"/>
      <c r="BM446" s="146"/>
      <c r="BN446" s="146"/>
      <c r="BO446" s="146"/>
      <c r="BP446" s="146"/>
      <c r="BQ446" s="146"/>
      <c r="BR446" s="146"/>
    </row>
    <row r="447" spans="2:70" ht="15.75" hidden="1">
      <c r="B447" s="146"/>
      <c r="C447" s="146"/>
      <c r="D447" s="146"/>
      <c r="E447" s="146"/>
      <c r="F447" s="146"/>
      <c r="G447" s="146"/>
      <c r="H447" s="146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  <c r="AD447" s="146"/>
      <c r="AE447" s="146"/>
      <c r="AF447" s="146"/>
      <c r="AG447" s="146"/>
      <c r="AH447" s="146"/>
      <c r="AI447" s="146"/>
      <c r="AJ447" s="146"/>
      <c r="AK447" s="146"/>
      <c r="AL447" s="146"/>
      <c r="AM447" s="146"/>
      <c r="AN447" s="146"/>
      <c r="AO447" s="146"/>
      <c r="AP447" s="146"/>
      <c r="AQ447" s="146"/>
      <c r="AR447" s="146"/>
      <c r="AS447" s="146"/>
      <c r="AT447" s="146"/>
      <c r="AU447" s="146"/>
      <c r="AV447" s="146"/>
      <c r="AW447" s="146"/>
      <c r="AX447" s="146"/>
      <c r="AY447" s="146"/>
      <c r="AZ447" s="146"/>
      <c r="BA447" s="146"/>
      <c r="BB447" s="146"/>
      <c r="BC447" s="146"/>
      <c r="BD447" s="146"/>
      <c r="BE447" s="146"/>
      <c r="BF447" s="146"/>
      <c r="BG447" s="146"/>
      <c r="BH447" s="146"/>
      <c r="BI447" s="146"/>
      <c r="BJ447" s="146"/>
      <c r="BK447" s="146"/>
      <c r="BL447" s="146"/>
      <c r="BM447" s="146"/>
      <c r="BN447" s="146"/>
      <c r="BO447" s="146"/>
      <c r="BP447" s="146"/>
      <c r="BQ447" s="146"/>
      <c r="BR447" s="146"/>
    </row>
    <row r="448" spans="2:70" ht="15.75" hidden="1">
      <c r="B448" s="146"/>
      <c r="C448" s="146"/>
      <c r="D448" s="146"/>
      <c r="E448" s="146"/>
      <c r="F448" s="146"/>
      <c r="G448" s="146"/>
      <c r="H448" s="146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  <c r="AD448" s="146"/>
      <c r="AE448" s="146"/>
      <c r="AF448" s="146"/>
      <c r="AG448" s="146"/>
      <c r="AH448" s="146"/>
      <c r="AI448" s="146"/>
      <c r="AJ448" s="146"/>
      <c r="AK448" s="146"/>
      <c r="AL448" s="146"/>
      <c r="AM448" s="146"/>
      <c r="AN448" s="146"/>
      <c r="AO448" s="146"/>
      <c r="AP448" s="146"/>
      <c r="AQ448" s="146"/>
      <c r="AR448" s="146"/>
      <c r="AS448" s="146"/>
      <c r="AT448" s="146"/>
      <c r="AU448" s="146"/>
      <c r="AV448" s="146"/>
      <c r="AW448" s="146"/>
      <c r="AX448" s="146"/>
      <c r="AY448" s="146"/>
      <c r="AZ448" s="146"/>
      <c r="BA448" s="146"/>
      <c r="BB448" s="146"/>
      <c r="BC448" s="146"/>
      <c r="BD448" s="146"/>
      <c r="BE448" s="146"/>
      <c r="BF448" s="146"/>
      <c r="BG448" s="146"/>
      <c r="BH448" s="146"/>
      <c r="BI448" s="146"/>
      <c r="BJ448" s="146"/>
      <c r="BK448" s="146"/>
      <c r="BL448" s="146"/>
      <c r="BM448" s="146"/>
      <c r="BN448" s="146"/>
      <c r="BO448" s="146"/>
      <c r="BP448" s="146"/>
      <c r="BQ448" s="146"/>
      <c r="BR448" s="146"/>
    </row>
    <row r="449" spans="2:70" ht="15.75" hidden="1">
      <c r="B449" s="146"/>
      <c r="C449" s="146"/>
      <c r="D449" s="146"/>
      <c r="E449" s="146"/>
      <c r="F449" s="146"/>
      <c r="G449" s="146"/>
      <c r="H449" s="146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  <c r="AD449" s="146"/>
      <c r="AE449" s="146"/>
      <c r="AF449" s="146"/>
      <c r="AG449" s="146"/>
      <c r="AH449" s="146"/>
      <c r="AI449" s="146"/>
      <c r="AJ449" s="146"/>
      <c r="AK449" s="146"/>
      <c r="AL449" s="146"/>
      <c r="AM449" s="146"/>
      <c r="AN449" s="146"/>
      <c r="AO449" s="146"/>
      <c r="AP449" s="146"/>
      <c r="AQ449" s="146"/>
      <c r="AR449" s="146"/>
      <c r="AS449" s="146"/>
      <c r="AT449" s="146"/>
      <c r="AU449" s="146"/>
      <c r="AV449" s="146"/>
      <c r="AW449" s="146"/>
      <c r="AX449" s="146"/>
      <c r="AY449" s="146"/>
      <c r="AZ449" s="146"/>
      <c r="BA449" s="146"/>
      <c r="BB449" s="146"/>
      <c r="BC449" s="146"/>
      <c r="BD449" s="146"/>
      <c r="BE449" s="146"/>
      <c r="BF449" s="146"/>
      <c r="BG449" s="146"/>
      <c r="BH449" s="146"/>
      <c r="BI449" s="146"/>
      <c r="BJ449" s="146"/>
      <c r="BK449" s="146"/>
      <c r="BL449" s="146"/>
      <c r="BM449" s="146"/>
      <c r="BN449" s="146"/>
      <c r="BO449" s="146"/>
      <c r="BP449" s="146"/>
      <c r="BQ449" s="146"/>
      <c r="BR449" s="146"/>
    </row>
    <row r="450" spans="2:70" ht="15.75" hidden="1">
      <c r="B450" s="146"/>
      <c r="C450" s="146"/>
      <c r="D450" s="146"/>
      <c r="E450" s="146"/>
      <c r="F450" s="146"/>
      <c r="G450" s="146"/>
      <c r="H450" s="146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  <c r="AD450" s="146"/>
      <c r="AE450" s="146"/>
      <c r="AF450" s="146"/>
      <c r="AG450" s="146"/>
      <c r="AH450" s="146"/>
      <c r="AI450" s="146"/>
      <c r="AJ450" s="146"/>
      <c r="AK450" s="146"/>
      <c r="AL450" s="146"/>
      <c r="AM450" s="146"/>
      <c r="AN450" s="146"/>
      <c r="AO450" s="146"/>
      <c r="AP450" s="146"/>
      <c r="AQ450" s="146"/>
      <c r="AR450" s="146"/>
      <c r="AS450" s="146"/>
      <c r="AT450" s="146"/>
      <c r="AU450" s="146"/>
      <c r="AV450" s="146"/>
      <c r="AW450" s="146"/>
      <c r="AX450" s="146"/>
      <c r="AY450" s="146"/>
      <c r="AZ450" s="146"/>
      <c r="BA450" s="146"/>
      <c r="BB450" s="146"/>
      <c r="BC450" s="146"/>
      <c r="BD450" s="146"/>
      <c r="BE450" s="146"/>
      <c r="BF450" s="146"/>
      <c r="BG450" s="146"/>
      <c r="BH450" s="146"/>
      <c r="BI450" s="146"/>
      <c r="BJ450" s="146"/>
      <c r="BK450" s="146"/>
      <c r="BL450" s="146"/>
      <c r="BM450" s="146"/>
      <c r="BN450" s="146"/>
      <c r="BO450" s="146"/>
      <c r="BP450" s="146"/>
      <c r="BQ450" s="146"/>
      <c r="BR450" s="146"/>
    </row>
    <row r="451" spans="2:70" ht="15.75" hidden="1">
      <c r="B451" s="146"/>
      <c r="C451" s="146"/>
      <c r="D451" s="146"/>
      <c r="E451" s="146"/>
      <c r="F451" s="146"/>
      <c r="G451" s="146"/>
      <c r="H451" s="146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  <c r="AD451" s="146"/>
      <c r="AE451" s="146"/>
      <c r="AF451" s="146"/>
      <c r="AG451" s="146"/>
      <c r="AH451" s="146"/>
      <c r="AI451" s="146"/>
      <c r="AJ451" s="146"/>
      <c r="AK451" s="146"/>
      <c r="AL451" s="146"/>
      <c r="AM451" s="146"/>
      <c r="AN451" s="146"/>
      <c r="AO451" s="146"/>
      <c r="AP451" s="146"/>
      <c r="AQ451" s="146"/>
      <c r="AR451" s="146"/>
      <c r="AS451" s="146"/>
      <c r="AT451" s="146"/>
      <c r="AU451" s="146"/>
      <c r="AV451" s="146"/>
      <c r="AW451" s="146"/>
      <c r="AX451" s="146"/>
      <c r="AY451" s="146"/>
      <c r="AZ451" s="146"/>
      <c r="BA451" s="146"/>
      <c r="BB451" s="146"/>
      <c r="BC451" s="146"/>
      <c r="BD451" s="146"/>
      <c r="BE451" s="146"/>
      <c r="BF451" s="146"/>
      <c r="BG451" s="146"/>
      <c r="BH451" s="146"/>
      <c r="BI451" s="146"/>
      <c r="BJ451" s="146"/>
      <c r="BK451" s="146"/>
      <c r="BL451" s="146"/>
      <c r="BM451" s="146"/>
      <c r="BN451" s="146"/>
      <c r="BO451" s="146"/>
      <c r="BP451" s="146"/>
      <c r="BQ451" s="146"/>
      <c r="BR451" s="146"/>
    </row>
    <row r="452" spans="2:70" ht="15.75" hidden="1">
      <c r="B452" s="146"/>
      <c r="C452" s="146"/>
      <c r="D452" s="146"/>
      <c r="E452" s="146"/>
      <c r="F452" s="146"/>
      <c r="G452" s="146"/>
      <c r="H452" s="146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  <c r="AD452" s="146"/>
      <c r="AE452" s="146"/>
      <c r="AF452" s="146"/>
      <c r="AG452" s="146"/>
      <c r="AH452" s="146"/>
      <c r="AI452" s="146"/>
      <c r="AJ452" s="146"/>
      <c r="AK452" s="146"/>
      <c r="AL452" s="146"/>
      <c r="AM452" s="146"/>
      <c r="AN452" s="146"/>
      <c r="AO452" s="146"/>
      <c r="AP452" s="146"/>
      <c r="AQ452" s="146"/>
      <c r="AR452" s="146"/>
      <c r="AS452" s="146"/>
      <c r="AT452" s="146"/>
      <c r="AU452" s="146"/>
      <c r="AV452" s="146"/>
      <c r="AW452" s="146"/>
      <c r="AX452" s="146"/>
      <c r="AY452" s="146"/>
      <c r="AZ452" s="146"/>
      <c r="BA452" s="146"/>
      <c r="BB452" s="146"/>
      <c r="BC452" s="146"/>
      <c r="BD452" s="146"/>
      <c r="BE452" s="146"/>
      <c r="BF452" s="146"/>
      <c r="BG452" s="146"/>
      <c r="BH452" s="146"/>
      <c r="BI452" s="146"/>
      <c r="BJ452" s="146"/>
      <c r="BK452" s="146"/>
      <c r="BL452" s="146"/>
      <c r="BM452" s="146"/>
      <c r="BN452" s="146"/>
      <c r="BO452" s="146"/>
      <c r="BP452" s="146"/>
      <c r="BQ452" s="146"/>
      <c r="BR452" s="146"/>
    </row>
    <row r="453" spans="2:70" ht="15.75" hidden="1">
      <c r="B453" s="146"/>
      <c r="C453" s="146"/>
      <c r="D453" s="146"/>
      <c r="E453" s="146"/>
      <c r="F453" s="146"/>
      <c r="G453" s="146"/>
      <c r="H453" s="146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  <c r="AD453" s="146"/>
      <c r="AE453" s="146"/>
      <c r="AF453" s="146"/>
      <c r="AG453" s="146"/>
      <c r="AH453" s="146"/>
      <c r="AI453" s="146"/>
      <c r="AJ453" s="146"/>
      <c r="AK453" s="146"/>
      <c r="AL453" s="146"/>
      <c r="AM453" s="146"/>
      <c r="AN453" s="146"/>
      <c r="AO453" s="146"/>
      <c r="AP453" s="146"/>
      <c r="AQ453" s="146"/>
      <c r="AR453" s="146"/>
      <c r="AS453" s="146"/>
      <c r="AT453" s="146"/>
      <c r="AU453" s="146"/>
      <c r="AV453" s="146"/>
      <c r="AW453" s="146"/>
      <c r="AX453" s="146"/>
      <c r="AY453" s="146"/>
      <c r="AZ453" s="146"/>
      <c r="BA453" s="146"/>
      <c r="BB453" s="146"/>
      <c r="BC453" s="146"/>
      <c r="BD453" s="146"/>
      <c r="BE453" s="146"/>
      <c r="BF453" s="146"/>
      <c r="BG453" s="146"/>
      <c r="BH453" s="146"/>
      <c r="BI453" s="146"/>
      <c r="BJ453" s="146"/>
      <c r="BK453" s="146"/>
      <c r="BL453" s="146"/>
      <c r="BM453" s="146"/>
      <c r="BN453" s="146"/>
      <c r="BO453" s="146"/>
      <c r="BP453" s="146"/>
      <c r="BQ453" s="146"/>
      <c r="BR453" s="146"/>
    </row>
    <row r="454" spans="2:70" ht="15.75" hidden="1">
      <c r="B454" s="146"/>
      <c r="C454" s="146"/>
      <c r="D454" s="146"/>
      <c r="E454" s="146"/>
      <c r="F454" s="146"/>
      <c r="G454" s="146"/>
      <c r="H454" s="146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  <c r="AD454" s="146"/>
      <c r="AE454" s="146"/>
      <c r="AF454" s="146"/>
      <c r="AG454" s="146"/>
      <c r="AH454" s="146"/>
      <c r="AI454" s="146"/>
      <c r="AJ454" s="146"/>
      <c r="AK454" s="146"/>
      <c r="AL454" s="146"/>
      <c r="AM454" s="146"/>
      <c r="AN454" s="146"/>
      <c r="AO454" s="146"/>
      <c r="AP454" s="146"/>
      <c r="AQ454" s="146"/>
      <c r="AR454" s="146"/>
      <c r="AS454" s="146"/>
      <c r="AT454" s="146"/>
      <c r="AU454" s="146"/>
      <c r="AV454" s="146"/>
      <c r="AW454" s="146"/>
      <c r="AX454" s="146"/>
      <c r="AY454" s="146"/>
      <c r="AZ454" s="146"/>
      <c r="BA454" s="146"/>
      <c r="BB454" s="146"/>
      <c r="BC454" s="146"/>
      <c r="BD454" s="146"/>
      <c r="BE454" s="146"/>
      <c r="BF454" s="146"/>
      <c r="BG454" s="146"/>
      <c r="BH454" s="146"/>
      <c r="BI454" s="146"/>
      <c r="BJ454" s="146"/>
      <c r="BK454" s="146"/>
      <c r="BL454" s="146"/>
      <c r="BM454" s="146"/>
      <c r="BN454" s="146"/>
      <c r="BO454" s="146"/>
      <c r="BP454" s="146"/>
      <c r="BQ454" s="146"/>
      <c r="BR454" s="146"/>
    </row>
    <row r="455" spans="2:70" ht="15.75" hidden="1">
      <c r="B455" s="146"/>
      <c r="C455" s="146"/>
      <c r="D455" s="146"/>
      <c r="E455" s="146"/>
      <c r="F455" s="146"/>
      <c r="G455" s="146"/>
      <c r="H455" s="146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  <c r="AD455" s="146"/>
      <c r="AE455" s="146"/>
      <c r="AF455" s="146"/>
      <c r="AG455" s="146"/>
      <c r="AH455" s="146"/>
      <c r="AI455" s="146"/>
      <c r="AJ455" s="146"/>
      <c r="AK455" s="146"/>
      <c r="AL455" s="146"/>
      <c r="AM455" s="146"/>
      <c r="AN455" s="146"/>
      <c r="AO455" s="146"/>
      <c r="AP455" s="146"/>
      <c r="AQ455" s="146"/>
      <c r="AR455" s="146"/>
      <c r="AS455" s="146"/>
      <c r="AT455" s="146"/>
      <c r="AU455" s="146"/>
      <c r="AV455" s="146"/>
      <c r="AW455" s="146"/>
      <c r="AX455" s="146"/>
      <c r="AY455" s="146"/>
      <c r="AZ455" s="146"/>
      <c r="BA455" s="146"/>
      <c r="BB455" s="146"/>
      <c r="BC455" s="146"/>
      <c r="BD455" s="146"/>
      <c r="BE455" s="146"/>
      <c r="BF455" s="146"/>
      <c r="BG455" s="146"/>
      <c r="BH455" s="146"/>
      <c r="BI455" s="146"/>
      <c r="BJ455" s="146"/>
      <c r="BK455" s="146"/>
      <c r="BL455" s="146"/>
      <c r="BM455" s="146"/>
      <c r="BN455" s="146"/>
      <c r="BO455" s="146"/>
      <c r="BP455" s="146"/>
      <c r="BQ455" s="146"/>
      <c r="BR455" s="146"/>
    </row>
    <row r="456" spans="2:70" ht="15.75" hidden="1">
      <c r="B456" s="146"/>
      <c r="C456" s="146"/>
      <c r="D456" s="146"/>
      <c r="E456" s="146"/>
      <c r="F456" s="146"/>
      <c r="G456" s="146"/>
      <c r="H456" s="146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  <c r="AD456" s="146"/>
      <c r="AE456" s="146"/>
      <c r="AF456" s="146"/>
      <c r="AG456" s="146"/>
      <c r="AH456" s="146"/>
      <c r="AI456" s="146"/>
      <c r="AJ456" s="146"/>
      <c r="AK456" s="146"/>
      <c r="AL456" s="146"/>
      <c r="AM456" s="146"/>
      <c r="AN456" s="146"/>
      <c r="AO456" s="146"/>
      <c r="AP456" s="146"/>
      <c r="AQ456" s="146"/>
      <c r="AR456" s="146"/>
      <c r="AS456" s="146"/>
      <c r="AT456" s="146"/>
      <c r="AU456" s="146"/>
      <c r="AV456" s="146"/>
      <c r="AW456" s="146"/>
      <c r="AX456" s="146"/>
      <c r="AY456" s="146"/>
      <c r="AZ456" s="146"/>
      <c r="BA456" s="146"/>
      <c r="BB456" s="146"/>
      <c r="BC456" s="146"/>
      <c r="BD456" s="146"/>
      <c r="BE456" s="146"/>
      <c r="BF456" s="146"/>
      <c r="BG456" s="146"/>
      <c r="BH456" s="146"/>
      <c r="BI456" s="146"/>
      <c r="BJ456" s="146"/>
      <c r="BK456" s="146"/>
      <c r="BL456" s="146"/>
      <c r="BM456" s="146"/>
      <c r="BN456" s="146"/>
      <c r="BO456" s="146"/>
      <c r="BP456" s="146"/>
      <c r="BQ456" s="146"/>
      <c r="BR456" s="146"/>
    </row>
    <row r="457" spans="2:70" ht="15.75" hidden="1">
      <c r="B457" s="146"/>
      <c r="C457" s="146"/>
      <c r="D457" s="146"/>
      <c r="E457" s="146"/>
      <c r="F457" s="146"/>
      <c r="G457" s="146"/>
      <c r="H457" s="146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  <c r="AD457" s="146"/>
      <c r="AE457" s="146"/>
      <c r="AF457" s="146"/>
      <c r="AG457" s="146"/>
      <c r="AH457" s="146"/>
      <c r="AI457" s="146"/>
      <c r="AJ457" s="146"/>
      <c r="AK457" s="146"/>
      <c r="AL457" s="146"/>
      <c r="AM457" s="146"/>
      <c r="AN457" s="146"/>
      <c r="AO457" s="146"/>
      <c r="AP457" s="146"/>
      <c r="AQ457" s="146"/>
      <c r="AR457" s="146"/>
      <c r="AS457" s="146"/>
      <c r="AT457" s="146"/>
      <c r="AU457" s="146"/>
      <c r="AV457" s="146"/>
      <c r="AW457" s="146"/>
      <c r="AX457" s="146"/>
      <c r="AY457" s="146"/>
      <c r="AZ457" s="146"/>
      <c r="BA457" s="146"/>
      <c r="BB457" s="146"/>
      <c r="BC457" s="146"/>
      <c r="BD457" s="146"/>
      <c r="BE457" s="146"/>
      <c r="BF457" s="146"/>
      <c r="BG457" s="146"/>
      <c r="BH457" s="146"/>
      <c r="BI457" s="146"/>
      <c r="BJ457" s="146"/>
      <c r="BK457" s="146"/>
      <c r="BL457" s="146"/>
      <c r="BM457" s="146"/>
      <c r="BN457" s="146"/>
      <c r="BO457" s="146"/>
      <c r="BP457" s="146"/>
      <c r="BQ457" s="146"/>
      <c r="BR457" s="146"/>
    </row>
    <row r="458" spans="2:70" ht="15.75" hidden="1">
      <c r="B458" s="146"/>
      <c r="C458" s="146"/>
      <c r="D458" s="146"/>
      <c r="E458" s="146"/>
      <c r="F458" s="146"/>
      <c r="G458" s="146"/>
      <c r="H458" s="146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  <c r="AD458" s="146"/>
      <c r="AE458" s="146"/>
      <c r="AF458" s="146"/>
      <c r="AG458" s="146"/>
      <c r="AH458" s="146"/>
      <c r="AI458" s="146"/>
      <c r="AJ458" s="146"/>
      <c r="AK458" s="146"/>
      <c r="AL458" s="146"/>
      <c r="AM458" s="146"/>
      <c r="AN458" s="146"/>
      <c r="AO458" s="146"/>
      <c r="AP458" s="146"/>
      <c r="AQ458" s="146"/>
      <c r="AR458" s="146"/>
      <c r="AS458" s="146"/>
      <c r="AT458" s="146"/>
      <c r="AU458" s="146"/>
      <c r="AV458" s="146"/>
      <c r="AW458" s="146"/>
      <c r="AX458" s="146"/>
      <c r="AY458" s="146"/>
      <c r="AZ458" s="146"/>
      <c r="BA458" s="146"/>
      <c r="BB458" s="146"/>
      <c r="BC458" s="146"/>
      <c r="BD458" s="146"/>
      <c r="BE458" s="146"/>
      <c r="BF458" s="146"/>
      <c r="BG458" s="146"/>
      <c r="BH458" s="146"/>
      <c r="BI458" s="146"/>
      <c r="BJ458" s="146"/>
      <c r="BK458" s="146"/>
      <c r="BL458" s="146"/>
      <c r="BM458" s="146"/>
      <c r="BN458" s="146"/>
      <c r="BO458" s="146"/>
      <c r="BP458" s="146"/>
      <c r="BQ458" s="146"/>
      <c r="BR458" s="146"/>
    </row>
    <row r="459" spans="2:70" ht="15.75" hidden="1">
      <c r="B459" s="146"/>
      <c r="C459" s="146"/>
      <c r="D459" s="146"/>
      <c r="E459" s="146"/>
      <c r="F459" s="146"/>
      <c r="G459" s="146"/>
      <c r="H459" s="146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  <c r="AD459" s="146"/>
      <c r="AE459" s="146"/>
      <c r="AF459" s="146"/>
      <c r="AG459" s="146"/>
      <c r="AH459" s="146"/>
      <c r="AI459" s="146"/>
      <c r="AJ459" s="146"/>
      <c r="AK459" s="146"/>
      <c r="AL459" s="146"/>
      <c r="AM459" s="146"/>
      <c r="AN459" s="146"/>
      <c r="AO459" s="146"/>
      <c r="AP459" s="146"/>
      <c r="AQ459" s="146"/>
      <c r="AR459" s="146"/>
      <c r="AS459" s="146"/>
      <c r="AT459" s="146"/>
      <c r="AU459" s="146"/>
      <c r="AV459" s="146"/>
      <c r="AW459" s="146"/>
      <c r="AX459" s="146"/>
      <c r="AY459" s="146"/>
      <c r="AZ459" s="146"/>
      <c r="BA459" s="146"/>
      <c r="BB459" s="146"/>
      <c r="BC459" s="146"/>
      <c r="BD459" s="146"/>
      <c r="BE459" s="146"/>
      <c r="BF459" s="146"/>
      <c r="BG459" s="146"/>
      <c r="BH459" s="146"/>
      <c r="BI459" s="146"/>
      <c r="BJ459" s="146"/>
      <c r="BK459" s="146"/>
      <c r="BL459" s="146"/>
      <c r="BM459" s="146"/>
      <c r="BN459" s="146"/>
      <c r="BO459" s="146"/>
      <c r="BP459" s="146"/>
      <c r="BQ459" s="146"/>
      <c r="BR459" s="146"/>
    </row>
    <row r="460" spans="2:70" ht="15.75" hidden="1">
      <c r="B460" s="146"/>
      <c r="C460" s="146"/>
      <c r="D460" s="146"/>
      <c r="E460" s="146"/>
      <c r="F460" s="146"/>
      <c r="G460" s="146"/>
      <c r="H460" s="146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  <c r="AD460" s="146"/>
      <c r="AE460" s="146"/>
      <c r="AF460" s="146"/>
      <c r="AG460" s="146"/>
      <c r="AH460" s="146"/>
      <c r="AI460" s="146"/>
      <c r="AJ460" s="146"/>
      <c r="AK460" s="146"/>
      <c r="AL460" s="146"/>
      <c r="AM460" s="146"/>
      <c r="AN460" s="146"/>
      <c r="AO460" s="146"/>
      <c r="AP460" s="146"/>
      <c r="AQ460" s="146"/>
      <c r="AR460" s="146"/>
      <c r="AS460" s="146"/>
      <c r="AT460" s="146"/>
      <c r="AU460" s="146"/>
      <c r="AV460" s="146"/>
      <c r="AW460" s="146"/>
      <c r="AX460" s="146"/>
      <c r="AY460" s="146"/>
      <c r="AZ460" s="146"/>
      <c r="BA460" s="146"/>
      <c r="BB460" s="146"/>
      <c r="BC460" s="146"/>
      <c r="BD460" s="146"/>
      <c r="BE460" s="146"/>
      <c r="BF460" s="146"/>
      <c r="BG460" s="146"/>
      <c r="BH460" s="146"/>
      <c r="BI460" s="146"/>
      <c r="BJ460" s="146"/>
      <c r="BK460" s="146"/>
      <c r="BL460" s="146"/>
      <c r="BM460" s="146"/>
      <c r="BN460" s="146"/>
      <c r="BO460" s="146"/>
      <c r="BP460" s="146"/>
      <c r="BQ460" s="146"/>
      <c r="BR460" s="146"/>
    </row>
    <row r="461" spans="2:70" ht="15.75" hidden="1">
      <c r="B461" s="146"/>
      <c r="C461" s="146"/>
      <c r="D461" s="146"/>
      <c r="E461" s="146"/>
      <c r="F461" s="146"/>
      <c r="G461" s="146"/>
      <c r="H461" s="146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  <c r="AD461" s="146"/>
      <c r="AE461" s="146"/>
      <c r="AF461" s="146"/>
      <c r="AG461" s="146"/>
      <c r="AH461" s="146"/>
      <c r="AI461" s="146"/>
      <c r="AJ461" s="146"/>
      <c r="AK461" s="146"/>
      <c r="AL461" s="146"/>
      <c r="AM461" s="146"/>
      <c r="AN461" s="146"/>
      <c r="AO461" s="146"/>
      <c r="AP461" s="146"/>
      <c r="AQ461" s="146"/>
      <c r="AR461" s="146"/>
      <c r="AS461" s="146"/>
      <c r="AT461" s="146"/>
      <c r="AU461" s="146"/>
      <c r="AV461" s="146"/>
      <c r="AW461" s="146"/>
      <c r="AX461" s="146"/>
      <c r="AY461" s="146"/>
      <c r="AZ461" s="146"/>
      <c r="BA461" s="146"/>
      <c r="BB461" s="146"/>
      <c r="BC461" s="146"/>
      <c r="BD461" s="146"/>
      <c r="BE461" s="146"/>
      <c r="BF461" s="146"/>
      <c r="BG461" s="146"/>
      <c r="BH461" s="146"/>
      <c r="BI461" s="146"/>
      <c r="BJ461" s="146"/>
      <c r="BK461" s="146"/>
      <c r="BL461" s="146"/>
      <c r="BM461" s="146"/>
      <c r="BN461" s="146"/>
      <c r="BO461" s="146"/>
      <c r="BP461" s="146"/>
      <c r="BQ461" s="146"/>
      <c r="BR461" s="146"/>
    </row>
    <row r="462" spans="2:70" ht="15.75" hidden="1">
      <c r="B462" s="146"/>
      <c r="C462" s="146"/>
      <c r="D462" s="146"/>
      <c r="E462" s="146"/>
      <c r="F462" s="146"/>
      <c r="G462" s="146"/>
      <c r="H462" s="146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  <c r="AD462" s="146"/>
      <c r="AE462" s="146"/>
      <c r="AF462" s="146"/>
      <c r="AG462" s="146"/>
      <c r="AH462" s="146"/>
      <c r="AI462" s="146"/>
      <c r="AJ462" s="146"/>
      <c r="AK462" s="146"/>
      <c r="AL462" s="146"/>
      <c r="AM462" s="146"/>
      <c r="AN462" s="146"/>
      <c r="AO462" s="146"/>
      <c r="AP462" s="146"/>
      <c r="AQ462" s="146"/>
      <c r="AR462" s="146"/>
      <c r="AS462" s="146"/>
      <c r="AT462" s="146"/>
      <c r="AU462" s="146"/>
      <c r="AV462" s="146"/>
      <c r="AW462" s="146"/>
      <c r="AX462" s="146"/>
      <c r="AY462" s="146"/>
      <c r="AZ462" s="146"/>
      <c r="BA462" s="146"/>
      <c r="BB462" s="146"/>
      <c r="BC462" s="146"/>
      <c r="BD462" s="146"/>
      <c r="BE462" s="146"/>
      <c r="BF462" s="146"/>
      <c r="BG462" s="146"/>
      <c r="BH462" s="146"/>
      <c r="BI462" s="146"/>
      <c r="BJ462" s="146"/>
      <c r="BK462" s="146"/>
      <c r="BL462" s="146"/>
      <c r="BM462" s="146"/>
      <c r="BN462" s="146"/>
      <c r="BO462" s="146"/>
      <c r="BP462" s="146"/>
      <c r="BQ462" s="146"/>
      <c r="BR462" s="146"/>
    </row>
    <row r="463" spans="2:70" ht="15.75" hidden="1">
      <c r="B463" s="146"/>
      <c r="C463" s="146"/>
      <c r="D463" s="146"/>
      <c r="E463" s="146"/>
      <c r="F463" s="146"/>
      <c r="G463" s="146"/>
      <c r="H463" s="146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  <c r="AD463" s="146"/>
      <c r="AE463" s="146"/>
      <c r="AF463" s="146"/>
      <c r="AG463" s="146"/>
      <c r="AH463" s="146"/>
      <c r="AI463" s="146"/>
      <c r="AJ463" s="146"/>
      <c r="AK463" s="146"/>
      <c r="AL463" s="146"/>
      <c r="AM463" s="146"/>
      <c r="AN463" s="146"/>
      <c r="AO463" s="146"/>
      <c r="AP463" s="146"/>
      <c r="AQ463" s="146"/>
      <c r="AR463" s="146"/>
      <c r="AS463" s="146"/>
      <c r="AT463" s="146"/>
      <c r="AU463" s="146"/>
      <c r="AV463" s="146"/>
      <c r="AW463" s="146"/>
      <c r="AX463" s="146"/>
      <c r="AY463" s="146"/>
      <c r="AZ463" s="146"/>
      <c r="BA463" s="146"/>
      <c r="BB463" s="146"/>
      <c r="BC463" s="146"/>
      <c r="BD463" s="146"/>
      <c r="BE463" s="146"/>
      <c r="BF463" s="146"/>
      <c r="BG463" s="146"/>
      <c r="BH463" s="146"/>
      <c r="BI463" s="146"/>
      <c r="BJ463" s="146"/>
      <c r="BK463" s="146"/>
      <c r="BL463" s="146"/>
      <c r="BM463" s="146"/>
      <c r="BN463" s="146"/>
      <c r="BO463" s="146"/>
      <c r="BP463" s="146"/>
      <c r="BQ463" s="146"/>
      <c r="BR463" s="146"/>
    </row>
    <row r="464" spans="2:70" ht="15.75" hidden="1">
      <c r="B464" s="146"/>
      <c r="C464" s="146"/>
      <c r="D464" s="146"/>
      <c r="E464" s="146"/>
      <c r="F464" s="146"/>
      <c r="G464" s="146"/>
      <c r="H464" s="146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  <c r="AD464" s="146"/>
      <c r="AE464" s="146"/>
      <c r="AF464" s="146"/>
      <c r="AG464" s="146"/>
      <c r="AH464" s="146"/>
      <c r="AI464" s="146"/>
      <c r="AJ464" s="146"/>
      <c r="AK464" s="146"/>
      <c r="AL464" s="146"/>
      <c r="AM464" s="146"/>
      <c r="AN464" s="146"/>
      <c r="AO464" s="146"/>
      <c r="AP464" s="146"/>
      <c r="AQ464" s="146"/>
      <c r="AR464" s="146"/>
      <c r="AS464" s="146"/>
      <c r="AT464" s="146"/>
      <c r="AU464" s="146"/>
      <c r="AV464" s="146"/>
      <c r="AW464" s="146"/>
      <c r="AX464" s="146"/>
      <c r="AY464" s="146"/>
      <c r="AZ464" s="146"/>
      <c r="BA464" s="146"/>
      <c r="BB464" s="146"/>
      <c r="BC464" s="146"/>
      <c r="BD464" s="146"/>
      <c r="BE464" s="146"/>
      <c r="BF464" s="146"/>
      <c r="BG464" s="146"/>
      <c r="BH464" s="146"/>
      <c r="BI464" s="146"/>
      <c r="BJ464" s="146"/>
      <c r="BK464" s="146"/>
      <c r="BL464" s="146"/>
      <c r="BM464" s="146"/>
      <c r="BN464" s="146"/>
      <c r="BO464" s="146"/>
      <c r="BP464" s="146"/>
      <c r="BQ464" s="146"/>
      <c r="BR464" s="146"/>
    </row>
    <row r="465" spans="2:70" ht="15.75" hidden="1">
      <c r="B465" s="146"/>
      <c r="C465" s="146"/>
      <c r="D465" s="146"/>
      <c r="E465" s="146"/>
      <c r="F465" s="146"/>
      <c r="G465" s="146"/>
      <c r="H465" s="146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  <c r="AD465" s="146"/>
      <c r="AE465" s="146"/>
      <c r="AF465" s="146"/>
      <c r="AG465" s="146"/>
      <c r="AH465" s="146"/>
      <c r="AI465" s="146"/>
      <c r="AJ465" s="146"/>
      <c r="AK465" s="146"/>
      <c r="AL465" s="146"/>
      <c r="AM465" s="146"/>
      <c r="AN465" s="146"/>
      <c r="AO465" s="146"/>
      <c r="AP465" s="146"/>
      <c r="AQ465" s="146"/>
      <c r="AR465" s="146"/>
      <c r="AS465" s="146"/>
      <c r="AT465" s="146"/>
      <c r="AU465" s="146"/>
      <c r="AV465" s="146"/>
      <c r="AW465" s="146"/>
      <c r="AX465" s="146"/>
      <c r="AY465" s="146"/>
      <c r="AZ465" s="146"/>
      <c r="BA465" s="146"/>
      <c r="BB465" s="146"/>
      <c r="BC465" s="146"/>
      <c r="BD465" s="146"/>
      <c r="BE465" s="146"/>
      <c r="BF465" s="146"/>
      <c r="BG465" s="146"/>
      <c r="BH465" s="146"/>
      <c r="BI465" s="146"/>
      <c r="BJ465" s="146"/>
      <c r="BK465" s="146"/>
      <c r="BL465" s="146"/>
      <c r="BM465" s="146"/>
      <c r="BN465" s="146"/>
      <c r="BO465" s="146"/>
      <c r="BP465" s="146"/>
      <c r="BQ465" s="146"/>
      <c r="BR465" s="146"/>
    </row>
    <row r="466" spans="2:70" ht="15.75" hidden="1">
      <c r="B466" s="146"/>
      <c r="C466" s="146"/>
      <c r="D466" s="146"/>
      <c r="E466" s="146"/>
      <c r="F466" s="146"/>
      <c r="G466" s="146"/>
      <c r="H466" s="146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  <c r="AD466" s="146"/>
      <c r="AE466" s="146"/>
      <c r="AF466" s="146"/>
      <c r="AG466" s="146"/>
      <c r="AH466" s="146"/>
      <c r="AI466" s="146"/>
      <c r="AJ466" s="146"/>
      <c r="AK466" s="146"/>
      <c r="AL466" s="146"/>
      <c r="AM466" s="146"/>
      <c r="AN466" s="146"/>
      <c r="AO466" s="146"/>
      <c r="AP466" s="146"/>
      <c r="AQ466" s="146"/>
      <c r="AR466" s="146"/>
      <c r="AS466" s="146"/>
      <c r="AT466" s="146"/>
      <c r="AU466" s="146"/>
      <c r="AV466" s="146"/>
      <c r="AW466" s="146"/>
      <c r="AX466" s="146"/>
      <c r="AY466" s="146"/>
      <c r="AZ466" s="146"/>
      <c r="BA466" s="146"/>
      <c r="BB466" s="146"/>
      <c r="BC466" s="146"/>
      <c r="BD466" s="146"/>
      <c r="BE466" s="146"/>
      <c r="BF466" s="146"/>
      <c r="BG466" s="146"/>
      <c r="BH466" s="146"/>
      <c r="BI466" s="146"/>
      <c r="BJ466" s="146"/>
      <c r="BK466" s="146"/>
      <c r="BL466" s="146"/>
      <c r="BM466" s="146"/>
      <c r="BN466" s="146"/>
      <c r="BO466" s="146"/>
      <c r="BP466" s="146"/>
      <c r="BQ466" s="146"/>
      <c r="BR466" s="146"/>
    </row>
    <row r="467" spans="2:70" ht="15.75" hidden="1">
      <c r="B467" s="146"/>
      <c r="C467" s="146"/>
      <c r="D467" s="146"/>
      <c r="E467" s="146"/>
      <c r="F467" s="146"/>
      <c r="G467" s="146"/>
      <c r="H467" s="146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  <c r="AD467" s="146"/>
      <c r="AE467" s="146"/>
      <c r="AF467" s="146"/>
      <c r="AG467" s="146"/>
      <c r="AH467" s="146"/>
      <c r="AI467" s="146"/>
      <c r="AJ467" s="146"/>
      <c r="AK467" s="146"/>
      <c r="AL467" s="146"/>
      <c r="AM467" s="146"/>
      <c r="AN467" s="146"/>
      <c r="AO467" s="146"/>
      <c r="AP467" s="146"/>
      <c r="AQ467" s="146"/>
      <c r="AR467" s="146"/>
      <c r="AS467" s="146"/>
      <c r="AT467" s="146"/>
      <c r="AU467" s="146"/>
      <c r="AV467" s="146"/>
      <c r="AW467" s="146"/>
      <c r="AX467" s="146"/>
      <c r="AY467" s="146"/>
      <c r="AZ467" s="146"/>
      <c r="BA467" s="146"/>
      <c r="BB467" s="146"/>
      <c r="BC467" s="146"/>
      <c r="BD467" s="146"/>
      <c r="BE467" s="146"/>
      <c r="BF467" s="146"/>
      <c r="BG467" s="146"/>
      <c r="BH467" s="146"/>
      <c r="BI467" s="146"/>
      <c r="BJ467" s="146"/>
      <c r="BK467" s="146"/>
      <c r="BL467" s="146"/>
      <c r="BM467" s="146"/>
      <c r="BN467" s="146"/>
      <c r="BO467" s="146"/>
      <c r="BP467" s="146"/>
      <c r="BQ467" s="146"/>
      <c r="BR467" s="146"/>
    </row>
    <row r="468" spans="2:70" ht="15.75" hidden="1">
      <c r="B468" s="146"/>
      <c r="C468" s="146"/>
      <c r="D468" s="146"/>
      <c r="E468" s="146"/>
      <c r="F468" s="146"/>
      <c r="G468" s="146"/>
      <c r="H468" s="146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  <c r="AD468" s="146"/>
      <c r="AE468" s="146"/>
      <c r="AF468" s="146"/>
      <c r="AG468" s="146"/>
      <c r="AH468" s="146"/>
      <c r="AI468" s="146"/>
      <c r="AJ468" s="146"/>
      <c r="AK468" s="146"/>
      <c r="AL468" s="146"/>
      <c r="AM468" s="146"/>
      <c r="AN468" s="146"/>
      <c r="AO468" s="146"/>
      <c r="AP468" s="146"/>
      <c r="AQ468" s="146"/>
      <c r="AR468" s="146"/>
      <c r="AS468" s="146"/>
      <c r="AT468" s="146"/>
      <c r="AU468" s="146"/>
      <c r="AV468" s="146"/>
      <c r="AW468" s="146"/>
      <c r="AX468" s="146"/>
      <c r="AY468" s="146"/>
      <c r="AZ468" s="146"/>
      <c r="BA468" s="146"/>
      <c r="BB468" s="146"/>
      <c r="BC468" s="146"/>
      <c r="BD468" s="146"/>
      <c r="BE468" s="146"/>
      <c r="BF468" s="146"/>
      <c r="BG468" s="146"/>
      <c r="BH468" s="146"/>
      <c r="BI468" s="146"/>
      <c r="BJ468" s="146"/>
      <c r="BK468" s="146"/>
      <c r="BL468" s="146"/>
      <c r="BM468" s="146"/>
      <c r="BN468" s="146"/>
      <c r="BO468" s="146"/>
      <c r="BP468" s="146"/>
      <c r="BQ468" s="146"/>
      <c r="BR468" s="146"/>
    </row>
    <row r="469" spans="2:70" ht="15.75" hidden="1">
      <c r="B469" s="146"/>
      <c r="C469" s="146"/>
      <c r="D469" s="146"/>
      <c r="E469" s="146"/>
      <c r="F469" s="146"/>
      <c r="G469" s="146"/>
      <c r="H469" s="146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  <c r="AD469" s="146"/>
      <c r="AE469" s="146"/>
      <c r="AF469" s="146"/>
      <c r="AG469" s="146"/>
      <c r="AH469" s="146"/>
      <c r="AI469" s="146"/>
      <c r="AJ469" s="146"/>
      <c r="AK469" s="146"/>
      <c r="AL469" s="146"/>
      <c r="AM469" s="146"/>
      <c r="AN469" s="146"/>
      <c r="AO469" s="146"/>
      <c r="AP469" s="146"/>
      <c r="AQ469" s="146"/>
      <c r="AR469" s="146"/>
      <c r="AS469" s="146"/>
      <c r="AT469" s="146"/>
      <c r="AU469" s="146"/>
      <c r="AV469" s="146"/>
      <c r="AW469" s="146"/>
      <c r="AX469" s="146"/>
      <c r="AY469" s="146"/>
      <c r="AZ469" s="146"/>
      <c r="BA469" s="146"/>
      <c r="BB469" s="146"/>
      <c r="BC469" s="146"/>
      <c r="BD469" s="146"/>
      <c r="BE469" s="146"/>
      <c r="BF469" s="146"/>
      <c r="BG469" s="146"/>
      <c r="BH469" s="146"/>
      <c r="BI469" s="146"/>
      <c r="BJ469" s="146"/>
      <c r="BK469" s="146"/>
      <c r="BL469" s="146"/>
      <c r="BM469" s="146"/>
      <c r="BN469" s="146"/>
      <c r="BO469" s="146"/>
      <c r="BP469" s="146"/>
      <c r="BQ469" s="146"/>
      <c r="BR469" s="146"/>
    </row>
    <row r="470" spans="2:70" ht="15.75" hidden="1">
      <c r="B470" s="146"/>
      <c r="C470" s="146"/>
      <c r="D470" s="146"/>
      <c r="E470" s="146"/>
      <c r="F470" s="146"/>
      <c r="G470" s="146"/>
      <c r="H470" s="146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  <c r="AD470" s="146"/>
      <c r="AE470" s="146"/>
      <c r="AF470" s="146"/>
      <c r="AG470" s="146"/>
      <c r="AH470" s="146"/>
      <c r="AI470" s="146"/>
      <c r="AJ470" s="146"/>
      <c r="AK470" s="146"/>
      <c r="AL470" s="146"/>
      <c r="AM470" s="146"/>
      <c r="AN470" s="146"/>
      <c r="AO470" s="146"/>
      <c r="AP470" s="146"/>
      <c r="AQ470" s="146"/>
      <c r="AR470" s="146"/>
      <c r="AS470" s="146"/>
      <c r="AT470" s="146"/>
      <c r="AU470" s="146"/>
      <c r="AV470" s="146"/>
      <c r="AW470" s="146"/>
      <c r="AX470" s="146"/>
      <c r="AY470" s="146"/>
      <c r="AZ470" s="146"/>
      <c r="BA470" s="146"/>
      <c r="BB470" s="146"/>
      <c r="BC470" s="146"/>
      <c r="BD470" s="146"/>
      <c r="BE470" s="146"/>
      <c r="BF470" s="146"/>
      <c r="BG470" s="146"/>
      <c r="BH470" s="146"/>
      <c r="BI470" s="146"/>
      <c r="BJ470" s="146"/>
      <c r="BK470" s="146"/>
      <c r="BL470" s="146"/>
      <c r="BM470" s="146"/>
      <c r="BN470" s="146"/>
      <c r="BO470" s="146"/>
      <c r="BP470" s="146"/>
      <c r="BQ470" s="146"/>
      <c r="BR470" s="146"/>
    </row>
    <row r="471" spans="2:70" ht="15.75" hidden="1">
      <c r="B471" s="146"/>
      <c r="C471" s="146"/>
      <c r="D471" s="146"/>
      <c r="E471" s="146"/>
      <c r="F471" s="146"/>
      <c r="G471" s="146"/>
      <c r="H471" s="146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  <c r="AD471" s="146"/>
      <c r="AE471" s="146"/>
      <c r="AF471" s="146"/>
      <c r="AG471" s="146"/>
      <c r="AH471" s="146"/>
      <c r="AI471" s="146"/>
      <c r="AJ471" s="146"/>
      <c r="AK471" s="146"/>
      <c r="AL471" s="146"/>
      <c r="AM471" s="146"/>
      <c r="AN471" s="146"/>
      <c r="AO471" s="146"/>
      <c r="AP471" s="146"/>
      <c r="AQ471" s="146"/>
      <c r="AR471" s="146"/>
      <c r="AS471" s="146"/>
      <c r="AT471" s="146"/>
      <c r="AU471" s="146"/>
      <c r="AV471" s="146"/>
      <c r="AW471" s="146"/>
      <c r="AX471" s="146"/>
      <c r="AY471" s="146"/>
      <c r="AZ471" s="146"/>
      <c r="BA471" s="146"/>
      <c r="BB471" s="146"/>
      <c r="BC471" s="146"/>
      <c r="BD471" s="146"/>
      <c r="BE471" s="146"/>
      <c r="BF471" s="146"/>
      <c r="BG471" s="146"/>
      <c r="BH471" s="146"/>
      <c r="BI471" s="146"/>
      <c r="BJ471" s="146"/>
      <c r="BK471" s="146"/>
      <c r="BL471" s="146"/>
      <c r="BM471" s="146"/>
      <c r="BN471" s="146"/>
      <c r="BO471" s="146"/>
      <c r="BP471" s="146"/>
      <c r="BQ471" s="146"/>
      <c r="BR471" s="146"/>
    </row>
    <row r="472" spans="2:70" ht="15.75" hidden="1">
      <c r="B472" s="146"/>
      <c r="C472" s="146"/>
      <c r="D472" s="146"/>
      <c r="E472" s="146"/>
      <c r="F472" s="146"/>
      <c r="G472" s="146"/>
      <c r="H472" s="146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  <c r="AD472" s="146"/>
      <c r="AE472" s="146"/>
      <c r="AF472" s="146"/>
      <c r="AG472" s="146"/>
      <c r="AH472" s="146"/>
      <c r="AI472" s="146"/>
      <c r="AJ472" s="146"/>
      <c r="AK472" s="146"/>
      <c r="AL472" s="146"/>
      <c r="AM472" s="146"/>
      <c r="AN472" s="146"/>
      <c r="AO472" s="146"/>
      <c r="AP472" s="146"/>
      <c r="AQ472" s="146"/>
      <c r="AR472" s="146"/>
      <c r="AS472" s="146"/>
      <c r="AT472" s="146"/>
      <c r="AU472" s="146"/>
      <c r="AV472" s="146"/>
      <c r="AW472" s="146"/>
      <c r="AX472" s="146"/>
      <c r="AY472" s="146"/>
      <c r="AZ472" s="146"/>
      <c r="BA472" s="146"/>
      <c r="BB472" s="146"/>
      <c r="BC472" s="146"/>
      <c r="BD472" s="146"/>
      <c r="BE472" s="146"/>
      <c r="BF472" s="146"/>
      <c r="BG472" s="146"/>
      <c r="BH472" s="146"/>
      <c r="BI472" s="146"/>
      <c r="BJ472" s="146"/>
      <c r="BK472" s="146"/>
      <c r="BL472" s="146"/>
      <c r="BM472" s="146"/>
      <c r="BN472" s="146"/>
      <c r="BO472" s="146"/>
      <c r="BP472" s="146"/>
      <c r="BQ472" s="146"/>
      <c r="BR472" s="146"/>
    </row>
    <row r="473" spans="2:70" ht="15.75" hidden="1">
      <c r="B473" s="146"/>
      <c r="C473" s="146"/>
      <c r="D473" s="146"/>
      <c r="E473" s="146"/>
      <c r="F473" s="146"/>
      <c r="G473" s="146"/>
      <c r="H473" s="146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  <c r="AD473" s="146"/>
      <c r="AE473" s="146"/>
      <c r="AF473" s="146"/>
      <c r="AG473" s="146"/>
      <c r="AH473" s="146"/>
      <c r="AI473" s="146"/>
      <c r="AJ473" s="146"/>
      <c r="AK473" s="146"/>
      <c r="AL473" s="146"/>
      <c r="AM473" s="146"/>
      <c r="AN473" s="146"/>
      <c r="AO473" s="146"/>
      <c r="AP473" s="146"/>
      <c r="AQ473" s="146"/>
      <c r="AR473" s="146"/>
      <c r="AS473" s="146"/>
      <c r="AT473" s="146"/>
      <c r="AU473" s="146"/>
      <c r="AV473" s="146"/>
      <c r="AW473" s="146"/>
      <c r="AX473" s="146"/>
      <c r="AY473" s="146"/>
      <c r="AZ473" s="146"/>
      <c r="BA473" s="146"/>
      <c r="BB473" s="146"/>
      <c r="BC473" s="146"/>
      <c r="BD473" s="146"/>
      <c r="BE473" s="146"/>
      <c r="BF473" s="146"/>
      <c r="BG473" s="146"/>
      <c r="BH473" s="146"/>
      <c r="BI473" s="146"/>
      <c r="BJ473" s="146"/>
      <c r="BK473" s="146"/>
      <c r="BL473" s="146"/>
      <c r="BM473" s="146"/>
      <c r="BN473" s="146"/>
      <c r="BO473" s="146"/>
      <c r="BP473" s="146"/>
      <c r="BQ473" s="146"/>
      <c r="BR473" s="146"/>
    </row>
    <row r="474" spans="2:70" ht="15.75" hidden="1">
      <c r="B474" s="146"/>
      <c r="C474" s="146"/>
      <c r="D474" s="146"/>
      <c r="E474" s="146"/>
      <c r="F474" s="146"/>
      <c r="G474" s="146"/>
      <c r="H474" s="146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  <c r="AD474" s="146"/>
      <c r="AE474" s="146"/>
      <c r="AF474" s="146"/>
      <c r="AG474" s="146"/>
      <c r="AH474" s="146"/>
      <c r="AI474" s="146"/>
      <c r="AJ474" s="146"/>
      <c r="AK474" s="146"/>
      <c r="AL474" s="146"/>
      <c r="AM474" s="146"/>
      <c r="AN474" s="146"/>
      <c r="AO474" s="146"/>
      <c r="AP474" s="146"/>
      <c r="AQ474" s="146"/>
      <c r="AR474" s="146"/>
      <c r="AS474" s="146"/>
      <c r="AT474" s="146"/>
      <c r="AU474" s="146"/>
      <c r="AV474" s="146"/>
      <c r="AW474" s="146"/>
      <c r="AX474" s="146"/>
      <c r="AY474" s="146"/>
      <c r="AZ474" s="146"/>
      <c r="BA474" s="146"/>
      <c r="BB474" s="146"/>
      <c r="BC474" s="146"/>
      <c r="BD474" s="146"/>
      <c r="BE474" s="146"/>
      <c r="BF474" s="146"/>
      <c r="BG474" s="146"/>
      <c r="BH474" s="146"/>
      <c r="BI474" s="146"/>
      <c r="BJ474" s="146"/>
      <c r="BK474" s="146"/>
      <c r="BL474" s="146"/>
      <c r="BM474" s="146"/>
      <c r="BN474" s="146"/>
      <c r="BO474" s="146"/>
      <c r="BP474" s="146"/>
      <c r="BQ474" s="146"/>
      <c r="BR474" s="146"/>
    </row>
    <row r="475" spans="2:70" ht="15.75" hidden="1">
      <c r="B475" s="146"/>
      <c r="C475" s="146"/>
      <c r="D475" s="146"/>
      <c r="E475" s="146"/>
      <c r="F475" s="146"/>
      <c r="G475" s="146"/>
      <c r="H475" s="146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  <c r="AD475" s="146"/>
      <c r="AE475" s="146"/>
      <c r="AF475" s="146"/>
      <c r="AG475" s="146"/>
      <c r="AH475" s="146"/>
      <c r="AI475" s="146"/>
      <c r="AJ475" s="146"/>
      <c r="AK475" s="146"/>
      <c r="AL475" s="146"/>
      <c r="AM475" s="146"/>
      <c r="AN475" s="146"/>
      <c r="AO475" s="146"/>
      <c r="AP475" s="146"/>
      <c r="AQ475" s="146"/>
      <c r="AR475" s="146"/>
      <c r="AS475" s="146"/>
      <c r="AT475" s="146"/>
      <c r="AU475" s="146"/>
      <c r="AV475" s="146"/>
      <c r="AW475" s="146"/>
      <c r="AX475" s="146"/>
      <c r="AY475" s="146"/>
      <c r="AZ475" s="146"/>
      <c r="BA475" s="146"/>
      <c r="BB475" s="146"/>
      <c r="BC475" s="146"/>
      <c r="BD475" s="146"/>
      <c r="BE475" s="146"/>
      <c r="BF475" s="146"/>
      <c r="BG475" s="146"/>
      <c r="BH475" s="146"/>
      <c r="BI475" s="146"/>
      <c r="BJ475" s="146"/>
      <c r="BK475" s="146"/>
      <c r="BL475" s="146"/>
      <c r="BM475" s="146"/>
      <c r="BN475" s="146"/>
      <c r="BO475" s="146"/>
      <c r="BP475" s="146"/>
      <c r="BQ475" s="146"/>
      <c r="BR475" s="146"/>
    </row>
    <row r="476" spans="2:70" ht="15.75" hidden="1">
      <c r="B476" s="146"/>
      <c r="C476" s="146"/>
      <c r="D476" s="146"/>
      <c r="E476" s="146"/>
      <c r="F476" s="146"/>
      <c r="G476" s="146"/>
      <c r="H476" s="146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  <c r="AD476" s="146"/>
      <c r="AE476" s="146"/>
      <c r="AF476" s="146"/>
      <c r="AG476" s="146"/>
      <c r="AH476" s="146"/>
      <c r="AI476" s="146"/>
      <c r="AJ476" s="146"/>
      <c r="AK476" s="146"/>
      <c r="AL476" s="146"/>
      <c r="AM476" s="146"/>
      <c r="AN476" s="146"/>
      <c r="AO476" s="146"/>
      <c r="AP476" s="146"/>
      <c r="AQ476" s="146"/>
      <c r="AR476" s="146"/>
      <c r="AS476" s="146"/>
      <c r="AT476" s="146"/>
      <c r="AU476" s="146"/>
      <c r="AV476" s="146"/>
      <c r="AW476" s="146"/>
      <c r="AX476" s="146"/>
      <c r="AY476" s="146"/>
      <c r="AZ476" s="146"/>
      <c r="BA476" s="146"/>
      <c r="BB476" s="146"/>
      <c r="BC476" s="146"/>
      <c r="BD476" s="146"/>
      <c r="BE476" s="146"/>
      <c r="BF476" s="146"/>
      <c r="BG476" s="146"/>
      <c r="BH476" s="146"/>
      <c r="BI476" s="146"/>
      <c r="BJ476" s="146"/>
      <c r="BK476" s="146"/>
      <c r="BL476" s="146"/>
      <c r="BM476" s="146"/>
      <c r="BN476" s="146"/>
      <c r="BO476" s="146"/>
      <c r="BP476" s="146"/>
      <c r="BQ476" s="146"/>
      <c r="BR476" s="146"/>
    </row>
    <row r="477" spans="2:70" ht="15.75" hidden="1">
      <c r="B477" s="146"/>
      <c r="C477" s="146"/>
      <c r="D477" s="146"/>
      <c r="E477" s="146"/>
      <c r="F477" s="146"/>
      <c r="G477" s="146"/>
      <c r="H477" s="146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  <c r="AD477" s="146"/>
      <c r="AE477" s="146"/>
      <c r="AF477" s="146"/>
      <c r="AG477" s="146"/>
      <c r="AH477" s="146"/>
      <c r="AI477" s="146"/>
      <c r="AJ477" s="146"/>
      <c r="AK477" s="146"/>
      <c r="AL477" s="146"/>
      <c r="AM477" s="146"/>
      <c r="AN477" s="146"/>
      <c r="AO477" s="146"/>
      <c r="AP477" s="146"/>
      <c r="AQ477" s="146"/>
      <c r="AR477" s="146"/>
      <c r="AS477" s="146"/>
      <c r="AT477" s="146"/>
      <c r="AU477" s="146"/>
      <c r="AV477" s="146"/>
      <c r="AW477" s="146"/>
      <c r="AX477" s="146"/>
      <c r="AY477" s="146"/>
      <c r="AZ477" s="146"/>
      <c r="BA477" s="146"/>
      <c r="BB477" s="146"/>
      <c r="BC477" s="146"/>
      <c r="BD477" s="146"/>
      <c r="BE477" s="146"/>
      <c r="BF477" s="146"/>
      <c r="BG477" s="146"/>
      <c r="BH477" s="146"/>
      <c r="BI477" s="146"/>
      <c r="BJ477" s="146"/>
      <c r="BK477" s="146"/>
      <c r="BL477" s="146"/>
      <c r="BM477" s="146"/>
      <c r="BN477" s="146"/>
      <c r="BO477" s="146"/>
      <c r="BP477" s="146"/>
      <c r="BQ477" s="146"/>
      <c r="BR477" s="146"/>
    </row>
    <row r="478" spans="2:70" ht="15.75" hidden="1">
      <c r="B478" s="146"/>
      <c r="C478" s="146"/>
      <c r="D478" s="146"/>
      <c r="E478" s="146"/>
      <c r="F478" s="146"/>
      <c r="G478" s="146"/>
      <c r="H478" s="146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  <c r="AD478" s="146"/>
      <c r="AE478" s="146"/>
      <c r="AF478" s="146"/>
      <c r="AG478" s="146"/>
      <c r="AH478" s="146"/>
      <c r="AI478" s="146"/>
      <c r="AJ478" s="146"/>
      <c r="AK478" s="146"/>
      <c r="AL478" s="146"/>
      <c r="AM478" s="146"/>
      <c r="AN478" s="146"/>
      <c r="AO478" s="146"/>
      <c r="AP478" s="146"/>
      <c r="AQ478" s="146"/>
      <c r="AR478" s="146"/>
      <c r="AS478" s="146"/>
      <c r="AT478" s="146"/>
      <c r="AU478" s="146"/>
      <c r="AV478" s="146"/>
      <c r="AW478" s="146"/>
      <c r="AX478" s="146"/>
      <c r="AY478" s="146"/>
      <c r="AZ478" s="146"/>
      <c r="BA478" s="146"/>
      <c r="BB478" s="146"/>
      <c r="BC478" s="146"/>
      <c r="BD478" s="146"/>
      <c r="BE478" s="146"/>
      <c r="BF478" s="146"/>
      <c r="BG478" s="146"/>
      <c r="BH478" s="146"/>
      <c r="BI478" s="146"/>
      <c r="BJ478" s="146"/>
      <c r="BK478" s="146"/>
      <c r="BL478" s="146"/>
      <c r="BM478" s="146"/>
      <c r="BN478" s="146"/>
      <c r="BO478" s="146"/>
      <c r="BP478" s="146"/>
      <c r="BQ478" s="146"/>
      <c r="BR478" s="146"/>
    </row>
    <row r="479" spans="2:70" ht="15.75" hidden="1">
      <c r="B479" s="146"/>
      <c r="C479" s="146"/>
      <c r="D479" s="146"/>
      <c r="E479" s="146"/>
      <c r="F479" s="146"/>
      <c r="G479" s="146"/>
      <c r="H479" s="146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  <c r="AD479" s="146"/>
      <c r="AE479" s="146"/>
      <c r="AF479" s="146"/>
      <c r="AG479" s="146"/>
      <c r="AH479" s="146"/>
      <c r="AI479" s="146"/>
      <c r="AJ479" s="146"/>
      <c r="AK479" s="146"/>
      <c r="AL479" s="146"/>
      <c r="AM479" s="146"/>
      <c r="AN479" s="146"/>
      <c r="AO479" s="146"/>
      <c r="AP479" s="146"/>
      <c r="AQ479" s="146"/>
      <c r="AR479" s="146"/>
      <c r="AS479" s="146"/>
      <c r="AT479" s="146"/>
      <c r="AU479" s="146"/>
      <c r="AV479" s="146"/>
      <c r="AW479" s="146"/>
      <c r="AX479" s="146"/>
      <c r="AY479" s="146"/>
      <c r="AZ479" s="146"/>
      <c r="BA479" s="146"/>
      <c r="BB479" s="146"/>
      <c r="BC479" s="146"/>
      <c r="BD479" s="146"/>
      <c r="BE479" s="146"/>
      <c r="BF479" s="146"/>
      <c r="BG479" s="146"/>
      <c r="BH479" s="146"/>
      <c r="BI479" s="146"/>
      <c r="BJ479" s="146"/>
      <c r="BK479" s="146"/>
      <c r="BL479" s="146"/>
      <c r="BM479" s="146"/>
      <c r="BN479" s="146"/>
      <c r="BO479" s="146"/>
      <c r="BP479" s="146"/>
      <c r="BQ479" s="146"/>
      <c r="BR479" s="146"/>
    </row>
    <row r="480" spans="2:70" ht="15.75" hidden="1">
      <c r="B480" s="146"/>
      <c r="C480" s="146"/>
      <c r="D480" s="146"/>
      <c r="E480" s="146"/>
      <c r="F480" s="146"/>
      <c r="G480" s="146"/>
      <c r="H480" s="146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  <c r="AD480" s="146"/>
      <c r="AE480" s="146"/>
      <c r="AF480" s="146"/>
      <c r="AG480" s="146"/>
      <c r="AH480" s="146"/>
      <c r="AI480" s="146"/>
      <c r="AJ480" s="146"/>
      <c r="AK480" s="146"/>
      <c r="AL480" s="146"/>
      <c r="AM480" s="146"/>
      <c r="AN480" s="146"/>
      <c r="AO480" s="146"/>
      <c r="AP480" s="146"/>
      <c r="AQ480" s="146"/>
      <c r="AR480" s="146"/>
      <c r="AS480" s="146"/>
      <c r="AT480" s="146"/>
      <c r="AU480" s="146"/>
      <c r="AV480" s="146"/>
      <c r="AW480" s="146"/>
      <c r="AX480" s="146"/>
      <c r="AY480" s="146"/>
      <c r="AZ480" s="146"/>
      <c r="BA480" s="146"/>
      <c r="BB480" s="146"/>
      <c r="BC480" s="146"/>
      <c r="BD480" s="146"/>
      <c r="BE480" s="146"/>
      <c r="BF480" s="146"/>
      <c r="BG480" s="146"/>
      <c r="BH480" s="146"/>
      <c r="BI480" s="146"/>
      <c r="BJ480" s="146"/>
      <c r="BK480" s="146"/>
      <c r="BL480" s="146"/>
      <c r="BM480" s="146"/>
      <c r="BN480" s="146"/>
      <c r="BO480" s="146"/>
      <c r="BP480" s="146"/>
      <c r="BQ480" s="146"/>
      <c r="BR480" s="146"/>
    </row>
    <row r="481" spans="2:70" ht="15.75" hidden="1">
      <c r="B481" s="146"/>
      <c r="C481" s="146"/>
      <c r="D481" s="146"/>
      <c r="E481" s="146"/>
      <c r="F481" s="146"/>
      <c r="G481" s="146"/>
      <c r="H481" s="146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  <c r="AD481" s="146"/>
      <c r="AE481" s="146"/>
      <c r="AF481" s="146"/>
      <c r="AG481" s="146"/>
      <c r="AH481" s="146"/>
      <c r="AI481" s="146"/>
      <c r="AJ481" s="146"/>
      <c r="AK481" s="146"/>
      <c r="AL481" s="146"/>
      <c r="AM481" s="146"/>
      <c r="AN481" s="146"/>
      <c r="AO481" s="146"/>
      <c r="AP481" s="146"/>
      <c r="AQ481" s="146"/>
      <c r="AR481" s="146"/>
      <c r="AS481" s="146"/>
      <c r="AT481" s="146"/>
      <c r="AU481" s="146"/>
      <c r="AV481" s="146"/>
      <c r="AW481" s="146"/>
      <c r="AX481" s="146"/>
      <c r="AY481" s="146"/>
      <c r="AZ481" s="146"/>
      <c r="BA481" s="146"/>
      <c r="BB481" s="146"/>
      <c r="BC481" s="146"/>
      <c r="BD481" s="146"/>
      <c r="BE481" s="146"/>
      <c r="BF481" s="146"/>
      <c r="BG481" s="146"/>
      <c r="BH481" s="146"/>
      <c r="BI481" s="146"/>
      <c r="BJ481" s="146"/>
      <c r="BK481" s="146"/>
      <c r="BL481" s="146"/>
      <c r="BM481" s="146"/>
      <c r="BN481" s="146"/>
      <c r="BO481" s="146"/>
      <c r="BP481" s="146"/>
      <c r="BQ481" s="146"/>
      <c r="BR481" s="146"/>
    </row>
    <row r="482" spans="2:70" ht="15.75" hidden="1">
      <c r="B482" s="146"/>
      <c r="C482" s="146"/>
      <c r="D482" s="146"/>
      <c r="E482" s="146"/>
      <c r="F482" s="146"/>
      <c r="G482" s="146"/>
      <c r="H482" s="146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  <c r="AD482" s="146"/>
      <c r="AE482" s="146"/>
      <c r="AF482" s="146"/>
      <c r="AG482" s="146"/>
      <c r="AH482" s="146"/>
      <c r="AI482" s="146"/>
      <c r="AJ482" s="146"/>
      <c r="AK482" s="146"/>
      <c r="AL482" s="146"/>
      <c r="AM482" s="146"/>
      <c r="AN482" s="146"/>
      <c r="AO482" s="146"/>
      <c r="AP482" s="146"/>
      <c r="AQ482" s="146"/>
      <c r="AR482" s="146"/>
      <c r="AS482" s="146"/>
      <c r="AT482" s="146"/>
      <c r="AU482" s="146"/>
      <c r="AV482" s="146"/>
      <c r="AW482" s="146"/>
      <c r="AX482" s="146"/>
      <c r="AY482" s="146"/>
      <c r="AZ482" s="146"/>
      <c r="BA482" s="146"/>
      <c r="BB482" s="146"/>
      <c r="BC482" s="146"/>
      <c r="BD482" s="146"/>
      <c r="BE482" s="146"/>
      <c r="BF482" s="146"/>
      <c r="BG482" s="146"/>
      <c r="BH482" s="146"/>
      <c r="BI482" s="146"/>
      <c r="BJ482" s="146"/>
      <c r="BK482" s="146"/>
      <c r="BL482" s="146"/>
      <c r="BM482" s="146"/>
      <c r="BN482" s="146"/>
      <c r="BO482" s="146"/>
      <c r="BP482" s="146"/>
      <c r="BQ482" s="146"/>
      <c r="BR482" s="146"/>
    </row>
    <row r="483" spans="2:70" ht="15.75" hidden="1">
      <c r="B483" s="146"/>
      <c r="C483" s="146"/>
      <c r="D483" s="146"/>
      <c r="E483" s="146"/>
      <c r="F483" s="146"/>
      <c r="G483" s="146"/>
      <c r="H483" s="146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  <c r="AD483" s="146"/>
      <c r="AE483" s="146"/>
      <c r="AF483" s="146"/>
      <c r="AG483" s="146"/>
      <c r="AH483" s="146"/>
      <c r="AI483" s="146"/>
      <c r="AJ483" s="146"/>
      <c r="AK483" s="146"/>
      <c r="AL483" s="146"/>
      <c r="AM483" s="146"/>
      <c r="AN483" s="146"/>
      <c r="AO483" s="146"/>
      <c r="AP483" s="146"/>
      <c r="AQ483" s="146"/>
      <c r="AR483" s="146"/>
      <c r="AS483" s="146"/>
      <c r="AT483" s="146"/>
      <c r="AU483" s="146"/>
      <c r="AV483" s="146"/>
      <c r="AW483" s="146"/>
      <c r="AX483" s="146"/>
      <c r="AY483" s="146"/>
      <c r="AZ483" s="146"/>
      <c r="BA483" s="146"/>
      <c r="BB483" s="146"/>
      <c r="BC483" s="146"/>
      <c r="BD483" s="146"/>
      <c r="BE483" s="146"/>
      <c r="BF483" s="146"/>
      <c r="BG483" s="146"/>
      <c r="BH483" s="146"/>
      <c r="BI483" s="146"/>
      <c r="BJ483" s="146"/>
      <c r="BK483" s="146"/>
      <c r="BL483" s="146"/>
      <c r="BM483" s="146"/>
      <c r="BN483" s="146"/>
      <c r="BO483" s="146"/>
      <c r="BP483" s="146"/>
      <c r="BQ483" s="146"/>
      <c r="BR483" s="146"/>
    </row>
    <row r="484" spans="2:70" ht="15.75" hidden="1">
      <c r="B484" s="146"/>
      <c r="C484" s="146"/>
      <c r="D484" s="146"/>
      <c r="E484" s="146"/>
      <c r="F484" s="146"/>
      <c r="G484" s="146"/>
      <c r="H484" s="146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  <c r="AD484" s="146"/>
      <c r="AE484" s="146"/>
      <c r="AF484" s="146"/>
      <c r="AG484" s="146"/>
      <c r="AH484" s="146"/>
      <c r="AI484" s="146"/>
      <c r="AJ484" s="146"/>
      <c r="AK484" s="146"/>
      <c r="AL484" s="146"/>
      <c r="AM484" s="146"/>
      <c r="AN484" s="146"/>
      <c r="AO484" s="146"/>
      <c r="AP484" s="146"/>
      <c r="AQ484" s="146"/>
      <c r="AR484" s="146"/>
      <c r="AS484" s="146"/>
      <c r="AT484" s="146"/>
      <c r="AU484" s="146"/>
      <c r="AV484" s="146"/>
      <c r="AW484" s="146"/>
      <c r="AX484" s="146"/>
      <c r="AY484" s="146"/>
      <c r="AZ484" s="146"/>
      <c r="BA484" s="146"/>
      <c r="BB484" s="146"/>
      <c r="BC484" s="146"/>
      <c r="BD484" s="146"/>
      <c r="BE484" s="146"/>
      <c r="BF484" s="146"/>
      <c r="BG484" s="146"/>
      <c r="BH484" s="146"/>
      <c r="BI484" s="146"/>
      <c r="BJ484" s="146"/>
      <c r="BK484" s="146"/>
      <c r="BL484" s="146"/>
      <c r="BM484" s="146"/>
      <c r="BN484" s="146"/>
      <c r="BO484" s="146"/>
      <c r="BP484" s="146"/>
      <c r="BQ484" s="146"/>
      <c r="BR484" s="146"/>
    </row>
    <row r="485" spans="2:70" ht="15.75" hidden="1">
      <c r="B485" s="146"/>
      <c r="C485" s="146"/>
      <c r="D485" s="146"/>
      <c r="E485" s="146"/>
      <c r="F485" s="146"/>
      <c r="G485" s="146"/>
      <c r="H485" s="146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  <c r="AD485" s="146"/>
      <c r="AE485" s="146"/>
      <c r="AF485" s="146"/>
      <c r="AG485" s="146"/>
      <c r="AH485" s="146"/>
      <c r="AI485" s="146"/>
      <c r="AJ485" s="146"/>
      <c r="AK485" s="146"/>
      <c r="AL485" s="146"/>
      <c r="AM485" s="146"/>
      <c r="AN485" s="146"/>
      <c r="AO485" s="146"/>
      <c r="AP485" s="146"/>
      <c r="AQ485" s="146"/>
      <c r="AR485" s="146"/>
      <c r="AS485" s="146"/>
      <c r="AT485" s="146"/>
      <c r="AU485" s="146"/>
      <c r="AV485" s="146"/>
      <c r="AW485" s="146"/>
      <c r="AX485" s="146"/>
      <c r="AY485" s="146"/>
      <c r="AZ485" s="146"/>
      <c r="BA485" s="146"/>
      <c r="BB485" s="146"/>
      <c r="BC485" s="146"/>
      <c r="BD485" s="146"/>
      <c r="BE485" s="146"/>
      <c r="BF485" s="146"/>
      <c r="BG485" s="146"/>
      <c r="BH485" s="146"/>
      <c r="BI485" s="146"/>
      <c r="BJ485" s="146"/>
      <c r="BK485" s="146"/>
      <c r="BL485" s="146"/>
      <c r="BM485" s="146"/>
      <c r="BN485" s="146"/>
      <c r="BO485" s="146"/>
      <c r="BP485" s="146"/>
      <c r="BQ485" s="146"/>
      <c r="BR485" s="146"/>
    </row>
    <row r="486" spans="2:70" ht="15.75" hidden="1">
      <c r="B486" s="146"/>
      <c r="C486" s="146"/>
      <c r="D486" s="146"/>
      <c r="E486" s="146"/>
      <c r="F486" s="146"/>
      <c r="G486" s="146"/>
      <c r="H486" s="146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  <c r="AD486" s="146"/>
      <c r="AE486" s="146"/>
      <c r="AF486" s="146"/>
      <c r="AG486" s="146"/>
      <c r="AH486" s="146"/>
      <c r="AI486" s="146"/>
      <c r="AJ486" s="146"/>
      <c r="AK486" s="146"/>
      <c r="AL486" s="146"/>
      <c r="AM486" s="146"/>
      <c r="AN486" s="146"/>
      <c r="AO486" s="146"/>
      <c r="AP486" s="146"/>
      <c r="AQ486" s="146"/>
      <c r="AR486" s="146"/>
      <c r="AS486" s="146"/>
      <c r="AT486" s="146"/>
      <c r="AU486" s="146"/>
      <c r="AV486" s="146"/>
      <c r="AW486" s="146"/>
      <c r="AX486" s="146"/>
      <c r="AY486" s="146"/>
      <c r="AZ486" s="146"/>
      <c r="BA486" s="146"/>
      <c r="BB486" s="146"/>
      <c r="BC486" s="146"/>
      <c r="BD486" s="146"/>
      <c r="BE486" s="146"/>
      <c r="BF486" s="146"/>
      <c r="BG486" s="146"/>
      <c r="BH486" s="146"/>
      <c r="BI486" s="146"/>
      <c r="BJ486" s="146"/>
      <c r="BK486" s="146"/>
      <c r="BL486" s="146"/>
      <c r="BM486" s="146"/>
      <c r="BN486" s="146"/>
      <c r="BO486" s="146"/>
      <c r="BP486" s="146"/>
      <c r="BQ486" s="146"/>
      <c r="BR486" s="146"/>
    </row>
    <row r="487" spans="2:70" ht="15.75" hidden="1">
      <c r="B487" s="146"/>
      <c r="C487" s="146"/>
      <c r="D487" s="146"/>
      <c r="E487" s="146"/>
      <c r="F487" s="146"/>
      <c r="G487" s="146"/>
      <c r="H487" s="146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  <c r="AD487" s="146"/>
      <c r="AE487" s="146"/>
      <c r="AF487" s="146"/>
      <c r="AG487" s="146"/>
      <c r="AH487" s="146"/>
      <c r="AI487" s="146"/>
      <c r="AJ487" s="146"/>
      <c r="AK487" s="146"/>
      <c r="AL487" s="146"/>
      <c r="AM487" s="146"/>
      <c r="AN487" s="146"/>
      <c r="AO487" s="146"/>
      <c r="AP487" s="146"/>
      <c r="AQ487" s="146"/>
      <c r="AR487" s="146"/>
      <c r="AS487" s="146"/>
      <c r="AT487" s="146"/>
      <c r="AU487" s="146"/>
      <c r="AV487" s="146"/>
      <c r="AW487" s="146"/>
      <c r="AX487" s="146"/>
      <c r="AY487" s="146"/>
      <c r="AZ487" s="146"/>
      <c r="BA487" s="146"/>
      <c r="BB487" s="146"/>
      <c r="BC487" s="146"/>
      <c r="BD487" s="146"/>
      <c r="BE487" s="146"/>
      <c r="BF487" s="146"/>
      <c r="BG487" s="146"/>
      <c r="BH487" s="146"/>
      <c r="BI487" s="146"/>
      <c r="BJ487" s="146"/>
      <c r="BK487" s="146"/>
      <c r="BL487" s="146"/>
      <c r="BM487" s="146"/>
      <c r="BN487" s="146"/>
      <c r="BO487" s="146"/>
      <c r="BP487" s="146"/>
      <c r="BQ487" s="146"/>
      <c r="BR487" s="146"/>
    </row>
    <row r="488" spans="2:70" ht="15.75" hidden="1">
      <c r="B488" s="146"/>
      <c r="C488" s="146"/>
      <c r="D488" s="146"/>
      <c r="E488" s="146"/>
      <c r="F488" s="146"/>
      <c r="G488" s="146"/>
      <c r="H488" s="146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  <c r="AD488" s="146"/>
      <c r="AE488" s="146"/>
      <c r="AF488" s="146"/>
      <c r="AG488" s="146"/>
      <c r="AH488" s="146"/>
      <c r="AI488" s="146"/>
      <c r="AJ488" s="146"/>
      <c r="AK488" s="146"/>
      <c r="AL488" s="146"/>
      <c r="AM488" s="146"/>
      <c r="AN488" s="146"/>
      <c r="AO488" s="146"/>
      <c r="AP488" s="146"/>
      <c r="AQ488" s="146"/>
      <c r="AR488" s="146"/>
      <c r="AS488" s="146"/>
      <c r="AT488" s="146"/>
      <c r="AU488" s="146"/>
      <c r="AV488" s="146"/>
      <c r="AW488" s="146"/>
      <c r="AX488" s="146"/>
      <c r="AY488" s="146"/>
      <c r="AZ488" s="146"/>
      <c r="BA488" s="146"/>
      <c r="BB488" s="146"/>
      <c r="BC488" s="146"/>
      <c r="BD488" s="146"/>
      <c r="BE488" s="146"/>
      <c r="BF488" s="146"/>
      <c r="BG488" s="146"/>
      <c r="BH488" s="146"/>
      <c r="BI488" s="146"/>
      <c r="BJ488" s="146"/>
      <c r="BK488" s="146"/>
      <c r="BL488" s="146"/>
      <c r="BM488" s="146"/>
      <c r="BN488" s="146"/>
      <c r="BO488" s="146"/>
      <c r="BP488" s="146"/>
      <c r="BQ488" s="146"/>
      <c r="BR488" s="146"/>
    </row>
    <row r="489" spans="2:70" ht="15.75" hidden="1">
      <c r="B489" s="146"/>
      <c r="C489" s="146"/>
      <c r="D489" s="146"/>
      <c r="E489" s="146"/>
      <c r="F489" s="146"/>
      <c r="G489" s="146"/>
      <c r="H489" s="146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  <c r="AD489" s="146"/>
      <c r="AE489" s="146"/>
      <c r="AF489" s="146"/>
      <c r="AG489" s="146"/>
      <c r="AH489" s="146"/>
      <c r="AI489" s="146"/>
      <c r="AJ489" s="146"/>
      <c r="AK489" s="146"/>
      <c r="AL489" s="146"/>
      <c r="AM489" s="146"/>
      <c r="AN489" s="146"/>
      <c r="AO489" s="146"/>
      <c r="AP489" s="146"/>
      <c r="AQ489" s="146"/>
      <c r="AR489" s="146"/>
      <c r="AS489" s="146"/>
      <c r="AT489" s="146"/>
      <c r="AU489" s="146"/>
      <c r="AV489" s="146"/>
      <c r="AW489" s="146"/>
      <c r="AX489" s="146"/>
      <c r="AY489" s="146"/>
      <c r="AZ489" s="146"/>
      <c r="BA489" s="146"/>
      <c r="BB489" s="146"/>
      <c r="BC489" s="146"/>
      <c r="BD489" s="146"/>
      <c r="BE489" s="146"/>
      <c r="BF489" s="146"/>
      <c r="BG489" s="146"/>
      <c r="BH489" s="146"/>
      <c r="BI489" s="146"/>
      <c r="BJ489" s="146"/>
      <c r="BK489" s="146"/>
      <c r="BL489" s="146"/>
      <c r="BM489" s="146"/>
      <c r="BN489" s="146"/>
      <c r="BO489" s="146"/>
      <c r="BP489" s="146"/>
      <c r="BQ489" s="146"/>
      <c r="BR489" s="146"/>
    </row>
    <row r="490" spans="2:70" ht="15.75" hidden="1">
      <c r="B490" s="146"/>
      <c r="C490" s="146"/>
      <c r="D490" s="146"/>
      <c r="E490" s="146"/>
      <c r="F490" s="146"/>
      <c r="G490" s="146"/>
      <c r="H490" s="146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  <c r="AD490" s="146"/>
      <c r="AE490" s="146"/>
      <c r="AF490" s="146"/>
      <c r="AG490" s="146"/>
      <c r="AH490" s="146"/>
      <c r="AI490" s="146"/>
      <c r="AJ490" s="146"/>
      <c r="AK490" s="146"/>
      <c r="AL490" s="146"/>
      <c r="AM490" s="146"/>
      <c r="AN490" s="146"/>
      <c r="AO490" s="146"/>
      <c r="AP490" s="146"/>
      <c r="AQ490" s="146"/>
      <c r="AR490" s="146"/>
      <c r="AS490" s="146"/>
      <c r="AT490" s="146"/>
      <c r="AU490" s="146"/>
      <c r="AV490" s="146"/>
      <c r="AW490" s="146"/>
      <c r="AX490" s="146"/>
      <c r="AY490" s="146"/>
      <c r="AZ490" s="146"/>
      <c r="BA490" s="146"/>
      <c r="BB490" s="146"/>
      <c r="BC490" s="146"/>
      <c r="BD490" s="146"/>
      <c r="BE490" s="146"/>
      <c r="BF490" s="146"/>
      <c r="BG490" s="146"/>
      <c r="BH490" s="146"/>
      <c r="BI490" s="146"/>
      <c r="BJ490" s="146"/>
      <c r="BK490" s="146"/>
      <c r="BL490" s="146"/>
      <c r="BM490" s="146"/>
      <c r="BN490" s="146"/>
      <c r="BO490" s="146"/>
      <c r="BP490" s="146"/>
      <c r="BQ490" s="146"/>
      <c r="BR490" s="146"/>
    </row>
    <row r="491" spans="2:70" ht="15.75" hidden="1">
      <c r="B491" s="146"/>
      <c r="C491" s="146"/>
      <c r="D491" s="146"/>
      <c r="E491" s="146"/>
      <c r="F491" s="146"/>
      <c r="G491" s="146"/>
      <c r="H491" s="146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  <c r="AD491" s="146"/>
      <c r="AE491" s="146"/>
      <c r="AF491" s="146"/>
      <c r="AG491" s="146"/>
      <c r="AH491" s="146"/>
      <c r="AI491" s="146"/>
      <c r="AJ491" s="146"/>
      <c r="AK491" s="146"/>
      <c r="AL491" s="146"/>
      <c r="AM491" s="146"/>
      <c r="AN491" s="146"/>
      <c r="AO491" s="146"/>
      <c r="AP491" s="146"/>
      <c r="AQ491" s="146"/>
      <c r="AR491" s="146"/>
      <c r="AS491" s="146"/>
      <c r="AT491" s="146"/>
      <c r="AU491" s="146"/>
      <c r="AV491" s="146"/>
      <c r="AW491" s="146"/>
      <c r="AX491" s="146"/>
      <c r="AY491" s="146"/>
      <c r="AZ491" s="146"/>
      <c r="BA491" s="146"/>
      <c r="BB491" s="146"/>
      <c r="BC491" s="146"/>
      <c r="BD491" s="146"/>
      <c r="BE491" s="146"/>
      <c r="BF491" s="146"/>
      <c r="BG491" s="146"/>
      <c r="BH491" s="146"/>
      <c r="BI491" s="146"/>
      <c r="BJ491" s="146"/>
      <c r="BK491" s="146"/>
      <c r="BL491" s="146"/>
      <c r="BM491" s="146"/>
      <c r="BN491" s="146"/>
      <c r="BO491" s="146"/>
      <c r="BP491" s="146"/>
      <c r="BQ491" s="146"/>
      <c r="BR491" s="146"/>
    </row>
    <row r="492" spans="2:70" ht="15.75" hidden="1">
      <c r="B492" s="146"/>
      <c r="C492" s="146"/>
      <c r="D492" s="146"/>
      <c r="E492" s="146"/>
      <c r="F492" s="146"/>
      <c r="G492" s="146"/>
      <c r="H492" s="146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  <c r="AD492" s="146"/>
      <c r="AE492" s="146"/>
      <c r="AF492" s="146"/>
      <c r="AG492" s="146"/>
      <c r="AH492" s="146"/>
      <c r="AI492" s="146"/>
      <c r="AJ492" s="146"/>
      <c r="AK492" s="146"/>
      <c r="AL492" s="146"/>
      <c r="AM492" s="146"/>
      <c r="AN492" s="146"/>
      <c r="AO492" s="146"/>
      <c r="AP492" s="146"/>
      <c r="AQ492" s="146"/>
      <c r="AR492" s="146"/>
      <c r="AS492" s="146"/>
      <c r="AT492" s="146"/>
      <c r="AU492" s="146"/>
      <c r="AV492" s="146"/>
      <c r="AW492" s="146"/>
      <c r="AX492" s="146"/>
      <c r="AY492" s="146"/>
      <c r="AZ492" s="146"/>
      <c r="BA492" s="146"/>
      <c r="BB492" s="146"/>
      <c r="BC492" s="146"/>
      <c r="BD492" s="146"/>
      <c r="BE492" s="146"/>
      <c r="BF492" s="146"/>
      <c r="BG492" s="146"/>
      <c r="BH492" s="146"/>
      <c r="BI492" s="146"/>
      <c r="BJ492" s="146"/>
      <c r="BK492" s="146"/>
      <c r="BL492" s="146"/>
      <c r="BM492" s="146"/>
      <c r="BN492" s="146"/>
      <c r="BO492" s="146"/>
      <c r="BP492" s="146"/>
      <c r="BQ492" s="146"/>
      <c r="BR492" s="146"/>
    </row>
    <row r="493" spans="2:70" ht="15.75" hidden="1">
      <c r="B493" s="146"/>
      <c r="C493" s="146"/>
      <c r="D493" s="146"/>
      <c r="E493" s="146"/>
      <c r="F493" s="146"/>
      <c r="G493" s="146"/>
      <c r="H493" s="146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  <c r="AD493" s="146"/>
      <c r="AE493" s="146"/>
      <c r="AF493" s="146"/>
      <c r="AG493" s="146"/>
      <c r="AH493" s="146"/>
      <c r="AI493" s="146"/>
      <c r="AJ493" s="146"/>
      <c r="AK493" s="146"/>
      <c r="AL493" s="146"/>
      <c r="AM493" s="146"/>
      <c r="AN493" s="146"/>
      <c r="AO493" s="146"/>
      <c r="AP493" s="146"/>
      <c r="AQ493" s="146"/>
      <c r="AR493" s="146"/>
      <c r="AS493" s="146"/>
      <c r="AT493" s="146"/>
      <c r="AU493" s="146"/>
      <c r="AV493" s="146"/>
      <c r="AW493" s="146"/>
      <c r="AX493" s="146"/>
      <c r="AY493" s="146"/>
      <c r="AZ493" s="146"/>
      <c r="BA493" s="146"/>
      <c r="BB493" s="146"/>
      <c r="BC493" s="146"/>
      <c r="BD493" s="146"/>
      <c r="BE493" s="146"/>
      <c r="BF493" s="146"/>
      <c r="BG493" s="146"/>
      <c r="BH493" s="146"/>
      <c r="BI493" s="146"/>
      <c r="BJ493" s="146"/>
      <c r="BK493" s="146"/>
      <c r="BL493" s="146"/>
      <c r="BM493" s="146"/>
      <c r="BN493" s="146"/>
      <c r="BO493" s="146"/>
      <c r="BP493" s="146"/>
      <c r="BQ493" s="146"/>
      <c r="BR493" s="146"/>
    </row>
    <row r="494" spans="2:70" ht="15.75" hidden="1">
      <c r="B494" s="146"/>
      <c r="C494" s="146"/>
      <c r="D494" s="146"/>
      <c r="E494" s="146"/>
      <c r="F494" s="146"/>
      <c r="G494" s="146"/>
      <c r="H494" s="146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  <c r="AD494" s="146"/>
      <c r="AE494" s="146"/>
      <c r="AF494" s="146"/>
      <c r="AG494" s="146"/>
      <c r="AH494" s="146"/>
      <c r="AI494" s="146"/>
      <c r="AJ494" s="146"/>
      <c r="AK494" s="146"/>
      <c r="AL494" s="146"/>
      <c r="AM494" s="146"/>
      <c r="AN494" s="146"/>
      <c r="AO494" s="146"/>
      <c r="AP494" s="146"/>
      <c r="AQ494" s="146"/>
      <c r="AR494" s="146"/>
      <c r="AS494" s="146"/>
      <c r="AT494" s="146"/>
      <c r="AU494" s="146"/>
      <c r="AV494" s="146"/>
      <c r="AW494" s="146"/>
      <c r="AX494" s="146"/>
      <c r="AY494" s="146"/>
      <c r="AZ494" s="146"/>
      <c r="BA494" s="146"/>
      <c r="BB494" s="146"/>
      <c r="BC494" s="146"/>
      <c r="BD494" s="146"/>
      <c r="BE494" s="146"/>
      <c r="BF494" s="146"/>
      <c r="BG494" s="146"/>
      <c r="BH494" s="146"/>
      <c r="BI494" s="146"/>
      <c r="BJ494" s="146"/>
      <c r="BK494" s="146"/>
      <c r="BL494" s="146"/>
      <c r="BM494" s="146"/>
      <c r="BN494" s="146"/>
      <c r="BO494" s="146"/>
      <c r="BP494" s="146"/>
      <c r="BQ494" s="146"/>
      <c r="BR494" s="146"/>
    </row>
    <row r="495" spans="2:70" ht="15.75" hidden="1">
      <c r="B495" s="146"/>
      <c r="C495" s="146"/>
      <c r="D495" s="146"/>
      <c r="E495" s="146"/>
      <c r="F495" s="146"/>
      <c r="G495" s="146"/>
      <c r="H495" s="146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  <c r="AD495" s="146"/>
      <c r="AE495" s="146"/>
      <c r="AF495" s="146"/>
      <c r="AG495" s="146"/>
      <c r="AH495" s="146"/>
      <c r="AI495" s="146"/>
      <c r="AJ495" s="146"/>
      <c r="AK495" s="146"/>
      <c r="AL495" s="146"/>
      <c r="AM495" s="146"/>
      <c r="AN495" s="146"/>
      <c r="AO495" s="146"/>
      <c r="AP495" s="146"/>
      <c r="AQ495" s="146"/>
      <c r="AR495" s="146"/>
      <c r="AS495" s="146"/>
      <c r="AT495" s="146"/>
      <c r="AU495" s="146"/>
      <c r="AV495" s="146"/>
      <c r="AW495" s="146"/>
      <c r="AX495" s="146"/>
      <c r="AY495" s="146"/>
      <c r="AZ495" s="146"/>
      <c r="BA495" s="146"/>
      <c r="BB495" s="146"/>
      <c r="BC495" s="146"/>
      <c r="BD495" s="146"/>
      <c r="BE495" s="146"/>
      <c r="BF495" s="146"/>
      <c r="BG495" s="146"/>
      <c r="BH495" s="146"/>
      <c r="BI495" s="146"/>
      <c r="BJ495" s="146"/>
      <c r="BK495" s="146"/>
      <c r="BL495" s="146"/>
      <c r="BM495" s="146"/>
      <c r="BN495" s="146"/>
      <c r="BO495" s="146"/>
      <c r="BP495" s="146"/>
      <c r="BQ495" s="146"/>
      <c r="BR495" s="146"/>
    </row>
    <row r="496" spans="2:70" ht="15.75" hidden="1">
      <c r="B496" s="146"/>
      <c r="C496" s="146"/>
      <c r="D496" s="146"/>
      <c r="E496" s="146"/>
      <c r="F496" s="146"/>
      <c r="G496" s="146"/>
      <c r="H496" s="146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  <c r="AD496" s="146"/>
      <c r="AE496" s="146"/>
      <c r="AF496" s="146"/>
      <c r="AG496" s="146"/>
      <c r="AH496" s="146"/>
      <c r="AI496" s="146"/>
      <c r="AJ496" s="146"/>
      <c r="AK496" s="146"/>
      <c r="AL496" s="146"/>
      <c r="AM496" s="146"/>
      <c r="AN496" s="146"/>
      <c r="AO496" s="146"/>
      <c r="AP496" s="146"/>
      <c r="AQ496" s="146"/>
      <c r="AR496" s="146"/>
      <c r="AS496" s="146"/>
      <c r="AT496" s="146"/>
      <c r="AU496" s="146"/>
      <c r="AV496" s="146"/>
      <c r="AW496" s="146"/>
      <c r="AX496" s="146"/>
      <c r="AY496" s="146"/>
      <c r="AZ496" s="146"/>
      <c r="BA496" s="146"/>
      <c r="BB496" s="146"/>
      <c r="BC496" s="146"/>
      <c r="BD496" s="146"/>
      <c r="BE496" s="146"/>
      <c r="BF496" s="146"/>
      <c r="BG496" s="146"/>
      <c r="BH496" s="146"/>
      <c r="BI496" s="146"/>
      <c r="BJ496" s="146"/>
      <c r="BK496" s="146"/>
      <c r="BL496" s="146"/>
      <c r="BM496" s="146"/>
      <c r="BN496" s="146"/>
      <c r="BO496" s="146"/>
      <c r="BP496" s="146"/>
      <c r="BQ496" s="146"/>
      <c r="BR496" s="146"/>
    </row>
    <row r="497" spans="2:70" ht="15.75" hidden="1">
      <c r="B497" s="146"/>
      <c r="C497" s="146"/>
      <c r="D497" s="146"/>
      <c r="E497" s="146"/>
      <c r="F497" s="146"/>
      <c r="G497" s="146"/>
      <c r="H497" s="146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  <c r="AD497" s="146"/>
      <c r="AE497" s="146"/>
      <c r="AF497" s="146"/>
      <c r="AG497" s="146"/>
      <c r="AH497" s="146"/>
      <c r="AI497" s="146"/>
      <c r="AJ497" s="146"/>
      <c r="AK497" s="146"/>
      <c r="AL497" s="146"/>
      <c r="AM497" s="146"/>
      <c r="AN497" s="146"/>
      <c r="AO497" s="146"/>
      <c r="AP497" s="146"/>
      <c r="AQ497" s="146"/>
      <c r="AR497" s="146"/>
      <c r="AS497" s="146"/>
      <c r="AT497" s="146"/>
      <c r="AU497" s="146"/>
      <c r="AV497" s="146"/>
      <c r="AW497" s="146"/>
      <c r="AX497" s="146"/>
      <c r="AY497" s="146"/>
      <c r="AZ497" s="146"/>
      <c r="BA497" s="146"/>
      <c r="BB497" s="146"/>
      <c r="BC497" s="146"/>
      <c r="BD497" s="146"/>
      <c r="BE497" s="146"/>
      <c r="BF497" s="146"/>
      <c r="BG497" s="146"/>
      <c r="BH497" s="146"/>
      <c r="BI497" s="146"/>
      <c r="BJ497" s="146"/>
      <c r="BK497" s="146"/>
      <c r="BL497" s="146"/>
      <c r="BM497" s="146"/>
      <c r="BN497" s="146"/>
      <c r="BO497" s="146"/>
      <c r="BP497" s="146"/>
      <c r="BQ497" s="146"/>
      <c r="BR497" s="146"/>
    </row>
    <row r="498" spans="2:70" ht="15.75" hidden="1">
      <c r="B498" s="146"/>
      <c r="C498" s="146"/>
      <c r="D498" s="146"/>
      <c r="E498" s="146"/>
      <c r="F498" s="146"/>
      <c r="G498" s="146"/>
      <c r="H498" s="146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  <c r="AD498" s="146"/>
      <c r="AE498" s="146"/>
      <c r="AF498" s="146"/>
      <c r="AG498" s="146"/>
      <c r="AH498" s="146"/>
      <c r="AI498" s="146"/>
      <c r="AJ498" s="146"/>
      <c r="AK498" s="146"/>
      <c r="AL498" s="146"/>
      <c r="AM498" s="146"/>
      <c r="AN498" s="146"/>
      <c r="AO498" s="146"/>
      <c r="AP498" s="146"/>
      <c r="AQ498" s="146"/>
      <c r="AR498" s="146"/>
      <c r="AS498" s="146"/>
      <c r="AT498" s="146"/>
      <c r="AU498" s="146"/>
      <c r="AV498" s="146"/>
      <c r="AW498" s="146"/>
      <c r="AX498" s="146"/>
      <c r="AY498" s="146"/>
      <c r="AZ498" s="146"/>
      <c r="BA498" s="146"/>
      <c r="BB498" s="146"/>
      <c r="BC498" s="146"/>
      <c r="BD498" s="146"/>
      <c r="BE498" s="146"/>
      <c r="BF498" s="146"/>
      <c r="BG498" s="146"/>
      <c r="BH498" s="146"/>
      <c r="BI498" s="146"/>
      <c r="BJ498" s="146"/>
      <c r="BK498" s="146"/>
      <c r="BL498" s="146"/>
      <c r="BM498" s="146"/>
      <c r="BN498" s="146"/>
      <c r="BO498" s="146"/>
      <c r="BP498" s="146"/>
      <c r="BQ498" s="146"/>
      <c r="BR498" s="146"/>
    </row>
    <row r="499" spans="2:70" ht="15.75" hidden="1">
      <c r="B499" s="146"/>
      <c r="C499" s="146"/>
      <c r="D499" s="146"/>
      <c r="E499" s="146"/>
      <c r="F499" s="146"/>
      <c r="G499" s="146"/>
      <c r="H499" s="146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  <c r="AD499" s="146"/>
      <c r="AE499" s="146"/>
      <c r="AF499" s="146"/>
      <c r="AG499" s="146"/>
      <c r="AH499" s="146"/>
      <c r="AI499" s="146"/>
      <c r="AJ499" s="146"/>
      <c r="AK499" s="146"/>
      <c r="AL499" s="146"/>
      <c r="AM499" s="146"/>
      <c r="AN499" s="146"/>
      <c r="AO499" s="146"/>
      <c r="AP499" s="146"/>
      <c r="AQ499" s="146"/>
      <c r="AR499" s="146"/>
      <c r="AS499" s="146"/>
      <c r="AT499" s="146"/>
      <c r="AU499" s="146"/>
      <c r="AV499" s="146"/>
      <c r="AW499" s="146"/>
      <c r="AX499" s="146"/>
      <c r="AY499" s="146"/>
      <c r="AZ499" s="146"/>
      <c r="BA499" s="146"/>
      <c r="BB499" s="146"/>
      <c r="BC499" s="146"/>
      <c r="BD499" s="146"/>
      <c r="BE499" s="146"/>
      <c r="BF499" s="146"/>
      <c r="BG499" s="146"/>
      <c r="BH499" s="146"/>
      <c r="BI499" s="146"/>
      <c r="BJ499" s="146"/>
      <c r="BK499" s="146"/>
      <c r="BL499" s="146"/>
      <c r="BM499" s="146"/>
      <c r="BN499" s="146"/>
      <c r="BO499" s="146"/>
      <c r="BP499" s="146"/>
      <c r="BQ499" s="146"/>
      <c r="BR499" s="146"/>
    </row>
    <row r="500" spans="2:70" ht="15.75" hidden="1">
      <c r="B500" s="146"/>
      <c r="C500" s="146"/>
      <c r="D500" s="146"/>
      <c r="E500" s="146"/>
      <c r="F500" s="146"/>
      <c r="G500" s="146"/>
      <c r="H500" s="146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  <c r="AD500" s="146"/>
      <c r="AE500" s="146"/>
      <c r="AF500" s="146"/>
      <c r="AG500" s="146"/>
      <c r="AH500" s="146"/>
      <c r="AI500" s="146"/>
      <c r="AJ500" s="146"/>
      <c r="AK500" s="146"/>
      <c r="AL500" s="146"/>
      <c r="AM500" s="146"/>
      <c r="AN500" s="146"/>
      <c r="AO500" s="146"/>
      <c r="AP500" s="146"/>
      <c r="AQ500" s="146"/>
      <c r="AR500" s="146"/>
      <c r="AS500" s="146"/>
      <c r="AT500" s="146"/>
      <c r="AU500" s="146"/>
      <c r="AV500" s="146"/>
      <c r="AW500" s="146"/>
      <c r="AX500" s="146"/>
      <c r="AY500" s="146"/>
      <c r="AZ500" s="146"/>
      <c r="BA500" s="146"/>
      <c r="BB500" s="146"/>
      <c r="BC500" s="146"/>
      <c r="BD500" s="146"/>
      <c r="BE500" s="146"/>
      <c r="BF500" s="146"/>
      <c r="BG500" s="146"/>
      <c r="BH500" s="146"/>
      <c r="BI500" s="146"/>
      <c r="BJ500" s="146"/>
      <c r="BK500" s="146"/>
      <c r="BL500" s="146"/>
      <c r="BM500" s="146"/>
      <c r="BN500" s="146"/>
      <c r="BO500" s="146"/>
      <c r="BP500" s="146"/>
      <c r="BQ500" s="146"/>
      <c r="BR500" s="146"/>
    </row>
    <row r="501" spans="2:70" ht="15.75" hidden="1">
      <c r="B501" s="146"/>
      <c r="C501" s="146"/>
      <c r="D501" s="146"/>
      <c r="E501" s="146"/>
      <c r="F501" s="146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  <c r="AF501" s="146"/>
      <c r="AG501" s="146"/>
      <c r="AH501" s="146"/>
      <c r="AI501" s="146"/>
      <c r="AJ501" s="146"/>
      <c r="AK501" s="146"/>
      <c r="AL501" s="146"/>
      <c r="AM501" s="146"/>
      <c r="AN501" s="146"/>
      <c r="AO501" s="146"/>
      <c r="AP501" s="146"/>
      <c r="AQ501" s="146"/>
      <c r="AR501" s="146"/>
      <c r="AS501" s="146"/>
      <c r="AT501" s="146"/>
      <c r="AU501" s="146"/>
      <c r="AV501" s="146"/>
      <c r="AW501" s="146"/>
      <c r="AX501" s="146"/>
      <c r="AY501" s="146"/>
      <c r="AZ501" s="146"/>
      <c r="BA501" s="146"/>
      <c r="BB501" s="146"/>
      <c r="BC501" s="146"/>
      <c r="BD501" s="146"/>
      <c r="BE501" s="146"/>
      <c r="BF501" s="146"/>
      <c r="BG501" s="146"/>
      <c r="BH501" s="146"/>
      <c r="BI501" s="146"/>
      <c r="BJ501" s="146"/>
      <c r="BK501" s="146"/>
      <c r="BL501" s="146"/>
      <c r="BM501" s="146"/>
      <c r="BN501" s="146"/>
      <c r="BO501" s="146"/>
      <c r="BP501" s="146"/>
      <c r="BQ501" s="146"/>
      <c r="BR501" s="146"/>
    </row>
    <row r="502" spans="2:70" ht="15.75" hidden="1">
      <c r="B502" s="146"/>
      <c r="C502" s="146"/>
      <c r="D502" s="146"/>
      <c r="E502" s="146"/>
      <c r="F502" s="146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  <c r="AF502" s="146"/>
      <c r="AG502" s="146"/>
      <c r="AH502" s="146"/>
      <c r="AI502" s="146"/>
      <c r="AJ502" s="146"/>
      <c r="AK502" s="146"/>
      <c r="AL502" s="146"/>
      <c r="AM502" s="146"/>
      <c r="AN502" s="146"/>
      <c r="AO502" s="146"/>
      <c r="AP502" s="146"/>
      <c r="AQ502" s="146"/>
      <c r="AR502" s="146"/>
      <c r="AS502" s="146"/>
      <c r="AT502" s="146"/>
      <c r="AU502" s="146"/>
      <c r="AV502" s="146"/>
      <c r="AW502" s="146"/>
      <c r="AX502" s="146"/>
      <c r="AY502" s="146"/>
      <c r="AZ502" s="146"/>
      <c r="BA502" s="146"/>
      <c r="BB502" s="146"/>
      <c r="BC502" s="146"/>
      <c r="BD502" s="146"/>
      <c r="BE502" s="146"/>
      <c r="BF502" s="146"/>
      <c r="BG502" s="146"/>
      <c r="BH502" s="146"/>
      <c r="BI502" s="146"/>
      <c r="BJ502" s="146"/>
      <c r="BK502" s="146"/>
      <c r="BL502" s="146"/>
      <c r="BM502" s="146"/>
      <c r="BN502" s="146"/>
      <c r="BO502" s="146"/>
      <c r="BP502" s="146"/>
      <c r="BQ502" s="146"/>
      <c r="BR502" s="146"/>
    </row>
    <row r="503" spans="2:70" ht="15.75" hidden="1">
      <c r="B503" s="146"/>
      <c r="C503" s="146"/>
      <c r="D503" s="146"/>
      <c r="E503" s="146"/>
      <c r="F503" s="146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  <c r="AF503" s="146"/>
      <c r="AG503" s="146"/>
      <c r="AH503" s="146"/>
      <c r="AI503" s="146"/>
      <c r="AJ503" s="146"/>
      <c r="AK503" s="146"/>
      <c r="AL503" s="146"/>
      <c r="AM503" s="146"/>
      <c r="AN503" s="146"/>
      <c r="AO503" s="146"/>
      <c r="AP503" s="146"/>
      <c r="AQ503" s="146"/>
      <c r="AR503" s="146"/>
      <c r="AS503" s="146"/>
      <c r="AT503" s="146"/>
      <c r="AU503" s="146"/>
      <c r="AV503" s="146"/>
      <c r="AW503" s="146"/>
      <c r="AX503" s="146"/>
      <c r="AY503" s="146"/>
      <c r="AZ503" s="146"/>
      <c r="BA503" s="146"/>
      <c r="BB503" s="146"/>
      <c r="BC503" s="146"/>
      <c r="BD503" s="146"/>
      <c r="BE503" s="146"/>
      <c r="BF503" s="146"/>
      <c r="BG503" s="146"/>
      <c r="BH503" s="146"/>
      <c r="BI503" s="146"/>
      <c r="BJ503" s="146"/>
      <c r="BK503" s="146"/>
      <c r="BL503" s="146"/>
      <c r="BM503" s="146"/>
      <c r="BN503" s="146"/>
      <c r="BO503" s="146"/>
      <c r="BP503" s="146"/>
      <c r="BQ503" s="146"/>
      <c r="BR503" s="146"/>
    </row>
    <row r="504" spans="2:70" ht="15.75" hidden="1">
      <c r="B504" s="146"/>
      <c r="C504" s="146"/>
      <c r="D504" s="146"/>
      <c r="E504" s="146"/>
      <c r="F504" s="146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  <c r="AF504" s="146"/>
      <c r="AG504" s="146"/>
      <c r="AH504" s="146"/>
      <c r="AI504" s="146"/>
      <c r="AJ504" s="146"/>
      <c r="AK504" s="146"/>
      <c r="AL504" s="146"/>
      <c r="AM504" s="146"/>
      <c r="AN504" s="146"/>
      <c r="AO504" s="146"/>
      <c r="AP504" s="146"/>
      <c r="AQ504" s="146"/>
      <c r="AR504" s="146"/>
      <c r="AS504" s="146"/>
      <c r="AT504" s="146"/>
      <c r="AU504" s="146"/>
      <c r="AV504" s="146"/>
      <c r="AW504" s="146"/>
      <c r="AX504" s="146"/>
      <c r="AY504" s="146"/>
      <c r="AZ504" s="146"/>
      <c r="BA504" s="146"/>
      <c r="BB504" s="146"/>
      <c r="BC504" s="146"/>
      <c r="BD504" s="146"/>
      <c r="BE504" s="146"/>
      <c r="BF504" s="146"/>
      <c r="BG504" s="146"/>
      <c r="BH504" s="146"/>
      <c r="BI504" s="146"/>
      <c r="BJ504" s="146"/>
      <c r="BK504" s="146"/>
      <c r="BL504" s="146"/>
      <c r="BM504" s="146"/>
      <c r="BN504" s="146"/>
      <c r="BO504" s="146"/>
      <c r="BP504" s="146"/>
      <c r="BQ504" s="146"/>
      <c r="BR504" s="146"/>
    </row>
    <row r="505" spans="2:70" ht="15.75" hidden="1">
      <c r="B505" s="146"/>
      <c r="C505" s="146"/>
      <c r="D505" s="146"/>
      <c r="E505" s="146"/>
      <c r="F505" s="146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  <c r="AF505" s="146"/>
      <c r="AG505" s="146"/>
      <c r="AH505" s="146"/>
      <c r="AI505" s="146"/>
      <c r="AJ505" s="146"/>
      <c r="AK505" s="146"/>
      <c r="AL505" s="146"/>
      <c r="AM505" s="146"/>
      <c r="AN505" s="146"/>
      <c r="AO505" s="146"/>
      <c r="AP505" s="146"/>
      <c r="AQ505" s="146"/>
      <c r="AR505" s="146"/>
      <c r="AS505" s="146"/>
      <c r="AT505" s="146"/>
      <c r="AU505" s="146"/>
      <c r="AV505" s="146"/>
      <c r="AW505" s="146"/>
      <c r="AX505" s="146"/>
      <c r="AY505" s="146"/>
      <c r="AZ505" s="146"/>
      <c r="BA505" s="146"/>
      <c r="BB505" s="146"/>
      <c r="BC505" s="146"/>
      <c r="BD505" s="146"/>
      <c r="BE505" s="146"/>
      <c r="BF505" s="146"/>
      <c r="BG505" s="146"/>
      <c r="BH505" s="146"/>
      <c r="BI505" s="146"/>
      <c r="BJ505" s="146"/>
      <c r="BK505" s="146"/>
      <c r="BL505" s="146"/>
      <c r="BM505" s="146"/>
      <c r="BN505" s="146"/>
      <c r="BO505" s="146"/>
      <c r="BP505" s="146"/>
      <c r="BQ505" s="146"/>
      <c r="BR505" s="146"/>
    </row>
    <row r="506" spans="2:70" ht="15.75" hidden="1">
      <c r="B506" s="146"/>
      <c r="C506" s="146"/>
      <c r="D506" s="146"/>
      <c r="E506" s="146"/>
      <c r="F506" s="146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  <c r="AF506" s="146"/>
      <c r="AG506" s="146"/>
      <c r="AH506" s="146"/>
      <c r="AI506" s="146"/>
      <c r="AJ506" s="146"/>
      <c r="AK506" s="146"/>
      <c r="AL506" s="146"/>
      <c r="AM506" s="146"/>
      <c r="AN506" s="146"/>
      <c r="AO506" s="146"/>
      <c r="AP506" s="146"/>
      <c r="AQ506" s="146"/>
      <c r="AR506" s="146"/>
      <c r="AS506" s="146"/>
      <c r="AT506" s="146"/>
      <c r="AU506" s="146"/>
      <c r="AV506" s="146"/>
      <c r="AW506" s="146"/>
      <c r="AX506" s="146"/>
      <c r="AY506" s="146"/>
      <c r="AZ506" s="146"/>
      <c r="BA506" s="146"/>
      <c r="BB506" s="146"/>
      <c r="BC506" s="146"/>
      <c r="BD506" s="146"/>
      <c r="BE506" s="146"/>
      <c r="BF506" s="146"/>
      <c r="BG506" s="146"/>
      <c r="BH506" s="146"/>
      <c r="BI506" s="146"/>
      <c r="BJ506" s="146"/>
      <c r="BK506" s="146"/>
      <c r="BL506" s="146"/>
      <c r="BM506" s="146"/>
      <c r="BN506" s="146"/>
      <c r="BO506" s="146"/>
      <c r="BP506" s="146"/>
      <c r="BQ506" s="146"/>
      <c r="BR506" s="146"/>
    </row>
    <row r="507" spans="2:70" ht="15.75" hidden="1">
      <c r="B507" s="146"/>
      <c r="C507" s="146"/>
      <c r="D507" s="146"/>
      <c r="E507" s="146"/>
      <c r="F507" s="146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  <c r="AF507" s="146"/>
      <c r="AG507" s="146"/>
      <c r="AH507" s="146"/>
      <c r="AI507" s="146"/>
      <c r="AJ507" s="146"/>
      <c r="AK507" s="146"/>
      <c r="AL507" s="146"/>
      <c r="AM507" s="146"/>
      <c r="AN507" s="146"/>
      <c r="AO507" s="146"/>
      <c r="AP507" s="146"/>
      <c r="AQ507" s="146"/>
      <c r="AR507" s="146"/>
      <c r="AS507" s="146"/>
      <c r="AT507" s="146"/>
      <c r="AU507" s="146"/>
      <c r="AV507" s="146"/>
      <c r="AW507" s="146"/>
      <c r="AX507" s="146"/>
      <c r="AY507" s="146"/>
      <c r="AZ507" s="146"/>
      <c r="BA507" s="146"/>
      <c r="BB507" s="146"/>
      <c r="BC507" s="146"/>
      <c r="BD507" s="146"/>
      <c r="BE507" s="146"/>
      <c r="BF507" s="146"/>
      <c r="BG507" s="146"/>
      <c r="BH507" s="146"/>
      <c r="BI507" s="146"/>
      <c r="BJ507" s="146"/>
      <c r="BK507" s="146"/>
      <c r="BL507" s="146"/>
      <c r="BM507" s="146"/>
      <c r="BN507" s="146"/>
      <c r="BO507" s="146"/>
      <c r="BP507" s="146"/>
      <c r="BQ507" s="146"/>
      <c r="BR507" s="146"/>
    </row>
    <row r="508" spans="2:70" ht="15.75" hidden="1">
      <c r="B508" s="146"/>
      <c r="C508" s="146"/>
      <c r="D508" s="146"/>
      <c r="E508" s="146"/>
      <c r="F508" s="146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  <c r="AF508" s="146"/>
      <c r="AG508" s="146"/>
      <c r="AH508" s="146"/>
      <c r="AI508" s="146"/>
      <c r="AJ508" s="146"/>
      <c r="AK508" s="146"/>
      <c r="AL508" s="146"/>
      <c r="AM508" s="146"/>
      <c r="AN508" s="146"/>
      <c r="AO508" s="146"/>
      <c r="AP508" s="146"/>
      <c r="AQ508" s="146"/>
      <c r="AR508" s="146"/>
      <c r="AS508" s="146"/>
      <c r="AT508" s="146"/>
      <c r="AU508" s="146"/>
      <c r="AV508" s="146"/>
      <c r="AW508" s="146"/>
      <c r="AX508" s="146"/>
      <c r="AY508" s="146"/>
      <c r="AZ508" s="146"/>
      <c r="BA508" s="146"/>
      <c r="BB508" s="146"/>
      <c r="BC508" s="146"/>
      <c r="BD508" s="146"/>
      <c r="BE508" s="146"/>
      <c r="BF508" s="146"/>
      <c r="BG508" s="146"/>
      <c r="BH508" s="146"/>
      <c r="BI508" s="146"/>
      <c r="BJ508" s="146"/>
      <c r="BK508" s="146"/>
      <c r="BL508" s="146"/>
      <c r="BM508" s="146"/>
      <c r="BN508" s="146"/>
      <c r="BO508" s="146"/>
      <c r="BP508" s="146"/>
      <c r="BQ508" s="146"/>
      <c r="BR508" s="146"/>
    </row>
    <row r="509" spans="2:70" ht="15.75" hidden="1">
      <c r="B509" s="146"/>
      <c r="C509" s="146"/>
      <c r="D509" s="146"/>
      <c r="E509" s="146"/>
      <c r="F509" s="146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  <c r="AF509" s="146"/>
      <c r="AG509" s="146"/>
      <c r="AH509" s="146"/>
      <c r="AI509" s="146"/>
      <c r="AJ509" s="146"/>
      <c r="AK509" s="146"/>
      <c r="AL509" s="146"/>
      <c r="AM509" s="146"/>
      <c r="AN509" s="146"/>
      <c r="AO509" s="146"/>
      <c r="AP509" s="146"/>
      <c r="AQ509" s="146"/>
      <c r="AR509" s="146"/>
      <c r="AS509" s="146"/>
      <c r="AT509" s="146"/>
      <c r="AU509" s="146"/>
      <c r="AV509" s="146"/>
      <c r="AW509" s="146"/>
      <c r="AX509" s="146"/>
      <c r="AY509" s="146"/>
      <c r="AZ509" s="146"/>
      <c r="BA509" s="146"/>
      <c r="BB509" s="146"/>
      <c r="BC509" s="146"/>
      <c r="BD509" s="146"/>
      <c r="BE509" s="146"/>
      <c r="BF509" s="146"/>
      <c r="BG509" s="146"/>
      <c r="BH509" s="146"/>
      <c r="BI509" s="146"/>
      <c r="BJ509" s="146"/>
      <c r="BK509" s="146"/>
      <c r="BL509" s="146"/>
      <c r="BM509" s="146"/>
      <c r="BN509" s="146"/>
      <c r="BO509" s="146"/>
      <c r="BP509" s="146"/>
      <c r="BQ509" s="146"/>
      <c r="BR509" s="146"/>
    </row>
    <row r="510" spans="2:70" ht="15.75" hidden="1">
      <c r="B510" s="146"/>
      <c r="C510" s="146"/>
      <c r="D510" s="146"/>
      <c r="E510" s="146"/>
      <c r="F510" s="146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  <c r="AF510" s="146"/>
      <c r="AG510" s="146"/>
      <c r="AH510" s="146"/>
      <c r="AI510" s="146"/>
      <c r="AJ510" s="146"/>
      <c r="AK510" s="146"/>
      <c r="AL510" s="146"/>
      <c r="AM510" s="146"/>
      <c r="AN510" s="146"/>
      <c r="AO510" s="146"/>
      <c r="AP510" s="146"/>
      <c r="AQ510" s="146"/>
      <c r="AR510" s="146"/>
      <c r="AS510" s="146"/>
      <c r="AT510" s="146"/>
      <c r="AU510" s="146"/>
      <c r="AV510" s="146"/>
      <c r="AW510" s="146"/>
      <c r="AX510" s="146"/>
      <c r="AY510" s="146"/>
      <c r="AZ510" s="146"/>
      <c r="BA510" s="146"/>
      <c r="BB510" s="146"/>
      <c r="BC510" s="146"/>
      <c r="BD510" s="146"/>
      <c r="BE510" s="146"/>
      <c r="BF510" s="146"/>
      <c r="BG510" s="146"/>
      <c r="BH510" s="146"/>
      <c r="BI510" s="146"/>
      <c r="BJ510" s="146"/>
      <c r="BK510" s="146"/>
      <c r="BL510" s="146"/>
      <c r="BM510" s="146"/>
      <c r="BN510" s="146"/>
      <c r="BO510" s="146"/>
      <c r="BP510" s="146"/>
      <c r="BQ510" s="146"/>
      <c r="BR510" s="146"/>
    </row>
    <row r="511" spans="2:70" ht="15.75" hidden="1">
      <c r="B511" s="146"/>
      <c r="C511" s="146"/>
      <c r="D511" s="146"/>
      <c r="E511" s="146"/>
      <c r="F511" s="146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  <c r="AF511" s="146"/>
      <c r="AG511" s="146"/>
      <c r="AH511" s="146"/>
      <c r="AI511" s="146"/>
      <c r="AJ511" s="146"/>
      <c r="AK511" s="146"/>
      <c r="AL511" s="146"/>
      <c r="AM511" s="146"/>
      <c r="AN511" s="146"/>
      <c r="AO511" s="146"/>
      <c r="AP511" s="146"/>
      <c r="AQ511" s="146"/>
      <c r="AR511" s="146"/>
      <c r="AS511" s="146"/>
      <c r="AT511" s="146"/>
      <c r="AU511" s="146"/>
      <c r="AV511" s="146"/>
      <c r="AW511" s="146"/>
      <c r="AX511" s="146"/>
      <c r="AY511" s="146"/>
      <c r="AZ511" s="146"/>
      <c r="BA511" s="146"/>
      <c r="BB511" s="146"/>
      <c r="BC511" s="146"/>
      <c r="BD511" s="146"/>
      <c r="BE511" s="146"/>
      <c r="BF511" s="146"/>
      <c r="BG511" s="146"/>
      <c r="BH511" s="146"/>
      <c r="BI511" s="146"/>
      <c r="BJ511" s="146"/>
      <c r="BK511" s="146"/>
      <c r="BL511" s="146"/>
      <c r="BM511" s="146"/>
      <c r="BN511" s="146"/>
      <c r="BO511" s="146"/>
      <c r="BP511" s="146"/>
      <c r="BQ511" s="146"/>
      <c r="BR511" s="146"/>
    </row>
    <row r="512" spans="2:70" ht="15.75" hidden="1">
      <c r="B512" s="146"/>
      <c r="C512" s="146"/>
      <c r="D512" s="146"/>
      <c r="E512" s="146"/>
      <c r="F512" s="146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  <c r="AF512" s="146"/>
      <c r="AG512" s="146"/>
      <c r="AH512" s="146"/>
      <c r="AI512" s="146"/>
      <c r="AJ512" s="146"/>
      <c r="AK512" s="146"/>
      <c r="AL512" s="146"/>
      <c r="AM512" s="146"/>
      <c r="AN512" s="146"/>
      <c r="AO512" s="146"/>
      <c r="AP512" s="146"/>
      <c r="AQ512" s="146"/>
      <c r="AR512" s="146"/>
      <c r="AS512" s="146"/>
      <c r="AT512" s="146"/>
      <c r="AU512" s="146"/>
      <c r="AV512" s="146"/>
      <c r="AW512" s="146"/>
      <c r="AX512" s="146"/>
      <c r="AY512" s="146"/>
      <c r="AZ512" s="146"/>
      <c r="BA512" s="146"/>
      <c r="BB512" s="146"/>
      <c r="BC512" s="146"/>
      <c r="BD512" s="146"/>
      <c r="BE512" s="146"/>
      <c r="BF512" s="146"/>
      <c r="BG512" s="146"/>
      <c r="BH512" s="146"/>
      <c r="BI512" s="146"/>
      <c r="BJ512" s="146"/>
      <c r="BK512" s="146"/>
      <c r="BL512" s="146"/>
      <c r="BM512" s="146"/>
      <c r="BN512" s="146"/>
      <c r="BO512" s="146"/>
      <c r="BP512" s="146"/>
      <c r="BQ512" s="146"/>
      <c r="BR512" s="146"/>
    </row>
    <row r="513" spans="2:70" ht="15.75" hidden="1">
      <c r="B513" s="146"/>
      <c r="C513" s="146"/>
      <c r="D513" s="146"/>
      <c r="E513" s="146"/>
      <c r="F513" s="146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  <c r="AF513" s="146"/>
      <c r="AG513" s="146"/>
      <c r="AH513" s="146"/>
      <c r="AI513" s="146"/>
      <c r="AJ513" s="146"/>
      <c r="AK513" s="146"/>
      <c r="AL513" s="146"/>
      <c r="AM513" s="146"/>
      <c r="AN513" s="146"/>
      <c r="AO513" s="146"/>
      <c r="AP513" s="146"/>
      <c r="AQ513" s="146"/>
      <c r="AR513" s="146"/>
      <c r="AS513" s="146"/>
      <c r="AT513" s="146"/>
      <c r="AU513" s="146"/>
      <c r="AV513" s="146"/>
      <c r="AW513" s="146"/>
      <c r="AX513" s="146"/>
      <c r="AY513" s="146"/>
      <c r="AZ513" s="146"/>
      <c r="BA513" s="146"/>
      <c r="BB513" s="146"/>
      <c r="BC513" s="146"/>
      <c r="BD513" s="146"/>
      <c r="BE513" s="146"/>
      <c r="BF513" s="146"/>
      <c r="BG513" s="146"/>
      <c r="BH513" s="146"/>
      <c r="BI513" s="146"/>
      <c r="BJ513" s="146"/>
      <c r="BK513" s="146"/>
      <c r="BL513" s="146"/>
      <c r="BM513" s="146"/>
      <c r="BN513" s="146"/>
      <c r="BO513" s="146"/>
      <c r="BP513" s="146"/>
      <c r="BQ513" s="146"/>
      <c r="BR513" s="146"/>
    </row>
    <row r="514" spans="2:70" ht="15.75" hidden="1">
      <c r="B514" s="146"/>
      <c r="C514" s="146"/>
      <c r="D514" s="146"/>
      <c r="E514" s="146"/>
      <c r="F514" s="146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  <c r="AF514" s="146"/>
      <c r="AG514" s="146"/>
      <c r="AH514" s="146"/>
      <c r="AI514" s="146"/>
      <c r="AJ514" s="146"/>
      <c r="AK514" s="146"/>
      <c r="AL514" s="146"/>
      <c r="AM514" s="146"/>
      <c r="AN514" s="146"/>
      <c r="AO514" s="146"/>
      <c r="AP514" s="146"/>
      <c r="AQ514" s="146"/>
      <c r="AR514" s="146"/>
      <c r="AS514" s="146"/>
      <c r="AT514" s="146"/>
      <c r="AU514" s="146"/>
      <c r="AV514" s="146"/>
      <c r="AW514" s="146"/>
      <c r="AX514" s="146"/>
      <c r="AY514" s="146"/>
      <c r="AZ514" s="146"/>
      <c r="BA514" s="146"/>
      <c r="BB514" s="146"/>
      <c r="BC514" s="146"/>
      <c r="BD514" s="146"/>
      <c r="BE514" s="146"/>
      <c r="BF514" s="146"/>
      <c r="BG514" s="146"/>
      <c r="BH514" s="146"/>
      <c r="BI514" s="146"/>
      <c r="BJ514" s="146"/>
      <c r="BK514" s="146"/>
      <c r="BL514" s="146"/>
      <c r="BM514" s="146"/>
      <c r="BN514" s="146"/>
      <c r="BO514" s="146"/>
      <c r="BP514" s="146"/>
      <c r="BQ514" s="146"/>
      <c r="BR514" s="146"/>
    </row>
    <row r="515" spans="2:70" ht="15.75" hidden="1">
      <c r="B515" s="146"/>
      <c r="C515" s="146"/>
      <c r="D515" s="146"/>
      <c r="E515" s="146"/>
      <c r="F515" s="146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  <c r="AF515" s="146"/>
      <c r="AG515" s="146"/>
      <c r="AH515" s="146"/>
      <c r="AI515" s="146"/>
      <c r="AJ515" s="146"/>
      <c r="AK515" s="146"/>
      <c r="AL515" s="146"/>
      <c r="AM515" s="146"/>
      <c r="AN515" s="146"/>
      <c r="AO515" s="146"/>
      <c r="AP515" s="146"/>
      <c r="AQ515" s="146"/>
      <c r="AR515" s="146"/>
      <c r="AS515" s="146"/>
      <c r="AT515" s="146"/>
      <c r="AU515" s="146"/>
      <c r="AV515" s="146"/>
      <c r="AW515" s="146"/>
      <c r="AX515" s="146"/>
      <c r="AY515" s="146"/>
      <c r="AZ515" s="146"/>
      <c r="BA515" s="146"/>
      <c r="BB515" s="146"/>
      <c r="BC515" s="146"/>
      <c r="BD515" s="146"/>
      <c r="BE515" s="146"/>
      <c r="BF515" s="146"/>
      <c r="BG515" s="146"/>
      <c r="BH515" s="146"/>
      <c r="BI515" s="146"/>
      <c r="BJ515" s="146"/>
      <c r="BK515" s="146"/>
      <c r="BL515" s="146"/>
      <c r="BM515" s="146"/>
      <c r="BN515" s="146"/>
      <c r="BO515" s="146"/>
      <c r="BP515" s="146"/>
      <c r="BQ515" s="146"/>
      <c r="BR515" s="146"/>
    </row>
    <row r="516" spans="2:70" ht="15.75" hidden="1">
      <c r="B516" s="146"/>
      <c r="C516" s="146"/>
      <c r="D516" s="146"/>
      <c r="E516" s="146"/>
      <c r="F516" s="146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  <c r="AF516" s="146"/>
      <c r="AG516" s="146"/>
      <c r="AH516" s="146"/>
      <c r="AI516" s="146"/>
      <c r="AJ516" s="146"/>
      <c r="AK516" s="146"/>
      <c r="AL516" s="146"/>
      <c r="AM516" s="146"/>
      <c r="AN516" s="146"/>
      <c r="AO516" s="146"/>
      <c r="AP516" s="146"/>
      <c r="AQ516" s="146"/>
      <c r="AR516" s="146"/>
      <c r="AS516" s="146"/>
      <c r="AT516" s="146"/>
      <c r="AU516" s="146"/>
      <c r="AV516" s="146"/>
      <c r="AW516" s="146"/>
      <c r="AX516" s="146"/>
      <c r="AY516" s="146"/>
      <c r="AZ516" s="146"/>
      <c r="BA516" s="146"/>
      <c r="BB516" s="146"/>
      <c r="BC516" s="146"/>
      <c r="BD516" s="146"/>
      <c r="BE516" s="146"/>
      <c r="BF516" s="146"/>
      <c r="BG516" s="146"/>
      <c r="BH516" s="146"/>
      <c r="BI516" s="146"/>
      <c r="BJ516" s="146"/>
      <c r="BK516" s="146"/>
      <c r="BL516" s="146"/>
      <c r="BM516" s="146"/>
      <c r="BN516" s="146"/>
      <c r="BO516" s="146"/>
      <c r="BP516" s="146"/>
      <c r="BQ516" s="146"/>
      <c r="BR516" s="146"/>
    </row>
    <row r="517" spans="2:70" ht="15.75" hidden="1">
      <c r="B517" s="146"/>
      <c r="C517" s="146"/>
      <c r="D517" s="146"/>
      <c r="E517" s="146"/>
      <c r="F517" s="146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  <c r="AF517" s="146"/>
      <c r="AG517" s="146"/>
      <c r="AH517" s="146"/>
      <c r="AI517" s="146"/>
      <c r="AJ517" s="146"/>
      <c r="AK517" s="146"/>
      <c r="AL517" s="146"/>
      <c r="AM517" s="146"/>
      <c r="AN517" s="146"/>
      <c r="AO517" s="146"/>
      <c r="AP517" s="146"/>
      <c r="AQ517" s="146"/>
      <c r="AR517" s="146"/>
      <c r="AS517" s="146"/>
      <c r="AT517" s="146"/>
      <c r="AU517" s="146"/>
      <c r="AV517" s="146"/>
      <c r="AW517" s="146"/>
      <c r="AX517" s="146"/>
      <c r="AY517" s="146"/>
      <c r="AZ517" s="146"/>
      <c r="BA517" s="146"/>
      <c r="BB517" s="146"/>
      <c r="BC517" s="146"/>
      <c r="BD517" s="146"/>
      <c r="BE517" s="146"/>
      <c r="BF517" s="146"/>
      <c r="BG517" s="146"/>
      <c r="BH517" s="146"/>
      <c r="BI517" s="146"/>
      <c r="BJ517" s="146"/>
      <c r="BK517" s="146"/>
      <c r="BL517" s="146"/>
      <c r="BM517" s="146"/>
      <c r="BN517" s="146"/>
      <c r="BO517" s="146"/>
      <c r="BP517" s="146"/>
      <c r="BQ517" s="146"/>
      <c r="BR517" s="146"/>
    </row>
    <row r="518" spans="2:70" ht="15.75" hidden="1">
      <c r="B518" s="146"/>
      <c r="C518" s="146"/>
      <c r="D518" s="146"/>
      <c r="E518" s="146"/>
      <c r="F518" s="146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  <c r="AF518" s="146"/>
      <c r="AG518" s="146"/>
      <c r="AH518" s="146"/>
      <c r="AI518" s="146"/>
      <c r="AJ518" s="146"/>
      <c r="AK518" s="146"/>
      <c r="AL518" s="146"/>
      <c r="AM518" s="146"/>
      <c r="AN518" s="146"/>
      <c r="AO518" s="146"/>
      <c r="AP518" s="146"/>
      <c r="AQ518" s="146"/>
      <c r="AR518" s="146"/>
      <c r="AS518" s="146"/>
      <c r="AT518" s="146"/>
      <c r="AU518" s="146"/>
      <c r="AV518" s="146"/>
      <c r="AW518" s="146"/>
      <c r="AX518" s="146"/>
      <c r="AY518" s="146"/>
      <c r="AZ518" s="146"/>
      <c r="BA518" s="146"/>
      <c r="BB518" s="146"/>
      <c r="BC518" s="146"/>
      <c r="BD518" s="146"/>
      <c r="BE518" s="146"/>
      <c r="BF518" s="146"/>
      <c r="BG518" s="146"/>
      <c r="BH518" s="146"/>
      <c r="BI518" s="146"/>
      <c r="BJ518" s="146"/>
      <c r="BK518" s="146"/>
      <c r="BL518" s="146"/>
      <c r="BM518" s="146"/>
      <c r="BN518" s="146"/>
      <c r="BO518" s="146"/>
      <c r="BP518" s="146"/>
      <c r="BQ518" s="146"/>
      <c r="BR518" s="146"/>
    </row>
    <row r="519" spans="2:70" ht="15.75" hidden="1">
      <c r="B519" s="146"/>
      <c r="C519" s="146"/>
      <c r="D519" s="146"/>
      <c r="E519" s="146"/>
      <c r="F519" s="146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  <c r="AF519" s="146"/>
      <c r="AG519" s="146"/>
      <c r="AH519" s="146"/>
      <c r="AI519" s="146"/>
      <c r="AJ519" s="146"/>
      <c r="AK519" s="146"/>
      <c r="AL519" s="146"/>
      <c r="AM519" s="146"/>
      <c r="AN519" s="146"/>
      <c r="AO519" s="146"/>
      <c r="AP519" s="146"/>
      <c r="AQ519" s="146"/>
      <c r="AR519" s="146"/>
      <c r="AS519" s="146"/>
      <c r="AT519" s="146"/>
      <c r="AU519" s="146"/>
      <c r="AV519" s="146"/>
      <c r="AW519" s="146"/>
      <c r="AX519" s="146"/>
      <c r="AY519" s="146"/>
      <c r="AZ519" s="146"/>
      <c r="BA519" s="146"/>
      <c r="BB519" s="146"/>
      <c r="BC519" s="146"/>
      <c r="BD519" s="146"/>
      <c r="BE519" s="146"/>
      <c r="BF519" s="146"/>
      <c r="BG519" s="146"/>
      <c r="BH519" s="146"/>
      <c r="BI519" s="146"/>
      <c r="BJ519" s="146"/>
      <c r="BK519" s="146"/>
      <c r="BL519" s="146"/>
      <c r="BM519" s="146"/>
      <c r="BN519" s="146"/>
      <c r="BO519" s="146"/>
      <c r="BP519" s="146"/>
      <c r="BQ519" s="146"/>
      <c r="BR519" s="146"/>
    </row>
    <row r="520" spans="2:70" ht="15.75" hidden="1">
      <c r="B520" s="146"/>
      <c r="C520" s="146"/>
      <c r="D520" s="146"/>
      <c r="E520" s="146"/>
      <c r="F520" s="146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  <c r="AF520" s="146"/>
      <c r="AG520" s="146"/>
      <c r="AH520" s="146"/>
      <c r="AI520" s="146"/>
      <c r="AJ520" s="146"/>
      <c r="AK520" s="146"/>
      <c r="AL520" s="146"/>
      <c r="AM520" s="146"/>
      <c r="AN520" s="146"/>
      <c r="AO520" s="146"/>
      <c r="AP520" s="146"/>
      <c r="AQ520" s="146"/>
      <c r="AR520" s="146"/>
      <c r="AS520" s="146"/>
      <c r="AT520" s="146"/>
      <c r="AU520" s="146"/>
      <c r="AV520" s="146"/>
      <c r="AW520" s="146"/>
      <c r="AX520" s="146"/>
      <c r="AY520" s="146"/>
      <c r="AZ520" s="146"/>
      <c r="BA520" s="146"/>
      <c r="BB520" s="146"/>
      <c r="BC520" s="146"/>
      <c r="BD520" s="146"/>
      <c r="BE520" s="146"/>
      <c r="BF520" s="146"/>
      <c r="BG520" s="146"/>
      <c r="BH520" s="146"/>
      <c r="BI520" s="146"/>
      <c r="BJ520" s="146"/>
      <c r="BK520" s="146"/>
      <c r="BL520" s="146"/>
      <c r="BM520" s="146"/>
      <c r="BN520" s="146"/>
      <c r="BO520" s="146"/>
      <c r="BP520" s="146"/>
      <c r="BQ520" s="146"/>
      <c r="BR520" s="146"/>
    </row>
    <row r="521" spans="2:70" ht="15.75" hidden="1">
      <c r="B521" s="146"/>
      <c r="C521" s="146"/>
      <c r="D521" s="146"/>
      <c r="E521" s="146"/>
      <c r="F521" s="146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  <c r="AF521" s="146"/>
      <c r="AG521" s="146"/>
      <c r="AH521" s="146"/>
      <c r="AI521" s="146"/>
      <c r="AJ521" s="146"/>
      <c r="AK521" s="146"/>
      <c r="AL521" s="146"/>
      <c r="AM521" s="146"/>
      <c r="AN521" s="146"/>
      <c r="AO521" s="146"/>
      <c r="AP521" s="146"/>
      <c r="AQ521" s="146"/>
      <c r="AR521" s="146"/>
      <c r="AS521" s="146"/>
      <c r="AT521" s="146"/>
      <c r="AU521" s="146"/>
      <c r="AV521" s="146"/>
      <c r="AW521" s="146"/>
      <c r="AX521" s="146"/>
      <c r="AY521" s="146"/>
      <c r="AZ521" s="146"/>
      <c r="BA521" s="146"/>
      <c r="BB521" s="146"/>
      <c r="BC521" s="146"/>
      <c r="BD521" s="146"/>
      <c r="BE521" s="146"/>
      <c r="BF521" s="146"/>
      <c r="BG521" s="146"/>
      <c r="BH521" s="146"/>
      <c r="BI521" s="146"/>
      <c r="BJ521" s="146"/>
      <c r="BK521" s="146"/>
      <c r="BL521" s="146"/>
      <c r="BM521" s="146"/>
      <c r="BN521" s="146"/>
      <c r="BO521" s="146"/>
      <c r="BP521" s="146"/>
      <c r="BQ521" s="146"/>
      <c r="BR521" s="146"/>
    </row>
    <row r="522" spans="2:70" ht="15.75" hidden="1">
      <c r="B522" s="146"/>
      <c r="C522" s="146"/>
      <c r="D522" s="146"/>
      <c r="E522" s="146"/>
      <c r="F522" s="146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  <c r="AF522" s="146"/>
      <c r="AG522" s="146"/>
      <c r="AH522" s="146"/>
      <c r="AI522" s="146"/>
      <c r="AJ522" s="146"/>
      <c r="AK522" s="146"/>
      <c r="AL522" s="146"/>
      <c r="AM522" s="146"/>
      <c r="AN522" s="146"/>
      <c r="AO522" s="146"/>
      <c r="AP522" s="146"/>
      <c r="AQ522" s="146"/>
      <c r="AR522" s="146"/>
      <c r="AS522" s="146"/>
      <c r="AT522" s="146"/>
      <c r="AU522" s="146"/>
      <c r="AV522" s="146"/>
      <c r="AW522" s="146"/>
      <c r="AX522" s="146"/>
      <c r="AY522" s="146"/>
      <c r="AZ522" s="146"/>
      <c r="BA522" s="146"/>
      <c r="BB522" s="146"/>
      <c r="BC522" s="146"/>
      <c r="BD522" s="146"/>
      <c r="BE522" s="146"/>
      <c r="BF522" s="146"/>
      <c r="BG522" s="146"/>
      <c r="BH522" s="146"/>
      <c r="BI522" s="146"/>
      <c r="BJ522" s="146"/>
      <c r="BK522" s="146"/>
      <c r="BL522" s="146"/>
      <c r="BM522" s="146"/>
      <c r="BN522" s="146"/>
      <c r="BO522" s="146"/>
      <c r="BP522" s="146"/>
      <c r="BQ522" s="146"/>
      <c r="BR522" s="146"/>
    </row>
    <row r="523" spans="2:70" ht="15.75" hidden="1">
      <c r="B523" s="146"/>
      <c r="C523" s="146"/>
      <c r="D523" s="146"/>
      <c r="E523" s="146"/>
      <c r="F523" s="146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  <c r="AF523" s="146"/>
      <c r="AG523" s="146"/>
      <c r="AH523" s="146"/>
      <c r="AI523" s="146"/>
      <c r="AJ523" s="146"/>
      <c r="AK523" s="146"/>
      <c r="AL523" s="146"/>
      <c r="AM523" s="146"/>
      <c r="AN523" s="146"/>
      <c r="AO523" s="146"/>
      <c r="AP523" s="146"/>
      <c r="AQ523" s="146"/>
      <c r="AR523" s="146"/>
      <c r="AS523" s="146"/>
      <c r="AT523" s="146"/>
      <c r="AU523" s="146"/>
      <c r="AV523" s="146"/>
      <c r="AW523" s="146"/>
      <c r="AX523" s="146"/>
      <c r="AY523" s="146"/>
      <c r="AZ523" s="146"/>
      <c r="BA523" s="146"/>
      <c r="BB523" s="146"/>
      <c r="BC523" s="146"/>
      <c r="BD523" s="146"/>
      <c r="BE523" s="146"/>
      <c r="BF523" s="146"/>
      <c r="BG523" s="146"/>
      <c r="BH523" s="146"/>
      <c r="BI523" s="146"/>
      <c r="BJ523" s="146"/>
      <c r="BK523" s="146"/>
      <c r="BL523" s="146"/>
      <c r="BM523" s="146"/>
      <c r="BN523" s="146"/>
      <c r="BO523" s="146"/>
      <c r="BP523" s="146"/>
      <c r="BQ523" s="146"/>
      <c r="BR523" s="146"/>
    </row>
    <row r="524" spans="2:70" ht="15.75" hidden="1">
      <c r="B524" s="146"/>
      <c r="C524" s="146"/>
      <c r="D524" s="146"/>
      <c r="E524" s="146"/>
      <c r="F524" s="146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  <c r="AF524" s="146"/>
      <c r="AG524" s="146"/>
      <c r="AH524" s="146"/>
      <c r="AI524" s="146"/>
      <c r="AJ524" s="146"/>
      <c r="AK524" s="146"/>
      <c r="AL524" s="146"/>
      <c r="AM524" s="146"/>
      <c r="AN524" s="146"/>
      <c r="AO524" s="146"/>
      <c r="AP524" s="146"/>
      <c r="AQ524" s="146"/>
      <c r="AR524" s="146"/>
      <c r="AS524" s="146"/>
      <c r="AT524" s="146"/>
      <c r="AU524" s="146"/>
      <c r="AV524" s="146"/>
      <c r="AW524" s="146"/>
      <c r="AX524" s="146"/>
      <c r="AY524" s="146"/>
      <c r="AZ524" s="146"/>
      <c r="BA524" s="146"/>
      <c r="BB524" s="146"/>
      <c r="BC524" s="146"/>
      <c r="BD524" s="146"/>
      <c r="BE524" s="146"/>
      <c r="BF524" s="146"/>
      <c r="BG524" s="146"/>
      <c r="BH524" s="146"/>
      <c r="BI524" s="146"/>
      <c r="BJ524" s="146"/>
      <c r="BK524" s="146"/>
      <c r="BL524" s="146"/>
      <c r="BM524" s="146"/>
      <c r="BN524" s="146"/>
      <c r="BO524" s="146"/>
      <c r="BP524" s="146"/>
      <c r="BQ524" s="146"/>
      <c r="BR524" s="146"/>
    </row>
    <row r="525" spans="2:70" ht="15.75" hidden="1">
      <c r="B525" s="146"/>
      <c r="C525" s="146"/>
      <c r="D525" s="146"/>
      <c r="E525" s="146"/>
      <c r="F525" s="146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  <c r="AF525" s="146"/>
      <c r="AG525" s="146"/>
      <c r="AH525" s="146"/>
      <c r="AI525" s="146"/>
      <c r="AJ525" s="146"/>
      <c r="AK525" s="146"/>
      <c r="AL525" s="146"/>
      <c r="AM525" s="146"/>
      <c r="AN525" s="146"/>
      <c r="AO525" s="146"/>
      <c r="AP525" s="146"/>
      <c r="AQ525" s="146"/>
      <c r="AR525" s="146"/>
      <c r="AS525" s="146"/>
      <c r="AT525" s="146"/>
      <c r="AU525" s="146"/>
      <c r="AV525" s="146"/>
      <c r="AW525" s="146"/>
      <c r="AX525" s="146"/>
      <c r="AY525" s="146"/>
      <c r="AZ525" s="146"/>
      <c r="BA525" s="146"/>
      <c r="BB525" s="146"/>
      <c r="BC525" s="146"/>
      <c r="BD525" s="146"/>
      <c r="BE525" s="146"/>
      <c r="BF525" s="146"/>
      <c r="BG525" s="146"/>
      <c r="BH525" s="146"/>
      <c r="BI525" s="146"/>
      <c r="BJ525" s="146"/>
      <c r="BK525" s="146"/>
      <c r="BL525" s="146"/>
      <c r="BM525" s="146"/>
      <c r="BN525" s="146"/>
      <c r="BO525" s="146"/>
      <c r="BP525" s="146"/>
      <c r="BQ525" s="146"/>
      <c r="BR525" s="146"/>
    </row>
    <row r="526" spans="2:70" ht="15.75" hidden="1">
      <c r="B526" s="146"/>
      <c r="C526" s="146"/>
      <c r="D526" s="146"/>
      <c r="E526" s="146"/>
      <c r="F526" s="146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  <c r="AF526" s="146"/>
      <c r="AG526" s="146"/>
      <c r="AH526" s="146"/>
      <c r="AI526" s="146"/>
      <c r="AJ526" s="146"/>
      <c r="AK526" s="146"/>
      <c r="AL526" s="146"/>
      <c r="AM526" s="146"/>
      <c r="AN526" s="146"/>
      <c r="AO526" s="146"/>
      <c r="AP526" s="146"/>
      <c r="AQ526" s="146"/>
      <c r="AR526" s="146"/>
      <c r="AS526" s="146"/>
      <c r="AT526" s="146"/>
      <c r="AU526" s="146"/>
      <c r="AV526" s="146"/>
      <c r="AW526" s="146"/>
      <c r="AX526" s="146"/>
      <c r="AY526" s="146"/>
      <c r="AZ526" s="146"/>
      <c r="BA526" s="146"/>
      <c r="BB526" s="146"/>
      <c r="BC526" s="146"/>
      <c r="BD526" s="146"/>
      <c r="BE526" s="146"/>
      <c r="BF526" s="146"/>
      <c r="BG526" s="146"/>
      <c r="BH526" s="146"/>
      <c r="BI526" s="146"/>
      <c r="BJ526" s="146"/>
      <c r="BK526" s="146"/>
      <c r="BL526" s="146"/>
      <c r="BM526" s="146"/>
      <c r="BN526" s="146"/>
      <c r="BO526" s="146"/>
      <c r="BP526" s="146"/>
      <c r="BQ526" s="146"/>
      <c r="BR526" s="146"/>
    </row>
    <row r="527" spans="2:70" ht="15.75" hidden="1">
      <c r="B527" s="146"/>
      <c r="C527" s="146"/>
      <c r="D527" s="146"/>
      <c r="E527" s="146"/>
      <c r="F527" s="146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  <c r="AF527" s="146"/>
      <c r="AG527" s="146"/>
      <c r="AH527" s="146"/>
      <c r="AI527" s="146"/>
      <c r="AJ527" s="146"/>
      <c r="AK527" s="146"/>
      <c r="AL527" s="146"/>
      <c r="AM527" s="146"/>
      <c r="AN527" s="146"/>
      <c r="AO527" s="146"/>
      <c r="AP527" s="146"/>
      <c r="AQ527" s="146"/>
      <c r="AR527" s="146"/>
      <c r="AS527" s="146"/>
      <c r="AT527" s="146"/>
      <c r="AU527" s="146"/>
      <c r="AV527" s="146"/>
      <c r="AW527" s="146"/>
      <c r="AX527" s="146"/>
      <c r="AY527" s="146"/>
      <c r="AZ527" s="146"/>
      <c r="BA527" s="146"/>
      <c r="BB527" s="146"/>
      <c r="BC527" s="146"/>
      <c r="BD527" s="146"/>
      <c r="BE527" s="146"/>
      <c r="BF527" s="146"/>
      <c r="BG527" s="146"/>
      <c r="BH527" s="146"/>
      <c r="BI527" s="146"/>
      <c r="BJ527" s="146"/>
      <c r="BK527" s="146"/>
      <c r="BL527" s="146"/>
      <c r="BM527" s="146"/>
      <c r="BN527" s="146"/>
      <c r="BO527" s="146"/>
      <c r="BP527" s="146"/>
      <c r="BQ527" s="146"/>
      <c r="BR527" s="146"/>
    </row>
    <row r="528" spans="2:70" ht="15.75" hidden="1">
      <c r="B528" s="146"/>
      <c r="C528" s="146"/>
      <c r="D528" s="146"/>
      <c r="E528" s="146"/>
      <c r="F528" s="146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  <c r="AF528" s="146"/>
      <c r="AG528" s="146"/>
      <c r="AH528" s="146"/>
      <c r="AI528" s="146"/>
      <c r="AJ528" s="146"/>
      <c r="AK528" s="146"/>
      <c r="AL528" s="146"/>
      <c r="AM528" s="146"/>
      <c r="AN528" s="146"/>
      <c r="AO528" s="146"/>
      <c r="AP528" s="146"/>
      <c r="AQ528" s="146"/>
      <c r="AR528" s="146"/>
      <c r="AS528" s="146"/>
      <c r="AT528" s="146"/>
      <c r="AU528" s="146"/>
      <c r="AV528" s="146"/>
      <c r="AW528" s="146"/>
      <c r="AX528" s="146"/>
      <c r="AY528" s="146"/>
      <c r="AZ528" s="146"/>
      <c r="BA528" s="146"/>
      <c r="BB528" s="146"/>
      <c r="BC528" s="146"/>
      <c r="BD528" s="146"/>
      <c r="BE528" s="146"/>
      <c r="BF528" s="146"/>
      <c r="BG528" s="146"/>
      <c r="BH528" s="146"/>
      <c r="BI528" s="146"/>
      <c r="BJ528" s="146"/>
      <c r="BK528" s="146"/>
      <c r="BL528" s="146"/>
      <c r="BM528" s="146"/>
      <c r="BN528" s="146"/>
      <c r="BO528" s="146"/>
      <c r="BP528" s="146"/>
      <c r="BQ528" s="146"/>
      <c r="BR528" s="146"/>
    </row>
    <row r="529" spans="2:70" ht="15.75" hidden="1">
      <c r="B529" s="146"/>
      <c r="C529" s="146"/>
      <c r="D529" s="146"/>
      <c r="E529" s="146"/>
      <c r="F529" s="146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  <c r="AF529" s="146"/>
      <c r="AG529" s="146"/>
      <c r="AH529" s="146"/>
      <c r="AI529" s="146"/>
      <c r="AJ529" s="146"/>
      <c r="AK529" s="146"/>
      <c r="AL529" s="146"/>
      <c r="AM529" s="146"/>
      <c r="AN529" s="146"/>
      <c r="AO529" s="146"/>
      <c r="AP529" s="146"/>
      <c r="AQ529" s="146"/>
      <c r="AR529" s="146"/>
      <c r="AS529" s="146"/>
      <c r="AT529" s="146"/>
      <c r="AU529" s="146"/>
      <c r="AV529" s="146"/>
      <c r="AW529" s="146"/>
      <c r="AX529" s="146"/>
      <c r="AY529" s="146"/>
      <c r="AZ529" s="146"/>
      <c r="BA529" s="146"/>
      <c r="BB529" s="146"/>
      <c r="BC529" s="146"/>
      <c r="BD529" s="146"/>
      <c r="BE529" s="146"/>
      <c r="BF529" s="146"/>
      <c r="BG529" s="146"/>
      <c r="BH529" s="146"/>
      <c r="BI529" s="146"/>
      <c r="BJ529" s="146"/>
      <c r="BK529" s="146"/>
      <c r="BL529" s="146"/>
      <c r="BM529" s="146"/>
      <c r="BN529" s="146"/>
      <c r="BO529" s="146"/>
      <c r="BP529" s="146"/>
      <c r="BQ529" s="146"/>
      <c r="BR529" s="146"/>
    </row>
    <row r="530" spans="2:70" ht="15.75" hidden="1">
      <c r="B530" s="146"/>
      <c r="C530" s="146"/>
      <c r="D530" s="146"/>
      <c r="E530" s="146"/>
      <c r="F530" s="146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  <c r="AF530" s="146"/>
      <c r="AG530" s="146"/>
      <c r="AH530" s="146"/>
      <c r="AI530" s="146"/>
      <c r="AJ530" s="146"/>
      <c r="AK530" s="146"/>
      <c r="AL530" s="146"/>
      <c r="AM530" s="146"/>
      <c r="AN530" s="146"/>
      <c r="AO530" s="146"/>
      <c r="AP530" s="146"/>
      <c r="AQ530" s="146"/>
      <c r="AR530" s="146"/>
      <c r="AS530" s="146"/>
      <c r="AT530" s="146"/>
      <c r="AU530" s="146"/>
      <c r="AV530" s="146"/>
      <c r="AW530" s="146"/>
      <c r="AX530" s="146"/>
      <c r="AY530" s="146"/>
      <c r="AZ530" s="146"/>
      <c r="BA530" s="146"/>
      <c r="BB530" s="146"/>
      <c r="BC530" s="146"/>
      <c r="BD530" s="146"/>
      <c r="BE530" s="146"/>
      <c r="BF530" s="146"/>
      <c r="BG530" s="146"/>
      <c r="BH530" s="146"/>
      <c r="BI530" s="146"/>
      <c r="BJ530" s="146"/>
      <c r="BK530" s="146"/>
      <c r="BL530" s="146"/>
      <c r="BM530" s="146"/>
      <c r="BN530" s="146"/>
      <c r="BO530" s="146"/>
      <c r="BP530" s="146"/>
      <c r="BQ530" s="146"/>
      <c r="BR530" s="146"/>
    </row>
    <row r="531" spans="2:70" ht="15.75" hidden="1">
      <c r="B531" s="146"/>
      <c r="C531" s="146"/>
      <c r="D531" s="146"/>
      <c r="E531" s="146"/>
      <c r="F531" s="146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  <c r="AF531" s="146"/>
      <c r="AG531" s="146"/>
      <c r="AH531" s="146"/>
      <c r="AI531" s="146"/>
      <c r="AJ531" s="146"/>
      <c r="AK531" s="146"/>
      <c r="AL531" s="146"/>
      <c r="AM531" s="146"/>
      <c r="AN531" s="146"/>
      <c r="AO531" s="146"/>
      <c r="AP531" s="146"/>
      <c r="AQ531" s="146"/>
      <c r="AR531" s="146"/>
      <c r="AS531" s="146"/>
      <c r="AT531" s="146"/>
      <c r="AU531" s="146"/>
      <c r="AV531" s="146"/>
      <c r="AW531" s="146"/>
      <c r="AX531" s="146"/>
      <c r="AY531" s="146"/>
      <c r="AZ531" s="146"/>
      <c r="BA531" s="146"/>
      <c r="BB531" s="146"/>
      <c r="BC531" s="146"/>
      <c r="BD531" s="146"/>
      <c r="BE531" s="146"/>
      <c r="BF531" s="146"/>
      <c r="BG531" s="146"/>
      <c r="BH531" s="146"/>
      <c r="BI531" s="146"/>
      <c r="BJ531" s="146"/>
      <c r="BK531" s="146"/>
      <c r="BL531" s="146"/>
      <c r="BM531" s="146"/>
      <c r="BN531" s="146"/>
      <c r="BO531" s="146"/>
      <c r="BP531" s="146"/>
      <c r="BQ531" s="146"/>
      <c r="BR531" s="146"/>
    </row>
    <row r="532" spans="2:70" ht="15.75" hidden="1">
      <c r="B532" s="146"/>
      <c r="C532" s="146"/>
      <c r="D532" s="146"/>
      <c r="E532" s="146"/>
      <c r="F532" s="146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  <c r="AF532" s="146"/>
      <c r="AG532" s="146"/>
      <c r="AH532" s="146"/>
      <c r="AI532" s="146"/>
      <c r="AJ532" s="146"/>
      <c r="AK532" s="146"/>
      <c r="AL532" s="146"/>
      <c r="AM532" s="146"/>
      <c r="AN532" s="146"/>
      <c r="AO532" s="146"/>
      <c r="AP532" s="146"/>
      <c r="AQ532" s="146"/>
      <c r="AR532" s="146"/>
      <c r="AS532" s="146"/>
      <c r="AT532" s="146"/>
      <c r="AU532" s="146"/>
      <c r="AV532" s="146"/>
      <c r="AW532" s="146"/>
      <c r="AX532" s="146"/>
      <c r="AY532" s="146"/>
      <c r="AZ532" s="146"/>
      <c r="BA532" s="146"/>
      <c r="BB532" s="146"/>
      <c r="BC532" s="146"/>
      <c r="BD532" s="146"/>
      <c r="BE532" s="146"/>
      <c r="BF532" s="146"/>
      <c r="BG532" s="146"/>
      <c r="BH532" s="146"/>
      <c r="BI532" s="146"/>
      <c r="BJ532" s="146"/>
      <c r="BK532" s="146"/>
      <c r="BL532" s="146"/>
      <c r="BM532" s="146"/>
      <c r="BN532" s="146"/>
      <c r="BO532" s="146"/>
      <c r="BP532" s="146"/>
      <c r="BQ532" s="146"/>
      <c r="BR532" s="146"/>
    </row>
    <row r="533" spans="2:70" ht="15.75" hidden="1">
      <c r="B533" s="146"/>
      <c r="C533" s="146"/>
      <c r="D533" s="146"/>
      <c r="E533" s="146"/>
      <c r="F533" s="146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  <c r="AF533" s="146"/>
      <c r="AG533" s="146"/>
      <c r="AH533" s="146"/>
      <c r="AI533" s="146"/>
      <c r="AJ533" s="146"/>
      <c r="AK533" s="146"/>
      <c r="AL533" s="146"/>
      <c r="AM533" s="146"/>
      <c r="AN533" s="146"/>
      <c r="AO533" s="146"/>
      <c r="AP533" s="146"/>
      <c r="AQ533" s="146"/>
      <c r="AR533" s="146"/>
      <c r="AS533" s="146"/>
      <c r="AT533" s="146"/>
      <c r="AU533" s="146"/>
      <c r="AV533" s="146"/>
      <c r="AW533" s="146"/>
      <c r="AX533" s="146"/>
      <c r="AY533" s="146"/>
      <c r="AZ533" s="146"/>
      <c r="BA533" s="146"/>
      <c r="BB533" s="146"/>
      <c r="BC533" s="146"/>
      <c r="BD533" s="146"/>
      <c r="BE533" s="146"/>
      <c r="BF533" s="146"/>
      <c r="BG533" s="146"/>
      <c r="BH533" s="146"/>
      <c r="BI533" s="146"/>
      <c r="BJ533" s="146"/>
      <c r="BK533" s="146"/>
      <c r="BL533" s="146"/>
      <c r="BM533" s="146"/>
      <c r="BN533" s="146"/>
      <c r="BO533" s="146"/>
      <c r="BP533" s="146"/>
      <c r="BQ533" s="146"/>
      <c r="BR533" s="146"/>
    </row>
    <row r="534" spans="2:70" ht="15.75" hidden="1">
      <c r="B534" s="146"/>
      <c r="C534" s="146"/>
      <c r="D534" s="146"/>
      <c r="E534" s="146"/>
      <c r="F534" s="146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  <c r="AF534" s="146"/>
      <c r="AG534" s="146"/>
      <c r="AH534" s="146"/>
      <c r="AI534" s="146"/>
      <c r="AJ534" s="146"/>
      <c r="AK534" s="146"/>
      <c r="AL534" s="146"/>
      <c r="AM534" s="146"/>
      <c r="AN534" s="146"/>
      <c r="AO534" s="146"/>
      <c r="AP534" s="146"/>
      <c r="AQ534" s="146"/>
      <c r="AR534" s="146"/>
      <c r="AS534" s="146"/>
      <c r="AT534" s="146"/>
      <c r="AU534" s="146"/>
      <c r="AV534" s="146"/>
      <c r="AW534" s="146"/>
      <c r="AX534" s="146"/>
      <c r="AY534" s="146"/>
      <c r="AZ534" s="146"/>
      <c r="BA534" s="146"/>
      <c r="BB534" s="146"/>
      <c r="BC534" s="146"/>
      <c r="BD534" s="146"/>
      <c r="BE534" s="146"/>
      <c r="BF534" s="146"/>
      <c r="BG534" s="146"/>
      <c r="BH534" s="146"/>
      <c r="BI534" s="146"/>
      <c r="BJ534" s="146"/>
      <c r="BK534" s="146"/>
      <c r="BL534" s="146"/>
      <c r="BM534" s="146"/>
      <c r="BN534" s="146"/>
      <c r="BO534" s="146"/>
      <c r="BP534" s="146"/>
      <c r="BQ534" s="146"/>
      <c r="BR534" s="146"/>
    </row>
    <row r="535" spans="2:70" ht="15.75" hidden="1">
      <c r="B535" s="146"/>
      <c r="C535" s="146"/>
      <c r="D535" s="146"/>
      <c r="E535" s="146"/>
      <c r="F535" s="146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  <c r="AF535" s="146"/>
      <c r="AG535" s="146"/>
      <c r="AH535" s="146"/>
      <c r="AI535" s="146"/>
      <c r="AJ535" s="146"/>
      <c r="AK535" s="146"/>
      <c r="AL535" s="146"/>
      <c r="AM535" s="146"/>
      <c r="AN535" s="146"/>
      <c r="AO535" s="146"/>
      <c r="AP535" s="146"/>
      <c r="AQ535" s="146"/>
      <c r="AR535" s="146"/>
      <c r="AS535" s="146"/>
      <c r="AT535" s="146"/>
      <c r="AU535" s="146"/>
      <c r="AV535" s="146"/>
      <c r="AW535" s="146"/>
      <c r="AX535" s="146"/>
      <c r="AY535" s="146"/>
      <c r="AZ535" s="146"/>
      <c r="BA535" s="146"/>
      <c r="BB535" s="146"/>
      <c r="BC535" s="146"/>
      <c r="BD535" s="146"/>
      <c r="BE535" s="146"/>
      <c r="BF535" s="146"/>
      <c r="BG535" s="146"/>
      <c r="BH535" s="146"/>
      <c r="BI535" s="146"/>
      <c r="BJ535" s="146"/>
      <c r="BK535" s="146"/>
      <c r="BL535" s="146"/>
      <c r="BM535" s="146"/>
      <c r="BN535" s="146"/>
      <c r="BO535" s="146"/>
      <c r="BP535" s="146"/>
      <c r="BQ535" s="146"/>
      <c r="BR535" s="146"/>
    </row>
    <row r="536" spans="2:70" ht="15.75" hidden="1">
      <c r="B536" s="146"/>
      <c r="C536" s="146"/>
      <c r="D536" s="146"/>
      <c r="E536" s="146"/>
      <c r="F536" s="146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  <c r="AF536" s="146"/>
      <c r="AG536" s="146"/>
      <c r="AH536" s="146"/>
      <c r="AI536" s="146"/>
      <c r="AJ536" s="146"/>
      <c r="AK536" s="146"/>
      <c r="AL536" s="146"/>
      <c r="AM536" s="146"/>
      <c r="AN536" s="146"/>
      <c r="AO536" s="146"/>
      <c r="AP536" s="146"/>
      <c r="AQ536" s="146"/>
      <c r="AR536" s="146"/>
      <c r="AS536" s="146"/>
      <c r="AT536" s="146"/>
      <c r="AU536" s="146"/>
      <c r="AV536" s="146"/>
      <c r="AW536" s="146"/>
      <c r="AX536" s="146"/>
      <c r="AY536" s="146"/>
      <c r="AZ536" s="146"/>
      <c r="BA536" s="146"/>
      <c r="BB536" s="146"/>
      <c r="BC536" s="146"/>
      <c r="BD536" s="146"/>
      <c r="BE536" s="146"/>
      <c r="BF536" s="146"/>
      <c r="BG536" s="146"/>
      <c r="BH536" s="146"/>
      <c r="BI536" s="146"/>
      <c r="BJ536" s="146"/>
      <c r="BK536" s="146"/>
      <c r="BL536" s="146"/>
      <c r="BM536" s="146"/>
      <c r="BN536" s="146"/>
      <c r="BO536" s="146"/>
      <c r="BP536" s="146"/>
      <c r="BQ536" s="146"/>
      <c r="BR536" s="146"/>
    </row>
    <row r="537" spans="2:70" ht="15.75" hidden="1">
      <c r="B537" s="146"/>
      <c r="C537" s="146"/>
      <c r="D537" s="146"/>
      <c r="E537" s="146"/>
      <c r="F537" s="146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  <c r="AF537" s="146"/>
      <c r="AG537" s="146"/>
      <c r="AH537" s="146"/>
      <c r="AI537" s="146"/>
      <c r="AJ537" s="146"/>
      <c r="AK537" s="146"/>
      <c r="AL537" s="146"/>
      <c r="AM537" s="146"/>
      <c r="AN537" s="146"/>
      <c r="AO537" s="146"/>
      <c r="AP537" s="146"/>
      <c r="AQ537" s="146"/>
      <c r="AR537" s="146"/>
      <c r="AS537" s="146"/>
      <c r="AT537" s="146"/>
      <c r="AU537" s="146"/>
      <c r="AV537" s="146"/>
      <c r="AW537" s="146"/>
      <c r="AX537" s="146"/>
      <c r="AY537" s="146"/>
      <c r="AZ537" s="146"/>
      <c r="BA537" s="146"/>
      <c r="BB537" s="146"/>
      <c r="BC537" s="146"/>
      <c r="BD537" s="146"/>
      <c r="BE537" s="146"/>
      <c r="BF537" s="146"/>
      <c r="BG537" s="146"/>
      <c r="BH537" s="146"/>
      <c r="BI537" s="146"/>
      <c r="BJ537" s="146"/>
      <c r="BK537" s="146"/>
      <c r="BL537" s="146"/>
      <c r="BM537" s="146"/>
      <c r="BN537" s="146"/>
      <c r="BO537" s="146"/>
      <c r="BP537" s="146"/>
      <c r="BQ537" s="146"/>
      <c r="BR537" s="146"/>
    </row>
    <row r="538" spans="2:70" ht="15.75" hidden="1">
      <c r="B538" s="146"/>
      <c r="C538" s="146"/>
      <c r="D538" s="146"/>
      <c r="E538" s="146"/>
      <c r="F538" s="146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  <c r="AF538" s="146"/>
      <c r="AG538" s="146"/>
      <c r="AH538" s="146"/>
      <c r="AI538" s="146"/>
      <c r="AJ538" s="146"/>
      <c r="AK538" s="146"/>
      <c r="AL538" s="146"/>
      <c r="AM538" s="146"/>
      <c r="AN538" s="146"/>
      <c r="AO538" s="146"/>
      <c r="AP538" s="146"/>
      <c r="AQ538" s="146"/>
      <c r="AR538" s="146"/>
      <c r="AS538" s="146"/>
      <c r="AT538" s="146"/>
      <c r="AU538" s="146"/>
      <c r="AV538" s="146"/>
      <c r="AW538" s="146"/>
      <c r="AX538" s="146"/>
      <c r="AY538" s="146"/>
      <c r="AZ538" s="146"/>
      <c r="BA538" s="146"/>
      <c r="BB538" s="146"/>
      <c r="BC538" s="146"/>
      <c r="BD538" s="146"/>
      <c r="BE538" s="146"/>
      <c r="BF538" s="146"/>
      <c r="BG538" s="146"/>
      <c r="BH538" s="146"/>
      <c r="BI538" s="146"/>
      <c r="BJ538" s="146"/>
      <c r="BK538" s="146"/>
      <c r="BL538" s="146"/>
      <c r="BM538" s="146"/>
      <c r="BN538" s="146"/>
      <c r="BO538" s="146"/>
      <c r="BP538" s="146"/>
      <c r="BQ538" s="146"/>
      <c r="BR538" s="146"/>
    </row>
    <row r="539" spans="2:70" ht="15.75" hidden="1">
      <c r="B539" s="146"/>
      <c r="C539" s="146"/>
      <c r="D539" s="146"/>
      <c r="E539" s="146"/>
      <c r="F539" s="146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  <c r="AF539" s="146"/>
      <c r="AG539" s="146"/>
      <c r="AH539" s="146"/>
      <c r="AI539" s="146"/>
      <c r="AJ539" s="146"/>
      <c r="AK539" s="146"/>
      <c r="AL539" s="146"/>
      <c r="AM539" s="146"/>
      <c r="AN539" s="146"/>
      <c r="AO539" s="146"/>
      <c r="AP539" s="146"/>
      <c r="AQ539" s="146"/>
      <c r="AR539" s="146"/>
      <c r="AS539" s="146"/>
      <c r="AT539" s="146"/>
      <c r="AU539" s="146"/>
      <c r="AV539" s="146"/>
      <c r="AW539" s="146"/>
      <c r="AX539" s="146"/>
      <c r="AY539" s="146"/>
      <c r="AZ539" s="146"/>
      <c r="BA539" s="146"/>
      <c r="BB539" s="146"/>
      <c r="BC539" s="146"/>
      <c r="BD539" s="146"/>
      <c r="BE539" s="146"/>
      <c r="BF539" s="146"/>
      <c r="BG539" s="146"/>
      <c r="BH539" s="146"/>
      <c r="BI539" s="146"/>
      <c r="BJ539" s="146"/>
      <c r="BK539" s="146"/>
      <c r="BL539" s="146"/>
      <c r="BM539" s="146"/>
      <c r="BN539" s="146"/>
      <c r="BO539" s="146"/>
      <c r="BP539" s="146"/>
      <c r="BQ539" s="146"/>
      <c r="BR539" s="146"/>
    </row>
    <row r="540" spans="2:70" ht="15.75" hidden="1">
      <c r="B540" s="146"/>
      <c r="C540" s="146"/>
      <c r="D540" s="146"/>
      <c r="E540" s="146"/>
      <c r="F540" s="146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  <c r="AF540" s="146"/>
      <c r="AG540" s="146"/>
      <c r="AH540" s="146"/>
      <c r="AI540" s="146"/>
      <c r="AJ540" s="146"/>
      <c r="AK540" s="146"/>
      <c r="AL540" s="146"/>
      <c r="AM540" s="146"/>
      <c r="AN540" s="146"/>
      <c r="AO540" s="146"/>
      <c r="AP540" s="146"/>
      <c r="AQ540" s="146"/>
      <c r="AR540" s="146"/>
      <c r="AS540" s="146"/>
      <c r="AT540" s="146"/>
      <c r="AU540" s="146"/>
      <c r="AV540" s="146"/>
      <c r="AW540" s="146"/>
      <c r="AX540" s="146"/>
      <c r="AY540" s="146"/>
      <c r="AZ540" s="146"/>
      <c r="BA540" s="146"/>
      <c r="BB540" s="146"/>
      <c r="BC540" s="146"/>
      <c r="BD540" s="146"/>
      <c r="BE540" s="146"/>
      <c r="BF540" s="146"/>
      <c r="BG540" s="146"/>
      <c r="BH540" s="146"/>
      <c r="BI540" s="146"/>
      <c r="BJ540" s="146"/>
      <c r="BK540" s="146"/>
      <c r="BL540" s="146"/>
      <c r="BM540" s="146"/>
      <c r="BN540" s="146"/>
      <c r="BO540" s="146"/>
      <c r="BP540" s="146"/>
      <c r="BQ540" s="146"/>
      <c r="BR540" s="146"/>
    </row>
    <row r="541" spans="2:70" ht="15.75" hidden="1">
      <c r="B541" s="146"/>
      <c r="C541" s="146"/>
      <c r="D541" s="146"/>
      <c r="E541" s="146"/>
      <c r="F541" s="146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  <c r="AF541" s="146"/>
      <c r="AG541" s="146"/>
      <c r="AH541" s="146"/>
      <c r="AI541" s="146"/>
      <c r="AJ541" s="146"/>
      <c r="AK541" s="146"/>
      <c r="AL541" s="146"/>
      <c r="AM541" s="146"/>
      <c r="AN541" s="146"/>
      <c r="AO541" s="146"/>
      <c r="AP541" s="146"/>
      <c r="AQ541" s="146"/>
      <c r="AR541" s="146"/>
      <c r="AS541" s="146"/>
      <c r="AT541" s="146"/>
      <c r="AU541" s="146"/>
      <c r="AV541" s="146"/>
      <c r="AW541" s="146"/>
      <c r="AX541" s="146"/>
      <c r="AY541" s="146"/>
      <c r="AZ541" s="146"/>
      <c r="BA541" s="146"/>
      <c r="BB541" s="146"/>
      <c r="BC541" s="146"/>
      <c r="BD541" s="146"/>
      <c r="BE541" s="146"/>
      <c r="BF541" s="146"/>
      <c r="BG541" s="146"/>
      <c r="BH541" s="146"/>
      <c r="BI541" s="146"/>
      <c r="BJ541" s="146"/>
      <c r="BK541" s="146"/>
      <c r="BL541" s="146"/>
      <c r="BM541" s="146"/>
      <c r="BN541" s="146"/>
      <c r="BO541" s="146"/>
      <c r="BP541" s="146"/>
      <c r="BQ541" s="146"/>
      <c r="BR541" s="146"/>
    </row>
    <row r="542" spans="2:70" ht="15.75" hidden="1">
      <c r="B542" s="146"/>
      <c r="C542" s="146"/>
      <c r="D542" s="146"/>
      <c r="E542" s="146"/>
      <c r="F542" s="146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  <c r="AF542" s="146"/>
      <c r="AG542" s="146"/>
      <c r="AH542" s="146"/>
      <c r="AI542" s="146"/>
      <c r="AJ542" s="146"/>
      <c r="AK542" s="146"/>
      <c r="AL542" s="146"/>
      <c r="AM542" s="146"/>
      <c r="AN542" s="146"/>
      <c r="AO542" s="146"/>
      <c r="AP542" s="146"/>
      <c r="AQ542" s="146"/>
      <c r="AR542" s="146"/>
      <c r="AS542" s="146"/>
      <c r="AT542" s="146"/>
      <c r="AU542" s="146"/>
      <c r="AV542" s="146"/>
      <c r="AW542" s="146"/>
      <c r="AX542" s="146"/>
      <c r="AY542" s="146"/>
      <c r="AZ542" s="146"/>
      <c r="BA542" s="146"/>
      <c r="BB542" s="146"/>
      <c r="BC542" s="146"/>
      <c r="BD542" s="146"/>
      <c r="BE542" s="146"/>
      <c r="BF542" s="146"/>
      <c r="BG542" s="146"/>
      <c r="BH542" s="146"/>
      <c r="BI542" s="146"/>
      <c r="BJ542" s="146"/>
      <c r="BK542" s="146"/>
      <c r="BL542" s="146"/>
      <c r="BM542" s="146"/>
      <c r="BN542" s="146"/>
      <c r="BO542" s="146"/>
      <c r="BP542" s="146"/>
      <c r="BQ542" s="146"/>
      <c r="BR542" s="146"/>
    </row>
    <row r="543" spans="2:70" ht="15.75" hidden="1">
      <c r="B543" s="146"/>
      <c r="C543" s="146"/>
      <c r="D543" s="146"/>
      <c r="E543" s="146"/>
      <c r="F543" s="146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  <c r="AF543" s="146"/>
      <c r="AG543" s="146"/>
      <c r="AH543" s="146"/>
      <c r="AI543" s="146"/>
      <c r="AJ543" s="146"/>
      <c r="AK543" s="146"/>
      <c r="AL543" s="146"/>
      <c r="AM543" s="146"/>
      <c r="AN543" s="146"/>
      <c r="AO543" s="146"/>
      <c r="AP543" s="146"/>
      <c r="AQ543" s="146"/>
      <c r="AR543" s="146"/>
      <c r="AS543" s="146"/>
      <c r="AT543" s="146"/>
      <c r="AU543" s="146"/>
      <c r="AV543" s="146"/>
      <c r="AW543" s="146"/>
      <c r="AX543" s="146"/>
      <c r="AY543" s="146"/>
      <c r="AZ543" s="146"/>
      <c r="BA543" s="146"/>
      <c r="BB543" s="146"/>
      <c r="BC543" s="146"/>
      <c r="BD543" s="146"/>
      <c r="BE543" s="146"/>
      <c r="BF543" s="146"/>
      <c r="BG543" s="146"/>
      <c r="BH543" s="146"/>
      <c r="BI543" s="146"/>
      <c r="BJ543" s="146"/>
      <c r="BK543" s="146"/>
      <c r="BL543" s="146"/>
      <c r="BM543" s="146"/>
      <c r="BN543" s="146"/>
      <c r="BO543" s="146"/>
      <c r="BP543" s="146"/>
      <c r="BQ543" s="146"/>
      <c r="BR543" s="146"/>
    </row>
    <row r="544" spans="2:70" ht="15.75" hidden="1">
      <c r="B544" s="146"/>
      <c r="C544" s="146"/>
      <c r="D544" s="146"/>
      <c r="E544" s="146"/>
      <c r="F544" s="146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  <c r="AF544" s="146"/>
      <c r="AG544" s="146"/>
      <c r="AH544" s="146"/>
      <c r="AI544" s="146"/>
      <c r="AJ544" s="146"/>
      <c r="AK544" s="146"/>
      <c r="AL544" s="146"/>
      <c r="AM544" s="146"/>
      <c r="AN544" s="146"/>
      <c r="AO544" s="146"/>
      <c r="AP544" s="146"/>
      <c r="AQ544" s="146"/>
      <c r="AR544" s="146"/>
      <c r="AS544" s="146"/>
      <c r="AT544" s="146"/>
      <c r="AU544" s="146"/>
      <c r="AV544" s="146"/>
      <c r="AW544" s="146"/>
      <c r="AX544" s="146"/>
      <c r="AY544" s="146"/>
      <c r="AZ544" s="146"/>
      <c r="BA544" s="146"/>
      <c r="BB544" s="146"/>
      <c r="BC544" s="146"/>
      <c r="BD544" s="146"/>
      <c r="BE544" s="146"/>
      <c r="BF544" s="146"/>
      <c r="BG544" s="146"/>
      <c r="BH544" s="146"/>
      <c r="BI544" s="146"/>
      <c r="BJ544" s="146"/>
      <c r="BK544" s="146"/>
      <c r="BL544" s="146"/>
      <c r="BM544" s="146"/>
      <c r="BN544" s="146"/>
      <c r="BO544" s="146"/>
      <c r="BP544" s="146"/>
      <c r="BQ544" s="146"/>
      <c r="BR544" s="146"/>
    </row>
    <row r="545" spans="2:70" ht="15.75" hidden="1">
      <c r="B545" s="146"/>
      <c r="C545" s="146"/>
      <c r="D545" s="146"/>
      <c r="E545" s="146"/>
      <c r="F545" s="146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  <c r="AF545" s="146"/>
      <c r="AG545" s="146"/>
      <c r="AH545" s="146"/>
      <c r="AI545" s="146"/>
      <c r="AJ545" s="146"/>
      <c r="AK545" s="146"/>
      <c r="AL545" s="146"/>
      <c r="AM545" s="146"/>
      <c r="AN545" s="146"/>
      <c r="AO545" s="146"/>
      <c r="AP545" s="146"/>
      <c r="AQ545" s="146"/>
      <c r="AR545" s="146"/>
      <c r="AS545" s="146"/>
      <c r="AT545" s="146"/>
      <c r="AU545" s="146"/>
      <c r="AV545" s="146"/>
      <c r="AW545" s="146"/>
      <c r="AX545" s="146"/>
      <c r="AY545" s="146"/>
      <c r="AZ545" s="146"/>
      <c r="BA545" s="146"/>
      <c r="BB545" s="146"/>
      <c r="BC545" s="146"/>
      <c r="BD545" s="146"/>
      <c r="BE545" s="146"/>
      <c r="BF545" s="146"/>
      <c r="BG545" s="146"/>
      <c r="BH545" s="146"/>
      <c r="BI545" s="146"/>
      <c r="BJ545" s="146"/>
      <c r="BK545" s="146"/>
      <c r="BL545" s="146"/>
      <c r="BM545" s="146"/>
      <c r="BN545" s="146"/>
      <c r="BO545" s="146"/>
      <c r="BP545" s="146"/>
      <c r="BQ545" s="146"/>
      <c r="BR545" s="146"/>
    </row>
    <row r="546" spans="2:70" ht="15.75" hidden="1">
      <c r="B546" s="146"/>
      <c r="C546" s="146"/>
      <c r="D546" s="146"/>
      <c r="E546" s="146"/>
      <c r="F546" s="146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  <c r="AF546" s="146"/>
      <c r="AG546" s="146"/>
      <c r="AH546" s="146"/>
      <c r="AI546" s="146"/>
      <c r="AJ546" s="146"/>
      <c r="AK546" s="146"/>
      <c r="AL546" s="146"/>
      <c r="AM546" s="146"/>
      <c r="AN546" s="146"/>
      <c r="AO546" s="146"/>
      <c r="AP546" s="146"/>
      <c r="AQ546" s="146"/>
      <c r="AR546" s="146"/>
      <c r="AS546" s="146"/>
      <c r="AT546" s="146"/>
      <c r="AU546" s="146"/>
      <c r="AV546" s="146"/>
      <c r="AW546" s="146"/>
      <c r="AX546" s="146"/>
      <c r="AY546" s="146"/>
      <c r="AZ546" s="146"/>
      <c r="BA546" s="146"/>
      <c r="BB546" s="146"/>
      <c r="BC546" s="146"/>
      <c r="BD546" s="146"/>
      <c r="BE546" s="146"/>
      <c r="BF546" s="146"/>
      <c r="BG546" s="146"/>
      <c r="BH546" s="146"/>
      <c r="BI546" s="146"/>
      <c r="BJ546" s="146"/>
      <c r="BK546" s="146"/>
      <c r="BL546" s="146"/>
      <c r="BM546" s="146"/>
      <c r="BN546" s="146"/>
      <c r="BO546" s="146"/>
      <c r="BP546" s="146"/>
      <c r="BQ546" s="146"/>
      <c r="BR546" s="146"/>
    </row>
    <row r="547" spans="2:70" ht="15.75" hidden="1">
      <c r="B547" s="146"/>
      <c r="C547" s="146"/>
      <c r="D547" s="146"/>
      <c r="E547" s="146"/>
      <c r="F547" s="146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  <c r="AF547" s="146"/>
      <c r="AG547" s="146"/>
      <c r="AH547" s="146"/>
      <c r="AI547" s="146"/>
      <c r="AJ547" s="146"/>
      <c r="AK547" s="146"/>
      <c r="AL547" s="146"/>
      <c r="AM547" s="146"/>
      <c r="AN547" s="146"/>
      <c r="AO547" s="146"/>
      <c r="AP547" s="146"/>
      <c r="AQ547" s="146"/>
      <c r="AR547" s="146"/>
      <c r="AS547" s="146"/>
      <c r="AT547" s="146"/>
      <c r="AU547" s="146"/>
      <c r="AV547" s="146"/>
      <c r="AW547" s="146"/>
      <c r="AX547" s="146"/>
      <c r="AY547" s="146"/>
      <c r="AZ547" s="146"/>
      <c r="BA547" s="146"/>
      <c r="BB547" s="146"/>
      <c r="BC547" s="146"/>
      <c r="BD547" s="146"/>
      <c r="BE547" s="146"/>
      <c r="BF547" s="146"/>
      <c r="BG547" s="146"/>
      <c r="BH547" s="146"/>
      <c r="BI547" s="146"/>
      <c r="BJ547" s="146"/>
      <c r="BK547" s="146"/>
      <c r="BL547" s="146"/>
      <c r="BM547" s="146"/>
      <c r="BN547" s="146"/>
      <c r="BO547" s="146"/>
      <c r="BP547" s="146"/>
      <c r="BQ547" s="146"/>
      <c r="BR547" s="146"/>
    </row>
    <row r="548" spans="2:70" ht="15.75" hidden="1">
      <c r="B548" s="146"/>
      <c r="C548" s="146"/>
      <c r="D548" s="146"/>
      <c r="E548" s="146"/>
      <c r="F548" s="146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  <c r="AF548" s="146"/>
      <c r="AG548" s="146"/>
      <c r="AH548" s="146"/>
      <c r="AI548" s="146"/>
      <c r="AJ548" s="146"/>
      <c r="AK548" s="146"/>
      <c r="AL548" s="146"/>
      <c r="AM548" s="146"/>
      <c r="AN548" s="146"/>
      <c r="AO548" s="146"/>
      <c r="AP548" s="146"/>
      <c r="AQ548" s="146"/>
      <c r="AR548" s="146"/>
      <c r="AS548" s="146"/>
      <c r="AT548" s="146"/>
      <c r="AU548" s="146"/>
      <c r="AV548" s="146"/>
      <c r="AW548" s="146"/>
      <c r="AX548" s="146"/>
      <c r="AY548" s="146"/>
      <c r="AZ548" s="146"/>
      <c r="BA548" s="146"/>
      <c r="BB548" s="146"/>
      <c r="BC548" s="146"/>
      <c r="BD548" s="146"/>
      <c r="BE548" s="146"/>
      <c r="BF548" s="146"/>
      <c r="BG548" s="146"/>
      <c r="BH548" s="146"/>
      <c r="BI548" s="146"/>
      <c r="BJ548" s="146"/>
      <c r="BK548" s="146"/>
      <c r="BL548" s="146"/>
      <c r="BM548" s="146"/>
      <c r="BN548" s="146"/>
      <c r="BO548" s="146"/>
      <c r="BP548" s="146"/>
      <c r="BQ548" s="146"/>
      <c r="BR548" s="146"/>
    </row>
    <row r="549" spans="2:70" ht="15.75" hidden="1">
      <c r="B549" s="146"/>
      <c r="C549" s="146"/>
      <c r="D549" s="146"/>
      <c r="E549" s="146"/>
      <c r="F549" s="146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  <c r="AF549" s="146"/>
      <c r="AG549" s="146"/>
      <c r="AH549" s="146"/>
      <c r="AI549" s="146"/>
      <c r="AJ549" s="146"/>
      <c r="AK549" s="146"/>
      <c r="AL549" s="146"/>
      <c r="AM549" s="146"/>
      <c r="AN549" s="146"/>
      <c r="AO549" s="146"/>
      <c r="AP549" s="146"/>
      <c r="AQ549" s="146"/>
      <c r="AR549" s="146"/>
      <c r="AS549" s="146"/>
      <c r="AT549" s="146"/>
      <c r="AU549" s="146"/>
      <c r="AV549" s="146"/>
      <c r="AW549" s="146"/>
      <c r="AX549" s="146"/>
      <c r="AY549" s="146"/>
      <c r="AZ549" s="146"/>
      <c r="BA549" s="146"/>
      <c r="BB549" s="146"/>
      <c r="BC549" s="146"/>
      <c r="BD549" s="146"/>
      <c r="BE549" s="146"/>
      <c r="BF549" s="146"/>
      <c r="BG549" s="146"/>
      <c r="BH549" s="146"/>
      <c r="BI549" s="146"/>
      <c r="BJ549" s="146"/>
      <c r="BK549" s="146"/>
      <c r="BL549" s="146"/>
      <c r="BM549" s="146"/>
      <c r="BN549" s="146"/>
      <c r="BO549" s="146"/>
      <c r="BP549" s="146"/>
      <c r="BQ549" s="146"/>
      <c r="BR549" s="146"/>
    </row>
    <row r="550" spans="2:70" ht="15.75" hidden="1">
      <c r="B550" s="146"/>
      <c r="C550" s="146"/>
      <c r="D550" s="146"/>
      <c r="E550" s="146"/>
      <c r="F550" s="146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  <c r="AF550" s="146"/>
      <c r="AG550" s="146"/>
      <c r="AH550" s="146"/>
      <c r="AI550" s="146"/>
      <c r="AJ550" s="146"/>
      <c r="AK550" s="146"/>
      <c r="AL550" s="146"/>
      <c r="AM550" s="146"/>
      <c r="AN550" s="146"/>
      <c r="AO550" s="146"/>
      <c r="AP550" s="146"/>
      <c r="AQ550" s="146"/>
      <c r="AR550" s="146"/>
      <c r="AS550" s="146"/>
      <c r="AT550" s="146"/>
      <c r="AU550" s="146"/>
      <c r="AV550" s="146"/>
      <c r="AW550" s="146"/>
      <c r="AX550" s="146"/>
      <c r="AY550" s="146"/>
      <c r="AZ550" s="146"/>
      <c r="BA550" s="146"/>
      <c r="BB550" s="146"/>
      <c r="BC550" s="146"/>
      <c r="BD550" s="146"/>
      <c r="BE550" s="146"/>
      <c r="BF550" s="146"/>
      <c r="BG550" s="146"/>
      <c r="BH550" s="146"/>
      <c r="BI550" s="146"/>
      <c r="BJ550" s="146"/>
      <c r="BK550" s="146"/>
      <c r="BL550" s="146"/>
      <c r="BM550" s="146"/>
      <c r="BN550" s="146"/>
      <c r="BO550" s="146"/>
      <c r="BP550" s="146"/>
      <c r="BQ550" s="146"/>
      <c r="BR550" s="146"/>
    </row>
    <row r="551" spans="2:70" ht="15.75" hidden="1">
      <c r="B551" s="146"/>
      <c r="C551" s="146"/>
      <c r="D551" s="146"/>
      <c r="E551" s="146"/>
      <c r="F551" s="146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  <c r="AF551" s="146"/>
      <c r="AG551" s="146"/>
      <c r="AH551" s="146"/>
      <c r="AI551" s="146"/>
      <c r="AJ551" s="146"/>
      <c r="AK551" s="146"/>
      <c r="AL551" s="146"/>
      <c r="AM551" s="146"/>
      <c r="AN551" s="146"/>
      <c r="AO551" s="146"/>
      <c r="AP551" s="146"/>
      <c r="AQ551" s="146"/>
      <c r="AR551" s="146"/>
      <c r="AS551" s="146"/>
      <c r="AT551" s="146"/>
      <c r="AU551" s="146"/>
      <c r="AV551" s="146"/>
      <c r="AW551" s="146"/>
      <c r="AX551" s="146"/>
      <c r="AY551" s="146"/>
      <c r="AZ551" s="146"/>
      <c r="BA551" s="146"/>
      <c r="BB551" s="146"/>
      <c r="BC551" s="146"/>
      <c r="BD551" s="146"/>
      <c r="BE551" s="146"/>
      <c r="BF551" s="146"/>
      <c r="BG551" s="146"/>
      <c r="BH551" s="146"/>
      <c r="BI551" s="146"/>
      <c r="BJ551" s="146"/>
      <c r="BK551" s="146"/>
      <c r="BL551" s="146"/>
      <c r="BM551" s="146"/>
      <c r="BN551" s="146"/>
      <c r="BO551" s="146"/>
      <c r="BP551" s="146"/>
      <c r="BQ551" s="146"/>
      <c r="BR551" s="146"/>
    </row>
    <row r="552" spans="2:70" ht="15.75" hidden="1">
      <c r="B552" s="146"/>
      <c r="C552" s="146"/>
      <c r="D552" s="146"/>
      <c r="E552" s="146"/>
      <c r="F552" s="146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  <c r="AF552" s="146"/>
      <c r="AG552" s="146"/>
      <c r="AH552" s="146"/>
      <c r="AI552" s="146"/>
      <c r="AJ552" s="146"/>
      <c r="AK552" s="146"/>
      <c r="AL552" s="146"/>
      <c r="AM552" s="146"/>
      <c r="AN552" s="146"/>
      <c r="AO552" s="146"/>
      <c r="AP552" s="146"/>
      <c r="AQ552" s="146"/>
      <c r="AR552" s="146"/>
      <c r="AS552" s="146"/>
      <c r="AT552" s="146"/>
      <c r="AU552" s="146"/>
      <c r="AV552" s="146"/>
      <c r="AW552" s="146"/>
      <c r="AX552" s="146"/>
      <c r="AY552" s="146"/>
      <c r="AZ552" s="146"/>
      <c r="BA552" s="146"/>
      <c r="BB552" s="146"/>
      <c r="BC552" s="146"/>
      <c r="BD552" s="146"/>
      <c r="BE552" s="146"/>
      <c r="BF552" s="146"/>
      <c r="BG552" s="146"/>
      <c r="BH552" s="146"/>
      <c r="BI552" s="146"/>
      <c r="BJ552" s="146"/>
      <c r="BK552" s="146"/>
      <c r="BL552" s="146"/>
      <c r="BM552" s="146"/>
      <c r="BN552" s="146"/>
      <c r="BO552" s="146"/>
      <c r="BP552" s="146"/>
      <c r="BQ552" s="146"/>
      <c r="BR552" s="146"/>
    </row>
    <row r="553" spans="2:70" ht="15.75" hidden="1">
      <c r="B553" s="146"/>
      <c r="C553" s="146"/>
      <c r="D553" s="146"/>
      <c r="E553" s="146"/>
      <c r="F553" s="146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  <c r="AF553" s="146"/>
      <c r="AG553" s="146"/>
      <c r="AH553" s="146"/>
      <c r="AI553" s="146"/>
      <c r="AJ553" s="146"/>
      <c r="AK553" s="146"/>
      <c r="AL553" s="146"/>
      <c r="AM553" s="146"/>
      <c r="AN553" s="146"/>
      <c r="AO553" s="146"/>
      <c r="AP553" s="146"/>
      <c r="AQ553" s="146"/>
      <c r="AR553" s="146"/>
      <c r="AS553" s="146"/>
      <c r="AT553" s="146"/>
      <c r="AU553" s="146"/>
      <c r="AV553" s="146"/>
      <c r="AW553" s="146"/>
      <c r="AX553" s="146"/>
      <c r="AY553" s="146"/>
      <c r="AZ553" s="146"/>
      <c r="BA553" s="146"/>
      <c r="BB553" s="146"/>
      <c r="BC553" s="146"/>
      <c r="BD553" s="146"/>
      <c r="BE553" s="146"/>
      <c r="BF553" s="146"/>
      <c r="BG553" s="146"/>
      <c r="BH553" s="146"/>
      <c r="BI553" s="146"/>
      <c r="BJ553" s="146"/>
      <c r="BK553" s="146"/>
      <c r="BL553" s="146"/>
      <c r="BM553" s="146"/>
      <c r="BN553" s="146"/>
      <c r="BO553" s="146"/>
      <c r="BP553" s="146"/>
      <c r="BQ553" s="146"/>
      <c r="BR553" s="146"/>
    </row>
    <row r="554" spans="2:70" ht="15.75" hidden="1">
      <c r="B554" s="146"/>
      <c r="C554" s="146"/>
      <c r="D554" s="146"/>
      <c r="E554" s="146"/>
      <c r="F554" s="146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  <c r="AF554" s="146"/>
      <c r="AG554" s="146"/>
      <c r="AH554" s="146"/>
      <c r="AI554" s="146"/>
      <c r="AJ554" s="146"/>
      <c r="AK554" s="146"/>
      <c r="AL554" s="146"/>
      <c r="AM554" s="146"/>
      <c r="AN554" s="146"/>
      <c r="AO554" s="146"/>
      <c r="AP554" s="146"/>
      <c r="AQ554" s="146"/>
      <c r="AR554" s="146"/>
      <c r="AS554" s="146"/>
      <c r="AT554" s="146"/>
      <c r="AU554" s="146"/>
      <c r="AV554" s="146"/>
      <c r="AW554" s="146"/>
      <c r="AX554" s="146"/>
      <c r="AY554" s="146"/>
      <c r="AZ554" s="146"/>
      <c r="BA554" s="146"/>
      <c r="BB554" s="146"/>
      <c r="BC554" s="146"/>
      <c r="BD554" s="146"/>
      <c r="BE554" s="146"/>
      <c r="BF554" s="146"/>
      <c r="BG554" s="146"/>
      <c r="BH554" s="146"/>
      <c r="BI554" s="146"/>
      <c r="BJ554" s="146"/>
      <c r="BK554" s="146"/>
      <c r="BL554" s="146"/>
      <c r="BM554" s="146"/>
      <c r="BN554" s="146"/>
      <c r="BO554" s="146"/>
      <c r="BP554" s="146"/>
      <c r="BQ554" s="146"/>
      <c r="BR554" s="146"/>
    </row>
    <row r="555" spans="2:70" ht="15.75" hidden="1">
      <c r="B555" s="146"/>
      <c r="C555" s="146"/>
      <c r="D555" s="146"/>
      <c r="E555" s="146"/>
      <c r="F555" s="146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  <c r="AF555" s="146"/>
      <c r="AG555" s="146"/>
      <c r="AH555" s="146"/>
      <c r="AI555" s="146"/>
      <c r="AJ555" s="146"/>
      <c r="AK555" s="146"/>
      <c r="AL555" s="146"/>
      <c r="AM555" s="146"/>
      <c r="AN555" s="146"/>
      <c r="AO555" s="146"/>
      <c r="AP555" s="146"/>
      <c r="AQ555" s="146"/>
      <c r="AR555" s="146"/>
      <c r="AS555" s="146"/>
      <c r="AT555" s="146"/>
      <c r="AU555" s="146"/>
      <c r="AV555" s="146"/>
      <c r="AW555" s="146"/>
      <c r="AX555" s="146"/>
      <c r="AY555" s="146"/>
      <c r="AZ555" s="146"/>
      <c r="BA555" s="146"/>
      <c r="BB555" s="146"/>
      <c r="BC555" s="146"/>
      <c r="BD555" s="146"/>
      <c r="BE555" s="146"/>
      <c r="BF555" s="146"/>
      <c r="BG555" s="146"/>
      <c r="BH555" s="146"/>
      <c r="BI555" s="146"/>
      <c r="BJ555" s="146"/>
      <c r="BK555" s="146"/>
      <c r="BL555" s="146"/>
      <c r="BM555" s="146"/>
      <c r="BN555" s="146"/>
      <c r="BO555" s="146"/>
      <c r="BP555" s="146"/>
      <c r="BQ555" s="146"/>
      <c r="BR555" s="146"/>
    </row>
    <row r="556" spans="2:70" ht="15.75" hidden="1">
      <c r="B556" s="146"/>
      <c r="C556" s="146"/>
      <c r="D556" s="146"/>
      <c r="E556" s="146"/>
      <c r="F556" s="146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  <c r="AF556" s="146"/>
      <c r="AG556" s="146"/>
      <c r="AH556" s="146"/>
      <c r="AI556" s="146"/>
      <c r="AJ556" s="146"/>
      <c r="AK556" s="146"/>
      <c r="AL556" s="146"/>
      <c r="AM556" s="146"/>
      <c r="AN556" s="146"/>
      <c r="AO556" s="146"/>
      <c r="AP556" s="146"/>
      <c r="AQ556" s="146"/>
      <c r="AR556" s="146"/>
      <c r="AS556" s="146"/>
      <c r="AT556" s="146"/>
      <c r="AU556" s="146"/>
      <c r="AV556" s="146"/>
      <c r="AW556" s="146"/>
      <c r="AX556" s="146"/>
      <c r="AY556" s="146"/>
      <c r="AZ556" s="146"/>
      <c r="BA556" s="146"/>
      <c r="BB556" s="146"/>
      <c r="BC556" s="146"/>
      <c r="BD556" s="146"/>
      <c r="BE556" s="146"/>
      <c r="BF556" s="146"/>
      <c r="BG556" s="146"/>
      <c r="BH556" s="146"/>
      <c r="BI556" s="146"/>
      <c r="BJ556" s="146"/>
      <c r="BK556" s="146"/>
      <c r="BL556" s="146"/>
      <c r="BM556" s="146"/>
      <c r="BN556" s="146"/>
      <c r="BO556" s="146"/>
      <c r="BP556" s="146"/>
      <c r="BQ556" s="146"/>
      <c r="BR556" s="146"/>
    </row>
    <row r="557" spans="2:70" ht="15.75" hidden="1">
      <c r="B557" s="146"/>
      <c r="C557" s="146"/>
      <c r="D557" s="146"/>
      <c r="E557" s="146"/>
      <c r="F557" s="146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  <c r="AF557" s="146"/>
      <c r="AG557" s="146"/>
      <c r="AH557" s="146"/>
      <c r="AI557" s="146"/>
      <c r="AJ557" s="146"/>
      <c r="AK557" s="146"/>
      <c r="AL557" s="146"/>
      <c r="AM557" s="146"/>
      <c r="AN557" s="146"/>
      <c r="AO557" s="146"/>
      <c r="AP557" s="146"/>
      <c r="AQ557" s="146"/>
      <c r="AR557" s="146"/>
      <c r="AS557" s="146"/>
      <c r="AT557" s="146"/>
      <c r="AU557" s="146"/>
      <c r="AV557" s="146"/>
      <c r="AW557" s="146"/>
      <c r="AX557" s="146"/>
      <c r="AY557" s="146"/>
      <c r="AZ557" s="146"/>
      <c r="BA557" s="146"/>
      <c r="BB557" s="146"/>
      <c r="BC557" s="146"/>
      <c r="BD557" s="146"/>
      <c r="BE557" s="146"/>
      <c r="BF557" s="146"/>
      <c r="BG557" s="146"/>
      <c r="BH557" s="146"/>
      <c r="BI557" s="146"/>
      <c r="BJ557" s="146"/>
      <c r="BK557" s="146"/>
      <c r="BL557" s="146"/>
      <c r="BM557" s="146"/>
      <c r="BN557" s="146"/>
      <c r="BO557" s="146"/>
      <c r="BP557" s="146"/>
      <c r="BQ557" s="146"/>
      <c r="BR557" s="146"/>
    </row>
    <row r="558" spans="2:70" ht="15.75" hidden="1">
      <c r="B558" s="146"/>
      <c r="C558" s="146"/>
      <c r="D558" s="146"/>
      <c r="E558" s="146"/>
      <c r="F558" s="146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  <c r="AF558" s="146"/>
      <c r="AG558" s="146"/>
      <c r="AH558" s="146"/>
      <c r="AI558" s="146"/>
      <c r="AJ558" s="146"/>
      <c r="AK558" s="146"/>
      <c r="AL558" s="146"/>
      <c r="AM558" s="146"/>
      <c r="AN558" s="146"/>
      <c r="AO558" s="146"/>
      <c r="AP558" s="146"/>
      <c r="AQ558" s="146"/>
      <c r="AR558" s="146"/>
      <c r="AS558" s="146"/>
      <c r="AT558" s="146"/>
      <c r="AU558" s="146"/>
      <c r="AV558" s="146"/>
      <c r="AW558" s="146"/>
      <c r="AX558" s="146"/>
      <c r="AY558" s="146"/>
      <c r="AZ558" s="146"/>
      <c r="BA558" s="146"/>
      <c r="BB558" s="146"/>
      <c r="BC558" s="146"/>
      <c r="BD558" s="146"/>
      <c r="BE558" s="146"/>
      <c r="BF558" s="146"/>
      <c r="BG558" s="146"/>
      <c r="BH558" s="146"/>
      <c r="BI558" s="146"/>
      <c r="BJ558" s="146"/>
      <c r="BK558" s="146"/>
      <c r="BL558" s="146"/>
      <c r="BM558" s="146"/>
      <c r="BN558" s="146"/>
      <c r="BO558" s="146"/>
      <c r="BP558" s="146"/>
      <c r="BQ558" s="146"/>
      <c r="BR558" s="146"/>
    </row>
    <row r="559" spans="2:70" ht="15.75" hidden="1">
      <c r="B559" s="146"/>
      <c r="C559" s="146"/>
      <c r="D559" s="146"/>
      <c r="E559" s="146"/>
      <c r="F559" s="146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  <c r="AF559" s="146"/>
      <c r="AG559" s="146"/>
      <c r="AH559" s="146"/>
      <c r="AI559" s="146"/>
      <c r="AJ559" s="146"/>
      <c r="AK559" s="146"/>
      <c r="AL559" s="146"/>
      <c r="AM559" s="146"/>
      <c r="AN559" s="146"/>
      <c r="AO559" s="146"/>
      <c r="AP559" s="146"/>
      <c r="AQ559" s="146"/>
      <c r="AR559" s="146"/>
      <c r="AS559" s="146"/>
      <c r="AT559" s="146"/>
      <c r="AU559" s="146"/>
      <c r="AV559" s="146"/>
      <c r="AW559" s="146"/>
      <c r="AX559" s="146"/>
      <c r="AY559" s="146"/>
      <c r="AZ559" s="146"/>
      <c r="BA559" s="146"/>
      <c r="BB559" s="146"/>
      <c r="BC559" s="146"/>
      <c r="BD559" s="146"/>
      <c r="BE559" s="146"/>
      <c r="BF559" s="146"/>
      <c r="BG559" s="146"/>
      <c r="BH559" s="146"/>
      <c r="BI559" s="146"/>
      <c r="BJ559" s="146"/>
      <c r="BK559" s="146"/>
      <c r="BL559" s="146"/>
      <c r="BM559" s="146"/>
      <c r="BN559" s="146"/>
      <c r="BO559" s="146"/>
      <c r="BP559" s="146"/>
      <c r="BQ559" s="146"/>
      <c r="BR559" s="146"/>
    </row>
    <row r="560" spans="2:70" ht="15.75" hidden="1">
      <c r="B560" s="146"/>
      <c r="C560" s="146"/>
      <c r="D560" s="146"/>
      <c r="E560" s="146"/>
      <c r="F560" s="146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  <c r="AF560" s="146"/>
      <c r="AG560" s="146"/>
      <c r="AH560" s="146"/>
      <c r="AI560" s="146"/>
      <c r="AJ560" s="146"/>
      <c r="AK560" s="146"/>
      <c r="AL560" s="146"/>
      <c r="AM560" s="146"/>
      <c r="AN560" s="146"/>
      <c r="AO560" s="146"/>
      <c r="AP560" s="146"/>
      <c r="AQ560" s="146"/>
      <c r="AR560" s="146"/>
      <c r="AS560" s="146"/>
      <c r="AT560" s="146"/>
      <c r="AU560" s="146"/>
      <c r="AV560" s="146"/>
      <c r="AW560" s="146"/>
      <c r="AX560" s="146"/>
      <c r="AY560" s="146"/>
      <c r="AZ560" s="146"/>
      <c r="BA560" s="146"/>
      <c r="BB560" s="146"/>
      <c r="BC560" s="146"/>
      <c r="BD560" s="146"/>
      <c r="BE560" s="146"/>
      <c r="BF560" s="146"/>
      <c r="BG560" s="146"/>
      <c r="BH560" s="146"/>
      <c r="BI560" s="146"/>
      <c r="BJ560" s="146"/>
      <c r="BK560" s="146"/>
      <c r="BL560" s="146"/>
      <c r="BM560" s="146"/>
      <c r="BN560" s="146"/>
      <c r="BO560" s="146"/>
      <c r="BP560" s="146"/>
      <c r="BQ560" s="146"/>
      <c r="BR560" s="146"/>
    </row>
    <row r="561" spans="2:70" ht="15.75" hidden="1">
      <c r="B561" s="146"/>
      <c r="C561" s="146"/>
      <c r="D561" s="146"/>
      <c r="E561" s="146"/>
      <c r="F561" s="146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  <c r="AF561" s="146"/>
      <c r="AG561" s="146"/>
      <c r="AH561" s="146"/>
      <c r="AI561" s="146"/>
      <c r="AJ561" s="146"/>
      <c r="AK561" s="146"/>
      <c r="AL561" s="146"/>
      <c r="AM561" s="146"/>
      <c r="AN561" s="146"/>
      <c r="AO561" s="146"/>
      <c r="AP561" s="146"/>
      <c r="AQ561" s="146"/>
      <c r="AR561" s="146"/>
      <c r="AS561" s="146"/>
      <c r="AT561" s="146"/>
      <c r="AU561" s="146"/>
      <c r="AV561" s="146"/>
      <c r="AW561" s="146"/>
      <c r="AX561" s="146"/>
      <c r="AY561" s="146"/>
      <c r="AZ561" s="146"/>
      <c r="BA561" s="146"/>
      <c r="BB561" s="146"/>
      <c r="BC561" s="146"/>
      <c r="BD561" s="146"/>
      <c r="BE561" s="146"/>
      <c r="BF561" s="146"/>
      <c r="BG561" s="146"/>
      <c r="BH561" s="146"/>
      <c r="BI561" s="146"/>
      <c r="BJ561" s="146"/>
      <c r="BK561" s="146"/>
      <c r="BL561" s="146"/>
      <c r="BM561" s="146"/>
      <c r="BN561" s="146"/>
      <c r="BO561" s="146"/>
      <c r="BP561" s="146"/>
      <c r="BQ561" s="146"/>
      <c r="BR561" s="146"/>
    </row>
    <row r="562" spans="2:70" ht="15.75" hidden="1">
      <c r="B562" s="146"/>
      <c r="C562" s="146"/>
      <c r="D562" s="146"/>
      <c r="E562" s="146"/>
      <c r="F562" s="146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  <c r="AF562" s="146"/>
      <c r="AG562" s="146"/>
      <c r="AH562" s="146"/>
      <c r="AI562" s="146"/>
      <c r="AJ562" s="146"/>
      <c r="AK562" s="146"/>
      <c r="AL562" s="146"/>
      <c r="AM562" s="146"/>
      <c r="AN562" s="146"/>
      <c r="AO562" s="146"/>
      <c r="AP562" s="146"/>
      <c r="AQ562" s="146"/>
      <c r="AR562" s="146"/>
      <c r="AS562" s="146"/>
      <c r="AT562" s="146"/>
      <c r="AU562" s="146"/>
      <c r="AV562" s="146"/>
      <c r="AW562" s="146"/>
      <c r="AX562" s="146"/>
      <c r="AY562" s="146"/>
      <c r="AZ562" s="146"/>
      <c r="BA562" s="146"/>
      <c r="BB562" s="146"/>
      <c r="BC562" s="146"/>
      <c r="BD562" s="146"/>
      <c r="BE562" s="146"/>
      <c r="BF562" s="146"/>
      <c r="BG562" s="146"/>
      <c r="BH562" s="146"/>
      <c r="BI562" s="146"/>
      <c r="BJ562" s="146"/>
      <c r="BK562" s="146"/>
      <c r="BL562" s="146"/>
      <c r="BM562" s="146"/>
      <c r="BN562" s="146"/>
      <c r="BO562" s="146"/>
      <c r="BP562" s="146"/>
      <c r="BQ562" s="146"/>
      <c r="BR562" s="146"/>
    </row>
    <row r="563" spans="2:70" ht="15.75" hidden="1">
      <c r="B563" s="146"/>
      <c r="C563" s="146"/>
      <c r="D563" s="146"/>
      <c r="E563" s="146"/>
      <c r="F563" s="146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  <c r="AF563" s="146"/>
      <c r="AG563" s="146"/>
      <c r="AH563" s="146"/>
      <c r="AI563" s="146"/>
      <c r="AJ563" s="146"/>
      <c r="AK563" s="146"/>
      <c r="AL563" s="146"/>
      <c r="AM563" s="146"/>
      <c r="AN563" s="146"/>
      <c r="AO563" s="146"/>
      <c r="AP563" s="146"/>
      <c r="AQ563" s="146"/>
      <c r="AR563" s="146"/>
      <c r="AS563" s="146"/>
      <c r="AT563" s="146"/>
      <c r="AU563" s="146"/>
      <c r="AV563" s="146"/>
      <c r="AW563" s="146"/>
      <c r="AX563" s="146"/>
      <c r="AY563" s="146"/>
      <c r="AZ563" s="146"/>
      <c r="BA563" s="146"/>
      <c r="BB563" s="146"/>
      <c r="BC563" s="146"/>
      <c r="BD563" s="146"/>
      <c r="BE563" s="146"/>
      <c r="BF563" s="146"/>
      <c r="BG563" s="146"/>
      <c r="BH563" s="146"/>
      <c r="BI563" s="146"/>
      <c r="BJ563" s="146"/>
      <c r="BK563" s="146"/>
      <c r="BL563" s="146"/>
      <c r="BM563" s="146"/>
      <c r="BN563" s="146"/>
      <c r="BO563" s="146"/>
      <c r="BP563" s="146"/>
      <c r="BQ563" s="146"/>
      <c r="BR563" s="146"/>
    </row>
    <row r="564" spans="2:70" ht="15.75" hidden="1">
      <c r="B564" s="146"/>
      <c r="C564" s="146"/>
      <c r="D564" s="146"/>
      <c r="E564" s="146"/>
      <c r="F564" s="146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  <c r="AF564" s="146"/>
      <c r="AG564" s="146"/>
      <c r="AH564" s="146"/>
      <c r="AI564" s="146"/>
      <c r="AJ564" s="146"/>
      <c r="AK564" s="146"/>
      <c r="AL564" s="146"/>
      <c r="AM564" s="146"/>
      <c r="AN564" s="146"/>
      <c r="AO564" s="146"/>
      <c r="AP564" s="146"/>
      <c r="AQ564" s="146"/>
      <c r="AR564" s="146"/>
      <c r="AS564" s="146"/>
      <c r="AT564" s="146"/>
      <c r="AU564" s="146"/>
      <c r="AV564" s="146"/>
      <c r="AW564" s="146"/>
      <c r="AX564" s="146"/>
      <c r="AY564" s="146"/>
      <c r="AZ564" s="146"/>
      <c r="BA564" s="146"/>
      <c r="BB564" s="146"/>
      <c r="BC564" s="146"/>
      <c r="BD564" s="146"/>
      <c r="BE564" s="146"/>
      <c r="BF564" s="146"/>
      <c r="BG564" s="146"/>
      <c r="BH564" s="146"/>
      <c r="BI564" s="146"/>
      <c r="BJ564" s="146"/>
      <c r="BK564" s="146"/>
      <c r="BL564" s="146"/>
      <c r="BM564" s="146"/>
      <c r="BN564" s="146"/>
      <c r="BO564" s="146"/>
      <c r="BP564" s="146"/>
      <c r="BQ564" s="146"/>
      <c r="BR564" s="146"/>
    </row>
    <row r="565" spans="2:70" ht="15.75" hidden="1">
      <c r="B565" s="146"/>
      <c r="C565" s="146"/>
      <c r="D565" s="146"/>
      <c r="E565" s="146"/>
      <c r="F565" s="146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  <c r="AF565" s="146"/>
      <c r="AG565" s="146"/>
      <c r="AH565" s="146"/>
      <c r="AI565" s="146"/>
      <c r="AJ565" s="146"/>
      <c r="AK565" s="146"/>
      <c r="AL565" s="146"/>
      <c r="AM565" s="146"/>
      <c r="AN565" s="146"/>
      <c r="AO565" s="146"/>
      <c r="AP565" s="146"/>
      <c r="AQ565" s="146"/>
      <c r="AR565" s="146"/>
      <c r="AS565" s="146"/>
      <c r="AT565" s="146"/>
      <c r="AU565" s="146"/>
      <c r="AV565" s="146"/>
      <c r="AW565" s="146"/>
      <c r="AX565" s="146"/>
      <c r="AY565" s="146"/>
      <c r="AZ565" s="146"/>
      <c r="BA565" s="146"/>
      <c r="BB565" s="146"/>
      <c r="BC565" s="146"/>
      <c r="BD565" s="146"/>
      <c r="BE565" s="146"/>
      <c r="BF565" s="146"/>
      <c r="BG565" s="146"/>
      <c r="BH565" s="146"/>
      <c r="BI565" s="146"/>
      <c r="BJ565" s="146"/>
      <c r="BK565" s="146"/>
      <c r="BL565" s="146"/>
      <c r="BM565" s="146"/>
      <c r="BN565" s="146"/>
      <c r="BO565" s="146"/>
      <c r="BP565" s="146"/>
      <c r="BQ565" s="146"/>
      <c r="BR565" s="146"/>
    </row>
    <row r="566" spans="2:70" ht="15.75" hidden="1">
      <c r="B566" s="146"/>
      <c r="C566" s="146"/>
      <c r="D566" s="146"/>
      <c r="E566" s="146"/>
      <c r="F566" s="146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  <c r="AF566" s="146"/>
      <c r="AG566" s="146"/>
      <c r="AH566" s="146"/>
      <c r="AI566" s="146"/>
      <c r="AJ566" s="146"/>
      <c r="AK566" s="146"/>
      <c r="AL566" s="146"/>
      <c r="AM566" s="146"/>
      <c r="AN566" s="146"/>
      <c r="AO566" s="146"/>
      <c r="AP566" s="146"/>
      <c r="AQ566" s="146"/>
      <c r="AR566" s="146"/>
      <c r="AS566" s="146"/>
      <c r="AT566" s="146"/>
      <c r="AU566" s="146"/>
      <c r="AV566" s="146"/>
      <c r="AW566" s="146"/>
      <c r="AX566" s="146"/>
      <c r="AY566" s="146"/>
      <c r="AZ566" s="146"/>
      <c r="BA566" s="146"/>
      <c r="BB566" s="146"/>
      <c r="BC566" s="146"/>
      <c r="BD566" s="146"/>
      <c r="BE566" s="146"/>
      <c r="BF566" s="146"/>
      <c r="BG566" s="146"/>
      <c r="BH566" s="146"/>
      <c r="BI566" s="146"/>
      <c r="BJ566" s="146"/>
      <c r="BK566" s="146"/>
      <c r="BL566" s="146"/>
      <c r="BM566" s="146"/>
      <c r="BN566" s="146"/>
      <c r="BO566" s="146"/>
      <c r="BP566" s="146"/>
      <c r="BQ566" s="146"/>
      <c r="BR566" s="146"/>
    </row>
    <row r="567" spans="2:70" ht="15.75" hidden="1">
      <c r="B567" s="146"/>
      <c r="C567" s="146"/>
      <c r="D567" s="146"/>
      <c r="E567" s="146"/>
      <c r="F567" s="146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  <c r="AF567" s="146"/>
      <c r="AG567" s="146"/>
      <c r="AH567" s="146"/>
      <c r="AI567" s="146"/>
      <c r="AJ567" s="146"/>
      <c r="AK567" s="146"/>
      <c r="AL567" s="146"/>
      <c r="AM567" s="146"/>
      <c r="AN567" s="146"/>
      <c r="AO567" s="146"/>
      <c r="AP567" s="146"/>
      <c r="AQ567" s="146"/>
      <c r="AR567" s="146"/>
      <c r="AS567" s="146"/>
      <c r="AT567" s="146"/>
      <c r="AU567" s="146"/>
      <c r="AV567" s="146"/>
      <c r="AW567" s="146"/>
      <c r="AX567" s="146"/>
      <c r="AY567" s="146"/>
      <c r="AZ567" s="146"/>
      <c r="BA567" s="146"/>
      <c r="BB567" s="146"/>
      <c r="BC567" s="146"/>
      <c r="BD567" s="146"/>
      <c r="BE567" s="146"/>
      <c r="BF567" s="146"/>
      <c r="BG567" s="146"/>
      <c r="BH567" s="146"/>
      <c r="BI567" s="146"/>
      <c r="BJ567" s="146"/>
      <c r="BK567" s="146"/>
      <c r="BL567" s="146"/>
      <c r="BM567" s="146"/>
      <c r="BN567" s="146"/>
      <c r="BO567" s="146"/>
      <c r="BP567" s="146"/>
      <c r="BQ567" s="146"/>
      <c r="BR567" s="146"/>
    </row>
    <row r="568" spans="2:70" ht="15.75" hidden="1">
      <c r="B568" s="146"/>
      <c r="C568" s="146"/>
      <c r="D568" s="146"/>
      <c r="E568" s="146"/>
      <c r="F568" s="146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  <c r="AF568" s="146"/>
      <c r="AG568" s="146"/>
      <c r="AH568" s="146"/>
      <c r="AI568" s="146"/>
      <c r="AJ568" s="146"/>
      <c r="AK568" s="146"/>
      <c r="AL568" s="146"/>
      <c r="AM568" s="146"/>
      <c r="AN568" s="146"/>
      <c r="AO568" s="146"/>
      <c r="AP568" s="146"/>
      <c r="AQ568" s="146"/>
      <c r="AR568" s="146"/>
      <c r="AS568" s="146"/>
      <c r="AT568" s="146"/>
      <c r="AU568" s="146"/>
      <c r="AV568" s="146"/>
      <c r="AW568" s="146"/>
      <c r="AX568" s="146"/>
      <c r="AY568" s="146"/>
      <c r="AZ568" s="146"/>
      <c r="BA568" s="146"/>
      <c r="BB568" s="146"/>
      <c r="BC568" s="146"/>
      <c r="BD568" s="146"/>
      <c r="BE568" s="146"/>
      <c r="BF568" s="146"/>
      <c r="BG568" s="146"/>
      <c r="BH568" s="146"/>
      <c r="BI568" s="146"/>
      <c r="BJ568" s="146"/>
      <c r="BK568" s="146"/>
      <c r="BL568" s="146"/>
      <c r="BM568" s="146"/>
      <c r="BN568" s="146"/>
      <c r="BO568" s="146"/>
      <c r="BP568" s="146"/>
      <c r="BQ568" s="146"/>
      <c r="BR568" s="146"/>
    </row>
    <row r="569" spans="2:70" ht="15.75" hidden="1">
      <c r="B569" s="146"/>
      <c r="C569" s="146"/>
      <c r="D569" s="146"/>
      <c r="E569" s="146"/>
      <c r="F569" s="146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  <c r="AF569" s="146"/>
      <c r="AG569" s="146"/>
      <c r="AH569" s="146"/>
      <c r="AI569" s="146"/>
      <c r="AJ569" s="146"/>
      <c r="AK569" s="146"/>
      <c r="AL569" s="146"/>
      <c r="AM569" s="146"/>
      <c r="AN569" s="146"/>
      <c r="AO569" s="146"/>
      <c r="AP569" s="146"/>
      <c r="AQ569" s="146"/>
      <c r="AR569" s="146"/>
      <c r="AS569" s="146"/>
      <c r="AT569" s="146"/>
      <c r="AU569" s="146"/>
      <c r="AV569" s="146"/>
      <c r="AW569" s="146"/>
      <c r="AX569" s="146"/>
      <c r="AY569" s="146"/>
      <c r="AZ569" s="146"/>
      <c r="BA569" s="146"/>
      <c r="BB569" s="146"/>
      <c r="BC569" s="146"/>
      <c r="BD569" s="146"/>
      <c r="BE569" s="146"/>
      <c r="BF569" s="146"/>
      <c r="BG569" s="146"/>
      <c r="BH569" s="146"/>
      <c r="BI569" s="146"/>
      <c r="BJ569" s="146"/>
      <c r="BK569" s="146"/>
      <c r="BL569" s="146"/>
      <c r="BM569" s="146"/>
      <c r="BN569" s="146"/>
      <c r="BO569" s="146"/>
      <c r="BP569" s="146"/>
      <c r="BQ569" s="146"/>
      <c r="BR569" s="146"/>
    </row>
    <row r="570" spans="2:70" ht="15.75" hidden="1">
      <c r="B570" s="146"/>
      <c r="C570" s="146"/>
      <c r="D570" s="146"/>
      <c r="E570" s="146"/>
      <c r="F570" s="146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  <c r="AF570" s="146"/>
      <c r="AG570" s="146"/>
      <c r="AH570" s="146"/>
      <c r="AI570" s="146"/>
      <c r="AJ570" s="146"/>
      <c r="AK570" s="146"/>
      <c r="AL570" s="146"/>
      <c r="AM570" s="146"/>
      <c r="AN570" s="146"/>
      <c r="AO570" s="146"/>
      <c r="AP570" s="146"/>
      <c r="AQ570" s="146"/>
      <c r="AR570" s="146"/>
      <c r="AS570" s="146"/>
      <c r="AT570" s="146"/>
      <c r="AU570" s="146"/>
      <c r="AV570" s="146"/>
      <c r="AW570" s="146"/>
      <c r="AX570" s="146"/>
      <c r="AY570" s="146"/>
      <c r="AZ570" s="146"/>
      <c r="BA570" s="146"/>
      <c r="BB570" s="146"/>
      <c r="BC570" s="146"/>
      <c r="BD570" s="146"/>
      <c r="BE570" s="146"/>
      <c r="BF570" s="146"/>
      <c r="BG570" s="146"/>
      <c r="BH570" s="146"/>
      <c r="BI570" s="146"/>
      <c r="BJ570" s="146"/>
      <c r="BK570" s="146"/>
      <c r="BL570" s="146"/>
      <c r="BM570" s="146"/>
      <c r="BN570" s="146"/>
      <c r="BO570" s="146"/>
      <c r="BP570" s="146"/>
      <c r="BQ570" s="146"/>
      <c r="BR570" s="146"/>
    </row>
    <row r="571" spans="2:70" ht="15.75" hidden="1">
      <c r="B571" s="146"/>
      <c r="C571" s="146"/>
      <c r="D571" s="146"/>
      <c r="E571" s="146"/>
      <c r="F571" s="146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  <c r="AF571" s="146"/>
      <c r="AG571" s="146"/>
      <c r="AH571" s="146"/>
      <c r="AI571" s="146"/>
      <c r="AJ571" s="146"/>
      <c r="AK571" s="146"/>
      <c r="AL571" s="146"/>
      <c r="AM571" s="146"/>
      <c r="AN571" s="146"/>
      <c r="AO571" s="146"/>
      <c r="AP571" s="146"/>
      <c r="AQ571" s="146"/>
      <c r="AR571" s="146"/>
      <c r="AS571" s="146"/>
      <c r="AT571" s="146"/>
      <c r="AU571" s="146"/>
      <c r="AV571" s="146"/>
      <c r="AW571" s="146"/>
      <c r="AX571" s="146"/>
      <c r="AY571" s="146"/>
      <c r="AZ571" s="146"/>
      <c r="BA571" s="146"/>
      <c r="BB571" s="146"/>
      <c r="BC571" s="146"/>
      <c r="BD571" s="146"/>
      <c r="BE571" s="146"/>
      <c r="BF571" s="146"/>
      <c r="BG571" s="146"/>
      <c r="BH571" s="146"/>
      <c r="BI571" s="146"/>
      <c r="BJ571" s="146"/>
      <c r="BK571" s="146"/>
      <c r="BL571" s="146"/>
      <c r="BM571" s="146"/>
      <c r="BN571" s="146"/>
      <c r="BO571" s="146"/>
      <c r="BP571" s="146"/>
      <c r="BQ571" s="146"/>
      <c r="BR571" s="146"/>
    </row>
    <row r="572" spans="2:70" ht="15.75" hidden="1">
      <c r="B572" s="146"/>
      <c r="C572" s="146"/>
      <c r="D572" s="146"/>
      <c r="E572" s="146"/>
      <c r="F572" s="146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  <c r="AF572" s="146"/>
      <c r="AG572" s="146"/>
      <c r="AH572" s="146"/>
      <c r="AI572" s="146"/>
      <c r="AJ572" s="146"/>
      <c r="AK572" s="146"/>
      <c r="AL572" s="146"/>
      <c r="AM572" s="146"/>
      <c r="AN572" s="146"/>
      <c r="AO572" s="146"/>
      <c r="AP572" s="146"/>
      <c r="AQ572" s="146"/>
      <c r="AR572" s="146"/>
      <c r="AS572" s="146"/>
      <c r="AT572" s="146"/>
      <c r="AU572" s="146"/>
      <c r="AV572" s="146"/>
      <c r="AW572" s="146"/>
      <c r="AX572" s="146"/>
      <c r="AY572" s="146"/>
      <c r="AZ572" s="146"/>
      <c r="BA572" s="146"/>
      <c r="BB572" s="146"/>
      <c r="BC572" s="146"/>
      <c r="BD572" s="146"/>
      <c r="BE572" s="146"/>
      <c r="BF572" s="146"/>
      <c r="BG572" s="146"/>
      <c r="BH572" s="146"/>
      <c r="BI572" s="146"/>
      <c r="BJ572" s="146"/>
      <c r="BK572" s="146"/>
      <c r="BL572" s="146"/>
      <c r="BM572" s="146"/>
      <c r="BN572" s="146"/>
      <c r="BO572" s="146"/>
      <c r="BP572" s="146"/>
      <c r="BQ572" s="146"/>
      <c r="BR572" s="146"/>
    </row>
    <row r="573" spans="2:70" ht="15.75" hidden="1">
      <c r="B573" s="146"/>
      <c r="C573" s="146"/>
      <c r="D573" s="146"/>
      <c r="E573" s="146"/>
      <c r="F573" s="146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  <c r="AF573" s="146"/>
      <c r="AG573" s="146"/>
      <c r="AH573" s="146"/>
      <c r="AI573" s="146"/>
      <c r="AJ573" s="146"/>
      <c r="AK573" s="146"/>
      <c r="AL573" s="146"/>
      <c r="AM573" s="146"/>
      <c r="AN573" s="146"/>
      <c r="AO573" s="146"/>
      <c r="AP573" s="146"/>
      <c r="AQ573" s="146"/>
      <c r="AR573" s="146"/>
      <c r="AS573" s="146"/>
      <c r="AT573" s="146"/>
      <c r="AU573" s="146"/>
      <c r="AV573" s="146"/>
      <c r="AW573" s="146"/>
      <c r="AX573" s="146"/>
      <c r="AY573" s="146"/>
      <c r="AZ573" s="146"/>
      <c r="BA573" s="146"/>
      <c r="BB573" s="146"/>
      <c r="BC573" s="146"/>
      <c r="BD573" s="146"/>
      <c r="BE573" s="146"/>
      <c r="BF573" s="146"/>
      <c r="BG573" s="146"/>
      <c r="BH573" s="146"/>
      <c r="BI573" s="146"/>
      <c r="BJ573" s="146"/>
      <c r="BK573" s="146"/>
      <c r="BL573" s="146"/>
      <c r="BM573" s="146"/>
      <c r="BN573" s="146"/>
      <c r="BO573" s="146"/>
      <c r="BP573" s="146"/>
      <c r="BQ573" s="146"/>
      <c r="BR573" s="146"/>
    </row>
    <row r="574" spans="2:70" ht="15.75" hidden="1">
      <c r="B574" s="146"/>
      <c r="C574" s="146"/>
      <c r="D574" s="146"/>
      <c r="E574" s="146"/>
      <c r="F574" s="146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  <c r="AF574" s="146"/>
      <c r="AG574" s="146"/>
      <c r="AH574" s="146"/>
      <c r="AI574" s="146"/>
      <c r="AJ574" s="146"/>
      <c r="AK574" s="146"/>
      <c r="AL574" s="146"/>
      <c r="AM574" s="146"/>
      <c r="AN574" s="146"/>
      <c r="AO574" s="146"/>
      <c r="AP574" s="146"/>
      <c r="AQ574" s="146"/>
      <c r="AR574" s="146"/>
      <c r="AS574" s="146"/>
      <c r="AT574" s="146"/>
      <c r="AU574" s="146"/>
      <c r="AV574" s="146"/>
      <c r="AW574" s="146"/>
      <c r="AX574" s="146"/>
      <c r="AY574" s="146"/>
      <c r="AZ574" s="146"/>
      <c r="BA574" s="146"/>
      <c r="BB574" s="146"/>
      <c r="BC574" s="146"/>
      <c r="BD574" s="146"/>
      <c r="BE574" s="146"/>
      <c r="BF574" s="146"/>
      <c r="BG574" s="146"/>
      <c r="BH574" s="146"/>
      <c r="BI574" s="146"/>
      <c r="BJ574" s="146"/>
      <c r="BK574" s="146"/>
      <c r="BL574" s="146"/>
      <c r="BM574" s="146"/>
      <c r="BN574" s="146"/>
      <c r="BO574" s="146"/>
      <c r="BP574" s="146"/>
      <c r="BQ574" s="146"/>
      <c r="BR574" s="146"/>
    </row>
    <row r="575" spans="2:70" ht="15.75" hidden="1">
      <c r="B575" s="146"/>
      <c r="C575" s="146"/>
      <c r="D575" s="146"/>
      <c r="E575" s="146"/>
      <c r="F575" s="146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  <c r="AF575" s="146"/>
      <c r="AG575" s="146"/>
      <c r="AH575" s="146"/>
      <c r="AI575" s="146"/>
      <c r="AJ575" s="146"/>
      <c r="AK575" s="146"/>
      <c r="AL575" s="146"/>
      <c r="AM575" s="146"/>
      <c r="AN575" s="146"/>
      <c r="AO575" s="146"/>
      <c r="AP575" s="146"/>
      <c r="AQ575" s="146"/>
      <c r="AR575" s="146"/>
      <c r="AS575" s="146"/>
      <c r="AT575" s="146"/>
      <c r="AU575" s="146"/>
      <c r="AV575" s="146"/>
      <c r="AW575" s="146"/>
      <c r="AX575" s="146"/>
      <c r="AY575" s="146"/>
      <c r="AZ575" s="146"/>
      <c r="BA575" s="146"/>
      <c r="BB575" s="146"/>
      <c r="BC575" s="146"/>
      <c r="BD575" s="146"/>
      <c r="BE575" s="146"/>
      <c r="BF575" s="146"/>
      <c r="BG575" s="146"/>
      <c r="BH575" s="146"/>
      <c r="BI575" s="146"/>
      <c r="BJ575" s="146"/>
      <c r="BK575" s="146"/>
      <c r="BL575" s="146"/>
      <c r="BM575" s="146"/>
      <c r="BN575" s="146"/>
      <c r="BO575" s="146"/>
      <c r="BP575" s="146"/>
      <c r="BQ575" s="146"/>
      <c r="BR575" s="146"/>
    </row>
    <row r="576" spans="2:70" ht="15.75" hidden="1">
      <c r="B576" s="146"/>
      <c r="C576" s="146"/>
      <c r="D576" s="146"/>
      <c r="E576" s="146"/>
      <c r="F576" s="146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  <c r="AF576" s="146"/>
      <c r="AG576" s="146"/>
      <c r="AH576" s="146"/>
      <c r="AI576" s="146"/>
      <c r="AJ576" s="146"/>
      <c r="AK576" s="146"/>
      <c r="AL576" s="146"/>
      <c r="AM576" s="146"/>
      <c r="AN576" s="146"/>
      <c r="AO576" s="146"/>
      <c r="AP576" s="146"/>
      <c r="AQ576" s="146"/>
      <c r="AR576" s="146"/>
      <c r="AS576" s="146"/>
      <c r="AT576" s="146"/>
      <c r="AU576" s="146"/>
      <c r="AV576" s="146"/>
      <c r="AW576" s="146"/>
      <c r="AX576" s="146"/>
      <c r="AY576" s="146"/>
      <c r="AZ576" s="146"/>
      <c r="BA576" s="146"/>
      <c r="BB576" s="146"/>
      <c r="BC576" s="146"/>
      <c r="BD576" s="146"/>
      <c r="BE576" s="146"/>
      <c r="BF576" s="146"/>
      <c r="BG576" s="146"/>
      <c r="BH576" s="146"/>
      <c r="BI576" s="146"/>
      <c r="BJ576" s="146"/>
      <c r="BK576" s="146"/>
      <c r="BL576" s="146"/>
      <c r="BM576" s="146"/>
      <c r="BN576" s="146"/>
      <c r="BO576" s="146"/>
      <c r="BP576" s="146"/>
      <c r="BQ576" s="146"/>
      <c r="BR576" s="146"/>
    </row>
    <row r="577" spans="2:70" ht="15.75" hidden="1">
      <c r="B577" s="146"/>
      <c r="C577" s="146"/>
      <c r="D577" s="146"/>
      <c r="E577" s="146"/>
      <c r="F577" s="146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  <c r="AF577" s="146"/>
      <c r="AG577" s="146"/>
      <c r="AH577" s="146"/>
      <c r="AI577" s="146"/>
      <c r="AJ577" s="146"/>
      <c r="AK577" s="146"/>
      <c r="AL577" s="146"/>
      <c r="AM577" s="146"/>
      <c r="AN577" s="146"/>
      <c r="AO577" s="146"/>
      <c r="AP577" s="146"/>
      <c r="AQ577" s="146"/>
      <c r="AR577" s="146"/>
      <c r="AS577" s="146"/>
      <c r="AT577" s="146"/>
      <c r="AU577" s="146"/>
      <c r="AV577" s="146"/>
      <c r="AW577" s="146"/>
      <c r="AX577" s="146"/>
      <c r="AY577" s="146"/>
      <c r="AZ577" s="146"/>
      <c r="BA577" s="146"/>
      <c r="BB577" s="146"/>
      <c r="BC577" s="146"/>
      <c r="BD577" s="146"/>
      <c r="BE577" s="146"/>
      <c r="BF577" s="146"/>
      <c r="BG577" s="146"/>
      <c r="BH577" s="146"/>
      <c r="BI577" s="146"/>
      <c r="BJ577" s="146"/>
      <c r="BK577" s="146"/>
      <c r="BL577" s="146"/>
      <c r="BM577" s="146"/>
      <c r="BN577" s="146"/>
      <c r="BO577" s="146"/>
      <c r="BP577" s="146"/>
      <c r="BQ577" s="146"/>
      <c r="BR577" s="146"/>
    </row>
    <row r="578" spans="2:70" ht="15.75" hidden="1">
      <c r="B578" s="146"/>
      <c r="C578" s="146"/>
      <c r="D578" s="146"/>
      <c r="E578" s="146"/>
      <c r="F578" s="146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  <c r="AF578" s="146"/>
      <c r="AG578" s="146"/>
      <c r="AH578" s="146"/>
      <c r="AI578" s="146"/>
      <c r="AJ578" s="146"/>
      <c r="AK578" s="146"/>
      <c r="AL578" s="146"/>
      <c r="AM578" s="146"/>
      <c r="AN578" s="146"/>
      <c r="AO578" s="146"/>
      <c r="AP578" s="146"/>
      <c r="AQ578" s="146"/>
      <c r="AR578" s="146"/>
      <c r="AS578" s="146"/>
      <c r="AT578" s="146"/>
      <c r="AU578" s="146"/>
      <c r="AV578" s="146"/>
      <c r="AW578" s="146"/>
      <c r="AX578" s="146"/>
      <c r="AY578" s="146"/>
      <c r="AZ578" s="146"/>
      <c r="BA578" s="146"/>
      <c r="BB578" s="146"/>
      <c r="BC578" s="146"/>
      <c r="BD578" s="146"/>
      <c r="BE578" s="146"/>
      <c r="BF578" s="146"/>
      <c r="BG578" s="146"/>
      <c r="BH578" s="146"/>
      <c r="BI578" s="146"/>
      <c r="BJ578" s="146"/>
      <c r="BK578" s="146"/>
      <c r="BL578" s="146"/>
      <c r="BM578" s="146"/>
      <c r="BN578" s="146"/>
      <c r="BO578" s="146"/>
      <c r="BP578" s="146"/>
      <c r="BQ578" s="146"/>
      <c r="BR578" s="146"/>
    </row>
    <row r="579" spans="2:70" ht="15.75" hidden="1">
      <c r="B579" s="146"/>
      <c r="C579" s="146"/>
      <c r="D579" s="146"/>
      <c r="E579" s="146"/>
      <c r="F579" s="146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  <c r="AF579" s="146"/>
      <c r="AG579" s="146"/>
      <c r="AH579" s="146"/>
      <c r="AI579" s="146"/>
      <c r="AJ579" s="146"/>
      <c r="AK579" s="146"/>
      <c r="AL579" s="146"/>
      <c r="AM579" s="146"/>
      <c r="AN579" s="146"/>
      <c r="AO579" s="146"/>
      <c r="AP579" s="146"/>
      <c r="AQ579" s="146"/>
      <c r="AR579" s="146"/>
      <c r="AS579" s="146"/>
      <c r="AT579" s="146"/>
      <c r="AU579" s="146"/>
      <c r="AV579" s="146"/>
      <c r="AW579" s="146"/>
      <c r="AX579" s="146"/>
      <c r="AY579" s="146"/>
      <c r="AZ579" s="146"/>
      <c r="BA579" s="146"/>
      <c r="BB579" s="146"/>
      <c r="BC579" s="146"/>
      <c r="BD579" s="146"/>
      <c r="BE579" s="146"/>
      <c r="BF579" s="146"/>
      <c r="BG579" s="146"/>
      <c r="BH579" s="146"/>
      <c r="BI579" s="146"/>
      <c r="BJ579" s="146"/>
      <c r="BK579" s="146"/>
      <c r="BL579" s="146"/>
      <c r="BM579" s="146"/>
      <c r="BN579" s="146"/>
      <c r="BO579" s="146"/>
      <c r="BP579" s="146"/>
      <c r="BQ579" s="146"/>
      <c r="BR579" s="146"/>
    </row>
    <row r="580" spans="2:70" ht="15.75" hidden="1">
      <c r="B580" s="146"/>
      <c r="C580" s="146"/>
      <c r="D580" s="146"/>
      <c r="E580" s="146"/>
      <c r="F580" s="146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  <c r="AF580" s="146"/>
      <c r="AG580" s="146"/>
      <c r="AH580" s="146"/>
      <c r="AI580" s="146"/>
      <c r="AJ580" s="146"/>
      <c r="AK580" s="146"/>
      <c r="AL580" s="146"/>
      <c r="AM580" s="146"/>
      <c r="AN580" s="146"/>
      <c r="AO580" s="146"/>
      <c r="AP580" s="146"/>
      <c r="AQ580" s="146"/>
      <c r="AR580" s="146"/>
      <c r="AS580" s="146"/>
      <c r="AT580" s="146"/>
      <c r="AU580" s="146"/>
      <c r="AV580" s="146"/>
      <c r="AW580" s="146"/>
      <c r="AX580" s="146"/>
      <c r="AY580" s="146"/>
      <c r="AZ580" s="146"/>
      <c r="BA580" s="146"/>
      <c r="BB580" s="146"/>
      <c r="BC580" s="146"/>
      <c r="BD580" s="146"/>
      <c r="BE580" s="146"/>
      <c r="BF580" s="146"/>
      <c r="BG580" s="146"/>
      <c r="BH580" s="146"/>
      <c r="BI580" s="146"/>
      <c r="BJ580" s="146"/>
      <c r="BK580" s="146"/>
      <c r="BL580" s="146"/>
      <c r="BM580" s="146"/>
      <c r="BN580" s="146"/>
      <c r="BO580" s="146"/>
      <c r="BP580" s="146"/>
      <c r="BQ580" s="146"/>
      <c r="BR580" s="146"/>
    </row>
    <row r="581" spans="2:70" ht="15.75" hidden="1">
      <c r="B581" s="146"/>
      <c r="C581" s="146"/>
      <c r="D581" s="146"/>
      <c r="E581" s="146"/>
      <c r="F581" s="146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  <c r="AF581" s="146"/>
      <c r="AG581" s="146"/>
      <c r="AH581" s="146"/>
      <c r="AI581" s="146"/>
      <c r="AJ581" s="146"/>
      <c r="AK581" s="146"/>
      <c r="AL581" s="146"/>
      <c r="AM581" s="146"/>
      <c r="AN581" s="146"/>
      <c r="AO581" s="146"/>
      <c r="AP581" s="146"/>
      <c r="AQ581" s="146"/>
      <c r="AR581" s="146"/>
      <c r="AS581" s="146"/>
      <c r="AT581" s="146"/>
      <c r="AU581" s="146"/>
      <c r="AV581" s="146"/>
      <c r="AW581" s="146"/>
      <c r="AX581" s="146"/>
      <c r="AY581" s="146"/>
      <c r="AZ581" s="146"/>
      <c r="BA581" s="146"/>
      <c r="BB581" s="146"/>
      <c r="BC581" s="146"/>
      <c r="BD581" s="146"/>
      <c r="BE581" s="146"/>
      <c r="BF581" s="146"/>
      <c r="BG581" s="146"/>
      <c r="BH581" s="146"/>
      <c r="BI581" s="146"/>
      <c r="BJ581" s="146"/>
      <c r="BK581" s="146"/>
      <c r="BL581" s="146"/>
      <c r="BM581" s="146"/>
      <c r="BN581" s="146"/>
      <c r="BO581" s="146"/>
      <c r="BP581" s="146"/>
      <c r="BQ581" s="146"/>
      <c r="BR581" s="146"/>
    </row>
    <row r="582" spans="2:70" ht="15.75" hidden="1">
      <c r="B582" s="146"/>
      <c r="C582" s="146"/>
      <c r="D582" s="146"/>
      <c r="E582" s="146"/>
      <c r="F582" s="146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  <c r="AF582" s="146"/>
      <c r="AG582" s="146"/>
      <c r="AH582" s="146"/>
      <c r="AI582" s="146"/>
      <c r="AJ582" s="146"/>
      <c r="AK582" s="146"/>
      <c r="AL582" s="146"/>
      <c r="AM582" s="146"/>
      <c r="AN582" s="146"/>
      <c r="AO582" s="146"/>
      <c r="AP582" s="146"/>
      <c r="AQ582" s="146"/>
      <c r="AR582" s="146"/>
      <c r="AS582" s="146"/>
      <c r="AT582" s="146"/>
      <c r="AU582" s="146"/>
      <c r="AV582" s="146"/>
      <c r="AW582" s="146"/>
      <c r="AX582" s="146"/>
      <c r="AY582" s="146"/>
      <c r="AZ582" s="146"/>
      <c r="BA582" s="146"/>
      <c r="BB582" s="146"/>
      <c r="BC582" s="146"/>
      <c r="BD582" s="146"/>
      <c r="BE582" s="146"/>
      <c r="BF582" s="146"/>
      <c r="BG582" s="146"/>
      <c r="BH582" s="146"/>
      <c r="BI582" s="146"/>
      <c r="BJ582" s="146"/>
      <c r="BK582" s="146"/>
      <c r="BL582" s="146"/>
      <c r="BM582" s="146"/>
      <c r="BN582" s="146"/>
      <c r="BO582" s="146"/>
      <c r="BP582" s="146"/>
      <c r="BQ582" s="146"/>
      <c r="BR582" s="146"/>
    </row>
    <row r="583" spans="2:70" ht="15.75" hidden="1">
      <c r="B583" s="146"/>
      <c r="C583" s="146"/>
      <c r="D583" s="146"/>
      <c r="E583" s="146"/>
      <c r="F583" s="146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  <c r="AF583" s="146"/>
      <c r="AG583" s="146"/>
      <c r="AH583" s="146"/>
      <c r="AI583" s="146"/>
      <c r="AJ583" s="146"/>
      <c r="AK583" s="146"/>
      <c r="AL583" s="146"/>
      <c r="AM583" s="146"/>
      <c r="AN583" s="146"/>
      <c r="AO583" s="146"/>
      <c r="AP583" s="146"/>
      <c r="AQ583" s="146"/>
      <c r="AR583" s="146"/>
      <c r="AS583" s="146"/>
      <c r="AT583" s="146"/>
      <c r="AU583" s="146"/>
      <c r="AV583" s="146"/>
      <c r="AW583" s="146"/>
      <c r="AX583" s="146"/>
      <c r="AY583" s="146"/>
      <c r="AZ583" s="146"/>
      <c r="BA583" s="146"/>
      <c r="BB583" s="146"/>
      <c r="BC583" s="146"/>
      <c r="BD583" s="146"/>
      <c r="BE583" s="146"/>
      <c r="BF583" s="146"/>
      <c r="BG583" s="146"/>
      <c r="BH583" s="146"/>
      <c r="BI583" s="146"/>
      <c r="BJ583" s="146"/>
      <c r="BK583" s="146"/>
      <c r="BL583" s="146"/>
      <c r="BM583" s="146"/>
      <c r="BN583" s="146"/>
      <c r="BO583" s="146"/>
      <c r="BP583" s="146"/>
      <c r="BQ583" s="146"/>
      <c r="BR583" s="146"/>
    </row>
    <row r="584" spans="2:70" ht="15.75" hidden="1">
      <c r="B584" s="146"/>
      <c r="C584" s="146"/>
      <c r="D584" s="146"/>
      <c r="E584" s="146"/>
      <c r="F584" s="146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  <c r="AF584" s="146"/>
      <c r="AG584" s="146"/>
      <c r="AH584" s="146"/>
      <c r="AI584" s="146"/>
      <c r="AJ584" s="146"/>
      <c r="AK584" s="146"/>
      <c r="AL584" s="146"/>
      <c r="AM584" s="146"/>
      <c r="AN584" s="146"/>
      <c r="AO584" s="146"/>
      <c r="AP584" s="146"/>
      <c r="AQ584" s="146"/>
      <c r="AR584" s="146"/>
      <c r="AS584" s="146"/>
      <c r="AT584" s="146"/>
      <c r="AU584" s="146"/>
      <c r="AV584" s="146"/>
      <c r="AW584" s="146"/>
      <c r="AX584" s="146"/>
      <c r="AY584" s="146"/>
      <c r="AZ584" s="146"/>
      <c r="BA584" s="146"/>
      <c r="BB584" s="146"/>
      <c r="BC584" s="146"/>
      <c r="BD584" s="146"/>
      <c r="BE584" s="146"/>
      <c r="BF584" s="146"/>
      <c r="BG584" s="146"/>
      <c r="BH584" s="146"/>
      <c r="BI584" s="146"/>
      <c r="BJ584" s="146"/>
      <c r="BK584" s="146"/>
      <c r="BL584" s="146"/>
      <c r="BM584" s="146"/>
      <c r="BN584" s="146"/>
      <c r="BO584" s="146"/>
      <c r="BP584" s="146"/>
      <c r="BQ584" s="146"/>
      <c r="BR584" s="146"/>
    </row>
    <row r="585" spans="2:70" ht="15.75" hidden="1">
      <c r="B585" s="146"/>
      <c r="C585" s="146"/>
      <c r="D585" s="146"/>
      <c r="E585" s="146"/>
      <c r="F585" s="146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  <c r="AF585" s="146"/>
      <c r="AG585" s="146"/>
      <c r="AH585" s="146"/>
      <c r="AI585" s="146"/>
      <c r="AJ585" s="146"/>
      <c r="AK585" s="146"/>
      <c r="AL585" s="146"/>
      <c r="AM585" s="146"/>
      <c r="AN585" s="146"/>
      <c r="AO585" s="146"/>
      <c r="AP585" s="146"/>
      <c r="AQ585" s="146"/>
      <c r="AR585" s="146"/>
      <c r="AS585" s="146"/>
      <c r="AT585" s="146"/>
      <c r="AU585" s="146"/>
      <c r="AV585" s="146"/>
      <c r="AW585" s="146"/>
      <c r="AX585" s="146"/>
      <c r="AY585" s="146"/>
      <c r="AZ585" s="146"/>
      <c r="BA585" s="146"/>
      <c r="BB585" s="146"/>
      <c r="BC585" s="146"/>
      <c r="BD585" s="146"/>
      <c r="BE585" s="146"/>
      <c r="BF585" s="146"/>
      <c r="BG585" s="146"/>
      <c r="BH585" s="146"/>
      <c r="BI585" s="146"/>
      <c r="BJ585" s="146"/>
      <c r="BK585" s="146"/>
      <c r="BL585" s="146"/>
      <c r="BM585" s="146"/>
      <c r="BN585" s="146"/>
      <c r="BO585" s="146"/>
      <c r="BP585" s="146"/>
      <c r="BQ585" s="146"/>
      <c r="BR585" s="146"/>
    </row>
    <row r="586" spans="2:70" ht="15.75" hidden="1">
      <c r="B586" s="146"/>
      <c r="C586" s="146"/>
      <c r="D586" s="146"/>
      <c r="E586" s="146"/>
      <c r="F586" s="146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  <c r="AF586" s="146"/>
      <c r="AG586" s="146"/>
      <c r="AH586" s="146"/>
      <c r="AI586" s="146"/>
      <c r="AJ586" s="146"/>
      <c r="AK586" s="146"/>
      <c r="AL586" s="146"/>
      <c r="AM586" s="146"/>
      <c r="AN586" s="146"/>
      <c r="AO586" s="146"/>
      <c r="AP586" s="146"/>
      <c r="AQ586" s="146"/>
      <c r="AR586" s="146"/>
      <c r="AS586" s="146"/>
      <c r="AT586" s="146"/>
      <c r="AU586" s="146"/>
      <c r="AV586" s="146"/>
      <c r="AW586" s="146"/>
      <c r="AX586" s="146"/>
      <c r="AY586" s="146"/>
      <c r="AZ586" s="146"/>
      <c r="BA586" s="146"/>
      <c r="BB586" s="146"/>
      <c r="BC586" s="146"/>
      <c r="BD586" s="146"/>
      <c r="BE586" s="146"/>
      <c r="BF586" s="146"/>
      <c r="BG586" s="146"/>
      <c r="BH586" s="146"/>
      <c r="BI586" s="146"/>
      <c r="BJ586" s="146"/>
      <c r="BK586" s="146"/>
      <c r="BL586" s="146"/>
      <c r="BM586" s="146"/>
      <c r="BN586" s="146"/>
      <c r="BO586" s="146"/>
      <c r="BP586" s="146"/>
      <c r="BQ586" s="146"/>
      <c r="BR586" s="146"/>
    </row>
    <row r="587" spans="2:70" ht="15.75" hidden="1">
      <c r="B587" s="146"/>
      <c r="C587" s="146"/>
      <c r="D587" s="146"/>
      <c r="E587" s="146"/>
      <c r="F587" s="146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  <c r="AF587" s="146"/>
      <c r="AG587" s="146"/>
      <c r="AH587" s="146"/>
      <c r="AI587" s="146"/>
      <c r="AJ587" s="146"/>
      <c r="AK587" s="146"/>
      <c r="AL587" s="146"/>
      <c r="AM587" s="146"/>
      <c r="AN587" s="146"/>
      <c r="AO587" s="146"/>
      <c r="AP587" s="146"/>
      <c r="AQ587" s="146"/>
      <c r="AR587" s="146"/>
      <c r="AS587" s="146"/>
      <c r="AT587" s="146"/>
      <c r="AU587" s="146"/>
      <c r="AV587" s="146"/>
      <c r="AW587" s="146"/>
      <c r="AX587" s="146"/>
      <c r="AY587" s="146"/>
      <c r="AZ587" s="146"/>
      <c r="BA587" s="146"/>
      <c r="BB587" s="146"/>
      <c r="BC587" s="146"/>
      <c r="BD587" s="146"/>
      <c r="BE587" s="146"/>
      <c r="BF587" s="146"/>
      <c r="BG587" s="146"/>
      <c r="BH587" s="146"/>
      <c r="BI587" s="146"/>
      <c r="BJ587" s="146"/>
      <c r="BK587" s="146"/>
      <c r="BL587" s="146"/>
      <c r="BM587" s="146"/>
      <c r="BN587" s="146"/>
      <c r="BO587" s="146"/>
      <c r="BP587" s="146"/>
      <c r="BQ587" s="146"/>
      <c r="BR587" s="146"/>
    </row>
    <row r="588" spans="2:70" ht="15.75" hidden="1">
      <c r="B588" s="146"/>
      <c r="C588" s="146"/>
      <c r="D588" s="146"/>
      <c r="E588" s="146"/>
      <c r="F588" s="146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  <c r="AF588" s="146"/>
      <c r="AG588" s="146"/>
      <c r="AH588" s="146"/>
      <c r="AI588" s="146"/>
      <c r="AJ588" s="146"/>
      <c r="AK588" s="146"/>
      <c r="AL588" s="146"/>
      <c r="AM588" s="146"/>
      <c r="AN588" s="146"/>
      <c r="AO588" s="146"/>
      <c r="AP588" s="146"/>
      <c r="AQ588" s="146"/>
      <c r="AR588" s="146"/>
      <c r="AS588" s="146"/>
      <c r="AT588" s="146"/>
      <c r="AU588" s="146"/>
      <c r="AV588" s="146"/>
      <c r="AW588" s="146"/>
      <c r="AX588" s="146"/>
      <c r="AY588" s="146"/>
      <c r="AZ588" s="146"/>
      <c r="BA588" s="146"/>
      <c r="BB588" s="146"/>
      <c r="BC588" s="146"/>
      <c r="BD588" s="146"/>
      <c r="BE588" s="146"/>
      <c r="BF588" s="146"/>
      <c r="BG588" s="146"/>
      <c r="BH588" s="146"/>
      <c r="BI588" s="146"/>
      <c r="BJ588" s="146"/>
      <c r="BK588" s="146"/>
      <c r="BL588" s="146"/>
      <c r="BM588" s="146"/>
      <c r="BN588" s="146"/>
      <c r="BO588" s="146"/>
      <c r="BP588" s="146"/>
      <c r="BQ588" s="146"/>
      <c r="BR588" s="146"/>
    </row>
    <row r="589" spans="2:70" ht="15.75" hidden="1">
      <c r="B589" s="146"/>
      <c r="C589" s="146"/>
      <c r="D589" s="146"/>
      <c r="E589" s="146"/>
      <c r="F589" s="146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  <c r="AF589" s="146"/>
      <c r="AG589" s="146"/>
      <c r="AH589" s="146"/>
      <c r="AI589" s="146"/>
      <c r="AJ589" s="146"/>
      <c r="AK589" s="146"/>
      <c r="AL589" s="146"/>
      <c r="AM589" s="146"/>
      <c r="AN589" s="146"/>
      <c r="AO589" s="146"/>
      <c r="AP589" s="146"/>
      <c r="AQ589" s="146"/>
      <c r="AR589" s="146"/>
      <c r="AS589" s="146"/>
      <c r="AT589" s="146"/>
      <c r="AU589" s="146"/>
      <c r="AV589" s="146"/>
      <c r="AW589" s="146"/>
      <c r="AX589" s="146"/>
      <c r="AY589" s="146"/>
      <c r="AZ589" s="146"/>
      <c r="BA589" s="146"/>
      <c r="BB589" s="146"/>
      <c r="BC589" s="146"/>
      <c r="BD589" s="146"/>
      <c r="BE589" s="146"/>
      <c r="BF589" s="146"/>
      <c r="BG589" s="146"/>
      <c r="BH589" s="146"/>
      <c r="BI589" s="146"/>
      <c r="BJ589" s="146"/>
      <c r="BK589" s="146"/>
      <c r="BL589" s="146"/>
      <c r="BM589" s="146"/>
      <c r="BN589" s="146"/>
      <c r="BO589" s="146"/>
      <c r="BP589" s="146"/>
      <c r="BQ589" s="146"/>
      <c r="BR589" s="146"/>
    </row>
    <row r="590" spans="2:70" ht="15.75" hidden="1">
      <c r="B590" s="146"/>
      <c r="C590" s="146"/>
      <c r="D590" s="146"/>
      <c r="E590" s="146"/>
      <c r="F590" s="146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  <c r="AF590" s="146"/>
      <c r="AG590" s="146"/>
      <c r="AH590" s="146"/>
      <c r="AI590" s="146"/>
      <c r="AJ590" s="146"/>
      <c r="AK590" s="146"/>
      <c r="AL590" s="146"/>
      <c r="AM590" s="146"/>
      <c r="AN590" s="146"/>
      <c r="AO590" s="146"/>
      <c r="AP590" s="146"/>
      <c r="AQ590" s="146"/>
      <c r="AR590" s="146"/>
      <c r="AS590" s="146"/>
      <c r="AT590" s="146"/>
      <c r="AU590" s="146"/>
      <c r="AV590" s="146"/>
      <c r="AW590" s="146"/>
      <c r="AX590" s="146"/>
      <c r="AY590" s="146"/>
      <c r="AZ590" s="146"/>
      <c r="BA590" s="146"/>
      <c r="BB590" s="146"/>
      <c r="BC590" s="146"/>
      <c r="BD590" s="146"/>
      <c r="BE590" s="146"/>
      <c r="BF590" s="146"/>
      <c r="BG590" s="146"/>
      <c r="BH590" s="146"/>
      <c r="BI590" s="146"/>
      <c r="BJ590" s="146"/>
      <c r="BK590" s="146"/>
      <c r="BL590" s="146"/>
      <c r="BM590" s="146"/>
      <c r="BN590" s="146"/>
      <c r="BO590" s="146"/>
      <c r="BP590" s="146"/>
      <c r="BQ590" s="146"/>
      <c r="BR590" s="146"/>
    </row>
    <row r="591" spans="2:70" ht="15.75" hidden="1">
      <c r="B591" s="146"/>
      <c r="C591" s="146"/>
      <c r="D591" s="146"/>
      <c r="E591" s="146"/>
      <c r="F591" s="146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  <c r="AF591" s="146"/>
      <c r="AG591" s="146"/>
      <c r="AH591" s="146"/>
      <c r="AI591" s="146"/>
      <c r="AJ591" s="146"/>
      <c r="AK591" s="146"/>
      <c r="AL591" s="146"/>
      <c r="AM591" s="146"/>
      <c r="AN591" s="146"/>
      <c r="AO591" s="146"/>
      <c r="AP591" s="146"/>
      <c r="AQ591" s="146"/>
      <c r="AR591" s="146"/>
      <c r="AS591" s="146"/>
      <c r="AT591" s="146"/>
      <c r="AU591" s="146"/>
      <c r="AV591" s="146"/>
      <c r="AW591" s="146"/>
      <c r="AX591" s="146"/>
      <c r="AY591" s="146"/>
      <c r="AZ591" s="146"/>
      <c r="BA591" s="146"/>
      <c r="BB591" s="146"/>
      <c r="BC591" s="146"/>
      <c r="BD591" s="146"/>
      <c r="BE591" s="146"/>
      <c r="BF591" s="146"/>
      <c r="BG591" s="146"/>
      <c r="BH591" s="146"/>
      <c r="BI591" s="146"/>
      <c r="BJ591" s="146"/>
      <c r="BK591" s="146"/>
      <c r="BL591" s="146"/>
      <c r="BM591" s="146"/>
      <c r="BN591" s="146"/>
      <c r="BO591" s="146"/>
      <c r="BP591" s="146"/>
      <c r="BQ591" s="146"/>
      <c r="BR591" s="146"/>
    </row>
    <row r="592" spans="2:70" ht="15.75" hidden="1">
      <c r="B592" s="146"/>
      <c r="C592" s="146"/>
      <c r="D592" s="146"/>
      <c r="E592" s="146"/>
      <c r="F592" s="146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  <c r="AF592" s="146"/>
      <c r="AG592" s="146"/>
      <c r="AH592" s="146"/>
      <c r="AI592" s="146"/>
      <c r="AJ592" s="146"/>
      <c r="AK592" s="146"/>
      <c r="AL592" s="146"/>
      <c r="AM592" s="146"/>
      <c r="AN592" s="146"/>
      <c r="AO592" s="146"/>
      <c r="AP592" s="146"/>
      <c r="AQ592" s="146"/>
      <c r="AR592" s="146"/>
      <c r="AS592" s="146"/>
      <c r="AT592" s="146"/>
      <c r="AU592" s="146"/>
      <c r="AV592" s="146"/>
      <c r="AW592" s="146"/>
      <c r="AX592" s="146"/>
      <c r="AY592" s="146"/>
      <c r="AZ592" s="146"/>
      <c r="BA592" s="146"/>
      <c r="BB592" s="146"/>
      <c r="BC592" s="146"/>
      <c r="BD592" s="146"/>
      <c r="BE592" s="146"/>
      <c r="BF592" s="146"/>
      <c r="BG592" s="146"/>
      <c r="BH592" s="146"/>
      <c r="BI592" s="146"/>
      <c r="BJ592" s="146"/>
      <c r="BK592" s="146"/>
      <c r="BL592" s="146"/>
      <c r="BM592" s="146"/>
      <c r="BN592" s="146"/>
      <c r="BO592" s="146"/>
      <c r="BP592" s="146"/>
      <c r="BQ592" s="146"/>
      <c r="BR592" s="146"/>
    </row>
    <row r="593" spans="2:70" ht="15.75" hidden="1">
      <c r="B593" s="146"/>
      <c r="C593" s="146"/>
      <c r="D593" s="146"/>
      <c r="E593" s="146"/>
      <c r="F593" s="146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  <c r="AF593" s="146"/>
      <c r="AG593" s="146"/>
      <c r="AH593" s="146"/>
      <c r="AI593" s="146"/>
      <c r="AJ593" s="146"/>
      <c r="AK593" s="146"/>
      <c r="AL593" s="146"/>
      <c r="AM593" s="146"/>
      <c r="AN593" s="146"/>
      <c r="AO593" s="146"/>
      <c r="AP593" s="146"/>
      <c r="AQ593" s="146"/>
      <c r="AR593" s="146"/>
      <c r="AS593" s="146"/>
      <c r="AT593" s="146"/>
      <c r="AU593" s="146"/>
      <c r="AV593" s="146"/>
      <c r="AW593" s="146"/>
      <c r="AX593" s="146"/>
      <c r="AY593" s="146"/>
      <c r="AZ593" s="146"/>
      <c r="BA593" s="146"/>
      <c r="BB593" s="146"/>
      <c r="BC593" s="146"/>
      <c r="BD593" s="146"/>
      <c r="BE593" s="146"/>
      <c r="BF593" s="146"/>
      <c r="BG593" s="146"/>
      <c r="BH593" s="146"/>
      <c r="BI593" s="146"/>
      <c r="BJ593" s="146"/>
      <c r="BK593" s="146"/>
      <c r="BL593" s="146"/>
      <c r="BM593" s="146"/>
      <c r="BN593" s="146"/>
      <c r="BO593" s="146"/>
      <c r="BP593" s="146"/>
      <c r="BQ593" s="146"/>
      <c r="BR593" s="146"/>
    </row>
    <row r="594" spans="2:70" ht="15.75" hidden="1">
      <c r="B594" s="146"/>
      <c r="C594" s="146"/>
      <c r="D594" s="146"/>
      <c r="E594" s="146"/>
      <c r="F594" s="146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  <c r="AF594" s="146"/>
      <c r="AG594" s="146"/>
      <c r="AH594" s="146"/>
      <c r="AI594" s="146"/>
      <c r="AJ594" s="146"/>
      <c r="AK594" s="146"/>
      <c r="AL594" s="146"/>
      <c r="AM594" s="146"/>
      <c r="AN594" s="146"/>
      <c r="AO594" s="146"/>
      <c r="AP594" s="146"/>
      <c r="AQ594" s="146"/>
      <c r="AR594" s="146"/>
      <c r="AS594" s="146"/>
      <c r="AT594" s="146"/>
      <c r="AU594" s="146"/>
      <c r="AV594" s="146"/>
      <c r="AW594" s="146"/>
      <c r="AX594" s="146"/>
      <c r="AY594" s="146"/>
      <c r="AZ594" s="146"/>
      <c r="BA594" s="146"/>
      <c r="BB594" s="146"/>
      <c r="BC594" s="146"/>
      <c r="BD594" s="146"/>
      <c r="BE594" s="146"/>
      <c r="BF594" s="146"/>
      <c r="BG594" s="146"/>
      <c r="BH594" s="146"/>
      <c r="BI594" s="146"/>
      <c r="BJ594" s="146"/>
      <c r="BK594" s="146"/>
      <c r="BL594" s="146"/>
      <c r="BM594" s="146"/>
      <c r="BN594" s="146"/>
      <c r="BO594" s="146"/>
      <c r="BP594" s="146"/>
      <c r="BQ594" s="146"/>
      <c r="BR594" s="146"/>
    </row>
    <row r="595" spans="2:70" ht="15.75" hidden="1">
      <c r="B595" s="146"/>
      <c r="C595" s="146"/>
      <c r="D595" s="146"/>
      <c r="E595" s="146"/>
      <c r="F595" s="146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  <c r="AF595" s="146"/>
      <c r="AG595" s="146"/>
      <c r="AH595" s="146"/>
      <c r="AI595" s="146"/>
      <c r="AJ595" s="146"/>
      <c r="AK595" s="146"/>
      <c r="AL595" s="146"/>
      <c r="AM595" s="146"/>
      <c r="AN595" s="146"/>
      <c r="AO595" s="146"/>
      <c r="AP595" s="146"/>
      <c r="AQ595" s="146"/>
      <c r="AR595" s="146"/>
      <c r="AS595" s="146"/>
      <c r="AT595" s="146"/>
      <c r="AU595" s="146"/>
      <c r="AV595" s="146"/>
      <c r="AW595" s="146"/>
      <c r="AX595" s="146"/>
      <c r="AY595" s="146"/>
      <c r="AZ595" s="146"/>
      <c r="BA595" s="146"/>
      <c r="BB595" s="146"/>
      <c r="BC595" s="146"/>
      <c r="BD595" s="146"/>
      <c r="BE595" s="146"/>
      <c r="BF595" s="146"/>
      <c r="BG595" s="146"/>
      <c r="BH595" s="146"/>
      <c r="BI595" s="146"/>
      <c r="BJ595" s="146"/>
      <c r="BK595" s="146"/>
      <c r="BL595" s="146"/>
      <c r="BM595" s="146"/>
      <c r="BN595" s="146"/>
      <c r="BO595" s="146"/>
      <c r="BP595" s="146"/>
      <c r="BQ595" s="146"/>
      <c r="BR595" s="146"/>
    </row>
    <row r="596" spans="2:70" ht="15.75" hidden="1">
      <c r="B596" s="146"/>
      <c r="C596" s="146"/>
      <c r="D596" s="146"/>
      <c r="E596" s="146"/>
      <c r="F596" s="146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  <c r="AF596" s="146"/>
      <c r="AG596" s="146"/>
      <c r="AH596" s="146"/>
      <c r="AI596" s="146"/>
      <c r="AJ596" s="146"/>
      <c r="AK596" s="146"/>
      <c r="AL596" s="146"/>
      <c r="AM596" s="146"/>
      <c r="AN596" s="146"/>
      <c r="AO596" s="146"/>
      <c r="AP596" s="146"/>
      <c r="AQ596" s="146"/>
      <c r="AR596" s="146"/>
      <c r="AS596" s="146"/>
      <c r="AT596" s="146"/>
      <c r="AU596" s="146"/>
      <c r="AV596" s="146"/>
      <c r="AW596" s="146"/>
      <c r="AX596" s="146"/>
      <c r="AY596" s="146"/>
      <c r="AZ596" s="146"/>
      <c r="BA596" s="146"/>
      <c r="BB596" s="146"/>
      <c r="BC596" s="146"/>
      <c r="BD596" s="146"/>
      <c r="BE596" s="146"/>
      <c r="BF596" s="146"/>
      <c r="BG596" s="146"/>
      <c r="BH596" s="146"/>
      <c r="BI596" s="146"/>
      <c r="BJ596" s="146"/>
      <c r="BK596" s="146"/>
      <c r="BL596" s="146"/>
      <c r="BM596" s="146"/>
      <c r="BN596" s="146"/>
      <c r="BO596" s="146"/>
      <c r="BP596" s="146"/>
      <c r="BQ596" s="146"/>
      <c r="BR596" s="146"/>
    </row>
    <row r="597" spans="2:70" ht="15.75" hidden="1">
      <c r="B597" s="146"/>
      <c r="C597" s="146"/>
      <c r="D597" s="146"/>
      <c r="E597" s="146"/>
      <c r="F597" s="146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  <c r="AF597" s="146"/>
      <c r="AG597" s="146"/>
      <c r="AH597" s="146"/>
      <c r="AI597" s="146"/>
      <c r="AJ597" s="146"/>
      <c r="AK597" s="146"/>
      <c r="AL597" s="146"/>
      <c r="AM597" s="146"/>
      <c r="AN597" s="146"/>
      <c r="AO597" s="146"/>
      <c r="AP597" s="146"/>
      <c r="AQ597" s="146"/>
      <c r="AR597" s="146"/>
      <c r="AS597" s="146"/>
      <c r="AT597" s="146"/>
      <c r="AU597" s="146"/>
      <c r="AV597" s="146"/>
      <c r="AW597" s="146"/>
      <c r="AX597" s="146"/>
      <c r="AY597" s="146"/>
      <c r="AZ597" s="146"/>
      <c r="BA597" s="146"/>
      <c r="BB597" s="146"/>
      <c r="BC597" s="146"/>
      <c r="BD597" s="146"/>
      <c r="BE597" s="146"/>
      <c r="BF597" s="146"/>
      <c r="BG597" s="146"/>
      <c r="BH597" s="146"/>
      <c r="BI597" s="146"/>
      <c r="BJ597" s="146"/>
      <c r="BK597" s="146"/>
      <c r="BL597" s="146"/>
      <c r="BM597" s="146"/>
      <c r="BN597" s="146"/>
      <c r="BO597" s="146"/>
      <c r="BP597" s="146"/>
      <c r="BQ597" s="146"/>
      <c r="BR597" s="146"/>
    </row>
    <row r="598" spans="2:70" ht="15.75" hidden="1">
      <c r="B598" s="146"/>
      <c r="C598" s="146"/>
      <c r="D598" s="146"/>
      <c r="E598" s="146"/>
      <c r="F598" s="146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  <c r="AF598" s="146"/>
      <c r="AG598" s="146"/>
      <c r="AH598" s="146"/>
      <c r="AI598" s="146"/>
      <c r="AJ598" s="146"/>
      <c r="AK598" s="146"/>
      <c r="AL598" s="146"/>
      <c r="AM598" s="146"/>
      <c r="AN598" s="146"/>
      <c r="AO598" s="146"/>
      <c r="AP598" s="146"/>
      <c r="AQ598" s="146"/>
      <c r="AR598" s="146"/>
      <c r="AS598" s="146"/>
      <c r="AT598" s="146"/>
      <c r="AU598" s="146"/>
      <c r="AV598" s="146"/>
      <c r="AW598" s="146"/>
      <c r="AX598" s="146"/>
      <c r="AY598" s="146"/>
      <c r="AZ598" s="146"/>
      <c r="BA598" s="146"/>
      <c r="BB598" s="146"/>
      <c r="BC598" s="146"/>
      <c r="BD598" s="146"/>
      <c r="BE598" s="146"/>
      <c r="BF598" s="146"/>
      <c r="BG598" s="146"/>
      <c r="BH598" s="146"/>
      <c r="BI598" s="146"/>
      <c r="BJ598" s="146"/>
      <c r="BK598" s="146"/>
      <c r="BL598" s="146"/>
      <c r="BM598" s="146"/>
      <c r="BN598" s="146"/>
      <c r="BO598" s="146"/>
      <c r="BP598" s="146"/>
      <c r="BQ598" s="146"/>
      <c r="BR598" s="146"/>
    </row>
    <row r="599" spans="2:70" ht="15.75" hidden="1">
      <c r="B599" s="146"/>
      <c r="C599" s="146"/>
      <c r="D599" s="146"/>
      <c r="E599" s="146"/>
      <c r="F599" s="146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  <c r="AF599" s="146"/>
      <c r="AG599" s="146"/>
      <c r="AH599" s="146"/>
      <c r="AI599" s="146"/>
      <c r="AJ599" s="146"/>
      <c r="AK599" s="146"/>
      <c r="AL599" s="146"/>
      <c r="AM599" s="146"/>
      <c r="AN599" s="146"/>
      <c r="AO599" s="146"/>
      <c r="AP599" s="146"/>
      <c r="AQ599" s="146"/>
      <c r="AR599" s="146"/>
      <c r="AS599" s="146"/>
      <c r="AT599" s="146"/>
      <c r="AU599" s="146"/>
      <c r="AV599" s="146"/>
      <c r="AW599" s="146"/>
      <c r="AX599" s="146"/>
      <c r="AY599" s="146"/>
      <c r="AZ599" s="146"/>
      <c r="BA599" s="146"/>
      <c r="BB599" s="146"/>
      <c r="BC599" s="146"/>
      <c r="BD599" s="146"/>
      <c r="BE599" s="146"/>
      <c r="BF599" s="146"/>
      <c r="BG599" s="146"/>
      <c r="BH599" s="146"/>
      <c r="BI599" s="146"/>
      <c r="BJ599" s="146"/>
      <c r="BK599" s="146"/>
      <c r="BL599" s="146"/>
      <c r="BM599" s="146"/>
      <c r="BN599" s="146"/>
      <c r="BO599" s="146"/>
      <c r="BP599" s="146"/>
      <c r="BQ599" s="146"/>
      <c r="BR599" s="146"/>
    </row>
    <row r="600" spans="2:70" ht="15.75" hidden="1">
      <c r="B600" s="146"/>
      <c r="C600" s="146"/>
      <c r="D600" s="146"/>
      <c r="E600" s="146"/>
      <c r="F600" s="146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  <c r="AF600" s="146"/>
      <c r="AG600" s="146"/>
      <c r="AH600" s="146"/>
      <c r="AI600" s="146"/>
      <c r="AJ600" s="146"/>
      <c r="AK600" s="146"/>
      <c r="AL600" s="146"/>
      <c r="AM600" s="146"/>
      <c r="AN600" s="146"/>
      <c r="AO600" s="146"/>
      <c r="AP600" s="146"/>
      <c r="AQ600" s="146"/>
      <c r="AR600" s="146"/>
      <c r="AS600" s="146"/>
      <c r="AT600" s="146"/>
      <c r="AU600" s="146"/>
      <c r="AV600" s="146"/>
      <c r="AW600" s="146"/>
      <c r="AX600" s="146"/>
      <c r="AY600" s="146"/>
      <c r="AZ600" s="146"/>
      <c r="BA600" s="146"/>
      <c r="BB600" s="146"/>
      <c r="BC600" s="146"/>
      <c r="BD600" s="146"/>
      <c r="BE600" s="146"/>
      <c r="BF600" s="146"/>
      <c r="BG600" s="146"/>
      <c r="BH600" s="146"/>
      <c r="BI600" s="146"/>
      <c r="BJ600" s="146"/>
      <c r="BK600" s="146"/>
      <c r="BL600" s="146"/>
      <c r="BM600" s="146"/>
      <c r="BN600" s="146"/>
      <c r="BO600" s="146"/>
      <c r="BP600" s="146"/>
      <c r="BQ600" s="146"/>
      <c r="BR600" s="146"/>
    </row>
    <row r="601" spans="2:70" ht="15.75" hidden="1">
      <c r="B601" s="146"/>
      <c r="C601" s="146"/>
      <c r="D601" s="146"/>
      <c r="E601" s="146"/>
      <c r="F601" s="146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  <c r="AF601" s="146"/>
      <c r="AG601" s="146"/>
      <c r="AH601" s="146"/>
      <c r="AI601" s="146"/>
      <c r="AJ601" s="146"/>
      <c r="AK601" s="146"/>
      <c r="AL601" s="146"/>
      <c r="AM601" s="146"/>
      <c r="AN601" s="146"/>
      <c r="AO601" s="146"/>
      <c r="AP601" s="146"/>
      <c r="AQ601" s="146"/>
      <c r="AR601" s="146"/>
      <c r="AS601" s="146"/>
      <c r="AT601" s="146"/>
      <c r="AU601" s="146"/>
      <c r="AV601" s="146"/>
      <c r="AW601" s="146"/>
      <c r="AX601" s="146"/>
      <c r="AY601" s="146"/>
      <c r="AZ601" s="146"/>
      <c r="BA601" s="146"/>
      <c r="BB601" s="146"/>
      <c r="BC601" s="146"/>
      <c r="BD601" s="146"/>
      <c r="BE601" s="146"/>
      <c r="BF601" s="146"/>
      <c r="BG601" s="146"/>
      <c r="BH601" s="146"/>
      <c r="BI601" s="146"/>
      <c r="BJ601" s="146"/>
      <c r="BK601" s="146"/>
      <c r="BL601" s="146"/>
      <c r="BM601" s="146"/>
      <c r="BN601" s="146"/>
      <c r="BO601" s="146"/>
      <c r="BP601" s="146"/>
      <c r="BQ601" s="146"/>
      <c r="BR601" s="146"/>
    </row>
    <row r="602" spans="2:70" ht="15.75" hidden="1">
      <c r="B602" s="146"/>
      <c r="C602" s="146"/>
      <c r="D602" s="146"/>
      <c r="E602" s="146"/>
      <c r="F602" s="146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  <c r="AF602" s="146"/>
      <c r="AG602" s="146"/>
      <c r="AH602" s="146"/>
      <c r="AI602" s="146"/>
      <c r="AJ602" s="146"/>
      <c r="AK602" s="146"/>
      <c r="AL602" s="146"/>
      <c r="AM602" s="146"/>
      <c r="AN602" s="146"/>
      <c r="AO602" s="146"/>
      <c r="AP602" s="146"/>
      <c r="AQ602" s="146"/>
      <c r="AR602" s="146"/>
      <c r="AS602" s="146"/>
      <c r="AT602" s="146"/>
      <c r="AU602" s="146"/>
      <c r="AV602" s="146"/>
      <c r="AW602" s="146"/>
      <c r="AX602" s="146"/>
      <c r="AY602" s="146"/>
      <c r="AZ602" s="146"/>
      <c r="BA602" s="146"/>
      <c r="BB602" s="146"/>
      <c r="BC602" s="146"/>
      <c r="BD602" s="146"/>
      <c r="BE602" s="146"/>
      <c r="BF602" s="146"/>
      <c r="BG602" s="146"/>
      <c r="BH602" s="146"/>
      <c r="BI602" s="146"/>
      <c r="BJ602" s="146"/>
      <c r="BK602" s="146"/>
      <c r="BL602" s="146"/>
      <c r="BM602" s="146"/>
      <c r="BN602" s="146"/>
      <c r="BO602" s="146"/>
      <c r="BP602" s="146"/>
      <c r="BQ602" s="146"/>
      <c r="BR602" s="146"/>
    </row>
    <row r="603" spans="2:70" ht="15.75" hidden="1">
      <c r="B603" s="146"/>
      <c r="C603" s="146"/>
      <c r="D603" s="146"/>
      <c r="E603" s="146"/>
      <c r="F603" s="146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  <c r="AF603" s="146"/>
      <c r="AG603" s="146"/>
      <c r="AH603" s="146"/>
      <c r="AI603" s="146"/>
      <c r="AJ603" s="146"/>
      <c r="AK603" s="146"/>
      <c r="AL603" s="146"/>
      <c r="AM603" s="146"/>
      <c r="AN603" s="146"/>
      <c r="AO603" s="146"/>
      <c r="AP603" s="146"/>
      <c r="AQ603" s="146"/>
      <c r="AR603" s="146"/>
      <c r="AS603" s="146"/>
      <c r="AT603" s="146"/>
      <c r="AU603" s="146"/>
      <c r="AV603" s="146"/>
      <c r="AW603" s="146"/>
      <c r="AX603" s="146"/>
      <c r="AY603" s="146"/>
      <c r="AZ603" s="146"/>
      <c r="BA603" s="146"/>
      <c r="BB603" s="146"/>
      <c r="BC603" s="146"/>
      <c r="BD603" s="146"/>
      <c r="BE603" s="146"/>
      <c r="BF603" s="146"/>
      <c r="BG603" s="146"/>
      <c r="BH603" s="146"/>
      <c r="BI603" s="146"/>
      <c r="BJ603" s="146"/>
      <c r="BK603" s="146"/>
      <c r="BL603" s="146"/>
      <c r="BM603" s="146"/>
      <c r="BN603" s="146"/>
      <c r="BO603" s="146"/>
      <c r="BP603" s="146"/>
      <c r="BQ603" s="146"/>
      <c r="BR603" s="146"/>
    </row>
    <row r="604" spans="2:70" ht="15.75" hidden="1">
      <c r="B604" s="146"/>
      <c r="C604" s="146"/>
      <c r="D604" s="146"/>
      <c r="E604" s="146"/>
      <c r="F604" s="146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  <c r="AF604" s="146"/>
      <c r="AG604" s="146"/>
      <c r="AH604" s="146"/>
      <c r="AI604" s="146"/>
      <c r="AJ604" s="146"/>
      <c r="AK604" s="146"/>
      <c r="AL604" s="146"/>
      <c r="AM604" s="146"/>
      <c r="AN604" s="146"/>
      <c r="AO604" s="146"/>
      <c r="AP604" s="146"/>
      <c r="AQ604" s="146"/>
      <c r="AR604" s="146"/>
      <c r="AS604" s="146"/>
      <c r="AT604" s="146"/>
      <c r="AU604" s="146"/>
      <c r="AV604" s="146"/>
      <c r="AW604" s="146"/>
      <c r="AX604" s="146"/>
      <c r="AY604" s="146"/>
      <c r="AZ604" s="146"/>
      <c r="BA604" s="146"/>
      <c r="BB604" s="146"/>
      <c r="BC604" s="146"/>
      <c r="BD604" s="146"/>
      <c r="BE604" s="146"/>
      <c r="BF604" s="146"/>
      <c r="BG604" s="146"/>
      <c r="BH604" s="146"/>
      <c r="BI604" s="146"/>
      <c r="BJ604" s="146"/>
      <c r="BK604" s="146"/>
      <c r="BL604" s="146"/>
      <c r="BM604" s="146"/>
      <c r="BN604" s="146"/>
      <c r="BO604" s="146"/>
      <c r="BP604" s="146"/>
      <c r="BQ604" s="146"/>
      <c r="BR604" s="146"/>
    </row>
    <row r="605" spans="2:70" ht="15.75" hidden="1">
      <c r="B605" s="146"/>
      <c r="C605" s="146"/>
      <c r="D605" s="146"/>
      <c r="E605" s="146"/>
      <c r="F605" s="146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  <c r="AF605" s="146"/>
      <c r="AG605" s="146"/>
      <c r="AH605" s="146"/>
      <c r="AI605" s="146"/>
      <c r="AJ605" s="146"/>
      <c r="AK605" s="146"/>
      <c r="AL605" s="146"/>
      <c r="AM605" s="146"/>
      <c r="AN605" s="146"/>
      <c r="AO605" s="146"/>
      <c r="AP605" s="146"/>
      <c r="AQ605" s="146"/>
      <c r="AR605" s="146"/>
      <c r="AS605" s="146"/>
      <c r="AT605" s="146"/>
      <c r="AU605" s="146"/>
      <c r="AV605" s="146"/>
      <c r="AW605" s="146"/>
      <c r="AX605" s="146"/>
      <c r="AY605" s="146"/>
      <c r="AZ605" s="146"/>
      <c r="BA605" s="146"/>
      <c r="BB605" s="146"/>
      <c r="BC605" s="146"/>
      <c r="BD605" s="146"/>
      <c r="BE605" s="146"/>
      <c r="BF605" s="146"/>
      <c r="BG605" s="146"/>
      <c r="BH605" s="146"/>
      <c r="BI605" s="146"/>
      <c r="BJ605" s="146"/>
      <c r="BK605" s="146"/>
      <c r="BL605" s="146"/>
      <c r="BM605" s="146"/>
      <c r="BN605" s="146"/>
      <c r="BO605" s="146"/>
      <c r="BP605" s="146"/>
      <c r="BQ605" s="146"/>
      <c r="BR605" s="146"/>
    </row>
    <row r="606" spans="2:70" ht="15.75" hidden="1">
      <c r="B606" s="146"/>
      <c r="C606" s="146"/>
      <c r="D606" s="146"/>
      <c r="E606" s="146"/>
      <c r="F606" s="146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  <c r="AF606" s="146"/>
      <c r="AG606" s="146"/>
      <c r="AH606" s="146"/>
      <c r="AI606" s="146"/>
      <c r="AJ606" s="146"/>
      <c r="AK606" s="146"/>
      <c r="AL606" s="146"/>
      <c r="AM606" s="146"/>
      <c r="AN606" s="146"/>
      <c r="AO606" s="146"/>
      <c r="AP606" s="146"/>
      <c r="AQ606" s="146"/>
      <c r="AR606" s="146"/>
      <c r="AS606" s="146"/>
      <c r="AT606" s="146"/>
      <c r="AU606" s="146"/>
      <c r="AV606" s="146"/>
      <c r="AW606" s="146"/>
      <c r="AX606" s="146"/>
      <c r="AY606" s="146"/>
      <c r="AZ606" s="146"/>
      <c r="BA606" s="146"/>
      <c r="BB606" s="146"/>
      <c r="BC606" s="146"/>
      <c r="BD606" s="146"/>
      <c r="BE606" s="146"/>
      <c r="BF606" s="146"/>
      <c r="BG606" s="146"/>
      <c r="BH606" s="146"/>
      <c r="BI606" s="146"/>
      <c r="BJ606" s="146"/>
      <c r="BK606" s="146"/>
      <c r="BL606" s="146"/>
      <c r="BM606" s="146"/>
      <c r="BN606" s="146"/>
      <c r="BO606" s="146"/>
      <c r="BP606" s="146"/>
      <c r="BQ606" s="146"/>
      <c r="BR606" s="146"/>
    </row>
    <row r="607" spans="2:70" ht="15.75" hidden="1">
      <c r="B607" s="146"/>
      <c r="C607" s="146"/>
      <c r="D607" s="146"/>
      <c r="E607" s="146"/>
      <c r="F607" s="146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  <c r="AF607" s="146"/>
      <c r="AG607" s="146"/>
      <c r="AH607" s="146"/>
      <c r="AI607" s="146"/>
      <c r="AJ607" s="146"/>
      <c r="AK607" s="146"/>
      <c r="AL607" s="146"/>
      <c r="AM607" s="146"/>
      <c r="AN607" s="146"/>
      <c r="AO607" s="146"/>
      <c r="AP607" s="146"/>
      <c r="AQ607" s="146"/>
      <c r="AR607" s="146"/>
      <c r="AS607" s="146"/>
      <c r="AT607" s="146"/>
      <c r="AU607" s="146"/>
      <c r="AV607" s="146"/>
      <c r="AW607" s="146"/>
      <c r="AX607" s="146"/>
      <c r="AY607" s="146"/>
      <c r="AZ607" s="146"/>
      <c r="BA607" s="146"/>
      <c r="BB607" s="146"/>
      <c r="BC607" s="146"/>
      <c r="BD607" s="146"/>
      <c r="BE607" s="146"/>
      <c r="BF607" s="146"/>
      <c r="BG607" s="146"/>
      <c r="BH607" s="146"/>
      <c r="BI607" s="146"/>
      <c r="BJ607" s="146"/>
      <c r="BK607" s="146"/>
      <c r="BL607" s="146"/>
      <c r="BM607" s="146"/>
      <c r="BN607" s="146"/>
      <c r="BO607" s="146"/>
      <c r="BP607" s="146"/>
      <c r="BQ607" s="146"/>
      <c r="BR607" s="146"/>
    </row>
    <row r="608" spans="2:70" ht="15.75" hidden="1">
      <c r="B608" s="146"/>
      <c r="C608" s="146"/>
      <c r="D608" s="146"/>
      <c r="E608" s="146"/>
      <c r="F608" s="146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  <c r="AF608" s="146"/>
      <c r="AG608" s="146"/>
      <c r="AH608" s="146"/>
      <c r="AI608" s="146"/>
      <c r="AJ608" s="146"/>
      <c r="AK608" s="146"/>
      <c r="AL608" s="146"/>
      <c r="AM608" s="146"/>
      <c r="AN608" s="146"/>
      <c r="AO608" s="146"/>
      <c r="AP608" s="146"/>
      <c r="AQ608" s="146"/>
      <c r="AR608" s="146"/>
      <c r="AS608" s="146"/>
      <c r="AT608" s="146"/>
      <c r="AU608" s="146"/>
      <c r="AV608" s="146"/>
      <c r="AW608" s="146"/>
      <c r="AX608" s="146"/>
      <c r="AY608" s="146"/>
      <c r="AZ608" s="146"/>
      <c r="BA608" s="146"/>
      <c r="BB608" s="146"/>
      <c r="BC608" s="146"/>
      <c r="BD608" s="146"/>
      <c r="BE608" s="146"/>
      <c r="BF608" s="146"/>
      <c r="BG608" s="146"/>
      <c r="BH608" s="146"/>
      <c r="BI608" s="146"/>
      <c r="BJ608" s="146"/>
      <c r="BK608" s="146"/>
      <c r="BL608" s="146"/>
      <c r="BM608" s="146"/>
      <c r="BN608" s="146"/>
      <c r="BO608" s="146"/>
      <c r="BP608" s="146"/>
      <c r="BQ608" s="146"/>
      <c r="BR608" s="146"/>
    </row>
    <row r="609" spans="2:70" ht="15.75" hidden="1">
      <c r="B609" s="146"/>
      <c r="C609" s="146"/>
      <c r="D609" s="146"/>
      <c r="E609" s="146"/>
      <c r="F609" s="146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  <c r="AF609" s="146"/>
      <c r="AG609" s="146"/>
      <c r="AH609" s="146"/>
      <c r="AI609" s="146"/>
      <c r="AJ609" s="146"/>
      <c r="AK609" s="146"/>
      <c r="AL609" s="146"/>
      <c r="AM609" s="146"/>
      <c r="AN609" s="146"/>
      <c r="AO609" s="146"/>
      <c r="AP609" s="146"/>
      <c r="AQ609" s="146"/>
      <c r="AR609" s="146"/>
      <c r="AS609" s="146"/>
      <c r="AT609" s="146"/>
      <c r="AU609" s="146"/>
      <c r="AV609" s="146"/>
      <c r="AW609" s="146"/>
      <c r="AX609" s="146"/>
      <c r="AY609" s="146"/>
      <c r="AZ609" s="146"/>
      <c r="BA609" s="146"/>
      <c r="BB609" s="146"/>
      <c r="BC609" s="146"/>
      <c r="BD609" s="146"/>
      <c r="BE609" s="146"/>
      <c r="BF609" s="146"/>
      <c r="BG609" s="146"/>
      <c r="BH609" s="146"/>
      <c r="BI609" s="146"/>
      <c r="BJ609" s="146"/>
      <c r="BK609" s="146"/>
      <c r="BL609" s="146"/>
      <c r="BM609" s="146"/>
      <c r="BN609" s="146"/>
      <c r="BO609" s="146"/>
      <c r="BP609" s="146"/>
      <c r="BQ609" s="146"/>
      <c r="BR609" s="146"/>
    </row>
    <row r="610" spans="2:70" ht="15.75" hidden="1">
      <c r="B610" s="146"/>
      <c r="C610" s="146"/>
      <c r="D610" s="146"/>
      <c r="E610" s="146"/>
      <c r="F610" s="146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  <c r="AF610" s="146"/>
      <c r="AG610" s="146"/>
      <c r="AH610" s="146"/>
      <c r="AI610" s="146"/>
      <c r="AJ610" s="146"/>
      <c r="AK610" s="146"/>
      <c r="AL610" s="146"/>
      <c r="AM610" s="146"/>
      <c r="AN610" s="146"/>
      <c r="AO610" s="146"/>
      <c r="AP610" s="146"/>
      <c r="AQ610" s="146"/>
      <c r="AR610" s="146"/>
      <c r="AS610" s="146"/>
      <c r="AT610" s="146"/>
      <c r="AU610" s="146"/>
      <c r="AV610" s="146"/>
      <c r="AW610" s="146"/>
      <c r="AX610" s="146"/>
      <c r="AY610" s="146"/>
      <c r="AZ610" s="146"/>
      <c r="BA610" s="146"/>
      <c r="BB610" s="146"/>
      <c r="BC610" s="146"/>
      <c r="BD610" s="146"/>
      <c r="BE610" s="146"/>
      <c r="BF610" s="146"/>
      <c r="BG610" s="146"/>
      <c r="BH610" s="146"/>
      <c r="BI610" s="146"/>
      <c r="BJ610" s="146"/>
      <c r="BK610" s="146"/>
      <c r="BL610" s="146"/>
      <c r="BM610" s="146"/>
      <c r="BN610" s="146"/>
      <c r="BO610" s="146"/>
      <c r="BP610" s="146"/>
      <c r="BQ610" s="146"/>
      <c r="BR610" s="146"/>
    </row>
    <row r="611" spans="2:70" ht="15.75" hidden="1">
      <c r="B611" s="146"/>
      <c r="C611" s="146"/>
      <c r="D611" s="146"/>
      <c r="E611" s="146"/>
      <c r="F611" s="146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  <c r="AF611" s="146"/>
      <c r="AG611" s="146"/>
      <c r="AH611" s="146"/>
      <c r="AI611" s="146"/>
      <c r="AJ611" s="146"/>
      <c r="AK611" s="146"/>
      <c r="AL611" s="146"/>
      <c r="AM611" s="146"/>
      <c r="AN611" s="146"/>
      <c r="AO611" s="146"/>
      <c r="AP611" s="146"/>
      <c r="AQ611" s="146"/>
      <c r="AR611" s="146"/>
      <c r="AS611" s="146"/>
      <c r="AT611" s="146"/>
      <c r="AU611" s="146"/>
      <c r="AV611" s="146"/>
      <c r="AW611" s="146"/>
      <c r="AX611" s="146"/>
      <c r="AY611" s="146"/>
      <c r="AZ611" s="146"/>
      <c r="BA611" s="146"/>
      <c r="BB611" s="146"/>
      <c r="BC611" s="146"/>
      <c r="BD611" s="146"/>
      <c r="BE611" s="146"/>
      <c r="BF611" s="146"/>
      <c r="BG611" s="146"/>
      <c r="BH611" s="146"/>
      <c r="BI611" s="146"/>
      <c r="BJ611" s="146"/>
      <c r="BK611" s="146"/>
      <c r="BL611" s="146"/>
      <c r="BM611" s="146"/>
      <c r="BN611" s="146"/>
      <c r="BO611" s="146"/>
      <c r="BP611" s="146"/>
      <c r="BQ611" s="146"/>
      <c r="BR611" s="146"/>
    </row>
    <row r="612" spans="2:70" ht="15.75" hidden="1">
      <c r="B612" s="146"/>
      <c r="C612" s="146"/>
      <c r="D612" s="146"/>
      <c r="E612" s="146"/>
      <c r="F612" s="146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  <c r="AF612" s="146"/>
      <c r="AG612" s="146"/>
      <c r="AH612" s="146"/>
      <c r="AI612" s="146"/>
      <c r="AJ612" s="146"/>
      <c r="AK612" s="146"/>
      <c r="AL612" s="146"/>
      <c r="AM612" s="146"/>
      <c r="AN612" s="146"/>
      <c r="AO612" s="146"/>
      <c r="AP612" s="146"/>
      <c r="AQ612" s="146"/>
      <c r="AR612" s="146"/>
      <c r="AS612" s="146"/>
      <c r="AT612" s="146"/>
      <c r="AU612" s="146"/>
      <c r="AV612" s="146"/>
      <c r="AW612" s="146"/>
      <c r="AX612" s="146"/>
      <c r="AY612" s="146"/>
      <c r="AZ612" s="146"/>
      <c r="BA612" s="146"/>
      <c r="BB612" s="146"/>
      <c r="BC612" s="146"/>
      <c r="BD612" s="146"/>
      <c r="BE612" s="146"/>
      <c r="BF612" s="146"/>
      <c r="BG612" s="146"/>
      <c r="BH612" s="146"/>
      <c r="BI612" s="146"/>
      <c r="BJ612" s="146"/>
      <c r="BK612" s="146"/>
      <c r="BL612" s="146"/>
      <c r="BM612" s="146"/>
      <c r="BN612" s="146"/>
      <c r="BO612" s="146"/>
      <c r="BP612" s="146"/>
      <c r="BQ612" s="146"/>
      <c r="BR612" s="146"/>
    </row>
    <row r="613" spans="2:70" ht="15.75" hidden="1">
      <c r="B613" s="146"/>
      <c r="C613" s="146"/>
      <c r="D613" s="146"/>
      <c r="E613" s="146"/>
      <c r="F613" s="146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  <c r="AF613" s="146"/>
      <c r="AG613" s="146"/>
      <c r="AH613" s="146"/>
      <c r="AI613" s="146"/>
      <c r="AJ613" s="146"/>
      <c r="AK613" s="146"/>
      <c r="AL613" s="146"/>
      <c r="AM613" s="146"/>
      <c r="AN613" s="146"/>
      <c r="AO613" s="146"/>
      <c r="AP613" s="146"/>
      <c r="AQ613" s="146"/>
      <c r="AR613" s="146"/>
      <c r="AS613" s="146"/>
      <c r="AT613" s="146"/>
      <c r="AU613" s="146"/>
      <c r="AV613" s="146"/>
      <c r="AW613" s="146"/>
      <c r="AX613" s="146"/>
      <c r="AY613" s="146"/>
      <c r="AZ613" s="146"/>
      <c r="BA613" s="146"/>
      <c r="BB613" s="146"/>
      <c r="BC613" s="146"/>
      <c r="BD613" s="146"/>
      <c r="BE613" s="146"/>
      <c r="BF613" s="146"/>
      <c r="BG613" s="146"/>
      <c r="BH613" s="146"/>
      <c r="BI613" s="146"/>
      <c r="BJ613" s="146"/>
      <c r="BK613" s="146"/>
      <c r="BL613" s="146"/>
      <c r="BM613" s="146"/>
      <c r="BN613" s="146"/>
      <c r="BO613" s="146"/>
      <c r="BP613" s="146"/>
      <c r="BQ613" s="146"/>
      <c r="BR613" s="146"/>
    </row>
    <row r="614" spans="2:70" ht="15.75" hidden="1">
      <c r="B614" s="146"/>
      <c r="C614" s="146"/>
      <c r="D614" s="146"/>
      <c r="E614" s="146"/>
      <c r="F614" s="146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  <c r="AF614" s="146"/>
      <c r="AG614" s="146"/>
      <c r="AH614" s="146"/>
      <c r="AI614" s="146"/>
      <c r="AJ614" s="146"/>
      <c r="AK614" s="146"/>
      <c r="AL614" s="146"/>
      <c r="AM614" s="146"/>
      <c r="AN614" s="146"/>
      <c r="AO614" s="146"/>
      <c r="AP614" s="146"/>
      <c r="AQ614" s="146"/>
      <c r="AR614" s="146"/>
      <c r="AS614" s="146"/>
      <c r="AT614" s="146"/>
      <c r="AU614" s="146"/>
      <c r="AV614" s="146"/>
      <c r="AW614" s="146"/>
      <c r="AX614" s="146"/>
      <c r="AY614" s="146"/>
      <c r="AZ614" s="146"/>
      <c r="BA614" s="146"/>
      <c r="BB614" s="146"/>
      <c r="BC614" s="146"/>
      <c r="BD614" s="146"/>
      <c r="BE614" s="146"/>
      <c r="BF614" s="146"/>
      <c r="BG614" s="146"/>
      <c r="BH614" s="146"/>
      <c r="BI614" s="146"/>
      <c r="BJ614" s="146"/>
      <c r="BK614" s="146"/>
      <c r="BL614" s="146"/>
      <c r="BM614" s="146"/>
      <c r="BN614" s="146"/>
      <c r="BO614" s="146"/>
      <c r="BP614" s="146"/>
      <c r="BQ614" s="146"/>
      <c r="BR614" s="146"/>
    </row>
    <row r="615" spans="2:70" ht="15.75" hidden="1">
      <c r="B615" s="146"/>
      <c r="C615" s="146"/>
      <c r="D615" s="146"/>
      <c r="E615" s="146"/>
      <c r="F615" s="146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  <c r="AF615" s="146"/>
      <c r="AG615" s="146"/>
      <c r="AH615" s="146"/>
      <c r="AI615" s="146"/>
      <c r="AJ615" s="146"/>
      <c r="AK615" s="146"/>
      <c r="AL615" s="146"/>
      <c r="AM615" s="146"/>
      <c r="AN615" s="146"/>
      <c r="AO615" s="146"/>
      <c r="AP615" s="146"/>
      <c r="AQ615" s="146"/>
      <c r="AR615" s="146"/>
      <c r="AS615" s="146"/>
      <c r="AT615" s="146"/>
      <c r="AU615" s="146"/>
      <c r="AV615" s="146"/>
      <c r="AW615" s="146"/>
      <c r="AX615" s="146"/>
      <c r="AY615" s="146"/>
      <c r="AZ615" s="146"/>
      <c r="BA615" s="146"/>
      <c r="BB615" s="146"/>
      <c r="BC615" s="146"/>
      <c r="BD615" s="146"/>
      <c r="BE615" s="146"/>
      <c r="BF615" s="146"/>
      <c r="BG615" s="146"/>
      <c r="BH615" s="146"/>
      <c r="BI615" s="146"/>
      <c r="BJ615" s="146"/>
      <c r="BK615" s="146"/>
      <c r="BL615" s="146"/>
      <c r="BM615" s="146"/>
      <c r="BN615" s="146"/>
      <c r="BO615" s="146"/>
      <c r="BP615" s="146"/>
      <c r="BQ615" s="146"/>
      <c r="BR615" s="146"/>
    </row>
    <row r="616" spans="2:70" ht="15.75" hidden="1">
      <c r="B616" s="146"/>
      <c r="C616" s="146"/>
      <c r="D616" s="146"/>
      <c r="E616" s="146"/>
      <c r="F616" s="146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  <c r="AF616" s="146"/>
      <c r="AG616" s="146"/>
      <c r="AH616" s="146"/>
      <c r="AI616" s="146"/>
      <c r="AJ616" s="146"/>
      <c r="AK616" s="146"/>
      <c r="AL616" s="146"/>
      <c r="AM616" s="146"/>
      <c r="AN616" s="146"/>
      <c r="AO616" s="146"/>
      <c r="AP616" s="146"/>
      <c r="AQ616" s="146"/>
      <c r="AR616" s="146"/>
      <c r="AS616" s="146"/>
      <c r="AT616" s="146"/>
      <c r="AU616" s="146"/>
      <c r="AV616" s="146"/>
      <c r="AW616" s="146"/>
      <c r="AX616" s="146"/>
      <c r="AY616" s="146"/>
      <c r="AZ616" s="146"/>
      <c r="BA616" s="146"/>
      <c r="BB616" s="146"/>
      <c r="BC616" s="146"/>
      <c r="BD616" s="146"/>
      <c r="BE616" s="146"/>
      <c r="BF616" s="146"/>
      <c r="BG616" s="146"/>
      <c r="BH616" s="146"/>
      <c r="BI616" s="146"/>
      <c r="BJ616" s="146"/>
      <c r="BK616" s="146"/>
      <c r="BL616" s="146"/>
      <c r="BM616" s="146"/>
      <c r="BN616" s="146"/>
      <c r="BO616" s="146"/>
      <c r="BP616" s="146"/>
      <c r="BQ616" s="146"/>
      <c r="BR616" s="146"/>
    </row>
    <row r="617" spans="2:70" ht="15.75" hidden="1">
      <c r="B617" s="146"/>
      <c r="C617" s="146"/>
      <c r="D617" s="146"/>
      <c r="E617" s="146"/>
      <c r="F617" s="146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  <c r="AF617" s="146"/>
      <c r="AG617" s="146"/>
      <c r="AH617" s="146"/>
      <c r="AI617" s="146"/>
      <c r="AJ617" s="146"/>
      <c r="AK617" s="146"/>
      <c r="AL617" s="146"/>
      <c r="AM617" s="146"/>
      <c r="AN617" s="146"/>
      <c r="AO617" s="146"/>
      <c r="AP617" s="146"/>
      <c r="AQ617" s="146"/>
      <c r="AR617" s="146"/>
      <c r="AS617" s="146"/>
      <c r="AT617" s="146"/>
      <c r="AU617" s="146"/>
      <c r="AV617" s="146"/>
      <c r="AW617" s="146"/>
      <c r="AX617" s="146"/>
      <c r="AY617" s="146"/>
      <c r="AZ617" s="146"/>
      <c r="BA617" s="146"/>
      <c r="BB617" s="146"/>
      <c r="BC617" s="146"/>
      <c r="BD617" s="146"/>
      <c r="BE617" s="146"/>
      <c r="BF617" s="146"/>
      <c r="BG617" s="146"/>
      <c r="BH617" s="146"/>
      <c r="BI617" s="146"/>
      <c r="BJ617" s="146"/>
      <c r="BK617" s="146"/>
      <c r="BL617" s="146"/>
      <c r="BM617" s="146"/>
      <c r="BN617" s="146"/>
      <c r="BO617" s="146"/>
      <c r="BP617" s="146"/>
      <c r="BQ617" s="146"/>
      <c r="BR617" s="146"/>
    </row>
    <row r="618" spans="2:70" ht="15.75" hidden="1">
      <c r="B618" s="146"/>
      <c r="C618" s="146"/>
      <c r="D618" s="146"/>
      <c r="E618" s="146"/>
      <c r="F618" s="146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  <c r="AF618" s="146"/>
      <c r="AG618" s="146"/>
      <c r="AH618" s="146"/>
      <c r="AI618" s="146"/>
      <c r="AJ618" s="146"/>
      <c r="AK618" s="146"/>
      <c r="AL618" s="146"/>
      <c r="AM618" s="146"/>
      <c r="AN618" s="146"/>
      <c r="AO618" s="146"/>
      <c r="AP618" s="146"/>
      <c r="AQ618" s="146"/>
      <c r="AR618" s="146"/>
      <c r="AS618" s="146"/>
      <c r="AT618" s="146"/>
      <c r="AU618" s="146"/>
      <c r="AV618" s="146"/>
      <c r="AW618" s="146"/>
      <c r="AX618" s="146"/>
      <c r="AY618" s="146"/>
      <c r="AZ618" s="146"/>
      <c r="BA618" s="146"/>
      <c r="BB618" s="146"/>
      <c r="BC618" s="146"/>
      <c r="BD618" s="146"/>
      <c r="BE618" s="146"/>
      <c r="BF618" s="146"/>
      <c r="BG618" s="146"/>
      <c r="BH618" s="146"/>
      <c r="BI618" s="146"/>
      <c r="BJ618" s="146"/>
      <c r="BK618" s="146"/>
      <c r="BL618" s="146"/>
      <c r="BM618" s="146"/>
      <c r="BN618" s="146"/>
      <c r="BO618" s="146"/>
      <c r="BP618" s="146"/>
      <c r="BQ618" s="146"/>
      <c r="BR618" s="146"/>
    </row>
    <row r="619" spans="2:70" ht="15.75" hidden="1">
      <c r="B619" s="146"/>
      <c r="C619" s="146"/>
      <c r="D619" s="146"/>
      <c r="E619" s="146"/>
      <c r="F619" s="146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  <c r="AF619" s="146"/>
      <c r="AG619" s="146"/>
      <c r="AH619" s="146"/>
      <c r="AI619" s="146"/>
      <c r="AJ619" s="146"/>
      <c r="AK619" s="146"/>
      <c r="AL619" s="146"/>
      <c r="AM619" s="146"/>
      <c r="AN619" s="146"/>
      <c r="AO619" s="146"/>
      <c r="AP619" s="146"/>
      <c r="AQ619" s="146"/>
      <c r="AR619" s="146"/>
      <c r="AS619" s="146"/>
      <c r="AT619" s="146"/>
      <c r="AU619" s="146"/>
      <c r="AV619" s="146"/>
      <c r="AW619" s="146"/>
      <c r="AX619" s="146"/>
      <c r="AY619" s="146"/>
      <c r="AZ619" s="146"/>
      <c r="BA619" s="146"/>
      <c r="BB619" s="146"/>
      <c r="BC619" s="146"/>
      <c r="BD619" s="146"/>
      <c r="BE619" s="146"/>
      <c r="BF619" s="146"/>
      <c r="BG619" s="146"/>
      <c r="BH619" s="146"/>
      <c r="BI619" s="146"/>
      <c r="BJ619" s="146"/>
      <c r="BK619" s="146"/>
      <c r="BL619" s="146"/>
      <c r="BM619" s="146"/>
      <c r="BN619" s="146"/>
      <c r="BO619" s="146"/>
      <c r="BP619" s="146"/>
      <c r="BQ619" s="146"/>
      <c r="BR619" s="146"/>
    </row>
  </sheetData>
  <mergeCells count="9">
    <mergeCell ref="V12:X13"/>
    <mergeCell ref="G29:H29"/>
    <mergeCell ref="C4:D4"/>
    <mergeCell ref="H4:L4"/>
    <mergeCell ref="H14:J14"/>
    <mergeCell ref="P4:S4"/>
    <mergeCell ref="P6:S6"/>
    <mergeCell ref="P10:S10"/>
    <mergeCell ref="G17:M21"/>
  </mergeCells>
  <conditionalFormatting sqref="G17:M21">
    <cfRule type="expression" dxfId="18" priority="1">
      <formula>aviso1ano&lt;&gt;aviso1anopro</formula>
    </cfRule>
  </conditionalFormatting>
  <dataValidations count="3">
    <dataValidation type="textLength" operator="equal" allowBlank="1" showInputMessage="1" showErrorMessage="1" sqref="H31 H34 H37 H40" xr:uid="{00000000-0002-0000-0000-000000000000}">
      <formula1>9999</formula1>
    </dataValidation>
    <dataValidation type="textLength" operator="equal" allowBlank="1" showInputMessage="1" showErrorMessage="1" errorTitle="AVISO" error="Esta fórmula não deve ser alterada." promptTitle="ATENÇÃO!!!" prompt="Esta fórmula não deve ser alterada." sqref="P8 P12" xr:uid="{00000000-0002-0000-0000-000001000000}">
      <formula1>9999</formula1>
    </dataValidation>
    <dataValidation type="textLength" operator="equal" allowBlank="1" showInputMessage="1" showErrorMessage="1" errorTitle="AVISO" error="Esta célula contém fórmula que não deve ser alterada." promptTitle="ATENÇÃO!!!" prompt="Esta fórmula não deve ser alterada." sqref="G17:M21" xr:uid="{00000000-0002-0000-0000-000002000000}">
      <formula1>9999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Group Box 1">
              <controlPr defaultSize="0" autoFill="0" autoPict="0">
                <anchor moveWithCells="1">
                  <from>
                    <xdr:col>7</xdr:col>
                    <xdr:colOff>9525</xdr:colOff>
                    <xdr:row>5</xdr:row>
                    <xdr:rowOff>0</xdr:rowOff>
                  </from>
                  <to>
                    <xdr:col>12</xdr:col>
                    <xdr:colOff>19050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Option Button 2">
              <controlPr defaultSize="0" autoFill="0" autoLine="0" autoPict="0">
                <anchor moveWithCells="1">
                  <from>
                    <xdr:col>8</xdr:col>
                    <xdr:colOff>28575</xdr:colOff>
                    <xdr:row>5</xdr:row>
                    <xdr:rowOff>219075</xdr:rowOff>
                  </from>
                  <to>
                    <xdr:col>10</xdr:col>
                    <xdr:colOff>609600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Option Button 3">
              <controlPr defaultSize="0" autoFill="0" autoLine="0" autoPict="0">
                <anchor moveWithCells="1">
                  <from>
                    <xdr:col>8</xdr:col>
                    <xdr:colOff>38100</xdr:colOff>
                    <xdr:row>7</xdr:row>
                    <xdr:rowOff>228600</xdr:rowOff>
                  </from>
                  <to>
                    <xdr:col>11</xdr:col>
                    <xdr:colOff>9525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Drop Down 4">
              <controlPr defaultSize="0" autoLine="0" autoPict="0">
                <anchor moveWithCells="1">
                  <from>
                    <xdr:col>9</xdr:col>
                    <xdr:colOff>19050</xdr:colOff>
                    <xdr:row>10</xdr:row>
                    <xdr:rowOff>190500</xdr:rowOff>
                  </from>
                  <to>
                    <xdr:col>10</xdr:col>
                    <xdr:colOff>457200</xdr:colOff>
                    <xdr:row>11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rgb="FFFFC000"/>
  </sheetPr>
  <dimension ref="A1:DJ197"/>
  <sheetViews>
    <sheetView showGridLines="0" tabSelected="1" topLeftCell="A16" zoomScaleNormal="100" workbookViewId="0">
      <selection activeCell="E5" sqref="E5:F5"/>
    </sheetView>
  </sheetViews>
  <sheetFormatPr defaultColWidth="0" defaultRowHeight="12.75" zeroHeight="1"/>
  <cols>
    <col min="1" max="2" width="2.28515625" style="89" customWidth="1"/>
    <col min="3" max="3" width="7.7109375" style="89" customWidth="1"/>
    <col min="4" max="13" width="12.7109375" style="89" customWidth="1"/>
    <col min="14" max="15" width="8.7109375" style="89" customWidth="1"/>
    <col min="16" max="16" width="11" style="89" customWidth="1"/>
    <col min="17" max="17" width="5.7109375" style="89" customWidth="1"/>
    <col min="18" max="19" width="11" style="89" customWidth="1"/>
    <col min="20" max="20" width="14.28515625" style="89" bestFit="1" customWidth="1"/>
    <col min="21" max="21" width="7.7109375" style="89" customWidth="1"/>
    <col min="22" max="23" width="2.28515625" style="89" customWidth="1"/>
    <col min="24" max="24" width="0.140625" style="89" customWidth="1"/>
    <col min="25" max="25" width="1.7109375" style="89" hidden="1" customWidth="1"/>
    <col min="26" max="26" width="6.7109375" style="89" hidden="1" customWidth="1"/>
    <col min="27" max="27" width="4.7109375" style="89" hidden="1" customWidth="1"/>
    <col min="28" max="30" width="12.7109375" style="89" hidden="1" customWidth="1"/>
    <col min="31" max="31" width="7.7109375" style="89" hidden="1" customWidth="1"/>
    <col min="32" max="33" width="2.28515625" style="89" hidden="1" customWidth="1"/>
    <col min="34" max="114" width="0" style="89" hidden="1" customWidth="1"/>
    <col min="115" max="16384" width="0" style="89" hidden="1"/>
  </cols>
  <sheetData>
    <row r="1" spans="1:114" s="132" customFormat="1" ht="9.9499999999999993" customHeight="1" thickTop="1">
      <c r="A1" s="130"/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3"/>
      <c r="X1" s="215"/>
      <c r="Y1" s="215"/>
      <c r="Z1" s="215"/>
      <c r="AA1" s="215"/>
      <c r="AB1" s="215"/>
      <c r="AC1" s="215"/>
      <c r="AD1" s="215"/>
      <c r="AE1" s="215"/>
      <c r="AF1" s="215"/>
      <c r="AG1" s="215"/>
    </row>
    <row r="2" spans="1:114" s="119" customFormat="1" ht="9.9499999999999993" customHeight="1" thickBot="1">
      <c r="A2" s="127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288"/>
      <c r="V2" s="128"/>
      <c r="W2" s="129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1"/>
      <c r="AZ2" s="91"/>
      <c r="BA2" s="91"/>
      <c r="BB2" s="91"/>
      <c r="BC2" s="91"/>
      <c r="BD2" s="91"/>
      <c r="BE2" s="91"/>
      <c r="BF2" s="91"/>
      <c r="BG2" s="91"/>
      <c r="BH2" s="91"/>
      <c r="BI2" s="91"/>
      <c r="BJ2" s="91"/>
      <c r="BK2" s="91"/>
      <c r="BL2" s="91"/>
      <c r="BM2" s="91"/>
      <c r="BN2" s="91"/>
      <c r="BO2" s="91"/>
      <c r="BP2" s="91"/>
      <c r="BQ2" s="91"/>
      <c r="BR2" s="91"/>
      <c r="BS2" s="91"/>
      <c r="BT2" s="91"/>
      <c r="BU2" s="91"/>
      <c r="BV2" s="91"/>
      <c r="BW2" s="91"/>
      <c r="BX2" s="91"/>
      <c r="BY2" s="91"/>
      <c r="BZ2" s="91"/>
      <c r="CA2" s="91"/>
      <c r="CB2" s="91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  <c r="CS2" s="91"/>
      <c r="CT2" s="91"/>
      <c r="CU2" s="91"/>
      <c r="CV2" s="91"/>
      <c r="CW2" s="91"/>
      <c r="CX2" s="91"/>
      <c r="CY2" s="91"/>
      <c r="CZ2" s="91"/>
      <c r="DA2" s="91"/>
      <c r="DB2" s="91"/>
      <c r="DC2" s="91"/>
      <c r="DD2" s="91"/>
      <c r="DE2" s="91"/>
      <c r="DF2" s="91"/>
      <c r="DG2" s="91"/>
      <c r="DH2" s="91"/>
      <c r="DI2" s="91"/>
      <c r="DJ2" s="91"/>
    </row>
    <row r="3" spans="1:114" s="119" customFormat="1" ht="35.1" customHeight="1" thickTop="1">
      <c r="A3" s="127"/>
      <c r="B3" s="128"/>
      <c r="C3" s="227"/>
      <c r="D3" s="270" t="s">
        <v>153</v>
      </c>
      <c r="E3" s="270"/>
      <c r="F3" s="270"/>
      <c r="G3" s="270"/>
      <c r="H3" s="270"/>
      <c r="I3" s="270"/>
      <c r="J3" s="270"/>
      <c r="K3" s="270"/>
      <c r="L3" s="270"/>
      <c r="M3" s="270"/>
      <c r="N3" s="217"/>
      <c r="O3" s="217"/>
      <c r="P3" s="217"/>
      <c r="Q3" s="217"/>
      <c r="R3" s="217"/>
      <c r="S3" s="217"/>
      <c r="T3" s="217"/>
      <c r="U3" s="217"/>
      <c r="V3" s="286"/>
      <c r="W3" s="287"/>
      <c r="X3" s="282"/>
      <c r="Y3" s="282"/>
      <c r="Z3" s="282"/>
      <c r="AA3" s="282"/>
      <c r="AB3" s="282"/>
      <c r="AC3" s="283"/>
      <c r="AD3" s="283"/>
      <c r="AE3" s="233"/>
      <c r="AF3" s="92"/>
      <c r="AG3" s="92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91"/>
      <c r="BZ3" s="91"/>
      <c r="CA3" s="91"/>
      <c r="CB3" s="91"/>
      <c r="CC3" s="91"/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91"/>
      <c r="CS3" s="91"/>
      <c r="CT3" s="91"/>
      <c r="CU3" s="91"/>
      <c r="CV3" s="91"/>
      <c r="CW3" s="91"/>
      <c r="CX3" s="91"/>
      <c r="CY3" s="91"/>
      <c r="CZ3" s="91"/>
      <c r="DA3" s="91"/>
      <c r="DB3" s="91"/>
      <c r="DC3" s="91"/>
      <c r="DD3" s="91"/>
      <c r="DE3" s="91"/>
      <c r="DF3" s="91"/>
      <c r="DG3" s="91"/>
      <c r="DH3" s="91"/>
      <c r="DI3" s="91"/>
      <c r="DJ3" s="91"/>
    </row>
    <row r="4" spans="1:114" s="119" customFormat="1">
      <c r="A4" s="127"/>
      <c r="B4" s="128"/>
      <c r="C4" s="228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5"/>
      <c r="V4" s="127"/>
      <c r="W4" s="129"/>
      <c r="X4" s="175"/>
      <c r="Y4" s="175"/>
      <c r="Z4" s="175"/>
      <c r="AA4" s="175"/>
      <c r="AB4" s="175"/>
      <c r="AC4" s="233"/>
      <c r="AD4" s="233"/>
      <c r="AE4" s="233"/>
      <c r="AF4" s="92"/>
      <c r="AG4" s="92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1"/>
      <c r="AZ4" s="91"/>
      <c r="BA4" s="91"/>
      <c r="BB4" s="91"/>
      <c r="BC4" s="91"/>
      <c r="BD4" s="91"/>
      <c r="BE4" s="91"/>
      <c r="BF4" s="91"/>
      <c r="BG4" s="91"/>
      <c r="BH4" s="91"/>
      <c r="BI4" s="91"/>
      <c r="BJ4" s="91"/>
      <c r="BK4" s="91"/>
      <c r="BL4" s="91"/>
      <c r="BM4" s="91"/>
      <c r="BN4" s="91"/>
      <c r="BO4" s="91"/>
      <c r="BP4" s="91"/>
      <c r="BQ4" s="91"/>
      <c r="BR4" s="91"/>
      <c r="BS4" s="91"/>
      <c r="BT4" s="91"/>
      <c r="BU4" s="91"/>
      <c r="BV4" s="91"/>
      <c r="BW4" s="91"/>
      <c r="BX4" s="91"/>
      <c r="BY4" s="91"/>
      <c r="BZ4" s="91"/>
      <c r="CA4" s="91"/>
      <c r="CB4" s="91"/>
      <c r="CC4" s="91"/>
      <c r="CD4" s="91"/>
      <c r="CE4" s="91"/>
      <c r="CF4" s="91"/>
      <c r="CG4" s="91"/>
      <c r="CH4" s="91"/>
      <c r="CI4" s="91"/>
      <c r="CJ4" s="91"/>
      <c r="CK4" s="91"/>
      <c r="CL4" s="91"/>
      <c r="CM4" s="91"/>
      <c r="CN4" s="91"/>
      <c r="CO4" s="91"/>
      <c r="CP4" s="91"/>
      <c r="CQ4" s="91"/>
      <c r="CR4" s="91"/>
      <c r="CS4" s="91"/>
      <c r="CT4" s="91"/>
      <c r="CU4" s="91"/>
      <c r="CV4" s="91"/>
      <c r="CW4" s="91"/>
      <c r="CX4" s="91"/>
      <c r="CY4" s="91"/>
      <c r="CZ4" s="91"/>
      <c r="DA4" s="91"/>
      <c r="DB4" s="91"/>
      <c r="DC4" s="91"/>
      <c r="DD4" s="91"/>
      <c r="DE4" s="91"/>
      <c r="DF4" s="91"/>
      <c r="DG4" s="91"/>
      <c r="DH4" s="91"/>
      <c r="DI4" s="91"/>
      <c r="DJ4" s="91"/>
    </row>
    <row r="5" spans="1:114" s="119" customFormat="1" ht="14.25">
      <c r="A5" s="127"/>
      <c r="B5" s="128"/>
      <c r="C5" s="228"/>
      <c r="D5" s="226" t="s">
        <v>112</v>
      </c>
      <c r="F5" s="240"/>
      <c r="G5" s="240"/>
      <c r="H5" s="240"/>
      <c r="I5" s="240"/>
      <c r="J5" s="240"/>
      <c r="K5" s="240"/>
      <c r="L5" s="240"/>
      <c r="M5" s="240"/>
      <c r="N5" s="175"/>
      <c r="O5" s="175"/>
      <c r="P5" s="175"/>
      <c r="Q5" s="175"/>
      <c r="R5" s="175"/>
      <c r="S5" s="175"/>
      <c r="T5" s="175"/>
      <c r="U5" s="175"/>
      <c r="V5" s="286"/>
      <c r="W5" s="287"/>
      <c r="X5" s="175"/>
      <c r="Y5" s="175"/>
      <c r="Z5" s="175"/>
      <c r="AA5" s="175"/>
      <c r="AB5" s="175"/>
      <c r="AC5" s="233"/>
      <c r="AD5" s="233"/>
      <c r="AE5" s="233"/>
      <c r="AF5" s="92"/>
      <c r="AG5" s="92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91"/>
      <c r="BI5" s="91"/>
      <c r="BJ5" s="91"/>
      <c r="BK5" s="91"/>
      <c r="BL5" s="91"/>
      <c r="BM5" s="91"/>
      <c r="BN5" s="91"/>
      <c r="BO5" s="91"/>
      <c r="BP5" s="91"/>
      <c r="BQ5" s="91"/>
      <c r="BR5" s="91"/>
      <c r="BS5" s="91"/>
      <c r="BT5" s="91"/>
      <c r="BU5" s="91"/>
      <c r="BV5" s="91"/>
      <c r="BW5" s="91"/>
      <c r="BX5" s="91"/>
      <c r="BY5" s="91"/>
      <c r="BZ5" s="91"/>
      <c r="CA5" s="91"/>
      <c r="CB5" s="91"/>
      <c r="CC5" s="91"/>
      <c r="CD5" s="91"/>
      <c r="CE5" s="91"/>
      <c r="CF5" s="91"/>
      <c r="CG5" s="91"/>
      <c r="CH5" s="91"/>
      <c r="CI5" s="91"/>
      <c r="CJ5" s="91"/>
      <c r="CK5" s="91"/>
      <c r="CL5" s="91"/>
      <c r="CM5" s="91"/>
      <c r="CN5" s="91"/>
      <c r="CO5" s="91"/>
      <c r="CP5" s="91"/>
      <c r="CQ5" s="91"/>
      <c r="CR5" s="91"/>
      <c r="CS5" s="91"/>
      <c r="CT5" s="91"/>
      <c r="CU5" s="91"/>
      <c r="CV5" s="91"/>
      <c r="CW5" s="91"/>
      <c r="CX5" s="91"/>
      <c r="CY5" s="91"/>
      <c r="CZ5" s="91"/>
      <c r="DA5" s="91"/>
      <c r="DB5" s="91"/>
      <c r="DC5" s="91"/>
      <c r="DD5" s="91"/>
      <c r="DE5" s="91"/>
      <c r="DF5" s="91"/>
      <c r="DG5" s="91"/>
      <c r="DH5" s="91"/>
      <c r="DI5" s="91"/>
      <c r="DJ5" s="91"/>
    </row>
    <row r="6" spans="1:114" s="119" customFormat="1" ht="14.25">
      <c r="A6" s="127"/>
      <c r="B6" s="128"/>
      <c r="C6" s="228"/>
      <c r="D6" s="226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27"/>
      <c r="W6" s="129"/>
      <c r="X6" s="175"/>
      <c r="Y6" s="175"/>
      <c r="Z6" s="175"/>
      <c r="AA6" s="175"/>
      <c r="AB6" s="175"/>
      <c r="AC6" s="233"/>
      <c r="AD6" s="233"/>
      <c r="AE6" s="233"/>
      <c r="AF6" s="92"/>
      <c r="AG6" s="92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91"/>
      <c r="AS6" s="91"/>
      <c r="AT6" s="91"/>
      <c r="AU6" s="91"/>
      <c r="AV6" s="91"/>
      <c r="AW6" s="91"/>
      <c r="AX6" s="91"/>
      <c r="AY6" s="91"/>
      <c r="AZ6" s="91"/>
      <c r="BA6" s="91"/>
      <c r="BB6" s="91"/>
      <c r="BC6" s="91"/>
      <c r="BD6" s="91"/>
      <c r="BE6" s="91"/>
      <c r="BF6" s="91"/>
      <c r="BG6" s="91"/>
      <c r="BH6" s="91"/>
      <c r="BI6" s="91"/>
      <c r="BJ6" s="91"/>
      <c r="BK6" s="91"/>
      <c r="BL6" s="91"/>
      <c r="BM6" s="91"/>
      <c r="BN6" s="91"/>
      <c r="BO6" s="91"/>
      <c r="BP6" s="91"/>
      <c r="BQ6" s="91"/>
      <c r="BR6" s="91"/>
      <c r="BS6" s="91"/>
      <c r="BT6" s="91"/>
      <c r="BU6" s="91"/>
      <c r="BV6" s="91"/>
      <c r="BW6" s="91"/>
      <c r="BX6" s="91"/>
      <c r="BY6" s="91"/>
      <c r="BZ6" s="91"/>
      <c r="CA6" s="91"/>
      <c r="CB6" s="91"/>
      <c r="CC6" s="91"/>
      <c r="CD6" s="91"/>
      <c r="CE6" s="91"/>
      <c r="CF6" s="91"/>
      <c r="CG6" s="91"/>
      <c r="CH6" s="91"/>
      <c r="CI6" s="91"/>
      <c r="CJ6" s="91"/>
      <c r="CK6" s="91"/>
      <c r="CL6" s="91"/>
      <c r="CM6" s="91"/>
      <c r="CN6" s="91"/>
      <c r="CO6" s="91"/>
      <c r="CP6" s="91"/>
      <c r="CQ6" s="91"/>
      <c r="CR6" s="91"/>
      <c r="CS6" s="91"/>
      <c r="CT6" s="91"/>
      <c r="CU6" s="91"/>
      <c r="CV6" s="91"/>
      <c r="CW6" s="91"/>
      <c r="CX6" s="91"/>
      <c r="CY6" s="91"/>
      <c r="CZ6" s="91"/>
      <c r="DA6" s="91"/>
      <c r="DB6" s="91"/>
      <c r="DC6" s="91"/>
      <c r="DD6" s="91"/>
      <c r="DE6" s="91"/>
      <c r="DF6" s="91"/>
      <c r="DG6" s="91"/>
      <c r="DH6" s="91"/>
      <c r="DI6" s="91"/>
      <c r="DJ6" s="91"/>
    </row>
    <row r="7" spans="1:114" s="119" customFormat="1" ht="14.25">
      <c r="A7" s="127"/>
      <c r="B7" s="128"/>
      <c r="C7" s="228"/>
      <c r="D7" s="226" t="s">
        <v>111</v>
      </c>
      <c r="F7" s="240"/>
      <c r="G7" s="240"/>
      <c r="H7" s="240"/>
      <c r="I7" s="240"/>
      <c r="J7" s="240"/>
      <c r="K7" s="240"/>
      <c r="L7" s="240"/>
      <c r="M7" s="240"/>
      <c r="N7" s="175"/>
      <c r="O7" s="175"/>
      <c r="P7" s="175"/>
      <c r="Q7" s="175"/>
      <c r="R7" s="175"/>
      <c r="S7" s="175"/>
      <c r="T7" s="175"/>
      <c r="U7" s="175"/>
      <c r="V7" s="286"/>
      <c r="W7" s="287"/>
      <c r="X7" s="175"/>
      <c r="Y7" s="175"/>
      <c r="Z7" s="175"/>
      <c r="AA7" s="175"/>
      <c r="AB7" s="175"/>
      <c r="AC7" s="233"/>
      <c r="AD7" s="233"/>
      <c r="AE7" s="233"/>
      <c r="AF7" s="92"/>
      <c r="AG7" s="92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91"/>
      <c r="AS7" s="91"/>
      <c r="AT7" s="91"/>
      <c r="AU7" s="91"/>
      <c r="AV7" s="91"/>
      <c r="AW7" s="91"/>
      <c r="AX7" s="91"/>
      <c r="AY7" s="91"/>
      <c r="AZ7" s="91"/>
      <c r="BA7" s="91"/>
      <c r="BB7" s="91"/>
      <c r="BC7" s="91"/>
      <c r="BD7" s="91"/>
      <c r="BE7" s="91"/>
      <c r="BF7" s="91"/>
      <c r="BG7" s="91"/>
      <c r="BH7" s="91"/>
      <c r="BI7" s="91"/>
      <c r="BJ7" s="91"/>
      <c r="BK7" s="91"/>
      <c r="BL7" s="91"/>
      <c r="BM7" s="91"/>
      <c r="BN7" s="91"/>
      <c r="BO7" s="91"/>
      <c r="BP7" s="91"/>
      <c r="BQ7" s="91"/>
      <c r="BR7" s="91"/>
      <c r="BS7" s="91"/>
      <c r="BT7" s="91"/>
      <c r="BU7" s="91"/>
      <c r="BV7" s="91"/>
      <c r="BW7" s="91"/>
      <c r="BX7" s="91"/>
      <c r="BY7" s="91"/>
      <c r="BZ7" s="91"/>
      <c r="CA7" s="91"/>
      <c r="CB7" s="91"/>
      <c r="CC7" s="91"/>
      <c r="CD7" s="91"/>
      <c r="CE7" s="91"/>
      <c r="CF7" s="91"/>
      <c r="CG7" s="91"/>
      <c r="CH7" s="91"/>
      <c r="CI7" s="91"/>
      <c r="CJ7" s="91"/>
      <c r="CK7" s="91"/>
      <c r="CL7" s="91"/>
      <c r="CM7" s="91"/>
      <c r="CN7" s="91"/>
      <c r="CO7" s="91"/>
      <c r="CP7" s="91"/>
      <c r="CQ7" s="91"/>
      <c r="CR7" s="91"/>
      <c r="CS7" s="91"/>
      <c r="CT7" s="91"/>
      <c r="CU7" s="91"/>
      <c r="CV7" s="91"/>
      <c r="CW7" s="91"/>
      <c r="CX7" s="91"/>
      <c r="CY7" s="91"/>
      <c r="CZ7" s="91"/>
      <c r="DA7" s="91"/>
      <c r="DB7" s="91"/>
      <c r="DC7" s="91"/>
      <c r="DD7" s="91"/>
      <c r="DE7" s="91"/>
      <c r="DF7" s="91"/>
      <c r="DG7" s="91"/>
      <c r="DH7" s="91"/>
      <c r="DI7" s="91"/>
      <c r="DJ7" s="91"/>
    </row>
    <row r="8" spans="1:114" s="119" customFormat="1">
      <c r="A8" s="127"/>
      <c r="B8" s="128"/>
      <c r="C8" s="228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27"/>
      <c r="W8" s="129"/>
      <c r="X8" s="175"/>
      <c r="Y8" s="175"/>
      <c r="Z8" s="175"/>
      <c r="AA8" s="175"/>
      <c r="AB8" s="175"/>
      <c r="AC8" s="233"/>
      <c r="AD8" s="233"/>
      <c r="AE8" s="233"/>
      <c r="AF8" s="92"/>
      <c r="AG8" s="92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91"/>
      <c r="AU8" s="91"/>
      <c r="AV8" s="91"/>
      <c r="AW8" s="91"/>
      <c r="AX8" s="91"/>
      <c r="AY8" s="91"/>
      <c r="AZ8" s="91"/>
      <c r="BA8" s="91"/>
      <c r="BB8" s="91"/>
      <c r="BC8" s="91"/>
      <c r="BD8" s="91"/>
      <c r="BE8" s="91"/>
      <c r="BF8" s="91"/>
      <c r="BG8" s="91"/>
      <c r="BH8" s="91"/>
      <c r="BI8" s="91"/>
      <c r="BJ8" s="91"/>
      <c r="BK8" s="91"/>
      <c r="BL8" s="91"/>
      <c r="BM8" s="91"/>
      <c r="BN8" s="91"/>
      <c r="BO8" s="91"/>
      <c r="BP8" s="91"/>
      <c r="BQ8" s="91"/>
      <c r="BR8" s="91"/>
      <c r="BS8" s="91"/>
      <c r="BT8" s="91"/>
      <c r="BU8" s="91"/>
      <c r="BV8" s="91"/>
      <c r="BW8" s="91"/>
      <c r="BX8" s="91"/>
      <c r="BY8" s="91"/>
      <c r="BZ8" s="91"/>
      <c r="CA8" s="91"/>
      <c r="CB8" s="91"/>
      <c r="CC8" s="91"/>
      <c r="CD8" s="91"/>
      <c r="CE8" s="91"/>
      <c r="CF8" s="91"/>
      <c r="CG8" s="91"/>
      <c r="CH8" s="91"/>
      <c r="CI8" s="91"/>
      <c r="CJ8" s="91"/>
      <c r="CK8" s="91"/>
      <c r="CL8" s="91"/>
      <c r="CM8" s="91"/>
      <c r="CN8" s="91"/>
      <c r="CO8" s="91"/>
      <c r="CP8" s="91"/>
      <c r="CQ8" s="91"/>
      <c r="CR8" s="91"/>
      <c r="CS8" s="91"/>
      <c r="CT8" s="91"/>
      <c r="CU8" s="91"/>
      <c r="CV8" s="91"/>
      <c r="CW8" s="91"/>
      <c r="CX8" s="91"/>
      <c r="CY8" s="91"/>
      <c r="CZ8" s="91"/>
      <c r="DA8" s="91"/>
      <c r="DB8" s="91"/>
      <c r="DC8" s="91"/>
      <c r="DD8" s="91"/>
      <c r="DE8" s="91"/>
      <c r="DF8" s="91"/>
      <c r="DG8" s="91"/>
      <c r="DH8" s="91"/>
      <c r="DI8" s="91"/>
      <c r="DJ8" s="91"/>
    </row>
    <row r="9" spans="1:114" s="119" customFormat="1" ht="39.950000000000003" customHeight="1">
      <c r="A9" s="127"/>
      <c r="B9" s="128"/>
      <c r="C9" s="228"/>
      <c r="D9" s="385" t="s">
        <v>0</v>
      </c>
      <c r="E9" s="387"/>
      <c r="F9" s="385" t="s">
        <v>101</v>
      </c>
      <c r="G9" s="386"/>
      <c r="H9" s="383" t="s">
        <v>117</v>
      </c>
      <c r="I9" s="384"/>
      <c r="J9" s="385" t="s">
        <v>113</v>
      </c>
      <c r="K9" s="386"/>
      <c r="L9" s="383" t="s">
        <v>116</v>
      </c>
      <c r="M9" s="384"/>
      <c r="N9" s="175"/>
      <c r="O9" s="431" t="s">
        <v>158</v>
      </c>
      <c r="P9" s="432"/>
      <c r="Q9" s="432"/>
      <c r="R9" s="432"/>
      <c r="S9" s="432"/>
      <c r="T9" s="433"/>
      <c r="U9" s="175"/>
      <c r="V9" s="286"/>
      <c r="W9" s="287"/>
      <c r="X9" s="175"/>
      <c r="Y9" s="175"/>
      <c r="Z9" s="175"/>
      <c r="AA9" s="175"/>
      <c r="AB9" s="175"/>
      <c r="AC9" s="233"/>
      <c r="AD9" s="233"/>
      <c r="AE9" s="233"/>
      <c r="AF9" s="92"/>
      <c r="AG9" s="92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91"/>
      <c r="BK9" s="91"/>
      <c r="BL9" s="91"/>
      <c r="BM9" s="91"/>
      <c r="BN9" s="91"/>
      <c r="BO9" s="91"/>
      <c r="BP9" s="91"/>
      <c r="BQ9" s="91"/>
      <c r="BR9" s="91"/>
      <c r="BS9" s="91"/>
      <c r="BT9" s="91"/>
      <c r="BU9" s="91"/>
      <c r="BV9" s="91"/>
      <c r="BW9" s="91"/>
      <c r="BX9" s="91"/>
      <c r="BY9" s="91"/>
      <c r="BZ9" s="91"/>
      <c r="CA9" s="91"/>
      <c r="CB9" s="91"/>
      <c r="CC9" s="91"/>
      <c r="CD9" s="91"/>
      <c r="CE9" s="91"/>
      <c r="CF9" s="91"/>
      <c r="CG9" s="91"/>
      <c r="CH9" s="91"/>
      <c r="CI9" s="91"/>
      <c r="CJ9" s="91"/>
      <c r="CK9" s="91"/>
      <c r="CL9" s="91"/>
      <c r="CM9" s="91"/>
      <c r="CN9" s="91"/>
      <c r="CO9" s="91"/>
      <c r="CP9" s="91"/>
      <c r="CQ9" s="91"/>
      <c r="CR9" s="91"/>
      <c r="CS9" s="91"/>
      <c r="CT9" s="91"/>
      <c r="CU9" s="91"/>
      <c r="CV9" s="91"/>
      <c r="CW9" s="91"/>
      <c r="CX9" s="91"/>
      <c r="CY9" s="91"/>
      <c r="CZ9" s="91"/>
      <c r="DA9" s="91"/>
      <c r="DB9" s="91"/>
      <c r="DC9" s="91"/>
      <c r="DD9" s="91"/>
      <c r="DE9" s="91"/>
      <c r="DF9" s="91"/>
      <c r="DG9" s="91"/>
      <c r="DH9" s="91"/>
      <c r="DI9" s="91"/>
      <c r="DJ9" s="91"/>
    </row>
    <row r="10" spans="1:114" s="119" customFormat="1" ht="24.95" customHeight="1">
      <c r="A10" s="127"/>
      <c r="B10" s="128"/>
      <c r="C10" s="228"/>
      <c r="D10" s="343">
        <f>remuneração</f>
        <v>1800</v>
      </c>
      <c r="E10" s="344"/>
      <c r="F10" s="345">
        <f>admissão</f>
        <v>41054</v>
      </c>
      <c r="G10" s="344"/>
      <c r="H10" s="345">
        <f>datacom</f>
        <v>43506</v>
      </c>
      <c r="I10" s="346"/>
      <c r="J10" s="347" t="str">
        <f>IF(ap=1,"Aviso Trabalhado",IF(ap=2,"Aviso Indenizado","Aviso Misto"))</f>
        <v>Aviso Indenizado</v>
      </c>
      <c r="K10" s="344"/>
      <c r="L10" s="348">
        <f>ap_proporcional</f>
        <v>48</v>
      </c>
      <c r="M10" s="349"/>
      <c r="N10" s="175"/>
      <c r="O10" s="325"/>
      <c r="P10" s="278"/>
      <c r="Q10" s="278"/>
      <c r="R10" s="245"/>
      <c r="S10" s="245"/>
      <c r="T10" s="326"/>
      <c r="U10" s="235"/>
      <c r="V10" s="127"/>
      <c r="W10" s="129"/>
      <c r="X10" s="175"/>
      <c r="Y10" s="175"/>
      <c r="Z10" s="175"/>
      <c r="AA10" s="175"/>
      <c r="AB10" s="175"/>
      <c r="AC10" s="233"/>
      <c r="AD10" s="233"/>
      <c r="AE10" s="233"/>
      <c r="AF10" s="92"/>
      <c r="AG10" s="92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91"/>
      <c r="AZ10" s="91"/>
      <c r="BA10" s="91"/>
      <c r="BB10" s="91"/>
      <c r="BC10" s="91"/>
      <c r="BD10" s="91"/>
      <c r="BE10" s="91"/>
      <c r="BF10" s="91"/>
      <c r="BG10" s="91"/>
      <c r="BH10" s="91"/>
      <c r="BI10" s="91"/>
      <c r="BJ10" s="91"/>
      <c r="BK10" s="91"/>
      <c r="BL10" s="91"/>
      <c r="BM10" s="91"/>
      <c r="BN10" s="91"/>
      <c r="BO10" s="91"/>
      <c r="BP10" s="91"/>
      <c r="BQ10" s="91"/>
      <c r="BR10" s="91"/>
      <c r="BS10" s="91"/>
      <c r="BT10" s="91"/>
      <c r="BU10" s="91"/>
      <c r="BV10" s="91"/>
      <c r="BW10" s="91"/>
      <c r="BX10" s="91"/>
      <c r="BY10" s="91"/>
      <c r="BZ10" s="91"/>
      <c r="CA10" s="91"/>
      <c r="CB10" s="91"/>
      <c r="CC10" s="91"/>
      <c r="CD10" s="91"/>
      <c r="CE10" s="91"/>
      <c r="CF10" s="91"/>
      <c r="CG10" s="91"/>
      <c r="CH10" s="91"/>
      <c r="CI10" s="91"/>
      <c r="CJ10" s="91"/>
      <c r="CK10" s="91"/>
      <c r="CL10" s="91"/>
      <c r="CM10" s="91"/>
      <c r="CN10" s="91"/>
      <c r="CO10" s="91"/>
      <c r="CP10" s="91"/>
      <c r="CQ10" s="91"/>
      <c r="CR10" s="91"/>
      <c r="CS10" s="91"/>
      <c r="CT10" s="91"/>
      <c r="CU10" s="91"/>
      <c r="CV10" s="91"/>
      <c r="CW10" s="91"/>
      <c r="CX10" s="91"/>
      <c r="CY10" s="91"/>
      <c r="CZ10" s="91"/>
      <c r="DA10" s="91"/>
      <c r="DB10" s="91"/>
      <c r="DC10" s="91"/>
      <c r="DD10" s="91"/>
      <c r="DE10" s="91"/>
      <c r="DF10" s="91"/>
      <c r="DG10" s="91"/>
      <c r="DH10" s="91"/>
      <c r="DI10" s="91"/>
      <c r="DJ10" s="91"/>
    </row>
    <row r="11" spans="1:114" s="119" customFormat="1">
      <c r="A11" s="127"/>
      <c r="B11" s="128"/>
      <c r="C11" s="228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327" t="s">
        <v>141</v>
      </c>
      <c r="P11" s="245"/>
      <c r="Q11" s="245"/>
      <c r="R11" s="245"/>
      <c r="S11" s="245"/>
      <c r="T11" s="326"/>
      <c r="U11" s="233"/>
      <c r="V11" s="286"/>
      <c r="W11" s="287"/>
      <c r="X11" s="175"/>
      <c r="Y11" s="175"/>
      <c r="Z11" s="175"/>
      <c r="AA11" s="175"/>
      <c r="AB11" s="175"/>
      <c r="AC11" s="233"/>
      <c r="AD11" s="233"/>
      <c r="AE11" s="233"/>
      <c r="AF11" s="92"/>
      <c r="AG11" s="92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  <c r="BC11" s="91"/>
      <c r="BD11" s="91"/>
      <c r="BE11" s="91"/>
      <c r="BF11" s="91"/>
      <c r="BG11" s="91"/>
      <c r="BH11" s="91"/>
      <c r="BI11" s="91"/>
      <c r="BJ11" s="91"/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91"/>
      <c r="CY11" s="91"/>
      <c r="CZ11" s="91"/>
      <c r="DA11" s="91"/>
      <c r="DB11" s="91"/>
      <c r="DC11" s="91"/>
      <c r="DD11" s="91"/>
      <c r="DE11" s="91"/>
      <c r="DF11" s="91"/>
      <c r="DG11" s="91"/>
      <c r="DH11" s="91"/>
      <c r="DI11" s="91"/>
      <c r="DJ11" s="91"/>
    </row>
    <row r="12" spans="1:114" s="119" customFormat="1" ht="39.950000000000003" customHeight="1">
      <c r="A12" s="127"/>
      <c r="B12" s="128"/>
      <c r="C12" s="228"/>
      <c r="D12" s="383" t="str">
        <f>IF(ap=1,"Término do Contrato","Último Dia Trabalhado")</f>
        <v>Último Dia Trabalhado</v>
      </c>
      <c r="E12" s="384"/>
      <c r="F12" s="385" t="s">
        <v>71</v>
      </c>
      <c r="G12" s="386"/>
      <c r="H12" s="383" t="str">
        <f>IF(OR(ap=1,F13=0),"Término do Contrato","Término da Projeção do Aviso")</f>
        <v>Término da Projeção do Aviso</v>
      </c>
      <c r="I12" s="384"/>
      <c r="J12" s="383" t="s">
        <v>114</v>
      </c>
      <c r="K12" s="384"/>
      <c r="L12" s="385" t="s">
        <v>115</v>
      </c>
      <c r="M12" s="386"/>
      <c r="N12" s="175"/>
      <c r="O12" s="328" t="s">
        <v>140</v>
      </c>
      <c r="P12" s="245"/>
      <c r="Q12" s="245"/>
      <c r="R12" s="245"/>
      <c r="S12" s="245"/>
      <c r="T12" s="326"/>
      <c r="U12" s="233"/>
      <c r="V12" s="127"/>
      <c r="W12" s="129"/>
      <c r="X12" s="175"/>
      <c r="Y12" s="175"/>
      <c r="Z12" s="175"/>
      <c r="AA12" s="175"/>
      <c r="AB12" s="175"/>
      <c r="AC12" s="233"/>
      <c r="AD12" s="233"/>
      <c r="AE12" s="233"/>
      <c r="AF12" s="92"/>
      <c r="AG12" s="92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  <c r="BP12" s="91"/>
      <c r="BQ12" s="91"/>
      <c r="BR12" s="91"/>
      <c r="BS12" s="91"/>
      <c r="BT12" s="91"/>
      <c r="BU12" s="91"/>
      <c r="BV12" s="91"/>
      <c r="BW12" s="91"/>
      <c r="BX12" s="91"/>
      <c r="BY12" s="91"/>
      <c r="BZ12" s="91"/>
      <c r="CA12" s="91"/>
      <c r="CB12" s="91"/>
      <c r="CC12" s="91"/>
      <c r="CD12" s="91"/>
      <c r="CE12" s="91"/>
      <c r="CF12" s="91"/>
      <c r="CG12" s="91"/>
      <c r="CH12" s="91"/>
      <c r="CI12" s="91"/>
      <c r="CJ12" s="91"/>
      <c r="CK12" s="91"/>
      <c r="CL12" s="91"/>
      <c r="CM12" s="91"/>
      <c r="CN12" s="91"/>
      <c r="CO12" s="91"/>
      <c r="CP12" s="91"/>
      <c r="CQ12" s="91"/>
      <c r="CR12" s="91"/>
      <c r="CS12" s="91"/>
      <c r="CT12" s="91"/>
      <c r="CU12" s="91"/>
      <c r="CV12" s="91"/>
      <c r="CW12" s="91"/>
      <c r="CX12" s="91"/>
      <c r="CY12" s="91"/>
      <c r="CZ12" s="91"/>
      <c r="DA12" s="91"/>
      <c r="DB12" s="91"/>
      <c r="DC12" s="91"/>
      <c r="DD12" s="91"/>
      <c r="DE12" s="91"/>
      <c r="DF12" s="91"/>
      <c r="DG12" s="91"/>
      <c r="DH12" s="91"/>
      <c r="DI12" s="91"/>
      <c r="DJ12" s="91"/>
    </row>
    <row r="13" spans="1:114" s="119" customFormat="1" ht="24.95" customHeight="1">
      <c r="A13" s="127"/>
      <c r="B13" s="128"/>
      <c r="C13" s="228"/>
      <c r="D13" s="345">
        <f>IF(ap=1,dispensa,IF(ap=2,datacom,datacom+30))</f>
        <v>43506</v>
      </c>
      <c r="E13" s="344"/>
      <c r="F13" s="348">
        <f>IF(ap=1,("-"),IF(ap=2,ap_proporcional,ap_proporcional-30))</f>
        <v>48</v>
      </c>
      <c r="G13" s="349"/>
      <c r="H13" s="350">
        <f>datacom+ap_proporcional</f>
        <v>43554</v>
      </c>
      <c r="I13" s="346"/>
      <c r="J13" s="351">
        <f>data_limpagto</f>
        <v>43516</v>
      </c>
      <c r="K13" s="344"/>
      <c r="L13" s="352"/>
      <c r="M13" s="353"/>
      <c r="N13" s="175"/>
      <c r="O13" s="431" t="s">
        <v>142</v>
      </c>
      <c r="P13" s="432"/>
      <c r="Q13" s="432"/>
      <c r="R13" s="432"/>
      <c r="S13" s="432"/>
      <c r="T13" s="433"/>
      <c r="U13" s="236"/>
      <c r="V13" s="286"/>
      <c r="W13" s="287"/>
      <c r="X13" s="175"/>
      <c r="Y13" s="175"/>
      <c r="Z13" s="175"/>
      <c r="AA13" s="175"/>
      <c r="AB13" s="175"/>
      <c r="AC13" s="233"/>
      <c r="AD13" s="233"/>
      <c r="AE13" s="233"/>
      <c r="AF13" s="92"/>
      <c r="AG13" s="92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  <c r="BY13" s="91"/>
      <c r="BZ13" s="91"/>
      <c r="CA13" s="91"/>
      <c r="CB13" s="91"/>
      <c r="CC13" s="91"/>
      <c r="CD13" s="91"/>
      <c r="CE13" s="91"/>
      <c r="CF13" s="91"/>
      <c r="CG13" s="91"/>
      <c r="CH13" s="91"/>
      <c r="CI13" s="91"/>
      <c r="CJ13" s="91"/>
      <c r="CK13" s="91"/>
      <c r="CL13" s="91"/>
      <c r="CM13" s="91"/>
      <c r="CN13" s="91"/>
      <c r="CO13" s="91"/>
      <c r="CP13" s="91"/>
      <c r="CQ13" s="91"/>
      <c r="CR13" s="91"/>
      <c r="CS13" s="91"/>
      <c r="CT13" s="91"/>
      <c r="CU13" s="91"/>
      <c r="CV13" s="91"/>
      <c r="CW13" s="91"/>
      <c r="CX13" s="91"/>
      <c r="CY13" s="91"/>
      <c r="CZ13" s="91"/>
      <c r="DA13" s="91"/>
      <c r="DB13" s="91"/>
      <c r="DC13" s="91"/>
      <c r="DD13" s="91"/>
      <c r="DE13" s="91"/>
      <c r="DF13" s="91"/>
      <c r="DG13" s="91"/>
      <c r="DH13" s="91"/>
      <c r="DI13" s="91"/>
      <c r="DJ13" s="91"/>
    </row>
    <row r="14" spans="1:114" s="119" customFormat="1" ht="12.75" customHeight="1">
      <c r="A14" s="127"/>
      <c r="B14" s="128"/>
      <c r="C14" s="228"/>
      <c r="D14" s="144"/>
      <c r="E14" s="144"/>
      <c r="F14" s="144"/>
      <c r="G14" s="144"/>
      <c r="H14" s="175"/>
      <c r="I14" s="229"/>
      <c r="J14" s="229"/>
      <c r="K14" s="229"/>
      <c r="L14" s="229"/>
      <c r="M14" s="229"/>
      <c r="N14" s="229"/>
      <c r="O14" s="279"/>
      <c r="P14" s="280"/>
      <c r="Q14" s="280"/>
      <c r="R14" s="280"/>
      <c r="S14" s="280"/>
      <c r="T14" s="281"/>
      <c r="U14" s="230"/>
      <c r="V14" s="127"/>
      <c r="W14" s="129"/>
      <c r="X14" s="230"/>
      <c r="Y14" s="230"/>
      <c r="Z14" s="230"/>
      <c r="AA14" s="230"/>
      <c r="AB14" s="175"/>
      <c r="AC14" s="233"/>
      <c r="AD14" s="233"/>
      <c r="AE14" s="233"/>
      <c r="AF14" s="92"/>
      <c r="AG14" s="92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91"/>
      <c r="BK14" s="91"/>
      <c r="BL14" s="91"/>
      <c r="BM14" s="91"/>
      <c r="BN14" s="91"/>
      <c r="BO14" s="91"/>
      <c r="BP14" s="91"/>
      <c r="BQ14" s="91"/>
      <c r="BR14" s="91"/>
      <c r="BS14" s="91"/>
      <c r="BT14" s="91"/>
      <c r="BU14" s="91"/>
      <c r="BV14" s="91"/>
      <c r="BW14" s="91"/>
      <c r="BX14" s="91"/>
      <c r="BY14" s="91"/>
      <c r="BZ14" s="91"/>
      <c r="CA14" s="91"/>
      <c r="CB14" s="91"/>
      <c r="CC14" s="91"/>
      <c r="CD14" s="91"/>
      <c r="CE14" s="91"/>
      <c r="CF14" s="91"/>
      <c r="CG14" s="91"/>
      <c r="CH14" s="91"/>
      <c r="CI14" s="91"/>
      <c r="CJ14" s="91"/>
      <c r="CK14" s="91"/>
      <c r="CL14" s="91"/>
      <c r="CM14" s="91"/>
      <c r="CN14" s="91"/>
      <c r="CO14" s="91"/>
      <c r="CP14" s="91"/>
      <c r="CQ14" s="91"/>
      <c r="CR14" s="91"/>
      <c r="CS14" s="91"/>
      <c r="CT14" s="91"/>
      <c r="CU14" s="91"/>
      <c r="CV14" s="91"/>
      <c r="CW14" s="91"/>
      <c r="CX14" s="91"/>
      <c r="CY14" s="91"/>
      <c r="CZ14" s="91"/>
      <c r="DA14" s="91"/>
      <c r="DB14" s="91"/>
      <c r="DC14" s="91"/>
      <c r="DD14" s="91"/>
      <c r="DE14" s="91"/>
      <c r="DF14" s="91"/>
      <c r="DG14" s="91"/>
      <c r="DH14" s="91"/>
      <c r="DI14" s="91"/>
      <c r="DJ14" s="91"/>
    </row>
    <row r="15" spans="1:114" s="119" customFormat="1" ht="24.95" customHeight="1">
      <c r="A15" s="127"/>
      <c r="B15" s="128"/>
      <c r="C15" s="228"/>
      <c r="D15" s="379" t="s">
        <v>120</v>
      </c>
      <c r="E15" s="380"/>
      <c r="F15" s="380"/>
      <c r="G15" s="380"/>
      <c r="H15" s="381"/>
      <c r="I15" s="382" t="s">
        <v>121</v>
      </c>
      <c r="J15" s="380"/>
      <c r="K15" s="380"/>
      <c r="L15" s="380"/>
      <c r="M15" s="381"/>
      <c r="O15" s="248" t="s">
        <v>144</v>
      </c>
      <c r="P15" s="249"/>
      <c r="Q15" s="295"/>
      <c r="R15" s="295" t="s">
        <v>1</v>
      </c>
      <c r="S15" s="295"/>
      <c r="T15" s="250" t="s">
        <v>78</v>
      </c>
      <c r="U15" s="233"/>
      <c r="V15" s="286"/>
      <c r="W15" s="287"/>
      <c r="X15" s="230"/>
      <c r="Y15" s="230"/>
      <c r="Z15" s="230"/>
      <c r="AA15" s="230"/>
      <c r="AB15" s="175"/>
      <c r="AC15" s="233"/>
      <c r="AD15" s="233"/>
      <c r="AE15" s="233"/>
      <c r="AF15" s="92"/>
      <c r="AG15" s="92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</row>
    <row r="16" spans="1:114" s="119" customFormat="1" ht="20.100000000000001" customHeight="1">
      <c r="A16" s="127"/>
      <c r="B16" s="128"/>
      <c r="C16" s="228"/>
      <c r="D16" s="425" t="s">
        <v>122</v>
      </c>
      <c r="E16" s="426"/>
      <c r="F16" s="427"/>
      <c r="G16" s="271">
        <f>DAY(ultimo_diatrab)</f>
        <v>10</v>
      </c>
      <c r="H16" s="272">
        <f>IF(G16&gt;30,remuneração,IF(AND(MONTH(ultimo_diatrab)=2,G16=$G$185),remuneração,remuneração/$F$188*G16))</f>
        <v>600</v>
      </c>
      <c r="I16" s="428" t="s">
        <v>135</v>
      </c>
      <c r="J16" s="429"/>
      <c r="K16" s="430"/>
      <c r="L16" s="329">
        <f>IF(H16="",0,IF(H16&lt;=$P$27,$S$27,IF(H16&lt;=$R$28,$S$28,$S$29)))</f>
        <v>0.08</v>
      </c>
      <c r="M16" s="334">
        <f>IF(H16="",0,IF(H16&lt;=$P$27,H16*$S$27,IF(H16&lt;=$R$28,H16*$S$28,IF(H16&lt;=$R$29,H16*$S$29,$R$29*$S$29))))</f>
        <v>48</v>
      </c>
      <c r="N16" s="229"/>
      <c r="O16" s="320" t="s">
        <v>143</v>
      </c>
      <c r="P16" s="321"/>
      <c r="Q16" s="322"/>
      <c r="R16" s="322" t="str">
        <f>CalcDécTerceiro(admissão,ultimo_diatrab,1)</f>
        <v>01/01/2019 a 10/02/2019</v>
      </c>
      <c r="S16" s="322"/>
      <c r="T16" s="323">
        <f>CalcDécTerceiro(admissão,ultimo_diatrab,2)</f>
        <v>1</v>
      </c>
      <c r="U16" s="233"/>
      <c r="V16" s="127"/>
      <c r="W16" s="129"/>
      <c r="X16" s="191"/>
      <c r="Y16" s="191"/>
      <c r="Z16" s="191"/>
      <c r="AA16" s="230"/>
      <c r="AB16" s="175"/>
      <c r="AC16" s="233"/>
      <c r="AD16" s="233"/>
      <c r="AE16" s="233"/>
      <c r="AF16" s="92"/>
      <c r="AG16" s="92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91"/>
      <c r="BK16" s="91"/>
      <c r="BL16" s="91"/>
      <c r="BM16" s="91"/>
      <c r="BN16" s="91"/>
      <c r="BO16" s="91"/>
      <c r="BP16" s="91"/>
      <c r="BQ16" s="91"/>
      <c r="BR16" s="91"/>
      <c r="BS16" s="91"/>
      <c r="BT16" s="91"/>
      <c r="BU16" s="91"/>
      <c r="BV16" s="91"/>
      <c r="BW16" s="91"/>
      <c r="BX16" s="91"/>
      <c r="BY16" s="91"/>
      <c r="BZ16" s="91"/>
      <c r="CA16" s="91"/>
      <c r="CB16" s="91"/>
      <c r="CC16" s="91"/>
      <c r="CD16" s="91"/>
      <c r="CE16" s="91"/>
      <c r="CF16" s="91"/>
      <c r="CG16" s="91"/>
      <c r="CH16" s="91"/>
      <c r="CI16" s="91"/>
      <c r="CJ16" s="91"/>
      <c r="CK16" s="91"/>
      <c r="CL16" s="91"/>
      <c r="CM16" s="91"/>
      <c r="CN16" s="91"/>
      <c r="CO16" s="91"/>
      <c r="CP16" s="91"/>
      <c r="CQ16" s="91"/>
      <c r="CR16" s="91"/>
      <c r="CS16" s="91"/>
      <c r="CT16" s="91"/>
      <c r="CU16" s="91"/>
      <c r="CV16" s="91"/>
      <c r="CW16" s="91"/>
      <c r="CX16" s="91"/>
      <c r="CY16" s="91"/>
      <c r="CZ16" s="91"/>
      <c r="DA16" s="91"/>
      <c r="DB16" s="91"/>
      <c r="DC16" s="91"/>
      <c r="DD16" s="91"/>
      <c r="DE16" s="91"/>
      <c r="DF16" s="91"/>
      <c r="DG16" s="91"/>
      <c r="DH16" s="91"/>
      <c r="DI16" s="91"/>
      <c r="DJ16" s="91"/>
    </row>
    <row r="17" spans="1:114" s="119" customFormat="1" ht="20.100000000000001" customHeight="1">
      <c r="A17" s="127"/>
      <c r="B17" s="128"/>
      <c r="C17" s="228"/>
      <c r="D17" s="425" t="s">
        <v>123</v>
      </c>
      <c r="E17" s="426"/>
      <c r="F17" s="427"/>
      <c r="G17" s="271">
        <f>IF(ap=1,"",$F$13)</f>
        <v>48</v>
      </c>
      <c r="H17" s="273">
        <f>IF(G17="",0,remuneração/30*G17)</f>
        <v>2880</v>
      </c>
      <c r="I17" s="434" t="s">
        <v>136</v>
      </c>
      <c r="J17" s="435"/>
      <c r="K17" s="436"/>
      <c r="L17" s="330">
        <f>IF((H18+H19)&lt;=$P$27,$S$27,IF((H18+H19)&lt;=$R$28,$S$28,$S$29))</f>
        <v>0.08</v>
      </c>
      <c r="M17" s="334">
        <f>IF((H18+H19)="",0,IF((H18+H19)&lt;=$P$27,(H18+H19)*$S$27,IF((H18+H19)&lt;=$R$28,(H18+H19)*$S$28,IF((H18+H19)&lt;=$R$29,(H18+H19)*$S$29,$R$29*$S$29))))</f>
        <v>36</v>
      </c>
      <c r="N17" s="229"/>
      <c r="O17" s="315" t="s">
        <v>145</v>
      </c>
      <c r="P17" s="324"/>
      <c r="Q17" s="324"/>
      <c r="R17" s="336" t="str">
        <f>IF(ap=1,"",CalcDécTerceiro(ultimo_diatrab+1,dispensa,1))</f>
        <v>11/02/2019 a 30/03/2019</v>
      </c>
      <c r="S17" s="335"/>
      <c r="T17" s="337">
        <f>IF(ap&lt;&gt;1,IF(YEAR(dispensa)&gt;YEAR(ultimo_diatrab),CalcDécTerceiro(admissão,ultimo_diaano,2)+CalcDécTerceiro(admissão,dispensa,2)-CalcDécTerceiro(admissão,ultimo_diatrab,2),CalcDécTerceiro(admissão,dispensa,2)-CalcDécTerceiro(admissão,ultimo_diatrab,2)),"")</f>
        <v>2</v>
      </c>
      <c r="U17" s="230"/>
      <c r="V17" s="286"/>
      <c r="W17" s="287"/>
      <c r="X17" s="244"/>
      <c r="Y17" s="230"/>
      <c r="Z17" s="230"/>
      <c r="AA17" s="230"/>
      <c r="AB17" s="175"/>
      <c r="AC17" s="233"/>
      <c r="AD17" s="233"/>
      <c r="AE17" s="233"/>
      <c r="AF17" s="92"/>
      <c r="AG17" s="92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  <c r="BP17" s="91"/>
      <c r="BQ17" s="91"/>
      <c r="BR17" s="91"/>
      <c r="BS17" s="91"/>
      <c r="BT17" s="91"/>
      <c r="BU17" s="91"/>
      <c r="BV17" s="91"/>
      <c r="BW17" s="91"/>
      <c r="BX17" s="91"/>
      <c r="BY17" s="91"/>
      <c r="BZ17" s="91"/>
      <c r="CA17" s="91"/>
      <c r="CB17" s="91"/>
      <c r="CC17" s="91"/>
      <c r="CD17" s="91"/>
      <c r="CE17" s="91"/>
      <c r="CF17" s="91"/>
      <c r="CG17" s="91"/>
      <c r="CH17" s="91"/>
      <c r="CI17" s="91"/>
      <c r="CJ17" s="91"/>
      <c r="CK17" s="91"/>
      <c r="CL17" s="91"/>
      <c r="CM17" s="91"/>
      <c r="CN17" s="91"/>
      <c r="CO17" s="91"/>
      <c r="CP17" s="91"/>
      <c r="CQ17" s="91"/>
      <c r="CR17" s="91"/>
      <c r="CS17" s="91"/>
      <c r="CT17" s="91"/>
      <c r="CU17" s="91"/>
      <c r="CV17" s="91"/>
      <c r="CW17" s="91"/>
      <c r="CX17" s="91"/>
      <c r="CY17" s="91"/>
      <c r="CZ17" s="91"/>
      <c r="DA17" s="91"/>
      <c r="DB17" s="91"/>
      <c r="DC17" s="91"/>
      <c r="DD17" s="91"/>
      <c r="DE17" s="91"/>
      <c r="DF17" s="91"/>
      <c r="DG17" s="91"/>
      <c r="DH17" s="91"/>
      <c r="DI17" s="91"/>
      <c r="DJ17" s="91"/>
    </row>
    <row r="18" spans="1:114" s="119" customFormat="1" ht="20.100000000000001" customHeight="1">
      <c r="A18" s="127"/>
      <c r="B18" s="128"/>
      <c r="C18" s="228"/>
      <c r="D18" s="425" t="s">
        <v>124</v>
      </c>
      <c r="E18" s="426"/>
      <c r="F18" s="427"/>
      <c r="G18" s="274">
        <f>CalcDécTerceiro(admissão,ultimo_diatrab,2)</f>
        <v>1</v>
      </c>
      <c r="H18" s="273">
        <f>remuneração/12*G18</f>
        <v>150</v>
      </c>
      <c r="I18" s="434" t="s">
        <v>131</v>
      </c>
      <c r="J18" s="435"/>
      <c r="K18" s="436"/>
      <c r="L18" s="331"/>
      <c r="M18" s="334"/>
      <c r="N18" s="229"/>
      <c r="O18" s="239"/>
      <c r="P18" s="229"/>
      <c r="Q18" s="229"/>
      <c r="T18" s="247"/>
      <c r="U18" s="230"/>
      <c r="V18" s="127"/>
      <c r="W18" s="129"/>
      <c r="X18" s="230"/>
      <c r="Y18" s="230"/>
      <c r="Z18" s="230"/>
      <c r="AA18" s="230"/>
      <c r="AB18" s="175"/>
      <c r="AC18" s="233"/>
      <c r="AD18" s="233"/>
      <c r="AE18" s="233"/>
      <c r="AF18" s="92"/>
      <c r="AG18" s="92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</row>
    <row r="19" spans="1:114" s="119" customFormat="1" ht="20.100000000000001" customHeight="1">
      <c r="A19" s="127"/>
      <c r="B19" s="128"/>
      <c r="C19" s="228"/>
      <c r="D19" s="425" t="s">
        <v>125</v>
      </c>
      <c r="E19" s="426"/>
      <c r="F19" s="427"/>
      <c r="G19" s="274">
        <f>IF(ap&lt;&gt;1,IF(YEAR(dispensa)&gt;YEAR(ultimo_diatrab),CalcDécTerceiro(admissão,ultimo_diaano,2)+CalcDécTerceiro(admissão,dispensa,2)-CalcDécTerceiro(admissão,ultimo_diatrab,2),CalcDécTerceiro(admissão,dispensa,2)-CalcDécTerceiro(admissão,ultimo_diatrab,2)),"")</f>
        <v>2</v>
      </c>
      <c r="H19" s="273">
        <f>IF(G19="",0,remuneração/12*G19)</f>
        <v>300</v>
      </c>
      <c r="I19" s="434" t="s">
        <v>132</v>
      </c>
      <c r="J19" s="435"/>
      <c r="K19" s="436"/>
      <c r="L19" s="332"/>
      <c r="M19" s="334"/>
      <c r="N19" s="229"/>
      <c r="O19" s="252" t="s">
        <v>146</v>
      </c>
      <c r="P19" s="229"/>
      <c r="Q19" s="229"/>
      <c r="R19" s="229"/>
      <c r="S19" s="229"/>
      <c r="T19" s="246"/>
      <c r="U19" s="230"/>
      <c r="V19" s="286"/>
      <c r="W19" s="287"/>
      <c r="X19" s="232"/>
      <c r="Y19" s="232"/>
      <c r="Z19" s="232"/>
      <c r="AA19" s="230"/>
      <c r="AB19" s="175"/>
      <c r="AC19" s="233"/>
      <c r="AD19" s="233"/>
      <c r="AE19" s="233"/>
      <c r="AF19" s="92"/>
      <c r="AG19" s="92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</row>
    <row r="20" spans="1:114" s="119" customFormat="1" ht="20.100000000000001" customHeight="1">
      <c r="A20" s="127"/>
      <c r="B20" s="128"/>
      <c r="C20" s="228"/>
      <c r="D20" s="425" t="s">
        <v>126</v>
      </c>
      <c r="E20" s="426"/>
      <c r="F20" s="427"/>
      <c r="G20" s="274">
        <f>Férias_prop(admissão,ultimo_diatrab)</f>
        <v>9</v>
      </c>
      <c r="H20" s="273">
        <f>remuneração/12*G20</f>
        <v>1350</v>
      </c>
      <c r="I20" s="428" t="s">
        <v>133</v>
      </c>
      <c r="J20" s="429"/>
      <c r="K20" s="430"/>
      <c r="L20" s="332"/>
      <c r="M20" s="334"/>
      <c r="N20" s="229"/>
      <c r="O20" s="251" t="s">
        <v>147</v>
      </c>
      <c r="P20" s="269" t="str">
        <f ca="1">INT(_FER/12)&amp;" - "&amp;TEXT(_FER-INT(_FER/12)*12,"00")&amp;"/12"</f>
        <v>6 - 09/12</v>
      </c>
      <c r="Q20" s="296"/>
      <c r="R20" s="295" t="s">
        <v>1</v>
      </c>
      <c r="S20" s="295"/>
      <c r="T20" s="357" t="s">
        <v>78</v>
      </c>
      <c r="U20" s="230"/>
      <c r="V20" s="127"/>
      <c r="W20" s="129"/>
      <c r="X20" s="232"/>
      <c r="Y20" s="232"/>
      <c r="Z20" s="232"/>
      <c r="AA20" s="230"/>
      <c r="AB20" s="175"/>
      <c r="AC20" s="233"/>
      <c r="AD20" s="233"/>
      <c r="AE20" s="233"/>
      <c r="AF20" s="92"/>
      <c r="AG20" s="92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</row>
    <row r="21" spans="1:114" s="119" customFormat="1" ht="20.100000000000001" customHeight="1">
      <c r="A21" s="127"/>
      <c r="B21" s="128"/>
      <c r="C21" s="228"/>
      <c r="D21" s="425" t="s">
        <v>127</v>
      </c>
      <c r="E21" s="426"/>
      <c r="F21" s="427"/>
      <c r="G21" s="274">
        <f>Férias_prop(ultimo_diatrab,dispensa)</f>
        <v>2</v>
      </c>
      <c r="H21" s="273">
        <f>remuneração/12*G21</f>
        <v>300</v>
      </c>
      <c r="I21" s="428" t="s">
        <v>134</v>
      </c>
      <c r="J21" s="429"/>
      <c r="K21" s="430"/>
      <c r="L21" s="331"/>
      <c r="M21" s="334"/>
      <c r="N21" s="229"/>
      <c r="O21" s="309" t="s">
        <v>148</v>
      </c>
      <c r="P21" s="310"/>
      <c r="Q21" s="311"/>
      <c r="R21" s="312" t="str">
        <f>IF(T21=0,("-----"),CalcFérias(admissão,ultimo_diatrab,3))</f>
        <v>25/05/2018 a 10/02/2019</v>
      </c>
      <c r="S21" s="312"/>
      <c r="T21" s="313">
        <f>Férias_prop(admissão,ultimo_diatrab)</f>
        <v>9</v>
      </c>
      <c r="U21" s="230"/>
      <c r="V21" s="286"/>
      <c r="W21" s="287"/>
      <c r="X21" s="232"/>
      <c r="Y21" s="232"/>
      <c r="Z21" s="232"/>
      <c r="AA21" s="230"/>
      <c r="AB21" s="175"/>
      <c r="AC21" s="233"/>
      <c r="AD21" s="233"/>
      <c r="AE21" s="233"/>
      <c r="AF21" s="92"/>
      <c r="AG21" s="92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</row>
    <row r="22" spans="1:114" s="119" customFormat="1" ht="20.100000000000001" customHeight="1">
      <c r="A22" s="127"/>
      <c r="B22" s="128"/>
      <c r="C22" s="228"/>
      <c r="D22" s="425" t="s">
        <v>128</v>
      </c>
      <c r="E22" s="426"/>
      <c r="F22" s="427"/>
      <c r="G22" s="274">
        <f ca="1">IF(AND($E$181,$T$23=12),12,0)</f>
        <v>12</v>
      </c>
      <c r="H22" s="273">
        <f ca="1">remuneração/12*G22</f>
        <v>1800</v>
      </c>
      <c r="I22" s="428" t="s">
        <v>161</v>
      </c>
      <c r="J22" s="429"/>
      <c r="K22" s="430"/>
      <c r="L22" s="333"/>
      <c r="M22" s="334"/>
      <c r="N22" s="229"/>
      <c r="O22" s="309" t="s">
        <v>127</v>
      </c>
      <c r="P22" s="310"/>
      <c r="Q22" s="311"/>
      <c r="R22" s="338" t="str">
        <f>IF(OR(ap=1,F13=0),("-----"),CalcFérias(ultimo_diatrab+1,dispensa,3))</f>
        <v>11/02/2019 a 30/03/2019</v>
      </c>
      <c r="S22" s="312"/>
      <c r="T22" s="314">
        <f>Férias_prop(ultimo_diatrab,dispensa)</f>
        <v>2</v>
      </c>
      <c r="U22" s="230"/>
      <c r="V22" s="127"/>
      <c r="W22" s="129"/>
      <c r="X22" s="232"/>
      <c r="Y22" s="232"/>
      <c r="Z22" s="232"/>
      <c r="AA22" s="230"/>
      <c r="AB22" s="175"/>
      <c r="AC22" s="233"/>
      <c r="AD22" s="233"/>
      <c r="AE22" s="233"/>
      <c r="AF22" s="92"/>
      <c r="AG22" s="92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1"/>
      <c r="CC22" s="91"/>
      <c r="CD22" s="91"/>
      <c r="CE22" s="91"/>
      <c r="CF22" s="91"/>
      <c r="CG22" s="91"/>
      <c r="CH22" s="91"/>
      <c r="CI22" s="91"/>
      <c r="CJ22" s="91"/>
      <c r="CK22" s="91"/>
      <c r="CL22" s="91"/>
      <c r="CM22" s="91"/>
      <c r="CN22" s="91"/>
      <c r="CO22" s="91"/>
      <c r="CP22" s="91"/>
      <c r="CQ22" s="91"/>
      <c r="CR22" s="91"/>
      <c r="CS22" s="91"/>
      <c r="CT22" s="91"/>
      <c r="CU22" s="91"/>
      <c r="CV22" s="91"/>
      <c r="CW22" s="91"/>
      <c r="CX22" s="91"/>
      <c r="CY22" s="91"/>
      <c r="CZ22" s="91"/>
      <c r="DA22" s="91"/>
      <c r="DB22" s="91"/>
      <c r="DC22" s="91"/>
      <c r="DD22" s="91"/>
      <c r="DE22" s="91"/>
      <c r="DF22" s="91"/>
      <c r="DG22" s="91"/>
      <c r="DH22" s="91"/>
      <c r="DI22" s="91"/>
      <c r="DJ22" s="91"/>
    </row>
    <row r="23" spans="1:114" s="119" customFormat="1" ht="20.100000000000001" customHeight="1">
      <c r="A23" s="127"/>
      <c r="B23" s="128"/>
      <c r="C23" s="228"/>
      <c r="D23" s="425" t="s">
        <v>129</v>
      </c>
      <c r="E23" s="426"/>
      <c r="F23" s="427"/>
      <c r="G23" s="275" t="s">
        <v>130</v>
      </c>
      <c r="H23" s="273">
        <f ca="1">SUM(H20:H22)/3</f>
        <v>1150</v>
      </c>
      <c r="I23" s="428"/>
      <c r="J23" s="429"/>
      <c r="K23" s="430"/>
      <c r="L23" s="333"/>
      <c r="M23" s="334"/>
      <c r="N23" s="229"/>
      <c r="O23" s="315" t="s">
        <v>128</v>
      </c>
      <c r="P23" s="316"/>
      <c r="Q23" s="317"/>
      <c r="R23" s="318" t="str">
        <f>CalcFérias(admissão,ultimo_diatrab,2)</f>
        <v>25/05/2017 a 24/05/2018</v>
      </c>
      <c r="S23" s="318"/>
      <c r="T23" s="319">
        <f ca="1">IF(VALUE(LEFT(P20,1))&gt;0,12,0)</f>
        <v>12</v>
      </c>
      <c r="U23" s="230"/>
      <c r="V23" s="286"/>
      <c r="W23" s="287"/>
      <c r="X23" s="232"/>
      <c r="Y23" s="232"/>
      <c r="Z23" s="232"/>
      <c r="AA23" s="230"/>
      <c r="AB23" s="175"/>
      <c r="AC23" s="233"/>
      <c r="AD23" s="233"/>
      <c r="AE23" s="233"/>
      <c r="AF23" s="92"/>
      <c r="AG23" s="92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  <c r="BP23" s="91"/>
      <c r="BQ23" s="91"/>
      <c r="BR23" s="91"/>
      <c r="BS23" s="91"/>
      <c r="BT23" s="91"/>
      <c r="BU23" s="91"/>
      <c r="BV23" s="91"/>
      <c r="BW23" s="91"/>
      <c r="BX23" s="91"/>
      <c r="BY23" s="91"/>
      <c r="BZ23" s="91"/>
      <c r="CA23" s="91"/>
      <c r="CB23" s="91"/>
      <c r="CC23" s="91"/>
      <c r="CD23" s="91"/>
      <c r="CE23" s="91"/>
      <c r="CF23" s="91"/>
      <c r="CG23" s="91"/>
      <c r="CH23" s="91"/>
      <c r="CI23" s="91"/>
      <c r="CJ23" s="91"/>
      <c r="CK23" s="91"/>
      <c r="CL23" s="91"/>
      <c r="CM23" s="91"/>
      <c r="CN23" s="91"/>
      <c r="CO23" s="91"/>
      <c r="CP23" s="91"/>
      <c r="CQ23" s="91"/>
      <c r="CR23" s="91"/>
      <c r="CS23" s="91"/>
      <c r="CT23" s="91"/>
      <c r="CU23" s="91"/>
      <c r="CV23" s="91"/>
      <c r="CW23" s="91"/>
      <c r="CX23" s="91"/>
      <c r="CY23" s="91"/>
      <c r="CZ23" s="91"/>
      <c r="DA23" s="91"/>
      <c r="DB23" s="91"/>
      <c r="DC23" s="91"/>
      <c r="DD23" s="91"/>
      <c r="DE23" s="91"/>
      <c r="DF23" s="91"/>
      <c r="DG23" s="91"/>
      <c r="DH23" s="91"/>
      <c r="DI23" s="91"/>
      <c r="DJ23" s="91"/>
    </row>
    <row r="24" spans="1:114" s="119" customFormat="1" ht="20.100000000000001" customHeight="1">
      <c r="A24" s="127"/>
      <c r="B24" s="128"/>
      <c r="C24" s="228"/>
      <c r="D24" s="440"/>
      <c r="E24" s="441"/>
      <c r="F24" s="442"/>
      <c r="G24" s="276"/>
      <c r="H24" s="277">
        <v>0</v>
      </c>
      <c r="I24" s="443"/>
      <c r="J24" s="443"/>
      <c r="K24" s="443"/>
      <c r="L24" s="333"/>
      <c r="M24" s="334"/>
      <c r="N24" s="229"/>
      <c r="O24" s="229"/>
      <c r="P24" s="229"/>
      <c r="Q24" s="229"/>
      <c r="R24" s="229"/>
      <c r="S24" s="229"/>
      <c r="T24" s="175"/>
      <c r="U24" s="230"/>
      <c r="V24" s="127"/>
      <c r="W24" s="129"/>
      <c r="X24" s="232"/>
      <c r="Y24" s="232"/>
      <c r="Z24" s="232"/>
      <c r="AA24" s="230"/>
      <c r="AB24" s="175"/>
      <c r="AC24" s="233"/>
      <c r="AD24" s="233"/>
      <c r="AE24" s="233"/>
      <c r="AF24" s="92"/>
      <c r="AG24" s="92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  <c r="CO24" s="91"/>
      <c r="CP24" s="91"/>
      <c r="CQ24" s="91"/>
      <c r="CR24" s="91"/>
      <c r="CS24" s="91"/>
      <c r="CT24" s="91"/>
      <c r="CU24" s="91"/>
      <c r="CV24" s="91"/>
      <c r="CW24" s="91"/>
      <c r="CX24" s="91"/>
      <c r="CY24" s="91"/>
      <c r="CZ24" s="91"/>
      <c r="DA24" s="91"/>
      <c r="DB24" s="91"/>
      <c r="DC24" s="91"/>
      <c r="DD24" s="91"/>
      <c r="DE24" s="91"/>
      <c r="DF24" s="91"/>
      <c r="DG24" s="91"/>
      <c r="DH24" s="91"/>
      <c r="DI24" s="91"/>
      <c r="DJ24" s="91"/>
    </row>
    <row r="25" spans="1:114" s="119" customFormat="1" ht="20.100000000000001" customHeight="1">
      <c r="A25" s="127"/>
      <c r="B25" s="128"/>
      <c r="C25" s="228"/>
      <c r="D25" s="440"/>
      <c r="E25" s="441"/>
      <c r="F25" s="442"/>
      <c r="G25" s="276"/>
      <c r="H25" s="277">
        <v>0</v>
      </c>
      <c r="I25" s="443"/>
      <c r="J25" s="443"/>
      <c r="K25" s="443"/>
      <c r="L25" s="333"/>
      <c r="M25" s="334"/>
      <c r="N25" s="229"/>
      <c r="O25" s="431" t="s">
        <v>162</v>
      </c>
      <c r="P25" s="432"/>
      <c r="Q25" s="432"/>
      <c r="R25" s="432"/>
      <c r="S25" s="432"/>
      <c r="T25" s="433"/>
      <c r="U25" s="230"/>
      <c r="V25" s="286"/>
      <c r="W25" s="287"/>
      <c r="X25" s="232"/>
      <c r="Y25" s="232"/>
      <c r="Z25" s="232"/>
      <c r="AA25" s="230"/>
      <c r="AB25" s="175"/>
      <c r="AC25" s="233"/>
      <c r="AD25" s="233"/>
      <c r="AE25" s="233"/>
      <c r="AF25" s="92"/>
      <c r="AG25" s="92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</row>
    <row r="26" spans="1:114" s="119" customFormat="1" ht="20.100000000000001" customHeight="1">
      <c r="A26" s="127"/>
      <c r="B26" s="128"/>
      <c r="C26" s="228"/>
      <c r="D26" s="440"/>
      <c r="E26" s="441"/>
      <c r="F26" s="442"/>
      <c r="G26" s="276"/>
      <c r="H26" s="277">
        <v>0</v>
      </c>
      <c r="I26" s="443"/>
      <c r="J26" s="443"/>
      <c r="K26" s="443"/>
      <c r="L26" s="333"/>
      <c r="M26" s="334"/>
      <c r="N26" s="229"/>
      <c r="O26" s="431" t="s">
        <v>154</v>
      </c>
      <c r="P26" s="432"/>
      <c r="Q26" s="432"/>
      <c r="R26" s="432"/>
      <c r="S26" s="432"/>
      <c r="T26" s="433"/>
      <c r="U26" s="230"/>
      <c r="V26" s="127"/>
      <c r="W26" s="129"/>
      <c r="X26" s="232"/>
      <c r="Y26" s="232"/>
      <c r="Z26" s="232"/>
      <c r="AA26" s="230"/>
      <c r="AB26" s="175"/>
      <c r="AC26" s="233"/>
      <c r="AD26" s="233"/>
      <c r="AE26" s="233"/>
      <c r="AF26" s="92"/>
      <c r="AG26" s="92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  <c r="BJ26" s="91"/>
      <c r="BK26" s="91"/>
      <c r="BL26" s="91"/>
      <c r="BM26" s="91"/>
      <c r="BN26" s="91"/>
      <c r="BO26" s="91"/>
      <c r="BP26" s="91"/>
      <c r="BQ26" s="91"/>
      <c r="BR26" s="91"/>
      <c r="BS26" s="91"/>
      <c r="BT26" s="91"/>
      <c r="BU26" s="91"/>
      <c r="BV26" s="91"/>
      <c r="BW26" s="91"/>
      <c r="BX26" s="91"/>
      <c r="BY26" s="91"/>
      <c r="BZ26" s="91"/>
      <c r="CA26" s="91"/>
      <c r="CB26" s="91"/>
      <c r="CC26" s="91"/>
      <c r="CD26" s="91"/>
      <c r="CE26" s="91"/>
      <c r="CF26" s="91"/>
      <c r="CG26" s="91"/>
      <c r="CH26" s="91"/>
      <c r="CI26" s="91"/>
      <c r="CJ26" s="91"/>
      <c r="CK26" s="91"/>
      <c r="CL26" s="91"/>
      <c r="CM26" s="91"/>
      <c r="CN26" s="91"/>
      <c r="CO26" s="91"/>
      <c r="CP26" s="91"/>
      <c r="CQ26" s="91"/>
      <c r="CR26" s="91"/>
      <c r="CS26" s="91"/>
      <c r="CT26" s="91"/>
      <c r="CU26" s="91"/>
      <c r="CV26" s="91"/>
      <c r="CW26" s="91"/>
      <c r="CX26" s="91"/>
      <c r="CY26" s="91"/>
      <c r="CZ26" s="91"/>
      <c r="DA26" s="91"/>
      <c r="DB26" s="91"/>
      <c r="DC26" s="91"/>
      <c r="DD26" s="91"/>
      <c r="DE26" s="91"/>
      <c r="DF26" s="91"/>
      <c r="DG26" s="91"/>
      <c r="DH26" s="91"/>
      <c r="DI26" s="91"/>
      <c r="DJ26" s="91"/>
    </row>
    <row r="27" spans="1:114" s="119" customFormat="1" ht="20.100000000000001" customHeight="1">
      <c r="A27" s="127"/>
      <c r="B27" s="128"/>
      <c r="C27" s="228"/>
      <c r="D27" s="144"/>
      <c r="E27" s="421" t="s">
        <v>150</v>
      </c>
      <c r="F27" s="422"/>
      <c r="G27" s="423"/>
      <c r="H27" s="355">
        <f ca="1">SUM(H16:H26)</f>
        <v>8530</v>
      </c>
      <c r="I27" s="229"/>
      <c r="J27" s="421" t="s">
        <v>151</v>
      </c>
      <c r="K27" s="422"/>
      <c r="L27" s="423"/>
      <c r="M27" s="356">
        <f>SUM(M16:M26)</f>
        <v>84</v>
      </c>
      <c r="N27" s="229"/>
      <c r="O27" s="297" t="s">
        <v>155</v>
      </c>
      <c r="P27" s="298">
        <v>1751.81</v>
      </c>
      <c r="Q27" s="299"/>
      <c r="R27" s="298"/>
      <c r="S27" s="300">
        <v>0.08</v>
      </c>
      <c r="T27" s="437">
        <v>2019</v>
      </c>
      <c r="U27" s="230"/>
      <c r="V27" s="286"/>
      <c r="W27" s="287"/>
      <c r="X27" s="232"/>
      <c r="Y27" s="232"/>
      <c r="Z27" s="232"/>
      <c r="AA27" s="230"/>
      <c r="AB27" s="175"/>
      <c r="AC27" s="233"/>
      <c r="AD27" s="233"/>
      <c r="AE27" s="233"/>
      <c r="AF27" s="92"/>
      <c r="AG27" s="92"/>
      <c r="AH27" s="91"/>
      <c r="AI27" s="91"/>
      <c r="AJ27" s="91"/>
      <c r="AK27" s="91"/>
      <c r="AL27" s="91"/>
      <c r="AM27" s="91"/>
      <c r="AN27" s="91"/>
      <c r="AO27" s="91"/>
      <c r="AP27" s="91"/>
      <c r="AQ27" s="91"/>
      <c r="AR27" s="91"/>
      <c r="AS27" s="91"/>
      <c r="AT27" s="91"/>
      <c r="AU27" s="91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  <c r="BI27" s="91"/>
      <c r="BJ27" s="91"/>
      <c r="BK27" s="91"/>
      <c r="BL27" s="91"/>
      <c r="BM27" s="91"/>
      <c r="BN27" s="91"/>
      <c r="BO27" s="91"/>
      <c r="BP27" s="91"/>
      <c r="BQ27" s="91"/>
      <c r="BR27" s="91"/>
      <c r="BS27" s="91"/>
      <c r="BT27" s="91"/>
      <c r="BU27" s="91"/>
      <c r="BV27" s="91"/>
      <c r="BW27" s="91"/>
      <c r="BX27" s="91"/>
      <c r="BY27" s="91"/>
      <c r="BZ27" s="91"/>
      <c r="CA27" s="91"/>
      <c r="CB27" s="91"/>
      <c r="CC27" s="91"/>
      <c r="CD27" s="91"/>
      <c r="CE27" s="91"/>
      <c r="CF27" s="91"/>
      <c r="CG27" s="91"/>
      <c r="CH27" s="91"/>
      <c r="CI27" s="91"/>
      <c r="CJ27" s="91"/>
      <c r="CK27" s="91"/>
      <c r="CL27" s="91"/>
      <c r="CM27" s="91"/>
      <c r="CN27" s="91"/>
      <c r="CO27" s="91"/>
      <c r="CP27" s="91"/>
      <c r="CQ27" s="91"/>
      <c r="CR27" s="91"/>
      <c r="CS27" s="91"/>
      <c r="CT27" s="91"/>
      <c r="CU27" s="91"/>
      <c r="CV27" s="91"/>
      <c r="CW27" s="91"/>
      <c r="CX27" s="91"/>
      <c r="CY27" s="91"/>
      <c r="CZ27" s="91"/>
      <c r="DA27" s="91"/>
      <c r="DB27" s="91"/>
      <c r="DC27" s="91"/>
      <c r="DD27" s="91"/>
      <c r="DE27" s="91"/>
      <c r="DF27" s="91"/>
      <c r="DG27" s="91"/>
      <c r="DH27" s="91"/>
      <c r="DI27" s="91"/>
      <c r="DJ27" s="91"/>
    </row>
    <row r="28" spans="1:114" s="119" customFormat="1" ht="20.100000000000001" customHeight="1">
      <c r="A28" s="127"/>
      <c r="B28" s="128"/>
      <c r="C28" s="228"/>
      <c r="D28" s="144"/>
      <c r="E28" s="421" t="s">
        <v>152</v>
      </c>
      <c r="F28" s="422"/>
      <c r="G28" s="423"/>
      <c r="H28" s="354">
        <f ca="1">H27-M27</f>
        <v>8446</v>
      </c>
      <c r="I28" s="229"/>
      <c r="J28" s="231"/>
      <c r="K28" s="231"/>
      <c r="L28" s="231"/>
      <c r="M28" s="231"/>
      <c r="N28" s="229"/>
      <c r="O28" s="301" t="s">
        <v>156</v>
      </c>
      <c r="P28" s="302">
        <v>1751.82</v>
      </c>
      <c r="Q28" s="303" t="s">
        <v>100</v>
      </c>
      <c r="R28" s="302">
        <v>2919.72</v>
      </c>
      <c r="S28" s="304">
        <v>0.09</v>
      </c>
      <c r="T28" s="438"/>
      <c r="U28" s="230"/>
      <c r="V28" s="127"/>
      <c r="W28" s="129"/>
      <c r="X28" s="232"/>
      <c r="Y28" s="232"/>
      <c r="Z28" s="232"/>
      <c r="AA28" s="230"/>
      <c r="AB28" s="175"/>
      <c r="AC28" s="233"/>
      <c r="AD28" s="233"/>
      <c r="AE28" s="233"/>
      <c r="AF28" s="92"/>
      <c r="AG28" s="92"/>
      <c r="AH28" s="91"/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  <c r="BJ28" s="91"/>
      <c r="BK28" s="91"/>
      <c r="BL28" s="91"/>
      <c r="BM28" s="91"/>
      <c r="BN28" s="91"/>
      <c r="BO28" s="91"/>
      <c r="BP28" s="91"/>
      <c r="BQ28" s="91"/>
      <c r="BR28" s="91"/>
      <c r="BS28" s="91"/>
      <c r="BT28" s="91"/>
      <c r="BU28" s="91"/>
      <c r="BV28" s="91"/>
      <c r="BW28" s="91"/>
      <c r="BX28" s="91"/>
      <c r="BY28" s="91"/>
      <c r="BZ28" s="91"/>
      <c r="CA28" s="91"/>
      <c r="CB28" s="91"/>
      <c r="CC28" s="91"/>
      <c r="CD28" s="91"/>
      <c r="CE28" s="91"/>
      <c r="CF28" s="91"/>
      <c r="CG28" s="91"/>
      <c r="CH28" s="91"/>
      <c r="CI28" s="91"/>
      <c r="CJ28" s="91"/>
      <c r="CK28" s="91"/>
      <c r="CL28" s="91"/>
      <c r="CM28" s="91"/>
      <c r="CN28" s="91"/>
      <c r="CO28" s="91"/>
      <c r="CP28" s="91"/>
      <c r="CQ28" s="91"/>
      <c r="CR28" s="91"/>
      <c r="CS28" s="91"/>
      <c r="CT28" s="91"/>
      <c r="CU28" s="91"/>
      <c r="CV28" s="91"/>
      <c r="CW28" s="91"/>
      <c r="CX28" s="91"/>
      <c r="CY28" s="91"/>
      <c r="CZ28" s="91"/>
      <c r="DA28" s="91"/>
      <c r="DB28" s="91"/>
      <c r="DC28" s="91"/>
      <c r="DD28" s="91"/>
      <c r="DE28" s="91"/>
      <c r="DF28" s="91"/>
      <c r="DG28" s="91"/>
      <c r="DH28" s="91"/>
      <c r="DI28" s="91"/>
      <c r="DJ28" s="91"/>
    </row>
    <row r="29" spans="1:114" s="119" customFormat="1" ht="20.100000000000001" customHeight="1" thickBot="1">
      <c r="A29" s="127"/>
      <c r="B29" s="128"/>
      <c r="C29" s="228"/>
      <c r="D29" s="144"/>
      <c r="E29" s="145"/>
      <c r="F29" s="145"/>
      <c r="G29" s="144"/>
      <c r="H29" s="175"/>
      <c r="I29" s="229"/>
      <c r="J29" s="231"/>
      <c r="K29" s="231"/>
      <c r="L29" s="231"/>
      <c r="M29" s="231"/>
      <c r="N29" s="229"/>
      <c r="O29" s="305" t="s">
        <v>156</v>
      </c>
      <c r="P29" s="306">
        <v>2919.73</v>
      </c>
      <c r="Q29" s="307" t="s">
        <v>100</v>
      </c>
      <c r="R29" s="306">
        <v>5839.45</v>
      </c>
      <c r="S29" s="308">
        <v>0.11</v>
      </c>
      <c r="T29" s="439"/>
      <c r="U29" s="230"/>
      <c r="V29" s="286"/>
      <c r="W29" s="287"/>
      <c r="X29" s="232"/>
      <c r="Y29" s="232"/>
      <c r="Z29" s="232"/>
      <c r="AA29" s="230"/>
      <c r="AB29" s="175"/>
      <c r="AC29" s="233"/>
      <c r="AD29" s="233"/>
      <c r="AE29" s="233"/>
      <c r="AF29" s="92"/>
      <c r="AG29" s="92"/>
      <c r="AH29" s="91"/>
      <c r="AI29" s="91"/>
      <c r="AJ29" s="91"/>
      <c r="AK29" s="91"/>
      <c r="AL29" s="91"/>
      <c r="AM29" s="91"/>
      <c r="AN29" s="91"/>
      <c r="AO29" s="91"/>
      <c r="AP29" s="91"/>
      <c r="AQ29" s="91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1"/>
      <c r="CC29" s="91"/>
      <c r="CD29" s="91"/>
      <c r="CE29" s="91"/>
      <c r="CF29" s="91"/>
      <c r="CG29" s="91"/>
      <c r="CH29" s="91"/>
      <c r="CI29" s="91"/>
      <c r="CJ29" s="91"/>
      <c r="CK29" s="91"/>
      <c r="CL29" s="91"/>
      <c r="CM29" s="91"/>
      <c r="CN29" s="91"/>
      <c r="CO29" s="91"/>
      <c r="CP29" s="91"/>
      <c r="CQ29" s="91"/>
      <c r="CR29" s="91"/>
      <c r="CS29" s="91"/>
      <c r="CT29" s="91"/>
      <c r="CU29" s="91"/>
      <c r="CV29" s="91"/>
      <c r="CW29" s="91"/>
      <c r="CX29" s="91"/>
      <c r="CY29" s="91"/>
      <c r="CZ29" s="91"/>
      <c r="DA29" s="91"/>
      <c r="DB29" s="91"/>
      <c r="DC29" s="91"/>
      <c r="DD29" s="91"/>
      <c r="DE29" s="91"/>
      <c r="DF29" s="91"/>
      <c r="DG29" s="91"/>
      <c r="DH29" s="91"/>
      <c r="DI29" s="91"/>
      <c r="DJ29" s="91"/>
    </row>
    <row r="30" spans="1:114" s="119" customFormat="1" ht="12.75" customHeight="1" thickTop="1">
      <c r="A30" s="127"/>
      <c r="B30" s="128"/>
      <c r="C30" s="228"/>
      <c r="D30" s="412" t="str">
        <f>IF(ap=1,CONCATENATE("Aviso trabalhado de"&amp;" "&amp;$L$10&amp;" "&amp;"dias,"&amp;" "&amp;"sendo que o último dia trabalhado foi o dia"&amp;" "&amp;TEXT(ultimo_diatrab,"dd/mm/aaaa")&amp;"."),CONCATENATE("De acordo com a IN nº 15/2010 da SRT/MTE, e com a OJ nº 82, do TST, na página da CTPS do empregado, onde se encontra anotado o contrato de trabalho, o empregador deverá fazer constar como data da efetiva saída a data do dia"&amp;" "&amp;TEXT(dispensa,"dd/mm/aaaa")&amp;" "&amp;"e, em uma das páginas destinadas às anotações gerais, deverá constar a observação de que o último dia efetivamente trabalhado pelo empregado foi o dia"&amp;" "&amp;TEXT(ultimo_diatrab,"dd/mm/aaaa")&amp;"."))</f>
        <v>De acordo com a IN nº 15/2010 da SRT/MTE, e com a OJ nº 82, do TST, na página da CTPS do empregado, onde se encontra anotado o contrato de trabalho, o empregador deverá fazer constar como data da efetiva saída a data do dia 30/03/2019 e, em uma das páginas destinadas às anotações gerais, deverá constar a observação de que o último dia efetivamente trabalhado pelo empregado foi o dia 10/02/2019.</v>
      </c>
      <c r="E30" s="413"/>
      <c r="F30" s="413"/>
      <c r="G30" s="413"/>
      <c r="H30" s="413"/>
      <c r="I30" s="413"/>
      <c r="J30" s="413"/>
      <c r="K30" s="414"/>
      <c r="L30" s="231"/>
      <c r="M30" s="231"/>
      <c r="N30" s="229"/>
      <c r="O30" s="229"/>
      <c r="P30" s="229"/>
      <c r="Q30" s="229"/>
      <c r="R30" s="229"/>
      <c r="S30" s="229"/>
      <c r="T30" s="175"/>
      <c r="U30" s="230"/>
      <c r="V30" s="127"/>
      <c r="W30" s="129"/>
      <c r="X30" s="232"/>
      <c r="Y30" s="232"/>
      <c r="Z30" s="232"/>
      <c r="AA30" s="230"/>
      <c r="AB30" s="175"/>
      <c r="AC30" s="233"/>
      <c r="AD30" s="233"/>
      <c r="AE30" s="233"/>
      <c r="AF30" s="92"/>
      <c r="AG30" s="92"/>
      <c r="AH30" s="91"/>
      <c r="AI30" s="91"/>
      <c r="AJ30" s="91"/>
      <c r="AK30" s="91"/>
      <c r="AL30" s="91"/>
      <c r="AM30" s="91"/>
      <c r="AN30" s="91"/>
      <c r="AO30" s="91"/>
      <c r="AP30" s="91"/>
      <c r="AQ30" s="91"/>
      <c r="AR30" s="91"/>
      <c r="AS30" s="91"/>
      <c r="AT30" s="91"/>
      <c r="AU30" s="91"/>
      <c r="AV30" s="91"/>
      <c r="AW30" s="91"/>
      <c r="AX30" s="91"/>
      <c r="AY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1"/>
      <c r="BP30" s="91"/>
      <c r="BQ30" s="91"/>
      <c r="BR30" s="91"/>
      <c r="BS30" s="91"/>
      <c r="BT30" s="91"/>
      <c r="BU30" s="91"/>
      <c r="BV30" s="91"/>
      <c r="BW30" s="91"/>
      <c r="BX30" s="91"/>
      <c r="BY30" s="91"/>
      <c r="BZ30" s="91"/>
      <c r="CA30" s="91"/>
      <c r="CB30" s="91"/>
      <c r="CC30" s="91"/>
      <c r="CD30" s="91"/>
      <c r="CE30" s="91"/>
      <c r="CF30" s="91"/>
      <c r="CG30" s="91"/>
      <c r="CH30" s="91"/>
      <c r="CI30" s="91"/>
      <c r="CJ30" s="91"/>
      <c r="CK30" s="91"/>
      <c r="CL30" s="91"/>
      <c r="CM30" s="91"/>
      <c r="CN30" s="91"/>
      <c r="CO30" s="91"/>
      <c r="CP30" s="91"/>
      <c r="CQ30" s="91"/>
      <c r="CR30" s="91"/>
      <c r="CS30" s="91"/>
      <c r="CT30" s="91"/>
      <c r="CU30" s="91"/>
      <c r="CV30" s="91"/>
      <c r="CW30" s="91"/>
      <c r="CX30" s="91"/>
      <c r="CY30" s="91"/>
      <c r="CZ30" s="91"/>
      <c r="DA30" s="91"/>
      <c r="DB30" s="91"/>
      <c r="DC30" s="91"/>
      <c r="DD30" s="91"/>
      <c r="DE30" s="91"/>
      <c r="DF30" s="91"/>
      <c r="DG30" s="91"/>
      <c r="DH30" s="91"/>
      <c r="DI30" s="91"/>
      <c r="DJ30" s="91"/>
    </row>
    <row r="31" spans="1:114" s="119" customFormat="1" ht="12.75" customHeight="1">
      <c r="A31" s="127"/>
      <c r="B31" s="128"/>
      <c r="C31" s="228"/>
      <c r="D31" s="415"/>
      <c r="E31" s="416"/>
      <c r="F31" s="416"/>
      <c r="G31" s="416"/>
      <c r="H31" s="416"/>
      <c r="I31" s="416"/>
      <c r="J31" s="416"/>
      <c r="K31" s="417"/>
      <c r="L31" s="238"/>
      <c r="M31" s="231"/>
      <c r="N31" s="229"/>
      <c r="U31" s="230"/>
      <c r="V31" s="286"/>
      <c r="W31" s="287"/>
      <c r="X31" s="232"/>
      <c r="Y31" s="232"/>
      <c r="Z31" s="232"/>
      <c r="AA31" s="230"/>
      <c r="AB31" s="175"/>
      <c r="AC31" s="233"/>
      <c r="AD31" s="233"/>
      <c r="AE31" s="233"/>
      <c r="AF31" s="92"/>
      <c r="AG31" s="92"/>
      <c r="AH31" s="91"/>
      <c r="AI31" s="91"/>
      <c r="AJ31" s="91"/>
      <c r="AK31" s="91"/>
      <c r="AL31" s="91"/>
      <c r="AM31" s="91"/>
      <c r="AN31" s="91"/>
      <c r="AO31" s="91"/>
      <c r="AP31" s="91"/>
      <c r="AQ31" s="91"/>
      <c r="AR31" s="91"/>
      <c r="AS31" s="91"/>
      <c r="AT31" s="91"/>
      <c r="AU31" s="91"/>
      <c r="AV31" s="91"/>
      <c r="AW31" s="91"/>
      <c r="AX31" s="91"/>
      <c r="AY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1"/>
      <c r="BP31" s="91"/>
      <c r="BQ31" s="91"/>
      <c r="BR31" s="91"/>
      <c r="BS31" s="91"/>
      <c r="BT31" s="91"/>
      <c r="BU31" s="91"/>
      <c r="BV31" s="91"/>
      <c r="BW31" s="91"/>
      <c r="BX31" s="91"/>
      <c r="BY31" s="91"/>
      <c r="BZ31" s="91"/>
      <c r="CA31" s="91"/>
      <c r="CB31" s="91"/>
      <c r="CC31" s="91"/>
      <c r="CD31" s="91"/>
      <c r="CE31" s="91"/>
      <c r="CF31" s="91"/>
      <c r="CG31" s="91"/>
      <c r="CH31" s="91"/>
      <c r="CI31" s="91"/>
      <c r="CJ31" s="91"/>
      <c r="CK31" s="91"/>
      <c r="CL31" s="91"/>
      <c r="CM31" s="91"/>
      <c r="CN31" s="91"/>
      <c r="CO31" s="91"/>
      <c r="CP31" s="91"/>
      <c r="CQ31" s="91"/>
      <c r="CR31" s="91"/>
      <c r="CS31" s="91"/>
      <c r="CT31" s="91"/>
      <c r="CU31" s="91"/>
      <c r="CV31" s="91"/>
      <c r="CW31" s="91"/>
      <c r="CX31" s="91"/>
      <c r="CY31" s="91"/>
      <c r="CZ31" s="91"/>
      <c r="DA31" s="91"/>
      <c r="DB31" s="91"/>
      <c r="DC31" s="91"/>
      <c r="DD31" s="91"/>
      <c r="DE31" s="91"/>
      <c r="DF31" s="91"/>
      <c r="DG31" s="91"/>
      <c r="DH31" s="91"/>
      <c r="DI31" s="91"/>
      <c r="DJ31" s="91"/>
    </row>
    <row r="32" spans="1:114" s="119" customFormat="1" ht="12.75" customHeight="1">
      <c r="A32" s="127"/>
      <c r="B32" s="128"/>
      <c r="C32" s="228"/>
      <c r="D32" s="415"/>
      <c r="E32" s="416"/>
      <c r="F32" s="416"/>
      <c r="G32" s="416"/>
      <c r="H32" s="416"/>
      <c r="I32" s="416"/>
      <c r="J32" s="416"/>
      <c r="K32" s="417"/>
      <c r="L32" s="238"/>
      <c r="M32" s="231"/>
      <c r="N32" s="229"/>
      <c r="U32" s="230"/>
      <c r="V32" s="127"/>
      <c r="W32" s="129"/>
      <c r="X32" s="232"/>
      <c r="Y32" s="232"/>
      <c r="Z32" s="232"/>
      <c r="AA32" s="230"/>
      <c r="AB32" s="175"/>
      <c r="AC32" s="233"/>
      <c r="AD32" s="233"/>
      <c r="AE32" s="233"/>
      <c r="AF32" s="92"/>
      <c r="AG32" s="92"/>
      <c r="AH32" s="91"/>
      <c r="AI32" s="91"/>
      <c r="AJ32" s="91"/>
      <c r="AK32" s="91"/>
      <c r="AL32" s="91"/>
      <c r="AM32" s="91"/>
      <c r="AN32" s="91"/>
      <c r="AO32" s="91"/>
      <c r="AP32" s="91"/>
      <c r="AQ32" s="91"/>
      <c r="AR32" s="91"/>
      <c r="AS32" s="91"/>
      <c r="AT32" s="91"/>
      <c r="AU32" s="91"/>
      <c r="AV32" s="91"/>
      <c r="AW32" s="91"/>
      <c r="AX32" s="91"/>
      <c r="AY32" s="91"/>
      <c r="AZ32" s="91"/>
      <c r="BA32" s="91"/>
      <c r="BB32" s="91"/>
      <c r="BC32" s="91"/>
      <c r="BD32" s="91"/>
      <c r="BE32" s="91"/>
      <c r="BF32" s="91"/>
      <c r="BG32" s="91"/>
      <c r="BH32" s="91"/>
      <c r="BI32" s="91"/>
      <c r="BJ32" s="91"/>
      <c r="BK32" s="91"/>
      <c r="BL32" s="91"/>
      <c r="BM32" s="91"/>
      <c r="BN32" s="91"/>
      <c r="BO32" s="91"/>
      <c r="BP32" s="91"/>
      <c r="BQ32" s="91"/>
      <c r="BR32" s="91"/>
      <c r="BS32" s="91"/>
      <c r="BT32" s="91"/>
      <c r="BU32" s="91"/>
      <c r="BV32" s="91"/>
      <c r="BW32" s="91"/>
      <c r="BX32" s="91"/>
      <c r="BY32" s="91"/>
      <c r="BZ32" s="91"/>
      <c r="CA32" s="91"/>
      <c r="CB32" s="91"/>
      <c r="CC32" s="91"/>
      <c r="CD32" s="91"/>
      <c r="CE32" s="91"/>
      <c r="CF32" s="91"/>
      <c r="CG32" s="91"/>
      <c r="CH32" s="91"/>
      <c r="CI32" s="91"/>
      <c r="CJ32" s="91"/>
      <c r="CK32" s="91"/>
      <c r="CL32" s="91"/>
      <c r="CM32" s="91"/>
      <c r="CN32" s="91"/>
      <c r="CO32" s="91"/>
      <c r="CP32" s="91"/>
      <c r="CQ32" s="91"/>
      <c r="CR32" s="91"/>
      <c r="CS32" s="91"/>
      <c r="CT32" s="91"/>
      <c r="CU32" s="91"/>
      <c r="CV32" s="91"/>
      <c r="CW32" s="91"/>
      <c r="CX32" s="91"/>
      <c r="CY32" s="91"/>
      <c r="CZ32" s="91"/>
      <c r="DA32" s="91"/>
      <c r="DB32" s="91"/>
      <c r="DC32" s="91"/>
      <c r="DD32" s="91"/>
      <c r="DE32" s="91"/>
      <c r="DF32" s="91"/>
      <c r="DG32" s="91"/>
      <c r="DH32" s="91"/>
      <c r="DI32" s="91"/>
      <c r="DJ32" s="91"/>
    </row>
    <row r="33" spans="1:114" s="119" customFormat="1" ht="12.75" customHeight="1">
      <c r="A33" s="127"/>
      <c r="B33" s="128"/>
      <c r="C33" s="228"/>
      <c r="D33" s="415"/>
      <c r="E33" s="416"/>
      <c r="F33" s="416"/>
      <c r="G33" s="416"/>
      <c r="H33" s="416"/>
      <c r="I33" s="416"/>
      <c r="J33" s="416"/>
      <c r="K33" s="417"/>
      <c r="L33" s="231"/>
      <c r="M33" s="231"/>
      <c r="N33" s="229"/>
      <c r="U33" s="230"/>
      <c r="V33" s="286"/>
      <c r="W33" s="287"/>
      <c r="X33" s="232"/>
      <c r="Y33" s="232"/>
      <c r="Z33" s="232"/>
      <c r="AA33" s="230"/>
      <c r="AB33" s="175"/>
      <c r="AC33" s="233"/>
      <c r="AD33" s="233"/>
      <c r="AE33" s="233"/>
      <c r="AF33" s="92"/>
      <c r="AG33" s="92"/>
      <c r="AH33" s="91"/>
      <c r="AI33" s="91"/>
      <c r="AJ33" s="91"/>
      <c r="AK33" s="91"/>
      <c r="AL33" s="91"/>
      <c r="AM33" s="91"/>
      <c r="AN33" s="91"/>
      <c r="AO33" s="91"/>
      <c r="AP33" s="91"/>
      <c r="AQ33" s="91"/>
      <c r="AR33" s="91"/>
      <c r="AS33" s="91"/>
      <c r="AT33" s="91"/>
      <c r="AU33" s="91"/>
      <c r="AV33" s="91"/>
      <c r="AW33" s="91"/>
      <c r="AX33" s="91"/>
      <c r="AY33" s="91"/>
      <c r="AZ33" s="91"/>
      <c r="BA33" s="91"/>
      <c r="BB33" s="91"/>
      <c r="BC33" s="91"/>
      <c r="BD33" s="91"/>
      <c r="BE33" s="91"/>
      <c r="BF33" s="91"/>
      <c r="BG33" s="91"/>
      <c r="BH33" s="91"/>
      <c r="BI33" s="91"/>
      <c r="BJ33" s="91"/>
      <c r="BK33" s="91"/>
      <c r="BL33" s="91"/>
      <c r="BM33" s="91"/>
      <c r="BN33" s="91"/>
      <c r="BO33" s="91"/>
      <c r="BP33" s="91"/>
      <c r="BQ33" s="91"/>
      <c r="BR33" s="91"/>
      <c r="BS33" s="91"/>
      <c r="BT33" s="91"/>
      <c r="BU33" s="91"/>
      <c r="BV33" s="91"/>
      <c r="BW33" s="91"/>
      <c r="BX33" s="91"/>
      <c r="BY33" s="91"/>
      <c r="BZ33" s="91"/>
      <c r="CA33" s="91"/>
      <c r="CB33" s="91"/>
      <c r="CC33" s="91"/>
      <c r="CD33" s="91"/>
      <c r="CE33" s="91"/>
      <c r="CF33" s="91"/>
      <c r="CG33" s="91"/>
      <c r="CH33" s="91"/>
      <c r="CI33" s="91"/>
      <c r="CJ33" s="91"/>
      <c r="CK33" s="91"/>
      <c r="CL33" s="91"/>
      <c r="CM33" s="91"/>
      <c r="CN33" s="91"/>
      <c r="CO33" s="91"/>
      <c r="CP33" s="91"/>
      <c r="CQ33" s="91"/>
      <c r="CR33" s="91"/>
      <c r="CS33" s="91"/>
      <c r="CT33" s="91"/>
      <c r="CU33" s="91"/>
      <c r="CV33" s="91"/>
      <c r="CW33" s="91"/>
      <c r="CX33" s="91"/>
      <c r="CY33" s="91"/>
      <c r="CZ33" s="91"/>
      <c r="DA33" s="91"/>
      <c r="DB33" s="91"/>
      <c r="DC33" s="91"/>
      <c r="DD33" s="91"/>
      <c r="DE33" s="91"/>
      <c r="DF33" s="91"/>
      <c r="DG33" s="91"/>
      <c r="DH33" s="91"/>
      <c r="DI33" s="91"/>
      <c r="DJ33" s="91"/>
    </row>
    <row r="34" spans="1:114" s="119" customFormat="1" ht="12.75" customHeight="1">
      <c r="A34" s="127"/>
      <c r="B34" s="128"/>
      <c r="C34" s="228"/>
      <c r="D34" s="415"/>
      <c r="E34" s="416"/>
      <c r="F34" s="416"/>
      <c r="G34" s="416"/>
      <c r="H34" s="416"/>
      <c r="I34" s="416"/>
      <c r="J34" s="416"/>
      <c r="K34" s="417"/>
      <c r="L34" s="237"/>
      <c r="M34" s="231"/>
      <c r="N34" s="229"/>
      <c r="U34" s="230"/>
      <c r="V34" s="127"/>
      <c r="W34" s="129"/>
      <c r="X34" s="232"/>
      <c r="Y34" s="232"/>
      <c r="Z34" s="232"/>
      <c r="AA34" s="230"/>
      <c r="AB34" s="175"/>
      <c r="AC34" s="233"/>
      <c r="AD34" s="233"/>
      <c r="AE34" s="233"/>
      <c r="AF34" s="92"/>
      <c r="AG34" s="92"/>
      <c r="AH34" s="91"/>
      <c r="AI34" s="91"/>
      <c r="AJ34" s="91"/>
      <c r="AK34" s="91"/>
      <c r="AL34" s="91"/>
      <c r="AM34" s="91"/>
      <c r="AN34" s="91"/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91"/>
      <c r="BN34" s="91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1"/>
      <c r="BZ34" s="91"/>
      <c r="CA34" s="91"/>
      <c r="CB34" s="91"/>
      <c r="CC34" s="91"/>
      <c r="CD34" s="91"/>
      <c r="CE34" s="91"/>
      <c r="CF34" s="91"/>
      <c r="CG34" s="91"/>
      <c r="CH34" s="91"/>
      <c r="CI34" s="91"/>
      <c r="CJ34" s="91"/>
      <c r="CK34" s="91"/>
      <c r="CL34" s="91"/>
      <c r="CM34" s="91"/>
      <c r="CN34" s="91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1"/>
      <c r="CZ34" s="91"/>
      <c r="DA34" s="91"/>
      <c r="DB34" s="91"/>
      <c r="DC34" s="91"/>
      <c r="DD34" s="91"/>
      <c r="DE34" s="91"/>
      <c r="DF34" s="91"/>
      <c r="DG34" s="91"/>
      <c r="DH34" s="91"/>
      <c r="DI34" s="91"/>
      <c r="DJ34" s="91"/>
    </row>
    <row r="35" spans="1:114" s="119" customFormat="1" ht="12.75" customHeight="1" thickBot="1">
      <c r="A35" s="127"/>
      <c r="B35" s="128"/>
      <c r="C35" s="228"/>
      <c r="D35" s="418"/>
      <c r="E35" s="419"/>
      <c r="F35" s="419"/>
      <c r="G35" s="419"/>
      <c r="H35" s="419"/>
      <c r="I35" s="419"/>
      <c r="J35" s="419"/>
      <c r="K35" s="420"/>
      <c r="L35" s="237"/>
      <c r="M35" s="231"/>
      <c r="N35" s="229"/>
      <c r="U35" s="230"/>
      <c r="V35" s="286"/>
      <c r="W35" s="287"/>
      <c r="X35" s="232"/>
      <c r="Y35" s="232"/>
      <c r="Z35" s="232"/>
      <c r="AA35" s="230"/>
      <c r="AB35" s="175"/>
      <c r="AC35" s="233"/>
      <c r="AD35" s="233"/>
      <c r="AE35" s="233"/>
      <c r="AF35" s="92"/>
      <c r="AG35" s="92"/>
      <c r="AH35" s="91"/>
      <c r="AI35" s="91"/>
      <c r="AJ35" s="91"/>
      <c r="AK35" s="91"/>
      <c r="AL35" s="91"/>
      <c r="AM35" s="91"/>
      <c r="AN35" s="91"/>
      <c r="AO35" s="91"/>
      <c r="AP35" s="91"/>
      <c r="AQ35" s="91"/>
      <c r="AR35" s="91"/>
      <c r="AS35" s="91"/>
      <c r="AT35" s="91"/>
      <c r="AU35" s="91"/>
      <c r="AV35" s="91"/>
      <c r="AW35" s="91"/>
      <c r="AX35" s="91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91"/>
      <c r="BL35" s="91"/>
      <c r="BM35" s="91"/>
      <c r="BN35" s="91"/>
      <c r="BO35" s="91"/>
      <c r="BP35" s="91"/>
      <c r="BQ35" s="91"/>
      <c r="BR35" s="91"/>
      <c r="BS35" s="91"/>
      <c r="BT35" s="91"/>
      <c r="BU35" s="91"/>
      <c r="BV35" s="91"/>
      <c r="BW35" s="91"/>
      <c r="BX35" s="91"/>
      <c r="BY35" s="91"/>
      <c r="BZ35" s="91"/>
      <c r="CA35" s="91"/>
      <c r="CB35" s="91"/>
      <c r="CC35" s="91"/>
      <c r="CD35" s="91"/>
      <c r="CE35" s="91"/>
      <c r="CF35" s="91"/>
      <c r="CG35" s="91"/>
      <c r="CH35" s="91"/>
      <c r="CI35" s="91"/>
      <c r="CJ35" s="91"/>
      <c r="CK35" s="91"/>
      <c r="CL35" s="91"/>
      <c r="CM35" s="91"/>
      <c r="CN35" s="91"/>
      <c r="CO35" s="91"/>
      <c r="CP35" s="91"/>
      <c r="CQ35" s="91"/>
      <c r="CR35" s="91"/>
      <c r="CS35" s="91"/>
      <c r="CT35" s="91"/>
      <c r="CU35" s="91"/>
      <c r="CV35" s="91"/>
      <c r="CW35" s="91"/>
      <c r="CX35" s="91"/>
      <c r="CY35" s="91"/>
      <c r="CZ35" s="91"/>
      <c r="DA35" s="91"/>
      <c r="DB35" s="91"/>
      <c r="DC35" s="91"/>
      <c r="DD35" s="91"/>
      <c r="DE35" s="91"/>
      <c r="DF35" s="91"/>
      <c r="DG35" s="91"/>
      <c r="DH35" s="91"/>
      <c r="DI35" s="91"/>
      <c r="DJ35" s="91"/>
    </row>
    <row r="36" spans="1:114" s="119" customFormat="1" ht="12.75" customHeight="1" thickTop="1">
      <c r="A36" s="127"/>
      <c r="B36" s="128"/>
      <c r="C36" s="228"/>
      <c r="D36" s="144"/>
      <c r="E36" s="139"/>
      <c r="F36" s="140"/>
      <c r="G36" s="144"/>
      <c r="H36" s="175"/>
      <c r="I36" s="229"/>
      <c r="J36" s="231"/>
      <c r="K36" s="231"/>
      <c r="L36" s="231"/>
      <c r="M36" s="231"/>
      <c r="N36" s="229"/>
      <c r="O36" s="229"/>
      <c r="P36" s="229"/>
      <c r="Q36" s="229"/>
      <c r="R36" s="229"/>
      <c r="S36" s="229"/>
      <c r="T36" s="175"/>
      <c r="U36" s="230"/>
      <c r="V36" s="127"/>
      <c r="W36" s="129"/>
      <c r="X36" s="234"/>
      <c r="Y36" s="234"/>
      <c r="Z36" s="234"/>
      <c r="AA36" s="230"/>
      <c r="AB36" s="175"/>
      <c r="AC36" s="233"/>
      <c r="AD36" s="233"/>
      <c r="AE36" s="233"/>
      <c r="AF36" s="92"/>
      <c r="AG36" s="92"/>
      <c r="AH36" s="91"/>
      <c r="AI36" s="91"/>
      <c r="AJ36" s="91"/>
      <c r="AK36" s="91"/>
      <c r="AL36" s="91"/>
      <c r="AM36" s="91"/>
      <c r="AN36" s="91"/>
      <c r="AO36" s="91"/>
      <c r="AP36" s="91"/>
      <c r="AQ36" s="91"/>
      <c r="AR36" s="91"/>
      <c r="AS36" s="91"/>
      <c r="AT36" s="91"/>
      <c r="AU36" s="91"/>
      <c r="AV36" s="91"/>
      <c r="AW36" s="91"/>
      <c r="AX36" s="91"/>
      <c r="AY36" s="91"/>
      <c r="AZ36" s="91"/>
      <c r="BA36" s="91"/>
      <c r="BB36" s="91"/>
      <c r="BC36" s="91"/>
      <c r="BD36" s="91"/>
      <c r="BE36" s="91"/>
      <c r="BF36" s="91"/>
      <c r="BG36" s="91"/>
      <c r="BH36" s="91"/>
      <c r="BI36" s="91"/>
      <c r="BJ36" s="91"/>
      <c r="BK36" s="91"/>
      <c r="BL36" s="91"/>
      <c r="BM36" s="91"/>
      <c r="BN36" s="91"/>
      <c r="BO36" s="91"/>
      <c r="BP36" s="91"/>
      <c r="BQ36" s="91"/>
      <c r="BR36" s="91"/>
      <c r="BS36" s="91"/>
      <c r="BT36" s="91"/>
      <c r="BU36" s="91"/>
      <c r="BV36" s="91"/>
      <c r="BW36" s="91"/>
      <c r="BX36" s="91"/>
      <c r="BY36" s="91"/>
      <c r="BZ36" s="91"/>
      <c r="CA36" s="91"/>
      <c r="CB36" s="91"/>
      <c r="CC36" s="91"/>
      <c r="CD36" s="91"/>
      <c r="CE36" s="91"/>
      <c r="CF36" s="91"/>
      <c r="CG36" s="91"/>
      <c r="CH36" s="91"/>
      <c r="CI36" s="91"/>
      <c r="CJ36" s="91"/>
      <c r="CK36" s="91"/>
      <c r="CL36" s="91"/>
      <c r="CM36" s="91"/>
      <c r="CN36" s="91"/>
      <c r="CO36" s="91"/>
      <c r="CP36" s="91"/>
      <c r="CQ36" s="91"/>
      <c r="CR36" s="91"/>
      <c r="CS36" s="91"/>
      <c r="CT36" s="91"/>
      <c r="CU36" s="91"/>
      <c r="CV36" s="91"/>
      <c r="CW36" s="91"/>
      <c r="CX36" s="91"/>
      <c r="CY36" s="91"/>
      <c r="CZ36" s="91"/>
      <c r="DA36" s="91"/>
      <c r="DB36" s="91"/>
      <c r="DC36" s="91"/>
      <c r="DD36" s="91"/>
      <c r="DE36" s="91"/>
      <c r="DF36" s="91"/>
      <c r="DG36" s="91"/>
      <c r="DH36" s="91"/>
      <c r="DI36" s="91"/>
      <c r="DJ36" s="91"/>
    </row>
    <row r="37" spans="1:114" s="119" customFormat="1" ht="24.95" customHeight="1">
      <c r="A37" s="127"/>
      <c r="B37" s="128"/>
      <c r="C37" s="228"/>
      <c r="D37" s="264" t="s">
        <v>160</v>
      </c>
      <c r="E37" s="145"/>
      <c r="F37" s="145"/>
      <c r="G37" s="144"/>
      <c r="H37" s="175"/>
      <c r="I37" s="229"/>
      <c r="J37" s="231"/>
      <c r="K37" s="231"/>
      <c r="L37" s="231"/>
      <c r="M37" s="231"/>
      <c r="N37" s="229"/>
      <c r="O37" s="229"/>
      <c r="P37" s="229"/>
      <c r="Q37" s="229"/>
      <c r="R37" s="229"/>
      <c r="S37" s="229"/>
      <c r="T37" s="175"/>
      <c r="U37" s="230"/>
      <c r="V37" s="286"/>
      <c r="W37" s="287"/>
      <c r="X37" s="234"/>
      <c r="Y37" s="234"/>
      <c r="Z37" s="234"/>
      <c r="AA37" s="230"/>
      <c r="AB37" s="175"/>
      <c r="AC37" s="233"/>
      <c r="AD37" s="233"/>
      <c r="AE37" s="233"/>
      <c r="AF37" s="92"/>
      <c r="AG37" s="92"/>
      <c r="AH37" s="91"/>
      <c r="AI37" s="91"/>
      <c r="AJ37" s="91"/>
      <c r="AK37" s="91"/>
      <c r="AL37" s="91"/>
      <c r="AM37" s="91"/>
      <c r="AN37" s="91"/>
      <c r="AO37" s="91"/>
      <c r="AP37" s="91"/>
      <c r="AQ37" s="91"/>
      <c r="AR37" s="91"/>
      <c r="AS37" s="91"/>
      <c r="AT37" s="91"/>
      <c r="AU37" s="91"/>
      <c r="AV37" s="91"/>
      <c r="AW37" s="91"/>
      <c r="AX37" s="91"/>
      <c r="AY37" s="91"/>
      <c r="AZ37" s="91"/>
      <c r="BA37" s="91"/>
      <c r="BB37" s="91"/>
      <c r="BC37" s="91"/>
      <c r="BD37" s="91"/>
      <c r="BE37" s="91"/>
      <c r="BF37" s="91"/>
      <c r="BG37" s="91"/>
      <c r="BH37" s="91"/>
      <c r="BI37" s="91"/>
      <c r="BJ37" s="91"/>
      <c r="BK37" s="91"/>
      <c r="BL37" s="91"/>
      <c r="BM37" s="91"/>
      <c r="BN37" s="91"/>
      <c r="BO37" s="91"/>
      <c r="BP37" s="91"/>
      <c r="BQ37" s="91"/>
      <c r="BR37" s="91"/>
      <c r="BS37" s="91"/>
      <c r="BT37" s="91"/>
      <c r="BU37" s="91"/>
      <c r="BV37" s="91"/>
      <c r="BW37" s="91"/>
      <c r="BX37" s="91"/>
      <c r="BY37" s="91"/>
      <c r="BZ37" s="91"/>
      <c r="CA37" s="91"/>
      <c r="CB37" s="91"/>
      <c r="CC37" s="91"/>
      <c r="CD37" s="91"/>
      <c r="CE37" s="91"/>
      <c r="CF37" s="91"/>
      <c r="CG37" s="91"/>
      <c r="CH37" s="91"/>
      <c r="CI37" s="91"/>
      <c r="CJ37" s="91"/>
      <c r="CK37" s="91"/>
      <c r="CL37" s="91"/>
      <c r="CM37" s="91"/>
      <c r="CN37" s="91"/>
      <c r="CO37" s="91"/>
      <c r="CP37" s="91"/>
      <c r="CQ37" s="91"/>
      <c r="CR37" s="91"/>
      <c r="CS37" s="91"/>
      <c r="CT37" s="91"/>
      <c r="CU37" s="91"/>
      <c r="CV37" s="91"/>
      <c r="CW37" s="91"/>
      <c r="CX37" s="91"/>
      <c r="CY37" s="91"/>
      <c r="CZ37" s="91"/>
      <c r="DA37" s="91"/>
      <c r="DB37" s="91"/>
      <c r="DC37" s="91"/>
      <c r="DD37" s="91"/>
      <c r="DE37" s="91"/>
      <c r="DF37" s="91"/>
      <c r="DG37" s="91"/>
      <c r="DH37" s="91"/>
      <c r="DI37" s="91"/>
      <c r="DJ37" s="91"/>
    </row>
    <row r="38" spans="1:114" s="119" customFormat="1" ht="12.75" customHeight="1">
      <c r="A38" s="127"/>
      <c r="B38" s="128"/>
      <c r="C38" s="228"/>
      <c r="D38" s="144"/>
      <c r="E38" s="145"/>
      <c r="F38" s="145"/>
      <c r="G38" s="144"/>
      <c r="H38" s="175"/>
      <c r="I38" s="229"/>
      <c r="J38" s="229"/>
      <c r="K38" s="229"/>
      <c r="L38" s="229"/>
      <c r="M38" s="229"/>
      <c r="N38" s="229"/>
      <c r="O38" s="229"/>
      <c r="P38" s="229"/>
      <c r="Q38" s="229"/>
      <c r="R38" s="229"/>
      <c r="S38" s="229"/>
      <c r="T38" s="175"/>
      <c r="U38" s="230"/>
      <c r="V38" s="127"/>
      <c r="W38" s="129"/>
      <c r="X38" s="234"/>
      <c r="Y38" s="234"/>
      <c r="Z38" s="234"/>
      <c r="AA38" s="230"/>
      <c r="AB38" s="175"/>
      <c r="AC38" s="233"/>
      <c r="AD38" s="233"/>
      <c r="AE38" s="233"/>
      <c r="AF38" s="92"/>
      <c r="AG38" s="92"/>
      <c r="AH38" s="91"/>
      <c r="AI38" s="91"/>
      <c r="AJ38" s="91"/>
      <c r="AK38" s="91"/>
      <c r="AL38" s="91"/>
      <c r="AM38" s="91"/>
      <c r="AN38" s="91"/>
      <c r="AO38" s="91"/>
      <c r="AP38" s="91"/>
      <c r="AQ38" s="91"/>
      <c r="AR38" s="91"/>
      <c r="AS38" s="91"/>
      <c r="AT38" s="91"/>
      <c r="AU38" s="91"/>
      <c r="AV38" s="91"/>
      <c r="AW38" s="91"/>
      <c r="AX38" s="91"/>
      <c r="AY38" s="91"/>
      <c r="AZ38" s="91"/>
      <c r="BA38" s="91"/>
      <c r="BB38" s="91"/>
      <c r="BC38" s="91"/>
      <c r="BD38" s="91"/>
      <c r="BE38" s="91"/>
      <c r="BF38" s="91"/>
      <c r="BG38" s="91"/>
      <c r="BH38" s="91"/>
      <c r="BI38" s="91"/>
      <c r="BJ38" s="91"/>
      <c r="BK38" s="91"/>
      <c r="BL38" s="91"/>
      <c r="BM38" s="91"/>
      <c r="BN38" s="91"/>
      <c r="BO38" s="91"/>
      <c r="BP38" s="91"/>
      <c r="BQ38" s="91"/>
      <c r="BR38" s="91"/>
      <c r="BS38" s="91"/>
      <c r="BT38" s="91"/>
      <c r="BU38" s="91"/>
      <c r="BV38" s="91"/>
      <c r="BW38" s="91"/>
      <c r="BX38" s="91"/>
      <c r="BY38" s="91"/>
      <c r="BZ38" s="91"/>
      <c r="CA38" s="91"/>
      <c r="CB38" s="91"/>
      <c r="CC38" s="91"/>
      <c r="CD38" s="91"/>
      <c r="CE38" s="91"/>
      <c r="CF38" s="91"/>
      <c r="CG38" s="91"/>
      <c r="CH38" s="91"/>
      <c r="CI38" s="91"/>
      <c r="CJ38" s="91"/>
      <c r="CK38" s="91"/>
      <c r="CL38" s="91"/>
      <c r="CM38" s="91"/>
      <c r="CN38" s="91"/>
      <c r="CO38" s="91"/>
      <c r="CP38" s="91"/>
      <c r="CQ38" s="91"/>
      <c r="CR38" s="91"/>
      <c r="CS38" s="91"/>
      <c r="CT38" s="91"/>
      <c r="CU38" s="91"/>
      <c r="CV38" s="91"/>
      <c r="CW38" s="91"/>
      <c r="CX38" s="91"/>
      <c r="CY38" s="91"/>
      <c r="CZ38" s="91"/>
      <c r="DA38" s="91"/>
      <c r="DB38" s="91"/>
      <c r="DC38" s="91"/>
      <c r="DD38" s="91"/>
      <c r="DE38" s="91"/>
      <c r="DF38" s="91"/>
      <c r="DG38" s="91"/>
      <c r="DH38" s="91"/>
      <c r="DI38" s="91"/>
      <c r="DJ38" s="91"/>
    </row>
    <row r="39" spans="1:114" s="119" customFormat="1" ht="12.75" customHeight="1">
      <c r="A39" s="127"/>
      <c r="B39" s="128"/>
      <c r="C39" s="228"/>
      <c r="D39" s="144"/>
      <c r="E39" s="139"/>
      <c r="F39" s="141"/>
      <c r="G39" s="144"/>
      <c r="H39" s="175"/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175"/>
      <c r="U39" s="230"/>
      <c r="V39" s="286"/>
      <c r="W39" s="287"/>
      <c r="X39" s="230"/>
      <c r="Y39" s="230"/>
      <c r="Z39" s="230"/>
      <c r="AA39" s="230"/>
      <c r="AB39" s="175"/>
      <c r="AC39" s="233"/>
      <c r="AD39" s="233"/>
      <c r="AE39" s="233"/>
      <c r="AF39" s="92"/>
      <c r="AG39" s="92"/>
      <c r="AH39" s="91"/>
      <c r="AI39" s="91"/>
      <c r="AJ39" s="91"/>
      <c r="AK39" s="91"/>
      <c r="AL39" s="91"/>
      <c r="AM39" s="91"/>
      <c r="AN39" s="91"/>
      <c r="AO39" s="91"/>
      <c r="AP39" s="91"/>
      <c r="AQ39" s="91"/>
      <c r="AR39" s="91"/>
      <c r="AS39" s="91"/>
      <c r="AT39" s="91"/>
      <c r="AU39" s="91"/>
      <c r="AV39" s="91"/>
      <c r="AW39" s="91"/>
      <c r="AX39" s="91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1"/>
      <c r="BL39" s="91"/>
      <c r="BM39" s="91"/>
      <c r="BN39" s="91"/>
      <c r="BO39" s="91"/>
      <c r="BP39" s="91"/>
      <c r="BQ39" s="91"/>
      <c r="BR39" s="91"/>
      <c r="BS39" s="91"/>
      <c r="BT39" s="91"/>
      <c r="BU39" s="91"/>
      <c r="BV39" s="91"/>
      <c r="BW39" s="91"/>
      <c r="BX39" s="91"/>
      <c r="BY39" s="91"/>
      <c r="BZ39" s="91"/>
      <c r="CA39" s="91"/>
      <c r="CB39" s="91"/>
      <c r="CC39" s="91"/>
      <c r="CD39" s="91"/>
      <c r="CE39" s="91"/>
      <c r="CF39" s="91"/>
      <c r="CG39" s="91"/>
      <c r="CH39" s="91"/>
      <c r="CI39" s="91"/>
      <c r="CJ39" s="91"/>
      <c r="CK39" s="91"/>
      <c r="CL39" s="91"/>
      <c r="CM39" s="91"/>
      <c r="CN39" s="91"/>
      <c r="CO39" s="91"/>
      <c r="CP39" s="91"/>
      <c r="CQ39" s="91"/>
      <c r="CR39" s="91"/>
      <c r="CS39" s="91"/>
      <c r="CT39" s="91"/>
      <c r="CU39" s="91"/>
      <c r="CV39" s="91"/>
      <c r="CW39" s="91"/>
      <c r="CX39" s="91"/>
      <c r="CY39" s="91"/>
      <c r="CZ39" s="91"/>
      <c r="DA39" s="91"/>
      <c r="DB39" s="91"/>
      <c r="DC39" s="91"/>
      <c r="DD39" s="91"/>
      <c r="DE39" s="91"/>
      <c r="DF39" s="91"/>
      <c r="DG39" s="91"/>
      <c r="DH39" s="91"/>
      <c r="DI39" s="91"/>
      <c r="DJ39" s="91"/>
    </row>
    <row r="40" spans="1:114" s="119" customFormat="1" ht="12.75" customHeight="1">
      <c r="A40" s="127"/>
      <c r="B40" s="128"/>
      <c r="C40" s="90"/>
      <c r="D40" s="142"/>
      <c r="E40" s="143"/>
      <c r="F40" s="143"/>
      <c r="G40" s="142"/>
      <c r="H40" s="91"/>
      <c r="I40" s="91"/>
      <c r="J40" s="92"/>
      <c r="K40" s="92"/>
      <c r="L40" s="92"/>
      <c r="M40" s="92"/>
      <c r="N40" s="91"/>
      <c r="O40" s="91"/>
      <c r="P40" s="91"/>
      <c r="Q40" s="91"/>
      <c r="R40" s="91"/>
      <c r="S40" s="91"/>
      <c r="T40" s="91"/>
      <c r="U40" s="93"/>
      <c r="V40" s="127"/>
      <c r="W40" s="129"/>
      <c r="X40" s="95"/>
      <c r="Y40" s="95"/>
      <c r="Z40" s="95"/>
      <c r="AA40" s="93"/>
      <c r="AB40" s="91"/>
      <c r="AC40" s="92"/>
      <c r="AD40" s="92"/>
      <c r="AE40" s="92"/>
      <c r="AF40" s="92"/>
      <c r="AG40" s="92"/>
      <c r="AH40" s="91"/>
      <c r="AI40" s="91"/>
      <c r="AJ40" s="91"/>
      <c r="AK40" s="91"/>
      <c r="AL40" s="91"/>
      <c r="AM40" s="91"/>
      <c r="AN40" s="91"/>
      <c r="AO40" s="91"/>
      <c r="AP40" s="91"/>
      <c r="AQ40" s="91"/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1"/>
      <c r="BN40" s="91"/>
      <c r="BO40" s="91"/>
      <c r="BP40" s="91"/>
      <c r="BQ40" s="91"/>
      <c r="BR40" s="91"/>
      <c r="BS40" s="91"/>
      <c r="BT40" s="91"/>
      <c r="BU40" s="91"/>
      <c r="BV40" s="91"/>
      <c r="BW40" s="91"/>
      <c r="BX40" s="91"/>
      <c r="BY40" s="91"/>
      <c r="BZ40" s="91"/>
      <c r="CA40" s="91"/>
      <c r="CB40" s="91"/>
      <c r="CC40" s="91"/>
      <c r="CD40" s="91"/>
      <c r="CE40" s="91"/>
      <c r="CF40" s="91"/>
      <c r="CG40" s="91"/>
      <c r="CH40" s="91"/>
      <c r="CI40" s="91"/>
      <c r="CJ40" s="91"/>
      <c r="CK40" s="91"/>
      <c r="CL40" s="91"/>
      <c r="CM40" s="91"/>
      <c r="CN40" s="91"/>
      <c r="CO40" s="91"/>
      <c r="CP40" s="91"/>
      <c r="CQ40" s="91"/>
      <c r="CR40" s="91"/>
      <c r="CS40" s="91"/>
      <c r="CT40" s="91"/>
      <c r="CU40" s="91"/>
      <c r="CV40" s="91"/>
      <c r="CW40" s="91"/>
      <c r="CX40" s="91"/>
      <c r="CY40" s="91"/>
      <c r="CZ40" s="91"/>
      <c r="DA40" s="91"/>
      <c r="DB40" s="91"/>
      <c r="DC40" s="91"/>
      <c r="DD40" s="91"/>
      <c r="DE40" s="91"/>
      <c r="DF40" s="91"/>
      <c r="DG40" s="91"/>
      <c r="DH40" s="91"/>
      <c r="DI40" s="91"/>
      <c r="DJ40" s="91"/>
    </row>
    <row r="41" spans="1:114" s="119" customFormat="1" ht="12.75" customHeight="1">
      <c r="A41" s="127"/>
      <c r="B41" s="128"/>
      <c r="C41" s="90"/>
      <c r="D41" s="142"/>
      <c r="E41" s="143"/>
      <c r="F41" s="143"/>
      <c r="G41" s="142"/>
      <c r="H41" s="91"/>
      <c r="I41" s="91"/>
      <c r="J41" s="92"/>
      <c r="K41" s="92"/>
      <c r="L41" s="92"/>
      <c r="M41" s="92"/>
      <c r="N41" s="91"/>
      <c r="O41" s="91"/>
      <c r="P41" s="91"/>
      <c r="Q41" s="91"/>
      <c r="R41" s="91"/>
      <c r="S41" s="91"/>
      <c r="T41" s="91"/>
      <c r="U41" s="93"/>
      <c r="V41" s="286"/>
      <c r="W41" s="287"/>
      <c r="X41" s="94"/>
      <c r="Y41" s="94"/>
      <c r="Z41" s="95"/>
      <c r="AA41" s="93"/>
      <c r="AB41" s="91"/>
      <c r="AC41" s="92"/>
      <c r="AD41" s="92"/>
      <c r="AE41" s="92"/>
      <c r="AF41" s="92"/>
      <c r="AG41" s="92"/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1"/>
      <c r="AS41" s="91"/>
      <c r="AT41" s="91"/>
      <c r="AU41" s="91"/>
      <c r="AV41" s="91"/>
      <c r="AW41" s="91"/>
      <c r="AX41" s="91"/>
      <c r="AY41" s="91"/>
      <c r="AZ41" s="91"/>
      <c r="BA41" s="91"/>
      <c r="BB41" s="91"/>
      <c r="BC41" s="91"/>
      <c r="BD41" s="91"/>
      <c r="BE41" s="91"/>
      <c r="BF41" s="91"/>
      <c r="BG41" s="91"/>
      <c r="BH41" s="91"/>
      <c r="BI41" s="91"/>
      <c r="BJ41" s="91"/>
      <c r="BK41" s="91"/>
      <c r="BL41" s="91"/>
      <c r="BM41" s="91"/>
      <c r="BN41" s="91"/>
      <c r="BO41" s="91"/>
      <c r="BP41" s="91"/>
      <c r="BQ41" s="91"/>
      <c r="BR41" s="91"/>
      <c r="BS41" s="91"/>
      <c r="BT41" s="91"/>
      <c r="BU41" s="91"/>
      <c r="BV41" s="91"/>
      <c r="BW41" s="91"/>
      <c r="BX41" s="91"/>
      <c r="BY41" s="91"/>
      <c r="BZ41" s="91"/>
      <c r="CA41" s="91"/>
      <c r="CB41" s="91"/>
      <c r="CC41" s="91"/>
      <c r="CD41" s="91"/>
      <c r="CE41" s="91"/>
      <c r="CF41" s="91"/>
      <c r="CG41" s="91"/>
      <c r="CH41" s="91"/>
      <c r="CI41" s="91"/>
      <c r="CJ41" s="91"/>
      <c r="CK41" s="91"/>
      <c r="CL41" s="91"/>
      <c r="CM41" s="91"/>
      <c r="CN41" s="91"/>
      <c r="CO41" s="91"/>
      <c r="CP41" s="91"/>
      <c r="CQ41" s="91"/>
      <c r="CR41" s="91"/>
      <c r="CS41" s="91"/>
      <c r="CT41" s="91"/>
      <c r="CU41" s="91"/>
      <c r="CV41" s="91"/>
      <c r="CW41" s="91"/>
      <c r="CX41" s="91"/>
      <c r="CY41" s="91"/>
      <c r="CZ41" s="91"/>
      <c r="DA41" s="91"/>
      <c r="DB41" s="91"/>
      <c r="DC41" s="91"/>
      <c r="DD41" s="91"/>
      <c r="DE41" s="91"/>
      <c r="DF41" s="91"/>
      <c r="DG41" s="91"/>
      <c r="DH41" s="91"/>
      <c r="DI41" s="91"/>
      <c r="DJ41" s="91"/>
    </row>
    <row r="42" spans="1:114" s="119" customFormat="1" ht="20.100000000000001" customHeight="1">
      <c r="A42" s="127"/>
      <c r="B42" s="128"/>
      <c r="C42" s="90"/>
      <c r="D42" s="142"/>
      <c r="E42" s="139"/>
      <c r="F42" s="263">
        <v>43191</v>
      </c>
      <c r="G42" s="267" t="str">
        <f>IF($F$42="","",IF(AND(dispensa&lt;$F$42,dispensa&gt;=$F$42-30),"É devida","Não é devida"))</f>
        <v>Não é devida</v>
      </c>
      <c r="H42" s="341">
        <f>IF(G42="É devida",remuneração,0)</f>
        <v>0</v>
      </c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27"/>
      <c r="W42" s="129"/>
      <c r="X42" s="183"/>
      <c r="Y42" s="183"/>
      <c r="Z42" s="183"/>
      <c r="AA42" s="183"/>
      <c r="AB42" s="91"/>
      <c r="AC42" s="92"/>
      <c r="AD42" s="92"/>
      <c r="AE42" s="92"/>
      <c r="AF42" s="92"/>
      <c r="AG42" s="92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1"/>
      <c r="BC42" s="91"/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1"/>
      <c r="CC42" s="91"/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1"/>
      <c r="DC42" s="91"/>
      <c r="DD42" s="91"/>
      <c r="DE42" s="91"/>
      <c r="DF42" s="91"/>
      <c r="DG42" s="91"/>
      <c r="DH42" s="91"/>
      <c r="DI42" s="91"/>
      <c r="DJ42" s="91"/>
    </row>
    <row r="43" spans="1:114" s="119" customFormat="1" ht="12.75" customHeight="1">
      <c r="A43" s="127"/>
      <c r="B43" s="128"/>
      <c r="C43" s="90"/>
      <c r="D43" s="142"/>
      <c r="E43" s="143"/>
      <c r="F43" s="143"/>
      <c r="G43" s="142"/>
      <c r="H43" s="91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286"/>
      <c r="W43" s="287"/>
      <c r="X43" s="183"/>
      <c r="Y43" s="183"/>
      <c r="Z43" s="183"/>
      <c r="AA43" s="183"/>
      <c r="AB43" s="91"/>
      <c r="AC43" s="92"/>
      <c r="AD43" s="92"/>
      <c r="AE43" s="92"/>
      <c r="AF43" s="92"/>
      <c r="AG43" s="92"/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1"/>
      <c r="AS43" s="91"/>
      <c r="AT43" s="91"/>
      <c r="AU43" s="91"/>
      <c r="AV43" s="91"/>
      <c r="AW43" s="91"/>
      <c r="AX43" s="91"/>
      <c r="AY43" s="91"/>
      <c r="AZ43" s="91"/>
      <c r="BA43" s="91"/>
      <c r="BB43" s="91"/>
      <c r="BC43" s="91"/>
      <c r="BD43" s="91"/>
      <c r="BE43" s="91"/>
      <c r="BF43" s="91"/>
      <c r="BG43" s="91"/>
      <c r="BH43" s="91"/>
      <c r="BI43" s="91"/>
      <c r="BJ43" s="91"/>
      <c r="BK43" s="91"/>
      <c r="BL43" s="91"/>
      <c r="BM43" s="91"/>
      <c r="BN43" s="91"/>
      <c r="BO43" s="91"/>
      <c r="BP43" s="91"/>
      <c r="BQ43" s="91"/>
      <c r="BR43" s="91"/>
      <c r="BS43" s="91"/>
      <c r="BT43" s="91"/>
      <c r="BU43" s="91"/>
      <c r="BV43" s="91"/>
      <c r="BW43" s="91"/>
      <c r="BX43" s="91"/>
      <c r="BY43" s="91"/>
      <c r="BZ43" s="91"/>
      <c r="CA43" s="91"/>
      <c r="CB43" s="91"/>
      <c r="CC43" s="91"/>
      <c r="CD43" s="91"/>
      <c r="CE43" s="91"/>
      <c r="CF43" s="91"/>
      <c r="CG43" s="91"/>
      <c r="CH43" s="91"/>
      <c r="CI43" s="91"/>
      <c r="CJ43" s="91"/>
      <c r="CK43" s="91"/>
      <c r="CL43" s="91"/>
      <c r="CM43" s="91"/>
      <c r="CN43" s="91"/>
      <c r="CO43" s="91"/>
      <c r="CP43" s="91"/>
      <c r="CQ43" s="91"/>
      <c r="CR43" s="91"/>
      <c r="CS43" s="91"/>
      <c r="CT43" s="91"/>
      <c r="CU43" s="91"/>
      <c r="CV43" s="91"/>
      <c r="CW43" s="91"/>
      <c r="CX43" s="91"/>
      <c r="CY43" s="91"/>
      <c r="CZ43" s="91"/>
      <c r="DA43" s="91"/>
      <c r="DB43" s="91"/>
      <c r="DC43" s="91"/>
      <c r="DD43" s="91"/>
      <c r="DE43" s="91"/>
      <c r="DF43" s="91"/>
      <c r="DG43" s="91"/>
      <c r="DH43" s="91"/>
      <c r="DI43" s="91"/>
      <c r="DJ43" s="91"/>
    </row>
    <row r="44" spans="1:114" s="119" customFormat="1" ht="12.75" customHeight="1">
      <c r="A44" s="127"/>
      <c r="B44" s="128"/>
      <c r="C44" s="90"/>
      <c r="D44" s="142"/>
      <c r="E44" s="143"/>
      <c r="F44" s="143"/>
      <c r="G44" s="142"/>
      <c r="H44" s="91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27"/>
      <c r="W44" s="129"/>
      <c r="X44" s="183"/>
      <c r="Y44" s="183"/>
      <c r="Z44" s="183"/>
      <c r="AA44" s="183"/>
      <c r="AB44" s="91"/>
      <c r="AC44" s="92"/>
      <c r="AD44" s="92"/>
      <c r="AE44" s="92"/>
      <c r="AF44" s="92"/>
      <c r="AG44" s="92"/>
      <c r="AH44" s="91"/>
      <c r="AI44" s="91"/>
      <c r="AJ44" s="91"/>
      <c r="AK44" s="91"/>
      <c r="AL44" s="91"/>
      <c r="AM44" s="91"/>
      <c r="AN44" s="91"/>
      <c r="AO44" s="91"/>
      <c r="AP44" s="91"/>
      <c r="AQ44" s="91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  <c r="BD44" s="91"/>
      <c r="BE44" s="91"/>
      <c r="BF44" s="91"/>
      <c r="BG44" s="91"/>
      <c r="BH44" s="91"/>
      <c r="BI44" s="91"/>
      <c r="BJ44" s="91"/>
      <c r="BK44" s="91"/>
      <c r="BL44" s="91"/>
      <c r="BM44" s="91"/>
      <c r="BN44" s="91"/>
      <c r="BO44" s="91"/>
      <c r="BP44" s="91"/>
      <c r="BQ44" s="91"/>
      <c r="BR44" s="91"/>
      <c r="BS44" s="91"/>
      <c r="BT44" s="91"/>
      <c r="BU44" s="91"/>
      <c r="BV44" s="91"/>
      <c r="BW44" s="91"/>
      <c r="BX44" s="91"/>
      <c r="BY44" s="91"/>
      <c r="BZ44" s="91"/>
      <c r="CA44" s="91"/>
      <c r="CB44" s="91"/>
      <c r="CC44" s="91"/>
      <c r="CD44" s="91"/>
      <c r="CE44" s="91"/>
      <c r="CF44" s="91"/>
      <c r="CG44" s="91"/>
      <c r="CH44" s="91"/>
      <c r="CI44" s="91"/>
      <c r="CJ44" s="91"/>
      <c r="CK44" s="91"/>
      <c r="CL44" s="91"/>
      <c r="CM44" s="91"/>
      <c r="CN44" s="91"/>
      <c r="CO44" s="91"/>
      <c r="CP44" s="91"/>
      <c r="CQ44" s="91"/>
      <c r="CR44" s="91"/>
      <c r="CS44" s="91"/>
      <c r="CT44" s="91"/>
      <c r="CU44" s="91"/>
      <c r="CV44" s="91"/>
      <c r="CW44" s="91"/>
      <c r="CX44" s="91"/>
      <c r="CY44" s="91"/>
      <c r="CZ44" s="91"/>
      <c r="DA44" s="91"/>
      <c r="DB44" s="91"/>
      <c r="DC44" s="91"/>
      <c r="DD44" s="91"/>
      <c r="DE44" s="91"/>
      <c r="DF44" s="91"/>
      <c r="DG44" s="91"/>
      <c r="DH44" s="91"/>
      <c r="DI44" s="91"/>
      <c r="DJ44" s="91"/>
    </row>
    <row r="45" spans="1:114" s="119" customFormat="1" ht="12.75" customHeight="1">
      <c r="A45" s="127"/>
      <c r="B45" s="128"/>
      <c r="C45" s="90"/>
      <c r="D45" s="142"/>
      <c r="E45" s="139"/>
      <c r="F45" s="141"/>
      <c r="G45" s="142"/>
      <c r="H45" s="91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286"/>
      <c r="W45" s="287"/>
      <c r="X45" s="183"/>
      <c r="Y45" s="183"/>
      <c r="Z45" s="183"/>
      <c r="AA45" s="183"/>
      <c r="AB45" s="91"/>
      <c r="AC45" s="92"/>
      <c r="AD45" s="92"/>
      <c r="AE45" s="92"/>
      <c r="AF45" s="92"/>
      <c r="AG45" s="92"/>
      <c r="AH45" s="91"/>
      <c r="AI45" s="91"/>
      <c r="AJ45" s="91"/>
      <c r="AK45" s="91"/>
      <c r="AL45" s="91"/>
      <c r="AM45" s="91"/>
      <c r="AN45" s="91"/>
      <c r="AO45" s="91"/>
      <c r="AP45" s="91"/>
      <c r="AQ45" s="91"/>
      <c r="AR45" s="91"/>
      <c r="AS45" s="91"/>
      <c r="AT45" s="91"/>
      <c r="AU45" s="91"/>
      <c r="AV45" s="91"/>
      <c r="AW45" s="91"/>
      <c r="AX45" s="91"/>
      <c r="AY45" s="91"/>
      <c r="AZ45" s="91"/>
      <c r="BA45" s="91"/>
      <c r="BB45" s="91"/>
      <c r="BC45" s="91"/>
      <c r="BD45" s="91"/>
      <c r="BE45" s="91"/>
      <c r="BF45" s="91"/>
      <c r="BG45" s="91"/>
      <c r="BH45" s="91"/>
      <c r="BI45" s="91"/>
      <c r="BJ45" s="91"/>
      <c r="BK45" s="91"/>
      <c r="BL45" s="91"/>
      <c r="BM45" s="91"/>
      <c r="BN45" s="91"/>
      <c r="BO45" s="91"/>
      <c r="BP45" s="91"/>
      <c r="BQ45" s="91"/>
      <c r="BR45" s="91"/>
      <c r="BS45" s="91"/>
      <c r="BT45" s="91"/>
      <c r="BU45" s="91"/>
      <c r="BV45" s="91"/>
      <c r="BW45" s="91"/>
      <c r="BX45" s="91"/>
      <c r="BY45" s="91"/>
      <c r="BZ45" s="91"/>
      <c r="CA45" s="91"/>
      <c r="CB45" s="91"/>
      <c r="CC45" s="91"/>
      <c r="CD45" s="91"/>
      <c r="CE45" s="91"/>
      <c r="CF45" s="91"/>
      <c r="CG45" s="91"/>
      <c r="CH45" s="91"/>
      <c r="CI45" s="91"/>
      <c r="CJ45" s="91"/>
      <c r="CK45" s="91"/>
      <c r="CL45" s="91"/>
      <c r="CM45" s="91"/>
      <c r="CN45" s="91"/>
      <c r="CO45" s="91"/>
      <c r="CP45" s="91"/>
      <c r="CQ45" s="91"/>
      <c r="CR45" s="91"/>
      <c r="CS45" s="91"/>
      <c r="CT45" s="91"/>
      <c r="CU45" s="91"/>
      <c r="CV45" s="91"/>
      <c r="CW45" s="91"/>
      <c r="CX45" s="91"/>
      <c r="CY45" s="91"/>
      <c r="CZ45" s="91"/>
      <c r="DA45" s="91"/>
      <c r="DB45" s="91"/>
      <c r="DC45" s="91"/>
      <c r="DD45" s="91"/>
      <c r="DE45" s="91"/>
      <c r="DF45" s="91"/>
      <c r="DG45" s="91"/>
      <c r="DH45" s="91"/>
      <c r="DI45" s="91"/>
      <c r="DJ45" s="91"/>
    </row>
    <row r="46" spans="1:114" s="119" customFormat="1" ht="12.75" customHeight="1">
      <c r="A46" s="127"/>
      <c r="B46" s="128"/>
      <c r="C46" s="90"/>
      <c r="D46" s="142"/>
      <c r="E46" s="142"/>
      <c r="F46" s="142"/>
      <c r="G46" s="142"/>
      <c r="H46" s="91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27"/>
      <c r="W46" s="129"/>
      <c r="X46" s="183"/>
      <c r="Y46" s="183"/>
      <c r="Z46" s="183"/>
      <c r="AA46" s="183"/>
      <c r="AB46" s="91"/>
      <c r="AC46" s="92"/>
      <c r="AD46" s="92"/>
      <c r="AE46" s="92"/>
      <c r="AF46" s="92"/>
      <c r="AG46" s="92"/>
      <c r="AH46" s="91"/>
      <c r="AI46" s="91"/>
      <c r="AJ46" s="91"/>
      <c r="AK46" s="91"/>
      <c r="AL46" s="91"/>
      <c r="AM46" s="91"/>
      <c r="AN46" s="91"/>
      <c r="AO46" s="91"/>
      <c r="AP46" s="91"/>
      <c r="AQ46" s="91"/>
      <c r="AR46" s="91"/>
      <c r="AS46" s="91"/>
      <c r="AT46" s="91"/>
      <c r="AU46" s="91"/>
      <c r="AV46" s="91"/>
      <c r="AW46" s="91"/>
      <c r="AX46" s="91"/>
      <c r="AY46" s="91"/>
      <c r="AZ46" s="91"/>
      <c r="BA46" s="91"/>
      <c r="BB46" s="91"/>
      <c r="BC46" s="91"/>
      <c r="BD46" s="91"/>
      <c r="BE46" s="91"/>
      <c r="BF46" s="91"/>
      <c r="BG46" s="91"/>
      <c r="BH46" s="91"/>
      <c r="BI46" s="91"/>
      <c r="BJ46" s="91"/>
      <c r="BK46" s="91"/>
      <c r="BL46" s="91"/>
      <c r="BM46" s="91"/>
      <c r="BN46" s="91"/>
      <c r="BO46" s="91"/>
      <c r="BP46" s="91"/>
      <c r="BQ46" s="91"/>
      <c r="BR46" s="91"/>
      <c r="BS46" s="91"/>
      <c r="BT46" s="91"/>
      <c r="BU46" s="91"/>
      <c r="BV46" s="91"/>
      <c r="BW46" s="91"/>
      <c r="BX46" s="91"/>
      <c r="BY46" s="91"/>
      <c r="BZ46" s="91"/>
      <c r="CA46" s="91"/>
      <c r="CB46" s="91"/>
      <c r="CC46" s="91"/>
      <c r="CD46" s="91"/>
      <c r="CE46" s="91"/>
      <c r="CF46" s="91"/>
      <c r="CG46" s="91"/>
      <c r="CH46" s="91"/>
      <c r="CI46" s="91"/>
      <c r="CJ46" s="91"/>
      <c r="CK46" s="91"/>
      <c r="CL46" s="91"/>
      <c r="CM46" s="91"/>
      <c r="CN46" s="91"/>
      <c r="CO46" s="91"/>
      <c r="CP46" s="91"/>
      <c r="CQ46" s="91"/>
      <c r="CR46" s="91"/>
      <c r="CS46" s="91"/>
      <c r="CT46" s="91"/>
      <c r="CU46" s="91"/>
      <c r="CV46" s="91"/>
      <c r="CW46" s="91"/>
      <c r="CX46" s="91"/>
      <c r="CY46" s="91"/>
      <c r="CZ46" s="91"/>
      <c r="DA46" s="91"/>
      <c r="DB46" s="91"/>
      <c r="DC46" s="91"/>
      <c r="DD46" s="91"/>
      <c r="DE46" s="91"/>
      <c r="DF46" s="91"/>
      <c r="DG46" s="91"/>
      <c r="DH46" s="91"/>
      <c r="DI46" s="91"/>
      <c r="DJ46" s="91"/>
    </row>
    <row r="47" spans="1:114" s="119" customFormat="1" ht="24.95" customHeight="1">
      <c r="A47" s="127"/>
      <c r="B47" s="128"/>
      <c r="C47" s="90"/>
      <c r="D47" s="265" t="s">
        <v>159</v>
      </c>
      <c r="E47" s="142"/>
      <c r="F47" s="142"/>
      <c r="G47" s="142"/>
      <c r="H47" s="91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286"/>
      <c r="W47" s="287"/>
      <c r="X47" s="183"/>
      <c r="Y47" s="183"/>
      <c r="Z47" s="183"/>
      <c r="AA47" s="183"/>
      <c r="AB47" s="91"/>
      <c r="AC47" s="92"/>
      <c r="AD47" s="92"/>
      <c r="AE47" s="92"/>
      <c r="AF47" s="92"/>
      <c r="AG47" s="92"/>
      <c r="AH47" s="91"/>
      <c r="AI47" s="91"/>
      <c r="AJ47" s="91"/>
      <c r="AK47" s="91"/>
      <c r="AL47" s="91"/>
      <c r="AM47" s="91"/>
      <c r="AN47" s="91"/>
      <c r="AO47" s="91"/>
      <c r="AP47" s="91"/>
      <c r="AQ47" s="91"/>
      <c r="AR47" s="91"/>
      <c r="AS47" s="91"/>
      <c r="AT47" s="91"/>
      <c r="AU47" s="91"/>
      <c r="AV47" s="91"/>
      <c r="AW47" s="91"/>
      <c r="AX47" s="91"/>
      <c r="AY47" s="91"/>
      <c r="AZ47" s="91"/>
      <c r="BA47" s="91"/>
      <c r="BB47" s="91"/>
      <c r="BC47" s="91"/>
      <c r="BD47" s="91"/>
      <c r="BE47" s="91"/>
      <c r="BF47" s="91"/>
      <c r="BG47" s="91"/>
      <c r="BH47" s="91"/>
      <c r="BI47" s="91"/>
      <c r="BJ47" s="91"/>
      <c r="BK47" s="91"/>
      <c r="BL47" s="91"/>
      <c r="BM47" s="91"/>
      <c r="BN47" s="91"/>
      <c r="BO47" s="91"/>
      <c r="BP47" s="91"/>
      <c r="BQ47" s="91"/>
      <c r="BR47" s="91"/>
      <c r="BS47" s="91"/>
      <c r="BT47" s="91"/>
      <c r="BU47" s="91"/>
      <c r="BV47" s="91"/>
      <c r="BW47" s="91"/>
      <c r="BX47" s="91"/>
      <c r="BY47" s="91"/>
      <c r="BZ47" s="91"/>
      <c r="CA47" s="91"/>
      <c r="CB47" s="91"/>
      <c r="CC47" s="91"/>
      <c r="CD47" s="91"/>
      <c r="CE47" s="91"/>
      <c r="CF47" s="91"/>
      <c r="CG47" s="91"/>
      <c r="CH47" s="91"/>
      <c r="CI47" s="91"/>
      <c r="CJ47" s="91"/>
      <c r="CK47" s="91"/>
      <c r="CL47" s="91"/>
      <c r="CM47" s="91"/>
      <c r="CN47" s="91"/>
      <c r="CO47" s="91"/>
      <c r="CP47" s="91"/>
      <c r="CQ47" s="91"/>
      <c r="CR47" s="91"/>
      <c r="CS47" s="91"/>
      <c r="CT47" s="91"/>
      <c r="CU47" s="91"/>
      <c r="CV47" s="91"/>
      <c r="CW47" s="91"/>
      <c r="CX47" s="91"/>
      <c r="CY47" s="91"/>
      <c r="CZ47" s="91"/>
      <c r="DA47" s="91"/>
      <c r="DB47" s="91"/>
      <c r="DC47" s="91"/>
      <c r="DD47" s="91"/>
      <c r="DE47" s="91"/>
      <c r="DF47" s="91"/>
      <c r="DG47" s="91"/>
      <c r="DH47" s="91"/>
      <c r="DI47" s="91"/>
      <c r="DJ47" s="91"/>
    </row>
    <row r="48" spans="1:114" s="119" customFormat="1" ht="12.75" customHeight="1">
      <c r="A48" s="127"/>
      <c r="B48" s="128"/>
      <c r="C48" s="90"/>
      <c r="D48" s="142"/>
      <c r="E48" s="139"/>
      <c r="F48" s="141"/>
      <c r="G48" s="142"/>
      <c r="H48" s="9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27"/>
      <c r="W48" s="129"/>
      <c r="X48" s="171"/>
      <c r="Y48" s="171"/>
      <c r="Z48" s="171"/>
      <c r="AA48" s="171"/>
      <c r="AB48" s="91"/>
      <c r="AC48" s="92"/>
      <c r="AD48" s="92"/>
      <c r="AE48" s="92"/>
      <c r="AF48" s="92"/>
      <c r="AG48" s="92"/>
      <c r="AH48" s="91"/>
      <c r="AI48" s="91"/>
      <c r="AJ48" s="91"/>
      <c r="AK48" s="91"/>
      <c r="AL48" s="91"/>
      <c r="AM48" s="91"/>
      <c r="AN48" s="91"/>
      <c r="AO48" s="91"/>
      <c r="AP48" s="91"/>
      <c r="AQ48" s="91"/>
      <c r="AR48" s="91"/>
      <c r="AS48" s="91"/>
      <c r="AT48" s="91"/>
      <c r="AU48" s="91"/>
      <c r="AV48" s="91"/>
      <c r="AW48" s="91"/>
      <c r="AX48" s="91"/>
      <c r="AY48" s="91"/>
      <c r="AZ48" s="91"/>
      <c r="BA48" s="91"/>
      <c r="BB48" s="91"/>
      <c r="BC48" s="91"/>
      <c r="BD48" s="91"/>
      <c r="BE48" s="91"/>
      <c r="BF48" s="91"/>
      <c r="BG48" s="91"/>
      <c r="BH48" s="91"/>
      <c r="BI48" s="91"/>
      <c r="BJ48" s="91"/>
      <c r="BK48" s="91"/>
      <c r="BL48" s="91"/>
      <c r="BM48" s="91"/>
      <c r="BN48" s="91"/>
      <c r="BO48" s="91"/>
      <c r="BP48" s="91"/>
      <c r="BQ48" s="91"/>
      <c r="BR48" s="91"/>
      <c r="BS48" s="91"/>
      <c r="BT48" s="91"/>
      <c r="BU48" s="91"/>
      <c r="BV48" s="91"/>
      <c r="BW48" s="91"/>
      <c r="BX48" s="91"/>
      <c r="BY48" s="91"/>
      <c r="BZ48" s="91"/>
      <c r="CA48" s="91"/>
      <c r="CB48" s="91"/>
      <c r="CC48" s="91"/>
      <c r="CD48" s="91"/>
      <c r="CE48" s="91"/>
      <c r="CF48" s="91"/>
      <c r="CG48" s="91"/>
      <c r="CH48" s="91"/>
      <c r="CI48" s="91"/>
      <c r="CJ48" s="91"/>
      <c r="CK48" s="91"/>
      <c r="CL48" s="91"/>
      <c r="CM48" s="91"/>
      <c r="CN48" s="91"/>
      <c r="CO48" s="91"/>
      <c r="CP48" s="91"/>
      <c r="CQ48" s="91"/>
      <c r="CR48" s="91"/>
      <c r="CS48" s="91"/>
      <c r="CT48" s="91"/>
      <c r="CU48" s="91"/>
      <c r="CV48" s="91"/>
      <c r="CW48" s="91"/>
      <c r="CX48" s="91"/>
      <c r="CY48" s="91"/>
      <c r="CZ48" s="91"/>
      <c r="DA48" s="91"/>
      <c r="DB48" s="91"/>
      <c r="DC48" s="91"/>
      <c r="DD48" s="91"/>
      <c r="DE48" s="91"/>
      <c r="DF48" s="91"/>
      <c r="DG48" s="91"/>
      <c r="DH48" s="91"/>
      <c r="DI48" s="91"/>
      <c r="DJ48" s="91"/>
    </row>
    <row r="49" spans="1:114" s="119" customFormat="1" ht="12.75" customHeight="1">
      <c r="A49" s="127"/>
      <c r="B49" s="128"/>
      <c r="C49" s="90"/>
      <c r="D49" s="142"/>
      <c r="E49" s="142"/>
      <c r="F49" s="142"/>
      <c r="G49" s="142"/>
      <c r="H49" s="9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286"/>
      <c r="W49" s="287"/>
      <c r="X49" s="171"/>
      <c r="Y49" s="171"/>
      <c r="Z49" s="171"/>
      <c r="AA49" s="171"/>
      <c r="AB49" s="91"/>
      <c r="AC49" s="92"/>
      <c r="AD49" s="92"/>
      <c r="AE49" s="92"/>
      <c r="AF49" s="92"/>
      <c r="AG49" s="92"/>
      <c r="AH49" s="91"/>
      <c r="AI49" s="91"/>
      <c r="AJ49" s="91"/>
      <c r="AK49" s="91"/>
      <c r="AL49" s="91"/>
      <c r="AM49" s="91"/>
      <c r="AN49" s="91"/>
      <c r="AO49" s="91"/>
      <c r="AP49" s="91"/>
      <c r="AQ49" s="91"/>
      <c r="AR49" s="91"/>
      <c r="AS49" s="91"/>
      <c r="AT49" s="91"/>
      <c r="AU49" s="91"/>
      <c r="AV49" s="91"/>
      <c r="AW49" s="91"/>
      <c r="AX49" s="91"/>
      <c r="AY49" s="91"/>
      <c r="AZ49" s="91"/>
      <c r="BA49" s="91"/>
      <c r="BB49" s="91"/>
      <c r="BC49" s="91"/>
      <c r="BD49" s="91"/>
      <c r="BE49" s="91"/>
      <c r="BF49" s="91"/>
      <c r="BG49" s="91"/>
      <c r="BH49" s="91"/>
      <c r="BI49" s="91"/>
      <c r="BJ49" s="91"/>
      <c r="BK49" s="91"/>
      <c r="BL49" s="91"/>
      <c r="BM49" s="91"/>
      <c r="BN49" s="91"/>
      <c r="BO49" s="91"/>
      <c r="BP49" s="91"/>
      <c r="BQ49" s="91"/>
      <c r="BR49" s="91"/>
      <c r="BS49" s="91"/>
      <c r="BT49" s="91"/>
      <c r="BU49" s="91"/>
      <c r="BV49" s="91"/>
      <c r="BW49" s="91"/>
      <c r="BX49" s="91"/>
      <c r="BY49" s="91"/>
      <c r="BZ49" s="91"/>
      <c r="CA49" s="91"/>
      <c r="CB49" s="91"/>
      <c r="CC49" s="91"/>
      <c r="CD49" s="91"/>
      <c r="CE49" s="91"/>
      <c r="CF49" s="91"/>
      <c r="CG49" s="91"/>
      <c r="CH49" s="91"/>
      <c r="CI49" s="91"/>
      <c r="CJ49" s="91"/>
      <c r="CK49" s="91"/>
      <c r="CL49" s="91"/>
      <c r="CM49" s="91"/>
      <c r="CN49" s="91"/>
      <c r="CO49" s="91"/>
      <c r="CP49" s="91"/>
      <c r="CQ49" s="91"/>
      <c r="CR49" s="91"/>
      <c r="CS49" s="91"/>
      <c r="CT49" s="91"/>
      <c r="CU49" s="91"/>
      <c r="CV49" s="91"/>
      <c r="CW49" s="91"/>
      <c r="CX49" s="91"/>
      <c r="CY49" s="91"/>
      <c r="CZ49" s="91"/>
      <c r="DA49" s="91"/>
      <c r="DB49" s="91"/>
      <c r="DC49" s="91"/>
      <c r="DD49" s="91"/>
      <c r="DE49" s="91"/>
      <c r="DF49" s="91"/>
      <c r="DG49" s="91"/>
      <c r="DH49" s="91"/>
      <c r="DI49" s="91"/>
      <c r="DJ49" s="91"/>
    </row>
    <row r="50" spans="1:114" s="119" customFormat="1" ht="12.75" customHeight="1">
      <c r="A50" s="127"/>
      <c r="B50" s="128"/>
      <c r="C50" s="90"/>
      <c r="D50" s="142"/>
      <c r="E50" s="142"/>
      <c r="F50" s="142"/>
      <c r="G50" s="142"/>
      <c r="H50" s="9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27"/>
      <c r="W50" s="129"/>
      <c r="X50" s="171"/>
      <c r="Y50" s="171"/>
      <c r="Z50" s="171"/>
      <c r="AA50" s="171"/>
      <c r="AB50" s="91"/>
      <c r="AC50" s="92"/>
      <c r="AD50" s="92"/>
      <c r="AE50" s="92"/>
      <c r="AF50" s="92"/>
      <c r="AG50" s="92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91"/>
      <c r="AS50" s="91"/>
      <c r="AT50" s="91"/>
      <c r="AU50" s="91"/>
      <c r="AV50" s="91"/>
      <c r="AW50" s="91"/>
      <c r="AX50" s="91"/>
      <c r="AY50" s="91"/>
      <c r="AZ50" s="91"/>
      <c r="BA50" s="91"/>
      <c r="BB50" s="91"/>
      <c r="BC50" s="91"/>
      <c r="BD50" s="91"/>
      <c r="BE50" s="91"/>
      <c r="BF50" s="91"/>
      <c r="BG50" s="91"/>
      <c r="BH50" s="91"/>
      <c r="BI50" s="91"/>
      <c r="BJ50" s="91"/>
      <c r="BK50" s="91"/>
      <c r="BL50" s="91"/>
      <c r="BM50" s="91"/>
      <c r="BN50" s="91"/>
      <c r="BO50" s="91"/>
      <c r="BP50" s="91"/>
      <c r="BQ50" s="91"/>
      <c r="BR50" s="91"/>
      <c r="BS50" s="91"/>
      <c r="BT50" s="91"/>
      <c r="BU50" s="91"/>
      <c r="BV50" s="91"/>
      <c r="BW50" s="91"/>
      <c r="BX50" s="91"/>
      <c r="BY50" s="91"/>
      <c r="BZ50" s="91"/>
      <c r="CA50" s="91"/>
      <c r="CB50" s="91"/>
      <c r="CC50" s="91"/>
      <c r="CD50" s="91"/>
      <c r="CE50" s="91"/>
      <c r="CF50" s="91"/>
      <c r="CG50" s="91"/>
      <c r="CH50" s="91"/>
      <c r="CI50" s="91"/>
      <c r="CJ50" s="91"/>
      <c r="CK50" s="91"/>
      <c r="CL50" s="91"/>
      <c r="CM50" s="91"/>
      <c r="CN50" s="91"/>
      <c r="CO50" s="91"/>
      <c r="CP50" s="91"/>
      <c r="CQ50" s="91"/>
      <c r="CR50" s="91"/>
      <c r="CS50" s="91"/>
      <c r="CT50" s="91"/>
      <c r="CU50" s="91"/>
      <c r="CV50" s="91"/>
      <c r="CW50" s="91"/>
      <c r="CX50" s="91"/>
      <c r="CY50" s="91"/>
      <c r="CZ50" s="91"/>
      <c r="DA50" s="91"/>
      <c r="DB50" s="91"/>
      <c r="DC50" s="91"/>
      <c r="DD50" s="91"/>
      <c r="DE50" s="91"/>
      <c r="DF50" s="91"/>
      <c r="DG50" s="91"/>
      <c r="DH50" s="91"/>
      <c r="DI50" s="91"/>
      <c r="DJ50" s="91"/>
    </row>
    <row r="51" spans="1:114" s="119" customFormat="1" ht="24.95" customHeight="1">
      <c r="A51" s="127"/>
      <c r="B51" s="128"/>
      <c r="C51" s="90"/>
      <c r="D51" s="142"/>
      <c r="E51" s="142"/>
      <c r="F51" s="266">
        <v>43517</v>
      </c>
      <c r="G51" s="267" t="str">
        <f>IF(F51="","",IF(F51&gt;data_limpagto,"É devida","Não é devida"))</f>
        <v>É devida</v>
      </c>
      <c r="H51" s="342">
        <f>IF(F51&gt;data_limpagto,remuneração,0)</f>
        <v>1800</v>
      </c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286"/>
      <c r="W51" s="287"/>
      <c r="X51" s="171"/>
      <c r="Y51" s="171"/>
      <c r="Z51" s="171"/>
      <c r="AA51" s="171"/>
      <c r="AB51" s="91"/>
      <c r="AC51" s="92"/>
      <c r="AD51" s="92"/>
      <c r="AE51" s="92"/>
      <c r="AF51" s="92"/>
      <c r="AG51" s="92"/>
      <c r="AH51" s="91"/>
      <c r="AI51" s="91"/>
      <c r="AJ51" s="91"/>
      <c r="AK51" s="91"/>
      <c r="AL51" s="91"/>
      <c r="AM51" s="91"/>
      <c r="AN51" s="91"/>
      <c r="AO51" s="91"/>
      <c r="AP51" s="91"/>
      <c r="AQ51" s="91"/>
      <c r="AR51" s="91"/>
      <c r="AS51" s="91"/>
      <c r="AT51" s="91"/>
      <c r="AU51" s="91"/>
      <c r="AV51" s="91"/>
      <c r="AW51" s="91"/>
      <c r="AX51" s="91"/>
      <c r="AY51" s="91"/>
      <c r="AZ51" s="91"/>
      <c r="BA51" s="91"/>
      <c r="BB51" s="91"/>
      <c r="BC51" s="91"/>
      <c r="BD51" s="91"/>
      <c r="BE51" s="91"/>
      <c r="BF51" s="91"/>
      <c r="BG51" s="91"/>
      <c r="BH51" s="91"/>
      <c r="BI51" s="91"/>
      <c r="BJ51" s="91"/>
      <c r="BK51" s="91"/>
      <c r="BL51" s="91"/>
      <c r="BM51" s="91"/>
      <c r="BN51" s="91"/>
      <c r="BO51" s="91"/>
      <c r="BP51" s="91"/>
      <c r="BQ51" s="91"/>
      <c r="BR51" s="91"/>
      <c r="BS51" s="91"/>
      <c r="BT51" s="91"/>
      <c r="BU51" s="91"/>
      <c r="BV51" s="91"/>
      <c r="BW51" s="91"/>
      <c r="BX51" s="91"/>
      <c r="BY51" s="91"/>
      <c r="BZ51" s="91"/>
      <c r="CA51" s="91"/>
      <c r="CB51" s="91"/>
      <c r="CC51" s="91"/>
      <c r="CD51" s="91"/>
      <c r="CE51" s="91"/>
      <c r="CF51" s="91"/>
      <c r="CG51" s="91"/>
      <c r="CH51" s="91"/>
      <c r="CI51" s="91"/>
      <c r="CJ51" s="91"/>
      <c r="CK51" s="91"/>
      <c r="CL51" s="91"/>
      <c r="CM51" s="91"/>
      <c r="CN51" s="91"/>
      <c r="CO51" s="91"/>
      <c r="CP51" s="91"/>
      <c r="CQ51" s="91"/>
      <c r="CR51" s="91"/>
      <c r="CS51" s="91"/>
      <c r="CT51" s="91"/>
      <c r="CU51" s="91"/>
      <c r="CV51" s="91"/>
      <c r="CW51" s="91"/>
      <c r="CX51" s="91"/>
      <c r="CY51" s="91"/>
      <c r="CZ51" s="91"/>
      <c r="DA51" s="91"/>
      <c r="DB51" s="91"/>
      <c r="DC51" s="91"/>
      <c r="DD51" s="91"/>
      <c r="DE51" s="91"/>
      <c r="DF51" s="91"/>
      <c r="DG51" s="91"/>
      <c r="DH51" s="91"/>
      <c r="DI51" s="91"/>
      <c r="DJ51" s="91"/>
    </row>
    <row r="52" spans="1:114" s="119" customFormat="1" ht="12.75" customHeight="1">
      <c r="A52" s="127"/>
      <c r="B52" s="128"/>
      <c r="C52" s="90"/>
      <c r="D52" s="91"/>
      <c r="E52" s="91"/>
      <c r="F52" s="91"/>
      <c r="G52" s="91"/>
      <c r="H52" s="91"/>
      <c r="I52" s="91"/>
      <c r="J52" s="91"/>
      <c r="K52" s="91"/>
      <c r="L52" s="215"/>
      <c r="M52" s="209"/>
      <c r="N52" s="91"/>
      <c r="O52" s="91"/>
      <c r="P52" s="91"/>
      <c r="Q52" s="91"/>
      <c r="R52" s="91"/>
      <c r="S52" s="91"/>
      <c r="T52" s="91"/>
      <c r="U52" s="91"/>
      <c r="V52" s="127"/>
      <c r="W52" s="129"/>
      <c r="X52" s="91"/>
      <c r="Y52" s="91"/>
      <c r="Z52" s="91"/>
      <c r="AA52" s="91"/>
      <c r="AB52" s="91"/>
      <c r="AC52" s="92"/>
      <c r="AD52" s="92"/>
      <c r="AE52" s="92"/>
      <c r="AF52" s="92"/>
      <c r="AG52" s="92"/>
      <c r="AH52" s="91"/>
      <c r="AI52" s="91"/>
      <c r="AJ52" s="91"/>
      <c r="AK52" s="91"/>
      <c r="AL52" s="91"/>
      <c r="AM52" s="91"/>
      <c r="AN52" s="91"/>
      <c r="AO52" s="91"/>
      <c r="AP52" s="91"/>
      <c r="AQ52" s="91"/>
      <c r="AR52" s="91"/>
      <c r="AS52" s="91"/>
      <c r="AT52" s="91"/>
      <c r="AU52" s="91"/>
      <c r="AV52" s="91"/>
      <c r="AW52" s="91"/>
      <c r="AX52" s="91"/>
      <c r="AY52" s="91"/>
      <c r="AZ52" s="91"/>
      <c r="BA52" s="91"/>
      <c r="BB52" s="91"/>
      <c r="BC52" s="91"/>
      <c r="BD52" s="91"/>
      <c r="BE52" s="91"/>
      <c r="BF52" s="91"/>
      <c r="BG52" s="91"/>
      <c r="BH52" s="91"/>
      <c r="BI52" s="91"/>
      <c r="BJ52" s="91"/>
      <c r="BK52" s="91"/>
      <c r="BL52" s="91"/>
      <c r="BM52" s="91"/>
      <c r="BN52" s="91"/>
      <c r="BO52" s="91"/>
      <c r="BP52" s="91"/>
      <c r="BQ52" s="91"/>
      <c r="BR52" s="91"/>
      <c r="BS52" s="91"/>
      <c r="BT52" s="91"/>
      <c r="BU52" s="91"/>
      <c r="BV52" s="91"/>
      <c r="BW52" s="91"/>
      <c r="BX52" s="91"/>
      <c r="BY52" s="91"/>
      <c r="BZ52" s="91"/>
      <c r="CA52" s="91"/>
      <c r="CB52" s="91"/>
      <c r="CC52" s="91"/>
      <c r="CD52" s="91"/>
      <c r="CE52" s="91"/>
      <c r="CF52" s="91"/>
      <c r="CG52" s="91"/>
      <c r="CH52" s="91"/>
      <c r="CI52" s="91"/>
      <c r="CJ52" s="91"/>
      <c r="CK52" s="91"/>
      <c r="CL52" s="91"/>
      <c r="CM52" s="91"/>
      <c r="CN52" s="91"/>
      <c r="CO52" s="91"/>
      <c r="CP52" s="91"/>
      <c r="CQ52" s="91"/>
      <c r="CR52" s="91"/>
      <c r="CS52" s="91"/>
      <c r="CT52" s="91"/>
      <c r="CU52" s="91"/>
      <c r="CV52" s="91"/>
      <c r="CW52" s="91"/>
      <c r="CX52" s="91"/>
      <c r="CY52" s="91"/>
      <c r="CZ52" s="91"/>
      <c r="DA52" s="91"/>
      <c r="DB52" s="91"/>
      <c r="DC52" s="91"/>
      <c r="DD52" s="91"/>
      <c r="DE52" s="91"/>
      <c r="DF52" s="91"/>
      <c r="DG52" s="91"/>
      <c r="DH52" s="91"/>
      <c r="DI52" s="91"/>
      <c r="DJ52" s="91"/>
    </row>
    <row r="53" spans="1:114" s="119" customFormat="1" ht="12.75" customHeight="1">
      <c r="A53" s="127"/>
      <c r="B53" s="128"/>
      <c r="C53" s="90"/>
      <c r="D53" s="91"/>
      <c r="E53" s="91"/>
      <c r="F53" s="91"/>
      <c r="G53" s="91"/>
      <c r="H53" s="91"/>
      <c r="I53" s="91"/>
      <c r="J53" s="91"/>
      <c r="K53" s="91"/>
      <c r="L53" s="209"/>
      <c r="M53" s="209"/>
      <c r="N53" s="91"/>
      <c r="O53" s="91"/>
      <c r="P53" s="91"/>
      <c r="Q53" s="91"/>
      <c r="R53" s="91"/>
      <c r="S53" s="91"/>
      <c r="T53" s="91"/>
      <c r="U53" s="91"/>
      <c r="V53" s="286"/>
      <c r="W53" s="287"/>
      <c r="X53" s="91"/>
      <c r="Y53" s="91"/>
      <c r="Z53" s="91"/>
      <c r="AA53" s="91"/>
      <c r="AB53" s="91"/>
      <c r="AC53" s="92"/>
      <c r="AD53" s="92"/>
      <c r="AE53" s="92"/>
      <c r="AF53" s="92"/>
      <c r="AG53" s="92"/>
      <c r="AH53" s="91"/>
      <c r="AI53" s="91"/>
      <c r="AJ53" s="91"/>
      <c r="AK53" s="91"/>
      <c r="AL53" s="91"/>
      <c r="AM53" s="91"/>
      <c r="AN53" s="91"/>
      <c r="AO53" s="91"/>
      <c r="AP53" s="91"/>
      <c r="AQ53" s="91"/>
      <c r="AR53" s="91"/>
      <c r="AS53" s="91"/>
      <c r="AT53" s="91"/>
      <c r="AU53" s="91"/>
      <c r="AV53" s="91"/>
      <c r="AW53" s="91"/>
      <c r="AX53" s="91"/>
      <c r="AY53" s="91"/>
      <c r="AZ53" s="91"/>
      <c r="BA53" s="91"/>
      <c r="BB53" s="91"/>
      <c r="BC53" s="91"/>
      <c r="BD53" s="91"/>
      <c r="BE53" s="91"/>
      <c r="BF53" s="91"/>
      <c r="BG53" s="91"/>
      <c r="BH53" s="91"/>
      <c r="BI53" s="91"/>
      <c r="BJ53" s="91"/>
      <c r="BK53" s="91"/>
      <c r="BL53" s="91"/>
      <c r="BM53" s="91"/>
      <c r="BN53" s="91"/>
      <c r="BO53" s="91"/>
      <c r="BP53" s="91"/>
      <c r="BQ53" s="91"/>
      <c r="BR53" s="91"/>
      <c r="BS53" s="91"/>
      <c r="BT53" s="91"/>
      <c r="BU53" s="91"/>
      <c r="BV53" s="91"/>
      <c r="BW53" s="91"/>
      <c r="BX53" s="91"/>
      <c r="BY53" s="91"/>
      <c r="BZ53" s="91"/>
      <c r="CA53" s="91"/>
      <c r="CB53" s="91"/>
      <c r="CC53" s="91"/>
      <c r="CD53" s="91"/>
      <c r="CE53" s="91"/>
      <c r="CF53" s="91"/>
      <c r="CG53" s="91"/>
      <c r="CH53" s="91"/>
      <c r="CI53" s="91"/>
      <c r="CJ53" s="91"/>
      <c r="CK53" s="91"/>
      <c r="CL53" s="91"/>
      <c r="CM53" s="91"/>
      <c r="CN53" s="91"/>
      <c r="CO53" s="91"/>
      <c r="CP53" s="91"/>
      <c r="CQ53" s="91"/>
      <c r="CR53" s="91"/>
      <c r="CS53" s="91"/>
      <c r="CT53" s="91"/>
      <c r="CU53" s="91"/>
      <c r="CV53" s="91"/>
      <c r="CW53" s="91"/>
      <c r="CX53" s="91"/>
      <c r="CY53" s="91"/>
      <c r="CZ53" s="91"/>
      <c r="DA53" s="91"/>
      <c r="DB53" s="91"/>
      <c r="DC53" s="91"/>
      <c r="DD53" s="91"/>
      <c r="DE53" s="91"/>
      <c r="DF53" s="91"/>
      <c r="DG53" s="91"/>
      <c r="DH53" s="91"/>
      <c r="DI53" s="91"/>
      <c r="DJ53" s="91"/>
    </row>
    <row r="54" spans="1:114" s="119" customFormat="1" ht="12.75" customHeight="1">
      <c r="A54" s="127"/>
      <c r="B54" s="128"/>
      <c r="C54" s="90"/>
      <c r="J54" s="91"/>
      <c r="K54" s="91"/>
      <c r="L54" s="136"/>
      <c r="M54" s="136"/>
      <c r="N54" s="91"/>
      <c r="O54" s="91"/>
      <c r="P54" s="91"/>
      <c r="Q54" s="91"/>
      <c r="R54" s="91"/>
      <c r="S54" s="91"/>
      <c r="T54" s="91"/>
      <c r="U54" s="91"/>
      <c r="V54" s="127"/>
      <c r="W54" s="129"/>
      <c r="X54" s="91"/>
      <c r="Y54" s="91"/>
      <c r="Z54" s="91"/>
      <c r="AA54" s="91"/>
      <c r="AB54" s="91"/>
      <c r="AC54" s="92"/>
      <c r="AD54" s="92"/>
      <c r="AE54" s="92"/>
      <c r="AF54" s="92"/>
      <c r="AG54" s="92"/>
      <c r="AH54" s="91"/>
      <c r="AI54" s="91"/>
      <c r="AJ54" s="91"/>
      <c r="AK54" s="91"/>
      <c r="AL54" s="91"/>
      <c r="AM54" s="91"/>
      <c r="AN54" s="91"/>
      <c r="AO54" s="91"/>
      <c r="AP54" s="91"/>
      <c r="AQ54" s="91"/>
      <c r="AR54" s="91"/>
      <c r="AS54" s="91"/>
      <c r="AT54" s="91"/>
      <c r="AU54" s="91"/>
      <c r="AV54" s="91"/>
      <c r="AW54" s="91"/>
      <c r="AX54" s="91"/>
      <c r="AY54" s="91"/>
      <c r="AZ54" s="91"/>
      <c r="BA54" s="91"/>
      <c r="BB54" s="91"/>
      <c r="BC54" s="91"/>
      <c r="BD54" s="91"/>
      <c r="BE54" s="91"/>
      <c r="BF54" s="91"/>
      <c r="BG54" s="91"/>
      <c r="BH54" s="91"/>
      <c r="BI54" s="91"/>
      <c r="BJ54" s="91"/>
      <c r="BK54" s="91"/>
      <c r="BL54" s="91"/>
      <c r="BM54" s="91"/>
      <c r="BN54" s="91"/>
      <c r="BO54" s="91"/>
      <c r="BP54" s="91"/>
      <c r="BQ54" s="91"/>
      <c r="BR54" s="91"/>
      <c r="BS54" s="91"/>
      <c r="BT54" s="91"/>
      <c r="BU54" s="91"/>
      <c r="BV54" s="91"/>
      <c r="BW54" s="91"/>
      <c r="BX54" s="91"/>
      <c r="BY54" s="91"/>
      <c r="BZ54" s="91"/>
      <c r="CA54" s="91"/>
      <c r="CB54" s="91"/>
      <c r="CC54" s="91"/>
      <c r="CD54" s="91"/>
      <c r="CE54" s="91"/>
      <c r="CF54" s="91"/>
      <c r="CG54" s="91"/>
      <c r="CH54" s="91"/>
      <c r="CI54" s="91"/>
      <c r="CJ54" s="91"/>
      <c r="CK54" s="91"/>
      <c r="CL54" s="91"/>
      <c r="CM54" s="91"/>
      <c r="CN54" s="91"/>
      <c r="CO54" s="91"/>
      <c r="CP54" s="91"/>
      <c r="CQ54" s="91"/>
      <c r="CR54" s="91"/>
      <c r="CS54" s="91"/>
      <c r="CT54" s="91"/>
      <c r="CU54" s="91"/>
      <c r="CV54" s="91"/>
      <c r="CW54" s="91"/>
      <c r="CX54" s="91"/>
      <c r="CY54" s="91"/>
      <c r="CZ54" s="91"/>
      <c r="DA54" s="91"/>
      <c r="DB54" s="91"/>
      <c r="DC54" s="91"/>
      <c r="DD54" s="91"/>
      <c r="DE54" s="91"/>
      <c r="DF54" s="91"/>
      <c r="DG54" s="91"/>
      <c r="DH54" s="91"/>
      <c r="DI54" s="91"/>
      <c r="DJ54" s="91"/>
    </row>
    <row r="55" spans="1:114" s="119" customFormat="1" ht="12.75" customHeight="1">
      <c r="A55" s="127"/>
      <c r="B55" s="128"/>
      <c r="C55" s="90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286"/>
      <c r="W55" s="287"/>
      <c r="X55" s="91"/>
      <c r="Y55" s="91"/>
      <c r="Z55" s="91"/>
      <c r="AA55" s="91"/>
      <c r="AB55" s="91"/>
      <c r="AC55" s="92"/>
      <c r="AD55" s="92"/>
      <c r="AE55" s="92"/>
      <c r="AF55" s="92"/>
      <c r="AG55" s="92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91"/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91"/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91"/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</row>
    <row r="56" spans="1:114" s="119" customFormat="1" ht="12.75" customHeight="1">
      <c r="A56" s="127"/>
      <c r="B56" s="128"/>
      <c r="C56" s="90"/>
      <c r="J56" s="91"/>
      <c r="K56" s="91"/>
      <c r="N56" s="396"/>
      <c r="O56" s="396"/>
      <c r="P56" s="424"/>
      <c r="Q56" s="424"/>
      <c r="R56" s="424"/>
      <c r="S56" s="293"/>
      <c r="T56" s="395"/>
      <c r="U56" s="395"/>
      <c r="V56" s="127"/>
      <c r="W56" s="129"/>
      <c r="X56" s="91"/>
      <c r="Y56" s="91"/>
      <c r="Z56" s="91"/>
      <c r="AA56" s="91"/>
      <c r="AB56" s="91"/>
      <c r="AC56" s="92"/>
      <c r="AD56" s="92"/>
      <c r="AE56" s="92"/>
      <c r="AF56" s="92"/>
      <c r="AG56" s="92"/>
      <c r="AH56" s="91"/>
      <c r="AI56" s="91"/>
      <c r="AJ56" s="91"/>
      <c r="AK56" s="91"/>
      <c r="AL56" s="91"/>
      <c r="AM56" s="91"/>
      <c r="AN56" s="91"/>
      <c r="AO56" s="91"/>
      <c r="AP56" s="91"/>
      <c r="AQ56" s="91"/>
      <c r="AR56" s="91"/>
      <c r="AS56" s="91"/>
      <c r="AT56" s="91"/>
      <c r="AU56" s="91"/>
      <c r="AV56" s="91"/>
      <c r="AW56" s="91"/>
      <c r="AX56" s="91"/>
      <c r="AY56" s="91"/>
      <c r="AZ56" s="91"/>
      <c r="BA56" s="91"/>
      <c r="BB56" s="91"/>
      <c r="BC56" s="91"/>
      <c r="BD56" s="91"/>
      <c r="BE56" s="91"/>
      <c r="BF56" s="91"/>
      <c r="BG56" s="91"/>
      <c r="BH56" s="91"/>
      <c r="BI56" s="91"/>
      <c r="BJ56" s="91"/>
      <c r="BK56" s="91"/>
      <c r="BL56" s="91"/>
      <c r="BM56" s="91"/>
      <c r="BN56" s="91"/>
      <c r="BO56" s="91"/>
      <c r="BP56" s="91"/>
      <c r="BQ56" s="91"/>
      <c r="BR56" s="91"/>
      <c r="BS56" s="91"/>
      <c r="BT56" s="91"/>
      <c r="BU56" s="91"/>
      <c r="BV56" s="91"/>
      <c r="BW56" s="91"/>
      <c r="BX56" s="91"/>
      <c r="BY56" s="91"/>
      <c r="BZ56" s="91"/>
      <c r="CA56" s="91"/>
      <c r="CB56" s="91"/>
      <c r="CC56" s="91"/>
      <c r="CD56" s="91"/>
      <c r="CE56" s="91"/>
      <c r="CF56" s="91"/>
      <c r="CG56" s="91"/>
      <c r="CH56" s="91"/>
      <c r="CI56" s="91"/>
      <c r="CJ56" s="91"/>
      <c r="CK56" s="91"/>
      <c r="CL56" s="91"/>
      <c r="CM56" s="91"/>
      <c r="CN56" s="91"/>
      <c r="CO56" s="91"/>
      <c r="CP56" s="91"/>
      <c r="CQ56" s="91"/>
      <c r="CR56" s="91"/>
      <c r="CS56" s="91"/>
      <c r="CT56" s="91"/>
      <c r="CU56" s="91"/>
      <c r="CV56" s="91"/>
      <c r="CW56" s="91"/>
      <c r="CX56" s="91"/>
      <c r="CY56" s="91"/>
      <c r="CZ56" s="91"/>
      <c r="DA56" s="91"/>
      <c r="DB56" s="91"/>
      <c r="DC56" s="91"/>
      <c r="DD56" s="91"/>
      <c r="DE56" s="91"/>
      <c r="DF56" s="91"/>
      <c r="DG56" s="91"/>
      <c r="DH56" s="91"/>
      <c r="DI56" s="91"/>
      <c r="DJ56" s="91"/>
    </row>
    <row r="57" spans="1:114" s="119" customFormat="1" ht="15" customHeight="1">
      <c r="A57" s="127"/>
      <c r="B57" s="128"/>
      <c r="C57" s="90"/>
      <c r="D57" s="389" t="s">
        <v>149</v>
      </c>
      <c r="E57" s="390"/>
      <c r="F57" s="101"/>
      <c r="G57" s="101"/>
      <c r="H57" s="102"/>
      <c r="I57" s="401" t="str">
        <f>CONCATENATE("ATENÇÃO!!!  O PRAZO LIMITE PARA PAGTO DAS VERBAS RESCISÓRIAS É ATÉ:"&amp;" "&amp;(IF($C$161=2,$E$166,$E$167)))</f>
        <v>ATENÇÃO!!!  O PRAZO LIMITE PARA PAGTO DAS VERBAS RESCISÓRIAS É ATÉ: quarta-feira, 20/fevereiro/2019</v>
      </c>
      <c r="J57" s="402"/>
      <c r="K57" s="403"/>
      <c r="L57" s="91"/>
      <c r="M57" s="91"/>
      <c r="N57" s="92"/>
      <c r="O57" s="208"/>
      <c r="P57" s="208"/>
      <c r="Q57" s="208"/>
      <c r="R57" s="92"/>
      <c r="S57" s="92"/>
      <c r="T57" s="92"/>
      <c r="U57" s="92"/>
      <c r="V57" s="286"/>
      <c r="W57" s="287"/>
      <c r="X57" s="91"/>
      <c r="Y57" s="91"/>
      <c r="Z57" s="91"/>
      <c r="AA57" s="91"/>
      <c r="AB57" s="91"/>
      <c r="AC57" s="92"/>
      <c r="AD57" s="92"/>
      <c r="AE57" s="92"/>
      <c r="AF57" s="92"/>
      <c r="AG57" s="92"/>
      <c r="AH57" s="91"/>
      <c r="AI57" s="91"/>
      <c r="AJ57" s="91"/>
      <c r="AK57" s="91"/>
      <c r="AL57" s="91"/>
      <c r="AM57" s="91"/>
      <c r="AN57" s="91"/>
      <c r="AO57" s="91"/>
      <c r="AP57" s="91"/>
      <c r="AQ57" s="91"/>
      <c r="AR57" s="91"/>
      <c r="AS57" s="91"/>
      <c r="AT57" s="91"/>
      <c r="AU57" s="91"/>
      <c r="AV57" s="91"/>
      <c r="AW57" s="91"/>
      <c r="AX57" s="91"/>
      <c r="AY57" s="91"/>
      <c r="AZ57" s="91"/>
      <c r="BA57" s="91"/>
      <c r="BB57" s="91"/>
      <c r="BC57" s="91"/>
      <c r="BD57" s="91"/>
      <c r="BE57" s="91"/>
      <c r="BF57" s="91"/>
      <c r="BG57" s="91"/>
      <c r="BH57" s="91"/>
      <c r="BI57" s="91"/>
      <c r="BJ57" s="91"/>
      <c r="BK57" s="91"/>
      <c r="BL57" s="91"/>
      <c r="BM57" s="91"/>
      <c r="BN57" s="91"/>
      <c r="BO57" s="91"/>
      <c r="BP57" s="91"/>
      <c r="BQ57" s="91"/>
      <c r="BR57" s="91"/>
      <c r="BS57" s="91"/>
      <c r="BT57" s="91"/>
      <c r="BU57" s="91"/>
      <c r="BV57" s="91"/>
      <c r="BW57" s="91"/>
      <c r="BX57" s="91"/>
      <c r="BY57" s="91"/>
      <c r="BZ57" s="91"/>
      <c r="CA57" s="91"/>
      <c r="CB57" s="91"/>
      <c r="CC57" s="91"/>
      <c r="CD57" s="91"/>
      <c r="CE57" s="91"/>
      <c r="CF57" s="91"/>
      <c r="CG57" s="91"/>
      <c r="CH57" s="91"/>
      <c r="CI57" s="91"/>
      <c r="CJ57" s="91"/>
      <c r="CK57" s="91"/>
      <c r="CL57" s="91"/>
      <c r="CM57" s="91"/>
      <c r="CN57" s="91"/>
      <c r="CO57" s="91"/>
      <c r="CP57" s="91"/>
      <c r="CQ57" s="91"/>
      <c r="CR57" s="91"/>
      <c r="CS57" s="91"/>
      <c r="CT57" s="91"/>
      <c r="CU57" s="91"/>
      <c r="CV57" s="91"/>
      <c r="CW57" s="91"/>
      <c r="CX57" s="91"/>
      <c r="CY57" s="91"/>
      <c r="CZ57" s="91"/>
      <c r="DA57" s="91"/>
      <c r="DB57" s="91"/>
      <c r="DC57" s="91"/>
      <c r="DD57" s="91"/>
      <c r="DE57" s="91"/>
      <c r="DF57" s="91"/>
      <c r="DG57" s="91"/>
      <c r="DH57" s="91"/>
      <c r="DI57" s="91"/>
      <c r="DJ57" s="91"/>
    </row>
    <row r="58" spans="1:114" s="119" customFormat="1" ht="15" customHeight="1">
      <c r="A58" s="127"/>
      <c r="B58" s="128"/>
      <c r="C58" s="90"/>
      <c r="D58" s="391"/>
      <c r="E58" s="392"/>
      <c r="F58" s="103"/>
      <c r="G58" s="103"/>
      <c r="H58" s="104"/>
      <c r="I58" s="404"/>
      <c r="J58" s="405"/>
      <c r="K58" s="406"/>
      <c r="L58" s="91"/>
      <c r="M58" s="91"/>
      <c r="N58" s="399"/>
      <c r="O58" s="400"/>
      <c r="P58" s="253"/>
      <c r="Q58" s="253"/>
      <c r="R58" s="254"/>
      <c r="S58" s="254"/>
      <c r="T58" s="176"/>
      <c r="U58" s="176"/>
      <c r="V58" s="127"/>
      <c r="W58" s="129"/>
      <c r="X58" s="91"/>
      <c r="Y58" s="91"/>
      <c r="Z58" s="91"/>
      <c r="AA58" s="91"/>
      <c r="AB58" s="91"/>
      <c r="AC58" s="92"/>
      <c r="AD58" s="92"/>
      <c r="AE58" s="92"/>
      <c r="AF58" s="92"/>
      <c r="AG58" s="92"/>
      <c r="AH58" s="91"/>
      <c r="AI58" s="91"/>
      <c r="AJ58" s="91"/>
      <c r="AK58" s="91"/>
      <c r="AL58" s="91"/>
      <c r="AM58" s="91"/>
      <c r="AN58" s="91"/>
      <c r="AO58" s="91"/>
      <c r="AP58" s="91"/>
      <c r="AQ58" s="91"/>
      <c r="AR58" s="91"/>
      <c r="AS58" s="91"/>
      <c r="AT58" s="91"/>
      <c r="AU58" s="91"/>
      <c r="AV58" s="91"/>
      <c r="AW58" s="91"/>
      <c r="AX58" s="91"/>
      <c r="AY58" s="91"/>
      <c r="AZ58" s="91"/>
      <c r="BA58" s="91"/>
      <c r="BB58" s="91"/>
      <c r="BC58" s="91"/>
      <c r="BD58" s="91"/>
      <c r="BE58" s="91"/>
      <c r="BF58" s="91"/>
      <c r="BG58" s="91"/>
      <c r="BH58" s="91"/>
      <c r="BI58" s="91"/>
      <c r="BJ58" s="91"/>
      <c r="BK58" s="91"/>
      <c r="BL58" s="91"/>
      <c r="BM58" s="91"/>
      <c r="BN58" s="91"/>
      <c r="BO58" s="91"/>
      <c r="BP58" s="91"/>
      <c r="BQ58" s="91"/>
      <c r="BR58" s="91"/>
      <c r="BS58" s="91"/>
      <c r="BT58" s="91"/>
      <c r="BU58" s="91"/>
      <c r="BV58" s="91"/>
      <c r="BW58" s="91"/>
      <c r="BX58" s="91"/>
      <c r="BY58" s="91"/>
      <c r="BZ58" s="91"/>
      <c r="CA58" s="91"/>
      <c r="CB58" s="91"/>
      <c r="CC58" s="91"/>
      <c r="CD58" s="91"/>
      <c r="CE58" s="91"/>
      <c r="CF58" s="91"/>
      <c r="CG58" s="91"/>
      <c r="CH58" s="91"/>
      <c r="CI58" s="91"/>
      <c r="CJ58" s="91"/>
      <c r="CK58" s="91"/>
      <c r="CL58" s="91"/>
      <c r="CM58" s="91"/>
      <c r="CN58" s="91"/>
      <c r="CO58" s="91"/>
      <c r="CP58" s="91"/>
      <c r="CQ58" s="91"/>
      <c r="CR58" s="91"/>
      <c r="CS58" s="91"/>
      <c r="CT58" s="91"/>
      <c r="CU58" s="91"/>
      <c r="CV58" s="91"/>
      <c r="CW58" s="91"/>
      <c r="CX58" s="91"/>
      <c r="CY58" s="91"/>
      <c r="CZ58" s="91"/>
      <c r="DA58" s="91"/>
      <c r="DB58" s="91"/>
      <c r="DC58" s="91"/>
      <c r="DD58" s="91"/>
      <c r="DE58" s="91"/>
      <c r="DF58" s="91"/>
      <c r="DG58" s="91"/>
      <c r="DH58" s="91"/>
      <c r="DI58" s="91"/>
      <c r="DJ58" s="91"/>
    </row>
    <row r="59" spans="1:114" s="119" customFormat="1" ht="15" customHeight="1">
      <c r="A59" s="127"/>
      <c r="B59" s="128"/>
      <c r="C59" s="90"/>
      <c r="D59" s="391"/>
      <c r="E59" s="392"/>
      <c r="F59" s="103"/>
      <c r="G59" s="103"/>
      <c r="H59" s="104"/>
      <c r="I59" s="404"/>
      <c r="J59" s="405"/>
      <c r="K59" s="406"/>
      <c r="L59" s="91"/>
      <c r="M59" s="91"/>
      <c r="N59" s="92"/>
      <c r="O59" s="208"/>
      <c r="P59" s="208"/>
      <c r="Q59" s="208"/>
      <c r="R59" s="92"/>
      <c r="S59" s="92"/>
      <c r="T59" s="92"/>
      <c r="U59" s="92"/>
      <c r="V59" s="286"/>
      <c r="W59" s="287"/>
      <c r="X59" s="91"/>
      <c r="Y59" s="91"/>
      <c r="Z59" s="91"/>
      <c r="AA59" s="91"/>
      <c r="AB59" s="91"/>
      <c r="AC59" s="92"/>
      <c r="AD59" s="92"/>
      <c r="AE59" s="92"/>
      <c r="AF59" s="92"/>
      <c r="AG59" s="92"/>
      <c r="AH59" s="91"/>
      <c r="AI59" s="91"/>
      <c r="AJ59" s="91"/>
      <c r="AK59" s="91"/>
      <c r="AL59" s="91"/>
      <c r="AM59" s="91"/>
      <c r="AN59" s="91"/>
      <c r="AO59" s="91"/>
      <c r="AP59" s="91"/>
      <c r="AQ59" s="91"/>
      <c r="AR59" s="91"/>
      <c r="AS59" s="91"/>
      <c r="AT59" s="91"/>
      <c r="AU59" s="91"/>
      <c r="AV59" s="91"/>
      <c r="AW59" s="91"/>
      <c r="AX59" s="91"/>
      <c r="AY59" s="91"/>
      <c r="AZ59" s="91"/>
      <c r="BA59" s="91"/>
      <c r="BB59" s="91"/>
      <c r="BC59" s="91"/>
      <c r="BD59" s="91"/>
      <c r="BE59" s="91"/>
      <c r="BF59" s="91"/>
      <c r="BG59" s="91"/>
      <c r="BH59" s="91"/>
      <c r="BI59" s="91"/>
      <c r="BJ59" s="91"/>
      <c r="BK59" s="91"/>
      <c r="BL59" s="91"/>
      <c r="BM59" s="91"/>
      <c r="BN59" s="91"/>
      <c r="BO59" s="91"/>
      <c r="BP59" s="91"/>
      <c r="BQ59" s="91"/>
      <c r="BR59" s="91"/>
      <c r="BS59" s="91"/>
      <c r="BT59" s="91"/>
      <c r="BU59" s="91"/>
      <c r="BV59" s="91"/>
      <c r="BW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I59" s="91"/>
      <c r="CJ59" s="91"/>
      <c r="CK59" s="91"/>
      <c r="CL59" s="91"/>
      <c r="CM59" s="91"/>
      <c r="CN59" s="91"/>
      <c r="CO59" s="91"/>
      <c r="CP59" s="91"/>
      <c r="CQ59" s="91"/>
      <c r="CR59" s="91"/>
      <c r="CS59" s="91"/>
      <c r="CT59" s="91"/>
      <c r="CU59" s="91"/>
      <c r="CV59" s="91"/>
      <c r="CW59" s="91"/>
      <c r="CX59" s="91"/>
      <c r="CY59" s="91"/>
      <c r="CZ59" s="91"/>
      <c r="DA59" s="91"/>
      <c r="DB59" s="91"/>
      <c r="DC59" s="91"/>
      <c r="DD59" s="91"/>
      <c r="DE59" s="91"/>
      <c r="DF59" s="91"/>
      <c r="DG59" s="91"/>
      <c r="DH59" s="91"/>
      <c r="DI59" s="91"/>
      <c r="DJ59" s="91"/>
    </row>
    <row r="60" spans="1:114" s="119" customFormat="1" ht="15" customHeight="1">
      <c r="A60" s="127"/>
      <c r="B60" s="128"/>
      <c r="C60" s="90"/>
      <c r="D60" s="391"/>
      <c r="E60" s="392"/>
      <c r="F60" s="103"/>
      <c r="G60" s="103"/>
      <c r="H60" s="104"/>
      <c r="I60" s="404"/>
      <c r="J60" s="405"/>
      <c r="K60" s="406"/>
      <c r="L60" s="91"/>
      <c r="M60" s="91"/>
      <c r="N60" s="399"/>
      <c r="O60" s="400"/>
      <c r="P60" s="397"/>
      <c r="Q60" s="397"/>
      <c r="R60" s="398"/>
      <c r="S60" s="174"/>
      <c r="T60" s="255"/>
      <c r="U60" s="176"/>
      <c r="V60" s="127"/>
      <c r="W60" s="129"/>
      <c r="X60" s="91"/>
      <c r="Y60" s="91"/>
      <c r="Z60" s="91"/>
      <c r="AA60" s="91"/>
      <c r="AB60" s="91"/>
      <c r="AC60" s="92"/>
      <c r="AD60" s="92"/>
      <c r="AE60" s="92"/>
      <c r="AF60" s="92"/>
      <c r="AG60" s="92"/>
      <c r="AH60" s="91"/>
      <c r="AI60" s="91"/>
      <c r="AJ60" s="91"/>
      <c r="AK60" s="91"/>
      <c r="AL60" s="91"/>
      <c r="AM60" s="91"/>
      <c r="AN60" s="91"/>
      <c r="AO60" s="91"/>
      <c r="AP60" s="91"/>
      <c r="AQ60" s="91"/>
      <c r="AR60" s="91"/>
      <c r="AS60" s="91"/>
      <c r="AT60" s="91"/>
      <c r="AU60" s="91"/>
      <c r="AV60" s="91"/>
      <c r="AW60" s="91"/>
      <c r="AX60" s="91"/>
      <c r="AY60" s="91"/>
      <c r="AZ60" s="91"/>
      <c r="BA60" s="91"/>
      <c r="BB60" s="91"/>
      <c r="BC60" s="91"/>
      <c r="BD60" s="91"/>
      <c r="BE60" s="91"/>
      <c r="BF60" s="91"/>
      <c r="BG60" s="91"/>
      <c r="BH60" s="91"/>
      <c r="BI60" s="91"/>
      <c r="BJ60" s="91"/>
      <c r="BK60" s="91"/>
      <c r="BL60" s="91"/>
      <c r="BM60" s="91"/>
      <c r="BN60" s="91"/>
      <c r="BO60" s="91"/>
      <c r="BP60" s="91"/>
      <c r="BQ60" s="91"/>
      <c r="BR60" s="91"/>
      <c r="BS60" s="91"/>
      <c r="BT60" s="91"/>
      <c r="BU60" s="91"/>
      <c r="BV60" s="91"/>
      <c r="BW60" s="91"/>
      <c r="BX60" s="91"/>
      <c r="BY60" s="91"/>
      <c r="BZ60" s="91"/>
      <c r="CA60" s="91"/>
      <c r="CB60" s="91"/>
      <c r="CC60" s="91"/>
      <c r="CD60" s="91"/>
      <c r="CE60" s="91"/>
      <c r="CF60" s="91"/>
      <c r="CG60" s="91"/>
      <c r="CH60" s="91"/>
      <c r="CI60" s="91"/>
      <c r="CJ60" s="91"/>
      <c r="CK60" s="91"/>
      <c r="CL60" s="91"/>
      <c r="CM60" s="91"/>
      <c r="CN60" s="91"/>
      <c r="CO60" s="91"/>
      <c r="CP60" s="91"/>
      <c r="CQ60" s="91"/>
      <c r="CR60" s="91"/>
      <c r="CS60" s="91"/>
      <c r="CT60" s="91"/>
      <c r="CU60" s="91"/>
      <c r="CV60" s="91"/>
      <c r="CW60" s="91"/>
      <c r="CX60" s="91"/>
      <c r="CY60" s="91"/>
      <c r="CZ60" s="91"/>
      <c r="DA60" s="91"/>
      <c r="DB60" s="91"/>
      <c r="DC60" s="91"/>
      <c r="DD60" s="91"/>
      <c r="DE60" s="91"/>
      <c r="DF60" s="91"/>
      <c r="DG60" s="91"/>
      <c r="DH60" s="91"/>
      <c r="DI60" s="91"/>
      <c r="DJ60" s="91"/>
    </row>
    <row r="61" spans="1:114" s="119" customFormat="1" ht="15" customHeight="1">
      <c r="A61" s="127"/>
      <c r="B61" s="128"/>
      <c r="C61" s="90"/>
      <c r="D61" s="393"/>
      <c r="E61" s="394"/>
      <c r="F61" s="105"/>
      <c r="G61" s="105"/>
      <c r="H61" s="106"/>
      <c r="I61" s="407"/>
      <c r="J61" s="408"/>
      <c r="K61" s="409"/>
      <c r="L61" s="208"/>
      <c r="M61" s="208"/>
      <c r="N61" s="172"/>
      <c r="O61" s="173"/>
      <c r="P61" s="174"/>
      <c r="Q61" s="174"/>
      <c r="R61" s="174"/>
      <c r="S61" s="174"/>
      <c r="T61" s="137"/>
      <c r="U61" s="137"/>
      <c r="V61" s="286"/>
      <c r="W61" s="287"/>
      <c r="X61" s="91"/>
      <c r="Y61" s="91"/>
      <c r="Z61" s="91"/>
      <c r="AA61" s="91"/>
      <c r="AB61" s="91"/>
      <c r="AC61" s="92"/>
      <c r="AD61" s="92"/>
      <c r="AE61" s="92"/>
      <c r="AF61" s="92"/>
      <c r="AG61" s="92"/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1"/>
      <c r="AS61" s="91"/>
      <c r="AT61" s="91"/>
      <c r="AU61" s="91"/>
      <c r="AV61" s="91"/>
      <c r="AW61" s="91"/>
      <c r="AX61" s="91"/>
      <c r="AY61" s="91"/>
      <c r="AZ61" s="91"/>
      <c r="BA61" s="91"/>
      <c r="BB61" s="91"/>
      <c r="BC61" s="91"/>
      <c r="BD61" s="91"/>
      <c r="BE61" s="91"/>
      <c r="BF61" s="91"/>
      <c r="BG61" s="91"/>
      <c r="BH61" s="91"/>
      <c r="BI61" s="91"/>
      <c r="BJ61" s="91"/>
      <c r="BK61" s="91"/>
      <c r="BL61" s="91"/>
      <c r="BM61" s="91"/>
      <c r="BN61" s="91"/>
      <c r="BO61" s="91"/>
      <c r="BP61" s="91"/>
      <c r="BQ61" s="91"/>
      <c r="BR61" s="91"/>
      <c r="BS61" s="91"/>
      <c r="BT61" s="91"/>
      <c r="BU61" s="91"/>
      <c r="BV61" s="91"/>
      <c r="BW61" s="91"/>
      <c r="BX61" s="91"/>
      <c r="BY61" s="91"/>
      <c r="BZ61" s="91"/>
      <c r="CA61" s="91"/>
      <c r="CB61" s="91"/>
      <c r="CC61" s="91"/>
      <c r="CD61" s="91"/>
      <c r="CE61" s="91"/>
      <c r="CF61" s="91"/>
      <c r="CG61" s="91"/>
      <c r="CH61" s="91"/>
      <c r="CI61" s="91"/>
      <c r="CJ61" s="91"/>
      <c r="CK61" s="91"/>
      <c r="CL61" s="91"/>
      <c r="CM61" s="91"/>
      <c r="CN61" s="91"/>
      <c r="CO61" s="91"/>
      <c r="CP61" s="91"/>
      <c r="CQ61" s="91"/>
      <c r="CR61" s="91"/>
      <c r="CS61" s="91"/>
      <c r="CT61" s="91"/>
      <c r="CU61" s="91"/>
      <c r="CV61" s="91"/>
      <c r="CW61" s="91"/>
      <c r="CX61" s="91"/>
      <c r="CY61" s="91"/>
      <c r="CZ61" s="91"/>
      <c r="DA61" s="91"/>
      <c r="DB61" s="91"/>
      <c r="DC61" s="91"/>
      <c r="DD61" s="91"/>
      <c r="DE61" s="91"/>
      <c r="DF61" s="91"/>
      <c r="DG61" s="91"/>
      <c r="DH61" s="91"/>
      <c r="DI61" s="91"/>
      <c r="DJ61" s="91"/>
    </row>
    <row r="62" spans="1:114" s="119" customFormat="1" ht="12.75" customHeight="1">
      <c r="A62" s="127"/>
      <c r="B62" s="128"/>
      <c r="C62" s="90"/>
      <c r="J62" s="207"/>
      <c r="K62" s="206"/>
      <c r="L62" s="206"/>
      <c r="M62" s="206"/>
      <c r="N62" s="396"/>
      <c r="O62" s="396"/>
      <c r="P62" s="256"/>
      <c r="Q62" s="256"/>
      <c r="R62" s="254"/>
      <c r="S62" s="254"/>
      <c r="T62" s="395"/>
      <c r="U62" s="395"/>
      <c r="V62" s="127"/>
      <c r="W62" s="129"/>
      <c r="X62" s="91"/>
      <c r="Y62" s="91"/>
      <c r="Z62" s="91"/>
      <c r="AA62" s="91"/>
      <c r="AB62" s="91"/>
      <c r="AC62" s="92"/>
      <c r="AD62" s="92"/>
      <c r="AE62" s="92"/>
      <c r="AF62" s="92"/>
      <c r="AG62" s="92"/>
      <c r="AH62" s="91"/>
      <c r="AI62" s="91"/>
      <c r="AJ62" s="91"/>
      <c r="AK62" s="91"/>
      <c r="AL62" s="91"/>
      <c r="AM62" s="91"/>
      <c r="AN62" s="91"/>
      <c r="AO62" s="91"/>
      <c r="AP62" s="91"/>
      <c r="AQ62" s="91"/>
      <c r="AR62" s="91"/>
      <c r="AS62" s="91"/>
      <c r="AT62" s="91"/>
      <c r="AU62" s="91"/>
      <c r="AV62" s="91"/>
      <c r="AW62" s="91"/>
      <c r="AX62" s="91"/>
      <c r="AY62" s="91"/>
      <c r="AZ62" s="91"/>
      <c r="BA62" s="91"/>
      <c r="BB62" s="91"/>
      <c r="BC62" s="91"/>
      <c r="BD62" s="91"/>
      <c r="BE62" s="91"/>
      <c r="BF62" s="91"/>
      <c r="BG62" s="91"/>
      <c r="BH62" s="91"/>
      <c r="BI62" s="91"/>
      <c r="BJ62" s="91"/>
      <c r="BK62" s="91"/>
      <c r="BL62" s="91"/>
      <c r="BM62" s="91"/>
      <c r="BN62" s="91"/>
      <c r="BO62" s="91"/>
      <c r="BP62" s="91"/>
      <c r="BQ62" s="91"/>
      <c r="BR62" s="91"/>
      <c r="BS62" s="91"/>
      <c r="BT62" s="91"/>
      <c r="BU62" s="91"/>
      <c r="BV62" s="91"/>
      <c r="BW62" s="91"/>
      <c r="BX62" s="91"/>
      <c r="BY62" s="91"/>
      <c r="BZ62" s="91"/>
      <c r="CA62" s="91"/>
      <c r="CB62" s="91"/>
      <c r="CC62" s="91"/>
      <c r="CD62" s="91"/>
      <c r="CE62" s="91"/>
      <c r="CF62" s="91"/>
      <c r="CG62" s="91"/>
      <c r="CH62" s="91"/>
      <c r="CI62" s="91"/>
      <c r="CJ62" s="91"/>
      <c r="CK62" s="91"/>
      <c r="CL62" s="91"/>
      <c r="CM62" s="91"/>
      <c r="CN62" s="91"/>
      <c r="CO62" s="91"/>
      <c r="CP62" s="91"/>
      <c r="CQ62" s="91"/>
      <c r="CR62" s="91"/>
      <c r="CS62" s="91"/>
      <c r="CT62" s="91"/>
      <c r="CU62" s="91"/>
      <c r="CV62" s="91"/>
      <c r="CW62" s="91"/>
      <c r="CX62" s="91"/>
      <c r="CY62" s="91"/>
      <c r="CZ62" s="91"/>
      <c r="DA62" s="91"/>
      <c r="DB62" s="91"/>
      <c r="DC62" s="91"/>
      <c r="DD62" s="91"/>
      <c r="DE62" s="91"/>
      <c r="DF62" s="91"/>
      <c r="DG62" s="91"/>
      <c r="DH62" s="91"/>
      <c r="DI62" s="91"/>
      <c r="DJ62" s="91"/>
    </row>
    <row r="63" spans="1:114" s="119" customFormat="1" ht="12.75" customHeight="1" thickBot="1">
      <c r="A63" s="127"/>
      <c r="B63" s="285"/>
      <c r="C63" s="90"/>
      <c r="J63" s="208"/>
      <c r="K63" s="208"/>
      <c r="L63" s="208"/>
      <c r="M63" s="208"/>
      <c r="N63" s="92"/>
      <c r="O63" s="92"/>
      <c r="P63" s="92"/>
      <c r="Q63" s="92"/>
      <c r="R63" s="92"/>
      <c r="S63" s="92"/>
      <c r="T63" s="92"/>
      <c r="U63" s="92"/>
      <c r="V63" s="286"/>
      <c r="W63" s="287"/>
      <c r="X63" s="91"/>
      <c r="Y63" s="91"/>
      <c r="Z63" s="91"/>
      <c r="AA63" s="91"/>
      <c r="AB63" s="91"/>
      <c r="AC63" s="92"/>
      <c r="AD63" s="92"/>
      <c r="AE63" s="92"/>
      <c r="AF63" s="92"/>
      <c r="AG63" s="92"/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1"/>
      <c r="AS63" s="91"/>
      <c r="AT63" s="91"/>
      <c r="AU63" s="91"/>
      <c r="AV63" s="91"/>
      <c r="AW63" s="91"/>
      <c r="AX63" s="91"/>
      <c r="AY63" s="91"/>
      <c r="AZ63" s="91"/>
      <c r="BA63" s="91"/>
      <c r="BB63" s="91"/>
      <c r="BC63" s="91"/>
      <c r="BD63" s="91"/>
      <c r="BE63" s="91"/>
      <c r="BF63" s="91"/>
      <c r="BG63" s="91"/>
      <c r="BH63" s="91"/>
      <c r="BI63" s="91"/>
      <c r="BJ63" s="91"/>
      <c r="BK63" s="91"/>
      <c r="BL63" s="91"/>
      <c r="BM63" s="91"/>
      <c r="BN63" s="91"/>
      <c r="BO63" s="91"/>
      <c r="BP63" s="91"/>
      <c r="BQ63" s="91"/>
      <c r="BR63" s="91"/>
      <c r="BS63" s="91"/>
      <c r="BT63" s="91"/>
      <c r="BU63" s="91"/>
      <c r="BV63" s="91"/>
      <c r="BW63" s="91"/>
      <c r="BX63" s="91"/>
      <c r="BY63" s="91"/>
      <c r="BZ63" s="91"/>
      <c r="CA63" s="91"/>
      <c r="CB63" s="91"/>
      <c r="CC63" s="91"/>
      <c r="CD63" s="91"/>
      <c r="CE63" s="91"/>
      <c r="CF63" s="91"/>
      <c r="CG63" s="91"/>
      <c r="CH63" s="91"/>
      <c r="CI63" s="91"/>
      <c r="CJ63" s="91"/>
      <c r="CK63" s="91"/>
      <c r="CL63" s="91"/>
      <c r="CM63" s="91"/>
      <c r="CN63" s="91"/>
      <c r="CO63" s="91"/>
      <c r="CP63" s="91"/>
      <c r="CQ63" s="91"/>
      <c r="CR63" s="91"/>
      <c r="CS63" s="91"/>
      <c r="CT63" s="91"/>
      <c r="CU63" s="91"/>
      <c r="CV63" s="91"/>
      <c r="CW63" s="91"/>
      <c r="CX63" s="91"/>
      <c r="CY63" s="91"/>
      <c r="CZ63" s="91"/>
      <c r="DA63" s="91"/>
      <c r="DB63" s="91"/>
      <c r="DC63" s="91"/>
      <c r="DD63" s="91"/>
      <c r="DE63" s="91"/>
      <c r="DF63" s="91"/>
      <c r="DG63" s="91"/>
      <c r="DH63" s="91"/>
      <c r="DI63" s="91"/>
      <c r="DJ63" s="91"/>
    </row>
    <row r="64" spans="1:114" s="119" customFormat="1" ht="12.75" customHeight="1" thickTop="1">
      <c r="A64" s="289"/>
      <c r="B64" s="128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128"/>
      <c r="W64" s="285"/>
      <c r="X64" s="91"/>
      <c r="Y64" s="91"/>
      <c r="Z64" s="91"/>
      <c r="AA64" s="91"/>
      <c r="AB64" s="91"/>
      <c r="AC64" s="92"/>
      <c r="AD64" s="92"/>
      <c r="AE64" s="92"/>
      <c r="AF64" s="92"/>
      <c r="AG64" s="92"/>
      <c r="AH64" s="91"/>
      <c r="AI64" s="91"/>
      <c r="AJ64" s="91"/>
      <c r="AK64" s="91"/>
      <c r="AL64" s="91"/>
      <c r="AM64" s="91"/>
      <c r="AN64" s="91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1"/>
      <c r="BA64" s="91"/>
      <c r="BB64" s="91"/>
      <c r="BC64" s="91"/>
      <c r="BD64" s="91"/>
      <c r="BE64" s="91"/>
      <c r="BF64" s="91"/>
      <c r="BG64" s="91"/>
      <c r="BH64" s="91"/>
      <c r="BI64" s="91"/>
      <c r="BJ64" s="91"/>
      <c r="BK64" s="91"/>
      <c r="BL64" s="91"/>
      <c r="BM64" s="91"/>
      <c r="BN64" s="91"/>
      <c r="BO64" s="91"/>
      <c r="BP64" s="91"/>
      <c r="BQ64" s="91"/>
      <c r="BR64" s="91"/>
      <c r="BS64" s="91"/>
      <c r="BT64" s="91"/>
      <c r="BU64" s="91"/>
      <c r="BV64" s="91"/>
      <c r="BW64" s="91"/>
      <c r="BX64" s="91"/>
      <c r="BY64" s="91"/>
      <c r="BZ64" s="91"/>
      <c r="CA64" s="91"/>
      <c r="CB64" s="91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91"/>
      <c r="CN64" s="91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1"/>
      <c r="CZ64" s="91"/>
      <c r="DA64" s="91"/>
      <c r="DB64" s="91"/>
      <c r="DC64" s="91"/>
      <c r="DD64" s="91"/>
      <c r="DE64" s="91"/>
      <c r="DF64" s="91"/>
      <c r="DG64" s="91"/>
      <c r="DH64" s="91"/>
      <c r="DI64" s="91"/>
      <c r="DJ64" s="91"/>
    </row>
    <row r="65" spans="1:114" s="119" customFormat="1" ht="12.75" customHeight="1" thickBot="1">
      <c r="A65" s="290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91"/>
      <c r="X65" s="91"/>
      <c r="Y65" s="91"/>
      <c r="Z65" s="91"/>
      <c r="AA65" s="91"/>
      <c r="AB65" s="91"/>
      <c r="AC65" s="92"/>
      <c r="AD65" s="92"/>
      <c r="AE65" s="92"/>
      <c r="AF65" s="92"/>
      <c r="AG65" s="92"/>
      <c r="AH65" s="91"/>
      <c r="AI65" s="91"/>
      <c r="AJ65" s="91"/>
      <c r="AK65" s="91"/>
      <c r="AL65" s="91"/>
      <c r="AM65" s="91"/>
      <c r="AN65" s="91"/>
      <c r="AO65" s="91"/>
      <c r="AP65" s="91"/>
      <c r="AQ65" s="91"/>
      <c r="AR65" s="91"/>
      <c r="AS65" s="91"/>
      <c r="AT65" s="91"/>
      <c r="AU65" s="91"/>
      <c r="AV65" s="91"/>
      <c r="AW65" s="91"/>
      <c r="AX65" s="91"/>
      <c r="AY65" s="91"/>
      <c r="AZ65" s="91"/>
      <c r="BA65" s="91"/>
      <c r="BB65" s="91"/>
      <c r="BC65" s="91"/>
      <c r="BD65" s="91"/>
      <c r="BE65" s="91"/>
      <c r="BF65" s="91"/>
      <c r="BG65" s="91"/>
      <c r="BH65" s="91"/>
      <c r="BI65" s="91"/>
      <c r="BJ65" s="91"/>
      <c r="BK65" s="91"/>
      <c r="BL65" s="91"/>
      <c r="BM65" s="91"/>
      <c r="BN65" s="91"/>
      <c r="BO65" s="91"/>
      <c r="BP65" s="91"/>
      <c r="BQ65" s="91"/>
      <c r="BR65" s="91"/>
      <c r="BS65" s="91"/>
      <c r="BT65" s="91"/>
      <c r="BU65" s="91"/>
      <c r="BV65" s="91"/>
      <c r="BW65" s="91"/>
      <c r="BX65" s="91"/>
      <c r="BY65" s="91"/>
      <c r="BZ65" s="91"/>
      <c r="CA65" s="91"/>
      <c r="CB65" s="91"/>
      <c r="CC65" s="91"/>
      <c r="CD65" s="91"/>
      <c r="CE65" s="91"/>
      <c r="CF65" s="91"/>
      <c r="CG65" s="91"/>
      <c r="CH65" s="91"/>
      <c r="CI65" s="91"/>
      <c r="CJ65" s="91"/>
      <c r="CK65" s="91"/>
      <c r="CL65" s="91"/>
      <c r="CM65" s="91"/>
      <c r="CN65" s="91"/>
      <c r="CO65" s="91"/>
      <c r="CP65" s="91"/>
      <c r="CQ65" s="91"/>
      <c r="CR65" s="91"/>
      <c r="CS65" s="91"/>
      <c r="CT65" s="91"/>
      <c r="CU65" s="91"/>
      <c r="CV65" s="91"/>
      <c r="CW65" s="91"/>
      <c r="CX65" s="91"/>
      <c r="CY65" s="91"/>
      <c r="CZ65" s="91"/>
      <c r="DA65" s="91"/>
      <c r="DB65" s="91"/>
      <c r="DC65" s="91"/>
      <c r="DD65" s="91"/>
      <c r="DE65" s="91"/>
      <c r="DF65" s="91"/>
      <c r="DG65" s="91"/>
      <c r="DH65" s="91"/>
      <c r="DI65" s="91"/>
      <c r="DJ65" s="91"/>
    </row>
    <row r="66" spans="1:114" s="119" customFormat="1" ht="12.75" hidden="1" customHeight="1" thickTop="1">
      <c r="A66" s="92"/>
      <c r="B66" s="92"/>
      <c r="C66" s="91"/>
      <c r="J66" s="216"/>
      <c r="K66" s="192"/>
      <c r="L66" s="193"/>
      <c r="M66" s="193"/>
      <c r="N66" s="399"/>
      <c r="O66" s="399"/>
      <c r="P66" s="410"/>
      <c r="Q66" s="410"/>
      <c r="R66" s="411"/>
      <c r="S66" s="294"/>
      <c r="T66" s="257"/>
      <c r="U66" s="257"/>
      <c r="V66" s="195"/>
      <c r="W66" s="91"/>
      <c r="X66" s="91"/>
      <c r="Y66" s="91"/>
      <c r="Z66" s="91"/>
      <c r="AA66" s="91"/>
      <c r="AB66" s="91"/>
      <c r="AC66" s="92"/>
      <c r="AD66" s="92"/>
      <c r="AE66" s="92"/>
      <c r="AF66" s="92"/>
      <c r="AG66" s="92"/>
      <c r="AH66" s="91"/>
      <c r="AI66" s="91"/>
      <c r="AJ66" s="91"/>
      <c r="AK66" s="91"/>
      <c r="AL66" s="91"/>
      <c r="AM66" s="91"/>
      <c r="AN66" s="91"/>
      <c r="AO66" s="91"/>
      <c r="AP66" s="91"/>
      <c r="AQ66" s="91"/>
      <c r="AR66" s="91"/>
      <c r="AS66" s="91"/>
      <c r="AT66" s="91"/>
      <c r="AU66" s="91"/>
      <c r="AV66" s="91"/>
      <c r="AW66" s="91"/>
      <c r="AX66" s="91"/>
      <c r="AY66" s="91"/>
      <c r="AZ66" s="91"/>
      <c r="BA66" s="91"/>
      <c r="BB66" s="91"/>
      <c r="BC66" s="91"/>
      <c r="BD66" s="91"/>
      <c r="BE66" s="91"/>
      <c r="BF66" s="91"/>
      <c r="BG66" s="91"/>
      <c r="BH66" s="91"/>
      <c r="BI66" s="91"/>
      <c r="BJ66" s="91"/>
      <c r="BK66" s="91"/>
      <c r="BL66" s="91"/>
      <c r="BM66" s="91"/>
      <c r="BN66" s="91"/>
      <c r="BO66" s="91"/>
      <c r="BP66" s="91"/>
      <c r="BQ66" s="91"/>
      <c r="BR66" s="91"/>
      <c r="BS66" s="91"/>
      <c r="BT66" s="91"/>
      <c r="BU66" s="91"/>
      <c r="BV66" s="91"/>
      <c r="BW66" s="91"/>
      <c r="BX66" s="91"/>
      <c r="BY66" s="91"/>
      <c r="BZ66" s="91"/>
      <c r="CA66" s="91"/>
      <c r="CB66" s="91"/>
      <c r="CC66" s="91"/>
      <c r="CD66" s="91"/>
      <c r="CE66" s="91"/>
      <c r="CF66" s="91"/>
      <c r="CG66" s="91"/>
      <c r="CH66" s="91"/>
      <c r="CI66" s="91"/>
      <c r="CJ66" s="91"/>
      <c r="CK66" s="91"/>
      <c r="CL66" s="91"/>
      <c r="CM66" s="91"/>
      <c r="CN66" s="91"/>
      <c r="CO66" s="91"/>
      <c r="CP66" s="91"/>
      <c r="CQ66" s="91"/>
      <c r="CR66" s="91"/>
      <c r="CS66" s="91"/>
      <c r="CT66" s="91"/>
      <c r="CU66" s="91"/>
      <c r="CV66" s="91"/>
      <c r="CW66" s="91"/>
      <c r="CX66" s="91"/>
      <c r="CY66" s="91"/>
      <c r="CZ66" s="91"/>
      <c r="DA66" s="91"/>
      <c r="DB66" s="91"/>
      <c r="DC66" s="91"/>
      <c r="DD66" s="91"/>
      <c r="DE66" s="91"/>
      <c r="DF66" s="91"/>
      <c r="DG66" s="91"/>
      <c r="DH66" s="91"/>
      <c r="DI66" s="91"/>
      <c r="DJ66" s="91"/>
    </row>
    <row r="67" spans="1:114" s="119" customFormat="1" ht="12.75" hidden="1" customHeight="1">
      <c r="A67" s="92"/>
      <c r="B67" s="92"/>
      <c r="C67" s="91"/>
      <c r="D67" s="92"/>
      <c r="E67" s="208"/>
      <c r="F67" s="208"/>
      <c r="G67" s="208"/>
      <c r="H67" s="208"/>
      <c r="I67" s="208"/>
      <c r="J67" s="208"/>
      <c r="K67" s="208"/>
      <c r="L67" s="208"/>
      <c r="M67" s="208"/>
      <c r="N67" s="92"/>
      <c r="O67" s="92"/>
      <c r="P67" s="92"/>
      <c r="Q67" s="92"/>
      <c r="R67" s="92"/>
      <c r="S67" s="92"/>
      <c r="T67" s="92"/>
      <c r="U67" s="92"/>
      <c r="V67" s="92"/>
      <c r="W67" s="91"/>
      <c r="X67" s="91"/>
      <c r="Y67" s="91"/>
      <c r="Z67" s="91"/>
      <c r="AA67" s="91"/>
      <c r="AB67" s="91"/>
      <c r="AC67" s="92"/>
      <c r="AD67" s="92"/>
      <c r="AE67" s="92"/>
      <c r="AF67" s="92"/>
      <c r="AG67" s="92"/>
      <c r="AH67" s="91"/>
      <c r="AI67" s="91"/>
      <c r="AJ67" s="91"/>
      <c r="AK67" s="91"/>
      <c r="AL67" s="91"/>
      <c r="AM67" s="91"/>
      <c r="AN67" s="91"/>
      <c r="AO67" s="91"/>
      <c r="AP67" s="91"/>
      <c r="AQ67" s="91"/>
      <c r="AR67" s="91"/>
      <c r="AS67" s="91"/>
      <c r="AT67" s="91"/>
      <c r="AU67" s="91"/>
      <c r="AV67" s="91"/>
      <c r="AW67" s="91"/>
      <c r="AX67" s="91"/>
      <c r="AY67" s="91"/>
      <c r="AZ67" s="91"/>
      <c r="BA67" s="91"/>
      <c r="BB67" s="91"/>
      <c r="BC67" s="91"/>
      <c r="BD67" s="91"/>
      <c r="BE67" s="91"/>
      <c r="BF67" s="91"/>
      <c r="BG67" s="91"/>
      <c r="BH67" s="91"/>
      <c r="BI67" s="91"/>
      <c r="BJ67" s="91"/>
      <c r="BK67" s="91"/>
      <c r="BL67" s="91"/>
      <c r="BM67" s="91"/>
      <c r="BN67" s="91"/>
      <c r="BO67" s="91"/>
      <c r="BP67" s="91"/>
      <c r="BQ67" s="91"/>
      <c r="BR67" s="91"/>
      <c r="BS67" s="91"/>
      <c r="BT67" s="91"/>
      <c r="BU67" s="91"/>
      <c r="BV67" s="91"/>
      <c r="BW67" s="91"/>
      <c r="BX67" s="91"/>
      <c r="BY67" s="91"/>
      <c r="BZ67" s="91"/>
      <c r="CA67" s="91"/>
      <c r="CB67" s="91"/>
      <c r="CC67" s="91"/>
      <c r="CD67" s="91"/>
      <c r="CE67" s="91"/>
      <c r="CF67" s="91"/>
      <c r="CG67" s="91"/>
      <c r="CH67" s="91"/>
      <c r="CI67" s="91"/>
      <c r="CJ67" s="91"/>
      <c r="CK67" s="91"/>
      <c r="CL67" s="91"/>
      <c r="CM67" s="91"/>
      <c r="CN67" s="91"/>
      <c r="CO67" s="91"/>
      <c r="CP67" s="91"/>
      <c r="CQ67" s="91"/>
      <c r="CR67" s="91"/>
      <c r="CS67" s="91"/>
      <c r="CT67" s="91"/>
      <c r="CU67" s="91"/>
      <c r="CV67" s="91"/>
      <c r="CW67" s="91"/>
      <c r="CX67" s="91"/>
      <c r="CY67" s="91"/>
      <c r="CZ67" s="91"/>
      <c r="DA67" s="91"/>
      <c r="DB67" s="91"/>
      <c r="DC67" s="91"/>
      <c r="DD67" s="91"/>
      <c r="DE67" s="91"/>
      <c r="DF67" s="91"/>
      <c r="DG67" s="91"/>
      <c r="DH67" s="91"/>
      <c r="DI67" s="91"/>
      <c r="DJ67" s="91"/>
    </row>
    <row r="68" spans="1:114" s="119" customFormat="1" ht="12.75" hidden="1" customHeight="1">
      <c r="A68" s="92"/>
      <c r="B68" s="92"/>
      <c r="C68" s="91"/>
      <c r="D68" s="261"/>
      <c r="E68" s="262"/>
      <c r="F68" s="196"/>
      <c r="G68" s="197"/>
      <c r="H68" s="198"/>
      <c r="I68" s="199"/>
      <c r="J68" s="179"/>
      <c r="K68" s="200"/>
      <c r="L68" s="193"/>
      <c r="M68" s="193"/>
      <c r="N68" s="399"/>
      <c r="O68" s="400"/>
      <c r="P68" s="410"/>
      <c r="Q68" s="410"/>
      <c r="R68" s="411"/>
      <c r="S68" s="294"/>
      <c r="T68" s="258"/>
      <c r="U68" s="259"/>
      <c r="V68" s="176"/>
      <c r="W68" s="91"/>
      <c r="X68" s="91"/>
      <c r="Y68" s="91"/>
      <c r="Z68" s="91"/>
      <c r="AA68" s="91"/>
      <c r="AB68" s="91"/>
      <c r="AC68" s="92"/>
      <c r="AD68" s="92"/>
      <c r="AE68" s="92"/>
      <c r="AF68" s="92"/>
      <c r="AG68" s="92"/>
      <c r="AH68" s="91"/>
      <c r="AI68" s="91"/>
      <c r="AJ68" s="91"/>
      <c r="AK68" s="91"/>
      <c r="AL68" s="91"/>
      <c r="AM68" s="91"/>
      <c r="AN68" s="91"/>
      <c r="AO68" s="91"/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1"/>
      <c r="BA68" s="91"/>
      <c r="BB68" s="91"/>
      <c r="BC68" s="91"/>
      <c r="BD68" s="91"/>
      <c r="BE68" s="91"/>
      <c r="BF68" s="91"/>
      <c r="BG68" s="91"/>
      <c r="BH68" s="91"/>
      <c r="BI68" s="91"/>
      <c r="BJ68" s="91"/>
      <c r="BK68" s="91"/>
      <c r="BL68" s="91"/>
      <c r="BM68" s="91"/>
      <c r="BN68" s="91"/>
      <c r="BO68" s="91"/>
      <c r="BP68" s="91"/>
      <c r="BQ68" s="91"/>
      <c r="BR68" s="91"/>
      <c r="BS68" s="91"/>
      <c r="BT68" s="91"/>
      <c r="BU68" s="91"/>
      <c r="BV68" s="91"/>
      <c r="BW68" s="91"/>
      <c r="BX68" s="91"/>
      <c r="BY68" s="91"/>
      <c r="BZ68" s="91"/>
      <c r="CA68" s="91"/>
      <c r="CB68" s="91"/>
      <c r="CC68" s="91"/>
      <c r="CD68" s="91"/>
      <c r="CE68" s="91"/>
      <c r="CF68" s="91"/>
      <c r="CG68" s="91"/>
      <c r="CH68" s="91"/>
      <c r="CI68" s="91"/>
      <c r="CJ68" s="91"/>
      <c r="CK68" s="91"/>
      <c r="CL68" s="91"/>
      <c r="CM68" s="91"/>
      <c r="CN68" s="91"/>
      <c r="CO68" s="91"/>
      <c r="CP68" s="91"/>
      <c r="CQ68" s="91"/>
      <c r="CR68" s="91"/>
      <c r="CS68" s="91"/>
      <c r="CT68" s="91"/>
      <c r="CU68" s="91"/>
      <c r="CV68" s="91"/>
      <c r="CW68" s="91"/>
      <c r="CX68" s="91"/>
      <c r="CY68" s="91"/>
      <c r="CZ68" s="91"/>
      <c r="DA68" s="91"/>
      <c r="DB68" s="91"/>
      <c r="DC68" s="91"/>
      <c r="DD68" s="91"/>
      <c r="DE68" s="91"/>
      <c r="DF68" s="91"/>
      <c r="DG68" s="91"/>
      <c r="DH68" s="91"/>
      <c r="DI68" s="91"/>
      <c r="DJ68" s="91"/>
    </row>
    <row r="69" spans="1:114" s="119" customFormat="1" ht="12.75" hidden="1" customHeight="1">
      <c r="A69" s="92"/>
      <c r="B69" s="92"/>
      <c r="C69" s="91"/>
      <c r="D69" s="92"/>
      <c r="E69" s="208"/>
      <c r="F69" s="208"/>
      <c r="G69" s="208"/>
      <c r="H69" s="208"/>
      <c r="I69" s="208"/>
      <c r="J69" s="208"/>
      <c r="K69" s="208"/>
      <c r="L69" s="189"/>
      <c r="M69" s="189"/>
      <c r="N69" s="92"/>
      <c r="O69" s="92"/>
      <c r="P69" s="92"/>
      <c r="Q69" s="92"/>
      <c r="R69" s="92"/>
      <c r="S69" s="92"/>
      <c r="T69" s="92"/>
      <c r="U69" s="92"/>
      <c r="V69" s="92"/>
      <c r="W69" s="91"/>
      <c r="X69" s="91"/>
      <c r="Y69" s="91"/>
      <c r="Z69" s="91"/>
      <c r="AA69" s="91"/>
      <c r="AB69" s="91"/>
      <c r="AC69" s="92"/>
      <c r="AD69" s="92"/>
      <c r="AE69" s="92"/>
      <c r="AF69" s="92"/>
      <c r="AG69" s="92"/>
      <c r="AH69" s="91"/>
      <c r="AI69" s="91"/>
      <c r="AJ69" s="91"/>
      <c r="AK69" s="91"/>
      <c r="AL69" s="91"/>
      <c r="AM69" s="91"/>
      <c r="AN69" s="91"/>
      <c r="AO69" s="91"/>
      <c r="AP69" s="91"/>
      <c r="AQ69" s="91"/>
      <c r="AR69" s="91"/>
      <c r="AS69" s="91"/>
      <c r="AT69" s="91"/>
      <c r="AU69" s="91"/>
      <c r="AV69" s="91"/>
      <c r="AW69" s="91"/>
      <c r="AX69" s="91"/>
      <c r="AY69" s="91"/>
      <c r="AZ69" s="91"/>
      <c r="BA69" s="91"/>
      <c r="BB69" s="91"/>
      <c r="BC69" s="91"/>
      <c r="BD69" s="91"/>
      <c r="BE69" s="91"/>
      <c r="BF69" s="91"/>
      <c r="BG69" s="91"/>
      <c r="BH69" s="91"/>
      <c r="BI69" s="91"/>
      <c r="BJ69" s="91"/>
      <c r="BK69" s="91"/>
      <c r="BL69" s="91"/>
      <c r="BM69" s="91"/>
      <c r="BN69" s="91"/>
      <c r="BO69" s="91"/>
      <c r="BP69" s="91"/>
      <c r="BQ69" s="91"/>
      <c r="BR69" s="91"/>
      <c r="BS69" s="91"/>
      <c r="BT69" s="91"/>
      <c r="BU69" s="91"/>
      <c r="BV69" s="91"/>
      <c r="BW69" s="91"/>
      <c r="BX69" s="91"/>
      <c r="BY69" s="91"/>
      <c r="BZ69" s="91"/>
      <c r="CA69" s="91"/>
      <c r="CB69" s="91"/>
      <c r="CC69" s="91"/>
      <c r="CD69" s="91"/>
      <c r="CE69" s="91"/>
      <c r="CF69" s="91"/>
      <c r="CG69" s="91"/>
      <c r="CH69" s="91"/>
      <c r="CI69" s="91"/>
      <c r="CJ69" s="91"/>
      <c r="CK69" s="91"/>
      <c r="CL69" s="91"/>
      <c r="CM69" s="91"/>
      <c r="CN69" s="91"/>
      <c r="CO69" s="91"/>
      <c r="CP69" s="91"/>
      <c r="CQ69" s="91"/>
      <c r="CR69" s="91"/>
      <c r="CS69" s="91"/>
      <c r="CT69" s="91"/>
      <c r="CU69" s="91"/>
      <c r="CV69" s="91"/>
      <c r="CW69" s="91"/>
      <c r="CX69" s="91"/>
      <c r="CY69" s="91"/>
      <c r="CZ69" s="91"/>
      <c r="DA69" s="91"/>
      <c r="DB69" s="91"/>
      <c r="DC69" s="91"/>
      <c r="DD69" s="91"/>
      <c r="DE69" s="91"/>
      <c r="DF69" s="91"/>
      <c r="DG69" s="91"/>
      <c r="DH69" s="91"/>
      <c r="DI69" s="91"/>
      <c r="DJ69" s="91"/>
    </row>
    <row r="70" spans="1:114" s="119" customFormat="1" ht="12.75" hidden="1" customHeight="1">
      <c r="A70" s="92"/>
      <c r="B70" s="92"/>
      <c r="C70" s="91"/>
      <c r="D70" s="261"/>
      <c r="E70" s="262"/>
      <c r="F70" s="201"/>
      <c r="G70" s="197"/>
      <c r="H70" s="202"/>
      <c r="I70" s="135"/>
      <c r="J70" s="179"/>
      <c r="K70" s="200"/>
      <c r="L70" s="203"/>
      <c r="M70" s="203"/>
      <c r="N70" s="194"/>
      <c r="O70" s="210"/>
      <c r="P70" s="210"/>
      <c r="Q70" s="210"/>
      <c r="R70" s="210"/>
      <c r="S70" s="210"/>
      <c r="T70" s="176"/>
      <c r="U70" s="176"/>
      <c r="V70" s="195"/>
      <c r="W70" s="91"/>
      <c r="X70" s="91"/>
      <c r="Y70" s="91"/>
      <c r="Z70" s="91"/>
      <c r="AA70" s="91"/>
      <c r="AB70" s="91"/>
      <c r="AC70" s="92"/>
      <c r="AD70" s="92"/>
      <c r="AE70" s="92"/>
      <c r="AF70" s="92"/>
      <c r="AG70" s="92"/>
      <c r="AH70" s="91"/>
      <c r="AI70" s="91"/>
      <c r="AJ70" s="91"/>
      <c r="AK70" s="91"/>
      <c r="AL70" s="91"/>
      <c r="AM70" s="91"/>
      <c r="AN70" s="91"/>
      <c r="AO70" s="91"/>
      <c r="AP70" s="91"/>
      <c r="AQ70" s="91"/>
      <c r="AR70" s="91"/>
      <c r="AS70" s="91"/>
      <c r="AT70" s="91"/>
      <c r="AU70" s="91"/>
      <c r="AV70" s="91"/>
      <c r="AW70" s="91"/>
      <c r="AX70" s="91"/>
      <c r="AY70" s="91"/>
      <c r="AZ70" s="91"/>
      <c r="BA70" s="91"/>
      <c r="BB70" s="91"/>
      <c r="BC70" s="91"/>
      <c r="BD70" s="91"/>
      <c r="BE70" s="91"/>
      <c r="BF70" s="91"/>
      <c r="BG70" s="91"/>
      <c r="BH70" s="91"/>
      <c r="BI70" s="91"/>
      <c r="BJ70" s="91"/>
      <c r="BK70" s="91"/>
      <c r="BL70" s="91"/>
      <c r="BM70" s="91"/>
      <c r="BN70" s="91"/>
      <c r="BO70" s="91"/>
      <c r="BP70" s="91"/>
      <c r="BQ70" s="91"/>
      <c r="BR70" s="91"/>
      <c r="BS70" s="91"/>
      <c r="BT70" s="91"/>
      <c r="BU70" s="91"/>
      <c r="BV70" s="91"/>
      <c r="BW70" s="91"/>
      <c r="BX70" s="91"/>
      <c r="BY70" s="91"/>
      <c r="BZ70" s="91"/>
      <c r="CA70" s="91"/>
      <c r="CB70" s="91"/>
      <c r="CC70" s="91"/>
      <c r="CD70" s="91"/>
      <c r="CE70" s="91"/>
      <c r="CF70" s="91"/>
      <c r="CG70" s="91"/>
      <c r="CH70" s="91"/>
      <c r="CI70" s="91"/>
      <c r="CJ70" s="91"/>
      <c r="CK70" s="91"/>
      <c r="CL70" s="91"/>
      <c r="CM70" s="91"/>
      <c r="CN70" s="91"/>
      <c r="CO70" s="91"/>
      <c r="CP70" s="91"/>
      <c r="CQ70" s="91"/>
      <c r="CR70" s="91"/>
      <c r="CS70" s="91"/>
      <c r="CT70" s="91"/>
      <c r="CU70" s="91"/>
      <c r="CV70" s="91"/>
      <c r="CW70" s="91"/>
      <c r="CX70" s="91"/>
      <c r="CY70" s="91"/>
      <c r="CZ70" s="91"/>
      <c r="DA70" s="91"/>
      <c r="DB70" s="91"/>
      <c r="DC70" s="91"/>
      <c r="DD70" s="91"/>
      <c r="DE70" s="91"/>
      <c r="DF70" s="91"/>
      <c r="DG70" s="91"/>
      <c r="DH70" s="91"/>
      <c r="DI70" s="91"/>
      <c r="DJ70" s="91"/>
    </row>
    <row r="71" spans="1:114" s="119" customFormat="1" ht="12.75" hidden="1" customHeight="1">
      <c r="A71" s="92"/>
      <c r="B71" s="92"/>
      <c r="C71" s="91"/>
      <c r="D71" s="92"/>
      <c r="E71" s="211"/>
      <c r="F71" s="189"/>
      <c r="G71" s="189"/>
      <c r="H71" s="212"/>
      <c r="I71" s="212"/>
      <c r="J71" s="189"/>
      <c r="K71" s="189"/>
      <c r="L71" s="189"/>
      <c r="M71" s="189"/>
      <c r="N71" s="212"/>
      <c r="O71" s="212"/>
      <c r="P71" s="212"/>
      <c r="Q71" s="212"/>
      <c r="R71" s="212"/>
      <c r="S71" s="212"/>
      <c r="T71" s="92"/>
      <c r="U71" s="92"/>
      <c r="V71" s="92"/>
      <c r="W71" s="91"/>
      <c r="X71" s="91"/>
      <c r="Y71" s="91"/>
      <c r="Z71" s="91"/>
      <c r="AA71" s="91"/>
      <c r="AB71" s="91"/>
      <c r="AC71" s="92"/>
      <c r="AD71" s="92"/>
      <c r="AE71" s="92"/>
      <c r="AF71" s="92"/>
      <c r="AG71" s="92"/>
      <c r="AH71" s="91"/>
      <c r="AI71" s="91"/>
      <c r="AJ71" s="91"/>
      <c r="AK71" s="91"/>
      <c r="AL71" s="91"/>
      <c r="AM71" s="91"/>
      <c r="AN71" s="91"/>
      <c r="AO71" s="91"/>
      <c r="AP71" s="91"/>
      <c r="AQ71" s="91"/>
      <c r="AR71" s="91"/>
      <c r="AS71" s="91"/>
      <c r="AT71" s="91"/>
      <c r="AU71" s="91"/>
      <c r="AV71" s="91"/>
      <c r="AW71" s="91"/>
      <c r="AX71" s="91"/>
      <c r="AY71" s="91"/>
      <c r="AZ71" s="91"/>
      <c r="BA71" s="91"/>
      <c r="BB71" s="91"/>
      <c r="BC71" s="91"/>
      <c r="BD71" s="91"/>
      <c r="BE71" s="91"/>
      <c r="BF71" s="91"/>
      <c r="BG71" s="91"/>
      <c r="BH71" s="91"/>
      <c r="BI71" s="91"/>
      <c r="BJ71" s="91"/>
      <c r="BK71" s="91"/>
      <c r="BL71" s="91"/>
      <c r="BM71" s="91"/>
      <c r="BN71" s="91"/>
      <c r="BO71" s="91"/>
      <c r="BP71" s="91"/>
      <c r="BQ71" s="91"/>
      <c r="BR71" s="91"/>
      <c r="BS71" s="91"/>
      <c r="BT71" s="91"/>
      <c r="BU71" s="91"/>
      <c r="BV71" s="91"/>
      <c r="BW71" s="91"/>
      <c r="BX71" s="91"/>
      <c r="BY71" s="91"/>
      <c r="BZ71" s="91"/>
      <c r="CA71" s="91"/>
      <c r="CB71" s="91"/>
      <c r="CC71" s="91"/>
      <c r="CD71" s="91"/>
      <c r="CE71" s="91"/>
      <c r="CF71" s="91"/>
      <c r="CG71" s="91"/>
      <c r="CH71" s="91"/>
      <c r="CI71" s="91"/>
      <c r="CJ71" s="91"/>
      <c r="CK71" s="91"/>
      <c r="CL71" s="91"/>
      <c r="CM71" s="91"/>
      <c r="CN71" s="91"/>
      <c r="CO71" s="91"/>
      <c r="CP71" s="91"/>
      <c r="CQ71" s="91"/>
      <c r="CR71" s="91"/>
      <c r="CS71" s="91"/>
      <c r="CT71" s="91"/>
      <c r="CU71" s="91"/>
      <c r="CV71" s="91"/>
      <c r="CW71" s="91"/>
      <c r="CX71" s="91"/>
      <c r="CY71" s="91"/>
      <c r="CZ71" s="91"/>
      <c r="DA71" s="91"/>
      <c r="DB71" s="91"/>
      <c r="DC71" s="91"/>
      <c r="DD71" s="91"/>
      <c r="DE71" s="91"/>
      <c r="DF71" s="91"/>
      <c r="DG71" s="91"/>
      <c r="DH71" s="91"/>
      <c r="DI71" s="91"/>
      <c r="DJ71" s="91"/>
    </row>
    <row r="72" spans="1:114" s="119" customFormat="1" ht="12.75" hidden="1" customHeight="1">
      <c r="A72" s="92"/>
      <c r="B72" s="92"/>
      <c r="C72" s="91"/>
      <c r="D72" s="260"/>
      <c r="E72" s="260"/>
      <c r="F72" s="204"/>
      <c r="G72" s="205"/>
      <c r="H72" s="202"/>
      <c r="I72" s="122"/>
      <c r="J72" s="180"/>
      <c r="K72" s="200"/>
      <c r="L72" s="203"/>
      <c r="M72" s="203"/>
      <c r="N72" s="194"/>
      <c r="O72" s="213"/>
      <c r="P72" s="213"/>
      <c r="Q72" s="213"/>
      <c r="R72" s="213"/>
      <c r="S72" s="213"/>
      <c r="T72" s="176"/>
      <c r="U72" s="176"/>
      <c r="V72" s="176"/>
      <c r="W72" s="91"/>
      <c r="X72" s="91"/>
      <c r="Y72" s="91"/>
      <c r="Z72" s="91"/>
      <c r="AA72" s="91"/>
      <c r="AB72" s="91"/>
      <c r="AC72" s="92"/>
      <c r="AD72" s="92"/>
      <c r="AE72" s="92"/>
      <c r="AF72" s="92"/>
      <c r="AG72" s="92"/>
      <c r="AH72" s="91"/>
      <c r="AI72" s="91"/>
      <c r="AJ72" s="91"/>
      <c r="AK72" s="91"/>
      <c r="AL72" s="91"/>
      <c r="AM72" s="91"/>
      <c r="AN72" s="91"/>
      <c r="AO72" s="91"/>
      <c r="AP72" s="91"/>
      <c r="AQ72" s="91"/>
      <c r="AR72" s="91"/>
      <c r="AS72" s="91"/>
      <c r="AT72" s="91"/>
      <c r="AU72" s="91"/>
      <c r="AV72" s="91"/>
      <c r="AW72" s="91"/>
      <c r="AX72" s="91"/>
      <c r="AY72" s="91"/>
      <c r="AZ72" s="91"/>
      <c r="BA72" s="91"/>
      <c r="BB72" s="91"/>
      <c r="BC72" s="91"/>
      <c r="BD72" s="91"/>
      <c r="BE72" s="91"/>
      <c r="BF72" s="91"/>
      <c r="BG72" s="91"/>
      <c r="BH72" s="91"/>
      <c r="BI72" s="91"/>
      <c r="BJ72" s="91"/>
      <c r="BK72" s="91"/>
      <c r="BL72" s="91"/>
      <c r="BM72" s="91"/>
      <c r="BN72" s="91"/>
      <c r="BO72" s="91"/>
      <c r="BP72" s="91"/>
      <c r="BQ72" s="91"/>
      <c r="BR72" s="91"/>
      <c r="BS72" s="91"/>
      <c r="BT72" s="91"/>
      <c r="BU72" s="91"/>
      <c r="BV72" s="91"/>
      <c r="BW72" s="91"/>
      <c r="BX72" s="91"/>
      <c r="BY72" s="91"/>
      <c r="BZ72" s="91"/>
      <c r="CA72" s="91"/>
      <c r="CB72" s="91"/>
      <c r="CC72" s="91"/>
      <c r="CD72" s="91"/>
      <c r="CE72" s="91"/>
      <c r="CF72" s="91"/>
      <c r="CG72" s="91"/>
      <c r="CH72" s="91"/>
      <c r="CI72" s="91"/>
      <c r="CJ72" s="91"/>
      <c r="CK72" s="91"/>
      <c r="CL72" s="91"/>
      <c r="CM72" s="91"/>
      <c r="CN72" s="91"/>
      <c r="CO72" s="91"/>
      <c r="CP72" s="91"/>
      <c r="CQ72" s="91"/>
      <c r="CR72" s="91"/>
      <c r="CS72" s="91"/>
      <c r="CT72" s="91"/>
      <c r="CU72" s="91"/>
      <c r="CV72" s="91"/>
      <c r="CW72" s="91"/>
      <c r="CX72" s="91"/>
      <c r="CY72" s="91"/>
      <c r="CZ72" s="91"/>
      <c r="DA72" s="91"/>
      <c r="DB72" s="91"/>
      <c r="DC72" s="91"/>
      <c r="DD72" s="91"/>
      <c r="DE72" s="91"/>
      <c r="DF72" s="91"/>
      <c r="DG72" s="91"/>
      <c r="DH72" s="91"/>
      <c r="DI72" s="91"/>
      <c r="DJ72" s="91"/>
    </row>
    <row r="73" spans="1:114" s="119" customFormat="1" ht="12.75" hidden="1" customHeight="1">
      <c r="A73" s="92"/>
      <c r="B73" s="92"/>
      <c r="C73" s="91"/>
      <c r="D73" s="260"/>
      <c r="E73" s="260"/>
      <c r="F73" s="189"/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  <c r="R73" s="189"/>
      <c r="S73" s="189"/>
      <c r="T73" s="189"/>
      <c r="U73" s="189"/>
      <c r="V73" s="189"/>
      <c r="W73" s="91"/>
      <c r="X73" s="91"/>
      <c r="Y73" s="91"/>
      <c r="Z73" s="91"/>
      <c r="AA73" s="91"/>
      <c r="AB73" s="91"/>
      <c r="AC73" s="92"/>
      <c r="AD73" s="92"/>
      <c r="AE73" s="92"/>
      <c r="AF73" s="92"/>
      <c r="AG73" s="92"/>
      <c r="AH73" s="91"/>
      <c r="AI73" s="91"/>
      <c r="AJ73" s="91"/>
      <c r="AK73" s="91"/>
      <c r="AL73" s="91"/>
      <c r="AM73" s="91"/>
      <c r="AN73" s="91"/>
      <c r="AO73" s="91"/>
      <c r="AP73" s="91"/>
      <c r="AQ73" s="91"/>
      <c r="AR73" s="91"/>
      <c r="AS73" s="91"/>
      <c r="AT73" s="91"/>
      <c r="AU73" s="91"/>
      <c r="AV73" s="91"/>
      <c r="AW73" s="91"/>
      <c r="AX73" s="91"/>
      <c r="AY73" s="91"/>
      <c r="AZ73" s="91"/>
      <c r="BA73" s="91"/>
      <c r="BB73" s="91"/>
      <c r="BC73" s="91"/>
      <c r="BD73" s="91"/>
      <c r="BE73" s="91"/>
      <c r="BF73" s="91"/>
      <c r="BG73" s="91"/>
      <c r="BH73" s="91"/>
      <c r="BI73" s="91"/>
      <c r="BJ73" s="91"/>
      <c r="BK73" s="91"/>
      <c r="BL73" s="91"/>
      <c r="BM73" s="91"/>
      <c r="BN73" s="91"/>
      <c r="BO73" s="91"/>
      <c r="BP73" s="91"/>
      <c r="BQ73" s="91"/>
      <c r="BR73" s="91"/>
      <c r="BS73" s="91"/>
      <c r="BT73" s="91"/>
      <c r="BU73" s="91"/>
      <c r="BV73" s="91"/>
      <c r="BW73" s="91"/>
      <c r="BX73" s="91"/>
      <c r="BY73" s="91"/>
      <c r="BZ73" s="91"/>
      <c r="CA73" s="91"/>
      <c r="CB73" s="91"/>
      <c r="CC73" s="91"/>
      <c r="CD73" s="91"/>
      <c r="CE73" s="91"/>
      <c r="CF73" s="91"/>
      <c r="CG73" s="91"/>
      <c r="CH73" s="91"/>
      <c r="CI73" s="91"/>
      <c r="CJ73" s="91"/>
      <c r="CK73" s="91"/>
      <c r="CL73" s="91"/>
      <c r="CM73" s="91"/>
      <c r="CN73" s="91"/>
      <c r="CO73" s="91"/>
      <c r="CP73" s="91"/>
      <c r="CQ73" s="91"/>
      <c r="CR73" s="91"/>
      <c r="CS73" s="91"/>
      <c r="CT73" s="91"/>
      <c r="CU73" s="91"/>
      <c r="CV73" s="91"/>
      <c r="CW73" s="91"/>
      <c r="CX73" s="91"/>
      <c r="CY73" s="91"/>
      <c r="CZ73" s="91"/>
      <c r="DA73" s="91"/>
      <c r="DB73" s="91"/>
      <c r="DC73" s="91"/>
      <c r="DD73" s="91"/>
      <c r="DE73" s="91"/>
      <c r="DF73" s="91"/>
      <c r="DG73" s="91"/>
      <c r="DH73" s="91"/>
      <c r="DI73" s="91"/>
      <c r="DJ73" s="91"/>
    </row>
    <row r="74" spans="1:114" s="119" customFormat="1" ht="12.75" hidden="1" customHeight="1">
      <c r="A74" s="92"/>
      <c r="B74" s="92"/>
      <c r="C74" s="91"/>
      <c r="D74" s="260"/>
      <c r="E74" s="260"/>
      <c r="F74" s="204"/>
      <c r="G74" s="205"/>
      <c r="H74" s="202"/>
      <c r="I74" s="122"/>
      <c r="J74" s="180"/>
      <c r="K74" s="200"/>
      <c r="L74" s="203"/>
      <c r="M74" s="203"/>
      <c r="N74" s="194"/>
      <c r="O74" s="213"/>
      <c r="P74" s="213"/>
      <c r="Q74" s="213"/>
      <c r="R74" s="213"/>
      <c r="S74" s="213"/>
      <c r="T74" s="176"/>
      <c r="U74" s="176"/>
      <c r="V74" s="176"/>
      <c r="W74" s="91"/>
      <c r="X74" s="189"/>
      <c r="Y74" s="189"/>
      <c r="Z74" s="189"/>
      <c r="AA74" s="189"/>
      <c r="AB74" s="189"/>
      <c r="AC74" s="189"/>
      <c r="AD74" s="189"/>
      <c r="AE74" s="189"/>
      <c r="AF74" s="189"/>
      <c r="AG74" s="189"/>
      <c r="AH74" s="134"/>
      <c r="AI74" s="134"/>
      <c r="AJ74" s="134"/>
      <c r="AK74" s="134"/>
      <c r="AL74" s="91"/>
      <c r="AM74" s="91"/>
      <c r="AN74" s="91"/>
      <c r="AO74" s="91"/>
      <c r="AP74" s="91"/>
      <c r="AQ74" s="91"/>
      <c r="AR74" s="91"/>
      <c r="AS74" s="91"/>
      <c r="AT74" s="91"/>
      <c r="AU74" s="91"/>
      <c r="AV74" s="91"/>
      <c r="AW74" s="91"/>
      <c r="AX74" s="91"/>
      <c r="AY74" s="91"/>
      <c r="AZ74" s="91"/>
      <c r="BA74" s="91"/>
      <c r="BB74" s="91"/>
      <c r="BC74" s="91"/>
      <c r="BD74" s="91"/>
      <c r="BE74" s="91"/>
      <c r="BF74" s="91"/>
      <c r="BG74" s="91"/>
      <c r="BH74" s="91"/>
      <c r="BI74" s="91"/>
      <c r="BJ74" s="91"/>
      <c r="BK74" s="91"/>
      <c r="BL74" s="91"/>
      <c r="BM74" s="91"/>
      <c r="BN74" s="91"/>
      <c r="BO74" s="91"/>
      <c r="BP74" s="91"/>
      <c r="BQ74" s="91"/>
      <c r="BR74" s="91"/>
      <c r="BS74" s="91"/>
      <c r="BT74" s="91"/>
      <c r="BU74" s="91"/>
      <c r="BV74" s="91"/>
      <c r="BW74" s="91"/>
      <c r="BX74" s="91"/>
      <c r="BY74" s="91"/>
      <c r="BZ74" s="91"/>
      <c r="CA74" s="91"/>
      <c r="CB74" s="91"/>
      <c r="CC74" s="91"/>
      <c r="CD74" s="91"/>
      <c r="CE74" s="91"/>
      <c r="CF74" s="91"/>
      <c r="CG74" s="91"/>
      <c r="CH74" s="91"/>
      <c r="CI74" s="91"/>
      <c r="CJ74" s="91"/>
      <c r="CK74" s="91"/>
      <c r="CL74" s="91"/>
      <c r="CM74" s="91"/>
      <c r="CN74" s="91"/>
      <c r="CO74" s="91"/>
      <c r="CP74" s="91"/>
      <c r="CQ74" s="91"/>
      <c r="CR74" s="91"/>
      <c r="CS74" s="91"/>
      <c r="CT74" s="91"/>
      <c r="CU74" s="91"/>
      <c r="CV74" s="91"/>
      <c r="CW74" s="91"/>
      <c r="CX74" s="91"/>
      <c r="CY74" s="91"/>
      <c r="CZ74" s="91"/>
      <c r="DA74" s="91"/>
      <c r="DB74" s="91"/>
      <c r="DC74" s="91"/>
      <c r="DD74" s="91"/>
      <c r="DE74" s="91"/>
      <c r="DF74" s="91"/>
      <c r="DG74" s="91"/>
      <c r="DH74" s="91"/>
      <c r="DI74" s="91"/>
      <c r="DJ74" s="91"/>
    </row>
    <row r="75" spans="1:114" s="119" customFormat="1" ht="12.75" hidden="1" customHeight="1">
      <c r="A75" s="92"/>
      <c r="B75" s="92"/>
      <c r="C75" s="91"/>
      <c r="D75" s="260"/>
      <c r="E75" s="260"/>
      <c r="F75" s="189"/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  <c r="R75" s="189"/>
      <c r="S75" s="189"/>
      <c r="T75" s="189"/>
      <c r="U75" s="189"/>
      <c r="V75" s="189"/>
      <c r="W75" s="91"/>
      <c r="X75" s="91"/>
      <c r="Y75" s="91"/>
      <c r="Z75" s="91"/>
      <c r="AA75" s="91"/>
      <c r="AB75" s="91"/>
      <c r="AC75" s="92"/>
      <c r="AD75" s="92"/>
      <c r="AE75" s="92"/>
      <c r="AF75" s="92"/>
      <c r="AG75" s="92"/>
      <c r="AH75" s="91"/>
      <c r="AI75" s="91"/>
      <c r="AJ75" s="91"/>
      <c r="AK75" s="91"/>
      <c r="AL75" s="91"/>
      <c r="AM75" s="91"/>
      <c r="AN75" s="91"/>
      <c r="AO75" s="91"/>
      <c r="AP75" s="91"/>
      <c r="AQ75" s="91"/>
      <c r="AR75" s="91"/>
      <c r="AS75" s="91"/>
      <c r="AT75" s="91"/>
      <c r="AU75" s="91"/>
      <c r="AV75" s="91"/>
      <c r="AW75" s="91"/>
      <c r="AX75" s="91"/>
      <c r="AY75" s="91"/>
      <c r="AZ75" s="91"/>
      <c r="BA75" s="91"/>
      <c r="BB75" s="91"/>
      <c r="BC75" s="91"/>
      <c r="BD75" s="91"/>
      <c r="BE75" s="91"/>
      <c r="BF75" s="91"/>
      <c r="BG75" s="91"/>
      <c r="BH75" s="91"/>
      <c r="BI75" s="91"/>
      <c r="BJ75" s="91"/>
      <c r="BK75" s="91"/>
      <c r="BL75" s="91"/>
      <c r="BM75" s="91"/>
      <c r="BN75" s="91"/>
      <c r="BO75" s="91"/>
      <c r="BP75" s="91"/>
      <c r="BQ75" s="91"/>
      <c r="BR75" s="91"/>
      <c r="BS75" s="91"/>
      <c r="BT75" s="91"/>
      <c r="BU75" s="91"/>
      <c r="BV75" s="91"/>
      <c r="BW75" s="91"/>
      <c r="BX75" s="91"/>
      <c r="BY75" s="91"/>
      <c r="BZ75" s="91"/>
      <c r="CA75" s="91"/>
      <c r="CB75" s="91"/>
      <c r="CC75" s="91"/>
      <c r="CD75" s="91"/>
      <c r="CE75" s="91"/>
      <c r="CF75" s="91"/>
      <c r="CG75" s="91"/>
      <c r="CH75" s="91"/>
      <c r="CI75" s="91"/>
      <c r="CJ75" s="91"/>
      <c r="CK75" s="91"/>
      <c r="CL75" s="91"/>
      <c r="CM75" s="91"/>
      <c r="CN75" s="91"/>
      <c r="CO75" s="91"/>
      <c r="CP75" s="91"/>
      <c r="CQ75" s="91"/>
      <c r="CR75" s="91"/>
      <c r="CS75" s="91"/>
      <c r="CT75" s="91"/>
      <c r="CU75" s="91"/>
      <c r="CV75" s="91"/>
      <c r="CW75" s="91"/>
      <c r="CX75" s="91"/>
      <c r="CY75" s="91"/>
      <c r="CZ75" s="91"/>
      <c r="DA75" s="91"/>
      <c r="DB75" s="91"/>
      <c r="DC75" s="91"/>
      <c r="DD75" s="91"/>
      <c r="DE75" s="91"/>
      <c r="DF75" s="91"/>
      <c r="DG75" s="91"/>
      <c r="DH75" s="91"/>
      <c r="DI75" s="91"/>
      <c r="DJ75" s="91"/>
    </row>
    <row r="76" spans="1:114" s="119" customFormat="1" ht="12.75" hidden="1" customHeight="1">
      <c r="A76" s="92"/>
      <c r="B76" s="92"/>
      <c r="C76" s="91"/>
      <c r="D76" s="260"/>
      <c r="E76" s="260"/>
      <c r="F76" s="204"/>
      <c r="G76" s="205"/>
      <c r="H76" s="202"/>
      <c r="I76" s="122"/>
      <c r="J76" s="180"/>
      <c r="K76" s="200"/>
      <c r="L76" s="203"/>
      <c r="M76" s="203"/>
      <c r="N76" s="194"/>
      <c r="O76" s="213"/>
      <c r="P76" s="213"/>
      <c r="Q76" s="213"/>
      <c r="R76" s="213"/>
      <c r="S76" s="213"/>
      <c r="T76" s="176"/>
      <c r="U76" s="176"/>
      <c r="V76" s="176"/>
      <c r="W76" s="91"/>
      <c r="X76" s="91"/>
      <c r="Y76" s="91"/>
      <c r="Z76" s="91"/>
      <c r="AA76" s="91"/>
      <c r="AB76" s="91"/>
      <c r="AC76" s="92"/>
      <c r="AD76" s="92"/>
      <c r="AE76" s="92"/>
      <c r="AF76" s="92"/>
      <c r="AG76" s="92"/>
      <c r="AH76" s="91"/>
      <c r="AI76" s="91"/>
      <c r="AJ76" s="91"/>
      <c r="AK76" s="91"/>
      <c r="AL76" s="91"/>
      <c r="AM76" s="91"/>
      <c r="AN76" s="91"/>
      <c r="AO76" s="91"/>
      <c r="AP76" s="91"/>
      <c r="AQ76" s="91"/>
      <c r="AR76" s="91"/>
      <c r="AS76" s="91"/>
      <c r="AT76" s="91"/>
      <c r="AU76" s="91"/>
      <c r="AV76" s="91"/>
      <c r="AW76" s="91"/>
      <c r="AX76" s="91"/>
      <c r="AY76" s="91"/>
      <c r="AZ76" s="91"/>
      <c r="BA76" s="91"/>
      <c r="BB76" s="91"/>
      <c r="BC76" s="91"/>
      <c r="BD76" s="91"/>
      <c r="BE76" s="91"/>
      <c r="BF76" s="91"/>
      <c r="BG76" s="91"/>
      <c r="BH76" s="91"/>
      <c r="BI76" s="91"/>
      <c r="BJ76" s="91"/>
      <c r="BK76" s="91"/>
      <c r="BL76" s="91"/>
      <c r="BM76" s="91"/>
      <c r="BN76" s="91"/>
      <c r="BO76" s="91"/>
      <c r="BP76" s="91"/>
      <c r="BQ76" s="91"/>
      <c r="BR76" s="91"/>
      <c r="BS76" s="91"/>
      <c r="BT76" s="91"/>
      <c r="BU76" s="91"/>
      <c r="BV76" s="91"/>
      <c r="BW76" s="91"/>
      <c r="BX76" s="91"/>
      <c r="BY76" s="91"/>
      <c r="BZ76" s="91"/>
      <c r="CA76" s="91"/>
      <c r="CB76" s="91"/>
      <c r="CC76" s="91"/>
      <c r="CD76" s="91"/>
      <c r="CE76" s="91"/>
      <c r="CF76" s="91"/>
      <c r="CG76" s="91"/>
      <c r="CH76" s="91"/>
      <c r="CI76" s="91"/>
      <c r="CJ76" s="91"/>
      <c r="CK76" s="91"/>
      <c r="CL76" s="91"/>
      <c r="CM76" s="91"/>
      <c r="CN76" s="91"/>
      <c r="CO76" s="91"/>
      <c r="CP76" s="91"/>
      <c r="CQ76" s="91"/>
      <c r="CR76" s="91"/>
      <c r="CS76" s="91"/>
      <c r="CT76" s="91"/>
      <c r="CU76" s="91"/>
      <c r="CV76" s="91"/>
      <c r="CW76" s="91"/>
      <c r="CX76" s="91"/>
      <c r="CY76" s="91"/>
      <c r="CZ76" s="91"/>
      <c r="DA76" s="91"/>
      <c r="DB76" s="91"/>
      <c r="DC76" s="91"/>
      <c r="DD76" s="91"/>
      <c r="DE76" s="91"/>
      <c r="DF76" s="91"/>
      <c r="DG76" s="91"/>
      <c r="DH76" s="91"/>
      <c r="DI76" s="91"/>
      <c r="DJ76" s="91"/>
    </row>
    <row r="77" spans="1:114" s="119" customFormat="1" ht="12.75" hidden="1" customHeight="1">
      <c r="A77" s="92"/>
      <c r="B77" s="92"/>
      <c r="C77" s="91"/>
      <c r="D77" s="260"/>
      <c r="E77" s="260"/>
      <c r="F77" s="189"/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  <c r="R77" s="189"/>
      <c r="S77" s="189"/>
      <c r="T77" s="189"/>
      <c r="U77" s="189"/>
      <c r="V77" s="189"/>
      <c r="W77" s="91"/>
      <c r="X77" s="91"/>
      <c r="Y77" s="91"/>
      <c r="Z77" s="91"/>
      <c r="AA77" s="91"/>
      <c r="AB77" s="91"/>
      <c r="AC77" s="92"/>
      <c r="AD77" s="92"/>
      <c r="AE77" s="92"/>
      <c r="AF77" s="92"/>
      <c r="AG77" s="92"/>
      <c r="AH77" s="91"/>
      <c r="AI77" s="91"/>
      <c r="AJ77" s="91"/>
      <c r="AK77" s="91"/>
      <c r="AL77" s="91"/>
      <c r="AM77" s="91"/>
      <c r="AN77" s="91"/>
      <c r="AO77" s="91"/>
      <c r="AP77" s="91"/>
      <c r="AQ77" s="91"/>
      <c r="AR77" s="91"/>
      <c r="AS77" s="91"/>
      <c r="AT77" s="91"/>
      <c r="AU77" s="91"/>
      <c r="AV77" s="91"/>
      <c r="AW77" s="91"/>
      <c r="AX77" s="91"/>
      <c r="AY77" s="91"/>
      <c r="AZ77" s="91"/>
      <c r="BA77" s="91"/>
      <c r="BB77" s="91"/>
      <c r="BC77" s="91"/>
      <c r="BD77" s="91"/>
      <c r="BE77" s="91"/>
      <c r="BF77" s="91"/>
      <c r="BG77" s="91"/>
      <c r="BH77" s="91"/>
      <c r="BI77" s="91"/>
      <c r="BJ77" s="91"/>
      <c r="BK77" s="91"/>
      <c r="BL77" s="91"/>
      <c r="BM77" s="91"/>
      <c r="BN77" s="91"/>
      <c r="BO77" s="91"/>
      <c r="BP77" s="91"/>
      <c r="BQ77" s="91"/>
      <c r="BR77" s="91"/>
      <c r="BS77" s="91"/>
      <c r="BT77" s="91"/>
      <c r="BU77" s="91"/>
      <c r="BV77" s="91"/>
      <c r="BW77" s="91"/>
      <c r="BX77" s="91"/>
      <c r="BY77" s="91"/>
      <c r="BZ77" s="91"/>
      <c r="CA77" s="91"/>
      <c r="CB77" s="91"/>
      <c r="CC77" s="91"/>
      <c r="CD77" s="91"/>
      <c r="CE77" s="91"/>
      <c r="CF77" s="91"/>
      <c r="CG77" s="91"/>
      <c r="CH77" s="91"/>
      <c r="CI77" s="91"/>
      <c r="CJ77" s="91"/>
      <c r="CK77" s="91"/>
      <c r="CL77" s="91"/>
      <c r="CM77" s="91"/>
      <c r="CN77" s="91"/>
      <c r="CO77" s="91"/>
      <c r="CP77" s="91"/>
      <c r="CQ77" s="91"/>
      <c r="CR77" s="91"/>
      <c r="CS77" s="91"/>
      <c r="CT77" s="91"/>
      <c r="CU77" s="91"/>
      <c r="CV77" s="91"/>
      <c r="CW77" s="91"/>
      <c r="CX77" s="91"/>
      <c r="CY77" s="91"/>
      <c r="CZ77" s="91"/>
      <c r="DA77" s="91"/>
      <c r="DB77" s="91"/>
      <c r="DC77" s="91"/>
      <c r="DD77" s="91"/>
      <c r="DE77" s="91"/>
      <c r="DF77" s="91"/>
      <c r="DG77" s="91"/>
      <c r="DH77" s="91"/>
      <c r="DI77" s="91"/>
      <c r="DJ77" s="91"/>
    </row>
    <row r="78" spans="1:114" s="119" customFormat="1" ht="12.75" hidden="1" customHeight="1">
      <c r="A78" s="92"/>
      <c r="B78" s="92"/>
      <c r="C78" s="91"/>
      <c r="D78" s="260"/>
      <c r="E78" s="260"/>
      <c r="F78" s="204"/>
      <c r="G78" s="205"/>
      <c r="H78" s="202"/>
      <c r="I78" s="122"/>
      <c r="J78" s="180"/>
      <c r="K78" s="200"/>
      <c r="L78" s="203"/>
      <c r="M78" s="203"/>
      <c r="N78" s="194"/>
      <c r="O78" s="213"/>
      <c r="P78" s="213"/>
      <c r="Q78" s="213"/>
      <c r="R78" s="213"/>
      <c r="S78" s="213"/>
      <c r="T78" s="176"/>
      <c r="U78" s="176"/>
      <c r="V78" s="176"/>
      <c r="W78" s="91"/>
      <c r="X78" s="91"/>
      <c r="Y78" s="91"/>
      <c r="Z78" s="91"/>
      <c r="AA78" s="91"/>
      <c r="AB78" s="91"/>
      <c r="AC78" s="92"/>
      <c r="AD78" s="92"/>
      <c r="AE78" s="92"/>
      <c r="AF78" s="92"/>
      <c r="AG78" s="92"/>
      <c r="AH78" s="91"/>
      <c r="AI78" s="91"/>
      <c r="AJ78" s="91"/>
      <c r="AK78" s="91"/>
      <c r="AL78" s="91"/>
      <c r="AM78" s="91"/>
      <c r="AN78" s="91"/>
      <c r="AO78" s="91"/>
      <c r="AP78" s="91"/>
      <c r="AQ78" s="91"/>
      <c r="AR78" s="91"/>
      <c r="AS78" s="91"/>
      <c r="AT78" s="91"/>
      <c r="AU78" s="91"/>
      <c r="AV78" s="91"/>
      <c r="AW78" s="91"/>
      <c r="AX78" s="91"/>
      <c r="AY78" s="91"/>
      <c r="AZ78" s="91"/>
      <c r="BA78" s="91"/>
      <c r="BB78" s="91"/>
      <c r="BC78" s="91"/>
      <c r="BD78" s="91"/>
      <c r="BE78" s="91"/>
      <c r="BF78" s="91"/>
      <c r="BG78" s="91"/>
      <c r="BH78" s="91"/>
      <c r="BI78" s="91"/>
      <c r="BJ78" s="91"/>
      <c r="BK78" s="91"/>
      <c r="BL78" s="91"/>
      <c r="BM78" s="91"/>
      <c r="BN78" s="91"/>
      <c r="BO78" s="91"/>
      <c r="BP78" s="91"/>
      <c r="BQ78" s="91"/>
      <c r="BR78" s="91"/>
      <c r="BS78" s="91"/>
      <c r="BT78" s="91"/>
      <c r="BU78" s="91"/>
      <c r="BV78" s="91"/>
      <c r="BW78" s="91"/>
      <c r="BX78" s="91"/>
      <c r="BY78" s="91"/>
      <c r="BZ78" s="91"/>
      <c r="CA78" s="91"/>
      <c r="CB78" s="91"/>
      <c r="CC78" s="91"/>
      <c r="CD78" s="91"/>
      <c r="CE78" s="91"/>
      <c r="CF78" s="91"/>
      <c r="CG78" s="91"/>
      <c r="CH78" s="91"/>
      <c r="CI78" s="91"/>
      <c r="CJ78" s="91"/>
      <c r="CK78" s="91"/>
      <c r="CL78" s="91"/>
      <c r="CM78" s="91"/>
      <c r="CN78" s="91"/>
      <c r="CO78" s="91"/>
      <c r="CP78" s="91"/>
      <c r="CQ78" s="91"/>
      <c r="CR78" s="91"/>
      <c r="CS78" s="91"/>
      <c r="CT78" s="91"/>
      <c r="CU78" s="91"/>
      <c r="CV78" s="91"/>
      <c r="CW78" s="91"/>
      <c r="CX78" s="91"/>
      <c r="CY78" s="91"/>
      <c r="CZ78" s="91"/>
      <c r="DA78" s="91"/>
      <c r="DB78" s="91"/>
      <c r="DC78" s="91"/>
      <c r="DD78" s="91"/>
      <c r="DE78" s="91"/>
      <c r="DF78" s="91"/>
      <c r="DG78" s="91"/>
      <c r="DH78" s="91"/>
      <c r="DI78" s="91"/>
      <c r="DJ78" s="91"/>
    </row>
    <row r="79" spans="1:114" s="119" customFormat="1" ht="12.75" hidden="1" customHeight="1">
      <c r="A79" s="92"/>
      <c r="B79" s="92"/>
      <c r="C79" s="91"/>
      <c r="D79" s="260"/>
      <c r="E79" s="260"/>
      <c r="F79" s="189"/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  <c r="R79" s="189"/>
      <c r="S79" s="189"/>
      <c r="T79" s="189"/>
      <c r="U79" s="189"/>
      <c r="V79" s="189"/>
      <c r="W79" s="91"/>
      <c r="X79" s="91"/>
      <c r="Y79" s="91"/>
      <c r="Z79" s="91"/>
      <c r="AA79" s="91"/>
      <c r="AB79" s="91"/>
      <c r="AC79" s="92"/>
      <c r="AD79" s="92"/>
      <c r="AE79" s="92"/>
      <c r="AF79" s="92"/>
      <c r="AG79" s="92"/>
      <c r="AH79" s="91"/>
      <c r="AI79" s="91"/>
      <c r="AJ79" s="91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1"/>
      <c r="AV79" s="91"/>
      <c r="AW79" s="91"/>
      <c r="AX79" s="91"/>
      <c r="AY79" s="91"/>
      <c r="AZ79" s="91"/>
      <c r="BA79" s="91"/>
      <c r="BB79" s="91"/>
      <c r="BC79" s="91"/>
      <c r="BD79" s="91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W79" s="91"/>
      <c r="BX79" s="91"/>
      <c r="BY79" s="91"/>
      <c r="BZ79" s="91"/>
      <c r="CA79" s="91"/>
      <c r="CB79" s="91"/>
      <c r="CC79" s="91"/>
      <c r="CD79" s="91"/>
      <c r="CE79" s="91"/>
      <c r="CF79" s="91"/>
      <c r="CG79" s="91"/>
      <c r="CH79" s="91"/>
      <c r="CI79" s="91"/>
      <c r="CJ79" s="91"/>
      <c r="CK79" s="91"/>
      <c r="CL79" s="91"/>
      <c r="CM79" s="91"/>
      <c r="CN79" s="91"/>
      <c r="CO79" s="91"/>
      <c r="CP79" s="91"/>
      <c r="CQ79" s="91"/>
      <c r="CR79" s="91"/>
      <c r="CS79" s="91"/>
      <c r="CT79" s="91"/>
      <c r="CU79" s="91"/>
      <c r="CV79" s="91"/>
      <c r="CW79" s="91"/>
      <c r="CX79" s="91"/>
      <c r="CY79" s="91"/>
      <c r="CZ79" s="91"/>
      <c r="DA79" s="91"/>
      <c r="DB79" s="91"/>
      <c r="DC79" s="91"/>
      <c r="DD79" s="91"/>
      <c r="DE79" s="91"/>
      <c r="DF79" s="91"/>
      <c r="DG79" s="91"/>
      <c r="DH79" s="91"/>
      <c r="DI79" s="91"/>
      <c r="DJ79" s="91"/>
    </row>
    <row r="80" spans="1:114" s="119" customFormat="1" ht="12.75" hidden="1" customHeight="1">
      <c r="A80" s="92"/>
      <c r="B80" s="92"/>
      <c r="C80" s="91"/>
      <c r="D80" s="260"/>
      <c r="E80" s="260"/>
      <c r="F80" s="204"/>
      <c r="G80" s="205"/>
      <c r="H80" s="202"/>
      <c r="I80" s="122"/>
      <c r="J80" s="180"/>
      <c r="K80" s="200"/>
      <c r="L80" s="203"/>
      <c r="M80" s="203"/>
      <c r="N80" s="194"/>
      <c r="O80" s="213"/>
      <c r="P80" s="213"/>
      <c r="Q80" s="213"/>
      <c r="R80" s="213"/>
      <c r="S80" s="213"/>
      <c r="T80" s="176"/>
      <c r="U80" s="176"/>
      <c r="V80" s="176"/>
      <c r="W80" s="91"/>
      <c r="X80" s="91"/>
      <c r="Y80" s="91"/>
      <c r="Z80" s="91"/>
      <c r="AA80" s="91"/>
      <c r="AB80" s="91"/>
      <c r="AC80" s="92"/>
      <c r="AD80" s="92"/>
      <c r="AE80" s="92"/>
      <c r="AF80" s="92"/>
      <c r="AG80" s="92"/>
      <c r="AH80" s="91"/>
      <c r="AI80" s="91"/>
      <c r="AJ80" s="91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1"/>
      <c r="AV80" s="91"/>
      <c r="AW80" s="91"/>
      <c r="AX80" s="91"/>
      <c r="AY80" s="91"/>
      <c r="AZ80" s="91"/>
      <c r="BA80" s="91"/>
      <c r="BB80" s="91"/>
      <c r="BC80" s="91"/>
      <c r="BD80" s="91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W80" s="91"/>
      <c r="BX80" s="91"/>
      <c r="BY80" s="91"/>
      <c r="BZ80" s="91"/>
      <c r="CA80" s="91"/>
      <c r="CB80" s="91"/>
      <c r="CC80" s="91"/>
      <c r="CD80" s="91"/>
      <c r="CE80" s="91"/>
      <c r="CF80" s="91"/>
      <c r="CG80" s="91"/>
      <c r="CH80" s="91"/>
      <c r="CI80" s="91"/>
      <c r="CJ80" s="91"/>
      <c r="CK80" s="91"/>
      <c r="CL80" s="91"/>
      <c r="CM80" s="91"/>
      <c r="CN80" s="91"/>
      <c r="CO80" s="91"/>
      <c r="CP80" s="91"/>
      <c r="CQ80" s="91"/>
      <c r="CR80" s="91"/>
      <c r="CS80" s="91"/>
      <c r="CT80" s="91"/>
      <c r="CU80" s="91"/>
      <c r="CV80" s="91"/>
      <c r="CW80" s="91"/>
      <c r="CX80" s="91"/>
      <c r="CY80" s="91"/>
      <c r="CZ80" s="91"/>
      <c r="DA80" s="91"/>
      <c r="DB80" s="91"/>
      <c r="DC80" s="91"/>
      <c r="DD80" s="91"/>
      <c r="DE80" s="91"/>
      <c r="DF80" s="91"/>
      <c r="DG80" s="91"/>
      <c r="DH80" s="91"/>
      <c r="DI80" s="91"/>
      <c r="DJ80" s="91"/>
    </row>
    <row r="81" spans="1:114" s="119" customFormat="1" ht="12.75" hidden="1" customHeight="1">
      <c r="A81" s="92"/>
      <c r="B81" s="92"/>
      <c r="C81" s="91"/>
      <c r="D81" s="91"/>
      <c r="E81" s="91"/>
      <c r="F81" s="97"/>
      <c r="G81" s="97"/>
      <c r="H81" s="96"/>
      <c r="I81" s="97"/>
      <c r="J81" s="97"/>
      <c r="K81" s="97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  <c r="X81" s="91"/>
      <c r="Y81" s="91"/>
      <c r="Z81" s="91"/>
      <c r="AA81" s="91"/>
      <c r="AB81" s="91"/>
      <c r="AC81" s="92"/>
      <c r="AD81" s="92"/>
      <c r="AE81" s="92"/>
      <c r="AF81" s="92"/>
      <c r="AG81" s="92"/>
      <c r="AH81" s="91"/>
      <c r="AI81" s="91"/>
      <c r="AJ81" s="91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1"/>
      <c r="AV81" s="91"/>
      <c r="AW81" s="91"/>
      <c r="AX81" s="91"/>
      <c r="AY81" s="91"/>
      <c r="AZ81" s="91"/>
      <c r="BA81" s="91"/>
      <c r="BB81" s="91"/>
      <c r="BC81" s="91"/>
      <c r="BD81" s="91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W81" s="91"/>
      <c r="BX81" s="91"/>
      <c r="BY81" s="91"/>
      <c r="BZ81" s="91"/>
      <c r="CA81" s="91"/>
      <c r="CB81" s="91"/>
      <c r="CC81" s="91"/>
      <c r="CD81" s="91"/>
      <c r="CE81" s="91"/>
      <c r="CF81" s="91"/>
      <c r="CG81" s="91"/>
      <c r="CH81" s="91"/>
      <c r="CI81" s="91"/>
      <c r="CJ81" s="91"/>
      <c r="CK81" s="91"/>
      <c r="CL81" s="91"/>
      <c r="CM81" s="91"/>
      <c r="CN81" s="91"/>
      <c r="CO81" s="91"/>
      <c r="CP81" s="91"/>
      <c r="CQ81" s="91"/>
      <c r="CR81" s="91"/>
      <c r="CS81" s="91"/>
      <c r="CT81" s="91"/>
      <c r="CU81" s="91"/>
      <c r="CV81" s="91"/>
      <c r="CW81" s="91"/>
      <c r="CX81" s="91"/>
      <c r="CY81" s="91"/>
      <c r="CZ81" s="91"/>
      <c r="DA81" s="91"/>
      <c r="DB81" s="91"/>
      <c r="DC81" s="91"/>
      <c r="DD81" s="91"/>
      <c r="DE81" s="91"/>
      <c r="DF81" s="91"/>
      <c r="DG81" s="91"/>
      <c r="DH81" s="91"/>
      <c r="DI81" s="91"/>
      <c r="DJ81" s="91"/>
    </row>
    <row r="82" spans="1:114" s="119" customFormat="1" ht="12.75" hidden="1" customHeight="1">
      <c r="A82" s="92"/>
      <c r="B82" s="92"/>
      <c r="C82" s="91"/>
      <c r="D82" s="190"/>
      <c r="E82" s="190"/>
      <c r="F82" s="190"/>
      <c r="G82" s="190"/>
      <c r="H82" s="190"/>
      <c r="I82" s="207"/>
      <c r="J82" s="207"/>
      <c r="K82" s="207"/>
      <c r="L82" s="190"/>
      <c r="M82" s="190"/>
      <c r="N82" s="190"/>
      <c r="O82" s="191"/>
      <c r="P82" s="191"/>
      <c r="Q82" s="191"/>
      <c r="R82" s="191"/>
      <c r="S82" s="191"/>
      <c r="T82" s="91"/>
      <c r="U82" s="91"/>
      <c r="V82" s="91"/>
      <c r="W82" s="91"/>
      <c r="X82" s="91"/>
      <c r="Y82" s="91"/>
      <c r="Z82" s="91"/>
      <c r="AA82" s="91"/>
      <c r="AB82" s="107"/>
      <c r="AC82" s="107"/>
      <c r="AD82" s="107"/>
      <c r="AE82" s="107"/>
      <c r="AF82" s="107"/>
      <c r="AG82" s="92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91"/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91"/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</row>
    <row r="83" spans="1:114" s="119" customFormat="1" ht="12.75" hidden="1" customHeight="1">
      <c r="A83" s="92"/>
      <c r="B83" s="92"/>
      <c r="C83" s="91"/>
      <c r="D83" s="92"/>
      <c r="E83" s="92"/>
      <c r="F83" s="92"/>
      <c r="G83" s="92"/>
      <c r="H83" s="208"/>
      <c r="I83" s="92"/>
      <c r="J83" s="92"/>
      <c r="K83" s="92"/>
      <c r="L83" s="91"/>
      <c r="M83" s="91"/>
      <c r="N83" s="91"/>
      <c r="O83" s="91"/>
      <c r="P83" s="91"/>
      <c r="Q83" s="91"/>
      <c r="R83" s="91"/>
      <c r="S83" s="91"/>
      <c r="T83" s="91"/>
      <c r="U83" s="91"/>
      <c r="V83" s="91"/>
      <c r="W83" s="91"/>
      <c r="X83" s="91"/>
      <c r="Y83" s="91"/>
      <c r="Z83" s="91"/>
      <c r="AA83" s="91"/>
      <c r="AB83" s="98"/>
      <c r="AC83" s="98"/>
      <c r="AD83" s="98"/>
      <c r="AE83" s="98"/>
      <c r="AF83" s="98"/>
      <c r="AG83" s="92"/>
      <c r="AH83" s="91"/>
      <c r="AI83" s="91"/>
      <c r="AJ83" s="91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1"/>
      <c r="AV83" s="91"/>
      <c r="AW83" s="91"/>
      <c r="AX83" s="91"/>
      <c r="AY83" s="91"/>
      <c r="AZ83" s="91"/>
      <c r="BA83" s="91"/>
      <c r="BB83" s="91"/>
      <c r="BC83" s="91"/>
      <c r="BD83" s="91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W83" s="91"/>
      <c r="BX83" s="91"/>
      <c r="BY83" s="91"/>
      <c r="BZ83" s="91"/>
      <c r="CA83" s="91"/>
      <c r="CB83" s="91"/>
      <c r="CC83" s="91"/>
      <c r="CD83" s="91"/>
      <c r="CE83" s="91"/>
      <c r="CF83" s="91"/>
      <c r="CG83" s="91"/>
      <c r="CH83" s="91"/>
      <c r="CI83" s="91"/>
      <c r="CJ83" s="91"/>
      <c r="CK83" s="91"/>
      <c r="CL83" s="91"/>
      <c r="CM83" s="91"/>
      <c r="CN83" s="91"/>
      <c r="CO83" s="91"/>
      <c r="CP83" s="91"/>
      <c r="CQ83" s="91"/>
      <c r="CR83" s="91"/>
      <c r="CS83" s="91"/>
      <c r="CT83" s="91"/>
      <c r="CU83" s="91"/>
      <c r="CV83" s="91"/>
      <c r="CW83" s="91"/>
      <c r="CX83" s="91"/>
      <c r="CY83" s="91"/>
      <c r="CZ83" s="91"/>
      <c r="DA83" s="91"/>
      <c r="DB83" s="91"/>
      <c r="DC83" s="91"/>
      <c r="DD83" s="91"/>
      <c r="DE83" s="91"/>
      <c r="DF83" s="91"/>
      <c r="DG83" s="91"/>
      <c r="DH83" s="91"/>
      <c r="DI83" s="91"/>
      <c r="DJ83" s="91"/>
    </row>
    <row r="84" spans="1:114" s="119" customFormat="1" ht="12.75" hidden="1" customHeight="1">
      <c r="A84" s="92"/>
      <c r="B84" s="92"/>
      <c r="C84" s="91"/>
      <c r="D84" s="92"/>
      <c r="E84" s="92"/>
      <c r="F84" s="184"/>
      <c r="G84" s="268"/>
      <c r="H84" s="208"/>
      <c r="I84" s="92"/>
      <c r="J84" s="92"/>
      <c r="K84" s="184"/>
      <c r="M84" s="184"/>
      <c r="N84" s="185"/>
      <c r="O84" s="182"/>
      <c r="P84" s="181"/>
      <c r="Q84" s="181"/>
      <c r="R84" s="181"/>
      <c r="S84" s="181"/>
      <c r="T84" s="91"/>
      <c r="U84" s="91"/>
      <c r="V84" s="91"/>
      <c r="W84" s="91"/>
      <c r="X84" s="91"/>
      <c r="Y84" s="91"/>
      <c r="Z84" s="91"/>
      <c r="AA84" s="91"/>
      <c r="AB84" s="99"/>
      <c r="AC84" s="100"/>
      <c r="AD84" s="100"/>
      <c r="AE84" s="100"/>
      <c r="AF84" s="100"/>
      <c r="AG84" s="92"/>
      <c r="AH84" s="91"/>
      <c r="AI84" s="91"/>
      <c r="AJ84" s="91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1"/>
      <c r="AV84" s="91"/>
      <c r="AW84" s="91"/>
      <c r="AX84" s="91"/>
      <c r="AY84" s="91"/>
      <c r="AZ84" s="91"/>
      <c r="BA84" s="91"/>
      <c r="BB84" s="91"/>
      <c r="BC84" s="91"/>
      <c r="BD84" s="91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W84" s="91"/>
      <c r="BX84" s="91"/>
      <c r="BY84" s="91"/>
      <c r="BZ84" s="91"/>
      <c r="CA84" s="91"/>
      <c r="CB84" s="91"/>
      <c r="CC84" s="91"/>
      <c r="CD84" s="91"/>
      <c r="CE84" s="91"/>
      <c r="CF84" s="91"/>
      <c r="CG84" s="91"/>
      <c r="CH84" s="91"/>
      <c r="CI84" s="91"/>
      <c r="CJ84" s="91"/>
      <c r="CK84" s="91"/>
      <c r="CL84" s="91"/>
      <c r="CM84" s="91"/>
      <c r="CN84" s="91"/>
      <c r="CO84" s="91"/>
      <c r="CP84" s="91"/>
      <c r="CQ84" s="91"/>
      <c r="CR84" s="91"/>
      <c r="CS84" s="91"/>
      <c r="CT84" s="91"/>
      <c r="CU84" s="91"/>
      <c r="CV84" s="91"/>
      <c r="CW84" s="91"/>
      <c r="CX84" s="91"/>
      <c r="CY84" s="91"/>
      <c r="CZ84" s="91"/>
      <c r="DA84" s="91"/>
      <c r="DB84" s="91"/>
      <c r="DC84" s="91"/>
      <c r="DD84" s="91"/>
      <c r="DE84" s="91"/>
      <c r="DF84" s="91"/>
      <c r="DG84" s="91"/>
      <c r="DH84" s="91"/>
      <c r="DI84" s="91"/>
      <c r="DJ84" s="91"/>
    </row>
    <row r="85" spans="1:114" s="119" customFormat="1" ht="12.75" hidden="1" customHeight="1">
      <c r="A85" s="92"/>
      <c r="B85" s="92"/>
      <c r="C85" s="91"/>
      <c r="D85" s="92"/>
      <c r="E85" s="92"/>
      <c r="F85" s="92"/>
      <c r="G85" s="92"/>
      <c r="H85" s="92"/>
      <c r="I85" s="92"/>
      <c r="J85" s="92"/>
      <c r="K85" s="92"/>
      <c r="L85" s="91"/>
      <c r="M85" s="91"/>
      <c r="N85" s="91"/>
      <c r="O85" s="91"/>
      <c r="P85" s="91"/>
      <c r="Q85" s="91"/>
      <c r="R85" s="91"/>
      <c r="S85" s="91"/>
      <c r="T85" s="91"/>
      <c r="U85" s="91"/>
      <c r="V85" s="91"/>
      <c r="W85" s="91"/>
      <c r="X85" s="91"/>
      <c r="Y85" s="91"/>
      <c r="Z85" s="91"/>
      <c r="AA85" s="91"/>
      <c r="AB85" s="99"/>
      <c r="AC85" s="100"/>
      <c r="AD85" s="100"/>
      <c r="AE85" s="100"/>
      <c r="AF85" s="100"/>
      <c r="AG85" s="92"/>
      <c r="AH85" s="91"/>
      <c r="AI85" s="91"/>
      <c r="AJ85" s="91"/>
      <c r="AK85" s="91"/>
      <c r="AL85" s="91"/>
      <c r="AM85" s="91"/>
      <c r="AN85" s="91"/>
      <c r="AO85" s="91"/>
      <c r="AP85" s="91"/>
      <c r="AQ85" s="91"/>
      <c r="AR85" s="91"/>
      <c r="AS85" s="91"/>
      <c r="AT85" s="91"/>
      <c r="AU85" s="91"/>
      <c r="AV85" s="91"/>
      <c r="AW85" s="91"/>
      <c r="AX85" s="91"/>
      <c r="AY85" s="91"/>
      <c r="AZ85" s="91"/>
      <c r="BA85" s="91"/>
      <c r="BB85" s="91"/>
      <c r="BC85" s="91"/>
      <c r="BD85" s="91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W85" s="91"/>
      <c r="BX85" s="91"/>
      <c r="BY85" s="91"/>
      <c r="BZ85" s="91"/>
      <c r="CA85" s="91"/>
      <c r="CB85" s="91"/>
      <c r="CC85" s="91"/>
      <c r="CD85" s="91"/>
      <c r="CE85" s="91"/>
      <c r="CF85" s="91"/>
      <c r="CG85" s="91"/>
      <c r="CH85" s="91"/>
      <c r="CI85" s="91"/>
      <c r="CJ85" s="91"/>
      <c r="CK85" s="91"/>
      <c r="CL85" s="91"/>
      <c r="CM85" s="91"/>
      <c r="CN85" s="91"/>
      <c r="CO85" s="91"/>
      <c r="CP85" s="91"/>
      <c r="CQ85" s="91"/>
      <c r="CR85" s="91"/>
      <c r="CS85" s="91"/>
      <c r="CT85" s="91"/>
      <c r="CU85" s="91"/>
      <c r="CV85" s="91"/>
      <c r="CW85" s="91"/>
      <c r="CX85" s="91"/>
      <c r="CY85" s="91"/>
      <c r="CZ85" s="91"/>
      <c r="DA85" s="91"/>
      <c r="DB85" s="91"/>
      <c r="DC85" s="91"/>
      <c r="DD85" s="91"/>
      <c r="DE85" s="91"/>
      <c r="DF85" s="91"/>
      <c r="DG85" s="91"/>
      <c r="DH85" s="91"/>
      <c r="DI85" s="91"/>
      <c r="DJ85" s="91"/>
    </row>
    <row r="86" spans="1:114" s="119" customFormat="1" ht="12.75" hidden="1" customHeight="1">
      <c r="A86" s="92"/>
      <c r="B86" s="92"/>
      <c r="C86" s="91"/>
      <c r="D86" s="92"/>
      <c r="E86" s="92"/>
      <c r="F86" s="186"/>
      <c r="G86" s="186"/>
      <c r="H86" s="92"/>
      <c r="I86" s="92"/>
      <c r="J86" s="92"/>
      <c r="K86" s="186"/>
      <c r="M86" s="186"/>
      <c r="N86" s="186"/>
      <c r="O86" s="187"/>
      <c r="P86" s="187"/>
      <c r="Q86" s="187"/>
      <c r="R86" s="187"/>
      <c r="S86" s="187"/>
      <c r="T86" s="91"/>
      <c r="U86" s="91"/>
      <c r="V86" s="91"/>
      <c r="W86" s="91"/>
      <c r="X86" s="91"/>
      <c r="Y86" s="91"/>
      <c r="Z86" s="91"/>
      <c r="AA86" s="91"/>
      <c r="AB86" s="99"/>
      <c r="AC86" s="100"/>
      <c r="AD86" s="100"/>
      <c r="AE86" s="100"/>
      <c r="AF86" s="100"/>
      <c r="AG86" s="92"/>
      <c r="AH86" s="91"/>
      <c r="AI86" s="91"/>
      <c r="AJ86" s="91"/>
      <c r="AK86" s="91"/>
      <c r="AL86" s="91"/>
      <c r="AM86" s="91"/>
      <c r="AN86" s="91"/>
      <c r="AO86" s="91"/>
      <c r="AP86" s="91"/>
      <c r="AQ86" s="91"/>
      <c r="AR86" s="91"/>
      <c r="AS86" s="91"/>
      <c r="AT86" s="91"/>
      <c r="AU86" s="91"/>
      <c r="AV86" s="91"/>
      <c r="AW86" s="91"/>
      <c r="AX86" s="91"/>
      <c r="AY86" s="91"/>
      <c r="AZ86" s="91"/>
      <c r="BA86" s="91"/>
      <c r="BB86" s="91"/>
      <c r="BC86" s="91"/>
      <c r="BD86" s="91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W86" s="91"/>
      <c r="BX86" s="91"/>
      <c r="BY86" s="91"/>
      <c r="BZ86" s="91"/>
      <c r="CA86" s="91"/>
      <c r="CB86" s="91"/>
      <c r="CC86" s="91"/>
      <c r="CD86" s="91"/>
      <c r="CE86" s="91"/>
      <c r="CF86" s="91"/>
      <c r="CG86" s="91"/>
      <c r="CH86" s="91"/>
      <c r="CI86" s="91"/>
      <c r="CJ86" s="91"/>
      <c r="CK86" s="91"/>
      <c r="CL86" s="91"/>
      <c r="CM86" s="91"/>
      <c r="CN86" s="91"/>
      <c r="CO86" s="91"/>
      <c r="CP86" s="91"/>
      <c r="CQ86" s="91"/>
      <c r="CR86" s="91"/>
      <c r="CS86" s="91"/>
      <c r="CT86" s="91"/>
      <c r="CU86" s="91"/>
      <c r="CV86" s="91"/>
      <c r="CW86" s="91"/>
      <c r="CX86" s="91"/>
      <c r="CY86" s="91"/>
      <c r="CZ86" s="91"/>
      <c r="DA86" s="91"/>
      <c r="DB86" s="91"/>
      <c r="DC86" s="91"/>
      <c r="DD86" s="91"/>
      <c r="DE86" s="91"/>
      <c r="DF86" s="91"/>
      <c r="DG86" s="91"/>
      <c r="DH86" s="91"/>
      <c r="DI86" s="91"/>
      <c r="DJ86" s="91"/>
    </row>
    <row r="87" spans="1:114" s="119" customFormat="1" ht="12.75" hidden="1" customHeight="1">
      <c r="A87" s="92"/>
      <c r="B87" s="92"/>
      <c r="C87" s="91"/>
      <c r="D87" s="91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1"/>
      <c r="S87" s="91"/>
      <c r="T87" s="91"/>
      <c r="U87" s="91"/>
      <c r="V87" s="91"/>
      <c r="W87" s="91"/>
      <c r="X87" s="91"/>
      <c r="Y87" s="91"/>
      <c r="Z87" s="91"/>
      <c r="AA87" s="91"/>
      <c r="AB87" s="99"/>
      <c r="AC87" s="100"/>
      <c r="AD87" s="100"/>
      <c r="AE87" s="100"/>
      <c r="AF87" s="100"/>
      <c r="AG87" s="92"/>
      <c r="AH87" s="91"/>
      <c r="AI87" s="91"/>
      <c r="AJ87" s="91"/>
      <c r="AK87" s="91"/>
      <c r="AL87" s="91"/>
      <c r="AM87" s="91"/>
      <c r="AN87" s="91"/>
      <c r="AO87" s="91"/>
      <c r="AP87" s="91"/>
      <c r="AQ87" s="91"/>
      <c r="AR87" s="91"/>
      <c r="AS87" s="91"/>
      <c r="AT87" s="91"/>
      <c r="AU87" s="91"/>
      <c r="AV87" s="91"/>
      <c r="AW87" s="91"/>
      <c r="AX87" s="91"/>
      <c r="AY87" s="91"/>
      <c r="AZ87" s="91"/>
      <c r="BA87" s="91"/>
      <c r="BB87" s="91"/>
      <c r="BC87" s="91"/>
      <c r="BD87" s="91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W87" s="91"/>
      <c r="BX87" s="91"/>
      <c r="BY87" s="91"/>
      <c r="BZ87" s="91"/>
      <c r="CA87" s="91"/>
      <c r="CB87" s="91"/>
      <c r="CC87" s="91"/>
      <c r="CD87" s="91"/>
      <c r="CE87" s="91"/>
      <c r="CF87" s="91"/>
      <c r="CG87" s="91"/>
      <c r="CH87" s="91"/>
      <c r="CI87" s="91"/>
      <c r="CJ87" s="91"/>
      <c r="CK87" s="91"/>
      <c r="CL87" s="91"/>
      <c r="CM87" s="91"/>
      <c r="CN87" s="91"/>
      <c r="CO87" s="91"/>
      <c r="CP87" s="91"/>
      <c r="CQ87" s="91"/>
      <c r="CR87" s="91"/>
      <c r="CS87" s="91"/>
      <c r="CT87" s="91"/>
      <c r="CU87" s="91"/>
      <c r="CV87" s="91"/>
      <c r="CW87" s="91"/>
      <c r="CX87" s="91"/>
      <c r="CY87" s="91"/>
      <c r="CZ87" s="91"/>
      <c r="DA87" s="91"/>
      <c r="DB87" s="91"/>
      <c r="DC87" s="91"/>
      <c r="DD87" s="91"/>
      <c r="DE87" s="91"/>
      <c r="DF87" s="91"/>
      <c r="DG87" s="91"/>
      <c r="DH87" s="91"/>
      <c r="DI87" s="91"/>
      <c r="DJ87" s="91"/>
    </row>
    <row r="88" spans="1:114" s="119" customFormat="1" ht="12.75" hidden="1" customHeight="1">
      <c r="A88" s="92"/>
      <c r="B88" s="92"/>
      <c r="C88" s="91"/>
      <c r="D88" s="91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1"/>
      <c r="T88" s="91"/>
      <c r="U88" s="91"/>
      <c r="V88" s="91"/>
      <c r="W88" s="91"/>
      <c r="X88" s="91"/>
      <c r="Y88" s="91"/>
      <c r="Z88" s="91"/>
      <c r="AA88" s="91"/>
      <c r="AB88" s="99"/>
      <c r="AC88" s="100"/>
      <c r="AD88" s="100"/>
      <c r="AE88" s="100"/>
      <c r="AF88" s="100"/>
      <c r="AG88" s="92"/>
      <c r="AH88" s="91"/>
      <c r="AI88" s="91"/>
      <c r="AJ88" s="91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C88" s="91"/>
      <c r="BD88" s="91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W88" s="91"/>
      <c r="BX88" s="91"/>
      <c r="BY88" s="91"/>
      <c r="BZ88" s="91"/>
      <c r="CA88" s="91"/>
      <c r="CB88" s="91"/>
      <c r="CC88" s="91"/>
      <c r="CD88" s="91"/>
      <c r="CE88" s="91"/>
      <c r="CF88" s="91"/>
      <c r="CG88" s="91"/>
      <c r="CH88" s="91"/>
      <c r="CI88" s="91"/>
      <c r="CJ88" s="91"/>
      <c r="CK88" s="91"/>
      <c r="CL88" s="91"/>
      <c r="CM88" s="91"/>
      <c r="CN88" s="91"/>
      <c r="CO88" s="91"/>
      <c r="CP88" s="91"/>
      <c r="CQ88" s="91"/>
      <c r="CR88" s="91"/>
      <c r="CS88" s="91"/>
      <c r="CT88" s="91"/>
      <c r="CU88" s="91"/>
      <c r="CV88" s="91"/>
      <c r="CW88" s="91"/>
      <c r="CX88" s="91"/>
      <c r="CY88" s="91"/>
      <c r="CZ88" s="91"/>
      <c r="DA88" s="91"/>
      <c r="DB88" s="91"/>
      <c r="DC88" s="91"/>
      <c r="DD88" s="91"/>
      <c r="DE88" s="91"/>
      <c r="DF88" s="91"/>
      <c r="DG88" s="91"/>
      <c r="DH88" s="91"/>
      <c r="DI88" s="91"/>
      <c r="DJ88" s="91"/>
    </row>
    <row r="89" spans="1:114" s="119" customFormat="1" ht="12.75" hidden="1" customHeight="1">
      <c r="A89" s="92"/>
      <c r="B89" s="92"/>
      <c r="C89" s="91"/>
      <c r="L89" s="188"/>
      <c r="M89" s="188"/>
      <c r="N89" s="188"/>
      <c r="O89" s="188"/>
      <c r="P89" s="188"/>
      <c r="Q89" s="188"/>
      <c r="R89" s="188"/>
      <c r="S89" s="188"/>
      <c r="T89" s="188"/>
      <c r="U89" s="188"/>
      <c r="V89" s="188"/>
      <c r="W89" s="91"/>
      <c r="X89" s="91"/>
      <c r="Y89" s="91"/>
      <c r="Z89" s="91"/>
      <c r="AA89" s="91"/>
      <c r="AB89" s="99"/>
      <c r="AC89" s="100"/>
      <c r="AD89" s="100"/>
      <c r="AE89" s="100"/>
      <c r="AF89" s="100"/>
      <c r="AG89" s="92"/>
      <c r="AH89" s="91"/>
      <c r="AI89" s="91"/>
      <c r="AJ89" s="91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C89" s="91"/>
      <c r="BD89" s="91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W89" s="91"/>
      <c r="BX89" s="91"/>
      <c r="BY89" s="91"/>
      <c r="BZ89" s="91"/>
      <c r="CA89" s="91"/>
      <c r="CB89" s="91"/>
      <c r="CC89" s="91"/>
      <c r="CD89" s="91"/>
      <c r="CE89" s="91"/>
      <c r="CF89" s="91"/>
      <c r="CG89" s="91"/>
      <c r="CH89" s="91"/>
      <c r="CI89" s="91"/>
      <c r="CJ89" s="91"/>
      <c r="CK89" s="91"/>
      <c r="CL89" s="91"/>
      <c r="CM89" s="91"/>
      <c r="CN89" s="91"/>
      <c r="CO89" s="91"/>
      <c r="CP89" s="91"/>
      <c r="CQ89" s="91"/>
      <c r="CR89" s="91"/>
      <c r="CS89" s="91"/>
      <c r="CT89" s="91"/>
      <c r="CU89" s="91"/>
      <c r="CV89" s="91"/>
      <c r="CW89" s="91"/>
      <c r="CX89" s="91"/>
      <c r="CY89" s="91"/>
      <c r="CZ89" s="91"/>
      <c r="DA89" s="91"/>
      <c r="DB89" s="91"/>
      <c r="DC89" s="91"/>
      <c r="DD89" s="91"/>
      <c r="DE89" s="91"/>
      <c r="DF89" s="91"/>
      <c r="DG89" s="91"/>
      <c r="DH89" s="91"/>
      <c r="DI89" s="91"/>
      <c r="DJ89" s="91"/>
    </row>
    <row r="90" spans="1:114" s="119" customFormat="1" ht="12.75" hidden="1" customHeight="1">
      <c r="A90" s="92"/>
      <c r="B90" s="92"/>
      <c r="C90" s="91"/>
      <c r="L90" s="188"/>
      <c r="M90" s="188"/>
      <c r="N90" s="188"/>
      <c r="O90" s="188"/>
      <c r="P90" s="188"/>
      <c r="Q90" s="188"/>
      <c r="R90" s="188"/>
      <c r="S90" s="188"/>
      <c r="T90" s="188"/>
      <c r="U90" s="188"/>
      <c r="V90" s="188"/>
      <c r="W90" s="91"/>
      <c r="X90" s="91"/>
      <c r="Y90" s="91"/>
      <c r="Z90" s="91"/>
      <c r="AA90" s="91"/>
      <c r="AB90" s="99"/>
      <c r="AC90" s="100"/>
      <c r="AD90" s="100"/>
      <c r="AE90" s="100"/>
      <c r="AF90" s="100"/>
      <c r="AG90" s="92"/>
      <c r="AH90" s="91"/>
      <c r="AI90" s="91"/>
      <c r="AJ90" s="91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C90" s="91"/>
      <c r="BD90" s="91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W90" s="91"/>
      <c r="BX90" s="91"/>
      <c r="BY90" s="91"/>
      <c r="BZ90" s="91"/>
      <c r="CA90" s="91"/>
      <c r="CB90" s="91"/>
      <c r="CC90" s="91"/>
      <c r="CD90" s="91"/>
      <c r="CE90" s="91"/>
      <c r="CF90" s="91"/>
      <c r="CG90" s="91"/>
      <c r="CH90" s="91"/>
      <c r="CI90" s="91"/>
      <c r="CJ90" s="91"/>
      <c r="CK90" s="91"/>
      <c r="CL90" s="91"/>
      <c r="CM90" s="91"/>
      <c r="CN90" s="91"/>
      <c r="CO90" s="91"/>
      <c r="CP90" s="91"/>
      <c r="CQ90" s="91"/>
      <c r="CR90" s="91"/>
      <c r="CS90" s="91"/>
      <c r="CT90" s="91"/>
      <c r="CU90" s="91"/>
      <c r="CV90" s="91"/>
      <c r="CW90" s="91"/>
      <c r="CX90" s="91"/>
      <c r="CY90" s="91"/>
      <c r="CZ90" s="91"/>
      <c r="DA90" s="91"/>
      <c r="DB90" s="91"/>
      <c r="DC90" s="91"/>
      <c r="DD90" s="91"/>
      <c r="DE90" s="91"/>
      <c r="DF90" s="91"/>
      <c r="DG90" s="91"/>
      <c r="DH90" s="91"/>
      <c r="DI90" s="91"/>
      <c r="DJ90" s="91"/>
    </row>
    <row r="91" spans="1:114" s="119" customFormat="1" ht="12.75" hidden="1" customHeight="1">
      <c r="A91" s="92"/>
      <c r="B91" s="92"/>
      <c r="C91" s="91"/>
      <c r="L91" s="188"/>
      <c r="M91" s="188"/>
      <c r="N91" s="188"/>
      <c r="O91" s="188"/>
      <c r="P91" s="188"/>
      <c r="Q91" s="188"/>
      <c r="R91" s="188"/>
      <c r="S91" s="188"/>
      <c r="T91" s="188"/>
      <c r="U91" s="188"/>
      <c r="V91" s="188"/>
      <c r="W91" s="91"/>
      <c r="X91" s="91"/>
      <c r="Y91" s="91"/>
      <c r="Z91" s="91"/>
      <c r="AA91" s="91"/>
      <c r="AB91" s="99"/>
      <c r="AC91" s="100"/>
      <c r="AD91" s="100"/>
      <c r="AE91" s="100"/>
      <c r="AF91" s="100"/>
      <c r="AG91" s="92"/>
      <c r="AH91" s="91"/>
      <c r="AI91" s="91"/>
      <c r="AJ91" s="91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C91" s="91"/>
      <c r="BD91" s="91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W91" s="91"/>
      <c r="BX91" s="91"/>
      <c r="BY91" s="91"/>
      <c r="BZ91" s="91"/>
      <c r="CA91" s="91"/>
      <c r="CB91" s="91"/>
      <c r="CC91" s="91"/>
      <c r="CD91" s="91"/>
      <c r="CE91" s="91"/>
      <c r="CF91" s="91"/>
      <c r="CG91" s="91"/>
      <c r="CH91" s="91"/>
      <c r="CI91" s="91"/>
      <c r="CJ91" s="91"/>
      <c r="CK91" s="91"/>
      <c r="CL91" s="91"/>
      <c r="CM91" s="91"/>
      <c r="CN91" s="91"/>
      <c r="CO91" s="91"/>
      <c r="CP91" s="91"/>
      <c r="CQ91" s="91"/>
      <c r="CR91" s="91"/>
      <c r="CS91" s="91"/>
      <c r="CT91" s="91"/>
      <c r="CU91" s="91"/>
      <c r="CV91" s="91"/>
      <c r="CW91" s="91"/>
      <c r="CX91" s="91"/>
      <c r="CY91" s="91"/>
      <c r="CZ91" s="91"/>
      <c r="DA91" s="91"/>
      <c r="DB91" s="91"/>
      <c r="DC91" s="91"/>
      <c r="DD91" s="91"/>
      <c r="DE91" s="91"/>
      <c r="DF91" s="91"/>
      <c r="DG91" s="91"/>
      <c r="DH91" s="91"/>
      <c r="DI91" s="91"/>
      <c r="DJ91" s="91"/>
    </row>
    <row r="92" spans="1:114" s="119" customFormat="1" ht="12.75" hidden="1" customHeight="1">
      <c r="A92" s="92"/>
      <c r="B92" s="92"/>
      <c r="C92" s="91"/>
      <c r="L92" s="188"/>
      <c r="M92" s="188"/>
      <c r="N92" s="188"/>
      <c r="O92" s="188"/>
      <c r="P92" s="188"/>
      <c r="Q92" s="188"/>
      <c r="R92" s="188"/>
      <c r="S92" s="188"/>
      <c r="T92" s="188"/>
      <c r="U92" s="188"/>
      <c r="V92" s="188"/>
      <c r="W92" s="91"/>
      <c r="X92" s="91"/>
      <c r="Y92" s="91"/>
      <c r="Z92" s="91"/>
      <c r="AA92" s="91"/>
      <c r="AB92" s="99"/>
      <c r="AC92" s="100"/>
      <c r="AD92" s="100"/>
      <c r="AE92" s="100"/>
      <c r="AF92" s="100"/>
      <c r="AG92" s="92"/>
      <c r="AH92" s="91"/>
      <c r="AI92" s="91"/>
      <c r="AJ92" s="91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C92" s="91"/>
      <c r="BD92" s="91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W92" s="91"/>
      <c r="BX92" s="91"/>
      <c r="BY92" s="91"/>
      <c r="BZ92" s="91"/>
      <c r="CA92" s="91"/>
      <c r="CB92" s="91"/>
      <c r="CC92" s="91"/>
      <c r="CD92" s="91"/>
      <c r="CE92" s="91"/>
      <c r="CF92" s="91"/>
      <c r="CG92" s="91"/>
      <c r="CH92" s="91"/>
      <c r="CI92" s="91"/>
      <c r="CJ92" s="91"/>
      <c r="CK92" s="91"/>
      <c r="CL92" s="91"/>
      <c r="CM92" s="91"/>
      <c r="CN92" s="91"/>
      <c r="CO92" s="91"/>
      <c r="CP92" s="91"/>
      <c r="CQ92" s="91"/>
      <c r="CR92" s="91"/>
      <c r="CS92" s="91"/>
      <c r="CT92" s="91"/>
      <c r="CU92" s="91"/>
      <c r="CV92" s="91"/>
      <c r="CW92" s="91"/>
      <c r="CX92" s="91"/>
      <c r="CY92" s="91"/>
      <c r="CZ92" s="91"/>
      <c r="DA92" s="91"/>
      <c r="DB92" s="91"/>
      <c r="DC92" s="91"/>
      <c r="DD92" s="91"/>
      <c r="DE92" s="91"/>
      <c r="DF92" s="91"/>
      <c r="DG92" s="91"/>
      <c r="DH92" s="91"/>
      <c r="DI92" s="91"/>
      <c r="DJ92" s="91"/>
    </row>
    <row r="93" spans="1:114" s="119" customFormat="1" ht="12.75" hidden="1" customHeight="1">
      <c r="A93" s="92"/>
      <c r="B93" s="92"/>
      <c r="C93" s="91"/>
      <c r="L93" s="188"/>
      <c r="M93" s="188"/>
      <c r="N93" s="188"/>
      <c r="O93" s="188"/>
      <c r="P93" s="188"/>
      <c r="Q93" s="188"/>
      <c r="R93" s="188"/>
      <c r="S93" s="188"/>
      <c r="T93" s="188"/>
      <c r="U93" s="188"/>
      <c r="V93" s="188"/>
      <c r="W93" s="91"/>
      <c r="X93" s="91"/>
      <c r="Y93" s="91"/>
      <c r="Z93" s="91"/>
      <c r="AA93" s="91"/>
      <c r="AB93" s="99"/>
      <c r="AC93" s="100"/>
      <c r="AD93" s="100"/>
      <c r="AE93" s="100"/>
      <c r="AF93" s="100"/>
      <c r="AG93" s="92"/>
      <c r="AH93" s="91"/>
      <c r="AI93" s="91"/>
      <c r="AJ93" s="91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C93" s="91"/>
      <c r="BD93" s="91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W93" s="91"/>
      <c r="BX93" s="91"/>
      <c r="BY93" s="91"/>
      <c r="BZ93" s="91"/>
      <c r="CA93" s="91"/>
      <c r="CB93" s="91"/>
      <c r="CC93" s="91"/>
      <c r="CD93" s="91"/>
      <c r="CE93" s="91"/>
      <c r="CF93" s="91"/>
      <c r="CG93" s="91"/>
      <c r="CH93" s="91"/>
      <c r="CI93" s="91"/>
      <c r="CJ93" s="91"/>
      <c r="CK93" s="91"/>
      <c r="CL93" s="91"/>
      <c r="CM93" s="91"/>
      <c r="CN93" s="91"/>
      <c r="CO93" s="91"/>
      <c r="CP93" s="91"/>
      <c r="CQ93" s="91"/>
      <c r="CR93" s="91"/>
      <c r="CS93" s="91"/>
      <c r="CT93" s="91"/>
      <c r="CU93" s="91"/>
      <c r="CV93" s="91"/>
      <c r="CW93" s="91"/>
      <c r="CX93" s="91"/>
      <c r="CY93" s="91"/>
      <c r="CZ93" s="91"/>
      <c r="DA93" s="91"/>
      <c r="DB93" s="91"/>
      <c r="DC93" s="91"/>
      <c r="DD93" s="91"/>
      <c r="DE93" s="91"/>
      <c r="DF93" s="91"/>
      <c r="DG93" s="91"/>
      <c r="DH93" s="91"/>
      <c r="DI93" s="91"/>
      <c r="DJ93" s="91"/>
    </row>
    <row r="94" spans="1:114" s="119" customFormat="1" ht="12.75" hidden="1" customHeight="1">
      <c r="A94" s="92"/>
      <c r="B94" s="92"/>
      <c r="C94" s="91"/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1"/>
      <c r="S94" s="91"/>
      <c r="T94" s="91"/>
      <c r="U94" s="91"/>
      <c r="V94" s="91"/>
      <c r="W94" s="91"/>
      <c r="X94" s="91"/>
      <c r="Y94" s="91"/>
      <c r="Z94" s="91"/>
      <c r="AA94" s="91"/>
      <c r="AB94" s="99"/>
      <c r="AC94" s="100"/>
      <c r="AD94" s="100"/>
      <c r="AE94" s="100"/>
      <c r="AF94" s="100"/>
      <c r="AG94" s="92"/>
      <c r="AH94" s="91"/>
      <c r="AI94" s="91"/>
      <c r="AJ94" s="91"/>
      <c r="AK94" s="91"/>
      <c r="AL94" s="91"/>
      <c r="AM94" s="91"/>
      <c r="AN94" s="91"/>
      <c r="AO94" s="91"/>
      <c r="AP94" s="91"/>
      <c r="AQ94" s="91"/>
      <c r="AR94" s="91"/>
      <c r="AS94" s="91"/>
      <c r="AT94" s="91"/>
      <c r="AU94" s="91"/>
      <c r="AV94" s="91"/>
      <c r="AW94" s="91"/>
      <c r="AX94" s="91"/>
      <c r="AY94" s="91"/>
      <c r="AZ94" s="91"/>
      <c r="BA94" s="91"/>
      <c r="BB94" s="91"/>
      <c r="BC94" s="91"/>
      <c r="BD94" s="91"/>
      <c r="BE94" s="91"/>
      <c r="BF94" s="91"/>
      <c r="BG94" s="91"/>
      <c r="BH94" s="91"/>
      <c r="BI94" s="91"/>
      <c r="BJ94" s="91"/>
      <c r="BK94" s="91"/>
      <c r="BL94" s="91"/>
      <c r="BM94" s="91"/>
      <c r="BN94" s="91"/>
      <c r="BO94" s="91"/>
      <c r="BP94" s="91"/>
      <c r="BQ94" s="91"/>
      <c r="BR94" s="91"/>
      <c r="BS94" s="91"/>
      <c r="BT94" s="91"/>
      <c r="BU94" s="91"/>
      <c r="BV94" s="91"/>
      <c r="BW94" s="91"/>
      <c r="BX94" s="91"/>
      <c r="BY94" s="91"/>
      <c r="BZ94" s="91"/>
      <c r="CA94" s="91"/>
      <c r="CB94" s="91"/>
      <c r="CC94" s="91"/>
      <c r="CD94" s="91"/>
      <c r="CE94" s="91"/>
      <c r="CF94" s="91"/>
      <c r="CG94" s="91"/>
      <c r="CH94" s="91"/>
      <c r="CI94" s="91"/>
      <c r="CJ94" s="91"/>
      <c r="CK94" s="91"/>
      <c r="CL94" s="91"/>
      <c r="CM94" s="91"/>
      <c r="CN94" s="91"/>
      <c r="CO94" s="91"/>
      <c r="CP94" s="91"/>
      <c r="CQ94" s="91"/>
      <c r="CR94" s="91"/>
      <c r="CS94" s="91"/>
      <c r="CT94" s="91"/>
      <c r="CU94" s="91"/>
      <c r="CV94" s="91"/>
      <c r="CW94" s="91"/>
      <c r="CX94" s="91"/>
      <c r="CY94" s="91"/>
      <c r="CZ94" s="91"/>
      <c r="DA94" s="91"/>
      <c r="DB94" s="91"/>
      <c r="DC94" s="91"/>
      <c r="DD94" s="91"/>
      <c r="DE94" s="91"/>
      <c r="DF94" s="91"/>
      <c r="DG94" s="91"/>
      <c r="DH94" s="91"/>
      <c r="DI94" s="91"/>
      <c r="DJ94" s="91"/>
    </row>
    <row r="95" spans="1:114" s="119" customFormat="1" ht="12.75" hidden="1" customHeight="1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9"/>
      <c r="AC95" s="100"/>
      <c r="AD95" s="100"/>
      <c r="AE95" s="100"/>
      <c r="AF95" s="100"/>
      <c r="AG95" s="92"/>
      <c r="AH95" s="91"/>
      <c r="AI95" s="91"/>
      <c r="AJ95" s="91"/>
      <c r="AK95" s="91"/>
      <c r="AL95" s="91"/>
      <c r="AM95" s="91"/>
      <c r="AN95" s="91"/>
      <c r="AO95" s="91"/>
      <c r="AP95" s="91"/>
      <c r="AQ95" s="91"/>
      <c r="AR95" s="91"/>
      <c r="AS95" s="91"/>
      <c r="AT95" s="91"/>
      <c r="AU95" s="91"/>
      <c r="AV95" s="91"/>
      <c r="AW95" s="91"/>
      <c r="AX95" s="91"/>
      <c r="AY95" s="91"/>
      <c r="AZ95" s="91"/>
      <c r="BA95" s="91"/>
      <c r="BB95" s="91"/>
      <c r="BC95" s="91"/>
      <c r="BD95" s="91"/>
      <c r="BE95" s="91"/>
      <c r="BF95" s="91"/>
      <c r="BG95" s="91"/>
      <c r="BH95" s="91"/>
      <c r="BI95" s="91"/>
      <c r="BJ95" s="91"/>
      <c r="BK95" s="91"/>
      <c r="BL95" s="91"/>
      <c r="BM95" s="91"/>
      <c r="BN95" s="91"/>
      <c r="BO95" s="91"/>
      <c r="BP95" s="91"/>
      <c r="BQ95" s="91"/>
      <c r="BR95" s="91"/>
      <c r="BS95" s="91"/>
      <c r="BT95" s="91"/>
      <c r="BU95" s="91"/>
      <c r="BV95" s="91"/>
      <c r="BW95" s="91"/>
      <c r="BX95" s="91"/>
      <c r="BY95" s="91"/>
      <c r="BZ95" s="91"/>
      <c r="CA95" s="91"/>
      <c r="CB95" s="91"/>
      <c r="CC95" s="91"/>
      <c r="CD95" s="91"/>
      <c r="CE95" s="91"/>
      <c r="CF95" s="91"/>
      <c r="CG95" s="91"/>
      <c r="CH95" s="91"/>
      <c r="CI95" s="91"/>
      <c r="CJ95" s="91"/>
      <c r="CK95" s="91"/>
      <c r="CL95" s="91"/>
      <c r="CM95" s="91"/>
      <c r="CN95" s="91"/>
      <c r="CO95" s="91"/>
      <c r="CP95" s="91"/>
      <c r="CQ95" s="91"/>
      <c r="CR95" s="91"/>
      <c r="CS95" s="91"/>
      <c r="CT95" s="91"/>
      <c r="CU95" s="91"/>
      <c r="CV95" s="91"/>
      <c r="CW95" s="91"/>
      <c r="CX95" s="91"/>
      <c r="CY95" s="91"/>
      <c r="CZ95" s="91"/>
      <c r="DA95" s="91"/>
      <c r="DB95" s="91"/>
      <c r="DC95" s="91"/>
      <c r="DD95" s="91"/>
      <c r="DE95" s="91"/>
      <c r="DF95" s="91"/>
      <c r="DG95" s="91"/>
      <c r="DH95" s="91"/>
      <c r="DI95" s="91"/>
      <c r="DJ95" s="91"/>
    </row>
    <row r="96" spans="1:114" s="121" customFormat="1" ht="12.75" hidden="1" customHeight="1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284"/>
      <c r="AC96" s="388"/>
      <c r="AD96" s="388"/>
      <c r="AE96" s="388"/>
      <c r="AF96" s="388"/>
      <c r="AG96" s="92"/>
      <c r="AH96" s="120"/>
      <c r="AI96" s="120"/>
      <c r="AJ96" s="120"/>
      <c r="AK96" s="120"/>
      <c r="AL96" s="120"/>
      <c r="AM96" s="120"/>
      <c r="AN96" s="120"/>
      <c r="AO96" s="120"/>
      <c r="AP96" s="120"/>
      <c r="AQ96" s="120"/>
      <c r="AR96" s="120"/>
      <c r="AS96" s="120"/>
      <c r="AT96" s="120"/>
      <c r="AU96" s="120"/>
      <c r="AV96" s="120"/>
      <c r="AW96" s="120"/>
      <c r="AX96" s="120"/>
      <c r="AY96" s="120"/>
      <c r="AZ96" s="120"/>
      <c r="BA96" s="120"/>
      <c r="BB96" s="120"/>
      <c r="BC96" s="120"/>
      <c r="BD96" s="120"/>
      <c r="BE96" s="120"/>
      <c r="BF96" s="120"/>
      <c r="BG96" s="120"/>
      <c r="BH96" s="120"/>
      <c r="BI96" s="120"/>
      <c r="BJ96" s="120"/>
      <c r="BK96" s="120"/>
      <c r="BL96" s="120"/>
      <c r="BM96" s="120"/>
      <c r="BN96" s="120"/>
      <c r="BO96" s="120"/>
      <c r="BP96" s="120"/>
      <c r="BQ96" s="120"/>
      <c r="BR96" s="120"/>
      <c r="BS96" s="120"/>
      <c r="BT96" s="120"/>
      <c r="BU96" s="120"/>
      <c r="BV96" s="120"/>
      <c r="BW96" s="120"/>
      <c r="BX96" s="120"/>
      <c r="BY96" s="120"/>
      <c r="BZ96" s="120"/>
      <c r="CA96" s="120"/>
      <c r="CB96" s="120"/>
      <c r="CC96" s="120"/>
      <c r="CD96" s="120"/>
      <c r="CE96" s="120"/>
      <c r="CF96" s="120"/>
      <c r="CG96" s="120"/>
      <c r="CH96" s="120"/>
      <c r="CI96" s="120"/>
      <c r="CJ96" s="120"/>
      <c r="CK96" s="120"/>
      <c r="CL96" s="120"/>
      <c r="CM96" s="120"/>
      <c r="CN96" s="120"/>
      <c r="CO96" s="120"/>
      <c r="CP96" s="120"/>
      <c r="CQ96" s="120"/>
      <c r="CR96" s="120"/>
      <c r="CS96" s="120"/>
      <c r="CT96" s="120"/>
      <c r="CU96" s="120"/>
      <c r="CV96" s="120"/>
      <c r="CW96" s="120"/>
      <c r="CX96" s="120"/>
      <c r="CY96" s="120"/>
      <c r="CZ96" s="120"/>
      <c r="DA96" s="120"/>
      <c r="DB96" s="120"/>
      <c r="DC96" s="120"/>
      <c r="DD96" s="120"/>
      <c r="DE96" s="120"/>
      <c r="DF96" s="120"/>
      <c r="DG96" s="120"/>
      <c r="DH96" s="120"/>
      <c r="DI96" s="120"/>
      <c r="DJ96" s="120"/>
    </row>
    <row r="97" spans="1:114" hidden="1">
      <c r="A97" s="88"/>
      <c r="B97" s="88"/>
      <c r="C97" s="88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88"/>
      <c r="AC97" s="88"/>
      <c r="AD97" s="88"/>
      <c r="AE97" s="88"/>
      <c r="AF97" s="88"/>
      <c r="AG97" s="88"/>
      <c r="AH97" s="88"/>
      <c r="AI97" s="88"/>
      <c r="AJ97" s="88"/>
      <c r="AK97" s="88"/>
      <c r="AL97" s="88"/>
      <c r="AM97" s="88"/>
      <c r="AN97" s="88"/>
      <c r="AO97" s="88"/>
      <c r="AP97" s="88"/>
      <c r="AQ97" s="88"/>
      <c r="AR97" s="88"/>
      <c r="AS97" s="88"/>
      <c r="AT97" s="88"/>
      <c r="AU97" s="88"/>
      <c r="AV97" s="88"/>
      <c r="AW97" s="88"/>
      <c r="AX97" s="88"/>
      <c r="AY97" s="88"/>
      <c r="AZ97" s="88"/>
      <c r="BA97" s="88"/>
      <c r="BB97" s="88"/>
      <c r="BC97" s="88"/>
      <c r="BD97" s="88"/>
      <c r="BE97" s="88"/>
      <c r="BF97" s="88"/>
      <c r="BG97" s="88"/>
      <c r="BH97" s="88"/>
      <c r="BI97" s="88"/>
      <c r="BJ97" s="88"/>
      <c r="BK97" s="88"/>
      <c r="BL97" s="88"/>
      <c r="BM97" s="88"/>
      <c r="BN97" s="88"/>
      <c r="BO97" s="88"/>
      <c r="BP97" s="88"/>
      <c r="BQ97" s="88"/>
      <c r="BR97" s="88"/>
      <c r="BS97" s="88"/>
      <c r="BT97" s="88"/>
      <c r="BU97" s="88"/>
      <c r="BV97" s="88"/>
      <c r="BW97" s="88"/>
      <c r="BX97" s="88"/>
      <c r="BY97" s="88"/>
      <c r="BZ97" s="88"/>
      <c r="CA97" s="88"/>
      <c r="CB97" s="88"/>
      <c r="CC97" s="88"/>
      <c r="CD97" s="88"/>
      <c r="CE97" s="88"/>
      <c r="CF97" s="88"/>
      <c r="CG97" s="88"/>
      <c r="CH97" s="88"/>
      <c r="CI97" s="88"/>
      <c r="CJ97" s="88"/>
      <c r="CK97" s="88"/>
      <c r="CL97" s="88"/>
      <c r="CM97" s="88"/>
      <c r="CN97" s="88"/>
      <c r="CO97" s="88"/>
      <c r="CP97" s="88"/>
      <c r="CQ97" s="88"/>
      <c r="CR97" s="88"/>
      <c r="CS97" s="88"/>
      <c r="CT97" s="88"/>
      <c r="CU97" s="88"/>
      <c r="CV97" s="88"/>
      <c r="CW97" s="88"/>
      <c r="CX97" s="88"/>
      <c r="CY97" s="88"/>
      <c r="CZ97" s="88"/>
      <c r="DA97" s="88"/>
      <c r="DB97" s="88"/>
      <c r="DC97" s="88"/>
      <c r="DD97" s="88"/>
      <c r="DE97" s="88"/>
      <c r="DF97" s="88"/>
      <c r="DG97" s="88"/>
      <c r="DH97" s="88"/>
      <c r="DI97" s="88"/>
      <c r="DJ97" s="88"/>
    </row>
    <row r="98" spans="1:114" hidden="1">
      <c r="A98" s="88"/>
      <c r="B98" s="88"/>
      <c r="C98" s="88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  <c r="AB98" s="88"/>
      <c r="AC98" s="88"/>
      <c r="AD98" s="88"/>
      <c r="AE98" s="88"/>
      <c r="AF98" s="88"/>
      <c r="AG98" s="88"/>
      <c r="AH98" s="88"/>
      <c r="AI98" s="88"/>
      <c r="AJ98" s="88"/>
      <c r="AK98" s="88"/>
      <c r="AL98" s="88"/>
      <c r="AM98" s="88"/>
      <c r="AN98" s="88"/>
      <c r="AO98" s="88"/>
      <c r="AP98" s="88"/>
      <c r="AQ98" s="88"/>
      <c r="AR98" s="88"/>
      <c r="AS98" s="88"/>
      <c r="AT98" s="88"/>
      <c r="AU98" s="88"/>
      <c r="AV98" s="88"/>
      <c r="AW98" s="88"/>
      <c r="AX98" s="88"/>
      <c r="AY98" s="88"/>
      <c r="AZ98" s="88"/>
      <c r="BA98" s="88"/>
      <c r="BB98" s="88"/>
      <c r="BC98" s="88"/>
      <c r="BD98" s="88"/>
      <c r="BE98" s="88"/>
      <c r="BF98" s="88"/>
      <c r="BG98" s="88"/>
      <c r="BH98" s="88"/>
      <c r="BI98" s="88"/>
      <c r="BJ98" s="88"/>
      <c r="BK98" s="88"/>
      <c r="BL98" s="88"/>
      <c r="BM98" s="88"/>
      <c r="BN98" s="88"/>
      <c r="BO98" s="88"/>
      <c r="BP98" s="88"/>
      <c r="BQ98" s="88"/>
      <c r="BR98" s="88"/>
      <c r="BS98" s="88"/>
      <c r="BT98" s="88"/>
      <c r="BU98" s="88"/>
      <c r="BV98" s="88"/>
      <c r="BW98" s="88"/>
      <c r="BX98" s="88"/>
      <c r="BY98" s="88"/>
      <c r="BZ98" s="88"/>
      <c r="CA98" s="88"/>
      <c r="CB98" s="88"/>
      <c r="CC98" s="88"/>
      <c r="CD98" s="88"/>
      <c r="CE98" s="88"/>
      <c r="CF98" s="88"/>
      <c r="CG98" s="88"/>
      <c r="CH98" s="88"/>
      <c r="CI98" s="88"/>
      <c r="CJ98" s="88"/>
      <c r="CK98" s="88"/>
      <c r="CL98" s="88"/>
      <c r="CM98" s="88"/>
      <c r="CN98" s="88"/>
      <c r="CO98" s="88"/>
      <c r="CP98" s="88"/>
      <c r="CQ98" s="88"/>
      <c r="CR98" s="88"/>
      <c r="CS98" s="88"/>
      <c r="CT98" s="88"/>
      <c r="CU98" s="88"/>
      <c r="CV98" s="88"/>
      <c r="CW98" s="88"/>
      <c r="CX98" s="88"/>
      <c r="CY98" s="88"/>
      <c r="CZ98" s="88"/>
      <c r="DA98" s="88"/>
      <c r="DB98" s="88"/>
      <c r="DC98" s="88"/>
      <c r="DD98" s="88"/>
      <c r="DE98" s="88"/>
      <c r="DF98" s="88"/>
      <c r="DG98" s="88"/>
      <c r="DH98" s="88"/>
      <c r="DI98" s="88"/>
      <c r="DJ98" s="88"/>
    </row>
    <row r="99" spans="1:114" hidden="1">
      <c r="A99" s="88"/>
      <c r="B99" s="88"/>
      <c r="C99" s="88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88"/>
      <c r="AL99" s="88"/>
      <c r="AM99" s="88"/>
      <c r="AN99" s="88"/>
      <c r="AO99" s="88"/>
      <c r="AP99" s="88"/>
      <c r="AQ99" s="88"/>
      <c r="AR99" s="88"/>
      <c r="AS99" s="88"/>
      <c r="AT99" s="88"/>
      <c r="AU99" s="88"/>
      <c r="AV99" s="88"/>
      <c r="AW99" s="88"/>
      <c r="AX99" s="88"/>
      <c r="AY99" s="88"/>
      <c r="AZ99" s="88"/>
      <c r="BA99" s="88"/>
      <c r="BB99" s="88"/>
      <c r="BC99" s="88"/>
      <c r="BD99" s="88"/>
      <c r="BE99" s="88"/>
      <c r="BF99" s="88"/>
      <c r="BG99" s="88"/>
      <c r="BH99" s="88"/>
      <c r="BI99" s="88"/>
      <c r="BJ99" s="88"/>
      <c r="BK99" s="88"/>
      <c r="BL99" s="88"/>
      <c r="BM99" s="88"/>
      <c r="BN99" s="88"/>
      <c r="BO99" s="88"/>
      <c r="BP99" s="88"/>
      <c r="BQ99" s="88"/>
      <c r="BR99" s="88"/>
      <c r="BS99" s="88"/>
      <c r="BT99" s="88"/>
      <c r="BU99" s="88"/>
      <c r="BV99" s="88"/>
      <c r="BW99" s="88"/>
      <c r="BX99" s="88"/>
      <c r="BY99" s="88"/>
      <c r="BZ99" s="88"/>
      <c r="CA99" s="88"/>
      <c r="CB99" s="88"/>
      <c r="CC99" s="88"/>
      <c r="CD99" s="88"/>
      <c r="CE99" s="88"/>
      <c r="CF99" s="88"/>
      <c r="CG99" s="88"/>
      <c r="CH99" s="88"/>
      <c r="CI99" s="88"/>
      <c r="CJ99" s="88"/>
      <c r="CK99" s="88"/>
      <c r="CL99" s="88"/>
      <c r="CM99" s="88"/>
      <c r="CN99" s="88"/>
      <c r="CO99" s="88"/>
      <c r="CP99" s="88"/>
      <c r="CQ99" s="88"/>
      <c r="CR99" s="88"/>
      <c r="CS99" s="88"/>
      <c r="CT99" s="88"/>
      <c r="CU99" s="88"/>
      <c r="CV99" s="88"/>
      <c r="CW99" s="88"/>
      <c r="CX99" s="88"/>
      <c r="CY99" s="88"/>
      <c r="CZ99" s="88"/>
      <c r="DA99" s="88"/>
      <c r="DB99" s="88"/>
      <c r="DC99" s="88"/>
      <c r="DD99" s="88"/>
      <c r="DE99" s="88"/>
      <c r="DF99" s="88"/>
      <c r="DG99" s="88"/>
      <c r="DH99" s="88"/>
      <c r="DI99" s="88"/>
      <c r="DJ99" s="88"/>
    </row>
    <row r="100" spans="1:114" hidden="1">
      <c r="A100" s="88"/>
      <c r="B100" s="88"/>
      <c r="C100" s="88"/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8"/>
      <c r="Z100" s="88"/>
      <c r="AA100" s="88"/>
      <c r="AB100" s="88"/>
      <c r="AC100" s="88"/>
      <c r="AD100" s="88"/>
      <c r="AE100" s="88"/>
      <c r="AF100" s="88"/>
      <c r="AG100" s="88"/>
      <c r="AH100" s="88"/>
      <c r="AI100" s="88"/>
      <c r="AJ100" s="88"/>
      <c r="AK100" s="88"/>
      <c r="AL100" s="88"/>
      <c r="AM100" s="88"/>
      <c r="AN100" s="88"/>
      <c r="AO100" s="88"/>
      <c r="AP100" s="88"/>
      <c r="AQ100" s="88"/>
      <c r="AR100" s="88"/>
      <c r="AS100" s="88"/>
      <c r="AT100" s="88"/>
      <c r="AU100" s="88"/>
      <c r="AV100" s="88"/>
      <c r="AW100" s="88"/>
      <c r="AX100" s="88"/>
      <c r="AY100" s="88"/>
      <c r="AZ100" s="88"/>
      <c r="BA100" s="88"/>
      <c r="BB100" s="88"/>
      <c r="BC100" s="88"/>
      <c r="BD100" s="88"/>
      <c r="BE100" s="88"/>
      <c r="BF100" s="88"/>
      <c r="BG100" s="88"/>
      <c r="BH100" s="88"/>
      <c r="BI100" s="88"/>
      <c r="BJ100" s="88"/>
      <c r="BK100" s="88"/>
      <c r="BL100" s="88"/>
      <c r="BM100" s="88"/>
      <c r="BN100" s="88"/>
      <c r="BO100" s="88"/>
      <c r="BP100" s="88"/>
      <c r="BQ100" s="88"/>
      <c r="BR100" s="88"/>
      <c r="BS100" s="88"/>
      <c r="BT100" s="88"/>
      <c r="BU100" s="88"/>
      <c r="BV100" s="88"/>
      <c r="BW100" s="88"/>
      <c r="BX100" s="88"/>
      <c r="BY100" s="88"/>
      <c r="BZ100" s="88"/>
      <c r="CA100" s="88"/>
      <c r="CB100" s="88"/>
      <c r="CC100" s="88"/>
      <c r="CD100" s="88"/>
      <c r="CE100" s="88"/>
      <c r="CF100" s="88"/>
      <c r="CG100" s="88"/>
      <c r="CH100" s="88"/>
      <c r="CI100" s="88"/>
      <c r="CJ100" s="88"/>
      <c r="CK100" s="88"/>
      <c r="CL100" s="88"/>
      <c r="CM100" s="88"/>
      <c r="CN100" s="88"/>
      <c r="CO100" s="88"/>
      <c r="CP100" s="88"/>
      <c r="CQ100" s="88"/>
      <c r="CR100" s="88"/>
      <c r="CS100" s="88"/>
      <c r="CT100" s="88"/>
      <c r="CU100" s="88"/>
      <c r="CV100" s="88"/>
      <c r="CW100" s="88"/>
      <c r="CX100" s="88"/>
      <c r="CY100" s="88"/>
      <c r="CZ100" s="88"/>
      <c r="DA100" s="88"/>
      <c r="DB100" s="88"/>
      <c r="DC100" s="88"/>
      <c r="DD100" s="88"/>
      <c r="DE100" s="88"/>
      <c r="DF100" s="88"/>
      <c r="DG100" s="88"/>
      <c r="DH100" s="88"/>
      <c r="DI100" s="88"/>
      <c r="DJ100" s="88"/>
    </row>
    <row r="101" spans="1:114" hidden="1">
      <c r="A101" s="88"/>
      <c r="B101" s="88"/>
      <c r="C101" s="88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  <c r="AA101" s="88"/>
      <c r="AB101" s="88"/>
      <c r="AC101" s="88"/>
      <c r="AD101" s="88"/>
      <c r="AE101" s="88"/>
      <c r="AF101" s="88"/>
      <c r="AG101" s="88"/>
      <c r="AH101" s="88"/>
      <c r="AI101" s="88"/>
      <c r="AJ101" s="88"/>
      <c r="AK101" s="88"/>
      <c r="AL101" s="88"/>
      <c r="AM101" s="88"/>
      <c r="AN101" s="88"/>
      <c r="AO101" s="88"/>
      <c r="AP101" s="88"/>
      <c r="AQ101" s="88"/>
      <c r="AR101" s="88"/>
      <c r="AS101" s="88"/>
      <c r="AT101" s="88"/>
      <c r="AU101" s="88"/>
      <c r="AV101" s="88"/>
      <c r="AW101" s="88"/>
      <c r="AX101" s="88"/>
      <c r="AY101" s="88"/>
      <c r="AZ101" s="88"/>
      <c r="BA101" s="88"/>
      <c r="BB101" s="88"/>
      <c r="BC101" s="88"/>
      <c r="BD101" s="88"/>
      <c r="BE101" s="88"/>
      <c r="BF101" s="88"/>
      <c r="BG101" s="88"/>
      <c r="BH101" s="88"/>
      <c r="BI101" s="88"/>
      <c r="BJ101" s="88"/>
      <c r="BK101" s="88"/>
      <c r="BL101" s="88"/>
      <c r="BM101" s="88"/>
      <c r="BN101" s="88"/>
      <c r="BO101" s="88"/>
      <c r="BP101" s="88"/>
      <c r="BQ101" s="88"/>
      <c r="BR101" s="88"/>
      <c r="BS101" s="88"/>
      <c r="BT101" s="88"/>
      <c r="BU101" s="88"/>
      <c r="BV101" s="88"/>
      <c r="BW101" s="88"/>
      <c r="BX101" s="88"/>
      <c r="BY101" s="88"/>
      <c r="BZ101" s="88"/>
      <c r="CA101" s="88"/>
      <c r="CB101" s="88"/>
      <c r="CC101" s="88"/>
      <c r="CD101" s="88"/>
      <c r="CE101" s="88"/>
      <c r="CF101" s="88"/>
      <c r="CG101" s="88"/>
      <c r="CH101" s="88"/>
      <c r="CI101" s="88"/>
      <c r="CJ101" s="88"/>
      <c r="CK101" s="88"/>
      <c r="CL101" s="88"/>
      <c r="CM101" s="88"/>
      <c r="CN101" s="88"/>
      <c r="CO101" s="88"/>
      <c r="CP101" s="88"/>
      <c r="CQ101" s="88"/>
      <c r="CR101" s="88"/>
      <c r="CS101" s="88"/>
      <c r="CT101" s="88"/>
      <c r="CU101" s="88"/>
      <c r="CV101" s="88"/>
      <c r="CW101" s="88"/>
      <c r="CX101" s="88"/>
      <c r="CY101" s="88"/>
      <c r="CZ101" s="88"/>
      <c r="DA101" s="88"/>
      <c r="DB101" s="88"/>
      <c r="DC101" s="88"/>
      <c r="DD101" s="88"/>
      <c r="DE101" s="88"/>
      <c r="DF101" s="88"/>
      <c r="DG101" s="88"/>
      <c r="DH101" s="88"/>
      <c r="DI101" s="88"/>
      <c r="DJ101" s="88"/>
    </row>
    <row r="102" spans="1:114" hidden="1">
      <c r="A102" s="88"/>
      <c r="B102" s="88"/>
      <c r="C102" s="88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  <c r="AB102" s="88"/>
      <c r="AC102" s="88"/>
      <c r="AD102" s="88"/>
      <c r="AE102" s="88"/>
      <c r="AF102" s="88"/>
      <c r="AG102" s="88"/>
      <c r="AH102" s="88"/>
      <c r="AI102" s="88"/>
      <c r="AJ102" s="88"/>
      <c r="AK102" s="88"/>
      <c r="AL102" s="88"/>
      <c r="AM102" s="88"/>
      <c r="AN102" s="88"/>
      <c r="AO102" s="88"/>
      <c r="AP102" s="88"/>
      <c r="AQ102" s="88"/>
      <c r="AR102" s="88"/>
      <c r="AS102" s="88"/>
      <c r="AT102" s="88"/>
      <c r="AU102" s="88"/>
      <c r="AV102" s="88"/>
      <c r="AW102" s="88"/>
      <c r="AX102" s="88"/>
      <c r="AY102" s="88"/>
      <c r="AZ102" s="88"/>
      <c r="BA102" s="88"/>
      <c r="BB102" s="88"/>
      <c r="BC102" s="88"/>
      <c r="BD102" s="88"/>
      <c r="BE102" s="88"/>
      <c r="BF102" s="88"/>
      <c r="BG102" s="88"/>
      <c r="BH102" s="88"/>
      <c r="BI102" s="88"/>
      <c r="BJ102" s="88"/>
      <c r="BK102" s="88"/>
      <c r="BL102" s="88"/>
      <c r="BM102" s="88"/>
      <c r="BN102" s="88"/>
      <c r="BO102" s="88"/>
      <c r="BP102" s="88"/>
      <c r="BQ102" s="88"/>
      <c r="BR102" s="88"/>
      <c r="BS102" s="88"/>
      <c r="BT102" s="88"/>
      <c r="BU102" s="88"/>
      <c r="BV102" s="88"/>
      <c r="BW102" s="88"/>
      <c r="BX102" s="88"/>
      <c r="BY102" s="88"/>
      <c r="BZ102" s="88"/>
      <c r="CA102" s="88"/>
      <c r="CB102" s="88"/>
      <c r="CC102" s="88"/>
      <c r="CD102" s="88"/>
      <c r="CE102" s="88"/>
      <c r="CF102" s="88"/>
      <c r="CG102" s="88"/>
      <c r="CH102" s="88"/>
      <c r="CI102" s="88"/>
      <c r="CJ102" s="88"/>
      <c r="CK102" s="88"/>
      <c r="CL102" s="88"/>
      <c r="CM102" s="88"/>
      <c r="CN102" s="88"/>
      <c r="CO102" s="88"/>
      <c r="CP102" s="88"/>
      <c r="CQ102" s="88"/>
      <c r="CR102" s="88"/>
      <c r="CS102" s="88"/>
      <c r="CT102" s="88"/>
      <c r="CU102" s="88"/>
      <c r="CV102" s="88"/>
      <c r="CW102" s="88"/>
      <c r="CX102" s="88"/>
      <c r="CY102" s="88"/>
      <c r="CZ102" s="88"/>
      <c r="DA102" s="88"/>
      <c r="DB102" s="88"/>
      <c r="DC102" s="88"/>
      <c r="DD102" s="88"/>
      <c r="DE102" s="88"/>
      <c r="DF102" s="88"/>
      <c r="DG102" s="88"/>
      <c r="DH102" s="88"/>
      <c r="DI102" s="88"/>
      <c r="DJ102" s="88"/>
    </row>
    <row r="103" spans="1:114" hidden="1">
      <c r="A103" s="88"/>
      <c r="B103" s="88"/>
      <c r="C103" s="88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  <c r="AB103" s="88"/>
      <c r="AC103" s="88"/>
      <c r="AD103" s="88"/>
      <c r="AE103" s="88"/>
      <c r="AF103" s="88"/>
      <c r="AG103" s="88"/>
      <c r="AH103" s="88"/>
      <c r="AI103" s="88"/>
      <c r="AJ103" s="88"/>
      <c r="AK103" s="88"/>
      <c r="AL103" s="88"/>
      <c r="AM103" s="88"/>
      <c r="AN103" s="88"/>
      <c r="AO103" s="88"/>
      <c r="AP103" s="88"/>
      <c r="AQ103" s="88"/>
      <c r="AR103" s="88"/>
      <c r="AS103" s="88"/>
      <c r="AT103" s="88"/>
      <c r="AU103" s="88"/>
      <c r="AV103" s="88"/>
      <c r="AW103" s="88"/>
      <c r="AX103" s="88"/>
      <c r="AY103" s="88"/>
      <c r="AZ103" s="88"/>
      <c r="BA103" s="88"/>
      <c r="BB103" s="88"/>
      <c r="BC103" s="88"/>
      <c r="BD103" s="88"/>
      <c r="BE103" s="88"/>
      <c r="BF103" s="88"/>
      <c r="BG103" s="88"/>
      <c r="BH103" s="88"/>
      <c r="BI103" s="88"/>
      <c r="BJ103" s="88"/>
      <c r="BK103" s="88"/>
      <c r="BL103" s="88"/>
      <c r="BM103" s="88"/>
      <c r="BN103" s="88"/>
      <c r="BO103" s="88"/>
      <c r="BP103" s="88"/>
      <c r="BQ103" s="88"/>
      <c r="BR103" s="88"/>
      <c r="BS103" s="88"/>
      <c r="BT103" s="88"/>
      <c r="BU103" s="88"/>
      <c r="BV103" s="88"/>
      <c r="BW103" s="88"/>
      <c r="BX103" s="88"/>
      <c r="BY103" s="88"/>
      <c r="BZ103" s="88"/>
      <c r="CA103" s="88"/>
      <c r="CB103" s="88"/>
      <c r="CC103" s="88"/>
      <c r="CD103" s="88"/>
      <c r="CE103" s="88"/>
      <c r="CF103" s="88"/>
      <c r="CG103" s="88"/>
      <c r="CH103" s="88"/>
      <c r="CI103" s="88"/>
      <c r="CJ103" s="88"/>
      <c r="CK103" s="88"/>
      <c r="CL103" s="88"/>
      <c r="CM103" s="88"/>
      <c r="CN103" s="88"/>
      <c r="CO103" s="88"/>
      <c r="CP103" s="88"/>
      <c r="CQ103" s="88"/>
      <c r="CR103" s="88"/>
      <c r="CS103" s="88"/>
      <c r="CT103" s="88"/>
      <c r="CU103" s="88"/>
      <c r="CV103" s="88"/>
      <c r="CW103" s="88"/>
      <c r="CX103" s="88"/>
      <c r="CY103" s="88"/>
      <c r="CZ103" s="88"/>
      <c r="DA103" s="88"/>
      <c r="DB103" s="88"/>
      <c r="DC103" s="88"/>
      <c r="DD103" s="88"/>
      <c r="DE103" s="88"/>
      <c r="DF103" s="88"/>
      <c r="DG103" s="88"/>
      <c r="DH103" s="88"/>
      <c r="DI103" s="88"/>
      <c r="DJ103" s="88"/>
    </row>
    <row r="104" spans="1:114" hidden="1">
      <c r="A104" s="88"/>
      <c r="B104" s="88"/>
      <c r="C104" s="88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88"/>
      <c r="AC104" s="88"/>
      <c r="AD104" s="88"/>
      <c r="AE104" s="88"/>
      <c r="AF104" s="88"/>
      <c r="AG104" s="88"/>
      <c r="AH104" s="88"/>
      <c r="AI104" s="88"/>
      <c r="AJ104" s="88"/>
      <c r="AK104" s="88"/>
      <c r="AL104" s="88"/>
      <c r="AM104" s="88"/>
      <c r="AN104" s="88"/>
      <c r="AO104" s="88"/>
      <c r="AP104" s="88"/>
      <c r="AQ104" s="88"/>
      <c r="AR104" s="88"/>
      <c r="AS104" s="88"/>
      <c r="AT104" s="88"/>
      <c r="AU104" s="88"/>
      <c r="AV104" s="88"/>
      <c r="AW104" s="88"/>
      <c r="AX104" s="88"/>
      <c r="AY104" s="88"/>
      <c r="AZ104" s="88"/>
      <c r="BA104" s="88"/>
      <c r="BB104" s="88"/>
      <c r="BC104" s="88"/>
      <c r="BD104" s="88"/>
      <c r="BE104" s="88"/>
      <c r="BF104" s="88"/>
      <c r="BG104" s="88"/>
      <c r="BH104" s="88"/>
      <c r="BI104" s="88"/>
      <c r="BJ104" s="88"/>
      <c r="BK104" s="88"/>
      <c r="BL104" s="88"/>
      <c r="BM104" s="88"/>
      <c r="BN104" s="88"/>
      <c r="BO104" s="88"/>
      <c r="BP104" s="88"/>
      <c r="BQ104" s="88"/>
      <c r="BR104" s="88"/>
      <c r="BS104" s="88"/>
      <c r="BT104" s="88"/>
      <c r="BU104" s="88"/>
      <c r="BV104" s="88"/>
      <c r="BW104" s="88"/>
      <c r="BX104" s="88"/>
      <c r="BY104" s="88"/>
      <c r="BZ104" s="88"/>
      <c r="CA104" s="88"/>
      <c r="CB104" s="88"/>
      <c r="CC104" s="88"/>
      <c r="CD104" s="88"/>
      <c r="CE104" s="88"/>
      <c r="CF104" s="88"/>
      <c r="CG104" s="88"/>
      <c r="CH104" s="88"/>
      <c r="CI104" s="88"/>
      <c r="CJ104" s="88"/>
      <c r="CK104" s="88"/>
      <c r="CL104" s="88"/>
      <c r="CM104" s="88"/>
      <c r="CN104" s="88"/>
      <c r="CO104" s="88"/>
      <c r="CP104" s="88"/>
      <c r="CQ104" s="88"/>
      <c r="CR104" s="88"/>
      <c r="CS104" s="88"/>
      <c r="CT104" s="88"/>
      <c r="CU104" s="88"/>
      <c r="CV104" s="88"/>
      <c r="CW104" s="88"/>
      <c r="CX104" s="88"/>
      <c r="CY104" s="88"/>
      <c r="CZ104" s="88"/>
      <c r="DA104" s="88"/>
      <c r="DB104" s="88"/>
      <c r="DC104" s="88"/>
      <c r="DD104" s="88"/>
      <c r="DE104" s="88"/>
      <c r="DF104" s="88"/>
      <c r="DG104" s="88"/>
      <c r="DH104" s="88"/>
      <c r="DI104" s="88"/>
      <c r="DJ104" s="88"/>
    </row>
    <row r="105" spans="1:114" hidden="1">
      <c r="A105" s="88"/>
      <c r="B105" s="88"/>
      <c r="C105" s="88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88"/>
      <c r="AC105" s="88"/>
      <c r="AD105" s="88"/>
      <c r="AE105" s="88"/>
      <c r="AF105" s="88"/>
      <c r="AG105" s="88"/>
      <c r="AH105" s="88"/>
      <c r="AI105" s="88"/>
      <c r="AJ105" s="88"/>
      <c r="AK105" s="88"/>
      <c r="AL105" s="88"/>
      <c r="AM105" s="88"/>
      <c r="AN105" s="88"/>
      <c r="AO105" s="88"/>
      <c r="AP105" s="88"/>
      <c r="AQ105" s="88"/>
      <c r="AR105" s="88"/>
      <c r="AS105" s="88"/>
      <c r="AT105" s="88"/>
      <c r="AU105" s="88"/>
      <c r="AV105" s="88"/>
      <c r="AW105" s="88"/>
      <c r="AX105" s="88"/>
      <c r="AY105" s="88"/>
      <c r="AZ105" s="88"/>
      <c r="BA105" s="88"/>
      <c r="BB105" s="88"/>
      <c r="BC105" s="88"/>
      <c r="BD105" s="88"/>
      <c r="BE105" s="88"/>
      <c r="BF105" s="88"/>
      <c r="BG105" s="88"/>
      <c r="BH105" s="88"/>
      <c r="BI105" s="88"/>
      <c r="BJ105" s="88"/>
      <c r="BK105" s="88"/>
      <c r="BL105" s="88"/>
      <c r="BM105" s="88"/>
      <c r="BN105" s="88"/>
      <c r="BO105" s="88"/>
      <c r="BP105" s="88"/>
      <c r="BQ105" s="88"/>
      <c r="BR105" s="88"/>
      <c r="BS105" s="88"/>
      <c r="BT105" s="88"/>
      <c r="BU105" s="88"/>
      <c r="BV105" s="88"/>
      <c r="BW105" s="88"/>
      <c r="BX105" s="88"/>
      <c r="BY105" s="88"/>
      <c r="BZ105" s="88"/>
      <c r="CA105" s="88"/>
      <c r="CB105" s="88"/>
      <c r="CC105" s="88"/>
      <c r="CD105" s="88"/>
      <c r="CE105" s="88"/>
      <c r="CF105" s="88"/>
      <c r="CG105" s="88"/>
      <c r="CH105" s="88"/>
      <c r="CI105" s="88"/>
      <c r="CJ105" s="88"/>
      <c r="CK105" s="88"/>
      <c r="CL105" s="88"/>
      <c r="CM105" s="88"/>
      <c r="CN105" s="88"/>
      <c r="CO105" s="88"/>
      <c r="CP105" s="88"/>
      <c r="CQ105" s="88"/>
      <c r="CR105" s="88"/>
      <c r="CS105" s="88"/>
      <c r="CT105" s="88"/>
      <c r="CU105" s="88"/>
      <c r="CV105" s="88"/>
      <c r="CW105" s="88"/>
      <c r="CX105" s="88"/>
      <c r="CY105" s="88"/>
      <c r="CZ105" s="88"/>
      <c r="DA105" s="88"/>
      <c r="DB105" s="88"/>
      <c r="DC105" s="88"/>
      <c r="DD105" s="88"/>
      <c r="DE105" s="88"/>
      <c r="DF105" s="88"/>
      <c r="DG105" s="88"/>
      <c r="DH105" s="88"/>
      <c r="DI105" s="88"/>
      <c r="DJ105" s="88"/>
    </row>
    <row r="106" spans="1:114" hidden="1">
      <c r="A106" s="88"/>
      <c r="B106" s="88"/>
      <c r="C106" s="88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88"/>
      <c r="AC106" s="88"/>
      <c r="AD106" s="88"/>
      <c r="AE106" s="88"/>
      <c r="AF106" s="88"/>
      <c r="AG106" s="88"/>
      <c r="AH106" s="88"/>
      <c r="AI106" s="88"/>
      <c r="AJ106" s="88"/>
      <c r="AK106" s="88"/>
      <c r="AL106" s="88"/>
      <c r="AM106" s="88"/>
      <c r="AN106" s="88"/>
      <c r="AO106" s="88"/>
      <c r="AP106" s="88"/>
      <c r="AQ106" s="88"/>
      <c r="AR106" s="88"/>
      <c r="AS106" s="88"/>
      <c r="AT106" s="88"/>
      <c r="AU106" s="88"/>
      <c r="AV106" s="88"/>
      <c r="AW106" s="88"/>
      <c r="AX106" s="88"/>
      <c r="AY106" s="88"/>
      <c r="AZ106" s="88"/>
      <c r="BA106" s="88"/>
      <c r="BB106" s="88"/>
      <c r="BC106" s="88"/>
      <c r="BD106" s="88"/>
      <c r="BE106" s="88"/>
      <c r="BF106" s="88"/>
      <c r="BG106" s="88"/>
      <c r="BH106" s="88"/>
      <c r="BI106" s="88"/>
      <c r="BJ106" s="88"/>
      <c r="BK106" s="88"/>
      <c r="BL106" s="88"/>
      <c r="BM106" s="88"/>
      <c r="BN106" s="88"/>
      <c r="BO106" s="88"/>
      <c r="BP106" s="88"/>
      <c r="BQ106" s="88"/>
      <c r="BR106" s="88"/>
      <c r="BS106" s="88"/>
      <c r="BT106" s="88"/>
      <c r="BU106" s="88"/>
      <c r="BV106" s="88"/>
      <c r="BW106" s="88"/>
      <c r="BX106" s="88"/>
      <c r="BY106" s="88"/>
      <c r="BZ106" s="88"/>
      <c r="CA106" s="88"/>
      <c r="CB106" s="88"/>
      <c r="CC106" s="88"/>
      <c r="CD106" s="88"/>
      <c r="CE106" s="88"/>
      <c r="CF106" s="88"/>
      <c r="CG106" s="88"/>
      <c r="CH106" s="88"/>
      <c r="CI106" s="88"/>
      <c r="CJ106" s="88"/>
      <c r="CK106" s="88"/>
      <c r="CL106" s="88"/>
      <c r="CM106" s="88"/>
      <c r="CN106" s="88"/>
      <c r="CO106" s="88"/>
      <c r="CP106" s="88"/>
      <c r="CQ106" s="88"/>
      <c r="CR106" s="88"/>
      <c r="CS106" s="88"/>
      <c r="CT106" s="88"/>
      <c r="CU106" s="88"/>
      <c r="CV106" s="88"/>
      <c r="CW106" s="88"/>
      <c r="CX106" s="88"/>
      <c r="CY106" s="88"/>
      <c r="CZ106" s="88"/>
      <c r="DA106" s="88"/>
      <c r="DB106" s="88"/>
      <c r="DC106" s="88"/>
      <c r="DD106" s="88"/>
      <c r="DE106" s="88"/>
      <c r="DF106" s="88"/>
      <c r="DG106" s="88"/>
      <c r="DH106" s="88"/>
      <c r="DI106" s="88"/>
      <c r="DJ106" s="88"/>
    </row>
    <row r="107" spans="1:114" hidden="1">
      <c r="A107" s="88"/>
      <c r="B107" s="88"/>
      <c r="C107" s="88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  <c r="AB107" s="88"/>
      <c r="AC107" s="88"/>
      <c r="AD107" s="88"/>
      <c r="AE107" s="88"/>
      <c r="AF107" s="88"/>
      <c r="AG107" s="88"/>
      <c r="AH107" s="88"/>
      <c r="AI107" s="88"/>
      <c r="AJ107" s="88"/>
      <c r="AK107" s="88"/>
      <c r="AL107" s="88"/>
      <c r="AM107" s="88"/>
      <c r="AN107" s="88"/>
      <c r="AO107" s="88"/>
      <c r="AP107" s="88"/>
      <c r="AQ107" s="88"/>
      <c r="AR107" s="88"/>
      <c r="AS107" s="88"/>
      <c r="AT107" s="88"/>
      <c r="AU107" s="88"/>
      <c r="AV107" s="88"/>
      <c r="AW107" s="88"/>
      <c r="AX107" s="88"/>
      <c r="AY107" s="88"/>
      <c r="AZ107" s="88"/>
      <c r="BA107" s="88"/>
      <c r="BB107" s="88"/>
      <c r="BC107" s="88"/>
      <c r="BD107" s="88"/>
      <c r="BE107" s="88"/>
      <c r="BF107" s="88"/>
      <c r="BG107" s="88"/>
      <c r="BH107" s="88"/>
      <c r="BI107" s="88"/>
      <c r="BJ107" s="88"/>
      <c r="BK107" s="88"/>
      <c r="BL107" s="88"/>
      <c r="BM107" s="88"/>
      <c r="BN107" s="88"/>
      <c r="BO107" s="88"/>
      <c r="BP107" s="88"/>
      <c r="BQ107" s="88"/>
      <c r="BR107" s="88"/>
      <c r="BS107" s="88"/>
      <c r="BT107" s="88"/>
      <c r="BU107" s="88"/>
      <c r="BV107" s="88"/>
      <c r="BW107" s="88"/>
      <c r="BX107" s="88"/>
      <c r="BY107" s="88"/>
      <c r="BZ107" s="88"/>
      <c r="CA107" s="88"/>
      <c r="CB107" s="88"/>
      <c r="CC107" s="88"/>
      <c r="CD107" s="88"/>
      <c r="CE107" s="88"/>
      <c r="CF107" s="88"/>
      <c r="CG107" s="88"/>
      <c r="CH107" s="88"/>
      <c r="CI107" s="88"/>
      <c r="CJ107" s="88"/>
      <c r="CK107" s="88"/>
      <c r="CL107" s="88"/>
      <c r="CM107" s="88"/>
      <c r="CN107" s="88"/>
      <c r="CO107" s="88"/>
      <c r="CP107" s="88"/>
      <c r="CQ107" s="88"/>
      <c r="CR107" s="88"/>
      <c r="CS107" s="88"/>
      <c r="CT107" s="88"/>
      <c r="CU107" s="88"/>
      <c r="CV107" s="88"/>
      <c r="CW107" s="88"/>
      <c r="CX107" s="88"/>
      <c r="CY107" s="88"/>
      <c r="CZ107" s="88"/>
      <c r="DA107" s="88"/>
      <c r="DB107" s="88"/>
      <c r="DC107" s="88"/>
      <c r="DD107" s="88"/>
      <c r="DE107" s="88"/>
      <c r="DF107" s="88"/>
      <c r="DG107" s="88"/>
      <c r="DH107" s="88"/>
      <c r="DI107" s="88"/>
      <c r="DJ107" s="88"/>
    </row>
    <row r="108" spans="1:114" hidden="1">
      <c r="A108" s="88"/>
      <c r="B108" s="88"/>
      <c r="C108" s="88"/>
      <c r="D108" s="88"/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  <c r="AA108" s="88"/>
      <c r="AB108" s="88"/>
      <c r="AC108" s="88"/>
      <c r="AD108" s="88"/>
      <c r="AE108" s="88"/>
      <c r="AF108" s="88"/>
      <c r="AG108" s="88"/>
      <c r="AH108" s="88"/>
      <c r="AI108" s="88"/>
      <c r="AJ108" s="88"/>
      <c r="AK108" s="88"/>
      <c r="AL108" s="88"/>
      <c r="AM108" s="88"/>
      <c r="AN108" s="88"/>
      <c r="AO108" s="88"/>
      <c r="AP108" s="88"/>
      <c r="AQ108" s="88"/>
      <c r="AR108" s="88"/>
      <c r="AS108" s="88"/>
      <c r="AT108" s="88"/>
      <c r="AU108" s="88"/>
      <c r="AV108" s="88"/>
      <c r="AW108" s="88"/>
      <c r="AX108" s="88"/>
      <c r="AY108" s="88"/>
      <c r="AZ108" s="88"/>
      <c r="BA108" s="88"/>
      <c r="BB108" s="88"/>
      <c r="BC108" s="88"/>
      <c r="BD108" s="88"/>
      <c r="BE108" s="88"/>
      <c r="BF108" s="88"/>
      <c r="BG108" s="88"/>
      <c r="BH108" s="88"/>
      <c r="BI108" s="88"/>
      <c r="BJ108" s="88"/>
      <c r="BK108" s="88"/>
      <c r="BL108" s="88"/>
      <c r="BM108" s="88"/>
      <c r="BN108" s="88"/>
      <c r="BO108" s="88"/>
      <c r="BP108" s="88"/>
      <c r="BQ108" s="88"/>
      <c r="BR108" s="88"/>
      <c r="BS108" s="88"/>
      <c r="BT108" s="88"/>
      <c r="BU108" s="88"/>
      <c r="BV108" s="88"/>
      <c r="BW108" s="88"/>
      <c r="BX108" s="88"/>
      <c r="BY108" s="88"/>
      <c r="BZ108" s="88"/>
      <c r="CA108" s="88"/>
      <c r="CB108" s="88"/>
      <c r="CC108" s="88"/>
      <c r="CD108" s="88"/>
      <c r="CE108" s="88"/>
      <c r="CF108" s="88"/>
      <c r="CG108" s="88"/>
      <c r="CH108" s="88"/>
      <c r="CI108" s="88"/>
      <c r="CJ108" s="88"/>
      <c r="CK108" s="88"/>
      <c r="CL108" s="88"/>
      <c r="CM108" s="88"/>
      <c r="CN108" s="88"/>
      <c r="CO108" s="88"/>
      <c r="CP108" s="88"/>
      <c r="CQ108" s="88"/>
      <c r="CR108" s="88"/>
      <c r="CS108" s="88"/>
      <c r="CT108" s="88"/>
      <c r="CU108" s="88"/>
      <c r="CV108" s="88"/>
      <c r="CW108" s="88"/>
      <c r="CX108" s="88"/>
      <c r="CY108" s="88"/>
      <c r="CZ108" s="88"/>
      <c r="DA108" s="88"/>
      <c r="DB108" s="88"/>
      <c r="DC108" s="88"/>
      <c r="DD108" s="88"/>
      <c r="DE108" s="88"/>
      <c r="DF108" s="88"/>
      <c r="DG108" s="88"/>
      <c r="DH108" s="88"/>
      <c r="DI108" s="88"/>
      <c r="DJ108" s="88"/>
    </row>
    <row r="109" spans="1:114" hidden="1">
      <c r="A109" s="88"/>
      <c r="B109" s="88"/>
      <c r="C109" s="88"/>
      <c r="D109" s="88"/>
      <c r="E109" s="88"/>
      <c r="F109" s="88"/>
      <c r="G109" s="88"/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8"/>
      <c r="Z109" s="88"/>
      <c r="AA109" s="88"/>
      <c r="AB109" s="88"/>
      <c r="AC109" s="88"/>
      <c r="AD109" s="88"/>
      <c r="AE109" s="88"/>
      <c r="AF109" s="88"/>
      <c r="AG109" s="88"/>
      <c r="AH109" s="88"/>
      <c r="AI109" s="88"/>
      <c r="AJ109" s="88"/>
      <c r="AK109" s="88"/>
      <c r="AL109" s="88"/>
      <c r="AM109" s="88"/>
      <c r="AN109" s="88"/>
      <c r="AO109" s="88"/>
      <c r="AP109" s="88"/>
      <c r="AQ109" s="88"/>
      <c r="AR109" s="88"/>
      <c r="AS109" s="88"/>
      <c r="AT109" s="88"/>
      <c r="AU109" s="88"/>
      <c r="AV109" s="88"/>
      <c r="AW109" s="88"/>
      <c r="AX109" s="88"/>
      <c r="AY109" s="88"/>
      <c r="AZ109" s="88"/>
      <c r="BA109" s="88"/>
      <c r="BB109" s="88"/>
      <c r="BC109" s="88"/>
      <c r="BD109" s="88"/>
      <c r="BE109" s="88"/>
      <c r="BF109" s="88"/>
      <c r="BG109" s="88"/>
      <c r="BH109" s="88"/>
      <c r="BI109" s="88"/>
      <c r="BJ109" s="88"/>
      <c r="BK109" s="88"/>
      <c r="BL109" s="88"/>
      <c r="BM109" s="88"/>
      <c r="BN109" s="88"/>
      <c r="BO109" s="88"/>
      <c r="BP109" s="88"/>
      <c r="BQ109" s="88"/>
      <c r="BR109" s="88"/>
      <c r="BS109" s="88"/>
      <c r="BT109" s="88"/>
      <c r="BU109" s="88"/>
      <c r="BV109" s="88"/>
      <c r="BW109" s="88"/>
      <c r="BX109" s="88"/>
      <c r="BY109" s="88"/>
      <c r="BZ109" s="88"/>
      <c r="CA109" s="88"/>
      <c r="CB109" s="88"/>
      <c r="CC109" s="88"/>
      <c r="CD109" s="88"/>
      <c r="CE109" s="88"/>
      <c r="CF109" s="88"/>
      <c r="CG109" s="88"/>
      <c r="CH109" s="88"/>
      <c r="CI109" s="88"/>
      <c r="CJ109" s="88"/>
      <c r="CK109" s="88"/>
      <c r="CL109" s="88"/>
      <c r="CM109" s="88"/>
      <c r="CN109" s="88"/>
      <c r="CO109" s="88"/>
      <c r="CP109" s="88"/>
      <c r="CQ109" s="88"/>
      <c r="CR109" s="88"/>
      <c r="CS109" s="88"/>
      <c r="CT109" s="88"/>
      <c r="CU109" s="88"/>
      <c r="CV109" s="88"/>
      <c r="CW109" s="88"/>
      <c r="CX109" s="88"/>
      <c r="CY109" s="88"/>
      <c r="CZ109" s="88"/>
      <c r="DA109" s="88"/>
      <c r="DB109" s="88"/>
      <c r="DC109" s="88"/>
      <c r="DD109" s="88"/>
      <c r="DE109" s="88"/>
      <c r="DF109" s="88"/>
      <c r="DG109" s="88"/>
      <c r="DH109" s="88"/>
      <c r="DI109" s="88"/>
      <c r="DJ109" s="88"/>
    </row>
    <row r="110" spans="1:114" hidden="1">
      <c r="A110" s="88"/>
      <c r="B110" s="88"/>
      <c r="C110" s="88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8"/>
      <c r="Z110" s="88"/>
      <c r="AA110" s="88"/>
      <c r="AB110" s="88"/>
      <c r="AC110" s="88"/>
      <c r="AD110" s="88"/>
      <c r="AE110" s="88"/>
      <c r="AF110" s="88"/>
      <c r="AG110" s="88"/>
      <c r="AH110" s="88"/>
      <c r="AI110" s="88"/>
      <c r="AJ110" s="88"/>
      <c r="AK110" s="88"/>
      <c r="AL110" s="88"/>
      <c r="AM110" s="88"/>
      <c r="AN110" s="88"/>
      <c r="AO110" s="88"/>
      <c r="AP110" s="88"/>
      <c r="AQ110" s="88"/>
      <c r="AR110" s="88"/>
      <c r="AS110" s="88"/>
      <c r="AT110" s="88"/>
      <c r="AU110" s="88"/>
      <c r="AV110" s="88"/>
      <c r="AW110" s="88"/>
      <c r="AX110" s="88"/>
      <c r="AY110" s="88"/>
      <c r="AZ110" s="88"/>
      <c r="BA110" s="88"/>
      <c r="BB110" s="88"/>
      <c r="BC110" s="88"/>
      <c r="BD110" s="88"/>
      <c r="BE110" s="88"/>
      <c r="BF110" s="88"/>
      <c r="BG110" s="88"/>
      <c r="BH110" s="88"/>
      <c r="BI110" s="88"/>
      <c r="BJ110" s="88"/>
      <c r="BK110" s="88"/>
      <c r="BL110" s="88"/>
      <c r="BM110" s="88"/>
      <c r="BN110" s="88"/>
      <c r="BO110" s="88"/>
      <c r="BP110" s="88"/>
      <c r="BQ110" s="88"/>
      <c r="BR110" s="88"/>
      <c r="BS110" s="88"/>
      <c r="BT110" s="88"/>
      <c r="BU110" s="88"/>
      <c r="BV110" s="88"/>
      <c r="BW110" s="88"/>
      <c r="BX110" s="88"/>
      <c r="BY110" s="88"/>
      <c r="BZ110" s="88"/>
      <c r="CA110" s="88"/>
      <c r="CB110" s="88"/>
      <c r="CC110" s="88"/>
      <c r="CD110" s="88"/>
      <c r="CE110" s="88"/>
      <c r="CF110" s="88"/>
      <c r="CG110" s="88"/>
      <c r="CH110" s="88"/>
      <c r="CI110" s="88"/>
      <c r="CJ110" s="88"/>
      <c r="CK110" s="88"/>
      <c r="CL110" s="88"/>
      <c r="CM110" s="88"/>
      <c r="CN110" s="88"/>
      <c r="CO110" s="88"/>
      <c r="CP110" s="88"/>
      <c r="CQ110" s="88"/>
      <c r="CR110" s="88"/>
      <c r="CS110" s="88"/>
      <c r="CT110" s="88"/>
      <c r="CU110" s="88"/>
      <c r="CV110" s="88"/>
      <c r="CW110" s="88"/>
      <c r="CX110" s="88"/>
      <c r="CY110" s="88"/>
      <c r="CZ110" s="88"/>
      <c r="DA110" s="88"/>
      <c r="DB110" s="88"/>
      <c r="DC110" s="88"/>
      <c r="DD110" s="88"/>
      <c r="DE110" s="88"/>
      <c r="DF110" s="88"/>
      <c r="DG110" s="88"/>
      <c r="DH110" s="88"/>
      <c r="DI110" s="88"/>
      <c r="DJ110" s="88"/>
    </row>
    <row r="111" spans="1:114" hidden="1">
      <c r="A111" s="88"/>
      <c r="B111" s="88"/>
      <c r="C111" s="88"/>
      <c r="D111" s="88"/>
      <c r="E111" s="88"/>
      <c r="F111" s="88"/>
      <c r="G111" s="88"/>
      <c r="H111" s="88"/>
      <c r="I111" s="88"/>
      <c r="J111" s="88"/>
      <c r="K111" s="88"/>
      <c r="L111" s="88"/>
      <c r="M111" s="88"/>
      <c r="N111" s="88"/>
      <c r="O111" s="88"/>
      <c r="P111" s="88"/>
      <c r="Q111" s="88"/>
      <c r="R111" s="88"/>
      <c r="S111" s="88"/>
      <c r="T111" s="88"/>
      <c r="U111" s="88"/>
      <c r="V111" s="88"/>
      <c r="W111" s="88"/>
      <c r="X111" s="88"/>
      <c r="Y111" s="88"/>
      <c r="Z111" s="88"/>
      <c r="AA111" s="88"/>
      <c r="AB111" s="88"/>
      <c r="AC111" s="88"/>
      <c r="AD111" s="88"/>
      <c r="AE111" s="88"/>
      <c r="AF111" s="88"/>
      <c r="AG111" s="88"/>
      <c r="AH111" s="88"/>
      <c r="AI111" s="88"/>
      <c r="AJ111" s="88"/>
      <c r="AK111" s="88"/>
      <c r="AL111" s="88"/>
      <c r="AM111" s="88"/>
      <c r="AN111" s="88"/>
      <c r="AO111" s="88"/>
      <c r="AP111" s="88"/>
      <c r="AQ111" s="88"/>
      <c r="AR111" s="88"/>
      <c r="AS111" s="88"/>
      <c r="AT111" s="88"/>
      <c r="AU111" s="88"/>
      <c r="AV111" s="88"/>
      <c r="AW111" s="88"/>
      <c r="AX111" s="88"/>
      <c r="AY111" s="88"/>
      <c r="AZ111" s="88"/>
      <c r="BA111" s="88"/>
      <c r="BB111" s="88"/>
      <c r="BC111" s="88"/>
      <c r="BD111" s="88"/>
      <c r="BE111" s="88"/>
      <c r="BF111" s="88"/>
      <c r="BG111" s="88"/>
      <c r="BH111" s="88"/>
      <c r="BI111" s="88"/>
      <c r="BJ111" s="88"/>
      <c r="BK111" s="88"/>
      <c r="BL111" s="88"/>
      <c r="BM111" s="88"/>
      <c r="BN111" s="88"/>
      <c r="BO111" s="88"/>
      <c r="BP111" s="88"/>
      <c r="BQ111" s="88"/>
      <c r="BR111" s="88"/>
      <c r="BS111" s="88"/>
      <c r="BT111" s="88"/>
      <c r="BU111" s="88"/>
      <c r="BV111" s="88"/>
      <c r="BW111" s="88"/>
      <c r="BX111" s="88"/>
      <c r="BY111" s="88"/>
      <c r="BZ111" s="88"/>
      <c r="CA111" s="88"/>
      <c r="CB111" s="88"/>
      <c r="CC111" s="88"/>
      <c r="CD111" s="88"/>
      <c r="CE111" s="88"/>
      <c r="CF111" s="88"/>
      <c r="CG111" s="88"/>
      <c r="CH111" s="88"/>
      <c r="CI111" s="88"/>
      <c r="CJ111" s="88"/>
      <c r="CK111" s="88"/>
      <c r="CL111" s="88"/>
      <c r="CM111" s="88"/>
      <c r="CN111" s="88"/>
      <c r="CO111" s="88"/>
      <c r="CP111" s="88"/>
      <c r="CQ111" s="88"/>
      <c r="CR111" s="88"/>
      <c r="CS111" s="88"/>
      <c r="CT111" s="88"/>
      <c r="CU111" s="88"/>
      <c r="CV111" s="88"/>
      <c r="CW111" s="88"/>
      <c r="CX111" s="88"/>
      <c r="CY111" s="88"/>
      <c r="CZ111" s="88"/>
      <c r="DA111" s="88"/>
      <c r="DB111" s="88"/>
      <c r="DC111" s="88"/>
      <c r="DD111" s="88"/>
      <c r="DE111" s="88"/>
      <c r="DF111" s="88"/>
      <c r="DG111" s="88"/>
      <c r="DH111" s="88"/>
      <c r="DI111" s="88"/>
      <c r="DJ111" s="88"/>
    </row>
    <row r="112" spans="1:114" hidden="1">
      <c r="A112" s="88"/>
      <c r="B112" s="88"/>
      <c r="C112" s="88"/>
      <c r="D112" s="88"/>
      <c r="E112" s="88"/>
      <c r="F112" s="88"/>
      <c r="G112" s="88"/>
      <c r="H112" s="88"/>
      <c r="I112" s="88"/>
      <c r="J112" s="88"/>
      <c r="K112" s="88"/>
      <c r="L112" s="88"/>
      <c r="M112" s="88"/>
      <c r="N112" s="88"/>
      <c r="O112" s="88"/>
      <c r="P112" s="88"/>
      <c r="Q112" s="88"/>
      <c r="R112" s="88"/>
      <c r="S112" s="88"/>
      <c r="T112" s="88"/>
      <c r="U112" s="88"/>
      <c r="V112" s="88"/>
      <c r="W112" s="88"/>
      <c r="X112" s="88"/>
      <c r="Y112" s="88"/>
      <c r="Z112" s="88"/>
      <c r="AA112" s="88"/>
      <c r="AB112" s="88"/>
      <c r="AC112" s="88"/>
      <c r="AD112" s="88"/>
      <c r="AE112" s="88"/>
      <c r="AF112" s="88"/>
      <c r="AG112" s="88"/>
      <c r="AH112" s="88"/>
      <c r="AI112" s="88"/>
      <c r="AJ112" s="88"/>
      <c r="AK112" s="88"/>
      <c r="AL112" s="88"/>
      <c r="AM112" s="88"/>
      <c r="AN112" s="88"/>
      <c r="AO112" s="88"/>
      <c r="AP112" s="88"/>
      <c r="AQ112" s="88"/>
      <c r="AR112" s="88"/>
      <c r="AS112" s="88"/>
      <c r="AT112" s="88"/>
      <c r="AU112" s="88"/>
      <c r="AV112" s="88"/>
      <c r="AW112" s="88"/>
      <c r="AX112" s="88"/>
      <c r="AY112" s="88"/>
      <c r="AZ112" s="88"/>
      <c r="BA112" s="88"/>
      <c r="BB112" s="88"/>
      <c r="BC112" s="88"/>
      <c r="BD112" s="88"/>
      <c r="BE112" s="88"/>
      <c r="BF112" s="88"/>
      <c r="BG112" s="88"/>
      <c r="BH112" s="88"/>
      <c r="BI112" s="88"/>
      <c r="BJ112" s="88"/>
      <c r="BK112" s="88"/>
      <c r="BL112" s="88"/>
      <c r="BM112" s="88"/>
      <c r="BN112" s="88"/>
      <c r="BO112" s="88"/>
      <c r="BP112" s="88"/>
      <c r="BQ112" s="88"/>
      <c r="BR112" s="88"/>
      <c r="BS112" s="88"/>
      <c r="BT112" s="88"/>
      <c r="BU112" s="88"/>
      <c r="BV112" s="88"/>
      <c r="BW112" s="88"/>
      <c r="BX112" s="88"/>
      <c r="BY112" s="88"/>
      <c r="BZ112" s="88"/>
      <c r="CA112" s="88"/>
      <c r="CB112" s="88"/>
      <c r="CC112" s="88"/>
      <c r="CD112" s="88"/>
      <c r="CE112" s="88"/>
      <c r="CF112" s="88"/>
      <c r="CG112" s="88"/>
      <c r="CH112" s="88"/>
      <c r="CI112" s="88"/>
      <c r="CJ112" s="88"/>
      <c r="CK112" s="88"/>
      <c r="CL112" s="88"/>
      <c r="CM112" s="88"/>
      <c r="CN112" s="88"/>
      <c r="CO112" s="88"/>
      <c r="CP112" s="88"/>
      <c r="CQ112" s="88"/>
      <c r="CR112" s="88"/>
      <c r="CS112" s="88"/>
      <c r="CT112" s="88"/>
      <c r="CU112" s="88"/>
      <c r="CV112" s="88"/>
      <c r="CW112" s="88"/>
      <c r="CX112" s="88"/>
      <c r="CY112" s="88"/>
      <c r="CZ112" s="88"/>
      <c r="DA112" s="88"/>
      <c r="DB112" s="88"/>
      <c r="DC112" s="88"/>
      <c r="DD112" s="88"/>
      <c r="DE112" s="88"/>
      <c r="DF112" s="88"/>
      <c r="DG112" s="88"/>
      <c r="DH112" s="88"/>
      <c r="DI112" s="88"/>
      <c r="DJ112" s="88"/>
    </row>
    <row r="113" spans="1:114" hidden="1">
      <c r="A113" s="88"/>
      <c r="B113" s="88"/>
      <c r="C113" s="88"/>
      <c r="D113" s="88"/>
      <c r="E113" s="88"/>
      <c r="F113" s="88"/>
      <c r="G113" s="88"/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88"/>
      <c r="S113" s="88"/>
      <c r="T113" s="88"/>
      <c r="U113" s="88"/>
      <c r="V113" s="88"/>
      <c r="W113" s="88"/>
      <c r="X113" s="88"/>
      <c r="Y113" s="88"/>
      <c r="Z113" s="88"/>
      <c r="AA113" s="88"/>
      <c r="AB113" s="88"/>
      <c r="AC113" s="88"/>
      <c r="AD113" s="88"/>
      <c r="AE113" s="88"/>
      <c r="AF113" s="88"/>
      <c r="AG113" s="88"/>
      <c r="AH113" s="88"/>
      <c r="AI113" s="88"/>
      <c r="AJ113" s="88"/>
      <c r="AK113" s="88"/>
      <c r="AL113" s="88"/>
      <c r="AM113" s="88"/>
      <c r="AN113" s="88"/>
      <c r="AO113" s="88"/>
      <c r="AP113" s="88"/>
      <c r="AQ113" s="88"/>
      <c r="AR113" s="88"/>
      <c r="AS113" s="88"/>
      <c r="AT113" s="88"/>
      <c r="AU113" s="88"/>
      <c r="AV113" s="88"/>
      <c r="AW113" s="88"/>
      <c r="AX113" s="88"/>
      <c r="AY113" s="88"/>
      <c r="AZ113" s="88"/>
      <c r="BA113" s="88"/>
      <c r="BB113" s="88"/>
      <c r="BC113" s="88"/>
      <c r="BD113" s="88"/>
      <c r="BE113" s="88"/>
      <c r="BF113" s="88"/>
      <c r="BG113" s="88"/>
      <c r="BH113" s="88"/>
      <c r="BI113" s="88"/>
      <c r="BJ113" s="88"/>
      <c r="BK113" s="88"/>
      <c r="BL113" s="88"/>
      <c r="BM113" s="88"/>
      <c r="BN113" s="88"/>
      <c r="BO113" s="88"/>
      <c r="BP113" s="88"/>
      <c r="BQ113" s="88"/>
      <c r="BR113" s="88"/>
      <c r="BS113" s="88"/>
      <c r="BT113" s="88"/>
      <c r="BU113" s="88"/>
      <c r="BV113" s="88"/>
      <c r="BW113" s="88"/>
      <c r="BX113" s="88"/>
      <c r="BY113" s="88"/>
      <c r="BZ113" s="88"/>
      <c r="CA113" s="88"/>
      <c r="CB113" s="88"/>
      <c r="CC113" s="88"/>
      <c r="CD113" s="88"/>
      <c r="CE113" s="88"/>
      <c r="CF113" s="88"/>
      <c r="CG113" s="88"/>
      <c r="CH113" s="88"/>
      <c r="CI113" s="88"/>
      <c r="CJ113" s="88"/>
      <c r="CK113" s="88"/>
      <c r="CL113" s="88"/>
      <c r="CM113" s="88"/>
      <c r="CN113" s="88"/>
      <c r="CO113" s="88"/>
      <c r="CP113" s="88"/>
      <c r="CQ113" s="88"/>
      <c r="CR113" s="88"/>
      <c r="CS113" s="88"/>
      <c r="CT113" s="88"/>
      <c r="CU113" s="88"/>
      <c r="CV113" s="88"/>
      <c r="CW113" s="88"/>
      <c r="CX113" s="88"/>
      <c r="CY113" s="88"/>
      <c r="CZ113" s="88"/>
      <c r="DA113" s="88"/>
      <c r="DB113" s="88"/>
      <c r="DC113" s="88"/>
      <c r="DD113" s="88"/>
      <c r="DE113" s="88"/>
      <c r="DF113" s="88"/>
      <c r="DG113" s="88"/>
      <c r="DH113" s="88"/>
      <c r="DI113" s="88"/>
      <c r="DJ113" s="88"/>
    </row>
    <row r="114" spans="1:114" hidden="1">
      <c r="A114" s="88"/>
      <c r="B114" s="88"/>
      <c r="C114" s="88"/>
      <c r="D114" s="88"/>
      <c r="E114" s="88"/>
      <c r="F114" s="88"/>
      <c r="G114" s="88"/>
      <c r="H114" s="88"/>
      <c r="I114" s="88"/>
      <c r="J114" s="88"/>
      <c r="K114" s="88"/>
      <c r="L114" s="88"/>
      <c r="M114" s="88"/>
      <c r="N114" s="88"/>
      <c r="O114" s="88"/>
      <c r="P114" s="88"/>
      <c r="Q114" s="88"/>
      <c r="R114" s="88"/>
      <c r="S114" s="88"/>
      <c r="T114" s="88"/>
      <c r="U114" s="88"/>
      <c r="V114" s="88"/>
      <c r="W114" s="88"/>
      <c r="X114" s="88"/>
      <c r="Y114" s="88"/>
      <c r="Z114" s="88"/>
      <c r="AA114" s="88"/>
      <c r="AB114" s="88"/>
      <c r="AC114" s="88"/>
      <c r="AD114" s="88"/>
      <c r="AE114" s="88"/>
      <c r="AF114" s="88"/>
      <c r="AG114" s="88"/>
      <c r="AH114" s="88"/>
      <c r="AI114" s="88"/>
      <c r="AJ114" s="88"/>
      <c r="AK114" s="88"/>
      <c r="AL114" s="88"/>
      <c r="AM114" s="88"/>
      <c r="AN114" s="88"/>
      <c r="AO114" s="88"/>
      <c r="AP114" s="88"/>
      <c r="AQ114" s="88"/>
      <c r="AR114" s="88"/>
      <c r="AS114" s="88"/>
      <c r="AT114" s="88"/>
      <c r="AU114" s="88"/>
      <c r="AV114" s="88"/>
      <c r="AW114" s="88"/>
      <c r="AX114" s="88"/>
      <c r="AY114" s="88"/>
      <c r="AZ114" s="88"/>
      <c r="BA114" s="88"/>
      <c r="BB114" s="88"/>
      <c r="BC114" s="88"/>
      <c r="BD114" s="88"/>
      <c r="BE114" s="88"/>
      <c r="BF114" s="88"/>
      <c r="BG114" s="88"/>
      <c r="BH114" s="88"/>
      <c r="BI114" s="88"/>
      <c r="BJ114" s="88"/>
      <c r="BK114" s="88"/>
      <c r="BL114" s="88"/>
      <c r="BM114" s="88"/>
      <c r="BN114" s="88"/>
      <c r="BO114" s="88"/>
      <c r="BP114" s="88"/>
      <c r="BQ114" s="88"/>
      <c r="BR114" s="88"/>
      <c r="BS114" s="88"/>
      <c r="BT114" s="88"/>
      <c r="BU114" s="88"/>
      <c r="BV114" s="88"/>
      <c r="BW114" s="88"/>
      <c r="BX114" s="88"/>
      <c r="BY114" s="88"/>
      <c r="BZ114" s="88"/>
      <c r="CA114" s="88"/>
      <c r="CB114" s="88"/>
      <c r="CC114" s="88"/>
      <c r="CD114" s="88"/>
      <c r="CE114" s="88"/>
      <c r="CF114" s="88"/>
      <c r="CG114" s="88"/>
      <c r="CH114" s="88"/>
      <c r="CI114" s="88"/>
      <c r="CJ114" s="88"/>
      <c r="CK114" s="88"/>
      <c r="CL114" s="88"/>
      <c r="CM114" s="88"/>
      <c r="CN114" s="88"/>
      <c r="CO114" s="88"/>
      <c r="CP114" s="88"/>
      <c r="CQ114" s="88"/>
      <c r="CR114" s="88"/>
      <c r="CS114" s="88"/>
      <c r="CT114" s="88"/>
      <c r="CU114" s="88"/>
      <c r="CV114" s="88"/>
      <c r="CW114" s="88"/>
      <c r="CX114" s="88"/>
      <c r="CY114" s="88"/>
      <c r="CZ114" s="88"/>
      <c r="DA114" s="88"/>
      <c r="DB114" s="88"/>
      <c r="DC114" s="88"/>
      <c r="DD114" s="88"/>
      <c r="DE114" s="88"/>
      <c r="DF114" s="88"/>
      <c r="DG114" s="88"/>
      <c r="DH114" s="88"/>
      <c r="DI114" s="88"/>
      <c r="DJ114" s="88"/>
    </row>
    <row r="115" spans="1:114" hidden="1">
      <c r="A115" s="88"/>
      <c r="B115" s="88"/>
      <c r="C115" s="88"/>
      <c r="D115" s="88"/>
      <c r="E115" s="88"/>
      <c r="F115" s="88"/>
      <c r="G115" s="88"/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88"/>
      <c r="AC115" s="88"/>
      <c r="AD115" s="88"/>
      <c r="AE115" s="88"/>
      <c r="AF115" s="88"/>
      <c r="AG115" s="88"/>
      <c r="AH115" s="88"/>
      <c r="AI115" s="88"/>
      <c r="AJ115" s="88"/>
      <c r="AK115" s="88"/>
      <c r="AL115" s="88"/>
      <c r="AM115" s="88"/>
      <c r="AN115" s="88"/>
      <c r="AO115" s="88"/>
      <c r="AP115" s="88"/>
      <c r="AQ115" s="88"/>
      <c r="AR115" s="88"/>
      <c r="AS115" s="88"/>
      <c r="AT115" s="88"/>
      <c r="AU115" s="88"/>
      <c r="AV115" s="88"/>
      <c r="AW115" s="88"/>
      <c r="AX115" s="88"/>
      <c r="AY115" s="88"/>
      <c r="AZ115" s="88"/>
      <c r="BA115" s="88"/>
      <c r="BB115" s="88"/>
      <c r="BC115" s="88"/>
      <c r="BD115" s="88"/>
      <c r="BE115" s="88"/>
      <c r="BF115" s="88"/>
      <c r="BG115" s="88"/>
      <c r="BH115" s="88"/>
      <c r="BI115" s="88"/>
      <c r="BJ115" s="88"/>
      <c r="BK115" s="88"/>
      <c r="BL115" s="88"/>
      <c r="BM115" s="88"/>
      <c r="BN115" s="88"/>
      <c r="BO115" s="88"/>
      <c r="BP115" s="88"/>
      <c r="BQ115" s="88"/>
      <c r="BR115" s="88"/>
      <c r="BS115" s="88"/>
      <c r="BT115" s="88"/>
      <c r="BU115" s="88"/>
      <c r="BV115" s="88"/>
      <c r="BW115" s="88"/>
      <c r="BX115" s="88"/>
      <c r="BY115" s="88"/>
      <c r="BZ115" s="88"/>
      <c r="CA115" s="88"/>
      <c r="CB115" s="88"/>
      <c r="CC115" s="88"/>
      <c r="CD115" s="88"/>
      <c r="CE115" s="88"/>
      <c r="CF115" s="88"/>
      <c r="CG115" s="88"/>
      <c r="CH115" s="88"/>
      <c r="CI115" s="88"/>
      <c r="CJ115" s="88"/>
      <c r="CK115" s="88"/>
      <c r="CL115" s="88"/>
      <c r="CM115" s="88"/>
      <c r="CN115" s="88"/>
      <c r="CO115" s="88"/>
      <c r="CP115" s="88"/>
      <c r="CQ115" s="88"/>
      <c r="CR115" s="88"/>
      <c r="CS115" s="88"/>
      <c r="CT115" s="88"/>
      <c r="CU115" s="88"/>
      <c r="CV115" s="88"/>
      <c r="CW115" s="88"/>
      <c r="CX115" s="88"/>
      <c r="CY115" s="88"/>
      <c r="CZ115" s="88"/>
      <c r="DA115" s="88"/>
      <c r="DB115" s="88"/>
      <c r="DC115" s="88"/>
      <c r="DD115" s="88"/>
      <c r="DE115" s="88"/>
      <c r="DF115" s="88"/>
      <c r="DG115" s="88"/>
      <c r="DH115" s="88"/>
      <c r="DI115" s="88"/>
      <c r="DJ115" s="88"/>
    </row>
    <row r="116" spans="1:114" hidden="1">
      <c r="A116" s="88"/>
      <c r="B116" s="88"/>
      <c r="C116" s="88"/>
      <c r="D116" s="88"/>
      <c r="E116" s="88"/>
      <c r="F116" s="88"/>
      <c r="G116" s="88"/>
      <c r="H116" s="88"/>
      <c r="I116" s="88"/>
      <c r="J116" s="88"/>
      <c r="K116" s="88"/>
      <c r="L116" s="88"/>
      <c r="M116" s="88"/>
      <c r="N116" s="88"/>
      <c r="O116" s="88"/>
      <c r="P116" s="88"/>
      <c r="Q116" s="88"/>
      <c r="R116" s="88"/>
      <c r="S116" s="88"/>
      <c r="T116" s="88"/>
      <c r="U116" s="88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88"/>
      <c r="AJ116" s="88"/>
      <c r="AK116" s="88"/>
      <c r="AL116" s="88"/>
      <c r="AM116" s="88"/>
      <c r="AN116" s="88"/>
      <c r="AO116" s="88"/>
      <c r="AP116" s="88"/>
      <c r="AQ116" s="88"/>
      <c r="AR116" s="88"/>
      <c r="AS116" s="88"/>
      <c r="AT116" s="88"/>
      <c r="AU116" s="88"/>
      <c r="AV116" s="88"/>
      <c r="AW116" s="88"/>
      <c r="AX116" s="88"/>
      <c r="AY116" s="88"/>
      <c r="AZ116" s="88"/>
      <c r="BA116" s="88"/>
      <c r="BB116" s="88"/>
      <c r="BC116" s="88"/>
      <c r="BD116" s="88"/>
      <c r="BE116" s="88"/>
      <c r="BF116" s="88"/>
      <c r="BG116" s="88"/>
      <c r="BH116" s="88"/>
      <c r="BI116" s="88"/>
      <c r="BJ116" s="88"/>
      <c r="BK116" s="88"/>
      <c r="BL116" s="88"/>
      <c r="BM116" s="88"/>
      <c r="BN116" s="88"/>
      <c r="BO116" s="88"/>
      <c r="BP116" s="88"/>
      <c r="BQ116" s="88"/>
      <c r="BR116" s="88"/>
      <c r="BS116" s="88"/>
      <c r="BT116" s="88"/>
      <c r="BU116" s="88"/>
      <c r="BV116" s="88"/>
      <c r="BW116" s="88"/>
      <c r="BX116" s="88"/>
      <c r="BY116" s="88"/>
      <c r="BZ116" s="88"/>
      <c r="CA116" s="88"/>
      <c r="CB116" s="88"/>
      <c r="CC116" s="88"/>
      <c r="CD116" s="88"/>
      <c r="CE116" s="88"/>
      <c r="CF116" s="88"/>
      <c r="CG116" s="88"/>
      <c r="CH116" s="88"/>
      <c r="CI116" s="88"/>
      <c r="CJ116" s="88"/>
      <c r="CK116" s="88"/>
      <c r="CL116" s="88"/>
      <c r="CM116" s="88"/>
      <c r="CN116" s="88"/>
      <c r="CO116" s="88"/>
      <c r="CP116" s="88"/>
      <c r="CQ116" s="88"/>
      <c r="CR116" s="88"/>
      <c r="CS116" s="88"/>
      <c r="CT116" s="88"/>
      <c r="CU116" s="88"/>
      <c r="CV116" s="88"/>
      <c r="CW116" s="88"/>
      <c r="CX116" s="88"/>
      <c r="CY116" s="88"/>
      <c r="CZ116" s="88"/>
      <c r="DA116" s="88"/>
      <c r="DB116" s="88"/>
      <c r="DC116" s="88"/>
      <c r="DD116" s="88"/>
      <c r="DE116" s="88"/>
      <c r="DF116" s="88"/>
      <c r="DG116" s="88"/>
      <c r="DH116" s="88"/>
      <c r="DI116" s="88"/>
      <c r="DJ116" s="88"/>
    </row>
    <row r="117" spans="1:114" hidden="1">
      <c r="A117" s="88"/>
      <c r="B117" s="88"/>
      <c r="C117" s="88"/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  <c r="O117" s="88"/>
      <c r="P117" s="88"/>
      <c r="Q117" s="88"/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  <c r="AF117" s="88"/>
      <c r="AG117" s="88"/>
      <c r="AH117" s="88"/>
      <c r="AI117" s="88"/>
      <c r="AJ117" s="88"/>
      <c r="AK117" s="88"/>
      <c r="AL117" s="88"/>
      <c r="AM117" s="88"/>
      <c r="AN117" s="88"/>
      <c r="AO117" s="88"/>
      <c r="AP117" s="88"/>
      <c r="AQ117" s="88"/>
      <c r="AR117" s="88"/>
      <c r="AS117" s="88"/>
      <c r="AT117" s="88"/>
      <c r="AU117" s="88"/>
      <c r="AV117" s="88"/>
      <c r="AW117" s="88"/>
      <c r="AX117" s="88"/>
      <c r="AY117" s="88"/>
      <c r="AZ117" s="88"/>
      <c r="BA117" s="88"/>
      <c r="BB117" s="88"/>
      <c r="BC117" s="88"/>
      <c r="BD117" s="88"/>
      <c r="BE117" s="88"/>
      <c r="BF117" s="88"/>
      <c r="BG117" s="88"/>
      <c r="BH117" s="88"/>
      <c r="BI117" s="88"/>
      <c r="BJ117" s="88"/>
      <c r="BK117" s="88"/>
      <c r="BL117" s="88"/>
      <c r="BM117" s="88"/>
      <c r="BN117" s="88"/>
      <c r="BO117" s="88"/>
      <c r="BP117" s="88"/>
      <c r="BQ117" s="88"/>
      <c r="BR117" s="88"/>
      <c r="BS117" s="88"/>
      <c r="BT117" s="88"/>
      <c r="BU117" s="88"/>
      <c r="BV117" s="88"/>
      <c r="BW117" s="88"/>
      <c r="BX117" s="88"/>
      <c r="BY117" s="88"/>
      <c r="BZ117" s="88"/>
      <c r="CA117" s="88"/>
      <c r="CB117" s="88"/>
      <c r="CC117" s="88"/>
      <c r="CD117" s="88"/>
      <c r="CE117" s="88"/>
      <c r="CF117" s="88"/>
      <c r="CG117" s="88"/>
      <c r="CH117" s="88"/>
      <c r="CI117" s="88"/>
      <c r="CJ117" s="88"/>
      <c r="CK117" s="88"/>
      <c r="CL117" s="88"/>
      <c r="CM117" s="88"/>
      <c r="CN117" s="88"/>
      <c r="CO117" s="88"/>
      <c r="CP117" s="88"/>
      <c r="CQ117" s="88"/>
      <c r="CR117" s="88"/>
      <c r="CS117" s="88"/>
      <c r="CT117" s="88"/>
      <c r="CU117" s="88"/>
      <c r="CV117" s="88"/>
      <c r="CW117" s="88"/>
      <c r="CX117" s="88"/>
      <c r="CY117" s="88"/>
      <c r="CZ117" s="88"/>
      <c r="DA117" s="88"/>
      <c r="DB117" s="88"/>
      <c r="DC117" s="88"/>
      <c r="DD117" s="88"/>
      <c r="DE117" s="88"/>
      <c r="DF117" s="88"/>
      <c r="DG117" s="88"/>
      <c r="DH117" s="88"/>
      <c r="DI117" s="88"/>
      <c r="DJ117" s="88"/>
    </row>
    <row r="118" spans="1:114" hidden="1">
      <c r="A118" s="88"/>
      <c r="B118" s="88"/>
      <c r="C118" s="88"/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88"/>
      <c r="S118" s="88"/>
      <c r="T118" s="88"/>
      <c r="U118" s="88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  <c r="AF118" s="88"/>
      <c r="AG118" s="88"/>
      <c r="AH118" s="88"/>
      <c r="AI118" s="88"/>
      <c r="AJ118" s="88"/>
      <c r="AK118" s="88"/>
      <c r="AL118" s="88"/>
      <c r="AM118" s="88"/>
      <c r="AN118" s="88"/>
      <c r="AO118" s="88"/>
      <c r="AP118" s="88"/>
      <c r="AQ118" s="88"/>
      <c r="AR118" s="88"/>
      <c r="AS118" s="88"/>
      <c r="AT118" s="88"/>
      <c r="AU118" s="88"/>
      <c r="AV118" s="88"/>
      <c r="AW118" s="88"/>
      <c r="AX118" s="88"/>
      <c r="AY118" s="88"/>
      <c r="AZ118" s="88"/>
      <c r="BA118" s="88"/>
      <c r="BB118" s="88"/>
      <c r="BC118" s="88"/>
      <c r="BD118" s="88"/>
      <c r="BE118" s="88"/>
      <c r="BF118" s="88"/>
      <c r="BG118" s="88"/>
      <c r="BH118" s="88"/>
      <c r="BI118" s="88"/>
      <c r="BJ118" s="88"/>
      <c r="BK118" s="88"/>
      <c r="BL118" s="88"/>
      <c r="BM118" s="88"/>
      <c r="BN118" s="88"/>
      <c r="BO118" s="88"/>
      <c r="BP118" s="88"/>
      <c r="BQ118" s="88"/>
      <c r="BR118" s="88"/>
      <c r="BS118" s="88"/>
      <c r="BT118" s="88"/>
      <c r="BU118" s="88"/>
      <c r="BV118" s="88"/>
      <c r="BW118" s="88"/>
      <c r="BX118" s="88"/>
      <c r="BY118" s="88"/>
      <c r="BZ118" s="88"/>
      <c r="CA118" s="88"/>
      <c r="CB118" s="88"/>
      <c r="CC118" s="88"/>
      <c r="CD118" s="88"/>
      <c r="CE118" s="88"/>
      <c r="CF118" s="88"/>
      <c r="CG118" s="88"/>
      <c r="CH118" s="88"/>
      <c r="CI118" s="88"/>
      <c r="CJ118" s="88"/>
      <c r="CK118" s="88"/>
      <c r="CL118" s="88"/>
      <c r="CM118" s="88"/>
      <c r="CN118" s="88"/>
      <c r="CO118" s="88"/>
      <c r="CP118" s="88"/>
      <c r="CQ118" s="88"/>
      <c r="CR118" s="88"/>
      <c r="CS118" s="88"/>
      <c r="CT118" s="88"/>
      <c r="CU118" s="88"/>
      <c r="CV118" s="88"/>
      <c r="CW118" s="88"/>
      <c r="CX118" s="88"/>
      <c r="CY118" s="88"/>
      <c r="CZ118" s="88"/>
      <c r="DA118" s="88"/>
      <c r="DB118" s="88"/>
      <c r="DC118" s="88"/>
      <c r="DD118" s="88"/>
      <c r="DE118" s="88"/>
      <c r="DF118" s="88"/>
      <c r="DG118" s="88"/>
      <c r="DH118" s="88"/>
      <c r="DI118" s="88"/>
      <c r="DJ118" s="88"/>
    </row>
    <row r="119" spans="1:114" hidden="1">
      <c r="A119" s="88"/>
      <c r="B119" s="88"/>
      <c r="C119" s="88"/>
      <c r="D119" s="88"/>
      <c r="E119" s="88"/>
      <c r="F119" s="88"/>
      <c r="G119" s="88"/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88"/>
      <c r="S119" s="88"/>
      <c r="T119" s="88"/>
      <c r="U119" s="88"/>
      <c r="V119" s="88"/>
      <c r="W119" s="88"/>
      <c r="X119" s="88"/>
      <c r="Y119" s="88"/>
      <c r="Z119" s="88"/>
      <c r="AA119" s="88"/>
      <c r="AB119" s="88"/>
      <c r="AC119" s="88"/>
      <c r="AD119" s="88"/>
      <c r="AE119" s="88"/>
      <c r="AF119" s="88"/>
      <c r="AG119" s="88"/>
      <c r="AH119" s="88"/>
      <c r="AI119" s="88"/>
      <c r="AJ119" s="88"/>
      <c r="AK119" s="88"/>
      <c r="AL119" s="88"/>
      <c r="AM119" s="88"/>
      <c r="AN119" s="88"/>
      <c r="AO119" s="88"/>
      <c r="AP119" s="88"/>
      <c r="AQ119" s="88"/>
      <c r="AR119" s="88"/>
      <c r="AS119" s="88"/>
      <c r="AT119" s="88"/>
      <c r="AU119" s="88"/>
      <c r="AV119" s="88"/>
      <c r="AW119" s="88"/>
      <c r="AX119" s="88"/>
      <c r="AY119" s="88"/>
      <c r="AZ119" s="88"/>
      <c r="BA119" s="88"/>
      <c r="BB119" s="88"/>
      <c r="BC119" s="88"/>
      <c r="BD119" s="88"/>
      <c r="BE119" s="88"/>
      <c r="BF119" s="88"/>
      <c r="BG119" s="88"/>
      <c r="BH119" s="88"/>
      <c r="BI119" s="88"/>
      <c r="BJ119" s="88"/>
      <c r="BK119" s="88"/>
      <c r="BL119" s="88"/>
      <c r="BM119" s="88"/>
      <c r="BN119" s="88"/>
      <c r="BO119" s="88"/>
      <c r="BP119" s="88"/>
      <c r="BQ119" s="88"/>
      <c r="BR119" s="88"/>
      <c r="BS119" s="88"/>
      <c r="BT119" s="88"/>
      <c r="BU119" s="88"/>
      <c r="BV119" s="88"/>
      <c r="BW119" s="88"/>
      <c r="BX119" s="88"/>
      <c r="BY119" s="88"/>
      <c r="BZ119" s="88"/>
      <c r="CA119" s="88"/>
      <c r="CB119" s="88"/>
      <c r="CC119" s="88"/>
      <c r="CD119" s="88"/>
      <c r="CE119" s="88"/>
      <c r="CF119" s="88"/>
      <c r="CG119" s="88"/>
      <c r="CH119" s="88"/>
      <c r="CI119" s="88"/>
      <c r="CJ119" s="88"/>
      <c r="CK119" s="88"/>
      <c r="CL119" s="88"/>
      <c r="CM119" s="88"/>
      <c r="CN119" s="88"/>
      <c r="CO119" s="88"/>
      <c r="CP119" s="88"/>
      <c r="CQ119" s="88"/>
      <c r="CR119" s="88"/>
      <c r="CS119" s="88"/>
      <c r="CT119" s="88"/>
      <c r="CU119" s="88"/>
      <c r="CV119" s="88"/>
      <c r="CW119" s="88"/>
      <c r="CX119" s="88"/>
      <c r="CY119" s="88"/>
      <c r="CZ119" s="88"/>
      <c r="DA119" s="88"/>
      <c r="DB119" s="88"/>
      <c r="DC119" s="88"/>
      <c r="DD119" s="88"/>
      <c r="DE119" s="88"/>
      <c r="DF119" s="88"/>
      <c r="DG119" s="88"/>
      <c r="DH119" s="88"/>
      <c r="DI119" s="88"/>
      <c r="DJ119" s="88"/>
    </row>
    <row r="120" spans="1:114" ht="12.75" hidden="1" customHeight="1">
      <c r="A120" s="88"/>
      <c r="B120" s="88"/>
      <c r="C120" s="88"/>
      <c r="D120" s="88"/>
      <c r="E120" s="88"/>
      <c r="F120" s="88"/>
      <c r="G120" s="88"/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88"/>
      <c r="S120" s="88"/>
      <c r="T120" s="88"/>
      <c r="U120" s="88"/>
      <c r="V120" s="88"/>
      <c r="W120" s="88"/>
      <c r="X120" s="88"/>
      <c r="Y120" s="88"/>
      <c r="Z120" s="88"/>
      <c r="AA120" s="88"/>
      <c r="AB120" s="88"/>
      <c r="AC120" s="88"/>
      <c r="AD120" s="88"/>
      <c r="AE120" s="88"/>
      <c r="AF120" s="88"/>
      <c r="AG120" s="88"/>
      <c r="AH120" s="88"/>
      <c r="AI120" s="88"/>
      <c r="AJ120" s="88"/>
      <c r="AK120" s="88"/>
      <c r="AL120" s="88"/>
      <c r="AM120" s="88"/>
      <c r="AN120" s="88"/>
      <c r="AO120" s="88"/>
      <c r="AP120" s="88"/>
      <c r="AQ120" s="88"/>
      <c r="AR120" s="88"/>
      <c r="AS120" s="88"/>
      <c r="AT120" s="88"/>
      <c r="AU120" s="88"/>
      <c r="AV120" s="88"/>
      <c r="AW120" s="88"/>
      <c r="AX120" s="88"/>
      <c r="AY120" s="88"/>
      <c r="AZ120" s="88"/>
      <c r="BA120" s="88"/>
      <c r="BB120" s="88"/>
      <c r="BC120" s="88"/>
      <c r="BD120" s="88"/>
      <c r="BE120" s="88"/>
      <c r="BF120" s="88"/>
      <c r="BG120" s="88"/>
      <c r="BH120" s="88"/>
      <c r="BI120" s="88"/>
      <c r="BJ120" s="88"/>
      <c r="BK120" s="88"/>
      <c r="BL120" s="88"/>
      <c r="BM120" s="88"/>
      <c r="BN120" s="88"/>
      <c r="BO120" s="88"/>
      <c r="BP120" s="88"/>
      <c r="BQ120" s="88"/>
      <c r="BR120" s="88"/>
      <c r="BS120" s="88"/>
      <c r="BT120" s="88"/>
      <c r="BU120" s="88"/>
      <c r="BV120" s="88"/>
      <c r="BW120" s="88"/>
      <c r="BX120" s="88"/>
      <c r="BY120" s="88"/>
      <c r="BZ120" s="88"/>
      <c r="CA120" s="88"/>
      <c r="CB120" s="88"/>
      <c r="CC120" s="88"/>
      <c r="CD120" s="88"/>
      <c r="CE120" s="88"/>
      <c r="CF120" s="88"/>
      <c r="CG120" s="88"/>
      <c r="CH120" s="88"/>
      <c r="CI120" s="88"/>
      <c r="CJ120" s="88"/>
      <c r="CK120" s="88"/>
      <c r="CL120" s="88"/>
      <c r="CM120" s="88"/>
      <c r="CN120" s="88"/>
      <c r="CO120" s="88"/>
      <c r="CP120" s="88"/>
      <c r="CQ120" s="88"/>
      <c r="CR120" s="88"/>
      <c r="CS120" s="88"/>
      <c r="CT120" s="88"/>
      <c r="CU120" s="88"/>
      <c r="CV120" s="88"/>
      <c r="CW120" s="88"/>
      <c r="CX120" s="88"/>
      <c r="CY120" s="88"/>
      <c r="CZ120" s="88"/>
      <c r="DA120" s="88"/>
      <c r="DB120" s="88"/>
      <c r="DC120" s="88"/>
      <c r="DD120" s="88"/>
      <c r="DE120" s="88"/>
      <c r="DF120" s="88"/>
      <c r="DG120" s="88"/>
      <c r="DH120" s="88"/>
      <c r="DI120" s="88"/>
      <c r="DJ120" s="88"/>
    </row>
    <row r="121" spans="1:114" hidden="1">
      <c r="A121" s="88"/>
      <c r="B121" s="88"/>
      <c r="C121" s="88"/>
      <c r="D121" s="88"/>
      <c r="E121" s="88"/>
      <c r="F121" s="88"/>
      <c r="G121" s="88"/>
      <c r="H121" s="88"/>
      <c r="I121" s="88"/>
      <c r="J121" s="88"/>
      <c r="K121" s="88"/>
      <c r="L121" s="88"/>
      <c r="M121" s="88"/>
      <c r="N121" s="88"/>
      <c r="O121" s="88"/>
      <c r="P121" s="88"/>
      <c r="Q121" s="88"/>
      <c r="R121" s="88"/>
      <c r="S121" s="88"/>
      <c r="T121" s="88"/>
      <c r="U121" s="88"/>
      <c r="V121" s="88"/>
      <c r="W121" s="88"/>
      <c r="X121" s="88"/>
      <c r="Y121" s="88"/>
      <c r="Z121" s="88"/>
      <c r="AA121" s="88"/>
      <c r="AB121" s="88"/>
      <c r="AC121" s="88"/>
      <c r="AD121" s="88"/>
      <c r="AE121" s="88"/>
      <c r="AF121" s="88"/>
      <c r="AG121" s="88"/>
      <c r="AH121" s="88"/>
      <c r="AI121" s="88"/>
      <c r="AJ121" s="88"/>
      <c r="AK121" s="88"/>
      <c r="AL121" s="88"/>
      <c r="AM121" s="88"/>
      <c r="AN121" s="88"/>
      <c r="AO121" s="88"/>
      <c r="AP121" s="88"/>
      <c r="AQ121" s="88"/>
      <c r="AR121" s="88"/>
      <c r="AS121" s="88"/>
      <c r="AT121" s="88"/>
      <c r="AU121" s="88"/>
      <c r="AV121" s="88"/>
      <c r="AW121" s="88"/>
      <c r="AX121" s="88"/>
      <c r="AY121" s="88"/>
      <c r="AZ121" s="88"/>
      <c r="BA121" s="88"/>
      <c r="BB121" s="88"/>
      <c r="BC121" s="88"/>
      <c r="BD121" s="88"/>
      <c r="BE121" s="88"/>
      <c r="BF121" s="88"/>
      <c r="BG121" s="88"/>
      <c r="BH121" s="88"/>
      <c r="BI121" s="88"/>
      <c r="BJ121" s="88"/>
      <c r="BK121" s="88"/>
      <c r="BL121" s="88"/>
      <c r="BM121" s="88"/>
      <c r="BN121" s="88"/>
      <c r="BO121" s="88"/>
      <c r="BP121" s="88"/>
      <c r="BQ121" s="88"/>
      <c r="BR121" s="88"/>
      <c r="BS121" s="88"/>
      <c r="BT121" s="88"/>
      <c r="BU121" s="88"/>
      <c r="BV121" s="88"/>
      <c r="BW121" s="88"/>
      <c r="BX121" s="88"/>
      <c r="BY121" s="88"/>
      <c r="BZ121" s="88"/>
      <c r="CA121" s="88"/>
      <c r="CB121" s="88"/>
      <c r="CC121" s="88"/>
      <c r="CD121" s="88"/>
      <c r="CE121" s="88"/>
      <c r="CF121" s="88"/>
      <c r="CG121" s="88"/>
      <c r="CH121" s="88"/>
      <c r="CI121" s="88"/>
      <c r="CJ121" s="88"/>
      <c r="CK121" s="88"/>
      <c r="CL121" s="88"/>
      <c r="CM121" s="88"/>
      <c r="CN121" s="88"/>
      <c r="CO121" s="88"/>
      <c r="CP121" s="88"/>
      <c r="CQ121" s="88"/>
      <c r="CR121" s="88"/>
      <c r="CS121" s="88"/>
      <c r="CT121" s="88"/>
      <c r="CU121" s="88"/>
      <c r="CV121" s="88"/>
      <c r="CW121" s="88"/>
      <c r="CX121" s="88"/>
      <c r="CY121" s="88"/>
      <c r="CZ121" s="88"/>
      <c r="DA121" s="88"/>
      <c r="DB121" s="88"/>
      <c r="DC121" s="88"/>
      <c r="DD121" s="88"/>
      <c r="DE121" s="88"/>
      <c r="DF121" s="88"/>
      <c r="DG121" s="88"/>
      <c r="DH121" s="88"/>
      <c r="DI121" s="88"/>
      <c r="DJ121" s="88"/>
    </row>
    <row r="122" spans="1:114" hidden="1">
      <c r="A122" s="88"/>
      <c r="B122" s="88"/>
      <c r="C122" s="88"/>
      <c r="D122" s="88"/>
      <c r="E122" s="88"/>
      <c r="F122" s="88"/>
      <c r="G122" s="88"/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88"/>
      <c r="S122" s="88"/>
      <c r="T122" s="88"/>
      <c r="U122" s="88"/>
      <c r="V122" s="88"/>
      <c r="W122" s="88"/>
      <c r="X122" s="88"/>
      <c r="Y122" s="88"/>
      <c r="Z122" s="88"/>
      <c r="AA122" s="88"/>
      <c r="AB122" s="88"/>
      <c r="AC122" s="88"/>
      <c r="AD122" s="88"/>
      <c r="AE122" s="88"/>
      <c r="AF122" s="88"/>
      <c r="AG122" s="88"/>
      <c r="AH122" s="88"/>
      <c r="AI122" s="88"/>
      <c r="AJ122" s="88"/>
      <c r="AK122" s="88"/>
      <c r="AL122" s="88"/>
      <c r="AM122" s="88"/>
      <c r="AN122" s="88"/>
      <c r="AO122" s="88"/>
      <c r="AP122" s="88"/>
      <c r="AQ122" s="88"/>
      <c r="AR122" s="88"/>
      <c r="AS122" s="88"/>
      <c r="AT122" s="88"/>
      <c r="AU122" s="88"/>
      <c r="AV122" s="88"/>
      <c r="AW122" s="88"/>
      <c r="AX122" s="88"/>
      <c r="AY122" s="88"/>
      <c r="AZ122" s="88"/>
      <c r="BA122" s="88"/>
      <c r="BB122" s="88"/>
      <c r="BC122" s="88"/>
      <c r="BD122" s="88"/>
      <c r="BE122" s="88"/>
      <c r="BF122" s="88"/>
      <c r="BG122" s="88"/>
      <c r="BH122" s="88"/>
      <c r="BI122" s="88"/>
      <c r="BJ122" s="88"/>
      <c r="BK122" s="88"/>
      <c r="BL122" s="88"/>
      <c r="BM122" s="88"/>
      <c r="BN122" s="88"/>
      <c r="BO122" s="88"/>
      <c r="BP122" s="88"/>
      <c r="BQ122" s="88"/>
      <c r="BR122" s="88"/>
      <c r="BS122" s="88"/>
      <c r="BT122" s="88"/>
      <c r="BU122" s="88"/>
      <c r="BV122" s="88"/>
      <c r="BW122" s="88"/>
      <c r="BX122" s="88"/>
      <c r="BY122" s="88"/>
      <c r="BZ122" s="88"/>
      <c r="CA122" s="88"/>
      <c r="CB122" s="88"/>
      <c r="CC122" s="88"/>
      <c r="CD122" s="88"/>
      <c r="CE122" s="88"/>
      <c r="CF122" s="88"/>
      <c r="CG122" s="88"/>
      <c r="CH122" s="88"/>
      <c r="CI122" s="88"/>
      <c r="CJ122" s="88"/>
      <c r="CK122" s="88"/>
      <c r="CL122" s="88"/>
      <c r="CM122" s="88"/>
      <c r="CN122" s="88"/>
      <c r="CO122" s="88"/>
      <c r="CP122" s="88"/>
      <c r="CQ122" s="88"/>
      <c r="CR122" s="88"/>
      <c r="CS122" s="88"/>
      <c r="CT122" s="88"/>
      <c r="CU122" s="88"/>
      <c r="CV122" s="88"/>
      <c r="CW122" s="88"/>
      <c r="CX122" s="88"/>
      <c r="CY122" s="88"/>
      <c r="CZ122" s="88"/>
      <c r="DA122" s="88"/>
      <c r="DB122" s="88"/>
      <c r="DC122" s="88"/>
      <c r="DD122" s="88"/>
      <c r="DE122" s="88"/>
      <c r="DF122" s="88"/>
      <c r="DG122" s="88"/>
      <c r="DH122" s="88"/>
      <c r="DI122" s="88"/>
      <c r="DJ122" s="88"/>
    </row>
    <row r="123" spans="1:114" hidden="1">
      <c r="A123" s="88"/>
      <c r="B123" s="88"/>
      <c r="C123" s="88"/>
      <c r="D123" s="88"/>
      <c r="E123" s="88"/>
      <c r="F123" s="88"/>
      <c r="G123" s="88"/>
      <c r="H123" s="88"/>
      <c r="I123" s="88"/>
      <c r="J123" s="88"/>
      <c r="K123" s="88"/>
      <c r="L123" s="88"/>
      <c r="M123" s="88"/>
      <c r="N123" s="88"/>
      <c r="O123" s="88"/>
      <c r="P123" s="88"/>
      <c r="Q123" s="88"/>
      <c r="R123" s="88"/>
      <c r="S123" s="88"/>
      <c r="T123" s="88"/>
      <c r="U123" s="88"/>
      <c r="V123" s="88"/>
      <c r="W123" s="88"/>
      <c r="X123" s="88"/>
      <c r="Y123" s="88"/>
      <c r="Z123" s="88"/>
      <c r="AA123" s="88"/>
      <c r="AB123" s="88"/>
      <c r="AC123" s="88"/>
      <c r="AD123" s="88"/>
      <c r="AE123" s="88"/>
      <c r="AF123" s="88"/>
      <c r="AG123" s="88"/>
      <c r="AH123" s="88"/>
      <c r="AI123" s="88"/>
      <c r="AJ123" s="88"/>
      <c r="AK123" s="88"/>
      <c r="AL123" s="88"/>
      <c r="AM123" s="88"/>
      <c r="AN123" s="88"/>
      <c r="AO123" s="88"/>
      <c r="AP123" s="88"/>
      <c r="AQ123" s="88"/>
      <c r="AR123" s="88"/>
      <c r="AS123" s="88"/>
      <c r="AT123" s="88"/>
      <c r="AU123" s="88"/>
      <c r="AV123" s="88"/>
      <c r="AW123" s="88"/>
      <c r="AX123" s="88"/>
      <c r="AY123" s="88"/>
      <c r="AZ123" s="88"/>
      <c r="BA123" s="88"/>
      <c r="BB123" s="88"/>
      <c r="BC123" s="88"/>
      <c r="BD123" s="88"/>
      <c r="BE123" s="88"/>
      <c r="BF123" s="88"/>
      <c r="BG123" s="88"/>
      <c r="BH123" s="88"/>
      <c r="BI123" s="88"/>
      <c r="BJ123" s="88"/>
      <c r="BK123" s="88"/>
      <c r="BL123" s="88"/>
      <c r="BM123" s="88"/>
      <c r="BN123" s="88"/>
      <c r="BO123" s="88"/>
      <c r="BP123" s="88"/>
      <c r="BQ123" s="88"/>
      <c r="BR123" s="88"/>
      <c r="BS123" s="88"/>
      <c r="BT123" s="88"/>
      <c r="BU123" s="88"/>
      <c r="BV123" s="88"/>
      <c r="BW123" s="88"/>
      <c r="BX123" s="88"/>
      <c r="BY123" s="88"/>
      <c r="BZ123" s="88"/>
      <c r="CA123" s="88"/>
      <c r="CB123" s="88"/>
      <c r="CC123" s="88"/>
      <c r="CD123" s="88"/>
      <c r="CE123" s="88"/>
      <c r="CF123" s="88"/>
      <c r="CG123" s="88"/>
      <c r="CH123" s="88"/>
      <c r="CI123" s="88"/>
      <c r="CJ123" s="88"/>
      <c r="CK123" s="88"/>
      <c r="CL123" s="88"/>
      <c r="CM123" s="88"/>
      <c r="CN123" s="88"/>
      <c r="CO123" s="88"/>
      <c r="CP123" s="88"/>
      <c r="CQ123" s="88"/>
      <c r="CR123" s="88"/>
      <c r="CS123" s="88"/>
      <c r="CT123" s="88"/>
      <c r="CU123" s="88"/>
      <c r="CV123" s="88"/>
      <c r="CW123" s="88"/>
      <c r="CX123" s="88"/>
      <c r="CY123" s="88"/>
      <c r="CZ123" s="88"/>
      <c r="DA123" s="88"/>
      <c r="DB123" s="88"/>
      <c r="DC123" s="88"/>
      <c r="DD123" s="88"/>
      <c r="DE123" s="88"/>
      <c r="DF123" s="88"/>
      <c r="DG123" s="88"/>
      <c r="DH123" s="88"/>
      <c r="DI123" s="88"/>
      <c r="DJ123" s="88"/>
    </row>
    <row r="124" spans="1:114" hidden="1">
      <c r="A124" s="88"/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88"/>
      <c r="AB124" s="88"/>
      <c r="AC124" s="88"/>
      <c r="AD124" s="88"/>
      <c r="AE124" s="88"/>
      <c r="AF124" s="88"/>
      <c r="AG124" s="88"/>
      <c r="AH124" s="88"/>
      <c r="AI124" s="88"/>
      <c r="AJ124" s="88"/>
      <c r="AK124" s="88"/>
      <c r="AL124" s="88"/>
      <c r="AM124" s="88"/>
      <c r="AN124" s="88"/>
      <c r="AO124" s="88"/>
      <c r="AP124" s="88"/>
      <c r="AQ124" s="88"/>
      <c r="AR124" s="88"/>
      <c r="AS124" s="88"/>
      <c r="AT124" s="88"/>
      <c r="AU124" s="88"/>
      <c r="AV124" s="88"/>
      <c r="AW124" s="88"/>
      <c r="AX124" s="88"/>
      <c r="AY124" s="88"/>
      <c r="AZ124" s="88"/>
      <c r="BA124" s="88"/>
      <c r="BB124" s="88"/>
      <c r="BC124" s="88"/>
      <c r="BD124" s="88"/>
      <c r="BE124" s="88"/>
      <c r="BF124" s="88"/>
      <c r="BG124" s="88"/>
      <c r="BH124" s="88"/>
      <c r="BI124" s="88"/>
      <c r="BJ124" s="88"/>
      <c r="BK124" s="88"/>
      <c r="BL124" s="88"/>
      <c r="BM124" s="88"/>
      <c r="BN124" s="88"/>
      <c r="BO124" s="88"/>
      <c r="BP124" s="88"/>
      <c r="BQ124" s="88"/>
      <c r="BR124" s="88"/>
      <c r="BS124" s="88"/>
      <c r="BT124" s="88"/>
      <c r="BU124" s="88"/>
      <c r="BV124" s="88"/>
      <c r="BW124" s="88"/>
      <c r="BX124" s="88"/>
      <c r="BY124" s="88"/>
      <c r="BZ124" s="88"/>
      <c r="CA124" s="88"/>
      <c r="CB124" s="88"/>
      <c r="CC124" s="88"/>
      <c r="CD124" s="88"/>
      <c r="CE124" s="88"/>
      <c r="CF124" s="88"/>
      <c r="CG124" s="88"/>
      <c r="CH124" s="88"/>
      <c r="CI124" s="88"/>
      <c r="CJ124" s="88"/>
      <c r="CK124" s="88"/>
      <c r="CL124" s="88"/>
      <c r="CM124" s="88"/>
      <c r="CN124" s="88"/>
      <c r="CO124" s="88"/>
      <c r="CP124" s="88"/>
      <c r="CQ124" s="88"/>
      <c r="CR124" s="88"/>
      <c r="CS124" s="88"/>
      <c r="CT124" s="88"/>
      <c r="CU124" s="88"/>
      <c r="CV124" s="88"/>
      <c r="CW124" s="88"/>
      <c r="CX124" s="88"/>
      <c r="CY124" s="88"/>
      <c r="CZ124" s="88"/>
      <c r="DA124" s="88"/>
      <c r="DB124" s="88"/>
      <c r="DC124" s="88"/>
      <c r="DD124" s="88"/>
      <c r="DE124" s="88"/>
      <c r="DF124" s="88"/>
      <c r="DG124" s="88"/>
      <c r="DH124" s="88"/>
      <c r="DI124" s="88"/>
      <c r="DJ124" s="88"/>
    </row>
    <row r="125" spans="1:114" hidden="1">
      <c r="A125" s="88"/>
      <c r="B125" s="88"/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  <c r="AB125" s="88"/>
      <c r="AC125" s="88"/>
      <c r="AD125" s="88"/>
      <c r="AE125" s="88"/>
      <c r="AF125" s="88"/>
      <c r="AG125" s="88"/>
      <c r="AH125" s="88"/>
      <c r="AI125" s="88"/>
      <c r="AJ125" s="88"/>
      <c r="AK125" s="88"/>
      <c r="AL125" s="88"/>
      <c r="AM125" s="88"/>
      <c r="AN125" s="88"/>
      <c r="AO125" s="88"/>
      <c r="AP125" s="88"/>
      <c r="AQ125" s="88"/>
      <c r="AR125" s="88"/>
      <c r="AS125" s="88"/>
      <c r="AT125" s="88"/>
      <c r="AU125" s="88"/>
      <c r="AV125" s="88"/>
      <c r="AW125" s="88"/>
      <c r="AX125" s="88"/>
      <c r="AY125" s="88"/>
      <c r="AZ125" s="88"/>
      <c r="BA125" s="88"/>
      <c r="BB125" s="88"/>
      <c r="BC125" s="88"/>
      <c r="BD125" s="88"/>
      <c r="BE125" s="88"/>
      <c r="BF125" s="88"/>
      <c r="BG125" s="88"/>
      <c r="BH125" s="88"/>
      <c r="BI125" s="88"/>
      <c r="BJ125" s="88"/>
      <c r="BK125" s="88"/>
      <c r="BL125" s="88"/>
      <c r="BM125" s="88"/>
      <c r="BN125" s="88"/>
      <c r="BO125" s="88"/>
      <c r="BP125" s="88"/>
      <c r="BQ125" s="88"/>
      <c r="BR125" s="88"/>
      <c r="BS125" s="88"/>
      <c r="BT125" s="88"/>
      <c r="BU125" s="88"/>
      <c r="BV125" s="88"/>
      <c r="BW125" s="88"/>
      <c r="BX125" s="88"/>
      <c r="BY125" s="88"/>
      <c r="BZ125" s="88"/>
      <c r="CA125" s="88"/>
      <c r="CB125" s="88"/>
      <c r="CC125" s="88"/>
      <c r="CD125" s="88"/>
      <c r="CE125" s="88"/>
      <c r="CF125" s="88"/>
      <c r="CG125" s="88"/>
      <c r="CH125" s="88"/>
      <c r="CI125" s="88"/>
      <c r="CJ125" s="88"/>
      <c r="CK125" s="88"/>
      <c r="CL125" s="88"/>
      <c r="CM125" s="88"/>
      <c r="CN125" s="88"/>
      <c r="CO125" s="88"/>
      <c r="CP125" s="88"/>
      <c r="CQ125" s="88"/>
      <c r="CR125" s="88"/>
      <c r="CS125" s="88"/>
      <c r="CT125" s="88"/>
      <c r="CU125" s="88"/>
      <c r="CV125" s="88"/>
      <c r="CW125" s="88"/>
      <c r="CX125" s="88"/>
      <c r="CY125" s="88"/>
      <c r="CZ125" s="88"/>
      <c r="DA125" s="88"/>
      <c r="DB125" s="88"/>
      <c r="DC125" s="88"/>
      <c r="DD125" s="88"/>
      <c r="DE125" s="88"/>
      <c r="DF125" s="88"/>
      <c r="DG125" s="88"/>
      <c r="DH125" s="88"/>
      <c r="DI125" s="88"/>
      <c r="DJ125" s="88"/>
    </row>
    <row r="126" spans="1:114" hidden="1">
      <c r="A126" s="88"/>
      <c r="B126" s="88"/>
      <c r="C126" s="88"/>
      <c r="D126" s="88"/>
      <c r="E126" s="88"/>
      <c r="F126" s="88"/>
      <c r="G126" s="88"/>
      <c r="H126" s="88"/>
      <c r="I126" s="88"/>
      <c r="J126" s="88"/>
      <c r="K126" s="88"/>
      <c r="L126" s="88"/>
      <c r="M126" s="88"/>
      <c r="N126" s="88"/>
      <c r="O126" s="88"/>
      <c r="P126" s="88"/>
      <c r="Q126" s="88"/>
      <c r="R126" s="88"/>
      <c r="S126" s="88"/>
      <c r="T126" s="88"/>
      <c r="U126" s="88"/>
      <c r="V126" s="88"/>
      <c r="W126" s="88"/>
      <c r="X126" s="88"/>
      <c r="Y126" s="88"/>
      <c r="Z126" s="88"/>
      <c r="AA126" s="88"/>
      <c r="AB126" s="88"/>
      <c r="AC126" s="88"/>
      <c r="AD126" s="88"/>
      <c r="AE126" s="88"/>
      <c r="AF126" s="88"/>
      <c r="AG126" s="88"/>
      <c r="AH126" s="88"/>
      <c r="AI126" s="88"/>
      <c r="AJ126" s="88"/>
      <c r="AK126" s="88"/>
      <c r="AL126" s="88"/>
      <c r="AM126" s="88"/>
      <c r="AN126" s="88"/>
      <c r="AO126" s="88"/>
      <c r="AP126" s="88"/>
      <c r="AQ126" s="88"/>
      <c r="AR126" s="88"/>
      <c r="AS126" s="88"/>
      <c r="AT126" s="88"/>
      <c r="AU126" s="88"/>
      <c r="AV126" s="88"/>
      <c r="AW126" s="88"/>
      <c r="AX126" s="88"/>
      <c r="AY126" s="88"/>
      <c r="AZ126" s="88"/>
      <c r="BA126" s="88"/>
      <c r="BB126" s="88"/>
      <c r="BC126" s="88"/>
      <c r="BD126" s="88"/>
      <c r="BE126" s="88"/>
      <c r="BF126" s="88"/>
      <c r="BG126" s="88"/>
      <c r="BH126" s="88"/>
      <c r="BI126" s="88"/>
      <c r="BJ126" s="88"/>
      <c r="BK126" s="88"/>
      <c r="BL126" s="88"/>
      <c r="BM126" s="88"/>
      <c r="BN126" s="88"/>
      <c r="BO126" s="88"/>
      <c r="BP126" s="88"/>
      <c r="BQ126" s="88"/>
      <c r="BR126" s="88"/>
      <c r="BS126" s="88"/>
      <c r="BT126" s="88"/>
      <c r="BU126" s="88"/>
      <c r="BV126" s="88"/>
      <c r="BW126" s="88"/>
      <c r="BX126" s="88"/>
      <c r="BY126" s="88"/>
      <c r="BZ126" s="88"/>
      <c r="CA126" s="88"/>
      <c r="CB126" s="88"/>
      <c r="CC126" s="88"/>
      <c r="CD126" s="88"/>
      <c r="CE126" s="88"/>
      <c r="CF126" s="88"/>
      <c r="CG126" s="88"/>
      <c r="CH126" s="88"/>
      <c r="CI126" s="88"/>
      <c r="CJ126" s="88"/>
      <c r="CK126" s="88"/>
      <c r="CL126" s="88"/>
      <c r="CM126" s="88"/>
      <c r="CN126" s="88"/>
      <c r="CO126" s="88"/>
      <c r="CP126" s="88"/>
      <c r="CQ126" s="88"/>
      <c r="CR126" s="88"/>
      <c r="CS126" s="88"/>
      <c r="CT126" s="88"/>
      <c r="CU126" s="88"/>
      <c r="CV126" s="88"/>
      <c r="CW126" s="88"/>
      <c r="CX126" s="88"/>
      <c r="CY126" s="88"/>
      <c r="CZ126" s="88"/>
      <c r="DA126" s="88"/>
      <c r="DB126" s="88"/>
      <c r="DC126" s="88"/>
      <c r="DD126" s="88"/>
      <c r="DE126" s="88"/>
      <c r="DF126" s="88"/>
      <c r="DG126" s="88"/>
      <c r="DH126" s="88"/>
      <c r="DI126" s="88"/>
      <c r="DJ126" s="88"/>
    </row>
    <row r="127" spans="1:114" hidden="1">
      <c r="A127" s="88"/>
      <c r="B127" s="88"/>
      <c r="C127" s="88"/>
      <c r="D127" s="88"/>
      <c r="E127" s="88"/>
      <c r="F127" s="88"/>
      <c r="G127" s="88"/>
      <c r="H127" s="88"/>
      <c r="I127" s="88"/>
      <c r="J127" s="88"/>
      <c r="K127" s="88"/>
      <c r="L127" s="88"/>
      <c r="M127" s="88"/>
      <c r="N127" s="88"/>
      <c r="O127" s="88"/>
      <c r="P127" s="88"/>
      <c r="Q127" s="88"/>
      <c r="R127" s="88"/>
      <c r="S127" s="88"/>
      <c r="T127" s="88"/>
      <c r="U127" s="88"/>
      <c r="V127" s="88"/>
      <c r="W127" s="88"/>
      <c r="X127" s="88"/>
      <c r="Y127" s="88"/>
      <c r="Z127" s="88"/>
      <c r="AA127" s="88"/>
      <c r="AB127" s="88"/>
      <c r="AC127" s="88"/>
      <c r="AD127" s="88"/>
      <c r="AE127" s="88"/>
      <c r="AF127" s="88"/>
      <c r="AG127" s="88"/>
      <c r="AH127" s="88"/>
      <c r="AI127" s="88"/>
      <c r="AJ127" s="88"/>
      <c r="AK127" s="88"/>
      <c r="AL127" s="88"/>
      <c r="AM127" s="88"/>
      <c r="AN127" s="88"/>
      <c r="AO127" s="88"/>
      <c r="AP127" s="88"/>
      <c r="AQ127" s="88"/>
      <c r="AR127" s="88"/>
      <c r="AS127" s="88"/>
      <c r="AT127" s="88"/>
      <c r="AU127" s="88"/>
      <c r="AV127" s="88"/>
      <c r="AW127" s="88"/>
      <c r="AX127" s="88"/>
      <c r="AY127" s="88"/>
      <c r="AZ127" s="88"/>
      <c r="BA127" s="88"/>
      <c r="BB127" s="88"/>
      <c r="BC127" s="88"/>
      <c r="BD127" s="88"/>
      <c r="BE127" s="88"/>
      <c r="BF127" s="88"/>
      <c r="BG127" s="88"/>
      <c r="BH127" s="88"/>
      <c r="BI127" s="88"/>
      <c r="BJ127" s="88"/>
      <c r="BK127" s="88"/>
      <c r="BL127" s="88"/>
      <c r="BM127" s="88"/>
      <c r="BN127" s="88"/>
      <c r="BO127" s="88"/>
      <c r="BP127" s="88"/>
      <c r="BQ127" s="88"/>
      <c r="BR127" s="88"/>
      <c r="BS127" s="88"/>
      <c r="BT127" s="88"/>
      <c r="BU127" s="88"/>
      <c r="BV127" s="88"/>
      <c r="BW127" s="88"/>
      <c r="BX127" s="88"/>
      <c r="BY127" s="88"/>
      <c r="BZ127" s="88"/>
      <c r="CA127" s="88"/>
      <c r="CB127" s="88"/>
      <c r="CC127" s="88"/>
      <c r="CD127" s="88"/>
      <c r="CE127" s="88"/>
      <c r="CF127" s="88"/>
      <c r="CG127" s="88"/>
      <c r="CH127" s="88"/>
      <c r="CI127" s="88"/>
      <c r="CJ127" s="88"/>
      <c r="CK127" s="88"/>
      <c r="CL127" s="88"/>
      <c r="CM127" s="88"/>
      <c r="CN127" s="88"/>
      <c r="CO127" s="88"/>
      <c r="CP127" s="88"/>
      <c r="CQ127" s="88"/>
      <c r="CR127" s="88"/>
      <c r="CS127" s="88"/>
      <c r="CT127" s="88"/>
      <c r="CU127" s="88"/>
      <c r="CV127" s="88"/>
      <c r="CW127" s="88"/>
      <c r="CX127" s="88"/>
      <c r="CY127" s="88"/>
      <c r="CZ127" s="88"/>
      <c r="DA127" s="88"/>
      <c r="DB127" s="88"/>
      <c r="DC127" s="88"/>
      <c r="DD127" s="88"/>
      <c r="DE127" s="88"/>
      <c r="DF127" s="88"/>
      <c r="DG127" s="88"/>
      <c r="DH127" s="88"/>
      <c r="DI127" s="88"/>
      <c r="DJ127" s="88"/>
    </row>
    <row r="128" spans="1:114" hidden="1">
      <c r="A128" s="88"/>
      <c r="B128" s="88"/>
      <c r="C128" s="88"/>
      <c r="D128" s="88"/>
      <c r="E128" s="88"/>
      <c r="F128" s="88"/>
      <c r="G128" s="88"/>
      <c r="H128" s="88"/>
      <c r="I128" s="88"/>
      <c r="J128" s="88"/>
      <c r="K128" s="88"/>
      <c r="L128" s="88"/>
      <c r="M128" s="88"/>
      <c r="N128" s="88"/>
      <c r="O128" s="88"/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  <c r="AB128" s="88"/>
      <c r="AC128" s="88"/>
      <c r="AD128" s="88"/>
      <c r="AE128" s="88"/>
      <c r="AF128" s="88"/>
      <c r="AG128" s="88"/>
      <c r="AH128" s="88"/>
      <c r="AI128" s="88"/>
      <c r="AJ128" s="88"/>
      <c r="AK128" s="88"/>
      <c r="AL128" s="88"/>
      <c r="AM128" s="88"/>
      <c r="AN128" s="88"/>
      <c r="AO128" s="88"/>
      <c r="AP128" s="88"/>
      <c r="AQ128" s="88"/>
      <c r="AR128" s="88"/>
      <c r="AS128" s="88"/>
      <c r="AT128" s="88"/>
      <c r="AU128" s="88"/>
      <c r="AV128" s="88"/>
      <c r="AW128" s="88"/>
      <c r="AX128" s="88"/>
      <c r="AY128" s="88"/>
      <c r="AZ128" s="88"/>
      <c r="BA128" s="88"/>
      <c r="BB128" s="88"/>
      <c r="BC128" s="88"/>
      <c r="BD128" s="88"/>
      <c r="BE128" s="88"/>
      <c r="BF128" s="88"/>
      <c r="BG128" s="88"/>
      <c r="BH128" s="88"/>
      <c r="BI128" s="88"/>
      <c r="BJ128" s="88"/>
      <c r="BK128" s="88"/>
      <c r="BL128" s="88"/>
      <c r="BM128" s="88"/>
      <c r="BN128" s="88"/>
      <c r="BO128" s="88"/>
      <c r="BP128" s="88"/>
      <c r="BQ128" s="88"/>
      <c r="BR128" s="88"/>
      <c r="BS128" s="88"/>
      <c r="BT128" s="88"/>
      <c r="BU128" s="88"/>
      <c r="BV128" s="88"/>
      <c r="BW128" s="88"/>
      <c r="BX128" s="88"/>
      <c r="BY128" s="88"/>
      <c r="BZ128" s="88"/>
      <c r="CA128" s="88"/>
      <c r="CB128" s="88"/>
      <c r="CC128" s="88"/>
      <c r="CD128" s="88"/>
      <c r="CE128" s="88"/>
      <c r="CF128" s="88"/>
      <c r="CG128" s="88"/>
      <c r="CH128" s="88"/>
      <c r="CI128" s="88"/>
      <c r="CJ128" s="88"/>
      <c r="CK128" s="88"/>
      <c r="CL128" s="88"/>
      <c r="CM128" s="88"/>
      <c r="CN128" s="88"/>
      <c r="CO128" s="88"/>
      <c r="CP128" s="88"/>
      <c r="CQ128" s="88"/>
      <c r="CR128" s="88"/>
      <c r="CS128" s="88"/>
      <c r="CT128" s="88"/>
      <c r="CU128" s="88"/>
      <c r="CV128" s="88"/>
      <c r="CW128" s="88"/>
      <c r="CX128" s="88"/>
      <c r="CY128" s="88"/>
      <c r="CZ128" s="88"/>
      <c r="DA128" s="88"/>
      <c r="DB128" s="88"/>
      <c r="DC128" s="88"/>
      <c r="DD128" s="88"/>
      <c r="DE128" s="88"/>
      <c r="DF128" s="88"/>
      <c r="DG128" s="88"/>
      <c r="DH128" s="88"/>
      <c r="DI128" s="88"/>
      <c r="DJ128" s="88"/>
    </row>
    <row r="129" spans="1:114" hidden="1">
      <c r="A129" s="88"/>
      <c r="B129" s="88"/>
      <c r="C129" s="88"/>
      <c r="D129" s="88"/>
      <c r="E129" s="88"/>
      <c r="F129" s="88"/>
      <c r="G129" s="88"/>
      <c r="H129" s="88"/>
      <c r="I129" s="88"/>
      <c r="J129" s="88"/>
      <c r="K129" s="88"/>
      <c r="L129" s="88"/>
      <c r="M129" s="88"/>
      <c r="N129" s="88"/>
      <c r="O129" s="88"/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  <c r="AB129" s="88"/>
      <c r="AC129" s="88"/>
      <c r="AD129" s="88"/>
      <c r="AE129" s="88"/>
      <c r="AF129" s="88"/>
      <c r="AG129" s="88"/>
      <c r="AH129" s="88"/>
      <c r="AI129" s="88"/>
      <c r="AJ129" s="88"/>
      <c r="AK129" s="88"/>
      <c r="AL129" s="88"/>
      <c r="AM129" s="88"/>
      <c r="AN129" s="88"/>
      <c r="AO129" s="88"/>
      <c r="AP129" s="88"/>
      <c r="AQ129" s="88"/>
      <c r="AR129" s="88"/>
      <c r="AS129" s="88"/>
      <c r="AT129" s="88"/>
      <c r="AU129" s="88"/>
      <c r="AV129" s="88"/>
      <c r="AW129" s="88"/>
      <c r="AX129" s="88"/>
      <c r="AY129" s="88"/>
      <c r="AZ129" s="88"/>
      <c r="BA129" s="88"/>
      <c r="BB129" s="88"/>
      <c r="BC129" s="88"/>
      <c r="BD129" s="88"/>
      <c r="BE129" s="88"/>
      <c r="BF129" s="88"/>
      <c r="BG129" s="88"/>
      <c r="BH129" s="88"/>
      <c r="BI129" s="88"/>
      <c r="BJ129" s="88"/>
      <c r="BK129" s="88"/>
      <c r="BL129" s="88"/>
      <c r="BM129" s="88"/>
      <c r="BN129" s="88"/>
      <c r="BO129" s="88"/>
      <c r="BP129" s="88"/>
      <c r="BQ129" s="88"/>
      <c r="BR129" s="88"/>
      <c r="BS129" s="88"/>
      <c r="BT129" s="88"/>
      <c r="BU129" s="88"/>
      <c r="BV129" s="88"/>
      <c r="BW129" s="88"/>
      <c r="BX129" s="88"/>
      <c r="BY129" s="88"/>
      <c r="BZ129" s="88"/>
      <c r="CA129" s="88"/>
      <c r="CB129" s="88"/>
      <c r="CC129" s="88"/>
      <c r="CD129" s="88"/>
      <c r="CE129" s="88"/>
      <c r="CF129" s="88"/>
      <c r="CG129" s="88"/>
      <c r="CH129" s="88"/>
      <c r="CI129" s="88"/>
      <c r="CJ129" s="88"/>
      <c r="CK129" s="88"/>
      <c r="CL129" s="88"/>
      <c r="CM129" s="88"/>
      <c r="CN129" s="88"/>
      <c r="CO129" s="88"/>
      <c r="CP129" s="88"/>
      <c r="CQ129" s="88"/>
      <c r="CR129" s="88"/>
      <c r="CS129" s="88"/>
      <c r="CT129" s="88"/>
      <c r="CU129" s="88"/>
      <c r="CV129" s="88"/>
      <c r="CW129" s="88"/>
      <c r="CX129" s="88"/>
      <c r="CY129" s="88"/>
      <c r="CZ129" s="88"/>
      <c r="DA129" s="88"/>
      <c r="DB129" s="88"/>
      <c r="DC129" s="88"/>
      <c r="DD129" s="88"/>
      <c r="DE129" s="88"/>
      <c r="DF129" s="88"/>
      <c r="DG129" s="88"/>
      <c r="DH129" s="88"/>
      <c r="DI129" s="88"/>
      <c r="DJ129" s="88"/>
    </row>
    <row r="130" spans="1:114" hidden="1">
      <c r="A130" s="88"/>
      <c r="B130" s="88"/>
      <c r="C130" s="88"/>
      <c r="D130" s="88"/>
      <c r="E130" s="88"/>
      <c r="F130" s="88"/>
      <c r="G130" s="88"/>
      <c r="H130" s="88"/>
      <c r="I130" s="88"/>
      <c r="J130" s="88"/>
      <c r="K130" s="88"/>
      <c r="L130" s="88"/>
      <c r="M130" s="88"/>
      <c r="N130" s="88"/>
      <c r="O130" s="88"/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  <c r="AB130" s="88"/>
      <c r="AC130" s="88"/>
      <c r="AD130" s="88"/>
      <c r="AE130" s="88"/>
      <c r="AF130" s="88"/>
      <c r="AG130" s="88"/>
      <c r="AH130" s="88"/>
      <c r="AI130" s="88"/>
      <c r="AJ130" s="88"/>
      <c r="AK130" s="88"/>
      <c r="AL130" s="88"/>
      <c r="AM130" s="88"/>
      <c r="AN130" s="88"/>
      <c r="AO130" s="88"/>
      <c r="AP130" s="88"/>
      <c r="AQ130" s="88"/>
      <c r="AR130" s="88"/>
      <c r="AS130" s="88"/>
      <c r="AT130" s="88"/>
      <c r="AU130" s="88"/>
      <c r="AV130" s="88"/>
      <c r="AW130" s="88"/>
      <c r="AX130" s="88"/>
      <c r="AY130" s="88"/>
      <c r="AZ130" s="88"/>
      <c r="BA130" s="88"/>
      <c r="BB130" s="88"/>
      <c r="BC130" s="88"/>
      <c r="BD130" s="88"/>
      <c r="BE130" s="88"/>
      <c r="BF130" s="88"/>
      <c r="BG130" s="88"/>
      <c r="BH130" s="88"/>
      <c r="BI130" s="88"/>
      <c r="BJ130" s="88"/>
      <c r="BK130" s="88"/>
      <c r="BL130" s="88"/>
      <c r="BM130" s="88"/>
      <c r="BN130" s="88"/>
      <c r="BO130" s="88"/>
      <c r="BP130" s="88"/>
      <c r="BQ130" s="88"/>
      <c r="BR130" s="88"/>
      <c r="BS130" s="88"/>
      <c r="BT130" s="88"/>
      <c r="BU130" s="88"/>
      <c r="BV130" s="88"/>
      <c r="BW130" s="88"/>
      <c r="BX130" s="88"/>
      <c r="BY130" s="88"/>
      <c r="BZ130" s="88"/>
      <c r="CA130" s="88"/>
      <c r="CB130" s="88"/>
      <c r="CC130" s="88"/>
      <c r="CD130" s="88"/>
      <c r="CE130" s="88"/>
      <c r="CF130" s="88"/>
      <c r="CG130" s="88"/>
      <c r="CH130" s="88"/>
      <c r="CI130" s="88"/>
      <c r="CJ130" s="88"/>
      <c r="CK130" s="88"/>
      <c r="CL130" s="88"/>
      <c r="CM130" s="88"/>
      <c r="CN130" s="88"/>
      <c r="CO130" s="88"/>
      <c r="CP130" s="88"/>
      <c r="CQ130" s="88"/>
      <c r="CR130" s="88"/>
      <c r="CS130" s="88"/>
      <c r="CT130" s="88"/>
      <c r="CU130" s="88"/>
      <c r="CV130" s="88"/>
      <c r="CW130" s="88"/>
      <c r="CX130" s="88"/>
      <c r="CY130" s="88"/>
      <c r="CZ130" s="88"/>
      <c r="DA130" s="88"/>
      <c r="DB130" s="88"/>
      <c r="DC130" s="88"/>
      <c r="DD130" s="88"/>
      <c r="DE130" s="88"/>
      <c r="DF130" s="88"/>
      <c r="DG130" s="88"/>
      <c r="DH130" s="88"/>
      <c r="DI130" s="88"/>
      <c r="DJ130" s="88"/>
    </row>
    <row r="131" spans="1:114" hidden="1">
      <c r="A131" s="88"/>
      <c r="B131" s="88"/>
      <c r="C131" s="88"/>
      <c r="D131" s="88"/>
      <c r="E131" s="88"/>
      <c r="F131" s="88"/>
      <c r="G131" s="88"/>
      <c r="H131" s="88"/>
      <c r="I131" s="88"/>
      <c r="J131" s="88"/>
      <c r="K131" s="88"/>
      <c r="L131" s="88"/>
      <c r="M131" s="88"/>
      <c r="N131" s="88"/>
      <c r="O131" s="88"/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88"/>
      <c r="AB131" s="88"/>
      <c r="AC131" s="88"/>
      <c r="AD131" s="88"/>
      <c r="AE131" s="88"/>
      <c r="AF131" s="88"/>
      <c r="AG131" s="88"/>
      <c r="AH131" s="88"/>
      <c r="AI131" s="88"/>
      <c r="AJ131" s="88"/>
      <c r="AK131" s="88"/>
      <c r="AL131" s="88"/>
      <c r="AM131" s="88"/>
      <c r="AN131" s="88"/>
      <c r="AO131" s="88"/>
      <c r="AP131" s="88"/>
      <c r="AQ131" s="88"/>
      <c r="AR131" s="88"/>
      <c r="AS131" s="88"/>
      <c r="AT131" s="88"/>
      <c r="AU131" s="88"/>
      <c r="AV131" s="88"/>
      <c r="AW131" s="88"/>
      <c r="AX131" s="88"/>
      <c r="AY131" s="88"/>
      <c r="AZ131" s="88"/>
      <c r="BA131" s="88"/>
      <c r="BB131" s="88"/>
      <c r="BC131" s="88"/>
      <c r="BD131" s="88"/>
      <c r="BE131" s="88"/>
      <c r="BF131" s="88"/>
      <c r="BG131" s="88"/>
      <c r="BH131" s="88"/>
      <c r="BI131" s="88"/>
      <c r="BJ131" s="88"/>
      <c r="BK131" s="88"/>
      <c r="BL131" s="88"/>
      <c r="BM131" s="88"/>
      <c r="BN131" s="88"/>
      <c r="BO131" s="88"/>
      <c r="BP131" s="88"/>
      <c r="BQ131" s="88"/>
      <c r="BR131" s="88"/>
      <c r="BS131" s="88"/>
      <c r="BT131" s="88"/>
      <c r="BU131" s="88"/>
      <c r="BV131" s="88"/>
      <c r="BW131" s="88"/>
      <c r="BX131" s="88"/>
      <c r="BY131" s="88"/>
      <c r="BZ131" s="88"/>
      <c r="CA131" s="88"/>
      <c r="CB131" s="88"/>
      <c r="CC131" s="88"/>
      <c r="CD131" s="88"/>
      <c r="CE131" s="88"/>
      <c r="CF131" s="88"/>
      <c r="CG131" s="88"/>
      <c r="CH131" s="88"/>
      <c r="CI131" s="88"/>
      <c r="CJ131" s="88"/>
      <c r="CK131" s="88"/>
      <c r="CL131" s="88"/>
      <c r="CM131" s="88"/>
      <c r="CN131" s="88"/>
      <c r="CO131" s="88"/>
      <c r="CP131" s="88"/>
      <c r="CQ131" s="88"/>
      <c r="CR131" s="88"/>
      <c r="CS131" s="88"/>
      <c r="CT131" s="88"/>
      <c r="CU131" s="88"/>
      <c r="CV131" s="88"/>
      <c r="CW131" s="88"/>
      <c r="CX131" s="88"/>
      <c r="CY131" s="88"/>
      <c r="CZ131" s="88"/>
      <c r="DA131" s="88"/>
      <c r="DB131" s="88"/>
      <c r="DC131" s="88"/>
      <c r="DD131" s="88"/>
      <c r="DE131" s="88"/>
      <c r="DF131" s="88"/>
      <c r="DG131" s="88"/>
      <c r="DH131" s="88"/>
      <c r="DI131" s="88"/>
      <c r="DJ131" s="88"/>
    </row>
    <row r="132" spans="1:114" hidden="1">
      <c r="A132" s="88"/>
      <c r="B132" s="88"/>
      <c r="C132" s="88"/>
      <c r="D132" s="88"/>
      <c r="E132" s="88"/>
      <c r="F132" s="88"/>
      <c r="G132" s="88"/>
      <c r="H132" s="88"/>
      <c r="I132" s="88"/>
      <c r="J132" s="88"/>
      <c r="K132" s="88"/>
      <c r="L132" s="88"/>
      <c r="M132" s="88"/>
      <c r="N132" s="88"/>
      <c r="O132" s="88"/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88"/>
      <c r="AB132" s="88"/>
      <c r="AC132" s="88"/>
      <c r="AD132" s="88"/>
      <c r="AE132" s="88"/>
      <c r="AF132" s="88"/>
      <c r="AG132" s="88"/>
      <c r="AH132" s="88"/>
      <c r="AI132" s="88"/>
      <c r="AJ132" s="88"/>
      <c r="AK132" s="88"/>
      <c r="AL132" s="88"/>
      <c r="AM132" s="88"/>
      <c r="AN132" s="88"/>
      <c r="AO132" s="88"/>
      <c r="AP132" s="88"/>
      <c r="AQ132" s="88"/>
      <c r="AR132" s="88"/>
      <c r="AS132" s="88"/>
      <c r="AT132" s="88"/>
      <c r="AU132" s="88"/>
      <c r="AV132" s="88"/>
      <c r="AW132" s="88"/>
      <c r="AX132" s="88"/>
      <c r="AY132" s="88"/>
      <c r="AZ132" s="88"/>
      <c r="BA132" s="88"/>
      <c r="BB132" s="88"/>
      <c r="BC132" s="88"/>
      <c r="BD132" s="88"/>
      <c r="BE132" s="88"/>
      <c r="BF132" s="88"/>
      <c r="BG132" s="88"/>
      <c r="BH132" s="88"/>
      <c r="BI132" s="88"/>
      <c r="BJ132" s="88"/>
      <c r="BK132" s="88"/>
      <c r="BL132" s="88"/>
      <c r="BM132" s="88"/>
      <c r="BN132" s="88"/>
      <c r="BO132" s="88"/>
      <c r="BP132" s="88"/>
      <c r="BQ132" s="88"/>
      <c r="BR132" s="88"/>
      <c r="BS132" s="88"/>
      <c r="BT132" s="88"/>
      <c r="BU132" s="88"/>
      <c r="BV132" s="88"/>
      <c r="BW132" s="88"/>
      <c r="BX132" s="88"/>
      <c r="BY132" s="88"/>
      <c r="BZ132" s="88"/>
      <c r="CA132" s="88"/>
      <c r="CB132" s="88"/>
      <c r="CC132" s="88"/>
      <c r="CD132" s="88"/>
      <c r="CE132" s="88"/>
      <c r="CF132" s="88"/>
      <c r="CG132" s="88"/>
      <c r="CH132" s="88"/>
      <c r="CI132" s="88"/>
      <c r="CJ132" s="88"/>
      <c r="CK132" s="88"/>
      <c r="CL132" s="88"/>
      <c r="CM132" s="88"/>
      <c r="CN132" s="88"/>
      <c r="CO132" s="88"/>
      <c r="CP132" s="88"/>
      <c r="CQ132" s="88"/>
      <c r="CR132" s="88"/>
      <c r="CS132" s="88"/>
      <c r="CT132" s="88"/>
      <c r="CU132" s="88"/>
      <c r="CV132" s="88"/>
      <c r="CW132" s="88"/>
      <c r="CX132" s="88"/>
      <c r="CY132" s="88"/>
      <c r="CZ132" s="88"/>
      <c r="DA132" s="88"/>
      <c r="DB132" s="88"/>
      <c r="DC132" s="88"/>
      <c r="DD132" s="88"/>
      <c r="DE132" s="88"/>
      <c r="DF132" s="88"/>
      <c r="DG132" s="88"/>
      <c r="DH132" s="88"/>
      <c r="DI132" s="88"/>
      <c r="DJ132" s="88"/>
    </row>
    <row r="133" spans="1:114" hidden="1">
      <c r="A133" s="88"/>
      <c r="B133" s="88"/>
      <c r="C133" s="88"/>
      <c r="D133" s="88"/>
      <c r="E133" s="88"/>
      <c r="F133" s="88"/>
      <c r="G133" s="88"/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88"/>
      <c r="AB133" s="88"/>
      <c r="AC133" s="88"/>
      <c r="AD133" s="88"/>
      <c r="AE133" s="88"/>
      <c r="AF133" s="88"/>
      <c r="AG133" s="88"/>
      <c r="AH133" s="88"/>
      <c r="AI133" s="88"/>
      <c r="AJ133" s="88"/>
      <c r="AK133" s="88"/>
      <c r="AL133" s="88"/>
      <c r="AM133" s="88"/>
      <c r="AN133" s="88"/>
      <c r="AO133" s="88"/>
      <c r="AP133" s="88"/>
      <c r="AQ133" s="88"/>
      <c r="AR133" s="88"/>
      <c r="AS133" s="88"/>
      <c r="AT133" s="88"/>
      <c r="AU133" s="88"/>
      <c r="AV133" s="88"/>
      <c r="AW133" s="88"/>
      <c r="AX133" s="88"/>
      <c r="AY133" s="88"/>
      <c r="AZ133" s="88"/>
      <c r="BA133" s="88"/>
      <c r="BB133" s="88"/>
      <c r="BC133" s="88"/>
      <c r="BD133" s="88"/>
      <c r="BE133" s="88"/>
      <c r="BF133" s="88"/>
      <c r="BG133" s="88"/>
      <c r="BH133" s="88"/>
      <c r="BI133" s="88"/>
      <c r="BJ133" s="88"/>
      <c r="BK133" s="88"/>
      <c r="BL133" s="88"/>
      <c r="BM133" s="88"/>
      <c r="BN133" s="88"/>
      <c r="BO133" s="88"/>
      <c r="BP133" s="88"/>
      <c r="BQ133" s="88"/>
      <c r="BR133" s="88"/>
      <c r="BS133" s="88"/>
      <c r="BT133" s="88"/>
      <c r="BU133" s="88"/>
      <c r="BV133" s="88"/>
      <c r="BW133" s="88"/>
      <c r="BX133" s="88"/>
      <c r="BY133" s="88"/>
      <c r="BZ133" s="88"/>
      <c r="CA133" s="88"/>
      <c r="CB133" s="88"/>
      <c r="CC133" s="88"/>
      <c r="CD133" s="88"/>
      <c r="CE133" s="88"/>
      <c r="CF133" s="88"/>
      <c r="CG133" s="88"/>
      <c r="CH133" s="88"/>
      <c r="CI133" s="88"/>
      <c r="CJ133" s="88"/>
      <c r="CK133" s="88"/>
      <c r="CL133" s="88"/>
      <c r="CM133" s="88"/>
      <c r="CN133" s="88"/>
      <c r="CO133" s="88"/>
      <c r="CP133" s="88"/>
      <c r="CQ133" s="88"/>
      <c r="CR133" s="88"/>
      <c r="CS133" s="88"/>
      <c r="CT133" s="88"/>
      <c r="CU133" s="88"/>
      <c r="CV133" s="88"/>
      <c r="CW133" s="88"/>
      <c r="CX133" s="88"/>
      <c r="CY133" s="88"/>
      <c r="CZ133" s="88"/>
      <c r="DA133" s="88"/>
      <c r="DB133" s="88"/>
      <c r="DC133" s="88"/>
      <c r="DD133" s="88"/>
      <c r="DE133" s="88"/>
      <c r="DF133" s="88"/>
      <c r="DG133" s="88"/>
      <c r="DH133" s="88"/>
      <c r="DI133" s="88"/>
      <c r="DJ133" s="88"/>
    </row>
    <row r="134" spans="1:114" hidden="1">
      <c r="A134" s="88"/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8"/>
      <c r="Z134" s="88"/>
      <c r="AA134" s="88"/>
      <c r="AB134" s="88"/>
      <c r="AC134" s="88"/>
      <c r="AD134" s="88"/>
      <c r="AE134" s="88"/>
      <c r="AF134" s="88"/>
      <c r="AG134" s="88"/>
      <c r="AH134" s="88"/>
      <c r="AI134" s="88"/>
      <c r="AJ134" s="88"/>
      <c r="AK134" s="88"/>
      <c r="AL134" s="88"/>
      <c r="AM134" s="88"/>
      <c r="AN134" s="88"/>
      <c r="AO134" s="88"/>
      <c r="AP134" s="88"/>
      <c r="AQ134" s="88"/>
      <c r="AR134" s="88"/>
      <c r="AS134" s="88"/>
      <c r="AT134" s="88"/>
      <c r="AU134" s="88"/>
      <c r="AV134" s="88"/>
      <c r="AW134" s="88"/>
      <c r="AX134" s="88"/>
      <c r="AY134" s="88"/>
      <c r="AZ134" s="88"/>
      <c r="BA134" s="88"/>
      <c r="BB134" s="88"/>
      <c r="BC134" s="88"/>
      <c r="BD134" s="88"/>
      <c r="BE134" s="88"/>
      <c r="BF134" s="88"/>
      <c r="BG134" s="88"/>
      <c r="BH134" s="88"/>
      <c r="BI134" s="88"/>
      <c r="BJ134" s="88"/>
      <c r="BK134" s="88"/>
      <c r="BL134" s="88"/>
      <c r="BM134" s="88"/>
      <c r="BN134" s="88"/>
      <c r="BO134" s="88"/>
      <c r="BP134" s="88"/>
      <c r="BQ134" s="88"/>
      <c r="BR134" s="88"/>
      <c r="BS134" s="88"/>
      <c r="BT134" s="88"/>
      <c r="BU134" s="88"/>
      <c r="BV134" s="88"/>
      <c r="BW134" s="88"/>
      <c r="BX134" s="88"/>
      <c r="BY134" s="88"/>
      <c r="BZ134" s="88"/>
      <c r="CA134" s="88"/>
      <c r="CB134" s="88"/>
      <c r="CC134" s="88"/>
      <c r="CD134" s="88"/>
      <c r="CE134" s="88"/>
      <c r="CF134" s="88"/>
      <c r="CG134" s="88"/>
      <c r="CH134" s="88"/>
      <c r="CI134" s="88"/>
      <c r="CJ134" s="88"/>
      <c r="CK134" s="88"/>
      <c r="CL134" s="88"/>
      <c r="CM134" s="88"/>
      <c r="CN134" s="88"/>
      <c r="CO134" s="88"/>
      <c r="CP134" s="88"/>
      <c r="CQ134" s="88"/>
      <c r="CR134" s="88"/>
      <c r="CS134" s="88"/>
      <c r="CT134" s="88"/>
      <c r="CU134" s="88"/>
      <c r="CV134" s="88"/>
      <c r="CW134" s="88"/>
      <c r="CX134" s="88"/>
      <c r="CY134" s="88"/>
      <c r="CZ134" s="88"/>
      <c r="DA134" s="88"/>
      <c r="DB134" s="88"/>
      <c r="DC134" s="88"/>
      <c r="DD134" s="88"/>
      <c r="DE134" s="88"/>
      <c r="DF134" s="88"/>
      <c r="DG134" s="88"/>
      <c r="DH134" s="88"/>
      <c r="DI134" s="88"/>
      <c r="DJ134" s="88"/>
    </row>
    <row r="135" spans="1:114" hidden="1">
      <c r="A135" s="88"/>
      <c r="B135" s="88"/>
      <c r="C135" s="88"/>
      <c r="D135" s="88"/>
      <c r="E135" s="88"/>
      <c r="F135" s="88"/>
      <c r="G135" s="88"/>
      <c r="H135" s="88"/>
      <c r="I135" s="88"/>
      <c r="J135" s="88"/>
      <c r="K135" s="88"/>
      <c r="L135" s="88"/>
      <c r="M135" s="88"/>
      <c r="N135" s="88"/>
      <c r="O135" s="88"/>
      <c r="P135" s="88"/>
      <c r="Q135" s="88"/>
      <c r="R135" s="88"/>
      <c r="S135" s="88"/>
      <c r="T135" s="88"/>
      <c r="U135" s="88"/>
      <c r="V135" s="88"/>
      <c r="W135" s="88"/>
      <c r="X135" s="88"/>
      <c r="Y135" s="88"/>
      <c r="Z135" s="88"/>
      <c r="AA135" s="88"/>
      <c r="AB135" s="88"/>
      <c r="AC135" s="88"/>
      <c r="AD135" s="88"/>
      <c r="AE135" s="88"/>
      <c r="AF135" s="88"/>
      <c r="AG135" s="88"/>
      <c r="AH135" s="88"/>
      <c r="AI135" s="88"/>
      <c r="AJ135" s="88"/>
      <c r="AK135" s="88"/>
      <c r="AL135" s="88"/>
      <c r="AM135" s="88"/>
      <c r="AN135" s="88"/>
      <c r="AO135" s="88"/>
      <c r="AP135" s="88"/>
      <c r="AQ135" s="88"/>
      <c r="AR135" s="88"/>
      <c r="AS135" s="88"/>
      <c r="AT135" s="88"/>
      <c r="AU135" s="88"/>
      <c r="AV135" s="88"/>
      <c r="AW135" s="88"/>
      <c r="AX135" s="88"/>
      <c r="AY135" s="88"/>
      <c r="AZ135" s="88"/>
      <c r="BA135" s="88"/>
      <c r="BB135" s="88"/>
      <c r="BC135" s="88"/>
      <c r="BD135" s="88"/>
      <c r="BE135" s="88"/>
      <c r="BF135" s="88"/>
      <c r="BG135" s="88"/>
      <c r="BH135" s="88"/>
      <c r="BI135" s="88"/>
      <c r="BJ135" s="88"/>
      <c r="BK135" s="88"/>
      <c r="BL135" s="88"/>
      <c r="BM135" s="88"/>
      <c r="BN135" s="88"/>
      <c r="BO135" s="88"/>
      <c r="BP135" s="88"/>
      <c r="BQ135" s="88"/>
      <c r="BR135" s="88"/>
      <c r="BS135" s="88"/>
      <c r="BT135" s="88"/>
      <c r="BU135" s="88"/>
      <c r="BV135" s="88"/>
      <c r="BW135" s="88"/>
      <c r="BX135" s="88"/>
      <c r="BY135" s="88"/>
      <c r="BZ135" s="88"/>
      <c r="CA135" s="88"/>
      <c r="CB135" s="88"/>
      <c r="CC135" s="88"/>
      <c r="CD135" s="88"/>
      <c r="CE135" s="88"/>
      <c r="CF135" s="88"/>
      <c r="CG135" s="88"/>
      <c r="CH135" s="88"/>
      <c r="CI135" s="88"/>
      <c r="CJ135" s="88"/>
      <c r="CK135" s="88"/>
      <c r="CL135" s="88"/>
      <c r="CM135" s="88"/>
      <c r="CN135" s="88"/>
      <c r="CO135" s="88"/>
      <c r="CP135" s="88"/>
      <c r="CQ135" s="88"/>
      <c r="CR135" s="88"/>
      <c r="CS135" s="88"/>
      <c r="CT135" s="88"/>
      <c r="CU135" s="88"/>
      <c r="CV135" s="88"/>
      <c r="CW135" s="88"/>
      <c r="CX135" s="88"/>
      <c r="CY135" s="88"/>
      <c r="CZ135" s="88"/>
      <c r="DA135" s="88"/>
      <c r="DB135" s="88"/>
      <c r="DC135" s="88"/>
      <c r="DD135" s="88"/>
      <c r="DE135" s="88"/>
      <c r="DF135" s="88"/>
      <c r="DG135" s="88"/>
      <c r="DH135" s="88"/>
      <c r="DI135" s="88"/>
      <c r="DJ135" s="88"/>
    </row>
    <row r="136" spans="1:114" hidden="1">
      <c r="A136" s="88"/>
      <c r="B136" s="88"/>
      <c r="C136" s="88"/>
      <c r="D136" s="88"/>
      <c r="E136" s="88"/>
      <c r="F136" s="88"/>
      <c r="G136" s="88"/>
      <c r="H136" s="88"/>
      <c r="I136" s="88"/>
      <c r="J136" s="88"/>
      <c r="K136" s="88"/>
      <c r="L136" s="88"/>
      <c r="M136" s="88"/>
      <c r="N136" s="88"/>
      <c r="O136" s="88"/>
      <c r="P136" s="88"/>
      <c r="Q136" s="88"/>
      <c r="R136" s="88"/>
      <c r="S136" s="88"/>
      <c r="T136" s="88"/>
      <c r="U136" s="88"/>
      <c r="V136" s="88"/>
      <c r="W136" s="88"/>
      <c r="X136" s="88"/>
      <c r="Y136" s="88"/>
      <c r="Z136" s="88"/>
      <c r="AA136" s="88"/>
      <c r="AB136" s="88"/>
      <c r="AC136" s="88"/>
      <c r="AD136" s="88"/>
      <c r="AE136" s="88"/>
      <c r="AF136" s="88"/>
      <c r="AG136" s="88"/>
      <c r="AH136" s="88"/>
      <c r="AI136" s="88"/>
      <c r="AJ136" s="88"/>
      <c r="AK136" s="88"/>
      <c r="AL136" s="88"/>
      <c r="AM136" s="88"/>
      <c r="AN136" s="88"/>
      <c r="AO136" s="88"/>
      <c r="AP136" s="88"/>
      <c r="AQ136" s="88"/>
      <c r="AR136" s="88"/>
      <c r="AS136" s="88"/>
      <c r="AT136" s="88"/>
      <c r="AU136" s="88"/>
      <c r="AV136" s="88"/>
      <c r="AW136" s="88"/>
      <c r="AX136" s="88"/>
      <c r="AY136" s="88"/>
      <c r="AZ136" s="88"/>
      <c r="BA136" s="88"/>
      <c r="BB136" s="88"/>
      <c r="BC136" s="88"/>
      <c r="BD136" s="88"/>
      <c r="BE136" s="88"/>
      <c r="BF136" s="88"/>
      <c r="BG136" s="88"/>
      <c r="BH136" s="88"/>
      <c r="BI136" s="88"/>
      <c r="BJ136" s="88"/>
      <c r="BK136" s="88"/>
      <c r="BL136" s="88"/>
      <c r="BM136" s="88"/>
      <c r="BN136" s="88"/>
      <c r="BO136" s="88"/>
      <c r="BP136" s="88"/>
      <c r="BQ136" s="88"/>
      <c r="BR136" s="88"/>
      <c r="BS136" s="88"/>
      <c r="BT136" s="88"/>
      <c r="BU136" s="88"/>
      <c r="BV136" s="88"/>
      <c r="BW136" s="88"/>
      <c r="BX136" s="88"/>
      <c r="BY136" s="88"/>
      <c r="BZ136" s="88"/>
      <c r="CA136" s="88"/>
      <c r="CB136" s="88"/>
      <c r="CC136" s="88"/>
      <c r="CD136" s="88"/>
      <c r="CE136" s="88"/>
      <c r="CF136" s="88"/>
      <c r="CG136" s="88"/>
      <c r="CH136" s="88"/>
      <c r="CI136" s="88"/>
      <c r="CJ136" s="88"/>
      <c r="CK136" s="88"/>
      <c r="CL136" s="88"/>
      <c r="CM136" s="88"/>
      <c r="CN136" s="88"/>
      <c r="CO136" s="88"/>
      <c r="CP136" s="88"/>
      <c r="CQ136" s="88"/>
      <c r="CR136" s="88"/>
      <c r="CS136" s="88"/>
      <c r="CT136" s="88"/>
      <c r="CU136" s="88"/>
      <c r="CV136" s="88"/>
      <c r="CW136" s="88"/>
      <c r="CX136" s="88"/>
      <c r="CY136" s="88"/>
      <c r="CZ136" s="88"/>
      <c r="DA136" s="88"/>
      <c r="DB136" s="88"/>
      <c r="DC136" s="88"/>
      <c r="DD136" s="88"/>
      <c r="DE136" s="88"/>
      <c r="DF136" s="88"/>
      <c r="DG136" s="88"/>
      <c r="DH136" s="88"/>
      <c r="DI136" s="88"/>
      <c r="DJ136" s="88"/>
    </row>
    <row r="137" spans="1:114" hidden="1">
      <c r="A137" s="88"/>
      <c r="B137" s="88"/>
      <c r="C137" s="88"/>
      <c r="D137" s="88"/>
      <c r="E137" s="88"/>
      <c r="F137" s="88"/>
      <c r="G137" s="88"/>
      <c r="H137" s="88"/>
      <c r="I137" s="88"/>
      <c r="J137" s="88"/>
      <c r="K137" s="88"/>
      <c r="L137" s="88"/>
      <c r="M137" s="88"/>
      <c r="N137" s="88"/>
      <c r="O137" s="88"/>
      <c r="P137" s="88"/>
      <c r="Q137" s="88"/>
      <c r="R137" s="88"/>
      <c r="S137" s="88"/>
      <c r="T137" s="88"/>
      <c r="U137" s="88"/>
      <c r="V137" s="88"/>
      <c r="W137" s="88"/>
      <c r="X137" s="88"/>
      <c r="Y137" s="88"/>
      <c r="Z137" s="88"/>
      <c r="AA137" s="88"/>
      <c r="AB137" s="88"/>
      <c r="AC137" s="88"/>
      <c r="AD137" s="88"/>
      <c r="AE137" s="88"/>
      <c r="AF137" s="88"/>
      <c r="AG137" s="88"/>
      <c r="AH137" s="88"/>
      <c r="AI137" s="88"/>
      <c r="AJ137" s="88"/>
      <c r="AK137" s="88"/>
      <c r="AL137" s="88"/>
      <c r="AM137" s="88"/>
      <c r="AN137" s="88"/>
      <c r="AO137" s="88"/>
      <c r="AP137" s="88"/>
      <c r="AQ137" s="88"/>
      <c r="AR137" s="88"/>
      <c r="AS137" s="88"/>
      <c r="AT137" s="88"/>
      <c r="AU137" s="88"/>
      <c r="AV137" s="88"/>
      <c r="AW137" s="88"/>
      <c r="AX137" s="88"/>
      <c r="AY137" s="88"/>
      <c r="AZ137" s="88"/>
      <c r="BA137" s="88"/>
      <c r="BB137" s="88"/>
      <c r="BC137" s="88"/>
      <c r="BD137" s="88"/>
      <c r="BE137" s="88"/>
      <c r="BF137" s="88"/>
      <c r="BG137" s="88"/>
      <c r="BH137" s="88"/>
      <c r="BI137" s="88"/>
      <c r="BJ137" s="88"/>
      <c r="BK137" s="88"/>
      <c r="BL137" s="88"/>
      <c r="BM137" s="88"/>
      <c r="BN137" s="88"/>
      <c r="BO137" s="88"/>
      <c r="BP137" s="88"/>
      <c r="BQ137" s="88"/>
      <c r="BR137" s="88"/>
      <c r="BS137" s="88"/>
      <c r="BT137" s="88"/>
      <c r="BU137" s="88"/>
      <c r="BV137" s="88"/>
      <c r="BW137" s="88"/>
      <c r="BX137" s="88"/>
      <c r="BY137" s="88"/>
      <c r="BZ137" s="88"/>
      <c r="CA137" s="88"/>
      <c r="CB137" s="88"/>
      <c r="CC137" s="88"/>
      <c r="CD137" s="88"/>
      <c r="CE137" s="88"/>
      <c r="CF137" s="88"/>
      <c r="CG137" s="88"/>
      <c r="CH137" s="88"/>
      <c r="CI137" s="88"/>
      <c r="CJ137" s="88"/>
      <c r="CK137" s="88"/>
      <c r="CL137" s="88"/>
      <c r="CM137" s="88"/>
      <c r="CN137" s="88"/>
      <c r="CO137" s="88"/>
      <c r="CP137" s="88"/>
      <c r="CQ137" s="88"/>
      <c r="CR137" s="88"/>
      <c r="CS137" s="88"/>
      <c r="CT137" s="88"/>
      <c r="CU137" s="88"/>
      <c r="CV137" s="88"/>
      <c r="CW137" s="88"/>
      <c r="CX137" s="88"/>
      <c r="CY137" s="88"/>
      <c r="CZ137" s="88"/>
      <c r="DA137" s="88"/>
      <c r="DB137" s="88"/>
      <c r="DC137" s="88"/>
      <c r="DD137" s="88"/>
      <c r="DE137" s="88"/>
      <c r="DF137" s="88"/>
      <c r="DG137" s="88"/>
      <c r="DH137" s="88"/>
      <c r="DI137" s="88"/>
      <c r="DJ137" s="88"/>
    </row>
    <row r="138" spans="1:114" hidden="1">
      <c r="A138" s="88"/>
      <c r="B138" s="88"/>
      <c r="C138" s="88"/>
      <c r="D138" s="88"/>
      <c r="E138" s="88"/>
      <c r="F138" s="88"/>
      <c r="G138" s="88"/>
      <c r="H138" s="88"/>
      <c r="I138" s="88"/>
      <c r="J138" s="88"/>
      <c r="K138" s="88"/>
      <c r="L138" s="88"/>
      <c r="M138" s="88"/>
      <c r="N138" s="88"/>
      <c r="O138" s="88"/>
      <c r="P138" s="88"/>
      <c r="Q138" s="88"/>
      <c r="R138" s="88"/>
      <c r="S138" s="88"/>
      <c r="T138" s="88"/>
      <c r="U138" s="88"/>
      <c r="V138" s="88"/>
      <c r="W138" s="88"/>
      <c r="X138" s="88"/>
      <c r="Y138" s="88"/>
      <c r="Z138" s="88"/>
      <c r="AA138" s="88"/>
      <c r="AB138" s="88"/>
      <c r="AC138" s="88"/>
      <c r="AD138" s="88"/>
      <c r="AE138" s="88"/>
      <c r="AF138" s="88"/>
      <c r="AG138" s="88"/>
      <c r="AH138" s="88"/>
      <c r="AI138" s="88"/>
      <c r="AJ138" s="88"/>
      <c r="AK138" s="88"/>
      <c r="AL138" s="88"/>
      <c r="AM138" s="88"/>
      <c r="AN138" s="88"/>
      <c r="AO138" s="88"/>
      <c r="AP138" s="88"/>
      <c r="AQ138" s="88"/>
      <c r="AR138" s="88"/>
      <c r="AS138" s="88"/>
      <c r="AT138" s="88"/>
      <c r="AU138" s="88"/>
      <c r="AV138" s="88"/>
      <c r="AW138" s="88"/>
      <c r="AX138" s="88"/>
      <c r="AY138" s="88"/>
      <c r="AZ138" s="88"/>
      <c r="BA138" s="88"/>
      <c r="BB138" s="88"/>
      <c r="BC138" s="88"/>
      <c r="BD138" s="88"/>
      <c r="BE138" s="88"/>
      <c r="BF138" s="88"/>
      <c r="BG138" s="88"/>
      <c r="BH138" s="88"/>
      <c r="BI138" s="88"/>
      <c r="BJ138" s="88"/>
      <c r="BK138" s="88"/>
      <c r="BL138" s="88"/>
      <c r="BM138" s="88"/>
      <c r="BN138" s="88"/>
      <c r="BO138" s="88"/>
      <c r="BP138" s="88"/>
      <c r="BQ138" s="88"/>
      <c r="BR138" s="88"/>
      <c r="BS138" s="88"/>
      <c r="BT138" s="88"/>
      <c r="BU138" s="88"/>
      <c r="BV138" s="88"/>
      <c r="BW138" s="88"/>
      <c r="BX138" s="88"/>
      <c r="BY138" s="88"/>
      <c r="BZ138" s="88"/>
      <c r="CA138" s="88"/>
      <c r="CB138" s="88"/>
      <c r="CC138" s="88"/>
      <c r="CD138" s="88"/>
      <c r="CE138" s="88"/>
      <c r="CF138" s="88"/>
      <c r="CG138" s="88"/>
      <c r="CH138" s="88"/>
      <c r="CI138" s="88"/>
      <c r="CJ138" s="88"/>
      <c r="CK138" s="88"/>
      <c r="CL138" s="88"/>
      <c r="CM138" s="88"/>
      <c r="CN138" s="88"/>
      <c r="CO138" s="88"/>
      <c r="CP138" s="88"/>
      <c r="CQ138" s="88"/>
      <c r="CR138" s="88"/>
      <c r="CS138" s="88"/>
      <c r="CT138" s="88"/>
      <c r="CU138" s="88"/>
      <c r="CV138" s="88"/>
      <c r="CW138" s="88"/>
      <c r="CX138" s="88"/>
      <c r="CY138" s="88"/>
      <c r="CZ138" s="88"/>
      <c r="DA138" s="88"/>
      <c r="DB138" s="88"/>
      <c r="DC138" s="88"/>
      <c r="DD138" s="88"/>
      <c r="DE138" s="88"/>
      <c r="DF138" s="88"/>
      <c r="DG138" s="88"/>
      <c r="DH138" s="88"/>
      <c r="DI138" s="88"/>
      <c r="DJ138" s="88"/>
    </row>
    <row r="139" spans="1:114" hidden="1">
      <c r="A139" s="88"/>
      <c r="B139" s="88"/>
      <c r="C139" s="88"/>
      <c r="D139" s="88"/>
      <c r="E139" s="88"/>
      <c r="F139" s="88"/>
      <c r="G139" s="88"/>
      <c r="H139" s="88"/>
      <c r="I139" s="88"/>
      <c r="J139" s="88"/>
      <c r="K139" s="88"/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8"/>
      <c r="AT139" s="88"/>
      <c r="AU139" s="88"/>
      <c r="AV139" s="88"/>
      <c r="AW139" s="88"/>
      <c r="AX139" s="88"/>
      <c r="AY139" s="88"/>
      <c r="AZ139" s="88"/>
      <c r="BA139" s="88"/>
      <c r="BB139" s="88"/>
      <c r="BC139" s="88"/>
      <c r="BD139" s="88"/>
      <c r="BE139" s="88"/>
      <c r="BF139" s="88"/>
      <c r="BG139" s="88"/>
      <c r="BH139" s="88"/>
      <c r="BI139" s="88"/>
      <c r="BJ139" s="88"/>
      <c r="BK139" s="88"/>
      <c r="BL139" s="88"/>
      <c r="BM139" s="88"/>
      <c r="BN139" s="88"/>
      <c r="BO139" s="88"/>
      <c r="BP139" s="88"/>
      <c r="BQ139" s="88"/>
      <c r="BR139" s="88"/>
      <c r="BS139" s="88"/>
      <c r="BT139" s="88"/>
      <c r="BU139" s="88"/>
      <c r="BV139" s="88"/>
      <c r="BW139" s="88"/>
      <c r="BX139" s="88"/>
      <c r="BY139" s="88"/>
      <c r="BZ139" s="88"/>
      <c r="CA139" s="88"/>
      <c r="CB139" s="88"/>
      <c r="CC139" s="88"/>
      <c r="CD139" s="88"/>
      <c r="CE139" s="88"/>
      <c r="CF139" s="88"/>
      <c r="CG139" s="88"/>
      <c r="CH139" s="88"/>
      <c r="CI139" s="88"/>
      <c r="CJ139" s="88"/>
      <c r="CK139" s="88"/>
      <c r="CL139" s="88"/>
      <c r="CM139" s="88"/>
      <c r="CN139" s="88"/>
      <c r="CO139" s="88"/>
      <c r="CP139" s="88"/>
      <c r="CQ139" s="88"/>
      <c r="CR139" s="88"/>
      <c r="CS139" s="88"/>
      <c r="CT139" s="88"/>
      <c r="CU139" s="88"/>
      <c r="CV139" s="88"/>
      <c r="CW139" s="88"/>
      <c r="CX139" s="88"/>
      <c r="CY139" s="88"/>
      <c r="CZ139" s="88"/>
      <c r="DA139" s="88"/>
      <c r="DB139" s="88"/>
      <c r="DC139" s="88"/>
      <c r="DD139" s="88"/>
      <c r="DE139" s="88"/>
      <c r="DF139" s="88"/>
      <c r="DG139" s="88"/>
      <c r="DH139" s="88"/>
      <c r="DI139" s="88"/>
      <c r="DJ139" s="88"/>
    </row>
    <row r="140" spans="1:114" hidden="1">
      <c r="A140" s="88"/>
      <c r="B140" s="88"/>
      <c r="C140" s="88"/>
      <c r="D140" s="88"/>
      <c r="E140" s="88"/>
      <c r="F140" s="88"/>
      <c r="G140" s="88"/>
      <c r="H140" s="88"/>
      <c r="I140" s="88"/>
      <c r="J140" s="88"/>
      <c r="K140" s="88"/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8"/>
      <c r="AT140" s="88"/>
      <c r="AU140" s="88"/>
      <c r="AV140" s="88"/>
      <c r="AW140" s="88"/>
      <c r="AX140" s="88"/>
      <c r="AY140" s="88"/>
      <c r="AZ140" s="88"/>
      <c r="BA140" s="88"/>
      <c r="BB140" s="88"/>
      <c r="BC140" s="88"/>
      <c r="BD140" s="88"/>
      <c r="BE140" s="88"/>
      <c r="BF140" s="88"/>
      <c r="BG140" s="88"/>
      <c r="BH140" s="88"/>
      <c r="BI140" s="88"/>
      <c r="BJ140" s="88"/>
      <c r="BK140" s="88"/>
      <c r="BL140" s="88"/>
      <c r="BM140" s="88"/>
      <c r="BN140" s="88"/>
      <c r="BO140" s="88"/>
      <c r="BP140" s="88"/>
      <c r="BQ140" s="88"/>
      <c r="BR140" s="88"/>
      <c r="BS140" s="88"/>
      <c r="BT140" s="88"/>
      <c r="BU140" s="88"/>
      <c r="BV140" s="88"/>
      <c r="BW140" s="88"/>
      <c r="BX140" s="88"/>
      <c r="BY140" s="88"/>
      <c r="BZ140" s="88"/>
      <c r="CA140" s="88"/>
      <c r="CB140" s="88"/>
      <c r="CC140" s="88"/>
      <c r="CD140" s="88"/>
      <c r="CE140" s="88"/>
      <c r="CF140" s="88"/>
      <c r="CG140" s="88"/>
      <c r="CH140" s="88"/>
      <c r="CI140" s="88"/>
      <c r="CJ140" s="88"/>
      <c r="CK140" s="88"/>
      <c r="CL140" s="88"/>
      <c r="CM140" s="88"/>
      <c r="CN140" s="88"/>
      <c r="CO140" s="88"/>
      <c r="CP140" s="88"/>
      <c r="CQ140" s="88"/>
      <c r="CR140" s="88"/>
      <c r="CS140" s="88"/>
      <c r="CT140" s="88"/>
      <c r="CU140" s="88"/>
      <c r="CV140" s="88"/>
      <c r="CW140" s="88"/>
      <c r="CX140" s="88"/>
      <c r="CY140" s="88"/>
      <c r="CZ140" s="88"/>
      <c r="DA140" s="88"/>
      <c r="DB140" s="88"/>
      <c r="DC140" s="88"/>
      <c r="DD140" s="88"/>
      <c r="DE140" s="88"/>
      <c r="DF140" s="88"/>
      <c r="DG140" s="88"/>
      <c r="DH140" s="88"/>
      <c r="DI140" s="88"/>
      <c r="DJ140" s="88"/>
    </row>
    <row r="141" spans="1:114" hidden="1">
      <c r="A141" s="88"/>
      <c r="B141" s="88"/>
      <c r="C141" s="88"/>
      <c r="D141" s="88"/>
      <c r="E141" s="88"/>
      <c r="F141" s="88"/>
      <c r="G141" s="88"/>
      <c r="H141" s="88"/>
      <c r="I141" s="88"/>
      <c r="J141" s="88"/>
      <c r="K141" s="88"/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8"/>
      <c r="AT141" s="88"/>
      <c r="AU141" s="88"/>
      <c r="AV141" s="88"/>
      <c r="AW141" s="88"/>
      <c r="AX141" s="88"/>
      <c r="AY141" s="88"/>
      <c r="AZ141" s="88"/>
      <c r="BA141" s="88"/>
      <c r="BB141" s="88"/>
      <c r="BC141" s="88"/>
      <c r="BD141" s="88"/>
      <c r="BE141" s="88"/>
      <c r="BF141" s="88"/>
      <c r="BG141" s="88"/>
      <c r="BH141" s="88"/>
      <c r="BI141" s="88"/>
      <c r="BJ141" s="88"/>
      <c r="BK141" s="88"/>
      <c r="BL141" s="88"/>
      <c r="BM141" s="88"/>
      <c r="BN141" s="88"/>
      <c r="BO141" s="88"/>
      <c r="BP141" s="88"/>
      <c r="BQ141" s="88"/>
      <c r="BR141" s="88"/>
      <c r="BS141" s="88"/>
      <c r="BT141" s="88"/>
      <c r="BU141" s="88"/>
      <c r="BV141" s="88"/>
      <c r="BW141" s="88"/>
      <c r="BX141" s="88"/>
      <c r="BY141" s="88"/>
      <c r="BZ141" s="88"/>
      <c r="CA141" s="88"/>
      <c r="CB141" s="88"/>
      <c r="CC141" s="88"/>
      <c r="CD141" s="88"/>
      <c r="CE141" s="88"/>
      <c r="CF141" s="88"/>
      <c r="CG141" s="88"/>
      <c r="CH141" s="88"/>
      <c r="CI141" s="88"/>
      <c r="CJ141" s="88"/>
      <c r="CK141" s="88"/>
      <c r="CL141" s="88"/>
      <c r="CM141" s="88"/>
      <c r="CN141" s="88"/>
      <c r="CO141" s="88"/>
      <c r="CP141" s="88"/>
      <c r="CQ141" s="88"/>
      <c r="CR141" s="88"/>
      <c r="CS141" s="88"/>
      <c r="CT141" s="88"/>
      <c r="CU141" s="88"/>
      <c r="CV141" s="88"/>
      <c r="CW141" s="88"/>
      <c r="CX141" s="88"/>
      <c r="CY141" s="88"/>
      <c r="CZ141" s="88"/>
      <c r="DA141" s="88"/>
      <c r="DB141" s="88"/>
      <c r="DC141" s="88"/>
      <c r="DD141" s="88"/>
      <c r="DE141" s="88"/>
      <c r="DF141" s="88"/>
      <c r="DG141" s="88"/>
      <c r="DH141" s="88"/>
      <c r="DI141" s="88"/>
      <c r="DJ141" s="88"/>
    </row>
    <row r="142" spans="1:114" hidden="1">
      <c r="A142" s="88"/>
      <c r="B142" s="88"/>
      <c r="C142" s="88"/>
      <c r="D142" s="88"/>
      <c r="E142" s="88"/>
      <c r="F142" s="88"/>
      <c r="G142" s="88"/>
      <c r="H142" s="88"/>
      <c r="I142" s="88"/>
      <c r="J142" s="88"/>
      <c r="K142" s="88"/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8"/>
      <c r="AT142" s="88"/>
      <c r="AU142" s="88"/>
      <c r="AV142" s="88"/>
      <c r="AW142" s="88"/>
      <c r="AX142" s="88"/>
      <c r="AY142" s="88"/>
      <c r="AZ142" s="88"/>
      <c r="BA142" s="88"/>
      <c r="BB142" s="88"/>
      <c r="BC142" s="88"/>
      <c r="BD142" s="88"/>
      <c r="BE142" s="88"/>
      <c r="BF142" s="88"/>
      <c r="BG142" s="88"/>
      <c r="BH142" s="88"/>
      <c r="BI142" s="88"/>
      <c r="BJ142" s="88"/>
      <c r="BK142" s="88"/>
      <c r="BL142" s="88"/>
      <c r="BM142" s="88"/>
      <c r="BN142" s="88"/>
      <c r="BO142" s="88"/>
      <c r="BP142" s="88"/>
      <c r="BQ142" s="88"/>
      <c r="BR142" s="88"/>
      <c r="BS142" s="88"/>
      <c r="BT142" s="88"/>
      <c r="BU142" s="88"/>
      <c r="BV142" s="88"/>
      <c r="BW142" s="88"/>
      <c r="BX142" s="88"/>
      <c r="BY142" s="88"/>
      <c r="BZ142" s="88"/>
      <c r="CA142" s="88"/>
      <c r="CB142" s="88"/>
      <c r="CC142" s="88"/>
      <c r="CD142" s="88"/>
      <c r="CE142" s="88"/>
      <c r="CF142" s="88"/>
      <c r="CG142" s="88"/>
      <c r="CH142" s="88"/>
      <c r="CI142" s="88"/>
      <c r="CJ142" s="88"/>
      <c r="CK142" s="88"/>
      <c r="CL142" s="88"/>
      <c r="CM142" s="88"/>
      <c r="CN142" s="88"/>
      <c r="CO142" s="88"/>
      <c r="CP142" s="88"/>
      <c r="CQ142" s="88"/>
      <c r="CR142" s="88"/>
      <c r="CS142" s="88"/>
      <c r="CT142" s="88"/>
      <c r="CU142" s="88"/>
      <c r="CV142" s="88"/>
      <c r="CW142" s="88"/>
      <c r="CX142" s="88"/>
      <c r="CY142" s="88"/>
      <c r="CZ142" s="88"/>
      <c r="DA142" s="88"/>
      <c r="DB142" s="88"/>
      <c r="DC142" s="88"/>
      <c r="DD142" s="88"/>
      <c r="DE142" s="88"/>
      <c r="DF142" s="88"/>
      <c r="DG142" s="88"/>
      <c r="DH142" s="88"/>
      <c r="DI142" s="88"/>
      <c r="DJ142" s="88"/>
    </row>
    <row r="143" spans="1:114" hidden="1">
      <c r="A143" s="88"/>
      <c r="B143" s="88"/>
      <c r="C143" s="88"/>
      <c r="D143" s="88"/>
      <c r="E143" s="88"/>
      <c r="F143" s="88"/>
      <c r="G143" s="88"/>
      <c r="H143" s="88"/>
      <c r="I143" s="88"/>
      <c r="J143" s="88"/>
      <c r="K143" s="88"/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8"/>
      <c r="AT143" s="88"/>
      <c r="AU143" s="88"/>
      <c r="AV143" s="88"/>
      <c r="AW143" s="88"/>
      <c r="AX143" s="88"/>
      <c r="AY143" s="88"/>
      <c r="AZ143" s="88"/>
      <c r="BA143" s="88"/>
      <c r="BB143" s="88"/>
      <c r="BC143" s="88"/>
      <c r="BD143" s="88"/>
      <c r="BE143" s="88"/>
      <c r="BF143" s="88"/>
      <c r="BG143" s="88"/>
      <c r="BH143" s="88"/>
      <c r="BI143" s="88"/>
      <c r="BJ143" s="88"/>
      <c r="BK143" s="88"/>
      <c r="BL143" s="88"/>
      <c r="BM143" s="88"/>
      <c r="BN143" s="88"/>
      <c r="BO143" s="88"/>
      <c r="BP143" s="88"/>
      <c r="BQ143" s="88"/>
      <c r="BR143" s="88"/>
      <c r="BS143" s="88"/>
      <c r="BT143" s="88"/>
      <c r="BU143" s="88"/>
      <c r="BV143" s="88"/>
      <c r="BW143" s="88"/>
      <c r="BX143" s="88"/>
      <c r="BY143" s="88"/>
      <c r="BZ143" s="88"/>
      <c r="CA143" s="88"/>
      <c r="CB143" s="88"/>
      <c r="CC143" s="88"/>
      <c r="CD143" s="88"/>
      <c r="CE143" s="88"/>
      <c r="CF143" s="88"/>
      <c r="CG143" s="88"/>
      <c r="CH143" s="88"/>
      <c r="CI143" s="88"/>
      <c r="CJ143" s="88"/>
      <c r="CK143" s="88"/>
      <c r="CL143" s="88"/>
      <c r="CM143" s="88"/>
      <c r="CN143" s="88"/>
      <c r="CO143" s="88"/>
      <c r="CP143" s="88"/>
      <c r="CQ143" s="88"/>
      <c r="CR143" s="88"/>
      <c r="CS143" s="88"/>
      <c r="CT143" s="88"/>
      <c r="CU143" s="88"/>
      <c r="CV143" s="88"/>
      <c r="CW143" s="88"/>
      <c r="CX143" s="88"/>
      <c r="CY143" s="88"/>
      <c r="CZ143" s="88"/>
      <c r="DA143" s="88"/>
      <c r="DB143" s="88"/>
      <c r="DC143" s="88"/>
      <c r="DD143" s="88"/>
      <c r="DE143" s="88"/>
      <c r="DF143" s="88"/>
      <c r="DG143" s="88"/>
      <c r="DH143" s="88"/>
      <c r="DI143" s="88"/>
      <c r="DJ143" s="88"/>
    </row>
    <row r="144" spans="1:114" hidden="1">
      <c r="A144" s="88"/>
      <c r="B144" s="88"/>
      <c r="C144" s="88"/>
      <c r="D144" s="88"/>
      <c r="E144" s="88"/>
      <c r="F144" s="88"/>
      <c r="G144" s="88"/>
      <c r="H144" s="88"/>
      <c r="I144" s="88"/>
      <c r="J144" s="88"/>
      <c r="K144" s="88"/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8"/>
      <c r="AT144" s="88"/>
      <c r="AU144" s="88"/>
      <c r="AV144" s="88"/>
      <c r="AW144" s="88"/>
      <c r="AX144" s="88"/>
      <c r="AY144" s="88"/>
      <c r="AZ144" s="88"/>
      <c r="BA144" s="88"/>
      <c r="BB144" s="88"/>
      <c r="BC144" s="88"/>
      <c r="BD144" s="88"/>
      <c r="BE144" s="88"/>
      <c r="BF144" s="88"/>
      <c r="BG144" s="88"/>
      <c r="BH144" s="88"/>
      <c r="BI144" s="88"/>
      <c r="BJ144" s="88"/>
      <c r="BK144" s="88"/>
      <c r="BL144" s="88"/>
      <c r="BM144" s="88"/>
      <c r="BN144" s="88"/>
      <c r="BO144" s="88"/>
      <c r="BP144" s="88"/>
      <c r="BQ144" s="88"/>
      <c r="BR144" s="88"/>
      <c r="BS144" s="88"/>
      <c r="BT144" s="88"/>
      <c r="BU144" s="88"/>
      <c r="BV144" s="88"/>
      <c r="BW144" s="88"/>
      <c r="BX144" s="88"/>
      <c r="BY144" s="88"/>
      <c r="BZ144" s="88"/>
      <c r="CA144" s="88"/>
      <c r="CB144" s="88"/>
      <c r="CC144" s="88"/>
      <c r="CD144" s="88"/>
      <c r="CE144" s="88"/>
      <c r="CF144" s="88"/>
      <c r="CG144" s="88"/>
      <c r="CH144" s="88"/>
      <c r="CI144" s="88"/>
      <c r="CJ144" s="88"/>
      <c r="CK144" s="88"/>
      <c r="CL144" s="88"/>
      <c r="CM144" s="88"/>
      <c r="CN144" s="88"/>
      <c r="CO144" s="88"/>
      <c r="CP144" s="88"/>
      <c r="CQ144" s="88"/>
      <c r="CR144" s="88"/>
      <c r="CS144" s="88"/>
      <c r="CT144" s="88"/>
      <c r="CU144" s="88"/>
      <c r="CV144" s="88"/>
      <c r="CW144" s="88"/>
      <c r="CX144" s="88"/>
      <c r="CY144" s="88"/>
      <c r="CZ144" s="88"/>
      <c r="DA144" s="88"/>
      <c r="DB144" s="88"/>
      <c r="DC144" s="88"/>
      <c r="DD144" s="88"/>
      <c r="DE144" s="88"/>
      <c r="DF144" s="88"/>
      <c r="DG144" s="88"/>
      <c r="DH144" s="88"/>
      <c r="DI144" s="88"/>
      <c r="DJ144" s="88"/>
    </row>
    <row r="145" spans="1:114" hidden="1">
      <c r="A145" s="88"/>
      <c r="B145" s="88"/>
      <c r="C145" s="88"/>
      <c r="D145" s="88"/>
      <c r="E145" s="88"/>
      <c r="F145" s="88"/>
      <c r="G145" s="88"/>
      <c r="H145" s="88"/>
      <c r="I145" s="88"/>
      <c r="J145" s="88"/>
      <c r="K145" s="88"/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8"/>
      <c r="AT145" s="88"/>
      <c r="AU145" s="88"/>
      <c r="AV145" s="88"/>
      <c r="AW145" s="88"/>
      <c r="AX145" s="88"/>
      <c r="AY145" s="88"/>
      <c r="AZ145" s="88"/>
      <c r="BA145" s="88"/>
      <c r="BB145" s="88"/>
      <c r="BC145" s="88"/>
      <c r="BD145" s="88"/>
      <c r="BE145" s="88"/>
      <c r="BF145" s="88"/>
      <c r="BG145" s="88"/>
      <c r="BH145" s="88"/>
      <c r="BI145" s="88"/>
      <c r="BJ145" s="88"/>
      <c r="BK145" s="88"/>
      <c r="BL145" s="88"/>
      <c r="BM145" s="88"/>
      <c r="BN145" s="88"/>
      <c r="BO145" s="88"/>
      <c r="BP145" s="88"/>
      <c r="BQ145" s="88"/>
      <c r="BR145" s="88"/>
      <c r="BS145" s="88"/>
      <c r="BT145" s="88"/>
      <c r="BU145" s="88"/>
      <c r="BV145" s="88"/>
      <c r="BW145" s="88"/>
      <c r="BX145" s="88"/>
      <c r="BY145" s="88"/>
      <c r="BZ145" s="88"/>
      <c r="CA145" s="88"/>
      <c r="CB145" s="88"/>
      <c r="CC145" s="88"/>
      <c r="CD145" s="88"/>
      <c r="CE145" s="88"/>
      <c r="CF145" s="88"/>
      <c r="CG145" s="88"/>
      <c r="CH145" s="88"/>
      <c r="CI145" s="88"/>
      <c r="CJ145" s="88"/>
      <c r="CK145" s="88"/>
      <c r="CL145" s="88"/>
      <c r="CM145" s="88"/>
      <c r="CN145" s="88"/>
      <c r="CO145" s="88"/>
      <c r="CP145" s="88"/>
      <c r="CQ145" s="88"/>
      <c r="CR145" s="88"/>
      <c r="CS145" s="88"/>
      <c r="CT145" s="88"/>
      <c r="CU145" s="88"/>
      <c r="CV145" s="88"/>
      <c r="CW145" s="88"/>
      <c r="CX145" s="88"/>
      <c r="CY145" s="88"/>
      <c r="CZ145" s="88"/>
      <c r="DA145" s="88"/>
      <c r="DB145" s="88"/>
      <c r="DC145" s="88"/>
      <c r="DD145" s="88"/>
      <c r="DE145" s="88"/>
      <c r="DF145" s="88"/>
      <c r="DG145" s="88"/>
      <c r="DH145" s="88"/>
      <c r="DI145" s="88"/>
      <c r="DJ145" s="88"/>
    </row>
    <row r="146" spans="1:114" hidden="1">
      <c r="A146" s="88"/>
      <c r="B146" s="88"/>
      <c r="C146" s="88"/>
      <c r="D146" s="88"/>
      <c r="E146" s="88"/>
      <c r="F146" s="88"/>
      <c r="G146" s="88"/>
      <c r="H146" s="88"/>
      <c r="I146" s="88"/>
      <c r="J146" s="88"/>
      <c r="K146" s="88"/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8"/>
      <c r="AT146" s="88"/>
      <c r="AU146" s="88"/>
      <c r="AV146" s="88"/>
      <c r="AW146" s="88"/>
      <c r="AX146" s="88"/>
      <c r="AY146" s="88"/>
      <c r="AZ146" s="88"/>
      <c r="BA146" s="88"/>
      <c r="BB146" s="88"/>
      <c r="BC146" s="88"/>
      <c r="BD146" s="88"/>
      <c r="BE146" s="88"/>
      <c r="BF146" s="88"/>
      <c r="BG146" s="88"/>
      <c r="BH146" s="88"/>
      <c r="BI146" s="88"/>
      <c r="BJ146" s="88"/>
      <c r="BK146" s="88"/>
      <c r="BL146" s="88"/>
      <c r="BM146" s="88"/>
      <c r="BN146" s="88"/>
      <c r="BO146" s="88"/>
      <c r="BP146" s="88"/>
      <c r="BQ146" s="88"/>
      <c r="BR146" s="88"/>
      <c r="BS146" s="88"/>
      <c r="BT146" s="88"/>
      <c r="BU146" s="88"/>
      <c r="BV146" s="88"/>
      <c r="BW146" s="88"/>
      <c r="BX146" s="88"/>
      <c r="BY146" s="88"/>
      <c r="BZ146" s="88"/>
      <c r="CA146" s="88"/>
      <c r="CB146" s="88"/>
      <c r="CC146" s="88"/>
      <c r="CD146" s="88"/>
      <c r="CE146" s="88"/>
      <c r="CF146" s="88"/>
      <c r="CG146" s="88"/>
      <c r="CH146" s="88"/>
      <c r="CI146" s="88"/>
      <c r="CJ146" s="88"/>
      <c r="CK146" s="88"/>
      <c r="CL146" s="88"/>
      <c r="CM146" s="88"/>
      <c r="CN146" s="88"/>
      <c r="CO146" s="88"/>
      <c r="CP146" s="88"/>
      <c r="CQ146" s="88"/>
      <c r="CR146" s="88"/>
      <c r="CS146" s="88"/>
      <c r="CT146" s="88"/>
      <c r="CU146" s="88"/>
      <c r="CV146" s="88"/>
      <c r="CW146" s="88"/>
      <c r="CX146" s="88"/>
      <c r="CY146" s="88"/>
      <c r="CZ146" s="88"/>
      <c r="DA146" s="88"/>
      <c r="DB146" s="88"/>
      <c r="DC146" s="88"/>
      <c r="DD146" s="88"/>
      <c r="DE146" s="88"/>
      <c r="DF146" s="88"/>
      <c r="DG146" s="88"/>
      <c r="DH146" s="88"/>
      <c r="DI146" s="88"/>
      <c r="DJ146" s="88"/>
    </row>
    <row r="147" spans="1:114" hidden="1">
      <c r="A147" s="88"/>
      <c r="B147" s="88"/>
      <c r="C147" s="88"/>
      <c r="D147" s="88"/>
      <c r="E147" s="88"/>
      <c r="F147" s="88"/>
      <c r="G147" s="88"/>
      <c r="H147" s="88"/>
      <c r="I147" s="88"/>
      <c r="J147" s="88"/>
      <c r="K147" s="88"/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8"/>
      <c r="AT147" s="88"/>
      <c r="AU147" s="88"/>
      <c r="AV147" s="88"/>
      <c r="AW147" s="88"/>
      <c r="AX147" s="88"/>
      <c r="AY147" s="88"/>
      <c r="AZ147" s="88"/>
      <c r="BA147" s="88"/>
      <c r="BB147" s="88"/>
      <c r="BC147" s="88"/>
      <c r="BD147" s="88"/>
      <c r="BE147" s="88"/>
      <c r="BF147" s="88"/>
      <c r="BG147" s="88"/>
      <c r="BH147" s="88"/>
      <c r="BI147" s="88"/>
      <c r="BJ147" s="88"/>
      <c r="BK147" s="88"/>
      <c r="BL147" s="88"/>
      <c r="BM147" s="88"/>
      <c r="BN147" s="88"/>
      <c r="BO147" s="88"/>
      <c r="BP147" s="88"/>
      <c r="BQ147" s="88"/>
      <c r="BR147" s="88"/>
      <c r="BS147" s="88"/>
      <c r="BT147" s="88"/>
      <c r="BU147" s="88"/>
      <c r="BV147" s="88"/>
      <c r="BW147" s="88"/>
      <c r="BX147" s="88"/>
      <c r="BY147" s="88"/>
      <c r="BZ147" s="88"/>
      <c r="CA147" s="88"/>
      <c r="CB147" s="88"/>
      <c r="CC147" s="88"/>
      <c r="CD147" s="88"/>
      <c r="CE147" s="88"/>
      <c r="CF147" s="88"/>
      <c r="CG147" s="88"/>
      <c r="CH147" s="88"/>
      <c r="CI147" s="88"/>
      <c r="CJ147" s="88"/>
      <c r="CK147" s="88"/>
      <c r="CL147" s="88"/>
      <c r="CM147" s="88"/>
      <c r="CN147" s="88"/>
      <c r="CO147" s="88"/>
      <c r="CP147" s="88"/>
      <c r="CQ147" s="88"/>
      <c r="CR147" s="88"/>
      <c r="CS147" s="88"/>
      <c r="CT147" s="88"/>
      <c r="CU147" s="88"/>
      <c r="CV147" s="88"/>
      <c r="CW147" s="88"/>
      <c r="CX147" s="88"/>
      <c r="CY147" s="88"/>
      <c r="CZ147" s="88"/>
      <c r="DA147" s="88"/>
      <c r="DB147" s="88"/>
      <c r="DC147" s="88"/>
      <c r="DD147" s="88"/>
      <c r="DE147" s="88"/>
      <c r="DF147" s="88"/>
      <c r="DG147" s="88"/>
      <c r="DH147" s="88"/>
      <c r="DI147" s="88"/>
      <c r="DJ147" s="88"/>
    </row>
    <row r="148" spans="1:114" hidden="1">
      <c r="A148" s="88"/>
      <c r="B148" s="88"/>
      <c r="C148" s="88"/>
      <c r="D148" s="88"/>
      <c r="E148" s="88"/>
      <c r="F148" s="88"/>
      <c r="G148" s="88"/>
      <c r="H148" s="88"/>
      <c r="I148" s="88"/>
      <c r="J148" s="88"/>
      <c r="K148" s="88"/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8"/>
      <c r="AT148" s="88"/>
      <c r="AU148" s="88"/>
      <c r="AV148" s="88"/>
      <c r="AW148" s="88"/>
      <c r="AX148" s="88"/>
      <c r="AY148" s="88"/>
      <c r="AZ148" s="88"/>
      <c r="BA148" s="88"/>
      <c r="BB148" s="88"/>
      <c r="BC148" s="88"/>
      <c r="BD148" s="88"/>
      <c r="BE148" s="88"/>
      <c r="BF148" s="88"/>
      <c r="BG148" s="88"/>
      <c r="BH148" s="88"/>
      <c r="BI148" s="88"/>
      <c r="BJ148" s="88"/>
      <c r="BK148" s="88"/>
      <c r="BL148" s="88"/>
      <c r="BM148" s="88"/>
      <c r="BN148" s="88"/>
      <c r="BO148" s="88"/>
      <c r="BP148" s="88"/>
      <c r="BQ148" s="88"/>
      <c r="BR148" s="88"/>
      <c r="BS148" s="88"/>
      <c r="BT148" s="88"/>
      <c r="BU148" s="88"/>
      <c r="BV148" s="88"/>
      <c r="BW148" s="88"/>
      <c r="BX148" s="88"/>
      <c r="BY148" s="88"/>
      <c r="BZ148" s="88"/>
      <c r="CA148" s="88"/>
      <c r="CB148" s="88"/>
      <c r="CC148" s="88"/>
      <c r="CD148" s="88"/>
      <c r="CE148" s="88"/>
      <c r="CF148" s="88"/>
      <c r="CG148" s="88"/>
      <c r="CH148" s="88"/>
      <c r="CI148" s="88"/>
      <c r="CJ148" s="88"/>
      <c r="CK148" s="88"/>
      <c r="CL148" s="88"/>
      <c r="CM148" s="88"/>
      <c r="CN148" s="88"/>
      <c r="CO148" s="88"/>
      <c r="CP148" s="88"/>
      <c r="CQ148" s="88"/>
      <c r="CR148" s="88"/>
      <c r="CS148" s="88"/>
      <c r="CT148" s="88"/>
      <c r="CU148" s="88"/>
      <c r="CV148" s="88"/>
      <c r="CW148" s="88"/>
      <c r="CX148" s="88"/>
      <c r="CY148" s="88"/>
      <c r="CZ148" s="88"/>
      <c r="DA148" s="88"/>
      <c r="DB148" s="88"/>
      <c r="DC148" s="88"/>
      <c r="DD148" s="88"/>
      <c r="DE148" s="88"/>
      <c r="DF148" s="88"/>
      <c r="DG148" s="88"/>
      <c r="DH148" s="88"/>
      <c r="DI148" s="88"/>
      <c r="DJ148" s="88"/>
    </row>
    <row r="149" spans="1:114" hidden="1">
      <c r="A149" s="88"/>
      <c r="B149" s="88"/>
      <c r="C149" s="88"/>
      <c r="D149" s="88"/>
      <c r="E149" s="88"/>
      <c r="F149" s="88"/>
      <c r="G149" s="88"/>
      <c r="H149" s="88"/>
      <c r="I149" s="88"/>
      <c r="J149" s="88"/>
      <c r="K149" s="88"/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8"/>
      <c r="AT149" s="88"/>
      <c r="AU149" s="88"/>
      <c r="AV149" s="88"/>
      <c r="AW149" s="88"/>
      <c r="AX149" s="88"/>
      <c r="AY149" s="88"/>
      <c r="AZ149" s="88"/>
      <c r="BA149" s="88"/>
      <c r="BB149" s="88"/>
      <c r="BC149" s="88"/>
      <c r="BD149" s="88"/>
      <c r="BE149" s="88"/>
      <c r="BF149" s="88"/>
      <c r="BG149" s="88"/>
      <c r="BH149" s="88"/>
      <c r="BI149" s="88"/>
      <c r="BJ149" s="88"/>
      <c r="BK149" s="88"/>
      <c r="BL149" s="88"/>
      <c r="BM149" s="88"/>
      <c r="BN149" s="88"/>
      <c r="BO149" s="88"/>
      <c r="BP149" s="88"/>
      <c r="BQ149" s="88"/>
      <c r="BR149" s="88"/>
      <c r="BS149" s="88"/>
      <c r="BT149" s="88"/>
      <c r="BU149" s="88"/>
      <c r="BV149" s="88"/>
      <c r="BW149" s="88"/>
      <c r="BX149" s="88"/>
      <c r="BY149" s="88"/>
      <c r="BZ149" s="88"/>
      <c r="CA149" s="88"/>
      <c r="CB149" s="88"/>
      <c r="CC149" s="88"/>
      <c r="CD149" s="88"/>
      <c r="CE149" s="88"/>
      <c r="CF149" s="88"/>
      <c r="CG149" s="88"/>
      <c r="CH149" s="88"/>
      <c r="CI149" s="88"/>
      <c r="CJ149" s="88"/>
      <c r="CK149" s="88"/>
      <c r="CL149" s="88"/>
      <c r="CM149" s="88"/>
      <c r="CN149" s="88"/>
      <c r="CO149" s="88"/>
      <c r="CP149" s="88"/>
      <c r="CQ149" s="88"/>
      <c r="CR149" s="88"/>
      <c r="CS149" s="88"/>
      <c r="CT149" s="88"/>
      <c r="CU149" s="88"/>
      <c r="CV149" s="88"/>
      <c r="CW149" s="88"/>
      <c r="CX149" s="88"/>
      <c r="CY149" s="88"/>
      <c r="CZ149" s="88"/>
      <c r="DA149" s="88"/>
      <c r="DB149" s="88"/>
      <c r="DC149" s="88"/>
      <c r="DD149" s="88"/>
      <c r="DE149" s="88"/>
      <c r="DF149" s="88"/>
      <c r="DG149" s="88"/>
      <c r="DH149" s="88"/>
      <c r="DI149" s="88"/>
      <c r="DJ149" s="88"/>
    </row>
    <row r="150" spans="1:114" hidden="1">
      <c r="A150" s="88"/>
      <c r="B150" s="88"/>
      <c r="C150" s="88"/>
      <c r="D150" s="88"/>
      <c r="E150" s="88"/>
      <c r="F150" s="88"/>
      <c r="G150" s="88"/>
      <c r="H150" s="88"/>
      <c r="I150" s="88"/>
      <c r="J150" s="88"/>
      <c r="K150" s="88"/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8"/>
      <c r="AT150" s="88"/>
      <c r="AU150" s="88"/>
      <c r="AV150" s="88"/>
      <c r="AW150" s="88"/>
      <c r="AX150" s="88"/>
      <c r="AY150" s="88"/>
      <c r="AZ150" s="88"/>
      <c r="BA150" s="88"/>
      <c r="BB150" s="88"/>
      <c r="BC150" s="88"/>
      <c r="BD150" s="88"/>
      <c r="BE150" s="88"/>
      <c r="BF150" s="88"/>
      <c r="BG150" s="88"/>
      <c r="BH150" s="88"/>
      <c r="BI150" s="88"/>
      <c r="BJ150" s="88"/>
      <c r="BK150" s="88"/>
      <c r="BL150" s="88"/>
      <c r="BM150" s="88"/>
      <c r="BN150" s="88"/>
      <c r="BO150" s="88"/>
      <c r="BP150" s="88"/>
      <c r="BQ150" s="88"/>
      <c r="BR150" s="88"/>
      <c r="BS150" s="88"/>
      <c r="BT150" s="88"/>
      <c r="BU150" s="88"/>
      <c r="BV150" s="88"/>
      <c r="BW150" s="88"/>
      <c r="BX150" s="88"/>
      <c r="BY150" s="88"/>
      <c r="BZ150" s="88"/>
      <c r="CA150" s="88"/>
      <c r="CB150" s="88"/>
      <c r="CC150" s="88"/>
      <c r="CD150" s="88"/>
      <c r="CE150" s="88"/>
      <c r="CF150" s="88"/>
      <c r="CG150" s="88"/>
      <c r="CH150" s="88"/>
      <c r="CI150" s="88"/>
      <c r="CJ150" s="88"/>
      <c r="CK150" s="88"/>
      <c r="CL150" s="88"/>
      <c r="CM150" s="88"/>
      <c r="CN150" s="88"/>
      <c r="CO150" s="88"/>
      <c r="CP150" s="88"/>
      <c r="CQ150" s="88"/>
      <c r="CR150" s="88"/>
      <c r="CS150" s="88"/>
      <c r="CT150" s="88"/>
      <c r="CU150" s="88"/>
      <c r="CV150" s="88"/>
      <c r="CW150" s="88"/>
      <c r="CX150" s="88"/>
      <c r="CY150" s="88"/>
      <c r="CZ150" s="88"/>
      <c r="DA150" s="88"/>
      <c r="DB150" s="88"/>
      <c r="DC150" s="88"/>
      <c r="DD150" s="88"/>
      <c r="DE150" s="88"/>
      <c r="DF150" s="88"/>
      <c r="DG150" s="88"/>
      <c r="DH150" s="88"/>
      <c r="DI150" s="88"/>
      <c r="DJ150" s="88"/>
    </row>
    <row r="151" spans="1:114" hidden="1">
      <c r="A151" s="88"/>
      <c r="B151" s="88"/>
      <c r="C151" s="88"/>
      <c r="D151" s="88"/>
      <c r="E151" s="88"/>
      <c r="F151" s="88"/>
      <c r="G151" s="88"/>
      <c r="H151" s="88"/>
      <c r="I151" s="88"/>
      <c r="J151" s="88"/>
      <c r="K151" s="88"/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8"/>
      <c r="AT151" s="88"/>
      <c r="AU151" s="88"/>
      <c r="AV151" s="88"/>
      <c r="AW151" s="88"/>
      <c r="AX151" s="88"/>
      <c r="AY151" s="88"/>
      <c r="AZ151" s="88"/>
      <c r="BA151" s="88"/>
      <c r="BB151" s="88"/>
      <c r="BC151" s="88"/>
      <c r="BD151" s="88"/>
      <c r="BE151" s="88"/>
      <c r="BF151" s="88"/>
      <c r="BG151" s="88"/>
      <c r="BH151" s="88"/>
      <c r="BI151" s="88"/>
      <c r="BJ151" s="88"/>
      <c r="BK151" s="88"/>
      <c r="BL151" s="88"/>
      <c r="BM151" s="88"/>
      <c r="BN151" s="88"/>
      <c r="BO151" s="88"/>
      <c r="BP151" s="88"/>
      <c r="BQ151" s="88"/>
      <c r="BR151" s="88"/>
      <c r="BS151" s="88"/>
      <c r="BT151" s="88"/>
      <c r="BU151" s="88"/>
      <c r="BV151" s="88"/>
      <c r="BW151" s="88"/>
      <c r="BX151" s="88"/>
      <c r="BY151" s="88"/>
      <c r="BZ151" s="88"/>
      <c r="CA151" s="88"/>
      <c r="CB151" s="88"/>
      <c r="CC151" s="88"/>
      <c r="CD151" s="88"/>
      <c r="CE151" s="88"/>
      <c r="CF151" s="88"/>
      <c r="CG151" s="88"/>
      <c r="CH151" s="88"/>
      <c r="CI151" s="88"/>
      <c r="CJ151" s="88"/>
      <c r="CK151" s="88"/>
      <c r="CL151" s="88"/>
      <c r="CM151" s="88"/>
      <c r="CN151" s="88"/>
      <c r="CO151" s="88"/>
      <c r="CP151" s="88"/>
      <c r="CQ151" s="88"/>
      <c r="CR151" s="88"/>
      <c r="CS151" s="88"/>
      <c r="CT151" s="88"/>
      <c r="CU151" s="88"/>
      <c r="CV151" s="88"/>
      <c r="CW151" s="88"/>
      <c r="CX151" s="88"/>
      <c r="CY151" s="88"/>
      <c r="CZ151" s="88"/>
      <c r="DA151" s="88"/>
      <c r="DB151" s="88"/>
      <c r="DC151" s="88"/>
      <c r="DD151" s="88"/>
      <c r="DE151" s="88"/>
      <c r="DF151" s="88"/>
      <c r="DG151" s="88"/>
      <c r="DH151" s="88"/>
      <c r="DI151" s="88"/>
      <c r="DJ151" s="88"/>
    </row>
    <row r="152" spans="1:114" hidden="1">
      <c r="A152" s="88"/>
      <c r="B152" s="108"/>
      <c r="C152" s="109">
        <v>1</v>
      </c>
      <c r="D152" s="110"/>
      <c r="E152" s="110"/>
      <c r="F152" s="110"/>
      <c r="G152" s="110"/>
      <c r="H152" s="110"/>
      <c r="I152" s="110"/>
      <c r="J152" s="110"/>
      <c r="K152" s="110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8"/>
      <c r="AT152" s="88"/>
      <c r="AU152" s="88"/>
      <c r="AV152" s="88"/>
      <c r="AW152" s="88"/>
      <c r="AX152" s="88"/>
      <c r="AY152" s="88"/>
      <c r="AZ152" s="88"/>
      <c r="BA152" s="88"/>
      <c r="BB152" s="88"/>
      <c r="BC152" s="88"/>
      <c r="BD152" s="88"/>
      <c r="BE152" s="88"/>
      <c r="BF152" s="88"/>
      <c r="BG152" s="88"/>
      <c r="BH152" s="88"/>
      <c r="BI152" s="88"/>
      <c r="BJ152" s="88"/>
      <c r="BK152" s="88"/>
      <c r="BL152" s="88"/>
      <c r="BM152" s="88"/>
      <c r="BN152" s="88"/>
      <c r="BO152" s="88"/>
      <c r="BP152" s="88"/>
      <c r="BQ152" s="88"/>
      <c r="BR152" s="88"/>
      <c r="BS152" s="88"/>
      <c r="BT152" s="88"/>
      <c r="BU152" s="88"/>
      <c r="BV152" s="88"/>
      <c r="BW152" s="88"/>
      <c r="BX152" s="88"/>
      <c r="BY152" s="88"/>
      <c r="BZ152" s="88"/>
      <c r="CA152" s="88"/>
      <c r="CB152" s="88"/>
      <c r="CC152" s="88"/>
      <c r="CD152" s="88"/>
      <c r="CE152" s="88"/>
      <c r="CF152" s="88"/>
      <c r="CG152" s="88"/>
      <c r="CH152" s="88"/>
      <c r="CI152" s="88"/>
      <c r="CJ152" s="88"/>
      <c r="CK152" s="88"/>
      <c r="CL152" s="88"/>
      <c r="CM152" s="88"/>
      <c r="CN152" s="88"/>
      <c r="CO152" s="88"/>
      <c r="CP152" s="88"/>
      <c r="CQ152" s="88"/>
      <c r="CR152" s="88"/>
      <c r="CS152" s="88"/>
      <c r="CT152" s="88"/>
      <c r="CU152" s="88"/>
      <c r="CV152" s="88"/>
      <c r="CW152" s="88"/>
      <c r="CX152" s="88"/>
      <c r="CY152" s="88"/>
      <c r="CZ152" s="88"/>
      <c r="DA152" s="88"/>
      <c r="DB152" s="88"/>
      <c r="DC152" s="88"/>
      <c r="DD152" s="88"/>
      <c r="DE152" s="88"/>
      <c r="DF152" s="88"/>
      <c r="DG152" s="88"/>
      <c r="DH152" s="88"/>
      <c r="DI152" s="88"/>
      <c r="DJ152" s="88"/>
    </row>
    <row r="153" spans="1:114" hidden="1">
      <c r="A153" s="88"/>
      <c r="B153" s="108"/>
      <c r="C153" s="110"/>
      <c r="D153" s="110"/>
      <c r="E153" s="110"/>
      <c r="F153" s="110"/>
      <c r="G153" s="110"/>
      <c r="H153" s="110"/>
      <c r="I153" s="110"/>
      <c r="J153" s="110"/>
      <c r="K153" s="110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88"/>
      <c r="AK153" s="88"/>
      <c r="AL153" s="88"/>
      <c r="AM153" s="88"/>
      <c r="AN153" s="88"/>
      <c r="AO153" s="88"/>
      <c r="AP153" s="88"/>
      <c r="AQ153" s="88"/>
      <c r="AR153" s="88"/>
      <c r="AS153" s="88"/>
      <c r="AT153" s="88"/>
      <c r="AU153" s="88"/>
      <c r="AV153" s="88"/>
      <c r="AW153" s="88"/>
      <c r="AX153" s="88"/>
      <c r="AY153" s="88"/>
      <c r="AZ153" s="88"/>
      <c r="BA153" s="88"/>
      <c r="BB153" s="88"/>
      <c r="BC153" s="88"/>
      <c r="BD153" s="88"/>
      <c r="BE153" s="88"/>
      <c r="BF153" s="88"/>
      <c r="BG153" s="88"/>
      <c r="BH153" s="88"/>
      <c r="BI153" s="88"/>
      <c r="BJ153" s="88"/>
      <c r="BK153" s="88"/>
      <c r="BL153" s="88"/>
      <c r="BM153" s="88"/>
      <c r="BN153" s="88"/>
      <c r="BO153" s="88"/>
      <c r="BP153" s="88"/>
      <c r="BQ153" s="88"/>
      <c r="BR153" s="88"/>
      <c r="BS153" s="88"/>
      <c r="BT153" s="88"/>
      <c r="BU153" s="88"/>
      <c r="BV153" s="88"/>
      <c r="BW153" s="88"/>
      <c r="BX153" s="88"/>
      <c r="BY153" s="88"/>
      <c r="BZ153" s="88"/>
      <c r="CA153" s="88"/>
      <c r="CB153" s="88"/>
      <c r="CC153" s="88"/>
      <c r="CD153" s="88"/>
      <c r="CE153" s="88"/>
      <c r="CF153" s="88"/>
      <c r="CG153" s="88"/>
      <c r="CH153" s="88"/>
      <c r="CI153" s="88"/>
      <c r="CJ153" s="88"/>
      <c r="CK153" s="88"/>
      <c r="CL153" s="88"/>
      <c r="CM153" s="88"/>
      <c r="CN153" s="88"/>
      <c r="CO153" s="88"/>
      <c r="CP153" s="88"/>
      <c r="CQ153" s="88"/>
      <c r="CR153" s="88"/>
      <c r="CS153" s="88"/>
      <c r="CT153" s="88"/>
      <c r="CU153" s="88"/>
      <c r="CV153" s="88"/>
      <c r="CW153" s="88"/>
      <c r="CX153" s="88"/>
      <c r="CY153" s="88"/>
      <c r="CZ153" s="88"/>
      <c r="DA153" s="88"/>
      <c r="DB153" s="88"/>
      <c r="DC153" s="88"/>
      <c r="DD153" s="88"/>
      <c r="DE153" s="88"/>
      <c r="DF153" s="88"/>
      <c r="DG153" s="88"/>
      <c r="DH153" s="88"/>
      <c r="DI153" s="88"/>
      <c r="DJ153" s="88"/>
    </row>
    <row r="154" spans="1:114" hidden="1">
      <c r="A154" s="88"/>
      <c r="B154" s="108"/>
      <c r="C154" s="110">
        <f>IF(_aviso=1,aviso1anopro,aviso1ano)</f>
        <v>48</v>
      </c>
      <c r="D154" s="110"/>
      <c r="E154" s="110"/>
      <c r="F154" s="110"/>
      <c r="G154" s="110"/>
      <c r="H154" s="110"/>
      <c r="I154" s="110"/>
      <c r="J154" s="110"/>
      <c r="K154" s="110"/>
      <c r="L154" s="88"/>
      <c r="M154" s="88"/>
      <c r="N154" s="88"/>
      <c r="O154" s="88"/>
      <c r="P154" s="88"/>
      <c r="Q154" s="88"/>
      <c r="R154" s="88"/>
      <c r="S154" s="88"/>
      <c r="T154" s="88"/>
      <c r="U154" s="88"/>
      <c r="V154" s="88"/>
      <c r="W154" s="88"/>
      <c r="X154" s="88"/>
      <c r="Y154" s="88"/>
      <c r="Z154" s="88"/>
      <c r="AA154" s="88"/>
      <c r="AB154" s="88"/>
      <c r="AC154" s="88"/>
      <c r="AD154" s="88"/>
      <c r="AE154" s="88"/>
      <c r="AF154" s="88"/>
      <c r="AG154" s="88"/>
      <c r="AH154" s="88"/>
      <c r="AI154" s="88"/>
      <c r="AJ154" s="88"/>
      <c r="AK154" s="88"/>
      <c r="AL154" s="88"/>
      <c r="AM154" s="88"/>
      <c r="AN154" s="88"/>
      <c r="AO154" s="88"/>
      <c r="AP154" s="88"/>
      <c r="AQ154" s="88"/>
      <c r="AR154" s="88"/>
      <c r="AS154" s="88"/>
      <c r="AT154" s="88"/>
      <c r="AU154" s="88"/>
      <c r="AV154" s="88"/>
      <c r="AW154" s="88"/>
      <c r="AX154" s="88"/>
      <c r="AY154" s="88"/>
      <c r="AZ154" s="88"/>
      <c r="BA154" s="88"/>
      <c r="BB154" s="88"/>
      <c r="BC154" s="88"/>
      <c r="BD154" s="88"/>
      <c r="BE154" s="88"/>
      <c r="BF154" s="88"/>
      <c r="BG154" s="88"/>
      <c r="BH154" s="88"/>
      <c r="BI154" s="88"/>
      <c r="BJ154" s="88"/>
      <c r="BK154" s="88"/>
      <c r="BL154" s="88"/>
      <c r="BM154" s="88"/>
      <c r="BN154" s="88"/>
      <c r="BO154" s="88"/>
      <c r="BP154" s="88"/>
      <c r="BQ154" s="88"/>
      <c r="BR154" s="88"/>
      <c r="BS154" s="88"/>
      <c r="BT154" s="88"/>
      <c r="BU154" s="88"/>
      <c r="BV154" s="88"/>
      <c r="BW154" s="88"/>
      <c r="BX154" s="88"/>
      <c r="BY154" s="88"/>
      <c r="BZ154" s="88"/>
      <c r="CA154" s="88"/>
      <c r="CB154" s="88"/>
      <c r="CC154" s="88"/>
      <c r="CD154" s="88"/>
      <c r="CE154" s="88"/>
      <c r="CF154" s="88"/>
      <c r="CG154" s="88"/>
      <c r="CH154" s="88"/>
      <c r="CI154" s="88"/>
      <c r="CJ154" s="88"/>
      <c r="CK154" s="88"/>
      <c r="CL154" s="88"/>
      <c r="CM154" s="88"/>
      <c r="CN154" s="88"/>
      <c r="CO154" s="88"/>
      <c r="CP154" s="88"/>
      <c r="CQ154" s="88"/>
      <c r="CR154" s="88"/>
      <c r="CS154" s="88"/>
      <c r="CT154" s="88"/>
      <c r="CU154" s="88"/>
      <c r="CV154" s="88"/>
      <c r="CW154" s="88"/>
      <c r="CX154" s="88"/>
      <c r="CY154" s="88"/>
      <c r="CZ154" s="88"/>
      <c r="DA154" s="88"/>
      <c r="DB154" s="88"/>
      <c r="DC154" s="88"/>
      <c r="DD154" s="88"/>
      <c r="DE154" s="88"/>
      <c r="DF154" s="88"/>
      <c r="DG154" s="88"/>
      <c r="DH154" s="88"/>
      <c r="DI154" s="88"/>
      <c r="DJ154" s="88"/>
    </row>
    <row r="155" spans="1:114" hidden="1">
      <c r="A155" s="88"/>
      <c r="B155" s="108"/>
      <c r="C155" s="110"/>
      <c r="D155" s="110"/>
      <c r="E155" s="110"/>
      <c r="F155" s="110"/>
      <c r="G155" s="110"/>
      <c r="H155" s="110"/>
      <c r="I155" s="110"/>
      <c r="J155" s="110"/>
      <c r="K155" s="110"/>
      <c r="L155" s="88"/>
      <c r="M155" s="88"/>
      <c r="N155" s="88"/>
      <c r="O155" s="88"/>
      <c r="P155" s="88"/>
      <c r="Q155" s="88"/>
      <c r="R155" s="88"/>
      <c r="S155" s="88"/>
      <c r="T155" s="88"/>
      <c r="U155" s="88"/>
      <c r="V155" s="88"/>
      <c r="W155" s="88"/>
      <c r="X155" s="88"/>
      <c r="Y155" s="88"/>
      <c r="Z155" s="88"/>
      <c r="AA155" s="88"/>
      <c r="AB155" s="88"/>
      <c r="AC155" s="88"/>
      <c r="AD155" s="88"/>
      <c r="AE155" s="88"/>
      <c r="AF155" s="88"/>
      <c r="AG155" s="88"/>
      <c r="AH155" s="88"/>
      <c r="AI155" s="88"/>
      <c r="AJ155" s="88"/>
      <c r="AK155" s="88"/>
      <c r="AL155" s="88"/>
      <c r="AM155" s="88"/>
      <c r="AN155" s="88"/>
      <c r="AO155" s="88"/>
      <c r="AP155" s="88"/>
      <c r="AQ155" s="88"/>
      <c r="AR155" s="88"/>
      <c r="AS155" s="88"/>
      <c r="AT155" s="88"/>
      <c r="AU155" s="88"/>
      <c r="AV155" s="88"/>
      <c r="AW155" s="88"/>
      <c r="AX155" s="88"/>
      <c r="AY155" s="88"/>
      <c r="AZ155" s="88"/>
      <c r="BA155" s="88"/>
      <c r="BB155" s="88"/>
      <c r="BC155" s="88"/>
      <c r="BD155" s="88"/>
      <c r="BE155" s="88"/>
      <c r="BF155" s="88"/>
      <c r="BG155" s="88"/>
      <c r="BH155" s="88"/>
      <c r="BI155" s="88"/>
      <c r="BJ155" s="88"/>
      <c r="BK155" s="88"/>
      <c r="BL155" s="88"/>
      <c r="BM155" s="88"/>
      <c r="BN155" s="88"/>
      <c r="BO155" s="88"/>
      <c r="BP155" s="88"/>
      <c r="BQ155" s="88"/>
      <c r="BR155" s="88"/>
      <c r="BS155" s="88"/>
      <c r="BT155" s="88"/>
      <c r="BU155" s="88"/>
      <c r="BV155" s="88"/>
      <c r="BW155" s="88"/>
      <c r="BX155" s="88"/>
      <c r="BY155" s="88"/>
      <c r="BZ155" s="88"/>
      <c r="CA155" s="88"/>
      <c r="CB155" s="88"/>
      <c r="CC155" s="88"/>
      <c r="CD155" s="88"/>
      <c r="CE155" s="88"/>
      <c r="CF155" s="88"/>
      <c r="CG155" s="88"/>
      <c r="CH155" s="88"/>
      <c r="CI155" s="88"/>
      <c r="CJ155" s="88"/>
      <c r="CK155" s="88"/>
      <c r="CL155" s="88"/>
      <c r="CM155" s="88"/>
      <c r="CN155" s="88"/>
      <c r="CO155" s="88"/>
      <c r="CP155" s="88"/>
      <c r="CQ155" s="88"/>
      <c r="CR155" s="88"/>
      <c r="CS155" s="88"/>
      <c r="CT155" s="88"/>
      <c r="CU155" s="88"/>
      <c r="CV155" s="88"/>
      <c r="CW155" s="88"/>
      <c r="CX155" s="88"/>
      <c r="CY155" s="88"/>
      <c r="CZ155" s="88"/>
      <c r="DA155" s="88"/>
      <c r="DB155" s="88"/>
      <c r="DC155" s="88"/>
      <c r="DD155" s="88"/>
      <c r="DE155" s="88"/>
      <c r="DF155" s="88"/>
      <c r="DG155" s="88"/>
      <c r="DH155" s="88"/>
      <c r="DI155" s="88"/>
      <c r="DJ155" s="88"/>
    </row>
    <row r="156" spans="1:114" hidden="1">
      <c r="A156" s="88"/>
      <c r="B156" s="108"/>
      <c r="C156" s="110">
        <f>Avisoprévio2(admissão,datacom)</f>
        <v>48</v>
      </c>
      <c r="D156" s="110"/>
      <c r="E156" s="110"/>
      <c r="F156" s="110"/>
      <c r="G156" s="110"/>
      <c r="H156" s="110"/>
      <c r="I156" s="110"/>
      <c r="J156" s="110"/>
      <c r="K156" s="110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88"/>
      <c r="AL156" s="88"/>
      <c r="AM156" s="88"/>
      <c r="AN156" s="88"/>
      <c r="AO156" s="88"/>
      <c r="AP156" s="88"/>
      <c r="AQ156" s="88"/>
      <c r="AR156" s="88"/>
      <c r="AS156" s="88"/>
      <c r="AT156" s="88"/>
      <c r="AU156" s="88"/>
      <c r="AV156" s="88"/>
      <c r="AW156" s="88"/>
      <c r="AX156" s="88"/>
      <c r="AY156" s="88"/>
      <c r="AZ156" s="88"/>
      <c r="BA156" s="88"/>
      <c r="BB156" s="88"/>
      <c r="BC156" s="88"/>
      <c r="BD156" s="88"/>
      <c r="BE156" s="88"/>
      <c r="BF156" s="88"/>
      <c r="BG156" s="88"/>
      <c r="BH156" s="88"/>
      <c r="BI156" s="88"/>
      <c r="BJ156" s="88"/>
      <c r="BK156" s="88"/>
      <c r="BL156" s="88"/>
      <c r="BM156" s="88"/>
      <c r="BN156" s="88"/>
      <c r="BO156" s="88"/>
      <c r="BP156" s="88"/>
      <c r="BQ156" s="88"/>
      <c r="BR156" s="88"/>
      <c r="BS156" s="88"/>
      <c r="BT156" s="88"/>
      <c r="BU156" s="88"/>
      <c r="BV156" s="88"/>
      <c r="BW156" s="88"/>
      <c r="BX156" s="88"/>
      <c r="BY156" s="88"/>
      <c r="BZ156" s="88"/>
      <c r="CA156" s="88"/>
      <c r="CB156" s="88"/>
      <c r="CC156" s="88"/>
      <c r="CD156" s="88"/>
      <c r="CE156" s="88"/>
      <c r="CF156" s="88"/>
      <c r="CG156" s="88"/>
      <c r="CH156" s="88"/>
      <c r="CI156" s="88"/>
      <c r="CJ156" s="88"/>
      <c r="CK156" s="88"/>
      <c r="CL156" s="88"/>
      <c r="CM156" s="88"/>
      <c r="CN156" s="88"/>
      <c r="CO156" s="88"/>
      <c r="CP156" s="88"/>
      <c r="CQ156" s="88"/>
      <c r="CR156" s="88"/>
      <c r="CS156" s="88"/>
      <c r="CT156" s="88"/>
      <c r="CU156" s="88"/>
      <c r="CV156" s="88"/>
      <c r="CW156" s="88"/>
      <c r="CX156" s="88"/>
      <c r="CY156" s="88"/>
      <c r="CZ156" s="88"/>
      <c r="DA156" s="88"/>
      <c r="DB156" s="88"/>
      <c r="DC156" s="88"/>
      <c r="DD156" s="88"/>
      <c r="DE156" s="88"/>
      <c r="DF156" s="88"/>
      <c r="DG156" s="88"/>
      <c r="DH156" s="88"/>
      <c r="DI156" s="88"/>
      <c r="DJ156" s="88"/>
    </row>
    <row r="157" spans="1:114" hidden="1">
      <c r="A157" s="88"/>
      <c r="B157" s="108"/>
      <c r="C157" s="110">
        <f>Avisoprévio2P(admissão,datacom)</f>
        <v>48</v>
      </c>
      <c r="D157" s="110"/>
      <c r="E157" s="123"/>
      <c r="F157" s="110"/>
      <c r="G157" s="110"/>
      <c r="H157" s="110"/>
      <c r="I157" s="110"/>
      <c r="J157" s="110"/>
      <c r="K157" s="110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88"/>
      <c r="AL157" s="88"/>
      <c r="AM157" s="88"/>
      <c r="AN157" s="88"/>
      <c r="AO157" s="88"/>
      <c r="AP157" s="88"/>
      <c r="AQ157" s="88"/>
      <c r="AR157" s="88"/>
      <c r="AS157" s="88"/>
      <c r="AT157" s="88"/>
      <c r="AU157" s="88"/>
      <c r="AV157" s="88"/>
      <c r="AW157" s="88"/>
      <c r="AX157" s="88"/>
      <c r="AY157" s="88"/>
      <c r="AZ157" s="88"/>
      <c r="BA157" s="88"/>
      <c r="BB157" s="88"/>
      <c r="BC157" s="88"/>
      <c r="BD157" s="88"/>
      <c r="BE157" s="88"/>
      <c r="BF157" s="88"/>
      <c r="BG157" s="88"/>
      <c r="BH157" s="88"/>
      <c r="BI157" s="88"/>
      <c r="BJ157" s="88"/>
      <c r="BK157" s="88"/>
      <c r="BL157" s="88"/>
      <c r="BM157" s="88"/>
      <c r="BN157" s="88"/>
      <c r="BO157" s="88"/>
      <c r="BP157" s="88"/>
      <c r="BQ157" s="88"/>
      <c r="BR157" s="88"/>
      <c r="BS157" s="88"/>
      <c r="BT157" s="88"/>
      <c r="BU157" s="88"/>
      <c r="BV157" s="88"/>
      <c r="BW157" s="88"/>
      <c r="BX157" s="88"/>
      <c r="BY157" s="88"/>
      <c r="BZ157" s="88"/>
      <c r="CA157" s="88"/>
      <c r="CB157" s="88"/>
      <c r="CC157" s="88"/>
      <c r="CD157" s="88"/>
      <c r="CE157" s="88"/>
      <c r="CF157" s="88"/>
      <c r="CG157" s="88"/>
      <c r="CH157" s="88"/>
      <c r="CI157" s="88"/>
      <c r="CJ157" s="88"/>
      <c r="CK157" s="88"/>
      <c r="CL157" s="88"/>
      <c r="CM157" s="88"/>
      <c r="CN157" s="88"/>
      <c r="CO157" s="88"/>
      <c r="CP157" s="88"/>
      <c r="CQ157" s="88"/>
      <c r="CR157" s="88"/>
      <c r="CS157" s="88"/>
      <c r="CT157" s="88"/>
      <c r="CU157" s="88"/>
      <c r="CV157" s="88"/>
      <c r="CW157" s="88"/>
      <c r="CX157" s="88"/>
      <c r="CY157" s="88"/>
      <c r="CZ157" s="88"/>
      <c r="DA157" s="88"/>
      <c r="DB157" s="88"/>
      <c r="DC157" s="88"/>
      <c r="DD157" s="88"/>
      <c r="DE157" s="88"/>
      <c r="DF157" s="88"/>
      <c r="DG157" s="88"/>
      <c r="DH157" s="88"/>
      <c r="DI157" s="88"/>
      <c r="DJ157" s="88"/>
    </row>
    <row r="158" spans="1:114" hidden="1">
      <c r="A158" s="88"/>
      <c r="B158" s="108"/>
      <c r="C158" s="110"/>
      <c r="D158" s="110"/>
      <c r="E158" s="123"/>
      <c r="F158" s="110"/>
      <c r="G158" s="110"/>
      <c r="H158" s="110"/>
      <c r="I158" s="110"/>
      <c r="J158" s="110"/>
      <c r="K158" s="110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88"/>
      <c r="AL158" s="88"/>
      <c r="AM158" s="88"/>
      <c r="AN158" s="88"/>
      <c r="AO158" s="88"/>
      <c r="AP158" s="88"/>
      <c r="AQ158" s="88"/>
      <c r="AR158" s="88"/>
      <c r="AS158" s="88"/>
      <c r="AT158" s="88"/>
      <c r="AU158" s="88"/>
      <c r="AV158" s="88"/>
      <c r="AW158" s="88"/>
      <c r="AX158" s="88"/>
      <c r="AY158" s="88"/>
      <c r="AZ158" s="88"/>
      <c r="BA158" s="88"/>
      <c r="BB158" s="88"/>
      <c r="BC158" s="88"/>
      <c r="BD158" s="88"/>
      <c r="BE158" s="88"/>
      <c r="BF158" s="88"/>
      <c r="BG158" s="88"/>
      <c r="BH158" s="88"/>
      <c r="BI158" s="88"/>
      <c r="BJ158" s="88"/>
      <c r="BK158" s="88"/>
      <c r="BL158" s="88"/>
      <c r="BM158" s="88"/>
      <c r="BN158" s="88"/>
      <c r="BO158" s="88"/>
      <c r="BP158" s="88"/>
      <c r="BQ158" s="88"/>
      <c r="BR158" s="88"/>
      <c r="BS158" s="88"/>
      <c r="BT158" s="88"/>
      <c r="BU158" s="88"/>
      <c r="BV158" s="88"/>
      <c r="BW158" s="88"/>
      <c r="BX158" s="88"/>
      <c r="BY158" s="88"/>
      <c r="BZ158" s="88"/>
      <c r="CA158" s="88"/>
      <c r="CB158" s="88"/>
      <c r="CC158" s="88"/>
      <c r="CD158" s="88"/>
      <c r="CE158" s="88"/>
      <c r="CF158" s="88"/>
      <c r="CG158" s="88"/>
      <c r="CH158" s="88"/>
      <c r="CI158" s="88"/>
      <c r="CJ158" s="88"/>
      <c r="CK158" s="88"/>
      <c r="CL158" s="88"/>
      <c r="CM158" s="88"/>
      <c r="CN158" s="88"/>
      <c r="CO158" s="88"/>
      <c r="CP158" s="88"/>
      <c r="CQ158" s="88"/>
      <c r="CR158" s="88"/>
      <c r="CS158" s="88"/>
      <c r="CT158" s="88"/>
      <c r="CU158" s="88"/>
      <c r="CV158" s="88"/>
      <c r="CW158" s="88"/>
      <c r="CX158" s="88"/>
      <c r="CY158" s="88"/>
      <c r="CZ158" s="88"/>
      <c r="DA158" s="88"/>
      <c r="DB158" s="88"/>
      <c r="DC158" s="88"/>
      <c r="DD158" s="88"/>
      <c r="DE158" s="88"/>
      <c r="DF158" s="88"/>
      <c r="DG158" s="88"/>
      <c r="DH158" s="88"/>
      <c r="DI158" s="88"/>
      <c r="DJ158" s="88"/>
    </row>
    <row r="159" spans="1:114" hidden="1">
      <c r="A159" s="88"/>
      <c r="B159" s="108"/>
      <c r="C159" s="110"/>
      <c r="D159" s="110"/>
      <c r="E159" s="123"/>
      <c r="F159" s="110"/>
      <c r="G159" s="110"/>
      <c r="H159" s="110"/>
      <c r="I159" s="110"/>
      <c r="J159" s="110"/>
      <c r="K159" s="110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88"/>
      <c r="AL159" s="88"/>
      <c r="AM159" s="88"/>
      <c r="AN159" s="88"/>
      <c r="AO159" s="88"/>
      <c r="AP159" s="88"/>
      <c r="AQ159" s="88"/>
      <c r="AR159" s="88"/>
      <c r="AS159" s="88"/>
      <c r="AT159" s="88"/>
      <c r="AU159" s="88"/>
      <c r="AV159" s="88"/>
      <c r="AW159" s="88"/>
      <c r="AX159" s="88"/>
      <c r="AY159" s="88"/>
      <c r="AZ159" s="88"/>
      <c r="BA159" s="88"/>
      <c r="BB159" s="88"/>
      <c r="BC159" s="88"/>
      <c r="BD159" s="88"/>
      <c r="BE159" s="88"/>
      <c r="BF159" s="88"/>
      <c r="BG159" s="88"/>
      <c r="BH159" s="88"/>
      <c r="BI159" s="88"/>
      <c r="BJ159" s="88"/>
      <c r="BK159" s="88"/>
      <c r="BL159" s="88"/>
      <c r="BM159" s="88"/>
      <c r="BN159" s="88"/>
      <c r="BO159" s="88"/>
      <c r="BP159" s="88"/>
      <c r="BQ159" s="88"/>
      <c r="BR159" s="88"/>
      <c r="BS159" s="88"/>
      <c r="BT159" s="88"/>
      <c r="BU159" s="88"/>
      <c r="BV159" s="88"/>
      <c r="BW159" s="88"/>
      <c r="BX159" s="88"/>
      <c r="BY159" s="88"/>
      <c r="BZ159" s="88"/>
      <c r="CA159" s="88"/>
      <c r="CB159" s="88"/>
      <c r="CC159" s="88"/>
      <c r="CD159" s="88"/>
      <c r="CE159" s="88"/>
      <c r="CF159" s="88"/>
      <c r="CG159" s="88"/>
      <c r="CH159" s="88"/>
      <c r="CI159" s="88"/>
      <c r="CJ159" s="88"/>
      <c r="CK159" s="88"/>
      <c r="CL159" s="88"/>
      <c r="CM159" s="88"/>
      <c r="CN159" s="88"/>
      <c r="CO159" s="88"/>
      <c r="CP159" s="88"/>
      <c r="CQ159" s="88"/>
      <c r="CR159" s="88"/>
      <c r="CS159" s="88"/>
      <c r="CT159" s="88"/>
      <c r="CU159" s="88"/>
      <c r="CV159" s="88"/>
      <c r="CW159" s="88"/>
      <c r="CX159" s="88"/>
      <c r="CY159" s="88"/>
      <c r="CZ159" s="88"/>
      <c r="DA159" s="88"/>
      <c r="DB159" s="88"/>
      <c r="DC159" s="88"/>
      <c r="DD159" s="88"/>
      <c r="DE159" s="88"/>
      <c r="DF159" s="88"/>
      <c r="DG159" s="88"/>
      <c r="DH159" s="88"/>
      <c r="DI159" s="88"/>
      <c r="DJ159" s="88"/>
    </row>
    <row r="160" spans="1:114" hidden="1">
      <c r="A160" s="88"/>
      <c r="B160" s="108"/>
      <c r="C160" s="110"/>
      <c r="D160" s="110"/>
      <c r="E160" s="110"/>
      <c r="F160" s="110"/>
      <c r="G160" s="110"/>
      <c r="H160" s="110"/>
      <c r="I160" s="110"/>
      <c r="J160" s="110"/>
      <c r="K160" s="110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88"/>
      <c r="AL160" s="88"/>
      <c r="AM160" s="88"/>
      <c r="AN160" s="88"/>
      <c r="AO160" s="88"/>
      <c r="AP160" s="88"/>
      <c r="AQ160" s="88"/>
      <c r="AR160" s="88"/>
      <c r="AS160" s="88"/>
      <c r="AT160" s="88"/>
      <c r="AU160" s="88"/>
      <c r="AV160" s="88"/>
      <c r="AW160" s="88"/>
      <c r="AX160" s="88"/>
      <c r="AY160" s="88"/>
      <c r="AZ160" s="88"/>
      <c r="BA160" s="88"/>
      <c r="BB160" s="88"/>
      <c r="BC160" s="88"/>
      <c r="BD160" s="88"/>
      <c r="BE160" s="88"/>
      <c r="BF160" s="88"/>
      <c r="BG160" s="88"/>
      <c r="BH160" s="88"/>
      <c r="BI160" s="88"/>
      <c r="BJ160" s="88"/>
      <c r="BK160" s="88"/>
      <c r="BL160" s="88"/>
      <c r="BM160" s="88"/>
      <c r="BN160" s="88"/>
      <c r="BO160" s="88"/>
      <c r="BP160" s="88"/>
      <c r="BQ160" s="88"/>
      <c r="BR160" s="88"/>
      <c r="BS160" s="88"/>
      <c r="BT160" s="88"/>
      <c r="BU160" s="88"/>
      <c r="BV160" s="88"/>
      <c r="BW160" s="88"/>
      <c r="BX160" s="88"/>
      <c r="BY160" s="88"/>
      <c r="BZ160" s="88"/>
      <c r="CA160" s="88"/>
      <c r="CB160" s="88"/>
      <c r="CC160" s="88"/>
      <c r="CD160" s="88"/>
      <c r="CE160" s="88"/>
      <c r="CF160" s="88"/>
      <c r="CG160" s="88"/>
      <c r="CH160" s="88"/>
      <c r="CI160" s="88"/>
      <c r="CJ160" s="88"/>
      <c r="CK160" s="88"/>
      <c r="CL160" s="88"/>
      <c r="CM160" s="88"/>
      <c r="CN160" s="88"/>
      <c r="CO160" s="88"/>
      <c r="CP160" s="88"/>
      <c r="CQ160" s="88"/>
      <c r="CR160" s="88"/>
      <c r="CS160" s="88"/>
      <c r="CT160" s="88"/>
      <c r="CU160" s="88"/>
      <c r="CV160" s="88"/>
      <c r="CW160" s="88"/>
      <c r="CX160" s="88"/>
      <c r="CY160" s="88"/>
      <c r="CZ160" s="88"/>
      <c r="DA160" s="88"/>
      <c r="DB160" s="88"/>
      <c r="DC160" s="88"/>
      <c r="DD160" s="88"/>
      <c r="DE160" s="88"/>
      <c r="DF160" s="88"/>
      <c r="DG160" s="88"/>
      <c r="DH160" s="88"/>
      <c r="DI160" s="88"/>
      <c r="DJ160" s="88"/>
    </row>
    <row r="161" spans="1:114" hidden="1">
      <c r="A161" s="88"/>
      <c r="B161" s="108"/>
      <c r="C161" s="110">
        <v>2</v>
      </c>
      <c r="D161" s="110"/>
      <c r="E161" s="110" t="s">
        <v>157</v>
      </c>
      <c r="F161" s="110"/>
      <c r="G161" s="110"/>
      <c r="H161" s="110"/>
      <c r="I161" s="110"/>
      <c r="J161" s="110"/>
      <c r="K161" s="110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88"/>
      <c r="AL161" s="88"/>
      <c r="AM161" s="88"/>
      <c r="AN161" s="88"/>
      <c r="AO161" s="88"/>
      <c r="AP161" s="88"/>
      <c r="AQ161" s="88"/>
      <c r="AR161" s="88"/>
      <c r="AS161" s="88"/>
      <c r="AT161" s="88"/>
      <c r="AU161" s="88"/>
      <c r="AV161" s="88"/>
      <c r="AW161" s="88"/>
      <c r="AX161" s="88"/>
      <c r="AY161" s="88"/>
      <c r="AZ161" s="88"/>
      <c r="BA161" s="88"/>
      <c r="BB161" s="88"/>
      <c r="BC161" s="88"/>
      <c r="BD161" s="88"/>
      <c r="BE161" s="88"/>
      <c r="BF161" s="88"/>
      <c r="BG161" s="88"/>
      <c r="BH161" s="88"/>
      <c r="BI161" s="88"/>
      <c r="BJ161" s="88"/>
      <c r="BK161" s="88"/>
      <c r="BL161" s="88"/>
      <c r="BM161" s="88"/>
      <c r="BN161" s="88"/>
      <c r="BO161" s="88"/>
      <c r="BP161" s="88"/>
      <c r="BQ161" s="88"/>
      <c r="BR161" s="88"/>
      <c r="BS161" s="88"/>
      <c r="BT161" s="88"/>
      <c r="BU161" s="88"/>
      <c r="BV161" s="88"/>
      <c r="BW161" s="88"/>
      <c r="BX161" s="88"/>
      <c r="BY161" s="88"/>
      <c r="BZ161" s="88"/>
      <c r="CA161" s="88"/>
      <c r="CB161" s="88"/>
      <c r="CC161" s="88"/>
      <c r="CD161" s="88"/>
      <c r="CE161" s="88"/>
      <c r="CF161" s="88"/>
      <c r="CG161" s="88"/>
      <c r="CH161" s="88"/>
      <c r="CI161" s="88"/>
      <c r="CJ161" s="88"/>
      <c r="CK161" s="88"/>
      <c r="CL161" s="88"/>
      <c r="CM161" s="88"/>
      <c r="CN161" s="88"/>
      <c r="CO161" s="88"/>
      <c r="CP161" s="88"/>
      <c r="CQ161" s="88"/>
      <c r="CR161" s="88"/>
      <c r="CS161" s="88"/>
      <c r="CT161" s="88"/>
      <c r="CU161" s="88"/>
      <c r="CV161" s="88"/>
      <c r="CW161" s="88"/>
      <c r="CX161" s="88"/>
      <c r="CY161" s="88"/>
      <c r="CZ161" s="88"/>
      <c r="DA161" s="88"/>
      <c r="DB161" s="88"/>
      <c r="DC161" s="88"/>
      <c r="DD161" s="88"/>
      <c r="DE161" s="88"/>
      <c r="DF161" s="88"/>
      <c r="DG161" s="88"/>
      <c r="DH161" s="88"/>
      <c r="DI161" s="88"/>
      <c r="DJ161" s="88"/>
    </row>
    <row r="162" spans="1:114" hidden="1">
      <c r="A162" s="88"/>
      <c r="B162" s="108"/>
      <c r="C162" s="110"/>
      <c r="D162" s="110"/>
      <c r="E162" s="110" t="s">
        <v>79</v>
      </c>
      <c r="F162" s="110"/>
      <c r="G162" s="110"/>
      <c r="H162" s="110"/>
      <c r="I162" s="110"/>
      <c r="J162" s="110"/>
      <c r="K162" s="110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88"/>
      <c r="AL162" s="88"/>
      <c r="AM162" s="88"/>
      <c r="AN162" s="88"/>
      <c r="AO162" s="88"/>
      <c r="AP162" s="88"/>
      <c r="AQ162" s="88"/>
      <c r="AR162" s="88"/>
      <c r="AS162" s="88"/>
      <c r="AT162" s="88"/>
      <c r="AU162" s="88"/>
      <c r="AV162" s="88"/>
      <c r="AW162" s="88"/>
      <c r="AX162" s="88"/>
      <c r="AY162" s="88"/>
      <c r="AZ162" s="88"/>
      <c r="BA162" s="88"/>
      <c r="BB162" s="88"/>
      <c r="BC162" s="88"/>
      <c r="BD162" s="88"/>
      <c r="BE162" s="88"/>
      <c r="BF162" s="88"/>
      <c r="BG162" s="88"/>
      <c r="BH162" s="88"/>
      <c r="BI162" s="88"/>
      <c r="BJ162" s="88"/>
      <c r="BK162" s="88"/>
      <c r="BL162" s="88"/>
      <c r="BM162" s="88"/>
      <c r="BN162" s="88"/>
      <c r="BO162" s="88"/>
      <c r="BP162" s="88"/>
      <c r="BQ162" s="88"/>
      <c r="BR162" s="88"/>
      <c r="BS162" s="88"/>
      <c r="BT162" s="88"/>
      <c r="BU162" s="88"/>
      <c r="BV162" s="88"/>
      <c r="BW162" s="88"/>
      <c r="BX162" s="88"/>
      <c r="BY162" s="88"/>
      <c r="BZ162" s="88"/>
      <c r="CA162" s="88"/>
      <c r="CB162" s="88"/>
      <c r="CC162" s="88"/>
      <c r="CD162" s="88"/>
      <c r="CE162" s="88"/>
      <c r="CF162" s="88"/>
      <c r="CG162" s="88"/>
      <c r="CH162" s="88"/>
      <c r="CI162" s="88"/>
      <c r="CJ162" s="88"/>
      <c r="CK162" s="88"/>
      <c r="CL162" s="88"/>
      <c r="CM162" s="88"/>
      <c r="CN162" s="88"/>
      <c r="CO162" s="88"/>
      <c r="CP162" s="88"/>
      <c r="CQ162" s="88"/>
      <c r="CR162" s="88"/>
      <c r="CS162" s="88"/>
      <c r="CT162" s="88"/>
      <c r="CU162" s="88"/>
      <c r="CV162" s="88"/>
      <c r="CW162" s="88"/>
      <c r="CX162" s="88"/>
      <c r="CY162" s="88"/>
      <c r="CZ162" s="88"/>
      <c r="DA162" s="88"/>
      <c r="DB162" s="88"/>
      <c r="DC162" s="88"/>
      <c r="DD162" s="88"/>
      <c r="DE162" s="88"/>
      <c r="DF162" s="88"/>
      <c r="DG162" s="88"/>
      <c r="DH162" s="88"/>
      <c r="DI162" s="88"/>
      <c r="DJ162" s="88"/>
    </row>
    <row r="163" spans="1:114" hidden="1">
      <c r="A163" s="88"/>
      <c r="B163" s="108"/>
      <c r="C163" s="110"/>
      <c r="D163" s="110"/>
      <c r="E163" s="110"/>
      <c r="F163" s="110"/>
      <c r="G163" s="110"/>
      <c r="H163" s="110"/>
      <c r="I163" s="110"/>
      <c r="J163" s="110"/>
      <c r="K163" s="110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88"/>
      <c r="AL163" s="88"/>
      <c r="AM163" s="88"/>
      <c r="AN163" s="88"/>
      <c r="AO163" s="88"/>
      <c r="AP163" s="88"/>
      <c r="AQ163" s="88"/>
      <c r="AR163" s="88"/>
      <c r="AS163" s="88"/>
      <c r="AT163" s="88"/>
      <c r="AU163" s="88"/>
      <c r="AV163" s="88"/>
      <c r="AW163" s="88"/>
      <c r="AX163" s="88"/>
      <c r="AY163" s="88"/>
      <c r="AZ163" s="88"/>
      <c r="BA163" s="88"/>
      <c r="BB163" s="88"/>
      <c r="BC163" s="88"/>
      <c r="BD163" s="88"/>
      <c r="BE163" s="88"/>
      <c r="BF163" s="88"/>
      <c r="BG163" s="88"/>
      <c r="BH163" s="88"/>
      <c r="BI163" s="88"/>
      <c r="BJ163" s="88"/>
      <c r="BK163" s="88"/>
      <c r="BL163" s="88"/>
      <c r="BM163" s="88"/>
      <c r="BN163" s="88"/>
      <c r="BO163" s="88"/>
      <c r="BP163" s="88"/>
      <c r="BQ163" s="88"/>
      <c r="BR163" s="88"/>
      <c r="BS163" s="88"/>
      <c r="BT163" s="88"/>
      <c r="BU163" s="88"/>
      <c r="BV163" s="88"/>
      <c r="BW163" s="88"/>
      <c r="BX163" s="88"/>
      <c r="BY163" s="88"/>
      <c r="BZ163" s="88"/>
      <c r="CA163" s="88"/>
      <c r="CB163" s="88"/>
      <c r="CC163" s="88"/>
      <c r="CD163" s="88"/>
      <c r="CE163" s="88"/>
      <c r="CF163" s="88"/>
      <c r="CG163" s="88"/>
      <c r="CH163" s="88"/>
      <c r="CI163" s="88"/>
      <c r="CJ163" s="88"/>
      <c r="CK163" s="88"/>
      <c r="CL163" s="88"/>
      <c r="CM163" s="88"/>
      <c r="CN163" s="88"/>
      <c r="CO163" s="88"/>
      <c r="CP163" s="88"/>
      <c r="CQ163" s="88"/>
      <c r="CR163" s="88"/>
      <c r="CS163" s="88"/>
      <c r="CT163" s="88"/>
      <c r="CU163" s="88"/>
      <c r="CV163" s="88"/>
      <c r="CW163" s="88"/>
      <c r="CX163" s="88"/>
      <c r="CY163" s="88"/>
      <c r="CZ163" s="88"/>
      <c r="DA163" s="88"/>
      <c r="DB163" s="88"/>
      <c r="DC163" s="88"/>
      <c r="DD163" s="88"/>
      <c r="DE163" s="88"/>
      <c r="DF163" s="88"/>
      <c r="DG163" s="88"/>
      <c r="DH163" s="88"/>
      <c r="DI163" s="88"/>
      <c r="DJ163" s="88"/>
    </row>
    <row r="164" spans="1:114" hidden="1">
      <c r="A164" s="88"/>
      <c r="B164" s="108"/>
      <c r="C164" s="110"/>
      <c r="D164" s="110"/>
      <c r="E164" s="214">
        <f>IF(E149=2,IF(OR(WEEKDAY(10)=1,COUNTIF(Fer,ultimo_diatrab+10)=1),IF(OR(WEEKDAY(ultimo_diatrab+11)=1,COUNTIF(Fer,ultimo_diatrab+11)=1),ultimo_diatrab+12,ultimo_diatrab+11),ultimo_diatrab+10),IF(OR(WEEKDAY(ultimo_diatrab+10)=1,COUNTIF(Fer,ultimo_diatrab+10)=1),IF(OR(WEEKDAY(ultimo_diatrab+9)=1,COUNTIF(Fer,ultimo_diatrab+9)=1),ultimo_diatrab+8,ultimo_diatrab+9),ultimo_diatrab+10))</f>
        <v>43516</v>
      </c>
      <c r="F164" s="89" t="s">
        <v>108</v>
      </c>
      <c r="G164" s="110"/>
      <c r="H164" s="110"/>
      <c r="I164" s="110"/>
      <c r="J164" s="110"/>
      <c r="K164" s="110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8"/>
      <c r="AZ164" s="88"/>
      <c r="BA164" s="88"/>
      <c r="BB164" s="88"/>
      <c r="BC164" s="88"/>
      <c r="BD164" s="88"/>
      <c r="BE164" s="88"/>
      <c r="BF164" s="88"/>
      <c r="BG164" s="88"/>
      <c r="BH164" s="88"/>
      <c r="BI164" s="88"/>
      <c r="BJ164" s="88"/>
      <c r="BK164" s="88"/>
      <c r="BL164" s="88"/>
      <c r="BM164" s="88"/>
      <c r="BN164" s="88"/>
      <c r="BO164" s="88"/>
      <c r="BP164" s="88"/>
      <c r="BQ164" s="88"/>
      <c r="BR164" s="88"/>
      <c r="BS164" s="88"/>
      <c r="BT164" s="88"/>
      <c r="BU164" s="88"/>
      <c r="BV164" s="88"/>
      <c r="BW164" s="88"/>
      <c r="BX164" s="88"/>
      <c r="BY164" s="88"/>
      <c r="BZ164" s="88"/>
      <c r="CA164" s="88"/>
      <c r="CB164" s="88"/>
      <c r="CC164" s="88"/>
      <c r="CD164" s="88"/>
      <c r="CE164" s="88"/>
      <c r="CF164" s="88"/>
      <c r="CG164" s="88"/>
      <c r="CH164" s="88"/>
      <c r="CI164" s="88"/>
      <c r="CJ164" s="88"/>
      <c r="CK164" s="88"/>
      <c r="CL164" s="88"/>
      <c r="CM164" s="88"/>
      <c r="CN164" s="88"/>
      <c r="CO164" s="88"/>
      <c r="CP164" s="88"/>
      <c r="CQ164" s="88"/>
      <c r="CR164" s="88"/>
      <c r="CS164" s="88"/>
      <c r="CT164" s="88"/>
      <c r="CU164" s="88"/>
      <c r="CV164" s="88"/>
      <c r="CW164" s="88"/>
      <c r="CX164" s="88"/>
      <c r="CY164" s="88"/>
      <c r="CZ164" s="88"/>
      <c r="DA164" s="88"/>
      <c r="DB164" s="88"/>
      <c r="DC164" s="88"/>
      <c r="DD164" s="88"/>
      <c r="DE164" s="88"/>
      <c r="DF164" s="88"/>
      <c r="DG164" s="88"/>
      <c r="DH164" s="88"/>
      <c r="DI164" s="88"/>
      <c r="DJ164" s="88"/>
    </row>
    <row r="165" spans="1:114" hidden="1">
      <c r="A165" s="88"/>
      <c r="B165" s="108"/>
      <c r="C165" s="110"/>
      <c r="D165" s="110"/>
      <c r="E165" s="110"/>
      <c r="F165" s="110"/>
      <c r="G165" s="110"/>
      <c r="H165" s="110"/>
      <c r="I165" s="110"/>
      <c r="J165" s="110"/>
      <c r="K165" s="110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88"/>
      <c r="AL165" s="88"/>
      <c r="AM165" s="88"/>
      <c r="AN165" s="88"/>
      <c r="AO165" s="88"/>
      <c r="AP165" s="88"/>
      <c r="AQ165" s="88"/>
      <c r="AR165" s="88"/>
      <c r="AS165" s="88"/>
      <c r="AT165" s="88"/>
      <c r="AU165" s="88"/>
      <c r="AV165" s="88"/>
      <c r="AW165" s="88"/>
      <c r="AX165" s="88"/>
      <c r="AY165" s="88"/>
      <c r="AZ165" s="88"/>
      <c r="BA165" s="88"/>
      <c r="BB165" s="88"/>
      <c r="BC165" s="88"/>
      <c r="BD165" s="88"/>
      <c r="BE165" s="88"/>
      <c r="BF165" s="88"/>
      <c r="BG165" s="88"/>
      <c r="BH165" s="88"/>
      <c r="BI165" s="88"/>
      <c r="BJ165" s="88"/>
      <c r="BK165" s="88"/>
      <c r="BL165" s="88"/>
      <c r="BM165" s="88"/>
      <c r="BN165" s="88"/>
      <c r="BO165" s="88"/>
      <c r="BP165" s="88"/>
      <c r="BQ165" s="88"/>
      <c r="BR165" s="88"/>
      <c r="BS165" s="88"/>
      <c r="BT165" s="88"/>
      <c r="BU165" s="88"/>
      <c r="BV165" s="88"/>
      <c r="BW165" s="88"/>
      <c r="BX165" s="88"/>
      <c r="BY165" s="88"/>
      <c r="BZ165" s="88"/>
      <c r="CA165" s="88"/>
      <c r="CB165" s="88"/>
      <c r="CC165" s="88"/>
      <c r="CD165" s="88"/>
      <c r="CE165" s="88"/>
      <c r="CF165" s="88"/>
      <c r="CG165" s="88"/>
      <c r="CH165" s="88"/>
      <c r="CI165" s="88"/>
      <c r="CJ165" s="88"/>
      <c r="CK165" s="88"/>
      <c r="CL165" s="88"/>
      <c r="CM165" s="88"/>
      <c r="CN165" s="88"/>
      <c r="CO165" s="88"/>
      <c r="CP165" s="88"/>
      <c r="CQ165" s="88"/>
      <c r="CR165" s="88"/>
      <c r="CS165" s="88"/>
      <c r="CT165" s="88"/>
      <c r="CU165" s="88"/>
      <c r="CV165" s="88"/>
      <c r="CW165" s="88"/>
      <c r="CX165" s="88"/>
      <c r="CY165" s="88"/>
      <c r="CZ165" s="88"/>
      <c r="DA165" s="88"/>
      <c r="DB165" s="88"/>
      <c r="DC165" s="88"/>
      <c r="DD165" s="88"/>
      <c r="DE165" s="88"/>
      <c r="DF165" s="88"/>
      <c r="DG165" s="88"/>
      <c r="DH165" s="88"/>
      <c r="DI165" s="88"/>
      <c r="DJ165" s="88"/>
    </row>
    <row r="166" spans="1:114" hidden="1">
      <c r="A166" s="88"/>
      <c r="B166" s="108"/>
      <c r="C166" s="110"/>
      <c r="D166" s="110">
        <f>WEEKDAY(datacom+10)</f>
        <v>4</v>
      </c>
      <c r="E166" s="111" t="str">
        <f>TEXT(IF(OR(WEEKDAY(ultimo_diatrab+10)=1,COUNTIF(Fer,ultimo_diatrab+10)=1),IF(OR(WEEKDAY(ultimo_diatrab+11)=1,COUNTIF(Fer,ultimo_diatrab+11)=1),ultimo_diatrab+12,ultimo_diatrab+11),ultimo_diatrab+10),"dddd, dd/mmmm/aaaa")</f>
        <v>quarta-feira, 20/fevereiro/2019</v>
      </c>
      <c r="F166" s="110" t="str">
        <f>TEXT(IF(OR(WEEKDAY(datacom+10)=1,COUNTIF(Fer,datacom+10)=1),IF(OR(WEEKDAY(datacom+11)=1,COUNTIF(Fer,datacom+11)=1),datacom+12,datacom+11),datacom+10),"dddd, dd/mmmm/aaaa")</f>
        <v>quarta-feira, 20/fevereiro/2019</v>
      </c>
      <c r="G166" s="110"/>
      <c r="H166" s="110"/>
      <c r="I166" s="110"/>
      <c r="J166" s="110"/>
      <c r="K166" s="110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88"/>
      <c r="AL166" s="88"/>
      <c r="AM166" s="88"/>
      <c r="AN166" s="88"/>
      <c r="AO166" s="88"/>
      <c r="AP166" s="88"/>
      <c r="AQ166" s="88"/>
      <c r="AR166" s="88"/>
      <c r="AS166" s="88"/>
      <c r="AT166" s="88"/>
      <c r="AU166" s="88"/>
      <c r="AV166" s="88"/>
      <c r="AW166" s="88"/>
      <c r="AX166" s="88"/>
      <c r="AY166" s="88"/>
      <c r="AZ166" s="88"/>
      <c r="BA166" s="88"/>
      <c r="BB166" s="88"/>
      <c r="BC166" s="88"/>
      <c r="BD166" s="88"/>
      <c r="BE166" s="88"/>
      <c r="BF166" s="88"/>
      <c r="BG166" s="88"/>
      <c r="BH166" s="88"/>
      <c r="BI166" s="88"/>
      <c r="BJ166" s="88"/>
      <c r="BK166" s="88"/>
      <c r="BL166" s="88"/>
      <c r="BM166" s="88"/>
      <c r="BN166" s="88"/>
      <c r="BO166" s="88"/>
      <c r="BP166" s="88"/>
      <c r="BQ166" s="88"/>
      <c r="BR166" s="88"/>
      <c r="BS166" s="88"/>
      <c r="BT166" s="88"/>
      <c r="BU166" s="88"/>
      <c r="BV166" s="88"/>
      <c r="BW166" s="88"/>
      <c r="BX166" s="88"/>
      <c r="BY166" s="88"/>
      <c r="BZ166" s="88"/>
      <c r="CA166" s="88"/>
      <c r="CB166" s="88"/>
      <c r="CC166" s="88"/>
      <c r="CD166" s="88"/>
      <c r="CE166" s="88"/>
      <c r="CF166" s="88"/>
      <c r="CG166" s="88"/>
      <c r="CH166" s="88"/>
      <c r="CI166" s="88"/>
      <c r="CJ166" s="88"/>
      <c r="CK166" s="88"/>
      <c r="CL166" s="88"/>
      <c r="CM166" s="88"/>
      <c r="CN166" s="88"/>
      <c r="CO166" s="88"/>
      <c r="CP166" s="88"/>
      <c r="CQ166" s="88"/>
      <c r="CR166" s="88"/>
      <c r="CS166" s="88"/>
      <c r="CT166" s="88"/>
      <c r="CU166" s="88"/>
      <c r="CV166" s="88"/>
      <c r="CW166" s="88"/>
      <c r="CX166" s="88"/>
      <c r="CY166" s="88"/>
      <c r="CZ166" s="88"/>
      <c r="DA166" s="88"/>
      <c r="DB166" s="88"/>
      <c r="DC166" s="88"/>
      <c r="DD166" s="88"/>
      <c r="DE166" s="88"/>
      <c r="DF166" s="88"/>
      <c r="DG166" s="88"/>
      <c r="DH166" s="88"/>
      <c r="DI166" s="88"/>
      <c r="DJ166" s="88"/>
    </row>
    <row r="167" spans="1:114" hidden="1">
      <c r="A167" s="88"/>
      <c r="B167" s="108"/>
      <c r="C167" s="110"/>
      <c r="D167" s="110">
        <f>WEEKDAY(datacom+30)</f>
        <v>3</v>
      </c>
      <c r="E167" s="110" t="str">
        <f>TEXT(IF(OR(WEEKDAY(ultimo_diatrab+10)=1,COUNTIF(Fer,ultimo_diatrab+10)=1),IF(OR(WEEKDAY(ultimo_diatrab+9)=1,COUNTIF(Fer,ultimo_diatrab+9)=1),ultimo_diatrab+8,ultimo_diatrab+9),ultimo_diatrab+10),"dddd, dd/mmmm/aaaa")</f>
        <v>quarta-feira, 20/fevereiro/2019</v>
      </c>
      <c r="F167" s="110"/>
      <c r="G167" s="110"/>
      <c r="H167" s="110"/>
      <c r="I167" s="110"/>
      <c r="J167" s="110"/>
      <c r="K167" s="110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88"/>
      <c r="AL167" s="88"/>
      <c r="AM167" s="88"/>
      <c r="AN167" s="88"/>
      <c r="AO167" s="88"/>
      <c r="AP167" s="88"/>
      <c r="AQ167" s="88"/>
      <c r="AR167" s="88"/>
      <c r="AS167" s="88"/>
      <c r="AT167" s="88"/>
      <c r="AU167" s="88"/>
      <c r="AV167" s="88"/>
      <c r="AW167" s="88"/>
      <c r="AX167" s="88"/>
      <c r="AY167" s="88"/>
      <c r="AZ167" s="88"/>
      <c r="BA167" s="88"/>
      <c r="BB167" s="88"/>
      <c r="BC167" s="88"/>
      <c r="BD167" s="88"/>
      <c r="BE167" s="88"/>
      <c r="BF167" s="88"/>
      <c r="BG167" s="88"/>
      <c r="BH167" s="88"/>
      <c r="BI167" s="88"/>
      <c r="BJ167" s="88"/>
      <c r="BK167" s="88"/>
      <c r="BL167" s="88"/>
      <c r="BM167" s="88"/>
      <c r="BN167" s="88"/>
      <c r="BO167" s="88"/>
      <c r="BP167" s="88"/>
      <c r="BQ167" s="88"/>
      <c r="BR167" s="88"/>
      <c r="BS167" s="88"/>
      <c r="BT167" s="88"/>
      <c r="BU167" s="88"/>
      <c r="BV167" s="88"/>
      <c r="BW167" s="88"/>
      <c r="BX167" s="88"/>
      <c r="BY167" s="88"/>
      <c r="BZ167" s="88"/>
      <c r="CA167" s="88"/>
      <c r="CB167" s="88"/>
      <c r="CC167" s="88"/>
      <c r="CD167" s="88"/>
      <c r="CE167" s="88"/>
      <c r="CF167" s="88"/>
      <c r="CG167" s="88"/>
      <c r="CH167" s="88"/>
      <c r="CI167" s="88"/>
      <c r="CJ167" s="88"/>
      <c r="CK167" s="88"/>
      <c r="CL167" s="88"/>
      <c r="CM167" s="88"/>
      <c r="CN167" s="88"/>
      <c r="CO167" s="88"/>
      <c r="CP167" s="88"/>
      <c r="CQ167" s="88"/>
      <c r="CR167" s="88"/>
      <c r="CS167" s="88"/>
      <c r="CT167" s="88"/>
      <c r="CU167" s="88"/>
      <c r="CV167" s="88"/>
      <c r="CW167" s="88"/>
      <c r="CX167" s="88"/>
      <c r="CY167" s="88"/>
      <c r="CZ167" s="88"/>
      <c r="DA167" s="88"/>
      <c r="DB167" s="88"/>
      <c r="DC167" s="88"/>
      <c r="DD167" s="88"/>
      <c r="DE167" s="88"/>
      <c r="DF167" s="88"/>
      <c r="DG167" s="88"/>
      <c r="DH167" s="88"/>
      <c r="DI167" s="88"/>
      <c r="DJ167" s="88"/>
    </row>
    <row r="168" spans="1:114" hidden="1">
      <c r="A168" s="88"/>
      <c r="B168" s="108"/>
      <c r="C168" s="110"/>
      <c r="D168" s="110">
        <f>WEEKDAY(datacom+31)</f>
        <v>4</v>
      </c>
      <c r="E168" s="110" t="str">
        <f>TEXT(IF(OR(WEEKDAY(dispensa+1)=1,COUNTIF(Fer,dispensa+1)=1),IF(OR(WEEKDAY(dispensa+2)=1,COUNTIF(Fer,dispensa+2)=1),dispensa+3,dispensa+2),dispensa+1),"dddd, dd/mmmm/aaaa")</f>
        <v>segunda-feira, 01/abril/2019</v>
      </c>
      <c r="F168" s="110"/>
      <c r="G168" s="110"/>
      <c r="H168" s="110"/>
      <c r="I168" s="110"/>
      <c r="J168" s="110"/>
      <c r="K168" s="110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88"/>
      <c r="AL168" s="88"/>
      <c r="AM168" s="88"/>
      <c r="AN168" s="88"/>
      <c r="AO168" s="88"/>
      <c r="AP168" s="88"/>
      <c r="AQ168" s="88"/>
      <c r="AR168" s="88"/>
      <c r="AS168" s="88"/>
      <c r="AT168" s="88"/>
      <c r="AU168" s="88"/>
      <c r="AV168" s="88"/>
      <c r="AW168" s="88"/>
      <c r="AX168" s="88"/>
      <c r="AY168" s="88"/>
      <c r="AZ168" s="88"/>
      <c r="BA168" s="88"/>
      <c r="BB168" s="88"/>
      <c r="BC168" s="88"/>
      <c r="BD168" s="88"/>
      <c r="BE168" s="88"/>
      <c r="BF168" s="88"/>
      <c r="BG168" s="88"/>
      <c r="BH168" s="88"/>
      <c r="BI168" s="88"/>
      <c r="BJ168" s="88"/>
      <c r="BK168" s="88"/>
      <c r="BL168" s="88"/>
      <c r="BM168" s="88"/>
      <c r="BN168" s="88"/>
      <c r="BO168" s="88"/>
      <c r="BP168" s="88"/>
      <c r="BQ168" s="88"/>
      <c r="BR168" s="88"/>
      <c r="BS168" s="88"/>
      <c r="BT168" s="88"/>
      <c r="BU168" s="88"/>
      <c r="BV168" s="88"/>
      <c r="BW168" s="88"/>
      <c r="BX168" s="88"/>
      <c r="BY168" s="88"/>
      <c r="BZ168" s="88"/>
      <c r="CA168" s="88"/>
      <c r="CB168" s="88"/>
      <c r="CC168" s="88"/>
      <c r="CD168" s="88"/>
      <c r="CE168" s="88"/>
      <c r="CF168" s="88"/>
      <c r="CG168" s="88"/>
      <c r="CH168" s="88"/>
      <c r="CI168" s="88"/>
      <c r="CJ168" s="88"/>
      <c r="CK168" s="88"/>
      <c r="CL168" s="88"/>
      <c r="CM168" s="88"/>
      <c r="CN168" s="88"/>
      <c r="CO168" s="88"/>
      <c r="CP168" s="88"/>
      <c r="CQ168" s="88"/>
      <c r="CR168" s="88"/>
      <c r="CS168" s="88"/>
      <c r="CT168" s="88"/>
      <c r="CU168" s="88"/>
      <c r="CV168" s="88"/>
      <c r="CW168" s="88"/>
      <c r="CX168" s="88"/>
      <c r="CY168" s="88"/>
      <c r="CZ168" s="88"/>
      <c r="DA168" s="88"/>
      <c r="DB168" s="88"/>
      <c r="DC168" s="88"/>
      <c r="DD168" s="88"/>
      <c r="DE168" s="88"/>
      <c r="DF168" s="88"/>
      <c r="DG168" s="88"/>
      <c r="DH168" s="88"/>
      <c r="DI168" s="88"/>
      <c r="DJ168" s="88"/>
    </row>
    <row r="169" spans="1:114" hidden="1">
      <c r="A169" s="88"/>
      <c r="B169" s="108"/>
      <c r="C169" s="110"/>
      <c r="D169" s="110">
        <f>WEEKDAY(datacom+32)</f>
        <v>5</v>
      </c>
      <c r="E169" s="110" t="b">
        <f>IF(ap=3,TEXT(IF(OR(WEEKDAY(datacom+31)=1,COUNTIF(Fer,datacom+31)=1),IF(OR(WEEKDAY(datacom+32)=1,COUNTIF(Fer,datacom+32)=1),datacom+33,datacom+32),datacom+31),"dddd, dd/mmmm/aaaa"))</f>
        <v>0</v>
      </c>
      <c r="F169" s="110"/>
      <c r="G169" s="110"/>
      <c r="H169" s="110"/>
      <c r="I169" s="110"/>
      <c r="J169" s="110"/>
      <c r="K169" s="110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88"/>
      <c r="AL169" s="88"/>
      <c r="AM169" s="88"/>
      <c r="AN169" s="88"/>
      <c r="AO169" s="88"/>
      <c r="AP169" s="88"/>
      <c r="AQ169" s="88"/>
      <c r="AR169" s="88"/>
      <c r="AS169" s="88"/>
      <c r="AT169" s="88"/>
      <c r="AU169" s="88"/>
      <c r="AV169" s="88"/>
      <c r="AW169" s="88"/>
      <c r="AX169" s="88"/>
      <c r="AY169" s="88"/>
      <c r="AZ169" s="88"/>
      <c r="BA169" s="88"/>
      <c r="BB169" s="88"/>
      <c r="BC169" s="88"/>
      <c r="BD169" s="88"/>
      <c r="BE169" s="88"/>
      <c r="BF169" s="88"/>
      <c r="BG169" s="88"/>
      <c r="BH169" s="88"/>
      <c r="BI169" s="88"/>
      <c r="BJ169" s="88"/>
      <c r="BK169" s="88"/>
      <c r="BL169" s="88"/>
      <c r="BM169" s="88"/>
      <c r="BN169" s="88"/>
      <c r="BO169" s="88"/>
      <c r="BP169" s="88"/>
      <c r="BQ169" s="88"/>
      <c r="BR169" s="88"/>
      <c r="BS169" s="88"/>
      <c r="BT169" s="88"/>
      <c r="BU169" s="88"/>
      <c r="BV169" s="88"/>
      <c r="BW169" s="88"/>
      <c r="BX169" s="88"/>
      <c r="BY169" s="88"/>
      <c r="BZ169" s="88"/>
      <c r="CA169" s="88"/>
      <c r="CB169" s="88"/>
      <c r="CC169" s="88"/>
      <c r="CD169" s="88"/>
      <c r="CE169" s="88"/>
      <c r="CF169" s="88"/>
      <c r="CG169" s="88"/>
      <c r="CH169" s="88"/>
      <c r="CI169" s="88"/>
      <c r="CJ169" s="88"/>
      <c r="CK169" s="88"/>
      <c r="CL169" s="88"/>
      <c r="CM169" s="88"/>
      <c r="CN169" s="88"/>
      <c r="CO169" s="88"/>
      <c r="CP169" s="88"/>
      <c r="CQ169" s="88"/>
      <c r="CR169" s="88"/>
      <c r="CS169" s="88"/>
      <c r="CT169" s="88"/>
      <c r="CU169" s="88"/>
      <c r="CV169" s="88"/>
      <c r="CW169" s="88"/>
      <c r="CX169" s="88"/>
      <c r="CY169" s="88"/>
      <c r="CZ169" s="88"/>
      <c r="DA169" s="88"/>
      <c r="DB169" s="88"/>
      <c r="DC169" s="88"/>
      <c r="DD169" s="88"/>
      <c r="DE169" s="88"/>
      <c r="DF169" s="88"/>
      <c r="DG169" s="88"/>
      <c r="DH169" s="88"/>
      <c r="DI169" s="88"/>
      <c r="DJ169" s="88"/>
    </row>
    <row r="170" spans="1:114" hidden="1">
      <c r="A170" s="88"/>
      <c r="B170" s="108"/>
      <c r="C170" s="110"/>
      <c r="D170" s="110">
        <f>WEEKDAY(datacom+33)</f>
        <v>6</v>
      </c>
      <c r="E170" s="110"/>
      <c r="F170" s="110"/>
      <c r="G170" s="110"/>
      <c r="H170" s="110"/>
      <c r="I170" s="110"/>
      <c r="J170" s="110"/>
      <c r="K170" s="110"/>
      <c r="L170" s="88"/>
      <c r="M170" s="88"/>
      <c r="N170" s="88"/>
      <c r="O170" s="88"/>
      <c r="P170" s="88"/>
      <c r="Q170" s="88"/>
      <c r="R170" s="88"/>
      <c r="S170" s="88"/>
      <c r="T170" s="88"/>
      <c r="U170" s="88"/>
      <c r="V170" s="88"/>
      <c r="W170" s="88"/>
      <c r="X170" s="88"/>
      <c r="Y170" s="88"/>
      <c r="Z170" s="88"/>
      <c r="AA170" s="88"/>
      <c r="AB170" s="88"/>
      <c r="AC170" s="88"/>
      <c r="AD170" s="88"/>
      <c r="AE170" s="88"/>
      <c r="AF170" s="88"/>
      <c r="AG170" s="88"/>
      <c r="AH170" s="88"/>
      <c r="AI170" s="88"/>
      <c r="AJ170" s="88"/>
      <c r="AK170" s="88"/>
      <c r="AL170" s="88"/>
      <c r="AM170" s="88"/>
      <c r="AN170" s="88"/>
      <c r="AO170" s="88"/>
      <c r="AP170" s="88"/>
      <c r="AQ170" s="88"/>
      <c r="AR170" s="88"/>
      <c r="AS170" s="88"/>
      <c r="AT170" s="88"/>
      <c r="AU170" s="88"/>
      <c r="AV170" s="88"/>
      <c r="AW170" s="88"/>
      <c r="AX170" s="88"/>
      <c r="AY170" s="88"/>
      <c r="AZ170" s="88"/>
      <c r="BA170" s="88"/>
      <c r="BB170" s="88"/>
      <c r="BC170" s="88"/>
      <c r="BD170" s="88"/>
      <c r="BE170" s="88"/>
      <c r="BF170" s="88"/>
      <c r="BG170" s="88"/>
      <c r="BH170" s="88"/>
      <c r="BI170" s="88"/>
      <c r="BJ170" s="88"/>
      <c r="BK170" s="88"/>
      <c r="BL170" s="88"/>
      <c r="BM170" s="88"/>
      <c r="BN170" s="88"/>
      <c r="BO170" s="88"/>
      <c r="BP170" s="88"/>
      <c r="BQ170" s="88"/>
      <c r="BR170" s="88"/>
      <c r="BS170" s="88"/>
      <c r="BT170" s="88"/>
      <c r="BU170" s="88"/>
      <c r="BV170" s="88"/>
      <c r="BW170" s="88"/>
      <c r="BX170" s="88"/>
      <c r="BY170" s="88"/>
      <c r="BZ170" s="88"/>
      <c r="CA170" s="88"/>
      <c r="CB170" s="88"/>
      <c r="CC170" s="88"/>
      <c r="CD170" s="88"/>
      <c r="CE170" s="88"/>
      <c r="CF170" s="88"/>
      <c r="CG170" s="88"/>
      <c r="CH170" s="88"/>
      <c r="CI170" s="88"/>
      <c r="CJ170" s="88"/>
      <c r="CK170" s="88"/>
      <c r="CL170" s="88"/>
      <c r="CM170" s="88"/>
      <c r="CN170" s="88"/>
      <c r="CO170" s="88"/>
      <c r="CP170" s="88"/>
      <c r="CQ170" s="88"/>
      <c r="CR170" s="88"/>
      <c r="CS170" s="88"/>
      <c r="CT170" s="88"/>
      <c r="CU170" s="88"/>
      <c r="CV170" s="88"/>
      <c r="CW170" s="88"/>
      <c r="CX170" s="88"/>
      <c r="CY170" s="88"/>
      <c r="CZ170" s="88"/>
      <c r="DA170" s="88"/>
      <c r="DB170" s="88"/>
      <c r="DC170" s="88"/>
      <c r="DD170" s="88"/>
      <c r="DE170" s="88"/>
      <c r="DF170" s="88"/>
      <c r="DG170" s="88"/>
      <c r="DH170" s="88"/>
      <c r="DI170" s="88"/>
      <c r="DJ170" s="88"/>
    </row>
    <row r="171" spans="1:114" hidden="1">
      <c r="A171" s="88"/>
      <c r="B171" s="108"/>
      <c r="C171" s="110"/>
      <c r="D171" s="110"/>
      <c r="E171" s="110"/>
      <c r="F171" s="110"/>
      <c r="G171" s="110"/>
      <c r="H171" s="110"/>
      <c r="I171" s="110"/>
      <c r="J171" s="110"/>
      <c r="K171" s="110"/>
      <c r="L171" s="88"/>
      <c r="M171" s="88"/>
      <c r="N171" s="88"/>
      <c r="O171" s="88"/>
      <c r="P171" s="88"/>
      <c r="Q171" s="88"/>
      <c r="R171" s="88"/>
      <c r="S171" s="88"/>
      <c r="T171" s="88"/>
      <c r="U171" s="88"/>
      <c r="V171" s="88"/>
      <c r="W171" s="88"/>
      <c r="X171" s="88"/>
      <c r="Y171" s="88"/>
      <c r="Z171" s="88"/>
      <c r="AA171" s="88"/>
      <c r="AB171" s="88"/>
      <c r="AC171" s="88"/>
      <c r="AD171" s="88"/>
      <c r="AE171" s="88"/>
      <c r="AF171" s="88"/>
      <c r="AG171" s="88"/>
      <c r="AH171" s="88"/>
      <c r="AI171" s="88"/>
      <c r="AJ171" s="88"/>
      <c r="AK171" s="88"/>
      <c r="AL171" s="88"/>
      <c r="AM171" s="88"/>
      <c r="AN171" s="88"/>
      <c r="AO171" s="88"/>
      <c r="AP171" s="88"/>
      <c r="AQ171" s="88"/>
      <c r="AR171" s="88"/>
      <c r="AS171" s="88"/>
      <c r="AT171" s="88"/>
      <c r="AU171" s="88"/>
      <c r="AV171" s="88"/>
      <c r="AW171" s="88"/>
      <c r="AX171" s="88"/>
      <c r="AY171" s="88"/>
      <c r="AZ171" s="88"/>
      <c r="BA171" s="88"/>
      <c r="BB171" s="88"/>
      <c r="BC171" s="88"/>
      <c r="BD171" s="88"/>
      <c r="BE171" s="88"/>
      <c r="BF171" s="88"/>
      <c r="BG171" s="88"/>
      <c r="BH171" s="88"/>
      <c r="BI171" s="88"/>
      <c r="BJ171" s="88"/>
      <c r="BK171" s="88"/>
      <c r="BL171" s="88"/>
      <c r="BM171" s="88"/>
      <c r="BN171" s="88"/>
      <c r="BO171" s="88"/>
      <c r="BP171" s="88"/>
      <c r="BQ171" s="88"/>
      <c r="BR171" s="88"/>
      <c r="BS171" s="88"/>
      <c r="BT171" s="88"/>
      <c r="BU171" s="88"/>
      <c r="BV171" s="88"/>
      <c r="BW171" s="88"/>
      <c r="BX171" s="88"/>
      <c r="BY171" s="88"/>
      <c r="BZ171" s="88"/>
      <c r="CA171" s="88"/>
      <c r="CB171" s="88"/>
      <c r="CC171" s="88"/>
      <c r="CD171" s="88"/>
      <c r="CE171" s="88"/>
      <c r="CF171" s="88"/>
      <c r="CG171" s="88"/>
      <c r="CH171" s="88"/>
      <c r="CI171" s="88"/>
      <c r="CJ171" s="88"/>
      <c r="CK171" s="88"/>
      <c r="CL171" s="88"/>
      <c r="CM171" s="88"/>
      <c r="CN171" s="88"/>
      <c r="CO171" s="88"/>
      <c r="CP171" s="88"/>
      <c r="CQ171" s="88"/>
      <c r="CR171" s="88"/>
      <c r="CS171" s="88"/>
      <c r="CT171" s="88"/>
      <c r="CU171" s="88"/>
      <c r="CV171" s="88"/>
      <c r="CW171" s="88"/>
      <c r="CX171" s="88"/>
      <c r="CY171" s="88"/>
      <c r="CZ171" s="88"/>
      <c r="DA171" s="88"/>
      <c r="DB171" s="88"/>
      <c r="DC171" s="88"/>
      <c r="DD171" s="88"/>
      <c r="DE171" s="88"/>
      <c r="DF171" s="88"/>
      <c r="DG171" s="88"/>
      <c r="DH171" s="88"/>
      <c r="DI171" s="88"/>
      <c r="DJ171" s="88"/>
    </row>
    <row r="172" spans="1:114" hidden="1">
      <c r="A172" s="88"/>
      <c r="B172" s="88"/>
      <c r="C172" s="88"/>
      <c r="D172" s="88"/>
      <c r="E172" s="126">
        <f>IF(E154=2,IF(OR(WEEKDAY(10)=1,COUNTIF(Fer,ultimo_diatrab+10)=1),IF(OR(WEEKDAY(ultimo_diatrab+11)=1,COUNTIF(Fer,ultimo_diatrab+11)=1),ultimo_diatrab+12,ultimo_diatrab+11),ultimo_diatrab+10),IF(OR(WEEKDAY(ultimo_diatrab+10)=1,COUNTIF(Fer,ultimo_diatrab+10)=1),IF(OR(WEEKDAY(ultimo_diatrab+9)=1,COUNTIF(Fer,ultimo_diatrab+9)=1),ultimo_diatrab+8,ultimo_diatrab+9),ultimo_diatrab+10))</f>
        <v>43516</v>
      </c>
      <c r="F172" s="125">
        <f>E172</f>
        <v>43516</v>
      </c>
      <c r="G172" s="88"/>
      <c r="H172" s="88"/>
      <c r="I172" s="88"/>
      <c r="J172" s="88"/>
      <c r="K172" s="88"/>
      <c r="L172" s="88"/>
      <c r="M172" s="88"/>
      <c r="N172" s="88"/>
      <c r="O172" s="88"/>
      <c r="P172" s="88"/>
      <c r="Q172" s="88"/>
      <c r="R172" s="88"/>
      <c r="S172" s="88"/>
      <c r="T172" s="88"/>
      <c r="U172" s="88"/>
      <c r="V172" s="88"/>
      <c r="W172" s="88"/>
      <c r="X172" s="88"/>
      <c r="Y172" s="88"/>
      <c r="Z172" s="88"/>
      <c r="AA172" s="88"/>
      <c r="AB172" s="88"/>
      <c r="AC172" s="88"/>
      <c r="AD172" s="88"/>
      <c r="AE172" s="88"/>
      <c r="AF172" s="88"/>
      <c r="AG172" s="88"/>
      <c r="AH172" s="88"/>
      <c r="AI172" s="88"/>
      <c r="AJ172" s="88"/>
      <c r="AK172" s="88"/>
      <c r="AL172" s="88"/>
      <c r="AM172" s="88"/>
      <c r="AN172" s="88"/>
      <c r="AO172" s="88"/>
      <c r="AP172" s="88"/>
      <c r="AQ172" s="88"/>
      <c r="AR172" s="88"/>
      <c r="AS172" s="88"/>
      <c r="AT172" s="88"/>
      <c r="AU172" s="88"/>
      <c r="AV172" s="88"/>
      <c r="AW172" s="88"/>
      <c r="AX172" s="88"/>
      <c r="AY172" s="88"/>
      <c r="AZ172" s="88"/>
      <c r="BA172" s="88"/>
      <c r="BB172" s="88"/>
      <c r="BC172" s="88"/>
      <c r="BD172" s="88"/>
      <c r="BE172" s="88"/>
      <c r="BF172" s="88"/>
      <c r="BG172" s="88"/>
      <c r="BH172" s="88"/>
      <c r="BI172" s="88"/>
      <c r="BJ172" s="88"/>
      <c r="BK172" s="88"/>
      <c r="BL172" s="88"/>
      <c r="BM172" s="88"/>
      <c r="BN172" s="88"/>
      <c r="BO172" s="88"/>
      <c r="BP172" s="88"/>
      <c r="BQ172" s="88"/>
      <c r="BR172" s="88"/>
      <c r="BS172" s="88"/>
      <c r="BT172" s="88"/>
      <c r="BU172" s="88"/>
      <c r="BV172" s="88"/>
      <c r="BW172" s="88"/>
      <c r="BX172" s="88"/>
      <c r="BY172" s="88"/>
      <c r="BZ172" s="88"/>
      <c r="CA172" s="88"/>
      <c r="CB172" s="88"/>
      <c r="CC172" s="88"/>
      <c r="CD172" s="88"/>
      <c r="CE172" s="88"/>
      <c r="CF172" s="88"/>
      <c r="CG172" s="88"/>
      <c r="CH172" s="88"/>
      <c r="CI172" s="88"/>
      <c r="CJ172" s="88"/>
      <c r="CK172" s="88"/>
      <c r="CL172" s="88"/>
      <c r="CM172" s="88"/>
      <c r="CN172" s="88"/>
      <c r="CO172" s="88"/>
      <c r="CP172" s="88"/>
      <c r="CQ172" s="88"/>
      <c r="CR172" s="88"/>
      <c r="CS172" s="88"/>
      <c r="CT172" s="88"/>
      <c r="CU172" s="88"/>
      <c r="CV172" s="88"/>
      <c r="CW172" s="88"/>
      <c r="CX172" s="88"/>
      <c r="CY172" s="88"/>
      <c r="CZ172" s="88"/>
      <c r="DA172" s="88"/>
      <c r="DB172" s="88"/>
      <c r="DC172" s="88"/>
      <c r="DD172" s="88"/>
      <c r="DE172" s="88"/>
      <c r="DF172" s="88"/>
      <c r="DG172" s="88"/>
      <c r="DH172" s="88"/>
      <c r="DI172" s="88"/>
      <c r="DJ172" s="88"/>
    </row>
    <row r="173" spans="1:114" hidden="1">
      <c r="A173" s="88"/>
      <c r="B173" s="88"/>
      <c r="C173" s="88"/>
      <c r="D173" s="88"/>
      <c r="E173" s="88"/>
      <c r="F173" s="88"/>
      <c r="G173" s="88"/>
      <c r="H173" s="88"/>
      <c r="I173" s="88"/>
      <c r="J173" s="88"/>
      <c r="K173" s="88"/>
      <c r="L173" s="88"/>
      <c r="M173" s="88"/>
      <c r="N173" s="88"/>
      <c r="O173" s="88"/>
      <c r="P173" s="88"/>
      <c r="Q173" s="88"/>
      <c r="R173" s="88"/>
      <c r="S173" s="88"/>
      <c r="T173" s="88"/>
      <c r="U173" s="88"/>
      <c r="V173" s="88"/>
      <c r="W173" s="88"/>
      <c r="X173" s="88"/>
      <c r="Y173" s="88"/>
      <c r="Z173" s="88"/>
      <c r="AA173" s="88"/>
      <c r="AB173" s="88"/>
      <c r="AC173" s="88"/>
      <c r="AD173" s="88"/>
      <c r="AE173" s="88"/>
      <c r="AF173" s="88"/>
      <c r="AG173" s="88"/>
      <c r="AH173" s="88"/>
      <c r="AI173" s="88"/>
      <c r="AJ173" s="88"/>
      <c r="AK173" s="88"/>
      <c r="AL173" s="88"/>
      <c r="AM173" s="88"/>
      <c r="AN173" s="88"/>
      <c r="AO173" s="88"/>
      <c r="AP173" s="88"/>
      <c r="AQ173" s="88"/>
      <c r="AR173" s="88"/>
      <c r="AS173" s="88"/>
      <c r="AT173" s="88"/>
      <c r="AU173" s="88"/>
      <c r="AV173" s="88"/>
      <c r="AW173" s="88"/>
      <c r="AX173" s="88"/>
      <c r="AY173" s="88"/>
      <c r="AZ173" s="88"/>
      <c r="BA173" s="88"/>
      <c r="BB173" s="88"/>
      <c r="BC173" s="88"/>
      <c r="BD173" s="88"/>
      <c r="BE173" s="88"/>
      <c r="BF173" s="88"/>
      <c r="BG173" s="88"/>
      <c r="BH173" s="88"/>
      <c r="BI173" s="88"/>
      <c r="BJ173" s="88"/>
      <c r="BK173" s="88"/>
      <c r="BL173" s="88"/>
      <c r="BM173" s="88"/>
      <c r="BN173" s="88"/>
      <c r="BO173" s="88"/>
      <c r="BP173" s="88"/>
      <c r="BQ173" s="88"/>
      <c r="BR173" s="88"/>
      <c r="BS173" s="88"/>
      <c r="BT173" s="88"/>
      <c r="BU173" s="88"/>
      <c r="BV173" s="88"/>
      <c r="BW173" s="88"/>
      <c r="BX173" s="88"/>
      <c r="BY173" s="88"/>
      <c r="BZ173" s="88"/>
      <c r="CA173" s="88"/>
      <c r="CB173" s="88"/>
      <c r="CC173" s="88"/>
      <c r="CD173" s="88"/>
      <c r="CE173" s="88"/>
      <c r="CF173" s="88"/>
      <c r="CG173" s="88"/>
      <c r="CH173" s="88"/>
      <c r="CI173" s="88"/>
      <c r="CJ173" s="88"/>
      <c r="CK173" s="88"/>
      <c r="CL173" s="88"/>
      <c r="CM173" s="88"/>
      <c r="CN173" s="88"/>
      <c r="CO173" s="88"/>
      <c r="CP173" s="88"/>
      <c r="CQ173" s="88"/>
      <c r="CR173" s="88"/>
      <c r="CS173" s="88"/>
      <c r="CT173" s="88"/>
      <c r="CU173" s="88"/>
      <c r="CV173" s="88"/>
      <c r="CW173" s="88"/>
      <c r="CX173" s="88"/>
      <c r="CY173" s="88"/>
      <c r="CZ173" s="88"/>
      <c r="DA173" s="88"/>
      <c r="DB173" s="88"/>
      <c r="DC173" s="88"/>
      <c r="DD173" s="88"/>
      <c r="DE173" s="88"/>
      <c r="DF173" s="88"/>
      <c r="DG173" s="88"/>
      <c r="DH173" s="88"/>
      <c r="DI173" s="88"/>
      <c r="DJ173" s="88"/>
    </row>
    <row r="174" spans="1:114" hidden="1">
      <c r="A174" s="88"/>
      <c r="B174" s="88"/>
      <c r="C174" s="88"/>
      <c r="D174" s="88"/>
      <c r="E174" s="124">
        <f>DATE(YEAR(ultimo_diatrab),12,31)</f>
        <v>43830</v>
      </c>
      <c r="F174" s="88"/>
      <c r="G174" s="88"/>
      <c r="H174" s="88"/>
      <c r="I174" s="88"/>
      <c r="J174" s="88"/>
      <c r="K174" s="88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W174" s="88"/>
      <c r="X174" s="88"/>
      <c r="Y174" s="88"/>
      <c r="Z174" s="88"/>
      <c r="AA174" s="88"/>
      <c r="AB174" s="88"/>
      <c r="AC174" s="88"/>
      <c r="AD174" s="88"/>
      <c r="AE174" s="88"/>
      <c r="AF174" s="88"/>
      <c r="AG174" s="88"/>
      <c r="AH174" s="88"/>
      <c r="AI174" s="88"/>
      <c r="AJ174" s="88"/>
      <c r="AK174" s="88"/>
      <c r="AL174" s="88"/>
      <c r="AM174" s="88"/>
      <c r="AN174" s="88"/>
      <c r="AO174" s="88"/>
      <c r="AP174" s="88"/>
      <c r="AQ174" s="88"/>
      <c r="AR174" s="88"/>
      <c r="AS174" s="88"/>
      <c r="AT174" s="88"/>
      <c r="AU174" s="88"/>
      <c r="AV174" s="88"/>
      <c r="AW174" s="88"/>
      <c r="AX174" s="88"/>
      <c r="AY174" s="88"/>
      <c r="AZ174" s="88"/>
      <c r="BA174" s="88"/>
      <c r="BB174" s="88"/>
      <c r="BC174" s="88"/>
      <c r="BD174" s="88"/>
      <c r="BE174" s="88"/>
      <c r="BF174" s="88"/>
      <c r="BG174" s="88"/>
      <c r="BH174" s="88"/>
      <c r="BI174" s="88"/>
      <c r="BJ174" s="88"/>
      <c r="BK174" s="88"/>
      <c r="BL174" s="88"/>
      <c r="BM174" s="88"/>
      <c r="BN174" s="88"/>
      <c r="BO174" s="88"/>
      <c r="BP174" s="88"/>
      <c r="BQ174" s="88"/>
      <c r="BR174" s="88"/>
      <c r="BS174" s="88"/>
      <c r="BT174" s="88"/>
      <c r="BU174" s="88"/>
      <c r="BV174" s="88"/>
      <c r="BW174" s="88"/>
      <c r="BX174" s="88"/>
      <c r="BY174" s="88"/>
      <c r="BZ174" s="88"/>
      <c r="CA174" s="88"/>
      <c r="CB174" s="88"/>
      <c r="CC174" s="88"/>
      <c r="CD174" s="88"/>
      <c r="CE174" s="88"/>
      <c r="CF174" s="88"/>
      <c r="CG174" s="88"/>
      <c r="CH174" s="88"/>
      <c r="CI174" s="88"/>
      <c r="CJ174" s="88"/>
      <c r="CK174" s="88"/>
      <c r="CL174" s="88"/>
      <c r="CM174" s="88"/>
      <c r="CN174" s="88"/>
      <c r="CO174" s="88"/>
      <c r="CP174" s="88"/>
      <c r="CQ174" s="88"/>
      <c r="CR174" s="88"/>
      <c r="CS174" s="88"/>
      <c r="CT174" s="88"/>
      <c r="CU174" s="88"/>
      <c r="CV174" s="88"/>
      <c r="CW174" s="88"/>
      <c r="CX174" s="88"/>
      <c r="CY174" s="88"/>
      <c r="CZ174" s="88"/>
      <c r="DA174" s="88"/>
      <c r="DB174" s="88"/>
      <c r="DC174" s="88"/>
      <c r="DD174" s="88"/>
      <c r="DE174" s="88"/>
      <c r="DF174" s="88"/>
      <c r="DG174" s="88"/>
      <c r="DH174" s="88"/>
      <c r="DI174" s="88"/>
      <c r="DJ174" s="88"/>
    </row>
    <row r="175" spans="1:114" hidden="1">
      <c r="A175" s="88"/>
      <c r="B175" s="88"/>
      <c r="C175" s="88"/>
      <c r="D175" s="88"/>
      <c r="E175" s="88"/>
      <c r="F175" s="88"/>
      <c r="G175" s="88"/>
      <c r="H175" s="88"/>
      <c r="I175" s="88"/>
      <c r="J175" s="88"/>
      <c r="K175" s="88"/>
      <c r="L175" s="88"/>
      <c r="M175" s="88"/>
      <c r="N175" s="88"/>
      <c r="O175" s="88"/>
      <c r="P175" s="88"/>
      <c r="Q175" s="88"/>
      <c r="R175" s="88"/>
      <c r="S175" s="88"/>
      <c r="T175" s="88"/>
      <c r="U175" s="88"/>
      <c r="V175" s="88"/>
      <c r="W175" s="88"/>
      <c r="X175" s="88"/>
      <c r="Y175" s="88"/>
      <c r="Z175" s="88"/>
      <c r="AA175" s="88"/>
      <c r="AB175" s="88"/>
      <c r="AC175" s="88"/>
      <c r="AD175" s="88"/>
      <c r="AE175" s="88"/>
      <c r="AF175" s="88"/>
      <c r="AG175" s="88"/>
      <c r="AH175" s="88"/>
      <c r="AI175" s="88"/>
      <c r="AJ175" s="88"/>
      <c r="AK175" s="88"/>
      <c r="AL175" s="88"/>
      <c r="AM175" s="88"/>
      <c r="AN175" s="88"/>
      <c r="AO175" s="88"/>
      <c r="AP175" s="88"/>
      <c r="AQ175" s="88"/>
      <c r="AR175" s="88"/>
      <c r="AS175" s="88"/>
      <c r="AT175" s="88"/>
      <c r="AU175" s="88"/>
      <c r="AV175" s="88"/>
      <c r="AW175" s="88"/>
      <c r="AX175" s="88"/>
      <c r="AY175" s="88"/>
      <c r="AZ175" s="88"/>
      <c r="BA175" s="88"/>
      <c r="BB175" s="88"/>
      <c r="BC175" s="88"/>
      <c r="BD175" s="88"/>
      <c r="BE175" s="88"/>
      <c r="BF175" s="88"/>
      <c r="BG175" s="88"/>
      <c r="BH175" s="88"/>
      <c r="BI175" s="88"/>
      <c r="BJ175" s="88"/>
      <c r="BK175" s="88"/>
      <c r="BL175" s="88"/>
      <c r="BM175" s="88"/>
      <c r="BN175" s="88"/>
      <c r="BO175" s="88"/>
      <c r="BP175" s="88"/>
      <c r="BQ175" s="88"/>
      <c r="BR175" s="88"/>
      <c r="BS175" s="88"/>
      <c r="BT175" s="88"/>
      <c r="BU175" s="88"/>
      <c r="BV175" s="88"/>
      <c r="BW175" s="88"/>
      <c r="BX175" s="88"/>
      <c r="BY175" s="88"/>
      <c r="BZ175" s="88"/>
      <c r="CA175" s="88"/>
      <c r="CB175" s="88"/>
      <c r="CC175" s="88"/>
      <c r="CD175" s="88"/>
      <c r="CE175" s="88"/>
      <c r="CF175" s="88"/>
      <c r="CG175" s="88"/>
      <c r="CH175" s="88"/>
      <c r="CI175" s="88"/>
      <c r="CJ175" s="88"/>
      <c r="CK175" s="88"/>
      <c r="CL175" s="88"/>
      <c r="CM175" s="88"/>
      <c r="CN175" s="88"/>
      <c r="CO175" s="88"/>
      <c r="CP175" s="88"/>
      <c r="CQ175" s="88"/>
      <c r="CR175" s="88"/>
      <c r="CS175" s="88"/>
      <c r="CT175" s="88"/>
      <c r="CU175" s="88"/>
      <c r="CV175" s="88"/>
      <c r="CW175" s="88"/>
      <c r="CX175" s="88"/>
      <c r="CY175" s="88"/>
      <c r="CZ175" s="88"/>
      <c r="DA175" s="88"/>
      <c r="DB175" s="88"/>
      <c r="DC175" s="88"/>
      <c r="DD175" s="88"/>
      <c r="DE175" s="88"/>
      <c r="DF175" s="88"/>
      <c r="DG175" s="88"/>
      <c r="DH175" s="88"/>
      <c r="DI175" s="88"/>
      <c r="DJ175" s="88"/>
    </row>
    <row r="176" spans="1:114" hidden="1">
      <c r="A176" s="88"/>
      <c r="B176" s="88"/>
      <c r="C176" s="88"/>
      <c r="D176" s="88"/>
      <c r="E176" s="138">
        <f>IF(ap=1,DATE(YEAR(ultimo_diatrab)+2,MONTH(ultimo_diatrab),DAY(ultimo_diatrab)+1),DATE(YEAR(dispensa)+2,MONTH(dispensa),DAY(dispensa)+1))</f>
        <v>44286</v>
      </c>
      <c r="F176" s="88" t="s">
        <v>107</v>
      </c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  <c r="AF176" s="88"/>
      <c r="AG176" s="88"/>
      <c r="AH176" s="88"/>
      <c r="AI176" s="88"/>
      <c r="AJ176" s="88"/>
      <c r="AK176" s="88"/>
      <c r="AL176" s="88"/>
      <c r="AM176" s="88"/>
      <c r="AN176" s="88"/>
      <c r="AO176" s="88"/>
      <c r="AP176" s="88"/>
      <c r="AQ176" s="88"/>
      <c r="AR176" s="88"/>
      <c r="AS176" s="88"/>
      <c r="AT176" s="88"/>
      <c r="AU176" s="88"/>
      <c r="AV176" s="88"/>
      <c r="AW176" s="88"/>
      <c r="AX176" s="88"/>
      <c r="AY176" s="88"/>
      <c r="AZ176" s="88"/>
      <c r="BA176" s="88"/>
      <c r="BB176" s="88"/>
      <c r="BC176" s="88"/>
      <c r="BD176" s="88"/>
      <c r="BE176" s="88"/>
      <c r="BF176" s="88"/>
      <c r="BG176" s="88"/>
      <c r="BH176" s="88"/>
      <c r="BI176" s="88"/>
      <c r="BJ176" s="88"/>
      <c r="BK176" s="88"/>
      <c r="BL176" s="88"/>
      <c r="BM176" s="88"/>
      <c r="BN176" s="88"/>
      <c r="BO176" s="88"/>
      <c r="BP176" s="88"/>
      <c r="BQ176" s="88"/>
      <c r="BR176" s="88"/>
      <c r="BS176" s="88"/>
      <c r="BT176" s="88"/>
      <c r="BU176" s="88"/>
      <c r="BV176" s="88"/>
      <c r="BW176" s="88"/>
      <c r="BX176" s="88"/>
      <c r="BY176" s="88"/>
      <c r="BZ176" s="88"/>
      <c r="CA176" s="88"/>
      <c r="CB176" s="88"/>
      <c r="CC176" s="88"/>
      <c r="CD176" s="88"/>
      <c r="CE176" s="88"/>
      <c r="CF176" s="88"/>
      <c r="CG176" s="88"/>
      <c r="CH176" s="88"/>
      <c r="CI176" s="88"/>
      <c r="CJ176" s="88"/>
      <c r="CK176" s="88"/>
      <c r="CL176" s="88"/>
      <c r="CM176" s="88"/>
      <c r="CN176" s="88"/>
      <c r="CO176" s="88"/>
      <c r="CP176" s="88"/>
      <c r="CQ176" s="88"/>
      <c r="CR176" s="88"/>
      <c r="CS176" s="88"/>
      <c r="CT176" s="88"/>
      <c r="CU176" s="88"/>
      <c r="CV176" s="88"/>
      <c r="CW176" s="88"/>
      <c r="CX176" s="88"/>
      <c r="CY176" s="88"/>
      <c r="CZ176" s="88"/>
      <c r="DA176" s="88"/>
      <c r="DB176" s="88"/>
      <c r="DC176" s="88"/>
      <c r="DD176" s="88"/>
      <c r="DE176" s="88"/>
      <c r="DF176" s="88"/>
      <c r="DG176" s="88"/>
      <c r="DH176" s="88"/>
      <c r="DI176" s="88"/>
      <c r="DJ176" s="88"/>
    </row>
    <row r="177" spans="1:114" hidden="1">
      <c r="A177" s="88"/>
      <c r="B177" s="88"/>
      <c r="C177" s="88"/>
      <c r="D177" s="88"/>
      <c r="E177" s="88"/>
      <c r="F177" s="88"/>
      <c r="G177" s="88"/>
      <c r="H177" s="88"/>
      <c r="I177" s="88"/>
      <c r="J177" s="88"/>
      <c r="K177" s="88"/>
      <c r="L177" s="88"/>
      <c r="M177" s="88"/>
      <c r="N177" s="88"/>
      <c r="O177" s="88"/>
      <c r="P177" s="88"/>
      <c r="Q177" s="88"/>
      <c r="R177" s="88"/>
      <c r="S177" s="88"/>
      <c r="T177" s="88"/>
      <c r="U177" s="88"/>
      <c r="V177" s="88"/>
      <c r="W177" s="88"/>
      <c r="X177" s="88"/>
      <c r="Y177" s="88"/>
      <c r="Z177" s="88"/>
      <c r="AA177" s="88"/>
      <c r="AB177" s="88"/>
      <c r="AC177" s="88"/>
      <c r="AD177" s="88"/>
      <c r="AE177" s="88"/>
      <c r="AF177" s="88"/>
      <c r="AG177" s="88"/>
      <c r="AH177" s="88"/>
      <c r="AI177" s="88"/>
      <c r="AJ177" s="88"/>
      <c r="AK177" s="88"/>
      <c r="AL177" s="88"/>
      <c r="AM177" s="88"/>
      <c r="AN177" s="88"/>
      <c r="AO177" s="88"/>
      <c r="AP177" s="88"/>
      <c r="AQ177" s="88"/>
      <c r="AR177" s="88"/>
      <c r="AS177" s="88"/>
      <c r="AT177" s="88"/>
      <c r="AU177" s="88"/>
      <c r="AV177" s="88"/>
      <c r="AW177" s="88"/>
      <c r="AX177" s="88"/>
      <c r="AY177" s="88"/>
      <c r="AZ177" s="88"/>
      <c r="BA177" s="88"/>
      <c r="BB177" s="88"/>
      <c r="BC177" s="88"/>
      <c r="BD177" s="88"/>
      <c r="BE177" s="88"/>
      <c r="BF177" s="88"/>
      <c r="BG177" s="88"/>
      <c r="BH177" s="88"/>
      <c r="BI177" s="88"/>
      <c r="BJ177" s="88"/>
      <c r="BK177" s="88"/>
      <c r="BL177" s="88"/>
      <c r="BM177" s="88"/>
      <c r="BN177" s="88"/>
      <c r="BO177" s="88"/>
      <c r="BP177" s="88"/>
      <c r="BQ177" s="88"/>
      <c r="BR177" s="88"/>
      <c r="BS177" s="88"/>
      <c r="BT177" s="88"/>
      <c r="BU177" s="88"/>
      <c r="BV177" s="88"/>
      <c r="BW177" s="88"/>
      <c r="BX177" s="88"/>
      <c r="BY177" s="88"/>
      <c r="BZ177" s="88"/>
      <c r="CA177" s="88"/>
      <c r="CB177" s="88"/>
      <c r="CC177" s="88"/>
      <c r="CD177" s="88"/>
      <c r="CE177" s="88"/>
      <c r="CF177" s="88"/>
      <c r="CG177" s="88"/>
      <c r="CH177" s="88"/>
      <c r="CI177" s="88"/>
      <c r="CJ177" s="88"/>
      <c r="CK177" s="88"/>
      <c r="CL177" s="88"/>
      <c r="CM177" s="88"/>
      <c r="CN177" s="88"/>
      <c r="CO177" s="88"/>
      <c r="CP177" s="88"/>
      <c r="CQ177" s="88"/>
      <c r="CR177" s="88"/>
      <c r="CS177" s="88"/>
      <c r="CT177" s="88"/>
      <c r="CU177" s="88"/>
      <c r="CV177" s="88"/>
      <c r="CW177" s="88"/>
      <c r="CX177" s="88"/>
      <c r="CY177" s="88"/>
      <c r="CZ177" s="88"/>
      <c r="DA177" s="88"/>
      <c r="DB177" s="88"/>
      <c r="DC177" s="88"/>
      <c r="DD177" s="88"/>
      <c r="DE177" s="88"/>
      <c r="DF177" s="88"/>
      <c r="DG177" s="88"/>
      <c r="DH177" s="88"/>
      <c r="DI177" s="88"/>
      <c r="DJ177" s="88"/>
    </row>
    <row r="178" spans="1:114" hidden="1">
      <c r="A178" s="88"/>
      <c r="B178" s="88"/>
      <c r="C178" s="88"/>
      <c r="D178" s="88"/>
      <c r="E178" s="88" t="s">
        <v>118</v>
      </c>
      <c r="F178" s="88">
        <v>1</v>
      </c>
      <c r="G178" s="88"/>
      <c r="H178" s="88"/>
      <c r="I178" s="88"/>
      <c r="J178" s="88"/>
      <c r="K178" s="88"/>
      <c r="L178" s="88"/>
      <c r="M178" s="88"/>
      <c r="N178" s="88"/>
      <c r="O178" s="88"/>
      <c r="P178" s="88"/>
      <c r="Q178" s="88"/>
      <c r="R178" s="88"/>
      <c r="S178" s="88"/>
      <c r="T178" s="88"/>
      <c r="U178" s="88"/>
      <c r="V178" s="88"/>
      <c r="W178" s="88"/>
      <c r="X178" s="88"/>
      <c r="Y178" s="88"/>
      <c r="Z178" s="88"/>
      <c r="AA178" s="88"/>
      <c r="AB178" s="88"/>
      <c r="AC178" s="88"/>
      <c r="AD178" s="88"/>
      <c r="AE178" s="88"/>
      <c r="AF178" s="88"/>
      <c r="AG178" s="88"/>
      <c r="AH178" s="88"/>
      <c r="AI178" s="88"/>
      <c r="AJ178" s="88"/>
      <c r="AK178" s="88"/>
      <c r="AL178" s="88"/>
      <c r="AM178" s="88"/>
      <c r="AN178" s="88"/>
      <c r="AO178" s="88"/>
      <c r="AP178" s="88"/>
      <c r="AQ178" s="88"/>
      <c r="AR178" s="88"/>
      <c r="AS178" s="88"/>
      <c r="AT178" s="88"/>
      <c r="AU178" s="88"/>
      <c r="AV178" s="88"/>
      <c r="AW178" s="88"/>
      <c r="AX178" s="88"/>
      <c r="AY178" s="88"/>
      <c r="AZ178" s="88"/>
      <c r="BA178" s="88"/>
      <c r="BB178" s="88"/>
      <c r="BC178" s="88"/>
      <c r="BD178" s="88"/>
      <c r="BE178" s="88"/>
      <c r="BF178" s="88"/>
      <c r="BG178" s="88"/>
      <c r="BH178" s="88"/>
      <c r="BI178" s="88"/>
      <c r="BJ178" s="88"/>
      <c r="BK178" s="88"/>
      <c r="BL178" s="88"/>
      <c r="BM178" s="88"/>
      <c r="BN178" s="88"/>
      <c r="BO178" s="88"/>
      <c r="BP178" s="88"/>
      <c r="BQ178" s="88"/>
      <c r="BR178" s="88"/>
      <c r="BS178" s="88"/>
      <c r="BT178" s="88"/>
      <c r="BU178" s="88"/>
      <c r="BV178" s="88"/>
      <c r="BW178" s="88"/>
      <c r="BX178" s="88"/>
      <c r="BY178" s="88"/>
      <c r="BZ178" s="88"/>
      <c r="CA178" s="88"/>
      <c r="CB178" s="88"/>
      <c r="CC178" s="88"/>
      <c r="CD178" s="88"/>
      <c r="CE178" s="88"/>
      <c r="CF178" s="88"/>
      <c r="CG178" s="88"/>
      <c r="CH178" s="88"/>
      <c r="CI178" s="88"/>
      <c r="CJ178" s="88"/>
      <c r="CK178" s="88"/>
      <c r="CL178" s="88"/>
      <c r="CM178" s="88"/>
      <c r="CN178" s="88"/>
      <c r="CO178" s="88"/>
      <c r="CP178" s="88"/>
      <c r="CQ178" s="88"/>
      <c r="CR178" s="88"/>
      <c r="CS178" s="88"/>
      <c r="CT178" s="88"/>
      <c r="CU178" s="88"/>
      <c r="CV178" s="88"/>
      <c r="CW178" s="88"/>
      <c r="CX178" s="88"/>
      <c r="CY178" s="88"/>
      <c r="CZ178" s="88"/>
      <c r="DA178" s="88"/>
      <c r="DB178" s="88"/>
      <c r="DC178" s="88"/>
      <c r="DD178" s="88"/>
      <c r="DE178" s="88"/>
      <c r="DF178" s="88"/>
      <c r="DG178" s="88"/>
      <c r="DH178" s="88"/>
      <c r="DI178" s="88"/>
      <c r="DJ178" s="88"/>
    </row>
    <row r="179" spans="1:114" hidden="1">
      <c r="A179" s="88"/>
      <c r="B179" s="88"/>
      <c r="C179" s="88"/>
      <c r="D179" s="88"/>
      <c r="E179" s="88" t="s">
        <v>119</v>
      </c>
      <c r="F179" s="88"/>
      <c r="G179" s="88">
        <v>1</v>
      </c>
      <c r="H179" s="88"/>
      <c r="I179" s="88"/>
      <c r="J179" s="88"/>
      <c r="K179" s="88"/>
      <c r="L179" s="88"/>
      <c r="M179" s="88"/>
      <c r="N179" s="88"/>
      <c r="O179" s="88"/>
      <c r="P179" s="88"/>
      <c r="Q179" s="88"/>
      <c r="R179" s="88"/>
      <c r="S179" s="88"/>
      <c r="T179" s="88"/>
      <c r="U179" s="88"/>
      <c r="V179" s="88"/>
      <c r="W179" s="88"/>
      <c r="X179" s="88"/>
      <c r="Y179" s="88"/>
      <c r="Z179" s="88"/>
      <c r="AA179" s="88"/>
      <c r="AB179" s="88"/>
      <c r="AC179" s="88"/>
      <c r="AD179" s="88"/>
      <c r="AE179" s="88"/>
      <c r="AF179" s="88"/>
      <c r="AG179" s="88"/>
      <c r="AH179" s="88"/>
      <c r="AI179" s="88"/>
      <c r="AJ179" s="88"/>
      <c r="AK179" s="88"/>
      <c r="AL179" s="88"/>
      <c r="AM179" s="88"/>
      <c r="AN179" s="88"/>
      <c r="AO179" s="88"/>
      <c r="AP179" s="88"/>
      <c r="AQ179" s="88"/>
      <c r="AR179" s="88"/>
      <c r="AS179" s="88"/>
      <c r="AT179" s="88"/>
      <c r="AU179" s="88"/>
      <c r="AV179" s="88"/>
      <c r="AW179" s="88"/>
      <c r="AX179" s="88"/>
      <c r="AY179" s="88"/>
      <c r="AZ179" s="88"/>
      <c r="BA179" s="88"/>
      <c r="BB179" s="88"/>
      <c r="BC179" s="88"/>
      <c r="BD179" s="88"/>
      <c r="BE179" s="88"/>
      <c r="BF179" s="88"/>
      <c r="BG179" s="88"/>
      <c r="BH179" s="88"/>
      <c r="BI179" s="88"/>
      <c r="BJ179" s="88"/>
      <c r="BK179" s="88"/>
      <c r="BL179" s="88"/>
      <c r="BM179" s="88"/>
      <c r="BN179" s="88"/>
      <c r="BO179" s="88"/>
      <c r="BP179" s="88"/>
      <c r="BQ179" s="88"/>
      <c r="BR179" s="88"/>
      <c r="BS179" s="88"/>
      <c r="BT179" s="88"/>
      <c r="BU179" s="88"/>
      <c r="BV179" s="88"/>
      <c r="BW179" s="88"/>
      <c r="BX179" s="88"/>
      <c r="BY179" s="88"/>
      <c r="BZ179" s="88"/>
      <c r="CA179" s="88"/>
      <c r="CB179" s="88"/>
      <c r="CC179" s="88"/>
      <c r="CD179" s="88"/>
      <c r="CE179" s="88"/>
      <c r="CF179" s="88"/>
      <c r="CG179" s="88"/>
      <c r="CH179" s="88"/>
      <c r="CI179" s="88"/>
      <c r="CJ179" s="88"/>
      <c r="CK179" s="88"/>
      <c r="CL179" s="88"/>
      <c r="CM179" s="88"/>
      <c r="CN179" s="88"/>
      <c r="CO179" s="88"/>
      <c r="CP179" s="88"/>
      <c r="CQ179" s="88"/>
      <c r="CR179" s="88"/>
      <c r="CS179" s="88"/>
      <c r="CT179" s="88"/>
      <c r="CU179" s="88"/>
      <c r="CV179" s="88"/>
      <c r="CW179" s="88"/>
      <c r="CX179" s="88"/>
      <c r="CY179" s="88"/>
      <c r="CZ179" s="88"/>
      <c r="DA179" s="88"/>
      <c r="DB179" s="88"/>
      <c r="DC179" s="88"/>
      <c r="DD179" s="88"/>
      <c r="DE179" s="88"/>
      <c r="DF179" s="88"/>
      <c r="DG179" s="88"/>
      <c r="DH179" s="88"/>
      <c r="DI179" s="88"/>
      <c r="DJ179" s="88"/>
    </row>
    <row r="180" spans="1:114" hidden="1">
      <c r="A180" s="88"/>
      <c r="B180" s="88"/>
      <c r="C180" s="88"/>
      <c r="D180" s="88"/>
      <c r="E180" s="88"/>
      <c r="F180" s="88"/>
      <c r="G180" s="88"/>
      <c r="H180" s="88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88"/>
      <c r="AC180" s="88"/>
      <c r="AD180" s="88"/>
      <c r="AE180" s="88"/>
      <c r="AF180" s="88"/>
      <c r="AG180" s="88"/>
      <c r="AH180" s="88"/>
      <c r="AI180" s="88"/>
      <c r="AJ180" s="88"/>
      <c r="AK180" s="88"/>
      <c r="AL180" s="88"/>
      <c r="AM180" s="88"/>
      <c r="AN180" s="88"/>
      <c r="AO180" s="88"/>
      <c r="AP180" s="88"/>
      <c r="AQ180" s="88"/>
      <c r="AR180" s="88"/>
      <c r="AS180" s="88"/>
      <c r="AT180" s="88"/>
      <c r="AU180" s="88"/>
      <c r="AV180" s="88"/>
      <c r="AW180" s="88"/>
      <c r="AX180" s="88"/>
      <c r="AY180" s="88"/>
      <c r="AZ180" s="88"/>
      <c r="BA180" s="88"/>
      <c r="BB180" s="88"/>
      <c r="BC180" s="88"/>
      <c r="BD180" s="88"/>
      <c r="BE180" s="88"/>
      <c r="BF180" s="88"/>
      <c r="BG180" s="88"/>
      <c r="BH180" s="88"/>
      <c r="BI180" s="88"/>
      <c r="BJ180" s="88"/>
      <c r="BK180" s="88"/>
      <c r="BL180" s="88"/>
      <c r="BM180" s="88"/>
      <c r="BN180" s="88"/>
      <c r="BO180" s="88"/>
      <c r="BP180" s="88"/>
      <c r="BQ180" s="88"/>
      <c r="BR180" s="88"/>
      <c r="BS180" s="88"/>
      <c r="BT180" s="88"/>
      <c r="BU180" s="88"/>
      <c r="BV180" s="88"/>
      <c r="BW180" s="88"/>
      <c r="BX180" s="88"/>
      <c r="BY180" s="88"/>
      <c r="BZ180" s="88"/>
      <c r="CA180" s="88"/>
      <c r="CB180" s="88"/>
      <c r="CC180" s="88"/>
      <c r="CD180" s="88"/>
      <c r="CE180" s="88"/>
      <c r="CF180" s="88"/>
      <c r="CG180" s="88"/>
      <c r="CH180" s="88"/>
      <c r="CI180" s="88"/>
      <c r="CJ180" s="88"/>
      <c r="CK180" s="88"/>
      <c r="CL180" s="88"/>
      <c r="CM180" s="88"/>
      <c r="CN180" s="88"/>
      <c r="CO180" s="88"/>
      <c r="CP180" s="88"/>
      <c r="CQ180" s="88"/>
      <c r="CR180" s="88"/>
      <c r="CS180" s="88"/>
      <c r="CT180" s="88"/>
      <c r="CU180" s="88"/>
      <c r="CV180" s="88"/>
      <c r="CW180" s="88"/>
      <c r="CX180" s="88"/>
      <c r="CY180" s="88"/>
      <c r="CZ180" s="88"/>
      <c r="DA180" s="88"/>
      <c r="DB180" s="88"/>
      <c r="DC180" s="88"/>
      <c r="DD180" s="88"/>
      <c r="DE180" s="88"/>
      <c r="DF180" s="88"/>
      <c r="DG180" s="88"/>
      <c r="DH180" s="88"/>
      <c r="DI180" s="88"/>
      <c r="DJ180" s="88"/>
    </row>
    <row r="181" spans="1:114" hidden="1">
      <c r="A181" s="88"/>
      <c r="B181" s="88"/>
      <c r="C181" s="88"/>
      <c r="D181" s="88"/>
      <c r="E181" s="88" t="b">
        <v>1</v>
      </c>
      <c r="F181" s="88"/>
      <c r="G181" s="88"/>
      <c r="H181" s="88"/>
      <c r="I181" s="88"/>
      <c r="J181" s="88"/>
      <c r="K181" s="88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88"/>
      <c r="W181" s="88"/>
      <c r="X181" s="88"/>
      <c r="Y181" s="88"/>
      <c r="Z181" s="88"/>
      <c r="AA181" s="88"/>
      <c r="AB181" s="88"/>
      <c r="AC181" s="88"/>
      <c r="AD181" s="88"/>
      <c r="AE181" s="88"/>
      <c r="AF181" s="88"/>
      <c r="AG181" s="88"/>
      <c r="AH181" s="88"/>
      <c r="AI181" s="88"/>
      <c r="AJ181" s="88"/>
      <c r="AK181" s="88"/>
      <c r="AL181" s="88"/>
      <c r="AM181" s="88"/>
      <c r="AN181" s="88"/>
      <c r="AO181" s="88"/>
      <c r="AP181" s="88"/>
      <c r="AQ181" s="88"/>
      <c r="AR181" s="88"/>
      <c r="AS181" s="88"/>
      <c r="AT181" s="88"/>
      <c r="AU181" s="88"/>
      <c r="AV181" s="88"/>
      <c r="AW181" s="88"/>
      <c r="AX181" s="88"/>
      <c r="AY181" s="88"/>
      <c r="AZ181" s="88"/>
      <c r="BA181" s="88"/>
      <c r="BB181" s="88"/>
      <c r="BC181" s="88"/>
      <c r="BD181" s="88"/>
      <c r="BE181" s="88"/>
      <c r="BF181" s="88"/>
      <c r="BG181" s="88"/>
      <c r="BH181" s="88"/>
      <c r="BI181" s="88"/>
      <c r="BJ181" s="88"/>
      <c r="BK181" s="88"/>
      <c r="BL181" s="88"/>
      <c r="BM181" s="88"/>
      <c r="BN181" s="88"/>
      <c r="BO181" s="88"/>
      <c r="BP181" s="88"/>
      <c r="BQ181" s="88"/>
      <c r="BR181" s="88"/>
      <c r="BS181" s="88"/>
      <c r="BT181" s="88"/>
      <c r="BU181" s="88"/>
      <c r="BV181" s="88"/>
      <c r="BW181" s="88"/>
      <c r="BX181" s="88"/>
      <c r="BY181" s="88"/>
      <c r="BZ181" s="88"/>
      <c r="CA181" s="88"/>
      <c r="CB181" s="88"/>
      <c r="CC181" s="88"/>
      <c r="CD181" s="88"/>
      <c r="CE181" s="88"/>
      <c r="CF181" s="88"/>
      <c r="CG181" s="88"/>
      <c r="CH181" s="88"/>
      <c r="CI181" s="88"/>
      <c r="CJ181" s="88"/>
      <c r="CK181" s="88"/>
      <c r="CL181" s="88"/>
      <c r="CM181" s="88"/>
      <c r="CN181" s="88"/>
      <c r="CO181" s="88"/>
      <c r="CP181" s="88"/>
      <c r="CQ181" s="88"/>
      <c r="CR181" s="88"/>
      <c r="CS181" s="88"/>
      <c r="CT181" s="88"/>
      <c r="CU181" s="88"/>
      <c r="CV181" s="88"/>
      <c r="CW181" s="88"/>
      <c r="CX181" s="88"/>
      <c r="CY181" s="88"/>
      <c r="CZ181" s="88"/>
      <c r="DA181" s="88"/>
      <c r="DB181" s="88"/>
      <c r="DC181" s="88"/>
      <c r="DD181" s="88"/>
      <c r="DE181" s="88"/>
      <c r="DF181" s="88"/>
      <c r="DG181" s="88"/>
      <c r="DH181" s="88"/>
      <c r="DI181" s="88"/>
      <c r="DJ181" s="88"/>
    </row>
    <row r="182" spans="1:114" hidden="1">
      <c r="A182" s="88"/>
      <c r="B182" s="88"/>
      <c r="C182" s="88"/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88"/>
      <c r="AC182" s="88"/>
      <c r="AD182" s="88"/>
      <c r="AE182" s="88"/>
      <c r="AF182" s="88"/>
      <c r="AG182" s="88"/>
      <c r="AH182" s="88"/>
      <c r="AI182" s="88"/>
      <c r="AJ182" s="88"/>
      <c r="AK182" s="88"/>
      <c r="AL182" s="88"/>
      <c r="AM182" s="88"/>
      <c r="AN182" s="88"/>
      <c r="AO182" s="88"/>
      <c r="AP182" s="88"/>
      <c r="AQ182" s="88"/>
      <c r="AR182" s="88"/>
      <c r="AS182" s="88"/>
      <c r="AT182" s="88"/>
      <c r="AU182" s="88"/>
      <c r="AV182" s="88"/>
      <c r="AW182" s="88"/>
      <c r="AX182" s="88"/>
      <c r="AY182" s="88"/>
      <c r="AZ182" s="88"/>
      <c r="BA182" s="88"/>
      <c r="BB182" s="88"/>
      <c r="BC182" s="88"/>
      <c r="BD182" s="88"/>
      <c r="BE182" s="88"/>
      <c r="BF182" s="88"/>
      <c r="BG182" s="88"/>
      <c r="BH182" s="88"/>
      <c r="BI182" s="88"/>
      <c r="BJ182" s="88"/>
      <c r="BK182" s="88"/>
      <c r="BL182" s="88"/>
      <c r="BM182" s="88"/>
      <c r="BN182" s="88"/>
      <c r="BO182" s="88"/>
      <c r="BP182" s="88"/>
      <c r="BQ182" s="88"/>
      <c r="BR182" s="88"/>
      <c r="BS182" s="88"/>
      <c r="BT182" s="88"/>
      <c r="BU182" s="88"/>
      <c r="BV182" s="88"/>
      <c r="BW182" s="88"/>
      <c r="BX182" s="88"/>
      <c r="BY182" s="88"/>
      <c r="BZ182" s="88"/>
      <c r="CA182" s="88"/>
      <c r="CB182" s="88"/>
      <c r="CC182" s="88"/>
      <c r="CD182" s="88"/>
      <c r="CE182" s="88"/>
      <c r="CF182" s="88"/>
      <c r="CG182" s="88"/>
      <c r="CH182" s="88"/>
      <c r="CI182" s="88"/>
      <c r="CJ182" s="88"/>
      <c r="CK182" s="88"/>
      <c r="CL182" s="88"/>
      <c r="CM182" s="88"/>
      <c r="CN182" s="88"/>
      <c r="CO182" s="88"/>
      <c r="CP182" s="88"/>
      <c r="CQ182" s="88"/>
      <c r="CR182" s="88"/>
      <c r="CS182" s="88"/>
      <c r="CT182" s="88"/>
      <c r="CU182" s="88"/>
      <c r="CV182" s="88"/>
      <c r="CW182" s="88"/>
      <c r="CX182" s="88"/>
      <c r="CY182" s="88"/>
      <c r="CZ182" s="88"/>
      <c r="DA182" s="88"/>
      <c r="DB182" s="88"/>
      <c r="DC182" s="88"/>
      <c r="DD182" s="88"/>
      <c r="DE182" s="88"/>
      <c r="DF182" s="88"/>
      <c r="DG182" s="88"/>
      <c r="DH182" s="88"/>
      <c r="DI182" s="88"/>
      <c r="DJ182" s="88"/>
    </row>
    <row r="183" spans="1:114" hidden="1">
      <c r="A183" s="88"/>
      <c r="B183" s="88"/>
      <c r="C183" s="88"/>
      <c r="D183" s="88"/>
      <c r="E183" s="88">
        <v>1</v>
      </c>
      <c r="F183" s="88"/>
      <c r="G183" s="88"/>
      <c r="H183" s="88"/>
      <c r="I183" s="88"/>
      <c r="J183" s="88"/>
      <c r="K183" s="88"/>
      <c r="L183" s="88"/>
      <c r="M183" s="88"/>
      <c r="N183" s="88"/>
      <c r="O183" s="88"/>
      <c r="P183" s="88"/>
      <c r="Q183" s="88"/>
      <c r="R183" s="88"/>
      <c r="S183" s="88"/>
      <c r="T183" s="88"/>
      <c r="U183" s="88"/>
      <c r="V183" s="88"/>
      <c r="W183" s="88"/>
      <c r="X183" s="88"/>
      <c r="Y183" s="88"/>
      <c r="Z183" s="88"/>
      <c r="AA183" s="88"/>
      <c r="AB183" s="88"/>
      <c r="AC183" s="88"/>
      <c r="AD183" s="88"/>
      <c r="AE183" s="88"/>
      <c r="AF183" s="88"/>
      <c r="AG183" s="88"/>
      <c r="AH183" s="88"/>
      <c r="AI183" s="88"/>
      <c r="AJ183" s="88"/>
      <c r="AK183" s="88"/>
      <c r="AL183" s="88"/>
      <c r="AM183" s="88"/>
      <c r="AN183" s="88"/>
      <c r="AO183" s="88"/>
      <c r="AP183" s="88"/>
      <c r="AQ183" s="88"/>
      <c r="AR183" s="88"/>
      <c r="AS183" s="88"/>
      <c r="AT183" s="88"/>
      <c r="AU183" s="88"/>
      <c r="AV183" s="88"/>
      <c r="AW183" s="88"/>
      <c r="AX183" s="88"/>
      <c r="AY183" s="88"/>
      <c r="AZ183" s="88"/>
      <c r="BA183" s="88"/>
      <c r="BB183" s="88"/>
      <c r="BC183" s="88"/>
      <c r="BD183" s="88"/>
      <c r="BE183" s="88"/>
      <c r="BF183" s="88"/>
      <c r="BG183" s="88"/>
      <c r="BH183" s="88"/>
      <c r="BI183" s="88"/>
      <c r="BJ183" s="88"/>
      <c r="BK183" s="88"/>
      <c r="BL183" s="88"/>
      <c r="BM183" s="88"/>
      <c r="BN183" s="88"/>
      <c r="BO183" s="88"/>
      <c r="BP183" s="88"/>
      <c r="BQ183" s="88"/>
      <c r="BR183" s="88"/>
      <c r="BS183" s="88"/>
      <c r="BT183" s="88"/>
      <c r="BU183" s="88"/>
      <c r="BV183" s="88"/>
      <c r="BW183" s="88"/>
      <c r="BX183" s="88"/>
      <c r="BY183" s="88"/>
      <c r="BZ183" s="88"/>
      <c r="CA183" s="88"/>
      <c r="CB183" s="88"/>
      <c r="CC183" s="88"/>
      <c r="CD183" s="88"/>
      <c r="CE183" s="88"/>
      <c r="CF183" s="88"/>
      <c r="CG183" s="88"/>
      <c r="CH183" s="88"/>
      <c r="CI183" s="88"/>
      <c r="CJ183" s="88"/>
      <c r="CK183" s="88"/>
      <c r="CL183" s="88"/>
      <c r="CM183" s="88"/>
      <c r="CN183" s="88"/>
      <c r="CO183" s="88"/>
      <c r="CP183" s="88"/>
      <c r="CQ183" s="88"/>
      <c r="CR183" s="88"/>
      <c r="CS183" s="88"/>
      <c r="CT183" s="88"/>
      <c r="CU183" s="88"/>
      <c r="CV183" s="88"/>
      <c r="CW183" s="88"/>
      <c r="CX183" s="88"/>
      <c r="CY183" s="88"/>
      <c r="CZ183" s="88"/>
      <c r="DA183" s="88"/>
      <c r="DB183" s="88"/>
      <c r="DC183" s="88"/>
      <c r="DD183" s="88"/>
      <c r="DE183" s="88"/>
      <c r="DF183" s="88"/>
      <c r="DG183" s="88"/>
      <c r="DH183" s="88"/>
      <c r="DI183" s="88"/>
      <c r="DJ183" s="88"/>
    </row>
    <row r="184" spans="1:114" hidden="1">
      <c r="A184" s="88"/>
      <c r="B184" s="88"/>
      <c r="C184" s="88"/>
      <c r="D184" s="88"/>
      <c r="E184" s="88"/>
      <c r="F184" s="88"/>
      <c r="G184" s="88"/>
      <c r="H184" s="88"/>
      <c r="I184" s="88"/>
      <c r="J184" s="88"/>
      <c r="K184" s="88"/>
      <c r="L184" s="88"/>
      <c r="M184" s="88"/>
      <c r="N184" s="88"/>
      <c r="O184" s="88"/>
      <c r="P184" s="88"/>
      <c r="Q184" s="88"/>
      <c r="R184" s="88"/>
      <c r="S184" s="88"/>
      <c r="T184" s="88"/>
      <c r="U184" s="88"/>
      <c r="V184" s="88"/>
      <c r="W184" s="88"/>
      <c r="X184" s="88"/>
      <c r="Y184" s="88"/>
      <c r="Z184" s="88"/>
      <c r="AA184" s="88"/>
      <c r="AB184" s="88"/>
      <c r="AC184" s="88"/>
      <c r="AD184" s="88"/>
      <c r="AE184" s="88"/>
      <c r="AF184" s="88"/>
      <c r="AG184" s="88"/>
      <c r="AH184" s="88"/>
      <c r="AI184" s="88"/>
      <c r="AJ184" s="88"/>
      <c r="AK184" s="88"/>
      <c r="AL184" s="88"/>
      <c r="AM184" s="88"/>
      <c r="AN184" s="88"/>
      <c r="AO184" s="88"/>
      <c r="AP184" s="88"/>
      <c r="AQ184" s="88"/>
      <c r="AR184" s="88"/>
      <c r="AS184" s="88"/>
      <c r="AT184" s="88"/>
      <c r="AU184" s="88"/>
      <c r="AV184" s="88"/>
      <c r="AW184" s="88"/>
      <c r="AX184" s="88"/>
      <c r="AY184" s="88"/>
      <c r="AZ184" s="88"/>
      <c r="BA184" s="88"/>
      <c r="BB184" s="88"/>
      <c r="BC184" s="88"/>
      <c r="BD184" s="88"/>
      <c r="BE184" s="88"/>
      <c r="BF184" s="88"/>
      <c r="BG184" s="88"/>
      <c r="BH184" s="88"/>
      <c r="BI184" s="88"/>
      <c r="BJ184" s="88"/>
      <c r="BK184" s="88"/>
      <c r="BL184" s="88"/>
      <c r="BM184" s="88"/>
      <c r="BN184" s="88"/>
      <c r="BO184" s="88"/>
      <c r="BP184" s="88"/>
      <c r="BQ184" s="88"/>
      <c r="BR184" s="88"/>
      <c r="BS184" s="88"/>
      <c r="BT184" s="88"/>
      <c r="BU184" s="88"/>
      <c r="BV184" s="88"/>
      <c r="BW184" s="88"/>
      <c r="BX184" s="88"/>
      <c r="BY184" s="88"/>
      <c r="BZ184" s="88"/>
      <c r="CA184" s="88"/>
      <c r="CB184" s="88"/>
      <c r="CC184" s="88"/>
      <c r="CD184" s="88"/>
      <c r="CE184" s="88"/>
      <c r="CF184" s="88"/>
      <c r="CG184" s="88"/>
      <c r="CH184" s="88"/>
      <c r="CI184" s="88"/>
      <c r="CJ184" s="88"/>
      <c r="CK184" s="88"/>
      <c r="CL184" s="88"/>
      <c r="CM184" s="88"/>
      <c r="CN184" s="88"/>
      <c r="CO184" s="88"/>
      <c r="CP184" s="88"/>
      <c r="CQ184" s="88"/>
      <c r="CR184" s="88"/>
      <c r="CS184" s="88"/>
      <c r="CT184" s="88"/>
      <c r="CU184" s="88"/>
      <c r="CV184" s="88"/>
      <c r="CW184" s="88"/>
      <c r="CX184" s="88"/>
      <c r="CY184" s="88"/>
      <c r="CZ184" s="88"/>
      <c r="DA184" s="88"/>
      <c r="DB184" s="88"/>
      <c r="DC184" s="88"/>
      <c r="DD184" s="88"/>
      <c r="DE184" s="88"/>
      <c r="DF184" s="88"/>
      <c r="DG184" s="88"/>
      <c r="DH184" s="88"/>
      <c r="DI184" s="88"/>
      <c r="DJ184" s="88"/>
    </row>
    <row r="185" spans="1:114" hidden="1">
      <c r="A185" s="88"/>
      <c r="B185" s="88"/>
      <c r="C185" s="88"/>
      <c r="D185" s="88"/>
      <c r="E185" s="243" t="s">
        <v>137</v>
      </c>
      <c r="F185" s="242">
        <f>EOMONTH(ultimo_diatrab,0)</f>
        <v>43524</v>
      </c>
      <c r="G185" s="88">
        <f>DAY(F185)</f>
        <v>28</v>
      </c>
      <c r="H185" s="88"/>
      <c r="I185" s="88"/>
      <c r="J185" s="88"/>
      <c r="K185" s="88"/>
      <c r="L185" s="88"/>
      <c r="M185" s="88"/>
      <c r="N185" s="88"/>
      <c r="O185" s="88"/>
      <c r="P185" s="88"/>
      <c r="Q185" s="88"/>
      <c r="R185" s="88"/>
      <c r="S185" s="88"/>
      <c r="T185" s="88"/>
      <c r="U185" s="88"/>
      <c r="V185" s="88"/>
      <c r="W185" s="88"/>
      <c r="X185" s="88"/>
      <c r="Y185" s="88"/>
      <c r="Z185" s="88"/>
      <c r="AA185" s="88"/>
      <c r="AB185" s="88"/>
      <c r="AC185" s="88"/>
      <c r="AD185" s="88"/>
      <c r="AE185" s="88"/>
      <c r="AF185" s="88"/>
      <c r="AG185" s="88"/>
      <c r="AH185" s="88"/>
      <c r="AI185" s="88"/>
      <c r="AJ185" s="88"/>
      <c r="AK185" s="88"/>
      <c r="AL185" s="88"/>
      <c r="AM185" s="88"/>
      <c r="AN185" s="88"/>
      <c r="AO185" s="88"/>
      <c r="AP185" s="88"/>
      <c r="AQ185" s="88"/>
      <c r="AR185" s="88"/>
      <c r="AS185" s="88"/>
      <c r="AT185" s="88"/>
      <c r="AU185" s="88"/>
      <c r="AV185" s="88"/>
      <c r="AW185" s="88"/>
      <c r="AX185" s="88"/>
      <c r="AY185" s="88"/>
      <c r="AZ185" s="88"/>
      <c r="BA185" s="88"/>
      <c r="BB185" s="88"/>
      <c r="BC185" s="88"/>
      <c r="BD185" s="88"/>
      <c r="BE185" s="88"/>
      <c r="BF185" s="88"/>
      <c r="BG185" s="88"/>
      <c r="BH185" s="88"/>
      <c r="BI185" s="88"/>
      <c r="BJ185" s="88"/>
      <c r="BK185" s="88"/>
      <c r="BL185" s="88"/>
      <c r="BM185" s="88"/>
      <c r="BN185" s="88"/>
      <c r="BO185" s="88"/>
      <c r="BP185" s="88"/>
      <c r="BQ185" s="88"/>
      <c r="BR185" s="88"/>
      <c r="BS185" s="88"/>
      <c r="BT185" s="88"/>
      <c r="BU185" s="88"/>
      <c r="BV185" s="88"/>
      <c r="BW185" s="88"/>
      <c r="BX185" s="88"/>
      <c r="BY185" s="88"/>
      <c r="BZ185" s="88"/>
      <c r="CA185" s="88"/>
      <c r="CB185" s="88"/>
      <c r="CC185" s="88"/>
      <c r="CD185" s="88"/>
      <c r="CE185" s="88"/>
      <c r="CF185" s="88"/>
      <c r="CG185" s="88"/>
      <c r="CH185" s="88"/>
      <c r="CI185" s="88"/>
      <c r="CJ185" s="88"/>
      <c r="CK185" s="88"/>
      <c r="CL185" s="88"/>
      <c r="CM185" s="88"/>
      <c r="CN185" s="88"/>
      <c r="CO185" s="88"/>
      <c r="CP185" s="88"/>
      <c r="CQ185" s="88"/>
      <c r="CR185" s="88"/>
      <c r="CS185" s="88"/>
      <c r="CT185" s="88"/>
      <c r="CU185" s="88"/>
      <c r="CV185" s="88"/>
      <c r="CW185" s="88"/>
      <c r="CX185" s="88"/>
      <c r="CY185" s="88"/>
      <c r="CZ185" s="88"/>
      <c r="DA185" s="88"/>
      <c r="DB185" s="88"/>
      <c r="DC185" s="88"/>
      <c r="DD185" s="88"/>
      <c r="DE185" s="88"/>
      <c r="DF185" s="88"/>
      <c r="DG185" s="88"/>
      <c r="DH185" s="88"/>
      <c r="DI185" s="88"/>
      <c r="DJ185" s="88"/>
    </row>
    <row r="186" spans="1:114" hidden="1">
      <c r="A186" s="88"/>
      <c r="B186" s="88"/>
      <c r="C186" s="88"/>
      <c r="D186" s="88"/>
      <c r="E186" s="241" t="s">
        <v>138</v>
      </c>
      <c r="F186" s="88">
        <f>MONTH(ultimo_diatrab)</f>
        <v>2</v>
      </c>
      <c r="G186" s="88"/>
      <c r="H186" s="88"/>
      <c r="I186" s="88"/>
      <c r="J186" s="88"/>
      <c r="K186" s="88"/>
      <c r="L186" s="88"/>
      <c r="M186" s="88"/>
      <c r="N186" s="88"/>
      <c r="O186" s="88"/>
      <c r="P186" s="88"/>
      <c r="Q186" s="88"/>
      <c r="R186" s="88"/>
      <c r="S186" s="88"/>
      <c r="T186" s="88"/>
      <c r="U186" s="88"/>
      <c r="V186" s="88"/>
      <c r="W186" s="88"/>
      <c r="X186" s="88"/>
      <c r="Y186" s="88"/>
      <c r="Z186" s="88"/>
      <c r="AA186" s="88"/>
      <c r="AB186" s="88"/>
      <c r="AC186" s="88"/>
      <c r="AD186" s="88"/>
      <c r="AE186" s="88"/>
      <c r="AF186" s="88"/>
      <c r="AG186" s="88"/>
      <c r="AH186" s="88"/>
      <c r="AI186" s="88"/>
      <c r="AJ186" s="88"/>
      <c r="AK186" s="88"/>
      <c r="AL186" s="88"/>
      <c r="AM186" s="88"/>
      <c r="AN186" s="88"/>
      <c r="AO186" s="88"/>
      <c r="AP186" s="88"/>
      <c r="AQ186" s="88"/>
      <c r="AR186" s="88"/>
      <c r="AS186" s="88"/>
      <c r="AT186" s="88"/>
      <c r="AU186" s="88"/>
      <c r="AV186" s="88"/>
      <c r="AW186" s="88"/>
      <c r="AX186" s="88"/>
      <c r="AY186" s="88"/>
      <c r="AZ186" s="88"/>
      <c r="BA186" s="88"/>
      <c r="BB186" s="88"/>
      <c r="BC186" s="88"/>
      <c r="BD186" s="88"/>
      <c r="BE186" s="88"/>
      <c r="BF186" s="88"/>
      <c r="BG186" s="88"/>
      <c r="BH186" s="88"/>
      <c r="BI186" s="88"/>
      <c r="BJ186" s="88"/>
      <c r="BK186" s="88"/>
      <c r="BL186" s="88"/>
      <c r="BM186" s="88"/>
      <c r="BN186" s="88"/>
      <c r="BO186" s="88"/>
      <c r="BP186" s="88"/>
      <c r="BQ186" s="88"/>
      <c r="BR186" s="88"/>
      <c r="BS186" s="88"/>
      <c r="BT186" s="88"/>
      <c r="BU186" s="88"/>
      <c r="BV186" s="88"/>
      <c r="BW186" s="88"/>
      <c r="BX186" s="88"/>
      <c r="BY186" s="88"/>
      <c r="BZ186" s="88"/>
      <c r="CA186" s="88"/>
      <c r="CB186" s="88"/>
      <c r="CC186" s="88"/>
      <c r="CD186" s="88"/>
      <c r="CE186" s="88"/>
      <c r="CF186" s="88"/>
      <c r="CG186" s="88"/>
      <c r="CH186" s="88"/>
      <c r="CI186" s="88"/>
      <c r="CJ186" s="88"/>
      <c r="CK186" s="88"/>
      <c r="CL186" s="88"/>
      <c r="CM186" s="88"/>
      <c r="CN186" s="88"/>
      <c r="CO186" s="88"/>
      <c r="CP186" s="88"/>
      <c r="CQ186" s="88"/>
      <c r="CR186" s="88"/>
      <c r="CS186" s="88"/>
      <c r="CT186" s="88"/>
      <c r="CU186" s="88"/>
      <c r="CV186" s="88"/>
      <c r="CW186" s="88"/>
      <c r="CX186" s="88"/>
      <c r="CY186" s="88"/>
      <c r="CZ186" s="88"/>
      <c r="DA186" s="88"/>
      <c r="DB186" s="88"/>
      <c r="DC186" s="88"/>
      <c r="DD186" s="88"/>
      <c r="DE186" s="88"/>
      <c r="DF186" s="88"/>
      <c r="DG186" s="88"/>
      <c r="DH186" s="88"/>
      <c r="DI186" s="88"/>
      <c r="DJ186" s="88"/>
    </row>
    <row r="187" spans="1:114" hidden="1">
      <c r="A187" s="88"/>
      <c r="B187" s="88"/>
      <c r="C187" s="88"/>
      <c r="D187" s="88"/>
      <c r="E187" s="88"/>
      <c r="F187" s="88"/>
      <c r="G187" s="88"/>
      <c r="H187" s="88"/>
      <c r="I187" s="88"/>
      <c r="J187" s="88"/>
      <c r="K187" s="88"/>
      <c r="L187" s="88"/>
      <c r="M187" s="88"/>
      <c r="N187" s="88"/>
      <c r="O187" s="88"/>
      <c r="P187" s="88"/>
      <c r="Q187" s="88"/>
      <c r="R187" s="88"/>
      <c r="S187" s="88"/>
      <c r="T187" s="88"/>
      <c r="U187" s="88"/>
      <c r="V187" s="88"/>
      <c r="W187" s="88"/>
      <c r="X187" s="88"/>
      <c r="Y187" s="88"/>
      <c r="Z187" s="88"/>
      <c r="AA187" s="88"/>
      <c r="AB187" s="88"/>
      <c r="AC187" s="88"/>
      <c r="AD187" s="88"/>
      <c r="AE187" s="88"/>
      <c r="AF187" s="88"/>
      <c r="AG187" s="88"/>
      <c r="AH187" s="88"/>
      <c r="AI187" s="88"/>
      <c r="AJ187" s="88"/>
      <c r="AK187" s="88"/>
      <c r="AL187" s="88"/>
      <c r="AM187" s="88"/>
      <c r="AN187" s="88"/>
      <c r="AO187" s="88"/>
      <c r="AP187" s="88"/>
      <c r="AQ187" s="88"/>
      <c r="AR187" s="88"/>
      <c r="AS187" s="88"/>
      <c r="AT187" s="88"/>
      <c r="AU187" s="88"/>
      <c r="AV187" s="88"/>
      <c r="AW187" s="88"/>
      <c r="AX187" s="88"/>
      <c r="AY187" s="88"/>
      <c r="AZ187" s="88"/>
      <c r="BA187" s="88"/>
      <c r="BB187" s="88"/>
      <c r="BC187" s="88"/>
      <c r="BD187" s="88"/>
      <c r="BE187" s="88"/>
      <c r="BF187" s="88"/>
      <c r="BG187" s="88"/>
      <c r="BH187" s="88"/>
      <c r="BI187" s="88"/>
      <c r="BJ187" s="88"/>
      <c r="BK187" s="88"/>
      <c r="BL187" s="88"/>
      <c r="BM187" s="88"/>
      <c r="BN187" s="88"/>
      <c r="BO187" s="88"/>
      <c r="BP187" s="88"/>
      <c r="BQ187" s="88"/>
      <c r="BR187" s="88"/>
      <c r="BS187" s="88"/>
      <c r="BT187" s="88"/>
      <c r="BU187" s="88"/>
      <c r="BV187" s="88"/>
      <c r="BW187" s="88"/>
      <c r="BX187" s="88"/>
      <c r="BY187" s="88"/>
      <c r="BZ187" s="88"/>
      <c r="CA187" s="88"/>
      <c r="CB187" s="88"/>
      <c r="CC187" s="88"/>
      <c r="CD187" s="88"/>
      <c r="CE187" s="88"/>
      <c r="CF187" s="88"/>
      <c r="CG187" s="88"/>
      <c r="CH187" s="88"/>
      <c r="CI187" s="88"/>
      <c r="CJ187" s="88"/>
      <c r="CK187" s="88"/>
      <c r="CL187" s="88"/>
      <c r="CM187" s="88"/>
      <c r="CN187" s="88"/>
      <c r="CO187" s="88"/>
      <c r="CP187" s="88"/>
      <c r="CQ187" s="88"/>
      <c r="CR187" s="88"/>
      <c r="CS187" s="88"/>
      <c r="CT187" s="88"/>
      <c r="CU187" s="88"/>
      <c r="CV187" s="88"/>
      <c r="CW187" s="88"/>
      <c r="CX187" s="88"/>
      <c r="CY187" s="88"/>
      <c r="CZ187" s="88"/>
      <c r="DA187" s="88"/>
      <c r="DB187" s="88"/>
      <c r="DC187" s="88"/>
      <c r="DD187" s="88"/>
      <c r="DE187" s="88"/>
      <c r="DF187" s="88"/>
      <c r="DG187" s="88"/>
      <c r="DH187" s="88"/>
      <c r="DI187" s="88"/>
      <c r="DJ187" s="88"/>
    </row>
    <row r="188" spans="1:114" hidden="1">
      <c r="A188" s="88"/>
      <c r="B188" s="88"/>
      <c r="C188" s="88"/>
      <c r="D188" s="88"/>
      <c r="E188" s="88" t="s">
        <v>139</v>
      </c>
      <c r="F188" s="88">
        <f>IF(E183=1,30,IF(G185=28,28,IF(G185=29,29,IF(G185=31,31,30))))</f>
        <v>30</v>
      </c>
      <c r="G188" s="88"/>
      <c r="H188" s="88"/>
      <c r="I188" s="88"/>
      <c r="J188" s="88"/>
      <c r="K188" s="88"/>
      <c r="L188" s="88"/>
      <c r="M188" s="88"/>
      <c r="N188" s="88"/>
      <c r="O188" s="88"/>
      <c r="P188" s="88"/>
      <c r="Q188" s="88"/>
      <c r="R188" s="88"/>
      <c r="S188" s="88"/>
      <c r="T188" s="88"/>
      <c r="U188" s="88"/>
      <c r="V188" s="88"/>
      <c r="W188" s="88"/>
      <c r="X188" s="88"/>
      <c r="Y188" s="88"/>
      <c r="Z188" s="88"/>
      <c r="AA188" s="88"/>
      <c r="AB188" s="88"/>
      <c r="AC188" s="88"/>
      <c r="AD188" s="88"/>
      <c r="AE188" s="88"/>
      <c r="AF188" s="88"/>
      <c r="AG188" s="88"/>
      <c r="AH188" s="88"/>
      <c r="AI188" s="88"/>
      <c r="AJ188" s="88"/>
      <c r="AK188" s="88"/>
      <c r="AL188" s="88"/>
      <c r="AM188" s="88"/>
      <c r="AN188" s="88"/>
      <c r="AO188" s="88"/>
      <c r="AP188" s="88"/>
      <c r="AQ188" s="88"/>
      <c r="AR188" s="88"/>
      <c r="AS188" s="88"/>
      <c r="AT188" s="88"/>
      <c r="AU188" s="88"/>
      <c r="AV188" s="88"/>
      <c r="AW188" s="88"/>
      <c r="AX188" s="88"/>
      <c r="AY188" s="88"/>
      <c r="AZ188" s="88"/>
      <c r="BA188" s="88"/>
      <c r="BB188" s="88"/>
      <c r="BC188" s="88"/>
      <c r="BD188" s="88"/>
      <c r="BE188" s="88"/>
      <c r="BF188" s="88"/>
      <c r="BG188" s="88"/>
      <c r="BH188" s="88"/>
      <c r="BI188" s="88"/>
      <c r="BJ188" s="88"/>
      <c r="BK188" s="88"/>
      <c r="BL188" s="88"/>
      <c r="BM188" s="88"/>
      <c r="BN188" s="88"/>
      <c r="BO188" s="88"/>
      <c r="BP188" s="88"/>
      <c r="BQ188" s="88"/>
      <c r="BR188" s="88"/>
      <c r="BS188" s="88"/>
      <c r="BT188" s="88"/>
      <c r="BU188" s="88"/>
      <c r="BV188" s="88"/>
      <c r="BW188" s="88"/>
      <c r="BX188" s="88"/>
      <c r="BY188" s="88"/>
      <c r="BZ188" s="88"/>
      <c r="CA188" s="88"/>
      <c r="CB188" s="88"/>
      <c r="CC188" s="88"/>
      <c r="CD188" s="88"/>
      <c r="CE188" s="88"/>
      <c r="CF188" s="88"/>
      <c r="CG188" s="88"/>
      <c r="CH188" s="88"/>
      <c r="CI188" s="88"/>
      <c r="CJ188" s="88"/>
      <c r="CK188" s="88"/>
      <c r="CL188" s="88"/>
      <c r="CM188" s="88"/>
      <c r="CN188" s="88"/>
      <c r="CO188" s="88"/>
      <c r="CP188" s="88"/>
      <c r="CQ188" s="88"/>
      <c r="CR188" s="88"/>
      <c r="CS188" s="88"/>
      <c r="CT188" s="88"/>
      <c r="CU188" s="88"/>
      <c r="CV188" s="88"/>
      <c r="CW188" s="88"/>
      <c r="CX188" s="88"/>
      <c r="CY188" s="88"/>
      <c r="CZ188" s="88"/>
      <c r="DA188" s="88"/>
      <c r="DB188" s="88"/>
      <c r="DC188" s="88"/>
      <c r="DD188" s="88"/>
      <c r="DE188" s="88"/>
      <c r="DF188" s="88"/>
      <c r="DG188" s="88"/>
      <c r="DH188" s="88"/>
      <c r="DI188" s="88"/>
      <c r="DJ188" s="88"/>
    </row>
    <row r="189" spans="1:114" hidden="1">
      <c r="A189" s="88"/>
      <c r="B189" s="88"/>
      <c r="C189" s="88"/>
      <c r="D189" s="88"/>
      <c r="E189" s="88"/>
      <c r="F189" s="88"/>
      <c r="G189" s="88"/>
      <c r="H189" s="88"/>
      <c r="I189" s="88"/>
      <c r="J189" s="88"/>
      <c r="K189" s="88"/>
      <c r="L189" s="88"/>
      <c r="M189" s="88"/>
      <c r="N189" s="88"/>
      <c r="O189" s="88"/>
      <c r="P189" s="88"/>
      <c r="Q189" s="88"/>
      <c r="R189" s="88"/>
      <c r="S189" s="88"/>
      <c r="T189" s="88"/>
      <c r="U189" s="88"/>
      <c r="V189" s="88"/>
      <c r="W189" s="88"/>
      <c r="X189" s="88"/>
      <c r="Y189" s="88"/>
      <c r="Z189" s="88"/>
      <c r="AA189" s="88"/>
      <c r="AB189" s="88"/>
      <c r="AC189" s="88"/>
      <c r="AD189" s="88"/>
      <c r="AE189" s="88"/>
      <c r="AF189" s="88"/>
      <c r="AG189" s="88"/>
      <c r="AH189" s="88"/>
      <c r="AI189" s="88"/>
      <c r="AJ189" s="88"/>
      <c r="AK189" s="88"/>
      <c r="AL189" s="88"/>
      <c r="AM189" s="88"/>
      <c r="AN189" s="88"/>
      <c r="AO189" s="88"/>
      <c r="AP189" s="88"/>
      <c r="AQ189" s="88"/>
      <c r="AR189" s="88"/>
      <c r="AS189" s="88"/>
      <c r="AT189" s="88"/>
      <c r="AU189" s="88"/>
      <c r="AV189" s="88"/>
      <c r="AW189" s="88"/>
      <c r="AX189" s="88"/>
      <c r="AY189" s="88"/>
      <c r="AZ189" s="88"/>
      <c r="BA189" s="88"/>
      <c r="BB189" s="88"/>
      <c r="BC189" s="88"/>
      <c r="BD189" s="88"/>
      <c r="BE189" s="88"/>
      <c r="BF189" s="88"/>
      <c r="BG189" s="88"/>
      <c r="BH189" s="88"/>
      <c r="BI189" s="88"/>
      <c r="BJ189" s="88"/>
      <c r="BK189" s="88"/>
      <c r="BL189" s="88"/>
      <c r="BM189" s="88"/>
      <c r="BN189" s="88"/>
      <c r="BO189" s="88"/>
      <c r="BP189" s="88"/>
      <c r="BQ189" s="88"/>
      <c r="BR189" s="88"/>
      <c r="BS189" s="88"/>
      <c r="BT189" s="88"/>
      <c r="BU189" s="88"/>
      <c r="BV189" s="88"/>
      <c r="BW189" s="88"/>
      <c r="BX189" s="88"/>
      <c r="BY189" s="88"/>
      <c r="BZ189" s="88"/>
      <c r="CA189" s="88"/>
      <c r="CB189" s="88"/>
      <c r="CC189" s="88"/>
      <c r="CD189" s="88"/>
      <c r="CE189" s="88"/>
      <c r="CF189" s="88"/>
      <c r="CG189" s="88"/>
      <c r="CH189" s="88"/>
      <c r="CI189" s="88"/>
      <c r="CJ189" s="88"/>
      <c r="CK189" s="88"/>
      <c r="CL189" s="88"/>
      <c r="CM189" s="88"/>
      <c r="CN189" s="88"/>
      <c r="CO189" s="88"/>
      <c r="CP189" s="88"/>
      <c r="CQ189" s="88"/>
      <c r="CR189" s="88"/>
      <c r="CS189" s="88"/>
      <c r="CT189" s="88"/>
      <c r="CU189" s="88"/>
      <c r="CV189" s="88"/>
      <c r="CW189" s="88"/>
      <c r="CX189" s="88"/>
      <c r="CY189" s="88"/>
      <c r="CZ189" s="88"/>
      <c r="DA189" s="88"/>
      <c r="DB189" s="88"/>
      <c r="DC189" s="88"/>
      <c r="DD189" s="88"/>
      <c r="DE189" s="88"/>
      <c r="DF189" s="88"/>
      <c r="DG189" s="88"/>
      <c r="DH189" s="88"/>
      <c r="DI189" s="88"/>
      <c r="DJ189" s="88"/>
    </row>
    <row r="190" spans="1:114" hidden="1">
      <c r="A190" s="88"/>
      <c r="B190" s="88"/>
      <c r="C190" s="88"/>
      <c r="D190" s="88"/>
      <c r="E190" s="88"/>
      <c r="F190" s="88"/>
      <c r="G190" s="88"/>
      <c r="H190" s="88"/>
      <c r="I190" s="88"/>
      <c r="J190" s="88"/>
      <c r="K190" s="88"/>
      <c r="L190" s="88"/>
      <c r="M190" s="88"/>
      <c r="N190" s="88"/>
      <c r="O190" s="88"/>
      <c r="P190" s="88"/>
      <c r="Q190" s="88"/>
      <c r="R190" s="88"/>
      <c r="S190" s="88"/>
      <c r="T190" s="88"/>
      <c r="U190" s="88"/>
      <c r="V190" s="88"/>
      <c r="W190" s="88"/>
      <c r="X190" s="88"/>
      <c r="Y190" s="88"/>
      <c r="Z190" s="88"/>
      <c r="AA190" s="88"/>
      <c r="AB190" s="88"/>
      <c r="AC190" s="88"/>
      <c r="AD190" s="88"/>
      <c r="AE190" s="88"/>
      <c r="AF190" s="88"/>
      <c r="AG190" s="88"/>
      <c r="AH190" s="88"/>
      <c r="AI190" s="88"/>
      <c r="AJ190" s="88"/>
      <c r="AK190" s="88"/>
      <c r="AL190" s="88"/>
      <c r="AM190" s="88"/>
      <c r="AN190" s="88"/>
      <c r="AO190" s="88"/>
      <c r="AP190" s="88"/>
      <c r="AQ190" s="88"/>
      <c r="AR190" s="88"/>
      <c r="AS190" s="88"/>
      <c r="AT190" s="88"/>
      <c r="AU190" s="88"/>
      <c r="AV190" s="88"/>
      <c r="AW190" s="88"/>
      <c r="AX190" s="88"/>
      <c r="AY190" s="88"/>
      <c r="AZ190" s="88"/>
      <c r="BA190" s="88"/>
      <c r="BB190" s="88"/>
      <c r="BC190" s="88"/>
      <c r="BD190" s="88"/>
      <c r="BE190" s="88"/>
      <c r="BF190" s="88"/>
      <c r="BG190" s="88"/>
      <c r="BH190" s="88"/>
      <c r="BI190" s="88"/>
      <c r="BJ190" s="88"/>
      <c r="BK190" s="88"/>
      <c r="BL190" s="88"/>
      <c r="BM190" s="88"/>
      <c r="BN190" s="88"/>
      <c r="BO190" s="88"/>
      <c r="BP190" s="88"/>
      <c r="BQ190" s="88"/>
      <c r="BR190" s="88"/>
      <c r="BS190" s="88"/>
      <c r="BT190" s="88"/>
      <c r="BU190" s="88"/>
      <c r="BV190" s="88"/>
      <c r="BW190" s="88"/>
      <c r="BX190" s="88"/>
      <c r="BY190" s="88"/>
      <c r="BZ190" s="88"/>
      <c r="CA190" s="88"/>
      <c r="CB190" s="88"/>
      <c r="CC190" s="88"/>
      <c r="CD190" s="88"/>
      <c r="CE190" s="88"/>
      <c r="CF190" s="88"/>
      <c r="CG190" s="88"/>
      <c r="CH190" s="88"/>
      <c r="CI190" s="88"/>
      <c r="CJ190" s="88"/>
      <c r="CK190" s="88"/>
      <c r="CL190" s="88"/>
      <c r="CM190" s="88"/>
      <c r="CN190" s="88"/>
      <c r="CO190" s="88"/>
      <c r="CP190" s="88"/>
      <c r="CQ190" s="88"/>
      <c r="CR190" s="88"/>
      <c r="CS190" s="88"/>
      <c r="CT190" s="88"/>
      <c r="CU190" s="88"/>
      <c r="CV190" s="88"/>
      <c r="CW190" s="88"/>
      <c r="CX190" s="88"/>
      <c r="CY190" s="88"/>
      <c r="CZ190" s="88"/>
      <c r="DA190" s="88"/>
      <c r="DB190" s="88"/>
      <c r="DC190" s="88"/>
      <c r="DD190" s="88"/>
      <c r="DE190" s="88"/>
      <c r="DF190" s="88"/>
      <c r="DG190" s="88"/>
      <c r="DH190" s="88"/>
      <c r="DI190" s="88"/>
      <c r="DJ190" s="88"/>
    </row>
    <row r="191" spans="1:114" hidden="1">
      <c r="A191" s="88"/>
      <c r="B191" s="88"/>
      <c r="C191" s="88"/>
      <c r="D191" s="88"/>
      <c r="E191" s="88"/>
      <c r="F191" s="88"/>
      <c r="G191" s="88"/>
      <c r="H191" s="88"/>
      <c r="I191" s="88"/>
      <c r="J191" s="88"/>
      <c r="K191" s="88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  <c r="AF191" s="88"/>
      <c r="AG191" s="88"/>
      <c r="AH191" s="88"/>
      <c r="AI191" s="88"/>
      <c r="AJ191" s="88"/>
      <c r="AK191" s="88"/>
      <c r="AL191" s="88"/>
      <c r="AM191" s="88"/>
      <c r="AN191" s="88"/>
      <c r="AO191" s="88"/>
      <c r="AP191" s="88"/>
      <c r="AQ191" s="88"/>
      <c r="AR191" s="88"/>
      <c r="AS191" s="88"/>
      <c r="AT191" s="88"/>
      <c r="AU191" s="88"/>
      <c r="AV191" s="88"/>
      <c r="AW191" s="88"/>
      <c r="AX191" s="88"/>
      <c r="AY191" s="88"/>
      <c r="AZ191" s="88"/>
      <c r="BA191" s="88"/>
      <c r="BB191" s="88"/>
      <c r="BC191" s="88"/>
      <c r="BD191" s="88"/>
      <c r="BE191" s="88"/>
      <c r="BF191" s="88"/>
      <c r="BG191" s="88"/>
      <c r="BH191" s="88"/>
      <c r="BI191" s="88"/>
      <c r="BJ191" s="88"/>
      <c r="BK191" s="88"/>
      <c r="BL191" s="88"/>
      <c r="BM191" s="88"/>
      <c r="BN191" s="88"/>
      <c r="BO191" s="88"/>
      <c r="BP191" s="88"/>
      <c r="BQ191" s="88"/>
      <c r="BR191" s="88"/>
      <c r="BS191" s="88"/>
      <c r="BT191" s="88"/>
      <c r="BU191" s="88"/>
      <c r="BV191" s="88"/>
      <c r="BW191" s="88"/>
      <c r="BX191" s="88"/>
      <c r="BY191" s="88"/>
      <c r="BZ191" s="88"/>
      <c r="CA191" s="88"/>
      <c r="CB191" s="88"/>
      <c r="CC191" s="88"/>
      <c r="CD191" s="88"/>
      <c r="CE191" s="88"/>
      <c r="CF191" s="88"/>
      <c r="CG191" s="88"/>
      <c r="CH191" s="88"/>
      <c r="CI191" s="88"/>
      <c r="CJ191" s="88"/>
      <c r="CK191" s="88"/>
      <c r="CL191" s="88"/>
      <c r="CM191" s="88"/>
      <c r="CN191" s="88"/>
      <c r="CO191" s="88"/>
      <c r="CP191" s="88"/>
      <c r="CQ191" s="88"/>
      <c r="CR191" s="88"/>
      <c r="CS191" s="88"/>
      <c r="CT191" s="88"/>
      <c r="CU191" s="88"/>
      <c r="CV191" s="88"/>
      <c r="CW191" s="88"/>
      <c r="CX191" s="88"/>
      <c r="CY191" s="88"/>
      <c r="CZ191" s="88"/>
      <c r="DA191" s="88"/>
      <c r="DB191" s="88"/>
      <c r="DC191" s="88"/>
      <c r="DD191" s="88"/>
      <c r="DE191" s="88"/>
      <c r="DF191" s="88"/>
      <c r="DG191" s="88"/>
      <c r="DH191" s="88"/>
      <c r="DI191" s="88"/>
      <c r="DJ191" s="88"/>
    </row>
    <row r="192" spans="1:114" hidden="1">
      <c r="A192" s="88"/>
      <c r="B192" s="88"/>
      <c r="C192" s="88"/>
      <c r="D192" s="88"/>
      <c r="E192" s="88"/>
      <c r="F192" s="88"/>
      <c r="G192" s="88"/>
      <c r="H192" s="88"/>
      <c r="I192" s="88"/>
      <c r="J192" s="88"/>
      <c r="K192" s="88"/>
      <c r="L192" s="88"/>
      <c r="M192" s="88"/>
      <c r="N192" s="88"/>
      <c r="O192" s="88"/>
      <c r="P192" s="88"/>
      <c r="Q192" s="88"/>
      <c r="R192" s="88"/>
      <c r="S192" s="88"/>
      <c r="T192" s="88"/>
      <c r="U192" s="88"/>
      <c r="V192" s="88"/>
      <c r="W192" s="88"/>
      <c r="X192" s="88"/>
      <c r="Y192" s="88"/>
      <c r="Z192" s="88"/>
      <c r="AA192" s="88"/>
      <c r="AB192" s="88"/>
      <c r="AC192" s="88"/>
      <c r="AD192" s="88"/>
      <c r="AE192" s="88"/>
      <c r="AF192" s="88"/>
      <c r="AG192" s="88"/>
      <c r="AH192" s="88"/>
      <c r="AI192" s="88"/>
      <c r="AJ192" s="88"/>
      <c r="AK192" s="88"/>
      <c r="AL192" s="88"/>
      <c r="AM192" s="88"/>
      <c r="AN192" s="88"/>
      <c r="AO192" s="88"/>
      <c r="AP192" s="88"/>
      <c r="AQ192" s="88"/>
      <c r="AR192" s="88"/>
      <c r="AS192" s="88"/>
      <c r="AT192" s="88"/>
      <c r="AU192" s="88"/>
      <c r="AV192" s="88"/>
      <c r="AW192" s="88"/>
      <c r="AX192" s="88"/>
      <c r="AY192" s="88"/>
      <c r="AZ192" s="88"/>
      <c r="BA192" s="88"/>
      <c r="BB192" s="88"/>
      <c r="BC192" s="88"/>
      <c r="BD192" s="88"/>
      <c r="BE192" s="88"/>
      <c r="BF192" s="88"/>
      <c r="BG192" s="88"/>
      <c r="BH192" s="88"/>
      <c r="BI192" s="88"/>
      <c r="BJ192" s="88"/>
      <c r="BK192" s="88"/>
      <c r="BL192" s="88"/>
      <c r="BM192" s="88"/>
      <c r="BN192" s="88"/>
      <c r="BO192" s="88"/>
      <c r="BP192" s="88"/>
      <c r="BQ192" s="88"/>
      <c r="BR192" s="88"/>
      <c r="BS192" s="88"/>
      <c r="BT192" s="88"/>
      <c r="BU192" s="88"/>
      <c r="BV192" s="88"/>
      <c r="BW192" s="88"/>
      <c r="BX192" s="88"/>
      <c r="BY192" s="88"/>
      <c r="BZ192" s="88"/>
      <c r="CA192" s="88"/>
      <c r="CB192" s="88"/>
      <c r="CC192" s="88"/>
      <c r="CD192" s="88"/>
      <c r="CE192" s="88"/>
      <c r="CF192" s="88"/>
      <c r="CG192" s="88"/>
      <c r="CH192" s="88"/>
      <c r="CI192" s="88"/>
      <c r="CJ192" s="88"/>
      <c r="CK192" s="88"/>
      <c r="CL192" s="88"/>
      <c r="CM192" s="88"/>
      <c r="CN192" s="88"/>
      <c r="CO192" s="88"/>
      <c r="CP192" s="88"/>
      <c r="CQ192" s="88"/>
      <c r="CR192" s="88"/>
      <c r="CS192" s="88"/>
      <c r="CT192" s="88"/>
      <c r="CU192" s="88"/>
      <c r="CV192" s="88"/>
      <c r="CW192" s="88"/>
      <c r="CX192" s="88"/>
      <c r="CY192" s="88"/>
      <c r="CZ192" s="88"/>
      <c r="DA192" s="88"/>
      <c r="DB192" s="88"/>
      <c r="DC192" s="88"/>
      <c r="DD192" s="88"/>
      <c r="DE192" s="88"/>
      <c r="DF192" s="88"/>
      <c r="DG192" s="88"/>
      <c r="DH192" s="88"/>
      <c r="DI192" s="88"/>
      <c r="DJ192" s="88"/>
    </row>
    <row r="193" spans="1:114" hidden="1">
      <c r="A193" s="88"/>
      <c r="B193" s="88"/>
      <c r="C193" s="88"/>
      <c r="D193" s="88"/>
      <c r="E193" s="88"/>
      <c r="F193" s="88"/>
      <c r="G193" s="88"/>
      <c r="H193" s="88"/>
      <c r="I193" s="88"/>
      <c r="J193" s="88"/>
      <c r="K193" s="88"/>
      <c r="L193" s="88"/>
      <c r="M193" s="88"/>
      <c r="N193" s="88"/>
      <c r="O193" s="88"/>
      <c r="P193" s="88"/>
      <c r="Q193" s="88"/>
      <c r="R193" s="88"/>
      <c r="S193" s="88"/>
      <c r="T193" s="88"/>
      <c r="U193" s="88"/>
      <c r="V193" s="88"/>
      <c r="W193" s="88"/>
      <c r="X193" s="88"/>
      <c r="Y193" s="88"/>
      <c r="Z193" s="88"/>
      <c r="AA193" s="88"/>
      <c r="AB193" s="88"/>
      <c r="AC193" s="88"/>
      <c r="AD193" s="88"/>
      <c r="AE193" s="88"/>
      <c r="AF193" s="88"/>
      <c r="AG193" s="88"/>
      <c r="AH193" s="88"/>
      <c r="AI193" s="88"/>
      <c r="AJ193" s="88"/>
      <c r="AK193" s="88"/>
      <c r="AL193" s="88"/>
      <c r="AM193" s="88"/>
      <c r="AN193" s="88"/>
      <c r="AO193" s="88"/>
      <c r="AP193" s="88"/>
      <c r="AQ193" s="88"/>
      <c r="AR193" s="88"/>
      <c r="AS193" s="88"/>
      <c r="AT193" s="88"/>
      <c r="AU193" s="88"/>
      <c r="AV193" s="88"/>
      <c r="AW193" s="88"/>
      <c r="AX193" s="88"/>
      <c r="AY193" s="88"/>
      <c r="AZ193" s="88"/>
      <c r="BA193" s="88"/>
      <c r="BB193" s="88"/>
      <c r="BC193" s="88"/>
      <c r="BD193" s="88"/>
      <c r="BE193" s="88"/>
      <c r="BF193" s="88"/>
      <c r="BG193" s="88"/>
      <c r="BH193" s="88"/>
      <c r="BI193" s="88"/>
      <c r="BJ193" s="88"/>
      <c r="BK193" s="88"/>
      <c r="BL193" s="88"/>
      <c r="BM193" s="88"/>
      <c r="BN193" s="88"/>
      <c r="BO193" s="88"/>
      <c r="BP193" s="88"/>
      <c r="BQ193" s="88"/>
      <c r="BR193" s="88"/>
      <c r="BS193" s="88"/>
      <c r="BT193" s="88"/>
      <c r="BU193" s="88"/>
      <c r="BV193" s="88"/>
      <c r="BW193" s="88"/>
      <c r="BX193" s="88"/>
      <c r="BY193" s="88"/>
      <c r="BZ193" s="88"/>
      <c r="CA193" s="88"/>
      <c r="CB193" s="88"/>
      <c r="CC193" s="88"/>
      <c r="CD193" s="88"/>
      <c r="CE193" s="88"/>
      <c r="CF193" s="88"/>
      <c r="CG193" s="88"/>
      <c r="CH193" s="88"/>
      <c r="CI193" s="88"/>
      <c r="CJ193" s="88"/>
      <c r="CK193" s="88"/>
      <c r="CL193" s="88"/>
      <c r="CM193" s="88"/>
      <c r="CN193" s="88"/>
      <c r="CO193" s="88"/>
      <c r="CP193" s="88"/>
      <c r="CQ193" s="88"/>
      <c r="CR193" s="88"/>
      <c r="CS193" s="88"/>
      <c r="CT193" s="88"/>
      <c r="CU193" s="88"/>
      <c r="CV193" s="88"/>
      <c r="CW193" s="88"/>
      <c r="CX193" s="88"/>
      <c r="CY193" s="88"/>
      <c r="CZ193" s="88"/>
      <c r="DA193" s="88"/>
      <c r="DB193" s="88"/>
      <c r="DC193" s="88"/>
      <c r="DD193" s="88"/>
      <c r="DE193" s="88"/>
      <c r="DF193" s="88"/>
      <c r="DG193" s="88"/>
      <c r="DH193" s="88"/>
      <c r="DI193" s="88"/>
      <c r="DJ193" s="88"/>
    </row>
    <row r="194" spans="1:114" hidden="1">
      <c r="A194" s="88"/>
      <c r="B194" s="88"/>
      <c r="C194" s="88"/>
      <c r="D194" s="88"/>
      <c r="E194" s="88"/>
      <c r="F194" s="88"/>
      <c r="G194" s="88"/>
      <c r="H194" s="88"/>
      <c r="I194" s="88"/>
      <c r="J194" s="88"/>
      <c r="K194" s="88"/>
      <c r="L194" s="88"/>
      <c r="M194" s="88"/>
      <c r="N194" s="88"/>
      <c r="O194" s="88"/>
      <c r="P194" s="88"/>
      <c r="Q194" s="88"/>
      <c r="R194" s="88"/>
      <c r="S194" s="88"/>
      <c r="T194" s="88"/>
      <c r="U194" s="88"/>
      <c r="V194" s="88"/>
      <c r="W194" s="88"/>
      <c r="X194" s="88"/>
      <c r="Y194" s="88"/>
      <c r="Z194" s="88"/>
      <c r="AA194" s="88"/>
      <c r="AB194" s="88"/>
      <c r="AC194" s="88"/>
      <c r="AD194" s="88"/>
      <c r="AE194" s="88"/>
      <c r="AF194" s="88"/>
      <c r="AG194" s="88"/>
      <c r="AH194" s="88"/>
      <c r="AI194" s="88"/>
      <c r="AJ194" s="88"/>
      <c r="AK194" s="88"/>
      <c r="AL194" s="88"/>
      <c r="AM194" s="88"/>
      <c r="AN194" s="88"/>
      <c r="AO194" s="88"/>
      <c r="AP194" s="88"/>
      <c r="AQ194" s="88"/>
      <c r="AR194" s="88"/>
      <c r="AS194" s="88"/>
      <c r="AT194" s="88"/>
      <c r="AU194" s="88"/>
      <c r="AV194" s="88"/>
      <c r="AW194" s="88"/>
      <c r="AX194" s="88"/>
      <c r="AY194" s="88"/>
      <c r="AZ194" s="88"/>
      <c r="BA194" s="88"/>
      <c r="BB194" s="88"/>
      <c r="BC194" s="88"/>
      <c r="BD194" s="88"/>
      <c r="BE194" s="88"/>
      <c r="BF194" s="88"/>
      <c r="BG194" s="88"/>
      <c r="BH194" s="88"/>
      <c r="BI194" s="88"/>
      <c r="BJ194" s="88"/>
      <c r="BK194" s="88"/>
      <c r="BL194" s="88"/>
      <c r="BM194" s="88"/>
      <c r="BN194" s="88"/>
      <c r="BO194" s="88"/>
      <c r="BP194" s="88"/>
      <c r="BQ194" s="88"/>
      <c r="BR194" s="88"/>
      <c r="BS194" s="88"/>
      <c r="BT194" s="88"/>
      <c r="BU194" s="88"/>
      <c r="BV194" s="88"/>
      <c r="BW194" s="88"/>
      <c r="BX194" s="88"/>
      <c r="BY194" s="88"/>
      <c r="BZ194" s="88"/>
      <c r="CA194" s="88"/>
      <c r="CB194" s="88"/>
      <c r="CC194" s="88"/>
      <c r="CD194" s="88"/>
      <c r="CE194" s="88"/>
      <c r="CF194" s="88"/>
      <c r="CG194" s="88"/>
      <c r="CH194" s="88"/>
      <c r="CI194" s="88"/>
      <c r="CJ194" s="88"/>
      <c r="CK194" s="88"/>
      <c r="CL194" s="88"/>
      <c r="CM194" s="88"/>
      <c r="CN194" s="88"/>
      <c r="CO194" s="88"/>
      <c r="CP194" s="88"/>
      <c r="CQ194" s="88"/>
      <c r="CR194" s="88"/>
      <c r="CS194" s="88"/>
      <c r="CT194" s="88"/>
      <c r="CU194" s="88"/>
      <c r="CV194" s="88"/>
      <c r="CW194" s="88"/>
      <c r="CX194" s="88"/>
      <c r="CY194" s="88"/>
      <c r="CZ194" s="88"/>
      <c r="DA194" s="88"/>
      <c r="DB194" s="88"/>
      <c r="DC194" s="88"/>
      <c r="DD194" s="88"/>
      <c r="DE194" s="88"/>
      <c r="DF194" s="88"/>
      <c r="DG194" s="88"/>
      <c r="DH194" s="88"/>
      <c r="DI194" s="88"/>
      <c r="DJ194" s="88"/>
    </row>
    <row r="195" spans="1:114" hidden="1">
      <c r="A195" s="88"/>
      <c r="B195" s="88"/>
      <c r="C195" s="88"/>
      <c r="D195" s="88"/>
      <c r="E195" s="88"/>
      <c r="F195" s="88"/>
      <c r="G195" s="88"/>
      <c r="H195" s="88"/>
      <c r="I195" s="88"/>
      <c r="J195" s="88"/>
      <c r="K195" s="88"/>
      <c r="L195" s="88"/>
      <c r="M195" s="88"/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88"/>
      <c r="AK195" s="88"/>
      <c r="AL195" s="88"/>
      <c r="AM195" s="88"/>
      <c r="AN195" s="88"/>
      <c r="AO195" s="88"/>
      <c r="AP195" s="88"/>
      <c r="AQ195" s="88"/>
      <c r="AR195" s="88"/>
      <c r="AS195" s="88"/>
      <c r="AT195" s="88"/>
      <c r="AU195" s="88"/>
      <c r="AV195" s="88"/>
      <c r="AW195" s="88"/>
      <c r="AX195" s="88"/>
      <c r="AY195" s="88"/>
      <c r="AZ195" s="88"/>
      <c r="BA195" s="88"/>
      <c r="BB195" s="88"/>
      <c r="BC195" s="88"/>
      <c r="BD195" s="88"/>
      <c r="BE195" s="88"/>
      <c r="BF195" s="88"/>
      <c r="BG195" s="88"/>
      <c r="BH195" s="88"/>
      <c r="BI195" s="88"/>
      <c r="BJ195" s="88"/>
      <c r="BK195" s="88"/>
      <c r="BL195" s="88"/>
      <c r="BM195" s="88"/>
      <c r="BN195" s="88"/>
      <c r="BO195" s="88"/>
      <c r="BP195" s="88"/>
      <c r="BQ195" s="88"/>
      <c r="BR195" s="88"/>
      <c r="BS195" s="88"/>
      <c r="BT195" s="88"/>
      <c r="BU195" s="88"/>
      <c r="BV195" s="88"/>
      <c r="BW195" s="88"/>
      <c r="BX195" s="88"/>
      <c r="BY195" s="88"/>
      <c r="BZ195" s="88"/>
      <c r="CA195" s="88"/>
      <c r="CB195" s="88"/>
      <c r="CC195" s="88"/>
      <c r="CD195" s="88"/>
      <c r="CE195" s="88"/>
      <c r="CF195" s="88"/>
      <c r="CG195" s="88"/>
      <c r="CH195" s="88"/>
      <c r="CI195" s="88"/>
      <c r="CJ195" s="88"/>
      <c r="CK195" s="88"/>
      <c r="CL195" s="88"/>
      <c r="CM195" s="88"/>
      <c r="CN195" s="88"/>
      <c r="CO195" s="88"/>
      <c r="CP195" s="88"/>
      <c r="CQ195" s="88"/>
      <c r="CR195" s="88"/>
      <c r="CS195" s="88"/>
      <c r="CT195" s="88"/>
      <c r="CU195" s="88"/>
      <c r="CV195" s="88"/>
      <c r="CW195" s="88"/>
      <c r="CX195" s="88"/>
      <c r="CY195" s="88"/>
      <c r="CZ195" s="88"/>
      <c r="DA195" s="88"/>
      <c r="DB195" s="88"/>
      <c r="DC195" s="88"/>
      <c r="DD195" s="88"/>
      <c r="DE195" s="88"/>
      <c r="DF195" s="88"/>
      <c r="DG195" s="88"/>
      <c r="DH195" s="88"/>
      <c r="DI195" s="88"/>
      <c r="DJ195" s="88"/>
    </row>
    <row r="196" spans="1:114" hidden="1">
      <c r="A196" s="88"/>
      <c r="B196" s="88"/>
      <c r="C196" s="88"/>
      <c r="D196" s="88"/>
      <c r="E196" s="88"/>
      <c r="F196" s="88"/>
      <c r="G196" s="88"/>
      <c r="H196" s="88"/>
      <c r="I196" s="88"/>
      <c r="J196" s="88"/>
      <c r="K196" s="88"/>
      <c r="L196" s="88"/>
      <c r="M196" s="88"/>
      <c r="N196" s="88"/>
      <c r="O196" s="88"/>
      <c r="P196" s="88"/>
      <c r="Q196" s="88"/>
      <c r="R196" s="88"/>
      <c r="S196" s="88"/>
      <c r="T196" s="88"/>
      <c r="U196" s="88"/>
      <c r="V196" s="88"/>
      <c r="W196" s="88"/>
      <c r="X196" s="88"/>
      <c r="Y196" s="88"/>
      <c r="Z196" s="88"/>
      <c r="AA196" s="88"/>
      <c r="AB196" s="88"/>
      <c r="AC196" s="88"/>
      <c r="AD196" s="88"/>
      <c r="AE196" s="88"/>
      <c r="AF196" s="88"/>
      <c r="AG196" s="88"/>
      <c r="AH196" s="88"/>
      <c r="AI196" s="88"/>
      <c r="AJ196" s="88"/>
      <c r="AK196" s="88"/>
      <c r="AL196" s="88"/>
      <c r="AM196" s="88"/>
      <c r="AN196" s="88"/>
      <c r="AO196" s="88"/>
      <c r="AP196" s="88"/>
      <c r="AQ196" s="88"/>
      <c r="AR196" s="88"/>
      <c r="AS196" s="88"/>
      <c r="AT196" s="88"/>
      <c r="AU196" s="88"/>
      <c r="AV196" s="88"/>
      <c r="AW196" s="88"/>
      <c r="AX196" s="88"/>
      <c r="AY196" s="88"/>
      <c r="AZ196" s="88"/>
      <c r="BA196" s="88"/>
      <c r="BB196" s="88"/>
      <c r="BC196" s="88"/>
      <c r="BD196" s="88"/>
      <c r="BE196" s="88"/>
      <c r="BF196" s="88"/>
      <c r="BG196" s="88"/>
      <c r="BH196" s="88"/>
      <c r="BI196" s="88"/>
      <c r="BJ196" s="88"/>
      <c r="BK196" s="88"/>
      <c r="BL196" s="88"/>
      <c r="BM196" s="88"/>
      <c r="BN196" s="88"/>
      <c r="BO196" s="88"/>
      <c r="BP196" s="88"/>
      <c r="BQ196" s="88"/>
      <c r="BR196" s="88"/>
      <c r="BS196" s="88"/>
      <c r="BT196" s="88"/>
      <c r="BU196" s="88"/>
      <c r="BV196" s="88"/>
      <c r="BW196" s="88"/>
      <c r="BX196" s="88"/>
      <c r="BY196" s="88"/>
      <c r="BZ196" s="88"/>
      <c r="CA196" s="88"/>
      <c r="CB196" s="88"/>
      <c r="CC196" s="88"/>
      <c r="CD196" s="88"/>
      <c r="CE196" s="88"/>
      <c r="CF196" s="88"/>
      <c r="CG196" s="88"/>
      <c r="CH196" s="88"/>
      <c r="CI196" s="88"/>
      <c r="CJ196" s="88"/>
      <c r="CK196" s="88"/>
      <c r="CL196" s="88"/>
      <c r="CM196" s="88"/>
      <c r="CN196" s="88"/>
      <c r="CO196" s="88"/>
      <c r="CP196" s="88"/>
      <c r="CQ196" s="88"/>
      <c r="CR196" s="88"/>
      <c r="CS196" s="88"/>
      <c r="CT196" s="88"/>
      <c r="CU196" s="88"/>
      <c r="CV196" s="88"/>
      <c r="CW196" s="88"/>
      <c r="CX196" s="88"/>
      <c r="CY196" s="88"/>
      <c r="CZ196" s="88"/>
      <c r="DA196" s="88"/>
      <c r="DB196" s="88"/>
      <c r="DC196" s="88"/>
      <c r="DD196" s="88"/>
      <c r="DE196" s="88"/>
      <c r="DF196" s="88"/>
      <c r="DG196" s="88"/>
      <c r="DH196" s="88"/>
      <c r="DI196" s="88"/>
      <c r="DJ196" s="88"/>
    </row>
    <row r="197" spans="1:114" hidden="1">
      <c r="A197" s="88"/>
      <c r="B197" s="88"/>
      <c r="C197" s="88"/>
      <c r="D197" s="88"/>
      <c r="E197" s="88"/>
      <c r="F197" s="88"/>
      <c r="G197" s="88"/>
      <c r="H197" s="88"/>
      <c r="I197" s="88"/>
      <c r="J197" s="88"/>
      <c r="K197" s="88"/>
      <c r="L197" s="88"/>
      <c r="M197" s="88"/>
      <c r="N197" s="88"/>
      <c r="O197" s="88"/>
      <c r="P197" s="88"/>
      <c r="Q197" s="88"/>
      <c r="R197" s="88"/>
      <c r="S197" s="88"/>
      <c r="T197" s="88"/>
      <c r="U197" s="88"/>
      <c r="V197" s="88"/>
      <c r="W197" s="88"/>
      <c r="X197" s="88"/>
      <c r="Y197" s="88"/>
      <c r="Z197" s="88"/>
      <c r="AA197" s="88"/>
      <c r="AB197" s="88"/>
      <c r="AC197" s="88"/>
      <c r="AD197" s="88"/>
      <c r="AE197" s="88"/>
      <c r="AF197" s="88"/>
      <c r="AG197" s="88"/>
      <c r="AH197" s="88"/>
      <c r="AI197" s="88"/>
      <c r="AJ197" s="88"/>
      <c r="AK197" s="88"/>
      <c r="AL197" s="88"/>
      <c r="AM197" s="88"/>
      <c r="AN197" s="88"/>
      <c r="AO197" s="88"/>
      <c r="AP197" s="88"/>
      <c r="AQ197" s="88"/>
      <c r="AR197" s="88"/>
      <c r="AS197" s="88"/>
      <c r="AT197" s="88"/>
      <c r="AU197" s="88"/>
      <c r="AV197" s="88"/>
      <c r="AW197" s="88"/>
      <c r="AX197" s="88"/>
      <c r="AY197" s="88"/>
      <c r="AZ197" s="88"/>
      <c r="BA197" s="88"/>
      <c r="BB197" s="88"/>
      <c r="BC197" s="88"/>
      <c r="BD197" s="88"/>
      <c r="BE197" s="88"/>
      <c r="BF197" s="88"/>
      <c r="BG197" s="88"/>
      <c r="BH197" s="88"/>
      <c r="BI197" s="88"/>
      <c r="BJ197" s="88"/>
      <c r="BK197" s="88"/>
      <c r="BL197" s="88"/>
      <c r="BM197" s="88"/>
      <c r="BN197" s="88"/>
      <c r="BO197" s="88"/>
      <c r="BP197" s="88"/>
      <c r="BQ197" s="88"/>
      <c r="BR197" s="88"/>
      <c r="BS197" s="88"/>
      <c r="BT197" s="88"/>
      <c r="BU197" s="88"/>
      <c r="BV197" s="88"/>
      <c r="BW197" s="88"/>
      <c r="BX197" s="88"/>
      <c r="BY197" s="88"/>
      <c r="BZ197" s="88"/>
      <c r="CA197" s="88"/>
      <c r="CB197" s="88"/>
      <c r="CC197" s="88"/>
      <c r="CD197" s="88"/>
      <c r="CE197" s="88"/>
      <c r="CF197" s="88"/>
      <c r="CG197" s="88"/>
      <c r="CH197" s="88"/>
      <c r="CI197" s="88"/>
      <c r="CJ197" s="88"/>
      <c r="CK197" s="88"/>
      <c r="CL197" s="88"/>
      <c r="CM197" s="88"/>
      <c r="CN197" s="88"/>
      <c r="CO197" s="88"/>
      <c r="CP197" s="88"/>
      <c r="CQ197" s="88"/>
      <c r="CR197" s="88"/>
      <c r="CS197" s="88"/>
      <c r="CT197" s="88"/>
      <c r="CU197" s="88"/>
      <c r="CV197" s="88"/>
      <c r="CW197" s="88"/>
      <c r="CX197" s="88"/>
      <c r="CY197" s="88"/>
      <c r="CZ197" s="88"/>
      <c r="DA197" s="88"/>
      <c r="DB197" s="88"/>
      <c r="DC197" s="88"/>
      <c r="DD197" s="88"/>
      <c r="DE197" s="88"/>
      <c r="DF197" s="88"/>
      <c r="DG197" s="88"/>
      <c r="DH197" s="88"/>
      <c r="DI197" s="88"/>
      <c r="DJ197" s="88"/>
    </row>
  </sheetData>
  <mergeCells count="58">
    <mergeCell ref="D24:F24"/>
    <mergeCell ref="D25:F25"/>
    <mergeCell ref="D26:F26"/>
    <mergeCell ref="I24:K24"/>
    <mergeCell ref="I25:K25"/>
    <mergeCell ref="I26:K26"/>
    <mergeCell ref="I19:K19"/>
    <mergeCell ref="I20:K20"/>
    <mergeCell ref="O25:T25"/>
    <mergeCell ref="O26:T26"/>
    <mergeCell ref="T27:T29"/>
    <mergeCell ref="O9:T9"/>
    <mergeCell ref="O13:T13"/>
    <mergeCell ref="I16:K16"/>
    <mergeCell ref="I17:K17"/>
    <mergeCell ref="I18:K18"/>
    <mergeCell ref="D21:F21"/>
    <mergeCell ref="D22:F22"/>
    <mergeCell ref="D23:F23"/>
    <mergeCell ref="I21:K21"/>
    <mergeCell ref="I22:K22"/>
    <mergeCell ref="I23:K23"/>
    <mergeCell ref="D16:F16"/>
    <mergeCell ref="D17:F17"/>
    <mergeCell ref="D18:F18"/>
    <mergeCell ref="D19:F19"/>
    <mergeCell ref="D20:F20"/>
    <mergeCell ref="T56:U56"/>
    <mergeCell ref="N58:O58"/>
    <mergeCell ref="D30:K35"/>
    <mergeCell ref="E27:G27"/>
    <mergeCell ref="J27:L27"/>
    <mergeCell ref="E28:G28"/>
    <mergeCell ref="P56:R56"/>
    <mergeCell ref="N56:O56"/>
    <mergeCell ref="AC96:AF96"/>
    <mergeCell ref="D57:E61"/>
    <mergeCell ref="T62:U62"/>
    <mergeCell ref="N62:O62"/>
    <mergeCell ref="P60:R60"/>
    <mergeCell ref="N60:O60"/>
    <mergeCell ref="I57:K61"/>
    <mergeCell ref="P66:R66"/>
    <mergeCell ref="P68:R68"/>
    <mergeCell ref="N68:O68"/>
    <mergeCell ref="N66:O66"/>
    <mergeCell ref="D9:E9"/>
    <mergeCell ref="F9:G9"/>
    <mergeCell ref="H9:I9"/>
    <mergeCell ref="J9:K9"/>
    <mergeCell ref="L9:M9"/>
    <mergeCell ref="D15:H15"/>
    <mergeCell ref="I15:M15"/>
    <mergeCell ref="D12:E12"/>
    <mergeCell ref="F12:G12"/>
    <mergeCell ref="H12:I12"/>
    <mergeCell ref="J12:K12"/>
    <mergeCell ref="L12:M12"/>
  </mergeCells>
  <dataValidations count="15">
    <dataValidation type="textLength" operator="equal" allowBlank="1" showInputMessage="1" showErrorMessage="1" sqref="F36 F39 M34:M35 F45 M86:S86 M22:M26 O70:V70 P17:Q17 V68 V64 T72:V77 I72:I73 H72:H77 H70 H68 R42:AA51 I42 I48:Q51" xr:uid="{00000000-0002-0000-0100-000000000000}">
      <formula1>9999</formula1>
    </dataValidation>
    <dataValidation type="textLength" operator="equal" allowBlank="1" showInputMessage="1" showErrorMessage="1" errorTitle="AVISO" error="A remuneração deve ser alterada na célula correspondente da aba &quot;Início&quot;." promptTitle="ATENÇÃO!!!" prompt="A remuneração deve ser alterada na célula correspondente da aba &quot;Início&quot;." sqref="D10" xr:uid="{00000000-0002-0000-0100-000001000000}">
      <formula1>9999</formula1>
    </dataValidation>
    <dataValidation type="textLength" operator="equal" allowBlank="1" showInputMessage="1" showErrorMessage="1" errorTitle="AVISO" error="A data de admissão deve ser alterada na célula correspondente da aba &quot;Inicio&quot;." promptTitle="ATENÇÃO!!!" prompt="A data de admissão deve ser alterada na célula correspondente da aba &quot;Inicio&quot;." sqref="F10" xr:uid="{00000000-0002-0000-0100-000002000000}">
      <formula1>9999</formula1>
    </dataValidation>
    <dataValidation type="textLength" operator="equal" allowBlank="1" showInputMessage="1" showErrorMessage="1" errorTitle="AVISO" error="A data de comunicação do aviso prévio deve ser alterada na aba &quot;Início&quot;." promptTitle="ATENÇÃO!!!" prompt="A data de comunicação do aviso prévio deve ser alterada na aba &quot;Início&quot;." sqref="H10" xr:uid="{00000000-0002-0000-0100-000003000000}">
      <formula1>9999</formula1>
    </dataValidation>
    <dataValidation type="textLength" operator="equal" allowBlank="1" showInputMessage="1" showErrorMessage="1" errorTitle="AVISO" error="A fórmula não deve ser alterada." promptTitle="ATENÇÃO!!!" prompt="Esta fórmula não deve ser alterada." sqref="J10" xr:uid="{00000000-0002-0000-0100-000004000000}">
      <formula1>9999</formula1>
    </dataValidation>
    <dataValidation type="textLength" operator="equal" allowBlank="1" showInputMessage="1" showErrorMessage="1" errorTitle="AVISO" error="A fórmula desta célula não deve ser alterada." sqref="S21:S23 S16 P20:Q20 G23" xr:uid="{00000000-0002-0000-0100-000005000000}">
      <formula1>9999</formula1>
    </dataValidation>
    <dataValidation type="textLength" operator="equal" allowBlank="1" showInputMessage="1" showErrorMessage="1" errorTitle="AVISO" promptTitle="ATENÇÃO!!!" prompt="A fórmula não deve ser alterada." sqref="I57:K61" xr:uid="{00000000-0002-0000-0100-000006000000}">
      <formula1>9999</formula1>
    </dataValidation>
    <dataValidation type="textLength" operator="equal" allowBlank="1" showInputMessage="1" showErrorMessage="1" errorTitle="AVISO" error="A fórmula desta célula não deve ser alterada." promptTitle="ATENÇÃO!!!" prompt="Esta fórmula não deve ser alterada." sqref="L10 F13 H13 J13 H17 H18 H20 H21 H22 H23 G16 G18 G19 G20" xr:uid="{00000000-0002-0000-0100-000007000000}">
      <formula1>9999</formula1>
    </dataValidation>
    <dataValidation type="textLength" operator="equal" allowBlank="1" showInputMessage="1" showErrorMessage="1" errorTitle="AVISO" error="A fórmula desta célula não deve ser alterada." promptTitle="ATENÇÃO!!!!" prompt="Esta fórmula não deve ser alterada." sqref="D13 H19" xr:uid="{00000000-0002-0000-0100-000008000000}">
      <formula1>9999</formula1>
    </dataValidation>
    <dataValidation type="textLength" operator="equal" allowBlank="1" showInputMessage="1" showErrorMessage="1" errorTitle="AVISO" error="A fórmula não deve ser alterada." promptTitle="ATENÇÃO!!!" prompt="A fórmula não deve ser alterada." sqref="G42 H42 R16 R17 T16:T17 D30:K35 R21:R22" xr:uid="{00000000-0002-0000-0100-000009000000}">
      <formula1>9999</formula1>
    </dataValidation>
    <dataValidation type="textLength" operator="equal" allowBlank="1" showInputMessage="1" showErrorMessage="1" errorTitle="AVISO" error="A fórmula desta célula não deve ser alterada." promptTitle="ATENÇÃO!!!" prompt="A fórmula não deve ser alterada." sqref="G51:H51 T21:T23" xr:uid="{00000000-0002-0000-0100-00000A000000}">
      <formula1>9999</formula1>
    </dataValidation>
    <dataValidation type="textLength" operator="equal" allowBlank="1" showInputMessage="1" showErrorMessage="1" errorTitle="AVISO" error="Esta fórmula não deve ser alterada." promptTitle="ATENÇÃO!!!" prompt="Esta fórmula não deve ser alterada" sqref="H16" xr:uid="{00000000-0002-0000-0100-00000B000000}">
      <formula1>9999</formula1>
    </dataValidation>
    <dataValidation type="textLength" operator="equal" allowBlank="1" showInputMessage="1" showErrorMessage="1" errorTitle="AVISO" error="Esta fórmula não deve ser alterada." promptTitle="ATENÇÃO!!!" prompt="Esta fórmula não deve ser alterada." sqref="G17 L16:L17 M16:M17" xr:uid="{00000000-0002-0000-0100-00000C000000}">
      <formula1>9999</formula1>
    </dataValidation>
    <dataValidation type="textLength" operator="equal" allowBlank="1" showInputMessage="1" showErrorMessage="1" errorTitle="AVISO" error="A fórmula desta célula não deve ser alterada." promptTitle="atenção!!!" prompt="Esta fórmula não deve ser alterada." sqref="G21" xr:uid="{00000000-0002-0000-0100-00000D000000}">
      <formula1>9999</formula1>
    </dataValidation>
    <dataValidation type="textLength" operator="equal" allowBlank="1" showInputMessage="1" showErrorMessage="1" errorTitle="AVISO" error="Esta fórmula não deve ser alterada." promptTitle="atenção!!!" prompt="Esta fórmula não deve ser alterada." sqref="G22" xr:uid="{00000000-0002-0000-0100-00000E000000}">
      <formula1>9999</formula1>
    </dataValidation>
  </dataValidations>
  <pageMargins left="0.511811024" right="0.511811024" top="0.78740157499999996" bottom="0.78740157499999996" header="0.31496062000000002" footer="0.31496062000000002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2" r:id="rId4" name="Drop Down 10">
              <controlPr locked="0" defaultSize="0" autoLine="0" autoPict="0">
                <anchor moveWithCells="1">
                  <from>
                    <xdr:col>5</xdr:col>
                    <xdr:colOff>142875</xdr:colOff>
                    <xdr:row>57</xdr:row>
                    <xdr:rowOff>19050</xdr:rowOff>
                  </from>
                  <to>
                    <xdr:col>7</xdr:col>
                    <xdr:colOff>476250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5" name="Check Box 23">
              <controlPr defaultSize="0" autoFill="0" autoLine="0" autoPict="0">
                <anchor moveWithCells="1">
                  <from>
                    <xdr:col>11</xdr:col>
                    <xdr:colOff>123825</xdr:colOff>
                    <xdr:row>12</xdr:row>
                    <xdr:rowOff>9525</xdr:rowOff>
                  </from>
                  <to>
                    <xdr:col>12</xdr:col>
                    <xdr:colOff>152400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6" name="Botão de opção 24">
              <controlPr defaultSize="0" autoFill="0" autoLine="0" autoPict="0">
                <anchor moveWithCells="1">
                  <from>
                    <xdr:col>17</xdr:col>
                    <xdr:colOff>0</xdr:colOff>
                    <xdr:row>9</xdr:row>
                    <xdr:rowOff>38100</xdr:rowOff>
                  </from>
                  <to>
                    <xdr:col>18</xdr:col>
                    <xdr:colOff>476250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7" name="Botão de opção 25">
              <controlPr defaultSize="0" autoFill="0" autoLine="0" autoPict="0">
                <anchor moveWithCells="1">
                  <from>
                    <xdr:col>17</xdr:col>
                    <xdr:colOff>9525</xdr:colOff>
                    <xdr:row>10</xdr:row>
                    <xdr:rowOff>133350</xdr:rowOff>
                  </from>
                  <to>
                    <xdr:col>18</xdr:col>
                    <xdr:colOff>485775</xdr:colOff>
                    <xdr:row>11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>
    <tabColor indexed="18"/>
  </sheetPr>
  <dimension ref="A1:BC115"/>
  <sheetViews>
    <sheetView showGridLines="0" workbookViewId="0">
      <selection activeCell="O22" sqref="O22"/>
    </sheetView>
  </sheetViews>
  <sheetFormatPr defaultRowHeight="12.75"/>
  <cols>
    <col min="1" max="1" width="2.28515625" customWidth="1"/>
    <col min="2" max="2" width="36.7109375" customWidth="1"/>
    <col min="3" max="5" width="12.7109375" customWidth="1"/>
    <col min="6" max="6" width="13.28515625" customWidth="1"/>
    <col min="7" max="10" width="12.7109375" customWidth="1"/>
    <col min="11" max="17" width="9.7109375" customWidth="1"/>
    <col min="18" max="18" width="2.7109375" customWidth="1"/>
    <col min="19" max="19" width="17.140625" bestFit="1" customWidth="1"/>
    <col min="20" max="20" width="4.7109375" customWidth="1"/>
    <col min="21" max="21" width="11.85546875" bestFit="1" customWidth="1"/>
    <col min="22" max="22" width="10.140625" customWidth="1"/>
    <col min="23" max="23" width="9.85546875" customWidth="1"/>
    <col min="55" max="55" width="10.140625" bestFit="1" customWidth="1"/>
  </cols>
  <sheetData>
    <row r="1" spans="1:24" ht="30" customHeight="1">
      <c r="B1" s="459" t="s">
        <v>2</v>
      </c>
      <c r="C1" s="460"/>
      <c r="D1" s="460"/>
      <c r="E1" s="460"/>
      <c r="F1" s="460"/>
      <c r="G1" s="460"/>
      <c r="H1" s="460"/>
      <c r="I1" s="461"/>
      <c r="J1" s="43"/>
      <c r="K1" s="453" t="s">
        <v>69</v>
      </c>
      <c r="L1" s="454"/>
      <c r="M1" s="454"/>
      <c r="N1" s="454"/>
      <c r="O1" s="454"/>
      <c r="P1" s="454"/>
      <c r="Q1" s="455"/>
    </row>
    <row r="2" spans="1:24" ht="20.100000000000001" customHeight="1">
      <c r="B2" s="75" t="s">
        <v>3</v>
      </c>
      <c r="C2" s="4">
        <f>ano-5</f>
        <v>2014</v>
      </c>
      <c r="D2" s="5">
        <f>ano-4</f>
        <v>2015</v>
      </c>
      <c r="E2" s="5">
        <f>ano-3</f>
        <v>2016</v>
      </c>
      <c r="F2" s="5">
        <f>ano-2</f>
        <v>2017</v>
      </c>
      <c r="G2" s="5">
        <f>ano-1</f>
        <v>2018</v>
      </c>
      <c r="H2" s="5">
        <f>YEAR(dispensa)</f>
        <v>2019</v>
      </c>
      <c r="I2" s="42">
        <f>ano+1</f>
        <v>2020</v>
      </c>
      <c r="J2" s="44"/>
      <c r="K2" s="456"/>
      <c r="L2" s="457"/>
      <c r="M2" s="457"/>
      <c r="N2" s="457"/>
      <c r="O2" s="457"/>
      <c r="P2" s="457"/>
      <c r="Q2" s="458"/>
    </row>
    <row r="3" spans="1:24" ht="20.100000000000001" customHeight="1">
      <c r="B3" s="78" t="s">
        <v>4</v>
      </c>
      <c r="C3" s="58">
        <f>DATE(C2,1,1)</f>
        <v>41640</v>
      </c>
      <c r="D3" s="59">
        <f t="shared" ref="D3:I3" si="0">DATE(D2,1,1)</f>
        <v>42005</v>
      </c>
      <c r="E3" s="59">
        <f t="shared" si="0"/>
        <v>42370</v>
      </c>
      <c r="F3" s="59">
        <f t="shared" si="0"/>
        <v>42736</v>
      </c>
      <c r="G3" s="59">
        <f t="shared" si="0"/>
        <v>43101</v>
      </c>
      <c r="H3" s="59">
        <f t="shared" si="0"/>
        <v>43466</v>
      </c>
      <c r="I3" s="60">
        <f t="shared" si="0"/>
        <v>43831</v>
      </c>
      <c r="J3" s="45"/>
      <c r="K3" s="477">
        <v>2018</v>
      </c>
      <c r="L3" s="478"/>
      <c r="M3" s="471" t="str">
        <f>INDEX(Meses,MATCH(Q3,NMês,0))</f>
        <v>Março</v>
      </c>
      <c r="N3" s="472"/>
      <c r="O3" s="472"/>
      <c r="P3" s="473"/>
      <c r="Q3" s="481">
        <v>3</v>
      </c>
    </row>
    <row r="4" spans="1:24" ht="20.100000000000001" customHeight="1">
      <c r="B4" s="78" t="s">
        <v>5</v>
      </c>
      <c r="C4" s="61">
        <f t="shared" ref="C4:I4" si="1">DATE(C2,4,21)</f>
        <v>41750</v>
      </c>
      <c r="D4" s="62">
        <f t="shared" si="1"/>
        <v>42115</v>
      </c>
      <c r="E4" s="62">
        <f t="shared" si="1"/>
        <v>42481</v>
      </c>
      <c r="F4" s="62">
        <f t="shared" si="1"/>
        <v>42846</v>
      </c>
      <c r="G4" s="62">
        <f t="shared" si="1"/>
        <v>43211</v>
      </c>
      <c r="H4" s="62">
        <f t="shared" si="1"/>
        <v>43576</v>
      </c>
      <c r="I4" s="63">
        <f t="shared" si="1"/>
        <v>43942</v>
      </c>
      <c r="J4" s="45"/>
      <c r="K4" s="479"/>
      <c r="L4" s="480"/>
      <c r="M4" s="474"/>
      <c r="N4" s="475"/>
      <c r="O4" s="475"/>
      <c r="P4" s="476"/>
      <c r="Q4" s="482"/>
    </row>
    <row r="5" spans="1:24" ht="20.100000000000001" customHeight="1">
      <c r="B5" s="78" t="s">
        <v>6</v>
      </c>
      <c r="C5" s="61">
        <f t="shared" ref="C5:I5" si="2">DATE(C2,5,1)</f>
        <v>41760</v>
      </c>
      <c r="D5" s="62">
        <f t="shared" si="2"/>
        <v>42125</v>
      </c>
      <c r="E5" s="62">
        <f t="shared" si="2"/>
        <v>42491</v>
      </c>
      <c r="F5" s="62">
        <f t="shared" si="2"/>
        <v>42856</v>
      </c>
      <c r="G5" s="62">
        <f t="shared" si="2"/>
        <v>43221</v>
      </c>
      <c r="H5" s="62">
        <f t="shared" si="2"/>
        <v>43586</v>
      </c>
      <c r="I5" s="63">
        <f t="shared" si="2"/>
        <v>43952</v>
      </c>
      <c r="J5" s="45"/>
      <c r="K5" s="73" t="s">
        <v>70</v>
      </c>
      <c r="L5" s="73" t="s">
        <v>49</v>
      </c>
      <c r="M5" s="73" t="s">
        <v>50</v>
      </c>
      <c r="N5" s="73" t="s">
        <v>51</v>
      </c>
      <c r="O5" s="74" t="s">
        <v>52</v>
      </c>
      <c r="P5" s="74" t="s">
        <v>53</v>
      </c>
      <c r="Q5" s="73" t="s">
        <v>54</v>
      </c>
    </row>
    <row r="6" spans="1:24" ht="20.100000000000001" customHeight="1">
      <c r="B6" s="78" t="s">
        <v>7</v>
      </c>
      <c r="C6" s="61">
        <f t="shared" ref="C6:I6" si="3">DATE(C2,9,7)</f>
        <v>41889</v>
      </c>
      <c r="D6" s="62">
        <f t="shared" si="3"/>
        <v>42254</v>
      </c>
      <c r="E6" s="62">
        <f t="shared" si="3"/>
        <v>42620</v>
      </c>
      <c r="F6" s="62">
        <f t="shared" si="3"/>
        <v>42985</v>
      </c>
      <c r="G6" s="62">
        <f t="shared" si="3"/>
        <v>43350</v>
      </c>
      <c r="H6" s="62">
        <f t="shared" si="3"/>
        <v>43715</v>
      </c>
      <c r="I6" s="63">
        <f t="shared" si="3"/>
        <v>44081</v>
      </c>
      <c r="J6" s="45"/>
      <c r="K6" s="76">
        <f>PDia-WEEKDAY(PDia,3)</f>
        <v>43157</v>
      </c>
      <c r="L6" s="76">
        <f t="shared" ref="L6:Q8" si="4">K6+1</f>
        <v>43158</v>
      </c>
      <c r="M6" s="76">
        <f t="shared" si="4"/>
        <v>43159</v>
      </c>
      <c r="N6" s="76">
        <f t="shared" si="4"/>
        <v>43160</v>
      </c>
      <c r="O6" s="76">
        <f t="shared" si="4"/>
        <v>43161</v>
      </c>
      <c r="P6" s="76">
        <f t="shared" si="4"/>
        <v>43162</v>
      </c>
      <c r="Q6" s="76">
        <f t="shared" si="4"/>
        <v>43163</v>
      </c>
      <c r="S6" s="450" t="s">
        <v>97</v>
      </c>
      <c r="T6" s="451"/>
      <c r="U6" s="452"/>
      <c r="V6" s="118" t="s">
        <v>98</v>
      </c>
      <c r="W6" s="118" t="s">
        <v>99</v>
      </c>
    </row>
    <row r="7" spans="1:24" ht="20.100000000000001" customHeight="1">
      <c r="B7" s="78" t="s">
        <v>8</v>
      </c>
      <c r="C7" s="61">
        <f t="shared" ref="C7:I7" si="5">DATE(C2,10,12)</f>
        <v>41924</v>
      </c>
      <c r="D7" s="62">
        <f t="shared" si="5"/>
        <v>42289</v>
      </c>
      <c r="E7" s="62">
        <f t="shared" si="5"/>
        <v>42655</v>
      </c>
      <c r="F7" s="62">
        <f t="shared" si="5"/>
        <v>43020</v>
      </c>
      <c r="G7" s="62">
        <f t="shared" si="5"/>
        <v>43385</v>
      </c>
      <c r="H7" s="62">
        <f t="shared" si="5"/>
        <v>43750</v>
      </c>
      <c r="I7" s="63">
        <f t="shared" si="5"/>
        <v>44116</v>
      </c>
      <c r="J7" s="45"/>
      <c r="K7" s="76">
        <f>Q6+1</f>
        <v>43164</v>
      </c>
      <c r="L7" s="76">
        <f t="shared" si="4"/>
        <v>43165</v>
      </c>
      <c r="M7" s="76">
        <f t="shared" si="4"/>
        <v>43166</v>
      </c>
      <c r="N7" s="76">
        <f t="shared" si="4"/>
        <v>43167</v>
      </c>
      <c r="O7" s="76">
        <f t="shared" si="4"/>
        <v>43168</v>
      </c>
      <c r="P7" s="76">
        <f t="shared" si="4"/>
        <v>43169</v>
      </c>
      <c r="Q7" s="76">
        <f t="shared" si="4"/>
        <v>43170</v>
      </c>
      <c r="S7" s="114">
        <f>PDia</f>
        <v>43160</v>
      </c>
      <c r="T7" s="116" t="s">
        <v>100</v>
      </c>
      <c r="U7" s="115">
        <f>DATE(YEAR(S7),MONTH(S7)+1,0)</f>
        <v>43190</v>
      </c>
      <c r="V7" s="117">
        <f ca="1">SUMPRODUCT((WEEKDAY(ROW(INDIRECT(S7&amp;":"&amp;U7)),2)&lt;7)*1)</f>
        <v>27</v>
      </c>
      <c r="W7" s="117">
        <f ca="1">SUMPRODUCT((WEEKDAY(ROW(INDIRECT(S7&amp;":"&amp;U7)),2)&lt;7)*(COUNTIF(Fer,ROW(INDIRECT(S7&amp;":"&amp;U7)))=0))</f>
        <v>26</v>
      </c>
    </row>
    <row r="8" spans="1:24" ht="20.100000000000001" customHeight="1">
      <c r="B8" s="78" t="s">
        <v>9</v>
      </c>
      <c r="C8" s="61">
        <f t="shared" ref="C8:I8" si="6">DATE(C2,11,2)</f>
        <v>41945</v>
      </c>
      <c r="D8" s="62">
        <f t="shared" si="6"/>
        <v>42310</v>
      </c>
      <c r="E8" s="62">
        <f t="shared" si="6"/>
        <v>42676</v>
      </c>
      <c r="F8" s="62">
        <f t="shared" si="6"/>
        <v>43041</v>
      </c>
      <c r="G8" s="62">
        <f t="shared" si="6"/>
        <v>43406</v>
      </c>
      <c r="H8" s="62">
        <f t="shared" si="6"/>
        <v>43771</v>
      </c>
      <c r="I8" s="63">
        <f t="shared" si="6"/>
        <v>44137</v>
      </c>
      <c r="J8" s="45"/>
      <c r="K8" s="76">
        <f>Q7+1</f>
        <v>43171</v>
      </c>
      <c r="L8" s="76">
        <f t="shared" si="4"/>
        <v>43172</v>
      </c>
      <c r="M8" s="76">
        <f t="shared" si="4"/>
        <v>43173</v>
      </c>
      <c r="N8" s="76">
        <f t="shared" si="4"/>
        <v>43174</v>
      </c>
      <c r="O8" s="76">
        <f t="shared" si="4"/>
        <v>43175</v>
      </c>
      <c r="P8" s="76">
        <f t="shared" si="4"/>
        <v>43176</v>
      </c>
      <c r="Q8" s="76">
        <f t="shared" si="4"/>
        <v>43177</v>
      </c>
    </row>
    <row r="9" spans="1:24" ht="20.100000000000001" customHeight="1">
      <c r="B9" s="78" t="s">
        <v>10</v>
      </c>
      <c r="C9" s="61">
        <f t="shared" ref="C9:I9" si="7">DATE(C2,11,15)</f>
        <v>41958</v>
      </c>
      <c r="D9" s="62">
        <f t="shared" si="7"/>
        <v>42323</v>
      </c>
      <c r="E9" s="62">
        <f t="shared" si="7"/>
        <v>42689</v>
      </c>
      <c r="F9" s="62">
        <f t="shared" si="7"/>
        <v>43054</v>
      </c>
      <c r="G9" s="62">
        <f t="shared" si="7"/>
        <v>43419</v>
      </c>
      <c r="H9" s="62">
        <f t="shared" si="7"/>
        <v>43784</v>
      </c>
      <c r="I9" s="63">
        <f t="shared" si="7"/>
        <v>44150</v>
      </c>
      <c r="J9" s="45"/>
      <c r="K9" s="76">
        <f>Q8+1</f>
        <v>43178</v>
      </c>
      <c r="L9" s="76">
        <f>K9+1</f>
        <v>43179</v>
      </c>
      <c r="M9" s="76">
        <f t="shared" ref="M9:Q11" si="8">L9+1</f>
        <v>43180</v>
      </c>
      <c r="N9" s="76">
        <f t="shared" si="8"/>
        <v>43181</v>
      </c>
      <c r="O9" s="76">
        <f t="shared" si="8"/>
        <v>43182</v>
      </c>
      <c r="P9" s="76">
        <f t="shared" si="8"/>
        <v>43183</v>
      </c>
      <c r="Q9" s="76">
        <f t="shared" si="8"/>
        <v>43184</v>
      </c>
    </row>
    <row r="10" spans="1:24" ht="20.100000000000001" customHeight="1">
      <c r="B10" s="78" t="s">
        <v>11</v>
      </c>
      <c r="C10" s="61">
        <f t="shared" ref="C10:I10" si="9">DATE(C2,12,25)</f>
        <v>41998</v>
      </c>
      <c r="D10" s="62">
        <f t="shared" si="9"/>
        <v>42363</v>
      </c>
      <c r="E10" s="62">
        <f t="shared" si="9"/>
        <v>42729</v>
      </c>
      <c r="F10" s="62">
        <f t="shared" si="9"/>
        <v>43094</v>
      </c>
      <c r="G10" s="62">
        <f t="shared" si="9"/>
        <v>43459</v>
      </c>
      <c r="H10" s="62">
        <f t="shared" si="9"/>
        <v>43824</v>
      </c>
      <c r="I10" s="63">
        <f t="shared" si="9"/>
        <v>44190</v>
      </c>
      <c r="J10" s="45"/>
      <c r="K10" s="76">
        <f>Q9+1</f>
        <v>43185</v>
      </c>
      <c r="L10" s="76">
        <f>K10+1</f>
        <v>43186</v>
      </c>
      <c r="M10" s="76">
        <f t="shared" si="8"/>
        <v>43187</v>
      </c>
      <c r="N10" s="76">
        <f t="shared" si="8"/>
        <v>43188</v>
      </c>
      <c r="O10" s="77">
        <f t="shared" si="8"/>
        <v>43189</v>
      </c>
      <c r="P10" s="77">
        <f t="shared" si="8"/>
        <v>43190</v>
      </c>
      <c r="Q10" s="77">
        <f t="shared" si="8"/>
        <v>43191</v>
      </c>
    </row>
    <row r="11" spans="1:24" ht="20.100000000000001" customHeight="1">
      <c r="B11" s="78" t="s">
        <v>12</v>
      </c>
      <c r="C11" s="64">
        <f t="shared" ref="C11:I11" si="10">DATE(C2,mes_1,dia_1)</f>
        <v>41800</v>
      </c>
      <c r="D11" s="65">
        <f t="shared" si="10"/>
        <v>42165</v>
      </c>
      <c r="E11" s="65">
        <f t="shared" si="10"/>
        <v>42531</v>
      </c>
      <c r="F11" s="65">
        <f t="shared" si="10"/>
        <v>42896</v>
      </c>
      <c r="G11" s="65">
        <f t="shared" si="10"/>
        <v>43261</v>
      </c>
      <c r="H11" s="65">
        <f t="shared" si="10"/>
        <v>43626</v>
      </c>
      <c r="I11" s="66">
        <f t="shared" si="10"/>
        <v>43992</v>
      </c>
      <c r="J11" s="45"/>
      <c r="K11" s="76">
        <f>Q10+1</f>
        <v>43192</v>
      </c>
      <c r="L11" s="76">
        <f>K11+1</f>
        <v>43193</v>
      </c>
      <c r="M11" s="76">
        <f t="shared" si="8"/>
        <v>43194</v>
      </c>
      <c r="N11" s="76">
        <f t="shared" si="8"/>
        <v>43195</v>
      </c>
      <c r="O11" s="77">
        <f t="shared" si="8"/>
        <v>43196</v>
      </c>
      <c r="P11" s="77">
        <f t="shared" si="8"/>
        <v>43197</v>
      </c>
      <c r="Q11" s="77">
        <f t="shared" si="8"/>
        <v>43198</v>
      </c>
    </row>
    <row r="12" spans="1:24" ht="20.100000000000001" customHeight="1">
      <c r="B12" s="78" t="s">
        <v>13</v>
      </c>
      <c r="C12" s="64">
        <f t="shared" ref="C12:I12" si="11">DATE(C2,mes_2,dia_2)</f>
        <v>41814</v>
      </c>
      <c r="D12" s="65">
        <f t="shared" si="11"/>
        <v>42179</v>
      </c>
      <c r="E12" s="65">
        <f t="shared" si="11"/>
        <v>42545</v>
      </c>
      <c r="F12" s="65">
        <f t="shared" si="11"/>
        <v>42910</v>
      </c>
      <c r="G12" s="65">
        <f t="shared" si="11"/>
        <v>43275</v>
      </c>
      <c r="H12" s="65">
        <f t="shared" si="11"/>
        <v>43640</v>
      </c>
      <c r="I12" s="66">
        <f t="shared" si="11"/>
        <v>44006</v>
      </c>
      <c r="J12" s="45"/>
      <c r="K12" s="76"/>
      <c r="L12" s="76"/>
      <c r="M12" s="76"/>
      <c r="N12" s="76"/>
      <c r="O12" s="77"/>
      <c r="P12" s="77"/>
      <c r="Q12" s="77"/>
    </row>
    <row r="13" spans="1:24" ht="20.100000000000001" customHeight="1">
      <c r="A13" s="6">
        <f>fsexta</f>
        <v>1</v>
      </c>
      <c r="B13" s="78" t="s">
        <v>14</v>
      </c>
      <c r="C13" s="67">
        <f t="shared" ref="C13:I13" si="12">IF($A$13=1,C18-2,$BC$115)</f>
        <v>41747</v>
      </c>
      <c r="D13" s="68">
        <f t="shared" si="12"/>
        <v>42097</v>
      </c>
      <c r="E13" s="68">
        <f t="shared" si="12"/>
        <v>42454</v>
      </c>
      <c r="F13" s="68">
        <f t="shared" si="12"/>
        <v>42839</v>
      </c>
      <c r="G13" s="68">
        <f t="shared" si="12"/>
        <v>43189</v>
      </c>
      <c r="H13" s="68">
        <f t="shared" si="12"/>
        <v>43574</v>
      </c>
      <c r="I13" s="69">
        <f t="shared" si="12"/>
        <v>43931</v>
      </c>
      <c r="J13" s="45"/>
      <c r="K13" s="46"/>
      <c r="L13" s="46"/>
      <c r="M13" s="46"/>
      <c r="N13" s="46"/>
      <c r="Q13" s="7"/>
      <c r="X13" s="82"/>
    </row>
    <row r="14" spans="1:24" ht="20.100000000000001" customHeight="1">
      <c r="A14" s="6">
        <f>fcorpus</f>
        <v>1</v>
      </c>
      <c r="B14" s="78" t="s">
        <v>15</v>
      </c>
      <c r="C14" s="67">
        <f t="shared" ref="C14:I14" si="13">IF($A$14=1,C18+60,$BC$115)</f>
        <v>41809</v>
      </c>
      <c r="D14" s="68">
        <f t="shared" si="13"/>
        <v>42159</v>
      </c>
      <c r="E14" s="68">
        <f t="shared" si="13"/>
        <v>42516</v>
      </c>
      <c r="F14" s="68">
        <f t="shared" si="13"/>
        <v>42901</v>
      </c>
      <c r="G14" s="68">
        <f t="shared" si="13"/>
        <v>43251</v>
      </c>
      <c r="H14" s="68">
        <f t="shared" si="13"/>
        <v>43636</v>
      </c>
      <c r="I14" s="69">
        <f t="shared" si="13"/>
        <v>43993</v>
      </c>
      <c r="J14" s="45"/>
      <c r="K14" s="46"/>
      <c r="L14" s="46"/>
      <c r="M14" s="46"/>
      <c r="N14" s="46"/>
    </row>
    <row r="15" spans="1:24" ht="20.100000000000001" customHeight="1">
      <c r="A15" s="6">
        <f>fcarnaval</f>
        <v>0</v>
      </c>
      <c r="B15" s="79" t="s">
        <v>16</v>
      </c>
      <c r="C15" s="70">
        <f t="shared" ref="C15:I15" si="14">IF($A$15=1,C18-47,$BC$115)</f>
        <v>1830</v>
      </c>
      <c r="D15" s="71">
        <f t="shared" si="14"/>
        <v>1830</v>
      </c>
      <c r="E15" s="71">
        <f t="shared" si="14"/>
        <v>1830</v>
      </c>
      <c r="F15" s="71">
        <f t="shared" si="14"/>
        <v>1830</v>
      </c>
      <c r="G15" s="71">
        <f t="shared" si="14"/>
        <v>1830</v>
      </c>
      <c r="H15" s="71">
        <f t="shared" si="14"/>
        <v>1830</v>
      </c>
      <c r="I15" s="72">
        <f t="shared" si="14"/>
        <v>1830</v>
      </c>
      <c r="J15" s="45"/>
      <c r="K15" s="483">
        <f ca="1">TODAY()</f>
        <v>43527</v>
      </c>
      <c r="L15" s="484"/>
      <c r="M15" s="484"/>
      <c r="N15" s="484"/>
      <c r="O15" s="484"/>
      <c r="P15" s="484"/>
      <c r="Q15" s="484"/>
    </row>
    <row r="18" spans="2:14" ht="20.100000000000001" customHeight="1">
      <c r="B18" s="80" t="s">
        <v>17</v>
      </c>
      <c r="C18" s="55">
        <f t="shared" ref="C18:I18" si="15">DATE(C2,IF((25-MOD((11*MOD(C2-1900,19)+4-INT((7*MOD(C2-1900,19)+1)/19)),29)-MOD(C2-1900+INT((C2-1900)/4)+31-MOD((11*MOD(C2-1900,19)+4-INT((7*MOD(C2-1900,19)+1)/19)),29),7))&gt;0,4,3),IF((25-MOD((11*MOD(C2-1900,19)+4-INT((7*MOD(C2-1900,19)+1)/19)),29)-MOD(C2-1900+INT((C2-1900)/4)+31-MOD((11*MOD(C2-1900,19)+4-INT((7*MOD(C2-1900,19)+1)/19)),29),7))&gt;0,(25-MOD((11*MOD(C2-1900,19)+4-INT((7*MOD(C2-1900,19)+1)/19)),29)-MOD(C2-1900+INT((C2-1900)/4)+31-MOD((11*MOD(C2-1900,19)+4-INT((7*MOD(C2-1900,19)+1)/19)),29),7)),31+(25-MOD((11*MOD(C2-1900,19)+4-INT((7*MOD(C2-1900,19)+1)/19)),29)-MOD(C2-1900+INT((C2-1900)/4)+31-MOD((11*MOD(C2-1900,19)+4-INT((7*MOD(C2-1900,19)+1)/19)),29),7))))</f>
        <v>41749</v>
      </c>
      <c r="D18" s="56">
        <f t="shared" si="15"/>
        <v>42099</v>
      </c>
      <c r="E18" s="56">
        <f t="shared" si="15"/>
        <v>42456</v>
      </c>
      <c r="F18" s="56">
        <f t="shared" si="15"/>
        <v>42841</v>
      </c>
      <c r="G18" s="56">
        <f t="shared" si="15"/>
        <v>43191</v>
      </c>
      <c r="H18" s="56">
        <f t="shared" si="15"/>
        <v>43576</v>
      </c>
      <c r="I18" s="57">
        <f t="shared" si="15"/>
        <v>43933</v>
      </c>
      <c r="J18" s="47"/>
      <c r="L18" s="48"/>
      <c r="M18" s="48"/>
      <c r="N18" s="48"/>
    </row>
    <row r="19" spans="2:14" ht="13.5">
      <c r="C19" s="8"/>
      <c r="D19" s="8"/>
      <c r="E19" s="8"/>
      <c r="F19" s="8"/>
      <c r="G19" s="8"/>
      <c r="H19" s="8"/>
      <c r="I19" s="8"/>
      <c r="J19" s="8"/>
      <c r="K19" s="112"/>
      <c r="L19" s="8"/>
      <c r="N19" s="8"/>
    </row>
    <row r="20" spans="2:14" ht="13.5">
      <c r="C20" s="8"/>
      <c r="D20" s="8"/>
      <c r="E20" s="8"/>
      <c r="F20" s="8"/>
      <c r="G20" s="8"/>
      <c r="H20" s="8"/>
      <c r="I20" s="8"/>
      <c r="J20" s="8"/>
      <c r="K20" s="8"/>
      <c r="L20" s="8"/>
      <c r="M20" s="113"/>
      <c r="N20" s="81"/>
    </row>
    <row r="21" spans="2:14" ht="15.95" customHeight="1">
      <c r="B21" s="30" t="s">
        <v>18</v>
      </c>
      <c r="C21" s="9" t="str">
        <f t="shared" ref="C21:I21" si="16">TEXT(C15,"ddd")</f>
        <v>ter</v>
      </c>
      <c r="D21" s="10" t="str">
        <f t="shared" si="16"/>
        <v>ter</v>
      </c>
      <c r="E21" s="10" t="str">
        <f t="shared" si="16"/>
        <v>ter</v>
      </c>
      <c r="F21" s="10" t="str">
        <f t="shared" si="16"/>
        <v>ter</v>
      </c>
      <c r="G21" s="10" t="str">
        <f t="shared" si="16"/>
        <v>ter</v>
      </c>
      <c r="H21" s="10" t="str">
        <f t="shared" si="16"/>
        <v>ter</v>
      </c>
      <c r="I21" s="49" t="str">
        <f t="shared" si="16"/>
        <v>ter</v>
      </c>
      <c r="J21" s="53"/>
      <c r="K21" s="54"/>
      <c r="L21" s="54"/>
      <c r="M21" s="54"/>
      <c r="N21" s="54"/>
    </row>
    <row r="22" spans="2:14" ht="15.95" customHeight="1">
      <c r="B22" s="31" t="s">
        <v>19</v>
      </c>
      <c r="C22" s="11" t="str">
        <f t="shared" ref="C22:I22" si="17">TEXT(C13,"ddd")</f>
        <v>sex</v>
      </c>
      <c r="D22" s="12" t="str">
        <f t="shared" si="17"/>
        <v>sex</v>
      </c>
      <c r="E22" s="12" t="str">
        <f t="shared" si="17"/>
        <v>sex</v>
      </c>
      <c r="F22" s="12" t="str">
        <f t="shared" si="17"/>
        <v>sex</v>
      </c>
      <c r="G22" s="12" t="str">
        <f t="shared" si="17"/>
        <v>sex</v>
      </c>
      <c r="H22" s="12" t="str">
        <f t="shared" si="17"/>
        <v>sex</v>
      </c>
      <c r="I22" s="50" t="str">
        <f t="shared" si="17"/>
        <v>sex</v>
      </c>
      <c r="J22" s="53"/>
      <c r="K22" s="54"/>
      <c r="L22" s="54"/>
      <c r="M22" s="54"/>
      <c r="N22" s="54"/>
    </row>
    <row r="23" spans="2:14" ht="15.95" customHeight="1">
      <c r="B23" s="32" t="s">
        <v>20</v>
      </c>
      <c r="C23" s="13" t="str">
        <f t="shared" ref="C23:I23" si="18">TEXT(C18,"ddd")</f>
        <v>dom</v>
      </c>
      <c r="D23" s="14" t="str">
        <f t="shared" si="18"/>
        <v>dom</v>
      </c>
      <c r="E23" s="14" t="str">
        <f t="shared" si="18"/>
        <v>dom</v>
      </c>
      <c r="F23" s="14" t="str">
        <f t="shared" si="18"/>
        <v>dom</v>
      </c>
      <c r="G23" s="14" t="str">
        <f t="shared" si="18"/>
        <v>dom</v>
      </c>
      <c r="H23" s="14" t="str">
        <f t="shared" si="18"/>
        <v>dom</v>
      </c>
      <c r="I23" s="51" t="str">
        <f t="shared" si="18"/>
        <v>dom</v>
      </c>
      <c r="J23" s="53"/>
      <c r="K23" s="54"/>
      <c r="L23" s="54"/>
      <c r="M23" s="54"/>
      <c r="N23" s="54"/>
    </row>
    <row r="24" spans="2:14" ht="15.95" customHeight="1">
      <c r="B24" s="33" t="s">
        <v>15</v>
      </c>
      <c r="C24" s="15" t="str">
        <f t="shared" ref="C24:I24" si="19">TEXT(C14,"ddd")</f>
        <v>qui</v>
      </c>
      <c r="D24" s="16" t="str">
        <f t="shared" si="19"/>
        <v>qui</v>
      </c>
      <c r="E24" s="16" t="str">
        <f t="shared" si="19"/>
        <v>qui</v>
      </c>
      <c r="F24" s="16" t="str">
        <f t="shared" si="19"/>
        <v>qui</v>
      </c>
      <c r="G24" s="16" t="str">
        <f t="shared" si="19"/>
        <v>qui</v>
      </c>
      <c r="H24" s="16" t="str">
        <f t="shared" si="19"/>
        <v>qui</v>
      </c>
      <c r="I24" s="52" t="str">
        <f t="shared" si="19"/>
        <v>qui</v>
      </c>
      <c r="J24" s="53"/>
      <c r="K24" s="54"/>
      <c r="L24" s="54"/>
      <c r="M24" s="54"/>
      <c r="N24" s="54"/>
    </row>
    <row r="26" spans="2:14" ht="15" customHeight="1">
      <c r="K26" s="29"/>
      <c r="L26" s="29"/>
      <c r="M26" s="29"/>
    </row>
    <row r="27" spans="2:14" ht="20.100000000000001" customHeight="1">
      <c r="B27" s="462" t="s">
        <v>21</v>
      </c>
      <c r="C27" s="463"/>
      <c r="D27" s="463"/>
      <c r="E27" s="463"/>
      <c r="F27" s="464"/>
      <c r="H27" s="468" t="s">
        <v>40</v>
      </c>
      <c r="I27" s="469"/>
      <c r="J27" s="470"/>
      <c r="K27" s="29"/>
      <c r="L27" s="29"/>
      <c r="M27" s="29"/>
    </row>
    <row r="28" spans="2:14" ht="20.100000000000001" customHeight="1">
      <c r="B28" s="34" t="s">
        <v>45</v>
      </c>
      <c r="C28" s="17"/>
      <c r="D28" s="17"/>
      <c r="E28" s="17"/>
      <c r="F28" s="18"/>
      <c r="H28" s="37" t="s">
        <v>3</v>
      </c>
      <c r="I28" s="37" t="s">
        <v>43</v>
      </c>
      <c r="J28" s="37" t="s">
        <v>44</v>
      </c>
      <c r="K28" s="29"/>
      <c r="L28" s="29"/>
      <c r="M28" s="29"/>
    </row>
    <row r="29" spans="2:14" ht="20.100000000000001" customHeight="1">
      <c r="B29" s="35" t="s">
        <v>46</v>
      </c>
      <c r="C29" s="3"/>
      <c r="D29" s="3"/>
      <c r="E29" s="3"/>
      <c r="F29" s="19"/>
      <c r="H29" s="38" t="s">
        <v>41</v>
      </c>
      <c r="I29" s="39">
        <v>6</v>
      </c>
      <c r="J29" s="39">
        <v>10</v>
      </c>
      <c r="K29" s="29"/>
      <c r="L29" s="29"/>
      <c r="M29" s="29"/>
    </row>
    <row r="30" spans="2:14" ht="20.100000000000001" customHeight="1">
      <c r="B30" s="35" t="s">
        <v>22</v>
      </c>
      <c r="C30" s="3"/>
      <c r="D30" s="3"/>
      <c r="E30" s="3"/>
      <c r="F30" s="19"/>
      <c r="H30" s="40" t="s">
        <v>42</v>
      </c>
      <c r="I30" s="41">
        <v>6</v>
      </c>
      <c r="J30" s="41">
        <v>24</v>
      </c>
    </row>
    <row r="31" spans="2:14" ht="20.100000000000001" customHeight="1">
      <c r="B31" s="35" t="s">
        <v>47</v>
      </c>
      <c r="C31" s="3"/>
      <c r="D31" s="3"/>
      <c r="E31" s="3"/>
      <c r="F31" s="19"/>
    </row>
    <row r="32" spans="2:14" ht="20.100000000000001" customHeight="1">
      <c r="B32" s="36" t="s">
        <v>48</v>
      </c>
      <c r="C32" s="20"/>
      <c r="D32" s="20"/>
      <c r="E32" s="20"/>
      <c r="F32" s="21"/>
    </row>
    <row r="35" spans="2:6" ht="18" customHeight="1">
      <c r="B35" s="22" t="s">
        <v>23</v>
      </c>
    </row>
    <row r="36" spans="2:6" ht="18" customHeight="1">
      <c r="B36" s="23" t="s">
        <v>24</v>
      </c>
    </row>
    <row r="39" spans="2:6" ht="32.1" customHeight="1">
      <c r="B39" s="24" t="s">
        <v>3</v>
      </c>
      <c r="C39" s="24" t="s">
        <v>25</v>
      </c>
      <c r="D39" s="465" t="s">
        <v>26</v>
      </c>
      <c r="E39" s="466"/>
      <c r="F39" s="467"/>
    </row>
    <row r="40" spans="2:6" ht="32.1" customHeight="1">
      <c r="B40" s="25" t="s">
        <v>27</v>
      </c>
      <c r="C40" s="26" t="s">
        <v>28</v>
      </c>
      <c r="D40" s="447" t="s">
        <v>29</v>
      </c>
      <c r="E40" s="448"/>
      <c r="F40" s="449"/>
    </row>
    <row r="41" spans="2:6" ht="32.1" customHeight="1">
      <c r="B41" s="27" t="s">
        <v>30</v>
      </c>
      <c r="C41" s="26" t="s">
        <v>28</v>
      </c>
      <c r="D41" s="444" t="s">
        <v>31</v>
      </c>
      <c r="E41" s="445"/>
      <c r="F41" s="446"/>
    </row>
    <row r="42" spans="2:6" ht="32.1" customHeight="1">
      <c r="B42" s="27" t="s">
        <v>32</v>
      </c>
      <c r="C42" s="26" t="s">
        <v>28</v>
      </c>
      <c r="D42" s="447" t="s">
        <v>29</v>
      </c>
      <c r="E42" s="448"/>
      <c r="F42" s="449"/>
    </row>
    <row r="43" spans="2:6" ht="32.1" customHeight="1">
      <c r="B43" s="25" t="s">
        <v>33</v>
      </c>
      <c r="C43" s="26" t="s">
        <v>28</v>
      </c>
      <c r="D43" s="447" t="s">
        <v>29</v>
      </c>
      <c r="E43" s="448"/>
      <c r="F43" s="449"/>
    </row>
    <row r="44" spans="2:6" ht="32.1" customHeight="1">
      <c r="B44" s="27" t="s">
        <v>34</v>
      </c>
      <c r="C44" s="26" t="s">
        <v>28</v>
      </c>
      <c r="D44" s="447" t="s">
        <v>35</v>
      </c>
      <c r="E44" s="448"/>
      <c r="F44" s="449"/>
    </row>
    <row r="45" spans="2:6" ht="32.1" customHeight="1">
      <c r="B45" s="27" t="s">
        <v>36</v>
      </c>
      <c r="C45" s="26" t="s">
        <v>28</v>
      </c>
      <c r="D45" s="444" t="s">
        <v>31</v>
      </c>
      <c r="E45" s="445"/>
      <c r="F45" s="446"/>
    </row>
    <row r="46" spans="2:6" ht="39.950000000000003" customHeight="1">
      <c r="B46" s="27" t="s">
        <v>37</v>
      </c>
      <c r="C46" s="26" t="s">
        <v>28</v>
      </c>
      <c r="D46" s="444" t="s">
        <v>38</v>
      </c>
      <c r="E46" s="445"/>
      <c r="F46" s="446"/>
    </row>
    <row r="47" spans="2:6" ht="32.1" customHeight="1">
      <c r="B47" s="27" t="s">
        <v>10</v>
      </c>
      <c r="C47" s="26" t="s">
        <v>28</v>
      </c>
      <c r="D47" s="447" t="s">
        <v>29</v>
      </c>
      <c r="E47" s="448"/>
      <c r="F47" s="449"/>
    </row>
    <row r="48" spans="2:6" ht="32.1" customHeight="1">
      <c r="B48" s="27" t="s">
        <v>39</v>
      </c>
      <c r="C48" s="26" t="s">
        <v>28</v>
      </c>
      <c r="D48" s="447" t="s">
        <v>29</v>
      </c>
      <c r="E48" s="448"/>
      <c r="F48" s="449"/>
    </row>
    <row r="49" spans="4:38" ht="24" customHeight="1"/>
    <row r="50" spans="4:38" ht="24" customHeight="1">
      <c r="D50" s="28"/>
      <c r="AK50" t="s">
        <v>67</v>
      </c>
      <c r="AL50" t="s">
        <v>68</v>
      </c>
    </row>
    <row r="51" spans="4:38" ht="24" customHeight="1">
      <c r="AK51" s="1">
        <f>DATE(anno,MATCH($Q$3,NMês,0),1)</f>
        <v>43160</v>
      </c>
      <c r="AL51" s="1">
        <f>DATE(anno,MATCH($M$3,Meses,0)+1,1)-1</f>
        <v>43190</v>
      </c>
    </row>
    <row r="52" spans="4:38" ht="24" customHeight="1">
      <c r="AK52" t="s">
        <v>55</v>
      </c>
      <c r="AL52">
        <v>1</v>
      </c>
    </row>
    <row r="53" spans="4:38">
      <c r="AK53" t="s">
        <v>56</v>
      </c>
      <c r="AL53">
        <v>2</v>
      </c>
    </row>
    <row r="54" spans="4:38">
      <c r="AK54" t="s">
        <v>57</v>
      </c>
      <c r="AL54">
        <v>3</v>
      </c>
    </row>
    <row r="55" spans="4:38">
      <c r="AK55" t="s">
        <v>58</v>
      </c>
      <c r="AL55">
        <v>4</v>
      </c>
    </row>
    <row r="56" spans="4:38">
      <c r="AK56" t="s">
        <v>59</v>
      </c>
      <c r="AL56">
        <v>5</v>
      </c>
    </row>
    <row r="57" spans="4:38">
      <c r="AK57" t="s">
        <v>60</v>
      </c>
      <c r="AL57">
        <v>6</v>
      </c>
    </row>
    <row r="58" spans="4:38">
      <c r="AK58" t="s">
        <v>61</v>
      </c>
      <c r="AL58">
        <v>7</v>
      </c>
    </row>
    <row r="59" spans="4:38">
      <c r="AK59" t="s">
        <v>62</v>
      </c>
      <c r="AL59">
        <v>8</v>
      </c>
    </row>
    <row r="60" spans="4:38">
      <c r="AK60" t="s">
        <v>63</v>
      </c>
      <c r="AL60">
        <v>9</v>
      </c>
    </row>
    <row r="61" spans="4:38">
      <c r="AK61" t="s">
        <v>64</v>
      </c>
      <c r="AL61">
        <v>10</v>
      </c>
    </row>
    <row r="62" spans="4:38">
      <c r="AK62" t="s">
        <v>65</v>
      </c>
      <c r="AL62">
        <v>11</v>
      </c>
    </row>
    <row r="63" spans="4:38">
      <c r="AK63" t="s">
        <v>66</v>
      </c>
      <c r="AL63">
        <v>12</v>
      </c>
    </row>
    <row r="98" spans="3:4">
      <c r="C98" s="2"/>
    </row>
    <row r="100" spans="3:4">
      <c r="C100" s="2" t="b">
        <v>1</v>
      </c>
      <c r="D100">
        <f>IF(C100=TRUE,1,0)</f>
        <v>1</v>
      </c>
    </row>
    <row r="101" spans="3:4">
      <c r="C101" s="2" t="b">
        <v>1</v>
      </c>
      <c r="D101">
        <f>IF(C101=TRUE,1,0)</f>
        <v>1</v>
      </c>
    </row>
    <row r="102" spans="3:4">
      <c r="C102" s="2" t="b">
        <v>0</v>
      </c>
      <c r="D102">
        <f>IF(C102=TRUE,1,0)</f>
        <v>0</v>
      </c>
    </row>
    <row r="112" spans="3:4">
      <c r="C112" t="b">
        <v>1</v>
      </c>
    </row>
    <row r="115" spans="55:55">
      <c r="BC115" s="1">
        <v>1830</v>
      </c>
    </row>
  </sheetData>
  <mergeCells count="19">
    <mergeCell ref="S6:U6"/>
    <mergeCell ref="K1:Q2"/>
    <mergeCell ref="B1:I1"/>
    <mergeCell ref="B27:F27"/>
    <mergeCell ref="D40:F40"/>
    <mergeCell ref="D39:F39"/>
    <mergeCell ref="H27:J27"/>
    <mergeCell ref="M3:P4"/>
    <mergeCell ref="K3:L4"/>
    <mergeCell ref="Q3:Q4"/>
    <mergeCell ref="K15:Q15"/>
    <mergeCell ref="D46:F46"/>
    <mergeCell ref="D47:F47"/>
    <mergeCell ref="D48:F48"/>
    <mergeCell ref="D41:F41"/>
    <mergeCell ref="D42:F42"/>
    <mergeCell ref="D43:F43"/>
    <mergeCell ref="D44:F44"/>
    <mergeCell ref="D45:F45"/>
  </mergeCells>
  <phoneticPr fontId="2" type="noConversion"/>
  <conditionalFormatting sqref="K13:K14">
    <cfRule type="expression" dxfId="17" priority="5" stopIfTrue="1">
      <formula>$K13=$BC$115</formula>
    </cfRule>
  </conditionalFormatting>
  <conditionalFormatting sqref="L13:L14">
    <cfRule type="expression" dxfId="16" priority="6" stopIfTrue="1">
      <formula>$L13=$BC$115</formula>
    </cfRule>
  </conditionalFormatting>
  <conditionalFormatting sqref="M13:M14">
    <cfRule type="expression" dxfId="15" priority="7" stopIfTrue="1">
      <formula>$M13=$BC$115</formula>
    </cfRule>
  </conditionalFormatting>
  <conditionalFormatting sqref="N13:N14">
    <cfRule type="expression" dxfId="14" priority="8" stopIfTrue="1">
      <formula>$N13=$BC$115</formula>
    </cfRule>
  </conditionalFormatting>
  <conditionalFormatting sqref="C13:C14 C15:K15">
    <cfRule type="expression" dxfId="13" priority="9" stopIfTrue="1">
      <formula>$C13=$BC$115</formula>
    </cfRule>
  </conditionalFormatting>
  <conditionalFormatting sqref="D13:D14">
    <cfRule type="expression" dxfId="12" priority="10" stopIfTrue="1">
      <formula>$D13=$BC$115</formula>
    </cfRule>
  </conditionalFormatting>
  <conditionalFormatting sqref="E13:E14">
    <cfRule type="expression" dxfId="11" priority="11" stopIfTrue="1">
      <formula>$E13=$BC$115</formula>
    </cfRule>
  </conditionalFormatting>
  <conditionalFormatting sqref="F13:F14">
    <cfRule type="expression" dxfId="10" priority="12" stopIfTrue="1">
      <formula>$F13=$BC$115</formula>
    </cfRule>
  </conditionalFormatting>
  <conditionalFormatting sqref="G13:G14">
    <cfRule type="expression" dxfId="9" priority="13" stopIfTrue="1">
      <formula>$G13=$BC$115</formula>
    </cfRule>
  </conditionalFormatting>
  <conditionalFormatting sqref="H13:H14">
    <cfRule type="expression" dxfId="8" priority="14" stopIfTrue="1">
      <formula>$H13=$BC$115</formula>
    </cfRule>
  </conditionalFormatting>
  <conditionalFormatting sqref="I13:I14">
    <cfRule type="expression" dxfId="7" priority="15" stopIfTrue="1">
      <formula>$I13=$BC$115</formula>
    </cfRule>
  </conditionalFormatting>
  <conditionalFormatting sqref="J13:J14">
    <cfRule type="expression" dxfId="6" priority="16" stopIfTrue="1">
      <formula>$J13=$BC$115</formula>
    </cfRule>
  </conditionalFormatting>
  <conditionalFormatting sqref="U7">
    <cfRule type="cellIs" dxfId="5" priority="1" stopIfTrue="1" operator="notBetween">
      <formula>$AK$51</formula>
      <formula>$AL$51</formula>
    </cfRule>
    <cfRule type="cellIs" dxfId="4" priority="2" stopIfTrue="1" operator="equal">
      <formula>TODAY()</formula>
    </cfRule>
    <cfRule type="expression" dxfId="3" priority="3">
      <formula>COUNTIF(Fer,U7)</formula>
    </cfRule>
  </conditionalFormatting>
  <conditionalFormatting sqref="K6:Q12">
    <cfRule type="cellIs" dxfId="2" priority="4" stopIfTrue="1" operator="notBetween">
      <formula>$AK$51</formula>
      <formula>$AL$51</formula>
    </cfRule>
    <cfRule type="cellIs" dxfId="1" priority="17" stopIfTrue="1" operator="equal">
      <formula>TODAY()</formula>
    </cfRule>
    <cfRule type="expression" dxfId="0" priority="18">
      <formula>COUNTIF(Fer,K6)</formula>
    </cfRule>
  </conditionalFormatting>
  <dataValidations count="1">
    <dataValidation type="textLength" operator="equal" allowBlank="1" showInputMessage="1" showErrorMessage="1" sqref="C3:I15 K15:Q15 C21:I24 C18:I18 S7:W7" xr:uid="{00000000-0002-0000-0200-000000000000}">
      <formula1>9999</formula1>
    </dataValidation>
  </dataValidations>
  <hyperlinks>
    <hyperlink ref="B36" r:id="rId1" xr:uid="{00000000-0004-0000-0200-000000000000}"/>
  </hyperlinks>
  <pageMargins left="0.78740157499999996" right="0.78740157499999996" top="0.984251969" bottom="0.984251969" header="0.49212598499999999" footer="0.49212598499999999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Group Box 1">
              <controlPr defaultSize="0" autoFill="0" autoPict="0">
                <anchor moveWithCells="1">
                  <from>
                    <xdr:col>10</xdr:col>
                    <xdr:colOff>419100</xdr:colOff>
                    <xdr:row>25</xdr:row>
                    <xdr:rowOff>0</xdr:rowOff>
                  </from>
                  <to>
                    <xdr:col>13</xdr:col>
                    <xdr:colOff>85725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autoFill="0" autoLine="0" autoPict="0">
                <anchor moveWithCells="1">
                  <from>
                    <xdr:col>10</xdr:col>
                    <xdr:colOff>428625</xdr:colOff>
                    <xdr:row>26</xdr:row>
                    <xdr:rowOff>9525</xdr:rowOff>
                  </from>
                  <to>
                    <xdr:col>12</xdr:col>
                    <xdr:colOff>400050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Check Box 4">
              <controlPr defaultSize="0" autoFill="0" autoLine="0" autoPict="0">
                <anchor moveWithCells="1">
                  <from>
                    <xdr:col>10</xdr:col>
                    <xdr:colOff>438150</xdr:colOff>
                    <xdr:row>27</xdr:row>
                    <xdr:rowOff>9525</xdr:rowOff>
                  </from>
                  <to>
                    <xdr:col>12</xdr:col>
                    <xdr:colOff>400050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Check Box 5">
              <controlPr defaultSize="0" autoFill="0" autoLine="0" autoPict="0">
                <anchor moveWithCells="1">
                  <from>
                    <xdr:col>10</xdr:col>
                    <xdr:colOff>447675</xdr:colOff>
                    <xdr:row>28</xdr:row>
                    <xdr:rowOff>0</xdr:rowOff>
                  </from>
                  <to>
                    <xdr:col>12</xdr:col>
                    <xdr:colOff>523875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9" name="Spinner 8">
              <controlPr defaultSize="0" autoPict="0">
                <anchor moveWithCells="1" sizeWithCells="1"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0" name="Spinner 9">
              <controlPr defaultSize="0" autoPict="0">
                <anchor moveWithCells="1" sizeWithCells="1">
                  <from>
                    <xdr:col>16</xdr:col>
                    <xdr:colOff>9525</xdr:colOff>
                    <xdr:row>2</xdr:row>
                    <xdr:rowOff>19050</xdr:rowOff>
                  </from>
                  <to>
                    <xdr:col>17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>
    <tabColor rgb="FF00B050"/>
  </sheetPr>
  <dimension ref="B3:M43"/>
  <sheetViews>
    <sheetView showGridLines="0" workbookViewId="0">
      <selection activeCell="P28" sqref="P28"/>
    </sheetView>
  </sheetViews>
  <sheetFormatPr defaultRowHeight="12.75"/>
  <cols>
    <col min="2" max="2" width="12.28515625" customWidth="1"/>
  </cols>
  <sheetData>
    <row r="3" spans="2:2" ht="15.75">
      <c r="B3" s="86" t="s">
        <v>95</v>
      </c>
    </row>
    <row r="4" spans="2:2">
      <c r="B4" s="84"/>
    </row>
    <row r="5" spans="2:2">
      <c r="B5" s="85" t="s">
        <v>80</v>
      </c>
    </row>
    <row r="6" spans="2:2">
      <c r="B6" s="84"/>
    </row>
    <row r="7" spans="2:2">
      <c r="B7" s="85" t="s">
        <v>81</v>
      </c>
    </row>
    <row r="8" spans="2:2">
      <c r="B8" s="84"/>
    </row>
    <row r="9" spans="2:2">
      <c r="B9" s="85" t="s">
        <v>82</v>
      </c>
    </row>
    <row r="10" spans="2:2">
      <c r="B10" s="84"/>
    </row>
    <row r="11" spans="2:2" ht="15.75">
      <c r="B11" s="86" t="s">
        <v>96</v>
      </c>
    </row>
    <row r="12" spans="2:2">
      <c r="B12" s="84"/>
    </row>
    <row r="13" spans="2:2">
      <c r="B13" s="85" t="s">
        <v>83</v>
      </c>
    </row>
    <row r="14" spans="2:2">
      <c r="B14" s="84"/>
    </row>
    <row r="15" spans="2:2">
      <c r="B15" s="85" t="s">
        <v>84</v>
      </c>
    </row>
    <row r="16" spans="2:2">
      <c r="B16" s="84"/>
    </row>
    <row r="17" spans="2:2">
      <c r="B17" s="85" t="s">
        <v>85</v>
      </c>
    </row>
    <row r="18" spans="2:2">
      <c r="B18" s="84"/>
    </row>
    <row r="19" spans="2:2">
      <c r="B19" s="85" t="s">
        <v>86</v>
      </c>
    </row>
    <row r="20" spans="2:2">
      <c r="B20" s="84"/>
    </row>
    <row r="21" spans="2:2">
      <c r="B21" s="85" t="s">
        <v>87</v>
      </c>
    </row>
    <row r="22" spans="2:2">
      <c r="B22" s="84"/>
    </row>
    <row r="23" spans="2:2">
      <c r="B23" s="85" t="s">
        <v>88</v>
      </c>
    </row>
    <row r="24" spans="2:2">
      <c r="B24" s="84"/>
    </row>
    <row r="25" spans="2:2">
      <c r="B25" s="85" t="s">
        <v>89</v>
      </c>
    </row>
    <row r="26" spans="2:2">
      <c r="B26" s="84"/>
    </row>
    <row r="27" spans="2:2">
      <c r="B27" s="85" t="s">
        <v>90</v>
      </c>
    </row>
    <row r="28" spans="2:2">
      <c r="B28" s="84"/>
    </row>
    <row r="29" spans="2:2">
      <c r="B29" s="85" t="s">
        <v>91</v>
      </c>
    </row>
    <row r="30" spans="2:2">
      <c r="B30" s="84"/>
    </row>
    <row r="31" spans="2:2">
      <c r="B31" s="85" t="s">
        <v>92</v>
      </c>
    </row>
    <row r="32" spans="2:2">
      <c r="B32" s="84"/>
    </row>
    <row r="33" spans="2:13">
      <c r="B33" s="85" t="s">
        <v>93</v>
      </c>
    </row>
    <row r="34" spans="2:13">
      <c r="B34" s="84"/>
    </row>
    <row r="35" spans="2:13">
      <c r="B35" s="85" t="s">
        <v>94</v>
      </c>
    </row>
    <row r="36" spans="2:13">
      <c r="B36" s="84"/>
    </row>
    <row r="37" spans="2:13" ht="15.75">
      <c r="B37" s="86"/>
    </row>
    <row r="38" spans="2:13">
      <c r="B38" s="84"/>
      <c r="J38" s="87"/>
    </row>
    <row r="39" spans="2:13">
      <c r="B39" s="84"/>
      <c r="J39" s="83"/>
      <c r="M39" s="82"/>
    </row>
    <row r="40" spans="2:13">
      <c r="B40" s="84"/>
      <c r="J40" s="83"/>
    </row>
    <row r="41" spans="2:13">
      <c r="B41" s="84"/>
      <c r="J41" s="83"/>
    </row>
    <row r="42" spans="2:13">
      <c r="B42" s="84"/>
      <c r="J42" s="83"/>
    </row>
    <row r="43" spans="2:13">
      <c r="B43" s="84"/>
      <c r="J43" s="83"/>
    </row>
  </sheetData>
  <hyperlinks>
    <hyperlink ref="B5" r:id="rId1" location="7XXI" display="http://www.planalto.gov.br/ccivil_03/Constituicao/Constituicao.htm - 7XXI" xr:uid="{00000000-0004-0000-0300-000000000000}"/>
    <hyperlink ref="B7" r:id="rId2" location="art487" display="http://www.planalto.gov.br/ccivil_03/Decreto-Lei/Del5452.htm - art487" xr:uid="{00000000-0004-0000-0300-000001000000}"/>
    <hyperlink ref="B9" r:id="rId3" display="http://www.planalto.gov.br/CCIVIL_03/_Ato2011-2014/2011/Lei/L12506.htm" xr:uid="{00000000-0004-0000-0300-000002000000}"/>
    <hyperlink ref="B13" r:id="rId4" location="SUM-163" display="http://www3.tst.jus.br/jurisprudencia/Sumulas_com_indice/Sumulas_Ind_151_200.html - SUM-163" xr:uid="{00000000-0004-0000-0300-000003000000}"/>
    <hyperlink ref="B15" r:id="rId5" location="SUM-182" display="http://www3.tst.jus.br/jurisprudencia/Sumulas_com_indice/Sumulas_Ind_151_200.html - SUM-182" xr:uid="{00000000-0004-0000-0300-000004000000}"/>
    <hyperlink ref="B17" r:id="rId6" location="SUM-230" display="http://www3.tst.jus.br/jurisprudencia/Sumulas_com_indice/Sumulas_Ind_201_250.html - SUM-230" xr:uid="{00000000-0004-0000-0300-000005000000}"/>
    <hyperlink ref="B19" r:id="rId7" location="SUM-276" display="http://www3.tst.jus.br/jurisprudencia/Sumulas_com_indice/Sumulas_Ind_251_300.html - SUM-276" xr:uid="{00000000-0004-0000-0300-000006000000}"/>
    <hyperlink ref="B21" r:id="rId8" location="SUM-305" display="http://www3.tst.jus.br/jurisprudencia/Sumulas_com_indice/Sumulas_Ind_301_350.html - SUM-305" xr:uid="{00000000-0004-0000-0300-000007000000}"/>
    <hyperlink ref="B23" r:id="rId9" location="SUM-348" display="http://www3.tst.jus.br/jurisprudencia/Sumulas_com_indice/Sumulas_Ind_301_350.html - SUM-348" xr:uid="{00000000-0004-0000-0300-000008000000}"/>
    <hyperlink ref="B25" r:id="rId10" location="SUM-371" display="http://www3.tst.jus.br/jurisprudencia/Sumulas_com_indice/Sumulas_Ind_351_400.html - SUM-371" xr:uid="{00000000-0004-0000-0300-000009000000}"/>
    <hyperlink ref="B27" r:id="rId11" location="SUM-380" display="http://www3.tst.jus.br/jurisprudencia/Sumulas_com_indice/Sumulas_Ind_351_400.html - SUM-380" xr:uid="{00000000-0004-0000-0300-00000A000000}"/>
    <hyperlink ref="B29" r:id="rId12" location="SUM-441" display="http://www3.tst.jus.br/jurisprudencia/Sumulas_com_indice/Sumulas_Ind_401_450.html - SUM-441" xr:uid="{00000000-0004-0000-0300-00000B000000}"/>
    <hyperlink ref="B31" r:id="rId13" location="TEMA14" display="http://www3.tst.jus.br/jurisprudencia/OJ_SDI_1/n_s1_001.htm - TEMA14" xr:uid="{00000000-0004-0000-0300-00000C000000}"/>
    <hyperlink ref="B33" r:id="rId14" location="TEMA82" display="http://www3.tst.jus.br/jurisprudencia/OJ_SDI_1/n_s1_081.htm - TEMA82" xr:uid="{00000000-0004-0000-0300-00000D000000}"/>
    <hyperlink ref="B35" r:id="rId15" location="TEMA367" display="http://www3.tst.jus.br/jurisprudencia/OJ_SDI_1/n_s1_361.htm - TEMA367" xr:uid="{00000000-0004-0000-0300-00000E000000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31</vt:i4>
      </vt:variant>
    </vt:vector>
  </HeadingPairs>
  <TitlesOfParts>
    <vt:vector size="35" baseType="lpstr">
      <vt:lpstr>Início</vt:lpstr>
      <vt:lpstr>Cálculos</vt:lpstr>
      <vt:lpstr>Feriados</vt:lpstr>
      <vt:lpstr>Links</vt:lpstr>
      <vt:lpstr>_aviso</vt:lpstr>
      <vt:lpstr>_prescrição</vt:lpstr>
      <vt:lpstr>_prescriçãototal</vt:lpstr>
      <vt:lpstr>admissão</vt:lpstr>
      <vt:lpstr>anno</vt:lpstr>
      <vt:lpstr>ano</vt:lpstr>
      <vt:lpstr>ap</vt:lpstr>
      <vt:lpstr>ap_proporcional</vt:lpstr>
      <vt:lpstr>Cálculos!Area_de_impressao</vt:lpstr>
      <vt:lpstr>aviso1ano</vt:lpstr>
      <vt:lpstr>aviso1anopro</vt:lpstr>
      <vt:lpstr>data_ajuiza</vt:lpstr>
      <vt:lpstr>data_limpagto</vt:lpstr>
      <vt:lpstr>data_pg</vt:lpstr>
      <vt:lpstr>datacom</vt:lpstr>
      <vt:lpstr>dia_1</vt:lpstr>
      <vt:lpstr>dia_2</vt:lpstr>
      <vt:lpstr>dispensa</vt:lpstr>
      <vt:lpstr>fcarnaval</vt:lpstr>
      <vt:lpstr>fcorpus</vt:lpstr>
      <vt:lpstr>Fer</vt:lpstr>
      <vt:lpstr>fsexta</vt:lpstr>
      <vt:lpstr>mes_1</vt:lpstr>
      <vt:lpstr>mes_2</vt:lpstr>
      <vt:lpstr>Meses</vt:lpstr>
      <vt:lpstr>NMês</vt:lpstr>
      <vt:lpstr>PDia</vt:lpstr>
      <vt:lpstr>remuneração</vt:lpstr>
      <vt:lpstr>UDia</vt:lpstr>
      <vt:lpstr>ultimo_diaano</vt:lpstr>
      <vt:lpstr>ultimo_diatrab</vt:lpstr>
    </vt:vector>
  </TitlesOfParts>
  <Company>PARTICULAR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Gilberto</dc:creator>
  <cp:lastModifiedBy>Gilberto</cp:lastModifiedBy>
  <cp:lastPrinted>2019-02-19T02:52:05Z</cp:lastPrinted>
  <dcterms:created xsi:type="dcterms:W3CDTF">2012-02-19T10:25:30Z</dcterms:created>
  <dcterms:modified xsi:type="dcterms:W3CDTF">2019-03-03T08:27:10Z</dcterms:modified>
</cp:coreProperties>
</file>