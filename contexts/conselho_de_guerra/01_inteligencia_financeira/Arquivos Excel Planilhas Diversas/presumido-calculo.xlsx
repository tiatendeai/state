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2427ae79c2e27/Documents/Contabilidade Tributária/"/>
    </mc:Choice>
  </mc:AlternateContent>
  <xr:revisionPtr revIDLastSave="0" documentId="8_{F2AF562F-81BB-478A-9EDB-D94D57CD31C5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COMBUSTIVEL 1,6%" sheetId="1" r:id="rId1"/>
    <sheet name="COMERCIO 8%" sheetId="4" r:id="rId2"/>
    <sheet name="SERVIÇOS 16%" sheetId="5" r:id="rId3"/>
    <sheet name="SERVIÇOS 32% 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5" i="6" l="1"/>
  <c r="J24" i="6"/>
  <c r="J23" i="6"/>
  <c r="J19" i="6"/>
  <c r="J18" i="6"/>
  <c r="J17" i="6"/>
  <c r="J13" i="6"/>
  <c r="J12" i="6"/>
  <c r="J11" i="6"/>
  <c r="J7" i="6"/>
  <c r="J6" i="6"/>
  <c r="J5" i="6"/>
  <c r="B26" i="6"/>
  <c r="H25" i="6"/>
  <c r="E25" i="6"/>
  <c r="C25" i="6"/>
  <c r="H24" i="6"/>
  <c r="E24" i="6"/>
  <c r="C24" i="6"/>
  <c r="H23" i="6"/>
  <c r="E23" i="6"/>
  <c r="C23" i="6"/>
  <c r="B20" i="6"/>
  <c r="J20" i="6" s="1"/>
  <c r="H19" i="6"/>
  <c r="E19" i="6"/>
  <c r="C19" i="6"/>
  <c r="H18" i="6"/>
  <c r="E18" i="6"/>
  <c r="C18" i="6"/>
  <c r="H17" i="6"/>
  <c r="E17" i="6"/>
  <c r="C17" i="6"/>
  <c r="B14" i="6"/>
  <c r="J14" i="6" s="1"/>
  <c r="H13" i="6"/>
  <c r="E13" i="6"/>
  <c r="C13" i="6"/>
  <c r="H12" i="6"/>
  <c r="E12" i="6"/>
  <c r="C12" i="6"/>
  <c r="H11" i="6"/>
  <c r="E11" i="6"/>
  <c r="C11" i="6"/>
  <c r="B8" i="6"/>
  <c r="J8" i="6" s="1"/>
  <c r="H7" i="6"/>
  <c r="E7" i="6"/>
  <c r="C7" i="6"/>
  <c r="H6" i="6"/>
  <c r="E6" i="6"/>
  <c r="C6" i="6"/>
  <c r="H5" i="6"/>
  <c r="E5" i="6"/>
  <c r="C5" i="6"/>
  <c r="J25" i="5"/>
  <c r="J24" i="5"/>
  <c r="J23" i="5"/>
  <c r="J19" i="5"/>
  <c r="J18" i="5"/>
  <c r="J17" i="5"/>
  <c r="J13" i="5"/>
  <c r="J12" i="5"/>
  <c r="J11" i="5"/>
  <c r="J7" i="5"/>
  <c r="J6" i="5"/>
  <c r="J5" i="5"/>
  <c r="B26" i="5"/>
  <c r="H25" i="5"/>
  <c r="E25" i="5"/>
  <c r="C25" i="5"/>
  <c r="H24" i="5"/>
  <c r="E24" i="5"/>
  <c r="C24" i="5"/>
  <c r="H23" i="5"/>
  <c r="E23" i="5"/>
  <c r="C23" i="5"/>
  <c r="B20" i="5"/>
  <c r="J20" i="5" s="1"/>
  <c r="H19" i="5"/>
  <c r="E19" i="5"/>
  <c r="C19" i="5"/>
  <c r="H18" i="5"/>
  <c r="E18" i="5"/>
  <c r="C18" i="5"/>
  <c r="H17" i="5"/>
  <c r="E17" i="5"/>
  <c r="C17" i="5"/>
  <c r="B14" i="5"/>
  <c r="J14" i="5" s="1"/>
  <c r="H13" i="5"/>
  <c r="E13" i="5"/>
  <c r="C13" i="5"/>
  <c r="H12" i="5"/>
  <c r="E12" i="5"/>
  <c r="C12" i="5"/>
  <c r="H11" i="5"/>
  <c r="E11" i="5"/>
  <c r="C11" i="5"/>
  <c r="B8" i="5"/>
  <c r="J8" i="5" s="1"/>
  <c r="H7" i="5"/>
  <c r="E7" i="5"/>
  <c r="C7" i="5"/>
  <c r="H6" i="5"/>
  <c r="E6" i="5"/>
  <c r="C6" i="5"/>
  <c r="H5" i="5"/>
  <c r="E5" i="5"/>
  <c r="C5" i="5"/>
  <c r="J25" i="1"/>
  <c r="J24" i="1"/>
  <c r="J23" i="1"/>
  <c r="J19" i="1"/>
  <c r="J18" i="1"/>
  <c r="J17" i="1"/>
  <c r="J13" i="1"/>
  <c r="J12" i="1"/>
  <c r="J11" i="1"/>
  <c r="J7" i="1"/>
  <c r="J6" i="1"/>
  <c r="J5" i="1"/>
  <c r="B26" i="4"/>
  <c r="J25" i="4"/>
  <c r="H25" i="4"/>
  <c r="E25" i="4"/>
  <c r="C25" i="4"/>
  <c r="J24" i="4"/>
  <c r="H24" i="4"/>
  <c r="E24" i="4"/>
  <c r="C24" i="4"/>
  <c r="J23" i="4"/>
  <c r="J27" i="4" s="1"/>
  <c r="F39" i="4" s="1"/>
  <c r="H23" i="4"/>
  <c r="H26" i="4" s="1"/>
  <c r="F38" i="4" s="1"/>
  <c r="E23" i="4"/>
  <c r="E26" i="4" s="1"/>
  <c r="F37" i="4" s="1"/>
  <c r="C23" i="4"/>
  <c r="C26" i="4" s="1"/>
  <c r="F36" i="4" s="1"/>
  <c r="B20" i="4"/>
  <c r="J20" i="4" s="1"/>
  <c r="J19" i="4"/>
  <c r="H19" i="4"/>
  <c r="E19" i="4"/>
  <c r="C19" i="4"/>
  <c r="J18" i="4"/>
  <c r="H18" i="4"/>
  <c r="E18" i="4"/>
  <c r="C18" i="4"/>
  <c r="J17" i="4"/>
  <c r="J21" i="4" s="1"/>
  <c r="E39" i="4" s="1"/>
  <c r="H17" i="4"/>
  <c r="H20" i="4" s="1"/>
  <c r="E38" i="4" s="1"/>
  <c r="E17" i="4"/>
  <c r="E20" i="4" s="1"/>
  <c r="E37" i="4" s="1"/>
  <c r="C17" i="4"/>
  <c r="C20" i="4" s="1"/>
  <c r="E36" i="4" s="1"/>
  <c r="B14" i="4"/>
  <c r="J14" i="4" s="1"/>
  <c r="J13" i="4"/>
  <c r="H13" i="4"/>
  <c r="E13" i="4"/>
  <c r="C13" i="4"/>
  <c r="J12" i="4"/>
  <c r="H12" i="4"/>
  <c r="E12" i="4"/>
  <c r="C12" i="4"/>
  <c r="J11" i="4"/>
  <c r="J15" i="4" s="1"/>
  <c r="D39" i="4" s="1"/>
  <c r="H11" i="4"/>
  <c r="H14" i="4" s="1"/>
  <c r="D38" i="4" s="1"/>
  <c r="E11" i="4"/>
  <c r="E14" i="4" s="1"/>
  <c r="D37" i="4" s="1"/>
  <c r="C11" i="4"/>
  <c r="C14" i="4" s="1"/>
  <c r="D36" i="4" s="1"/>
  <c r="B8" i="4"/>
  <c r="J8" i="4" s="1"/>
  <c r="J7" i="4"/>
  <c r="H7" i="4"/>
  <c r="E7" i="4"/>
  <c r="C7" i="4"/>
  <c r="J6" i="4"/>
  <c r="H6" i="4"/>
  <c r="E6" i="4"/>
  <c r="C6" i="4"/>
  <c r="J5" i="4"/>
  <c r="H5" i="4"/>
  <c r="H8" i="4" s="1"/>
  <c r="C38" i="4" s="1"/>
  <c r="E5" i="4"/>
  <c r="E8" i="4" s="1"/>
  <c r="C37" i="4" s="1"/>
  <c r="C5" i="4"/>
  <c r="E25" i="1"/>
  <c r="E24" i="1"/>
  <c r="E23" i="1"/>
  <c r="E19" i="1"/>
  <c r="E18" i="1"/>
  <c r="E17" i="1"/>
  <c r="E13" i="1"/>
  <c r="E12" i="1"/>
  <c r="E11" i="1"/>
  <c r="E7" i="1"/>
  <c r="E6" i="1"/>
  <c r="E5" i="1"/>
  <c r="B14" i="1"/>
  <c r="J14" i="1" s="1"/>
  <c r="H25" i="1"/>
  <c r="H24" i="1"/>
  <c r="H23" i="1"/>
  <c r="H19" i="1"/>
  <c r="H18" i="1"/>
  <c r="H17" i="1"/>
  <c r="H13" i="1"/>
  <c r="H12" i="1"/>
  <c r="H11" i="1"/>
  <c r="H7" i="1"/>
  <c r="H6" i="1"/>
  <c r="H5" i="1"/>
  <c r="B26" i="1"/>
  <c r="J26" i="1" s="1"/>
  <c r="B20" i="1"/>
  <c r="J20" i="1" s="1"/>
  <c r="B8" i="1"/>
  <c r="J8" i="1" s="1"/>
  <c r="C25" i="1"/>
  <c r="C24" i="1"/>
  <c r="C23" i="1"/>
  <c r="C19" i="1"/>
  <c r="C18" i="1"/>
  <c r="C17" i="1"/>
  <c r="C13" i="1"/>
  <c r="C12" i="1"/>
  <c r="C11" i="1"/>
  <c r="C6" i="1"/>
  <c r="C7" i="1"/>
  <c r="C5" i="1"/>
  <c r="H8" i="1" l="1"/>
  <c r="C38" i="1" s="1"/>
  <c r="H26" i="1"/>
  <c r="F38" i="1" s="1"/>
  <c r="C8" i="5"/>
  <c r="C36" i="5" s="1"/>
  <c r="C8" i="4"/>
  <c r="C36" i="4" s="1"/>
  <c r="C20" i="1"/>
  <c r="E36" i="1" s="1"/>
  <c r="C8" i="1"/>
  <c r="C36" i="1" s="1"/>
  <c r="H14" i="1"/>
  <c r="D38" i="1" s="1"/>
  <c r="H8" i="5"/>
  <c r="C38" i="5" s="1"/>
  <c r="J9" i="4"/>
  <c r="C39" i="4" s="1"/>
  <c r="C14" i="5"/>
  <c r="D36" i="5" s="1"/>
  <c r="H14" i="5"/>
  <c r="D38" i="5" s="1"/>
  <c r="C20" i="5"/>
  <c r="E36" i="5" s="1"/>
  <c r="G36" i="5" s="1"/>
  <c r="H20" i="5"/>
  <c r="E38" i="5" s="1"/>
  <c r="C26" i="5"/>
  <c r="F36" i="5" s="1"/>
  <c r="H26" i="5"/>
  <c r="F38" i="5" s="1"/>
  <c r="C8" i="6"/>
  <c r="C36" i="6" s="1"/>
  <c r="H8" i="6"/>
  <c r="C38" i="6" s="1"/>
  <c r="C14" i="6"/>
  <c r="D36" i="6" s="1"/>
  <c r="H14" i="6"/>
  <c r="D38" i="6" s="1"/>
  <c r="C20" i="6"/>
  <c r="E36" i="6" s="1"/>
  <c r="H20" i="6"/>
  <c r="E38" i="6" s="1"/>
  <c r="C26" i="6"/>
  <c r="F36" i="6" s="1"/>
  <c r="H26" i="6"/>
  <c r="F38" i="6" s="1"/>
  <c r="E8" i="1"/>
  <c r="C37" i="1" s="1"/>
  <c r="E14" i="1"/>
  <c r="D37" i="1" s="1"/>
  <c r="G37" i="4"/>
  <c r="G39" i="4"/>
  <c r="D41" i="4"/>
  <c r="D43" i="4" s="1"/>
  <c r="F41" i="4"/>
  <c r="F43" i="4" s="1"/>
  <c r="B28" i="4"/>
  <c r="E8" i="5"/>
  <c r="C37" i="5" s="1"/>
  <c r="E14" i="5"/>
  <c r="D37" i="5" s="1"/>
  <c r="E20" i="5"/>
  <c r="E37" i="5" s="1"/>
  <c r="E26" i="5"/>
  <c r="F37" i="5" s="1"/>
  <c r="B28" i="5"/>
  <c r="E8" i="6"/>
  <c r="C37" i="6" s="1"/>
  <c r="E14" i="6"/>
  <c r="D37" i="6" s="1"/>
  <c r="E20" i="6"/>
  <c r="E37" i="6" s="1"/>
  <c r="E26" i="6"/>
  <c r="F37" i="6" s="1"/>
  <c r="B28" i="6"/>
  <c r="J27" i="6"/>
  <c r="F39" i="6" s="1"/>
  <c r="J21" i="6"/>
  <c r="E39" i="6" s="1"/>
  <c r="J15" i="6"/>
  <c r="D39" i="6" s="1"/>
  <c r="J9" i="6"/>
  <c r="C39" i="6" s="1"/>
  <c r="G38" i="6"/>
  <c r="J26" i="6"/>
  <c r="J27" i="5"/>
  <c r="F39" i="5" s="1"/>
  <c r="F41" i="5" s="1"/>
  <c r="F43" i="5" s="1"/>
  <c r="J21" i="5"/>
  <c r="E39" i="5" s="1"/>
  <c r="E41" i="5" s="1"/>
  <c r="E43" i="5" s="1"/>
  <c r="J15" i="5"/>
  <c r="D39" i="5" s="1"/>
  <c r="J9" i="5"/>
  <c r="C39" i="5" s="1"/>
  <c r="G38" i="5"/>
  <c r="J26" i="5"/>
  <c r="J27" i="1"/>
  <c r="F39" i="1" s="1"/>
  <c r="J15" i="1"/>
  <c r="D39" i="1" s="1"/>
  <c r="G36" i="4"/>
  <c r="G38" i="4"/>
  <c r="E41" i="4"/>
  <c r="E43" i="4" s="1"/>
  <c r="J26" i="4"/>
  <c r="C14" i="1"/>
  <c r="D36" i="1" s="1"/>
  <c r="D41" i="1" s="1"/>
  <c r="D43" i="1" s="1"/>
  <c r="C26" i="1"/>
  <c r="F36" i="1" s="1"/>
  <c r="J9" i="1"/>
  <c r="C39" i="1" s="1"/>
  <c r="B28" i="1"/>
  <c r="E26" i="1"/>
  <c r="F37" i="1" s="1"/>
  <c r="E20" i="1"/>
  <c r="E37" i="1" s="1"/>
  <c r="H20" i="1"/>
  <c r="E38" i="1" s="1"/>
  <c r="G38" i="1" s="1"/>
  <c r="J21" i="1"/>
  <c r="E39" i="1" s="1"/>
  <c r="D41" i="6" l="1"/>
  <c r="D43" i="6" s="1"/>
  <c r="C41" i="4"/>
  <c r="I38" i="5"/>
  <c r="G36" i="6"/>
  <c r="I36" i="6" s="1"/>
  <c r="I38" i="1"/>
  <c r="I36" i="5"/>
  <c r="E41" i="6"/>
  <c r="E43" i="6" s="1"/>
  <c r="D41" i="5"/>
  <c r="D43" i="5" s="1"/>
  <c r="F41" i="6"/>
  <c r="F43" i="6" s="1"/>
  <c r="I36" i="4"/>
  <c r="I38" i="6"/>
  <c r="G36" i="1"/>
  <c r="I36" i="1" s="1"/>
  <c r="C41" i="1"/>
  <c r="C43" i="1" s="1"/>
  <c r="G37" i="6"/>
  <c r="I37" i="6" s="1"/>
  <c r="I37" i="4"/>
  <c r="I38" i="4"/>
  <c r="G37" i="5"/>
  <c r="I37" i="5" s="1"/>
  <c r="I39" i="4"/>
  <c r="G39" i="6"/>
  <c r="I39" i="6" s="1"/>
  <c r="C41" i="6"/>
  <c r="C43" i="6" s="1"/>
  <c r="G39" i="5"/>
  <c r="I39" i="5" s="1"/>
  <c r="C41" i="5"/>
  <c r="C43" i="5" s="1"/>
  <c r="F41" i="1"/>
  <c r="F43" i="1" s="1"/>
  <c r="G39" i="1"/>
  <c r="I39" i="1" s="1"/>
  <c r="C43" i="4"/>
  <c r="G41" i="4"/>
  <c r="G43" i="4" s="1"/>
  <c r="E41" i="1"/>
  <c r="E43" i="1" s="1"/>
  <c r="G37" i="1"/>
  <c r="I37" i="1" s="1"/>
  <c r="G41" i="6" l="1"/>
  <c r="G43" i="6" s="1"/>
  <c r="G41" i="5"/>
  <c r="G43" i="5" s="1"/>
  <c r="G41" i="1"/>
  <c r="G43" i="1" s="1"/>
</calcChain>
</file>

<file path=xl/sharedStrings.xml><?xml version="1.0" encoding="utf-8"?>
<sst xmlns="http://schemas.openxmlformats.org/spreadsheetml/2006/main" count="252" uniqueCount="55">
  <si>
    <t>Mês</t>
  </si>
  <si>
    <t>Faturamento</t>
  </si>
  <si>
    <t>PIS</t>
  </si>
  <si>
    <t>Ret. PIS</t>
  </si>
  <si>
    <t>COFINS</t>
  </si>
  <si>
    <t>Ret. COFINS</t>
  </si>
  <si>
    <t>Vencimentos</t>
  </si>
  <si>
    <t>CSLL</t>
  </si>
  <si>
    <t>Ret. CSLL</t>
  </si>
  <si>
    <t>IRPJ</t>
  </si>
  <si>
    <t>Ret. IRPJ</t>
  </si>
  <si>
    <t>jan</t>
  </si>
  <si>
    <t>fev</t>
  </si>
  <si>
    <t>mar</t>
  </si>
  <si>
    <t>VALOR ADICIONAL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</si>
  <si>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</si>
  <si>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</si>
  <si>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</si>
  <si>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</si>
  <si>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</si>
  <si>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</si>
  <si>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</si>
  <si>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</si>
  <si>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</si>
  <si>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Procedimento de uso:</t>
  </si>
  <si>
    <t>Informar o faturamento no campo acima, conforme o mês;</t>
  </si>
  <si>
    <t>Informar o valor das retenções nos campos específicos.</t>
  </si>
  <si>
    <t>1 TRI</t>
  </si>
  <si>
    <t>2 TRI</t>
  </si>
  <si>
    <t>3 TRI</t>
  </si>
  <si>
    <t>4 TRI</t>
  </si>
  <si>
    <t>ANO</t>
  </si>
  <si>
    <t>TOTAL IMPOSTOS</t>
  </si>
  <si>
    <t xml:space="preserve"> LUCRO PRESUMIDO - COMERCIO</t>
  </si>
  <si>
    <t>ALÍQUOTA EFETIVA POR IMPOSTO</t>
  </si>
  <si>
    <t>ALIQUOTA EFETIVA TOTAL</t>
  </si>
  <si>
    <t>Espécies de atividades</t>
  </si>
  <si>
    <t>Percentuais sobre a receita</t>
  </si>
  <si>
    <t>Revenda a varejo de combustíveis e gás natural</t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</si>
  <si>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Venda de mercadorias ou produtos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</si>
  <si>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Transporte de cargas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</si>
  <si>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Atividades imobiliárias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</si>
  <si>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hospitalares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</si>
  <si>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Atividade Rural</t>
    </r>
  </si>
  <si>
    <r>
      <t>·</t>
    </r>
    <r>
      <rPr>
        <sz val="7"/>
        <color rgb="FF000000"/>
        <rFont val="Times New Roman"/>
        <family val="1"/>
      </rPr>
      <t>    </t>
    </r>
    <r>
      <rPr>
        <sz val="12"/>
        <color rgb="FF000000"/>
        <rFont val="Times New Roman"/>
        <family val="1"/>
      </rPr>
      <t>Industrialização com materiais fornecidos pelo encomendante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</si>
  <si>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Outras atividades não especificadas (exceto prestação de serviços)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</si>
  <si>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de transporte (exceto o de cargas)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</si>
  <si>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gerais com receita bruta até R$ 120.000/ano</t>
    </r>
  </si>
  <si>
    <r>
      <t>·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Serviços profissionais (médicos, dentistas, advogados, contadores, auditores, engenheiros, consultores, economistas, etc.)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</si>
  <si>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Intermediação de negócios</t>
    </r>
  </si>
  <si>
    <r>
      <t>·</t>
    </r>
    <r>
      <rPr>
        <sz val="7"/>
        <color rgb="FF000000"/>
        <rFont val="Times New Roman"/>
        <family val="1"/>
      </rPr>
      <t>   </t>
    </r>
    <r>
      <rPr>
        <sz val="12"/>
        <color rgb="FF000000"/>
        <rFont val="Times New Roman"/>
        <family val="1"/>
      </rPr>
      <t>Administração, locação ou cessão de bens móveis/imóveis ou direitos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</si>
  <si>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de construção civil, quando a prestadora não empregar materiais de sua propriedade nem se responsabilizar pela execução da obra (ADN Cosit 6/97).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</si>
  <si>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em geral, para os quais não haja previsão de percentual específico</t>
    </r>
  </si>
  <si>
    <t>No caso de exploração de atividades diversificadas, será aplicado sobre a receita bruta de cada atividade o respectivo percentual</t>
  </si>
  <si>
    <t>1,6 a 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</si>
</sst>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2" applyFont="1"/>
    <xf numFmtId="164" fontId="4" fillId="0" borderId="6" xfId="3" applyFont="1" applyBorder="1" applyAlignment="1">
      <alignment horizontal="center"/>
    </xf>
    <xf numFmtId="164" fontId="4" fillId="0" borderId="8" xfId="3" applyFont="1" applyBorder="1" applyAlignment="1">
      <alignment horizontal="center"/>
    </xf>
    <xf numFmtId="164" fontId="3" fillId="0" borderId="1" xfId="3" applyFont="1" applyBorder="1" applyAlignment="1">
      <alignment horizontal="center"/>
    </xf>
    <xf numFmtId="164" fontId="4" fillId="0" borderId="9" xfId="3" applyFont="1" applyBorder="1" applyAlignment="1">
      <alignment horizontal="center"/>
    </xf>
    <xf numFmtId="164" fontId="4" fillId="0" borderId="10" xfId="3" applyFont="1" applyBorder="1" applyAlignment="1">
      <alignment horizontal="center"/>
    </xf>
    <xf numFmtId="164" fontId="3" fillId="0" borderId="2" xfId="3" applyFont="1" applyBorder="1" applyAlignment="1">
      <alignment horizontal="center"/>
    </xf>
    <xf numFmtId="164" fontId="4" fillId="0" borderId="11" xfId="3" applyFont="1" applyBorder="1" applyAlignment="1">
      <alignment horizontal="center"/>
    </xf>
    <xf numFmtId="164" fontId="4" fillId="0" borderId="12" xfId="3" applyFont="1" applyBorder="1" applyAlignment="1">
      <alignment horizontal="center"/>
    </xf>
    <xf numFmtId="164" fontId="3" fillId="0" borderId="3" xfId="3" applyFont="1" applyBorder="1" applyAlignment="1">
      <alignment horizontal="center"/>
    </xf>
    <xf numFmtId="164" fontId="4" fillId="0" borderId="7" xfId="3" applyFont="1" applyBorder="1" applyAlignment="1">
      <alignment horizontal="center"/>
    </xf>
    <xf numFmtId="164" fontId="4" fillId="0" borderId="5" xfId="3" applyFont="1" applyBorder="1"/>
    <xf numFmtId="164" fontId="4" fillId="0" borderId="7" xfId="3" applyFont="1" applyBorder="1"/>
    <xf numFmtId="164" fontId="3" fillId="0" borderId="4" xfId="3" applyFont="1" applyBorder="1" applyAlignment="1">
      <alignment horizontal="center"/>
    </xf>
    <xf numFmtId="164" fontId="4" fillId="0" borderId="13" xfId="3" applyFont="1" applyBorder="1"/>
    <xf numFmtId="164" fontId="4" fillId="0" borderId="6" xfId="3" applyFont="1" applyBorder="1"/>
    <xf numFmtId="0" fontId="4" fillId="0" borderId="0" xfId="2" applyFont="1" applyAlignment="1">
      <alignment horizontal="center"/>
    </xf>
    <xf numFmtId="0" fontId="5" fillId="0" borderId="0" xfId="0" applyFont="1"/>
    <xf numFmtId="0" fontId="3" fillId="0" borderId="0" xfId="2" applyFont="1" applyBorder="1" applyAlignment="1">
      <alignment horizontal="center"/>
    </xf>
    <xf numFmtId="164" fontId="3" fillId="0" borderId="0" xfId="3" applyFont="1" applyBorder="1" applyAlignment="1">
      <alignment horizontal="center"/>
    </xf>
    <xf numFmtId="17" fontId="4" fillId="0" borderId="0" xfId="2" applyNumberFormat="1" applyFont="1" applyBorder="1" applyAlignment="1">
      <alignment horizontal="center"/>
    </xf>
    <xf numFmtId="164" fontId="3" fillId="0" borderId="0" xfId="3" applyFont="1" applyFill="1" applyBorder="1"/>
    <xf numFmtId="14" fontId="3" fillId="0" borderId="0" xfId="3" applyNumberFormat="1" applyFont="1" applyBorder="1" applyAlignment="1">
      <alignment horizontal="center"/>
    </xf>
    <xf numFmtId="164" fontId="4" fillId="0" borderId="0" xfId="3" applyFont="1" applyBorder="1"/>
    <xf numFmtId="164" fontId="4" fillId="0" borderId="0" xfId="2" applyNumberFormat="1" applyFont="1"/>
    <xf numFmtId="164" fontId="3" fillId="3" borderId="0" xfId="3" applyFont="1" applyFill="1" applyBorder="1"/>
    <xf numFmtId="164" fontId="3" fillId="0" borderId="0" xfId="3" applyFont="1" applyBorder="1"/>
    <xf numFmtId="0" fontId="3" fillId="0" borderId="0" xfId="2" applyFont="1" applyBorder="1" applyAlignment="1">
      <alignment horizontal="center" vertical="center"/>
    </xf>
    <xf numFmtId="164" fontId="4" fillId="0" borderId="0" xfId="3" applyFont="1" applyFill="1" applyBorder="1"/>
    <xf numFmtId="0" fontId="4" fillId="0" borderId="0" xfId="2" applyFont="1" applyBorder="1"/>
    <xf numFmtId="164" fontId="5" fillId="0" borderId="0" xfId="0" applyNumberFormat="1" applyFont="1"/>
    <xf numFmtId="10" fontId="4" fillId="0" borderId="0" xfId="1" applyNumberFormat="1" applyFont="1"/>
    <xf numFmtId="0" fontId="5" fillId="0" borderId="0" xfId="0" applyFont="1" applyAlignment="1">
      <alignment horizontal="right"/>
    </xf>
    <xf numFmtId="10" fontId="5" fillId="0" borderId="0" xfId="1" applyNumberFormat="1" applyFont="1"/>
    <xf numFmtId="164" fontId="4" fillId="2" borderId="14" xfId="3" applyFont="1" applyFill="1" applyBorder="1"/>
    <xf numFmtId="164" fontId="4" fillId="2" borderId="15" xfId="3" applyFont="1" applyFill="1" applyBorder="1"/>
    <xf numFmtId="164" fontId="4" fillId="2" borderId="16" xfId="3" applyFont="1" applyFill="1" applyBorder="1"/>
    <xf numFmtId="0" fontId="3" fillId="0" borderId="0" xfId="2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/>
    </xf>
    <xf numFmtId="14" fontId="3" fillId="0" borderId="0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3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9" fontId="6" fillId="0" borderId="17" xfId="0" applyNumberFormat="1" applyFont="1" applyBorder="1" applyAlignment="1">
      <alignment horizontal="center" vertical="center" wrapText="1"/>
    </xf>
    <xf numFmtId="9" fontId="6" fillId="0" borderId="18" xfId="0" applyNumberFormat="1" applyFont="1" applyBorder="1" applyAlignment="1">
      <alignment horizontal="center" vertical="center" wrapText="1"/>
    </xf>
    <xf numFmtId="9" fontId="6" fillId="0" borderId="19" xfId="0" applyNumberFormat="1" applyFon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9" fontId="6" fillId="0" borderId="0" xfId="0" applyNumberFormat="1" applyFont="1" applyBorder="1" applyAlignment="1">
      <alignment horizontal="center" vertical="center" wrapText="1"/>
    </xf>
    <xf numFmtId="9" fontId="6" fillId="0" borderId="21" xfId="0" applyNumberFormat="1" applyFont="1" applyBorder="1" applyAlignment="1">
      <alignment horizontal="center" vertical="center" wrapText="1"/>
    </xf>
    <xf numFmtId="9" fontId="6" fillId="0" borderId="22" xfId="0" applyNumberFormat="1" applyFont="1" applyBorder="1" applyAlignment="1">
      <alignment horizontal="center" vertical="center" wrapText="1"/>
    </xf>
    <xf numFmtId="9" fontId="6" fillId="0" borderId="23" xfId="0" applyNumberFormat="1" applyFont="1" applyBorder="1" applyAlignment="1">
      <alignment horizontal="center" vertical="center" wrapText="1"/>
    </xf>
    <xf numFmtId="9" fontId="6" fillId="0" borderId="24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</cellXfs>
  <cellStyles count="4">
    <cellStyle name="Moeda 2" xfId="3" xr:uid="{00000000-0005-0000-0000-000000000000}"/>
    <cellStyle name="Normal" xfId="0" builtinId="0"/>
    <cellStyle name="Normal 2" xfId="2" xr:uid="{00000000-0005-0000-0000-0000020000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workbookViewId="0">
      <selection activeCell="B12" sqref="B12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43885</v>
      </c>
      <c r="H5" s="24">
        <f>(B5*12%*9%)-I5</f>
        <v>0</v>
      </c>
      <c r="I5" s="35"/>
      <c r="J5" s="24">
        <f>(B5*1.6%*15%)-K5</f>
        <v>0</v>
      </c>
      <c r="K5" s="35"/>
      <c r="L5" s="50">
        <v>43951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43915</v>
      </c>
      <c r="H6" s="24">
        <f t="shared" ref="H6:H7" si="2">(B6*12%*9%)-I6</f>
        <v>0</v>
      </c>
      <c r="I6" s="36"/>
      <c r="J6" s="24">
        <f>(B6*1.6%*15%)-K6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43945</v>
      </c>
      <c r="H7" s="24">
        <f t="shared" si="2"/>
        <v>0</v>
      </c>
      <c r="I7" s="37"/>
      <c r="J7" s="24">
        <f>(B7*1.6%*15%)-K7</f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41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41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1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43976</v>
      </c>
      <c r="H11" s="24">
        <f t="shared" ref="H11:H13" si="4">(B11*12%*9%)-I11</f>
        <v>0</v>
      </c>
      <c r="I11" s="35"/>
      <c r="J11" s="24">
        <f>(B11*1.6%*15%)-K11</f>
        <v>0</v>
      </c>
      <c r="K11" s="35"/>
      <c r="L11" s="50">
        <v>44043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44007</v>
      </c>
      <c r="H12" s="24">
        <f t="shared" si="4"/>
        <v>0</v>
      </c>
      <c r="I12" s="36"/>
      <c r="J12" s="24">
        <f>(B12*1.6%*15%)-K12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44036</v>
      </c>
      <c r="H13" s="24">
        <f t="shared" si="4"/>
        <v>0</v>
      </c>
      <c r="I13" s="37"/>
      <c r="J13" s="24">
        <f>(B13*1.6%*15%)-K13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1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44068</v>
      </c>
      <c r="H17" s="24">
        <f t="shared" ref="H17:H19" si="7">(B17*12%*9%)-I17</f>
        <v>0</v>
      </c>
      <c r="I17" s="35"/>
      <c r="J17" s="24">
        <f>(B17*1.6%*15%)-K17</f>
        <v>0</v>
      </c>
      <c r="K17" s="35"/>
      <c r="L17" s="50">
        <v>44134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44099</v>
      </c>
      <c r="H18" s="24">
        <f t="shared" si="7"/>
        <v>0</v>
      </c>
      <c r="I18" s="36"/>
      <c r="J18" s="24">
        <f>(B18*1.6%*15%)-K18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44127</v>
      </c>
      <c r="H19" s="24">
        <f t="shared" si="7"/>
        <v>0</v>
      </c>
      <c r="I19" s="37"/>
      <c r="J19" s="24">
        <f>(B19*1.6%*15%)-K19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1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44160</v>
      </c>
      <c r="H23" s="24">
        <f t="shared" ref="H23:H25" si="10">(B23*12%*9%)-I23</f>
        <v>0</v>
      </c>
      <c r="I23" s="35"/>
      <c r="J23" s="24">
        <f>(B23*1.6%*15%)-K23</f>
        <v>0</v>
      </c>
      <c r="K23" s="35"/>
      <c r="L23" s="50">
        <v>44225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44189</v>
      </c>
      <c r="H24" s="24">
        <f t="shared" si="10"/>
        <v>0</v>
      </c>
      <c r="I24" s="36"/>
      <c r="J24" s="24">
        <f>(B24*1.6%*15%)-K24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44221</v>
      </c>
      <c r="H25" s="24">
        <f t="shared" si="10"/>
        <v>0</v>
      </c>
      <c r="I25" s="37"/>
      <c r="J25" s="24">
        <f>(B25*1.6%*15%)-K25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1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1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1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1:G61"/>
    <mergeCell ref="B62:G64"/>
    <mergeCell ref="H48:J54"/>
    <mergeCell ref="H55:J56"/>
    <mergeCell ref="H57:J61"/>
    <mergeCell ref="H62:J64"/>
    <mergeCell ref="B56:G56"/>
    <mergeCell ref="B57:G57"/>
    <mergeCell ref="B58:G58"/>
    <mergeCell ref="B59:G59"/>
    <mergeCell ref="B60:G60"/>
    <mergeCell ref="B49:G49"/>
    <mergeCell ref="B50:G50"/>
    <mergeCell ref="B51:G51"/>
    <mergeCell ref="B52:G52"/>
    <mergeCell ref="B53:G53"/>
    <mergeCell ref="B54:G54"/>
    <mergeCell ref="B55:G55"/>
    <mergeCell ref="A1:L1"/>
    <mergeCell ref="L5:L7"/>
    <mergeCell ref="L11:L13"/>
    <mergeCell ref="L17:L19"/>
    <mergeCell ref="L23:L25"/>
    <mergeCell ref="B46:G46"/>
    <mergeCell ref="B47:G47"/>
    <mergeCell ref="H46:J46"/>
    <mergeCell ref="H47:J47"/>
    <mergeCell ref="B48:G4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"/>
  <sheetViews>
    <sheetView workbookViewId="0">
      <selection activeCell="L5" sqref="L5:L25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39" customFormat="1" x14ac:dyDescent="0.2">
      <c r="C3" s="39">
        <v>8109</v>
      </c>
      <c r="E3" s="39">
        <v>2172</v>
      </c>
      <c r="H3" s="39">
        <v>2372</v>
      </c>
      <c r="J3" s="39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43521</v>
      </c>
      <c r="H5" s="24">
        <f>(B5*12%*9%)-I5</f>
        <v>0</v>
      </c>
      <c r="I5" s="35"/>
      <c r="J5" s="24">
        <f>(B5*8%*15%)-K5</f>
        <v>0</v>
      </c>
      <c r="K5" s="35"/>
      <c r="L5" s="50">
        <v>43585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43549</v>
      </c>
      <c r="H6" s="24">
        <f t="shared" ref="H6:H7" si="2">(B6*12%*9%)-I6</f>
        <v>0</v>
      </c>
      <c r="I6" s="36"/>
      <c r="J6" s="24">
        <f t="shared" ref="J6:J7" si="3">(B6*8%*15%)-K6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43580</v>
      </c>
      <c r="H7" s="24">
        <f t="shared" si="2"/>
        <v>0</v>
      </c>
      <c r="I7" s="37"/>
      <c r="J7" s="24">
        <f t="shared" si="3"/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41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41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1"/>
    </row>
    <row r="11" spans="1:12" x14ac:dyDescent="0.2">
      <c r="A11" s="21" t="s">
        <v>15</v>
      </c>
      <c r="B11" s="35"/>
      <c r="C11" s="22">
        <f t="shared" ref="C11:C13" si="4">(B11*0.65%)-D11</f>
        <v>0</v>
      </c>
      <c r="D11" s="35"/>
      <c r="E11" s="22">
        <f>(B11*3%)-F11</f>
        <v>0</v>
      </c>
      <c r="F11" s="35"/>
      <c r="G11" s="23">
        <v>43609</v>
      </c>
      <c r="H11" s="24">
        <f t="shared" ref="H11:H13" si="5">(B11*12%*9%)-I11</f>
        <v>0</v>
      </c>
      <c r="I11" s="35"/>
      <c r="J11" s="24">
        <f t="shared" ref="J11:J13" si="6">(B11*8%*15%)-K11</f>
        <v>0</v>
      </c>
      <c r="K11" s="35"/>
      <c r="L11" s="50">
        <v>43677</v>
      </c>
    </row>
    <row r="12" spans="1:12" x14ac:dyDescent="0.2">
      <c r="A12" s="21" t="s">
        <v>16</v>
      </c>
      <c r="B12" s="36"/>
      <c r="C12" s="22">
        <f t="shared" si="4"/>
        <v>0</v>
      </c>
      <c r="D12" s="36"/>
      <c r="E12" s="22">
        <f>(B12*3%)-F12</f>
        <v>0</v>
      </c>
      <c r="F12" s="36"/>
      <c r="G12" s="23">
        <v>43641</v>
      </c>
      <c r="H12" s="24">
        <f t="shared" si="5"/>
        <v>0</v>
      </c>
      <c r="I12" s="36"/>
      <c r="J12" s="24">
        <f t="shared" si="6"/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4"/>
        <v>0</v>
      </c>
      <c r="D13" s="37"/>
      <c r="E13" s="22">
        <f>(B13*3%)-F13</f>
        <v>0</v>
      </c>
      <c r="F13" s="37"/>
      <c r="G13" s="23">
        <v>43671</v>
      </c>
      <c r="H13" s="24">
        <f t="shared" si="5"/>
        <v>0</v>
      </c>
      <c r="I13" s="37"/>
      <c r="J13" s="24">
        <f t="shared" si="6"/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1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7">(B17*0.65%)-D17</f>
        <v>0</v>
      </c>
      <c r="D17" s="35"/>
      <c r="E17" s="22">
        <f t="shared" ref="E17:E19" si="8">(B17*3%)-F17</f>
        <v>0</v>
      </c>
      <c r="F17" s="35"/>
      <c r="G17" s="23">
        <v>43700</v>
      </c>
      <c r="H17" s="24">
        <f t="shared" ref="H17:H19" si="9">(B17*12%*9%)-I17</f>
        <v>0</v>
      </c>
      <c r="I17" s="35"/>
      <c r="J17" s="24">
        <f t="shared" ref="J17:J19" si="10">(B17*8%*15%)-K17</f>
        <v>0</v>
      </c>
      <c r="K17" s="35"/>
      <c r="L17" s="50">
        <v>43769</v>
      </c>
    </row>
    <row r="18" spans="1:12" x14ac:dyDescent="0.2">
      <c r="A18" s="21" t="s">
        <v>19</v>
      </c>
      <c r="B18" s="36"/>
      <c r="C18" s="22">
        <f t="shared" si="7"/>
        <v>0</v>
      </c>
      <c r="D18" s="36"/>
      <c r="E18" s="22">
        <f t="shared" si="8"/>
        <v>0</v>
      </c>
      <c r="F18" s="36"/>
      <c r="G18" s="23">
        <v>43733</v>
      </c>
      <c r="H18" s="24">
        <f t="shared" si="9"/>
        <v>0</v>
      </c>
      <c r="I18" s="36"/>
      <c r="J18" s="24">
        <f t="shared" si="10"/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7"/>
        <v>0</v>
      </c>
      <c r="D19" s="37"/>
      <c r="E19" s="22">
        <f t="shared" si="8"/>
        <v>0</v>
      </c>
      <c r="F19" s="37"/>
      <c r="G19" s="23">
        <v>43763</v>
      </c>
      <c r="H19" s="24">
        <f t="shared" si="9"/>
        <v>0</v>
      </c>
      <c r="I19" s="37"/>
      <c r="J19" s="24">
        <f t="shared" si="10"/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1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11">(B23*0.65%)-D23</f>
        <v>0</v>
      </c>
      <c r="D23" s="35"/>
      <c r="E23" s="22">
        <f t="shared" ref="E23:E25" si="12">(B23*3%)-F23</f>
        <v>0</v>
      </c>
      <c r="F23" s="35"/>
      <c r="G23" s="23">
        <v>43794</v>
      </c>
      <c r="H23" s="24">
        <f t="shared" ref="H23:H25" si="13">(B23*12%*9%)-I23</f>
        <v>0</v>
      </c>
      <c r="I23" s="35"/>
      <c r="J23" s="24">
        <f t="shared" ref="J23:J25" si="14">(B23*8%*15%)-K23</f>
        <v>0</v>
      </c>
      <c r="K23" s="35"/>
      <c r="L23" s="50">
        <v>43861</v>
      </c>
    </row>
    <row r="24" spans="1:12" ht="12.75" customHeight="1" x14ac:dyDescent="0.2">
      <c r="A24" s="21" t="s">
        <v>22</v>
      </c>
      <c r="B24" s="36"/>
      <c r="C24" s="22">
        <f t="shared" si="11"/>
        <v>0</v>
      </c>
      <c r="D24" s="36"/>
      <c r="E24" s="22">
        <f t="shared" si="12"/>
        <v>0</v>
      </c>
      <c r="F24" s="36"/>
      <c r="G24" s="23">
        <v>43823</v>
      </c>
      <c r="H24" s="24">
        <f t="shared" si="13"/>
        <v>0</v>
      </c>
      <c r="I24" s="36"/>
      <c r="J24" s="24">
        <f t="shared" si="14"/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11"/>
        <v>0</v>
      </c>
      <c r="D25" s="37"/>
      <c r="E25" s="22">
        <f t="shared" si="12"/>
        <v>0</v>
      </c>
      <c r="F25" s="37"/>
      <c r="G25" s="23">
        <v>43854</v>
      </c>
      <c r="H25" s="24">
        <f t="shared" si="13"/>
        <v>0</v>
      </c>
      <c r="I25" s="37"/>
      <c r="J25" s="24">
        <f t="shared" si="14"/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5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5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5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6">SUM(D36:D39)</f>
        <v>0</v>
      </c>
      <c r="E41" s="16">
        <f t="shared" si="16"/>
        <v>0</v>
      </c>
      <c r="F41" s="16">
        <f t="shared" si="16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topLeftCell="A22" workbookViewId="0">
      <selection activeCell="J8" sqref="J8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>
        <v>0</v>
      </c>
      <c r="C5" s="22">
        <f>(B5*0.65%)-D5</f>
        <v>0</v>
      </c>
      <c r="D5" s="35"/>
      <c r="E5" s="22">
        <f>(B5*3%)-F5</f>
        <v>0</v>
      </c>
      <c r="F5" s="35"/>
      <c r="G5" s="23">
        <v>43885</v>
      </c>
      <c r="H5" s="24">
        <f>(B5*12%*9%)-I5</f>
        <v>0</v>
      </c>
      <c r="I5" s="35"/>
      <c r="J5" s="24">
        <f>(B5*16%*15%)-K5</f>
        <v>0</v>
      </c>
      <c r="K5" s="35"/>
      <c r="L5" s="50">
        <v>43951</v>
      </c>
    </row>
    <row r="6" spans="1:12" x14ac:dyDescent="0.2">
      <c r="A6" s="21" t="s">
        <v>12</v>
      </c>
      <c r="B6" s="36">
        <v>1643</v>
      </c>
      <c r="C6" s="22">
        <f t="shared" ref="C6:C7" si="0">(B6*0.65%)-D6</f>
        <v>10.679500000000001</v>
      </c>
      <c r="D6" s="36"/>
      <c r="E6" s="22">
        <f t="shared" ref="E6:E7" si="1">(B6*3%)-F6</f>
        <v>49.29</v>
      </c>
      <c r="F6" s="36"/>
      <c r="G6" s="23">
        <v>43915</v>
      </c>
      <c r="H6" s="24">
        <f t="shared" ref="H6:H7" si="2">(B6*12%*9%)-I6</f>
        <v>17.744399999999999</v>
      </c>
      <c r="I6" s="36"/>
      <c r="J6" s="24">
        <f>(B6*16%*15%)-K6</f>
        <v>39.431999999999995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43945</v>
      </c>
      <c r="H7" s="24">
        <f t="shared" si="2"/>
        <v>0</v>
      </c>
      <c r="I7" s="37"/>
      <c r="J7" s="24">
        <f>(B7*16%*15%)-K7</f>
        <v>0</v>
      </c>
      <c r="K7" s="37"/>
      <c r="L7" s="51"/>
    </row>
    <row r="8" spans="1:12" x14ac:dyDescent="0.2">
      <c r="A8" s="21"/>
      <c r="B8" s="25">
        <f>SUM(B5:B7)</f>
        <v>1643</v>
      </c>
      <c r="C8" s="25">
        <f>SUM(C5:C7)</f>
        <v>10.679500000000001</v>
      </c>
      <c r="D8" s="1"/>
      <c r="E8" s="25">
        <f>SUM(E5:E7)</f>
        <v>49.29</v>
      </c>
      <c r="F8" s="1"/>
      <c r="G8" s="23"/>
      <c r="H8" s="26">
        <f>SUM(H5:H7)</f>
        <v>17.744399999999999</v>
      </c>
      <c r="I8" s="27" t="s">
        <v>14</v>
      </c>
      <c r="J8" s="24">
        <f>((B8*8%)-60000)*10%</f>
        <v>-5986.8559999999998</v>
      </c>
      <c r="K8" s="1"/>
      <c r="L8" s="42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39.431999999999995</v>
      </c>
      <c r="K9" s="27"/>
      <c r="L9" s="42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2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43976</v>
      </c>
      <c r="H11" s="24">
        <f t="shared" ref="H11:H13" si="4">(B11*12%*9%)-I11</f>
        <v>0</v>
      </c>
      <c r="I11" s="35"/>
      <c r="J11" s="24">
        <f>(B11*16%*15%)-K11</f>
        <v>0</v>
      </c>
      <c r="K11" s="35"/>
      <c r="L11" s="50">
        <v>44043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44007</v>
      </c>
      <c r="H12" s="24">
        <f t="shared" si="4"/>
        <v>0</v>
      </c>
      <c r="I12" s="36"/>
      <c r="J12" s="24">
        <f>(B12*16%*15%)-K12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44036</v>
      </c>
      <c r="H13" s="24">
        <f t="shared" si="4"/>
        <v>0</v>
      </c>
      <c r="I13" s="37"/>
      <c r="J13" s="24">
        <f>(B13*16%*15%)-K13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2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44068</v>
      </c>
      <c r="H17" s="24">
        <f t="shared" ref="H17:H19" si="7">(B17*12%*9%)-I17</f>
        <v>0</v>
      </c>
      <c r="I17" s="35"/>
      <c r="J17" s="24">
        <f>(B17*16%*15%)-K17</f>
        <v>0</v>
      </c>
      <c r="K17" s="35"/>
      <c r="L17" s="50">
        <v>44134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44099</v>
      </c>
      <c r="H18" s="24">
        <f t="shared" si="7"/>
        <v>0</v>
      </c>
      <c r="I18" s="36"/>
      <c r="J18" s="24">
        <f>(B18*16%*15%)-K18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44127</v>
      </c>
      <c r="H19" s="24">
        <f t="shared" si="7"/>
        <v>0</v>
      </c>
      <c r="I19" s="37"/>
      <c r="J19" s="24">
        <f>(B19*16%*15%)-K19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2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44160</v>
      </c>
      <c r="H23" s="24">
        <f t="shared" ref="H23:H25" si="10">(B23*12%*9%)-I23</f>
        <v>0</v>
      </c>
      <c r="I23" s="35"/>
      <c r="J23" s="24">
        <f>(B23*16%*15%)-K23</f>
        <v>0</v>
      </c>
      <c r="K23" s="35"/>
      <c r="L23" s="50">
        <v>44225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44189</v>
      </c>
      <c r="H24" s="24">
        <f t="shared" si="10"/>
        <v>0</v>
      </c>
      <c r="I24" s="36"/>
      <c r="J24" s="24">
        <f>(B24*16%*15%)-K24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44221</v>
      </c>
      <c r="H25" s="24">
        <f t="shared" si="10"/>
        <v>0</v>
      </c>
      <c r="I25" s="37"/>
      <c r="J25" s="24">
        <f>(B25*16%*15%)-K25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1643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10.679500000000001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10.679500000000001</v>
      </c>
      <c r="H36" s="1"/>
      <c r="I36" s="32">
        <f>G36/$B$28</f>
        <v>6.5000000000000006E-3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49.29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49.29</v>
      </c>
      <c r="H37" s="1"/>
      <c r="I37" s="32">
        <f t="shared" ref="I37:I39" si="11">G37/$B$28</f>
        <v>0.03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17.744399999999999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17.744399999999999</v>
      </c>
      <c r="H38" s="1"/>
      <c r="I38" s="32">
        <f t="shared" si="11"/>
        <v>1.0799999999999999E-2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39.431999999999995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39.431999999999995</v>
      </c>
      <c r="H39" s="1"/>
      <c r="I39" s="32">
        <f t="shared" si="11"/>
        <v>2.3999999999999997E-2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117.14589999999998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117.14589999999998</v>
      </c>
    </row>
    <row r="43" spans="1:12" x14ac:dyDescent="0.2">
      <c r="B43" s="33" t="s">
        <v>35</v>
      </c>
      <c r="C43" s="34">
        <f>C41/$B$8</f>
        <v>7.1299999999999988E-2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>
        <f>G41/$B$28</f>
        <v>7.1299999999999988E-2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tabSelected="1" workbookViewId="0">
      <selection activeCell="L5" sqref="L5:L25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43521</v>
      </c>
      <c r="H5" s="24">
        <f>(B5*12%*9%)-I5</f>
        <v>0</v>
      </c>
      <c r="I5" s="35"/>
      <c r="J5" s="24">
        <f>(B5*32%*15%)-K5</f>
        <v>0</v>
      </c>
      <c r="K5" s="35"/>
      <c r="L5" s="50">
        <v>43585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43549</v>
      </c>
      <c r="H6" s="24">
        <f t="shared" ref="H6:H7" si="2">(B6*12%*9%)-I6</f>
        <v>0</v>
      </c>
      <c r="I6" s="36"/>
      <c r="J6" s="24">
        <f>(B6*32%*15%)-K6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43580</v>
      </c>
      <c r="H7" s="24">
        <f t="shared" si="2"/>
        <v>0</v>
      </c>
      <c r="I7" s="37"/>
      <c r="J7" s="24">
        <f>(B7*32%*15%)-K7</f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28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28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28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43609</v>
      </c>
      <c r="H11" s="24">
        <f t="shared" ref="H11:H13" si="4">(B11*12%*9%)-I11</f>
        <v>0</v>
      </c>
      <c r="I11" s="35"/>
      <c r="J11" s="24">
        <f>(B11*32%*15%)-K11</f>
        <v>0</v>
      </c>
      <c r="K11" s="35"/>
      <c r="L11" s="50">
        <v>43677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43641</v>
      </c>
      <c r="H12" s="24">
        <f t="shared" si="4"/>
        <v>0</v>
      </c>
      <c r="I12" s="36"/>
      <c r="J12" s="24">
        <f>(B12*32%*15%)-K12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43671</v>
      </c>
      <c r="H13" s="24">
        <f t="shared" si="4"/>
        <v>0</v>
      </c>
      <c r="I13" s="37"/>
      <c r="J13" s="24">
        <f>(B13*32%*15%)-K13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28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43700</v>
      </c>
      <c r="H17" s="24">
        <f t="shared" ref="H17:H19" si="7">(B17*12%*9%)-I17</f>
        <v>0</v>
      </c>
      <c r="I17" s="35"/>
      <c r="J17" s="24">
        <f>(B17*32%*15%)-K17</f>
        <v>0</v>
      </c>
      <c r="K17" s="35"/>
      <c r="L17" s="50">
        <v>43769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43733</v>
      </c>
      <c r="H18" s="24">
        <f t="shared" si="7"/>
        <v>0</v>
      </c>
      <c r="I18" s="36"/>
      <c r="J18" s="24">
        <f>(B18*32%*15%)-K18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43763</v>
      </c>
      <c r="H19" s="24">
        <f t="shared" si="7"/>
        <v>0</v>
      </c>
      <c r="I19" s="37"/>
      <c r="J19" s="24">
        <f>(B19*32%*15%)-K19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28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43794</v>
      </c>
      <c r="H23" s="24">
        <f t="shared" ref="H23:H25" si="10">(B23*12%*9%)-I23</f>
        <v>0</v>
      </c>
      <c r="I23" s="35"/>
      <c r="J23" s="24">
        <f>(B23*32%*15%)-K23</f>
        <v>0</v>
      </c>
      <c r="K23" s="35"/>
      <c r="L23" s="50">
        <v>43861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43823</v>
      </c>
      <c r="H24" s="24">
        <f t="shared" si="10"/>
        <v>0</v>
      </c>
      <c r="I24" s="36"/>
      <c r="J24" s="24">
        <f>(B24*32%*15%)-K24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43854</v>
      </c>
      <c r="H25" s="24">
        <f t="shared" si="10"/>
        <v>0</v>
      </c>
      <c r="I25" s="37"/>
      <c r="J25" s="24">
        <f>(B25*32%*15%)-K25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1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1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1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COMBUSTIVEL 1,6%</vt:lpstr>
      <vt:lpstr>COMERCIO 8%</vt:lpstr>
      <vt:lpstr>SERVIÇOS 16%</vt:lpstr>
      <vt:lpstr>SERVIÇOS 32%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</dc:creator>
  <cp:lastModifiedBy>Fabio Carvalho</cp:lastModifiedBy>
  <dcterms:created xsi:type="dcterms:W3CDTF">2018-02-27T15:00:49Z</dcterms:created>
  <dcterms:modified xsi:type="dcterms:W3CDTF">2021-04-26T17:57:57Z</dcterms:modified>
</cp:coreProperties>
</file>