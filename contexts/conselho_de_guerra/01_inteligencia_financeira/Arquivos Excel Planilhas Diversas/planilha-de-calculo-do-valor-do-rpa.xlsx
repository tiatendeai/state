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D:\planilhas e documentos para vender no mercado livre\5000 planilhas editáveis\Contabilidade\"/>
    </mc:Choice>
  </mc:AlternateContent>
  <xr:revisionPtr revIDLastSave="0" documentId="8_{C05EB961-2F1F-44CB-9B33-AC76379FC1DF}" xr6:coauthVersionLast="41" xr6:coauthVersionMax="41" xr10:uidLastSave="{00000000-0000-0000-0000-000000000000}"/>
  <bookViews>
    <workbookView xWindow="-108" yWindow="-108" windowWidth="19416" windowHeight="10416"/>
  </bookViews>
  <sheets>
    <sheet name="RPA" sheetId="1" r:id="rId1"/>
  </sheets>
  <calcPr calcId="191029"/>
</workbook>
</file>

<file path=xl/calcChain.xml><?xml version="1.0" encoding="utf-8"?>
<calcChain xmlns="http://schemas.openxmlformats.org/spreadsheetml/2006/main">
  <c r="F20" i="1" l="1"/>
  <c r="C4" i="1"/>
  <c r="C3" i="1"/>
  <c r="C2" i="1"/>
  <c r="C5" i="1" s="1"/>
</calcChain>
</file>

<file path=xl/sharedStrings.xml><?xml version="1.0" encoding="utf-8"?>
<sst xmlns="http://schemas.openxmlformats.org/spreadsheetml/2006/main" count="34" uniqueCount="21">
  <si>
    <t>INSS</t>
  </si>
  <si>
    <t>IRRF</t>
  </si>
  <si>
    <t>-</t>
  </si>
  <si>
    <t>ISS</t>
  </si>
  <si>
    <t>VALOR BRUTO</t>
  </si>
  <si>
    <t>DESCONTOS</t>
  </si>
  <si>
    <t>VALOR LÍQUIDO</t>
  </si>
  <si>
    <t>TABELA DE IMPOSTO DE RENDA RETIDO NA FONTE</t>
  </si>
  <si>
    <t>BASE DE CÁLCULO MENSAL $</t>
  </si>
  <si>
    <t>ALÍQUOTA %</t>
  </si>
  <si>
    <t>PARCELA A DEDUZIR</t>
  </si>
  <si>
    <t>ATÉ</t>
  </si>
  <si>
    <t>DE</t>
  </si>
  <si>
    <t>ACIMA DE</t>
  </si>
  <si>
    <t>ACIMA</t>
  </si>
  <si>
    <t>TETO MÁXIMO DE CONTRIBUIÇÃO</t>
  </si>
  <si>
    <t>TABELA DO ISS</t>
  </si>
  <si>
    <t>ALÍQUOTA PARA FINS DE RECOLHIMENTO %</t>
  </si>
  <si>
    <t>BASE DE CÁLCULO MENSAL R$</t>
  </si>
  <si>
    <t>TABELA DO INSS</t>
  </si>
  <si>
    <t>INSIRA O VALOR BRUTO PARA A PLANILHA CALCULAR O LÍQUIDO DEDUZINDO OS IMPOSTAS A PARTIR DA TABELA AO 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</si>
</sst>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&quot;R$ &quot;* #,##0.00_);_(&quot;R$ &quot;* \(#,##0.00\);_(&quot;R$ &quot;* &quot;-&quot;??_);_(@_)"/>
    <numFmt numFmtId="166" formatCode="0.0%"/>
  </numFmts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9"/>
      <name val="Arial"/>
      <family val="2"/>
    </font>
    <font>
      <b/>
      <sz val="10"/>
      <color indexed="8"/>
      <name val="Arial"/>
      <family val="2"/>
    </font>
    <font>
      <sz val="9"/>
      <name val="Arial"/>
      <family val="2"/>
    </font>
    <font>
      <b/>
      <sz val="14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2">
    <xf numFmtId="0" fontId="0" fillId="0" borderId="0" xfId="0"/>
    <xf numFmtId="0" fontId="3" fillId="0" borderId="0" xfId="0" applyFont="1"/>
    <xf numFmtId="4" fontId="7" fillId="0" borderId="4" xfId="0" applyNumberFormat="1" applyFont="1" applyBorder="1" applyAlignment="1" applyProtection="1">
      <alignment vertical="center"/>
      <protection hidden="1"/>
    </xf>
    <xf numFmtId="164" fontId="7" fillId="0" borderId="5" xfId="3" applyNumberFormat="1" applyFont="1" applyBorder="1" applyAlignment="1" applyProtection="1">
      <alignment horizontal="right" vertical="center"/>
      <protection hidden="1"/>
    </xf>
    <xf numFmtId="165" fontId="7" fillId="0" borderId="5" xfId="1" applyNumberFormat="1" applyFont="1" applyBorder="1" applyAlignment="1" applyProtection="1">
      <alignment vertical="center"/>
      <protection hidden="1"/>
    </xf>
    <xf numFmtId="39" fontId="7" fillId="0" borderId="5" xfId="3" applyNumberFormat="1" applyFont="1" applyBorder="1" applyAlignment="1" applyProtection="1">
      <alignment horizontal="center" vertical="center"/>
      <protection hidden="1"/>
    </xf>
    <xf numFmtId="164" fontId="7" fillId="0" borderId="6" xfId="3" applyNumberFormat="1" applyFont="1" applyBorder="1" applyAlignment="1" applyProtection="1">
      <alignment horizontal="right" vertical="center"/>
      <protection hidden="1"/>
    </xf>
    <xf numFmtId="4" fontId="7" fillId="0" borderId="7" xfId="0" applyNumberFormat="1" applyFont="1" applyBorder="1" applyAlignment="1" applyProtection="1">
      <alignment vertical="center"/>
      <protection hidden="1"/>
    </xf>
    <xf numFmtId="164" fontId="7" fillId="0" borderId="8" xfId="3" applyNumberFormat="1" applyFont="1" applyBorder="1" applyAlignment="1" applyProtection="1">
      <alignment horizontal="right" vertical="center"/>
      <protection hidden="1"/>
    </xf>
    <xf numFmtId="4" fontId="7" fillId="0" borderId="8" xfId="0" applyNumberFormat="1" applyFont="1" applyBorder="1" applyAlignment="1" applyProtection="1">
      <alignment horizontal="center" vertical="center"/>
      <protection hidden="1"/>
    </xf>
    <xf numFmtId="10" fontId="7" fillId="0" borderId="8" xfId="2" applyNumberFormat="1" applyFont="1" applyBorder="1" applyAlignment="1" applyProtection="1">
      <alignment horizontal="center" vertical="center"/>
      <protection hidden="1"/>
    </xf>
    <xf numFmtId="164" fontId="7" fillId="0" borderId="9" xfId="3" applyNumberFormat="1" applyFont="1" applyBorder="1" applyAlignment="1" applyProtection="1">
      <alignment horizontal="right" vertical="center"/>
      <protection hidden="1"/>
    </xf>
    <xf numFmtId="44" fontId="4" fillId="2" borderId="3" xfId="0" applyNumberFormat="1" applyFont="1" applyFill="1" applyBorder="1" applyAlignment="1">
      <alignment vertical="center"/>
    </xf>
    <xf numFmtId="4" fontId="7" fillId="0" borderId="10" xfId="0" applyNumberFormat="1" applyFont="1" applyBorder="1" applyAlignment="1" applyProtection="1">
      <alignment vertical="center"/>
      <protection hidden="1"/>
    </xf>
    <xf numFmtId="164" fontId="7" fillId="0" borderId="11" xfId="3" applyNumberFormat="1" applyFont="1" applyBorder="1" applyAlignment="1" applyProtection="1">
      <alignment horizontal="right" vertical="center"/>
      <protection hidden="1"/>
    </xf>
    <xf numFmtId="165" fontId="7" fillId="0" borderId="11" xfId="1" applyNumberFormat="1" applyFont="1" applyBorder="1" applyAlignment="1" applyProtection="1">
      <alignment vertical="center"/>
      <protection hidden="1"/>
    </xf>
    <xf numFmtId="10" fontId="7" fillId="0" borderId="11" xfId="2" applyNumberFormat="1" applyFont="1" applyBorder="1" applyAlignment="1" applyProtection="1">
      <alignment horizontal="center" vertical="center"/>
      <protection hidden="1"/>
    </xf>
    <xf numFmtId="164" fontId="7" fillId="0" borderId="12" xfId="3" applyNumberFormat="1" applyFont="1" applyBorder="1" applyAlignment="1" applyProtection="1">
      <alignment horizontal="right" vertical="center"/>
      <protection hidden="1"/>
    </xf>
    <xf numFmtId="4" fontId="7" fillId="0" borderId="0" xfId="0" applyNumberFormat="1" applyFont="1" applyBorder="1" applyAlignment="1" applyProtection="1">
      <alignment vertical="center"/>
      <protection hidden="1"/>
    </xf>
    <xf numFmtId="165" fontId="7" fillId="0" borderId="0" xfId="1" applyNumberFormat="1" applyFont="1" applyBorder="1" applyAlignment="1" applyProtection="1">
      <alignment horizontal="center" vertical="center"/>
      <protection hidden="1"/>
    </xf>
    <xf numFmtId="166" fontId="7" fillId="0" borderId="0" xfId="2" applyNumberFormat="1" applyFont="1" applyBorder="1" applyAlignment="1" applyProtection="1">
      <alignment horizontal="center" vertical="center"/>
      <protection hidden="1"/>
    </xf>
    <xf numFmtId="165" fontId="7" fillId="0" borderId="0" xfId="1" applyNumberFormat="1" applyFont="1" applyBorder="1" applyAlignment="1" applyProtection="1">
      <alignment vertical="center"/>
      <protection hidden="1"/>
    </xf>
    <xf numFmtId="165" fontId="7" fillId="0" borderId="8" xfId="1" applyNumberFormat="1" applyFont="1" applyBorder="1" applyAlignment="1" applyProtection="1">
      <alignment horizontal="center" vertical="center"/>
      <protection hidden="1"/>
    </xf>
    <xf numFmtId="4" fontId="7" fillId="0" borderId="0" xfId="0" applyNumberFormat="1" applyFont="1" applyBorder="1" applyAlignment="1" applyProtection="1">
      <alignment horizontal="center" vertical="center"/>
      <protection hidden="1"/>
    </xf>
    <xf numFmtId="165" fontId="7" fillId="0" borderId="0" xfId="1" applyNumberFormat="1" applyFont="1" applyAlignment="1" applyProtection="1">
      <alignment vertical="center"/>
      <protection hidden="1"/>
    </xf>
    <xf numFmtId="4" fontId="5" fillId="2" borderId="14" xfId="0" applyNumberFormat="1" applyFont="1" applyFill="1" applyBorder="1" applyAlignment="1" applyProtection="1">
      <alignment horizontal="center" vertical="center" wrapText="1"/>
      <protection hidden="1"/>
    </xf>
    <xf numFmtId="4" fontId="5" fillId="2" borderId="15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 wrapText="1" shrinkToFit="1"/>
    </xf>
    <xf numFmtId="44" fontId="3" fillId="2" borderId="9" xfId="0" applyNumberFormat="1" applyFont="1" applyFill="1" applyBorder="1" applyAlignment="1">
      <alignment horizontal="right" vertical="center"/>
    </xf>
    <xf numFmtId="44" fontId="4" fillId="3" borderId="3" xfId="0" applyNumberFormat="1" applyFont="1" applyFill="1" applyBorder="1" applyAlignment="1">
      <alignment vertical="center"/>
    </xf>
    <xf numFmtId="44" fontId="3" fillId="2" borderId="16" xfId="0" applyNumberFormat="1" applyFont="1" applyFill="1" applyBorder="1" applyAlignment="1">
      <alignment horizontal="right" vertical="center"/>
    </xf>
    <xf numFmtId="44" fontId="3" fillId="2" borderId="12" xfId="0" applyNumberFormat="1" applyFont="1" applyFill="1" applyBorder="1" applyAlignment="1">
      <alignment horizontal="right" vertical="center"/>
    </xf>
    <xf numFmtId="4" fontId="7" fillId="0" borderId="17" xfId="0" applyNumberFormat="1" applyFont="1" applyBorder="1" applyAlignment="1" applyProtection="1">
      <alignment vertical="center"/>
      <protection hidden="1"/>
    </xf>
    <xf numFmtId="165" fontId="7" fillId="0" borderId="18" xfId="1" applyNumberFormat="1" applyFont="1" applyBorder="1" applyAlignment="1" applyProtection="1">
      <alignment horizontal="center" vertical="center"/>
      <protection hidden="1"/>
    </xf>
    <xf numFmtId="4" fontId="7" fillId="0" borderId="18" xfId="0" applyNumberFormat="1" applyFont="1" applyBorder="1" applyAlignment="1" applyProtection="1">
      <alignment horizontal="center" vertical="center"/>
      <protection hidden="1"/>
    </xf>
    <xf numFmtId="0" fontId="4" fillId="2" borderId="2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44" fontId="5" fillId="2" borderId="3" xfId="3" applyNumberFormat="1" applyFont="1" applyFill="1" applyBorder="1" applyAlignment="1" applyProtection="1">
      <alignment horizontal="center" vertical="center"/>
      <protection hidden="1"/>
    </xf>
    <xf numFmtId="4" fontId="5" fillId="2" borderId="1" xfId="0" applyNumberFormat="1" applyFont="1" applyFill="1" applyBorder="1" applyAlignment="1" applyProtection="1">
      <alignment horizontal="center" vertical="center"/>
      <protection hidden="1"/>
    </xf>
    <xf numFmtId="4" fontId="5" fillId="2" borderId="2" xfId="0" applyNumberFormat="1" applyFont="1" applyFill="1" applyBorder="1" applyAlignment="1" applyProtection="1">
      <alignment horizontal="center" vertical="center"/>
      <protection hidden="1"/>
    </xf>
    <xf numFmtId="4" fontId="5" fillId="2" borderId="3" xfId="0" applyNumberFormat="1" applyFont="1" applyFill="1" applyBorder="1" applyAlignment="1" applyProtection="1">
      <alignment horizontal="center" vertical="center"/>
      <protection hidden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 textRotation="90"/>
    </xf>
    <xf numFmtId="0" fontId="6" fillId="2" borderId="32" xfId="0" applyFont="1" applyFill="1" applyBorder="1" applyAlignment="1">
      <alignment horizontal="center" vertical="center" textRotation="90"/>
    </xf>
    <xf numFmtId="0" fontId="6" fillId="2" borderId="33" xfId="0" applyFont="1" applyFill="1" applyBorder="1" applyAlignment="1">
      <alignment horizontal="center" vertical="center" textRotation="90"/>
    </xf>
    <xf numFmtId="4" fontId="5" fillId="2" borderId="13" xfId="0" applyNumberFormat="1" applyFont="1" applyFill="1" applyBorder="1" applyAlignment="1" applyProtection="1">
      <alignment horizontal="center" vertical="center" wrapText="1"/>
      <protection hidden="1"/>
    </xf>
    <xf numFmtId="4" fontId="5" fillId="2" borderId="14" xfId="0" applyNumberFormat="1" applyFont="1" applyFill="1" applyBorder="1" applyAlignment="1" applyProtection="1">
      <alignment horizontal="center" vertical="center" wrapText="1"/>
      <protection hidden="1"/>
    </xf>
    <xf numFmtId="4" fontId="5" fillId="2" borderId="1" xfId="0" applyNumberFormat="1" applyFont="1" applyFill="1" applyBorder="1" applyAlignment="1" applyProtection="1">
      <alignment horizontal="center" vertical="center" wrapText="1" shrinkToFit="1"/>
      <protection hidden="1"/>
    </xf>
    <xf numFmtId="4" fontId="5" fillId="2" borderId="2" xfId="0" applyNumberFormat="1" applyFont="1" applyFill="1" applyBorder="1" applyAlignment="1" applyProtection="1">
      <alignment horizontal="center" vertical="center" wrapText="1" shrinkToFit="1"/>
      <protection hidden="1"/>
    </xf>
    <xf numFmtId="4" fontId="5" fillId="2" borderId="3" xfId="0" applyNumberFormat="1" applyFont="1" applyFill="1" applyBorder="1" applyAlignment="1" applyProtection="1">
      <alignment horizontal="center" vertical="center" wrapText="1" shrinkToFit="1"/>
      <protection hidden="1"/>
    </xf>
    <xf numFmtId="0" fontId="8" fillId="2" borderId="20" xfId="0" applyFont="1" applyFill="1" applyBorder="1" applyAlignment="1">
      <alignment horizontal="left" vertical="center" wrapText="1"/>
    </xf>
    <xf numFmtId="0" fontId="8" fillId="2" borderId="21" xfId="0" applyFont="1" applyFill="1" applyBorder="1" applyAlignment="1">
      <alignment horizontal="left" vertical="center" wrapText="1"/>
    </xf>
    <xf numFmtId="0" fontId="8" fillId="2" borderId="22" xfId="0" applyFont="1" applyFill="1" applyBorder="1" applyAlignment="1">
      <alignment horizontal="left" vertical="center" wrapText="1"/>
    </xf>
    <xf numFmtId="0" fontId="8" fillId="2" borderId="23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left" vertical="center" wrapText="1"/>
    </xf>
    <xf numFmtId="0" fontId="8" fillId="2" borderId="24" xfId="0" applyFont="1" applyFill="1" applyBorder="1" applyAlignment="1">
      <alignment horizontal="left" vertical="center" wrapText="1"/>
    </xf>
    <xf numFmtId="0" fontId="8" fillId="2" borderId="25" xfId="0" applyFont="1" applyFill="1" applyBorder="1" applyAlignment="1">
      <alignment horizontal="left" vertical="center" wrapText="1"/>
    </xf>
    <xf numFmtId="0" fontId="8" fillId="2" borderId="26" xfId="0" applyFont="1" applyFill="1" applyBorder="1" applyAlignment="1">
      <alignment horizontal="left" vertical="center" wrapText="1"/>
    </xf>
    <xf numFmtId="0" fontId="8" fillId="2" borderId="27" xfId="0" applyFont="1" applyFill="1" applyBorder="1" applyAlignment="1">
      <alignment horizontal="left" vertical="center" wrapText="1"/>
    </xf>
    <xf numFmtId="4" fontId="5" fillId="2" borderId="13" xfId="0" applyNumberFormat="1" applyFont="1" applyFill="1" applyBorder="1" applyAlignment="1" applyProtection="1">
      <alignment horizontal="center" vertical="center"/>
      <protection hidden="1"/>
    </xf>
    <xf numFmtId="4" fontId="5" fillId="2" borderId="14" xfId="0" applyNumberFormat="1" applyFont="1" applyFill="1" applyBorder="1" applyAlignment="1" applyProtection="1">
      <alignment horizontal="center" vertical="center"/>
      <protection hidden="1"/>
    </xf>
    <xf numFmtId="9" fontId="5" fillId="0" borderId="14" xfId="2" applyFont="1" applyBorder="1" applyAlignment="1" applyProtection="1">
      <alignment horizontal="center" vertical="center"/>
      <protection hidden="1"/>
    </xf>
    <xf numFmtId="9" fontId="5" fillId="0" borderId="15" xfId="2" applyFont="1" applyBorder="1" applyAlignment="1" applyProtection="1">
      <alignment horizontal="center" vertical="center"/>
      <protection hidden="1"/>
    </xf>
    <xf numFmtId="9" fontId="7" fillId="0" borderId="5" xfId="2" applyFont="1" applyBorder="1" applyAlignment="1" applyProtection="1">
      <alignment horizontal="center" vertical="center"/>
      <protection hidden="1"/>
    </xf>
    <xf numFmtId="9" fontId="7" fillId="0" borderId="6" xfId="2" applyFont="1" applyBorder="1" applyAlignment="1" applyProtection="1">
      <alignment horizontal="center" vertical="center"/>
      <protection hidden="1"/>
    </xf>
    <xf numFmtId="9" fontId="7" fillId="0" borderId="8" xfId="2" applyFont="1" applyBorder="1" applyAlignment="1" applyProtection="1">
      <alignment horizontal="center" vertical="center"/>
      <protection hidden="1"/>
    </xf>
    <xf numFmtId="9" fontId="7" fillId="0" borderId="9" xfId="2" applyFont="1" applyBorder="1" applyAlignment="1" applyProtection="1">
      <alignment horizontal="center" vertical="center"/>
      <protection hidden="1"/>
    </xf>
    <xf numFmtId="9" fontId="7" fillId="0" borderId="18" xfId="2" applyFont="1" applyBorder="1" applyAlignment="1" applyProtection="1">
      <alignment horizontal="center" vertical="center"/>
      <protection hidden="1"/>
    </xf>
    <xf numFmtId="9" fontId="7" fillId="0" borderId="19" xfId="2" applyFont="1" applyBorder="1" applyAlignment="1" applyProtection="1">
      <alignment horizontal="center" vertical="center"/>
      <protection hidden="1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J23"/>
  <sheetViews>
    <sheetView showGridLines="0" tabSelected="1" workbookViewId="0">
      <selection activeCell="J24" sqref="J24"/>
    </sheetView>
  </sheetViews>
  <sheetFormatPr defaultColWidth="9.109375" defaultRowHeight="13.8" x14ac:dyDescent="0.25"/>
  <cols>
    <col min="1" max="1" width="9.6640625" style="1" customWidth="1"/>
    <col min="2" max="2" width="11.6640625" style="1" bestFit="1" customWidth="1"/>
    <col min="3" max="3" width="13.88671875" style="1" bestFit="1" customWidth="1"/>
    <col min="4" max="4" width="11.6640625" style="1" bestFit="1" customWidth="1"/>
    <col min="5" max="5" width="9.44140625" style="1" customWidth="1"/>
    <col min="6" max="6" width="15.44140625" style="1" bestFit="1" customWidth="1"/>
    <col min="7" max="7" width="3.88671875" style="1" bestFit="1" customWidth="1"/>
    <col min="8" max="8" width="11.6640625" style="1" bestFit="1" customWidth="1"/>
    <col min="9" max="9" width="9.33203125" style="1" bestFit="1" customWidth="1"/>
    <col min="10" max="10" width="15.44140625" style="1" bestFit="1" customWidth="1"/>
    <col min="11" max="16384" width="9.109375" style="1"/>
  </cols>
  <sheetData>
    <row r="1" spans="1:10" ht="19.5" customHeight="1" thickBot="1" x14ac:dyDescent="0.3">
      <c r="A1" s="43" t="s">
        <v>4</v>
      </c>
      <c r="B1" s="44"/>
      <c r="C1" s="30">
        <v>3600</v>
      </c>
      <c r="E1" s="53" t="s">
        <v>20</v>
      </c>
      <c r="F1" s="54"/>
      <c r="G1" s="54"/>
      <c r="H1" s="54"/>
      <c r="I1" s="54"/>
      <c r="J1" s="55"/>
    </row>
    <row r="2" spans="1:10" ht="24" customHeight="1" x14ac:dyDescent="0.25">
      <c r="A2" s="45" t="s">
        <v>5</v>
      </c>
      <c r="B2" s="36" t="s">
        <v>0</v>
      </c>
      <c r="C2" s="31">
        <f>IF(C1&lt;=B17,C1*E17,IF(C1&lt;=D18,C1*E18,IF(C1&lt;=D19,C1*E19,IF(C1&gt;D19,F20,))))</f>
        <v>334.28889999999996</v>
      </c>
      <c r="E2" s="56"/>
      <c r="F2" s="57"/>
      <c r="G2" s="57"/>
      <c r="H2" s="57"/>
      <c r="I2" s="57"/>
      <c r="J2" s="58"/>
    </row>
    <row r="3" spans="1:10" ht="24" customHeight="1" thickBot="1" x14ac:dyDescent="0.3">
      <c r="A3" s="46"/>
      <c r="B3" s="37" t="s">
        <v>1</v>
      </c>
      <c r="C3" s="29">
        <f>IF(C1&lt;=B9,0,IF(C1&lt;=D10,C1*E10,IF(C1&lt;=D11,C1*E11,IF(C1&lt;=D12,C1*E12,IF(C1&gt;B13,C1*E13,)))))</f>
        <v>990.00000000000011</v>
      </c>
      <c r="E3" s="59"/>
      <c r="F3" s="60"/>
      <c r="G3" s="60"/>
      <c r="H3" s="60"/>
      <c r="I3" s="60"/>
      <c r="J3" s="61"/>
    </row>
    <row r="4" spans="1:10" ht="24" customHeight="1" thickBot="1" x14ac:dyDescent="0.3">
      <c r="A4" s="47"/>
      <c r="B4" s="38" t="s">
        <v>3</v>
      </c>
      <c r="C4" s="32">
        <f>C1*E23</f>
        <v>180</v>
      </c>
    </row>
    <row r="5" spans="1:10" ht="23.25" customHeight="1" thickBot="1" x14ac:dyDescent="0.3">
      <c r="A5" s="43" t="s">
        <v>6</v>
      </c>
      <c r="B5" s="44"/>
      <c r="C5" s="12">
        <f>C1-SUM(C2:C4)</f>
        <v>2095.7111</v>
      </c>
    </row>
    <row r="6" spans="1:10" ht="18.899999999999999" customHeight="1" thickBot="1" x14ac:dyDescent="0.3"/>
    <row r="7" spans="1:10" ht="18.899999999999999" customHeight="1" thickBot="1" x14ac:dyDescent="0.3">
      <c r="A7" s="40" t="s">
        <v>7</v>
      </c>
      <c r="B7" s="41"/>
      <c r="C7" s="41"/>
      <c r="D7" s="41"/>
      <c r="E7" s="41"/>
      <c r="F7" s="42"/>
    </row>
    <row r="8" spans="1:10" s="27" customFormat="1" ht="24" customHeight="1" thickBot="1" x14ac:dyDescent="0.35">
      <c r="A8" s="48" t="s">
        <v>8</v>
      </c>
      <c r="B8" s="49"/>
      <c r="C8" s="49"/>
      <c r="D8" s="49"/>
      <c r="E8" s="25" t="s">
        <v>9</v>
      </c>
      <c r="F8" s="26" t="s">
        <v>10</v>
      </c>
    </row>
    <row r="9" spans="1:10" x14ac:dyDescent="0.25">
      <c r="A9" s="2" t="s">
        <v>11</v>
      </c>
      <c r="B9" s="3">
        <v>1434.59</v>
      </c>
      <c r="C9" s="4"/>
      <c r="D9" s="3" t="s">
        <v>2</v>
      </c>
      <c r="E9" s="5" t="s">
        <v>2</v>
      </c>
      <c r="F9" s="6" t="s">
        <v>2</v>
      </c>
    </row>
    <row r="10" spans="1:10" x14ac:dyDescent="0.25">
      <c r="A10" s="7" t="s">
        <v>12</v>
      </c>
      <c r="B10" s="8">
        <v>1434.6</v>
      </c>
      <c r="C10" s="9" t="s">
        <v>11</v>
      </c>
      <c r="D10" s="8">
        <v>2150</v>
      </c>
      <c r="E10" s="10">
        <v>7.4999999999999997E-2</v>
      </c>
      <c r="F10" s="11">
        <v>107.59</v>
      </c>
    </row>
    <row r="11" spans="1:10" x14ac:dyDescent="0.25">
      <c r="A11" s="7" t="s">
        <v>12</v>
      </c>
      <c r="B11" s="8">
        <v>2150.0100000000002</v>
      </c>
      <c r="C11" s="9" t="s">
        <v>11</v>
      </c>
      <c r="D11" s="8">
        <v>2866.7</v>
      </c>
      <c r="E11" s="10">
        <v>0.15</v>
      </c>
      <c r="F11" s="11">
        <v>268.83999999999997</v>
      </c>
    </row>
    <row r="12" spans="1:10" x14ac:dyDescent="0.25">
      <c r="A12" s="7" t="s">
        <v>12</v>
      </c>
      <c r="B12" s="8">
        <v>2866.71</v>
      </c>
      <c r="C12" s="9" t="s">
        <v>11</v>
      </c>
      <c r="D12" s="8">
        <v>3582</v>
      </c>
      <c r="E12" s="10">
        <v>0.22500000000000001</v>
      </c>
      <c r="F12" s="11">
        <v>483.84</v>
      </c>
    </row>
    <row r="13" spans="1:10" ht="14.4" thickBot="1" x14ac:dyDescent="0.3">
      <c r="A13" s="13" t="s">
        <v>13</v>
      </c>
      <c r="B13" s="14">
        <v>3582</v>
      </c>
      <c r="C13" s="15"/>
      <c r="D13" s="14" t="s">
        <v>2</v>
      </c>
      <c r="E13" s="16">
        <v>0.27500000000000002</v>
      </c>
      <c r="F13" s="17">
        <v>662.94</v>
      </c>
    </row>
    <row r="14" spans="1:10" ht="14.4" thickBot="1" x14ac:dyDescent="0.3">
      <c r="A14" s="18"/>
      <c r="B14" s="19"/>
      <c r="C14" s="19"/>
      <c r="D14" s="19"/>
      <c r="E14" s="20"/>
      <c r="F14" s="21"/>
    </row>
    <row r="15" spans="1:10" s="28" customFormat="1" ht="14.4" thickBot="1" x14ac:dyDescent="0.35">
      <c r="A15" s="50" t="s">
        <v>19</v>
      </c>
      <c r="B15" s="51"/>
      <c r="C15" s="51"/>
      <c r="D15" s="51"/>
      <c r="E15" s="51"/>
      <c r="F15" s="52"/>
    </row>
    <row r="16" spans="1:10" s="28" customFormat="1" ht="27.75" customHeight="1" thickBot="1" x14ac:dyDescent="0.35">
      <c r="A16" s="50" t="s">
        <v>18</v>
      </c>
      <c r="B16" s="51"/>
      <c r="C16" s="51"/>
      <c r="D16" s="51"/>
      <c r="E16" s="50" t="s">
        <v>17</v>
      </c>
      <c r="F16" s="52"/>
    </row>
    <row r="17" spans="1:6" x14ac:dyDescent="0.25">
      <c r="A17" s="2" t="s">
        <v>11</v>
      </c>
      <c r="B17" s="4">
        <v>911.7</v>
      </c>
      <c r="C17" s="4"/>
      <c r="D17" s="4"/>
      <c r="E17" s="66">
        <v>0.08</v>
      </c>
      <c r="F17" s="67"/>
    </row>
    <row r="18" spans="1:6" x14ac:dyDescent="0.25">
      <c r="A18" s="7" t="s">
        <v>12</v>
      </c>
      <c r="B18" s="22">
        <v>911.71</v>
      </c>
      <c r="C18" s="9" t="s">
        <v>11</v>
      </c>
      <c r="D18" s="22">
        <v>1519.5</v>
      </c>
      <c r="E18" s="68">
        <v>0.09</v>
      </c>
      <c r="F18" s="69"/>
    </row>
    <row r="19" spans="1:6" ht="14.4" thickBot="1" x14ac:dyDescent="0.3">
      <c r="A19" s="33" t="s">
        <v>14</v>
      </c>
      <c r="B19" s="34">
        <v>1519.51</v>
      </c>
      <c r="C19" s="35" t="s">
        <v>11</v>
      </c>
      <c r="D19" s="34">
        <v>3038.99</v>
      </c>
      <c r="E19" s="70">
        <v>0.11</v>
      </c>
      <c r="F19" s="71"/>
    </row>
    <row r="20" spans="1:6" ht="14.4" thickBot="1" x14ac:dyDescent="0.3">
      <c r="A20" s="40" t="s">
        <v>15</v>
      </c>
      <c r="B20" s="41"/>
      <c r="C20" s="41"/>
      <c r="D20" s="41"/>
      <c r="E20" s="41"/>
      <c r="F20" s="39">
        <f>D19*E19</f>
        <v>334.28889999999996</v>
      </c>
    </row>
    <row r="21" spans="1:6" ht="14.4" thickBot="1" x14ac:dyDescent="0.3">
      <c r="A21" s="23"/>
      <c r="B21" s="23"/>
      <c r="C21" s="23"/>
      <c r="D21" s="23"/>
      <c r="E21" s="23"/>
      <c r="F21" s="24"/>
    </row>
    <row r="22" spans="1:6" ht="14.4" thickBot="1" x14ac:dyDescent="0.3">
      <c r="A22" s="40" t="s">
        <v>16</v>
      </c>
      <c r="B22" s="41"/>
      <c r="C22" s="41"/>
      <c r="D22" s="41"/>
      <c r="E22" s="41"/>
      <c r="F22" s="42"/>
    </row>
    <row r="23" spans="1:6" ht="14.4" thickBot="1" x14ac:dyDescent="0.3">
      <c r="A23" s="62" t="s">
        <v>17</v>
      </c>
      <c r="B23" s="63"/>
      <c r="C23" s="63"/>
      <c r="D23" s="63"/>
      <c r="E23" s="64">
        <v>0.05</v>
      </c>
      <c r="F23" s="65"/>
    </row>
  </sheetData>
  <protectedRanges>
    <protectedRange sqref="C1" name="Intervalo1"/>
  </protectedRanges>
  <mergeCells count="16">
    <mergeCell ref="A23:D23"/>
    <mergeCell ref="E23:F23"/>
    <mergeCell ref="A16:D16"/>
    <mergeCell ref="E16:F16"/>
    <mergeCell ref="E17:F17"/>
    <mergeCell ref="E18:F18"/>
    <mergeCell ref="E19:F19"/>
    <mergeCell ref="A20:E20"/>
    <mergeCell ref="A22:F22"/>
    <mergeCell ref="A1:B1"/>
    <mergeCell ref="A7:F7"/>
    <mergeCell ref="A2:A4"/>
    <mergeCell ref="A8:D8"/>
    <mergeCell ref="A5:B5"/>
    <mergeCell ref="A15:F15"/>
    <mergeCell ref="E1:J3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milgoncalves120122</dc:creator>
  <cp:lastModifiedBy>milgoncalves120122</cp:lastModifiedBy>
  <dcterms:created xsi:type="dcterms:W3CDTF">2010-01-19T18:02:22Z</dcterms:created>
  <dcterms:modified xsi:type="dcterms:W3CDTF">2022-01-18T19:50:14Z</dcterms:modified>
</cp:coreProperties>
</file>