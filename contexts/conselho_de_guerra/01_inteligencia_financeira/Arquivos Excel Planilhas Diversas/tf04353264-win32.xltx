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1.xml" ContentType="application/vnd.openxmlformats-officedocument.spreadsheetml.worksheet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worksheets/sheet2.xml" ContentType="application/vnd.openxmlformats-officedocument.spreadsheetml.worksheet+xml"/>
  <Override PartName="/xl/pivotTables/pivotTable2.xml" ContentType="application/vnd.openxmlformats-officedocument.spreadsheetml.pivotTable+xml"/>
  <Override PartName="/xl/slicers/slicer1.xml" ContentType="application/vnd.ms-excel.slicer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slicerCaches/slicerCache1.xml" ContentType="application/vnd.ms-excel.slicerCache+xml"/>
  <Override PartName="/xl/slicerCaches/slicerCache2.xml" ContentType="application/vnd.ms-excel.slicerCache+xml"/>
  <Override PartName="/xl/drawings/drawing1.xml" ContentType="application/vnd.openxmlformats-officedocument.drawing+xml"/>
  <Override PartName="/xl/theme/theme1.xml" ContentType="application/vnd.openxmlformats-officedocument.theme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pivotCache/pivotCacheDefinition2.xml" ContentType="application/vnd.openxmlformats-officedocument.spreadsheetml.pivotCacheDefinition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xl/tables/table3.xml" ContentType="application/vnd.openxmlformats-officedocument.spreadsheetml.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comments1.xml" ContentType="application/vnd.openxmlformats-officedocument.spreadsheetml.comments+xml"/>
  <Override PartName="/docProps/app.xml" ContentType="application/vnd.openxmlformats-officedocument.extended-properties+xml"/>
  <Override PartName="/docProps/core.xml" ContentType="application/vnd.openxmlformats-package.core-properties+xml"/>
  <Override PartName="/xl/charts/colors1.xml" ContentType="application/vnd.ms-office.chartcolorstyle+xml"/>
  <Override PartName="/xl/charts/style1.xml" ContentType="application/vnd.ms-office.chartstyle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filterPrivacy="1" codeName="EstaPasta_de_trabalho" hidePivotFieldList="1"/>
  <bookViews>
    <workbookView showHorizontalScroll="0" xWindow="0" yWindow="0" windowWidth="19440" windowHeight="9735" tabRatio="774"/>
  </bookViews>
  <sheets>
    <sheet name="Organizador" sheetId="8" r:id="rId1"/>
    <sheet name="Graf_Gastos" sheetId="36" state="veryHidden" r:id="rId2"/>
    <sheet name="Apoio_Churrasco" sheetId="13" state="veryHidden" r:id="rId3"/>
    <sheet name="TD_Churrasco" sheetId="28" state="veryHidden" r:id="rId4"/>
    <sheet name="Gráfico de Gastos" sheetId="9" r:id="rId5"/>
    <sheet name="Sobre" sheetId="37" r:id="rId6"/>
  </sheets>
  <externalReferences>
    <externalReference r:id="rId7"/>
  </externalReferences>
  <definedNames>
    <definedName name="\zxc" hidden="1">{#N/A,#N/A,FALSE,"Cronograma 3";#N/A,#N/A,FALSE,"Cronograma 2";#N/A,#N/A,FALSE,"Cronograma 1"}</definedName>
    <definedName name="_________________GFO1" hidden="1">{#N/A,#N/A,FALSE,"Cronograma 3";#N/A,#N/A,FALSE,"Cronograma 2";#N/A,#N/A,FALSE,"Cronograma 1"}</definedName>
    <definedName name="_________________GFO2" hidden="1">{#N/A,#N/A,FALSE,"Cronograma 3";#N/A,#N/A,FALSE,"Cronograma 2";#N/A,#N/A,FALSE,"Cronograma 1"}</definedName>
    <definedName name="________________GFO1" hidden="1">{#N/A,#N/A,FALSE,"Cronograma 3";#N/A,#N/A,FALSE,"Cronograma 2";#N/A,#N/A,FALSE,"Cronograma 1"}</definedName>
    <definedName name="________________GFO2" hidden="1">{#N/A,#N/A,FALSE,"Cronograma 3";#N/A,#N/A,FALSE,"Cronograma 2";#N/A,#N/A,FALSE,"Cronograma 1"}</definedName>
    <definedName name="__________GFO1" hidden="1">{#N/A,#N/A,FALSE,"Cronograma 3";#N/A,#N/A,FALSE,"Cronograma 2";#N/A,#N/A,FALSE,"Cronograma 1"}</definedName>
    <definedName name="__________GFO2" hidden="1">{#N/A,#N/A,FALSE,"Cronograma 3";#N/A,#N/A,FALSE,"Cronograma 2";#N/A,#N/A,FALSE,"Cronograma 1"}</definedName>
    <definedName name="____GFO1" hidden="1">{#N/A,#N/A,FALSE,"Cronograma 3";#N/A,#N/A,FALSE,"Cronograma 2";#N/A,#N/A,FALSE,"Cronograma 1"}</definedName>
    <definedName name="____GFO2" hidden="1">{#N/A,#N/A,FALSE,"Cronograma 3";#N/A,#N/A,FALSE,"Cronograma 2";#N/A,#N/A,FALSE,"Cronograma 1"}</definedName>
    <definedName name="___GFO1" hidden="1">{#N/A,#N/A,FALSE,"Cronograma 3";#N/A,#N/A,FALSE,"Cronograma 2";#N/A,#N/A,FALSE,"Cronograma 1"}</definedName>
    <definedName name="___GFO2" hidden="1">{#N/A,#N/A,FALSE,"Cronograma 3";#N/A,#N/A,FALSE,"Cronograma 2";#N/A,#N/A,FALSE,"Cronograma 1"}</definedName>
    <definedName name="_Fill" hidden="1">#REF!</definedName>
    <definedName name="_xlnm._FilterDatabase" localSheetId="4" hidden="1">'Gráfico de Gastos'!$C$35:$I$57</definedName>
    <definedName name="_Parse_In" hidden="1">#REF!</definedName>
    <definedName name="_Parse_Out" hidden="1">#REF!</definedName>
    <definedName name="a" hidden="1">{#N/A,#N/A,FALSE,"Cronograma 3";#N/A,#N/A,FALSE,"Cronograma 2";#N/A,#N/A,FALSE,"Cronograma 1"}</definedName>
    <definedName name="aaa" hidden="1">{"'RR'!$A$2:$E$81"}</definedName>
    <definedName name="AEF" hidden="1">{#N/A,#N/A,FALSE,"Cronograma 3";#N/A,#N/A,FALSE,"Cronograma 2";#N/A,#N/A,FALSE,"Cronograma 1"}</definedName>
    <definedName name="AFDSA" hidden="1">{#N/A,#N/A,FALSE,"Cronograma 3";#N/A,#N/A,FALSE,"Cronograma 2";#N/A,#N/A,FALSE,"Cronograma 1"}</definedName>
    <definedName name="ASD" hidden="1">{#N/A,#N/A,FALSE,"Cronograma 3";#N/A,#N/A,FALSE,"Cronograma 2";#N/A,#N/A,FALSE,"Cronograma 1"}</definedName>
    <definedName name="b_Grupo_A1" hidden="1">#REF!</definedName>
    <definedName name="b_Grupo_A2" hidden="1">#REF!</definedName>
    <definedName name="b_Grupo_B1" hidden="1">#REF!</definedName>
    <definedName name="b_Grupo_B2" hidden="1">#REF!</definedName>
    <definedName name="b_Grupo_C1" hidden="1">#REF!</definedName>
    <definedName name="b_Grupo_C2" hidden="1">#REF!</definedName>
    <definedName name="b_Grupo_D1" hidden="1">#REF!</definedName>
    <definedName name="b_Grupo_D2" hidden="1">#REF!</definedName>
    <definedName name="b_Grupo_E1" hidden="1">#REF!</definedName>
    <definedName name="b_Grupo_E2" hidden="1">#REF!</definedName>
    <definedName name="b_Grupo_F1" hidden="1">#REF!</definedName>
    <definedName name="b_Grupo_F2" hidden="1">#REF!</definedName>
    <definedName name="b_Grupo_G1" hidden="1">#REF!</definedName>
    <definedName name="b_Grupo_G2" hidden="1">#REF!</definedName>
    <definedName name="b_Grupo_H1" hidden="1">#REF!</definedName>
    <definedName name="b_Grupo_H2" hidden="1">#REF!</definedName>
    <definedName name="c_Criancas" hidden="1">Organizador!$E$13</definedName>
    <definedName name="c_Homens" hidden="1">Organizador!$D$13</definedName>
    <definedName name="c_Mulheres" hidden="1">Organizador!$C$13</definedName>
    <definedName name="Carboquimicos" hidden="1">{#N/A,#N/A,FALSE,"Cronograma 3";#N/A,#N/A,FALSE,"Cronograma 2";#N/A,#N/A,FALSE,"Cronograma 1"}</definedName>
    <definedName name="Celulas_Apagaveis_Churrasco">Organizador!$C$24:$N$24,Organizador!$F$16:$F$23,Organizador!$J$16:$J$23,Organizador!$N$16:$N$23,Organizador!$C$13:$E$13</definedName>
    <definedName name="Celulas_Apagaveis_Figurinhas">#REF!,#REF!,#REF!,#REF!,#REF!,#REF!,#REF!,#REF!,#REF!,#REF!,#REF!,#REF!,#REF!,#REF!,#REF!,#REF!,#REF!,#REF!,#REF!,#REF!,#REF!,#REF!,#REF!,#REF!,#REF!,#REF!,#REF!,#REF!,#REF!,#REF!,#REF!,#REF!,#REF!,#REF!,#REF!</definedName>
    <definedName name="cTimes_A" hidden="1">#REF!</definedName>
    <definedName name="cTimes_B" hidden="1">#REF!</definedName>
    <definedName name="cTimes_C" hidden="1">#REF!</definedName>
    <definedName name="cTimes_D" hidden="1">#REF!</definedName>
    <definedName name="cTimes_E" hidden="1">#REF!</definedName>
    <definedName name="cTimes_F" hidden="1">#REF!</definedName>
    <definedName name="cTimes_G" hidden="1">#REF!</definedName>
    <definedName name="cTimes_H" hidden="1">#REF!</definedName>
    <definedName name="custo_planejado" hidden="1">Apoio_Churrasco!$Q$13</definedName>
    <definedName name="custo_por_pessoa" hidden="1">Apoio_Churrasco!$Q$10</definedName>
    <definedName name="custo_Total" hidden="1">Apoio_Churrasco!$Q$4</definedName>
    <definedName name="DebugMode" hidden="1">TRUE</definedName>
    <definedName name="Derrota_Jogo13" hidden="1">#REF!</definedName>
    <definedName name="Derrota_Jogo14" hidden="1">#REF!</definedName>
    <definedName name="dh" hidden="1">{#N/A,#N/A,FALSE,"PAG16";#N/A,#N/A,FALSE,"PAG15";#N/A,#N/A,FALSE,"PAG14";#N/A,#N/A,FALSE,"PAG13";#N/A,#N/A,FALSE,"PAG12";#N/A,#N/A,FALSE,"PAG11";#N/A,#N/A,FALSE,"PAG10";#N/A,#N/A,FALSE,"PAG09";#N/A,#N/A,FALSE,"PAG08";#N/A,#N/A,FALSE,"PAG07";#N/A,#N/A,FALSE,"PAG06";#N/A,#N/A,FALSE,"PAG05";#N/A,#N/A,FALSE,"PAG04";#N/A,#N/A,FALSE,"PAG03";#N/A,#N/A,FALSE,"PAG02";#N/A,#N/A,FALSE,"PAG01";#N/A,#N/A,FALSE,"Índice";#N/A,#N/A,FALSE,"CAPA"}</definedName>
    <definedName name="dsaf" hidden="1">{#N/A,#N/A,FALSE,"Cronograma 3";#N/A,#N/A,FALSE,"Cronograma 2";#N/A,#N/A,FALSE,"Cronograma 1"}</definedName>
    <definedName name="DSD" hidden="1">{#N/A,#N/A,FALSE,"Cronograma 3";#N/A,#N/A,FALSE,"Cronograma 2";#N/A,#N/A,FALSE,"Cronograma 1"}</definedName>
    <definedName name="EF" hidden="1">{#N/A,#N/A,FALSE,"Cronograma 3";#N/A,#N/A,FALSE,"Cronograma 2";#N/A,#N/A,FALSE,"Cronograma 1"}</definedName>
    <definedName name="Estados_Dados_Mensais">OFFSET([1]Dados_Mensais!$C$6,,,COUNTA([1]Dados_Mensais!$C:$C)-5)</definedName>
    <definedName name="ETUY" hidden="1">{#N/A,#N/A,FALSE,"PAG16";#N/A,#N/A,FALSE,"PAG15";#N/A,#N/A,FALSE,"PAG14";#N/A,#N/A,FALSE,"PAG13";#N/A,#N/A,FALSE,"PAG12";#N/A,#N/A,FALSE,"PAG11";#N/A,#N/A,FALSE,"PAG10";#N/A,#N/A,FALSE,"PAG09";#N/A,#N/A,FALSE,"PAG08";#N/A,#N/A,FALSE,"PAG07";#N/A,#N/A,FALSE,"PAG06";#N/A,#N/A,FALSE,"PAG05";#N/A,#N/A,FALSE,"PAG04";#N/A,#N/A,FALSE,"PAG03";#N/A,#N/A,FALSE,"PAG02";#N/A,#N/A,FALSE,"PAG01";#N/A,#N/A,FALSE,"Índice";#N/A,#N/A,FALSE,"CAPA"}</definedName>
    <definedName name="f_Jogo01" hidden="1">#REF!</definedName>
    <definedName name="f_Jogo02" hidden="1">#REF!</definedName>
    <definedName name="f_Jogo03" hidden="1">#REF!</definedName>
    <definedName name="f_Jogo04" hidden="1">#REF!</definedName>
    <definedName name="f_Jogo05" hidden="1">#REF!</definedName>
    <definedName name="f_Jogo06" hidden="1">#REF!</definedName>
    <definedName name="f_Jogo07" hidden="1">#REF!</definedName>
    <definedName name="f_Jogo08" hidden="1">#REF!</definedName>
    <definedName name="f_Jogo09" hidden="1">#REF!</definedName>
    <definedName name="f_Jogo10" hidden="1">#REF!</definedName>
    <definedName name="f_Jogo11" hidden="1">#REF!</definedName>
    <definedName name="f_Jogo12" hidden="1">#REF!</definedName>
    <definedName name="f_Jogo13" hidden="1">#REF!</definedName>
    <definedName name="f_Jogo14" hidden="1">#REF!</definedName>
    <definedName name="f_Jogo15" hidden="1">#REF!</definedName>
    <definedName name="f_Jogo16" hidden="1">#REF!</definedName>
    <definedName name="Falha" hidden="1">{#N/A,#N/A,FALSE,"Cronograma 3";#N/A,#N/A,FALSE,"Cronograma 2";#N/A,#N/A,FALSE,"Cronograma 1"}</definedName>
    <definedName name="FASF" hidden="1">{#N/A,#N/A,FALSE,"Cronograma 3";#N/A,#N/A,FALSE,"Cronograma 2";#N/A,#N/A,FALSE,"Cronograma 1"}</definedName>
    <definedName name="FCAABS" hidden="1">{#N/A,#N/A,FALSE,"Cronograma 3";#N/A,#N/A,FALSE,"Cronograma 2";#N/A,#N/A,FALSE,"Cronograma 1"}</definedName>
    <definedName name="fds" hidden="1">{#N/A,#N/A,FALSE,"Cronograma 3";#N/A,#N/A,FALSE,"Cronograma 2";#N/A,#N/A,FALSE,"Cronograma 1"}</definedName>
    <definedName name="Final_Jogo15_A" hidden="1">#REF!</definedName>
    <definedName name="Final_Jogo15_B" hidden="1">#REF!</definedName>
    <definedName name="Final_Jogo16_A" hidden="1">#REF!</definedName>
    <definedName name="Final_Jogo16_B" hidden="1">#REF!</definedName>
    <definedName name="Formula" hidden="1">{#N/A,#N/A,FALSE,"Cronograma 3";#N/A,#N/A,FALSE,"Cronograma 2";#N/A,#N/A,FALSE,"Cronograma 1"}</definedName>
    <definedName name="GFO" hidden="1">{#N/A,#N/A,FALSE,"Cronograma 3";#N/A,#N/A,FALSE,"Cronograma 2";#N/A,#N/A,FALSE,"Cronograma 1"}</definedName>
    <definedName name="Grupo_Economico_ISP">OFFSET([1]!Carga_ISP[[#Headers],[Grupo Econômico]],1,0,COUNTA([1]_ISP!$A:$A)-1)</definedName>
    <definedName name="Grupo1A" hidden="1">#REF!</definedName>
    <definedName name="Grupo1B" hidden="1">#REF!</definedName>
    <definedName name="Grupo1C" hidden="1">#REF!</definedName>
    <definedName name="Grupo1D" hidden="1">#REF!</definedName>
    <definedName name="Grupo1E" hidden="1">#REF!</definedName>
    <definedName name="Grupo1F" hidden="1">#REF!</definedName>
    <definedName name="Grupo1G" hidden="1">#REF!</definedName>
    <definedName name="Grupo1H" hidden="1">#REF!</definedName>
    <definedName name="Grupo2A" hidden="1">#REF!</definedName>
    <definedName name="Grupo2B" hidden="1">#REF!</definedName>
    <definedName name="Grupo2C" hidden="1">#REF!</definedName>
    <definedName name="Grupo2D" hidden="1">#REF!</definedName>
    <definedName name="Grupo2E" hidden="1">#REF!</definedName>
    <definedName name="Grupo2F" hidden="1">#REF!</definedName>
    <definedName name="Grupo2G" hidden="1">#REF!</definedName>
    <definedName name="Grupo2H" hidden="1">#REF!</definedName>
    <definedName name="GrupoA" hidden="1">OFFSET(#REF!,0,0,COUNTIF(#REF!,"?*"),1)</definedName>
    <definedName name="GrupoA_Jogo01_A" hidden="1">#REF!</definedName>
    <definedName name="GrupoA_Jogo01_B" hidden="1">#REF!</definedName>
    <definedName name="GrupoA_Jogo02_A" hidden="1">#REF!</definedName>
    <definedName name="GrupoA_Jogo02_B" hidden="1">#REF!</definedName>
    <definedName name="GrupoA_Jogo03_A" hidden="1">#REF!</definedName>
    <definedName name="GrupoA_Jogo03_B" hidden="1">#REF!</definedName>
    <definedName name="GrupoA_Jogo04_A" hidden="1">#REF!</definedName>
    <definedName name="GrupoA_Jogo04_B" hidden="1">#REF!</definedName>
    <definedName name="GrupoA_Jogo05_A" hidden="1">#REF!</definedName>
    <definedName name="GrupoA_Jogo05_B" hidden="1">#REF!</definedName>
    <definedName name="GrupoA_Jogo06_A" hidden="1">#REF!</definedName>
    <definedName name="GrupoA_Jogo06_B" hidden="1">#REF!</definedName>
    <definedName name="GrupoB" hidden="1">OFFSET(#REF!,0,0,COUNTIF(#REF!,"?*"),1)</definedName>
    <definedName name="GrupoB_Jogo01_A" hidden="1">#REF!</definedName>
    <definedName name="GrupoB_Jogo01_B" hidden="1">#REF!</definedName>
    <definedName name="GrupoB_Jogo02_A" hidden="1">#REF!</definedName>
    <definedName name="GrupoB_Jogo02_B" hidden="1">#REF!</definedName>
    <definedName name="GrupoB_Jogo03_A" hidden="1">#REF!</definedName>
    <definedName name="GrupoB_Jogo03_B" hidden="1">#REF!</definedName>
    <definedName name="GrupoB_Jogo04_A" hidden="1">#REF!</definedName>
    <definedName name="GrupoB_Jogo04_B" hidden="1">#REF!</definedName>
    <definedName name="GrupoB_Jogo05_A" hidden="1">#REF!</definedName>
    <definedName name="GrupoB_Jogo05_B" hidden="1">#REF!</definedName>
    <definedName name="GrupoB_Jogo06_A" hidden="1">#REF!</definedName>
    <definedName name="GrupoB_Jogo06_B" hidden="1">#REF!</definedName>
    <definedName name="GrupoC" hidden="1">OFFSET(#REF!,0,0,COUNTIF(#REF!,"?*"),1)</definedName>
    <definedName name="GrupoC_Jogo01_A" hidden="1">#REF!</definedName>
    <definedName name="GrupoC_Jogo01_B" hidden="1">#REF!</definedName>
    <definedName name="GrupoC_Jogo02_A" hidden="1">#REF!</definedName>
    <definedName name="GrupoC_Jogo02_B" hidden="1">#REF!</definedName>
    <definedName name="GrupoC_Jogo03_A" hidden="1">#REF!</definedName>
    <definedName name="GrupoC_Jogo03_B" hidden="1">#REF!</definedName>
    <definedName name="GrupoC_Jogo04_A" hidden="1">#REF!</definedName>
    <definedName name="GrupoC_Jogo04_B" hidden="1">#REF!</definedName>
    <definedName name="GrupoC_Jogo05_A" hidden="1">#REF!</definedName>
    <definedName name="GrupoC_Jogo05_B" hidden="1">#REF!</definedName>
    <definedName name="GrupoC_Jogo06_A" hidden="1">#REF!</definedName>
    <definedName name="GrupoC_Jogo06_B" hidden="1">#REF!</definedName>
    <definedName name="GrupoD" hidden="1">OFFSET(#REF!,0,0,COUNTIF(#REF!,"?*"),1)</definedName>
    <definedName name="GrupoD_Jogo01_A" hidden="1">#REF!</definedName>
    <definedName name="GrupoD_Jogo01_B" hidden="1">#REF!</definedName>
    <definedName name="GrupoD_Jogo02_A" hidden="1">#REF!</definedName>
    <definedName name="GrupoD_Jogo02_B" hidden="1">#REF!</definedName>
    <definedName name="GrupoD_Jogo03_A" hidden="1">#REF!</definedName>
    <definedName name="GrupoD_Jogo03_B" hidden="1">#REF!</definedName>
    <definedName name="GrupoD_Jogo04_A" hidden="1">#REF!</definedName>
    <definedName name="GrupoD_Jogo04_B" hidden="1">#REF!</definedName>
    <definedName name="GrupoD_Jogo05_A" hidden="1">#REF!</definedName>
    <definedName name="GrupoD_Jogo05_B" hidden="1">#REF!</definedName>
    <definedName name="GrupoD_Jogo06_A" hidden="1">#REF!</definedName>
    <definedName name="GrupoD_Jogo06_B" hidden="1">#REF!</definedName>
    <definedName name="GrupoE" hidden="1">OFFSET(#REF!,0,0,COUNTIF(#REF!,"?*"),1)</definedName>
    <definedName name="GrupoE_Jogo01_A" hidden="1">#REF!</definedName>
    <definedName name="GrupoE_Jogo01_B" hidden="1">#REF!</definedName>
    <definedName name="GrupoE_Jogo02_A" hidden="1">#REF!</definedName>
    <definedName name="GrupoE_Jogo02_B" hidden="1">#REF!</definedName>
    <definedName name="GrupoE_Jogo03_A" hidden="1">#REF!</definedName>
    <definedName name="GrupoE_Jogo03_B" hidden="1">#REF!</definedName>
    <definedName name="GrupoE_Jogo04_A" hidden="1">#REF!</definedName>
    <definedName name="GrupoE_Jogo04_B" hidden="1">#REF!</definedName>
    <definedName name="GrupoE_Jogo05_A" hidden="1">#REF!</definedName>
    <definedName name="GrupoE_Jogo05_B" hidden="1">#REF!</definedName>
    <definedName name="GrupoE_Jogo06_A" hidden="1">#REF!</definedName>
    <definedName name="GrupoE_Jogo06_B" hidden="1">#REF!</definedName>
    <definedName name="GrupoF" hidden="1">OFFSET(#REF!,0,0,COUNTIF(#REF!,"?*"),1)</definedName>
    <definedName name="GrupoF_Jogo01_A" hidden="1">#REF!</definedName>
    <definedName name="GrupoF_Jogo01_B" hidden="1">#REF!</definedName>
    <definedName name="GrupoF_Jogo02_A" hidden="1">#REF!</definedName>
    <definedName name="GrupoF_Jogo02_B" hidden="1">#REF!</definedName>
    <definedName name="GrupoF_Jogo03_A" hidden="1">#REF!</definedName>
    <definedName name="GrupoF_Jogo03_B" hidden="1">#REF!</definedName>
    <definedName name="GrupoF_Jogo04_A" hidden="1">#REF!</definedName>
    <definedName name="GrupoF_Jogo04_B" hidden="1">#REF!</definedName>
    <definedName name="GrupoF_Jogo05_A" hidden="1">#REF!</definedName>
    <definedName name="GrupoF_Jogo05_B" hidden="1">#REF!</definedName>
    <definedName name="GrupoF_Jogo06_A" hidden="1">#REF!</definedName>
    <definedName name="GrupoF_Jogo06_B" hidden="1">#REF!</definedName>
    <definedName name="GrupoG" hidden="1">OFFSET(#REF!,0,0,COUNTIF(#REF!,"?*"),1)</definedName>
    <definedName name="GrupoG_Jogo01_A" hidden="1">#REF!</definedName>
    <definedName name="GrupoG_Jogo01_B" hidden="1">#REF!</definedName>
    <definedName name="GrupoG_Jogo02_A" hidden="1">#REF!</definedName>
    <definedName name="GrupoG_Jogo02_B" hidden="1">#REF!</definedName>
    <definedName name="GrupoG_Jogo03_A" hidden="1">#REF!</definedName>
    <definedName name="GrupoG_Jogo03_B" hidden="1">#REF!</definedName>
    <definedName name="GrupoG_Jogo04_A" hidden="1">#REF!</definedName>
    <definedName name="GrupoG_Jogo04_B" hidden="1">#REF!</definedName>
    <definedName name="GrupoG_Jogo05_A" hidden="1">#REF!</definedName>
    <definedName name="GrupoG_Jogo05_B" hidden="1">#REF!</definedName>
    <definedName name="GrupoG_Jogo06_A" hidden="1">#REF!</definedName>
    <definedName name="GrupoG_Jogo06_B" hidden="1">#REF!</definedName>
    <definedName name="GrupoH" hidden="1">OFFSET(#REF!,0,0,COUNTIF(#REF!,"?*"),1)</definedName>
    <definedName name="GrupoH_Jogo01_A" hidden="1">#REF!</definedName>
    <definedName name="GrupoH_Jogo01_B" hidden="1">#REF!</definedName>
    <definedName name="GrupoH_Jogo02_A" hidden="1">#REF!</definedName>
    <definedName name="GrupoH_Jogo02_B" hidden="1">#REF!</definedName>
    <definedName name="GrupoH_Jogo03_A" hidden="1">#REF!</definedName>
    <definedName name="GrupoH_Jogo03_B" hidden="1">#REF!</definedName>
    <definedName name="GrupoH_Jogo04_A" hidden="1">#REF!</definedName>
    <definedName name="GrupoH_Jogo04_B" hidden="1">#REF!</definedName>
    <definedName name="GrupoH_Jogo05_A" hidden="1">#REF!</definedName>
    <definedName name="GrupoH_Jogo05_B" hidden="1">#REF!</definedName>
    <definedName name="GrupoH_Jogo06_A" hidden="1">#REF!</definedName>
    <definedName name="GrupoH_Jogo06_B" hidden="1">#REF!</definedName>
    <definedName name="HTML_CodePage" hidden="1">1252</definedName>
    <definedName name="HTML_Control" hidden="1">{"'RR'!$A$2:$E$81"}</definedName>
    <definedName name="HTML_Description" hidden="1">""</definedName>
    <definedName name="HTML_Email" hidden="1">""</definedName>
    <definedName name="HTML_Header" hidden="1">"RR"</definedName>
    <definedName name="HTML_LastUpdate" hidden="1">"11/10/99"</definedName>
    <definedName name="HTML_LineAfter" hidden="1">FALSE</definedName>
    <definedName name="HTML_LineBefore" hidden="1">FALSE</definedName>
    <definedName name="HTML_Name" hidden="1">"Departamento de Informática"</definedName>
    <definedName name="HTML_OBDlg2" hidden="1">TRUE</definedName>
    <definedName name="HTML_OBDlg4" hidden="1">TRUE</definedName>
    <definedName name="HTML_OS" hidden="1">0</definedName>
    <definedName name="HTML_PathFile" hidden="1">"C:\Intranet\Todos os Indicadores\MeuHTML.htm"</definedName>
    <definedName name="HTML_Title" hidden="1">"Regional 4 SET99"</definedName>
    <definedName name="IKYDT" hidden="1">{#N/A,#N/A,FALSE,"Cronograma 3";#N/A,#N/A,FALSE,"Cronograma 2";#N/A,#N/A,FALSE,"Cronograma 1"}</definedName>
    <definedName name="JFGJH" hidden="1">{#N/A,#N/A,FALSE,"Cronograma 3";#N/A,#N/A,FALSE,"Cronograma 2";#N/A,#N/A,FALSE,"Cronograma 1"}</definedName>
    <definedName name="Lei_Incentivo">OFFSET([1]Apoio!$Q$2,,,COUNTA([1]Apoio!$Q:$Q)-1)</definedName>
    <definedName name="lista_finais">OFFSET(#REF!,0,0,COUNTA(#REF!)-COUNTIF(#REF!,999999999),1)</definedName>
    <definedName name="Lista_Incentivo">OFFSET('[1]_Cadastro de Verbas'!$E$1,MATCH([1]Simulador!$B$3,[1]!Tabela_CadastroVerbas[Estado],0),0,COUNTIF([1]!Tabela_CadastroVerbas[Estado],[1]Simulador!$B$3),1)</definedName>
    <definedName name="lista_participantes">OFFSET(#REF!,0,0,COUNTA(#REF!)-COUNTIF(#REF!,999999999),1)</definedName>
    <definedName name="Listas_Ano">OFFSET('[1]_Cadastro de Verbas'!$B$1,MATCH([1]Simulador!$B$3,[1]!Tabela_CadastroVerbas[Estado],0),0,COUNTIF([1]!Tabela_CadastroVerbas[Estado],[1]Simulador!$B$3),1)</definedName>
    <definedName name="ListaX" hidden="1">#REF!</definedName>
    <definedName name="m" hidden="1">{#N/A,#N/A,FALSE,"Cronograma 3";#N/A,#N/A,FALSE,"Cronograma 2";#N/A,#N/A,FALSE,"Cronograma 1"}</definedName>
    <definedName name="MESSAGES">OFFSET(#REF!,1,0,COUNTA(#REF!)-1,COUNTA(#REF!))</definedName>
    <definedName name="N_Prioridade">OFFSET([1]Simulador!$O$35,0,0,COUNTA([1]Simulador!$O$35:$O$301),1)</definedName>
    <definedName name="N_Protocolo">OFFSET([1]Simulador!$D$35,0,0,COUNTA([1]Simulador!$D$35:$D$301),1)</definedName>
    <definedName name="N_Verba">[1]Apoio!#REF!</definedName>
    <definedName name="Noves">999999999</definedName>
    <definedName name="Odilon1200" hidden="1">"42AGZYADVM0TINQJBEDQPZM29"</definedName>
    <definedName name="Oitavas_Jogo01_A" hidden="1">#REF!</definedName>
    <definedName name="Oitavas_Jogo01_B" hidden="1">#REF!</definedName>
    <definedName name="Oitavas_Jogo02_A" hidden="1">#REF!</definedName>
    <definedName name="Oitavas_Jogo02_B" hidden="1">#REF!</definedName>
    <definedName name="Oitavas_Jogo03_A" hidden="1">#REF!</definedName>
    <definedName name="Oitavas_Jogo03_B" hidden="1">#REF!</definedName>
    <definedName name="Oitavas_Jogo04_A" hidden="1">#REF!</definedName>
    <definedName name="Oitavas_Jogo04_B" hidden="1">#REF!</definedName>
    <definedName name="Oitavas_Jogo05_A" hidden="1">#REF!</definedName>
    <definedName name="Oitavas_Jogo05_B" hidden="1">#REF!</definedName>
    <definedName name="Oitavas_Jogo06_A" hidden="1">#REF!</definedName>
    <definedName name="Oitavas_Jogo06_B" hidden="1">#REF!</definedName>
    <definedName name="Oitavas_Jogo07_A" hidden="1">#REF!</definedName>
    <definedName name="Oitavas_Jogo07_B" hidden="1">#REF!</definedName>
    <definedName name="Oitavas_Jogo08_A" hidden="1">#REF!</definedName>
    <definedName name="Oitavas_Jogo08_B" hidden="1">#REF!</definedName>
    <definedName name="paslfjaslfjal" hidden="1">{#N/A,#N/A,FALSE,"Cronograma 3";#N/A,#N/A,FALSE,"Cronograma 2";#N/A,#N/A,FALSE,"Cronograma 1"}</definedName>
    <definedName name="Plan1bbbbb" hidden="1">{#N/A,#N/A,FALSE,"Cronograma 3";#N/A,#N/A,FALSE,"Cronograma 2";#N/A,#N/A,FALSE,"Cronograma 1"}</definedName>
    <definedName name="Procura_Status">OFFSET([1]_ISP!$A$2,,,COUNTA([1]_ISP!$A:$A)-1,9)</definedName>
    <definedName name="Quartas_Jogo09_A" hidden="1">#REF!</definedName>
    <definedName name="Quartas_Jogo09_B" hidden="1">#REF!</definedName>
    <definedName name="Quartas_Jogo10_A" hidden="1">#REF!</definedName>
    <definedName name="Quartas_Jogo10_B" hidden="1">#REF!</definedName>
    <definedName name="Quartas_Jogo11_A" hidden="1">#REF!</definedName>
    <definedName name="Quartas_Jogo11_B" hidden="1">#REF!</definedName>
    <definedName name="Quartas_Jogo12_A" hidden="1">#REF!</definedName>
    <definedName name="Quartas_Jogo12_B" hidden="1">#REF!</definedName>
    <definedName name="QW" hidden="1">{#N/A,#N/A,TRUE,"K2 e MEIA";#N/A,#N/A,TRUE,"K3";#N/A,#N/A,TRUE,"K4";#N/A,#N/A,TRUE,"PERFIL U";#N/A,#N/A,TRUE,"BCHA"}</definedName>
    <definedName name="sadfa" hidden="1">{#N/A,#N/A,FALSE,"Cronograma 3";#N/A,#N/A,FALSE,"Cronograma 2";#N/A,#N/A,FALSE,"Cronograma 1"}</definedName>
    <definedName name="sajds" hidden="1">#REF!</definedName>
    <definedName name="SAPBEXdnldView" hidden="1">"40PP6SL0UHTZS0JY948U1UH69"</definedName>
    <definedName name="SAPBEXrevision" hidden="1">1</definedName>
    <definedName name="SAPBEXsysID" hidden="1">"BIP"</definedName>
    <definedName name="SAPBEXwbID" hidden="1">"5XF4UZS3T784RLMMMOR4OE0M1"</definedName>
    <definedName name="sd" hidden="1">{#N/A,#N/A,FALSE,"Cronograma 3";#N/A,#N/A,FALSE,"Cronograma 2";#N/A,#N/A,FALSE,"Cronograma 1"}</definedName>
    <definedName name="SegmentaçãodeDados_Item1">#N/A</definedName>
    <definedName name="SegmentaçãodeDados_Produto1">#N/A</definedName>
    <definedName name="Semi_Jogo13_A" hidden="1">#REF!</definedName>
    <definedName name="Semi_Jogo13_B" hidden="1">#REF!</definedName>
    <definedName name="Semi_Jogo14_A" hidden="1">#REF!</definedName>
    <definedName name="Semi_Jogo14_B" hidden="1">#REF!</definedName>
    <definedName name="serg" hidden="1">{#N/A,#N/A,FALSE,"Cronograma 3";#N/A,#N/A,FALSE,"Cronograma 2";#N/A,#N/A,FALSE,"Cronograma 1"}</definedName>
    <definedName name="SFAF" hidden="1">{#N/A,#N/A,FALSE,"Cronograma 3";#N/A,#N/A,FALSE,"Cronograma 2";#N/A,#N/A,FALSE,"Cronograma 1"}</definedName>
    <definedName name="ss" hidden="1">{"'RR'!$A$2:$E$81"}</definedName>
    <definedName name="Status">OFFSET([1]Apoio!$O$1,1,0,COUNTA([1]Apoio!$O:$O)-1)</definedName>
    <definedName name="Valor_Total_Pago_ISP">OFFSET([1]!Carga_ISP[[#Headers],[Valor Total Pago]],1,0,COUNTA([1]_ISP!$A:$A)-1)</definedName>
    <definedName name="Valor_Total_Projeto_ISP">OFFSET([1]!Carga_ISP[[#Headers],[Valor Total do Projeto inf]],1,0,COUNTA([1]_ISP!$A:$A)-1)</definedName>
    <definedName name="Valores_Projeto_Dados_Mensais">OFFSET([1]Dados_Mensais!$D$6,,,COUNTA([1]Dados_Mensais!$D:$D)-1)</definedName>
    <definedName name="Vencedor_Jogo1" hidden="1">#REF!</definedName>
    <definedName name="Vencedor_Jogo10" hidden="1">#REF!</definedName>
    <definedName name="Vencedor_Jogo11" hidden="1">#REF!</definedName>
    <definedName name="Vencedor_Jogo12" hidden="1">#REF!</definedName>
    <definedName name="Vencedor_Jogo13" hidden="1">#REF!</definedName>
    <definedName name="Vencedor_Jogo14" hidden="1">#REF!</definedName>
    <definedName name="Vencedor_Jogo2" hidden="1">#REF!</definedName>
    <definedName name="Vencedor_Jogo3" hidden="1">#REF!</definedName>
    <definedName name="Vencedor_Jogo4" hidden="1">#REF!</definedName>
    <definedName name="Vencedor_Jogo5" hidden="1">#REF!</definedName>
    <definedName name="Vencedor_Jogo6" hidden="1">#REF!</definedName>
    <definedName name="Vencedor_Jogo7" hidden="1">#REF!</definedName>
    <definedName name="Vencedor_Jogo8" hidden="1">#REF!</definedName>
    <definedName name="Vencedor_Jogo9" hidden="1">#REF!</definedName>
    <definedName name="Version" hidden="1">"2014.04.07.001"</definedName>
    <definedName name="WEF" hidden="1">{#N/A,#N/A,FALSE,"Cronograma 3";#N/A,#N/A,FALSE,"Cronograma 2";#N/A,#N/A,FALSE,"Cronograma 1"}</definedName>
    <definedName name="wrn.estudo._.lamnv." hidden="1">{#N/A,#N/A,TRUE,"K2 e MEIA";#N/A,#N/A,TRUE,"K3";#N/A,#N/A,TRUE,"K4";#N/A,#N/A,TRUE,"PERFIL U";#N/A,#N/A,TRUE,"BCHA"}</definedName>
    <definedName name="wrn.IMP." hidden="1">{#N/A,#N/A,FALSE,"Cronograma 3";#N/A,#N/A,FALSE,"Cronograma 2";#N/A,#N/A,FALSE,"Cronograma 1"}</definedName>
    <definedName name="wrn.processo." hidden="1">{#N/A,#N/A,FALSE,"PAG16";#N/A,#N/A,FALSE,"PAG15";#N/A,#N/A,FALSE,"PAG14";#N/A,#N/A,FALSE,"PAG13";#N/A,#N/A,FALSE,"PAG12";#N/A,#N/A,FALSE,"PAG11";#N/A,#N/A,FALSE,"PAG10";#N/A,#N/A,FALSE,"PAG09";#N/A,#N/A,FALSE,"PAG08";#N/A,#N/A,FALSE,"PAG07";#N/A,#N/A,FALSE,"PAG06";#N/A,#N/A,FALSE,"PAG05";#N/A,#N/A,FALSE,"PAG04";#N/A,#N/A,FALSE,"PAG03";#N/A,#N/A,FALSE,"PAG02";#N/A,#N/A,FALSE,"PAG01";#N/A,#N/A,FALSE,"Índice";#N/A,#N/A,FALSE,"CAPA"}</definedName>
    <definedName name="Z_752A7E2D_3498_49C8_AF5C_9AB426597DA1_.wvu.FilterData" hidden="1">#REF!</definedName>
  </definedNames>
  <calcPr calcId="152511"/>
  <pivotCaches>
    <pivotCache cacheId="0" r:id="rId8"/>
    <pivotCache cacheId="1" r:id="rId9"/>
  </pivotCaches>
  <extLst>
    <ext xmlns:x14="http://schemas.microsoft.com/office/spreadsheetml/2009/9/main" uri="{BBE1A952-AA13-448e-AADC-164F8A28A991}">
      <x14:slicerCaches>
        <x14:slicerCache r:id="rId10"/>
        <x14:slicerCache r:id="rId11"/>
      </x14:slicerCach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M29" i="13" l="1"/>
  <c r="M20" i="13"/>
  <c r="M11" i="13"/>
  <c r="AB11" i="13" l="1"/>
  <c r="AB20" i="13"/>
  <c r="AB29" i="13"/>
  <c r="AA4" i="13"/>
  <c r="AA5" i="13"/>
  <c r="AA6" i="13"/>
  <c r="AA7" i="13"/>
  <c r="AA8" i="13"/>
  <c r="AA9" i="13"/>
  <c r="AA10" i="13"/>
  <c r="AA11" i="13"/>
  <c r="AA12" i="13"/>
  <c r="AA13" i="13"/>
  <c r="AA14" i="13"/>
  <c r="AA15" i="13"/>
  <c r="AA16" i="13"/>
  <c r="AA17" i="13"/>
  <c r="AA19" i="13"/>
  <c r="AA20" i="13"/>
  <c r="AA21" i="13"/>
  <c r="AA23" i="13"/>
  <c r="AA24" i="13"/>
  <c r="AA25" i="13"/>
  <c r="AA27" i="13"/>
  <c r="AA28" i="13"/>
  <c r="AA29" i="13"/>
  <c r="Y25" i="13"/>
  <c r="Y26" i="13"/>
  <c r="Y27" i="13"/>
  <c r="Y28" i="13"/>
  <c r="Y29" i="13"/>
  <c r="Y4" i="13"/>
  <c r="Y5" i="13"/>
  <c r="Y6" i="13"/>
  <c r="Y7" i="13"/>
  <c r="Y8" i="13"/>
  <c r="Y9" i="13"/>
  <c r="Y10" i="13"/>
  <c r="Y11" i="13"/>
  <c r="Y12" i="13"/>
  <c r="Y13" i="13"/>
  <c r="Y14" i="13"/>
  <c r="Y15" i="13"/>
  <c r="Y16" i="13"/>
  <c r="Y17" i="13"/>
  <c r="Y18" i="13"/>
  <c r="Y19" i="13"/>
  <c r="Y20" i="13"/>
  <c r="Y21" i="13"/>
  <c r="Y22" i="13"/>
  <c r="Y23" i="13"/>
  <c r="Y24" i="13"/>
  <c r="Y3" i="13"/>
  <c r="G21" i="8"/>
  <c r="G17" i="8"/>
  <c r="L16" i="13"/>
  <c r="AB16" i="13" s="1"/>
  <c r="L17" i="13"/>
  <c r="AB17" i="13" s="1"/>
  <c r="K18" i="13"/>
  <c r="AA18" i="13" s="1"/>
  <c r="Z29" i="13" l="1"/>
  <c r="Z20" i="13"/>
  <c r="Z11" i="13"/>
  <c r="N29" i="13"/>
  <c r="AC29" i="13" s="1"/>
  <c r="N28" i="13"/>
  <c r="AC28" i="13" s="1"/>
  <c r="N27" i="13"/>
  <c r="AC27" i="13" s="1"/>
  <c r="N26" i="13"/>
  <c r="AC26" i="13" s="1"/>
  <c r="N25" i="13"/>
  <c r="AC25" i="13" s="1"/>
  <c r="N24" i="13"/>
  <c r="AC24" i="13" s="1"/>
  <c r="N23" i="13"/>
  <c r="AC23" i="13" s="1"/>
  <c r="N22" i="13"/>
  <c r="AC22" i="13" s="1"/>
  <c r="N21" i="13"/>
  <c r="AC21" i="13" s="1"/>
  <c r="N20" i="13"/>
  <c r="AC20" i="13" s="1"/>
  <c r="N19" i="13"/>
  <c r="AC19" i="13" s="1"/>
  <c r="N18" i="13"/>
  <c r="AC18" i="13" s="1"/>
  <c r="N11" i="13"/>
  <c r="AC11" i="13" s="1"/>
  <c r="N10" i="13"/>
  <c r="AC10" i="13" s="1"/>
  <c r="N17" i="13"/>
  <c r="AC17" i="13" s="1"/>
  <c r="N16" i="13"/>
  <c r="AC16" i="13" s="1"/>
  <c r="N15" i="13"/>
  <c r="AC15" i="13" s="1"/>
  <c r="N14" i="13"/>
  <c r="AC14" i="13" s="1"/>
  <c r="N13" i="13"/>
  <c r="AC13" i="13" s="1"/>
  <c r="N12" i="13"/>
  <c r="AC12" i="13" s="1"/>
  <c r="N9" i="13"/>
  <c r="AC9" i="13" s="1"/>
  <c r="N8" i="13"/>
  <c r="AC8" i="13" s="1"/>
  <c r="N7" i="13"/>
  <c r="AC7" i="13" s="1"/>
  <c r="N6" i="13"/>
  <c r="AC6" i="13" s="1"/>
  <c r="N5" i="13"/>
  <c r="AC5" i="13" s="1"/>
  <c r="N4" i="13"/>
  <c r="AC4" i="13" s="1"/>
  <c r="N3" i="13"/>
  <c r="J41" i="13"/>
  <c r="I41" i="13"/>
  <c r="H41" i="13"/>
  <c r="AE29" i="13" l="1"/>
  <c r="Q4" i="13"/>
  <c r="AA3" i="13"/>
  <c r="L15" i="13" l="1"/>
  <c r="AB15" i="13" s="1"/>
  <c r="L14" i="13"/>
  <c r="AB14" i="13" s="1"/>
  <c r="L13" i="13"/>
  <c r="AB13" i="13" s="1"/>
  <c r="L12" i="13"/>
  <c r="AB12" i="13" s="1"/>
  <c r="AC3" i="13"/>
  <c r="G20" i="8"/>
  <c r="G19" i="8"/>
  <c r="G18" i="8"/>
  <c r="G16" i="8"/>
  <c r="Q7" i="13"/>
  <c r="Q10" i="13" s="1"/>
  <c r="H17" i="13"/>
  <c r="H16" i="13"/>
  <c r="H15" i="13"/>
  <c r="L8" i="13" s="1"/>
  <c r="AB8" i="13" s="1"/>
  <c r="H14" i="13"/>
  <c r="L19" i="13" s="1"/>
  <c r="H13" i="13"/>
  <c r="L18" i="13" s="1"/>
  <c r="H12" i="13"/>
  <c r="H11" i="13"/>
  <c r="H10" i="13"/>
  <c r="H9" i="13"/>
  <c r="H8" i="13"/>
  <c r="H7" i="13"/>
  <c r="H6" i="13"/>
  <c r="H5" i="13"/>
  <c r="H4" i="13"/>
  <c r="H3" i="13"/>
  <c r="K26" i="13"/>
  <c r="AA26" i="13" s="1"/>
  <c r="K22" i="13"/>
  <c r="AA22" i="13" s="1"/>
  <c r="L24" i="13" l="1"/>
  <c r="L23" i="13"/>
  <c r="M19" i="13"/>
  <c r="I23" i="8" s="1"/>
  <c r="AB19" i="13"/>
  <c r="M18" i="13"/>
  <c r="I22" i="8" s="1"/>
  <c r="AB18" i="13"/>
  <c r="K20" i="8"/>
  <c r="L25" i="13"/>
  <c r="AB25" i="13" s="1"/>
  <c r="L22" i="13"/>
  <c r="L10" i="13"/>
  <c r="L9" i="13"/>
  <c r="AB9" i="13" s="1"/>
  <c r="L28" i="13"/>
  <c r="AB28" i="13" s="1"/>
  <c r="L26" i="13"/>
  <c r="AB26" i="13" s="1"/>
  <c r="L27" i="13"/>
  <c r="AB27" i="13" s="1"/>
  <c r="L21" i="13"/>
  <c r="L4" i="13"/>
  <c r="AB4" i="13" s="1"/>
  <c r="M13" i="13"/>
  <c r="M15" i="13"/>
  <c r="M14" i="13"/>
  <c r="M12" i="13"/>
  <c r="I16" i="8" s="1"/>
  <c r="G23" i="8"/>
  <c r="K23" i="8"/>
  <c r="G22" i="8"/>
  <c r="L3" i="13"/>
  <c r="AB3" i="13" s="1"/>
  <c r="K22" i="8"/>
  <c r="L5" i="13"/>
  <c r="AB5" i="13" s="1"/>
  <c r="L6" i="13"/>
  <c r="AB6" i="13" s="1"/>
  <c r="L7" i="13"/>
  <c r="AB7" i="13" s="1"/>
  <c r="K21" i="8"/>
  <c r="Z14" i="13" l="1"/>
  <c r="I18" i="8"/>
  <c r="Z13" i="13"/>
  <c r="I17" i="8"/>
  <c r="Z15" i="13"/>
  <c r="I19" i="8"/>
  <c r="K18" i="8"/>
  <c r="AB23" i="13"/>
  <c r="K16" i="8"/>
  <c r="AB21" i="13"/>
  <c r="C23" i="8"/>
  <c r="AB10" i="13"/>
  <c r="K19" i="8"/>
  <c r="AB24" i="13"/>
  <c r="Z12" i="13"/>
  <c r="AE12" i="13" s="1"/>
  <c r="M10" i="13"/>
  <c r="K17" i="8"/>
  <c r="AB22" i="13"/>
  <c r="Z18" i="13"/>
  <c r="Z19" i="13"/>
  <c r="AE11" i="13"/>
  <c r="AE13" i="13"/>
  <c r="M23" i="13"/>
  <c r="M18" i="8" s="1"/>
  <c r="C22" i="8"/>
  <c r="M9" i="13"/>
  <c r="M24" i="13"/>
  <c r="M19" i="8" s="1"/>
  <c r="M27" i="13"/>
  <c r="M22" i="8" s="1"/>
  <c r="M25" i="13"/>
  <c r="M20" i="8" s="1"/>
  <c r="M28" i="13"/>
  <c r="M23" i="8" s="1"/>
  <c r="M8" i="13"/>
  <c r="Z8" i="13" s="1"/>
  <c r="M6" i="13"/>
  <c r="Z6" i="13" s="1"/>
  <c r="M4" i="13"/>
  <c r="Z4" i="13" s="1"/>
  <c r="M17" i="13"/>
  <c r="M7" i="13"/>
  <c r="Z7" i="13" s="1"/>
  <c r="M21" i="13"/>
  <c r="M16" i="8" s="1"/>
  <c r="M5" i="13"/>
  <c r="Z5" i="13" s="1"/>
  <c r="M26" i="13"/>
  <c r="M21" i="8" s="1"/>
  <c r="M22" i="13"/>
  <c r="M17" i="8" s="1"/>
  <c r="M16" i="13"/>
  <c r="I20" i="8" s="1"/>
  <c r="C21" i="8"/>
  <c r="C19" i="8"/>
  <c r="C17" i="8"/>
  <c r="C20" i="8"/>
  <c r="C18" i="8"/>
  <c r="C16" i="8"/>
  <c r="Z17" i="13" l="1"/>
  <c r="AE17" i="13" s="1"/>
  <c r="I21" i="8"/>
  <c r="Z16" i="13"/>
  <c r="Z26" i="13"/>
  <c r="AE26" i="13" s="1"/>
  <c r="Z21" i="13"/>
  <c r="AE21" i="13" s="1"/>
  <c r="Z28" i="13"/>
  <c r="AE28" i="13" s="1"/>
  <c r="Z27" i="13"/>
  <c r="AE27" i="13" s="1"/>
  <c r="E22" i="8"/>
  <c r="Z9" i="13"/>
  <c r="AE9" i="13" s="1"/>
  <c r="Z23" i="13"/>
  <c r="AE23" i="13" s="1"/>
  <c r="Z22" i="13"/>
  <c r="AE22" i="13" s="1"/>
  <c r="Z25" i="13"/>
  <c r="AE25" i="13" s="1"/>
  <c r="Z24" i="13"/>
  <c r="AE24" i="13" s="1"/>
  <c r="E23" i="8"/>
  <c r="Z10" i="13"/>
  <c r="AE10" i="13" s="1"/>
  <c r="AE20" i="13"/>
  <c r="AE19" i="13"/>
  <c r="AE6" i="13"/>
  <c r="AE5" i="13"/>
  <c r="AE4" i="13"/>
  <c r="AE8" i="13"/>
  <c r="M3" i="13"/>
  <c r="Q13" i="13" s="1"/>
  <c r="AE7" i="13"/>
  <c r="AE16" i="13" l="1"/>
  <c r="AE14" i="13"/>
  <c r="AE15" i="13"/>
  <c r="AE18" i="13"/>
  <c r="Z3" i="13"/>
  <c r="AE3" i="13" s="1"/>
  <c r="E16" i="8"/>
  <c r="E17" i="8"/>
  <c r="E20" i="8"/>
  <c r="E21" i="8"/>
  <c r="E18" i="8"/>
  <c r="E19" i="8"/>
</calcChain>
</file>

<file path=xl/comments1.xml><?xml version="1.0" encoding="utf-8"?>
<comments xmlns="http://schemas.openxmlformats.org/spreadsheetml/2006/main">
  <authors>
    <author>Author</author>
  </authors>
  <commentList>
    <comment ref="C13" authorId="0">
      <text>
        <r>
          <rPr>
            <b/>
            <sz val="12"/>
            <color indexed="81"/>
            <rFont val="Segoe UI"/>
            <family val="2"/>
          </rPr>
          <t>Digite a quantidade de Convidados!</t>
        </r>
      </text>
    </comment>
    <comment ref="D24" authorId="0">
      <text>
        <r>
          <rPr>
            <b/>
            <sz val="11"/>
            <color indexed="81"/>
            <rFont val="Segoe UI"/>
            <family val="2"/>
          </rPr>
          <t>Digite aqui um item Adicional à sua escolha, nos campos seguintes o valor Planejado e o Valor Real.</t>
        </r>
      </text>
    </comment>
    <comment ref="H24" authorId="0">
      <text>
        <r>
          <rPr>
            <b/>
            <sz val="11"/>
            <color indexed="81"/>
            <rFont val="Segoe UI"/>
            <family val="2"/>
          </rPr>
          <t>Digite aqui um item Adicional à sua escolha, nos campos seguintes o valor Planejado e o Valor Real.</t>
        </r>
      </text>
    </comment>
    <comment ref="L24" authorId="0">
      <text>
        <r>
          <rPr>
            <b/>
            <sz val="11"/>
            <color indexed="81"/>
            <rFont val="Segoe UI"/>
            <family val="2"/>
          </rPr>
          <t>Digite aqui um item Adicional à sua escolha, nos campos seguintes o valor Planejado e o Valor Real.</t>
        </r>
      </text>
    </comment>
    <comment ref="C26" authorId="0">
      <text/>
    </comment>
  </commentList>
</comments>
</file>

<file path=xl/sharedStrings.xml><?xml version="1.0" encoding="utf-8"?>
<sst xmlns="http://schemas.openxmlformats.org/spreadsheetml/2006/main" count="267" uniqueCount="106">
  <si>
    <t>Produto</t>
  </si>
  <si>
    <t>Preço</t>
  </si>
  <si>
    <t>Suco</t>
  </si>
  <si>
    <t>Bebidas</t>
  </si>
  <si>
    <t>Cerveja</t>
  </si>
  <si>
    <t>Vodka</t>
  </si>
  <si>
    <t>Vinho</t>
  </si>
  <si>
    <t>Gelo</t>
  </si>
  <si>
    <t>Churrasco</t>
  </si>
  <si>
    <t>Carvão</t>
  </si>
  <si>
    <t>Arroz</t>
  </si>
  <si>
    <t>Saladas</t>
  </si>
  <si>
    <t>Frutas</t>
  </si>
  <si>
    <t>Total Geral</t>
  </si>
  <si>
    <t>Diversos</t>
  </si>
  <si>
    <t>Item</t>
  </si>
  <si>
    <t>Rótulos de Linha</t>
  </si>
  <si>
    <t>Picanha</t>
  </si>
  <si>
    <t>Custo Real</t>
  </si>
  <si>
    <t>Custo Previsto</t>
  </si>
  <si>
    <t>Diferença</t>
  </si>
  <si>
    <t xml:space="preserve">Mulheres </t>
  </si>
  <si>
    <t>Homens</t>
  </si>
  <si>
    <t>Crianças</t>
  </si>
  <si>
    <t>Refrigerante</t>
  </si>
  <si>
    <t>Churrasco com 4 horas de duração</t>
  </si>
  <si>
    <t>Linguiça</t>
  </si>
  <si>
    <t>Guardanapo</t>
  </si>
  <si>
    <t>Farofa</t>
  </si>
  <si>
    <t>Frango</t>
  </si>
  <si>
    <t>Copos Descart.</t>
  </si>
  <si>
    <t>Frutas Diversas</t>
  </si>
  <si>
    <t>Talheres Desc.</t>
  </si>
  <si>
    <t>Pãezinhos</t>
  </si>
  <si>
    <t>Pães de Alho</t>
  </si>
  <si>
    <t>Soma de Custo Real</t>
  </si>
  <si>
    <t>Dicas</t>
  </si>
  <si>
    <t>Qtde</t>
  </si>
  <si>
    <t>*</t>
  </si>
  <si>
    <t>Real</t>
  </si>
  <si>
    <t>Planejado</t>
  </si>
  <si>
    <t>Quantidade</t>
  </si>
  <si>
    <t>Pessoas</t>
  </si>
  <si>
    <t>homem</t>
  </si>
  <si>
    <t>mulher</t>
  </si>
  <si>
    <t>criança</t>
  </si>
  <si>
    <t>adulto</t>
  </si>
  <si>
    <t>Agua</t>
  </si>
  <si>
    <t>Caipirinha</t>
  </si>
  <si>
    <t>Salada</t>
  </si>
  <si>
    <t>Pães</t>
  </si>
  <si>
    <t>Pão de Alho</t>
  </si>
  <si>
    <t>Cálculo</t>
  </si>
  <si>
    <t>Quant.</t>
  </si>
  <si>
    <t>Carnes (H)</t>
  </si>
  <si>
    <t>Carnes (M)</t>
  </si>
  <si>
    <t>Carnes (C )</t>
  </si>
  <si>
    <t>Cerveja (H)</t>
  </si>
  <si>
    <t>Cerveja (M)</t>
  </si>
  <si>
    <t>Refrigerante (C )</t>
  </si>
  <si>
    <t>Refrigerante (A)</t>
  </si>
  <si>
    <t>Agua (C )</t>
  </si>
  <si>
    <t>Agua (A)</t>
  </si>
  <si>
    <t>Suco (C )</t>
  </si>
  <si>
    <t>Suco (A)</t>
  </si>
  <si>
    <t>Total</t>
  </si>
  <si>
    <t>Água 1L</t>
  </si>
  <si>
    <t>Suco 1L</t>
  </si>
  <si>
    <t>Vinho 1L</t>
  </si>
  <si>
    <t>Vodka 1L</t>
  </si>
  <si>
    <t>Custo Total</t>
  </si>
  <si>
    <t>Total de Convidados</t>
  </si>
  <si>
    <t>Custo por Pessoa</t>
  </si>
  <si>
    <t>Homem</t>
  </si>
  <si>
    <t>Mulher</t>
  </si>
  <si>
    <t>Criança</t>
  </si>
  <si>
    <t>Acomp.</t>
  </si>
  <si>
    <t>Gelo (Kg)</t>
  </si>
  <si>
    <t>Cerveja 350 ml</t>
  </si>
  <si>
    <t>Carvão (kg)</t>
  </si>
  <si>
    <t>Talheres Desc. (20 unid)</t>
  </si>
  <si>
    <t>Alcatra</t>
  </si>
  <si>
    <t>Queijo Coalho</t>
  </si>
  <si>
    <t>Maminha</t>
  </si>
  <si>
    <t>Coração</t>
  </si>
  <si>
    <t>Adicional 2</t>
  </si>
  <si>
    <t xml:space="preserve"> </t>
  </si>
  <si>
    <t>Adicional 1</t>
  </si>
  <si>
    <t>Adicional 3</t>
  </si>
  <si>
    <t>Refrigerante 1L</t>
  </si>
  <si>
    <t>Alcatra (Kg)</t>
  </si>
  <si>
    <t>Maminha (Kg)</t>
  </si>
  <si>
    <t>Linguiça (Kg)</t>
  </si>
  <si>
    <t>Frango (Kg)</t>
  </si>
  <si>
    <t>Picanha (Kg)</t>
  </si>
  <si>
    <t>Coração (Kg)</t>
  </si>
  <si>
    <t>Guardanapos (50 unid)</t>
  </si>
  <si>
    <t xml:space="preserve">Queijo </t>
  </si>
  <si>
    <t>Gelo  (5 Kg)</t>
  </si>
  <si>
    <t>Carvão (4 kg)</t>
  </si>
  <si>
    <t>Carnes</t>
  </si>
  <si>
    <t>Soma de Real</t>
  </si>
  <si>
    <t>Custo Planejado</t>
  </si>
  <si>
    <t>* Para atualizar Selecione o Gráfico e pressione ALT + F5</t>
  </si>
  <si>
    <t>Copos Descart. (20 unid)</t>
  </si>
  <si>
    <t>Realizado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</si>
</sst>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&quot;R$&quot;\ #,##0.00;\-&quot;R$&quot;\ #,##0.00"/>
    <numFmt numFmtId="165" formatCode="_-&quot;R$&quot;\ * #,##0.00_-;\-&quot;R$&quot;\ * #,##0.00_-;_-&quot;R$&quot;\ * &quot;-&quot;??_-;_-@_-"/>
    <numFmt numFmtId="166" formatCode="_-[$R$-416]\ * #,##0.00_-;\-[$R$-416]\ * #,##0.00_-;_-[$R$-416]\ * &quot;-&quot;??_-;_-@_-"/>
    <numFmt numFmtId="167" formatCode="#,##0.0"/>
    <numFmt numFmtId="168" formatCode="0.000"/>
    <numFmt numFmtId="169" formatCode="&quot;R$&quot;\ #,##0.00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Segoe UI Light"/>
      <family val="2"/>
    </font>
    <font>
      <b/>
      <sz val="11"/>
      <color theme="1"/>
      <name val="Segoe UI Light"/>
      <family val="2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theme="1"/>
      <name val="Segoe UI"/>
      <family val="2"/>
    </font>
    <font>
      <b/>
      <sz val="12"/>
      <color theme="8" tint="-0.249977111117893"/>
      <name val="Segoe UI"/>
      <family val="2"/>
    </font>
    <font>
      <b/>
      <sz val="8"/>
      <color theme="1"/>
      <name val="Segoe UI"/>
      <family val="2"/>
    </font>
    <font>
      <sz val="8"/>
      <color theme="1"/>
      <name val="Segoe UI"/>
      <family val="2"/>
    </font>
    <font>
      <sz val="12"/>
      <color theme="1"/>
      <name val="Segoe UI Light"/>
      <family val="2"/>
    </font>
    <font>
      <b/>
      <i/>
      <sz val="24"/>
      <color theme="0"/>
      <name val="Segoe UI"/>
      <family val="2"/>
    </font>
    <font>
      <b/>
      <i/>
      <sz val="10"/>
      <color theme="0"/>
      <name val="Segoe UI"/>
      <family val="2"/>
    </font>
    <font>
      <b/>
      <i/>
      <sz val="12"/>
      <color theme="0"/>
      <name val="Segoe UI"/>
      <family val="2"/>
    </font>
    <font>
      <i/>
      <sz val="10"/>
      <color theme="2" tint="-0.89999084444715716"/>
      <name val="Segoe UI"/>
      <family val="2"/>
    </font>
    <font>
      <sz val="11"/>
      <name val="Calibri"/>
      <family val="2"/>
      <scheme val="minor"/>
    </font>
    <font>
      <b/>
      <i/>
      <sz val="9"/>
      <color theme="2" tint="-0.89999084444715716"/>
      <name val="Segoe UI"/>
      <family val="2"/>
    </font>
    <font>
      <b/>
      <sz val="12"/>
      <color theme="1"/>
      <name val="Segoe UI"/>
      <family val="2"/>
    </font>
    <font>
      <sz val="12"/>
      <color theme="1"/>
      <name val="Segoe UI"/>
      <family val="2"/>
    </font>
    <font>
      <b/>
      <sz val="11"/>
      <color theme="0"/>
      <name val="Segoe UI Light"/>
      <family val="2"/>
    </font>
    <font>
      <sz val="20"/>
      <color theme="1"/>
      <name val="Segoe UI"/>
      <family val="2"/>
    </font>
    <font>
      <sz val="12"/>
      <color theme="1"/>
      <name val="Segoe UI"/>
      <family val="2"/>
    </font>
    <font>
      <b/>
      <sz val="10"/>
      <color rgb="FFC00000"/>
      <name val="Segoe UI"/>
      <family val="2"/>
    </font>
    <font>
      <b/>
      <sz val="12"/>
      <color indexed="81"/>
      <name val="Segoe UI"/>
      <family val="2"/>
    </font>
    <font>
      <b/>
      <sz val="11"/>
      <color indexed="81"/>
      <name val="Segoe UI"/>
      <family val="2"/>
    </font>
  </fonts>
  <fills count="8">
    <fill>
      <patternFill patternType="none"/>
    </fill>
    <fill>
      <patternFill patternType="gray125"/>
    </fill>
    <fill>
      <patternFill patternType="solid">
        <fgColor rgb="FF990033"/>
        <bgColor indexed="64"/>
      </patternFill>
    </fill>
    <fill>
      <patternFill patternType="solid">
        <fgColor rgb="FF004C1E"/>
        <bgColor indexed="64"/>
      </patternFill>
    </fill>
    <fill>
      <patternFill patternType="solid">
        <fgColor rgb="FFDFF6E8"/>
        <bgColor indexed="64"/>
      </patternFill>
    </fill>
    <fill>
      <patternFill patternType="solid">
        <fgColor rgb="FFF4F8F6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indexed="64"/>
      </patternFill>
    </fill>
  </fills>
  <borders count="4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3300"/>
      </left>
      <right style="thin">
        <color rgb="FF003300"/>
      </right>
      <top style="thin">
        <color rgb="FF003300"/>
      </top>
      <bottom style="thin">
        <color rgb="FF003300"/>
      </bottom>
      <diagonal/>
    </border>
    <border>
      <left style="double">
        <color rgb="FF003300"/>
      </left>
      <right/>
      <top/>
      <bottom/>
      <diagonal/>
    </border>
    <border>
      <left/>
      <right style="double">
        <color rgb="FF003300"/>
      </right>
      <top/>
      <bottom/>
      <diagonal/>
    </border>
    <border>
      <left style="double">
        <color rgb="FF003300"/>
      </left>
      <right/>
      <top/>
      <bottom style="double">
        <color rgb="FF003300"/>
      </bottom>
      <diagonal/>
    </border>
    <border>
      <left/>
      <right/>
      <top/>
      <bottom style="double">
        <color rgb="FF003300"/>
      </bottom>
      <diagonal/>
    </border>
    <border>
      <left/>
      <right style="double">
        <color rgb="FF003300"/>
      </right>
      <top/>
      <bottom style="double">
        <color rgb="FF003300"/>
      </bottom>
      <diagonal/>
    </border>
    <border>
      <left style="thin">
        <color rgb="FF003300"/>
      </left>
      <right style="thin">
        <color rgb="FF003300"/>
      </right>
      <top style="thin">
        <color rgb="FF003300"/>
      </top>
      <bottom style="double">
        <color indexed="64"/>
      </bottom>
      <diagonal/>
    </border>
    <border>
      <left style="thin">
        <color rgb="FF003300"/>
      </left>
      <right style="thin">
        <color rgb="FF003300"/>
      </right>
      <top/>
      <bottom style="thin">
        <color rgb="FF003300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rgb="FF003300"/>
      </left>
      <right style="thin">
        <color rgb="FF003300"/>
      </right>
      <top/>
      <bottom/>
      <diagonal/>
    </border>
    <border>
      <left style="thin">
        <color rgb="FF003300"/>
      </left>
      <right style="thin">
        <color rgb="FF003300"/>
      </right>
      <top style="thin">
        <color rgb="FF003300"/>
      </top>
      <bottom/>
      <diagonal/>
    </border>
    <border>
      <left style="thin">
        <color rgb="FF003300"/>
      </left>
      <right/>
      <top style="thin">
        <color rgb="FF003300"/>
      </top>
      <bottom/>
      <diagonal/>
    </border>
    <border>
      <left style="double">
        <color rgb="FF087131"/>
      </left>
      <right style="thin">
        <color rgb="FF003300"/>
      </right>
      <top style="double">
        <color indexed="64"/>
      </top>
      <bottom style="thin">
        <color rgb="FF003300"/>
      </bottom>
      <diagonal/>
    </border>
    <border>
      <left style="thin">
        <color rgb="FF003300"/>
      </left>
      <right style="thin">
        <color rgb="FF003300"/>
      </right>
      <top style="double">
        <color indexed="64"/>
      </top>
      <bottom style="thin">
        <color rgb="FF003300"/>
      </bottom>
      <diagonal/>
    </border>
    <border>
      <left style="thin">
        <color rgb="FF003300"/>
      </left>
      <right style="double">
        <color rgb="FF087131"/>
      </right>
      <top style="double">
        <color indexed="64"/>
      </top>
      <bottom style="thin">
        <color rgb="FF003300"/>
      </bottom>
      <diagonal/>
    </border>
    <border>
      <left style="double">
        <color rgb="FF087131"/>
      </left>
      <right style="thin">
        <color rgb="FF003300"/>
      </right>
      <top/>
      <bottom style="thin">
        <color rgb="FF003300"/>
      </bottom>
      <diagonal/>
    </border>
    <border>
      <left style="thin">
        <color rgb="FF003300"/>
      </left>
      <right style="double">
        <color rgb="FF087131"/>
      </right>
      <top/>
      <bottom style="thin">
        <color rgb="FF003300"/>
      </bottom>
      <diagonal/>
    </border>
    <border>
      <left style="thin">
        <color rgb="FF003300"/>
      </left>
      <right style="double">
        <color rgb="FF087131"/>
      </right>
      <top style="thin">
        <color rgb="FF003300"/>
      </top>
      <bottom style="thin">
        <color rgb="FF003300"/>
      </bottom>
      <diagonal/>
    </border>
    <border>
      <left style="double">
        <color rgb="FF087131"/>
      </left>
      <right style="thin">
        <color rgb="FF003300"/>
      </right>
      <top/>
      <bottom/>
      <diagonal/>
    </border>
    <border>
      <left style="double">
        <color rgb="FF087131"/>
      </left>
      <right style="thin">
        <color indexed="64"/>
      </right>
      <top style="thin">
        <color indexed="64"/>
      </top>
      <bottom/>
      <diagonal/>
    </border>
    <border>
      <left/>
      <right style="double">
        <color rgb="FF087131"/>
      </right>
      <top style="thin">
        <color rgb="FF003300"/>
      </top>
      <bottom/>
      <diagonal/>
    </border>
    <border>
      <left style="double">
        <color rgb="FF08713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087131"/>
      </left>
      <right style="thin">
        <color indexed="64"/>
      </right>
      <top style="thin">
        <color indexed="64"/>
      </top>
      <bottom style="double">
        <color rgb="FF08713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rgb="FF087131"/>
      </bottom>
      <diagonal/>
    </border>
    <border>
      <left style="thin">
        <color rgb="FF003300"/>
      </left>
      <right style="double">
        <color rgb="FF087131"/>
      </right>
      <top style="thin">
        <color rgb="FF003300"/>
      </top>
      <bottom style="double">
        <color rgb="FF087131"/>
      </bottom>
      <diagonal/>
    </border>
    <border>
      <left style="thin">
        <color rgb="FF003300"/>
      </left>
      <right/>
      <top style="thin">
        <color rgb="FF003300"/>
      </top>
      <bottom style="double">
        <color indexed="64"/>
      </bottom>
      <diagonal/>
    </border>
    <border>
      <left style="thin">
        <color rgb="FF003300"/>
      </left>
      <right/>
      <top style="double">
        <color indexed="64"/>
      </top>
      <bottom style="thin">
        <color rgb="FF003300"/>
      </bottom>
      <diagonal/>
    </border>
    <border>
      <left style="thin">
        <color rgb="FF003300"/>
      </left>
      <right/>
      <top style="thin">
        <color rgb="FF003300"/>
      </top>
      <bottom style="thin">
        <color rgb="FF003300"/>
      </bottom>
      <diagonal/>
    </border>
    <border>
      <left style="thin">
        <color rgb="FF003300"/>
      </left>
      <right/>
      <top style="thin">
        <color rgb="FF003300"/>
      </top>
      <bottom style="double">
        <color rgb="FF087131"/>
      </bottom>
      <diagonal/>
    </border>
    <border>
      <left style="double">
        <color rgb="FF087131"/>
      </left>
      <right style="thin">
        <color rgb="FF003300"/>
      </right>
      <top style="thin">
        <color rgb="FF003300"/>
      </top>
      <bottom style="double">
        <color indexed="64"/>
      </bottom>
      <diagonal/>
    </border>
    <border>
      <left style="double">
        <color rgb="FF087131"/>
      </left>
      <right style="thin">
        <color rgb="FF003300"/>
      </right>
      <top style="thin">
        <color rgb="FF003300"/>
      </top>
      <bottom style="thin">
        <color rgb="FF003300"/>
      </bottom>
      <diagonal/>
    </border>
    <border>
      <left style="double">
        <color rgb="FF087131"/>
      </left>
      <right style="thin">
        <color rgb="FF003300"/>
      </right>
      <top style="thin">
        <color rgb="FF003300"/>
      </top>
      <bottom/>
      <diagonal/>
    </border>
  </borders>
  <cellStyleXfs count="2">
    <xf numFmtId="0" fontId="0" fillId="0" borderId="0"/>
    <xf numFmtId="165" fontId="3" fillId="0" borderId="0" applyFont="0" applyFill="0" applyBorder="0" applyAlignment="0" applyProtection="0"/>
  </cellStyleXfs>
  <cellXfs count="172">
    <xf numFmtId="0" fontId="0" fillId="0" borderId="0" xfId="0"/>
    <xf numFmtId="0" fontId="1" fillId="0" borderId="0" xfId="0" applyFont="1" applyBorder="1"/>
    <xf numFmtId="0" fontId="1" fillId="0" borderId="0" xfId="0" applyFont="1"/>
    <xf numFmtId="0" fontId="1" fillId="0" borderId="0" xfId="0" applyFont="1" applyBorder="1" applyAlignment="1">
      <alignment horizontal="center" vertical="center"/>
    </xf>
    <xf numFmtId="0" fontId="1" fillId="0" borderId="4" xfId="0" applyFont="1" applyBorder="1"/>
    <xf numFmtId="0" fontId="4" fillId="0" borderId="0" xfId="0" applyFont="1"/>
    <xf numFmtId="0" fontId="5" fillId="0" borderId="0" xfId="0" applyFont="1"/>
    <xf numFmtId="0" fontId="6" fillId="0" borderId="0" xfId="0" applyFont="1"/>
    <xf numFmtId="165" fontId="4" fillId="0" borderId="0" xfId="1" applyFont="1"/>
    <xf numFmtId="0" fontId="4" fillId="0" borderId="0" xfId="0" applyFont="1" applyAlignment="1">
      <alignment horizontal="right"/>
    </xf>
    <xf numFmtId="165" fontId="5" fillId="0" borderId="0" xfId="1" applyFont="1"/>
    <xf numFmtId="165" fontId="5" fillId="0" borderId="0" xfId="0" applyNumberFormat="1" applyFont="1"/>
    <xf numFmtId="0" fontId="8" fillId="0" borderId="0" xfId="0" applyFont="1"/>
    <xf numFmtId="0" fontId="8" fillId="0" borderId="0" xfId="0" applyFont="1" applyAlignment="1">
      <alignment horizontal="left" vertical="center"/>
    </xf>
    <xf numFmtId="0" fontId="9" fillId="0" borderId="0" xfId="0" applyFont="1"/>
    <xf numFmtId="165" fontId="9" fillId="0" borderId="0" xfId="1" applyFont="1"/>
    <xf numFmtId="0" fontId="9" fillId="0" borderId="0" xfId="0" applyFont="1" applyAlignment="1">
      <alignment horizontal="right"/>
    </xf>
    <xf numFmtId="165" fontId="8" fillId="0" borderId="0" xfId="1" applyFont="1"/>
    <xf numFmtId="165" fontId="8" fillId="0" borderId="0" xfId="0" applyNumberFormat="1" applyFont="1"/>
    <xf numFmtId="0" fontId="9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4" fillId="0" borderId="0" xfId="0" applyFont="1" applyBorder="1"/>
    <xf numFmtId="0" fontId="4" fillId="0" borderId="0" xfId="0" applyFont="1" applyBorder="1" applyAlignment="1">
      <alignment horizontal="right"/>
    </xf>
    <xf numFmtId="0" fontId="7" fillId="0" borderId="0" xfId="0" applyFont="1" applyBorder="1" applyAlignment="1">
      <alignment horizontal="left"/>
    </xf>
    <xf numFmtId="165" fontId="7" fillId="0" borderId="0" xfId="0" applyNumberFormat="1" applyFon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Fill="1"/>
    <xf numFmtId="0" fontId="0" fillId="0" borderId="0" xfId="0" applyBorder="1"/>
    <xf numFmtId="0" fontId="11" fillId="0" borderId="0" xfId="0" applyFont="1" applyFill="1" applyBorder="1" applyAlignment="1">
      <alignment vertical="center"/>
    </xf>
    <xf numFmtId="0" fontId="4" fillId="0" borderId="0" xfId="0" applyFont="1" applyFill="1"/>
    <xf numFmtId="0" fontId="9" fillId="0" borderId="0" xfId="0" applyFont="1" applyFill="1"/>
    <xf numFmtId="0" fontId="9" fillId="0" borderId="0" xfId="0" applyFont="1" applyFill="1" applyBorder="1"/>
    <xf numFmtId="165" fontId="9" fillId="0" borderId="0" xfId="1" applyFont="1" applyFill="1" applyBorder="1"/>
    <xf numFmtId="0" fontId="9" fillId="0" borderId="0" xfId="0" applyFont="1" applyFill="1" applyBorder="1" applyAlignment="1">
      <alignment horizontal="right"/>
    </xf>
    <xf numFmtId="0" fontId="5" fillId="0" borderId="0" xfId="0" applyFont="1" applyFill="1" applyBorder="1" applyAlignment="1">
      <alignment vertical="center"/>
    </xf>
    <xf numFmtId="0" fontId="4" fillId="0" borderId="0" xfId="0" applyFont="1" applyFill="1" applyBorder="1"/>
    <xf numFmtId="0" fontId="8" fillId="0" borderId="0" xfId="0" applyFont="1" applyFill="1" applyBorder="1"/>
    <xf numFmtId="0" fontId="8" fillId="0" borderId="0" xfId="0" applyFont="1" applyFill="1" applyBorder="1" applyAlignment="1">
      <alignment horizontal="left" vertical="center"/>
    </xf>
    <xf numFmtId="0" fontId="9" fillId="0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6" fillId="0" borderId="0" xfId="0" applyFont="1" applyFill="1" applyBorder="1"/>
    <xf numFmtId="165" fontId="4" fillId="0" borderId="0" xfId="1" applyFont="1" applyFill="1" applyBorder="1"/>
    <xf numFmtId="0" fontId="9" fillId="0" borderId="0" xfId="0" applyFont="1" applyFill="1" applyBorder="1" applyAlignment="1">
      <alignment horizontal="left" vertical="center"/>
    </xf>
    <xf numFmtId="165" fontId="9" fillId="0" borderId="0" xfId="1" applyFont="1" applyFill="1" applyBorder="1" applyAlignment="1">
      <alignment horizontal="right"/>
    </xf>
    <xf numFmtId="0" fontId="11" fillId="0" borderId="9" xfId="0" applyFont="1" applyFill="1" applyBorder="1" applyAlignment="1">
      <alignment vertical="center"/>
    </xf>
    <xf numFmtId="0" fontId="11" fillId="0" borderId="10" xfId="0" applyFont="1" applyFill="1" applyBorder="1" applyAlignment="1">
      <alignment vertical="center"/>
    </xf>
    <xf numFmtId="0" fontId="4" fillId="0" borderId="9" xfId="0" applyFont="1" applyFill="1" applyBorder="1"/>
    <xf numFmtId="0" fontId="4" fillId="0" borderId="10" xfId="0" applyFont="1" applyFill="1" applyBorder="1"/>
    <xf numFmtId="0" fontId="8" fillId="0" borderId="9" xfId="0" applyFont="1" applyFill="1" applyBorder="1"/>
    <xf numFmtId="0" fontId="9" fillId="0" borderId="10" xfId="0" applyFont="1" applyFill="1" applyBorder="1"/>
    <xf numFmtId="0" fontId="9" fillId="0" borderId="9" xfId="0" applyFont="1" applyFill="1" applyBorder="1"/>
    <xf numFmtId="0" fontId="9" fillId="0" borderId="10" xfId="0" applyFont="1" applyFill="1" applyBorder="1" applyAlignment="1">
      <alignment vertical="center"/>
    </xf>
    <xf numFmtId="0" fontId="4" fillId="0" borderId="11" xfId="0" applyFont="1" applyFill="1" applyBorder="1"/>
    <xf numFmtId="0" fontId="4" fillId="0" borderId="12" xfId="0" applyFont="1" applyFill="1" applyBorder="1"/>
    <xf numFmtId="0" fontId="5" fillId="0" borderId="12" xfId="0" applyFont="1" applyFill="1" applyBorder="1" applyAlignment="1">
      <alignment horizontal="left"/>
    </xf>
    <xf numFmtId="165" fontId="5" fillId="0" borderId="12" xfId="1" applyFont="1" applyFill="1" applyBorder="1"/>
    <xf numFmtId="0" fontId="4" fillId="0" borderId="12" xfId="0" applyFont="1" applyFill="1" applyBorder="1" applyAlignment="1">
      <alignment horizontal="right"/>
    </xf>
    <xf numFmtId="0" fontId="4" fillId="0" borderId="13" xfId="0" applyFont="1" applyFill="1" applyBorder="1" applyAlignment="1">
      <alignment vertical="center"/>
    </xf>
    <xf numFmtId="165" fontId="1" fillId="0" borderId="4" xfId="0" applyNumberFormat="1" applyFont="1" applyBorder="1"/>
    <xf numFmtId="0" fontId="12" fillId="2" borderId="14" xfId="0" applyFont="1" applyFill="1" applyBorder="1" applyAlignment="1">
      <alignment horizontal="center" vertical="center"/>
    </xf>
    <xf numFmtId="1" fontId="1" fillId="0" borderId="4" xfId="0" applyNumberFormat="1" applyFont="1" applyBorder="1"/>
    <xf numFmtId="0" fontId="0" fillId="0" borderId="0" xfId="0" applyNumberFormat="1"/>
    <xf numFmtId="0" fontId="0" fillId="0" borderId="0" xfId="0" applyProtection="1">
      <protection hidden="1"/>
    </xf>
    <xf numFmtId="0" fontId="4" fillId="0" borderId="16" xfId="0" applyFont="1" applyBorder="1"/>
    <xf numFmtId="1" fontId="5" fillId="4" borderId="15" xfId="0" applyNumberFormat="1" applyFont="1" applyFill="1" applyBorder="1" applyAlignment="1" applyProtection="1">
      <alignment horizontal="center" vertical="center"/>
      <protection locked="0" hidden="1"/>
    </xf>
    <xf numFmtId="1" fontId="5" fillId="4" borderId="15" xfId="1" applyNumberFormat="1" applyFont="1" applyFill="1" applyBorder="1" applyAlignment="1" applyProtection="1">
      <alignment horizontal="center" vertical="center"/>
      <protection locked="0" hidden="1"/>
    </xf>
    <xf numFmtId="165" fontId="13" fillId="2" borderId="4" xfId="1" applyFont="1" applyFill="1" applyBorder="1" applyAlignment="1" applyProtection="1">
      <alignment horizontal="center" vertical="center"/>
      <protection hidden="1"/>
    </xf>
    <xf numFmtId="0" fontId="12" fillId="3" borderId="14" xfId="0" applyFont="1" applyFill="1" applyBorder="1" applyAlignment="1" applyProtection="1">
      <alignment horizontal="center" vertical="center"/>
      <protection hidden="1"/>
    </xf>
    <xf numFmtId="165" fontId="12" fillId="3" borderId="14" xfId="1" applyFont="1" applyFill="1" applyBorder="1" applyAlignment="1" applyProtection="1">
      <alignment horizontal="center" vertical="center"/>
      <protection hidden="1"/>
    </xf>
    <xf numFmtId="165" fontId="16" fillId="4" borderId="15" xfId="1" applyFont="1" applyFill="1" applyBorder="1" applyAlignment="1" applyProtection="1">
      <alignment vertical="center"/>
      <protection hidden="1"/>
    </xf>
    <xf numFmtId="165" fontId="16" fillId="4" borderId="8" xfId="1" applyFont="1" applyFill="1" applyBorder="1" applyAlignment="1" applyProtection="1">
      <alignment vertical="center"/>
      <protection hidden="1"/>
    </xf>
    <xf numFmtId="165" fontId="14" fillId="5" borderId="15" xfId="1" applyFont="1" applyFill="1" applyBorder="1" applyAlignment="1" applyProtection="1">
      <alignment vertical="center"/>
      <protection hidden="1"/>
    </xf>
    <xf numFmtId="0" fontId="9" fillId="0" borderId="0" xfId="0" applyFont="1" applyProtection="1">
      <protection hidden="1"/>
    </xf>
    <xf numFmtId="0" fontId="9" fillId="0" borderId="0" xfId="0" applyFont="1" applyAlignment="1" applyProtection="1">
      <alignment horizontal="right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11" fillId="0" borderId="6" xfId="0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alignment vertical="center"/>
      <protection hidden="1"/>
    </xf>
    <xf numFmtId="0" fontId="11" fillId="0" borderId="1" xfId="0" applyFont="1" applyFill="1" applyBorder="1" applyAlignment="1" applyProtection="1">
      <alignment vertical="center"/>
      <protection hidden="1"/>
    </xf>
    <xf numFmtId="0" fontId="9" fillId="0" borderId="0" xfId="0" applyFont="1" applyAlignment="1" applyProtection="1">
      <alignment horizontal="left" vertical="center"/>
      <protection hidden="1"/>
    </xf>
    <xf numFmtId="14" fontId="9" fillId="0" borderId="0" xfId="0" applyNumberFormat="1" applyFont="1" applyAlignment="1" applyProtection="1">
      <alignment horizontal="center" vertical="center"/>
      <protection hidden="1"/>
    </xf>
    <xf numFmtId="0" fontId="17" fillId="3" borderId="0" xfId="0" applyFont="1" applyFill="1" applyAlignment="1">
      <alignment vertical="center"/>
    </xf>
    <xf numFmtId="0" fontId="17" fillId="3" borderId="0" xfId="0" applyFont="1" applyFill="1" applyAlignment="1">
      <alignment horizontal="left" vertical="center"/>
    </xf>
    <xf numFmtId="0" fontId="18" fillId="5" borderId="0" xfId="0" applyFont="1" applyFill="1" applyAlignment="1">
      <alignment vertical="center"/>
    </xf>
    <xf numFmtId="166" fontId="18" fillId="5" borderId="0" xfId="0" applyNumberFormat="1" applyFont="1" applyFill="1" applyAlignment="1">
      <alignment vertical="center"/>
    </xf>
    <xf numFmtId="165" fontId="18" fillId="5" borderId="0" xfId="1" applyFont="1" applyFill="1" applyAlignment="1">
      <alignment vertical="center"/>
    </xf>
    <xf numFmtId="0" fontId="18" fillId="5" borderId="0" xfId="0" applyFont="1" applyFill="1" applyAlignment="1">
      <alignment horizontal="right" vertical="center"/>
    </xf>
    <xf numFmtId="0" fontId="18" fillId="4" borderId="0" xfId="0" applyFont="1" applyFill="1" applyAlignment="1">
      <alignment horizontal="right" vertical="center"/>
    </xf>
    <xf numFmtId="0" fontId="19" fillId="6" borderId="17" xfId="0" applyFont="1" applyFill="1" applyBorder="1"/>
    <xf numFmtId="0" fontId="19" fillId="6" borderId="18" xfId="0" applyFont="1" applyFill="1" applyBorder="1"/>
    <xf numFmtId="165" fontId="16" fillId="4" borderId="20" xfId="1" applyFont="1" applyFill="1" applyBorder="1" applyAlignment="1" applyProtection="1">
      <alignment vertical="center"/>
      <protection hidden="1"/>
    </xf>
    <xf numFmtId="165" fontId="14" fillId="5" borderId="19" xfId="1" applyFont="1" applyFill="1" applyBorder="1" applyAlignment="1" applyProtection="1">
      <alignment vertical="center"/>
      <protection hidden="1"/>
    </xf>
    <xf numFmtId="165" fontId="16" fillId="4" borderId="4" xfId="1" applyFont="1" applyFill="1" applyBorder="1" applyAlignment="1" applyProtection="1">
      <alignment vertical="center"/>
      <protection hidden="1"/>
    </xf>
    <xf numFmtId="165" fontId="14" fillId="5" borderId="4" xfId="1" applyFont="1" applyFill="1" applyBorder="1" applyAlignment="1" applyProtection="1">
      <alignment vertical="center"/>
      <protection hidden="1"/>
    </xf>
    <xf numFmtId="165" fontId="16" fillId="4" borderId="21" xfId="1" applyFont="1" applyFill="1" applyBorder="1" applyAlignment="1" applyProtection="1">
      <alignment vertical="center"/>
      <protection hidden="1"/>
    </xf>
    <xf numFmtId="165" fontId="14" fillId="5" borderId="5" xfId="1" applyFont="1" applyFill="1" applyBorder="1" applyAlignment="1" applyProtection="1">
      <alignment vertical="center"/>
      <protection hidden="1"/>
    </xf>
    <xf numFmtId="165" fontId="16" fillId="4" borderId="5" xfId="1" applyFont="1" applyFill="1" applyBorder="1" applyAlignment="1" applyProtection="1">
      <alignment vertical="center"/>
      <protection hidden="1"/>
    </xf>
    <xf numFmtId="0" fontId="20" fillId="0" borderId="9" xfId="0" applyFont="1" applyFill="1" applyBorder="1" applyAlignment="1">
      <alignment horizontal="center" vertical="center"/>
    </xf>
    <xf numFmtId="0" fontId="1" fillId="0" borderId="5" xfId="0" applyFont="1" applyBorder="1"/>
    <xf numFmtId="0" fontId="0" fillId="0" borderId="4" xfId="0" applyBorder="1"/>
    <xf numFmtId="0" fontId="1" fillId="0" borderId="4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1" fillId="7" borderId="4" xfId="0" applyFont="1" applyFill="1" applyBorder="1"/>
    <xf numFmtId="165" fontId="1" fillId="7" borderId="4" xfId="0" applyNumberFormat="1" applyFont="1" applyFill="1" applyBorder="1"/>
    <xf numFmtId="165" fontId="1" fillId="0" borderId="0" xfId="0" applyNumberFormat="1" applyFont="1" applyBorder="1"/>
    <xf numFmtId="0" fontId="10" fillId="0" borderId="0" xfId="0" applyFont="1" applyBorder="1" applyAlignment="1">
      <alignment vertical="center"/>
    </xf>
    <xf numFmtId="0" fontId="10" fillId="0" borderId="0" xfId="0" applyFont="1" applyBorder="1" applyAlignment="1">
      <alignment horizontal="right" vertical="center"/>
    </xf>
    <xf numFmtId="1" fontId="10" fillId="0" borderId="0" xfId="0" applyNumberFormat="1" applyFont="1" applyBorder="1" applyAlignment="1">
      <alignment vertical="center"/>
    </xf>
    <xf numFmtId="2" fontId="1" fillId="0" borderId="4" xfId="0" applyNumberFormat="1" applyFont="1" applyBorder="1"/>
    <xf numFmtId="168" fontId="1" fillId="7" borderId="4" xfId="0" applyNumberFormat="1" applyFont="1" applyFill="1" applyBorder="1"/>
    <xf numFmtId="168" fontId="1" fillId="0" borderId="4" xfId="0" applyNumberFormat="1" applyFont="1" applyBorder="1"/>
    <xf numFmtId="168" fontId="0" fillId="0" borderId="4" xfId="0" applyNumberFormat="1" applyBorder="1"/>
    <xf numFmtId="168" fontId="0" fillId="7" borderId="4" xfId="0" applyNumberFormat="1" applyFill="1" applyBorder="1"/>
    <xf numFmtId="166" fontId="21" fillId="0" borderId="0" xfId="0" applyNumberFormat="1" applyFont="1" applyAlignment="1">
      <alignment vertical="center"/>
    </xf>
    <xf numFmtId="165" fontId="21" fillId="0" borderId="0" xfId="1" applyFont="1" applyAlignment="1">
      <alignment vertical="center"/>
    </xf>
    <xf numFmtId="0" fontId="21" fillId="0" borderId="0" xfId="0" applyFont="1" applyAlignment="1">
      <alignment vertical="center"/>
    </xf>
    <xf numFmtId="165" fontId="21" fillId="0" borderId="0" xfId="0" applyNumberFormat="1" applyFont="1" applyAlignment="1">
      <alignment vertical="center"/>
    </xf>
    <xf numFmtId="0" fontId="21" fillId="0" borderId="0" xfId="0" applyFont="1" applyAlignment="1">
      <alignment horizontal="right" vertical="center"/>
    </xf>
    <xf numFmtId="165" fontId="1" fillId="0" borderId="7" xfId="0" applyNumberFormat="1" applyFont="1" applyBorder="1"/>
    <xf numFmtId="165" fontId="1" fillId="7" borderId="7" xfId="0" applyNumberFormat="1" applyFont="1" applyFill="1" applyBorder="1"/>
    <xf numFmtId="0" fontId="19" fillId="6" borderId="4" xfId="0" applyFont="1" applyFill="1" applyBorder="1"/>
    <xf numFmtId="169" fontId="0" fillId="0" borderId="0" xfId="0" applyNumberFormat="1"/>
    <xf numFmtId="0" fontId="15" fillId="0" borderId="0" xfId="0" applyFont="1" applyFill="1"/>
    <xf numFmtId="164" fontId="1" fillId="0" borderId="4" xfId="1" applyNumberFormat="1" applyFont="1" applyBorder="1"/>
    <xf numFmtId="1" fontId="14" fillId="4" borderId="22" xfId="0" applyNumberFormat="1" applyFont="1" applyFill="1" applyBorder="1" applyAlignment="1" applyProtection="1">
      <alignment horizontal="right" vertical="center"/>
      <protection hidden="1"/>
    </xf>
    <xf numFmtId="165" fontId="16" fillId="4" borderId="23" xfId="1" applyFont="1" applyFill="1" applyBorder="1" applyAlignment="1" applyProtection="1">
      <alignment vertical="center"/>
      <protection hidden="1"/>
    </xf>
    <xf numFmtId="165" fontId="14" fillId="5" borderId="23" xfId="1" applyFont="1" applyFill="1" applyBorder="1" applyAlignment="1" applyProtection="1">
      <alignment vertical="center"/>
      <protection hidden="1"/>
    </xf>
    <xf numFmtId="165" fontId="14" fillId="5" borderId="24" xfId="1" applyFont="1" applyFill="1" applyBorder="1" applyAlignment="1" applyProtection="1">
      <alignment vertical="center"/>
      <protection locked="0" hidden="1"/>
    </xf>
    <xf numFmtId="1" fontId="14" fillId="4" borderId="25" xfId="0" applyNumberFormat="1" applyFont="1" applyFill="1" applyBorder="1" applyAlignment="1" applyProtection="1">
      <alignment horizontal="right" vertical="center"/>
      <protection hidden="1"/>
    </xf>
    <xf numFmtId="165" fontId="14" fillId="5" borderId="26" xfId="1" applyFont="1" applyFill="1" applyBorder="1" applyAlignment="1" applyProtection="1">
      <alignment vertical="center"/>
      <protection locked="0" hidden="1"/>
    </xf>
    <xf numFmtId="165" fontId="14" fillId="5" borderId="27" xfId="1" applyFont="1" applyFill="1" applyBorder="1" applyAlignment="1" applyProtection="1">
      <alignment vertical="center"/>
      <protection locked="0" hidden="1"/>
    </xf>
    <xf numFmtId="1" fontId="14" fillId="4" borderId="28" xfId="0" applyNumberFormat="1" applyFont="1" applyFill="1" applyBorder="1" applyAlignment="1" applyProtection="1">
      <alignment horizontal="right" vertical="center"/>
      <protection hidden="1"/>
    </xf>
    <xf numFmtId="1" fontId="14" fillId="4" borderId="29" xfId="0" applyNumberFormat="1" applyFont="1" applyFill="1" applyBorder="1" applyAlignment="1" applyProtection="1">
      <alignment horizontal="right" vertical="center"/>
      <protection hidden="1"/>
    </xf>
    <xf numFmtId="165" fontId="14" fillId="5" borderId="30" xfId="1" applyFont="1" applyFill="1" applyBorder="1" applyAlignment="1" applyProtection="1">
      <alignment vertical="center"/>
      <protection locked="0" hidden="1"/>
    </xf>
    <xf numFmtId="3" fontId="14" fillId="4" borderId="31" xfId="1" applyNumberFormat="1" applyFont="1" applyFill="1" applyBorder="1" applyAlignment="1" applyProtection="1">
      <alignment vertical="center"/>
      <protection hidden="1"/>
    </xf>
    <xf numFmtId="1" fontId="14" fillId="4" borderId="32" xfId="0" applyNumberFormat="1" applyFont="1" applyFill="1" applyBorder="1" applyAlignment="1" applyProtection="1">
      <alignment horizontal="right" vertical="center"/>
      <protection locked="0"/>
    </xf>
    <xf numFmtId="165" fontId="16" fillId="4" borderId="33" xfId="1" applyFont="1" applyFill="1" applyBorder="1" applyAlignment="1" applyProtection="1">
      <alignment vertical="center"/>
      <protection locked="0"/>
    </xf>
    <xf numFmtId="165" fontId="14" fillId="5" borderId="33" xfId="1" applyFont="1" applyFill="1" applyBorder="1" applyAlignment="1" applyProtection="1">
      <alignment vertical="center"/>
      <protection locked="0"/>
    </xf>
    <xf numFmtId="165" fontId="14" fillId="5" borderId="34" xfId="1" applyFont="1" applyFill="1" applyBorder="1" applyAlignment="1" applyProtection="1">
      <alignment vertical="center"/>
      <protection locked="0"/>
    </xf>
    <xf numFmtId="0" fontId="12" fillId="2" borderId="35" xfId="0" applyFont="1" applyFill="1" applyBorder="1" applyAlignment="1">
      <alignment horizontal="center" vertical="center"/>
    </xf>
    <xf numFmtId="165" fontId="14" fillId="5" borderId="36" xfId="1" applyFont="1" applyFill="1" applyBorder="1" applyAlignment="1" applyProtection="1">
      <alignment vertical="center"/>
      <protection locked="0" hidden="1"/>
    </xf>
    <xf numFmtId="165" fontId="14" fillId="5" borderId="37" xfId="1" applyFont="1" applyFill="1" applyBorder="1" applyAlignment="1" applyProtection="1">
      <alignment vertical="center"/>
      <protection locked="0" hidden="1"/>
    </xf>
    <xf numFmtId="165" fontId="14" fillId="5" borderId="21" xfId="1" applyFont="1" applyFill="1" applyBorder="1" applyAlignment="1" applyProtection="1">
      <alignment vertical="center"/>
      <protection locked="0" hidden="1"/>
    </xf>
    <xf numFmtId="165" fontId="14" fillId="5" borderId="2" xfId="1" applyFont="1" applyFill="1" applyBorder="1" applyAlignment="1" applyProtection="1">
      <alignment vertical="center"/>
      <protection locked="0" hidden="1"/>
    </xf>
    <xf numFmtId="165" fontId="14" fillId="5" borderId="7" xfId="1" applyFont="1" applyFill="1" applyBorder="1" applyAlignment="1" applyProtection="1">
      <alignment vertical="center"/>
      <protection locked="0" hidden="1"/>
    </xf>
    <xf numFmtId="165" fontId="14" fillId="5" borderId="38" xfId="1" applyFont="1" applyFill="1" applyBorder="1" applyAlignment="1" applyProtection="1">
      <alignment vertical="center"/>
      <protection locked="0"/>
    </xf>
    <xf numFmtId="2" fontId="14" fillId="4" borderId="22" xfId="0" applyNumberFormat="1" applyFont="1" applyFill="1" applyBorder="1" applyAlignment="1" applyProtection="1">
      <alignment horizontal="right" vertical="center"/>
      <protection hidden="1"/>
    </xf>
    <xf numFmtId="2" fontId="14" fillId="4" borderId="25" xfId="0" applyNumberFormat="1" applyFont="1" applyFill="1" applyBorder="1" applyAlignment="1" applyProtection="1">
      <alignment horizontal="right" vertical="center"/>
      <protection hidden="1"/>
    </xf>
    <xf numFmtId="2" fontId="14" fillId="4" borderId="40" xfId="0" applyNumberFormat="1" applyFont="1" applyFill="1" applyBorder="1" applyAlignment="1" applyProtection="1">
      <alignment horizontal="right" vertical="center"/>
      <protection hidden="1"/>
    </xf>
    <xf numFmtId="0" fontId="14" fillId="4" borderId="41" xfId="0" applyFont="1" applyFill="1" applyBorder="1" applyAlignment="1" applyProtection="1">
      <alignment horizontal="right" vertical="center"/>
      <protection hidden="1"/>
    </xf>
    <xf numFmtId="0" fontId="14" fillId="4" borderId="31" xfId="0" applyFont="1" applyFill="1" applyBorder="1" applyAlignment="1" applyProtection="1">
      <alignment horizontal="right" vertical="center"/>
      <protection hidden="1"/>
    </xf>
    <xf numFmtId="0" fontId="14" fillId="4" borderId="32" xfId="1" applyNumberFormat="1" applyFont="1" applyFill="1" applyBorder="1" applyAlignment="1" applyProtection="1">
      <alignment horizontal="right" vertical="center"/>
      <protection locked="0"/>
    </xf>
    <xf numFmtId="4" fontId="14" fillId="4" borderId="22" xfId="1" applyNumberFormat="1" applyFont="1" applyFill="1" applyBorder="1" applyAlignment="1" applyProtection="1">
      <alignment horizontal="right"/>
      <protection hidden="1"/>
    </xf>
    <xf numFmtId="3" fontId="14" fillId="4" borderId="25" xfId="1" applyNumberFormat="1" applyFont="1" applyFill="1" applyBorder="1" applyAlignment="1" applyProtection="1">
      <alignment vertical="center"/>
      <protection hidden="1"/>
    </xf>
    <xf numFmtId="0" fontId="14" fillId="4" borderId="40" xfId="0" applyFont="1" applyFill="1" applyBorder="1" applyAlignment="1" applyProtection="1">
      <alignment vertical="center"/>
      <protection hidden="1"/>
    </xf>
    <xf numFmtId="3" fontId="14" fillId="4" borderId="40" xfId="1" applyNumberFormat="1" applyFont="1" applyFill="1" applyBorder="1" applyAlignment="1" applyProtection="1">
      <alignment vertical="center"/>
      <protection hidden="1"/>
    </xf>
    <xf numFmtId="167" fontId="14" fillId="4" borderId="40" xfId="1" applyNumberFormat="1" applyFont="1" applyFill="1" applyBorder="1" applyAlignment="1" applyProtection="1">
      <alignment horizontal="right" vertical="center"/>
      <protection hidden="1"/>
    </xf>
    <xf numFmtId="0" fontId="14" fillId="4" borderId="40" xfId="0" applyFont="1" applyFill="1" applyBorder="1" applyAlignment="1" applyProtection="1">
      <alignment horizontal="right" vertical="center"/>
      <protection hidden="1"/>
    </xf>
    <xf numFmtId="167" fontId="14" fillId="4" borderId="41" xfId="1" applyNumberFormat="1" applyFont="1" applyFill="1" applyBorder="1" applyAlignment="1" applyProtection="1">
      <alignment horizontal="right" vertical="center"/>
      <protection hidden="1"/>
    </xf>
    <xf numFmtId="0" fontId="14" fillId="4" borderId="31" xfId="1" applyNumberFormat="1" applyFont="1" applyFill="1" applyBorder="1" applyAlignment="1" applyProtection="1">
      <alignment horizontal="right" vertical="center"/>
      <protection hidden="1"/>
    </xf>
    <xf numFmtId="167" fontId="14" fillId="4" borderId="32" xfId="1" applyNumberFormat="1" applyFont="1" applyFill="1" applyBorder="1" applyAlignment="1" applyProtection="1">
      <alignment horizontal="right" vertical="center"/>
      <protection locked="0"/>
    </xf>
    <xf numFmtId="0" fontId="4" fillId="0" borderId="0" xfId="0" applyFont="1" applyFill="1" applyBorder="1" applyAlignment="1">
      <alignment horizontal="center"/>
    </xf>
    <xf numFmtId="0" fontId="11" fillId="0" borderId="0" xfId="0" applyFont="1" applyFill="1" applyBorder="1" applyAlignment="1">
      <alignment horizontal="center" vertical="center"/>
    </xf>
    <xf numFmtId="0" fontId="12" fillId="3" borderId="14" xfId="0" applyFont="1" applyFill="1" applyBorder="1" applyAlignment="1" applyProtection="1">
      <alignment horizontal="center" vertical="center"/>
      <protection hidden="1"/>
    </xf>
    <xf numFmtId="0" fontId="12" fillId="3" borderId="39" xfId="0" applyFont="1" applyFill="1" applyBorder="1" applyAlignment="1" applyProtection="1">
      <alignment horizontal="center" vertical="center"/>
      <protection hidden="1"/>
    </xf>
    <xf numFmtId="165" fontId="12" fillId="3" borderId="39" xfId="1" applyFont="1" applyFill="1" applyBorder="1" applyAlignment="1" applyProtection="1">
      <alignment horizontal="center" vertical="center"/>
      <protection hidden="1"/>
    </xf>
    <xf numFmtId="165" fontId="12" fillId="3" borderId="14" xfId="1" applyFont="1" applyFill="1" applyBorder="1" applyAlignment="1" applyProtection="1">
      <alignment horizontal="center" vertical="center"/>
      <protection hidden="1"/>
    </xf>
    <xf numFmtId="0" fontId="11" fillId="0" borderId="3" xfId="0" applyFont="1" applyFill="1" applyBorder="1" applyAlignment="1" applyProtection="1">
      <alignment horizontal="center" vertical="center"/>
      <protection hidden="1"/>
    </xf>
    <xf numFmtId="0" fontId="11" fillId="0" borderId="0" xfId="0" applyFont="1" applyFill="1" applyBorder="1" applyAlignment="1" applyProtection="1">
      <alignment horizontal="center" vertical="center"/>
      <protection hidden="1"/>
    </xf>
    <xf numFmtId="0" fontId="22" fillId="0" borderId="0" xfId="0" applyFont="1" applyAlignment="1" applyProtection="1">
      <alignment horizontal="center" vertical="center"/>
      <protection hidden="1"/>
    </xf>
  </cellXfs>
  <cellStyles count="2">
    <cellStyle name="Currency" xfId="1" builtinId="4"/>
    <cellStyle name="Normal" xfId="0" builtinId="0"/>
  </cellStyles>
  <dxfs count="1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scheme val="none"/>
      </font>
      <numFmt numFmtId="166" formatCode="_-[$R$-416]\ * #,##0.00_-;\-[$R$-416]\ * #,##0.00_-;_-[$R$-416]\ * &quot;-&quot;??_-;_-@_-"/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scheme val="none"/>
      </font>
      <numFmt numFmtId="165" formatCode="_-&quot;R$&quot;\ * #,##0.00_-;\-&quot;R$&quot;\ * #,##0.00_-;_-&quot;R$&quot;\ * &quot;-&quot;??_-;_-@_-"/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scheme val="none"/>
      </font>
      <numFmt numFmtId="166" formatCode="_-[$R$-416]\ * #,##0.00_-;\-[$R$-416]\ * #,##0.00_-;_-[$R$-416]\ * &quot;-&quot;??_-;_-@_-"/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scheme val="none"/>
      </font>
      <fill>
        <patternFill patternType="solid">
          <fgColor indexed="64"/>
          <bgColor rgb="FF004C1E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 Light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Segoe UI Light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Segoe UI Light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Segoe UI Light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Segoe UI Light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Segoe UI Light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Segoe UI Light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Segoe UI Light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Segoe UI Light"/>
        <scheme val="none"/>
      </font>
    </dxf>
    <dxf>
      <font>
        <sz val="8"/>
      </font>
    </dxf>
  </dxfs>
  <tableStyles count="1" defaultTableStyle="TableStyleMedium2" defaultPivotStyle="PivotStyleLight16">
    <tableStyle name="Estilo de Segmentação de Dados 1" pivot="0" table="0" count="1">
      <tableStyleElement type="wholeTable" dxfId="18"/>
    </tableStyle>
  </tableStyles>
  <colors>
    <mruColors>
      <color rgb="FF087131"/>
      <color rgb="FFFFD371"/>
      <color rgb="FF990033"/>
      <color rgb="FF003300"/>
      <color rgb="FFDFF6E8"/>
      <color rgb="FFF4F8F6"/>
      <color rgb="FF004C1E"/>
      <color rgb="FFEAF7EF"/>
      <color rgb="FF4B5264"/>
      <color rgb="FFF0AA20"/>
    </mruColors>
  </colors>
  <extLst>
    <ext xmlns:x14="http://schemas.microsoft.com/office/spreadsheetml/2009/9/main" uri="{EB79DEF2-80B8-43e5-95BD-54CBDDF9020C}">
      <x14:slicerStyles defaultSlicerStyle="SlicerStyleLight1">
        <x14:slicerStyle name="Estilo de Segmentação de Dados 1"/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07/relationships/slicerCache" Target="slicerCaches/slicerCach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[Organizador_de_Churrasco.xltx]Graf_Gastos!Tabela dinâmica3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Gráfico de</a:t>
            </a:r>
            <a:r>
              <a:rPr lang="en-US" baseline="0"/>
              <a:t> Gastos Realizados     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ivotFmts>
      <c:pivotFmt>
        <c:idx val="0"/>
      </c:pivotFmt>
      <c:pivotFmt>
        <c:idx val="1"/>
      </c:pivotFmt>
      <c:pivotFmt>
        <c:idx val="2"/>
        <c:spPr>
          <a:gradFill rotWithShape="1">
            <a:gsLst>
              <a:gs pos="0">
                <a:schemeClr val="accent6">
                  <a:shade val="51000"/>
                  <a:satMod val="130000"/>
                </a:schemeClr>
              </a:gs>
              <a:gs pos="80000">
                <a:schemeClr val="accent6">
                  <a:shade val="93000"/>
                  <a:satMod val="130000"/>
                </a:schemeClr>
              </a:gs>
              <a:gs pos="100000">
                <a:schemeClr val="accent6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3"/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Graf_Gastos!$B$3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Graf_Gastos!$A$4:$A$9</c:f>
              <c:strCache>
                <c:ptCount val="5"/>
                <c:pt idx="0">
                  <c:v>Acomp.</c:v>
                </c:pt>
                <c:pt idx="1">
                  <c:v>Bebidas</c:v>
                </c:pt>
                <c:pt idx="2">
                  <c:v>Carnes</c:v>
                </c:pt>
                <c:pt idx="3">
                  <c:v>Diversos</c:v>
                </c:pt>
                <c:pt idx="4">
                  <c:v>Frutas</c:v>
                </c:pt>
              </c:strCache>
            </c:strRef>
          </c:cat>
          <c:val>
            <c:numRef>
              <c:f>Graf_Gastos!$B$4:$B$9</c:f>
              <c:numCache>
                <c:formatCode>"R$"\ #,##0.00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221970432"/>
        <c:axId val="221971968"/>
      </c:barChart>
      <c:catAx>
        <c:axId val="221970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1971968"/>
        <c:crosses val="autoZero"/>
        <c:auto val="1"/>
        <c:lblAlgn val="ctr"/>
        <c:lblOffset val="100"/>
        <c:noMultiLvlLbl val="0"/>
      </c:catAx>
      <c:valAx>
        <c:axId val="221971968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221970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50000"/>
      </a:schemeClr>
    </a:soli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#'Gr&#225;fico de Gastos'!A1"/><Relationship Id="rId6" Type="http://schemas.openxmlformats.org/officeDocument/2006/relationships/image" Target="../media/image4.png"/><Relationship Id="rId5" Type="http://schemas.openxmlformats.org/officeDocument/2006/relationships/hyperlink" Target="#Sobre!A1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chart" Target="../charts/chart1.xml"/><Relationship Id="rId1" Type="http://schemas.openxmlformats.org/officeDocument/2006/relationships/image" Target="../media/image2.png"/><Relationship Id="rId4" Type="http://schemas.openxmlformats.org/officeDocument/2006/relationships/hyperlink" Target="#Organizador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http://www.linkedin.com/company/mondial-tecnologia" TargetMode="External"/><Relationship Id="rId13" Type="http://schemas.openxmlformats.org/officeDocument/2006/relationships/image" Target="cid:image005.png@01CF74EA.2C7F4020" TargetMode="External"/><Relationship Id="rId3" Type="http://schemas.openxmlformats.org/officeDocument/2006/relationships/hyperlink" Target="http://www.mondial.com.br/" TargetMode="External"/><Relationship Id="rId7" Type="http://schemas.openxmlformats.org/officeDocument/2006/relationships/image" Target="cid:image003.png@01CF74EA.2C7F4020" TargetMode="External"/><Relationship Id="rId12" Type="http://schemas.openxmlformats.org/officeDocument/2006/relationships/image" Target="../media/image10.png"/><Relationship Id="rId17" Type="http://schemas.openxmlformats.org/officeDocument/2006/relationships/image" Target="../media/image3.png"/><Relationship Id="rId2" Type="http://schemas.openxmlformats.org/officeDocument/2006/relationships/hyperlink" Target="#Organizador!A1"/><Relationship Id="rId16" Type="http://schemas.openxmlformats.org/officeDocument/2006/relationships/image" Target="cid:image006.png@01CF74EA.2C7F4020" TargetMode="External"/><Relationship Id="rId1" Type="http://schemas.openxmlformats.org/officeDocument/2006/relationships/image" Target="../media/image6.png"/><Relationship Id="rId6" Type="http://schemas.openxmlformats.org/officeDocument/2006/relationships/image" Target="../media/image8.png"/><Relationship Id="rId11" Type="http://schemas.openxmlformats.org/officeDocument/2006/relationships/hyperlink" Target="https://twitter.com/MondialTecnolog" TargetMode="External"/><Relationship Id="rId5" Type="http://schemas.openxmlformats.org/officeDocument/2006/relationships/hyperlink" Target="https://www.facebook.com/MondialTecnologia" TargetMode="External"/><Relationship Id="rId15" Type="http://schemas.openxmlformats.org/officeDocument/2006/relationships/image" Target="../media/image11.png"/><Relationship Id="rId10" Type="http://schemas.openxmlformats.org/officeDocument/2006/relationships/image" Target="cid:image004.png@01CF74EA.2C7F4020" TargetMode="External"/><Relationship Id="rId4" Type="http://schemas.openxmlformats.org/officeDocument/2006/relationships/image" Target="../media/image7.png"/><Relationship Id="rId9" Type="http://schemas.openxmlformats.org/officeDocument/2006/relationships/image" Target="../media/image9.png"/><Relationship Id="rId14" Type="http://schemas.openxmlformats.org/officeDocument/2006/relationships/hyperlink" Target="http://www.youtube.com/mondialtecnologi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38101</xdr:colOff>
      <xdr:row>4</xdr:row>
      <xdr:rowOff>114300</xdr:rowOff>
    </xdr:from>
    <xdr:to>
      <xdr:col>15</xdr:col>
      <xdr:colOff>19050</xdr:colOff>
      <xdr:row>8</xdr:row>
      <xdr:rowOff>66675</xdr:rowOff>
    </xdr:to>
    <xdr:sp macro="" textlink="">
      <xdr:nvSpPr>
        <xdr:cNvPr id="16" name="Arredondar Retângulo no Mesmo Canto Lateral 15"/>
        <xdr:cNvSpPr/>
      </xdr:nvSpPr>
      <xdr:spPr>
        <a:xfrm>
          <a:off x="38101" y="733425"/>
          <a:ext cx="12068174" cy="714375"/>
        </a:xfrm>
        <a:prstGeom prst="round2SameRect">
          <a:avLst/>
        </a:prstGeom>
        <a:gradFill flip="none" rotWithShape="1">
          <a:gsLst>
            <a:gs pos="50000">
              <a:srgbClr val="087131"/>
            </a:gs>
            <a:gs pos="0">
              <a:srgbClr val="004C1E"/>
            </a:gs>
            <a:gs pos="100000">
              <a:srgbClr val="004C1E"/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1015779</xdr:colOff>
      <xdr:row>11</xdr:row>
      <xdr:rowOff>60129</xdr:rowOff>
    </xdr:from>
    <xdr:to>
      <xdr:col>13</xdr:col>
      <xdr:colOff>479647</xdr:colOff>
      <xdr:row>12</xdr:row>
      <xdr:rowOff>80060</xdr:rowOff>
    </xdr:to>
    <xdr:sp macro="" textlink="">
      <xdr:nvSpPr>
        <xdr:cNvPr id="9" name="Retângulo de cantos arredondados 8">
          <a:hlinkClick xmlns:r="http://schemas.openxmlformats.org/officeDocument/2006/relationships" r:id="rId1" tooltip="Consulte o Gráfico de Gastos"/>
        </xdr:cNvPr>
        <xdr:cNvSpPr/>
      </xdr:nvSpPr>
      <xdr:spPr>
        <a:xfrm>
          <a:off x="9226329" y="1803204"/>
          <a:ext cx="1749868" cy="258056"/>
        </a:xfrm>
        <a:prstGeom prst="roundRect">
          <a:avLst/>
        </a:prstGeom>
        <a:solidFill>
          <a:srgbClr val="4B5264"/>
        </a:solidFill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000" b="1" i="0">
              <a:latin typeface="Segoe UI Semibold" panose="020B0702040204020203" pitchFamily="34" charset="0"/>
            </a:rPr>
            <a:t>Gráfico de Gastos</a:t>
          </a:r>
        </a:p>
      </xdr:txBody>
    </xdr:sp>
    <xdr:clientData/>
  </xdr:twoCellAnchor>
  <xdr:twoCellAnchor>
    <xdr:from>
      <xdr:col>6</xdr:col>
      <xdr:colOff>133350</xdr:colOff>
      <xdr:row>5</xdr:row>
      <xdr:rowOff>19050</xdr:rowOff>
    </xdr:from>
    <xdr:to>
      <xdr:col>12</xdr:col>
      <xdr:colOff>285750</xdr:colOff>
      <xdr:row>7</xdr:row>
      <xdr:rowOff>142874</xdr:rowOff>
    </xdr:to>
    <xdr:sp macro="" textlink="">
      <xdr:nvSpPr>
        <xdr:cNvPr id="17" name="CaixaDeTexto 16"/>
        <xdr:cNvSpPr txBox="1"/>
      </xdr:nvSpPr>
      <xdr:spPr>
        <a:xfrm>
          <a:off x="3819525" y="828675"/>
          <a:ext cx="4657725" cy="5048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3000" i="1">
              <a:solidFill>
                <a:schemeClr val="bg1"/>
              </a:solidFill>
            </a:rPr>
            <a:t>Organizador de Churrasco</a:t>
          </a:r>
        </a:p>
      </xdr:txBody>
    </xdr:sp>
    <xdr:clientData/>
  </xdr:twoCellAnchor>
  <xdr:twoCellAnchor editAs="absolute">
    <xdr:from>
      <xdr:col>13</xdr:col>
      <xdr:colOff>13764</xdr:colOff>
      <xdr:row>11</xdr:row>
      <xdr:rowOff>123825</xdr:rowOff>
    </xdr:from>
    <xdr:to>
      <xdr:col>13</xdr:col>
      <xdr:colOff>291036</xdr:colOff>
      <xdr:row>12</xdr:row>
      <xdr:rowOff>47626</xdr:rowOff>
    </xdr:to>
    <xdr:pic>
      <xdr:nvPicPr>
        <xdr:cNvPr id="21" name="Imagem 20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10314" y="1866900"/>
          <a:ext cx="277272" cy="161926"/>
        </a:xfrm>
        <a:prstGeom prst="rect">
          <a:avLst/>
        </a:prstGeom>
      </xdr:spPr>
    </xdr:pic>
    <xdr:clientData/>
  </xdr:twoCellAnchor>
  <xdr:twoCellAnchor editAs="oneCell">
    <xdr:from>
      <xdr:col>5</xdr:col>
      <xdr:colOff>43703</xdr:colOff>
      <xdr:row>4</xdr:row>
      <xdr:rowOff>142875</xdr:rowOff>
    </xdr:from>
    <xdr:to>
      <xdr:col>6</xdr:col>
      <xdr:colOff>49273</xdr:colOff>
      <xdr:row>8</xdr:row>
      <xdr:rowOff>30871</xdr:rowOff>
    </xdr:to>
    <xdr:pic>
      <xdr:nvPicPr>
        <xdr:cNvPr id="23" name="Imagem 22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86928" y="762000"/>
          <a:ext cx="748520" cy="649996"/>
        </a:xfrm>
        <a:prstGeom prst="rect">
          <a:avLst/>
        </a:prstGeom>
      </xdr:spPr>
    </xdr:pic>
    <xdr:clientData/>
  </xdr:twoCellAnchor>
  <xdr:twoCellAnchor editAs="absolute">
    <xdr:from>
      <xdr:col>5</xdr:col>
      <xdr:colOff>495300</xdr:colOff>
      <xdr:row>9</xdr:row>
      <xdr:rowOff>145854</xdr:rowOff>
    </xdr:from>
    <xdr:to>
      <xdr:col>7</xdr:col>
      <xdr:colOff>165321</xdr:colOff>
      <xdr:row>11</xdr:row>
      <xdr:rowOff>165785</xdr:rowOff>
    </xdr:to>
    <xdr:sp macro="" textlink="">
      <xdr:nvSpPr>
        <xdr:cNvPr id="15" name="Retângulo de cantos arredondados 14"/>
        <xdr:cNvSpPr/>
      </xdr:nvSpPr>
      <xdr:spPr>
        <a:xfrm>
          <a:off x="3810000" y="1650804"/>
          <a:ext cx="1260696" cy="258056"/>
        </a:xfrm>
        <a:prstGeom prst="roundRect">
          <a:avLst/>
        </a:prstGeom>
        <a:solidFill>
          <a:srgbClr val="003300"/>
        </a:solidFill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 i="0">
              <a:latin typeface="Segoe UI Semibold" panose="020B0702040204020203" pitchFamily="34" charset="0"/>
            </a:rPr>
            <a:t>Custo por Pessoa</a:t>
          </a:r>
        </a:p>
      </xdr:txBody>
    </xdr:sp>
    <xdr:clientData/>
  </xdr:twoCellAnchor>
  <xdr:twoCellAnchor editAs="absolute">
    <xdr:from>
      <xdr:col>5</xdr:col>
      <xdr:colOff>495300</xdr:colOff>
      <xdr:row>11</xdr:row>
      <xdr:rowOff>200025</xdr:rowOff>
    </xdr:from>
    <xdr:to>
      <xdr:col>7</xdr:col>
      <xdr:colOff>164625</xdr:colOff>
      <xdr:row>13</xdr:row>
      <xdr:rowOff>29456</xdr:rowOff>
    </xdr:to>
    <xdr:sp macro="" textlink="custo_por_pessoa">
      <xdr:nvSpPr>
        <xdr:cNvPr id="19" name="Retângulo de cantos arredondados 18"/>
        <xdr:cNvSpPr/>
      </xdr:nvSpPr>
      <xdr:spPr>
        <a:xfrm>
          <a:off x="3810000" y="1943100"/>
          <a:ext cx="1260000" cy="258056"/>
        </a:xfrm>
        <a:prstGeom prst="roundRect">
          <a:avLst/>
        </a:prstGeom>
        <a:solidFill>
          <a:srgbClr val="003300"/>
        </a:solidFill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4641064-2E9C-4752-9497-3D653CFC872D}" type="TxLink">
            <a:rPr lang="en-US" sz="1050" b="1" i="0" u="none" strike="noStrike">
              <a:solidFill>
                <a:schemeClr val="bg1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pPr algn="ctr"/>
            <a:t>R$  -  </a:t>
          </a:fld>
          <a:endParaRPr lang="pt-BR" sz="1050" b="1" i="0">
            <a:solidFill>
              <a:schemeClr val="bg1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1</xdr:col>
      <xdr:colOff>133349</xdr:colOff>
      <xdr:row>1</xdr:row>
      <xdr:rowOff>38100</xdr:rowOff>
    </xdr:from>
    <xdr:to>
      <xdr:col>2</xdr:col>
      <xdr:colOff>285751</xdr:colOff>
      <xdr:row>4</xdr:row>
      <xdr:rowOff>66677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499" y="85725"/>
          <a:ext cx="600077" cy="600077"/>
        </a:xfrm>
        <a:prstGeom prst="rect">
          <a:avLst/>
        </a:prstGeom>
      </xdr:spPr>
    </xdr:pic>
    <xdr:clientData/>
  </xdr:twoCellAnchor>
  <xdr:twoCellAnchor editAs="absolute">
    <xdr:from>
      <xdr:col>7</xdr:col>
      <xdr:colOff>365125</xdr:colOff>
      <xdr:row>9</xdr:row>
      <xdr:rowOff>142875</xdr:rowOff>
    </xdr:from>
    <xdr:to>
      <xdr:col>8</xdr:col>
      <xdr:colOff>577375</xdr:colOff>
      <xdr:row>11</xdr:row>
      <xdr:rowOff>162806</xdr:rowOff>
    </xdr:to>
    <xdr:sp macro="" textlink="">
      <xdr:nvSpPr>
        <xdr:cNvPr id="18" name="Retângulo de cantos arredondados 17"/>
        <xdr:cNvSpPr/>
      </xdr:nvSpPr>
      <xdr:spPr>
        <a:xfrm>
          <a:off x="5270500" y="1647825"/>
          <a:ext cx="1260000" cy="258056"/>
        </a:xfrm>
        <a:prstGeom prst="roundRect">
          <a:avLst/>
        </a:prstGeom>
        <a:solidFill>
          <a:srgbClr val="003300"/>
        </a:solidFill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 i="0">
              <a:latin typeface="Segoe UI Semibold" panose="020B0702040204020203" pitchFamily="34" charset="0"/>
            </a:rPr>
            <a:t>Custo Planejado</a:t>
          </a:r>
        </a:p>
      </xdr:txBody>
    </xdr:sp>
    <xdr:clientData/>
  </xdr:twoCellAnchor>
  <xdr:twoCellAnchor editAs="absolute">
    <xdr:from>
      <xdr:col>7</xdr:col>
      <xdr:colOff>365125</xdr:colOff>
      <xdr:row>11</xdr:row>
      <xdr:rowOff>197046</xdr:rowOff>
    </xdr:from>
    <xdr:to>
      <xdr:col>8</xdr:col>
      <xdr:colOff>577375</xdr:colOff>
      <xdr:row>13</xdr:row>
      <xdr:rowOff>26477</xdr:rowOff>
    </xdr:to>
    <xdr:sp macro="" textlink="custo_planejado">
      <xdr:nvSpPr>
        <xdr:cNvPr id="20" name="Retângulo de cantos arredondados 19"/>
        <xdr:cNvSpPr/>
      </xdr:nvSpPr>
      <xdr:spPr>
        <a:xfrm>
          <a:off x="5270500" y="1940121"/>
          <a:ext cx="1260000" cy="258056"/>
        </a:xfrm>
        <a:prstGeom prst="roundRect">
          <a:avLst/>
        </a:prstGeom>
        <a:solidFill>
          <a:srgbClr val="003300"/>
        </a:solidFill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E1A35CE-891B-4B42-8693-31CF39E093E0}" type="TxLink">
            <a:rPr lang="en-US" sz="1050" b="1" i="0" u="none" strike="noStrike">
              <a:solidFill>
                <a:schemeClr val="bg1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pPr algn="ctr"/>
            <a:t> R$ -   </a:t>
          </a:fld>
          <a:endParaRPr lang="pt-BR" sz="1050" b="1" i="0">
            <a:solidFill>
              <a:schemeClr val="bg1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absolute">
    <xdr:from>
      <xdr:col>8</xdr:col>
      <xdr:colOff>777875</xdr:colOff>
      <xdr:row>9</xdr:row>
      <xdr:rowOff>142875</xdr:rowOff>
    </xdr:from>
    <xdr:to>
      <xdr:col>10</xdr:col>
      <xdr:colOff>456725</xdr:colOff>
      <xdr:row>11</xdr:row>
      <xdr:rowOff>162806</xdr:rowOff>
    </xdr:to>
    <xdr:sp macro="" textlink="">
      <xdr:nvSpPr>
        <xdr:cNvPr id="22" name="Retângulo de cantos arredondados 21"/>
        <xdr:cNvSpPr/>
      </xdr:nvSpPr>
      <xdr:spPr>
        <a:xfrm>
          <a:off x="6731000" y="1647825"/>
          <a:ext cx="1260000" cy="258056"/>
        </a:xfrm>
        <a:prstGeom prst="roundRect">
          <a:avLst/>
        </a:prstGeom>
        <a:solidFill>
          <a:srgbClr val="003300"/>
        </a:solidFill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 i="0">
              <a:latin typeface="Segoe UI Semibold" panose="020B0702040204020203" pitchFamily="34" charset="0"/>
            </a:rPr>
            <a:t>Custo Total</a:t>
          </a:r>
        </a:p>
      </xdr:txBody>
    </xdr:sp>
    <xdr:clientData/>
  </xdr:twoCellAnchor>
  <xdr:twoCellAnchor editAs="absolute">
    <xdr:from>
      <xdr:col>8</xdr:col>
      <xdr:colOff>777875</xdr:colOff>
      <xdr:row>11</xdr:row>
      <xdr:rowOff>197046</xdr:rowOff>
    </xdr:from>
    <xdr:to>
      <xdr:col>10</xdr:col>
      <xdr:colOff>456725</xdr:colOff>
      <xdr:row>13</xdr:row>
      <xdr:rowOff>26477</xdr:rowOff>
    </xdr:to>
    <xdr:sp macro="" textlink="custo_Total">
      <xdr:nvSpPr>
        <xdr:cNvPr id="24" name="Retângulo de cantos arredondados 23"/>
        <xdr:cNvSpPr/>
      </xdr:nvSpPr>
      <xdr:spPr>
        <a:xfrm>
          <a:off x="6731000" y="1940121"/>
          <a:ext cx="1260000" cy="258056"/>
        </a:xfrm>
        <a:prstGeom prst="roundRect">
          <a:avLst/>
        </a:prstGeom>
        <a:solidFill>
          <a:srgbClr val="003300"/>
        </a:solidFill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4AC4C46-1847-4CD5-B1F9-C8669950330D}" type="TxLink">
            <a:rPr lang="en-US" sz="1050" b="1" i="0" u="none" strike="noStrike">
              <a:solidFill>
                <a:schemeClr val="bg1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pPr algn="ctr"/>
            <a:t> R$ -   </a:t>
          </a:fld>
          <a:endParaRPr lang="pt-BR" sz="1050" b="1" i="0">
            <a:solidFill>
              <a:schemeClr val="bg1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</xdr:col>
      <xdr:colOff>76200</xdr:colOff>
      <xdr:row>11</xdr:row>
      <xdr:rowOff>219075</xdr:rowOff>
    </xdr:from>
    <xdr:to>
      <xdr:col>1</xdr:col>
      <xdr:colOff>352425</xdr:colOff>
      <xdr:row>13</xdr:row>
      <xdr:rowOff>28575</xdr:rowOff>
    </xdr:to>
    <xdr:sp macro="" textlink="">
      <xdr:nvSpPr>
        <xdr:cNvPr id="2" name="Seta para a direita 1"/>
        <xdr:cNvSpPr/>
      </xdr:nvSpPr>
      <xdr:spPr>
        <a:xfrm>
          <a:off x="133350" y="1962150"/>
          <a:ext cx="276225" cy="238125"/>
        </a:xfrm>
        <a:prstGeom prst="rightArrow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13</xdr:col>
      <xdr:colOff>247649</xdr:colOff>
      <xdr:row>24</xdr:row>
      <xdr:rowOff>102842</xdr:rowOff>
    </xdr:from>
    <xdr:to>
      <xdr:col>13</xdr:col>
      <xdr:colOff>561974</xdr:colOff>
      <xdr:row>26</xdr:row>
      <xdr:rowOff>133350</xdr:rowOff>
    </xdr:to>
    <xdr:pic>
      <xdr:nvPicPr>
        <xdr:cNvPr id="26" name="Imagem 25">
          <a:hlinkClick xmlns:r="http://schemas.openxmlformats.org/officeDocument/2006/relationships" r:id="rId5" tooltip="Sobre Mondial"/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44199" y="4322417"/>
          <a:ext cx="314325" cy="41150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</xdr:colOff>
      <xdr:row>4</xdr:row>
      <xdr:rowOff>0</xdr:rowOff>
    </xdr:from>
    <xdr:to>
      <xdr:col>19</xdr:col>
      <xdr:colOff>390525</xdr:colOff>
      <xdr:row>7</xdr:row>
      <xdr:rowOff>142875</xdr:rowOff>
    </xdr:to>
    <xdr:sp macro="" textlink="">
      <xdr:nvSpPr>
        <xdr:cNvPr id="18" name="Arredondar Retângulo no Mesmo Canto Lateral 17"/>
        <xdr:cNvSpPr/>
      </xdr:nvSpPr>
      <xdr:spPr>
        <a:xfrm>
          <a:off x="66675" y="762000"/>
          <a:ext cx="13011150" cy="714375"/>
        </a:xfrm>
        <a:prstGeom prst="round2SameRect">
          <a:avLst/>
        </a:prstGeom>
        <a:gradFill flip="none" rotWithShape="1">
          <a:gsLst>
            <a:gs pos="50000">
              <a:srgbClr val="087131"/>
            </a:gs>
            <a:gs pos="0">
              <a:srgbClr val="004C1E"/>
            </a:gs>
            <a:gs pos="100000">
              <a:srgbClr val="004C1E"/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876298</xdr:colOff>
      <xdr:row>4</xdr:row>
      <xdr:rowOff>123825</xdr:rowOff>
    </xdr:from>
    <xdr:to>
      <xdr:col>14</xdr:col>
      <xdr:colOff>542925</xdr:colOff>
      <xdr:row>7</xdr:row>
      <xdr:rowOff>57149</xdr:rowOff>
    </xdr:to>
    <xdr:sp macro="" textlink="">
      <xdr:nvSpPr>
        <xdr:cNvPr id="19" name="CaixaDeTexto 18"/>
        <xdr:cNvSpPr txBox="1"/>
      </xdr:nvSpPr>
      <xdr:spPr>
        <a:xfrm>
          <a:off x="1381123" y="885825"/>
          <a:ext cx="7581902" cy="5048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3000" i="1">
              <a:solidFill>
                <a:schemeClr val="bg1"/>
              </a:solidFill>
            </a:rPr>
            <a:t>Organizador</a:t>
          </a:r>
          <a:r>
            <a:rPr lang="pt-BR" sz="3000" i="1" baseline="0">
              <a:solidFill>
                <a:schemeClr val="bg1"/>
              </a:solidFill>
            </a:rPr>
            <a:t> de Churrasco * </a:t>
          </a:r>
          <a:r>
            <a:rPr lang="pt-BR" sz="3000" i="1">
              <a:solidFill>
                <a:schemeClr val="bg1"/>
              </a:solidFill>
            </a:rPr>
            <a:t>Gráfico de Gastos</a:t>
          </a:r>
        </a:p>
      </xdr:txBody>
    </xdr:sp>
    <xdr:clientData/>
  </xdr:twoCellAnchor>
  <xdr:twoCellAnchor editAs="oneCell">
    <xdr:from>
      <xdr:col>1</xdr:col>
      <xdr:colOff>424702</xdr:colOff>
      <xdr:row>4</xdr:row>
      <xdr:rowOff>19050</xdr:rowOff>
    </xdr:from>
    <xdr:to>
      <xdr:col>2</xdr:col>
      <xdr:colOff>725547</xdr:colOff>
      <xdr:row>7</xdr:row>
      <xdr:rowOff>97546</xdr:rowOff>
    </xdr:to>
    <xdr:pic>
      <xdr:nvPicPr>
        <xdr:cNvPr id="20" name="Imagem 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1852" y="781050"/>
          <a:ext cx="748520" cy="649996"/>
        </a:xfrm>
        <a:prstGeom prst="rect">
          <a:avLst/>
        </a:prstGeom>
      </xdr:spPr>
    </xdr:pic>
    <xdr:clientData/>
  </xdr:twoCellAnchor>
  <xdr:twoCellAnchor editAs="absolute">
    <xdr:from>
      <xdr:col>1</xdr:col>
      <xdr:colOff>104774</xdr:colOff>
      <xdr:row>14</xdr:row>
      <xdr:rowOff>85725</xdr:rowOff>
    </xdr:from>
    <xdr:to>
      <xdr:col>12</xdr:col>
      <xdr:colOff>304799</xdr:colOff>
      <xdr:row>37</xdr:row>
      <xdr:rowOff>9525</xdr:rowOff>
    </xdr:to>
    <xdr:graphicFrame macro="">
      <xdr:nvGraphicFramePr>
        <xdr:cNvPr id="16" name="Gráfico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12</xdr:col>
      <xdr:colOff>371475</xdr:colOff>
      <xdr:row>14</xdr:row>
      <xdr:rowOff>104775</xdr:rowOff>
    </xdr:from>
    <xdr:to>
      <xdr:col>19</xdr:col>
      <xdr:colOff>371475</xdr:colOff>
      <xdr:row>21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Item 1"/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te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572375" y="2809875"/>
              <a:ext cx="4267200" cy="9239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 editAs="absolute">
    <xdr:from>
      <xdr:col>1</xdr:col>
      <xdr:colOff>104774</xdr:colOff>
      <xdr:row>7</xdr:row>
      <xdr:rowOff>190500</xdr:rowOff>
    </xdr:from>
    <xdr:to>
      <xdr:col>19</xdr:col>
      <xdr:colOff>371475</xdr:colOff>
      <xdr:row>14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roduto 1"/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1924" y="1524000"/>
              <a:ext cx="11677651" cy="12096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 editAs="oneCell">
    <xdr:from>
      <xdr:col>1</xdr:col>
      <xdr:colOff>133350</xdr:colOff>
      <xdr:row>0</xdr:row>
      <xdr:rowOff>95250</xdr:rowOff>
    </xdr:from>
    <xdr:to>
      <xdr:col>2</xdr:col>
      <xdr:colOff>285752</xdr:colOff>
      <xdr:row>3</xdr:row>
      <xdr:rowOff>123827</xdr:rowOff>
    </xdr:to>
    <xdr:pic>
      <xdr:nvPicPr>
        <xdr:cNvPr id="15" name="Imagem 14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95250"/>
          <a:ext cx="600077" cy="600077"/>
        </a:xfrm>
        <a:prstGeom prst="rect">
          <a:avLst/>
        </a:prstGeom>
      </xdr:spPr>
    </xdr:pic>
    <xdr:clientData/>
  </xdr:twoCellAnchor>
  <xdr:twoCellAnchor>
    <xdr:from>
      <xdr:col>17</xdr:col>
      <xdr:colOff>38099</xdr:colOff>
      <xdr:row>1</xdr:row>
      <xdr:rowOff>9525</xdr:rowOff>
    </xdr:from>
    <xdr:to>
      <xdr:col>18</xdr:col>
      <xdr:colOff>533012</xdr:colOff>
      <xdr:row>2</xdr:row>
      <xdr:rowOff>176759</xdr:rowOff>
    </xdr:to>
    <xdr:sp macro="" textlink="">
      <xdr:nvSpPr>
        <xdr:cNvPr id="17" name="Retângulo de cantos arredondados 16">
          <a:hlinkClick xmlns:r="http://schemas.openxmlformats.org/officeDocument/2006/relationships" r:id="rId4" tooltip="Voltar"/>
        </xdr:cNvPr>
        <xdr:cNvSpPr/>
      </xdr:nvSpPr>
      <xdr:spPr>
        <a:xfrm>
          <a:off x="10286999" y="200025"/>
          <a:ext cx="1104513" cy="357734"/>
        </a:xfrm>
        <a:prstGeom prst="roundRect">
          <a:avLst/>
        </a:prstGeom>
        <a:solidFill>
          <a:srgbClr val="990033"/>
        </a:solidFill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 b="1" i="1">
              <a:solidFill>
                <a:schemeClr val="lt1"/>
              </a:solidFill>
              <a:latin typeface="+mn-lt"/>
              <a:ea typeface="+mn-ea"/>
              <a:cs typeface="+mn-cs"/>
            </a:rPr>
            <a:t>Voltar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196839</xdr:colOff>
      <xdr:row>23</xdr:row>
      <xdr:rowOff>159951</xdr:rowOff>
    </xdr:from>
    <xdr:to>
      <xdr:col>15</xdr:col>
      <xdr:colOff>383290</xdr:colOff>
      <xdr:row>26</xdr:row>
      <xdr:rowOff>144683</xdr:rowOff>
    </xdr:to>
    <xdr:grpSp>
      <xdr:nvGrpSpPr>
        <xdr:cNvPr id="3" name="Grupo 2"/>
        <xdr:cNvGrpSpPr/>
      </xdr:nvGrpSpPr>
      <xdr:grpSpPr>
        <a:xfrm>
          <a:off x="7331064" y="5855901"/>
          <a:ext cx="2453401" cy="727682"/>
          <a:chOff x="271463" y="6457950"/>
          <a:chExt cx="2269249" cy="819150"/>
        </a:xfrm>
      </xdr:grpSpPr>
      <xdr:pic>
        <xdr:nvPicPr>
          <xdr:cNvPr id="5" name="Imagem 4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1463" y="6457950"/>
            <a:ext cx="2269249" cy="447675"/>
          </a:xfrm>
          <a:prstGeom prst="rect">
            <a:avLst/>
          </a:prstGeom>
        </xdr:spPr>
      </xdr:pic>
      <xdr:sp macro="" textlink="">
        <xdr:nvSpPr>
          <xdr:cNvPr id="6" name="CaixaDeTexto 5"/>
          <xdr:cNvSpPr txBox="1"/>
        </xdr:nvSpPr>
        <xdr:spPr>
          <a:xfrm>
            <a:off x="286900" y="6810375"/>
            <a:ext cx="2238375" cy="4667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800" b="1">
                <a:solidFill>
                  <a:schemeClr val="bg1"/>
                </a:solidFill>
                <a:latin typeface="Segoe UI Light" pitchFamily="34" charset="0"/>
              </a:rPr>
              <a:t>www.mondial.com.br</a:t>
            </a:r>
          </a:p>
        </xdr:txBody>
      </xdr:sp>
    </xdr:grpSp>
    <xdr:clientData/>
  </xdr:twoCellAnchor>
  <xdr:twoCellAnchor>
    <xdr:from>
      <xdr:col>0</xdr:col>
      <xdr:colOff>184011</xdr:colOff>
      <xdr:row>0</xdr:row>
      <xdr:rowOff>68096</xdr:rowOff>
    </xdr:from>
    <xdr:to>
      <xdr:col>14</xdr:col>
      <xdr:colOff>30920</xdr:colOff>
      <xdr:row>19</xdr:row>
      <xdr:rowOff>133449</xdr:rowOff>
    </xdr:to>
    <xdr:sp macro="" textlink="">
      <xdr:nvSpPr>
        <xdr:cNvPr id="7" name="CaixaDeTexto 6"/>
        <xdr:cNvSpPr txBox="1"/>
      </xdr:nvSpPr>
      <xdr:spPr>
        <a:xfrm>
          <a:off x="184011" y="68096"/>
          <a:ext cx="8809934" cy="4770703"/>
        </a:xfrm>
        <a:prstGeom prst="rect">
          <a:avLst/>
        </a:prstGeom>
        <a:noFill/>
        <a:ln w="63500" cmpd="tri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pt-BR" sz="2800" b="1">
            <a:solidFill>
              <a:schemeClr val="tx1"/>
            </a:solidFill>
            <a:latin typeface="Segoe UI Light" panose="020B0502040204020203" pitchFamily="34" charset="0"/>
          </a:endParaRPr>
        </a:p>
        <a:p>
          <a:pPr algn="ctr"/>
          <a:r>
            <a:rPr lang="pt-BR" sz="2800" b="1">
              <a:solidFill>
                <a:schemeClr val="tx1"/>
              </a:solidFill>
              <a:latin typeface="Segoe UI Light" panose="020B0502040204020203" pitchFamily="34" charset="0"/>
            </a:rPr>
            <a:t>SOBRE</a:t>
          </a:r>
        </a:p>
        <a:p>
          <a:endParaRPr lang="pt-BR" sz="1400">
            <a:solidFill>
              <a:schemeClr val="tx1"/>
            </a:solidFill>
            <a:latin typeface="Segoe UI Light" panose="020B0502040204020203" pitchFamily="34" charset="0"/>
          </a:endParaRPr>
        </a:p>
        <a:p>
          <a:endParaRPr lang="pt-BR" sz="1400">
            <a:solidFill>
              <a:schemeClr val="tx1"/>
            </a:solidFill>
            <a:latin typeface="Segoe UI Light" panose="020B0502040204020203" pitchFamily="34" charset="0"/>
          </a:endParaRPr>
        </a:p>
        <a:p>
          <a:pPr algn="ctr"/>
          <a:endParaRPr lang="pt-BR" sz="2400" b="1" i="0">
            <a:solidFill>
              <a:schemeClr val="tx1"/>
            </a:solidFill>
            <a:effectLst/>
            <a:latin typeface="Segoe UI Light" panose="020B0502040204020203" pitchFamily="34" charset="0"/>
            <a:ea typeface="+mn-ea"/>
            <a:cs typeface="+mn-cs"/>
          </a:endParaRPr>
        </a:p>
        <a:p>
          <a:pPr algn="ctr"/>
          <a:r>
            <a:rPr lang="pt-BR" sz="3600" b="1" i="0">
              <a:solidFill>
                <a:schemeClr val="tx1"/>
              </a:solidFill>
              <a:effectLst/>
              <a:latin typeface="Segoe UI Light" panose="020B0502040204020203" pitchFamily="34" charset="0"/>
              <a:ea typeface="+mn-ea"/>
              <a:cs typeface="+mn-cs"/>
            </a:rPr>
            <a:t>Organizador</a:t>
          </a:r>
          <a:r>
            <a:rPr lang="pt-BR" sz="3600" b="1" i="0" baseline="0">
              <a:solidFill>
                <a:schemeClr val="tx1"/>
              </a:solidFill>
              <a:effectLst/>
              <a:latin typeface="Segoe UI Light" panose="020B0502040204020203" pitchFamily="34" charset="0"/>
              <a:ea typeface="+mn-ea"/>
              <a:cs typeface="+mn-cs"/>
            </a:rPr>
            <a:t> de Churrasco</a:t>
          </a:r>
          <a:endParaRPr lang="pt-BR" sz="3600">
            <a:solidFill>
              <a:schemeClr val="tx1"/>
            </a:solidFill>
            <a:effectLst/>
            <a:latin typeface="Segoe UI Light" panose="020B0502040204020203" pitchFamily="34" charset="0"/>
          </a:endParaRPr>
        </a:p>
        <a:p>
          <a:pPr algn="ctr"/>
          <a:r>
            <a:rPr lang="pt-BR" sz="1400" b="1">
              <a:solidFill>
                <a:schemeClr val="tx1"/>
              </a:solidFill>
              <a:effectLst/>
              <a:latin typeface="Segoe UI Light" panose="020B0502040204020203" pitchFamily="34" charset="0"/>
              <a:ea typeface="+mn-ea"/>
              <a:cs typeface="+mn-cs"/>
            </a:rPr>
            <a:t>Versão 1.0</a:t>
          </a:r>
        </a:p>
        <a:p>
          <a:pPr algn="ctr"/>
          <a:endParaRPr lang="pt-BR" sz="1400" b="1">
            <a:solidFill>
              <a:schemeClr val="tx1"/>
            </a:solidFill>
            <a:effectLst/>
            <a:latin typeface="Segoe UI Light" panose="020B0502040204020203" pitchFamily="34" charset="0"/>
            <a:ea typeface="+mn-ea"/>
            <a:cs typeface="+mn-cs"/>
          </a:endParaRPr>
        </a:p>
        <a:p>
          <a:pPr algn="ctr"/>
          <a:r>
            <a:rPr lang="pt-BR" sz="1400" b="1">
              <a:solidFill>
                <a:schemeClr val="tx1"/>
              </a:solidFill>
              <a:effectLst/>
              <a:latin typeface="Segoe UI Light" panose="020B0502040204020203" pitchFamily="34" charset="0"/>
              <a:ea typeface="+mn-ea"/>
              <a:cs typeface="+mn-cs"/>
            </a:rPr>
            <a:t>     </a:t>
          </a:r>
        </a:p>
        <a:p>
          <a:pPr algn="ctr"/>
          <a:endParaRPr lang="pt-BR" sz="1400" b="1">
            <a:solidFill>
              <a:schemeClr val="tx1"/>
            </a:solidFill>
            <a:effectLst/>
            <a:latin typeface="Segoe UI Light" panose="020B0502040204020203" pitchFamily="34" charset="0"/>
            <a:ea typeface="+mn-ea"/>
            <a:cs typeface="+mn-cs"/>
          </a:endParaRPr>
        </a:p>
        <a:p>
          <a:pPr algn="ctr"/>
          <a:endParaRPr lang="pt-BR" sz="1400" b="1">
            <a:solidFill>
              <a:schemeClr val="tx1"/>
            </a:solidFill>
            <a:effectLst/>
            <a:latin typeface="Segoe UI Light" panose="020B0502040204020203" pitchFamily="34" charset="0"/>
            <a:ea typeface="+mn-ea"/>
            <a:cs typeface="+mn-cs"/>
          </a:endParaRPr>
        </a:p>
        <a:p>
          <a:pPr algn="l"/>
          <a:endParaRPr lang="pt-BR" sz="1100" b="1">
            <a:solidFill>
              <a:schemeClr val="tx1">
                <a:lumMod val="50000"/>
                <a:lumOff val="50000"/>
              </a:schemeClr>
            </a:solidFill>
            <a:effectLst/>
            <a:latin typeface="Segoe UI Light" panose="020B0502040204020203" pitchFamily="34" charset="0"/>
            <a:ea typeface="+mn-ea"/>
            <a:cs typeface="+mn-cs"/>
          </a:endParaRPr>
        </a:p>
        <a:p>
          <a:pPr algn="l"/>
          <a:endParaRPr lang="pt-BR" sz="1100" b="1">
            <a:solidFill>
              <a:schemeClr val="tx1">
                <a:lumMod val="50000"/>
                <a:lumOff val="50000"/>
              </a:schemeClr>
            </a:solidFill>
            <a:effectLst/>
            <a:latin typeface="Segoe UI Light" panose="020B0502040204020203" pitchFamily="34" charset="0"/>
            <a:ea typeface="+mn-ea"/>
            <a:cs typeface="+mn-cs"/>
          </a:endParaRPr>
        </a:p>
        <a:p>
          <a:pPr algn="l"/>
          <a:endParaRPr lang="pt-BR" sz="1000" b="1">
            <a:solidFill>
              <a:schemeClr val="tx1">
                <a:lumMod val="50000"/>
                <a:lumOff val="50000"/>
              </a:schemeClr>
            </a:solidFill>
            <a:effectLst/>
            <a:latin typeface="Segoe UI Light" panose="020B0502040204020203" pitchFamily="34" charset="0"/>
            <a:ea typeface="+mn-ea"/>
            <a:cs typeface="+mn-cs"/>
          </a:endParaRPr>
        </a:p>
        <a:p>
          <a:pPr algn="l"/>
          <a:r>
            <a:rPr lang="pt-BR" sz="1000" b="1">
              <a:solidFill>
                <a:schemeClr val="tx1">
                  <a:lumMod val="50000"/>
                  <a:lumOff val="50000"/>
                </a:schemeClr>
              </a:solidFill>
              <a:effectLst/>
              <a:latin typeface="Segoe UI Light" panose="020B0502040204020203" pitchFamily="34" charset="0"/>
              <a:ea typeface="+mn-ea"/>
              <a:cs typeface="+mn-cs"/>
            </a:rPr>
            <a:t>Aviso: Este</a:t>
          </a:r>
          <a:r>
            <a:rPr lang="pt-BR" sz="1000" b="1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Segoe UI Light" panose="020B0502040204020203" pitchFamily="34" charset="0"/>
              <a:ea typeface="+mn-ea"/>
              <a:cs typeface="+mn-cs"/>
            </a:rPr>
            <a:t> </a:t>
          </a:r>
          <a:r>
            <a:rPr lang="pt-BR" sz="1000" b="1">
              <a:solidFill>
                <a:schemeClr val="tx1">
                  <a:lumMod val="50000"/>
                  <a:lumOff val="50000"/>
                </a:schemeClr>
              </a:solidFill>
              <a:effectLst/>
              <a:latin typeface="Segoe UI Light" panose="020B0502040204020203" pitchFamily="34" charset="0"/>
              <a:ea typeface="+mn-ea"/>
              <a:cs typeface="+mn-cs"/>
            </a:rPr>
            <a:t>programa de computador está protegido por</a:t>
          </a:r>
          <a:r>
            <a:rPr lang="pt-BR" sz="1000" b="1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Segoe UI Light" panose="020B0502040204020203" pitchFamily="34" charset="0"/>
              <a:ea typeface="+mn-ea"/>
              <a:cs typeface="+mn-cs"/>
            </a:rPr>
            <a:t> leis de direitos autorais e tratados internacionais. </a:t>
          </a:r>
        </a:p>
        <a:p>
          <a:pPr algn="l"/>
          <a:r>
            <a:rPr lang="pt-BR" sz="1000" b="1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Segoe UI Light" panose="020B0502040204020203" pitchFamily="34" charset="0"/>
              <a:ea typeface="+mn-ea"/>
              <a:cs typeface="+mn-cs"/>
            </a:rPr>
            <a:t>Desenvolvido por Mondial Tecnologia - www.mondial.com.br</a:t>
          </a:r>
          <a:endParaRPr lang="pt-BR" sz="1000">
            <a:solidFill>
              <a:schemeClr val="tx1">
                <a:lumMod val="50000"/>
                <a:lumOff val="50000"/>
              </a:schemeClr>
            </a:solidFill>
            <a:effectLst/>
            <a:latin typeface="Segoe UI Light" panose="020B0502040204020203" pitchFamily="34" charset="0"/>
          </a:endParaRPr>
        </a:p>
        <a:p>
          <a:endParaRPr lang="pt-BR" sz="3600">
            <a:solidFill>
              <a:schemeClr val="tx1"/>
            </a:solidFill>
            <a:latin typeface="Segoe UI Light" panose="020B0502040204020203" pitchFamily="34" charset="0"/>
          </a:endParaRPr>
        </a:p>
      </xdr:txBody>
    </xdr:sp>
    <xdr:clientData/>
  </xdr:twoCellAnchor>
  <xdr:twoCellAnchor>
    <xdr:from>
      <xdr:col>10</xdr:col>
      <xdr:colOff>104776</xdr:colOff>
      <xdr:row>1</xdr:row>
      <xdr:rowOff>20858</xdr:rowOff>
    </xdr:from>
    <xdr:to>
      <xdr:col>13</xdr:col>
      <xdr:colOff>475864</xdr:colOff>
      <xdr:row>2</xdr:row>
      <xdr:rowOff>130942</xdr:rowOff>
    </xdr:to>
    <xdr:sp macro="" textlink="">
      <xdr:nvSpPr>
        <xdr:cNvPr id="8" name="Retângulo de cantos arredondados 7">
          <a:hlinkClick xmlns:r="http://schemas.openxmlformats.org/officeDocument/2006/relationships" r:id="rId2" tooltip="Voltar "/>
        </xdr:cNvPr>
        <xdr:cNvSpPr/>
      </xdr:nvSpPr>
      <xdr:spPr>
        <a:xfrm>
          <a:off x="6629401" y="268508"/>
          <a:ext cx="2199888" cy="357734"/>
        </a:xfrm>
        <a:prstGeom prst="roundRect">
          <a:avLst/>
        </a:prstGeom>
        <a:solidFill>
          <a:srgbClr val="990033"/>
        </a:solidFill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 b="1" i="1">
              <a:solidFill>
                <a:schemeClr val="lt1"/>
              </a:solidFill>
              <a:latin typeface="+mn-lt"/>
              <a:ea typeface="+mn-ea"/>
              <a:cs typeface="+mn-cs"/>
            </a:rPr>
            <a:t>Organizador</a:t>
          </a:r>
          <a:r>
            <a:rPr lang="pt-BR" sz="14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Churrasco</a:t>
          </a:r>
          <a:endParaRPr lang="pt-BR" sz="1400" b="1" i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0</xdr:colOff>
      <xdr:row>16</xdr:row>
      <xdr:rowOff>19050</xdr:rowOff>
    </xdr:from>
    <xdr:to>
      <xdr:col>13</xdr:col>
      <xdr:colOff>314325</xdr:colOff>
      <xdr:row>18</xdr:row>
      <xdr:rowOff>0</xdr:rowOff>
    </xdr:to>
    <xdr:pic>
      <xdr:nvPicPr>
        <xdr:cNvPr id="16" name="Imagem 7" descr="cid:image010.png@01CF0DE8.158A4270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34225" y="3981450"/>
          <a:ext cx="153352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133350</xdr:colOff>
      <xdr:row>18</xdr:row>
      <xdr:rowOff>38100</xdr:rowOff>
    </xdr:from>
    <xdr:to>
      <xdr:col>11</xdr:col>
      <xdr:colOff>428625</xdr:colOff>
      <xdr:row>19</xdr:row>
      <xdr:rowOff>85725</xdr:rowOff>
    </xdr:to>
    <xdr:pic>
      <xdr:nvPicPr>
        <xdr:cNvPr id="17" name="Imagem 5" descr="cid:image012.png@01CF0DE8.158A4270">
          <a:hlinkClick xmlns:r="http://schemas.openxmlformats.org/officeDocument/2006/relationships" r:id="rId5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r:link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67575" y="4495800"/>
          <a:ext cx="295275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457200</xdr:colOff>
      <xdr:row>18</xdr:row>
      <xdr:rowOff>38100</xdr:rowOff>
    </xdr:from>
    <xdr:to>
      <xdr:col>12</xdr:col>
      <xdr:colOff>142875</xdr:colOff>
      <xdr:row>19</xdr:row>
      <xdr:rowOff>95250</xdr:rowOff>
    </xdr:to>
    <xdr:pic>
      <xdr:nvPicPr>
        <xdr:cNvPr id="18" name="Imagem 4" descr="cid:image013.png@01CF0DE8.158A4270">
          <a:hlinkClick xmlns:r="http://schemas.openxmlformats.org/officeDocument/2006/relationships" r:id="rId8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r:link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91425" y="4495800"/>
          <a:ext cx="29527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180975</xdr:colOff>
      <xdr:row>18</xdr:row>
      <xdr:rowOff>47625</xdr:rowOff>
    </xdr:from>
    <xdr:to>
      <xdr:col>12</xdr:col>
      <xdr:colOff>476250</xdr:colOff>
      <xdr:row>19</xdr:row>
      <xdr:rowOff>104775</xdr:rowOff>
    </xdr:to>
    <xdr:pic>
      <xdr:nvPicPr>
        <xdr:cNvPr id="19" name="Imagem 3" descr="cid:image014.png@01CF0DE8.158A4270">
          <a:hlinkClick xmlns:r="http://schemas.openxmlformats.org/officeDocument/2006/relationships" r:id="rId1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 r:link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24800" y="4505325"/>
          <a:ext cx="29527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523875</xdr:colOff>
      <xdr:row>18</xdr:row>
      <xdr:rowOff>47625</xdr:rowOff>
    </xdr:from>
    <xdr:to>
      <xdr:col>13</xdr:col>
      <xdr:colOff>209550</xdr:colOff>
      <xdr:row>19</xdr:row>
      <xdr:rowOff>104775</xdr:rowOff>
    </xdr:to>
    <xdr:pic>
      <xdr:nvPicPr>
        <xdr:cNvPr id="20" name="Imagem 2" descr="cid:image015.png@01CF0DE8.158A4270">
          <a:hlinkClick xmlns:r="http://schemas.openxmlformats.org/officeDocument/2006/relationships" r:id="rId14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r:link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67700" y="4505325"/>
          <a:ext cx="29527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536436</xdr:colOff>
      <xdr:row>0</xdr:row>
      <xdr:rowOff>239546</xdr:rowOff>
    </xdr:from>
    <xdr:to>
      <xdr:col>2</xdr:col>
      <xdr:colOff>342900</xdr:colOff>
      <xdr:row>5</xdr:row>
      <xdr:rowOff>26960</xdr:rowOff>
    </xdr:to>
    <xdr:pic>
      <xdr:nvPicPr>
        <xdr:cNvPr id="14" name="Imagem 13"/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6436" y="239546"/>
          <a:ext cx="1025664" cy="1025664"/>
        </a:xfrm>
        <a:prstGeom prst="rect">
          <a:avLst/>
        </a:prstGeom>
      </xdr:spPr>
    </xdr:pic>
    <xdr:clientData/>
  </xdr:twoCellAnchor>
  <xdr:twoCellAnchor>
    <xdr:from>
      <xdr:col>0</xdr:col>
      <xdr:colOff>85725</xdr:colOff>
      <xdr:row>0</xdr:row>
      <xdr:rowOff>85725</xdr:rowOff>
    </xdr:from>
    <xdr:to>
      <xdr:col>14</xdr:col>
      <xdr:colOff>85725</xdr:colOff>
      <xdr:row>19</xdr:row>
      <xdr:rowOff>190500</xdr:rowOff>
    </xdr:to>
    <xdr:sp macro="" textlink="">
      <xdr:nvSpPr>
        <xdr:cNvPr id="2" name="Retângulo 1"/>
        <xdr:cNvSpPr/>
      </xdr:nvSpPr>
      <xdr:spPr>
        <a:xfrm>
          <a:off x="85725" y="85725"/>
          <a:ext cx="8963025" cy="4810125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opersucar/Entrega/SIMULADOR%20_PN66_v1.3.1-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pa"/>
      <sheetName val="Simulador"/>
      <sheetName val="Dados_Mensais"/>
      <sheetName val="_ISP"/>
      <sheetName val="Plan1"/>
      <sheetName val="_Usinas"/>
      <sheetName val="_Cadastro PN66"/>
      <sheetName val="_Cadastro de Verbas"/>
      <sheetName val="Projetos_Grupo_Economico"/>
      <sheetName val="Apoio"/>
      <sheetName val="PN66GE%"/>
      <sheetName val="Aviso"/>
      <sheetName val="Apoio2"/>
      <sheetName val="SIMULADOR _PN66_v1.3.1-1"/>
    </sheetNames>
    <sheetDataSet>
      <sheetData sheetId="0"/>
      <sheetData sheetId="1">
        <row r="3">
          <cell r="B3" t="str">
            <v>SP</v>
          </cell>
        </row>
      </sheetData>
      <sheetData sheetId="2">
        <row r="1">
          <cell r="C1" t="str">
            <v>Estado</v>
          </cell>
          <cell r="D1" t="str">
            <v>Valor Total do Projeto</v>
          </cell>
        </row>
        <row r="2">
          <cell r="C2" t="str">
            <v>SP</v>
          </cell>
        </row>
        <row r="3">
          <cell r="C3" t="str">
            <v>GO</v>
          </cell>
        </row>
        <row r="4">
          <cell r="C4" t="str">
            <v>PR</v>
          </cell>
        </row>
        <row r="5">
          <cell r="C5" t="str">
            <v>MG</v>
          </cell>
        </row>
        <row r="6">
          <cell r="C6" t="str">
            <v>SP</v>
          </cell>
          <cell r="D6">
            <v>38000</v>
          </cell>
        </row>
        <row r="7">
          <cell r="C7" t="str">
            <v>SP</v>
          </cell>
          <cell r="D7">
            <v>2000</v>
          </cell>
        </row>
        <row r="8">
          <cell r="C8" t="str">
            <v>MG</v>
          </cell>
          <cell r="D8">
            <v>2000</v>
          </cell>
        </row>
        <row r="9">
          <cell r="C9" t="str">
            <v>SP</v>
          </cell>
          <cell r="D9">
            <v>0</v>
          </cell>
        </row>
        <row r="10">
          <cell r="C10" t="str">
            <v>GO</v>
          </cell>
          <cell r="D10">
            <v>0</v>
          </cell>
        </row>
        <row r="11">
          <cell r="C11" t="str">
            <v>MG</v>
          </cell>
          <cell r="D11">
            <v>0</v>
          </cell>
        </row>
        <row r="12">
          <cell r="C12" t="str">
            <v>SP</v>
          </cell>
          <cell r="D12">
            <v>0</v>
          </cell>
        </row>
        <row r="13">
          <cell r="C13" t="str">
            <v>GO</v>
          </cell>
          <cell r="D13">
            <v>0</v>
          </cell>
        </row>
        <row r="14">
          <cell r="C14" t="str">
            <v>MG</v>
          </cell>
          <cell r="D14">
            <v>0</v>
          </cell>
        </row>
        <row r="15">
          <cell r="C15" t="str">
            <v>PR</v>
          </cell>
          <cell r="D15">
            <v>0</v>
          </cell>
        </row>
        <row r="16">
          <cell r="C16" t="str">
            <v>SP</v>
          </cell>
          <cell r="D16">
            <v>0</v>
          </cell>
        </row>
        <row r="17">
          <cell r="C17" t="str">
            <v>GO</v>
          </cell>
          <cell r="D17">
            <v>2000</v>
          </cell>
        </row>
        <row r="18">
          <cell r="C18" t="str">
            <v>SP</v>
          </cell>
          <cell r="D18">
            <v>12000</v>
          </cell>
        </row>
        <row r="19">
          <cell r="C19" t="str">
            <v>SP</v>
          </cell>
          <cell r="D19">
            <v>0</v>
          </cell>
        </row>
        <row r="20">
          <cell r="C20" t="str">
            <v>SP</v>
          </cell>
          <cell r="D20">
            <v>9500</v>
          </cell>
        </row>
        <row r="21">
          <cell r="C21" t="str">
            <v>PR</v>
          </cell>
          <cell r="D21">
            <v>0</v>
          </cell>
        </row>
        <row r="22">
          <cell r="C22" t="str">
            <v>PR</v>
          </cell>
          <cell r="D22">
            <v>6400</v>
          </cell>
        </row>
        <row r="23">
          <cell r="C23" t="str">
            <v>SP</v>
          </cell>
          <cell r="D23">
            <v>9000</v>
          </cell>
        </row>
        <row r="24">
          <cell r="C24" t="str">
            <v>SP</v>
          </cell>
          <cell r="D24">
            <v>0</v>
          </cell>
        </row>
        <row r="25">
          <cell r="C25" t="str">
            <v>SP</v>
          </cell>
          <cell r="D25">
            <v>0</v>
          </cell>
        </row>
        <row r="26">
          <cell r="C26" t="str">
            <v>SP</v>
          </cell>
          <cell r="D26">
            <v>0</v>
          </cell>
        </row>
        <row r="27">
          <cell r="C27" t="str">
            <v>SP</v>
          </cell>
          <cell r="D27">
            <v>0</v>
          </cell>
        </row>
        <row r="28">
          <cell r="C28" t="str">
            <v>SP</v>
          </cell>
          <cell r="D28">
            <v>0</v>
          </cell>
        </row>
        <row r="29">
          <cell r="C29" t="str">
            <v>SP</v>
          </cell>
          <cell r="D29">
            <v>0</v>
          </cell>
        </row>
        <row r="30">
          <cell r="C30" t="str">
            <v>SP</v>
          </cell>
          <cell r="D30">
            <v>0</v>
          </cell>
        </row>
        <row r="31">
          <cell r="C31" t="str">
            <v>SP</v>
          </cell>
          <cell r="D31">
            <v>0</v>
          </cell>
        </row>
        <row r="32">
          <cell r="C32" t="str">
            <v>SP</v>
          </cell>
          <cell r="D32">
            <v>4000</v>
          </cell>
        </row>
        <row r="33">
          <cell r="C33" t="str">
            <v>SP</v>
          </cell>
          <cell r="D33">
            <v>4200</v>
          </cell>
        </row>
        <row r="34">
          <cell r="C34" t="str">
            <v>SP</v>
          </cell>
          <cell r="D34">
            <v>0</v>
          </cell>
        </row>
      </sheetData>
      <sheetData sheetId="3">
        <row r="1">
          <cell r="A1" t="str">
            <v>ID</v>
          </cell>
        </row>
        <row r="2">
          <cell r="A2">
            <v>40</v>
          </cell>
        </row>
        <row r="3">
          <cell r="A3">
            <v>41</v>
          </cell>
        </row>
        <row r="4">
          <cell r="A4">
            <v>42</v>
          </cell>
        </row>
        <row r="5">
          <cell r="A5">
            <v>26</v>
          </cell>
        </row>
        <row r="6">
          <cell r="A6">
            <v>22</v>
          </cell>
        </row>
        <row r="7">
          <cell r="A7">
            <v>21</v>
          </cell>
        </row>
        <row r="8">
          <cell r="A8">
            <v>24</v>
          </cell>
        </row>
        <row r="9">
          <cell r="A9">
            <v>30</v>
          </cell>
        </row>
        <row r="10">
          <cell r="A10">
            <v>34</v>
          </cell>
        </row>
        <row r="11">
          <cell r="A11">
            <v>25</v>
          </cell>
        </row>
        <row r="12">
          <cell r="A12">
            <v>23</v>
          </cell>
        </row>
        <row r="13">
          <cell r="A13">
            <v>27</v>
          </cell>
        </row>
        <row r="14">
          <cell r="A14">
            <v>31</v>
          </cell>
        </row>
        <row r="15">
          <cell r="A15">
            <v>1</v>
          </cell>
        </row>
        <row r="16">
          <cell r="A16">
            <v>33</v>
          </cell>
        </row>
        <row r="17">
          <cell r="A17">
            <v>36</v>
          </cell>
        </row>
        <row r="18">
          <cell r="A18">
            <v>28</v>
          </cell>
        </row>
        <row r="19">
          <cell r="A19">
            <v>29</v>
          </cell>
        </row>
        <row r="20">
          <cell r="A20">
            <v>32</v>
          </cell>
        </row>
        <row r="21">
          <cell r="A21">
            <v>35</v>
          </cell>
        </row>
      </sheetData>
      <sheetData sheetId="4"/>
      <sheetData sheetId="5"/>
      <sheetData sheetId="6"/>
      <sheetData sheetId="7">
        <row r="1">
          <cell r="B1" t="str">
            <v>Ano</v>
          </cell>
          <cell r="E1" t="str">
            <v>Programa Incentivo</v>
          </cell>
        </row>
      </sheetData>
      <sheetData sheetId="8"/>
      <sheetData sheetId="9">
        <row r="1">
          <cell r="O1" t="str">
            <v>Status</v>
          </cell>
          <cell r="Q1" t="str">
            <v>Lei Incentivo</v>
          </cell>
        </row>
        <row r="2">
          <cell r="O2" t="str">
            <v>Projeto selecionado</v>
          </cell>
          <cell r="Q2" t="str">
            <v>PROAC</v>
          </cell>
        </row>
        <row r="3">
          <cell r="Q3" t="str">
            <v>PIE</v>
          </cell>
        </row>
      </sheetData>
      <sheetData sheetId="10"/>
      <sheetData sheetId="11"/>
      <sheetData sheetId="12"/>
      <sheetData sheetId="13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41767.458173726853" createdVersion="5" refreshedVersion="5" minRefreshableVersion="3" recordCount="21">
  <cacheSource type="worksheet">
    <worksheetSource name="Tabela1"/>
  </cacheSource>
  <cacheFields count="7">
    <cacheField name="Produto" numFmtId="0">
      <sharedItems count="21">
        <s v="Cerveja 350ml"/>
        <s v="Refrigerante"/>
        <s v="Água 1L"/>
        <s v="Suco 1L"/>
        <s v="Vinho 1L"/>
        <s v="Vodka 1L"/>
        <s v="Caipirinha"/>
        <s v="Carne"/>
        <s v="Linguiça"/>
        <s v="Frango"/>
        <s v="Picanha"/>
        <s v="Arroz"/>
        <s v="Farofa"/>
        <s v="Saladas"/>
        <s v="Carvão (Kg)"/>
        <s v="Gelo (Kg)"/>
        <s v="Copos Descart. (50 Unid)"/>
        <s v="Talheres Desc. (20 Unid)"/>
        <s v="Pães de Alho"/>
        <s v="Pãezinhos"/>
        <s v="Frutas Diversas"/>
      </sharedItems>
    </cacheField>
    <cacheField name="Custo Previsto" numFmtId="166">
      <sharedItems containsSemiMixedTypes="0" containsString="0" containsNumber="1" minValue="0" maxValue="15"/>
    </cacheField>
    <cacheField name="Preço" numFmtId="165">
      <sharedItems containsSemiMixedTypes="0" containsString="0" containsNumber="1" minValue="0" maxValue="30"/>
    </cacheField>
    <cacheField name="Qtde" numFmtId="0">
      <sharedItems containsSemiMixedTypes="0" containsString="0" containsNumber="1" minValue="0.08" maxValue="6"/>
    </cacheField>
    <cacheField name="Custo Real" numFmtId="165">
      <sharedItems containsSemiMixedTypes="0" containsString="0" containsNumber="1" minValue="0" maxValue="72"/>
    </cacheField>
    <cacheField name="Item" numFmtId="0">
      <sharedItems count="5">
        <s v="Bebidas"/>
        <s v="Churrasco"/>
        <s v="Acomp."/>
        <s v="Diversos"/>
        <s v="Frutas"/>
      </sharedItems>
    </cacheField>
    <cacheField name="Diferença" numFmtId="166">
      <sharedItems containsSemiMixedTypes="0" containsString="0" containsNumber="1" minValue="-57" maxValue="8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uthor" refreshedDate="41781.787400810186" createdVersion="5" refreshedVersion="5" minRefreshableVersion="3" recordCount="27">
  <cacheSource type="worksheet">
    <worksheetSource ref="J2:O29" sheet="Apoio_Churrasco"/>
  </cacheSource>
  <cacheFields count="6">
    <cacheField name="Produto" numFmtId="0">
      <sharedItems count="28">
        <s v="Cerveja 350 ml"/>
        <s v="Refrigerante 1L"/>
        <s v="Água 1L"/>
        <s v="Suco 1L"/>
        <s v="Vinho 1L"/>
        <s v="Vodka 1L"/>
        <s v="Gelo (Kg)"/>
        <s v="Carvão (kg)"/>
        <s v="Adicional 1"/>
        <s v="Alcatra (Kg)"/>
        <s v="Linguiça (Kg)"/>
        <s v="Frango (Kg)"/>
        <s v="Picanha (Kg)"/>
        <s v="Maminha (Kg)"/>
        <s v="Coração (Kg)"/>
        <s v="Arroz"/>
        <s v="Farofa"/>
        <s v="Adicional 2"/>
        <s v="Queijo Coalho"/>
        <s v="Guardanapos (50 unid)"/>
        <s v="Copos Descart. (20 unid)"/>
        <s v="Talheres Desc. (20 unid)"/>
        <s v="Pães de Alho"/>
        <s v="Pãezinhos"/>
        <s v="Frutas Diversas"/>
        <s v="Saladas"/>
        <s v="Adicional 3"/>
        <s v="Copos Descart. (50 unid)" u="1"/>
      </sharedItems>
    </cacheField>
    <cacheField name="Preço" numFmtId="0">
      <sharedItems containsString="0" containsBlank="1" containsNumber="1" minValue="1.25" maxValue="31.99"/>
    </cacheField>
    <cacheField name="Quantidade" numFmtId="0">
      <sharedItems containsString="0" containsBlank="1" containsNumber="1" minValue="0.4" maxValue="30"/>
    </cacheField>
    <cacheField name="Planejado" numFmtId="165">
      <sharedItems containsSemiMixedTypes="0" containsString="0" containsNumber="1" minValue="0" maxValue="75"/>
    </cacheField>
    <cacheField name="Real" numFmtId="165">
      <sharedItems containsSemiMixedTypes="0" containsString="0" containsNumber="1" containsInteger="1" minValue="0" maxValue="0"/>
    </cacheField>
    <cacheField name="Item" numFmtId="165">
      <sharedItems count="5">
        <s v="Bebidas"/>
        <s v="Diversos"/>
        <s v="Carnes"/>
        <s v="Acomp."/>
        <s v="Frutas"/>
      </sharedItems>
    </cacheField>
  </cacheFields>
  <extLst>
    <ext xmlns:x14="http://schemas.microsoft.com/office/spreadsheetml/2009/9/main" uri="{725AE2AE-9491-48be-B2B4-4EB974FC3084}">
      <x14:pivotCacheDefinition pivotCacheId="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1">
  <r>
    <x v="0"/>
    <n v="15"/>
    <n v="2.5"/>
    <n v="6"/>
    <n v="72"/>
    <x v="0"/>
    <n v="-57"/>
  </r>
  <r>
    <x v="1"/>
    <n v="0.8"/>
    <n v="2"/>
    <n v="0.4"/>
    <n v="3.5"/>
    <x v="0"/>
    <n v="-2.7"/>
  </r>
  <r>
    <x v="2"/>
    <n v="0.60000000000000009"/>
    <n v="1.5"/>
    <n v="0.4"/>
    <n v="2.5"/>
    <x v="0"/>
    <n v="-1.9"/>
  </r>
  <r>
    <x v="3"/>
    <n v="0.70000000000000007"/>
    <n v="3.5"/>
    <n v="0.2"/>
    <n v="4.25"/>
    <x v="0"/>
    <n v="-3.55"/>
  </r>
  <r>
    <x v="4"/>
    <n v="1.6"/>
    <n v="8"/>
    <n v="0.2"/>
    <n v="5.99"/>
    <x v="0"/>
    <n v="-4.3900000000000006"/>
  </r>
  <r>
    <x v="5"/>
    <n v="4"/>
    <n v="20"/>
    <n v="0.2"/>
    <n v="23"/>
    <x v="0"/>
    <n v="-19"/>
  </r>
  <r>
    <x v="6"/>
    <n v="0"/>
    <n v="0"/>
    <n v="0.1"/>
    <n v="0"/>
    <x v="0"/>
    <n v="0"/>
  </r>
  <r>
    <x v="7"/>
    <n v="1.4000000000000001"/>
    <n v="14"/>
    <n v="0.1"/>
    <n v="8.5"/>
    <x v="1"/>
    <n v="-7.1"/>
  </r>
  <r>
    <x v="8"/>
    <n v="1.6"/>
    <n v="8"/>
    <n v="0.2"/>
    <n v="9"/>
    <x v="1"/>
    <n v="-7.4"/>
  </r>
  <r>
    <x v="9"/>
    <n v="0.60000000000000009"/>
    <n v="6"/>
    <n v="0.1"/>
    <n v="3.5"/>
    <x v="1"/>
    <n v="-2.9"/>
  </r>
  <r>
    <x v="10"/>
    <n v="3"/>
    <n v="30"/>
    <n v="0.1"/>
    <n v="18"/>
    <x v="1"/>
    <n v="-15"/>
  </r>
  <r>
    <x v="11"/>
    <n v="0.38400000000000001"/>
    <n v="2.4"/>
    <n v="0.16"/>
    <n v="2.2000000000000002"/>
    <x v="2"/>
    <n v="-1.8160000000000003"/>
  </r>
  <r>
    <x v="12"/>
    <n v="0.24"/>
    <n v="3"/>
    <n v="0.08"/>
    <n v="1.1000000000000001"/>
    <x v="2"/>
    <n v="-0.8600000000000001"/>
  </r>
  <r>
    <x v="13"/>
    <n v="0"/>
    <n v="0"/>
    <n v="0.1"/>
    <n v="0"/>
    <x v="2"/>
    <n v="0"/>
  </r>
  <r>
    <x v="14"/>
    <n v="0.75"/>
    <n v="2.5"/>
    <n v="0.3"/>
    <n v="4"/>
    <x v="3"/>
    <n v="-3.25"/>
  </r>
  <r>
    <x v="15"/>
    <n v="1.6"/>
    <n v="2"/>
    <n v="0.8"/>
    <n v="8"/>
    <x v="3"/>
    <n v="-6.4"/>
  </r>
  <r>
    <x v="16"/>
    <n v="4.5"/>
    <n v="4.5"/>
    <n v="1"/>
    <n v="5"/>
    <x v="3"/>
    <n v="-0.5"/>
  </r>
  <r>
    <x v="17"/>
    <n v="6.5"/>
    <n v="6.5"/>
    <n v="1"/>
    <n v="6"/>
    <x v="3"/>
    <n v="0.5"/>
  </r>
  <r>
    <x v="18"/>
    <n v="2.5"/>
    <n v="1.25"/>
    <n v="2"/>
    <n v="11"/>
    <x v="2"/>
    <n v="-8.5"/>
  </r>
  <r>
    <x v="19"/>
    <n v="8"/>
    <n v="8"/>
    <n v="1"/>
    <n v="0"/>
    <x v="2"/>
    <n v="8"/>
  </r>
  <r>
    <x v="20"/>
    <n v="1.2"/>
    <n v="5"/>
    <n v="0.24"/>
    <n v="7.5"/>
    <x v="4"/>
    <n v="-6.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7">
  <r>
    <x v="0"/>
    <n v="2.5"/>
    <n v="30"/>
    <n v="75"/>
    <n v="0"/>
    <x v="0"/>
  </r>
  <r>
    <x v="1"/>
    <n v="4.5"/>
    <n v="4"/>
    <n v="18"/>
    <n v="0"/>
    <x v="0"/>
  </r>
  <r>
    <x v="2"/>
    <n v="1.5"/>
    <n v="2.8"/>
    <n v="4.1999999999999993"/>
    <n v="0"/>
    <x v="0"/>
  </r>
  <r>
    <x v="3"/>
    <n v="3.5"/>
    <n v="1.8"/>
    <n v="6.3"/>
    <n v="0"/>
    <x v="0"/>
  </r>
  <r>
    <x v="4"/>
    <n v="8"/>
    <n v="1"/>
    <n v="8"/>
    <n v="0"/>
    <x v="0"/>
  </r>
  <r>
    <x v="5"/>
    <n v="20"/>
    <n v="1"/>
    <n v="20"/>
    <n v="0"/>
    <x v="0"/>
  </r>
  <r>
    <x v="6"/>
    <n v="10"/>
    <n v="2.2400000000000002"/>
    <n v="22.400000000000002"/>
    <n v="0"/>
    <x v="1"/>
  </r>
  <r>
    <x v="7"/>
    <n v="12.5"/>
    <n v="1.75"/>
    <n v="21.875"/>
    <n v="0"/>
    <x v="1"/>
  </r>
  <r>
    <x v="8"/>
    <m/>
    <m/>
    <n v="0"/>
    <n v="0"/>
    <x v="1"/>
  </r>
  <r>
    <x v="9"/>
    <n v="22"/>
    <n v="0.41599999999999998"/>
    <n v="9.1519999999999992"/>
    <n v="0"/>
    <x v="2"/>
  </r>
  <r>
    <x v="10"/>
    <n v="9.5"/>
    <n v="0.82000000000000006"/>
    <n v="7.7900000000000009"/>
    <n v="0"/>
    <x v="2"/>
  </r>
  <r>
    <x v="11"/>
    <n v="5.8"/>
    <n v="0.41599999999999998"/>
    <n v="2.4127999999999998"/>
    <n v="0"/>
    <x v="2"/>
  </r>
  <r>
    <x v="12"/>
    <n v="22.5"/>
    <n v="0.41599999999999998"/>
    <n v="9.36"/>
    <n v="0"/>
    <x v="2"/>
  </r>
  <r>
    <x v="13"/>
    <n v="8"/>
    <n v="0.41599999999999998"/>
    <n v="3.3279999999999998"/>
    <n v="0"/>
    <x v="2"/>
  </r>
  <r>
    <x v="14"/>
    <n v="16.5"/>
    <n v="0.41599999999999998"/>
    <n v="6.8639999999999999"/>
    <n v="0"/>
    <x v="2"/>
  </r>
  <r>
    <x v="15"/>
    <n v="2.4"/>
    <n v="0.8"/>
    <n v="1.92"/>
    <n v="0"/>
    <x v="3"/>
  </r>
  <r>
    <x v="16"/>
    <n v="4.5"/>
    <n v="0.4"/>
    <n v="1.8"/>
    <n v="0"/>
    <x v="3"/>
  </r>
  <r>
    <x v="17"/>
    <m/>
    <m/>
    <n v="0"/>
    <n v="0"/>
    <x v="1"/>
  </r>
  <r>
    <x v="18"/>
    <n v="31.99"/>
    <n v="0.42"/>
    <n v="13.435799999999999"/>
    <n v="0"/>
    <x v="3"/>
  </r>
  <r>
    <x v="19"/>
    <n v="2.5"/>
    <n v="2.8"/>
    <n v="7"/>
    <n v="0"/>
    <x v="1"/>
  </r>
  <r>
    <x v="20"/>
    <n v="4"/>
    <n v="2.8"/>
    <n v="11.2"/>
    <n v="0"/>
    <x v="1"/>
  </r>
  <r>
    <x v="21"/>
    <n v="4.5"/>
    <n v="2.8"/>
    <n v="12.6"/>
    <n v="0"/>
    <x v="1"/>
  </r>
  <r>
    <x v="22"/>
    <n v="6.5"/>
    <n v="0.70000000000000007"/>
    <n v="4.5500000000000007"/>
    <n v="0"/>
    <x v="3"/>
  </r>
  <r>
    <x v="23"/>
    <n v="1.25"/>
    <n v="14"/>
    <n v="17.5"/>
    <n v="0"/>
    <x v="3"/>
  </r>
  <r>
    <x v="24"/>
    <n v="8"/>
    <n v="1.68"/>
    <n v="13.44"/>
    <n v="0"/>
    <x v="4"/>
  </r>
  <r>
    <x v="25"/>
    <n v="5"/>
    <n v="0.70000000000000007"/>
    <n v="3.5000000000000004"/>
    <n v="0"/>
    <x v="3"/>
  </r>
  <r>
    <x v="26"/>
    <m/>
    <m/>
    <n v="0"/>
    <n v="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3" cacheId="1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7">
  <location ref="A3:B9" firstHeaderRow="1" firstDataRow="1" firstDataCol="1"/>
  <pivotFields count="6">
    <pivotField showAll="0">
      <items count="29">
        <item x="8"/>
        <item x="17"/>
        <item x="26"/>
        <item x="2"/>
        <item x="9"/>
        <item x="15"/>
        <item x="7"/>
        <item x="0"/>
        <item x="20"/>
        <item m="1" x="27"/>
        <item x="14"/>
        <item x="16"/>
        <item x="11"/>
        <item x="24"/>
        <item x="6"/>
        <item x="19"/>
        <item x="10"/>
        <item x="13"/>
        <item x="22"/>
        <item x="23"/>
        <item x="12"/>
        <item x="18"/>
        <item x="1"/>
        <item x="25"/>
        <item x="3"/>
        <item x="21"/>
        <item x="4"/>
        <item x="5"/>
        <item t="default"/>
      </items>
    </pivotField>
    <pivotField showAll="0"/>
    <pivotField showAll="0"/>
    <pivotField numFmtId="165" showAll="0"/>
    <pivotField dataField="1" numFmtId="165" showAll="0"/>
    <pivotField axis="axisRow" showAll="0">
      <items count="6">
        <item x="3"/>
        <item x="0"/>
        <item x="2"/>
        <item x="1"/>
        <item x="4"/>
        <item t="default"/>
      </items>
    </pivotField>
  </pivotFields>
  <rowFields count="1">
    <field x="5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oma de Real" fld="4" baseField="5" baseItem="1" numFmtId="169"/>
  </dataFields>
  <chartFormats count="2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10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7">
  <location ref="A3:B9" firstHeaderRow="1" firstDataRow="1" firstDataCol="1"/>
  <pivotFields count="7">
    <pivotField showAll="0">
      <items count="22">
        <item x="2"/>
        <item x="11"/>
        <item x="6"/>
        <item x="7"/>
        <item x="14"/>
        <item x="0"/>
        <item x="16"/>
        <item x="12"/>
        <item x="9"/>
        <item x="20"/>
        <item x="15"/>
        <item x="8"/>
        <item x="18"/>
        <item x="19"/>
        <item x="10"/>
        <item x="1"/>
        <item x="13"/>
        <item x="3"/>
        <item x="17"/>
        <item x="4"/>
        <item x="5"/>
        <item t="default"/>
      </items>
    </pivotField>
    <pivotField numFmtId="166" showAll="0"/>
    <pivotField numFmtId="165" showAll="0"/>
    <pivotField showAll="0"/>
    <pivotField dataField="1" numFmtId="165" showAll="0"/>
    <pivotField axis="axisRow" showAll="0">
      <items count="6">
        <item x="2"/>
        <item x="0"/>
        <item x="1"/>
        <item x="3"/>
        <item x="4"/>
        <item t="default"/>
      </items>
    </pivotField>
    <pivotField numFmtId="166" showAll="0"/>
  </pivotFields>
  <rowFields count="1">
    <field x="5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oma de Custo Real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Item1" sourceName="Item">
  <pivotTables>
    <pivotTable tabId="36" name="Tabela dinâmica3"/>
  </pivotTables>
  <data>
    <tabular pivotCacheId="2">
      <items count="5">
        <i x="3" s="1"/>
        <i x="0" s="1"/>
        <i x="2" s="1"/>
        <i x="1" s="1"/>
        <i x="4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Produto1" sourceName="Produto">
  <pivotTables>
    <pivotTable tabId="36" name="Tabela dinâmica3"/>
  </pivotTables>
  <data>
    <tabular pivotCacheId="2">
      <items count="28">
        <i x="8" s="1"/>
        <i x="17" s="1"/>
        <i x="26" s="1"/>
        <i x="2" s="1"/>
        <i x="9" s="1"/>
        <i x="15" s="1"/>
        <i x="7" s="1"/>
        <i x="0" s="1"/>
        <i x="20" s="1"/>
        <i x="14" s="1"/>
        <i x="16" s="1"/>
        <i x="11" s="1"/>
        <i x="24" s="1"/>
        <i x="6" s="1"/>
        <i x="19" s="1"/>
        <i x="10" s="1"/>
        <i x="13" s="1"/>
        <i x="22" s="1"/>
        <i x="23" s="1"/>
        <i x="12" s="1"/>
        <i x="18" s="1"/>
        <i x="1" s="1"/>
        <i x="25" s="1"/>
        <i x="3" s="1"/>
        <i x="21" s="1"/>
        <i x="4" s="1"/>
        <i x="5" s="1"/>
        <i x="27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Item 1" cache="SegmentaçãodeDados_Item1" caption="Item" columnCount="4" style="SlicerStyleDark6" lockedPosition="1" rowHeight="241300"/>
  <slicer name="Produto 1" cache="SegmentaçãodeDados_Produto1" caption="Produto" columnCount="9" style="SlicerStyleDark6" lockedPosition="1" rowHeight="241300"/>
</slicers>
</file>

<file path=xl/tables/table1.xml><?xml version="1.0" encoding="utf-8"?>
<table xmlns="http://schemas.openxmlformats.org/spreadsheetml/2006/main" id="4" name="Tabela4" displayName="Tabela4" ref="G2:H17" totalsRowShown="0" headerRowDxfId="17" dataDxfId="16">
  <tableColumns count="2">
    <tableColumn id="1" name="Cálculo" dataDxfId="15"/>
    <tableColumn id="2" name="Quant." dataDxfId="14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5" name="Tabela5" displayName="Tabela5" ref="B2:D43" totalsRowShown="0" headerRowDxfId="13" dataDxfId="12">
  <tableColumns count="3">
    <tableColumn id="1" name="Item" dataDxfId="11"/>
    <tableColumn id="2" name="Quantidade" dataDxfId="10"/>
    <tableColumn id="3" name="Pessoas" dataDxfId="9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1" name="Tabela1" displayName="Tabela1" ref="Y2:AE29" totalsRowShown="0" headerRowDxfId="8" dataDxfId="7">
  <tableColumns count="7">
    <tableColumn id="2" name="Produto" dataDxfId="6">
      <calculatedColumnFormula>J3</calculatedColumnFormula>
    </tableColumn>
    <tableColumn id="3" name="Custo Previsto" dataDxfId="5">
      <calculatedColumnFormula>Apoio_Churrasco!M3</calculatedColumnFormula>
    </tableColumn>
    <tableColumn id="4" name="Preço" dataDxfId="4">
      <calculatedColumnFormula>Apoio_Churrasco!K3</calculatedColumnFormula>
    </tableColumn>
    <tableColumn id="5" name="Qtde" dataDxfId="3">
      <calculatedColumnFormula>Apoio_Churrasco!L3</calculatedColumnFormula>
    </tableColumn>
    <tableColumn id="6" name="Custo Real" dataDxfId="2">
      <calculatedColumnFormula>Apoio_Churrasco!N3</calculatedColumnFormula>
    </tableColumn>
    <tableColumn id="7" name="Item" dataDxfId="1"/>
    <tableColumn id="9" name="Diferença" dataDxfId="0">
      <calculatedColumnFormula>Z3-AC3</calculatedColumnFormula>
    </tableColumn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Amarelo">
      <a:dk1>
        <a:sysClr val="windowText" lastClr="000000"/>
      </a:dk1>
      <a:lt1>
        <a:sysClr val="window" lastClr="FFFFFF"/>
      </a:lt1>
      <a:dk2>
        <a:srgbClr val="39302A"/>
      </a:dk2>
      <a:lt2>
        <a:srgbClr val="E5DEDB"/>
      </a:lt2>
      <a:accent1>
        <a:srgbClr val="FFCA08"/>
      </a:accent1>
      <a:accent2>
        <a:srgbClr val="F8931D"/>
      </a:accent2>
      <a:accent3>
        <a:srgbClr val="CE8D3E"/>
      </a:accent3>
      <a:accent4>
        <a:srgbClr val="EC7016"/>
      </a:accent4>
      <a:accent5>
        <a:srgbClr val="E64823"/>
      </a:accent5>
      <a:accent6>
        <a:srgbClr val="9C6A6A"/>
      </a:accent6>
      <a:hlink>
        <a:srgbClr val="2998E3"/>
      </a:hlink>
      <a:folHlink>
        <a:srgbClr val="7F723D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ListaChurrasco"/>
  <dimension ref="A1:S94"/>
  <sheetViews>
    <sheetView showGridLines="0" showRowColHeaders="0" tabSelected="1" zoomScaleNormal="100" workbookViewId="0">
      <pane ySplit="27" topLeftCell="A28" activePane="bottomLeft" state="frozen"/>
      <selection pane="bottomLeft" activeCell="C26" sqref="C26"/>
    </sheetView>
  </sheetViews>
  <sheetFormatPr defaultRowHeight="16.5" x14ac:dyDescent="0.3"/>
  <cols>
    <col min="1" max="1" width="0.85546875" style="5" customWidth="1"/>
    <col min="2" max="2" width="6.7109375" style="5" customWidth="1"/>
    <col min="3" max="4" width="14.7109375" style="5" customWidth="1"/>
    <col min="5" max="5" width="12.7109375" style="5" customWidth="1"/>
    <col min="6" max="6" width="11.140625" style="5" bestFit="1" customWidth="1"/>
    <col min="7" max="7" width="12.7109375" style="5" customWidth="1"/>
    <col min="8" max="8" width="15.7109375" style="5" customWidth="1"/>
    <col min="9" max="9" width="12.5703125" style="5" bestFit="1" customWidth="1"/>
    <col min="10" max="10" width="11.140625" style="5" bestFit="1" customWidth="1"/>
    <col min="11" max="11" width="10.140625" style="5" bestFit="1" customWidth="1"/>
    <col min="12" max="12" width="21.7109375" style="5" customWidth="1"/>
    <col min="13" max="13" width="12.5703125" style="5" bestFit="1" customWidth="1"/>
    <col min="14" max="14" width="11.140625" style="5" bestFit="1" customWidth="1"/>
    <col min="15" max="15" width="6.7109375" style="5" customWidth="1"/>
    <col min="20" max="20" width="10.140625" style="5" customWidth="1"/>
    <col min="21" max="16384" width="9.140625" style="5"/>
  </cols>
  <sheetData>
    <row r="1" spans="2:19" ht="3.95" customHeight="1" x14ac:dyDescent="0.3"/>
    <row r="2" spans="2:19" ht="15" customHeight="1" x14ac:dyDescent="0.3">
      <c r="B2" s="163"/>
      <c r="C2" s="163"/>
      <c r="D2" s="163"/>
      <c r="E2" s="163"/>
      <c r="F2" s="163"/>
      <c r="G2" s="163"/>
      <c r="H2" s="163"/>
      <c r="I2" s="163"/>
      <c r="J2" s="163"/>
      <c r="K2" s="163"/>
      <c r="L2" s="163"/>
      <c r="M2" s="163"/>
      <c r="N2" s="163"/>
      <c r="O2" s="163"/>
    </row>
    <row r="3" spans="2:19" ht="15" customHeight="1" x14ac:dyDescent="0.3">
      <c r="B3" s="163"/>
      <c r="C3" s="163"/>
      <c r="D3" s="163"/>
      <c r="E3" s="163"/>
      <c r="F3" s="163"/>
      <c r="G3" s="163"/>
      <c r="H3" s="163"/>
      <c r="I3" s="163"/>
      <c r="J3" s="163"/>
      <c r="K3" s="163"/>
      <c r="L3" s="163"/>
      <c r="M3" s="163"/>
      <c r="N3" s="163"/>
      <c r="O3" s="163"/>
    </row>
    <row r="4" spans="2:19" ht="15" customHeight="1" x14ac:dyDescent="0.3"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</row>
    <row r="5" spans="2:19" s="21" customFormat="1" ht="15" customHeight="1" x14ac:dyDescent="0.3">
      <c r="B5" s="163"/>
      <c r="C5" s="163"/>
      <c r="D5" s="163"/>
      <c r="E5" s="163"/>
      <c r="F5" s="163"/>
      <c r="G5" s="163"/>
      <c r="H5" s="163"/>
      <c r="I5" s="163"/>
      <c r="J5" s="163"/>
      <c r="K5" s="163"/>
      <c r="L5" s="163"/>
      <c r="M5" s="163"/>
      <c r="N5" s="163"/>
      <c r="O5" s="163"/>
      <c r="P5" s="28"/>
      <c r="Q5" s="28"/>
      <c r="R5" s="28"/>
      <c r="S5" s="28"/>
    </row>
    <row r="6" spans="2:19" ht="15" customHeight="1" x14ac:dyDescent="0.3">
      <c r="B6" s="45"/>
      <c r="C6" s="29"/>
      <c r="D6" s="29"/>
      <c r="E6" s="164"/>
      <c r="F6" s="164"/>
      <c r="G6" s="164"/>
      <c r="H6" s="164"/>
      <c r="I6" s="164"/>
      <c r="J6" s="164"/>
      <c r="K6" s="164"/>
      <c r="L6" s="164"/>
      <c r="M6" s="29"/>
      <c r="N6" s="29"/>
      <c r="O6" s="46"/>
    </row>
    <row r="7" spans="2:19" ht="15" customHeight="1" x14ac:dyDescent="0.3">
      <c r="B7" s="45"/>
      <c r="C7" s="29"/>
      <c r="D7" s="29"/>
      <c r="E7" s="164"/>
      <c r="F7" s="164"/>
      <c r="G7" s="164"/>
      <c r="H7" s="164"/>
      <c r="I7" s="164"/>
      <c r="J7" s="164"/>
      <c r="K7" s="164"/>
      <c r="L7" s="164"/>
      <c r="M7" s="29"/>
      <c r="N7" s="29"/>
      <c r="O7" s="46"/>
    </row>
    <row r="8" spans="2:19" ht="15" customHeight="1" x14ac:dyDescent="0.3">
      <c r="B8" s="45"/>
      <c r="C8" s="29"/>
      <c r="D8" s="29"/>
      <c r="E8" s="164"/>
      <c r="F8" s="164"/>
      <c r="G8" s="164"/>
      <c r="H8" s="164"/>
      <c r="I8" s="164"/>
      <c r="J8" s="164"/>
      <c r="K8" s="164"/>
      <c r="L8" s="164"/>
      <c r="M8" s="29"/>
      <c r="N8" s="29"/>
      <c r="O8" s="46"/>
    </row>
    <row r="9" spans="2:19" ht="9.9499999999999993" customHeight="1" x14ac:dyDescent="0.3">
      <c r="B9" s="47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48"/>
      <c r="P9" s="27"/>
    </row>
    <row r="10" spans="2:19" s="14" customFormat="1" ht="15" customHeight="1" x14ac:dyDescent="0.25">
      <c r="B10" s="49"/>
      <c r="C10" s="35" t="s">
        <v>25</v>
      </c>
      <c r="D10" s="35"/>
      <c r="E10" s="35"/>
      <c r="F10" s="35"/>
      <c r="G10" s="35"/>
      <c r="H10" s="37"/>
      <c r="I10" s="37"/>
      <c r="J10" s="37"/>
      <c r="K10" s="37"/>
      <c r="L10" s="38"/>
      <c r="M10" s="38"/>
      <c r="N10" s="38"/>
      <c r="O10" s="50"/>
      <c r="P10" s="27"/>
      <c r="Q10"/>
      <c r="R10"/>
      <c r="S10"/>
    </row>
    <row r="11" spans="2:19" s="14" customFormat="1" ht="3.95" customHeight="1" x14ac:dyDescent="0.25">
      <c r="B11" s="49"/>
      <c r="C11" s="35"/>
      <c r="D11" s="35"/>
      <c r="E11" s="35"/>
      <c r="F11" s="35"/>
      <c r="G11" s="35"/>
      <c r="H11" s="37"/>
      <c r="I11" s="37"/>
      <c r="J11" s="37"/>
      <c r="K11" s="37"/>
      <c r="L11" s="38"/>
      <c r="M11" s="38"/>
      <c r="N11" s="38"/>
      <c r="O11" s="50"/>
      <c r="P11"/>
      <c r="Q11"/>
      <c r="R11"/>
      <c r="S11"/>
    </row>
    <row r="12" spans="2:19" s="14" customFormat="1" ht="18.75" customHeight="1" thickBot="1" x14ac:dyDescent="0.3">
      <c r="B12" s="51"/>
      <c r="C12" s="68" t="s">
        <v>21</v>
      </c>
      <c r="D12" s="68" t="s">
        <v>22</v>
      </c>
      <c r="E12" s="69" t="s">
        <v>23</v>
      </c>
      <c r="F12" s="32"/>
      <c r="H12"/>
      <c r="I12" s="32"/>
      <c r="J12" s="32"/>
      <c r="K12" s="32"/>
      <c r="M12" s="32"/>
      <c r="O12" s="50"/>
      <c r="P12"/>
      <c r="Q12"/>
      <c r="R12"/>
      <c r="S12"/>
    </row>
    <row r="13" spans="2:19" s="14" customFormat="1" ht="15" customHeight="1" thickTop="1" x14ac:dyDescent="0.25">
      <c r="B13" s="51"/>
      <c r="C13" s="65">
        <v>0</v>
      </c>
      <c r="D13" s="65">
        <v>0</v>
      </c>
      <c r="E13" s="66">
        <v>0</v>
      </c>
      <c r="F13" s="32"/>
      <c r="G13" s="33"/>
      <c r="H13" s="32"/>
      <c r="I13" s="32"/>
      <c r="J13" s="32"/>
      <c r="K13" s="32"/>
      <c r="L13" s="32"/>
      <c r="M13" s="32"/>
      <c r="N13" s="32"/>
      <c r="O13" s="50"/>
      <c r="P13"/>
      <c r="Q13"/>
      <c r="R13"/>
      <c r="S13"/>
    </row>
    <row r="14" spans="2:19" s="14" customFormat="1" ht="9.9499999999999993" customHeight="1" x14ac:dyDescent="0.25">
      <c r="B14" s="51"/>
      <c r="C14" s="32"/>
      <c r="D14" s="32"/>
      <c r="E14" s="32"/>
      <c r="F14" s="32"/>
      <c r="G14" s="33"/>
      <c r="H14" s="32"/>
      <c r="I14" s="32"/>
      <c r="J14" s="32"/>
      <c r="K14" s="33"/>
      <c r="L14" s="34"/>
      <c r="M14" s="34"/>
      <c r="N14" s="34"/>
      <c r="O14" s="50"/>
      <c r="P14"/>
      <c r="Q14"/>
      <c r="R14"/>
      <c r="S14"/>
    </row>
    <row r="15" spans="2:19" s="14" customFormat="1" ht="15" customHeight="1" thickBot="1" x14ac:dyDescent="0.3">
      <c r="B15" s="51"/>
      <c r="C15" s="165" t="s">
        <v>3</v>
      </c>
      <c r="D15" s="165"/>
      <c r="E15" s="68" t="s">
        <v>40</v>
      </c>
      <c r="F15" s="141" t="s">
        <v>105</v>
      </c>
      <c r="G15" s="166" t="s">
        <v>8</v>
      </c>
      <c r="H15" s="165"/>
      <c r="I15" s="68" t="s">
        <v>40</v>
      </c>
      <c r="J15" s="141" t="s">
        <v>105</v>
      </c>
      <c r="K15" s="167" t="s">
        <v>14</v>
      </c>
      <c r="L15" s="168"/>
      <c r="M15" s="68" t="s">
        <v>40</v>
      </c>
      <c r="N15" s="60" t="s">
        <v>105</v>
      </c>
      <c r="O15" s="50"/>
      <c r="P15"/>
      <c r="Q15"/>
      <c r="R15"/>
      <c r="S15"/>
    </row>
    <row r="16" spans="2:19" s="14" customFormat="1" ht="15" customHeight="1" thickTop="1" x14ac:dyDescent="0.25">
      <c r="B16" s="51"/>
      <c r="C16" s="126">
        <f>Apoio_Churrasco!L3</f>
        <v>0</v>
      </c>
      <c r="D16" s="127" t="s">
        <v>78</v>
      </c>
      <c r="E16" s="128">
        <f>Apoio_Churrasco!M3</f>
        <v>0</v>
      </c>
      <c r="F16" s="142"/>
      <c r="G16" s="148" t="str">
        <f>(Apoio_Churrasco!$C$14*c_Homens)+(Apoio_Churrasco!$C$15*c_Mulheres)+(Apoio_Churrasco!$C$16*c_Criancas)&amp;" Kg de"</f>
        <v>0 Kg de</v>
      </c>
      <c r="H16" s="127" t="s">
        <v>81</v>
      </c>
      <c r="I16" s="128">
        <f>Apoio_Churrasco!M12</f>
        <v>0</v>
      </c>
      <c r="J16" s="142"/>
      <c r="K16" s="154" t="str">
        <f>Apoio_Churrasco!L21 &amp;" Kg de"</f>
        <v>0 Kg de</v>
      </c>
      <c r="L16" s="127" t="s">
        <v>82</v>
      </c>
      <c r="M16" s="128">
        <f>Apoio_Churrasco!M21</f>
        <v>0</v>
      </c>
      <c r="N16" s="129"/>
      <c r="O16" s="52"/>
      <c r="P16"/>
      <c r="Q16"/>
      <c r="R16"/>
      <c r="S16"/>
    </row>
    <row r="17" spans="1:19" s="14" customFormat="1" ht="16.5" customHeight="1" x14ac:dyDescent="0.25">
      <c r="B17" s="51"/>
      <c r="C17" s="130">
        <f>Apoio_Churrasco!L4</f>
        <v>0</v>
      </c>
      <c r="D17" s="71" t="s">
        <v>89</v>
      </c>
      <c r="E17" s="72">
        <f>Apoio_Churrasco!M4</f>
        <v>0</v>
      </c>
      <c r="F17" s="143"/>
      <c r="G17" s="149" t="str">
        <f>(Apoio_Churrasco!$C$37*c_Homens)+(Apoio_Churrasco!$C$38*c_Mulheres)+(Apoio_Churrasco!$C$39*c_Criancas)&amp;" Kg de"</f>
        <v>0 Kg de</v>
      </c>
      <c r="H17" s="71" t="s">
        <v>83</v>
      </c>
      <c r="I17" s="72">
        <f>Apoio_Churrasco!M13</f>
        <v>0</v>
      </c>
      <c r="J17" s="143"/>
      <c r="K17" s="155">
        <f>Apoio_Churrasco!L22</f>
        <v>0</v>
      </c>
      <c r="L17" s="70" t="s">
        <v>96</v>
      </c>
      <c r="M17" s="72">
        <f>Apoio_Churrasco!M22</f>
        <v>0</v>
      </c>
      <c r="N17" s="131"/>
      <c r="O17" s="52"/>
      <c r="P17"/>
      <c r="Q17"/>
      <c r="R17"/>
      <c r="S17"/>
    </row>
    <row r="18" spans="1:19" s="14" customFormat="1" ht="15" customHeight="1" x14ac:dyDescent="0.25">
      <c r="B18" s="51"/>
      <c r="C18" s="130">
        <f>Apoio_Churrasco!L5</f>
        <v>0</v>
      </c>
      <c r="D18" s="71" t="s">
        <v>66</v>
      </c>
      <c r="E18" s="72">
        <f>Apoio_Churrasco!M5</f>
        <v>0</v>
      </c>
      <c r="F18" s="143"/>
      <c r="G18" s="150" t="str">
        <f>(Apoio_Churrasco!$C$17*c_Homens)+(Apoio_Churrasco!$C$18*c_Mulheres)+(Apoio_Churrasco!$C$19*c_Criancas)&amp;" Kg de"</f>
        <v>0 Kg de</v>
      </c>
      <c r="H18" s="71" t="s">
        <v>26</v>
      </c>
      <c r="I18" s="72">
        <f>Apoio_Churrasco!M14</f>
        <v>0</v>
      </c>
      <c r="J18" s="143"/>
      <c r="K18" s="156">
        <f>Apoio_Churrasco!L23</f>
        <v>0</v>
      </c>
      <c r="L18" s="71" t="s">
        <v>104</v>
      </c>
      <c r="M18" s="72">
        <f>Apoio_Churrasco!M23</f>
        <v>0</v>
      </c>
      <c r="N18" s="132"/>
      <c r="O18" s="52"/>
      <c r="P18"/>
      <c r="Q18"/>
      <c r="R18"/>
      <c r="S18"/>
    </row>
    <row r="19" spans="1:19" s="14" customFormat="1" ht="15" customHeight="1" x14ac:dyDescent="0.25">
      <c r="B19" s="51"/>
      <c r="C19" s="130">
        <f>Apoio_Churrasco!L6</f>
        <v>0</v>
      </c>
      <c r="D19" s="71" t="s">
        <v>67</v>
      </c>
      <c r="E19" s="72">
        <f>Apoio_Churrasco!M6</f>
        <v>0</v>
      </c>
      <c r="F19" s="143"/>
      <c r="G19" s="150" t="str">
        <f>(Apoio_Churrasco!$C$20*c_Homens)+(Apoio_Churrasco!$C$21*c_Mulheres)+(Apoio_Churrasco!$C$22*c_Criancas)&amp;" Kg de"</f>
        <v>0 Kg de</v>
      </c>
      <c r="H19" s="71" t="s">
        <v>29</v>
      </c>
      <c r="I19" s="72">
        <f>Apoio_Churrasco!M15</f>
        <v>0</v>
      </c>
      <c r="J19" s="143"/>
      <c r="K19" s="157">
        <f>Apoio_Churrasco!L24</f>
        <v>0</v>
      </c>
      <c r="L19" s="71" t="s">
        <v>80</v>
      </c>
      <c r="M19" s="72">
        <f>Apoio_Churrasco!M24</f>
        <v>0</v>
      </c>
      <c r="N19" s="132"/>
      <c r="O19" s="52"/>
      <c r="P19"/>
      <c r="Q19"/>
      <c r="R19"/>
      <c r="S19"/>
    </row>
    <row r="20" spans="1:19" s="14" customFormat="1" ht="15" customHeight="1" x14ac:dyDescent="0.25">
      <c r="B20" s="51"/>
      <c r="C20" s="130">
        <f>Apoio_Churrasco!L7</f>
        <v>0</v>
      </c>
      <c r="D20" s="71" t="s">
        <v>68</v>
      </c>
      <c r="E20" s="72">
        <f>Apoio_Churrasco!M7</f>
        <v>0</v>
      </c>
      <c r="F20" s="143"/>
      <c r="G20" s="150" t="str">
        <f>(Apoio_Churrasco!$C$23*c_Homens)+(Apoio_Churrasco!$C$24*c_Mulheres)+(Apoio_Churrasco!$C$25*c_Criancas)&amp;" Kg de"</f>
        <v>0 Kg de</v>
      </c>
      <c r="H20" s="71" t="s">
        <v>17</v>
      </c>
      <c r="I20" s="72">
        <f>Apoio_Churrasco!M16</f>
        <v>0</v>
      </c>
      <c r="J20" s="143"/>
      <c r="K20" s="158" t="str">
        <f>Apoio_Churrasco!$H$17*Apoio_Churrasco!$C$35 &amp;" Kg de"</f>
        <v>0 Kg de</v>
      </c>
      <c r="L20" s="71" t="s">
        <v>34</v>
      </c>
      <c r="M20" s="72">
        <f>Apoio_Churrasco!M25</f>
        <v>0</v>
      </c>
      <c r="N20" s="132"/>
      <c r="O20" s="52"/>
      <c r="P20"/>
      <c r="Q20"/>
      <c r="R20"/>
      <c r="S20"/>
    </row>
    <row r="21" spans="1:19" s="14" customFormat="1" ht="15" customHeight="1" x14ac:dyDescent="0.25">
      <c r="B21" s="51"/>
      <c r="C21" s="133">
        <f>Apoio_Churrasco!L8</f>
        <v>0</v>
      </c>
      <c r="D21" s="90" t="s">
        <v>69</v>
      </c>
      <c r="E21" s="91">
        <f>Apoio_Churrasco!M8</f>
        <v>0</v>
      </c>
      <c r="F21" s="144"/>
      <c r="G21" s="150" t="str">
        <f>(Apoio_Churrasco!$C$40*c_Homens)+(Apoio_Churrasco!$C$41*c_Mulheres)+(Apoio_Churrasco!$C$42*c_Criancas)&amp;" Kg de"</f>
        <v>0 Kg de</v>
      </c>
      <c r="H21" s="71" t="s">
        <v>84</v>
      </c>
      <c r="I21" s="72">
        <f>Apoio_Churrasco!M17</f>
        <v>0</v>
      </c>
      <c r="J21" s="143"/>
      <c r="K21" s="159">
        <f>Apoio_Churrasco!H17*Apoio_Churrasco!C29</f>
        <v>0</v>
      </c>
      <c r="L21" s="71" t="s">
        <v>33</v>
      </c>
      <c r="M21" s="91">
        <f>Apoio_Churrasco!M26</f>
        <v>0</v>
      </c>
      <c r="N21" s="132"/>
      <c r="O21" s="52"/>
      <c r="P21"/>
      <c r="Q21"/>
      <c r="R21"/>
      <c r="S21"/>
    </row>
    <row r="22" spans="1:19" s="14" customFormat="1" ht="15" customHeight="1" x14ac:dyDescent="0.25">
      <c r="B22" s="51"/>
      <c r="C22" s="134">
        <f>Apoio_Churrasco!L9</f>
        <v>0</v>
      </c>
      <c r="D22" s="96" t="s">
        <v>98</v>
      </c>
      <c r="E22" s="95">
        <f>Apoio_Churrasco!M9</f>
        <v>0</v>
      </c>
      <c r="F22" s="145"/>
      <c r="G22" s="151" t="str">
        <f>Apoio_Churrasco!$H$17*Apoio_Churrasco!$C$26&amp;" Kg de"</f>
        <v>0 Kg de</v>
      </c>
      <c r="H22" s="90" t="s">
        <v>10</v>
      </c>
      <c r="I22" s="72">
        <f>Apoio_Churrasco!M18</f>
        <v>0</v>
      </c>
      <c r="J22" s="143"/>
      <c r="K22" s="160" t="str">
        <f>Apoio_Churrasco!H17*Apoio_Churrasco!C36&amp;" Kg"</f>
        <v>0 Kg</v>
      </c>
      <c r="L22" s="94" t="s">
        <v>31</v>
      </c>
      <c r="M22" s="95">
        <f>Apoio_Churrasco!M27</f>
        <v>0</v>
      </c>
      <c r="N22" s="135"/>
      <c r="O22" s="52"/>
      <c r="P22"/>
      <c r="Q22"/>
      <c r="R22"/>
      <c r="S22"/>
    </row>
    <row r="23" spans="1:19" s="14" customFormat="1" ht="15" customHeight="1" x14ac:dyDescent="0.25">
      <c r="B23" s="51"/>
      <c r="C23" s="136">
        <f>Apoio_Churrasco!L10</f>
        <v>0</v>
      </c>
      <c r="D23" s="92" t="s">
        <v>99</v>
      </c>
      <c r="E23" s="93">
        <f>Apoio_Churrasco!$M$10</f>
        <v>0</v>
      </c>
      <c r="F23" s="146"/>
      <c r="G23" s="152" t="str">
        <f>Apoio_Churrasco!$H$17*Apoio_Churrasco!$C$27&amp;" Kg de"</f>
        <v>0 Kg de</v>
      </c>
      <c r="H23" s="92" t="s">
        <v>28</v>
      </c>
      <c r="I23" s="72">
        <f>Apoio_Churrasco!M19</f>
        <v>0</v>
      </c>
      <c r="J23" s="143"/>
      <c r="K23" s="161" t="str">
        <f>Apoio_Churrasco!$H$17*Apoio_Churrasco!$C$28&amp;" Kg"</f>
        <v>0 Kg</v>
      </c>
      <c r="L23" s="92" t="s">
        <v>11</v>
      </c>
      <c r="M23" s="93">
        <f>Apoio_Churrasco!M28</f>
        <v>0</v>
      </c>
      <c r="N23" s="132"/>
      <c r="O23" s="52"/>
      <c r="P23"/>
      <c r="Q23"/>
      <c r="R23"/>
      <c r="S23"/>
    </row>
    <row r="24" spans="1:19" s="14" customFormat="1" ht="15" customHeight="1" thickBot="1" x14ac:dyDescent="0.3">
      <c r="B24" s="97" t="s">
        <v>38</v>
      </c>
      <c r="C24" s="137"/>
      <c r="D24" s="138"/>
      <c r="E24" s="139">
        <v>0</v>
      </c>
      <c r="F24" s="147"/>
      <c r="G24" s="153"/>
      <c r="H24" s="138"/>
      <c r="I24" s="139">
        <v>0</v>
      </c>
      <c r="J24" s="147"/>
      <c r="K24" s="162"/>
      <c r="L24" s="138"/>
      <c r="M24" s="139">
        <v>0</v>
      </c>
      <c r="N24" s="140"/>
      <c r="O24" s="52"/>
      <c r="P24"/>
      <c r="Q24"/>
      <c r="R24"/>
      <c r="S24"/>
    </row>
    <row r="25" spans="1:19" s="14" customFormat="1" ht="15" customHeight="1" thickTop="1" x14ac:dyDescent="0.25">
      <c r="B25" s="51"/>
      <c r="C25"/>
      <c r="D25"/>
      <c r="E25"/>
      <c r="F25"/>
      <c r="G25"/>
      <c r="H25"/>
      <c r="I25"/>
      <c r="J25"/>
      <c r="K25"/>
      <c r="L25"/>
      <c r="M25"/>
      <c r="N25"/>
      <c r="O25" s="52"/>
      <c r="P25"/>
      <c r="Q25"/>
      <c r="R25"/>
      <c r="S25"/>
    </row>
    <row r="26" spans="1:19" s="14" customFormat="1" ht="15" customHeight="1" x14ac:dyDescent="0.25">
      <c r="B26" s="51"/>
      <c r="C26" s="67" t="s">
        <v>36</v>
      </c>
      <c r="D26"/>
      <c r="E26"/>
      <c r="F26"/>
      <c r="G26"/>
      <c r="H26"/>
      <c r="I26"/>
      <c r="J26"/>
      <c r="K26"/>
      <c r="L26"/>
      <c r="M26"/>
      <c r="N26"/>
      <c r="O26" s="52"/>
      <c r="P26"/>
      <c r="Q26"/>
      <c r="R26"/>
      <c r="S26"/>
    </row>
    <row r="27" spans="1:19" ht="15" customHeight="1" thickBot="1" x14ac:dyDescent="0.35">
      <c r="A27" s="30"/>
      <c r="B27" s="53"/>
      <c r="C27" s="64"/>
      <c r="D27" s="54"/>
      <c r="E27" s="54"/>
      <c r="F27" s="54"/>
      <c r="G27" s="55"/>
      <c r="H27" s="55"/>
      <c r="I27" s="55"/>
      <c r="J27" s="55"/>
      <c r="K27" s="56"/>
      <c r="L27" s="57"/>
      <c r="M27" s="57"/>
      <c r="N27" s="57"/>
      <c r="O27" s="58"/>
    </row>
    <row r="28" spans="1:19" ht="15" customHeight="1" thickTop="1" x14ac:dyDescent="0.35">
      <c r="A28" s="30"/>
      <c r="B28" s="41"/>
      <c r="C28" s="36"/>
      <c r="D28" s="36"/>
      <c r="E28" s="36"/>
      <c r="F28" s="36"/>
      <c r="G28" s="42"/>
      <c r="H28" s="36"/>
      <c r="I28" s="36"/>
      <c r="J28" s="36"/>
      <c r="K28" s="36"/>
      <c r="L28" s="36"/>
      <c r="M28" s="36"/>
      <c r="N28" s="36"/>
      <c r="O28" s="40"/>
    </row>
    <row r="29" spans="1:19" s="14" customFormat="1" ht="15" customHeight="1" x14ac:dyDescent="0.25">
      <c r="A29" s="31"/>
      <c r="B29" s="37"/>
      <c r="C29" s="32"/>
      <c r="D29" s="32"/>
      <c r="E29" s="32"/>
      <c r="F29" s="32"/>
      <c r="G29" s="37"/>
      <c r="H29" s="37"/>
      <c r="I29" s="37"/>
      <c r="J29" s="37"/>
      <c r="K29" s="37"/>
      <c r="L29" s="38"/>
      <c r="M29" s="38"/>
      <c r="N29" s="38"/>
      <c r="O29" s="39"/>
      <c r="P29"/>
      <c r="Q29"/>
      <c r="R29"/>
      <c r="S29"/>
    </row>
    <row r="30" spans="1:19" s="14" customFormat="1" ht="15" customHeight="1" x14ac:dyDescent="0.25">
      <c r="A30" s="31"/>
      <c r="B30" s="32"/>
      <c r="C30" s="32"/>
      <c r="D30" s="32"/>
      <c r="E30" s="32"/>
      <c r="F30" s="32"/>
      <c r="G30" s="33"/>
      <c r="H30" s="32"/>
      <c r="I30" s="32"/>
      <c r="J30" s="32"/>
      <c r="K30" s="33"/>
      <c r="L30" s="34"/>
      <c r="M30" s="34"/>
      <c r="N30" s="34"/>
      <c r="O30" s="39"/>
      <c r="P30"/>
      <c r="Q30"/>
      <c r="R30"/>
      <c r="S30"/>
    </row>
    <row r="31" spans="1:19" s="14" customFormat="1" ht="15" customHeight="1" x14ac:dyDescent="0.25">
      <c r="A31" s="31"/>
      <c r="B31" s="32"/>
      <c r="C31" s="32"/>
      <c r="D31" s="32"/>
      <c r="E31" s="32"/>
      <c r="F31" s="32"/>
      <c r="G31" s="33"/>
      <c r="H31" s="32"/>
      <c r="I31" s="32"/>
      <c r="J31" s="32"/>
      <c r="K31" s="33"/>
      <c r="L31" s="34"/>
      <c r="M31" s="34"/>
      <c r="N31" s="34"/>
      <c r="O31" s="39"/>
      <c r="P31"/>
      <c r="Q31"/>
      <c r="R31"/>
      <c r="S31"/>
    </row>
    <row r="32" spans="1:19" s="14" customFormat="1" ht="15" customHeight="1" x14ac:dyDescent="0.25">
      <c r="A32" s="31"/>
      <c r="B32" s="32"/>
      <c r="C32" s="32"/>
      <c r="D32" s="32"/>
      <c r="E32" s="32"/>
      <c r="F32" s="32"/>
      <c r="G32" s="33"/>
      <c r="H32" s="32"/>
      <c r="I32" s="32"/>
      <c r="J32" s="32"/>
      <c r="K32" s="33"/>
      <c r="L32" s="34"/>
      <c r="M32" s="34"/>
      <c r="N32" s="34"/>
      <c r="O32" s="43"/>
      <c r="P32"/>
      <c r="Q32"/>
      <c r="R32"/>
      <c r="S32"/>
    </row>
    <row r="33" spans="1:19" s="14" customFormat="1" ht="15" customHeight="1" x14ac:dyDescent="0.25">
      <c r="A33" s="31"/>
      <c r="B33" s="32"/>
      <c r="C33" s="32"/>
      <c r="D33" s="32"/>
      <c r="E33" s="32"/>
      <c r="F33" s="32"/>
      <c r="G33" s="33"/>
      <c r="H33" s="32"/>
      <c r="I33" s="32"/>
      <c r="J33" s="32"/>
      <c r="K33" s="33"/>
      <c r="L33" s="34"/>
      <c r="M33" s="34"/>
      <c r="N33" s="34"/>
      <c r="O33" s="43"/>
      <c r="P33"/>
      <c r="Q33"/>
      <c r="R33"/>
      <c r="S33"/>
    </row>
    <row r="34" spans="1:19" s="14" customFormat="1" ht="15" customHeight="1" x14ac:dyDescent="0.25">
      <c r="A34" s="31"/>
      <c r="B34" s="32"/>
      <c r="C34" s="32"/>
      <c r="D34" s="32"/>
      <c r="E34" s="32"/>
      <c r="F34" s="32"/>
      <c r="G34" s="33"/>
      <c r="H34" s="32"/>
      <c r="I34" s="32"/>
      <c r="J34" s="32"/>
      <c r="K34" s="33"/>
      <c r="L34" s="44"/>
      <c r="M34" s="44"/>
      <c r="N34" s="44"/>
      <c r="O34" s="43"/>
      <c r="P34"/>
      <c r="Q34"/>
      <c r="R34"/>
      <c r="S34"/>
    </row>
    <row r="35" spans="1:19" s="14" customFormat="1" ht="15" customHeight="1" x14ac:dyDescent="0.25">
      <c r="G35" s="15"/>
      <c r="K35" s="15"/>
      <c r="L35" s="16"/>
      <c r="M35" s="16"/>
      <c r="N35" s="16"/>
      <c r="O35" s="20"/>
      <c r="P35"/>
      <c r="Q35"/>
      <c r="R35"/>
      <c r="S35"/>
    </row>
    <row r="36" spans="1:19" s="14" customFormat="1" ht="15" customHeight="1" x14ac:dyDescent="0.25">
      <c r="G36" s="15"/>
      <c r="K36" s="15"/>
      <c r="L36" s="16"/>
      <c r="M36" s="16"/>
      <c r="N36" s="16"/>
      <c r="O36" s="20"/>
      <c r="P36"/>
      <c r="Q36"/>
      <c r="R36"/>
      <c r="S36"/>
    </row>
    <row r="37" spans="1:19" s="14" customFormat="1" ht="15" customHeight="1" x14ac:dyDescent="0.25">
      <c r="G37" s="15"/>
      <c r="K37" s="15"/>
      <c r="L37" s="16"/>
      <c r="M37" s="16"/>
      <c r="N37" s="16"/>
      <c r="O37" s="20"/>
      <c r="P37"/>
      <c r="Q37"/>
      <c r="R37"/>
      <c r="S37"/>
    </row>
    <row r="38" spans="1:19" s="14" customFormat="1" ht="15" customHeight="1" x14ac:dyDescent="0.25">
      <c r="G38" s="15"/>
      <c r="H38" s="12"/>
      <c r="I38" s="12"/>
      <c r="J38" s="12"/>
      <c r="K38" s="17"/>
      <c r="L38" s="16"/>
      <c r="M38" s="16"/>
      <c r="N38" s="16"/>
      <c r="O38" s="19"/>
      <c r="P38"/>
      <c r="Q38"/>
      <c r="R38"/>
      <c r="S38"/>
    </row>
    <row r="39" spans="1:19" ht="15" customHeight="1" x14ac:dyDescent="0.3">
      <c r="G39" s="8"/>
      <c r="H39" s="6"/>
      <c r="I39" s="6"/>
      <c r="J39" s="6"/>
      <c r="K39" s="10"/>
      <c r="L39" s="9"/>
      <c r="M39" s="9"/>
      <c r="N39" s="9"/>
    </row>
    <row r="40" spans="1:19" ht="15" customHeight="1" x14ac:dyDescent="0.35">
      <c r="B40" s="7"/>
      <c r="G40" s="8"/>
      <c r="K40" s="8"/>
      <c r="L40" s="9"/>
      <c r="M40" s="9"/>
      <c r="N40" s="9"/>
    </row>
    <row r="41" spans="1:19" s="14" customFormat="1" ht="15" customHeight="1" x14ac:dyDescent="0.25"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3"/>
      <c r="M41" s="13"/>
      <c r="N41" s="13"/>
      <c r="P41"/>
      <c r="Q41"/>
      <c r="R41"/>
      <c r="S41"/>
    </row>
    <row r="42" spans="1:19" s="14" customFormat="1" ht="15" customHeight="1" x14ac:dyDescent="0.25">
      <c r="G42" s="15"/>
      <c r="K42" s="15"/>
      <c r="L42" s="16"/>
      <c r="M42" s="16"/>
      <c r="N42" s="16"/>
      <c r="P42"/>
      <c r="Q42"/>
      <c r="R42"/>
      <c r="S42"/>
    </row>
    <row r="43" spans="1:19" s="14" customFormat="1" ht="15" customHeight="1" x14ac:dyDescent="0.25">
      <c r="G43" s="15"/>
      <c r="K43" s="15"/>
      <c r="L43" s="16"/>
      <c r="M43" s="16"/>
      <c r="N43" s="16"/>
      <c r="P43"/>
      <c r="Q43"/>
      <c r="R43"/>
      <c r="S43"/>
    </row>
    <row r="44" spans="1:19" s="14" customFormat="1" ht="15" customHeight="1" x14ac:dyDescent="0.25">
      <c r="G44" s="15"/>
      <c r="K44" s="15"/>
      <c r="L44" s="16"/>
      <c r="M44" s="16"/>
      <c r="N44" s="16"/>
      <c r="P44"/>
      <c r="Q44"/>
      <c r="R44"/>
      <c r="S44"/>
    </row>
    <row r="45" spans="1:19" s="14" customFormat="1" ht="15" customHeight="1" x14ac:dyDescent="0.25">
      <c r="G45" s="15"/>
      <c r="K45" s="15"/>
      <c r="L45" s="16"/>
      <c r="M45" s="16"/>
      <c r="N45" s="16"/>
      <c r="P45"/>
      <c r="Q45"/>
      <c r="R45"/>
      <c r="S45"/>
    </row>
    <row r="46" spans="1:19" s="14" customFormat="1" ht="15" x14ac:dyDescent="0.25">
      <c r="G46" s="15"/>
      <c r="K46" s="15"/>
      <c r="L46" s="16"/>
      <c r="M46" s="16"/>
      <c r="N46" s="16"/>
      <c r="P46"/>
      <c r="Q46"/>
      <c r="R46"/>
      <c r="S46"/>
    </row>
    <row r="47" spans="1:19" s="14" customFormat="1" ht="15" x14ac:dyDescent="0.25">
      <c r="G47" s="15"/>
      <c r="K47" s="15"/>
      <c r="L47" s="16"/>
      <c r="M47" s="16"/>
      <c r="N47" s="16"/>
      <c r="P47"/>
      <c r="Q47"/>
      <c r="R47"/>
      <c r="S47"/>
    </row>
    <row r="48" spans="1:19" s="14" customFormat="1" ht="15" x14ac:dyDescent="0.25">
      <c r="G48" s="15"/>
      <c r="K48" s="15"/>
      <c r="L48" s="16"/>
      <c r="M48" s="16"/>
      <c r="N48" s="16"/>
      <c r="P48"/>
      <c r="Q48"/>
      <c r="R48"/>
      <c r="S48"/>
    </row>
    <row r="49" spans="2:19" s="14" customFormat="1" ht="15" x14ac:dyDescent="0.25">
      <c r="G49" s="15"/>
      <c r="K49" s="15"/>
      <c r="L49" s="16"/>
      <c r="M49" s="16"/>
      <c r="N49" s="16"/>
      <c r="P49"/>
      <c r="Q49"/>
      <c r="R49"/>
      <c r="S49"/>
    </row>
    <row r="50" spans="2:19" s="14" customFormat="1" ht="15" x14ac:dyDescent="0.25">
      <c r="G50" s="15"/>
      <c r="K50" s="15"/>
      <c r="L50" s="16"/>
      <c r="M50" s="16"/>
      <c r="N50" s="16"/>
      <c r="P50"/>
      <c r="Q50"/>
      <c r="R50"/>
      <c r="S50"/>
    </row>
    <row r="51" spans="2:19" s="14" customFormat="1" ht="15" x14ac:dyDescent="0.25">
      <c r="G51" s="15"/>
      <c r="K51" s="15"/>
      <c r="L51" s="16"/>
      <c r="M51" s="16"/>
      <c r="N51" s="16"/>
      <c r="P51"/>
      <c r="Q51"/>
      <c r="R51"/>
      <c r="S51"/>
    </row>
    <row r="52" spans="2:19" s="14" customFormat="1" ht="15" x14ac:dyDescent="0.25">
      <c r="G52" s="15"/>
      <c r="K52" s="15"/>
      <c r="L52" s="16"/>
      <c r="M52" s="16"/>
      <c r="N52" s="16"/>
      <c r="P52"/>
      <c r="Q52"/>
      <c r="R52"/>
      <c r="S52"/>
    </row>
    <row r="53" spans="2:19" s="14" customFormat="1" ht="15" x14ac:dyDescent="0.25">
      <c r="G53" s="15"/>
      <c r="K53" s="15"/>
      <c r="L53" s="16"/>
      <c r="M53" s="16"/>
      <c r="N53" s="16"/>
      <c r="P53"/>
      <c r="Q53"/>
      <c r="R53"/>
      <c r="S53"/>
    </row>
    <row r="54" spans="2:19" s="14" customFormat="1" ht="15" x14ac:dyDescent="0.25">
      <c r="G54" s="15"/>
      <c r="K54" s="15"/>
      <c r="L54" s="16"/>
      <c r="M54" s="16"/>
      <c r="N54" s="16"/>
      <c r="P54"/>
      <c r="Q54"/>
      <c r="R54"/>
      <c r="S54"/>
    </row>
    <row r="55" spans="2:19" s="14" customFormat="1" ht="15" x14ac:dyDescent="0.25">
      <c r="G55" s="15"/>
      <c r="K55" s="15"/>
      <c r="L55" s="16"/>
      <c r="M55" s="16"/>
      <c r="N55" s="16"/>
      <c r="P55"/>
      <c r="Q55"/>
      <c r="R55"/>
      <c r="S55"/>
    </row>
    <row r="56" spans="2:19" s="14" customFormat="1" ht="15" x14ac:dyDescent="0.25">
      <c r="G56" s="15"/>
      <c r="K56" s="15"/>
      <c r="L56" s="16"/>
      <c r="M56" s="16"/>
      <c r="N56" s="16"/>
      <c r="P56"/>
      <c r="Q56"/>
      <c r="R56"/>
      <c r="S56"/>
    </row>
    <row r="57" spans="2:19" s="14" customFormat="1" ht="15" x14ac:dyDescent="0.25">
      <c r="G57" s="15"/>
      <c r="K57" s="15"/>
      <c r="L57" s="16"/>
      <c r="M57" s="16"/>
      <c r="N57" s="16"/>
      <c r="P57"/>
      <c r="Q57"/>
      <c r="R57"/>
      <c r="S57"/>
    </row>
    <row r="58" spans="2:19" s="14" customFormat="1" ht="15" x14ac:dyDescent="0.25">
      <c r="G58" s="15"/>
      <c r="K58" s="15"/>
      <c r="L58" s="16"/>
      <c r="M58" s="16"/>
      <c r="N58" s="16"/>
      <c r="P58"/>
      <c r="Q58"/>
      <c r="R58"/>
      <c r="S58"/>
    </row>
    <row r="59" spans="2:19" s="14" customFormat="1" ht="15" x14ac:dyDescent="0.25">
      <c r="H59" s="12"/>
      <c r="I59" s="12"/>
      <c r="J59" s="12"/>
      <c r="K59" s="18"/>
      <c r="L59" s="16"/>
      <c r="M59" s="16"/>
      <c r="N59" s="16"/>
      <c r="P59"/>
      <c r="Q59"/>
      <c r="R59"/>
      <c r="S59"/>
    </row>
    <row r="60" spans="2:19" x14ac:dyDescent="0.3">
      <c r="H60" s="6"/>
      <c r="I60" s="6"/>
      <c r="J60" s="6"/>
      <c r="K60" s="11"/>
      <c r="L60" s="9"/>
      <c r="M60" s="9"/>
      <c r="N60" s="9"/>
    </row>
    <row r="61" spans="2:19" ht="20.25" x14ac:dyDescent="0.35">
      <c r="B61" s="7"/>
      <c r="K61" s="11"/>
      <c r="L61" s="9"/>
      <c r="M61" s="9"/>
      <c r="N61" s="9"/>
    </row>
    <row r="62" spans="2:19" s="14" customFormat="1" ht="15" x14ac:dyDescent="0.25"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3"/>
      <c r="M62" s="13"/>
      <c r="N62" s="13"/>
      <c r="P62"/>
      <c r="Q62"/>
      <c r="R62"/>
      <c r="S62"/>
    </row>
    <row r="63" spans="2:19" s="14" customFormat="1" ht="15" x14ac:dyDescent="0.25">
      <c r="G63" s="15"/>
      <c r="K63" s="15"/>
      <c r="L63" s="16"/>
      <c r="M63" s="16"/>
      <c r="N63" s="16"/>
      <c r="P63"/>
      <c r="Q63"/>
      <c r="R63"/>
      <c r="S63"/>
    </row>
    <row r="64" spans="2:19" s="14" customFormat="1" ht="15" x14ac:dyDescent="0.25">
      <c r="G64" s="15"/>
      <c r="K64" s="15"/>
      <c r="L64" s="16"/>
      <c r="M64" s="16"/>
      <c r="N64" s="16"/>
      <c r="P64"/>
      <c r="Q64"/>
      <c r="R64"/>
      <c r="S64"/>
    </row>
    <row r="65" spans="2:19" s="14" customFormat="1" ht="15" x14ac:dyDescent="0.25">
      <c r="G65" s="15"/>
      <c r="K65" s="15"/>
      <c r="L65" s="16"/>
      <c r="M65" s="16"/>
      <c r="N65" s="16"/>
      <c r="P65"/>
      <c r="Q65"/>
      <c r="R65"/>
      <c r="S65"/>
    </row>
    <row r="66" spans="2:19" s="14" customFormat="1" ht="15" x14ac:dyDescent="0.25">
      <c r="G66" s="15"/>
      <c r="K66" s="15"/>
      <c r="L66" s="16"/>
      <c r="M66" s="16"/>
      <c r="N66" s="16"/>
      <c r="P66"/>
      <c r="Q66"/>
      <c r="R66"/>
      <c r="S66"/>
    </row>
    <row r="67" spans="2:19" s="14" customFormat="1" ht="15" x14ac:dyDescent="0.25">
      <c r="G67" s="15"/>
      <c r="K67" s="15"/>
      <c r="L67" s="16"/>
      <c r="M67" s="16"/>
      <c r="N67" s="16"/>
      <c r="P67"/>
      <c r="Q67"/>
      <c r="R67"/>
      <c r="S67"/>
    </row>
    <row r="68" spans="2:19" s="14" customFormat="1" ht="15" x14ac:dyDescent="0.25">
      <c r="G68" s="15"/>
      <c r="K68" s="15"/>
      <c r="L68" s="16"/>
      <c r="M68" s="16"/>
      <c r="N68" s="16"/>
      <c r="P68"/>
      <c r="Q68"/>
      <c r="R68"/>
      <c r="S68"/>
    </row>
    <row r="69" spans="2:19" s="14" customFormat="1" ht="15" x14ac:dyDescent="0.25">
      <c r="H69" s="12"/>
      <c r="I69" s="12"/>
      <c r="J69" s="12"/>
      <c r="K69" s="18"/>
      <c r="L69" s="16"/>
      <c r="M69" s="16"/>
      <c r="N69" s="16"/>
      <c r="P69"/>
      <c r="Q69"/>
      <c r="R69"/>
      <c r="S69"/>
    </row>
    <row r="70" spans="2:19" x14ac:dyDescent="0.3">
      <c r="H70" s="6"/>
      <c r="I70" s="6"/>
      <c r="J70" s="6"/>
      <c r="K70" s="11"/>
      <c r="L70" s="9"/>
      <c r="M70" s="9"/>
      <c r="N70" s="9"/>
    </row>
    <row r="71" spans="2:19" ht="20.25" x14ac:dyDescent="0.35">
      <c r="B71" s="7"/>
      <c r="L71" s="9"/>
      <c r="M71" s="9"/>
      <c r="N71" s="9"/>
    </row>
    <row r="72" spans="2:19" s="14" customFormat="1" ht="15" x14ac:dyDescent="0.25"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3"/>
      <c r="M72" s="13"/>
      <c r="N72" s="13"/>
      <c r="P72"/>
      <c r="Q72"/>
      <c r="R72"/>
      <c r="S72"/>
    </row>
    <row r="73" spans="2:19" s="14" customFormat="1" ht="15" x14ac:dyDescent="0.25">
      <c r="G73" s="15"/>
      <c r="K73" s="15"/>
      <c r="L73" s="16"/>
      <c r="M73" s="16"/>
      <c r="N73" s="16"/>
      <c r="P73"/>
      <c r="Q73"/>
      <c r="R73"/>
      <c r="S73"/>
    </row>
    <row r="74" spans="2:19" s="14" customFormat="1" ht="15" x14ac:dyDescent="0.25">
      <c r="G74" s="15"/>
      <c r="K74" s="15"/>
      <c r="L74" s="16"/>
      <c r="M74" s="16"/>
      <c r="N74" s="16"/>
      <c r="P74"/>
      <c r="Q74"/>
      <c r="R74"/>
      <c r="S74"/>
    </row>
    <row r="75" spans="2:19" s="14" customFormat="1" ht="15" x14ac:dyDescent="0.25">
      <c r="H75" s="12"/>
      <c r="I75" s="12"/>
      <c r="J75" s="12"/>
      <c r="K75" s="18"/>
      <c r="L75" s="16"/>
      <c r="M75" s="16"/>
      <c r="N75" s="16"/>
      <c r="P75"/>
      <c r="Q75"/>
      <c r="R75"/>
      <c r="S75"/>
    </row>
    <row r="76" spans="2:19" x14ac:dyDescent="0.3">
      <c r="H76" s="6"/>
      <c r="I76" s="6"/>
      <c r="J76" s="6"/>
      <c r="K76" s="11"/>
      <c r="L76" s="9"/>
      <c r="M76" s="9"/>
      <c r="N76" s="9"/>
    </row>
    <row r="77" spans="2:19" ht="20.25" x14ac:dyDescent="0.35">
      <c r="B77" s="7"/>
      <c r="L77" s="9"/>
      <c r="M77" s="9"/>
      <c r="N77" s="9"/>
    </row>
    <row r="78" spans="2:19" s="14" customFormat="1" ht="15" x14ac:dyDescent="0.25"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3"/>
      <c r="M78" s="13"/>
      <c r="N78" s="13"/>
      <c r="P78"/>
      <c r="Q78"/>
      <c r="R78"/>
      <c r="S78"/>
    </row>
    <row r="79" spans="2:19" s="14" customFormat="1" ht="15" x14ac:dyDescent="0.25">
      <c r="G79" s="15"/>
      <c r="K79" s="15"/>
      <c r="L79" s="16"/>
      <c r="M79" s="16"/>
      <c r="N79" s="16"/>
      <c r="P79"/>
      <c r="Q79"/>
      <c r="R79"/>
      <c r="S79"/>
    </row>
    <row r="80" spans="2:19" s="14" customFormat="1" ht="15" x14ac:dyDescent="0.25">
      <c r="G80" s="15"/>
      <c r="K80" s="15"/>
      <c r="L80" s="16"/>
      <c r="M80" s="16"/>
      <c r="N80" s="16"/>
      <c r="P80"/>
      <c r="Q80"/>
      <c r="R80"/>
      <c r="S80"/>
    </row>
    <row r="81" spans="2:19" s="14" customFormat="1" ht="15" x14ac:dyDescent="0.25">
      <c r="G81" s="15"/>
      <c r="K81" s="15"/>
      <c r="L81" s="16"/>
      <c r="M81" s="16"/>
      <c r="N81" s="16"/>
      <c r="P81"/>
      <c r="Q81"/>
      <c r="R81"/>
      <c r="S81"/>
    </row>
    <row r="82" spans="2:19" s="14" customFormat="1" ht="15" x14ac:dyDescent="0.25">
      <c r="G82" s="15"/>
      <c r="K82" s="15"/>
      <c r="L82" s="16"/>
      <c r="M82" s="16"/>
      <c r="N82" s="16"/>
      <c r="P82"/>
      <c r="Q82"/>
      <c r="R82"/>
      <c r="S82"/>
    </row>
    <row r="83" spans="2:19" s="14" customFormat="1" ht="15" x14ac:dyDescent="0.25">
      <c r="G83" s="15"/>
      <c r="K83" s="15"/>
      <c r="L83" s="16"/>
      <c r="M83" s="16"/>
      <c r="N83" s="16"/>
      <c r="P83"/>
      <c r="Q83"/>
      <c r="R83"/>
      <c r="S83"/>
    </row>
    <row r="84" spans="2:19" s="14" customFormat="1" ht="15" x14ac:dyDescent="0.25">
      <c r="H84" s="12"/>
      <c r="I84" s="12"/>
      <c r="J84" s="12"/>
      <c r="K84" s="18"/>
      <c r="L84" s="16"/>
      <c r="M84" s="16"/>
      <c r="N84" s="16"/>
      <c r="P84"/>
      <c r="Q84"/>
      <c r="R84"/>
      <c r="S84"/>
    </row>
    <row r="85" spans="2:19" s="14" customFormat="1" ht="15" x14ac:dyDescent="0.25">
      <c r="H85" s="12"/>
      <c r="I85" s="12"/>
      <c r="J85" s="12"/>
      <c r="K85" s="18"/>
      <c r="L85" s="16"/>
      <c r="M85" s="16"/>
      <c r="N85" s="16"/>
      <c r="P85"/>
      <c r="Q85"/>
      <c r="R85"/>
      <c r="S85"/>
    </row>
    <row r="86" spans="2:19" s="14" customFormat="1" ht="20.25" x14ac:dyDescent="0.35">
      <c r="B86" s="7"/>
      <c r="H86" s="12"/>
      <c r="I86" s="12"/>
      <c r="J86" s="12"/>
      <c r="K86" s="18"/>
      <c r="L86" s="16"/>
      <c r="M86" s="16"/>
      <c r="N86" s="16"/>
      <c r="P86"/>
      <c r="Q86"/>
      <c r="R86"/>
      <c r="S86"/>
    </row>
    <row r="87" spans="2:19" s="14" customFormat="1" ht="15" x14ac:dyDescent="0.25">
      <c r="G87" s="15"/>
      <c r="K87" s="15"/>
      <c r="L87" s="16"/>
      <c r="M87" s="16"/>
      <c r="N87" s="16"/>
      <c r="P87"/>
      <c r="Q87"/>
      <c r="R87"/>
      <c r="S87"/>
    </row>
    <row r="88" spans="2:19" x14ac:dyDescent="0.3">
      <c r="D88" s="21"/>
      <c r="E88" s="21"/>
      <c r="F88" s="21"/>
      <c r="G88" s="21"/>
      <c r="H88" s="21"/>
      <c r="I88" s="21"/>
      <c r="J88" s="21"/>
      <c r="K88" s="21"/>
      <c r="L88" s="22"/>
      <c r="M88" s="22"/>
      <c r="N88" s="22"/>
    </row>
    <row r="89" spans="2:19" ht="17.25" x14ac:dyDescent="0.3">
      <c r="D89" s="21"/>
      <c r="E89" s="21"/>
      <c r="F89" s="21"/>
      <c r="G89" s="23"/>
      <c r="H89" s="23"/>
      <c r="I89" s="23"/>
      <c r="J89" s="23"/>
      <c r="K89" s="24"/>
      <c r="L89" s="22"/>
      <c r="M89" s="22"/>
      <c r="N89" s="22"/>
    </row>
    <row r="90" spans="2:19" x14ac:dyDescent="0.3">
      <c r="D90" s="21"/>
      <c r="E90" s="21"/>
      <c r="F90" s="21"/>
      <c r="G90" s="21"/>
      <c r="H90" s="21"/>
      <c r="I90" s="21"/>
      <c r="J90" s="21"/>
      <c r="K90" s="21"/>
      <c r="L90" s="22"/>
      <c r="M90" s="22"/>
      <c r="N90" s="22"/>
    </row>
    <row r="91" spans="2:19" x14ac:dyDescent="0.3">
      <c r="D91" s="21"/>
      <c r="E91" s="21"/>
      <c r="F91" s="21"/>
      <c r="G91" s="21"/>
      <c r="H91" s="21"/>
      <c r="I91" s="21"/>
      <c r="J91" s="21"/>
      <c r="K91" s="21"/>
      <c r="L91" s="22"/>
      <c r="M91" s="22"/>
      <c r="N91" s="22"/>
    </row>
    <row r="92" spans="2:19" x14ac:dyDescent="0.3">
      <c r="L92" s="9"/>
      <c r="M92" s="9"/>
      <c r="N92" s="9"/>
    </row>
    <row r="93" spans="2:19" x14ac:dyDescent="0.3">
      <c r="L93" s="9"/>
      <c r="M93" s="9"/>
      <c r="N93" s="9"/>
    </row>
    <row r="94" spans="2:19" x14ac:dyDescent="0.3">
      <c r="L94" s="9"/>
      <c r="M94" s="9"/>
      <c r="N94" s="9"/>
    </row>
  </sheetData>
  <sheetProtection password="FCD6" sheet="1" objects="1" scenarios="1"/>
  <mergeCells count="5">
    <mergeCell ref="B2:O5"/>
    <mergeCell ref="E6:L8"/>
    <mergeCell ref="C15:D15"/>
    <mergeCell ref="G15:H15"/>
    <mergeCell ref="K15:L15"/>
  </mergeCells>
  <dataValidations count="2">
    <dataValidation type="whole" operator="greaterThanOrEqual" allowBlank="1" showInputMessage="1" showErrorMessage="1" errorTitle="Organizador de Churrasco" error="Insira somente valores numéricos!" sqref="C13:E13">
      <formula1>0</formula1>
    </dataValidation>
    <dataValidation type="decimal" allowBlank="1" showInputMessage="1" showErrorMessage="1" errorTitle="Organizador de Churrasco" error="Por Favor! Digite apenas valores numéricos!!!" sqref="N16:N23 J16:J23 F16:F23 E24:F24 I24:J24 M24:N24">
      <formula1>0</formula1>
      <formula2>100000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rafico_Gastos"/>
  <dimension ref="A3:B9"/>
  <sheetViews>
    <sheetView workbookViewId="0">
      <selection activeCell="A6" sqref="A6:B6"/>
    </sheetView>
  </sheetViews>
  <sheetFormatPr defaultRowHeight="15" x14ac:dyDescent="0.25"/>
  <cols>
    <col min="1" max="1" width="18" customWidth="1"/>
    <col min="2" max="2" width="12.85546875" customWidth="1"/>
  </cols>
  <sheetData>
    <row r="3" spans="1:2" x14ac:dyDescent="0.25">
      <c r="A3" s="25" t="s">
        <v>16</v>
      </c>
      <c r="B3" t="s">
        <v>101</v>
      </c>
    </row>
    <row r="4" spans="1:2" x14ac:dyDescent="0.25">
      <c r="A4" s="26" t="s">
        <v>76</v>
      </c>
      <c r="B4" s="123">
        <v>0</v>
      </c>
    </row>
    <row r="5" spans="1:2" x14ac:dyDescent="0.25">
      <c r="A5" s="26" t="s">
        <v>3</v>
      </c>
      <c r="B5" s="123">
        <v>0</v>
      </c>
    </row>
    <row r="6" spans="1:2" x14ac:dyDescent="0.25">
      <c r="A6" s="26" t="s">
        <v>100</v>
      </c>
      <c r="B6" s="123">
        <v>0</v>
      </c>
    </row>
    <row r="7" spans="1:2" x14ac:dyDescent="0.25">
      <c r="A7" s="26" t="s">
        <v>14</v>
      </c>
      <c r="B7" s="123">
        <v>0</v>
      </c>
    </row>
    <row r="8" spans="1:2" x14ac:dyDescent="0.25">
      <c r="A8" s="26" t="s">
        <v>12</v>
      </c>
      <c r="B8" s="123">
        <v>0</v>
      </c>
    </row>
    <row r="9" spans="1:2" x14ac:dyDescent="0.25">
      <c r="A9" s="26" t="s">
        <v>13</v>
      </c>
      <c r="B9" s="123">
        <v>0</v>
      </c>
    </row>
  </sheetData>
  <pageMargins left="0.511811024" right="0.511811024" top="0.78740157499999996" bottom="0.78740157499999996" header="0.31496062000000002" footer="0.31496062000000002"/>
  <pageSetup orientation="portrait" horizontalDpi="4294967295" verticalDpi="4294967295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ApoioChurrasco"/>
  <dimension ref="B1:AE43"/>
  <sheetViews>
    <sheetView showGridLines="0" topLeftCell="I2" zoomScaleNormal="100" workbookViewId="0">
      <pane ySplit="1" topLeftCell="A3" activePane="bottomLeft" state="frozen"/>
      <selection activeCell="A2" sqref="A2"/>
      <selection pane="bottomLeft" activeCell="M3" sqref="M3"/>
    </sheetView>
  </sheetViews>
  <sheetFormatPr defaultRowHeight="15" x14ac:dyDescent="0.25"/>
  <cols>
    <col min="1" max="1" width="2.7109375" customWidth="1"/>
    <col min="2" max="2" width="15.5703125" customWidth="1"/>
    <col min="3" max="3" width="19.7109375" customWidth="1"/>
    <col min="4" max="4" width="15.140625" customWidth="1"/>
    <col min="7" max="8" width="14.7109375" customWidth="1"/>
    <col min="10" max="10" width="23.140625" bestFit="1" customWidth="1"/>
    <col min="11" max="12" width="14.7109375" customWidth="1"/>
    <col min="13" max="13" width="13.42578125" bestFit="1" customWidth="1"/>
    <col min="14" max="14" width="12" bestFit="1" customWidth="1"/>
    <col min="15" max="15" width="12" customWidth="1"/>
    <col min="17" max="17" width="22.42578125" bestFit="1" customWidth="1"/>
    <col min="25" max="25" width="26.42578125" bestFit="1" customWidth="1"/>
    <col min="26" max="26" width="19.28515625" bestFit="1" customWidth="1"/>
    <col min="27" max="27" width="11.85546875" bestFit="1" customWidth="1"/>
    <col min="29" max="29" width="15" bestFit="1" customWidth="1"/>
    <col min="30" max="30" width="16" customWidth="1"/>
    <col min="31" max="31" width="19.140625" customWidth="1"/>
  </cols>
  <sheetData>
    <row r="1" spans="2:31" hidden="1" x14ac:dyDescent="0.25"/>
    <row r="2" spans="2:31" ht="17.25" x14ac:dyDescent="0.3">
      <c r="B2" s="2" t="s">
        <v>15</v>
      </c>
      <c r="C2" s="2" t="s">
        <v>41</v>
      </c>
      <c r="D2" s="2" t="s">
        <v>42</v>
      </c>
      <c r="G2" s="2" t="s">
        <v>52</v>
      </c>
      <c r="H2" s="2" t="s">
        <v>53</v>
      </c>
      <c r="I2" s="2"/>
      <c r="J2" s="88" t="s">
        <v>0</v>
      </c>
      <c r="K2" s="89" t="s">
        <v>1</v>
      </c>
      <c r="L2" s="88" t="s">
        <v>41</v>
      </c>
      <c r="M2" s="89" t="s">
        <v>40</v>
      </c>
      <c r="N2" s="88" t="s">
        <v>39</v>
      </c>
      <c r="O2" s="122" t="s">
        <v>15</v>
      </c>
      <c r="U2" s="107"/>
      <c r="V2" s="108"/>
      <c r="W2" s="107"/>
      <c r="Y2" s="81" t="s">
        <v>0</v>
      </c>
      <c r="Z2" s="81" t="s">
        <v>19</v>
      </c>
      <c r="AA2" s="81" t="s">
        <v>1</v>
      </c>
      <c r="AB2" s="81" t="s">
        <v>37</v>
      </c>
      <c r="AC2" s="81" t="s">
        <v>18</v>
      </c>
      <c r="AD2" s="82" t="s">
        <v>15</v>
      </c>
      <c r="AE2" s="81" t="s">
        <v>20</v>
      </c>
    </row>
    <row r="3" spans="2:31" ht="17.25" x14ac:dyDescent="0.3">
      <c r="B3" s="4" t="s">
        <v>4</v>
      </c>
      <c r="C3" s="4">
        <v>4</v>
      </c>
      <c r="D3" s="4" t="s">
        <v>43</v>
      </c>
      <c r="G3" s="4" t="s">
        <v>54</v>
      </c>
      <c r="H3" s="4">
        <f>c_Homens</f>
        <v>0</v>
      </c>
      <c r="I3" s="2"/>
      <c r="J3" s="4" t="s">
        <v>78</v>
      </c>
      <c r="K3" s="59">
        <v>2.5</v>
      </c>
      <c r="L3" s="4">
        <f>(Apoio_Churrasco!H6*Apoio_Churrasco!C3)+(Apoio_Churrasco!H7*Apoio_Churrasco!C4)</f>
        <v>0</v>
      </c>
      <c r="M3" s="59">
        <f>K3*L3</f>
        <v>0</v>
      </c>
      <c r="N3" s="120">
        <f>Organizador!$F$16</f>
        <v>0</v>
      </c>
      <c r="O3" s="59" t="s">
        <v>3</v>
      </c>
      <c r="Q3" s="88" t="s">
        <v>70</v>
      </c>
      <c r="U3" s="107"/>
      <c r="V3" s="109"/>
      <c r="W3" s="107"/>
      <c r="Y3" s="83" t="str">
        <f>J3</f>
        <v>Cerveja 350 ml</v>
      </c>
      <c r="Z3" s="84">
        <f>Apoio_Churrasco!M3</f>
        <v>0</v>
      </c>
      <c r="AA3" s="85">
        <f>Apoio_Churrasco!K3</f>
        <v>2.5</v>
      </c>
      <c r="AB3" s="83">
        <f>Apoio_Churrasco!L3</f>
        <v>0</v>
      </c>
      <c r="AC3" s="85">
        <f>Apoio_Churrasco!N3</f>
        <v>0</v>
      </c>
      <c r="AD3" s="86" t="s">
        <v>3</v>
      </c>
      <c r="AE3" s="84">
        <f t="shared" ref="AE3:AE23" si="0">Z3-AC3</f>
        <v>0</v>
      </c>
    </row>
    <row r="4" spans="2:31" ht="17.25" x14ac:dyDescent="0.3">
      <c r="B4" s="4" t="s">
        <v>4</v>
      </c>
      <c r="C4" s="4">
        <v>2</v>
      </c>
      <c r="D4" s="4" t="s">
        <v>44</v>
      </c>
      <c r="G4" s="4" t="s">
        <v>55</v>
      </c>
      <c r="H4" s="4">
        <f>c_Mulheres</f>
        <v>0</v>
      </c>
      <c r="I4" s="2"/>
      <c r="J4" s="4" t="s">
        <v>89</v>
      </c>
      <c r="K4" s="59">
        <v>4.5</v>
      </c>
      <c r="L4" s="112">
        <f>Apoio_Churrasco!H8*Apoio_Churrasco!C5+Apoio_Churrasco!H9*Apoio_Churrasco!C6</f>
        <v>0</v>
      </c>
      <c r="M4" s="59">
        <f t="shared" ref="M4:M28" si="1">K4*L4</f>
        <v>0</v>
      </c>
      <c r="N4" s="120">
        <f>Organizador!$F$17</f>
        <v>0</v>
      </c>
      <c r="O4" s="59" t="s">
        <v>3</v>
      </c>
      <c r="Q4" s="59">
        <f>SUM($N$3:$N$29)</f>
        <v>0</v>
      </c>
      <c r="U4" s="107"/>
      <c r="V4" s="109"/>
      <c r="W4" s="107"/>
      <c r="Y4" s="83" t="str">
        <f t="shared" ref="Y4:Y29" si="2">J4</f>
        <v>Refrigerante 1L</v>
      </c>
      <c r="Z4" s="84">
        <f>Apoio_Churrasco!M4</f>
        <v>0</v>
      </c>
      <c r="AA4" s="85">
        <f>Apoio_Churrasco!K4</f>
        <v>4.5</v>
      </c>
      <c r="AB4" s="83">
        <f>Apoio_Churrasco!L4</f>
        <v>0</v>
      </c>
      <c r="AC4" s="85">
        <f>Apoio_Churrasco!N4</f>
        <v>0</v>
      </c>
      <c r="AD4" s="87" t="s">
        <v>3</v>
      </c>
      <c r="AE4" s="84">
        <f t="shared" si="0"/>
        <v>0</v>
      </c>
    </row>
    <row r="5" spans="2:31" ht="17.25" x14ac:dyDescent="0.3">
      <c r="B5" s="4" t="s">
        <v>24</v>
      </c>
      <c r="C5" s="4">
        <v>0.5</v>
      </c>
      <c r="D5" s="4" t="s">
        <v>45</v>
      </c>
      <c r="G5" s="4" t="s">
        <v>56</v>
      </c>
      <c r="H5" s="4">
        <f>c_Criancas</f>
        <v>0</v>
      </c>
      <c r="I5" s="2"/>
      <c r="J5" s="4" t="s">
        <v>66</v>
      </c>
      <c r="K5" s="59">
        <v>1.5</v>
      </c>
      <c r="L5" s="112">
        <f>Apoio_Churrasco!H10*Apoio_Churrasco!C7+Apoio_Churrasco!H11*Apoio_Churrasco!C8</f>
        <v>0</v>
      </c>
      <c r="M5" s="59">
        <f t="shared" si="1"/>
        <v>0</v>
      </c>
      <c r="N5" s="120">
        <f>Organizador!$F$18</f>
        <v>0</v>
      </c>
      <c r="O5" s="59" t="s">
        <v>3</v>
      </c>
      <c r="Q5" s="2"/>
      <c r="U5" s="28"/>
      <c r="V5" s="28"/>
      <c r="W5" s="28"/>
      <c r="Y5" s="83" t="str">
        <f t="shared" si="2"/>
        <v>Água 1L</v>
      </c>
      <c r="Z5" s="84">
        <f>Apoio_Churrasco!M5</f>
        <v>0</v>
      </c>
      <c r="AA5" s="85">
        <f>Apoio_Churrasco!K5</f>
        <v>1.5</v>
      </c>
      <c r="AB5" s="83">
        <f>Apoio_Churrasco!L5</f>
        <v>0</v>
      </c>
      <c r="AC5" s="85">
        <f>Apoio_Churrasco!N5</f>
        <v>0</v>
      </c>
      <c r="AD5" s="86" t="s">
        <v>3</v>
      </c>
      <c r="AE5" s="84">
        <f t="shared" si="0"/>
        <v>0</v>
      </c>
    </row>
    <row r="6" spans="2:31" ht="17.25" x14ac:dyDescent="0.3">
      <c r="B6" s="4" t="s">
        <v>24</v>
      </c>
      <c r="C6" s="4">
        <v>0.2</v>
      </c>
      <c r="D6" s="4" t="s">
        <v>46</v>
      </c>
      <c r="G6" s="4" t="s">
        <v>57</v>
      </c>
      <c r="H6" s="61">
        <f>c_Homens</f>
        <v>0</v>
      </c>
      <c r="I6" s="2"/>
      <c r="J6" s="4" t="s">
        <v>67</v>
      </c>
      <c r="K6" s="59">
        <v>3.5</v>
      </c>
      <c r="L6" s="112">
        <f>Apoio_Churrasco!H12*Apoio_Churrasco!C9+Apoio_Churrasco!H13*Apoio_Churrasco!C10</f>
        <v>0</v>
      </c>
      <c r="M6" s="59">
        <f t="shared" si="1"/>
        <v>0</v>
      </c>
      <c r="N6" s="120">
        <f>Organizador!$F$19</f>
        <v>0</v>
      </c>
      <c r="O6" s="59" t="s">
        <v>3</v>
      </c>
      <c r="Q6" s="88" t="s">
        <v>71</v>
      </c>
      <c r="U6" s="28"/>
      <c r="V6" s="28"/>
      <c r="W6" s="28"/>
      <c r="Y6" s="83" t="str">
        <f t="shared" si="2"/>
        <v>Suco 1L</v>
      </c>
      <c r="Z6" s="84">
        <f>Apoio_Churrasco!M6</f>
        <v>0</v>
      </c>
      <c r="AA6" s="85">
        <f>Apoio_Churrasco!K6</f>
        <v>3.5</v>
      </c>
      <c r="AB6" s="83">
        <f>Apoio_Churrasco!L6</f>
        <v>0</v>
      </c>
      <c r="AC6" s="85">
        <f>Apoio_Churrasco!N6</f>
        <v>0</v>
      </c>
      <c r="AD6" s="87" t="s">
        <v>3</v>
      </c>
      <c r="AE6" s="84">
        <f t="shared" si="0"/>
        <v>0</v>
      </c>
    </row>
    <row r="7" spans="2:31" ht="17.25" x14ac:dyDescent="0.3">
      <c r="B7" s="4" t="s">
        <v>47</v>
      </c>
      <c r="C7" s="4">
        <v>0.2</v>
      </c>
      <c r="D7" s="4" t="s">
        <v>45</v>
      </c>
      <c r="G7" s="4" t="s">
        <v>58</v>
      </c>
      <c r="H7" s="61">
        <f>c_Mulheres</f>
        <v>0</v>
      </c>
      <c r="I7" s="2"/>
      <c r="J7" s="4" t="s">
        <v>68</v>
      </c>
      <c r="K7" s="59">
        <v>8</v>
      </c>
      <c r="L7" s="112">
        <f>Apoio_Churrasco!H14*Apoio_Churrasco!C11</f>
        <v>0</v>
      </c>
      <c r="M7" s="59">
        <f t="shared" si="1"/>
        <v>0</v>
      </c>
      <c r="N7" s="120">
        <f>Organizador!$F$20</f>
        <v>0</v>
      </c>
      <c r="O7" s="59" t="s">
        <v>3</v>
      </c>
      <c r="Q7" s="4">
        <f>c_Homens+c_Mulheres</f>
        <v>0</v>
      </c>
      <c r="Y7" s="83" t="str">
        <f t="shared" si="2"/>
        <v>Vinho 1L</v>
      </c>
      <c r="Z7" s="84">
        <f>Apoio_Churrasco!M7</f>
        <v>0</v>
      </c>
      <c r="AA7" s="85">
        <f>Apoio_Churrasco!K7</f>
        <v>8</v>
      </c>
      <c r="AB7" s="83">
        <f>Apoio_Churrasco!L7</f>
        <v>0</v>
      </c>
      <c r="AC7" s="85">
        <f>Apoio_Churrasco!N7</f>
        <v>0</v>
      </c>
      <c r="AD7" s="86" t="s">
        <v>3</v>
      </c>
      <c r="AE7" s="84">
        <f t="shared" si="0"/>
        <v>0</v>
      </c>
    </row>
    <row r="8" spans="2:31" ht="17.25" x14ac:dyDescent="0.3">
      <c r="B8" s="4" t="s">
        <v>47</v>
      </c>
      <c r="C8" s="4">
        <v>0.2</v>
      </c>
      <c r="D8" s="4" t="s">
        <v>46</v>
      </c>
      <c r="G8" s="4" t="s">
        <v>59</v>
      </c>
      <c r="H8" s="4">
        <f>c_Criancas</f>
        <v>0</v>
      </c>
      <c r="I8" s="2"/>
      <c r="J8" s="4" t="s">
        <v>69</v>
      </c>
      <c r="K8" s="59">
        <v>20</v>
      </c>
      <c r="L8" s="112">
        <f>Apoio_Churrasco!H15*Apoio_Churrasco!C13</f>
        <v>0</v>
      </c>
      <c r="M8" s="59">
        <f t="shared" si="1"/>
        <v>0</v>
      </c>
      <c r="N8" s="120">
        <f>Organizador!$F$21</f>
        <v>0</v>
      </c>
      <c r="O8" s="59" t="s">
        <v>3</v>
      </c>
      <c r="Q8" s="2"/>
      <c r="Y8" s="83" t="str">
        <f t="shared" si="2"/>
        <v>Vodka 1L</v>
      </c>
      <c r="Z8" s="84">
        <f>Apoio_Churrasco!M8</f>
        <v>0</v>
      </c>
      <c r="AA8" s="85">
        <f>Apoio_Churrasco!K8</f>
        <v>20</v>
      </c>
      <c r="AB8" s="83">
        <f>Apoio_Churrasco!L8</f>
        <v>0</v>
      </c>
      <c r="AC8" s="85">
        <f>Apoio_Churrasco!N8</f>
        <v>0</v>
      </c>
      <c r="AD8" s="87" t="s">
        <v>3</v>
      </c>
      <c r="AE8" s="84">
        <f t="shared" si="0"/>
        <v>0</v>
      </c>
    </row>
    <row r="9" spans="2:31" ht="17.25" x14ac:dyDescent="0.3">
      <c r="B9" s="4" t="s">
        <v>2</v>
      </c>
      <c r="C9" s="4">
        <v>0.2</v>
      </c>
      <c r="D9" s="4" t="s">
        <v>45</v>
      </c>
      <c r="G9" s="4" t="s">
        <v>60</v>
      </c>
      <c r="H9" s="4">
        <f>c_Homens+c_Mulheres</f>
        <v>0</v>
      </c>
      <c r="I9" s="2"/>
      <c r="J9" s="4" t="s">
        <v>77</v>
      </c>
      <c r="K9" s="59">
        <v>10</v>
      </c>
      <c r="L9" s="112">
        <f>Apoio_Churrasco!$H$17*Apoio_Churrasco!$C$31/5</f>
        <v>0</v>
      </c>
      <c r="M9" s="59">
        <f t="shared" si="1"/>
        <v>0</v>
      </c>
      <c r="N9" s="120">
        <f>Organizador!$F$22</f>
        <v>0</v>
      </c>
      <c r="O9" s="59" t="s">
        <v>14</v>
      </c>
      <c r="Q9" s="88" t="s">
        <v>72</v>
      </c>
      <c r="Y9" s="83" t="str">
        <f t="shared" si="2"/>
        <v>Gelo (Kg)</v>
      </c>
      <c r="Z9" s="84">
        <f>Apoio_Churrasco!M9</f>
        <v>0</v>
      </c>
      <c r="AA9" s="85">
        <f>Apoio_Churrasco!K9</f>
        <v>10</v>
      </c>
      <c r="AB9" s="83">
        <f>Apoio_Churrasco!L9</f>
        <v>0</v>
      </c>
      <c r="AC9" s="85">
        <f>Apoio_Churrasco!N9</f>
        <v>0</v>
      </c>
      <c r="AD9" s="86" t="s">
        <v>14</v>
      </c>
      <c r="AE9" s="84">
        <f t="shared" si="0"/>
        <v>0</v>
      </c>
    </row>
    <row r="10" spans="2:31" ht="17.25" x14ac:dyDescent="0.3">
      <c r="B10" s="4" t="s">
        <v>2</v>
      </c>
      <c r="C10" s="4">
        <v>0.1</v>
      </c>
      <c r="D10" s="4" t="s">
        <v>46</v>
      </c>
      <c r="G10" s="4" t="s">
        <v>61</v>
      </c>
      <c r="H10" s="4">
        <f>c_Criancas</f>
        <v>0</v>
      </c>
      <c r="I10" s="2"/>
      <c r="J10" s="4" t="s">
        <v>79</v>
      </c>
      <c r="K10" s="59">
        <v>12.5</v>
      </c>
      <c r="L10" s="112">
        <f>Apoio_Churrasco!$H$17*Apoio_Churrasco!$C$30/4</f>
        <v>0</v>
      </c>
      <c r="M10" s="59">
        <f>K10*L10</f>
        <v>0</v>
      </c>
      <c r="N10" s="120">
        <f>Organizador!$F$23</f>
        <v>0</v>
      </c>
      <c r="O10" s="59" t="s">
        <v>14</v>
      </c>
      <c r="Q10" s="125" t="str">
        <f>IF(Q7=0,"R$  -  ",Q4/Q7)</f>
        <v xml:space="preserve">R$  -  </v>
      </c>
      <c r="Y10" s="83" t="str">
        <f t="shared" si="2"/>
        <v>Carvão (kg)</v>
      </c>
      <c r="Z10" s="84">
        <f>Apoio_Churrasco!M10</f>
        <v>0</v>
      </c>
      <c r="AA10" s="85">
        <f>Apoio_Churrasco!K10</f>
        <v>12.5</v>
      </c>
      <c r="AB10" s="83">
        <f>Apoio_Churrasco!L10</f>
        <v>0</v>
      </c>
      <c r="AC10" s="85">
        <f>Apoio_Churrasco!N10</f>
        <v>0</v>
      </c>
      <c r="AD10" s="86" t="s">
        <v>14</v>
      </c>
      <c r="AE10" s="84">
        <f t="shared" si="0"/>
        <v>0</v>
      </c>
    </row>
    <row r="11" spans="2:31" ht="17.25" x14ac:dyDescent="0.3">
      <c r="B11" s="4" t="s">
        <v>6</v>
      </c>
      <c r="C11" s="4">
        <v>0.1</v>
      </c>
      <c r="D11" s="4" t="s">
        <v>46</v>
      </c>
      <c r="G11" s="4" t="s">
        <v>62</v>
      </c>
      <c r="H11" s="4">
        <f>c_Homens+c_Mulheres</f>
        <v>0</v>
      </c>
      <c r="I11" s="2" t="s">
        <v>86</v>
      </c>
      <c r="J11" s="4" t="s">
        <v>87</v>
      </c>
      <c r="K11" s="99"/>
      <c r="L11" s="113"/>
      <c r="M11" s="59">
        <f>Organizador!E24</f>
        <v>0</v>
      </c>
      <c r="N11" s="120">
        <f>Organizador!$F$24</f>
        <v>0</v>
      </c>
      <c r="O11" s="59" t="s">
        <v>14</v>
      </c>
      <c r="Y11" s="83" t="str">
        <f t="shared" si="2"/>
        <v>Adicional 1</v>
      </c>
      <c r="Z11" s="84">
        <f>Apoio_Churrasco!M11</f>
        <v>0</v>
      </c>
      <c r="AA11" s="85">
        <f>Apoio_Churrasco!K11</f>
        <v>0</v>
      </c>
      <c r="AB11" s="83">
        <f>Apoio_Churrasco!L11</f>
        <v>0</v>
      </c>
      <c r="AC11" s="85">
        <f>Apoio_Churrasco!N11</f>
        <v>0</v>
      </c>
      <c r="AD11" s="86" t="s">
        <v>14</v>
      </c>
      <c r="AE11" s="84">
        <f t="shared" si="0"/>
        <v>0</v>
      </c>
    </row>
    <row r="12" spans="2:31" ht="17.25" x14ac:dyDescent="0.3">
      <c r="B12" s="4" t="s">
        <v>48</v>
      </c>
      <c r="C12" s="4">
        <v>0.05</v>
      </c>
      <c r="D12" s="4" t="s">
        <v>46</v>
      </c>
      <c r="G12" s="4" t="s">
        <v>63</v>
      </c>
      <c r="H12" s="4">
        <f>c_Criancas</f>
        <v>0</v>
      </c>
      <c r="I12" s="2"/>
      <c r="J12" s="104" t="s">
        <v>90</v>
      </c>
      <c r="K12" s="105">
        <v>22</v>
      </c>
      <c r="L12" s="111">
        <f>(Apoio_Churrasco!$C$14*c_Homens)+(Apoio_Churrasco!$C$15*c_Mulheres)+(Apoio_Churrasco!$C$16*c_Criancas)</f>
        <v>0</v>
      </c>
      <c r="M12" s="59">
        <f t="shared" si="1"/>
        <v>0</v>
      </c>
      <c r="N12" s="121">
        <f>Organizador!$J$16</f>
        <v>0</v>
      </c>
      <c r="O12" s="105" t="s">
        <v>100</v>
      </c>
      <c r="Q12" s="88" t="s">
        <v>102</v>
      </c>
      <c r="Y12" s="83" t="str">
        <f t="shared" si="2"/>
        <v>Alcatra (Kg)</v>
      </c>
      <c r="Z12" s="84">
        <f>Apoio_Churrasco!M12</f>
        <v>0</v>
      </c>
      <c r="AA12" s="85">
        <f>Apoio_Churrasco!K12</f>
        <v>22</v>
      </c>
      <c r="AB12" s="83">
        <f>Apoio_Churrasco!L12</f>
        <v>0</v>
      </c>
      <c r="AC12" s="85">
        <f>Apoio_Churrasco!N12</f>
        <v>0</v>
      </c>
      <c r="AD12" s="87" t="s">
        <v>8</v>
      </c>
      <c r="AE12" s="84">
        <f t="shared" si="0"/>
        <v>0</v>
      </c>
    </row>
    <row r="13" spans="2:31" ht="17.25" x14ac:dyDescent="0.3">
      <c r="B13" s="4" t="s">
        <v>5</v>
      </c>
      <c r="C13" s="4">
        <v>0.1</v>
      </c>
      <c r="D13" s="4" t="s">
        <v>46</v>
      </c>
      <c r="G13" s="4" t="s">
        <v>64</v>
      </c>
      <c r="H13" s="4">
        <f>c_Homens+c_Mulheres</f>
        <v>0</v>
      </c>
      <c r="I13" s="2"/>
      <c r="J13" s="104" t="s">
        <v>92</v>
      </c>
      <c r="K13" s="105">
        <v>9.5</v>
      </c>
      <c r="L13" s="111">
        <f>(Apoio_Churrasco!$C$17*c_Homens)+(Apoio_Churrasco!$C$18*c_Mulheres)+(Apoio_Churrasco!$C$19*c_Criancas)</f>
        <v>0</v>
      </c>
      <c r="M13" s="59">
        <f t="shared" si="1"/>
        <v>0</v>
      </c>
      <c r="N13" s="121">
        <f>Organizador!$J$17</f>
        <v>0</v>
      </c>
      <c r="O13" s="105" t="s">
        <v>100</v>
      </c>
      <c r="Q13" s="59">
        <f>SUM($M$3:$M$29)</f>
        <v>0</v>
      </c>
      <c r="Y13" s="83" t="str">
        <f t="shared" si="2"/>
        <v>Linguiça (Kg)</v>
      </c>
      <c r="Z13" s="84">
        <f>Apoio_Churrasco!M13</f>
        <v>0</v>
      </c>
      <c r="AA13" s="85">
        <f>Apoio_Churrasco!K13</f>
        <v>9.5</v>
      </c>
      <c r="AB13" s="83">
        <f>Apoio_Churrasco!L13</f>
        <v>0</v>
      </c>
      <c r="AC13" s="85">
        <f>Apoio_Churrasco!N13</f>
        <v>0</v>
      </c>
      <c r="AD13" s="86" t="s">
        <v>8</v>
      </c>
      <c r="AE13" s="84">
        <f t="shared" si="0"/>
        <v>0</v>
      </c>
    </row>
    <row r="14" spans="2:31" ht="17.25" x14ac:dyDescent="0.3">
      <c r="B14" s="4" t="s">
        <v>81</v>
      </c>
      <c r="C14" s="4">
        <v>4.2999999999999997E-2</v>
      </c>
      <c r="D14" s="4" t="s">
        <v>43</v>
      </c>
      <c r="G14" s="4" t="s">
        <v>6</v>
      </c>
      <c r="H14" s="4">
        <f>c_Homens+c_Mulheres</f>
        <v>0</v>
      </c>
      <c r="I14" s="2"/>
      <c r="J14" s="104" t="s">
        <v>93</v>
      </c>
      <c r="K14" s="105">
        <v>5.8</v>
      </c>
      <c r="L14" s="111">
        <f>(Apoio_Churrasco!$C$20*c_Homens)+(Apoio_Churrasco!$C$21*c_Mulheres)+(Apoio_Churrasco!$C$22*c_Criancas)</f>
        <v>0</v>
      </c>
      <c r="M14" s="59">
        <f t="shared" si="1"/>
        <v>0</v>
      </c>
      <c r="N14" s="121">
        <f>Organizador!$J$18</f>
        <v>0</v>
      </c>
      <c r="O14" s="105" t="s">
        <v>100</v>
      </c>
      <c r="Y14" s="83" t="str">
        <f t="shared" si="2"/>
        <v>Frango (Kg)</v>
      </c>
      <c r="Z14" s="84">
        <f>Apoio_Churrasco!M14</f>
        <v>0</v>
      </c>
      <c r="AA14" s="85">
        <f>Apoio_Churrasco!K14</f>
        <v>5.8</v>
      </c>
      <c r="AB14" s="83">
        <f>Apoio_Churrasco!L14</f>
        <v>0</v>
      </c>
      <c r="AC14" s="85">
        <f>Apoio_Churrasco!N14</f>
        <v>0</v>
      </c>
      <c r="AD14" s="86" t="s">
        <v>8</v>
      </c>
      <c r="AE14" s="84">
        <f t="shared" si="0"/>
        <v>0</v>
      </c>
    </row>
    <row r="15" spans="2:31" ht="17.25" x14ac:dyDescent="0.3">
      <c r="B15" s="4" t="s">
        <v>81</v>
      </c>
      <c r="C15" s="4">
        <v>2.9000000000000001E-2</v>
      </c>
      <c r="D15" s="4" t="s">
        <v>44</v>
      </c>
      <c r="G15" s="4" t="s">
        <v>5</v>
      </c>
      <c r="H15" s="4">
        <f>c_Homens+c_Mulheres</f>
        <v>0</v>
      </c>
      <c r="I15" s="2"/>
      <c r="J15" s="104" t="s">
        <v>94</v>
      </c>
      <c r="K15" s="105">
        <v>22.5</v>
      </c>
      <c r="L15" s="111">
        <f>(Apoio_Churrasco!$C$23*c_Homens)+(Apoio_Churrasco!$C$24*c_Mulheres)+(Apoio_Churrasco!$C$25*c_Criancas)</f>
        <v>0</v>
      </c>
      <c r="M15" s="59">
        <f t="shared" si="1"/>
        <v>0</v>
      </c>
      <c r="N15" s="121">
        <f>Organizador!$J$19</f>
        <v>0</v>
      </c>
      <c r="O15" s="105" t="s">
        <v>100</v>
      </c>
      <c r="Y15" s="83" t="str">
        <f t="shared" si="2"/>
        <v>Picanha (Kg)</v>
      </c>
      <c r="Z15" s="84">
        <f>Apoio_Churrasco!M15</f>
        <v>0</v>
      </c>
      <c r="AA15" s="85">
        <f>Apoio_Churrasco!K15</f>
        <v>22.5</v>
      </c>
      <c r="AB15" s="83">
        <f>Apoio_Churrasco!L15</f>
        <v>0</v>
      </c>
      <c r="AC15" s="85">
        <f>Apoio_Churrasco!N15</f>
        <v>0</v>
      </c>
      <c r="AD15" s="86" t="s">
        <v>8</v>
      </c>
      <c r="AE15" s="84">
        <f t="shared" si="0"/>
        <v>0</v>
      </c>
    </row>
    <row r="16" spans="2:31" ht="17.25" x14ac:dyDescent="0.3">
      <c r="B16" s="4" t="s">
        <v>81</v>
      </c>
      <c r="C16" s="4">
        <v>1.4E-2</v>
      </c>
      <c r="D16" s="4" t="s">
        <v>45</v>
      </c>
      <c r="G16" s="4" t="s">
        <v>48</v>
      </c>
      <c r="H16" s="4">
        <f>c_Homens+c_Mulheres</f>
        <v>0</v>
      </c>
      <c r="I16" s="2"/>
      <c r="J16" s="104" t="s">
        <v>91</v>
      </c>
      <c r="K16" s="105">
        <v>8</v>
      </c>
      <c r="L16" s="111">
        <f>(Apoio_Churrasco!$C$37*c_Homens)+(Apoio_Churrasco!$C$38*c_Mulheres)+(Apoio_Churrasco!$C$39*c_Criancas)</f>
        <v>0</v>
      </c>
      <c r="M16" s="59">
        <f t="shared" si="1"/>
        <v>0</v>
      </c>
      <c r="N16" s="121">
        <f>Organizador!$J$20</f>
        <v>0</v>
      </c>
      <c r="O16" s="105" t="s">
        <v>100</v>
      </c>
      <c r="Y16" s="83" t="str">
        <f t="shared" si="2"/>
        <v>Maminha (Kg)</v>
      </c>
      <c r="Z16" s="84">
        <f>Apoio_Churrasco!M16</f>
        <v>0</v>
      </c>
      <c r="AA16" s="85">
        <f>Apoio_Churrasco!K16</f>
        <v>8</v>
      </c>
      <c r="AB16" s="83">
        <f>Apoio_Churrasco!L16</f>
        <v>0</v>
      </c>
      <c r="AC16" s="85">
        <f>Apoio_Churrasco!N16</f>
        <v>0</v>
      </c>
      <c r="AD16" s="86" t="s">
        <v>8</v>
      </c>
      <c r="AE16" s="84">
        <f t="shared" si="0"/>
        <v>0</v>
      </c>
    </row>
    <row r="17" spans="2:31" ht="17.25" x14ac:dyDescent="0.3">
      <c r="B17" s="4" t="s">
        <v>26</v>
      </c>
      <c r="C17" s="4">
        <v>8.5000000000000006E-2</v>
      </c>
      <c r="D17" s="4" t="s">
        <v>43</v>
      </c>
      <c r="G17" s="4" t="s">
        <v>65</v>
      </c>
      <c r="H17" s="4">
        <f>c_Criancas+c_Homens+c_Mulheres</f>
        <v>0</v>
      </c>
      <c r="I17" s="2"/>
      <c r="J17" s="104" t="s">
        <v>95</v>
      </c>
      <c r="K17" s="105">
        <v>16.5</v>
      </c>
      <c r="L17" s="111">
        <f>(Apoio_Churrasco!$C$40*c_Homens)+(Apoio_Churrasco!$C$41*c_Mulheres)+(Apoio_Churrasco!$C$42*c_Criancas)</f>
        <v>0</v>
      </c>
      <c r="M17" s="59">
        <f t="shared" si="1"/>
        <v>0</v>
      </c>
      <c r="N17" s="121">
        <f>Organizador!$J$21</f>
        <v>0</v>
      </c>
      <c r="O17" s="105" t="s">
        <v>100</v>
      </c>
      <c r="Y17" s="83" t="str">
        <f t="shared" si="2"/>
        <v>Coração (Kg)</v>
      </c>
      <c r="Z17" s="84">
        <f>Apoio_Churrasco!M17</f>
        <v>0</v>
      </c>
      <c r="AA17" s="85">
        <f>Apoio_Churrasco!K17</f>
        <v>16.5</v>
      </c>
      <c r="AB17" s="83">
        <f>Apoio_Churrasco!L17</f>
        <v>0</v>
      </c>
      <c r="AC17" s="85">
        <f>Apoio_Churrasco!N17</f>
        <v>0</v>
      </c>
      <c r="AD17" s="86" t="s">
        <v>8</v>
      </c>
      <c r="AE17" s="84">
        <f t="shared" si="0"/>
        <v>0</v>
      </c>
    </row>
    <row r="18" spans="2:31" ht="17.25" x14ac:dyDescent="0.3">
      <c r="B18" s="4" t="s">
        <v>26</v>
      </c>
      <c r="C18" s="4">
        <v>5.5E-2</v>
      </c>
      <c r="D18" s="4" t="s">
        <v>44</v>
      </c>
      <c r="G18" s="2"/>
      <c r="H18" s="2"/>
      <c r="I18" s="2"/>
      <c r="J18" s="104" t="s">
        <v>10</v>
      </c>
      <c r="K18" s="105">
        <f>12/5</f>
        <v>2.4</v>
      </c>
      <c r="L18" s="111">
        <f>Apoio_Churrasco!H13*Apoio_Churrasco!C26</f>
        <v>0</v>
      </c>
      <c r="M18" s="59">
        <f t="shared" si="1"/>
        <v>0</v>
      </c>
      <c r="N18" s="121">
        <f>Organizador!$J$22</f>
        <v>0</v>
      </c>
      <c r="O18" s="105" t="s">
        <v>76</v>
      </c>
      <c r="Y18" s="83" t="str">
        <f t="shared" si="2"/>
        <v>Arroz</v>
      </c>
      <c r="Z18" s="84">
        <f>Apoio_Churrasco!M18</f>
        <v>0</v>
      </c>
      <c r="AA18" s="85">
        <f>Apoio_Churrasco!K18</f>
        <v>2.4</v>
      </c>
      <c r="AB18" s="83">
        <f>Apoio_Churrasco!L18</f>
        <v>0</v>
      </c>
      <c r="AC18" s="85">
        <f>Apoio_Churrasco!N18</f>
        <v>0</v>
      </c>
      <c r="AD18" s="86" t="s">
        <v>76</v>
      </c>
      <c r="AE18" s="84">
        <f t="shared" si="0"/>
        <v>0</v>
      </c>
    </row>
    <row r="19" spans="2:31" ht="17.25" x14ac:dyDescent="0.3">
      <c r="B19" s="4" t="s">
        <v>26</v>
      </c>
      <c r="C19" s="4">
        <v>0.03</v>
      </c>
      <c r="D19" s="4" t="s">
        <v>45</v>
      </c>
      <c r="G19" s="2"/>
      <c r="H19" s="2"/>
      <c r="I19" s="2"/>
      <c r="J19" s="104" t="s">
        <v>28</v>
      </c>
      <c r="K19" s="105">
        <v>4.5</v>
      </c>
      <c r="L19" s="111">
        <f>Apoio_Churrasco!H14*Apoio_Churrasco!C27</f>
        <v>0</v>
      </c>
      <c r="M19" s="59">
        <f t="shared" si="1"/>
        <v>0</v>
      </c>
      <c r="N19" s="121">
        <f>Organizador!$J$23</f>
        <v>0</v>
      </c>
      <c r="O19" s="105" t="s">
        <v>76</v>
      </c>
      <c r="Y19" s="83" t="str">
        <f t="shared" si="2"/>
        <v>Farofa</v>
      </c>
      <c r="Z19" s="84">
        <f>Apoio_Churrasco!M19</f>
        <v>0</v>
      </c>
      <c r="AA19" s="85">
        <f>Apoio_Churrasco!K19</f>
        <v>4.5</v>
      </c>
      <c r="AB19" s="83">
        <f>Apoio_Churrasco!L19</f>
        <v>0</v>
      </c>
      <c r="AC19" s="85">
        <f>Apoio_Churrasco!N19</f>
        <v>0</v>
      </c>
      <c r="AD19" s="86" t="s">
        <v>76</v>
      </c>
      <c r="AE19" s="84">
        <f t="shared" si="0"/>
        <v>0</v>
      </c>
    </row>
    <row r="20" spans="2:31" ht="17.25" x14ac:dyDescent="0.3">
      <c r="B20" s="4" t="s">
        <v>29</v>
      </c>
      <c r="C20" s="4">
        <v>4.2999999999999997E-2</v>
      </c>
      <c r="D20" s="4" t="s">
        <v>43</v>
      </c>
      <c r="G20" s="2"/>
      <c r="H20" s="2"/>
      <c r="I20" s="2"/>
      <c r="J20" s="104" t="s">
        <v>85</v>
      </c>
      <c r="K20" s="105"/>
      <c r="L20" s="114"/>
      <c r="M20" s="59">
        <f>Organizador!I24</f>
        <v>0</v>
      </c>
      <c r="N20" s="121">
        <f>Organizador!$J$24</f>
        <v>0</v>
      </c>
      <c r="O20" s="105" t="s">
        <v>14</v>
      </c>
      <c r="Y20" s="83" t="str">
        <f t="shared" si="2"/>
        <v>Adicional 2</v>
      </c>
      <c r="Z20" s="84">
        <f>Apoio_Churrasco!M20</f>
        <v>0</v>
      </c>
      <c r="AA20" s="85">
        <f>Apoio_Churrasco!K20</f>
        <v>0</v>
      </c>
      <c r="AB20" s="83">
        <f>Apoio_Churrasco!L20</f>
        <v>0</v>
      </c>
      <c r="AC20" s="85">
        <f>Apoio_Churrasco!N20</f>
        <v>0</v>
      </c>
      <c r="AD20" s="87" t="s">
        <v>14</v>
      </c>
      <c r="AE20" s="84">
        <f t="shared" si="0"/>
        <v>0</v>
      </c>
    </row>
    <row r="21" spans="2:31" ht="17.25" x14ac:dyDescent="0.3">
      <c r="B21" s="4" t="s">
        <v>29</v>
      </c>
      <c r="C21" s="4">
        <v>2.9000000000000001E-2</v>
      </c>
      <c r="D21" s="4" t="s">
        <v>44</v>
      </c>
      <c r="G21" s="2"/>
      <c r="H21" s="2"/>
      <c r="I21" s="2"/>
      <c r="J21" s="4" t="s">
        <v>82</v>
      </c>
      <c r="K21" s="59">
        <v>31.99</v>
      </c>
      <c r="L21" s="112">
        <f>Apoio_Churrasco!H17*Apoio_Churrasco!C43</f>
        <v>0</v>
      </c>
      <c r="M21" s="59">
        <f t="shared" si="1"/>
        <v>0</v>
      </c>
      <c r="N21" s="120">
        <f>Organizador!$N$16</f>
        <v>0</v>
      </c>
      <c r="O21" s="59" t="s">
        <v>76</v>
      </c>
      <c r="Y21" s="83" t="str">
        <f t="shared" si="2"/>
        <v>Queijo Coalho</v>
      </c>
      <c r="Z21" s="84">
        <f>Apoio_Churrasco!M21</f>
        <v>0</v>
      </c>
      <c r="AA21" s="85">
        <f>Apoio_Churrasco!K21</f>
        <v>31.99</v>
      </c>
      <c r="AB21" s="83">
        <f>Apoio_Churrasco!L21</f>
        <v>0</v>
      </c>
      <c r="AC21" s="85">
        <f>Apoio_Churrasco!N21</f>
        <v>0</v>
      </c>
      <c r="AD21" s="86" t="s">
        <v>76</v>
      </c>
      <c r="AE21" s="84">
        <f t="shared" si="0"/>
        <v>0</v>
      </c>
    </row>
    <row r="22" spans="2:31" ht="17.25" x14ac:dyDescent="0.3">
      <c r="B22" s="4" t="s">
        <v>29</v>
      </c>
      <c r="C22" s="4">
        <v>1.4E-2</v>
      </c>
      <c r="D22" s="4" t="s">
        <v>45</v>
      </c>
      <c r="G22" s="2"/>
      <c r="H22" s="2"/>
      <c r="I22" s="2"/>
      <c r="J22" s="4" t="s">
        <v>96</v>
      </c>
      <c r="K22" s="59">
        <f>10/4</f>
        <v>2.5</v>
      </c>
      <c r="L22" s="61">
        <f>(Apoio_Churrasco!H17*Apoio_Churrasco!C32)*10/50</f>
        <v>0</v>
      </c>
      <c r="M22" s="59">
        <f t="shared" si="1"/>
        <v>0</v>
      </c>
      <c r="N22" s="120">
        <f>Organizador!$N$17</f>
        <v>0</v>
      </c>
      <c r="O22" s="59" t="s">
        <v>14</v>
      </c>
      <c r="Y22" s="83" t="str">
        <f t="shared" si="2"/>
        <v>Guardanapos (50 unid)</v>
      </c>
      <c r="Z22" s="84">
        <f>Apoio_Churrasco!M22</f>
        <v>0</v>
      </c>
      <c r="AA22" s="85">
        <f>Apoio_Churrasco!K22</f>
        <v>2.5</v>
      </c>
      <c r="AB22" s="83">
        <f>Apoio_Churrasco!L22</f>
        <v>0</v>
      </c>
      <c r="AC22" s="85">
        <f>Apoio_Churrasco!N22</f>
        <v>0</v>
      </c>
      <c r="AD22" s="87" t="s">
        <v>14</v>
      </c>
      <c r="AE22" s="84">
        <f t="shared" si="0"/>
        <v>0</v>
      </c>
    </row>
    <row r="23" spans="2:31" ht="17.25" x14ac:dyDescent="0.3">
      <c r="B23" s="4" t="s">
        <v>17</v>
      </c>
      <c r="C23" s="4">
        <v>4.2999999999999997E-2</v>
      </c>
      <c r="D23" s="4" t="s">
        <v>43</v>
      </c>
      <c r="G23" s="2"/>
      <c r="H23" s="2"/>
      <c r="I23" s="2"/>
      <c r="J23" s="4" t="s">
        <v>104</v>
      </c>
      <c r="K23" s="59">
        <v>4</v>
      </c>
      <c r="L23" s="61">
        <f>(Apoio_Churrasco!H17*Apoio_Churrasco!C33)*4/20</f>
        <v>0</v>
      </c>
      <c r="M23" s="59">
        <f t="shared" si="1"/>
        <v>0</v>
      </c>
      <c r="N23" s="120">
        <f>Organizador!$N$18</f>
        <v>0</v>
      </c>
      <c r="O23" s="59" t="s">
        <v>14</v>
      </c>
      <c r="Y23" s="83" t="str">
        <f t="shared" si="2"/>
        <v>Copos Descart. (20 unid)</v>
      </c>
      <c r="Z23" s="84">
        <f>Apoio_Churrasco!M23</f>
        <v>0</v>
      </c>
      <c r="AA23" s="85">
        <f>Apoio_Churrasco!K23</f>
        <v>4</v>
      </c>
      <c r="AB23" s="83">
        <f>Apoio_Churrasco!L23</f>
        <v>0</v>
      </c>
      <c r="AC23" s="85">
        <f>Apoio_Churrasco!N23</f>
        <v>0</v>
      </c>
      <c r="AD23" s="87" t="s">
        <v>14</v>
      </c>
      <c r="AE23" s="84">
        <f t="shared" si="0"/>
        <v>0</v>
      </c>
    </row>
    <row r="24" spans="2:31" ht="17.25" x14ac:dyDescent="0.3">
      <c r="B24" s="4" t="s">
        <v>17</v>
      </c>
      <c r="C24" s="4">
        <v>2.9000000000000001E-2</v>
      </c>
      <c r="D24" s="4" t="s">
        <v>44</v>
      </c>
      <c r="J24" s="4" t="s">
        <v>80</v>
      </c>
      <c r="K24" s="59">
        <v>4.5</v>
      </c>
      <c r="L24" s="61">
        <f>(Apoio_Churrasco!H17*Apoio_Churrasco!C34)*4/20</f>
        <v>0</v>
      </c>
      <c r="M24" s="59">
        <f t="shared" si="1"/>
        <v>0</v>
      </c>
      <c r="N24" s="120">
        <f>Organizador!$N$19</f>
        <v>0</v>
      </c>
      <c r="O24" s="59" t="s">
        <v>14</v>
      </c>
      <c r="Y24" s="83" t="str">
        <f t="shared" si="2"/>
        <v>Talheres Desc. (20 unid)</v>
      </c>
      <c r="Z24" s="84">
        <f>Apoio_Churrasco!M24</f>
        <v>0</v>
      </c>
      <c r="AA24" s="85">
        <f>Apoio_Churrasco!K24</f>
        <v>4.5</v>
      </c>
      <c r="AB24" s="83">
        <f>Apoio_Churrasco!L24</f>
        <v>0</v>
      </c>
      <c r="AC24" s="85">
        <f>Apoio_Churrasco!N24</f>
        <v>0</v>
      </c>
      <c r="AD24" s="87" t="s">
        <v>14</v>
      </c>
      <c r="AE24" s="115">
        <f>Z24-AC24</f>
        <v>0</v>
      </c>
    </row>
    <row r="25" spans="2:31" ht="17.25" x14ac:dyDescent="0.3">
      <c r="B25" s="4" t="s">
        <v>17</v>
      </c>
      <c r="C25" s="4">
        <v>1.4E-2</v>
      </c>
      <c r="D25" s="4" t="s">
        <v>45</v>
      </c>
      <c r="J25" s="4" t="s">
        <v>34</v>
      </c>
      <c r="K25" s="59">
        <v>6.5</v>
      </c>
      <c r="L25" s="112">
        <f>Apoio_Churrasco!H17*Apoio_Churrasco!C35</f>
        <v>0</v>
      </c>
      <c r="M25" s="59">
        <f t="shared" si="1"/>
        <v>0</v>
      </c>
      <c r="N25" s="120">
        <f>Organizador!$N$20</f>
        <v>0</v>
      </c>
      <c r="O25" s="59" t="s">
        <v>76</v>
      </c>
      <c r="Y25" s="83" t="str">
        <f>J25</f>
        <v>Pães de Alho</v>
      </c>
      <c r="Z25" s="84">
        <f>Apoio_Churrasco!M25</f>
        <v>0</v>
      </c>
      <c r="AA25" s="85">
        <f>Apoio_Churrasco!K25</f>
        <v>6.5</v>
      </c>
      <c r="AB25" s="83">
        <f>Apoio_Churrasco!L25</f>
        <v>0</v>
      </c>
      <c r="AC25" s="85">
        <f>Apoio_Churrasco!N25</f>
        <v>0</v>
      </c>
      <c r="AD25" s="86" t="s">
        <v>76</v>
      </c>
      <c r="AE25" s="115">
        <f t="shared" ref="AE25:AE29" si="3">Z25-AC25</f>
        <v>0</v>
      </c>
    </row>
    <row r="26" spans="2:31" ht="17.25" x14ac:dyDescent="0.3">
      <c r="B26" s="4" t="s">
        <v>10</v>
      </c>
      <c r="C26" s="4">
        <v>0.08</v>
      </c>
      <c r="D26" s="4" t="s">
        <v>46</v>
      </c>
      <c r="J26" s="4" t="s">
        <v>33</v>
      </c>
      <c r="K26" s="59">
        <f>5/4</f>
        <v>1.25</v>
      </c>
      <c r="L26" s="112">
        <f>Apoio_Churrasco!$H$17*Apoio_Churrasco!$C$29</f>
        <v>0</v>
      </c>
      <c r="M26" s="59">
        <f t="shared" si="1"/>
        <v>0</v>
      </c>
      <c r="N26" s="120">
        <f>Organizador!$N$21</f>
        <v>0</v>
      </c>
      <c r="O26" s="59" t="s">
        <v>76</v>
      </c>
      <c r="Y26" s="83" t="str">
        <f t="shared" si="2"/>
        <v>Pãezinhos</v>
      </c>
      <c r="Z26" s="84">
        <f>Apoio_Churrasco!M26</f>
        <v>0</v>
      </c>
      <c r="AA26" s="85">
        <f>Apoio_Churrasco!K26</f>
        <v>1.25</v>
      </c>
      <c r="AB26" s="83">
        <f>Apoio_Churrasco!L26</f>
        <v>0</v>
      </c>
      <c r="AC26" s="85">
        <f>Apoio_Churrasco!N26</f>
        <v>0</v>
      </c>
      <c r="AD26" s="86" t="s">
        <v>76</v>
      </c>
      <c r="AE26" s="115">
        <f t="shared" si="3"/>
        <v>0</v>
      </c>
    </row>
    <row r="27" spans="2:31" ht="17.25" x14ac:dyDescent="0.3">
      <c r="B27" s="4" t="s">
        <v>28</v>
      </c>
      <c r="C27" s="4">
        <v>0.04</v>
      </c>
      <c r="D27" s="4" t="s">
        <v>46</v>
      </c>
      <c r="J27" s="4" t="s">
        <v>31</v>
      </c>
      <c r="K27" s="59">
        <v>8</v>
      </c>
      <c r="L27" s="112">
        <f>Apoio_Churrasco!$H$17*Apoio_Churrasco!$C$36</f>
        <v>0</v>
      </c>
      <c r="M27" s="59">
        <f t="shared" si="1"/>
        <v>0</v>
      </c>
      <c r="N27" s="120">
        <f>Organizador!$N$22</f>
        <v>0</v>
      </c>
      <c r="O27" s="59" t="s">
        <v>12</v>
      </c>
      <c r="Y27" s="83" t="str">
        <f t="shared" si="2"/>
        <v>Frutas Diversas</v>
      </c>
      <c r="Z27" s="84">
        <f>Apoio_Churrasco!M27</f>
        <v>0</v>
      </c>
      <c r="AA27" s="85">
        <f>Apoio_Churrasco!K27</f>
        <v>8</v>
      </c>
      <c r="AB27" s="83">
        <f>Apoio_Churrasco!L27</f>
        <v>0</v>
      </c>
      <c r="AC27" s="85">
        <f>Apoio_Churrasco!N27</f>
        <v>0</v>
      </c>
      <c r="AD27" s="86" t="s">
        <v>76</v>
      </c>
      <c r="AE27" s="115">
        <f t="shared" si="3"/>
        <v>0</v>
      </c>
    </row>
    <row r="28" spans="2:31" ht="17.25" x14ac:dyDescent="0.3">
      <c r="B28" s="4" t="s">
        <v>49</v>
      </c>
      <c r="C28" s="4">
        <v>0.05</v>
      </c>
      <c r="D28" s="4" t="s">
        <v>46</v>
      </c>
      <c r="J28" s="4" t="s">
        <v>11</v>
      </c>
      <c r="K28" s="59">
        <v>5</v>
      </c>
      <c r="L28" s="112">
        <f>Apoio_Churrasco!$H$17*Apoio_Churrasco!$C$28</f>
        <v>0</v>
      </c>
      <c r="M28" s="59">
        <f t="shared" si="1"/>
        <v>0</v>
      </c>
      <c r="N28" s="120">
        <f>Organizador!$N$23</f>
        <v>0</v>
      </c>
      <c r="O28" s="59" t="s">
        <v>76</v>
      </c>
      <c r="Y28" s="83" t="str">
        <f t="shared" si="2"/>
        <v>Saladas</v>
      </c>
      <c r="Z28" s="84">
        <f>Apoio_Churrasco!M28</f>
        <v>0</v>
      </c>
      <c r="AA28" s="85">
        <f>Apoio_Churrasco!K28</f>
        <v>5</v>
      </c>
      <c r="AB28" s="83">
        <f>Apoio_Churrasco!L28</f>
        <v>0</v>
      </c>
      <c r="AC28" s="85">
        <f>Apoio_Churrasco!N28</f>
        <v>0</v>
      </c>
      <c r="AD28" s="86" t="s">
        <v>76</v>
      </c>
      <c r="AE28" s="115">
        <f t="shared" si="3"/>
        <v>0</v>
      </c>
    </row>
    <row r="29" spans="2:31" ht="17.25" x14ac:dyDescent="0.3">
      <c r="B29" s="4" t="s">
        <v>50</v>
      </c>
      <c r="C29" s="4">
        <v>1</v>
      </c>
      <c r="D29" s="4" t="s">
        <v>46</v>
      </c>
      <c r="J29" s="4" t="s">
        <v>88</v>
      </c>
      <c r="K29" s="59"/>
      <c r="L29" s="110"/>
      <c r="M29" s="59">
        <f>Organizador!M24</f>
        <v>0</v>
      </c>
      <c r="N29" s="120">
        <f>Organizador!$N$24</f>
        <v>0</v>
      </c>
      <c r="O29" s="59" t="s">
        <v>14</v>
      </c>
      <c r="Y29" s="83" t="str">
        <f t="shared" si="2"/>
        <v>Adicional 3</v>
      </c>
      <c r="Z29" s="84">
        <f>Apoio_Churrasco!M29</f>
        <v>0</v>
      </c>
      <c r="AA29" s="85">
        <f>Apoio_Churrasco!K29</f>
        <v>0</v>
      </c>
      <c r="AB29" s="83">
        <f>Apoio_Churrasco!L29</f>
        <v>0</v>
      </c>
      <c r="AC29" s="85">
        <f>Apoio_Churrasco!N29</f>
        <v>0</v>
      </c>
      <c r="AD29" s="87" t="s">
        <v>14</v>
      </c>
      <c r="AE29" s="115">
        <f t="shared" si="3"/>
        <v>0</v>
      </c>
    </row>
    <row r="30" spans="2:31" ht="17.25" x14ac:dyDescent="0.3">
      <c r="B30" s="4" t="s">
        <v>9</v>
      </c>
      <c r="C30" s="4">
        <v>0.5</v>
      </c>
      <c r="D30" s="4" t="s">
        <v>46</v>
      </c>
      <c r="J30" s="1"/>
      <c r="K30" s="106"/>
      <c r="L30" s="1"/>
      <c r="M30" s="106"/>
      <c r="N30" s="106"/>
      <c r="O30" s="106"/>
      <c r="Y30" s="83"/>
      <c r="Z30" s="115"/>
      <c r="AA30" s="116"/>
      <c r="AB30" s="117"/>
      <c r="AC30" s="118"/>
      <c r="AD30" s="119"/>
      <c r="AE30" s="115"/>
    </row>
    <row r="31" spans="2:31" ht="17.25" x14ac:dyDescent="0.3">
      <c r="B31" s="4" t="s">
        <v>7</v>
      </c>
      <c r="C31" s="4">
        <v>0.8</v>
      </c>
      <c r="D31" s="4" t="s">
        <v>46</v>
      </c>
      <c r="J31" s="1"/>
      <c r="K31" s="28"/>
      <c r="L31" s="28"/>
      <c r="M31" s="28"/>
      <c r="N31" s="28"/>
      <c r="O31" s="28"/>
      <c r="Y31" s="83"/>
      <c r="Z31" s="115"/>
      <c r="AA31" s="116"/>
      <c r="AB31" s="117"/>
      <c r="AC31" s="118"/>
      <c r="AD31" s="119"/>
      <c r="AE31" s="115"/>
    </row>
    <row r="32" spans="2:31" ht="16.5" x14ac:dyDescent="0.3">
      <c r="B32" s="4" t="s">
        <v>27</v>
      </c>
      <c r="C32" s="4">
        <v>1</v>
      </c>
      <c r="D32" s="4" t="s">
        <v>46</v>
      </c>
      <c r="J32" s="1"/>
      <c r="K32" s="28"/>
      <c r="L32" s="28"/>
      <c r="M32" s="28"/>
      <c r="N32" s="28"/>
      <c r="O32" s="28"/>
    </row>
    <row r="33" spans="2:15" ht="16.5" x14ac:dyDescent="0.3">
      <c r="B33" s="4" t="s">
        <v>30</v>
      </c>
      <c r="C33" s="4">
        <v>1</v>
      </c>
      <c r="D33" s="4" t="s">
        <v>46</v>
      </c>
      <c r="J33" s="1"/>
      <c r="K33" s="28"/>
      <c r="L33" s="28"/>
      <c r="M33" s="28"/>
      <c r="N33" s="28"/>
      <c r="O33" s="28"/>
    </row>
    <row r="34" spans="2:15" ht="16.5" x14ac:dyDescent="0.3">
      <c r="B34" s="4" t="s">
        <v>32</v>
      </c>
      <c r="C34" s="4">
        <v>1</v>
      </c>
      <c r="D34" s="4" t="s">
        <v>46</v>
      </c>
      <c r="G34" s="3"/>
      <c r="H34" s="101" t="s">
        <v>73</v>
      </c>
      <c r="I34" s="101" t="s">
        <v>74</v>
      </c>
      <c r="J34" s="101" t="s">
        <v>75</v>
      </c>
    </row>
    <row r="35" spans="2:15" ht="16.5" x14ac:dyDescent="0.3">
      <c r="B35" s="4" t="s">
        <v>51</v>
      </c>
      <c r="C35" s="4">
        <v>0.05</v>
      </c>
      <c r="D35" s="4" t="s">
        <v>46</v>
      </c>
      <c r="G35" s="102" t="s">
        <v>84</v>
      </c>
      <c r="H35" s="100">
        <v>4.2999999999999997E-2</v>
      </c>
      <c r="I35" s="100">
        <v>2.9000000000000001E-2</v>
      </c>
      <c r="J35" s="100">
        <v>1.4E-2</v>
      </c>
    </row>
    <row r="36" spans="2:15" ht="16.5" x14ac:dyDescent="0.3">
      <c r="B36" s="4" t="s">
        <v>31</v>
      </c>
      <c r="C36" s="4">
        <v>0.12</v>
      </c>
      <c r="D36" s="4" t="s">
        <v>46</v>
      </c>
      <c r="G36" s="102" t="s">
        <v>83</v>
      </c>
      <c r="H36" s="100">
        <v>4.2999999999999997E-2</v>
      </c>
      <c r="I36" s="100">
        <v>2.9000000000000001E-2</v>
      </c>
      <c r="J36" s="100">
        <v>1.4E-2</v>
      </c>
    </row>
    <row r="37" spans="2:15" ht="16.5" x14ac:dyDescent="0.3">
      <c r="B37" s="4" t="s">
        <v>83</v>
      </c>
      <c r="C37" s="4">
        <v>4.2999999999999997E-2</v>
      </c>
      <c r="D37" s="4" t="s">
        <v>43</v>
      </c>
      <c r="G37" s="102" t="s">
        <v>81</v>
      </c>
      <c r="H37" s="100">
        <v>4.2999999999999997E-2</v>
      </c>
      <c r="I37" s="100">
        <v>2.9000000000000001E-2</v>
      </c>
      <c r="J37" s="100">
        <v>1.4E-2</v>
      </c>
    </row>
    <row r="38" spans="2:15" ht="16.5" x14ac:dyDescent="0.3">
      <c r="B38" s="4" t="s">
        <v>83</v>
      </c>
      <c r="C38" s="4">
        <v>2.9000000000000001E-2</v>
      </c>
      <c r="D38" s="4" t="s">
        <v>44</v>
      </c>
      <c r="G38" s="102" t="s">
        <v>17</v>
      </c>
      <c r="H38" s="100">
        <v>4.2999999999999997E-2</v>
      </c>
      <c r="I38" s="100">
        <v>2.9000000000000001E-2</v>
      </c>
      <c r="J38" s="100">
        <v>1.4E-2</v>
      </c>
    </row>
    <row r="39" spans="2:15" ht="16.5" x14ac:dyDescent="0.3">
      <c r="B39" s="98" t="s">
        <v>83</v>
      </c>
      <c r="C39" s="98">
        <v>1.4E-2</v>
      </c>
      <c r="D39" s="98" t="s">
        <v>45</v>
      </c>
      <c r="G39" s="102" t="s">
        <v>26</v>
      </c>
      <c r="H39" s="100">
        <v>8.5000000000000006E-2</v>
      </c>
      <c r="I39" s="100">
        <v>5.5E-2</v>
      </c>
      <c r="J39" s="100">
        <v>0.03</v>
      </c>
    </row>
    <row r="40" spans="2:15" ht="16.5" x14ac:dyDescent="0.3">
      <c r="B40" s="4" t="s">
        <v>84</v>
      </c>
      <c r="C40" s="4">
        <v>4.2999999999999997E-2</v>
      </c>
      <c r="D40" s="4" t="s">
        <v>43</v>
      </c>
      <c r="G40" s="103" t="s">
        <v>29</v>
      </c>
      <c r="H40" s="100">
        <v>4.2999999999999997E-2</v>
      </c>
      <c r="I40" s="100">
        <v>2.9000000000000001E-2</v>
      </c>
      <c r="J40" s="100">
        <v>1.4E-2</v>
      </c>
    </row>
    <row r="41" spans="2:15" ht="16.5" x14ac:dyDescent="0.3">
      <c r="B41" s="4" t="s">
        <v>84</v>
      </c>
      <c r="C41" s="4">
        <v>2.9000000000000001E-2</v>
      </c>
      <c r="D41" s="4" t="s">
        <v>44</v>
      </c>
      <c r="G41" s="102" t="s">
        <v>65</v>
      </c>
      <c r="H41" s="101">
        <f>SUM(H35:H40)</f>
        <v>0.3</v>
      </c>
      <c r="I41" s="101">
        <f>SUM(I35:I40)</f>
        <v>0.2</v>
      </c>
      <c r="J41" s="101">
        <f>SUM(J35:J40)</f>
        <v>9.9999999999999992E-2</v>
      </c>
    </row>
    <row r="42" spans="2:15" ht="16.5" x14ac:dyDescent="0.3">
      <c r="B42" s="98" t="s">
        <v>84</v>
      </c>
      <c r="C42" s="98">
        <v>1.4E-2</v>
      </c>
      <c r="D42" s="98" t="s">
        <v>45</v>
      </c>
      <c r="G42" s="3"/>
      <c r="H42" s="101">
        <v>300</v>
      </c>
      <c r="I42" s="101">
        <v>200</v>
      </c>
      <c r="J42" s="101">
        <v>100</v>
      </c>
    </row>
    <row r="43" spans="2:15" ht="16.5" x14ac:dyDescent="0.3">
      <c r="B43" s="98" t="s">
        <v>97</v>
      </c>
      <c r="C43" s="98">
        <v>0.03</v>
      </c>
      <c r="D43" s="98" t="s">
        <v>46</v>
      </c>
    </row>
  </sheetData>
  <conditionalFormatting sqref="AE3:AE29">
    <cfRule type="iconSet" priority="1">
      <iconSet>
        <cfvo type="percent" val="0"/>
        <cfvo type="num" val="0"/>
        <cfvo type="num" val="1"/>
      </iconSet>
    </cfRule>
    <cfRule type="iconSet" priority="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iconSet" priority="3">
      <iconSet iconSet="3Arrows">
        <cfvo type="percent" val="0"/>
        <cfvo type="percent" val="33"/>
        <cfvo type="percent" val="67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3"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DChurrasco"/>
  <dimension ref="A3:B9"/>
  <sheetViews>
    <sheetView workbookViewId="0">
      <selection activeCell="B6" sqref="B6"/>
    </sheetView>
  </sheetViews>
  <sheetFormatPr defaultRowHeight="15" x14ac:dyDescent="0.25"/>
  <cols>
    <col min="1" max="1" width="18" customWidth="1"/>
    <col min="2" max="2" width="18.5703125" bestFit="1" customWidth="1"/>
  </cols>
  <sheetData>
    <row r="3" spans="1:2" x14ac:dyDescent="0.25">
      <c r="A3" s="25" t="s">
        <v>16</v>
      </c>
      <c r="B3" t="s">
        <v>35</v>
      </c>
    </row>
    <row r="4" spans="1:2" x14ac:dyDescent="0.25">
      <c r="A4" s="26" t="s">
        <v>76</v>
      </c>
      <c r="B4" s="62">
        <v>14.3</v>
      </c>
    </row>
    <row r="5" spans="1:2" x14ac:dyDescent="0.25">
      <c r="A5" s="26" t="s">
        <v>3</v>
      </c>
      <c r="B5" s="62">
        <v>111.24</v>
      </c>
    </row>
    <row r="6" spans="1:2" x14ac:dyDescent="0.25">
      <c r="A6" s="26" t="s">
        <v>8</v>
      </c>
      <c r="B6" s="62">
        <v>39</v>
      </c>
    </row>
    <row r="7" spans="1:2" x14ac:dyDescent="0.25">
      <c r="A7" s="26" t="s">
        <v>14</v>
      </c>
      <c r="B7" s="62">
        <v>23</v>
      </c>
    </row>
    <row r="8" spans="1:2" x14ac:dyDescent="0.25">
      <c r="A8" s="26" t="s">
        <v>12</v>
      </c>
      <c r="B8" s="62">
        <v>7.5</v>
      </c>
    </row>
    <row r="9" spans="1:2" x14ac:dyDescent="0.25">
      <c r="A9" s="26" t="s">
        <v>13</v>
      </c>
      <c r="B9" s="62">
        <v>195.04</v>
      </c>
    </row>
  </sheetData>
  <pageMargins left="0.511811024" right="0.511811024" top="0.78740157499999996" bottom="0.78740157499999996" header="0.31496062000000002" footer="0.31496062000000002"/>
  <pageSetup orientation="portrait" horizontalDpi="4294967295" verticalDpi="4294967295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astosChurrasco"/>
  <dimension ref="A1:S30"/>
  <sheetViews>
    <sheetView showGridLines="0" showRowColHeaders="0" zoomScaleNormal="100" workbookViewId="0"/>
  </sheetViews>
  <sheetFormatPr defaultRowHeight="10.5" customHeight="1" x14ac:dyDescent="0.25"/>
  <cols>
    <col min="1" max="1" width="0.85546875" style="63" customWidth="1"/>
    <col min="2" max="2" width="6.7109375" style="63" customWidth="1"/>
    <col min="3" max="3" width="18.5703125" style="63" customWidth="1"/>
    <col min="4" max="4" width="11.28515625" style="63" customWidth="1"/>
    <col min="5" max="5" width="9.140625" style="63"/>
    <col min="6" max="6" width="5.7109375" style="63" customWidth="1"/>
    <col min="7" max="7" width="9.7109375" style="63" customWidth="1"/>
    <col min="8" max="8" width="13.85546875" style="63" customWidth="1"/>
    <col min="9" max="9" width="11.140625" style="63" customWidth="1"/>
    <col min="10" max="10" width="2.7109375" style="63" customWidth="1"/>
    <col min="11" max="16384" width="9.140625" style="63"/>
  </cols>
  <sheetData>
    <row r="1" spans="1:16" s="73" customFormat="1" ht="15" customHeight="1" x14ac:dyDescent="0.15">
      <c r="C1" s="74"/>
      <c r="J1" s="75"/>
    </row>
    <row r="2" spans="1:16" s="73" customFormat="1" ht="15" customHeight="1" x14ac:dyDescent="0.15">
      <c r="C2" s="74"/>
      <c r="J2" s="75"/>
    </row>
    <row r="3" spans="1:16" s="73" customFormat="1" ht="15" customHeight="1" x14ac:dyDescent="0.15">
      <c r="C3" s="74"/>
      <c r="J3" s="75"/>
    </row>
    <row r="4" spans="1:16" s="73" customFormat="1" ht="15" customHeight="1" x14ac:dyDescent="0.15">
      <c r="C4" s="74"/>
      <c r="J4" s="75"/>
    </row>
    <row r="5" spans="1:16" s="73" customFormat="1" ht="15" customHeight="1" x14ac:dyDescent="0.15">
      <c r="A5" s="76"/>
      <c r="B5" s="77"/>
      <c r="C5" s="77"/>
      <c r="D5" s="169"/>
      <c r="E5" s="169"/>
      <c r="F5" s="169"/>
      <c r="G5" s="169"/>
      <c r="H5" s="169"/>
      <c r="I5" s="169"/>
      <c r="J5" s="169"/>
      <c r="K5" s="77"/>
      <c r="L5" s="77"/>
      <c r="M5" s="77"/>
      <c r="N5" s="77"/>
      <c r="O5" s="77"/>
      <c r="P5" s="78"/>
    </row>
    <row r="6" spans="1:16" s="73" customFormat="1" ht="15" customHeight="1" x14ac:dyDescent="0.15">
      <c r="A6" s="76"/>
      <c r="B6" s="77"/>
      <c r="C6" s="77"/>
      <c r="D6" s="170"/>
      <c r="E6" s="170"/>
      <c r="F6" s="170"/>
      <c r="G6" s="170"/>
      <c r="H6" s="170"/>
      <c r="I6" s="170"/>
      <c r="J6" s="170"/>
      <c r="K6" s="77"/>
      <c r="L6" s="77"/>
      <c r="M6" s="77"/>
      <c r="N6" s="77"/>
      <c r="O6" s="77"/>
      <c r="P6" s="78"/>
    </row>
    <row r="7" spans="1:16" s="73" customFormat="1" ht="15" customHeight="1" x14ac:dyDescent="0.15">
      <c r="A7" s="76"/>
      <c r="B7" s="77"/>
      <c r="C7" s="77"/>
      <c r="D7" s="170"/>
      <c r="E7" s="170"/>
      <c r="F7" s="170"/>
      <c r="G7" s="170"/>
      <c r="H7" s="170"/>
      <c r="I7" s="170"/>
      <c r="J7" s="170"/>
      <c r="K7" s="77"/>
      <c r="L7" s="77"/>
      <c r="M7" s="77"/>
      <c r="N7" s="77"/>
      <c r="O7" s="77"/>
      <c r="P7" s="78"/>
    </row>
    <row r="8" spans="1:16" s="73" customFormat="1" ht="24" customHeight="1" x14ac:dyDescent="0.15">
      <c r="C8" s="74"/>
      <c r="J8" s="75"/>
    </row>
    <row r="9" spans="1:16" s="79" customFormat="1" ht="15.95" customHeight="1" x14ac:dyDescent="0.25">
      <c r="J9" s="75"/>
    </row>
    <row r="10" spans="1:16" s="79" customFormat="1" ht="15.95" customHeight="1" x14ac:dyDescent="0.25">
      <c r="J10" s="80"/>
    </row>
    <row r="11" spans="1:16" s="79" customFormat="1" ht="15.95" customHeight="1" x14ac:dyDescent="0.25">
      <c r="J11" s="80"/>
    </row>
    <row r="12" spans="1:16" s="79" customFormat="1" ht="15.95" customHeight="1" x14ac:dyDescent="0.25">
      <c r="J12" s="80"/>
    </row>
    <row r="13" spans="1:16" s="79" customFormat="1" ht="10.5" customHeight="1" x14ac:dyDescent="0.25">
      <c r="J13" s="80"/>
    </row>
    <row r="14" spans="1:16" s="79" customFormat="1" ht="10.5" customHeight="1" x14ac:dyDescent="0.25">
      <c r="J14" s="80"/>
    </row>
    <row r="15" spans="1:16" s="79" customFormat="1" ht="10.5" customHeight="1" x14ac:dyDescent="0.25">
      <c r="J15" s="80"/>
    </row>
    <row r="16" spans="1:16" s="79" customFormat="1" ht="10.5" customHeight="1" x14ac:dyDescent="0.25">
      <c r="J16" s="80"/>
    </row>
    <row r="17" spans="10:19" s="79" customFormat="1" ht="10.5" customHeight="1" x14ac:dyDescent="0.25">
      <c r="J17" s="80"/>
    </row>
    <row r="18" spans="10:19" s="79" customFormat="1" ht="10.5" customHeight="1" x14ac:dyDescent="0.25">
      <c r="J18" s="80"/>
    </row>
    <row r="19" spans="10:19" s="79" customFormat="1" ht="10.5" customHeight="1" x14ac:dyDescent="0.25">
      <c r="J19" s="80"/>
    </row>
    <row r="20" spans="10:19" s="73" customFormat="1" ht="10.5" customHeight="1" x14ac:dyDescent="0.15">
      <c r="J20" s="80"/>
    </row>
    <row r="21" spans="10:19" s="73" customFormat="1" ht="10.5" customHeight="1" x14ac:dyDescent="0.15">
      <c r="J21" s="80"/>
    </row>
    <row r="22" spans="10:19" s="73" customFormat="1" ht="10.5" customHeight="1" x14ac:dyDescent="0.15">
      <c r="J22" s="80"/>
    </row>
    <row r="23" spans="10:19" s="73" customFormat="1" ht="10.5" customHeight="1" x14ac:dyDescent="0.15">
      <c r="J23" s="80"/>
    </row>
    <row r="24" spans="10:19" s="73" customFormat="1" ht="10.5" customHeight="1" x14ac:dyDescent="0.15">
      <c r="J24" s="80"/>
      <c r="N24" s="171" t="s">
        <v>103</v>
      </c>
      <c r="O24" s="171"/>
      <c r="P24" s="171"/>
      <c r="Q24" s="171"/>
      <c r="R24" s="171"/>
      <c r="S24" s="171"/>
    </row>
    <row r="25" spans="10:19" s="73" customFormat="1" ht="10.5" customHeight="1" x14ac:dyDescent="0.15">
      <c r="J25" s="80"/>
      <c r="N25" s="171"/>
      <c r="O25" s="171"/>
      <c r="P25" s="171"/>
      <c r="Q25" s="171"/>
      <c r="R25" s="171"/>
      <c r="S25" s="171"/>
    </row>
    <row r="26" spans="10:19" s="73" customFormat="1" ht="10.5" customHeight="1" x14ac:dyDescent="0.15">
      <c r="J26" s="80"/>
    </row>
    <row r="27" spans="10:19" s="73" customFormat="1" ht="10.5" customHeight="1" x14ac:dyDescent="0.15">
      <c r="J27" s="80"/>
    </row>
    <row r="28" spans="10:19" s="73" customFormat="1" ht="10.5" customHeight="1" x14ac:dyDescent="0.15">
      <c r="J28" s="80"/>
    </row>
    <row r="29" spans="10:19" s="73" customFormat="1" ht="10.5" customHeight="1" x14ac:dyDescent="0.15">
      <c r="J29" s="80"/>
    </row>
    <row r="30" spans="10:19" s="73" customFormat="1" ht="10.5" customHeight="1" x14ac:dyDescent="0.15">
      <c r="J30" s="80"/>
    </row>
  </sheetData>
  <sheetProtection autoFilter="0" pivotTables="0"/>
  <mergeCells count="2">
    <mergeCell ref="D5:J7"/>
    <mergeCell ref="N24:S25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obre"/>
  <dimension ref="A1:V37"/>
  <sheetViews>
    <sheetView showGridLines="0" showRowColHeaders="0" zoomScaleNormal="100" workbookViewId="0"/>
  </sheetViews>
  <sheetFormatPr defaultColWidth="9.140625" defaultRowHeight="20.100000000000001" customHeight="1" zeroHeight="1" x14ac:dyDescent="0.25"/>
  <cols>
    <col min="1" max="2" width="9.140625" style="27" customWidth="1"/>
    <col min="3" max="3" width="19.42578125" style="27" customWidth="1"/>
    <col min="4" max="4" width="5.28515625" style="27" customWidth="1"/>
    <col min="5" max="14" width="9.140625" style="27" customWidth="1"/>
    <col min="15" max="15" width="6.5703125" style="27" customWidth="1"/>
    <col min="16" max="16" width="6.28515625" style="27" customWidth="1"/>
    <col min="17" max="21" width="9.140625" style="27" customWidth="1"/>
    <col min="22" max="16384" width="9.140625" style="27"/>
  </cols>
  <sheetData>
    <row r="1" spans="1:22" ht="20.100000000000001" customHeight="1" x14ac:dyDescent="0.25">
      <c r="A1" s="124"/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124"/>
    </row>
    <row r="2" spans="1:22" ht="20.100000000000001" customHeight="1" x14ac:dyDescent="0.25">
      <c r="A2" s="124"/>
      <c r="B2" s="124"/>
      <c r="C2" s="124"/>
      <c r="D2" s="124"/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  <c r="T2" s="124"/>
      <c r="U2" s="124"/>
      <c r="V2" s="124"/>
    </row>
    <row r="3" spans="1:22" ht="20.100000000000001" customHeight="1" x14ac:dyDescent="0.25">
      <c r="A3" s="124"/>
      <c r="B3" s="124"/>
      <c r="C3" s="124"/>
      <c r="D3" s="124"/>
      <c r="E3" s="124"/>
      <c r="F3" s="124"/>
      <c r="G3" s="124"/>
      <c r="H3" s="124"/>
      <c r="I3" s="124"/>
      <c r="J3" s="124"/>
      <c r="K3" s="124"/>
      <c r="L3" s="124"/>
      <c r="M3" s="124"/>
      <c r="N3" s="124"/>
      <c r="O3" s="124"/>
      <c r="P3" s="124"/>
      <c r="Q3" s="124"/>
      <c r="R3" s="124"/>
      <c r="S3" s="124"/>
      <c r="T3" s="124"/>
      <c r="U3" s="124"/>
      <c r="V3" s="124"/>
    </row>
    <row r="4" spans="1:22" ht="20.100000000000001" customHeight="1" x14ac:dyDescent="0.25">
      <c r="A4" s="124"/>
      <c r="B4" s="124"/>
      <c r="C4" s="124"/>
      <c r="D4" s="124"/>
      <c r="E4" s="124"/>
      <c r="F4" s="124"/>
      <c r="G4" s="124"/>
      <c r="H4" s="124"/>
      <c r="I4" s="124"/>
      <c r="J4" s="124"/>
      <c r="K4" s="124"/>
      <c r="L4" s="124"/>
      <c r="M4" s="124"/>
      <c r="N4" s="124"/>
      <c r="O4" s="124"/>
      <c r="P4" s="124"/>
      <c r="Q4" s="124"/>
      <c r="R4" s="124"/>
      <c r="S4" s="124"/>
      <c r="T4" s="124"/>
      <c r="U4" s="124"/>
      <c r="V4" s="124"/>
    </row>
    <row r="5" spans="1:22" ht="20.100000000000001" customHeight="1" x14ac:dyDescent="0.25">
      <c r="A5" s="124"/>
      <c r="B5" s="124"/>
      <c r="C5" s="124"/>
      <c r="D5" s="124"/>
      <c r="E5" s="124"/>
      <c r="F5" s="124"/>
      <c r="G5" s="124"/>
      <c r="H5" s="124"/>
      <c r="I5" s="124"/>
      <c r="J5" s="124"/>
      <c r="K5" s="124"/>
      <c r="L5" s="124"/>
      <c r="M5" s="124"/>
      <c r="N5" s="124"/>
      <c r="O5" s="124"/>
      <c r="P5" s="124"/>
      <c r="Q5" s="124"/>
      <c r="R5" s="124"/>
      <c r="S5" s="124"/>
      <c r="T5" s="124"/>
      <c r="U5" s="124"/>
      <c r="V5" s="124"/>
    </row>
    <row r="6" spans="1:22" ht="20.100000000000001" customHeight="1" x14ac:dyDescent="0.25">
      <c r="A6" s="124"/>
      <c r="B6" s="124"/>
      <c r="C6" s="124"/>
      <c r="D6" s="124"/>
      <c r="E6" s="124"/>
      <c r="F6" s="124"/>
      <c r="G6" s="124"/>
      <c r="H6" s="124"/>
      <c r="I6" s="124"/>
      <c r="J6" s="124"/>
      <c r="K6" s="124"/>
      <c r="L6" s="124"/>
      <c r="M6" s="124"/>
      <c r="N6" s="124"/>
      <c r="O6" s="124"/>
      <c r="P6" s="124"/>
      <c r="Q6" s="124"/>
      <c r="R6" s="124"/>
      <c r="S6" s="124"/>
      <c r="T6" s="124"/>
      <c r="U6" s="124"/>
      <c r="V6" s="124"/>
    </row>
    <row r="7" spans="1:22" ht="20.100000000000001" customHeight="1" x14ac:dyDescent="0.25">
      <c r="A7" s="124"/>
      <c r="B7" s="124"/>
      <c r="C7" s="124"/>
      <c r="D7" s="124"/>
      <c r="E7" s="124"/>
      <c r="F7" s="124"/>
      <c r="G7" s="124"/>
      <c r="H7" s="124"/>
      <c r="I7" s="124"/>
      <c r="J7" s="124"/>
      <c r="K7" s="124"/>
      <c r="L7" s="124"/>
      <c r="M7" s="124"/>
      <c r="N7" s="124"/>
      <c r="O7" s="124"/>
      <c r="P7" s="124"/>
      <c r="Q7" s="124"/>
      <c r="R7" s="124"/>
      <c r="S7" s="124"/>
      <c r="T7" s="124"/>
      <c r="U7" s="124"/>
      <c r="V7" s="124"/>
    </row>
    <row r="8" spans="1:22" ht="20.100000000000001" customHeight="1" x14ac:dyDescent="0.25">
      <c r="A8" s="124"/>
      <c r="B8" s="124"/>
      <c r="C8" s="124"/>
      <c r="D8" s="124"/>
      <c r="E8" s="124"/>
      <c r="F8" s="124"/>
      <c r="G8" s="124"/>
      <c r="H8" s="124"/>
      <c r="I8" s="124"/>
      <c r="J8" s="124"/>
      <c r="K8" s="124"/>
      <c r="L8" s="124"/>
      <c r="M8" s="124"/>
      <c r="N8" s="124"/>
      <c r="O8" s="124"/>
      <c r="P8" s="124"/>
      <c r="Q8" s="124"/>
      <c r="R8" s="124"/>
      <c r="S8" s="124"/>
      <c r="T8" s="124"/>
      <c r="U8" s="124"/>
      <c r="V8" s="124"/>
    </row>
    <row r="9" spans="1:22" ht="20.100000000000001" customHeight="1" x14ac:dyDescent="0.25">
      <c r="A9" s="124"/>
      <c r="B9" s="124"/>
      <c r="C9" s="124"/>
      <c r="D9" s="124"/>
      <c r="E9" s="124"/>
      <c r="F9" s="124"/>
      <c r="G9" s="124"/>
      <c r="H9" s="124"/>
      <c r="I9" s="124"/>
      <c r="J9" s="124"/>
      <c r="K9" s="124"/>
      <c r="L9" s="124"/>
      <c r="M9" s="124"/>
      <c r="N9" s="124"/>
      <c r="O9" s="124"/>
      <c r="P9" s="124"/>
      <c r="Q9" s="124"/>
      <c r="R9" s="124"/>
      <c r="S9" s="124"/>
      <c r="T9" s="124"/>
      <c r="U9" s="124"/>
      <c r="V9" s="124"/>
    </row>
    <row r="10" spans="1:22" ht="20.100000000000001" customHeight="1" x14ac:dyDescent="0.25">
      <c r="A10" s="124"/>
      <c r="B10" s="124"/>
      <c r="C10" s="124"/>
      <c r="D10" s="124"/>
      <c r="E10" s="124"/>
      <c r="F10" s="124"/>
      <c r="G10" s="124"/>
      <c r="H10" s="124"/>
      <c r="I10" s="124"/>
      <c r="J10" s="124"/>
      <c r="K10" s="124"/>
      <c r="L10" s="124"/>
      <c r="M10" s="124"/>
      <c r="N10" s="124"/>
      <c r="O10" s="124"/>
      <c r="P10" s="124"/>
      <c r="Q10" s="124"/>
      <c r="R10" s="124"/>
      <c r="S10" s="124"/>
      <c r="T10" s="124"/>
      <c r="U10" s="124"/>
      <c r="V10" s="124"/>
    </row>
    <row r="11" spans="1:22" ht="20.100000000000001" customHeight="1" x14ac:dyDescent="0.25">
      <c r="A11" s="124"/>
      <c r="B11" s="124"/>
      <c r="C11" s="124"/>
      <c r="D11" s="124"/>
      <c r="E11" s="124"/>
      <c r="F11" s="124"/>
      <c r="G11" s="124"/>
      <c r="H11" s="124"/>
      <c r="I11" s="124"/>
      <c r="J11" s="124"/>
      <c r="K11" s="124"/>
      <c r="L11" s="124"/>
      <c r="M11" s="124"/>
      <c r="N11" s="124"/>
      <c r="O11" s="124"/>
      <c r="P11" s="124"/>
      <c r="Q11" s="124"/>
      <c r="R11" s="124"/>
      <c r="S11" s="124"/>
      <c r="T11" s="124"/>
      <c r="U11" s="124"/>
      <c r="V11" s="124"/>
    </row>
    <row r="12" spans="1:22" ht="20.100000000000001" customHeight="1" x14ac:dyDescent="0.25">
      <c r="A12" s="124"/>
      <c r="B12" s="124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</row>
    <row r="13" spans="1:22" ht="20.100000000000001" customHeight="1" x14ac:dyDescent="0.25">
      <c r="A13" s="124"/>
      <c r="B13" s="124"/>
      <c r="C13" s="124"/>
      <c r="D13" s="124"/>
      <c r="E13" s="124"/>
      <c r="F13" s="124"/>
      <c r="G13" s="124"/>
      <c r="H13" s="124"/>
      <c r="I13" s="124"/>
      <c r="J13" s="124"/>
      <c r="K13" s="124"/>
      <c r="L13" s="124"/>
      <c r="M13" s="124"/>
      <c r="N13" s="124"/>
      <c r="O13" s="124"/>
      <c r="P13" s="124"/>
      <c r="Q13" s="124"/>
      <c r="R13" s="124"/>
      <c r="S13" s="124"/>
      <c r="T13" s="124"/>
      <c r="U13" s="124"/>
      <c r="V13" s="124"/>
    </row>
    <row r="14" spans="1:22" ht="20.100000000000001" customHeight="1" x14ac:dyDescent="0.25">
      <c r="A14" s="124"/>
      <c r="B14" s="124"/>
      <c r="C14" s="124"/>
      <c r="D14" s="124"/>
      <c r="E14" s="124"/>
      <c r="F14" s="124"/>
      <c r="G14" s="124"/>
      <c r="H14" s="124"/>
      <c r="I14" s="124"/>
      <c r="J14" s="124"/>
      <c r="K14" s="124"/>
      <c r="L14" s="124"/>
      <c r="M14" s="124"/>
      <c r="N14" s="124"/>
      <c r="O14" s="124"/>
      <c r="P14" s="124"/>
      <c r="Q14" s="124"/>
      <c r="R14" s="124"/>
      <c r="S14" s="124"/>
      <c r="T14" s="124"/>
      <c r="U14" s="124"/>
      <c r="V14" s="124"/>
    </row>
    <row r="15" spans="1:22" ht="20.100000000000001" customHeight="1" x14ac:dyDescent="0.25">
      <c r="A15" s="124"/>
      <c r="B15" s="124"/>
      <c r="C15" s="124"/>
      <c r="D15" s="124"/>
      <c r="E15" s="124"/>
      <c r="F15" s="124"/>
      <c r="G15" s="124"/>
      <c r="H15" s="124"/>
      <c r="I15" s="124"/>
      <c r="J15" s="124"/>
      <c r="K15" s="124"/>
      <c r="L15" s="124"/>
      <c r="M15" s="124"/>
      <c r="N15" s="124"/>
      <c r="O15" s="124"/>
      <c r="P15" s="124"/>
      <c r="Q15" s="124"/>
      <c r="R15" s="124"/>
      <c r="S15" s="124"/>
      <c r="T15" s="124"/>
      <c r="U15" s="124"/>
      <c r="V15" s="124"/>
    </row>
    <row r="16" spans="1:22" ht="20.100000000000001" customHeight="1" x14ac:dyDescent="0.25">
      <c r="A16" s="124"/>
      <c r="B16" s="124"/>
      <c r="C16" s="124"/>
      <c r="D16" s="124"/>
      <c r="E16" s="124"/>
      <c r="F16" s="124"/>
      <c r="G16" s="124"/>
      <c r="H16" s="124"/>
      <c r="I16" s="124"/>
      <c r="J16" s="124"/>
      <c r="K16" s="124"/>
      <c r="L16" s="124"/>
      <c r="M16" s="124"/>
      <c r="N16" s="124"/>
      <c r="O16" s="124"/>
      <c r="P16" s="124"/>
      <c r="Q16" s="124"/>
      <c r="R16" s="124"/>
      <c r="S16" s="124"/>
      <c r="T16" s="124"/>
      <c r="U16" s="124"/>
      <c r="V16" s="124"/>
    </row>
    <row r="17" spans="1:22" ht="20.100000000000001" customHeight="1" x14ac:dyDescent="0.25">
      <c r="A17" s="124"/>
      <c r="B17" s="124"/>
      <c r="C17" s="124"/>
      <c r="D17" s="124"/>
      <c r="E17" s="124"/>
      <c r="F17" s="124"/>
      <c r="G17" s="124"/>
      <c r="H17" s="124"/>
      <c r="I17" s="124"/>
      <c r="J17" s="124"/>
      <c r="K17" s="124"/>
      <c r="L17" s="124"/>
      <c r="M17" s="124"/>
      <c r="N17" s="124"/>
      <c r="O17" s="124"/>
      <c r="P17" s="124"/>
      <c r="Q17" s="124"/>
      <c r="R17" s="124"/>
      <c r="S17" s="124"/>
      <c r="T17" s="124"/>
      <c r="U17" s="124"/>
      <c r="V17" s="124"/>
    </row>
    <row r="18" spans="1:22" ht="20.100000000000001" customHeight="1" x14ac:dyDescent="0.25">
      <c r="A18" s="124"/>
      <c r="B18" s="124"/>
      <c r="C18" s="124"/>
      <c r="D18" s="124"/>
      <c r="E18" s="124"/>
      <c r="F18" s="124"/>
      <c r="G18" s="124"/>
      <c r="H18" s="124"/>
      <c r="I18" s="124"/>
      <c r="J18" s="124"/>
      <c r="K18" s="124"/>
      <c r="L18" s="124"/>
      <c r="M18" s="124"/>
      <c r="N18" s="124"/>
      <c r="O18" s="124"/>
      <c r="P18" s="124"/>
      <c r="Q18" s="124"/>
      <c r="R18" s="124"/>
      <c r="S18" s="124"/>
      <c r="T18" s="124"/>
      <c r="U18" s="124"/>
      <c r="V18" s="124"/>
    </row>
    <row r="19" spans="1:22" ht="20.100000000000001" customHeight="1" x14ac:dyDescent="0.25">
      <c r="A19" s="124"/>
      <c r="B19" s="124"/>
      <c r="C19" s="124"/>
      <c r="D19" s="124"/>
      <c r="E19" s="124"/>
      <c r="F19" s="124"/>
      <c r="G19" s="124"/>
      <c r="H19" s="124"/>
      <c r="I19" s="124"/>
      <c r="J19" s="124"/>
      <c r="K19" s="124"/>
      <c r="L19" s="124"/>
      <c r="M19" s="124"/>
      <c r="N19" s="124"/>
      <c r="O19" s="124"/>
      <c r="P19" s="124"/>
      <c r="Q19" s="124"/>
      <c r="R19" s="124"/>
      <c r="S19" s="124"/>
      <c r="T19" s="124"/>
      <c r="U19" s="124"/>
      <c r="V19" s="124"/>
    </row>
    <row r="20" spans="1:22" ht="20.100000000000001" customHeight="1" x14ac:dyDescent="0.25">
      <c r="A20" s="124"/>
      <c r="B20" s="124"/>
      <c r="C20" s="124"/>
      <c r="D20" s="124"/>
      <c r="E20" s="124"/>
      <c r="F20" s="124"/>
      <c r="G20" s="124"/>
      <c r="H20" s="124"/>
      <c r="I20" s="124"/>
      <c r="J20" s="124"/>
      <c r="K20" s="124"/>
      <c r="L20" s="124"/>
      <c r="M20" s="124"/>
      <c r="N20" s="124"/>
      <c r="O20" s="124"/>
      <c r="P20" s="124"/>
      <c r="Q20" s="124"/>
      <c r="R20" s="124"/>
      <c r="S20" s="124"/>
      <c r="T20" s="124"/>
      <c r="U20" s="124"/>
      <c r="V20" s="124"/>
    </row>
    <row r="21" spans="1:22" ht="20.100000000000001" customHeight="1" x14ac:dyDescent="0.25">
      <c r="A21" s="124"/>
      <c r="B21" s="124"/>
      <c r="C21" s="124"/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</row>
    <row r="22" spans="1:22" ht="20.100000000000001" customHeight="1" x14ac:dyDescent="0.25">
      <c r="A22" s="124"/>
      <c r="B22" s="124"/>
      <c r="C22" s="124"/>
      <c r="D22" s="124"/>
      <c r="E22" s="124"/>
      <c r="F22" s="124"/>
      <c r="G22" s="124"/>
      <c r="H22" s="124"/>
      <c r="I22" s="124"/>
      <c r="J22" s="124"/>
      <c r="K22" s="124"/>
      <c r="L22" s="124"/>
      <c r="M22" s="124"/>
      <c r="N22" s="124"/>
      <c r="O22" s="124"/>
      <c r="P22" s="124"/>
      <c r="Q22" s="124"/>
      <c r="R22" s="124"/>
      <c r="S22" s="124"/>
      <c r="T22" s="124"/>
      <c r="U22" s="124"/>
      <c r="V22" s="124"/>
    </row>
    <row r="23" spans="1:22" ht="20.100000000000001" customHeight="1" x14ac:dyDescent="0.25">
      <c r="A23" s="124"/>
      <c r="B23" s="124"/>
      <c r="C23" s="124"/>
      <c r="D23" s="124"/>
      <c r="E23" s="124"/>
      <c r="F23" s="124"/>
      <c r="G23" s="124"/>
      <c r="H23"/>
      <c r="I23" s="124"/>
      <c r="J23" s="124"/>
      <c r="K23" s="124"/>
      <c r="L23" s="124"/>
      <c r="M23" s="124"/>
      <c r="N23" s="124"/>
      <c r="O23" s="124"/>
      <c r="P23" s="124"/>
      <c r="Q23" s="124"/>
      <c r="R23" s="124"/>
      <c r="S23" s="124"/>
      <c r="T23" s="124"/>
      <c r="U23" s="124"/>
      <c r="V23" s="124"/>
    </row>
    <row r="24" spans="1:22" ht="19.5" customHeight="1" x14ac:dyDescent="0.25">
      <c r="A24" s="124"/>
      <c r="B24" s="124"/>
      <c r="C24" s="124"/>
      <c r="D24" s="124"/>
      <c r="E24" s="124"/>
      <c r="F24" s="124"/>
      <c r="G24" s="124"/>
      <c r="H24" s="124"/>
      <c r="I24" s="124"/>
      <c r="J24" s="124"/>
      <c r="K24" s="124"/>
      <c r="L24" s="124"/>
      <c r="M24" s="124"/>
      <c r="N24" s="124"/>
      <c r="O24" s="124"/>
      <c r="P24" s="124"/>
      <c r="Q24" s="124"/>
      <c r="R24" s="124"/>
      <c r="S24" s="124"/>
      <c r="T24" s="124"/>
      <c r="U24" s="124"/>
      <c r="V24" s="124"/>
    </row>
    <row r="25" spans="1:22" ht="20.100000000000001" customHeight="1" x14ac:dyDescent="0.25">
      <c r="A25" s="124"/>
      <c r="B25" s="124"/>
      <c r="C25" s="124"/>
      <c r="D25" s="124"/>
      <c r="E25" s="124"/>
      <c r="F25" s="124"/>
      <c r="G25" s="124"/>
      <c r="H25" s="124"/>
      <c r="I25" s="124"/>
      <c r="J25" s="124"/>
      <c r="K25" s="124"/>
      <c r="L25" s="124"/>
      <c r="M25" s="124"/>
      <c r="N25" s="124"/>
      <c r="O25" s="124"/>
      <c r="P25" s="124"/>
      <c r="Q25" s="124"/>
      <c r="R25" s="124"/>
      <c r="S25" s="124"/>
      <c r="T25" s="124"/>
      <c r="U25" s="124"/>
      <c r="V25" s="124"/>
    </row>
    <row r="26" spans="1:22" ht="20.100000000000001" customHeight="1" x14ac:dyDescent="0.25">
      <c r="A26" s="124"/>
      <c r="B26" s="124"/>
      <c r="C26" s="124"/>
      <c r="D26" s="124"/>
      <c r="E26" s="124"/>
      <c r="F26" s="124"/>
      <c r="G26" s="124"/>
      <c r="H26" s="124"/>
      <c r="I26" s="124"/>
      <c r="J26" s="124"/>
      <c r="K26" s="124"/>
      <c r="L26" s="124"/>
      <c r="M26" s="124"/>
      <c r="N26" s="124"/>
      <c r="O26" s="124"/>
      <c r="P26" s="124"/>
      <c r="Q26" s="124"/>
      <c r="R26" s="124"/>
      <c r="S26" s="124"/>
      <c r="T26" s="124"/>
      <c r="U26" s="124"/>
      <c r="V26" s="124"/>
    </row>
    <row r="27" spans="1:22" ht="20.100000000000001" customHeight="1" x14ac:dyDescent="0.25">
      <c r="A27" s="124"/>
      <c r="B27" s="124"/>
      <c r="C27" s="124"/>
      <c r="D27" s="124"/>
      <c r="E27" s="124"/>
      <c r="F27" s="124"/>
      <c r="G27" s="124"/>
      <c r="H27" s="124"/>
      <c r="I27" s="124"/>
      <c r="J27" s="124"/>
      <c r="K27" s="124"/>
      <c r="L27" s="124"/>
      <c r="M27" s="124"/>
      <c r="N27" s="124"/>
      <c r="O27" s="124"/>
      <c r="P27" s="124"/>
      <c r="Q27" s="124"/>
      <c r="R27" s="124"/>
      <c r="S27" s="124"/>
      <c r="T27" s="124"/>
      <c r="U27" s="124"/>
      <c r="V27" s="124"/>
    </row>
    <row r="28" spans="1:22" ht="20.100000000000001" hidden="1" customHeight="1" x14ac:dyDescent="0.25"/>
    <row r="29" spans="1:22" ht="20.100000000000001" hidden="1" customHeight="1" x14ac:dyDescent="0.25"/>
    <row r="30" spans="1:22" ht="20.100000000000001" hidden="1" customHeight="1" x14ac:dyDescent="0.25"/>
    <row r="31" spans="1:22" ht="20.100000000000001" hidden="1" customHeight="1" x14ac:dyDescent="0.25"/>
    <row r="32" spans="1:22" ht="20.100000000000001" hidden="1" customHeight="1" x14ac:dyDescent="0.25"/>
    <row r="33" ht="20.100000000000001" hidden="1" customHeight="1" x14ac:dyDescent="0.25"/>
    <row r="34" ht="20.100000000000001" hidden="1" customHeight="1" x14ac:dyDescent="0.25"/>
    <row r="35" ht="20.100000000000001" hidden="1" customHeight="1" x14ac:dyDescent="0.25"/>
    <row r="36" ht="20.100000000000001" hidden="1" customHeight="1" x14ac:dyDescent="0.25"/>
    <row r="37" ht="20.100000000000001" hidden="1" customHeight="1" x14ac:dyDescent="0.25"/>
  </sheetData>
  <sheetProtection password="FCD6" sheet="1" objects="1" scenarios="1"/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TemplateFile" ma:contentTypeID="0x01010062057737089D604C8995D725789FFFFD0400C05BDBFCDB0BE84BA6AEC1D1A4F5E4CE" ma:contentTypeVersion="56" ma:contentTypeDescription="Create a new document." ma:contentTypeScope="" ma:versionID="c5c786f17e9890b7d2875e0bb647f603">
  <xsd:schema xmlns:xsd="http://www.w3.org/2001/XMLSchema" xmlns:xs="http://www.w3.org/2001/XMLSchema" xmlns:p="http://schemas.microsoft.com/office/2006/metadata/properties" xmlns:ns2="e5d022ff-4ce9-4922-b5a4-f245e35e2aac" targetNamespace="http://schemas.microsoft.com/office/2006/metadata/properties" ma:root="true" ma:fieldsID="3dddc4782ba87b44f6678511fd2b89e9" ns2:_="">
    <xsd:import namespace="e5d022ff-4ce9-4922-b5a4-f245e35e2aac"/>
    <xsd:element name="properties">
      <xsd:complexType>
        <xsd:sequence>
          <xsd:element name="documentManagement">
            <xsd:complexType>
              <xsd:all>
                <xsd:element ref="ns2:AcquiredFrom" minOccurs="0"/>
                <xsd:element ref="ns2:UACurrentWords" minOccurs="0"/>
                <xsd:element ref="ns2:TPApplication" minOccurs="0"/>
                <xsd:element ref="ns2:ApprovalLog" minOccurs="0"/>
                <xsd:element ref="ns2:ApprovalStatus" minOccurs="0"/>
                <xsd:element ref="ns2:AssetStart" minOccurs="0"/>
                <xsd:element ref="ns2:AssetExpire" minOccurs="0"/>
                <xsd:element ref="ns2:AssetId" minOccurs="0"/>
                <xsd:element ref="ns2:IsSearchable" minOccurs="0"/>
                <xsd:element ref="ns2:AssetType" minOccurs="0"/>
                <xsd:element ref="ns2:APAuthor" minOccurs="0"/>
                <xsd:element ref="ns2:BlockPublish" minOccurs="0"/>
                <xsd:element ref="ns2:BugNumber" minOccurs="0"/>
                <xsd:element ref="ns2:CampaignTagsTaxHTField0" minOccurs="0"/>
                <xsd:element ref="ns2:TPClientViewer" minOccurs="0"/>
                <xsd:element ref="ns2:ClipArtFilename" minOccurs="0"/>
                <xsd:element ref="ns2:TPCommandLine" minOccurs="0"/>
                <xsd:element ref="ns2:TPComponent" minOccurs="0"/>
                <xsd:element ref="ns2:ContentItem" minOccurs="0"/>
                <xsd:element ref="ns2:CrawlForDependencies" minOccurs="0"/>
                <xsd:element ref="ns2:CSXHash" minOccurs="0"/>
                <xsd:element ref="ns2:CSXSubmissionMarket" minOccurs="0"/>
                <xsd:element ref="ns2:CSXUpdate" minOccurs="0"/>
                <xsd:element ref="ns2:IntlLangReviewDate" minOccurs="0"/>
                <xsd:element ref="ns2:IsDeleted" minOccurs="0"/>
                <xsd:element ref="ns2:APDescription" minOccurs="0"/>
                <xsd:element ref="ns2:DirectSourceMarket" minOccurs="0"/>
                <xsd:element ref="ns2:Downloads" minOccurs="0"/>
                <xsd:element ref="ns2:DSATActionTaken" minOccurs="0"/>
                <xsd:element ref="ns2:APEditor" minOccurs="0"/>
                <xsd:element ref="ns2:EditorialStatus" minOccurs="0"/>
                <xsd:element ref="ns2:EditorialTags" minOccurs="0"/>
                <xsd:element ref="ns2:TPExecutable" minOccurs="0"/>
                <xsd:element ref="ns2:FeatureTagsTaxHTField0" minOccurs="0"/>
                <xsd:element ref="ns2:TPFriendlyName" minOccurs="0"/>
                <xsd:element ref="ns2:FriendlyTitle" minOccurs="0"/>
                <xsd:element ref="ns2:PrimaryImageGen" minOccurs="0"/>
                <xsd:element ref="ns2:HandoffToMSDN" minOccurs="0"/>
                <xsd:element ref="ns2:InProjectListLookup" minOccurs="0"/>
                <xsd:element ref="ns2:TPInstallLocation" minOccurs="0"/>
                <xsd:element ref="ns2:InternalTagsTaxHTField0" minOccurs="0"/>
                <xsd:element ref="ns2:IntlLangReview" minOccurs="0"/>
                <xsd:element ref="ns2:IntlLangReviewer" minOccurs="0"/>
                <xsd:element ref="ns2:MarketSpecific" minOccurs="0"/>
                <xsd:element ref="ns2:LastCompleteVersionLookup" minOccurs="0"/>
                <xsd:element ref="ns2:LastHandOff" minOccurs="0"/>
                <xsd:element ref="ns2:LastModifiedDateTime" minOccurs="0"/>
                <xsd:element ref="ns2:LastPreviewErrorLookup" minOccurs="0"/>
                <xsd:element ref="ns2:LastPreviewResultLookup" minOccurs="0"/>
                <xsd:element ref="ns2:LastPreviewAttemptDateLookup" minOccurs="0"/>
                <xsd:element ref="ns2:LastPreviewedByLookup" minOccurs="0"/>
                <xsd:element ref="ns2:LastPreviewTimeLookup" minOccurs="0"/>
                <xsd:element ref="ns2:LastPreviewVersionLookup" minOccurs="0"/>
                <xsd:element ref="ns2:LastPublishErrorLookup" minOccurs="0"/>
                <xsd:element ref="ns2:LastPublishResultLookup" minOccurs="0"/>
                <xsd:element ref="ns2:LastPublishAttemptDateLookup" minOccurs="0"/>
                <xsd:element ref="ns2:LastPublishedByLookup" minOccurs="0"/>
                <xsd:element ref="ns2:LastPublishTimeLookup" minOccurs="0"/>
                <xsd:element ref="ns2:LastPublishVersionLookup" minOccurs="0"/>
                <xsd:element ref="ns2:TPLaunchHelpLinkType" minOccurs="0"/>
                <xsd:element ref="ns2:LegacyData" minOccurs="0"/>
                <xsd:element ref="ns2:TPLaunchHelpLink" minOccurs="0"/>
                <xsd:element ref="ns2:LocComments" minOccurs="0"/>
                <xsd:element ref="ns2:LocLastLocAttemptVersionLookup" minOccurs="0"/>
                <xsd:element ref="ns2:LocLastLocAttemptVersionTypeLookup" minOccurs="0"/>
                <xsd:element ref="ns2:LocManualTestRequired" minOccurs="0"/>
                <xsd:element ref="ns2:LocMarketGroupTiers2" minOccurs="0"/>
                <xsd:element ref="ns2:LocNewPublishedVersionLookup" minOccurs="0"/>
                <xsd:element ref="ns2:LocOverallHandbackStatusLookup" minOccurs="0"/>
                <xsd:element ref="ns2:LocOverallLocStatusLookup" minOccurs="0"/>
                <xsd:element ref="ns2:LocOverallPreviewStatusLookup" minOccurs="0"/>
                <xsd:element ref="ns2:LocOverallPublishStatusLookup" minOccurs="0"/>
                <xsd:element ref="ns2:IntlLocPriority" minOccurs="0"/>
                <xsd:element ref="ns2:LocProcessedForHandoffsLookup" minOccurs="0"/>
                <xsd:element ref="ns2:LocProcessedForMarketsLookup" minOccurs="0"/>
                <xsd:element ref="ns2:LocPublishedDependentAssetsLookup" minOccurs="0"/>
                <xsd:element ref="ns2:LocPublishedLinkedAssetsLookup" minOccurs="0"/>
                <xsd:element ref="ns2:LocRecommendedHandoff" minOccurs="0"/>
                <xsd:element ref="ns2:LocalizationTagsTaxHTField0" minOccurs="0"/>
                <xsd:element ref="ns2:MachineTranslated" minOccurs="0"/>
                <xsd:element ref="ns2:Manager" minOccurs="0"/>
                <xsd:element ref="ns2:Markets" minOccurs="0"/>
                <xsd:element ref="ns2:Milestone" minOccurs="0"/>
                <xsd:element ref="ns2:TPNamespace" minOccurs="0"/>
                <xsd:element ref="ns2:NumericId" minOccurs="0"/>
                <xsd:element ref="ns2:NumOfRatingsLookup" minOccurs="0"/>
                <xsd:element ref="ns2:OOCacheId" minOccurs="0"/>
                <xsd:element ref="ns2:OpenTemplate" minOccurs="0"/>
                <xsd:element ref="ns2:OriginAsset" minOccurs="0"/>
                <xsd:element ref="ns2:OriginalRelease" minOccurs="0"/>
                <xsd:element ref="ns2:OriginalSourceMarket" minOccurs="0"/>
                <xsd:element ref="ns2:OutputCachingOn" minOccurs="0"/>
                <xsd:element ref="ns2:ParentAssetId" minOccurs="0"/>
                <xsd:element ref="ns2:PlannedPubDate" minOccurs="0"/>
                <xsd:element ref="ns2:PolicheckWords" minOccurs="0"/>
                <xsd:element ref="ns2:BusinessGroup" minOccurs="0"/>
                <xsd:element ref="ns2:UAProjectedTotalWords" minOccurs="0"/>
                <xsd:element ref="ns2:Provider" minOccurs="0"/>
                <xsd:element ref="ns2:Providers" minOccurs="0"/>
                <xsd:element ref="ns2:PublishStatusLookup" minOccurs="0"/>
                <xsd:element ref="ns2:PublishTargets" minOccurs="0"/>
                <xsd:element ref="ns2:RecommendationsModifier" minOccurs="0"/>
                <xsd:element ref="ns2:ArtSampleDocs" minOccurs="0"/>
                <xsd:element ref="ns2:ScenarioTagsTaxHTField0" minOccurs="0"/>
                <xsd:element ref="ns2:ShowIn" minOccurs="0"/>
                <xsd:element ref="ns2:SourceTitle" minOccurs="0"/>
                <xsd:element ref="ns2:CSXSubmissionDate" minOccurs="0"/>
                <xsd:element ref="ns2:SubmitterId" minOccurs="0"/>
                <xsd:element ref="ns2:TaxCatchAll" minOccurs="0"/>
                <xsd:element ref="ns2:TaxCatchAllLabel" minOccurs="0"/>
                <xsd:element ref="ns2:TemplateStatus" minOccurs="0"/>
                <xsd:element ref="ns2:TemplateTemplateType" minOccurs="0"/>
                <xsd:element ref="ns2:ThumbnailAssetId" minOccurs="0"/>
                <xsd:element ref="ns2:TimesCloned" minOccurs="0"/>
                <xsd:element ref="ns2:TrustLevel" minOccurs="0"/>
                <xsd:element ref="ns2:UALocComments" minOccurs="0"/>
                <xsd:element ref="ns2:UALocRecommendation" minOccurs="0"/>
                <xsd:element ref="ns2:UANotes" minOccurs="0"/>
                <xsd:element ref="ns2:TPAppVersion" minOccurs="0"/>
                <xsd:element ref="ns2:VoteCoun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d022ff-4ce9-4922-b5a4-f245e35e2aac" elementFormDefault="qualified">
    <xsd:import namespace="http://schemas.microsoft.com/office/2006/documentManagement/types"/>
    <xsd:import namespace="http://schemas.microsoft.com/office/infopath/2007/PartnerControls"/>
    <xsd:element name="AcquiredFrom" ma:index="1" nillable="true" ma:displayName="Acquired From" ma:default="Internal MS" ma:internalName="AcquiredFrom" ma:readOnly="false">
      <xsd:simpleType>
        <xsd:restriction base="dms:Choice">
          <xsd:enumeration value="Internal MS"/>
          <xsd:enumeration value="Community"/>
          <xsd:enumeration value="MVP"/>
          <xsd:enumeration value="Publisher"/>
          <xsd:enumeration value="Partner"/>
          <xsd:enumeration value="None"/>
        </xsd:restriction>
      </xsd:simpleType>
    </xsd:element>
    <xsd:element name="UACurrentWords" ma:index="2" nillable="true" ma:displayName="Actual Word Count" ma:default="" ma:internalName="UACurrentWords" ma:readOnly="false">
      <xsd:simpleType>
        <xsd:restriction base="dms:Unknown"/>
      </xsd:simpleType>
    </xsd:element>
    <xsd:element name="TPApplication" ma:index="3" nillable="true" ma:displayName="Application to Open Template With" ma:default="" ma:internalName="TPApplication">
      <xsd:simpleType>
        <xsd:restriction base="dms:Text"/>
      </xsd:simpleType>
    </xsd:element>
    <xsd:element name="ApprovalLog" ma:index="4" nillable="true" ma:displayName="Approval Log" ma:default="" ma:hidden="true" ma:internalName="ApprovalLog" ma:readOnly="false">
      <xsd:simpleType>
        <xsd:restriction base="dms:Note"/>
      </xsd:simpleType>
    </xsd:element>
    <xsd:element name="ApprovalStatus" ma:index="5" nillable="true" ma:displayName="Approval Status" ma:default="InProgress" ma:internalName="ApprovalStatus" ma:readOnly="false">
      <xsd:simpleType>
        <xsd:restriction base="dms:Choice">
          <xsd:enumeration value="InProgress"/>
          <xsd:enumeration value="Rejected"/>
          <xsd:enumeration value="Questionable"/>
          <xsd:enumeration value="ApprovedAutomatic"/>
          <xsd:enumeration value="ApprovedManual"/>
          <xsd:enumeration value="On Hold"/>
          <xsd:enumeration value="Needs Review"/>
          <xsd:enumeration value="A Violation"/>
          <xsd:enumeration value="Unpublished Violation"/>
        </xsd:restriction>
      </xsd:simpleType>
    </xsd:element>
    <xsd:element name="AssetStart" ma:index="6" nillable="true" ma:displayName="Asset Begin Date" ma:default="[Today]" ma:internalName="AssetStart" ma:readOnly="false">
      <xsd:simpleType>
        <xsd:restriction base="dms:DateTime"/>
      </xsd:simpleType>
    </xsd:element>
    <xsd:element name="AssetExpire" ma:index="7" nillable="true" ma:displayName="Asset End Date" ma:default="2029-01-01T00:00:00Z" ma:internalName="AssetExpire" ma:readOnly="false">
      <xsd:simpleType>
        <xsd:restriction base="dms:DateTime"/>
      </xsd:simpleType>
    </xsd:element>
    <xsd:element name="AssetId" ma:index="8" nillable="true" ma:displayName="Asset ID" ma:default="" ma:indexed="true" ma:internalName="AssetId" ma:readOnly="false">
      <xsd:simpleType>
        <xsd:restriction base="dms:Text">
          <xsd:maxLength value="255"/>
        </xsd:restriction>
      </xsd:simpleType>
    </xsd:element>
    <xsd:element name="IsSearchable" ma:index="9" nillable="true" ma:displayName="Asset Searchable?" ma:default="true" ma:internalName="IsSearchable" ma:readOnly="false">
      <xsd:simpleType>
        <xsd:restriction base="dms:Boolean"/>
      </xsd:simpleType>
    </xsd:element>
    <xsd:element name="AssetType" ma:index="10" nillable="true" ma:displayName="Asset Type" ma:default="" ma:internalName="AssetType" ma:readOnly="false">
      <xsd:simpleType>
        <xsd:restriction base="dms:Unknown"/>
      </xsd:simpleType>
    </xsd:element>
    <xsd:element name="APAuthor" ma:index="11" nillable="true" ma:displayName="Author" ma:default="" ma:list="UserInfo" ma:internalName="APAuth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BlockPublish" ma:index="12" nillable="true" ma:displayName="Block from Publishing?" ma:default="" ma:internalName="BlockPublish" ma:readOnly="false">
      <xsd:simpleType>
        <xsd:restriction base="dms:Boolean"/>
      </xsd:simpleType>
    </xsd:element>
    <xsd:element name="BugNumber" ma:index="13" nillable="true" ma:displayName="Bug Number" ma:default="" ma:internalName="BugNumber" ma:readOnly="false">
      <xsd:simpleType>
        <xsd:restriction base="dms:Text"/>
      </xsd:simpleType>
    </xsd:element>
    <xsd:element name="CampaignTagsTaxHTField0" ma:index="15" nillable="true" ma:taxonomy="true" ma:internalName="CampaignTagsTaxHTField0" ma:taxonomyFieldName="CampaignTags" ma:displayName="Campaigns" ma:readOnly="false" ma:default="" ma:fieldId="{ae2f8e70-a23c-4d77-9ad6-ea38e2352880}" ma:taxonomyMulti="true" ma:sspId="8f79753a-75d3-41f5-8ca3-40b843941b4f" ma:termSetId="ca0e50d4-faa1-44ce-961e-bb1441c60e6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ClientViewer" ma:index="16" nillable="true" ma:displayName="Client Viewer" ma:default="" ma:internalName="TPClientViewer">
      <xsd:simpleType>
        <xsd:restriction base="dms:Text"/>
      </xsd:simpleType>
    </xsd:element>
    <xsd:element name="ClipArtFilename" ma:index="17" nillable="true" ma:displayName="Clip Art Name" ma:default="" ma:internalName="ClipArtFilename" ma:readOnly="false">
      <xsd:simpleType>
        <xsd:restriction base="dms:Text"/>
      </xsd:simpleType>
    </xsd:element>
    <xsd:element name="TPCommandLine" ma:index="18" nillable="true" ma:displayName="Command Line" ma:default="" ma:internalName="TPCommandLine">
      <xsd:simpleType>
        <xsd:restriction base="dms:Text"/>
      </xsd:simpleType>
    </xsd:element>
    <xsd:element name="TPComponent" ma:index="19" nillable="true" ma:displayName="Component" ma:default="" ma:internalName="TPComponent">
      <xsd:simpleType>
        <xsd:restriction base="dms:Text"/>
      </xsd:simpleType>
    </xsd:element>
    <xsd:element name="ContentItem" ma:index="20" nillable="true" ma:displayName="Content Item" ma:default="" ma:hidden="true" ma:internalName="ContentItem" ma:readOnly="false">
      <xsd:simpleType>
        <xsd:restriction base="dms:Unknown"/>
      </xsd:simpleType>
    </xsd:element>
    <xsd:element name="CrawlForDependencies" ma:index="22" nillable="true" ma:displayName="Crawl for Dependencies?" ma:default="true" ma:internalName="CrawlForDependencies" ma:readOnly="false">
      <xsd:simpleType>
        <xsd:restriction base="dms:Boolean"/>
      </xsd:simpleType>
    </xsd:element>
    <xsd:element name="CSXHash" ma:index="25" nillable="true" ma:displayName="CSX Hash" ma:default="" ma:indexed="true" ma:internalName="CSXHash" ma:readOnly="false">
      <xsd:simpleType>
        <xsd:restriction base="dms:Text"/>
      </xsd:simpleType>
    </xsd:element>
    <xsd:element name="CSXSubmissionMarket" ma:index="26" nillable="true" ma:displayName="CSX Submission Market" ma:default="" ma:list="{5E053CDA-25E6-45C3-8DB3-AEDB8C2D0B9A}" ma:internalName="CSXSubmissionMarket" ma:readOnly="false" ma:showField="MarketName" ma:web="e5d022ff-4ce9-4922-b5a4-f245e35e2aac">
      <xsd:simpleType>
        <xsd:restriction base="dms:Lookup"/>
      </xsd:simpleType>
    </xsd:element>
    <xsd:element name="CSXUpdate" ma:index="27" nillable="true" ma:displayName="CSX Updated?" ma:default="false" ma:internalName="CSXUpdate" ma:readOnly="false">
      <xsd:simpleType>
        <xsd:restriction base="dms:Boolean"/>
      </xsd:simpleType>
    </xsd:element>
    <xsd:element name="IntlLangReviewDate" ma:index="28" nillable="true" ma:displayName="Date to Complete Intl QA" ma:default="" ma:internalName="IntlLangReviewDate" ma:readOnly="false">
      <xsd:simpleType>
        <xsd:restriction base="dms:DateTime"/>
      </xsd:simpleType>
    </xsd:element>
    <xsd:element name="IsDeleted" ma:index="29" nillable="true" ma:displayName="Deleted?" ma:default="" ma:internalName="IsDeleted" ma:readOnly="false">
      <xsd:simpleType>
        <xsd:restriction base="dms:Boolean"/>
      </xsd:simpleType>
    </xsd:element>
    <xsd:element name="APDescription" ma:index="30" nillable="true" ma:displayName="Description" ma:default="" ma:internalName="APDescription" ma:readOnly="false">
      <xsd:simpleType>
        <xsd:restriction base="dms:Note"/>
      </xsd:simpleType>
    </xsd:element>
    <xsd:element name="DirectSourceMarket" ma:index="31" nillable="true" ma:displayName="Direct Source Market Group" ma:default="" ma:internalName="DirectSourceMarket" ma:readOnly="false">
      <xsd:simpleType>
        <xsd:restriction base="dms:Text"/>
      </xsd:simpleType>
    </xsd:element>
    <xsd:element name="Downloads" ma:index="32" nillable="true" ma:displayName="Downloads" ma:default="0" ma:hidden="true" ma:internalName="Downloads" ma:readOnly="false">
      <xsd:simpleType>
        <xsd:restriction base="dms:Unknown"/>
      </xsd:simpleType>
    </xsd:element>
    <xsd:element name="DSATActionTaken" ma:index="33" nillable="true" ma:displayName="DSAT Action Taken" ma:default="" ma:internalName="DSATActionTaken" ma:readOnly="false">
      <xsd:simpleType>
        <xsd:restriction base="dms:Choice">
          <xsd:enumeration value="Best Bets"/>
          <xsd:enumeration value="Expire"/>
          <xsd:enumeration value="Hide"/>
          <xsd:enumeration value="None"/>
        </xsd:restriction>
      </xsd:simpleType>
    </xsd:element>
    <xsd:element name="APEditor" ma:index="34" nillable="true" ma:displayName="Editor" ma:default="" ma:list="UserInfo" ma:internalName="APEdit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ditorialStatus" ma:index="35" nillable="true" ma:displayName="Editorial Status" ma:default="" ma:internalName="EditorialStatus" ma:readOnly="false">
      <xsd:simpleType>
        <xsd:restriction base="dms:Unknown"/>
      </xsd:simpleType>
    </xsd:element>
    <xsd:element name="EditorialTags" ma:index="36" nillable="true" ma:displayName="Editorial Tags" ma:default="" ma:internalName="EditorialTags">
      <xsd:simpleType>
        <xsd:restriction base="dms:Unknown"/>
      </xsd:simpleType>
    </xsd:element>
    <xsd:element name="TPExecutable" ma:index="37" nillable="true" ma:displayName="Executable" ma:default="" ma:internalName="TPExecutable">
      <xsd:simpleType>
        <xsd:restriction base="dms:Text"/>
      </xsd:simpleType>
    </xsd:element>
    <xsd:element name="FeatureTagsTaxHTField0" ma:index="39" nillable="true" ma:taxonomy="true" ma:internalName="FeatureTagsTaxHTField0" ma:taxonomyFieldName="FeatureTags" ma:displayName="Features" ma:readOnly="false" ma:default="" ma:fieldId="{0e79027b-5c14-42ce-a448-02002c169e4a}" ma:taxonomyMulti="true" ma:sspId="8f79753a-75d3-41f5-8ca3-40b843941b4f" ma:termSetId="f1ab6845-967d-4854-a0ba-4ec07f0f811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FriendlyName" ma:index="40" nillable="true" ma:displayName="Friendly Name" ma:default="" ma:internalName="TPFriendlyName">
      <xsd:simpleType>
        <xsd:restriction base="dms:Text"/>
      </xsd:simpleType>
    </xsd:element>
    <xsd:element name="FriendlyTitle" ma:index="41" nillable="true" ma:displayName="Friendly Title" ma:default="" ma:description="Shorter title to be used when displaying search results" ma:internalName="FriendlyTitle" ma:readOnly="false">
      <xsd:simpleType>
        <xsd:restriction base="dms:Text"/>
      </xsd:simpleType>
    </xsd:element>
    <xsd:element name="PrimaryImageGen" ma:index="42" nillable="true" ma:displayName="Generate Images?" ma:default="true" ma:internalName="PrimaryImageGen">
      <xsd:simpleType>
        <xsd:restriction base="dms:Boolean"/>
      </xsd:simpleType>
    </xsd:element>
    <xsd:element name="HandoffToMSDN" ma:index="43" nillable="true" ma:displayName="Handoff To MSDN Date" ma:default="" ma:internalName="HandoffToMSDN" ma:readOnly="false">
      <xsd:simpleType>
        <xsd:restriction base="dms:DateTime"/>
      </xsd:simpleType>
    </xsd:element>
    <xsd:element name="InProjectListLookup" ma:index="44" nillable="true" ma:displayName="InProjectListLookup" ma:list="{E1DF242F-2A85-4892-885C-E072ACF78A23}" ma:internalName="InProjectListLookup" ma:readOnly="true" ma:showField="InProjectList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InstallLocation" ma:index="45" nillable="true" ma:displayName="Install Location" ma:default="" ma:internalName="TPInstallLocation">
      <xsd:simpleType>
        <xsd:restriction base="dms:Text"/>
      </xsd:simpleType>
    </xsd:element>
    <xsd:element name="InternalTagsTaxHTField0" ma:index="47" nillable="true" ma:taxonomy="true" ma:internalName="InternalTagsTaxHTField0" ma:taxonomyFieldName="InternalTags" ma:displayName="Internal Tags" ma:readOnly="false" ma:default="" ma:fieldId="{e822bdd4-da07-482e-8962-d405657c171a}" ma:taxonomyMulti="true" ma:sspId="8f79753a-75d3-41f5-8ca3-40b843941b4f" ma:termSetId="82b6639e-f7fc-4c18-ad2d-003a6e707765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IntlLangReview" ma:index="48" nillable="true" ma:displayName="Intl Lang QA Review Required?" ma:default="" ma:internalName="IntlLangReview" ma:readOnly="false">
      <xsd:simpleType>
        <xsd:restriction base="dms:Boolean"/>
      </xsd:simpleType>
    </xsd:element>
    <xsd:element name="IntlLangReviewer" ma:index="49" nillable="true" ma:displayName="Intl Lang QA Reviewer" ma:default="" ma:internalName="IntlLangReviewer" ma:readOnly="false">
      <xsd:simpleType>
        <xsd:restriction base="dms:Text"/>
      </xsd:simpleType>
    </xsd:element>
    <xsd:element name="MarketSpecific" ma:index="50" nillable="true" ma:displayName="Is Market Specific?" ma:default="" ma:internalName="MarketSpecific" ma:readOnly="false">
      <xsd:simpleType>
        <xsd:restriction base="dms:Boolean"/>
      </xsd:simpleType>
    </xsd:element>
    <xsd:element name="LastCompleteVersionLookup" ma:index="51" nillable="true" ma:displayName="Last Complete Version Lookup" ma:default="" ma:list="{E1DF242F-2A85-4892-885C-E072ACF78A23}" ma:internalName="LastCompleteVersionLookup" ma:readOnly="true" ma:showField="LastCompleteVersion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HandOff" ma:index="52" nillable="true" ma:displayName="Last Hand-off" ma:default="" ma:internalName="LastHandOff" ma:readOnly="false">
      <xsd:simpleType>
        <xsd:restriction base="dms:DateTime"/>
      </xsd:simpleType>
    </xsd:element>
    <xsd:element name="LastModifiedDateTime" ma:index="53" nillable="true" ma:displayName="Last Modified Date" ma:default="" ma:internalName="LastModifiedDateTime" ma:readOnly="false">
      <xsd:simpleType>
        <xsd:restriction base="dms:DateTime"/>
      </xsd:simpleType>
    </xsd:element>
    <xsd:element name="LastPreviewErrorLookup" ma:index="54" nillable="true" ma:displayName="Last Preview Attempt Error" ma:default="" ma:list="{E1DF242F-2A85-4892-885C-E072ACF78A23}" ma:internalName="LastPreviewErrorLookup" ma:readOnly="true" ma:showField="LastPreviewError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ResultLookup" ma:index="55" nillable="true" ma:displayName="Last Preview Attempt Result" ma:default="" ma:list="{E1DF242F-2A85-4892-885C-E072ACF78A23}" ma:internalName="LastPreviewResultLookup" ma:readOnly="true" ma:showField="LastPreviewResult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AttemptDateLookup" ma:index="56" nillable="true" ma:displayName="Last Preview Attempted On" ma:default="" ma:list="{E1DF242F-2A85-4892-885C-E072ACF78A23}" ma:internalName="LastPreviewAttemptDateLookup" ma:readOnly="true" ma:showField="LastPreviewAttemptDate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edByLookup" ma:index="57" nillable="true" ma:displayName="Last Previewed By" ma:default="" ma:list="{E1DF242F-2A85-4892-885C-E072ACF78A23}" ma:internalName="LastPreviewedByLookup" ma:readOnly="true" ma:showField="LastPreviewedBy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TimeLookup" ma:index="58" nillable="true" ma:displayName="Last Previewed Date" ma:default="" ma:list="{E1DF242F-2A85-4892-885C-E072ACF78A23}" ma:internalName="LastPreviewTimeLookup" ma:readOnly="true" ma:showField="LastPreviewTime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VersionLookup" ma:index="59" nillable="true" ma:displayName="Last Previewed Version" ma:default="" ma:list="{E1DF242F-2A85-4892-885C-E072ACF78A23}" ma:internalName="LastPreviewVersionLookup" ma:readOnly="true" ma:showField="LastPreviewVersion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rrorLookup" ma:index="60" nillable="true" ma:displayName="Last Publish Attempt Error" ma:default="" ma:list="{E1DF242F-2A85-4892-885C-E072ACF78A23}" ma:internalName="LastPublishErrorLookup" ma:readOnly="true" ma:showField="LastPublishError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ResultLookup" ma:index="61" nillable="true" ma:displayName="Last Publish Attempt Result" ma:default="" ma:list="{E1DF242F-2A85-4892-885C-E072ACF78A23}" ma:internalName="LastPublishResultLookup" ma:readOnly="true" ma:showField="LastPublishResult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AttemptDateLookup" ma:index="62" nillable="true" ma:displayName="Last Publish Attempted On" ma:default="" ma:list="{E1DF242F-2A85-4892-885C-E072ACF78A23}" ma:internalName="LastPublishAttemptDateLookup" ma:readOnly="true" ma:showField="LastPublishAttemptDate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dByLookup" ma:index="63" nillable="true" ma:displayName="Last Published By" ma:default="" ma:list="{E1DF242F-2A85-4892-885C-E072ACF78A23}" ma:internalName="LastPublishedByLookup" ma:readOnly="true" ma:showField="LastPublishedBy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TimeLookup" ma:index="64" nillable="true" ma:displayName="Last Published Date" ma:default="" ma:list="{E1DF242F-2A85-4892-885C-E072ACF78A23}" ma:internalName="LastPublishTimeLookup" ma:readOnly="true" ma:showField="LastPublishTime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VersionLookup" ma:index="65" nillable="true" ma:displayName="Last Published Version" ma:default="" ma:list="{E1DF242F-2A85-4892-885C-E072ACF78A23}" ma:internalName="LastPublishVersionLookup" ma:readOnly="true" ma:showField="LastPublishVersion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LaunchHelpLinkType" ma:index="66" nillable="true" ma:displayName="Launch Help Link Type" ma:default="Template" ma:internalName="TPLaunchHelpLinkType">
      <xsd:simpleType>
        <xsd:restriction base="dms:Choice">
          <xsd:enumeration value="Template"/>
          <xsd:enumeration value="Training"/>
          <xsd:enumeration value="URL"/>
          <xsd:enumeration value="None"/>
        </xsd:restriction>
      </xsd:simpleType>
    </xsd:element>
    <xsd:element name="LegacyData" ma:index="67" nillable="true" ma:displayName="Legacy Data" ma:default="" ma:internalName="LegacyData" ma:readOnly="false">
      <xsd:simpleType>
        <xsd:restriction base="dms:Note"/>
      </xsd:simpleType>
    </xsd:element>
    <xsd:element name="TPLaunchHelpLink" ma:index="68" nillable="true" ma:displayName="Link to Launch Help Topic" ma:default="" ma:internalName="TPLaunchHelpLink">
      <xsd:simpleType>
        <xsd:restriction base="dms:Text"/>
      </xsd:simpleType>
    </xsd:element>
    <xsd:element name="LocComments" ma:index="69" nillable="true" ma:displayName="Loc Approval Comments" ma:default="" ma:internalName="LocComments" ma:readOnly="false">
      <xsd:simpleType>
        <xsd:restriction base="dms:Note"/>
      </xsd:simpleType>
    </xsd:element>
    <xsd:element name="LocLastLocAttemptVersionLookup" ma:index="70" nillable="true" ma:displayName="Loc Last Loc Attempt Version" ma:default="" ma:list="{D8789D1B-66E7-4538-930C-3B8C6A9D68AA}" ma:internalName="LocLastLocAttemptVersionLookup" ma:readOnly="false" ma:showField="LastLocAttemptVersion" ma:web="e5d022ff-4ce9-4922-b5a4-f245e35e2aac">
      <xsd:simpleType>
        <xsd:restriction base="dms:Lookup"/>
      </xsd:simpleType>
    </xsd:element>
    <xsd:element name="LocLastLocAttemptVersionTypeLookup" ma:index="71" nillable="true" ma:displayName="Loc Last Loc Attempt Version Type" ma:default="" ma:list="{D8789D1B-66E7-4538-930C-3B8C6A9D68AA}" ma:internalName="LocLastLocAttemptVersionTypeLookup" ma:readOnly="true" ma:showField="LastLocAttemptVersionType" ma:web="e5d022ff-4ce9-4922-b5a4-f245e35e2aac">
      <xsd:simpleType>
        <xsd:restriction base="dms:Lookup"/>
      </xsd:simpleType>
    </xsd:element>
    <xsd:element name="LocManualTestRequired" ma:index="72" nillable="true" ma:displayName="Loc Manual Test Required" ma:default="" ma:internalName="LocManualTestRequired" ma:readOnly="false">
      <xsd:simpleType>
        <xsd:restriction base="dms:Boolean"/>
      </xsd:simpleType>
    </xsd:element>
    <xsd:element name="LocMarketGroupTiers2" ma:index="73" nillable="true" ma:displayName="Loc Market Group Tiers" ma:internalName="LocMarketGroupTiers2" ma:readOnly="false">
      <xsd:simpleType>
        <xsd:restriction base="dms:Unknown"/>
      </xsd:simpleType>
    </xsd:element>
    <xsd:element name="LocNewPublishedVersionLookup" ma:index="74" nillable="true" ma:displayName="Loc New Published Version Lookup" ma:default="" ma:list="{D8789D1B-66E7-4538-930C-3B8C6A9D68AA}" ma:internalName="LocNewPublishedVersionLookup" ma:readOnly="true" ma:showField="NewPublishedVersion" ma:web="e5d022ff-4ce9-4922-b5a4-f245e35e2aac">
      <xsd:simpleType>
        <xsd:restriction base="dms:Lookup"/>
      </xsd:simpleType>
    </xsd:element>
    <xsd:element name="LocOverallHandbackStatusLookup" ma:index="75" nillable="true" ma:displayName="Loc Overall Handback Status" ma:default="" ma:list="{D8789D1B-66E7-4538-930C-3B8C6A9D68AA}" ma:internalName="LocOverallHandbackStatusLookup" ma:readOnly="true" ma:showField="OverallHandbackStatus" ma:web="e5d022ff-4ce9-4922-b5a4-f245e35e2aac">
      <xsd:simpleType>
        <xsd:restriction base="dms:Lookup"/>
      </xsd:simpleType>
    </xsd:element>
    <xsd:element name="LocOverallLocStatusLookup" ma:index="76" nillable="true" ma:displayName="Loc Overall Localize Status" ma:default="" ma:list="{D8789D1B-66E7-4538-930C-3B8C6A9D68AA}" ma:internalName="LocOverallLocStatusLookup" ma:readOnly="true" ma:showField="OverallLocStatus" ma:web="e5d022ff-4ce9-4922-b5a4-f245e35e2aac">
      <xsd:simpleType>
        <xsd:restriction base="dms:Lookup"/>
      </xsd:simpleType>
    </xsd:element>
    <xsd:element name="LocOverallPreviewStatusLookup" ma:index="77" nillable="true" ma:displayName="Loc Overall Preview Status" ma:default="" ma:list="{D8789D1B-66E7-4538-930C-3B8C6A9D68AA}" ma:internalName="LocOverallPreviewStatusLookup" ma:readOnly="true" ma:showField="OverallPreviewStatus" ma:web="e5d022ff-4ce9-4922-b5a4-f245e35e2aac">
      <xsd:simpleType>
        <xsd:restriction base="dms:Lookup"/>
      </xsd:simpleType>
    </xsd:element>
    <xsd:element name="LocOverallPublishStatusLookup" ma:index="78" nillable="true" ma:displayName="Loc Overall Publish Status" ma:default="" ma:list="{D8789D1B-66E7-4538-930C-3B8C6A9D68AA}" ma:internalName="LocOverallPublishStatusLookup" ma:readOnly="true" ma:showField="OverallPublishStatus" ma:web="e5d022ff-4ce9-4922-b5a4-f245e35e2aac">
      <xsd:simpleType>
        <xsd:restriction base="dms:Lookup"/>
      </xsd:simpleType>
    </xsd:element>
    <xsd:element name="IntlLocPriority" ma:index="79" nillable="true" ma:displayName="Loc Priority" ma:default="" ma:internalName="IntlLocPriority" ma:readOnly="false">
      <xsd:simpleType>
        <xsd:restriction base="dms:Unknown"/>
      </xsd:simpleType>
    </xsd:element>
    <xsd:element name="LocProcessedForHandoffsLookup" ma:index="80" nillable="true" ma:displayName="Loc Processed For Handoffs" ma:default="" ma:list="{D8789D1B-66E7-4538-930C-3B8C6A9D68AA}" ma:internalName="LocProcessedForHandoffsLookup" ma:readOnly="true" ma:showField="ProcessedForHandoffs" ma:web="e5d022ff-4ce9-4922-b5a4-f245e35e2aac">
      <xsd:simpleType>
        <xsd:restriction base="dms:Lookup"/>
      </xsd:simpleType>
    </xsd:element>
    <xsd:element name="LocProcessedForMarketsLookup" ma:index="81" nillable="true" ma:displayName="Loc Processed For Markets" ma:default="" ma:list="{D8789D1B-66E7-4538-930C-3B8C6A9D68AA}" ma:internalName="LocProcessedForMarketsLookup" ma:readOnly="true" ma:showField="ProcessedForMarkets" ma:web="e5d022ff-4ce9-4922-b5a4-f245e35e2aac">
      <xsd:simpleType>
        <xsd:restriction base="dms:Lookup"/>
      </xsd:simpleType>
    </xsd:element>
    <xsd:element name="LocPublishedDependentAssetsLookup" ma:index="82" nillable="true" ma:displayName="Loc Published Dependent Assets" ma:default="" ma:list="{D8789D1B-66E7-4538-930C-3B8C6A9D68AA}" ma:internalName="LocPublishedDependentAssetsLookup" ma:readOnly="true" ma:showField="PublishedDependentAssets" ma:web="e5d022ff-4ce9-4922-b5a4-f245e35e2aac">
      <xsd:simpleType>
        <xsd:restriction base="dms:Lookup"/>
      </xsd:simpleType>
    </xsd:element>
    <xsd:element name="LocPublishedLinkedAssetsLookup" ma:index="83" nillable="true" ma:displayName="Loc Published Linked Assets" ma:default="" ma:list="{D8789D1B-66E7-4538-930C-3B8C6A9D68AA}" ma:internalName="LocPublishedLinkedAssetsLookup" ma:readOnly="true" ma:showField="PublishedLinkedAssets" ma:web="e5d022ff-4ce9-4922-b5a4-f245e35e2aac">
      <xsd:simpleType>
        <xsd:restriction base="dms:Lookup"/>
      </xsd:simpleType>
    </xsd:element>
    <xsd:element name="LocRecommendedHandoff" ma:index="84" nillable="true" ma:displayName="Loc Recommended Handoff" ma:default="" ma:indexed="true" ma:internalName="LocRecommendedHandoff" ma:readOnly="false">
      <xsd:simpleType>
        <xsd:restriction base="dms:Text"/>
      </xsd:simpleType>
    </xsd:element>
    <xsd:element name="LocalizationTagsTaxHTField0" ma:index="86" nillable="true" ma:taxonomy="true" ma:internalName="LocalizationTagsTaxHTField0" ma:taxonomyFieldName="LocalizationTags" ma:displayName="Localization Tags" ma:readOnly="false" ma:default="" ma:fieldId="{63236a87-6c6d-4a5b-9fe1-c805ecae0bb8}" ma:taxonomyMulti="true" ma:sspId="8f79753a-75d3-41f5-8ca3-40b843941b4f" ma:termSetId="5b7703a5-8e8b-4b58-8b31-1cea35331da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achineTranslated" ma:index="87" nillable="true" ma:displayName="Machine Translated" ma:default="" ma:internalName="MachineTranslated" ma:readOnly="false">
      <xsd:simpleType>
        <xsd:restriction base="dms:Boolean"/>
      </xsd:simpleType>
    </xsd:element>
    <xsd:element name="Manager" ma:index="88" nillable="true" ma:displayName="Manager" ma:hidden="true" ma:internalName="Manager" ma:readOnly="false">
      <xsd:simpleType>
        <xsd:restriction base="dms:Text"/>
      </xsd:simpleType>
    </xsd:element>
    <xsd:element name="Markets" ma:index="89" nillable="true" ma:displayName="Markets" ma:default="" ma:description="Leave blank to show in all markets" ma:list="{5E053CDA-25E6-45C3-8DB3-AEDB8C2D0B9A}" ma:internalName="Markets" ma:readOnly="false" ma:showField="MarketName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Milestone" ma:index="90" nillable="true" ma:displayName="Milestone" ma:default="" ma:internalName="Milestone" ma:readOnly="false">
      <xsd:simpleType>
        <xsd:restriction base="dms:Unknown"/>
      </xsd:simpleType>
    </xsd:element>
    <xsd:element name="TPNamespace" ma:index="93" nillable="true" ma:displayName="Namespace" ma:default="" ma:internalName="TPNamespace">
      <xsd:simpleType>
        <xsd:restriction base="dms:Text"/>
      </xsd:simpleType>
    </xsd:element>
    <xsd:element name="NumericId" ma:index="94" nillable="true" ma:displayName="Numeric ID" ma:default="" ma:indexed="true" ma:internalName="NumericId" ma:readOnly="false">
      <xsd:simpleType>
        <xsd:restriction base="dms:Number"/>
      </xsd:simpleType>
    </xsd:element>
    <xsd:element name="NumOfRatingsLookup" ma:index="95" nillable="true" ma:displayName="NumOfRatings" ma:default="" ma:list="{E1DF242F-2A85-4892-885C-E072ACF78A23}" ma:internalName="NumOfRatingsLookup" ma:readOnly="true" ma:showField="NumOfRatings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OOCacheId" ma:index="96" nillable="true" ma:displayName="OOCacheId" ma:internalName="OOCacheId" ma:readOnly="false">
      <xsd:simpleType>
        <xsd:restriction base="dms:Text"/>
      </xsd:simpleType>
    </xsd:element>
    <xsd:element name="OpenTemplate" ma:index="97" nillable="true" ma:displayName="Open Template" ma:default="true" ma:internalName="OpenTemplate">
      <xsd:simpleType>
        <xsd:restriction base="dms:Boolean"/>
      </xsd:simpleType>
    </xsd:element>
    <xsd:element name="OriginAsset" ma:index="98" nillable="true" ma:displayName="Origin Asset" ma:default="" ma:internalName="OriginAsset" ma:readOnly="false">
      <xsd:simpleType>
        <xsd:restriction base="dms:Text"/>
      </xsd:simpleType>
    </xsd:element>
    <xsd:element name="OriginalRelease" ma:index="99" nillable="true" ma:displayName="Original Release" ma:default="15" ma:internalName="OriginalRelease" ma:readOnly="false">
      <xsd:simpleType>
        <xsd:restriction base="dms:Choice">
          <xsd:enumeration value="14"/>
          <xsd:enumeration value="15"/>
          <xsd:enumeration value="16"/>
        </xsd:restriction>
      </xsd:simpleType>
    </xsd:element>
    <xsd:element name="OriginalSourceMarket" ma:index="100" nillable="true" ma:displayName="Original Source Market Group" ma:default="" ma:internalName="OriginalSourceMarket" ma:readOnly="false">
      <xsd:simpleType>
        <xsd:restriction base="dms:Text"/>
      </xsd:simpleType>
    </xsd:element>
    <xsd:element name="OutputCachingOn" ma:index="101" nillable="true" ma:displayName="Output Caching" ma:default="true" ma:hidden="true" ma:internalName="OutputCachingOn" ma:readOnly="false">
      <xsd:simpleType>
        <xsd:restriction base="dms:Boolean"/>
      </xsd:simpleType>
    </xsd:element>
    <xsd:element name="ParentAssetId" ma:index="102" nillable="true" ma:displayName="Parent Asset Id" ma:default="" ma:internalName="ParentAssetId" ma:readOnly="false">
      <xsd:simpleType>
        <xsd:restriction base="dms:Text"/>
      </xsd:simpleType>
    </xsd:element>
    <xsd:element name="PlannedPubDate" ma:index="103" nillable="true" ma:displayName="Planned Publish Date" ma:default="" ma:indexed="true" ma:internalName="PlannedPubDate" ma:readOnly="false">
      <xsd:simpleType>
        <xsd:restriction base="dms:DateTime"/>
      </xsd:simpleType>
    </xsd:element>
    <xsd:element name="PolicheckWords" ma:index="104" nillable="true" ma:displayName="Policheck Words" ma:default="" ma:internalName="PolicheckWords" ma:readOnly="false">
      <xsd:simpleType>
        <xsd:restriction base="dms:Text"/>
      </xsd:simpleType>
    </xsd:element>
    <xsd:element name="BusinessGroup" ma:index="105" nillable="true" ma:displayName="Product Division Owner" ma:default="" ma:internalName="BusinessGroup" ma:readOnly="false">
      <xsd:simpleType>
        <xsd:restriction base="dms:Unknown"/>
      </xsd:simpleType>
    </xsd:element>
    <xsd:element name="UAProjectedTotalWords" ma:index="106" nillable="true" ma:displayName="Projected Word Count" ma:default="" ma:internalName="UAProjectedTotalWords" ma:readOnly="false">
      <xsd:simpleType>
        <xsd:restriction base="dms:Unknown"/>
      </xsd:simpleType>
    </xsd:element>
    <xsd:element name="Provider" ma:index="107" nillable="true" ma:displayName="Provider" ma:default="" ma:internalName="Provider" ma:readOnly="false">
      <xsd:simpleType>
        <xsd:restriction base="dms:Unknown"/>
      </xsd:simpleType>
    </xsd:element>
    <xsd:element name="Providers" ma:index="108" nillable="true" ma:displayName="Providers" ma:default="" ma:internalName="Providers">
      <xsd:simpleType>
        <xsd:restriction base="dms:Unknown"/>
      </xsd:simpleType>
    </xsd:element>
    <xsd:element name="PublishStatusLookup" ma:index="109" nillable="true" ma:displayName="Publish Status" ma:default="" ma:list="{E1DF242F-2A85-4892-885C-E072ACF78A23}" ma:internalName="PublishStatusLookup" ma:readOnly="false" ma:showField="PublishStatus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PublishTargets" ma:index="110" nillable="true" ma:displayName="Publish Target" ma:default="OfficeOnlineVNext" ma:internalName="PublishTargets" ma:readOnly="false">
      <xsd:simpleType>
        <xsd:restriction base="dms:Unknown"/>
      </xsd:simpleType>
    </xsd:element>
    <xsd:element name="RecommendationsModifier" ma:index="111" nillable="true" ma:displayName="Recommendations Modifier" ma:default="" ma:internalName="RecommendationsModifier" ma:readOnly="false">
      <xsd:simpleType>
        <xsd:restriction base="dms:Number"/>
      </xsd:simpleType>
    </xsd:element>
    <xsd:element name="ArtSampleDocs" ma:index="112" nillable="true" ma:displayName="Sample Docs" ma:default="" ma:hidden="true" ma:internalName="ArtSampleDocs" ma:readOnly="false">
      <xsd:simpleType>
        <xsd:restriction base="dms:Text"/>
      </xsd:simpleType>
    </xsd:element>
    <xsd:element name="ScenarioTagsTaxHTField0" ma:index="114" nillable="true" ma:taxonomy="true" ma:internalName="ScenarioTagsTaxHTField0" ma:taxonomyFieldName="ScenarioTags" ma:displayName="Scenarios" ma:readOnly="false" ma:default="" ma:fieldId="{67a15031-dfad-40a3-960d-7cc941d4a986}" ma:taxonomyMulti="true" ma:sspId="8f79753a-75d3-41f5-8ca3-40b843941b4f" ma:termSetId="4b7d5f16-e2f2-4fc0-bab3-6e8b931e57d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owIn" ma:index="116" nillable="true" ma:displayName="Show In" ma:default="Show everywhere" ma:internalName="ShowIn" ma:readOnly="false">
      <xsd:simpleType>
        <xsd:restriction base="dms:Choice">
          <xsd:enumeration value="Hide on web"/>
          <xsd:enumeration value="On Web no search"/>
          <xsd:enumeration value="Show everywhere"/>
          <xsd:enumeration value="Special use only"/>
        </xsd:restriction>
      </xsd:simpleType>
    </xsd:element>
    <xsd:element name="SourceTitle" ma:index="117" nillable="true" ma:displayName="Source Title" ma:default="" ma:indexed="true" ma:internalName="SourceTitle" ma:readOnly="false">
      <xsd:simpleType>
        <xsd:restriction base="dms:Text"/>
      </xsd:simpleType>
    </xsd:element>
    <xsd:element name="CSXSubmissionDate" ma:index="118" nillable="true" ma:displayName="Submission Date" ma:default="" ma:internalName="CSXSubmissionDate" ma:readOnly="false">
      <xsd:simpleType>
        <xsd:restriction base="dms:DateTime"/>
      </xsd:simpleType>
    </xsd:element>
    <xsd:element name="SubmitterId" ma:index="119" nillable="true" ma:displayName="Submitter ID" ma:default="" ma:internalName="SubmitterId" ma:readOnly="false">
      <xsd:simpleType>
        <xsd:restriction base="dms:Text"/>
      </xsd:simpleType>
    </xsd:element>
    <xsd:element name="TaxCatchAll" ma:index="120" nillable="true" ma:displayName="Taxonomy Catch All Column" ma:hidden="true" ma:list="{2f397b98-bdf6-47da-a1ac-484548f5e091}" ma:internalName="TaxCatchAll" ma:showField="CatchAllData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21" nillable="true" ma:displayName="Taxonomy Catch All Column1" ma:hidden="true" ma:list="{2f397b98-bdf6-47da-a1ac-484548f5e091}" ma:internalName="TaxCatchAllLabel" ma:readOnly="true" ma:showField="CatchAllDataLabel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emplateStatus" ma:index="122" nillable="true" ma:displayName="Template Status" ma:default="" ma:internalName="TemplateStatus">
      <xsd:simpleType>
        <xsd:restriction base="dms:Unknown"/>
      </xsd:simpleType>
    </xsd:element>
    <xsd:element name="TemplateTemplateType" ma:index="123" nillable="true" ma:displayName="Template Type" ma:default="" ma:internalName="TemplateTemplateType">
      <xsd:simpleType>
        <xsd:restriction base="dms:Unknown"/>
      </xsd:simpleType>
    </xsd:element>
    <xsd:element name="ThumbnailAssetId" ma:index="124" nillable="true" ma:displayName="Thumbnail Image Asset" ma:default="" ma:internalName="ThumbnailAssetId" ma:readOnly="false">
      <xsd:simpleType>
        <xsd:restriction base="dms:Text"/>
      </xsd:simpleType>
    </xsd:element>
    <xsd:element name="TimesCloned" ma:index="125" nillable="true" ma:displayName="Times Cloned" ma:default="" ma:internalName="TimesCloned" ma:readOnly="false">
      <xsd:simpleType>
        <xsd:restriction base="dms:Number"/>
      </xsd:simpleType>
    </xsd:element>
    <xsd:element name="TrustLevel" ma:index="127" nillable="true" ma:displayName="Trust Level" ma:default="1 Microsoft Managed Content" ma:internalName="TrustLevel" ma:readOnly="false">
      <xsd:simpleType>
        <xsd:restriction base="dms:Unknown"/>
      </xsd:simpleType>
    </xsd:element>
    <xsd:element name="UALocComments" ma:index="128" nillable="true" ma:displayName="UA Loc Comments" ma:default="" ma:internalName="UALocComments" ma:readOnly="false">
      <xsd:simpleType>
        <xsd:restriction base="dms:Note"/>
      </xsd:simpleType>
    </xsd:element>
    <xsd:element name="UALocRecommendation" ma:index="129" nillable="true" ma:displayName="UA Loc Recommendation" ma:default="Localize" ma:internalName="UALocRecommendation" ma:readOnly="false">
      <xsd:simpleType>
        <xsd:restriction base="dms:Choice">
          <xsd:enumeration value="Localize"/>
          <xsd:enumeration value="Never Localize"/>
          <xsd:enumeration value="Priority Localize"/>
        </xsd:restriction>
      </xsd:simpleType>
    </xsd:element>
    <xsd:element name="UANotes" ma:index="130" nillable="true" ma:displayName="UA Notes" ma:default="" ma:internalName="UANotes" ma:readOnly="false">
      <xsd:simpleType>
        <xsd:restriction base="dms:Note"/>
      </xsd:simpleType>
    </xsd:element>
    <xsd:element name="TPAppVersion" ma:index="131" nillable="true" ma:displayName="Version" ma:default="" ma:internalName="TPAppVersion">
      <xsd:simpleType>
        <xsd:restriction base="dms:Text"/>
      </xsd:simpleType>
    </xsd:element>
    <xsd:element name="VoteCount" ma:index="132" nillable="true" ma:displayName="Vote Count" ma:default="" ma:internalName="VoteCount" ma:readOnly="fals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1" ma:displayName="Content Type"/>
        <xsd:element ref="dc:title" minOccurs="0" maxOccurs="1" ma:index="126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irectSourceMarket xmlns="e5d022ff-4ce9-4922-b5a4-f245e35e2aac" xsi:nil="true"/>
    <ApprovalStatus xmlns="e5d022ff-4ce9-4922-b5a4-f245e35e2aac">InProgress</ApprovalStatus>
    <MarketSpecific xmlns="e5d022ff-4ce9-4922-b5a4-f245e35e2aac">false</MarketSpecific>
    <LocComments xmlns="e5d022ff-4ce9-4922-b5a4-f245e35e2aac" xsi:nil="true"/>
    <ThumbnailAssetId xmlns="e5d022ff-4ce9-4922-b5a4-f245e35e2aac" xsi:nil="true"/>
    <PrimaryImageGen xmlns="e5d022ff-4ce9-4922-b5a4-f245e35e2aac">true</PrimaryImageGen>
    <LegacyData xmlns="e5d022ff-4ce9-4922-b5a4-f245e35e2aac" xsi:nil="true"/>
    <LocRecommendedHandoff xmlns="e5d022ff-4ce9-4922-b5a4-f245e35e2aac" xsi:nil="true"/>
    <BusinessGroup xmlns="e5d022ff-4ce9-4922-b5a4-f245e35e2aac" xsi:nil="true"/>
    <BlockPublish xmlns="e5d022ff-4ce9-4922-b5a4-f245e35e2aac">false</BlockPublish>
    <NumericId xmlns="e5d022ff-4ce9-4922-b5a4-f245e35e2aac" xsi:nil="true"/>
    <TPFriendlyName xmlns="e5d022ff-4ce9-4922-b5a4-f245e35e2aac" xsi:nil="true"/>
    <APEditor xmlns="e5d022ff-4ce9-4922-b5a4-f245e35e2aac">
      <UserInfo>
        <DisplayName/>
        <AccountId xsi:nil="true"/>
        <AccountType/>
      </UserInfo>
    </APEditor>
    <SourceTitle xmlns="e5d022ff-4ce9-4922-b5a4-f245e35e2aac" xsi:nil="true"/>
    <OpenTemplate xmlns="e5d022ff-4ce9-4922-b5a4-f245e35e2aac">true</OpenTemplate>
    <UALocComments xmlns="e5d022ff-4ce9-4922-b5a4-f245e35e2aac" xsi:nil="true"/>
    <PublishStatusLookup xmlns="e5d022ff-4ce9-4922-b5a4-f245e35e2aac">
      <Value>558426</Value>
    </PublishStatusLookup>
    <IntlLangReviewDate xmlns="e5d022ff-4ce9-4922-b5a4-f245e35e2aac" xsi:nil="true"/>
    <FeatureTagsTaxHTField0 xmlns="e5d022ff-4ce9-4922-b5a4-f245e35e2aac">
      <Terms xmlns="http://schemas.microsoft.com/office/infopath/2007/PartnerControls"/>
    </FeatureTagsTaxHTField0>
    <ParentAssetId xmlns="e5d022ff-4ce9-4922-b5a4-f245e35e2aac" xsi:nil="true"/>
    <Providers xmlns="e5d022ff-4ce9-4922-b5a4-f245e35e2aac" xsi:nil="true"/>
    <MachineTranslated xmlns="e5d022ff-4ce9-4922-b5a4-f245e35e2aac">false</MachineTranslated>
    <OriginalSourceMarket xmlns="e5d022ff-4ce9-4922-b5a4-f245e35e2aac" xsi:nil="true"/>
    <APDescription xmlns="e5d022ff-4ce9-4922-b5a4-f245e35e2aac">Tenha uma ajuda extra para calcular o que será necessário comprar para seu evento / festa com churrasco.</APDescription>
    <ClipArtFilename xmlns="e5d022ff-4ce9-4922-b5a4-f245e35e2aac" xsi:nil="true"/>
    <ContentItem xmlns="e5d022ff-4ce9-4922-b5a4-f245e35e2aac" xsi:nil="true"/>
    <TPInstallLocation xmlns="e5d022ff-4ce9-4922-b5a4-f245e35e2aac" xsi:nil="true"/>
    <PublishTargets xmlns="e5d022ff-4ce9-4922-b5a4-f245e35e2aac">OfficeOnlineVNext</PublishTargets>
    <TimesCloned xmlns="e5d022ff-4ce9-4922-b5a4-f245e35e2aac" xsi:nil="true"/>
    <AssetStart xmlns="e5d022ff-4ce9-4922-b5a4-f245e35e2aac">2014-06-10T13:22:00+00:00</AssetStart>
    <AcquiredFrom xmlns="e5d022ff-4ce9-4922-b5a4-f245e35e2aac">Internal MS</AcquiredFrom>
    <FriendlyTitle xmlns="e5d022ff-4ce9-4922-b5a4-f245e35e2aac" xsi:nil="true"/>
    <Provider xmlns="e5d022ff-4ce9-4922-b5a4-f245e35e2aac" xsi:nil="true"/>
    <LastHandOff xmlns="e5d022ff-4ce9-4922-b5a4-f245e35e2aac" xsi:nil="true"/>
    <TPClientViewer xmlns="e5d022ff-4ce9-4922-b5a4-f245e35e2aac" xsi:nil="true"/>
    <ArtSampleDocs xmlns="e5d022ff-4ce9-4922-b5a4-f245e35e2aac" xsi:nil="true"/>
    <Manager xmlns="e5d022ff-4ce9-4922-b5a4-f245e35e2aac" xsi:nil="true"/>
    <UALocRecommendation xmlns="e5d022ff-4ce9-4922-b5a4-f245e35e2aac">Localize</UALocRecommendation>
    <UACurrentWords xmlns="e5d022ff-4ce9-4922-b5a4-f245e35e2aac" xsi:nil="true"/>
    <ShowIn xmlns="e5d022ff-4ce9-4922-b5a4-f245e35e2aac">Show everywhere</ShowIn>
    <UANotes xmlns="e5d022ff-4ce9-4922-b5a4-f245e35e2aac" xsi:nil="true"/>
    <TemplateStatus xmlns="e5d022ff-4ce9-4922-b5a4-f245e35e2aac">Complete</TemplateStatus>
    <InternalTagsTaxHTField0 xmlns="e5d022ff-4ce9-4922-b5a4-f245e35e2aac">
      <Terms xmlns="http://schemas.microsoft.com/office/infopath/2007/PartnerControls"/>
    </InternalTagsTaxHTField0>
    <OOCacheId xmlns="e5d022ff-4ce9-4922-b5a4-f245e35e2aac" xsi:nil="true"/>
    <Downloads xmlns="e5d022ff-4ce9-4922-b5a4-f245e35e2aac">0</Downloads>
    <VoteCount xmlns="e5d022ff-4ce9-4922-b5a4-f245e35e2aac" xsi:nil="true"/>
    <CSXHash xmlns="e5d022ff-4ce9-4922-b5a4-f245e35e2aac" xsi:nil="true"/>
    <IsDeleted xmlns="e5d022ff-4ce9-4922-b5a4-f245e35e2aac">false</IsDeleted>
    <AssetExpire xmlns="e5d022ff-4ce9-4922-b5a4-f245e35e2aac">2029-01-01T08:00:00+00:00</AssetExpire>
    <DSATActionTaken xmlns="e5d022ff-4ce9-4922-b5a4-f245e35e2aac" xsi:nil="true"/>
    <CSXSubmissionMarket xmlns="e5d022ff-4ce9-4922-b5a4-f245e35e2aac" xsi:nil="true"/>
    <TPExecutable xmlns="e5d022ff-4ce9-4922-b5a4-f245e35e2aac" xsi:nil="true"/>
    <SubmitterId xmlns="e5d022ff-4ce9-4922-b5a4-f245e35e2aac" xsi:nil="true"/>
    <EditorialTags xmlns="e5d022ff-4ce9-4922-b5a4-f245e35e2aac" xsi:nil="true"/>
    <AssetType xmlns="e5d022ff-4ce9-4922-b5a4-f245e35e2aac">TP</AssetType>
    <BugNumber xmlns="e5d022ff-4ce9-4922-b5a4-f245e35e2aac" xsi:nil="true"/>
    <CSXUpdate xmlns="e5d022ff-4ce9-4922-b5a4-f245e35e2aac">false</CSXUpdate>
    <CSXSubmissionDate xmlns="e5d022ff-4ce9-4922-b5a4-f245e35e2aac" xsi:nil="true"/>
    <ApprovalLog xmlns="e5d022ff-4ce9-4922-b5a4-f245e35e2aac" xsi:nil="true"/>
    <RecommendationsModifier xmlns="e5d022ff-4ce9-4922-b5a4-f245e35e2aac" xsi:nil="true"/>
    <Milestone xmlns="e5d022ff-4ce9-4922-b5a4-f245e35e2aac" xsi:nil="true"/>
    <OriginAsset xmlns="e5d022ff-4ce9-4922-b5a4-f245e35e2aac" xsi:nil="true"/>
    <TPComponent xmlns="e5d022ff-4ce9-4922-b5a4-f245e35e2aac" xsi:nil="true"/>
    <AssetId xmlns="e5d022ff-4ce9-4922-b5a4-f245e35e2aac">TP104353263</AssetId>
    <IntlLocPriority xmlns="e5d022ff-4ce9-4922-b5a4-f245e35e2aac" xsi:nil="true"/>
    <TPApplication xmlns="e5d022ff-4ce9-4922-b5a4-f245e35e2aac" xsi:nil="true"/>
    <TPLaunchHelpLink xmlns="e5d022ff-4ce9-4922-b5a4-f245e35e2aac" xsi:nil="true"/>
    <PolicheckWords xmlns="e5d022ff-4ce9-4922-b5a4-f245e35e2aac" xsi:nil="true"/>
    <IntlLangReviewer xmlns="e5d022ff-4ce9-4922-b5a4-f245e35e2aac" xsi:nil="true"/>
    <HandoffToMSDN xmlns="e5d022ff-4ce9-4922-b5a4-f245e35e2aac" xsi:nil="true"/>
    <PlannedPubDate xmlns="e5d022ff-4ce9-4922-b5a4-f245e35e2aac" xsi:nil="true"/>
    <CrawlForDependencies xmlns="e5d022ff-4ce9-4922-b5a4-f245e35e2aac">false</CrawlForDependencies>
    <TrustLevel xmlns="e5d022ff-4ce9-4922-b5a4-f245e35e2aac">1 Microsoft Managed Content</TrustLevel>
    <LocLastLocAttemptVersionLookup xmlns="e5d022ff-4ce9-4922-b5a4-f245e35e2aac">304168</LocLastLocAttemptVersionLookup>
    <IsSearchable xmlns="e5d022ff-4ce9-4922-b5a4-f245e35e2aac">true</IsSearchable>
    <TemplateTemplateType xmlns="e5d022ff-4ce9-4922-b5a4-f245e35e2aac">Excel Spreadsheet Template</TemplateTemplateType>
    <CampaignTagsTaxHTField0 xmlns="e5d022ff-4ce9-4922-b5a4-f245e35e2aac">
      <Terms xmlns="http://schemas.microsoft.com/office/infopath/2007/PartnerControls"/>
    </CampaignTagsTaxHTField0>
    <TPNamespace xmlns="e5d022ff-4ce9-4922-b5a4-f245e35e2aac" xsi:nil="true"/>
    <TaxCatchAll xmlns="e5d022ff-4ce9-4922-b5a4-f245e35e2aac"/>
    <Markets xmlns="e5d022ff-4ce9-4922-b5a4-f245e35e2aac"/>
    <UAProjectedTotalWords xmlns="e5d022ff-4ce9-4922-b5a4-f245e35e2aac" xsi:nil="true"/>
    <LocMarketGroupTiers2 xmlns="e5d022ff-4ce9-4922-b5a4-f245e35e2aac" xsi:nil="true"/>
    <IntlLangReview xmlns="e5d022ff-4ce9-4922-b5a4-f245e35e2aac">false</IntlLangReview>
    <OutputCachingOn xmlns="e5d022ff-4ce9-4922-b5a4-f245e35e2aac">false</OutputCachingOn>
    <APAuthor xmlns="e5d022ff-4ce9-4922-b5a4-f245e35e2aac">
      <UserInfo>
        <DisplayName>Rajesh Mopat (HCL Technologies Ltd)</DisplayName>
        <AccountId>1138</AccountId>
        <AccountType/>
      </UserInfo>
    </APAuthor>
    <LocManualTestRequired xmlns="e5d022ff-4ce9-4922-b5a4-f245e35e2aac">false</LocManualTestRequired>
    <TPCommandLine xmlns="e5d022ff-4ce9-4922-b5a4-f245e35e2aac" xsi:nil="true"/>
    <TPAppVersion xmlns="e5d022ff-4ce9-4922-b5a4-f245e35e2aac" xsi:nil="true"/>
    <EditorialStatus xmlns="e5d022ff-4ce9-4922-b5a4-f245e35e2aac">Complete</EditorialStatus>
    <LastModifiedDateTime xmlns="e5d022ff-4ce9-4922-b5a4-f245e35e2aac" xsi:nil="true"/>
    <ScenarioTagsTaxHTField0 xmlns="e5d022ff-4ce9-4922-b5a4-f245e35e2aac">
      <Terms xmlns="http://schemas.microsoft.com/office/infopath/2007/PartnerControls"/>
    </ScenarioTagsTaxHTField0>
    <OriginalRelease xmlns="e5d022ff-4ce9-4922-b5a4-f245e35e2aac">15</OriginalRelease>
    <TPLaunchHelpLinkType xmlns="e5d022ff-4ce9-4922-b5a4-f245e35e2aac">Template</TPLaunchHelpLinkType>
    <LocalizationTagsTaxHTField0 xmlns="e5d022ff-4ce9-4922-b5a4-f245e35e2aac">
      <Terms xmlns="http://schemas.microsoft.com/office/infopath/2007/PartnerControls"/>
    </LocalizationTagsTaxHTField0>
  </documentManagement>
</p:properties>
</file>

<file path=customXml/itemProps1.xml><?xml version="1.0" encoding="utf-8"?>
<ds:datastoreItem xmlns:ds="http://schemas.openxmlformats.org/officeDocument/2006/customXml" ds:itemID="{606F7EDE-F47B-472F-9203-10473A68DF88}"/>
</file>

<file path=customXml/itemProps2.xml><?xml version="1.0" encoding="utf-8"?>
<ds:datastoreItem xmlns:ds="http://schemas.openxmlformats.org/officeDocument/2006/customXml" ds:itemID="{1B663BD1-77C2-443C-8F09-81F9E1EBD252}"/>
</file>

<file path=customXml/itemProps3.xml><?xml version="1.0" encoding="utf-8"?>
<ds:datastoreItem xmlns:ds="http://schemas.openxmlformats.org/officeDocument/2006/customXml" ds:itemID="{3892BC1E-D2B6-433A-82FC-8523ECBFE05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Organizador</vt:lpstr>
      <vt:lpstr>Gráfico de Gastos</vt:lpstr>
      <vt:lpstr>Sobre</vt:lpstr>
      <vt:lpstr>Celulas_Apagaveis_Churrasco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cp:lastModifiedBy/>
  <cp:revision>1</cp:revision>
  <dcterms:created xsi:type="dcterms:W3CDTF">2014-06-20T15:43:09Z</dcterms:created>
  <dcterms:modified xsi:type="dcterms:W3CDTF">2014-06-20T15:45:26Z</dcterms:modified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nternalTags">
    <vt:lpwstr/>
  </property>
  <property fmtid="{D5CDD505-2E9C-101B-9397-08002B2CF9AE}" pid="3" name="ContentTypeId">
    <vt:lpwstr>0x01010062057737089D604C8995D725789FFFFD0400C05BDBFCDB0BE84BA6AEC1D1A4F5E4CE</vt:lpwstr>
  </property>
  <property fmtid="{D5CDD505-2E9C-101B-9397-08002B2CF9AE}" pid="4" name="FeatureTags">
    <vt:lpwstr/>
  </property>
  <property fmtid="{D5CDD505-2E9C-101B-9397-08002B2CF9AE}" pid="5" name="LocalizationTags">
    <vt:lpwstr/>
  </property>
  <property fmtid="{D5CDD505-2E9C-101B-9397-08002B2CF9AE}" pid="6" name="ScenarioTags">
    <vt:lpwstr/>
  </property>
  <property fmtid="{D5CDD505-2E9C-101B-9397-08002B2CF9AE}" pid="7" name="CampaignTags">
    <vt:lpwstr/>
  </property>
</Properties>
</file>