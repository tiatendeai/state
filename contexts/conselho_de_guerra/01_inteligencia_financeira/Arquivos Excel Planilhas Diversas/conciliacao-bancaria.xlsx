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B5F042AE-CA58-4DB4-A4F0-0EF28CEF039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BancoXYZ-3105202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19" i="1"/>
  <c r="D14" i="1"/>
  <c r="D7" i="1"/>
  <c r="D20" i="1" s="1"/>
</calcChain>
</file>

<file path=xl/sharedStrings.xml><?xml version="1.0" encoding="utf-8"?>
<sst xmlns="http://schemas.openxmlformats.org/spreadsheetml/2006/main" count="30" uniqueCount="21">
  <si>
    <t>(+) Cheques não compensados</t>
  </si>
  <si>
    <t>Ch. 000.110</t>
  </si>
  <si>
    <t>Ch. 000.119</t>
  </si>
  <si>
    <t>Soma</t>
  </si>
  <si>
    <t>(-) Débitos não contabilizados</t>
  </si>
  <si>
    <t>Data</t>
  </si>
  <si>
    <t>Tarifas de cobrança</t>
  </si>
  <si>
    <t>Luz/Energia</t>
  </si>
  <si>
    <t>(+) Créditos não contabilizados</t>
  </si>
  <si>
    <t>Cobrança de Duplicatas</t>
  </si>
  <si>
    <t>(-) Reconciliações</t>
  </si>
  <si>
    <t>Diferença de Cobrança de Duplicatas:</t>
  </si>
  <si>
    <t>Valor contabilizado</t>
  </si>
  <si>
    <t>Valor no extrato</t>
  </si>
  <si>
    <t>Saldo Extrato</t>
  </si>
  <si>
    <t>Regularização</t>
  </si>
  <si>
    <t>OK</t>
  </si>
  <si>
    <t>Saldo Contábil n/data</t>
  </si>
  <si>
    <t>Histórico</t>
  </si>
  <si>
    <t>Valores R$</t>
  </si>
  <si>
    <t>Conciliação Bancária - Banco 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</si>
</sst>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43" fontId="2" fillId="0" borderId="0" xfId="1" applyFont="1"/>
    <xf numFmtId="0" fontId="2" fillId="0" borderId="0" xfId="0" applyFont="1" applyAlignment="1">
      <alignment horizontal="center"/>
    </xf>
    <xf numFmtId="14" fontId="0" fillId="0" borderId="1" xfId="0" applyNumberFormat="1" applyBorder="1"/>
    <xf numFmtId="0" fontId="0" fillId="0" borderId="2" xfId="0" applyBorder="1"/>
    <xf numFmtId="43" fontId="0" fillId="0" borderId="2" xfId="1" applyFont="1" applyBorder="1"/>
    <xf numFmtId="43" fontId="0" fillId="0" borderId="3" xfId="1" applyFont="1" applyBorder="1"/>
    <xf numFmtId="14" fontId="0" fillId="0" borderId="1" xfId="0" applyNumberForma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150" zoomScaleNormal="150" workbookViewId="0"/>
  </sheetViews>
  <sheetFormatPr defaultRowHeight="14.4" x14ac:dyDescent="0.3"/>
  <cols>
    <col min="1" max="1" width="11.33203125" bestFit="1" customWidth="1"/>
    <col min="2" max="2" width="34.5546875" bestFit="1" customWidth="1"/>
    <col min="3" max="3" width="9.6640625" style="2" bestFit="1" customWidth="1"/>
    <col min="4" max="4" width="11.6640625" style="2" bestFit="1" customWidth="1"/>
    <col min="5" max="5" width="13.33203125" style="3" bestFit="1" customWidth="1"/>
  </cols>
  <sheetData>
    <row r="1" spans="1:5" x14ac:dyDescent="0.3">
      <c r="B1" s="4" t="s">
        <v>20</v>
      </c>
    </row>
    <row r="2" spans="1:5" s="4" customFormat="1" ht="15" thickBot="1" x14ac:dyDescent="0.35">
      <c r="A2" s="6" t="s">
        <v>5</v>
      </c>
      <c r="B2" s="4" t="s">
        <v>18</v>
      </c>
      <c r="C2" s="5"/>
      <c r="D2" s="5" t="s">
        <v>19</v>
      </c>
      <c r="E2" s="6" t="s">
        <v>15</v>
      </c>
    </row>
    <row r="3" spans="1:5" ht="15" thickBot="1" x14ac:dyDescent="0.35">
      <c r="A3" s="11">
        <v>43982</v>
      </c>
      <c r="B3" s="8" t="s">
        <v>17</v>
      </c>
      <c r="C3" s="9"/>
      <c r="D3" s="10">
        <v>1899.7499999999984</v>
      </c>
    </row>
    <row r="4" spans="1:5" x14ac:dyDescent="0.3">
      <c r="B4" t="s">
        <v>0</v>
      </c>
    </row>
    <row r="5" spans="1:5" x14ac:dyDescent="0.3">
      <c r="A5" s="1">
        <v>43979</v>
      </c>
      <c r="B5" t="s">
        <v>1</v>
      </c>
      <c r="C5" s="2">
        <v>2300</v>
      </c>
      <c r="E5" s="3" t="s">
        <v>16</v>
      </c>
    </row>
    <row r="6" spans="1:5" x14ac:dyDescent="0.3">
      <c r="A6" s="1">
        <v>43982</v>
      </c>
      <c r="B6" t="s">
        <v>2</v>
      </c>
      <c r="C6" s="2">
        <v>1000</v>
      </c>
      <c r="E6" s="3" t="s">
        <v>16</v>
      </c>
    </row>
    <row r="7" spans="1:5" x14ac:dyDescent="0.3">
      <c r="B7" t="s">
        <v>3</v>
      </c>
      <c r="D7" s="2">
        <f>C5+C6</f>
        <v>3300</v>
      </c>
    </row>
    <row r="8" spans="1:5" x14ac:dyDescent="0.3">
      <c r="B8" t="s">
        <v>4</v>
      </c>
    </row>
    <row r="9" spans="1:5" x14ac:dyDescent="0.3">
      <c r="A9" s="1">
        <v>43979</v>
      </c>
      <c r="B9" t="s">
        <v>6</v>
      </c>
      <c r="C9" s="2">
        <v>-109.5</v>
      </c>
      <c r="E9" s="3" t="s">
        <v>16</v>
      </c>
    </row>
    <row r="10" spans="1:5" x14ac:dyDescent="0.3">
      <c r="A10" s="1">
        <v>43976</v>
      </c>
      <c r="B10" t="s">
        <v>7</v>
      </c>
      <c r="C10" s="2">
        <v>-1790.4</v>
      </c>
      <c r="D10" s="2">
        <f>C10+C9</f>
        <v>-1899.9</v>
      </c>
      <c r="E10" s="3" t="s">
        <v>16</v>
      </c>
    </row>
    <row r="11" spans="1:5" x14ac:dyDescent="0.3">
      <c r="B11" t="s">
        <v>3</v>
      </c>
    </row>
    <row r="12" spans="1:5" x14ac:dyDescent="0.3">
      <c r="B12" t="s">
        <v>8</v>
      </c>
    </row>
    <row r="13" spans="1:5" x14ac:dyDescent="0.3">
      <c r="A13" s="1">
        <v>43982</v>
      </c>
      <c r="B13" t="s">
        <v>9</v>
      </c>
      <c r="C13" s="2">
        <v>900.75</v>
      </c>
      <c r="E13" s="3" t="s">
        <v>16</v>
      </c>
    </row>
    <row r="14" spans="1:5" x14ac:dyDescent="0.3">
      <c r="B14" t="s">
        <v>3</v>
      </c>
      <c r="D14" s="2">
        <f>C13</f>
        <v>900.75</v>
      </c>
    </row>
    <row r="15" spans="1:5" x14ac:dyDescent="0.3">
      <c r="B15" t="s">
        <v>10</v>
      </c>
    </row>
    <row r="16" spans="1:5" x14ac:dyDescent="0.3">
      <c r="A16" s="1">
        <v>43956</v>
      </c>
      <c r="B16" t="s">
        <v>11</v>
      </c>
    </row>
    <row r="17" spans="1:5" x14ac:dyDescent="0.3">
      <c r="B17" t="s">
        <v>12</v>
      </c>
      <c r="C17" s="2">
        <v>-1800.09</v>
      </c>
      <c r="E17" s="3" t="s">
        <v>16</v>
      </c>
    </row>
    <row r="18" spans="1:5" x14ac:dyDescent="0.3">
      <c r="B18" t="s">
        <v>13</v>
      </c>
      <c r="C18" s="2">
        <v>1700.09</v>
      </c>
      <c r="E18" s="3" t="s">
        <v>16</v>
      </c>
    </row>
    <row r="19" spans="1:5" ht="15" thickBot="1" x14ac:dyDescent="0.35">
      <c r="B19" t="s">
        <v>3</v>
      </c>
      <c r="D19" s="2">
        <f>C17+C18</f>
        <v>-100</v>
      </c>
    </row>
    <row r="20" spans="1:5" ht="15" thickBot="1" x14ac:dyDescent="0.35">
      <c r="A20" s="7">
        <v>43982</v>
      </c>
      <c r="B20" s="8" t="s">
        <v>14</v>
      </c>
      <c r="C20" s="9"/>
      <c r="D20" s="10">
        <f>SUM(D3:D19)</f>
        <v>4100.5999999999985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BancoXYZ-31052020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Lúcia</cp:lastModifiedBy>
  <dcterms:created xsi:type="dcterms:W3CDTF">2015-07-29T18:35:13Z</dcterms:created>
  <dcterms:modified xsi:type="dcterms:W3CDTF">2020-10-12T12:10:57Z</dcterms:modified>
</cp:coreProperties>
</file>