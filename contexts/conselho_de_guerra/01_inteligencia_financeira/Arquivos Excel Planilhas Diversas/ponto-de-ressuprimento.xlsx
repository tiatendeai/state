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Rieper\Blog Guia do Excel\Ponto de ressuprimento Excel\"/>
    </mc:Choice>
  </mc:AlternateContent>
  <xr:revisionPtr revIDLastSave="0" documentId="13_ncr:1_{2200BBA5-8F4B-4FDB-AB18-724EAA8ECD2A}" xr6:coauthVersionLast="34" xr6:coauthVersionMax="34" xr10:uidLastSave="{00000000-0000-0000-0000-000000000000}"/>
  <bookViews>
    <workbookView xWindow="0" yWindow="0" windowWidth="20490" windowHeight="7545" activeTab="1" xr2:uid="{BB5DE08B-613E-4A4E-B7BC-083C13F7B345}"/>
  </bookViews>
  <sheets>
    <sheet name="Dados" sheetId="1" r:id="rId1"/>
    <sheet name="Produto" sheetId="3" r:id="rId2"/>
    <sheet name="Configurações" sheetId="4" r:id="rId3"/>
  </sheets>
  <calcPr calcId="179021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5" i="3" l="1"/>
  <c r="D4" i="3"/>
  <c r="C4" i="3"/>
  <c r="G4" i="3" l="1"/>
  <c r="H4" i="3" s="1"/>
  <c r="O5" i="3" l="1"/>
  <c r="I4" i="3"/>
  <c r="M6" i="3" l="1"/>
  <c r="N6" i="3" s="1"/>
  <c r="P5" i="3"/>
  <c r="O6" i="3" l="1"/>
  <c r="P6" i="3" l="1"/>
  <c r="M7" i="3"/>
  <c r="N7" i="3" s="1"/>
  <c r="O7" i="3" l="1"/>
  <c r="P7" i="3" l="1"/>
  <c r="M8" i="3"/>
  <c r="N8" i="3" s="1"/>
  <c r="O8" i="3" l="1"/>
  <c r="P8" i="3" l="1"/>
  <c r="M9" i="3"/>
  <c r="N9" i="3" s="1"/>
  <c r="O9" i="3" l="1"/>
  <c r="P9" i="3" l="1"/>
  <c r="M10" i="3"/>
  <c r="N10" i="3" s="1"/>
  <c r="O10" i="3" l="1"/>
  <c r="P10" i="3" l="1"/>
  <c r="M11" i="3" s="1"/>
  <c r="N11" i="3" s="1"/>
  <c r="O11" i="3" l="1"/>
  <c r="P11" i="3" l="1"/>
  <c r="M12" i="3" s="1"/>
  <c r="N12" i="3" s="1"/>
  <c r="O12" i="3" l="1"/>
  <c r="P12" i="3" s="1"/>
  <c r="M13" i="3" s="1"/>
  <c r="N13" i="3" s="1"/>
  <c r="O13" i="3" l="1"/>
  <c r="P13" i="3" s="1"/>
  <c r="M14" i="3" s="1"/>
  <c r="N14" i="3" s="1"/>
  <c r="O14" i="3" l="1"/>
  <c r="P14" i="3" s="1"/>
  <c r="M15" i="3" s="1"/>
  <c r="N15" i="3" s="1"/>
  <c r="O15" i="3" l="1"/>
  <c r="P15" i="3" s="1"/>
  <c r="M16" i="3" s="1"/>
  <c r="N16" i="3" s="1"/>
  <c r="O16" i="3" l="1"/>
  <c r="P16" i="3" s="1"/>
  <c r="M17" i="3" s="1"/>
  <c r="N17" i="3" s="1"/>
  <c r="O17" i="3" l="1"/>
  <c r="P17" i="3" s="1"/>
  <c r="M18" i="3" s="1"/>
  <c r="N18" i="3" s="1"/>
  <c r="O18" i="3" l="1"/>
  <c r="P18" i="3" s="1"/>
  <c r="M19" i="3" s="1"/>
  <c r="N19" i="3" s="1"/>
  <c r="O19" i="3" l="1"/>
  <c r="P19" i="3" s="1"/>
  <c r="M20" i="3" s="1"/>
  <c r="N20" i="3" s="1"/>
  <c r="O20" i="3" l="1"/>
  <c r="P20" i="3" s="1"/>
  <c r="M21" i="3" s="1"/>
  <c r="N21" i="3" s="1"/>
  <c r="O21" i="3" l="1"/>
  <c r="P21" i="3" s="1"/>
  <c r="M22" i="3" s="1"/>
  <c r="N22" i="3" s="1"/>
  <c r="O22" i="3" l="1"/>
  <c r="P22" i="3" s="1"/>
  <c r="M23" i="3" s="1"/>
  <c r="N23" i="3" s="1"/>
  <c r="O23" i="3" l="1"/>
  <c r="P23" i="3" s="1"/>
  <c r="M24" i="3" s="1"/>
  <c r="N24" i="3" s="1"/>
  <c r="O24" i="3" l="1"/>
  <c r="P24" i="3" s="1"/>
  <c r="M25" i="3" s="1"/>
  <c r="N25" i="3" s="1"/>
  <c r="O25" i="3" l="1"/>
  <c r="P25" i="3" s="1"/>
  <c r="M26" i="3" s="1"/>
  <c r="N26" i="3" s="1"/>
  <c r="O26" i="3" l="1"/>
  <c r="P26" i="3" s="1"/>
  <c r="M27" i="3" s="1"/>
  <c r="N27" i="3" s="1"/>
  <c r="O27" i="3" l="1"/>
  <c r="P27" i="3" s="1"/>
  <c r="M28" i="3" s="1"/>
  <c r="O28" i="3" l="1"/>
  <c r="P28" i="3" s="1"/>
  <c r="M29" i="3" s="1"/>
  <c r="N28" i="3"/>
  <c r="N29" i="3" l="1"/>
  <c r="O29" i="3" l="1"/>
  <c r="P29" i="3" s="1"/>
  <c r="M30" i="3" s="1"/>
  <c r="N30" i="3" s="1"/>
  <c r="O30" i="3" l="1"/>
  <c r="P30" i="3" s="1"/>
  <c r="M31" i="3" s="1"/>
  <c r="N31" i="3" s="1"/>
  <c r="O31" i="3" l="1"/>
  <c r="P31" i="3" s="1"/>
  <c r="M32" i="3" s="1"/>
  <c r="N32" i="3" s="1"/>
  <c r="O32" i="3" l="1"/>
  <c r="P32" i="3" s="1"/>
  <c r="M33" i="3" s="1"/>
  <c r="N33" i="3" s="1"/>
  <c r="O33" i="3" l="1"/>
  <c r="P33" i="3" s="1"/>
  <c r="M34" i="3" s="1"/>
  <c r="N34" i="3" s="1"/>
  <c r="O34" i="3" l="1"/>
  <c r="P34" i="3" s="1"/>
  <c r="M35" i="3" s="1"/>
  <c r="N35" i="3" s="1"/>
  <c r="O35" i="3" l="1"/>
  <c r="P35" i="3" s="1"/>
  <c r="M36" i="3" s="1"/>
  <c r="N36" i="3" s="1"/>
  <c r="O36" i="3" l="1"/>
  <c r="P36" i="3" s="1"/>
  <c r="M37" i="3" s="1"/>
  <c r="N37" i="3" s="1"/>
  <c r="O37" i="3" l="1"/>
  <c r="P37" i="3" s="1"/>
  <c r="M38" i="3" s="1"/>
  <c r="N38" i="3" s="1"/>
  <c r="O38" i="3" l="1"/>
  <c r="P38" i="3" s="1"/>
  <c r="M39" i="3" s="1"/>
  <c r="N39" i="3" s="1"/>
  <c r="O39" i="3" l="1"/>
  <c r="P39" i="3" s="1"/>
  <c r="M40" i="3" s="1"/>
  <c r="N40" i="3" s="1"/>
  <c r="O40" i="3" l="1"/>
  <c r="P40" i="3" s="1"/>
  <c r="M41" i="3" s="1"/>
  <c r="N41" i="3" s="1"/>
  <c r="O41" i="3" l="1"/>
  <c r="P41" i="3" s="1"/>
  <c r="M42" i="3" s="1"/>
  <c r="N42" i="3" s="1"/>
  <c r="O42" i="3" l="1"/>
  <c r="P42" i="3" s="1"/>
  <c r="M43" i="3" s="1"/>
  <c r="N43" i="3"/>
  <c r="O43" i="3" l="1"/>
  <c r="P43" i="3" s="1"/>
  <c r="M44" i="3" s="1"/>
  <c r="N44" i="3" s="1"/>
  <c r="O44" i="3" l="1"/>
  <c r="P44" i="3" s="1"/>
  <c r="M45" i="3" s="1"/>
  <c r="N45" i="3"/>
  <c r="O45" i="3" l="1"/>
  <c r="P45" i="3" s="1"/>
  <c r="M46" i="3" s="1"/>
  <c r="N46" i="3" s="1"/>
  <c r="O46" i="3" l="1"/>
  <c r="P46" i="3" s="1"/>
  <c r="M47" i="3" s="1"/>
  <c r="N47" i="3" s="1"/>
  <c r="O47" i="3" l="1"/>
  <c r="P47" i="3" s="1"/>
  <c r="M48" i="3" s="1"/>
  <c r="N48" i="3" s="1"/>
  <c r="O48" i="3" l="1"/>
  <c r="P48" i="3" s="1"/>
  <c r="M49" i="3" s="1"/>
  <c r="N49" i="3" s="1"/>
  <c r="O49" i="3" l="1"/>
  <c r="P49" i="3" s="1"/>
  <c r="M50" i="3" s="1"/>
  <c r="N50" i="3" s="1"/>
  <c r="O50" i="3" l="1"/>
  <c r="P50" i="3" s="1"/>
  <c r="M51" i="3" s="1"/>
  <c r="N51" i="3" s="1"/>
  <c r="O51" i="3" l="1"/>
  <c r="P51" i="3" s="1"/>
  <c r="M52" i="3" s="1"/>
  <c r="N52" i="3" s="1"/>
  <c r="O52" i="3" l="1"/>
  <c r="P52" i="3" s="1"/>
  <c r="M53" i="3" s="1"/>
  <c r="N53" i="3" s="1"/>
  <c r="O53" i="3" l="1"/>
  <c r="P53" i="3" s="1"/>
  <c r="M54" i="3" s="1"/>
  <c r="N54" i="3" s="1"/>
  <c r="O54" i="3" l="1"/>
  <c r="P54" i="3" s="1"/>
  <c r="M55" i="3" s="1"/>
  <c r="N55" i="3" s="1"/>
  <c r="O55" i="3" l="1"/>
  <c r="P55" i="3" s="1"/>
  <c r="M56" i="3" s="1"/>
  <c r="N56" i="3" s="1"/>
  <c r="O56" i="3" l="1"/>
  <c r="P56" i="3" s="1"/>
  <c r="M57" i="3" s="1"/>
  <c r="N57" i="3" s="1"/>
  <c r="O57" i="3" l="1"/>
  <c r="P57" i="3" s="1"/>
  <c r="M58" i="3" s="1"/>
  <c r="N58" i="3" s="1"/>
  <c r="O58" i="3" l="1"/>
  <c r="P58" i="3" s="1"/>
  <c r="M59" i="3" s="1"/>
  <c r="N59" i="3" s="1"/>
  <c r="O59" i="3" l="1"/>
  <c r="P59" i="3" s="1"/>
  <c r="M60" i="3" s="1"/>
  <c r="N60" i="3" s="1"/>
  <c r="O60" i="3" l="1"/>
  <c r="P60" i="3" s="1"/>
  <c r="M61" i="3" s="1"/>
  <c r="N61" i="3" s="1"/>
  <c r="O61" i="3" l="1"/>
  <c r="P61" i="3" s="1"/>
  <c r="M62" i="3" s="1"/>
  <c r="N62" i="3" s="1"/>
  <c r="O62" i="3" l="1"/>
  <c r="P62" i="3" s="1"/>
  <c r="M63" i="3" s="1"/>
  <c r="N63" i="3" s="1"/>
  <c r="O63" i="3" l="1"/>
  <c r="P63" i="3" s="1"/>
  <c r="M64" i="3" s="1"/>
  <c r="N64" i="3" s="1"/>
  <c r="O64" i="3" l="1"/>
  <c r="P64" i="3" s="1"/>
  <c r="M65" i="3" s="1"/>
  <c r="N65" i="3" s="1"/>
  <c r="O65" i="3" l="1"/>
  <c r="P65" i="3" s="1"/>
  <c r="M66" i="3" s="1"/>
  <c r="N66" i="3" s="1"/>
  <c r="O66" i="3" l="1"/>
  <c r="P66" i="3" s="1"/>
  <c r="M67" i="3" s="1"/>
  <c r="N67" i="3" s="1"/>
  <c r="O67" i="3" l="1"/>
  <c r="P67" i="3" s="1"/>
  <c r="M68" i="3" s="1"/>
  <c r="N68" i="3" s="1"/>
  <c r="O68" i="3" l="1"/>
  <c r="P68" i="3" s="1"/>
  <c r="M69" i="3" s="1"/>
  <c r="N69" i="3" s="1"/>
  <c r="O69" i="3" l="1"/>
  <c r="P69" i="3" s="1"/>
  <c r="M70" i="3" s="1"/>
  <c r="N70" i="3" s="1"/>
  <c r="O70" i="3" l="1"/>
  <c r="P70" i="3" s="1"/>
  <c r="M71" i="3" s="1"/>
  <c r="N71" i="3" s="1"/>
  <c r="O71" i="3" l="1"/>
  <c r="P71" i="3" s="1"/>
  <c r="M72" i="3" s="1"/>
  <c r="N72" i="3" s="1"/>
  <c r="O72" i="3" l="1"/>
  <c r="P72" i="3" s="1"/>
  <c r="M73" i="3" s="1"/>
  <c r="N73" i="3" s="1"/>
  <c r="O73" i="3" l="1"/>
  <c r="P73" i="3" s="1"/>
  <c r="M74" i="3" s="1"/>
  <c r="N74" i="3" s="1"/>
  <c r="O74" i="3" l="1"/>
  <c r="P74" i="3" s="1"/>
  <c r="M75" i="3" s="1"/>
  <c r="N75" i="3" s="1"/>
  <c r="O75" i="3" l="1"/>
  <c r="P75" i="3" s="1"/>
  <c r="M76" i="3" s="1"/>
  <c r="N76" i="3" s="1"/>
  <c r="O76" i="3" l="1"/>
  <c r="P76" i="3" s="1"/>
  <c r="M77" i="3" s="1"/>
  <c r="N77" i="3" s="1"/>
  <c r="O77" i="3" l="1"/>
  <c r="P77" i="3" s="1"/>
  <c r="M78" i="3" s="1"/>
  <c r="N78" i="3" s="1"/>
  <c r="O78" i="3" l="1"/>
  <c r="P78" i="3" s="1"/>
  <c r="M79" i="3" s="1"/>
  <c r="N79" i="3" s="1"/>
  <c r="O79" i="3" l="1"/>
  <c r="P79" i="3" s="1"/>
  <c r="M80" i="3" s="1"/>
  <c r="N80" i="3" s="1"/>
  <c r="O80" i="3" l="1"/>
  <c r="P80" i="3" s="1"/>
  <c r="M81" i="3" s="1"/>
  <c r="N81" i="3" s="1"/>
  <c r="O81" i="3" l="1"/>
  <c r="P81" i="3" s="1"/>
  <c r="M82" i="3" s="1"/>
  <c r="N82" i="3" s="1"/>
  <c r="O82" i="3" l="1"/>
  <c r="P82" i="3" s="1"/>
  <c r="M83" i="3" s="1"/>
  <c r="N83" i="3" s="1"/>
  <c r="O83" i="3" l="1"/>
  <c r="P83" i="3" s="1"/>
  <c r="M84" i="3" s="1"/>
  <c r="N84" i="3" s="1"/>
  <c r="O84" i="3" l="1"/>
  <c r="P84" i="3" s="1"/>
  <c r="M85" i="3" s="1"/>
  <c r="N85" i="3" s="1"/>
  <c r="O85" i="3" l="1"/>
  <c r="P85" i="3" s="1"/>
  <c r="M86" i="3" s="1"/>
  <c r="N86" i="3" s="1"/>
  <c r="O86" i="3" l="1"/>
  <c r="P86" i="3" s="1"/>
  <c r="M87" i="3" s="1"/>
  <c r="N87" i="3" s="1"/>
  <c r="O87" i="3" l="1"/>
  <c r="P87" i="3" s="1"/>
  <c r="M88" i="3" s="1"/>
  <c r="N88" i="3" s="1"/>
  <c r="O88" i="3" l="1"/>
  <c r="P88" i="3" s="1"/>
  <c r="M89" i="3" s="1"/>
  <c r="N89" i="3" s="1"/>
  <c r="O89" i="3" l="1"/>
  <c r="P89" i="3" s="1"/>
  <c r="M90" i="3" s="1"/>
  <c r="N90" i="3" s="1"/>
  <c r="O90" i="3" l="1"/>
  <c r="P90" i="3" s="1"/>
  <c r="M91" i="3" s="1"/>
  <c r="N91" i="3" s="1"/>
  <c r="O91" i="3" l="1"/>
  <c r="P91" i="3" s="1"/>
  <c r="M92" i="3" s="1"/>
  <c r="N92" i="3" s="1"/>
  <c r="O92" i="3" l="1"/>
  <c r="P92" i="3" s="1"/>
  <c r="M93" i="3" s="1"/>
  <c r="N93" i="3" s="1"/>
  <c r="O93" i="3" l="1"/>
  <c r="P93" i="3" s="1"/>
  <c r="M94" i="3" s="1"/>
  <c r="N94" i="3" s="1"/>
  <c r="O94" i="3" l="1"/>
  <c r="P94" i="3" s="1"/>
  <c r="M95" i="3" s="1"/>
  <c r="N95" i="3" s="1"/>
  <c r="O95" i="3" l="1"/>
  <c r="P95" i="3" s="1"/>
  <c r="M96" i="3" s="1"/>
  <c r="N96" i="3" s="1"/>
  <c r="O96" i="3" l="1"/>
  <c r="P96" i="3" s="1"/>
  <c r="M97" i="3" s="1"/>
  <c r="N97" i="3" s="1"/>
  <c r="O97" i="3" l="1"/>
  <c r="P97" i="3" s="1"/>
  <c r="M98" i="3" s="1"/>
  <c r="N98" i="3" s="1"/>
  <c r="O98" i="3" l="1"/>
  <c r="P98" i="3" s="1"/>
  <c r="M99" i="3" s="1"/>
  <c r="N99" i="3" s="1"/>
  <c r="O99" i="3" l="1"/>
  <c r="P99" i="3" s="1"/>
  <c r="M100" i="3" s="1"/>
  <c r="N100" i="3" s="1"/>
  <c r="O100" i="3" l="1"/>
  <c r="P100" i="3" s="1"/>
  <c r="M101" i="3" s="1"/>
  <c r="N101" i="3" s="1"/>
  <c r="O101" i="3" l="1"/>
  <c r="P101" i="3" s="1"/>
  <c r="M102" i="3" s="1"/>
  <c r="N102" i="3" s="1"/>
  <c r="O102" i="3" l="1"/>
  <c r="P102" i="3" s="1"/>
  <c r="M103" i="3" s="1"/>
  <c r="N103" i="3" s="1"/>
  <c r="O103" i="3" l="1"/>
  <c r="P103" i="3" s="1"/>
  <c r="M104" i="3" s="1"/>
  <c r="N104" i="3" s="1"/>
  <c r="O104" i="3" l="1"/>
  <c r="P104" i="3" s="1"/>
  <c r="M105" i="3" s="1"/>
  <c r="N105" i="3" s="1"/>
  <c r="O105" i="3" l="1"/>
  <c r="P105" i="3" s="1"/>
  <c r="M106" i="3" s="1"/>
  <c r="N106" i="3" s="1"/>
  <c r="O106" i="3" l="1"/>
  <c r="P106" i="3" s="1"/>
  <c r="M107" i="3" s="1"/>
  <c r="N107" i="3" s="1"/>
  <c r="O107" i="3" l="1"/>
  <c r="P107" i="3" s="1"/>
  <c r="M108" i="3" s="1"/>
  <c r="N108" i="3" s="1"/>
  <c r="O108" i="3" l="1"/>
  <c r="P108" i="3" s="1"/>
  <c r="M109" i="3" s="1"/>
  <c r="N109" i="3" s="1"/>
  <c r="O109" i="3" l="1"/>
  <c r="P109" i="3" s="1"/>
  <c r="M110" i="3" s="1"/>
  <c r="N110" i="3" s="1"/>
  <c r="O110" i="3" l="1"/>
  <c r="P110" i="3" s="1"/>
  <c r="M111" i="3" s="1"/>
  <c r="N111" i="3" s="1"/>
  <c r="O111" i="3" l="1"/>
  <c r="P111" i="3" s="1"/>
  <c r="M112" i="3" s="1"/>
  <c r="N112" i="3" s="1"/>
  <c r="O112" i="3" l="1"/>
  <c r="P112" i="3" s="1"/>
  <c r="M113" i="3" s="1"/>
  <c r="N113" i="3" s="1"/>
  <c r="O113" i="3" l="1"/>
  <c r="P113" i="3" s="1"/>
  <c r="M114" i="3" s="1"/>
  <c r="N114" i="3" s="1"/>
  <c r="O114" i="3" l="1"/>
  <c r="P114" i="3" s="1"/>
  <c r="M115" i="3" s="1"/>
  <c r="N115" i="3" s="1"/>
  <c r="O115" i="3" l="1"/>
  <c r="P115" i="3" s="1"/>
  <c r="M116" i="3" s="1"/>
  <c r="N116" i="3" s="1"/>
  <c r="O116" i="3" s="1"/>
  <c r="P116" i="3" s="1"/>
</calcChain>
</file>

<file path=xl/sharedStrings.xml><?xml version="1.0" encoding="utf-8"?>
<sst xmlns="http://schemas.openxmlformats.org/spreadsheetml/2006/main" count="132" uniqueCount="20">
  <si>
    <t>Produto</t>
  </si>
  <si>
    <t>PRODUTO A</t>
  </si>
  <si>
    <t>Data</t>
  </si>
  <si>
    <t>PRODUTO</t>
  </si>
  <si>
    <t>DESVIO PADRÃO</t>
  </si>
  <si>
    <t>LEAD TIME</t>
  </si>
  <si>
    <t>ESTOQUE DE SEGURANÇA</t>
  </si>
  <si>
    <t>Nível de Serviço</t>
  </si>
  <si>
    <t>Fator de Serviço</t>
  </si>
  <si>
    <t>NÍVEL DE SEGURANÇA</t>
  </si>
  <si>
    <t>PONTO DE RESSUPRIMENTO</t>
  </si>
  <si>
    <t>MÉDIA</t>
  </si>
  <si>
    <t>ESTOQUE MÁXIMO</t>
  </si>
  <si>
    <t>Saída</t>
  </si>
  <si>
    <t xml:space="preserve"> Datas</t>
  </si>
  <si>
    <t xml:space="preserve"> Saída</t>
  </si>
  <si>
    <t>Entrada</t>
  </si>
  <si>
    <t>Estoque</t>
  </si>
  <si>
    <t>Previsão</t>
  </si>
  <si>
    <t>Recebimento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</si>
</sst>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;@"/>
    <numFmt numFmtId="165" formatCode="_-* #,##0.0000_-;\-* #,##0.0000_-;_-* &quot;-&quot;??_-;_-@_-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9" fontId="2" fillId="2" borderId="1" xfId="2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9" fontId="0" fillId="0" borderId="1" xfId="2" applyFont="1" applyBorder="1"/>
    <xf numFmtId="165" fontId="0" fillId="0" borderId="1" xfId="1" applyNumberFormat="1" applyFont="1" applyBorder="1"/>
    <xf numFmtId="9" fontId="3" fillId="2" borderId="1" xfId="2" applyFont="1" applyFill="1" applyBorder="1"/>
    <xf numFmtId="165" fontId="3" fillId="2" borderId="1" xfId="1" applyNumberFormat="1" applyFont="1" applyFill="1" applyBorder="1"/>
    <xf numFmtId="10" fontId="0" fillId="0" borderId="1" xfId="2" applyNumberFormat="1" applyFont="1" applyBorder="1"/>
    <xf numFmtId="0" fontId="0" fillId="0" borderId="0" xfId="0" applyAlignment="1">
      <alignment horizontal="center" vertic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2" xfId="0" applyBorder="1"/>
    <xf numFmtId="43" fontId="0" fillId="0" borderId="2" xfId="1" applyFont="1" applyBorder="1"/>
    <xf numFmtId="10" fontId="0" fillId="0" borderId="2" xfId="2" applyNumberFormat="1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6" fontId="0" fillId="0" borderId="0" xfId="1" applyNumberFormat="1" applyFont="1"/>
    <xf numFmtId="166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/>
    <xf numFmtId="43" fontId="0" fillId="0" borderId="0" xfId="1" applyFont="1" applyAlignment="1">
      <alignment horizontal="center"/>
    </xf>
    <xf numFmtId="166" fontId="0" fillId="0" borderId="0" xfId="1" applyNumberFormat="1" applyFont="1" applyAlignment="1">
      <alignment horizontal="center" vertical="center"/>
    </xf>
    <xf numFmtId="166" fontId="0" fillId="0" borderId="0" xfId="1" applyNumberFormat="1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143136</xdr:rowOff>
    </xdr:from>
    <xdr:to>
      <xdr:col>6</xdr:col>
      <xdr:colOff>400049</xdr:colOff>
      <xdr:row>18</xdr:row>
      <xdr:rowOff>160007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FB6FFC-1023-4BE8-BF62-D7F3B48D6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7136"/>
          <a:ext cx="4857749" cy="2493371"/>
        </a:xfrm>
        <a:prstGeom prst="rect">
          <a:avLst/>
        </a:prstGeom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sung" refreshedDate="43345.703682523148" createdVersion="6" refreshedVersion="6" minRefreshableVersion="3" recordCount="113" xr:uid="{774BA2D0-0DA9-4C09-8211-68417669E838}">
  <cacheSource type="worksheet">
    <worksheetSource ref="A1:C1048576" sheet="Dados"/>
  </cacheSource>
  <cacheFields count="3">
    <cacheField name="Produto" numFmtId="0">
      <sharedItems containsBlank="1"/>
    </cacheField>
    <cacheField name="Data" numFmtId="164">
      <sharedItems containsNonDate="0" containsDate="1" containsString="0" containsBlank="1" minDate="2018-07-29T00:00:00" maxDate="2018-11-18T00:00:00" count="113"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m/>
      </sharedItems>
    </cacheField>
    <cacheField name="Saída" numFmtId="0">
      <sharedItems containsString="0" containsBlank="1" containsNumber="1" containsInteger="1" minValue="100" maxValue="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PRODUTO A"/>
    <x v="0"/>
    <n v="105"/>
  </r>
  <r>
    <s v="PRODUTO A"/>
    <x v="1"/>
    <n v="138"/>
  </r>
  <r>
    <s v="PRODUTO A"/>
    <x v="2"/>
    <n v="137"/>
  </r>
  <r>
    <s v="PRODUTO A"/>
    <x v="3"/>
    <n v="143"/>
  </r>
  <r>
    <s v="PRODUTO A"/>
    <x v="4"/>
    <n v="125"/>
  </r>
  <r>
    <s v="PRODUTO A"/>
    <x v="5"/>
    <n v="106"/>
  </r>
  <r>
    <s v="PRODUTO A"/>
    <x v="6"/>
    <n v="129"/>
  </r>
  <r>
    <s v="PRODUTO A"/>
    <x v="7"/>
    <n v="101"/>
  </r>
  <r>
    <s v="PRODUTO A"/>
    <x v="8"/>
    <n v="142"/>
  </r>
  <r>
    <s v="PRODUTO A"/>
    <x v="9"/>
    <n v="141"/>
  </r>
  <r>
    <s v="PRODUTO A"/>
    <x v="10"/>
    <n v="103"/>
  </r>
  <r>
    <s v="PRODUTO A"/>
    <x v="11"/>
    <n v="142"/>
  </r>
  <r>
    <s v="PRODUTO A"/>
    <x v="12"/>
    <n v="144"/>
  </r>
  <r>
    <s v="PRODUTO A"/>
    <x v="13"/>
    <n v="107"/>
  </r>
  <r>
    <s v="PRODUTO A"/>
    <x v="14"/>
    <n v="126"/>
  </r>
  <r>
    <s v="PRODUTO A"/>
    <x v="15"/>
    <n v="101"/>
  </r>
  <r>
    <s v="PRODUTO A"/>
    <x v="16"/>
    <n v="100"/>
  </r>
  <r>
    <s v="PRODUTO A"/>
    <x v="17"/>
    <n v="104"/>
  </r>
  <r>
    <s v="PRODUTO A"/>
    <x v="18"/>
    <n v="131"/>
  </r>
  <r>
    <s v="PRODUTO A"/>
    <x v="19"/>
    <n v="101"/>
  </r>
  <r>
    <s v="PRODUTO A"/>
    <x v="20"/>
    <n v="120"/>
  </r>
  <r>
    <s v="PRODUTO A"/>
    <x v="21"/>
    <n v="109"/>
  </r>
  <r>
    <s v="PRODUTO A"/>
    <x v="22"/>
    <n v="126"/>
  </r>
  <r>
    <s v="PRODUTO A"/>
    <x v="23"/>
    <n v="119"/>
  </r>
  <r>
    <s v="PRODUTO A"/>
    <x v="24"/>
    <n v="101"/>
  </r>
  <r>
    <s v="PRODUTO A"/>
    <x v="25"/>
    <n v="119"/>
  </r>
  <r>
    <s v="PRODUTO A"/>
    <x v="26"/>
    <n v="113"/>
  </r>
  <r>
    <s v="PRODUTO A"/>
    <x v="27"/>
    <n v="135"/>
  </r>
  <r>
    <s v="PRODUTO A"/>
    <x v="28"/>
    <n v="125"/>
  </r>
  <r>
    <s v="PRODUTO A"/>
    <x v="29"/>
    <n v="136"/>
  </r>
  <r>
    <s v="PRODUTO A"/>
    <x v="30"/>
    <n v="128"/>
  </r>
  <r>
    <s v="PRODUTO A"/>
    <x v="31"/>
    <n v="106"/>
  </r>
  <r>
    <s v="PRODUTO A"/>
    <x v="32"/>
    <n v="127"/>
  </r>
  <r>
    <s v="PRODUTO A"/>
    <x v="33"/>
    <n v="132"/>
  </r>
  <r>
    <s v="PRODUTO A"/>
    <x v="34"/>
    <n v="125"/>
  </r>
  <r>
    <s v="PRODUTO A"/>
    <x v="35"/>
    <n v="142"/>
  </r>
  <r>
    <s v="PRODUTO A"/>
    <x v="36"/>
    <n v="139"/>
  </r>
  <r>
    <s v="PRODUTO A"/>
    <x v="37"/>
    <n v="134"/>
  </r>
  <r>
    <s v="PRODUTO A"/>
    <x v="38"/>
    <n v="100"/>
  </r>
  <r>
    <s v="PRODUTO A"/>
    <x v="39"/>
    <n v="100"/>
  </r>
  <r>
    <s v="PRODUTO A"/>
    <x v="40"/>
    <n v="147"/>
  </r>
  <r>
    <s v="PRODUTO A"/>
    <x v="41"/>
    <n v="107"/>
  </r>
  <r>
    <s v="PRODUTO A"/>
    <x v="42"/>
    <n v="142"/>
  </r>
  <r>
    <s v="PRODUTO A"/>
    <x v="43"/>
    <n v="134"/>
  </r>
  <r>
    <s v="PRODUTO A"/>
    <x v="44"/>
    <n v="131"/>
  </r>
  <r>
    <s v="PRODUTO A"/>
    <x v="45"/>
    <n v="128"/>
  </r>
  <r>
    <s v="PRODUTO A"/>
    <x v="46"/>
    <n v="133"/>
  </r>
  <r>
    <s v="PRODUTO A"/>
    <x v="47"/>
    <n v="100"/>
  </r>
  <r>
    <s v="PRODUTO A"/>
    <x v="48"/>
    <n v="134"/>
  </r>
  <r>
    <s v="PRODUTO A"/>
    <x v="49"/>
    <n v="104"/>
  </r>
  <r>
    <s v="PRODUTO A"/>
    <x v="50"/>
    <n v="123"/>
  </r>
  <r>
    <s v="PRODUTO A"/>
    <x v="51"/>
    <n v="127"/>
  </r>
  <r>
    <s v="PRODUTO A"/>
    <x v="52"/>
    <n v="119"/>
  </r>
  <r>
    <s v="PRODUTO A"/>
    <x v="53"/>
    <n v="135"/>
  </r>
  <r>
    <s v="PRODUTO A"/>
    <x v="54"/>
    <n v="114"/>
  </r>
  <r>
    <s v="PRODUTO A"/>
    <x v="55"/>
    <n v="103"/>
  </r>
  <r>
    <s v="PRODUTO A"/>
    <x v="56"/>
    <n v="149"/>
  </r>
  <r>
    <s v="PRODUTO A"/>
    <x v="57"/>
    <n v="148"/>
  </r>
  <r>
    <s v="PRODUTO A"/>
    <x v="58"/>
    <n v="146"/>
  </r>
  <r>
    <s v="PRODUTO A"/>
    <x v="59"/>
    <n v="134"/>
  </r>
  <r>
    <s v="PRODUTO A"/>
    <x v="60"/>
    <n v="101"/>
  </r>
  <r>
    <s v="PRODUTO A"/>
    <x v="61"/>
    <n v="105"/>
  </r>
  <r>
    <s v="PRODUTO A"/>
    <x v="62"/>
    <n v="135"/>
  </r>
  <r>
    <s v="PRODUTO A"/>
    <x v="63"/>
    <n v="113"/>
  </r>
  <r>
    <s v="PRODUTO A"/>
    <x v="64"/>
    <n v="127"/>
  </r>
  <r>
    <s v="PRODUTO A"/>
    <x v="65"/>
    <n v="145"/>
  </r>
  <r>
    <s v="PRODUTO A"/>
    <x v="66"/>
    <n v="134"/>
  </r>
  <r>
    <s v="PRODUTO A"/>
    <x v="67"/>
    <n v="145"/>
  </r>
  <r>
    <s v="PRODUTO A"/>
    <x v="68"/>
    <n v="119"/>
  </r>
  <r>
    <s v="PRODUTO A"/>
    <x v="69"/>
    <n v="118"/>
  </r>
  <r>
    <s v="PRODUTO A"/>
    <x v="70"/>
    <n v="114"/>
  </r>
  <r>
    <s v="PRODUTO A"/>
    <x v="71"/>
    <n v="136"/>
  </r>
  <r>
    <s v="PRODUTO A"/>
    <x v="72"/>
    <n v="113"/>
  </r>
  <r>
    <s v="PRODUTO A"/>
    <x v="73"/>
    <n v="126"/>
  </r>
  <r>
    <s v="PRODUTO A"/>
    <x v="74"/>
    <n v="133"/>
  </r>
  <r>
    <s v="PRODUTO A"/>
    <x v="75"/>
    <n v="148"/>
  </r>
  <r>
    <s v="PRODUTO A"/>
    <x v="76"/>
    <n v="136"/>
  </r>
  <r>
    <s v="PRODUTO A"/>
    <x v="77"/>
    <n v="120"/>
  </r>
  <r>
    <s v="PRODUTO A"/>
    <x v="78"/>
    <n v="107"/>
  </r>
  <r>
    <s v="PRODUTO A"/>
    <x v="79"/>
    <n v="143"/>
  </r>
  <r>
    <s v="PRODUTO A"/>
    <x v="80"/>
    <n v="130"/>
  </r>
  <r>
    <s v="PRODUTO A"/>
    <x v="81"/>
    <n v="112"/>
  </r>
  <r>
    <s v="PRODUTO A"/>
    <x v="82"/>
    <n v="105"/>
  </r>
  <r>
    <s v="PRODUTO A"/>
    <x v="83"/>
    <n v="108"/>
  </r>
  <r>
    <s v="PRODUTO A"/>
    <x v="84"/>
    <n v="101"/>
  </r>
  <r>
    <s v="PRODUTO A"/>
    <x v="85"/>
    <n v="107"/>
  </r>
  <r>
    <s v="PRODUTO A"/>
    <x v="86"/>
    <n v="137"/>
  </r>
  <r>
    <s v="PRODUTO A"/>
    <x v="87"/>
    <n v="113"/>
  </r>
  <r>
    <s v="PRODUTO A"/>
    <x v="88"/>
    <n v="112"/>
  </r>
  <r>
    <s v="PRODUTO A"/>
    <x v="89"/>
    <n v="126"/>
  </r>
  <r>
    <s v="PRODUTO A"/>
    <x v="90"/>
    <n v="143"/>
  </r>
  <r>
    <s v="PRODUTO A"/>
    <x v="91"/>
    <n v="147"/>
  </r>
  <r>
    <s v="PRODUTO A"/>
    <x v="92"/>
    <n v="143"/>
  </r>
  <r>
    <s v="PRODUTO A"/>
    <x v="93"/>
    <n v="149"/>
  </r>
  <r>
    <s v="PRODUTO A"/>
    <x v="94"/>
    <n v="129"/>
  </r>
  <r>
    <s v="PRODUTO A"/>
    <x v="95"/>
    <n v="113"/>
  </r>
  <r>
    <s v="PRODUTO A"/>
    <x v="96"/>
    <n v="144"/>
  </r>
  <r>
    <s v="PRODUTO A"/>
    <x v="97"/>
    <n v="140"/>
  </r>
  <r>
    <s v="PRODUTO A"/>
    <x v="98"/>
    <n v="150"/>
  </r>
  <r>
    <s v="PRODUTO A"/>
    <x v="99"/>
    <n v="100"/>
  </r>
  <r>
    <s v="PRODUTO A"/>
    <x v="100"/>
    <n v="121"/>
  </r>
  <r>
    <s v="PRODUTO A"/>
    <x v="101"/>
    <n v="120"/>
  </r>
  <r>
    <s v="PRODUTO A"/>
    <x v="102"/>
    <n v="114"/>
  </r>
  <r>
    <s v="PRODUTO A"/>
    <x v="103"/>
    <n v="101"/>
  </r>
  <r>
    <s v="PRODUTO A"/>
    <x v="104"/>
    <n v="117"/>
  </r>
  <r>
    <s v="PRODUTO A"/>
    <x v="105"/>
    <n v="150"/>
  </r>
  <r>
    <s v="PRODUTO A"/>
    <x v="106"/>
    <n v="144"/>
  </r>
  <r>
    <s v="PRODUTO A"/>
    <x v="107"/>
    <n v="125"/>
  </r>
  <r>
    <s v="PRODUTO A"/>
    <x v="108"/>
    <n v="107"/>
  </r>
  <r>
    <s v="PRODUTO A"/>
    <x v="109"/>
    <n v="120"/>
  </r>
  <r>
    <s v="PRODUTO A"/>
    <x v="110"/>
    <n v="123"/>
  </r>
  <r>
    <s v="PRODUTO A"/>
    <x v="111"/>
    <n v="106"/>
  </r>
  <r>
    <m/>
    <x v="1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F2B7A-81B5-4ED9-BC8C-71C062112626}" name="Tabela dinâmica2" cacheId="9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rowHeaderCaption=" Datas">
  <location ref="K4:L116" firstHeaderRow="1" firstDataRow="1" firstDataCol="1"/>
  <pivotFields count="3">
    <pivotField showAll="0"/>
    <pivotField axis="axisRow" showAl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h="1" x="112"/>
        <item t="default"/>
      </items>
    </pivotField>
    <pivotField dataField="1" showAll="0"/>
  </pivotFields>
  <rowFields count="1">
    <field x="1"/>
  </rowFields>
  <rowItems count="1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</rowItems>
  <colItems count="1">
    <i/>
  </colItems>
  <dataFields count="1">
    <dataField name=" Saída" fld="2" baseField="0" baseItem="0"/>
  </dataField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8758-37F9-4CD1-AE67-FD76FA4A77E9}">
  <sheetPr codeName="Planilha1"/>
  <dimension ref="A1:C113"/>
  <sheetViews>
    <sheetView workbookViewId="0">
      <selection activeCell="C2" sqref="C2"/>
    </sheetView>
  </sheetViews>
  <sheetFormatPr defaultRowHeight="15" x14ac:dyDescent="0.25"/>
  <cols>
    <col min="1" max="1" width="26.5703125" customWidth="1"/>
    <col min="2" max="2" width="8.7109375" style="1" bestFit="1" customWidth="1"/>
  </cols>
  <sheetData>
    <row r="1" spans="1:3" x14ac:dyDescent="0.25">
      <c r="A1" t="s">
        <v>0</v>
      </c>
      <c r="B1" s="1" t="s">
        <v>2</v>
      </c>
      <c r="C1" t="s">
        <v>13</v>
      </c>
    </row>
    <row r="2" spans="1:3" x14ac:dyDescent="0.25">
      <c r="A2" t="s">
        <v>1</v>
      </c>
      <c r="B2" s="1">
        <v>43310</v>
      </c>
      <c r="C2">
        <v>105</v>
      </c>
    </row>
    <row r="3" spans="1:3" x14ac:dyDescent="0.25">
      <c r="A3" t="s">
        <v>1</v>
      </c>
      <c r="B3" s="1">
        <v>43311</v>
      </c>
      <c r="C3">
        <v>138</v>
      </c>
    </row>
    <row r="4" spans="1:3" x14ac:dyDescent="0.25">
      <c r="A4" t="s">
        <v>1</v>
      </c>
      <c r="B4" s="1">
        <v>43312</v>
      </c>
      <c r="C4">
        <v>137</v>
      </c>
    </row>
    <row r="5" spans="1:3" x14ac:dyDescent="0.25">
      <c r="A5" t="s">
        <v>1</v>
      </c>
      <c r="B5" s="1">
        <v>43313</v>
      </c>
      <c r="C5">
        <v>143</v>
      </c>
    </row>
    <row r="6" spans="1:3" x14ac:dyDescent="0.25">
      <c r="A6" t="s">
        <v>1</v>
      </c>
      <c r="B6" s="1">
        <v>43314</v>
      </c>
      <c r="C6">
        <v>125</v>
      </c>
    </row>
    <row r="7" spans="1:3" x14ac:dyDescent="0.25">
      <c r="A7" t="s">
        <v>1</v>
      </c>
      <c r="B7" s="1">
        <v>43315</v>
      </c>
      <c r="C7">
        <v>106</v>
      </c>
    </row>
    <row r="8" spans="1:3" x14ac:dyDescent="0.25">
      <c r="A8" t="s">
        <v>1</v>
      </c>
      <c r="B8" s="1">
        <v>43316</v>
      </c>
      <c r="C8">
        <v>129</v>
      </c>
    </row>
    <row r="9" spans="1:3" x14ac:dyDescent="0.25">
      <c r="A9" t="s">
        <v>1</v>
      </c>
      <c r="B9" s="1">
        <v>43317</v>
      </c>
      <c r="C9">
        <v>101</v>
      </c>
    </row>
    <row r="10" spans="1:3" x14ac:dyDescent="0.25">
      <c r="A10" t="s">
        <v>1</v>
      </c>
      <c r="B10" s="1">
        <v>43318</v>
      </c>
      <c r="C10">
        <v>142</v>
      </c>
    </row>
    <row r="11" spans="1:3" x14ac:dyDescent="0.25">
      <c r="A11" t="s">
        <v>1</v>
      </c>
      <c r="B11" s="1">
        <v>43319</v>
      </c>
      <c r="C11">
        <v>141</v>
      </c>
    </row>
    <row r="12" spans="1:3" x14ac:dyDescent="0.25">
      <c r="A12" t="s">
        <v>1</v>
      </c>
      <c r="B12" s="1">
        <v>43320</v>
      </c>
      <c r="C12">
        <v>103</v>
      </c>
    </row>
    <row r="13" spans="1:3" x14ac:dyDescent="0.25">
      <c r="A13" t="s">
        <v>1</v>
      </c>
      <c r="B13" s="1">
        <v>43321</v>
      </c>
      <c r="C13">
        <v>142</v>
      </c>
    </row>
    <row r="14" spans="1:3" x14ac:dyDescent="0.25">
      <c r="A14" t="s">
        <v>1</v>
      </c>
      <c r="B14" s="1">
        <v>43322</v>
      </c>
      <c r="C14">
        <v>144</v>
      </c>
    </row>
    <row r="15" spans="1:3" x14ac:dyDescent="0.25">
      <c r="A15" t="s">
        <v>1</v>
      </c>
      <c r="B15" s="1">
        <v>43323</v>
      </c>
      <c r="C15">
        <v>107</v>
      </c>
    </row>
    <row r="16" spans="1:3" x14ac:dyDescent="0.25">
      <c r="A16" t="s">
        <v>1</v>
      </c>
      <c r="B16" s="1">
        <v>43324</v>
      </c>
      <c r="C16">
        <v>126</v>
      </c>
    </row>
    <row r="17" spans="1:3" x14ac:dyDescent="0.25">
      <c r="A17" t="s">
        <v>1</v>
      </c>
      <c r="B17" s="1">
        <v>43325</v>
      </c>
      <c r="C17">
        <v>101</v>
      </c>
    </row>
    <row r="18" spans="1:3" x14ac:dyDescent="0.25">
      <c r="A18" t="s">
        <v>1</v>
      </c>
      <c r="B18" s="1">
        <v>43326</v>
      </c>
      <c r="C18">
        <v>100</v>
      </c>
    </row>
    <row r="19" spans="1:3" x14ac:dyDescent="0.25">
      <c r="A19" t="s">
        <v>1</v>
      </c>
      <c r="B19" s="1">
        <v>43327</v>
      </c>
      <c r="C19">
        <v>104</v>
      </c>
    </row>
    <row r="20" spans="1:3" x14ac:dyDescent="0.25">
      <c r="A20" t="s">
        <v>1</v>
      </c>
      <c r="B20" s="1">
        <v>43328</v>
      </c>
      <c r="C20">
        <v>131</v>
      </c>
    </row>
    <row r="21" spans="1:3" x14ac:dyDescent="0.25">
      <c r="A21" t="s">
        <v>1</v>
      </c>
      <c r="B21" s="1">
        <v>43329</v>
      </c>
      <c r="C21">
        <v>101</v>
      </c>
    </row>
    <row r="22" spans="1:3" x14ac:dyDescent="0.25">
      <c r="A22" t="s">
        <v>1</v>
      </c>
      <c r="B22" s="1">
        <v>43330</v>
      </c>
      <c r="C22">
        <v>120</v>
      </c>
    </row>
    <row r="23" spans="1:3" x14ac:dyDescent="0.25">
      <c r="A23" t="s">
        <v>1</v>
      </c>
      <c r="B23" s="1">
        <v>43331</v>
      </c>
      <c r="C23">
        <v>109</v>
      </c>
    </row>
    <row r="24" spans="1:3" x14ac:dyDescent="0.25">
      <c r="A24" t="s">
        <v>1</v>
      </c>
      <c r="B24" s="1">
        <v>43332</v>
      </c>
      <c r="C24">
        <v>126</v>
      </c>
    </row>
    <row r="25" spans="1:3" x14ac:dyDescent="0.25">
      <c r="A25" t="s">
        <v>1</v>
      </c>
      <c r="B25" s="1">
        <v>43333</v>
      </c>
      <c r="C25">
        <v>119</v>
      </c>
    </row>
    <row r="26" spans="1:3" x14ac:dyDescent="0.25">
      <c r="A26" t="s">
        <v>1</v>
      </c>
      <c r="B26" s="1">
        <v>43334</v>
      </c>
      <c r="C26">
        <v>101</v>
      </c>
    </row>
    <row r="27" spans="1:3" x14ac:dyDescent="0.25">
      <c r="A27" t="s">
        <v>1</v>
      </c>
      <c r="B27" s="1">
        <v>43335</v>
      </c>
      <c r="C27">
        <v>119</v>
      </c>
    </row>
    <row r="28" spans="1:3" x14ac:dyDescent="0.25">
      <c r="A28" t="s">
        <v>1</v>
      </c>
      <c r="B28" s="1">
        <v>43336</v>
      </c>
      <c r="C28">
        <v>113</v>
      </c>
    </row>
    <row r="29" spans="1:3" x14ac:dyDescent="0.25">
      <c r="A29" t="s">
        <v>1</v>
      </c>
      <c r="B29" s="1">
        <v>43337</v>
      </c>
      <c r="C29">
        <v>135</v>
      </c>
    </row>
    <row r="30" spans="1:3" x14ac:dyDescent="0.25">
      <c r="A30" t="s">
        <v>1</v>
      </c>
      <c r="B30" s="1">
        <v>43338</v>
      </c>
      <c r="C30">
        <v>125</v>
      </c>
    </row>
    <row r="31" spans="1:3" x14ac:dyDescent="0.25">
      <c r="A31" t="s">
        <v>1</v>
      </c>
      <c r="B31" s="1">
        <v>43339</v>
      </c>
      <c r="C31">
        <v>136</v>
      </c>
    </row>
    <row r="32" spans="1:3" x14ac:dyDescent="0.25">
      <c r="A32" t="s">
        <v>1</v>
      </c>
      <c r="B32" s="1">
        <v>43340</v>
      </c>
      <c r="C32">
        <v>128</v>
      </c>
    </row>
    <row r="33" spans="1:3" x14ac:dyDescent="0.25">
      <c r="A33" t="s">
        <v>1</v>
      </c>
      <c r="B33" s="1">
        <v>43341</v>
      </c>
      <c r="C33">
        <v>106</v>
      </c>
    </row>
    <row r="34" spans="1:3" x14ac:dyDescent="0.25">
      <c r="A34" t="s">
        <v>1</v>
      </c>
      <c r="B34" s="1">
        <v>43342</v>
      </c>
      <c r="C34">
        <v>127</v>
      </c>
    </row>
    <row r="35" spans="1:3" x14ac:dyDescent="0.25">
      <c r="A35" t="s">
        <v>1</v>
      </c>
      <c r="B35" s="1">
        <v>43343</v>
      </c>
      <c r="C35">
        <v>132</v>
      </c>
    </row>
    <row r="36" spans="1:3" x14ac:dyDescent="0.25">
      <c r="A36" t="s">
        <v>1</v>
      </c>
      <c r="B36" s="1">
        <v>43344</v>
      </c>
      <c r="C36">
        <v>125</v>
      </c>
    </row>
    <row r="37" spans="1:3" x14ac:dyDescent="0.25">
      <c r="A37" t="s">
        <v>1</v>
      </c>
      <c r="B37" s="1">
        <v>43345</v>
      </c>
      <c r="C37">
        <v>142</v>
      </c>
    </row>
    <row r="38" spans="1:3" x14ac:dyDescent="0.25">
      <c r="A38" t="s">
        <v>1</v>
      </c>
      <c r="B38" s="1">
        <v>43346</v>
      </c>
      <c r="C38">
        <v>139</v>
      </c>
    </row>
    <row r="39" spans="1:3" x14ac:dyDescent="0.25">
      <c r="A39" t="s">
        <v>1</v>
      </c>
      <c r="B39" s="1">
        <v>43347</v>
      </c>
      <c r="C39">
        <v>134</v>
      </c>
    </row>
    <row r="40" spans="1:3" x14ac:dyDescent="0.25">
      <c r="A40" t="s">
        <v>1</v>
      </c>
      <c r="B40" s="1">
        <v>43348</v>
      </c>
      <c r="C40">
        <v>100</v>
      </c>
    </row>
    <row r="41" spans="1:3" x14ac:dyDescent="0.25">
      <c r="A41" t="s">
        <v>1</v>
      </c>
      <c r="B41" s="1">
        <v>43349</v>
      </c>
      <c r="C41">
        <v>100</v>
      </c>
    </row>
    <row r="42" spans="1:3" x14ac:dyDescent="0.25">
      <c r="A42" t="s">
        <v>1</v>
      </c>
      <c r="B42" s="1">
        <v>43350</v>
      </c>
      <c r="C42">
        <v>147</v>
      </c>
    </row>
    <row r="43" spans="1:3" x14ac:dyDescent="0.25">
      <c r="A43" t="s">
        <v>1</v>
      </c>
      <c r="B43" s="1">
        <v>43351</v>
      </c>
      <c r="C43">
        <v>107</v>
      </c>
    </row>
    <row r="44" spans="1:3" x14ac:dyDescent="0.25">
      <c r="A44" t="s">
        <v>1</v>
      </c>
      <c r="B44" s="1">
        <v>43352</v>
      </c>
      <c r="C44">
        <v>142</v>
      </c>
    </row>
    <row r="45" spans="1:3" x14ac:dyDescent="0.25">
      <c r="A45" t="s">
        <v>1</v>
      </c>
      <c r="B45" s="1">
        <v>43353</v>
      </c>
      <c r="C45">
        <v>134</v>
      </c>
    </row>
    <row r="46" spans="1:3" x14ac:dyDescent="0.25">
      <c r="A46" t="s">
        <v>1</v>
      </c>
      <c r="B46" s="1">
        <v>43354</v>
      </c>
      <c r="C46">
        <v>131</v>
      </c>
    </row>
    <row r="47" spans="1:3" x14ac:dyDescent="0.25">
      <c r="A47" t="s">
        <v>1</v>
      </c>
      <c r="B47" s="1">
        <v>43355</v>
      </c>
      <c r="C47">
        <v>128</v>
      </c>
    </row>
    <row r="48" spans="1:3" x14ac:dyDescent="0.25">
      <c r="A48" t="s">
        <v>1</v>
      </c>
      <c r="B48" s="1">
        <v>43356</v>
      </c>
      <c r="C48">
        <v>133</v>
      </c>
    </row>
    <row r="49" spans="1:3" x14ac:dyDescent="0.25">
      <c r="A49" t="s">
        <v>1</v>
      </c>
      <c r="B49" s="1">
        <v>43357</v>
      </c>
      <c r="C49">
        <v>100</v>
      </c>
    </row>
    <row r="50" spans="1:3" x14ac:dyDescent="0.25">
      <c r="A50" t="s">
        <v>1</v>
      </c>
      <c r="B50" s="1">
        <v>43358</v>
      </c>
      <c r="C50">
        <v>134</v>
      </c>
    </row>
    <row r="51" spans="1:3" x14ac:dyDescent="0.25">
      <c r="A51" t="s">
        <v>1</v>
      </c>
      <c r="B51" s="1">
        <v>43359</v>
      </c>
      <c r="C51">
        <v>104</v>
      </c>
    </row>
    <row r="52" spans="1:3" x14ac:dyDescent="0.25">
      <c r="A52" t="s">
        <v>1</v>
      </c>
      <c r="B52" s="1">
        <v>43360</v>
      </c>
      <c r="C52">
        <v>123</v>
      </c>
    </row>
    <row r="53" spans="1:3" x14ac:dyDescent="0.25">
      <c r="A53" t="s">
        <v>1</v>
      </c>
      <c r="B53" s="1">
        <v>43361</v>
      </c>
      <c r="C53">
        <v>127</v>
      </c>
    </row>
    <row r="54" spans="1:3" x14ac:dyDescent="0.25">
      <c r="A54" t="s">
        <v>1</v>
      </c>
      <c r="B54" s="1">
        <v>43362</v>
      </c>
      <c r="C54">
        <v>119</v>
      </c>
    </row>
    <row r="55" spans="1:3" x14ac:dyDescent="0.25">
      <c r="A55" t="s">
        <v>1</v>
      </c>
      <c r="B55" s="1">
        <v>43363</v>
      </c>
      <c r="C55">
        <v>135</v>
      </c>
    </row>
    <row r="56" spans="1:3" x14ac:dyDescent="0.25">
      <c r="A56" t="s">
        <v>1</v>
      </c>
      <c r="B56" s="1">
        <v>43364</v>
      </c>
      <c r="C56">
        <v>114</v>
      </c>
    </row>
    <row r="57" spans="1:3" x14ac:dyDescent="0.25">
      <c r="A57" t="s">
        <v>1</v>
      </c>
      <c r="B57" s="1">
        <v>43365</v>
      </c>
      <c r="C57">
        <v>103</v>
      </c>
    </row>
    <row r="58" spans="1:3" x14ac:dyDescent="0.25">
      <c r="A58" t="s">
        <v>1</v>
      </c>
      <c r="B58" s="1">
        <v>43366</v>
      </c>
      <c r="C58">
        <v>149</v>
      </c>
    </row>
    <row r="59" spans="1:3" x14ac:dyDescent="0.25">
      <c r="A59" t="s">
        <v>1</v>
      </c>
      <c r="B59" s="1">
        <v>43367</v>
      </c>
      <c r="C59">
        <v>148</v>
      </c>
    </row>
    <row r="60" spans="1:3" x14ac:dyDescent="0.25">
      <c r="A60" t="s">
        <v>1</v>
      </c>
      <c r="B60" s="1">
        <v>43368</v>
      </c>
      <c r="C60">
        <v>146</v>
      </c>
    </row>
    <row r="61" spans="1:3" x14ac:dyDescent="0.25">
      <c r="A61" t="s">
        <v>1</v>
      </c>
      <c r="B61" s="1">
        <v>43369</v>
      </c>
      <c r="C61">
        <v>134</v>
      </c>
    </row>
    <row r="62" spans="1:3" x14ac:dyDescent="0.25">
      <c r="A62" t="s">
        <v>1</v>
      </c>
      <c r="B62" s="1">
        <v>43370</v>
      </c>
      <c r="C62">
        <v>101</v>
      </c>
    </row>
    <row r="63" spans="1:3" x14ac:dyDescent="0.25">
      <c r="A63" t="s">
        <v>1</v>
      </c>
      <c r="B63" s="1">
        <v>43371</v>
      </c>
      <c r="C63">
        <v>105</v>
      </c>
    </row>
    <row r="64" spans="1:3" x14ac:dyDescent="0.25">
      <c r="A64" t="s">
        <v>1</v>
      </c>
      <c r="B64" s="1">
        <v>43372</v>
      </c>
      <c r="C64">
        <v>135</v>
      </c>
    </row>
    <row r="65" spans="1:3" x14ac:dyDescent="0.25">
      <c r="A65" t="s">
        <v>1</v>
      </c>
      <c r="B65" s="1">
        <v>43373</v>
      </c>
      <c r="C65">
        <v>113</v>
      </c>
    </row>
    <row r="66" spans="1:3" x14ac:dyDescent="0.25">
      <c r="A66" t="s">
        <v>1</v>
      </c>
      <c r="B66" s="1">
        <v>43374</v>
      </c>
      <c r="C66">
        <v>127</v>
      </c>
    </row>
    <row r="67" spans="1:3" x14ac:dyDescent="0.25">
      <c r="A67" t="s">
        <v>1</v>
      </c>
      <c r="B67" s="1">
        <v>43375</v>
      </c>
      <c r="C67">
        <v>145</v>
      </c>
    </row>
    <row r="68" spans="1:3" x14ac:dyDescent="0.25">
      <c r="A68" t="s">
        <v>1</v>
      </c>
      <c r="B68" s="1">
        <v>43376</v>
      </c>
      <c r="C68">
        <v>134</v>
      </c>
    </row>
    <row r="69" spans="1:3" x14ac:dyDescent="0.25">
      <c r="A69" t="s">
        <v>1</v>
      </c>
      <c r="B69" s="1">
        <v>43377</v>
      </c>
      <c r="C69">
        <v>145</v>
      </c>
    </row>
    <row r="70" spans="1:3" x14ac:dyDescent="0.25">
      <c r="A70" t="s">
        <v>1</v>
      </c>
      <c r="B70" s="1">
        <v>43378</v>
      </c>
      <c r="C70">
        <v>119</v>
      </c>
    </row>
    <row r="71" spans="1:3" x14ac:dyDescent="0.25">
      <c r="A71" t="s">
        <v>1</v>
      </c>
      <c r="B71" s="1">
        <v>43379</v>
      </c>
      <c r="C71">
        <v>118</v>
      </c>
    </row>
    <row r="72" spans="1:3" x14ac:dyDescent="0.25">
      <c r="A72" t="s">
        <v>1</v>
      </c>
      <c r="B72" s="1">
        <v>43380</v>
      </c>
      <c r="C72">
        <v>114</v>
      </c>
    </row>
    <row r="73" spans="1:3" x14ac:dyDescent="0.25">
      <c r="A73" t="s">
        <v>1</v>
      </c>
      <c r="B73" s="1">
        <v>43381</v>
      </c>
      <c r="C73">
        <v>136</v>
      </c>
    </row>
    <row r="74" spans="1:3" x14ac:dyDescent="0.25">
      <c r="A74" t="s">
        <v>1</v>
      </c>
      <c r="B74" s="1">
        <v>43382</v>
      </c>
      <c r="C74">
        <v>113</v>
      </c>
    </row>
    <row r="75" spans="1:3" x14ac:dyDescent="0.25">
      <c r="A75" t="s">
        <v>1</v>
      </c>
      <c r="B75" s="1">
        <v>43383</v>
      </c>
      <c r="C75">
        <v>126</v>
      </c>
    </row>
    <row r="76" spans="1:3" x14ac:dyDescent="0.25">
      <c r="A76" t="s">
        <v>1</v>
      </c>
      <c r="B76" s="1">
        <v>43384</v>
      </c>
      <c r="C76">
        <v>133</v>
      </c>
    </row>
    <row r="77" spans="1:3" x14ac:dyDescent="0.25">
      <c r="A77" t="s">
        <v>1</v>
      </c>
      <c r="B77" s="1">
        <v>43385</v>
      </c>
      <c r="C77">
        <v>148</v>
      </c>
    </row>
    <row r="78" spans="1:3" x14ac:dyDescent="0.25">
      <c r="A78" t="s">
        <v>1</v>
      </c>
      <c r="B78" s="1">
        <v>43386</v>
      </c>
      <c r="C78">
        <v>136</v>
      </c>
    </row>
    <row r="79" spans="1:3" x14ac:dyDescent="0.25">
      <c r="A79" t="s">
        <v>1</v>
      </c>
      <c r="B79" s="1">
        <v>43387</v>
      </c>
      <c r="C79">
        <v>120</v>
      </c>
    </row>
    <row r="80" spans="1:3" x14ac:dyDescent="0.25">
      <c r="A80" t="s">
        <v>1</v>
      </c>
      <c r="B80" s="1">
        <v>43388</v>
      </c>
      <c r="C80">
        <v>107</v>
      </c>
    </row>
    <row r="81" spans="1:3" x14ac:dyDescent="0.25">
      <c r="A81" t="s">
        <v>1</v>
      </c>
      <c r="B81" s="1">
        <v>43389</v>
      </c>
      <c r="C81">
        <v>143</v>
      </c>
    </row>
    <row r="82" spans="1:3" x14ac:dyDescent="0.25">
      <c r="A82" t="s">
        <v>1</v>
      </c>
      <c r="B82" s="1">
        <v>43390</v>
      </c>
      <c r="C82">
        <v>130</v>
      </c>
    </row>
    <row r="83" spans="1:3" x14ac:dyDescent="0.25">
      <c r="A83" t="s">
        <v>1</v>
      </c>
      <c r="B83" s="1">
        <v>43391</v>
      </c>
      <c r="C83">
        <v>112</v>
      </c>
    </row>
    <row r="84" spans="1:3" x14ac:dyDescent="0.25">
      <c r="A84" t="s">
        <v>1</v>
      </c>
      <c r="B84" s="1">
        <v>43392</v>
      </c>
      <c r="C84">
        <v>105</v>
      </c>
    </row>
    <row r="85" spans="1:3" x14ac:dyDescent="0.25">
      <c r="A85" t="s">
        <v>1</v>
      </c>
      <c r="B85" s="1">
        <v>43393</v>
      </c>
      <c r="C85">
        <v>108</v>
      </c>
    </row>
    <row r="86" spans="1:3" x14ac:dyDescent="0.25">
      <c r="A86" t="s">
        <v>1</v>
      </c>
      <c r="B86" s="1">
        <v>43394</v>
      </c>
      <c r="C86">
        <v>101</v>
      </c>
    </row>
    <row r="87" spans="1:3" x14ac:dyDescent="0.25">
      <c r="A87" t="s">
        <v>1</v>
      </c>
      <c r="B87" s="1">
        <v>43395</v>
      </c>
      <c r="C87">
        <v>107</v>
      </c>
    </row>
    <row r="88" spans="1:3" x14ac:dyDescent="0.25">
      <c r="A88" t="s">
        <v>1</v>
      </c>
      <c r="B88" s="1">
        <v>43396</v>
      </c>
      <c r="C88">
        <v>137</v>
      </c>
    </row>
    <row r="89" spans="1:3" x14ac:dyDescent="0.25">
      <c r="A89" t="s">
        <v>1</v>
      </c>
      <c r="B89" s="1">
        <v>43397</v>
      </c>
      <c r="C89">
        <v>113</v>
      </c>
    </row>
    <row r="90" spans="1:3" x14ac:dyDescent="0.25">
      <c r="A90" t="s">
        <v>1</v>
      </c>
      <c r="B90" s="1">
        <v>43398</v>
      </c>
      <c r="C90">
        <v>112</v>
      </c>
    </row>
    <row r="91" spans="1:3" x14ac:dyDescent="0.25">
      <c r="A91" t="s">
        <v>1</v>
      </c>
      <c r="B91" s="1">
        <v>43399</v>
      </c>
      <c r="C91">
        <v>126</v>
      </c>
    </row>
    <row r="92" spans="1:3" x14ac:dyDescent="0.25">
      <c r="A92" t="s">
        <v>1</v>
      </c>
      <c r="B92" s="1">
        <v>43400</v>
      </c>
      <c r="C92">
        <v>143</v>
      </c>
    </row>
    <row r="93" spans="1:3" x14ac:dyDescent="0.25">
      <c r="A93" t="s">
        <v>1</v>
      </c>
      <c r="B93" s="1">
        <v>43401</v>
      </c>
      <c r="C93">
        <v>147</v>
      </c>
    </row>
    <row r="94" spans="1:3" x14ac:dyDescent="0.25">
      <c r="A94" t="s">
        <v>1</v>
      </c>
      <c r="B94" s="1">
        <v>43402</v>
      </c>
      <c r="C94">
        <v>143</v>
      </c>
    </row>
    <row r="95" spans="1:3" x14ac:dyDescent="0.25">
      <c r="A95" t="s">
        <v>1</v>
      </c>
      <c r="B95" s="1">
        <v>43403</v>
      </c>
      <c r="C95">
        <v>149</v>
      </c>
    </row>
    <row r="96" spans="1:3" x14ac:dyDescent="0.25">
      <c r="A96" t="s">
        <v>1</v>
      </c>
      <c r="B96" s="1">
        <v>43404</v>
      </c>
      <c r="C96">
        <v>129</v>
      </c>
    </row>
    <row r="97" spans="1:3" x14ac:dyDescent="0.25">
      <c r="A97" t="s">
        <v>1</v>
      </c>
      <c r="B97" s="1">
        <v>43405</v>
      </c>
      <c r="C97">
        <v>113</v>
      </c>
    </row>
    <row r="98" spans="1:3" x14ac:dyDescent="0.25">
      <c r="A98" t="s">
        <v>1</v>
      </c>
      <c r="B98" s="1">
        <v>43406</v>
      </c>
      <c r="C98">
        <v>144</v>
      </c>
    </row>
    <row r="99" spans="1:3" x14ac:dyDescent="0.25">
      <c r="A99" t="s">
        <v>1</v>
      </c>
      <c r="B99" s="1">
        <v>43407</v>
      </c>
      <c r="C99">
        <v>140</v>
      </c>
    </row>
    <row r="100" spans="1:3" x14ac:dyDescent="0.25">
      <c r="A100" t="s">
        <v>1</v>
      </c>
      <c r="B100" s="1">
        <v>43408</v>
      </c>
      <c r="C100">
        <v>150</v>
      </c>
    </row>
    <row r="101" spans="1:3" x14ac:dyDescent="0.25">
      <c r="A101" t="s">
        <v>1</v>
      </c>
      <c r="B101" s="1">
        <v>43409</v>
      </c>
      <c r="C101">
        <v>100</v>
      </c>
    </row>
    <row r="102" spans="1:3" x14ac:dyDescent="0.25">
      <c r="A102" t="s">
        <v>1</v>
      </c>
      <c r="B102" s="1">
        <v>43410</v>
      </c>
      <c r="C102">
        <v>121</v>
      </c>
    </row>
    <row r="103" spans="1:3" x14ac:dyDescent="0.25">
      <c r="A103" t="s">
        <v>1</v>
      </c>
      <c r="B103" s="1">
        <v>43411</v>
      </c>
      <c r="C103">
        <v>120</v>
      </c>
    </row>
    <row r="104" spans="1:3" x14ac:dyDescent="0.25">
      <c r="A104" t="s">
        <v>1</v>
      </c>
      <c r="B104" s="1">
        <v>43412</v>
      </c>
      <c r="C104">
        <v>114</v>
      </c>
    </row>
    <row r="105" spans="1:3" x14ac:dyDescent="0.25">
      <c r="A105" t="s">
        <v>1</v>
      </c>
      <c r="B105" s="1">
        <v>43413</v>
      </c>
      <c r="C105">
        <v>101</v>
      </c>
    </row>
    <row r="106" spans="1:3" x14ac:dyDescent="0.25">
      <c r="A106" t="s">
        <v>1</v>
      </c>
      <c r="B106" s="1">
        <v>43414</v>
      </c>
      <c r="C106">
        <v>117</v>
      </c>
    </row>
    <row r="107" spans="1:3" x14ac:dyDescent="0.25">
      <c r="A107" t="s">
        <v>1</v>
      </c>
      <c r="B107" s="1">
        <v>43415</v>
      </c>
      <c r="C107">
        <v>150</v>
      </c>
    </row>
    <row r="108" spans="1:3" x14ac:dyDescent="0.25">
      <c r="A108" t="s">
        <v>1</v>
      </c>
      <c r="B108" s="1">
        <v>43416</v>
      </c>
      <c r="C108">
        <v>144</v>
      </c>
    </row>
    <row r="109" spans="1:3" x14ac:dyDescent="0.25">
      <c r="A109" t="s">
        <v>1</v>
      </c>
      <c r="B109" s="1">
        <v>43417</v>
      </c>
      <c r="C109">
        <v>125</v>
      </c>
    </row>
    <row r="110" spans="1:3" x14ac:dyDescent="0.25">
      <c r="A110" t="s">
        <v>1</v>
      </c>
      <c r="B110" s="1">
        <v>43418</v>
      </c>
      <c r="C110">
        <v>107</v>
      </c>
    </row>
    <row r="111" spans="1:3" x14ac:dyDescent="0.25">
      <c r="A111" t="s">
        <v>1</v>
      </c>
      <c r="B111" s="1">
        <v>43419</v>
      </c>
      <c r="C111">
        <v>120</v>
      </c>
    </row>
    <row r="112" spans="1:3" x14ac:dyDescent="0.25">
      <c r="A112" t="s">
        <v>1</v>
      </c>
      <c r="B112" s="1">
        <v>43420</v>
      </c>
      <c r="C112">
        <v>123</v>
      </c>
    </row>
    <row r="113" spans="1:3" x14ac:dyDescent="0.25">
      <c r="A113" t="s">
        <v>1</v>
      </c>
      <c r="B113" s="1">
        <v>43421</v>
      </c>
      <c r="C113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E126-D1E9-40A8-B9F7-DF030F40C5E8}">
  <sheetPr codeName="Planilha2"/>
  <dimension ref="B3:W123"/>
  <sheetViews>
    <sheetView showGridLines="0" tabSelected="1" workbookViewId="0">
      <selection activeCell="D4" sqref="D4"/>
    </sheetView>
  </sheetViews>
  <sheetFormatPr defaultRowHeight="15" x14ac:dyDescent="0.25"/>
  <cols>
    <col min="1" max="1" width="3.5703125" customWidth="1"/>
    <col min="2" max="2" width="15.85546875" bestFit="1" customWidth="1"/>
    <col min="3" max="7" width="11.85546875" customWidth="1"/>
    <col min="8" max="8" width="15.7109375" customWidth="1"/>
    <col min="9" max="9" width="11.85546875" customWidth="1"/>
    <col min="10" max="10" width="5.7109375" bestFit="1" customWidth="1"/>
    <col min="11" max="11" width="18" style="18" bestFit="1" customWidth="1"/>
    <col min="12" max="12" width="13.85546875" style="18" bestFit="1" customWidth="1"/>
    <col min="13" max="13" width="10" style="23" bestFit="1" customWidth="1"/>
    <col min="14" max="14" width="13.7109375" style="9" bestFit="1" customWidth="1"/>
    <col min="15" max="15" width="13.42578125" style="25" customWidth="1"/>
    <col min="16" max="16" width="12.85546875" style="21" bestFit="1" customWidth="1"/>
    <col min="17" max="23" width="4.85546875" customWidth="1"/>
  </cols>
  <sheetData>
    <row r="3" spans="2:23" ht="60" x14ac:dyDescent="0.25">
      <c r="B3" s="16" t="s">
        <v>3</v>
      </c>
      <c r="C3" s="17" t="s">
        <v>11</v>
      </c>
      <c r="D3" s="17" t="s">
        <v>4</v>
      </c>
      <c r="E3" s="17" t="s">
        <v>5</v>
      </c>
      <c r="F3" s="17" t="s">
        <v>9</v>
      </c>
      <c r="G3" s="17" t="s">
        <v>6</v>
      </c>
      <c r="H3" s="17" t="s">
        <v>10</v>
      </c>
      <c r="I3" s="17" t="s">
        <v>12</v>
      </c>
      <c r="J3" s="9"/>
      <c r="M3" s="18"/>
      <c r="O3" s="26"/>
      <c r="P3" s="20"/>
      <c r="Q3" s="9"/>
      <c r="R3" s="9"/>
      <c r="S3" s="9"/>
      <c r="T3" s="9"/>
      <c r="U3" s="9"/>
      <c r="V3" s="9"/>
      <c r="W3" s="9"/>
    </row>
    <row r="4" spans="2:23" x14ac:dyDescent="0.25">
      <c r="B4" s="13" t="s">
        <v>1</v>
      </c>
      <c r="C4" s="14">
        <f ca="1">AVERAGE(OFFSET(L5,0,0,COUNT($L:$L)))</f>
        <v>124.0625</v>
      </c>
      <c r="D4" s="14">
        <f ca="1">_xlfn.STDEV.S(OFFSET(L5,0,0,COUNT($L:$L)))</f>
        <v>15.568668727477823</v>
      </c>
      <c r="E4" s="13">
        <v>5</v>
      </c>
      <c r="F4" s="15">
        <v>0.95</v>
      </c>
      <c r="G4" s="14">
        <f ca="1">NORMSINV(F4)*SQRT((D4^2)*E4+(C4^2)*(1^2))</f>
        <v>211.94640211628823</v>
      </c>
      <c r="H4" s="14">
        <f ca="1">C4*E4+G4</f>
        <v>832.25890211628825</v>
      </c>
      <c r="I4" s="14">
        <f ca="1">(C4+G4)*E4</f>
        <v>1680.0445105814413</v>
      </c>
      <c r="K4" s="10" t="s">
        <v>14</v>
      </c>
      <c r="L4" t="s">
        <v>15</v>
      </c>
      <c r="M4" s="24" t="s">
        <v>16</v>
      </c>
      <c r="N4" s="9" t="s">
        <v>17</v>
      </c>
      <c r="O4" s="27" t="s">
        <v>18</v>
      </c>
      <c r="P4" s="22" t="s">
        <v>19</v>
      </c>
    </row>
    <row r="5" spans="2:23" x14ac:dyDescent="0.25">
      <c r="K5" s="11">
        <v>43310</v>
      </c>
      <c r="L5" s="12">
        <v>105</v>
      </c>
      <c r="M5" s="18">
        <f>IFERROR(VLOOKUP(K5,$O$1:$P4,2,0),0)</f>
        <v>0</v>
      </c>
      <c r="N5" s="19">
        <v>1575</v>
      </c>
      <c r="O5" s="25" t="str">
        <f ca="1">IF(N5&lt;=$H$4,IF(COUNT(OFFSET(O4,,,-4))&gt;0,"",K5+$E$4),"")</f>
        <v/>
      </c>
      <c r="P5" s="21" t="str">
        <f ca="1">IF(ISNUMBER(O5),$I$4-(N5-SUM(L5:L9)),"")</f>
        <v/>
      </c>
    </row>
    <row r="6" spans="2:23" x14ac:dyDescent="0.25">
      <c r="K6" s="11">
        <v>43311</v>
      </c>
      <c r="L6" s="12">
        <v>138</v>
      </c>
      <c r="M6" s="18">
        <f ca="1">IFERROR(VLOOKUP(K6,$O$1:$P5,2,0),0)</f>
        <v>0</v>
      </c>
      <c r="N6" s="19">
        <f ca="1">N5+M6-L6</f>
        <v>1437</v>
      </c>
      <c r="O6" s="25" t="str">
        <f t="shared" ref="O6:O18" ca="1" si="0">IF(N6&lt;=$H$4,IF(COUNT(OFFSET(O5,,,-4))&gt;0,"",K6+$E$4),"")</f>
        <v/>
      </c>
      <c r="P6" s="21" t="str">
        <f t="shared" ref="P6:P19" ca="1" si="1">IF(ISNUMBER(O6),$I$4-(N6-SUM(L6:L10)),"")</f>
        <v/>
      </c>
    </row>
    <row r="7" spans="2:23" x14ac:dyDescent="0.25">
      <c r="K7" s="11">
        <v>43312</v>
      </c>
      <c r="L7" s="12">
        <v>137</v>
      </c>
      <c r="M7" s="18">
        <f ca="1">IFERROR(VLOOKUP(K7,$O$1:$P6,2,0),0)</f>
        <v>0</v>
      </c>
      <c r="N7" s="19">
        <f t="shared" ref="N7:N70" ca="1" si="2">N6+M7-L7</f>
        <v>1300</v>
      </c>
      <c r="O7" s="25" t="str">
        <f t="shared" ca="1" si="0"/>
        <v/>
      </c>
      <c r="P7" s="21" t="str">
        <f t="shared" ca="1" si="1"/>
        <v/>
      </c>
    </row>
    <row r="8" spans="2:23" x14ac:dyDescent="0.25">
      <c r="K8" s="11">
        <v>43313</v>
      </c>
      <c r="L8" s="12">
        <v>143</v>
      </c>
      <c r="M8" s="18">
        <f ca="1">IFERROR(VLOOKUP(K8,$O$1:$P7,2,0),0)</f>
        <v>0</v>
      </c>
      <c r="N8" s="19">
        <f t="shared" ca="1" si="2"/>
        <v>1157</v>
      </c>
      <c r="O8" s="25" t="str">
        <f t="shared" ca="1" si="0"/>
        <v/>
      </c>
      <c r="P8" s="21" t="str">
        <f t="shared" ca="1" si="1"/>
        <v/>
      </c>
    </row>
    <row r="9" spans="2:23" x14ac:dyDescent="0.25">
      <c r="K9" s="11">
        <v>43314</v>
      </c>
      <c r="L9" s="12">
        <v>125</v>
      </c>
      <c r="M9" s="18">
        <f ca="1">IFERROR(VLOOKUP(K9,$O$1:$P8,2,0),0)</f>
        <v>0</v>
      </c>
      <c r="N9" s="19">
        <f t="shared" ca="1" si="2"/>
        <v>1032</v>
      </c>
      <c r="O9" s="25" t="str">
        <f t="shared" ca="1" si="0"/>
        <v/>
      </c>
      <c r="P9" s="21" t="str">
        <f t="shared" ca="1" si="1"/>
        <v/>
      </c>
    </row>
    <row r="10" spans="2:23" x14ac:dyDescent="0.25">
      <c r="K10" s="11">
        <v>43315</v>
      </c>
      <c r="L10" s="12">
        <v>106</v>
      </c>
      <c r="M10" s="18">
        <f ca="1">IFERROR(VLOOKUP(K10,$O$1:$P9,2,0),0)</f>
        <v>0</v>
      </c>
      <c r="N10" s="19">
        <f t="shared" ca="1" si="2"/>
        <v>926</v>
      </c>
      <c r="O10" s="25" t="str">
        <f t="shared" ca="1" si="0"/>
        <v/>
      </c>
      <c r="P10" s="21" t="str">
        <f t="shared" ca="1" si="1"/>
        <v/>
      </c>
    </row>
    <row r="11" spans="2:23" x14ac:dyDescent="0.25">
      <c r="K11" s="11">
        <v>43316</v>
      </c>
      <c r="L11" s="12">
        <v>129</v>
      </c>
      <c r="M11" s="18">
        <f ca="1">IFERROR(VLOOKUP(K11,$O$1:$P10,2,0),0)</f>
        <v>0</v>
      </c>
      <c r="N11" s="19">
        <f t="shared" ca="1" si="2"/>
        <v>797</v>
      </c>
      <c r="O11" s="25">
        <f t="shared" ca="1" si="0"/>
        <v>43321</v>
      </c>
      <c r="P11" s="21">
        <f t="shared" ca="1" si="1"/>
        <v>1499.0445105814413</v>
      </c>
    </row>
    <row r="12" spans="2:23" x14ac:dyDescent="0.25">
      <c r="K12" s="11">
        <v>43317</v>
      </c>
      <c r="L12" s="12">
        <v>101</v>
      </c>
      <c r="M12" s="18">
        <f ca="1">IFERROR(VLOOKUP(K12,$O$1:$P11,2,0),0)</f>
        <v>0</v>
      </c>
      <c r="N12" s="19">
        <f t="shared" ca="1" si="2"/>
        <v>696</v>
      </c>
      <c r="O12" s="25" t="str">
        <f t="shared" ref="O12:O18" ca="1" si="3">IF(N12&lt;=$H$4,IF(COUNT(OFFSET(O11,,,-4))&gt;0,"",K12+$E$4),"")</f>
        <v/>
      </c>
      <c r="P12" s="21" t="str">
        <f t="shared" ref="P12:P18" ca="1" si="4">IF(ISNUMBER(O12),$I$4-(N12-SUM(L12:L16)),"")</f>
        <v/>
      </c>
    </row>
    <row r="13" spans="2:23" x14ac:dyDescent="0.25">
      <c r="K13" s="11">
        <v>43318</v>
      </c>
      <c r="L13" s="12">
        <v>142</v>
      </c>
      <c r="M13" s="18">
        <f ca="1">IFERROR(VLOOKUP(K13,$O$1:$P12,2,0),0)</f>
        <v>0</v>
      </c>
      <c r="N13" s="19">
        <f t="shared" ca="1" si="2"/>
        <v>554</v>
      </c>
      <c r="O13" s="25" t="str">
        <f t="shared" ca="1" si="3"/>
        <v/>
      </c>
      <c r="P13" s="21" t="str">
        <f t="shared" ca="1" si="4"/>
        <v/>
      </c>
    </row>
    <row r="14" spans="2:23" x14ac:dyDescent="0.25">
      <c r="K14" s="11">
        <v>43319</v>
      </c>
      <c r="L14" s="12">
        <v>141</v>
      </c>
      <c r="M14" s="18">
        <f ca="1">IFERROR(VLOOKUP(K14,$O$1:$P13,2,0),0)</f>
        <v>0</v>
      </c>
      <c r="N14" s="19">
        <f t="shared" ca="1" si="2"/>
        <v>413</v>
      </c>
      <c r="O14" s="25" t="str">
        <f t="shared" ca="1" si="3"/>
        <v/>
      </c>
      <c r="P14" s="21" t="str">
        <f t="shared" ca="1" si="4"/>
        <v/>
      </c>
    </row>
    <row r="15" spans="2:23" x14ac:dyDescent="0.25">
      <c r="K15" s="11">
        <v>43320</v>
      </c>
      <c r="L15" s="12">
        <v>103</v>
      </c>
      <c r="M15" s="18">
        <f ca="1">IFERROR(VLOOKUP(K15,$O$1:$P14,2,0),0)</f>
        <v>0</v>
      </c>
      <c r="N15" s="19">
        <f t="shared" ca="1" si="2"/>
        <v>310</v>
      </c>
      <c r="O15" s="25" t="str">
        <f t="shared" ca="1" si="3"/>
        <v/>
      </c>
      <c r="P15" s="21" t="str">
        <f t="shared" ca="1" si="4"/>
        <v/>
      </c>
    </row>
    <row r="16" spans="2:23" x14ac:dyDescent="0.25">
      <c r="K16" s="11">
        <v>43321</v>
      </c>
      <c r="L16" s="12">
        <v>142</v>
      </c>
      <c r="M16" s="18">
        <f ca="1">IFERROR(VLOOKUP(K16,$O$1:$P15,2,0),0)</f>
        <v>1499.0445105814413</v>
      </c>
      <c r="N16" s="19">
        <f t="shared" ca="1" si="2"/>
        <v>1667.0445105814413</v>
      </c>
      <c r="O16" s="25" t="str">
        <f t="shared" ca="1" si="3"/>
        <v/>
      </c>
      <c r="P16" s="21" t="str">
        <f t="shared" ca="1" si="4"/>
        <v/>
      </c>
    </row>
    <row r="17" spans="11:16" x14ac:dyDescent="0.25">
      <c r="K17" s="11">
        <v>43322</v>
      </c>
      <c r="L17" s="12">
        <v>144</v>
      </c>
      <c r="M17" s="18">
        <f ca="1">IFERROR(VLOOKUP(K17,$O$1:$P16,2,0),0)</f>
        <v>0</v>
      </c>
      <c r="N17" s="19">
        <f t="shared" ca="1" si="2"/>
        <v>1523.0445105814413</v>
      </c>
      <c r="O17" s="25" t="str">
        <f t="shared" ca="1" si="3"/>
        <v/>
      </c>
      <c r="P17" s="21" t="str">
        <f t="shared" ca="1" si="4"/>
        <v/>
      </c>
    </row>
    <row r="18" spans="11:16" x14ac:dyDescent="0.25">
      <c r="K18" s="11">
        <v>43323</v>
      </c>
      <c r="L18" s="12">
        <v>107</v>
      </c>
      <c r="M18" s="18">
        <f ca="1">IFERROR(VLOOKUP(K18,$O$1:$P17,2,0),0)</f>
        <v>0</v>
      </c>
      <c r="N18" s="19">
        <f t="shared" ca="1" si="2"/>
        <v>1416.0445105814413</v>
      </c>
      <c r="O18" s="25" t="str">
        <f t="shared" ca="1" si="3"/>
        <v/>
      </c>
      <c r="P18" s="21" t="str">
        <f t="shared" ca="1" si="4"/>
        <v/>
      </c>
    </row>
    <row r="19" spans="11:16" x14ac:dyDescent="0.25">
      <c r="K19" s="11">
        <v>43324</v>
      </c>
      <c r="L19" s="12">
        <v>126</v>
      </c>
      <c r="M19" s="18">
        <f ca="1">IFERROR(VLOOKUP(K19,$O$1:$P18,2,0),0)</f>
        <v>0</v>
      </c>
      <c r="N19" s="19">
        <f t="shared" ca="1" si="2"/>
        <v>1290.0445105814413</v>
      </c>
      <c r="O19" s="25" t="str">
        <f t="shared" ref="O19:O82" ca="1" si="5">IF(N19&lt;=$H$4,IF(COUNT(OFFSET(O18,,,-4))&gt;0,"",K19+$E$4),"")</f>
        <v/>
      </c>
      <c r="P19" s="21" t="str">
        <f t="shared" ref="P19:P82" ca="1" si="6">IF(ISNUMBER(O19),$I$4-(N19-SUM(L19:L23)),"")</f>
        <v/>
      </c>
    </row>
    <row r="20" spans="11:16" x14ac:dyDescent="0.25">
      <c r="K20" s="11">
        <v>43325</v>
      </c>
      <c r="L20" s="12">
        <v>101</v>
      </c>
      <c r="M20" s="18">
        <f ca="1">IFERROR(VLOOKUP(K20,$O$1:$P19,2,0),0)</f>
        <v>0</v>
      </c>
      <c r="N20" s="19">
        <f t="shared" ca="1" si="2"/>
        <v>1189.0445105814413</v>
      </c>
      <c r="O20" s="25" t="str">
        <f t="shared" ca="1" si="5"/>
        <v/>
      </c>
      <c r="P20" s="21" t="str">
        <f t="shared" ca="1" si="6"/>
        <v/>
      </c>
    </row>
    <row r="21" spans="11:16" x14ac:dyDescent="0.25">
      <c r="K21" s="11">
        <v>43326</v>
      </c>
      <c r="L21" s="12">
        <v>100</v>
      </c>
      <c r="M21" s="18">
        <f ca="1">IFERROR(VLOOKUP(K21,$O$1:$P20,2,0),0)</f>
        <v>0</v>
      </c>
      <c r="N21" s="19">
        <f t="shared" ca="1" si="2"/>
        <v>1089.0445105814413</v>
      </c>
      <c r="O21" s="25" t="str">
        <f t="shared" ca="1" si="5"/>
        <v/>
      </c>
      <c r="P21" s="21" t="str">
        <f t="shared" ca="1" si="6"/>
        <v/>
      </c>
    </row>
    <row r="22" spans="11:16" x14ac:dyDescent="0.25">
      <c r="K22" s="11">
        <v>43327</v>
      </c>
      <c r="L22" s="12">
        <v>104</v>
      </c>
      <c r="M22" s="18">
        <f ca="1">IFERROR(VLOOKUP(K22,$O$1:$P21,2,0),0)</f>
        <v>0</v>
      </c>
      <c r="N22" s="19">
        <f t="shared" ca="1" si="2"/>
        <v>985.04451058144127</v>
      </c>
      <c r="O22" s="25" t="str">
        <f t="shared" ca="1" si="5"/>
        <v/>
      </c>
      <c r="P22" s="21" t="str">
        <f t="shared" ca="1" si="6"/>
        <v/>
      </c>
    </row>
    <row r="23" spans="11:16" x14ac:dyDescent="0.25">
      <c r="K23" s="11">
        <v>43328</v>
      </c>
      <c r="L23" s="12">
        <v>131</v>
      </c>
      <c r="M23" s="18">
        <f ca="1">IFERROR(VLOOKUP(K23,$O$1:$P22,2,0),0)</f>
        <v>0</v>
      </c>
      <c r="N23" s="19">
        <f t="shared" ca="1" si="2"/>
        <v>854.04451058144127</v>
      </c>
      <c r="O23" s="25" t="str">
        <f t="shared" ca="1" si="5"/>
        <v/>
      </c>
      <c r="P23" s="21" t="str">
        <f t="shared" ca="1" si="6"/>
        <v/>
      </c>
    </row>
    <row r="24" spans="11:16" x14ac:dyDescent="0.25">
      <c r="K24" s="11">
        <v>43329</v>
      </c>
      <c r="L24" s="12">
        <v>101</v>
      </c>
      <c r="M24" s="18">
        <f ca="1">IFERROR(VLOOKUP(K24,$O$1:$P23,2,0),0)</f>
        <v>0</v>
      </c>
      <c r="N24" s="19">
        <f t="shared" ca="1" si="2"/>
        <v>753.04451058144127</v>
      </c>
      <c r="O24" s="25">
        <f t="shared" ca="1" si="5"/>
        <v>43334</v>
      </c>
      <c r="P24" s="21">
        <f t="shared" ca="1" si="6"/>
        <v>1502</v>
      </c>
    </row>
    <row r="25" spans="11:16" x14ac:dyDescent="0.25">
      <c r="K25" s="11">
        <v>43330</v>
      </c>
      <c r="L25" s="12">
        <v>120</v>
      </c>
      <c r="M25" s="18">
        <f ca="1">IFERROR(VLOOKUP(K25,$O$1:$P24,2,0),0)</f>
        <v>0</v>
      </c>
      <c r="N25" s="19">
        <f t="shared" ca="1" si="2"/>
        <v>633.04451058144127</v>
      </c>
      <c r="O25" s="25" t="str">
        <f t="shared" ca="1" si="5"/>
        <v/>
      </c>
      <c r="P25" s="21" t="str">
        <f t="shared" ca="1" si="6"/>
        <v/>
      </c>
    </row>
    <row r="26" spans="11:16" x14ac:dyDescent="0.25">
      <c r="K26" s="11">
        <v>43331</v>
      </c>
      <c r="L26" s="12">
        <v>109</v>
      </c>
      <c r="M26" s="18">
        <f ca="1">IFERROR(VLOOKUP(K26,$O$1:$P25,2,0),0)</f>
        <v>0</v>
      </c>
      <c r="N26" s="19">
        <f t="shared" ca="1" si="2"/>
        <v>524.04451058144127</v>
      </c>
      <c r="O26" s="25" t="str">
        <f t="shared" ca="1" si="5"/>
        <v/>
      </c>
      <c r="P26" s="21" t="str">
        <f t="shared" ca="1" si="6"/>
        <v/>
      </c>
    </row>
    <row r="27" spans="11:16" x14ac:dyDescent="0.25">
      <c r="K27" s="11">
        <v>43332</v>
      </c>
      <c r="L27" s="12">
        <v>126</v>
      </c>
      <c r="M27" s="18">
        <f ca="1">IFERROR(VLOOKUP(K27,$O$1:$P26,2,0),0)</f>
        <v>0</v>
      </c>
      <c r="N27" s="19">
        <f t="shared" ca="1" si="2"/>
        <v>398.04451058144127</v>
      </c>
      <c r="O27" s="25" t="str">
        <f t="shared" ca="1" si="5"/>
        <v/>
      </c>
      <c r="P27" s="21" t="str">
        <f t="shared" ca="1" si="6"/>
        <v/>
      </c>
    </row>
    <row r="28" spans="11:16" x14ac:dyDescent="0.25">
      <c r="K28" s="11">
        <v>43333</v>
      </c>
      <c r="L28" s="12">
        <v>119</v>
      </c>
      <c r="M28" s="18">
        <f ca="1">IFERROR(VLOOKUP(K28,$O$1:$P27,2,0),0)</f>
        <v>0</v>
      </c>
      <c r="N28" s="19">
        <f t="shared" ca="1" si="2"/>
        <v>279.04451058144127</v>
      </c>
      <c r="O28" s="25" t="str">
        <f t="shared" ca="1" si="5"/>
        <v/>
      </c>
      <c r="P28" s="21" t="str">
        <f t="shared" ca="1" si="6"/>
        <v/>
      </c>
    </row>
    <row r="29" spans="11:16" x14ac:dyDescent="0.25">
      <c r="K29" s="11">
        <v>43334</v>
      </c>
      <c r="L29" s="12">
        <v>101</v>
      </c>
      <c r="M29" s="18">
        <f ca="1">IFERROR(VLOOKUP(K29,$O$1:$P28,2,0),0)</f>
        <v>1502</v>
      </c>
      <c r="N29" s="19">
        <f t="shared" ca="1" si="2"/>
        <v>1680.0445105814413</v>
      </c>
      <c r="O29" s="25" t="str">
        <f t="shared" ca="1" si="5"/>
        <v/>
      </c>
      <c r="P29" s="21" t="str">
        <f t="shared" ca="1" si="6"/>
        <v/>
      </c>
    </row>
    <row r="30" spans="11:16" x14ac:dyDescent="0.25">
      <c r="K30" s="11">
        <v>43335</v>
      </c>
      <c r="L30" s="12">
        <v>119</v>
      </c>
      <c r="M30" s="18">
        <f ca="1">IFERROR(VLOOKUP(K30,$O$1:$P29,2,0),0)</f>
        <v>0</v>
      </c>
      <c r="N30" s="19">
        <f t="shared" ca="1" si="2"/>
        <v>1561.0445105814413</v>
      </c>
      <c r="O30" s="25" t="str">
        <f t="shared" ca="1" si="5"/>
        <v/>
      </c>
      <c r="P30" s="21" t="str">
        <f t="shared" ca="1" si="6"/>
        <v/>
      </c>
    </row>
    <row r="31" spans="11:16" x14ac:dyDescent="0.25">
      <c r="K31" s="11">
        <v>43336</v>
      </c>
      <c r="L31" s="12">
        <v>113</v>
      </c>
      <c r="M31" s="18">
        <f ca="1">IFERROR(VLOOKUP(K31,$O$1:$P30,2,0),0)</f>
        <v>0</v>
      </c>
      <c r="N31" s="19">
        <f t="shared" ca="1" si="2"/>
        <v>1448.0445105814413</v>
      </c>
      <c r="O31" s="25" t="str">
        <f t="shared" ca="1" si="5"/>
        <v/>
      </c>
      <c r="P31" s="21" t="str">
        <f t="shared" ca="1" si="6"/>
        <v/>
      </c>
    </row>
    <row r="32" spans="11:16" x14ac:dyDescent="0.25">
      <c r="K32" s="11">
        <v>43337</v>
      </c>
      <c r="L32" s="12">
        <v>135</v>
      </c>
      <c r="M32" s="18">
        <f ca="1">IFERROR(VLOOKUP(K32,$O$1:$P31,2,0),0)</f>
        <v>0</v>
      </c>
      <c r="N32" s="19">
        <f t="shared" ca="1" si="2"/>
        <v>1313.0445105814413</v>
      </c>
      <c r="O32" s="25" t="str">
        <f t="shared" ca="1" si="5"/>
        <v/>
      </c>
      <c r="P32" s="21" t="str">
        <f t="shared" ca="1" si="6"/>
        <v/>
      </c>
    </row>
    <row r="33" spans="11:16" x14ac:dyDescent="0.25">
      <c r="K33" s="11">
        <v>43338</v>
      </c>
      <c r="L33" s="12">
        <v>125</v>
      </c>
      <c r="M33" s="18">
        <f ca="1">IFERROR(VLOOKUP(K33,$O$1:$P32,2,0),0)</f>
        <v>0</v>
      </c>
      <c r="N33" s="19">
        <f t="shared" ca="1" si="2"/>
        <v>1188.0445105814413</v>
      </c>
      <c r="O33" s="25" t="str">
        <f t="shared" ca="1" si="5"/>
        <v/>
      </c>
      <c r="P33" s="21" t="str">
        <f t="shared" ca="1" si="6"/>
        <v/>
      </c>
    </row>
    <row r="34" spans="11:16" x14ac:dyDescent="0.25">
      <c r="K34" s="11">
        <v>43339</v>
      </c>
      <c r="L34" s="12">
        <v>136</v>
      </c>
      <c r="M34" s="18">
        <f ca="1">IFERROR(VLOOKUP(K34,$O$1:$P33,2,0),0)</f>
        <v>0</v>
      </c>
      <c r="N34" s="19">
        <f t="shared" ca="1" si="2"/>
        <v>1052.0445105814413</v>
      </c>
      <c r="O34" s="25" t="str">
        <f t="shared" ca="1" si="5"/>
        <v/>
      </c>
      <c r="P34" s="21" t="str">
        <f t="shared" ca="1" si="6"/>
        <v/>
      </c>
    </row>
    <row r="35" spans="11:16" x14ac:dyDescent="0.25">
      <c r="K35" s="11">
        <v>43340</v>
      </c>
      <c r="L35" s="12">
        <v>128</v>
      </c>
      <c r="M35" s="18">
        <f ca="1">IFERROR(VLOOKUP(K35,$O$1:$P34,2,0),0)</f>
        <v>0</v>
      </c>
      <c r="N35" s="19">
        <f t="shared" ca="1" si="2"/>
        <v>924.04451058144127</v>
      </c>
      <c r="O35" s="25" t="str">
        <f t="shared" ca="1" si="5"/>
        <v/>
      </c>
      <c r="P35" s="21" t="str">
        <f t="shared" ca="1" si="6"/>
        <v/>
      </c>
    </row>
    <row r="36" spans="11:16" x14ac:dyDescent="0.25">
      <c r="K36" s="11">
        <v>43341</v>
      </c>
      <c r="L36" s="12">
        <v>106</v>
      </c>
      <c r="M36" s="18">
        <f ca="1">IFERROR(VLOOKUP(K36,$O$1:$P35,2,0),0)</f>
        <v>0</v>
      </c>
      <c r="N36" s="19">
        <f t="shared" ca="1" si="2"/>
        <v>818.04451058144127</v>
      </c>
      <c r="O36" s="25">
        <f t="shared" ca="1" si="5"/>
        <v>43346</v>
      </c>
      <c r="P36" s="21">
        <f t="shared" ca="1" si="6"/>
        <v>1494</v>
      </c>
    </row>
    <row r="37" spans="11:16" x14ac:dyDescent="0.25">
      <c r="K37" s="11">
        <v>43342</v>
      </c>
      <c r="L37" s="12">
        <v>127</v>
      </c>
      <c r="M37" s="18">
        <f ca="1">IFERROR(VLOOKUP(K37,$O$1:$P36,2,0),0)</f>
        <v>0</v>
      </c>
      <c r="N37" s="19">
        <f t="shared" ca="1" si="2"/>
        <v>691.04451058144127</v>
      </c>
      <c r="O37" s="25" t="str">
        <f t="shared" ca="1" si="5"/>
        <v/>
      </c>
      <c r="P37" s="21" t="str">
        <f t="shared" ca="1" si="6"/>
        <v/>
      </c>
    </row>
    <row r="38" spans="11:16" x14ac:dyDescent="0.25">
      <c r="K38" s="11">
        <v>43343</v>
      </c>
      <c r="L38" s="12">
        <v>132</v>
      </c>
      <c r="M38" s="18">
        <f ca="1">IFERROR(VLOOKUP(K38,$O$1:$P37,2,0),0)</f>
        <v>0</v>
      </c>
      <c r="N38" s="19">
        <f t="shared" ca="1" si="2"/>
        <v>559.04451058144127</v>
      </c>
      <c r="O38" s="25" t="str">
        <f t="shared" ca="1" si="5"/>
        <v/>
      </c>
      <c r="P38" s="21" t="str">
        <f t="shared" ca="1" si="6"/>
        <v/>
      </c>
    </row>
    <row r="39" spans="11:16" x14ac:dyDescent="0.25">
      <c r="K39" s="11">
        <v>43344</v>
      </c>
      <c r="L39" s="12">
        <v>125</v>
      </c>
      <c r="M39" s="18">
        <f ca="1">IFERROR(VLOOKUP(K39,$O$1:$P38,2,0),0)</f>
        <v>0</v>
      </c>
      <c r="N39" s="19">
        <f t="shared" ca="1" si="2"/>
        <v>434.04451058144127</v>
      </c>
      <c r="O39" s="25" t="str">
        <f t="shared" ca="1" si="5"/>
        <v/>
      </c>
      <c r="P39" s="21" t="str">
        <f t="shared" ca="1" si="6"/>
        <v/>
      </c>
    </row>
    <row r="40" spans="11:16" x14ac:dyDescent="0.25">
      <c r="K40" s="11">
        <v>43345</v>
      </c>
      <c r="L40" s="12">
        <v>142</v>
      </c>
      <c r="M40" s="18">
        <f ca="1">IFERROR(VLOOKUP(K40,$O$1:$P39,2,0),0)</f>
        <v>0</v>
      </c>
      <c r="N40" s="19">
        <f t="shared" ca="1" si="2"/>
        <v>292.04451058144127</v>
      </c>
      <c r="O40" s="25" t="str">
        <f t="shared" ca="1" si="5"/>
        <v/>
      </c>
      <c r="P40" s="21" t="str">
        <f t="shared" ca="1" si="6"/>
        <v/>
      </c>
    </row>
    <row r="41" spans="11:16" x14ac:dyDescent="0.25">
      <c r="K41" s="11">
        <v>43346</v>
      </c>
      <c r="L41" s="12">
        <v>139</v>
      </c>
      <c r="M41" s="18">
        <f ca="1">IFERROR(VLOOKUP(K41,$O$1:$P40,2,0),0)</f>
        <v>1494</v>
      </c>
      <c r="N41" s="19">
        <f t="shared" ca="1" si="2"/>
        <v>1647.0445105814413</v>
      </c>
      <c r="O41" s="25" t="str">
        <f t="shared" ca="1" si="5"/>
        <v/>
      </c>
      <c r="P41" s="21" t="str">
        <f t="shared" ca="1" si="6"/>
        <v/>
      </c>
    </row>
    <row r="42" spans="11:16" x14ac:dyDescent="0.25">
      <c r="K42" s="11">
        <v>43347</v>
      </c>
      <c r="L42" s="12">
        <v>134</v>
      </c>
      <c r="M42" s="18">
        <f ca="1">IFERROR(VLOOKUP(K42,$O$1:$P41,2,0),0)</f>
        <v>0</v>
      </c>
      <c r="N42" s="19">
        <f t="shared" ca="1" si="2"/>
        <v>1513.0445105814413</v>
      </c>
      <c r="O42" s="25" t="str">
        <f t="shared" ca="1" si="5"/>
        <v/>
      </c>
      <c r="P42" s="21" t="str">
        <f t="shared" ca="1" si="6"/>
        <v/>
      </c>
    </row>
    <row r="43" spans="11:16" x14ac:dyDescent="0.25">
      <c r="K43" s="11">
        <v>43348</v>
      </c>
      <c r="L43" s="12">
        <v>100</v>
      </c>
      <c r="M43" s="18">
        <f ca="1">IFERROR(VLOOKUP(K43,$O$1:$P42,2,0),0)</f>
        <v>0</v>
      </c>
      <c r="N43" s="19">
        <f t="shared" ca="1" si="2"/>
        <v>1413.0445105814413</v>
      </c>
      <c r="O43" s="25" t="str">
        <f t="shared" ca="1" si="5"/>
        <v/>
      </c>
      <c r="P43" s="21" t="str">
        <f t="shared" ca="1" si="6"/>
        <v/>
      </c>
    </row>
    <row r="44" spans="11:16" x14ac:dyDescent="0.25">
      <c r="K44" s="11">
        <v>43349</v>
      </c>
      <c r="L44" s="12">
        <v>100</v>
      </c>
      <c r="M44" s="18">
        <f ca="1">IFERROR(VLOOKUP(K44,$O$1:$P43,2,0),0)</f>
        <v>0</v>
      </c>
      <c r="N44" s="19">
        <f t="shared" ca="1" si="2"/>
        <v>1313.0445105814413</v>
      </c>
      <c r="O44" s="25" t="str">
        <f t="shared" ca="1" si="5"/>
        <v/>
      </c>
      <c r="P44" s="21" t="str">
        <f t="shared" ca="1" si="6"/>
        <v/>
      </c>
    </row>
    <row r="45" spans="11:16" x14ac:dyDescent="0.25">
      <c r="K45" s="11">
        <v>43350</v>
      </c>
      <c r="L45" s="12">
        <v>147</v>
      </c>
      <c r="M45" s="18">
        <f ca="1">IFERROR(VLOOKUP(K45,$O$1:$P44,2,0),0)</f>
        <v>0</v>
      </c>
      <c r="N45" s="19">
        <f t="shared" ca="1" si="2"/>
        <v>1166.0445105814413</v>
      </c>
      <c r="O45" s="25" t="str">
        <f t="shared" ca="1" si="5"/>
        <v/>
      </c>
      <c r="P45" s="21" t="str">
        <f t="shared" ca="1" si="6"/>
        <v/>
      </c>
    </row>
    <row r="46" spans="11:16" x14ac:dyDescent="0.25">
      <c r="K46" s="11">
        <v>43351</v>
      </c>
      <c r="L46" s="12">
        <v>107</v>
      </c>
      <c r="M46" s="18">
        <f ca="1">IFERROR(VLOOKUP(K46,$O$1:$P45,2,0),0)</f>
        <v>0</v>
      </c>
      <c r="N46" s="19">
        <f t="shared" ca="1" si="2"/>
        <v>1059.0445105814413</v>
      </c>
      <c r="O46" s="25" t="str">
        <f t="shared" ca="1" si="5"/>
        <v/>
      </c>
      <c r="P46" s="21" t="str">
        <f t="shared" ca="1" si="6"/>
        <v/>
      </c>
    </row>
    <row r="47" spans="11:16" x14ac:dyDescent="0.25">
      <c r="K47" s="11">
        <v>43352</v>
      </c>
      <c r="L47" s="12">
        <v>142</v>
      </c>
      <c r="M47" s="18">
        <f ca="1">IFERROR(VLOOKUP(K47,$O$1:$P46,2,0),0)</f>
        <v>0</v>
      </c>
      <c r="N47" s="19">
        <f t="shared" ca="1" si="2"/>
        <v>917.04451058144127</v>
      </c>
      <c r="O47" s="25" t="str">
        <f t="shared" ca="1" si="5"/>
        <v/>
      </c>
      <c r="P47" s="21" t="str">
        <f t="shared" ca="1" si="6"/>
        <v/>
      </c>
    </row>
    <row r="48" spans="11:16" x14ac:dyDescent="0.25">
      <c r="K48" s="11">
        <v>43353</v>
      </c>
      <c r="L48" s="12">
        <v>134</v>
      </c>
      <c r="M48" s="18">
        <f ca="1">IFERROR(VLOOKUP(K48,$O$1:$P47,2,0),0)</f>
        <v>0</v>
      </c>
      <c r="N48" s="19">
        <f t="shared" ca="1" si="2"/>
        <v>783.04451058144127</v>
      </c>
      <c r="O48" s="25">
        <f t="shared" ca="1" si="5"/>
        <v>43358</v>
      </c>
      <c r="P48" s="21">
        <f t="shared" ca="1" si="6"/>
        <v>1523</v>
      </c>
    </row>
    <row r="49" spans="11:16" x14ac:dyDescent="0.25">
      <c r="K49" s="11">
        <v>43354</v>
      </c>
      <c r="L49" s="12">
        <v>131</v>
      </c>
      <c r="M49" s="18">
        <f ca="1">IFERROR(VLOOKUP(K49,$O$1:$P48,2,0),0)</f>
        <v>0</v>
      </c>
      <c r="N49" s="19">
        <f t="shared" ca="1" si="2"/>
        <v>652.04451058144127</v>
      </c>
      <c r="O49" s="25" t="str">
        <f t="shared" ca="1" si="5"/>
        <v/>
      </c>
      <c r="P49" s="21" t="str">
        <f t="shared" ca="1" si="6"/>
        <v/>
      </c>
    </row>
    <row r="50" spans="11:16" x14ac:dyDescent="0.25">
      <c r="K50" s="11">
        <v>43355</v>
      </c>
      <c r="L50" s="12">
        <v>128</v>
      </c>
      <c r="M50" s="18">
        <f ca="1">IFERROR(VLOOKUP(K50,$O$1:$P49,2,0),0)</f>
        <v>0</v>
      </c>
      <c r="N50" s="19">
        <f t="shared" ca="1" si="2"/>
        <v>524.04451058144127</v>
      </c>
      <c r="O50" s="25" t="str">
        <f t="shared" ca="1" si="5"/>
        <v/>
      </c>
      <c r="P50" s="21" t="str">
        <f t="shared" ca="1" si="6"/>
        <v/>
      </c>
    </row>
    <row r="51" spans="11:16" x14ac:dyDescent="0.25">
      <c r="K51" s="11">
        <v>43356</v>
      </c>
      <c r="L51" s="12">
        <v>133</v>
      </c>
      <c r="M51" s="18">
        <f ca="1">IFERROR(VLOOKUP(K51,$O$1:$P50,2,0),0)</f>
        <v>0</v>
      </c>
      <c r="N51" s="19">
        <f t="shared" ca="1" si="2"/>
        <v>391.04451058144127</v>
      </c>
      <c r="O51" s="25" t="str">
        <f t="shared" ca="1" si="5"/>
        <v/>
      </c>
      <c r="P51" s="21" t="str">
        <f t="shared" ca="1" si="6"/>
        <v/>
      </c>
    </row>
    <row r="52" spans="11:16" x14ac:dyDescent="0.25">
      <c r="K52" s="11">
        <v>43357</v>
      </c>
      <c r="L52" s="12">
        <v>100</v>
      </c>
      <c r="M52" s="18">
        <f ca="1">IFERROR(VLOOKUP(K52,$O$1:$P51,2,0),0)</f>
        <v>0</v>
      </c>
      <c r="N52" s="19">
        <f t="shared" ca="1" si="2"/>
        <v>291.04451058144127</v>
      </c>
      <c r="O52" s="25" t="str">
        <f t="shared" ca="1" si="5"/>
        <v/>
      </c>
      <c r="P52" s="21" t="str">
        <f t="shared" ca="1" si="6"/>
        <v/>
      </c>
    </row>
    <row r="53" spans="11:16" x14ac:dyDescent="0.25">
      <c r="K53" s="11">
        <v>43358</v>
      </c>
      <c r="L53" s="12">
        <v>134</v>
      </c>
      <c r="M53" s="18">
        <f ca="1">IFERROR(VLOOKUP(K53,$O$1:$P52,2,0),0)</f>
        <v>1523</v>
      </c>
      <c r="N53" s="19">
        <f t="shared" ca="1" si="2"/>
        <v>1680.0445105814413</v>
      </c>
      <c r="O53" s="25" t="str">
        <f t="shared" ca="1" si="5"/>
        <v/>
      </c>
      <c r="P53" s="21" t="str">
        <f t="shared" ca="1" si="6"/>
        <v/>
      </c>
    </row>
    <row r="54" spans="11:16" x14ac:dyDescent="0.25">
      <c r="K54" s="11">
        <v>43359</v>
      </c>
      <c r="L54" s="12">
        <v>104</v>
      </c>
      <c r="M54" s="18">
        <f ca="1">IFERROR(VLOOKUP(K54,$O$1:$P53,2,0),0)</f>
        <v>0</v>
      </c>
      <c r="N54" s="19">
        <f t="shared" ca="1" si="2"/>
        <v>1576.0445105814413</v>
      </c>
      <c r="O54" s="25" t="str">
        <f t="shared" ca="1" si="5"/>
        <v/>
      </c>
      <c r="P54" s="21" t="str">
        <f t="shared" ca="1" si="6"/>
        <v/>
      </c>
    </row>
    <row r="55" spans="11:16" x14ac:dyDescent="0.25">
      <c r="K55" s="11">
        <v>43360</v>
      </c>
      <c r="L55" s="12">
        <v>123</v>
      </c>
      <c r="M55" s="18">
        <f ca="1">IFERROR(VLOOKUP(K55,$O$1:$P54,2,0),0)</f>
        <v>0</v>
      </c>
      <c r="N55" s="19">
        <f t="shared" ca="1" si="2"/>
        <v>1453.0445105814413</v>
      </c>
      <c r="O55" s="25" t="str">
        <f t="shared" ca="1" si="5"/>
        <v/>
      </c>
      <c r="P55" s="21" t="str">
        <f t="shared" ca="1" si="6"/>
        <v/>
      </c>
    </row>
    <row r="56" spans="11:16" x14ac:dyDescent="0.25">
      <c r="K56" s="11">
        <v>43361</v>
      </c>
      <c r="L56" s="12">
        <v>127</v>
      </c>
      <c r="M56" s="18">
        <f ca="1">IFERROR(VLOOKUP(K56,$O$1:$P55,2,0),0)</f>
        <v>0</v>
      </c>
      <c r="N56" s="19">
        <f t="shared" ca="1" si="2"/>
        <v>1326.0445105814413</v>
      </c>
      <c r="O56" s="25" t="str">
        <f t="shared" ca="1" si="5"/>
        <v/>
      </c>
      <c r="P56" s="21" t="str">
        <f t="shared" ca="1" si="6"/>
        <v/>
      </c>
    </row>
    <row r="57" spans="11:16" x14ac:dyDescent="0.25">
      <c r="K57" s="11">
        <v>43362</v>
      </c>
      <c r="L57" s="12">
        <v>119</v>
      </c>
      <c r="M57" s="18">
        <f ca="1">IFERROR(VLOOKUP(K57,$O$1:$P56,2,0),0)</f>
        <v>0</v>
      </c>
      <c r="N57" s="19">
        <f t="shared" ca="1" si="2"/>
        <v>1207.0445105814413</v>
      </c>
      <c r="O57" s="25" t="str">
        <f t="shared" ca="1" si="5"/>
        <v/>
      </c>
      <c r="P57" s="21" t="str">
        <f t="shared" ca="1" si="6"/>
        <v/>
      </c>
    </row>
    <row r="58" spans="11:16" x14ac:dyDescent="0.25">
      <c r="K58" s="11">
        <v>43363</v>
      </c>
      <c r="L58" s="12">
        <v>135</v>
      </c>
      <c r="M58" s="18">
        <f ca="1">IFERROR(VLOOKUP(K58,$O$1:$P57,2,0),0)</f>
        <v>0</v>
      </c>
      <c r="N58" s="19">
        <f t="shared" ca="1" si="2"/>
        <v>1072.0445105814413</v>
      </c>
      <c r="O58" s="25" t="str">
        <f t="shared" ca="1" si="5"/>
        <v/>
      </c>
      <c r="P58" s="21" t="str">
        <f t="shared" ca="1" si="6"/>
        <v/>
      </c>
    </row>
    <row r="59" spans="11:16" x14ac:dyDescent="0.25">
      <c r="K59" s="11">
        <v>43364</v>
      </c>
      <c r="L59" s="12">
        <v>114</v>
      </c>
      <c r="M59" s="18">
        <f ca="1">IFERROR(VLOOKUP(K59,$O$1:$P58,2,0),0)</f>
        <v>0</v>
      </c>
      <c r="N59" s="19">
        <f t="shared" ca="1" si="2"/>
        <v>958.04451058144127</v>
      </c>
      <c r="O59" s="25" t="str">
        <f t="shared" ca="1" si="5"/>
        <v/>
      </c>
      <c r="P59" s="21" t="str">
        <f t="shared" ca="1" si="6"/>
        <v/>
      </c>
    </row>
    <row r="60" spans="11:16" x14ac:dyDescent="0.25">
      <c r="K60" s="11">
        <v>43365</v>
      </c>
      <c r="L60" s="12">
        <v>103</v>
      </c>
      <c r="M60" s="18">
        <f ca="1">IFERROR(VLOOKUP(K60,$O$1:$P59,2,0),0)</f>
        <v>0</v>
      </c>
      <c r="N60" s="19">
        <f t="shared" ca="1" si="2"/>
        <v>855.04451058144127</v>
      </c>
      <c r="O60" s="25" t="str">
        <f t="shared" ca="1" si="5"/>
        <v/>
      </c>
      <c r="P60" s="21" t="str">
        <f t="shared" ca="1" si="6"/>
        <v/>
      </c>
    </row>
    <row r="61" spans="11:16" x14ac:dyDescent="0.25">
      <c r="K61" s="11">
        <v>43366</v>
      </c>
      <c r="L61" s="12">
        <v>149</v>
      </c>
      <c r="M61" s="18">
        <f ca="1">IFERROR(VLOOKUP(K61,$O$1:$P60,2,0),0)</f>
        <v>0</v>
      </c>
      <c r="N61" s="19">
        <f t="shared" ca="1" si="2"/>
        <v>706.04451058144127</v>
      </c>
      <c r="O61" s="25">
        <f t="shared" ca="1" si="5"/>
        <v>43371</v>
      </c>
      <c r="P61" s="21">
        <f t="shared" ca="1" si="6"/>
        <v>1652</v>
      </c>
    </row>
    <row r="62" spans="11:16" x14ac:dyDescent="0.25">
      <c r="K62" s="11">
        <v>43367</v>
      </c>
      <c r="L62" s="12">
        <v>148</v>
      </c>
      <c r="M62" s="18">
        <f ca="1">IFERROR(VLOOKUP(K62,$O$1:$P61,2,0),0)</f>
        <v>0</v>
      </c>
      <c r="N62" s="19">
        <f t="shared" ca="1" si="2"/>
        <v>558.04451058144127</v>
      </c>
      <c r="O62" s="25" t="str">
        <f t="shared" ca="1" si="5"/>
        <v/>
      </c>
      <c r="P62" s="21" t="str">
        <f t="shared" ca="1" si="6"/>
        <v/>
      </c>
    </row>
    <row r="63" spans="11:16" x14ac:dyDescent="0.25">
      <c r="K63" s="11">
        <v>43368</v>
      </c>
      <c r="L63" s="12">
        <v>146</v>
      </c>
      <c r="M63" s="18">
        <f ca="1">IFERROR(VLOOKUP(K63,$O$1:$P62,2,0),0)</f>
        <v>0</v>
      </c>
      <c r="N63" s="19">
        <f t="shared" ca="1" si="2"/>
        <v>412.04451058144127</v>
      </c>
      <c r="O63" s="25" t="str">
        <f t="shared" ca="1" si="5"/>
        <v/>
      </c>
      <c r="P63" s="21" t="str">
        <f t="shared" ca="1" si="6"/>
        <v/>
      </c>
    </row>
    <row r="64" spans="11:16" x14ac:dyDescent="0.25">
      <c r="K64" s="11">
        <v>43369</v>
      </c>
      <c r="L64" s="12">
        <v>134</v>
      </c>
      <c r="M64" s="18">
        <f ca="1">IFERROR(VLOOKUP(K64,$O$1:$P63,2,0),0)</f>
        <v>0</v>
      </c>
      <c r="N64" s="19">
        <f t="shared" ca="1" si="2"/>
        <v>278.04451058144127</v>
      </c>
      <c r="O64" s="25" t="str">
        <f t="shared" ca="1" si="5"/>
        <v/>
      </c>
      <c r="P64" s="21" t="str">
        <f t="shared" ca="1" si="6"/>
        <v/>
      </c>
    </row>
    <row r="65" spans="11:16" x14ac:dyDescent="0.25">
      <c r="K65" s="11">
        <v>43370</v>
      </c>
      <c r="L65" s="12">
        <v>101</v>
      </c>
      <c r="M65" s="18">
        <f ca="1">IFERROR(VLOOKUP(K65,$O$1:$P64,2,0),0)</f>
        <v>0</v>
      </c>
      <c r="N65" s="19">
        <f t="shared" ca="1" si="2"/>
        <v>177.04451058144127</v>
      </c>
      <c r="O65" s="25" t="str">
        <f t="shared" ca="1" si="5"/>
        <v/>
      </c>
      <c r="P65" s="21" t="str">
        <f t="shared" ca="1" si="6"/>
        <v/>
      </c>
    </row>
    <row r="66" spans="11:16" x14ac:dyDescent="0.25">
      <c r="K66" s="11">
        <v>43371</v>
      </c>
      <c r="L66" s="12">
        <v>105</v>
      </c>
      <c r="M66" s="18">
        <f ca="1">IFERROR(VLOOKUP(K66,$O$1:$P65,2,0),0)</f>
        <v>1652</v>
      </c>
      <c r="N66" s="19">
        <f t="shared" ca="1" si="2"/>
        <v>1724.0445105814413</v>
      </c>
      <c r="O66" s="25" t="str">
        <f t="shared" ca="1" si="5"/>
        <v/>
      </c>
      <c r="P66" s="21" t="str">
        <f t="shared" ca="1" si="6"/>
        <v/>
      </c>
    </row>
    <row r="67" spans="11:16" x14ac:dyDescent="0.25">
      <c r="K67" s="11">
        <v>43372</v>
      </c>
      <c r="L67" s="12">
        <v>135</v>
      </c>
      <c r="M67" s="18">
        <f ca="1">IFERROR(VLOOKUP(K67,$O$1:$P66,2,0),0)</f>
        <v>0</v>
      </c>
      <c r="N67" s="19">
        <f t="shared" ca="1" si="2"/>
        <v>1589.0445105814413</v>
      </c>
      <c r="O67" s="25" t="str">
        <f t="shared" ca="1" si="5"/>
        <v/>
      </c>
      <c r="P67" s="21" t="str">
        <f t="shared" ca="1" si="6"/>
        <v/>
      </c>
    </row>
    <row r="68" spans="11:16" x14ac:dyDescent="0.25">
      <c r="K68" s="11">
        <v>43373</v>
      </c>
      <c r="L68" s="12">
        <v>113</v>
      </c>
      <c r="M68" s="18">
        <f ca="1">IFERROR(VLOOKUP(K68,$O$1:$P67,2,0),0)</f>
        <v>0</v>
      </c>
      <c r="N68" s="19">
        <f t="shared" ca="1" si="2"/>
        <v>1476.0445105814413</v>
      </c>
      <c r="O68" s="25" t="str">
        <f t="shared" ca="1" si="5"/>
        <v/>
      </c>
      <c r="P68" s="21" t="str">
        <f t="shared" ca="1" si="6"/>
        <v/>
      </c>
    </row>
    <row r="69" spans="11:16" x14ac:dyDescent="0.25">
      <c r="K69" s="11">
        <v>43374</v>
      </c>
      <c r="L69" s="12">
        <v>127</v>
      </c>
      <c r="M69" s="18">
        <f ca="1">IFERROR(VLOOKUP(K69,$O$1:$P68,2,0),0)</f>
        <v>0</v>
      </c>
      <c r="N69" s="19">
        <f t="shared" ca="1" si="2"/>
        <v>1349.0445105814413</v>
      </c>
      <c r="O69" s="25" t="str">
        <f t="shared" ca="1" si="5"/>
        <v/>
      </c>
      <c r="P69" s="21" t="str">
        <f t="shared" ca="1" si="6"/>
        <v/>
      </c>
    </row>
    <row r="70" spans="11:16" x14ac:dyDescent="0.25">
      <c r="K70" s="11">
        <v>43375</v>
      </c>
      <c r="L70" s="12">
        <v>145</v>
      </c>
      <c r="M70" s="18">
        <f ca="1">IFERROR(VLOOKUP(K70,$O$1:$P69,2,0),0)</f>
        <v>0</v>
      </c>
      <c r="N70" s="19">
        <f t="shared" ca="1" si="2"/>
        <v>1204.0445105814413</v>
      </c>
      <c r="O70" s="25" t="str">
        <f t="shared" ca="1" si="5"/>
        <v/>
      </c>
      <c r="P70" s="21" t="str">
        <f t="shared" ca="1" si="6"/>
        <v/>
      </c>
    </row>
    <row r="71" spans="11:16" x14ac:dyDescent="0.25">
      <c r="K71" s="11">
        <v>43376</v>
      </c>
      <c r="L71" s="12">
        <v>134</v>
      </c>
      <c r="M71" s="18">
        <f ca="1">IFERROR(VLOOKUP(K71,$O$1:$P70,2,0),0)</f>
        <v>0</v>
      </c>
      <c r="N71" s="19">
        <f t="shared" ref="N71:N116" ca="1" si="7">N70+M71-L71</f>
        <v>1070.0445105814413</v>
      </c>
      <c r="O71" s="25" t="str">
        <f t="shared" ca="1" si="5"/>
        <v/>
      </c>
      <c r="P71" s="21" t="str">
        <f t="shared" ca="1" si="6"/>
        <v/>
      </c>
    </row>
    <row r="72" spans="11:16" x14ac:dyDescent="0.25">
      <c r="K72" s="11">
        <v>43377</v>
      </c>
      <c r="L72" s="12">
        <v>145</v>
      </c>
      <c r="M72" s="18">
        <f ca="1">IFERROR(VLOOKUP(K72,$O$1:$P71,2,0),0)</f>
        <v>0</v>
      </c>
      <c r="N72" s="19">
        <f t="shared" ca="1" si="7"/>
        <v>925.04451058144127</v>
      </c>
      <c r="O72" s="25" t="str">
        <f t="shared" ca="1" si="5"/>
        <v/>
      </c>
      <c r="P72" s="21" t="str">
        <f t="shared" ca="1" si="6"/>
        <v/>
      </c>
    </row>
    <row r="73" spans="11:16" x14ac:dyDescent="0.25">
      <c r="K73" s="11">
        <v>43378</v>
      </c>
      <c r="L73" s="12">
        <v>119</v>
      </c>
      <c r="M73" s="18">
        <f ca="1">IFERROR(VLOOKUP(K73,$O$1:$P72,2,0),0)</f>
        <v>0</v>
      </c>
      <c r="N73" s="19">
        <f t="shared" ca="1" si="7"/>
        <v>806.04451058144127</v>
      </c>
      <c r="O73" s="25">
        <f t="shared" ca="1" si="5"/>
        <v>43383</v>
      </c>
      <c r="P73" s="21">
        <f t="shared" ca="1" si="6"/>
        <v>1474</v>
      </c>
    </row>
    <row r="74" spans="11:16" x14ac:dyDescent="0.25">
      <c r="K74" s="11">
        <v>43379</v>
      </c>
      <c r="L74" s="12">
        <v>118</v>
      </c>
      <c r="M74" s="18">
        <f ca="1">IFERROR(VLOOKUP(K74,$O$1:$P73,2,0),0)</f>
        <v>0</v>
      </c>
      <c r="N74" s="19">
        <f t="shared" ca="1" si="7"/>
        <v>688.04451058144127</v>
      </c>
      <c r="O74" s="25" t="str">
        <f t="shared" ca="1" si="5"/>
        <v/>
      </c>
      <c r="P74" s="21" t="str">
        <f t="shared" ca="1" si="6"/>
        <v/>
      </c>
    </row>
    <row r="75" spans="11:16" x14ac:dyDescent="0.25">
      <c r="K75" s="11">
        <v>43380</v>
      </c>
      <c r="L75" s="12">
        <v>114</v>
      </c>
      <c r="M75" s="18">
        <f ca="1">IFERROR(VLOOKUP(K75,$O$1:$P74,2,0),0)</f>
        <v>0</v>
      </c>
      <c r="N75" s="19">
        <f t="shared" ca="1" si="7"/>
        <v>574.04451058144127</v>
      </c>
      <c r="O75" s="25" t="str">
        <f t="shared" ca="1" si="5"/>
        <v/>
      </c>
      <c r="P75" s="21" t="str">
        <f t="shared" ca="1" si="6"/>
        <v/>
      </c>
    </row>
    <row r="76" spans="11:16" x14ac:dyDescent="0.25">
      <c r="K76" s="11">
        <v>43381</v>
      </c>
      <c r="L76" s="12">
        <v>136</v>
      </c>
      <c r="M76" s="18">
        <f ca="1">IFERROR(VLOOKUP(K76,$O$1:$P75,2,0),0)</f>
        <v>0</v>
      </c>
      <c r="N76" s="19">
        <f t="shared" ca="1" si="7"/>
        <v>438.04451058144127</v>
      </c>
      <c r="O76" s="25" t="str">
        <f t="shared" ca="1" si="5"/>
        <v/>
      </c>
      <c r="P76" s="21" t="str">
        <f t="shared" ca="1" si="6"/>
        <v/>
      </c>
    </row>
    <row r="77" spans="11:16" x14ac:dyDescent="0.25">
      <c r="K77" s="11">
        <v>43382</v>
      </c>
      <c r="L77" s="12">
        <v>113</v>
      </c>
      <c r="M77" s="18">
        <f ca="1">IFERROR(VLOOKUP(K77,$O$1:$P76,2,0),0)</f>
        <v>0</v>
      </c>
      <c r="N77" s="19">
        <f t="shared" ca="1" si="7"/>
        <v>325.04451058144127</v>
      </c>
      <c r="O77" s="25" t="str">
        <f t="shared" ca="1" si="5"/>
        <v/>
      </c>
      <c r="P77" s="21" t="str">
        <f t="shared" ca="1" si="6"/>
        <v/>
      </c>
    </row>
    <row r="78" spans="11:16" x14ac:dyDescent="0.25">
      <c r="K78" s="11">
        <v>43383</v>
      </c>
      <c r="L78" s="12">
        <v>126</v>
      </c>
      <c r="M78" s="18">
        <f ca="1">IFERROR(VLOOKUP(K78,$O$1:$P77,2,0),0)</f>
        <v>1474</v>
      </c>
      <c r="N78" s="19">
        <f t="shared" ca="1" si="7"/>
        <v>1673.0445105814413</v>
      </c>
      <c r="O78" s="25" t="str">
        <f t="shared" ca="1" si="5"/>
        <v/>
      </c>
      <c r="P78" s="21" t="str">
        <f t="shared" ca="1" si="6"/>
        <v/>
      </c>
    </row>
    <row r="79" spans="11:16" x14ac:dyDescent="0.25">
      <c r="K79" s="11">
        <v>43384</v>
      </c>
      <c r="L79" s="12">
        <v>133</v>
      </c>
      <c r="M79" s="18">
        <f ca="1">IFERROR(VLOOKUP(K79,$O$1:$P78,2,0),0)</f>
        <v>0</v>
      </c>
      <c r="N79" s="19">
        <f t="shared" ca="1" si="7"/>
        <v>1540.0445105814413</v>
      </c>
      <c r="O79" s="25" t="str">
        <f t="shared" ca="1" si="5"/>
        <v/>
      </c>
      <c r="P79" s="21" t="str">
        <f t="shared" ca="1" si="6"/>
        <v/>
      </c>
    </row>
    <row r="80" spans="11:16" x14ac:dyDescent="0.25">
      <c r="K80" s="11">
        <v>43385</v>
      </c>
      <c r="L80" s="12">
        <v>148</v>
      </c>
      <c r="M80" s="18">
        <f ca="1">IFERROR(VLOOKUP(K80,$O$1:$P79,2,0),0)</f>
        <v>0</v>
      </c>
      <c r="N80" s="19">
        <f t="shared" ca="1" si="7"/>
        <v>1392.0445105814413</v>
      </c>
      <c r="O80" s="25" t="str">
        <f t="shared" ca="1" si="5"/>
        <v/>
      </c>
      <c r="P80" s="21" t="str">
        <f t="shared" ca="1" si="6"/>
        <v/>
      </c>
    </row>
    <row r="81" spans="11:16" x14ac:dyDescent="0.25">
      <c r="K81" s="11">
        <v>43386</v>
      </c>
      <c r="L81" s="12">
        <v>136</v>
      </c>
      <c r="M81" s="18">
        <f ca="1">IFERROR(VLOOKUP(K81,$O$1:$P80,2,0),0)</f>
        <v>0</v>
      </c>
      <c r="N81" s="19">
        <f t="shared" ca="1" si="7"/>
        <v>1256.0445105814413</v>
      </c>
      <c r="O81" s="25" t="str">
        <f t="shared" ca="1" si="5"/>
        <v/>
      </c>
      <c r="P81" s="21" t="str">
        <f t="shared" ca="1" si="6"/>
        <v/>
      </c>
    </row>
    <row r="82" spans="11:16" x14ac:dyDescent="0.25">
      <c r="K82" s="11">
        <v>43387</v>
      </c>
      <c r="L82" s="12">
        <v>120</v>
      </c>
      <c r="M82" s="18">
        <f ca="1">IFERROR(VLOOKUP(K82,$O$1:$P81,2,0),0)</f>
        <v>0</v>
      </c>
      <c r="N82" s="19">
        <f t="shared" ca="1" si="7"/>
        <v>1136.0445105814413</v>
      </c>
      <c r="O82" s="25" t="str">
        <f t="shared" ca="1" si="5"/>
        <v/>
      </c>
      <c r="P82" s="21" t="str">
        <f t="shared" ca="1" si="6"/>
        <v/>
      </c>
    </row>
    <row r="83" spans="11:16" x14ac:dyDescent="0.25">
      <c r="K83" s="11">
        <v>43388</v>
      </c>
      <c r="L83" s="12">
        <v>107</v>
      </c>
      <c r="M83" s="18">
        <f ca="1">IFERROR(VLOOKUP(K83,$O$1:$P82,2,0),0)</f>
        <v>0</v>
      </c>
      <c r="N83" s="19">
        <f t="shared" ca="1" si="7"/>
        <v>1029.0445105814413</v>
      </c>
      <c r="O83" s="25" t="str">
        <f t="shared" ref="O83:O116" ca="1" si="8">IF(N83&lt;=$H$4,IF(COUNT(OFFSET(O82,,,-4))&gt;0,"",K83+$E$4),"")</f>
        <v/>
      </c>
      <c r="P83" s="21" t="str">
        <f t="shared" ref="P83:P116" ca="1" si="9">IF(ISNUMBER(O83),$I$4-(N83-SUM(L83:L87)),"")</f>
        <v/>
      </c>
    </row>
    <row r="84" spans="11:16" x14ac:dyDescent="0.25">
      <c r="K84" s="11">
        <v>43389</v>
      </c>
      <c r="L84" s="12">
        <v>143</v>
      </c>
      <c r="M84" s="18">
        <f ca="1">IFERROR(VLOOKUP(K84,$O$1:$P83,2,0),0)</f>
        <v>0</v>
      </c>
      <c r="N84" s="19">
        <f t="shared" ca="1" si="7"/>
        <v>886.04451058144127</v>
      </c>
      <c r="O84" s="25" t="str">
        <f t="shared" ca="1" si="8"/>
        <v/>
      </c>
      <c r="P84" s="21" t="str">
        <f t="shared" ca="1" si="9"/>
        <v/>
      </c>
    </row>
    <row r="85" spans="11:16" x14ac:dyDescent="0.25">
      <c r="K85" s="11">
        <v>43390</v>
      </c>
      <c r="L85" s="12">
        <v>130</v>
      </c>
      <c r="M85" s="18">
        <f ca="1">IFERROR(VLOOKUP(K85,$O$1:$P84,2,0),0)</f>
        <v>0</v>
      </c>
      <c r="N85" s="19">
        <f t="shared" ca="1" si="7"/>
        <v>756.04451058144127</v>
      </c>
      <c r="O85" s="25">
        <f t="shared" ca="1" si="8"/>
        <v>43395</v>
      </c>
      <c r="P85" s="21">
        <f t="shared" ca="1" si="9"/>
        <v>1480</v>
      </c>
    </row>
    <row r="86" spans="11:16" x14ac:dyDescent="0.25">
      <c r="K86" s="11">
        <v>43391</v>
      </c>
      <c r="L86" s="12">
        <v>112</v>
      </c>
      <c r="M86" s="18">
        <f ca="1">IFERROR(VLOOKUP(K86,$O$1:$P85,2,0),0)</f>
        <v>0</v>
      </c>
      <c r="N86" s="19">
        <f t="shared" ca="1" si="7"/>
        <v>644.04451058144127</v>
      </c>
      <c r="O86" s="25" t="str">
        <f t="shared" ca="1" si="8"/>
        <v/>
      </c>
      <c r="P86" s="21" t="str">
        <f t="shared" ca="1" si="9"/>
        <v/>
      </c>
    </row>
    <row r="87" spans="11:16" x14ac:dyDescent="0.25">
      <c r="K87" s="11">
        <v>43392</v>
      </c>
      <c r="L87" s="12">
        <v>105</v>
      </c>
      <c r="M87" s="18">
        <f ca="1">IFERROR(VLOOKUP(K87,$O$1:$P86,2,0),0)</f>
        <v>0</v>
      </c>
      <c r="N87" s="19">
        <f t="shared" ca="1" si="7"/>
        <v>539.04451058144127</v>
      </c>
      <c r="O87" s="25" t="str">
        <f t="shared" ca="1" si="8"/>
        <v/>
      </c>
      <c r="P87" s="21" t="str">
        <f t="shared" ca="1" si="9"/>
        <v/>
      </c>
    </row>
    <row r="88" spans="11:16" x14ac:dyDescent="0.25">
      <c r="K88" s="11">
        <v>43393</v>
      </c>
      <c r="L88" s="12">
        <v>108</v>
      </c>
      <c r="M88" s="18">
        <f ca="1">IFERROR(VLOOKUP(K88,$O$1:$P87,2,0),0)</f>
        <v>0</v>
      </c>
      <c r="N88" s="19">
        <f t="shared" ca="1" si="7"/>
        <v>431.04451058144127</v>
      </c>
      <c r="O88" s="25" t="str">
        <f t="shared" ca="1" si="8"/>
        <v/>
      </c>
      <c r="P88" s="21" t="str">
        <f t="shared" ca="1" si="9"/>
        <v/>
      </c>
    </row>
    <row r="89" spans="11:16" x14ac:dyDescent="0.25">
      <c r="K89" s="11">
        <v>43394</v>
      </c>
      <c r="L89" s="12">
        <v>101</v>
      </c>
      <c r="M89" s="18">
        <f ca="1">IFERROR(VLOOKUP(K89,$O$1:$P88,2,0),0)</f>
        <v>0</v>
      </c>
      <c r="N89" s="19">
        <f t="shared" ca="1" si="7"/>
        <v>330.04451058144127</v>
      </c>
      <c r="O89" s="25" t="str">
        <f t="shared" ca="1" si="8"/>
        <v/>
      </c>
      <c r="P89" s="21" t="str">
        <f t="shared" ca="1" si="9"/>
        <v/>
      </c>
    </row>
    <row r="90" spans="11:16" x14ac:dyDescent="0.25">
      <c r="K90" s="11">
        <v>43395</v>
      </c>
      <c r="L90" s="12">
        <v>107</v>
      </c>
      <c r="M90" s="18">
        <f ca="1">IFERROR(VLOOKUP(K90,$O$1:$P89,2,0),0)</f>
        <v>1480</v>
      </c>
      <c r="N90" s="19">
        <f t="shared" ca="1" si="7"/>
        <v>1703.0445105814413</v>
      </c>
      <c r="O90" s="25" t="str">
        <f t="shared" ca="1" si="8"/>
        <v/>
      </c>
      <c r="P90" s="21" t="str">
        <f t="shared" ca="1" si="9"/>
        <v/>
      </c>
    </row>
    <row r="91" spans="11:16" x14ac:dyDescent="0.25">
      <c r="K91" s="11">
        <v>43396</v>
      </c>
      <c r="L91" s="12">
        <v>137</v>
      </c>
      <c r="M91" s="18">
        <f ca="1">IFERROR(VLOOKUP(K91,$O$1:$P90,2,0),0)</f>
        <v>0</v>
      </c>
      <c r="N91" s="19">
        <f t="shared" ca="1" si="7"/>
        <v>1566.0445105814413</v>
      </c>
      <c r="O91" s="25" t="str">
        <f t="shared" ca="1" si="8"/>
        <v/>
      </c>
      <c r="P91" s="21" t="str">
        <f t="shared" ca="1" si="9"/>
        <v/>
      </c>
    </row>
    <row r="92" spans="11:16" x14ac:dyDescent="0.25">
      <c r="K92" s="11">
        <v>43397</v>
      </c>
      <c r="L92" s="12">
        <v>113</v>
      </c>
      <c r="M92" s="18">
        <f ca="1">IFERROR(VLOOKUP(K92,$O$1:$P91,2,0),0)</f>
        <v>0</v>
      </c>
      <c r="N92" s="19">
        <f t="shared" ca="1" si="7"/>
        <v>1453.0445105814413</v>
      </c>
      <c r="O92" s="25" t="str">
        <f t="shared" ca="1" si="8"/>
        <v/>
      </c>
      <c r="P92" s="21" t="str">
        <f t="shared" ca="1" si="9"/>
        <v/>
      </c>
    </row>
    <row r="93" spans="11:16" x14ac:dyDescent="0.25">
      <c r="K93" s="11">
        <v>43398</v>
      </c>
      <c r="L93" s="12">
        <v>112</v>
      </c>
      <c r="M93" s="18">
        <f ca="1">IFERROR(VLOOKUP(K93,$O$1:$P92,2,0),0)</f>
        <v>0</v>
      </c>
      <c r="N93" s="19">
        <f t="shared" ca="1" si="7"/>
        <v>1341.0445105814413</v>
      </c>
      <c r="O93" s="25" t="str">
        <f t="shared" ca="1" si="8"/>
        <v/>
      </c>
      <c r="P93" s="21" t="str">
        <f t="shared" ca="1" si="9"/>
        <v/>
      </c>
    </row>
    <row r="94" spans="11:16" x14ac:dyDescent="0.25">
      <c r="K94" s="11">
        <v>43399</v>
      </c>
      <c r="L94" s="12">
        <v>126</v>
      </c>
      <c r="M94" s="18">
        <f ca="1">IFERROR(VLOOKUP(K94,$O$1:$P93,2,0),0)</f>
        <v>0</v>
      </c>
      <c r="N94" s="19">
        <f t="shared" ca="1" si="7"/>
        <v>1215.0445105814413</v>
      </c>
      <c r="O94" s="25" t="str">
        <f t="shared" ca="1" si="8"/>
        <v/>
      </c>
      <c r="P94" s="21" t="str">
        <f t="shared" ca="1" si="9"/>
        <v/>
      </c>
    </row>
    <row r="95" spans="11:16" x14ac:dyDescent="0.25">
      <c r="K95" s="11">
        <v>43400</v>
      </c>
      <c r="L95" s="12">
        <v>143</v>
      </c>
      <c r="M95" s="18">
        <f ca="1">IFERROR(VLOOKUP(K95,$O$1:$P94,2,0),0)</f>
        <v>0</v>
      </c>
      <c r="N95" s="19">
        <f t="shared" ca="1" si="7"/>
        <v>1072.0445105814413</v>
      </c>
      <c r="O95" s="25" t="str">
        <f t="shared" ca="1" si="8"/>
        <v/>
      </c>
      <c r="P95" s="21" t="str">
        <f t="shared" ca="1" si="9"/>
        <v/>
      </c>
    </row>
    <row r="96" spans="11:16" x14ac:dyDescent="0.25">
      <c r="K96" s="11">
        <v>43401</v>
      </c>
      <c r="L96" s="12">
        <v>147</v>
      </c>
      <c r="M96" s="18">
        <f ca="1">IFERROR(VLOOKUP(K96,$O$1:$P95,2,0),0)</f>
        <v>0</v>
      </c>
      <c r="N96" s="19">
        <f t="shared" ca="1" si="7"/>
        <v>925.04451058144127</v>
      </c>
      <c r="O96" s="25" t="str">
        <f t="shared" ca="1" si="8"/>
        <v/>
      </c>
      <c r="P96" s="21" t="str">
        <f t="shared" ca="1" si="9"/>
        <v/>
      </c>
    </row>
    <row r="97" spans="11:16" x14ac:dyDescent="0.25">
      <c r="K97" s="11">
        <v>43402</v>
      </c>
      <c r="L97" s="12">
        <v>143</v>
      </c>
      <c r="M97" s="18">
        <f ca="1">IFERROR(VLOOKUP(K97,$O$1:$P96,2,0),0)</f>
        <v>0</v>
      </c>
      <c r="N97" s="19">
        <f t="shared" ca="1" si="7"/>
        <v>782.04451058144127</v>
      </c>
      <c r="O97" s="25">
        <f t="shared" ca="1" si="8"/>
        <v>43407</v>
      </c>
      <c r="P97" s="21">
        <f t="shared" ca="1" si="9"/>
        <v>1576</v>
      </c>
    </row>
    <row r="98" spans="11:16" x14ac:dyDescent="0.25">
      <c r="K98" s="11">
        <v>43403</v>
      </c>
      <c r="L98" s="12">
        <v>149</v>
      </c>
      <c r="M98" s="18">
        <f ca="1">IFERROR(VLOOKUP(K98,$O$1:$P97,2,0),0)</f>
        <v>0</v>
      </c>
      <c r="N98" s="19">
        <f t="shared" ca="1" si="7"/>
        <v>633.04451058144127</v>
      </c>
      <c r="O98" s="25" t="str">
        <f t="shared" ca="1" si="8"/>
        <v/>
      </c>
      <c r="P98" s="21" t="str">
        <f t="shared" ca="1" si="9"/>
        <v/>
      </c>
    </row>
    <row r="99" spans="11:16" x14ac:dyDescent="0.25">
      <c r="K99" s="11">
        <v>43404</v>
      </c>
      <c r="L99" s="12">
        <v>129</v>
      </c>
      <c r="M99" s="18">
        <f ca="1">IFERROR(VLOOKUP(K99,$O$1:$P98,2,0),0)</f>
        <v>0</v>
      </c>
      <c r="N99" s="19">
        <f t="shared" ca="1" si="7"/>
        <v>504.04451058144127</v>
      </c>
      <c r="O99" s="25" t="str">
        <f t="shared" ca="1" si="8"/>
        <v/>
      </c>
      <c r="P99" s="21" t="str">
        <f t="shared" ca="1" si="9"/>
        <v/>
      </c>
    </row>
    <row r="100" spans="11:16" x14ac:dyDescent="0.25">
      <c r="K100" s="11">
        <v>43405</v>
      </c>
      <c r="L100" s="12">
        <v>113</v>
      </c>
      <c r="M100" s="18">
        <f ca="1">IFERROR(VLOOKUP(K100,$O$1:$P99,2,0),0)</f>
        <v>0</v>
      </c>
      <c r="N100" s="19">
        <f t="shared" ca="1" si="7"/>
        <v>391.04451058144127</v>
      </c>
      <c r="O100" s="25" t="str">
        <f t="shared" ca="1" si="8"/>
        <v/>
      </c>
      <c r="P100" s="21" t="str">
        <f t="shared" ca="1" si="9"/>
        <v/>
      </c>
    </row>
    <row r="101" spans="11:16" x14ac:dyDescent="0.25">
      <c r="K101" s="11">
        <v>43406</v>
      </c>
      <c r="L101" s="12">
        <v>144</v>
      </c>
      <c r="M101" s="18">
        <f ca="1">IFERROR(VLOOKUP(K101,$O$1:$P100,2,0),0)</f>
        <v>0</v>
      </c>
      <c r="N101" s="19">
        <f t="shared" ca="1" si="7"/>
        <v>247.04451058144127</v>
      </c>
      <c r="O101" s="25" t="str">
        <f t="shared" ca="1" si="8"/>
        <v/>
      </c>
      <c r="P101" s="21" t="str">
        <f t="shared" ca="1" si="9"/>
        <v/>
      </c>
    </row>
    <row r="102" spans="11:16" x14ac:dyDescent="0.25">
      <c r="K102" s="11">
        <v>43407</v>
      </c>
      <c r="L102" s="12">
        <v>140</v>
      </c>
      <c r="M102" s="18">
        <f ca="1">IFERROR(VLOOKUP(K102,$O$1:$P101,2,0),0)</f>
        <v>1576</v>
      </c>
      <c r="N102" s="19">
        <f t="shared" ca="1" si="7"/>
        <v>1683.0445105814413</v>
      </c>
      <c r="O102" s="25" t="str">
        <f t="shared" ca="1" si="8"/>
        <v/>
      </c>
      <c r="P102" s="21" t="str">
        <f t="shared" ca="1" si="9"/>
        <v/>
      </c>
    </row>
    <row r="103" spans="11:16" x14ac:dyDescent="0.25">
      <c r="K103" s="11">
        <v>43408</v>
      </c>
      <c r="L103" s="12">
        <v>150</v>
      </c>
      <c r="M103" s="18">
        <f ca="1">IFERROR(VLOOKUP(K103,$O$1:$P102,2,0),0)</f>
        <v>0</v>
      </c>
      <c r="N103" s="19">
        <f t="shared" ca="1" si="7"/>
        <v>1533.0445105814413</v>
      </c>
      <c r="O103" s="25" t="str">
        <f t="shared" ca="1" si="8"/>
        <v/>
      </c>
      <c r="P103" s="21" t="str">
        <f t="shared" ca="1" si="9"/>
        <v/>
      </c>
    </row>
    <row r="104" spans="11:16" x14ac:dyDescent="0.25">
      <c r="K104" s="11">
        <v>43409</v>
      </c>
      <c r="L104" s="12">
        <v>100</v>
      </c>
      <c r="M104" s="18">
        <f ca="1">IFERROR(VLOOKUP(K104,$O$1:$P103,2,0),0)</f>
        <v>0</v>
      </c>
      <c r="N104" s="19">
        <f t="shared" ca="1" si="7"/>
        <v>1433.0445105814413</v>
      </c>
      <c r="O104" s="25" t="str">
        <f t="shared" ca="1" si="8"/>
        <v/>
      </c>
      <c r="P104" s="21" t="str">
        <f t="shared" ca="1" si="9"/>
        <v/>
      </c>
    </row>
    <row r="105" spans="11:16" x14ac:dyDescent="0.25">
      <c r="K105" s="11">
        <v>43410</v>
      </c>
      <c r="L105" s="12">
        <v>121</v>
      </c>
      <c r="M105" s="18">
        <f ca="1">IFERROR(VLOOKUP(K105,$O$1:$P104,2,0),0)</f>
        <v>0</v>
      </c>
      <c r="N105" s="19">
        <f t="shared" ca="1" si="7"/>
        <v>1312.0445105814413</v>
      </c>
      <c r="O105" s="25" t="str">
        <f t="shared" ca="1" si="8"/>
        <v/>
      </c>
      <c r="P105" s="21" t="str">
        <f t="shared" ca="1" si="9"/>
        <v/>
      </c>
    </row>
    <row r="106" spans="11:16" x14ac:dyDescent="0.25">
      <c r="K106" s="11">
        <v>43411</v>
      </c>
      <c r="L106" s="12">
        <v>120</v>
      </c>
      <c r="M106" s="18">
        <f ca="1">IFERROR(VLOOKUP(K106,$O$1:$P105,2,0),0)</f>
        <v>0</v>
      </c>
      <c r="N106" s="19">
        <f t="shared" ca="1" si="7"/>
        <v>1192.0445105814413</v>
      </c>
      <c r="O106" s="25" t="str">
        <f t="shared" ca="1" si="8"/>
        <v/>
      </c>
      <c r="P106" s="21" t="str">
        <f t="shared" ca="1" si="9"/>
        <v/>
      </c>
    </row>
    <row r="107" spans="11:16" x14ac:dyDescent="0.25">
      <c r="K107" s="11">
        <v>43412</v>
      </c>
      <c r="L107" s="12">
        <v>114</v>
      </c>
      <c r="M107" s="18">
        <f ca="1">IFERROR(VLOOKUP(K107,$O$1:$P106,2,0),0)</f>
        <v>0</v>
      </c>
      <c r="N107" s="19">
        <f t="shared" ca="1" si="7"/>
        <v>1078.0445105814413</v>
      </c>
      <c r="O107" s="25" t="str">
        <f t="shared" ca="1" si="8"/>
        <v/>
      </c>
      <c r="P107" s="21" t="str">
        <f t="shared" ca="1" si="9"/>
        <v/>
      </c>
    </row>
    <row r="108" spans="11:16" x14ac:dyDescent="0.25">
      <c r="K108" s="11">
        <v>43413</v>
      </c>
      <c r="L108" s="12">
        <v>101</v>
      </c>
      <c r="M108" s="18">
        <f ca="1">IFERROR(VLOOKUP(K108,$O$1:$P107,2,0),0)</f>
        <v>0</v>
      </c>
      <c r="N108" s="19">
        <f t="shared" ca="1" si="7"/>
        <v>977.04451058144127</v>
      </c>
      <c r="O108" s="25" t="str">
        <f t="shared" ca="1" si="8"/>
        <v/>
      </c>
      <c r="P108" s="21" t="str">
        <f t="shared" ca="1" si="9"/>
        <v/>
      </c>
    </row>
    <row r="109" spans="11:16" x14ac:dyDescent="0.25">
      <c r="K109" s="11">
        <v>43414</v>
      </c>
      <c r="L109" s="12">
        <v>117</v>
      </c>
      <c r="M109" s="18">
        <f ca="1">IFERROR(VLOOKUP(K109,$O$1:$P108,2,0),0)</f>
        <v>0</v>
      </c>
      <c r="N109" s="19">
        <f t="shared" ca="1" si="7"/>
        <v>860.04451058144127</v>
      </c>
      <c r="O109" s="25" t="str">
        <f t="shared" ca="1" si="8"/>
        <v/>
      </c>
      <c r="P109" s="21" t="str">
        <f t="shared" ca="1" si="9"/>
        <v/>
      </c>
    </row>
    <row r="110" spans="11:16" x14ac:dyDescent="0.25">
      <c r="K110" s="11">
        <v>43415</v>
      </c>
      <c r="L110" s="12">
        <v>150</v>
      </c>
      <c r="M110" s="18">
        <f ca="1">IFERROR(VLOOKUP(K110,$O$1:$P109,2,0),0)</f>
        <v>0</v>
      </c>
      <c r="N110" s="19">
        <f t="shared" ca="1" si="7"/>
        <v>710.04451058144127</v>
      </c>
      <c r="O110" s="25">
        <f t="shared" ca="1" si="8"/>
        <v>43420</v>
      </c>
      <c r="P110" s="21">
        <f t="shared" ca="1" si="9"/>
        <v>1616</v>
      </c>
    </row>
    <row r="111" spans="11:16" x14ac:dyDescent="0.25">
      <c r="K111" s="11">
        <v>43416</v>
      </c>
      <c r="L111" s="12">
        <v>144</v>
      </c>
      <c r="M111" s="18">
        <f ca="1">IFERROR(VLOOKUP(K111,$O$1:$P110,2,0),0)</f>
        <v>0</v>
      </c>
      <c r="N111" s="19">
        <f t="shared" ca="1" si="7"/>
        <v>566.04451058144127</v>
      </c>
      <c r="O111" s="25" t="str">
        <f t="shared" ca="1" si="8"/>
        <v/>
      </c>
      <c r="P111" s="21" t="str">
        <f t="shared" ca="1" si="9"/>
        <v/>
      </c>
    </row>
    <row r="112" spans="11:16" x14ac:dyDescent="0.25">
      <c r="K112" s="11">
        <v>43417</v>
      </c>
      <c r="L112" s="12">
        <v>125</v>
      </c>
      <c r="M112" s="18">
        <f ca="1">IFERROR(VLOOKUP(K112,$O$1:$P111,2,0),0)</f>
        <v>0</v>
      </c>
      <c r="N112" s="19">
        <f t="shared" ca="1" si="7"/>
        <v>441.04451058144127</v>
      </c>
      <c r="O112" s="25" t="str">
        <f t="shared" ca="1" si="8"/>
        <v/>
      </c>
      <c r="P112" s="21" t="str">
        <f t="shared" ca="1" si="9"/>
        <v/>
      </c>
    </row>
    <row r="113" spans="11:16" x14ac:dyDescent="0.25">
      <c r="K113" s="11">
        <v>43418</v>
      </c>
      <c r="L113" s="12">
        <v>107</v>
      </c>
      <c r="M113" s="18">
        <f ca="1">IFERROR(VLOOKUP(K113,$O$1:$P112,2,0),0)</f>
        <v>0</v>
      </c>
      <c r="N113" s="19">
        <f t="shared" ca="1" si="7"/>
        <v>334.04451058144127</v>
      </c>
      <c r="O113" s="25" t="str">
        <f t="shared" ca="1" si="8"/>
        <v/>
      </c>
      <c r="P113" s="21" t="str">
        <f t="shared" ca="1" si="9"/>
        <v/>
      </c>
    </row>
    <row r="114" spans="11:16" x14ac:dyDescent="0.25">
      <c r="K114" s="11">
        <v>43419</v>
      </c>
      <c r="L114" s="12">
        <v>120</v>
      </c>
      <c r="M114" s="18">
        <f ca="1">IFERROR(VLOOKUP(K114,$O$1:$P113,2,0),0)</f>
        <v>0</v>
      </c>
      <c r="N114" s="19">
        <f t="shared" ca="1" si="7"/>
        <v>214.04451058144127</v>
      </c>
      <c r="O114" s="25" t="str">
        <f t="shared" ca="1" si="8"/>
        <v/>
      </c>
      <c r="P114" s="21" t="str">
        <f t="shared" ca="1" si="9"/>
        <v/>
      </c>
    </row>
    <row r="115" spans="11:16" x14ac:dyDescent="0.25">
      <c r="K115" s="11">
        <v>43420</v>
      </c>
      <c r="L115" s="12">
        <v>123</v>
      </c>
      <c r="M115" s="18">
        <f ca="1">IFERROR(VLOOKUP(K115,$O$1:$P114,2,0),0)</f>
        <v>1616</v>
      </c>
      <c r="N115" s="19">
        <f t="shared" ca="1" si="7"/>
        <v>1707.0445105814413</v>
      </c>
      <c r="O115" s="25" t="str">
        <f t="shared" ca="1" si="8"/>
        <v/>
      </c>
      <c r="P115" s="21" t="str">
        <f t="shared" ca="1" si="9"/>
        <v/>
      </c>
    </row>
    <row r="116" spans="11:16" x14ac:dyDescent="0.25">
      <c r="K116" s="11">
        <v>43421</v>
      </c>
      <c r="L116" s="12">
        <v>106</v>
      </c>
      <c r="M116" s="18">
        <f ca="1">IFERROR(VLOOKUP(K116,$O$1:$P115,2,0),0)</f>
        <v>0</v>
      </c>
      <c r="N116" s="19">
        <f t="shared" ca="1" si="7"/>
        <v>1601.0445105814413</v>
      </c>
      <c r="O116" s="25" t="str">
        <f t="shared" ca="1" si="8"/>
        <v/>
      </c>
      <c r="P116" s="21" t="str">
        <f t="shared" ca="1" si="9"/>
        <v/>
      </c>
    </row>
    <row r="117" spans="11:16" x14ac:dyDescent="0.25">
      <c r="K117"/>
      <c r="L117"/>
    </row>
    <row r="118" spans="11:16" x14ac:dyDescent="0.25">
      <c r="K118"/>
      <c r="L118"/>
    </row>
    <row r="119" spans="11:16" x14ac:dyDescent="0.25">
      <c r="K119"/>
      <c r="L119"/>
    </row>
    <row r="120" spans="11:16" x14ac:dyDescent="0.25">
      <c r="K120"/>
      <c r="L120"/>
    </row>
    <row r="121" spans="11:16" x14ac:dyDescent="0.25">
      <c r="K121"/>
      <c r="L121"/>
    </row>
    <row r="122" spans="11:16" x14ac:dyDescent="0.25">
      <c r="K122"/>
      <c r="L122"/>
    </row>
    <row r="123" spans="11:16" x14ac:dyDescent="0.25">
      <c r="K123"/>
      <c r="L123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473BF1A-71A8-47BB-916A-D8C83069F056}">
          <x14:formula1>
            <xm:f>Configurações!$A$2:$A$14</xm:f>
          </x14:formula1>
          <xm:sqref>F4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5B24-94D5-4EF6-AFFF-0DFEB828CAEE}">
  <sheetPr codeName="Planilha3"/>
  <dimension ref="A1:B14"/>
  <sheetViews>
    <sheetView workbookViewId="0">
      <selection sqref="A1:B14"/>
    </sheetView>
  </sheetViews>
  <sheetFormatPr defaultRowHeight="15" x14ac:dyDescent="0.25"/>
  <cols>
    <col min="1" max="1" width="15.42578125" bestFit="1" customWidth="1"/>
    <col min="2" max="2" width="16.7109375" bestFit="1" customWidth="1"/>
  </cols>
  <sheetData>
    <row r="1" spans="1:2" x14ac:dyDescent="0.25">
      <c r="A1" s="2" t="s">
        <v>7</v>
      </c>
      <c r="B1" s="3" t="s">
        <v>8</v>
      </c>
    </row>
    <row r="2" spans="1:2" x14ac:dyDescent="0.25">
      <c r="A2" s="4">
        <v>0.5</v>
      </c>
      <c r="B2" s="5">
        <v>0</v>
      </c>
    </row>
    <row r="3" spans="1:2" x14ac:dyDescent="0.25">
      <c r="A3" s="4">
        <v>0.6</v>
      </c>
      <c r="B3" s="5">
        <v>0.254</v>
      </c>
    </row>
    <row r="4" spans="1:2" x14ac:dyDescent="0.25">
      <c r="A4" s="4">
        <v>0.7</v>
      </c>
      <c r="B4" s="5">
        <v>0.52500000000000002</v>
      </c>
    </row>
    <row r="5" spans="1:2" x14ac:dyDescent="0.25">
      <c r="A5" s="4">
        <v>0.8</v>
      </c>
      <c r="B5" s="5">
        <v>0.84199999999999997</v>
      </c>
    </row>
    <row r="6" spans="1:2" x14ac:dyDescent="0.25">
      <c r="A6" s="4">
        <v>0.85</v>
      </c>
      <c r="B6" s="5">
        <v>1.0369999999999999</v>
      </c>
    </row>
    <row r="7" spans="1:2" x14ac:dyDescent="0.25">
      <c r="A7" s="4">
        <v>0.9</v>
      </c>
      <c r="B7" s="5">
        <v>1.282</v>
      </c>
    </row>
    <row r="8" spans="1:2" x14ac:dyDescent="0.25">
      <c r="A8" s="6">
        <v>0.95</v>
      </c>
      <c r="B8" s="7">
        <v>1.645</v>
      </c>
    </row>
    <row r="9" spans="1:2" x14ac:dyDescent="0.25">
      <c r="A9" s="4">
        <v>0.96</v>
      </c>
      <c r="B9" s="5">
        <v>1.7509999999999999</v>
      </c>
    </row>
    <row r="10" spans="1:2" x14ac:dyDescent="0.25">
      <c r="A10" s="4">
        <v>0.97</v>
      </c>
      <c r="B10" s="5">
        <v>1.88</v>
      </c>
    </row>
    <row r="11" spans="1:2" x14ac:dyDescent="0.25">
      <c r="A11" s="4">
        <v>0.98</v>
      </c>
      <c r="B11" s="5">
        <v>2.0550000000000002</v>
      </c>
    </row>
    <row r="12" spans="1:2" x14ac:dyDescent="0.25">
      <c r="A12" s="4">
        <v>0.99</v>
      </c>
      <c r="B12" s="5">
        <v>2.3250000000000002</v>
      </c>
    </row>
    <row r="13" spans="1:2" x14ac:dyDescent="0.25">
      <c r="A13" s="8">
        <v>0.999</v>
      </c>
      <c r="B13" s="5">
        <v>3.1</v>
      </c>
    </row>
    <row r="14" spans="1:2" x14ac:dyDescent="0.25">
      <c r="A14" s="8">
        <v>0.99990000000000001</v>
      </c>
      <c r="B14" s="5">
        <v>3.62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Produto</vt:lpstr>
      <vt:lpstr>Configurações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2018-09-02T11:35:10Z</dcterms:created>
  <dcterms:modified xsi:type="dcterms:W3CDTF">2018-09-02T20:16:13Z</dcterms:modified>
</cp:coreProperties>
</file>