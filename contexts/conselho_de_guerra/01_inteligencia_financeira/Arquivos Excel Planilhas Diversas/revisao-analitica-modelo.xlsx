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3490f067ed5e5/Área de Trabalho/Pessoais/ASW/Stone Partners/Projetos ativos/SULLAB/Demonstrações financeiras/Genética/"/>
    </mc:Choice>
  </mc:AlternateContent>
  <xr:revisionPtr revIDLastSave="2701" documentId="8_{6A91724E-0CBA-42F6-928F-F37E2A8072A8}" xr6:coauthVersionLast="45" xr6:coauthVersionMax="45" xr10:uidLastSave="{B11C522E-0D4C-4736-8440-45C18CC5A8C3}"/>
  <bookViews>
    <workbookView xWindow="-108" yWindow="-108" windowWidth="23256" windowHeight="12576" activeTab="1" xr2:uid="{6C361FE7-BB6F-4059-86C5-96084BE60D18}"/>
  </bookViews>
  <sheets>
    <sheet name="Rev analitica BS" sheetId="22" r:id="rId1"/>
    <sheet name="Rev Analitica P&amp;L" sheetId="23" r:id="rId2"/>
    <sheet name="INDICADORE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_____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____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___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__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bb2007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_Fill" hidden="1">#REF!</definedName>
    <definedName name="_xlnm._FilterDatabase" localSheetId="1" hidden="1">'Rev Analitica P&amp;L'!$D$20:$F$20</definedName>
    <definedName name="_xlnm._FilterDatabase" hidden="1">#REF!</definedName>
    <definedName name="_Order1" hidden="1">255</definedName>
    <definedName name="_Order2" hidden="1">255</definedName>
    <definedName name="AccessDatabase" hidden="1">"D:\Edson\VaR\VaR_UBB\VaR_UBB_UAM\Carrega_Carteiras_2.mdb"</definedName>
    <definedName name="ACwvu.ProjReport." hidden="1">#REF!</definedName>
    <definedName name="ademir" hidden="1">{#N/A,#N/A,FALSE,"Aging Summary";#N/A,#N/A,FALSE,"Ratio Analysis";#N/A,#N/A,FALSE,"Test 120 Day Accts";#N/A,#N/A,FALSE,"Tickmarks"}</definedName>
    <definedName name="ademira" hidden="1">{#N/A,#N/A,FALSE,"Aging Summary";#N/A,#N/A,FALSE,"Ratio Analysis";#N/A,#N/A,FALSE,"Test 120 Day Accts";#N/A,#N/A,FALSE,"Tickmarks"}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G_Del" hidden="1">15</definedName>
    <definedName name="BG_Ins" hidden="1">4</definedName>
    <definedName name="BG_Mod" hidden="1">6</definedName>
    <definedName name="CS" hidden="1">{#N/A,#N/A,TRUE,"imasa"}</definedName>
    <definedName name="dfda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dfdfd" hidden="1">#REF!</definedName>
    <definedName name="Dol_Out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edilcei" hidden="1">{#N/A,#N/A,FALSE,"Aging Summary";#N/A,#N/A,FALSE,"Ratio Analysis";#N/A,#N/A,FALSE,"Test 120 Day Accts";#N/A,#N/A,FALSE,"Tickmarks"}</definedName>
    <definedName name="gt" hidden="1">#REF!</definedName>
    <definedName name="HTML_CodePage" hidden="1">1252</definedName>
    <definedName name="HTML_Control" hidden="1">{"'RELATÓRIO'!$A$1:$E$20","'RELATÓRIO'!$A$22:$D$34","'INTERNET'!$A$31:$G$58","'INTERNET'!$A$1:$G$28","'SÉRIE HISTÓRICA'!$A$167:$H$212","'SÉRIE HISTÓRICA'!$A$56:$H$101"}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"C:\DIVULGAÇÃO INPC IPCA 2001\inpc0501.htm"</definedName>
    <definedName name="HTML_Title" hidden="1">""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_AJE_Tot">#REF!</definedName>
    <definedName name="L_AJE_Tot_GT">#REF!</definedName>
    <definedName name="L_CompNum">#REF!</definedName>
    <definedName name="L_CY_Beg">#REF!</definedName>
    <definedName name="L_CY_Beg_GT">#REF!</definedName>
    <definedName name="L_CY_End">#REF!</definedName>
    <definedName name="L_CY_End_GT">#REF!</definedName>
    <definedName name="L_GrpNum">#REF!</definedName>
    <definedName name="L_Headings">#REF!</definedName>
    <definedName name="L_KeyValue">#REF!</definedName>
    <definedName name="L_PY_End">#REF!</definedName>
    <definedName name="L_PY_End_GT">#REF!</definedName>
    <definedName name="L_RJE_Tot">#REF!</definedName>
    <definedName name="L_RJE_Tot_GT">#REF!</definedName>
    <definedName name="L_RowNum">#REF!</definedName>
    <definedName name="lalala">[1]DADOS!$E$7</definedName>
    <definedName name="MULTA">#REF!</definedName>
    <definedName name="ooo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opop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PETRX72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qq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qqqqq" hidden="1">#REF!</definedName>
    <definedName name="RCTB31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rf" hidden="1">#REF!</definedName>
    <definedName name="rororo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rr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rrr" hidden="1">#REF!</definedName>
    <definedName name="s" hidden="1">{#N/A,#N/A,FALSE,"Aging Summary";#N/A,#N/A,FALSE,"Ratio Analysis";#N/A,#N/A,FALSE,"Test 120 Day Accts";#N/A,#N/A,FALSE,"Tickmarks"}</definedName>
    <definedName name="S_PY_End_Data">#REF!</definedName>
    <definedName name="S_PY_End_GT">#REF!</definedName>
    <definedName name="SA" hidden="1">{#N/A,#N/A,TRUE,"imasa"}</definedName>
    <definedName name="SANDRO" hidden="1">{#N/A,#N/A,FALSE,"Aging Summary";#N/A,#N/A,FALSE,"Ratio Analysis";#N/A,#N/A,FALSE,"Test 120 Day Accts";#N/A,#N/A,FALSE,"Tickmarks"}</definedName>
    <definedName name="SIG_LngApp" hidden="1">[2]SIG_LANGUE!$A$2</definedName>
    <definedName name="Swvu.ProjReport." hidden="1">#REF!</definedName>
    <definedName name="TextRefCopyRangeCount" hidden="1">4</definedName>
    <definedName name="tg" hidden="1">#REF!</definedName>
    <definedName name="ttt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vg" hidden="1">#REF!</definedName>
    <definedName name="vv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vu.ProjReport.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WW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www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x">#REF!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'[3]Tickmarks '!$G$1:$G$65536</definedName>
    <definedName name="XREF_COLUMN_19" hidden="1">#REF!</definedName>
    <definedName name="XREF_COLUMN_2" hidden="1">#REF!</definedName>
    <definedName name="XREF_COLUMN_20" hidden="1">'[4]Mapa de Resultado'!#REF!</definedName>
    <definedName name="XREF_COLUMN_21" hidden="1">'[4]Mapa de Resultado'!#REF!</definedName>
    <definedName name="XREF_COLUMN_3" hidden="1">#REF!</definedName>
    <definedName name="XREF_COLUMN_4" hidden="1">[5]DVA!$Q$1:$Q$65536</definedName>
    <definedName name="XREF_COLUMN_5" hidden="1">#REF!</definedName>
    <definedName name="XREF_COLUMN_6" hidden="1">#REF!</definedName>
    <definedName name="XREF_COLUMN_7" hidden="1">#REF!</definedName>
    <definedName name="XREF_COLUMN_8" hidden="1">[6]Resumo!#REF!</definedName>
    <definedName name="XREF_COLUMN_9" hidden="1">#REF!</definedName>
    <definedName name="XRefActiveRow" hidden="1">#REF!</definedName>
    <definedName name="XRefColumnsCount" hidden="1">5</definedName>
    <definedName name="XRefCopy1" hidden="1">'[5]Fluxo Caixa'!$E$15</definedName>
    <definedName name="XRefCopy10" hidden="1">#REF!</definedName>
    <definedName name="XRefCopy10Row" hidden="1">#REF!</definedName>
    <definedName name="XRefCopy12" hidden="1">'[4]Mapa de Resultado'!#REF!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'[4]Mapa de Resultado'!#REF!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'[5]Fluxo Caixa'!$E$20</definedName>
    <definedName name="XRefCopy20" hidden="1">'[4]Mapa de Resultado'!#REF!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'[5]Fluxo Caixa'!$Q$46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[5]DVA!$E$28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[4]XREF!#REF!</definedName>
    <definedName name="XRefCopy5Row" hidden="1">#REF!</definedName>
    <definedName name="XRefCopy6" hidden="1">'[5]Fluxo Caixa'!$E$17</definedName>
    <definedName name="XRefCopy61" hidden="1">'[4]Mapa de Resultado'!#REF!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'[5]Fluxo Caixa'!$E$25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'[4]Mapa de Resultado'!#REF!</definedName>
    <definedName name="XRefCopy81Row" hidden="1">#REF!</definedName>
    <definedName name="XRefCopy82Row" hidden="1">#REF!</definedName>
    <definedName name="XRefCopy8Row" hidden="1">#REF!</definedName>
    <definedName name="XRefCopy9" hidden="1">'[6]Mapa Imobilizado'!#REF!</definedName>
    <definedName name="XRefCopy9Row" hidden="1">#REF!</definedName>
    <definedName name="XRefCopyRangeCount" hidden="1">8</definedName>
    <definedName name="XRefPaste1" hidden="1">'[5]Fluxo Caixa'!$E$16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'[4]Mapa de Resultado'!#REF!</definedName>
    <definedName name="XRefPaste117Row" hidden="1">#REF!</definedName>
    <definedName name="XRefPaste118" hidden="1">'[4]Mapa de Resultado'!#REF!</definedName>
    <definedName name="XRefPaste118Row" hidden="1">#REF!</definedName>
    <definedName name="XRefPaste119" hidden="1">'[4]Mapa de Resultado'!#REF!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'[4]Mapa de Resultado'!#REF!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'[4]Mapa de Resultado'!#REF!</definedName>
    <definedName name="XRefPaste19Row" hidden="1">#REF!</definedName>
    <definedName name="XRefPaste1Row" hidden="1">#REF!</definedName>
    <definedName name="XRefPaste2" hidden="1">'[5]Fluxo Caixa'!$E$19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[5]DVA!$E$19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'[4]Mapa de Resultado'!#REF!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'[4]Deposito Judicial'!#REF!</definedName>
    <definedName name="XRefPaste44Row" hidden="1">[4]XREF!#REF!</definedName>
    <definedName name="XRefPaste45" hidden="1">#REF!</definedName>
    <definedName name="XRefPaste45Row" hidden="1">[4]XREF!#REF!</definedName>
    <definedName name="XRefPaste4Row" hidden="1">#REF!</definedName>
    <definedName name="XRefPaste5" hidden="1">'[5]Fluxo Caixa'!$E$45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5</definedName>
    <definedName name="xxx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  <definedName name="zzz" hidden="1">{TRUE,TRUE,-1.25,-15.5,604.5,366.75,FALSE,TRUE,TRUE,TRUE,0,40,#N/A,1,#N/A,13.0416666666667,33.3076923076923,1,FALSE,FALSE,3,TRUE,1,FALSE,75,"Swvu.ProjReport.","ACwvu.ProjReport.",#N/A,FALSE,FALSE,0.75,0.75,1,1,1,"&amp;A","&amp;R&amp;D-&amp;T",FALSE,FALSE,FALSE,TRUE,1,100,#N/A,#N/A,FALSE,FALSE,#N/A,#N/A,FALSE,FALSE,FALSE,9,65532,65532,FALSE,FALSE,TRUE,TRUE,TRUE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388" i="22" l="1"/>
  <c r="AJ198" i="23"/>
  <c r="AJ194" i="23"/>
  <c r="AJ189" i="23"/>
  <c r="AJ188" i="23"/>
  <c r="AJ187" i="23"/>
  <c r="AJ186" i="23"/>
  <c r="AJ185" i="23"/>
  <c r="AJ184" i="23"/>
  <c r="AJ179" i="23"/>
  <c r="AJ178" i="23"/>
  <c r="AJ176" i="23"/>
  <c r="AJ175" i="23"/>
  <c r="AJ173" i="23"/>
  <c r="AJ172" i="23"/>
  <c r="AJ171" i="23"/>
  <c r="AJ167" i="23"/>
  <c r="AJ166" i="23"/>
  <c r="AJ165" i="23"/>
  <c r="AJ163" i="23"/>
  <c r="AJ162" i="23"/>
  <c r="AJ160" i="23"/>
  <c r="AJ159" i="23"/>
  <c r="AJ158" i="23"/>
  <c r="AJ153" i="23"/>
  <c r="AJ152" i="23"/>
  <c r="AJ151" i="23"/>
  <c r="AJ150" i="23"/>
  <c r="AJ149" i="23"/>
  <c r="AJ148" i="23"/>
  <c r="AJ145" i="23"/>
  <c r="AJ144" i="23"/>
  <c r="AJ143" i="23"/>
  <c r="AJ142" i="23"/>
  <c r="AJ141" i="23"/>
  <c r="AJ140" i="23"/>
  <c r="AJ139" i="23"/>
  <c r="AJ138" i="23"/>
  <c r="AJ136" i="23"/>
  <c r="AJ135" i="23"/>
  <c r="AJ134" i="23"/>
  <c r="AJ133" i="23"/>
  <c r="AJ131" i="23"/>
  <c r="AJ130" i="23"/>
  <c r="AJ129" i="23"/>
  <c r="AJ127" i="23"/>
  <c r="AJ126" i="23"/>
  <c r="AJ125" i="23"/>
  <c r="AJ124" i="23"/>
  <c r="AJ122" i="23"/>
  <c r="AJ121" i="23"/>
  <c r="AJ120" i="23"/>
  <c r="AJ119" i="23"/>
  <c r="AJ118" i="23"/>
  <c r="AJ116" i="23"/>
  <c r="AJ115" i="23"/>
  <c r="AJ114" i="23"/>
  <c r="AJ113" i="23"/>
  <c r="AJ112" i="23"/>
  <c r="AJ111" i="23"/>
  <c r="AJ109" i="23"/>
  <c r="AJ106" i="23"/>
  <c r="AJ105" i="23"/>
  <c r="AJ103" i="23"/>
  <c r="AJ102" i="23"/>
  <c r="AJ101" i="23"/>
  <c r="AJ100" i="23"/>
  <c r="AJ99" i="23"/>
  <c r="AJ98" i="23"/>
  <c r="AJ97" i="23"/>
  <c r="AJ95" i="23"/>
  <c r="AJ94" i="23"/>
  <c r="AJ92" i="23"/>
  <c r="AJ91" i="23"/>
  <c r="AJ90" i="23"/>
  <c r="AJ89" i="23"/>
  <c r="AJ88" i="23"/>
  <c r="AJ87" i="23"/>
  <c r="AJ86" i="23"/>
  <c r="AJ82" i="23"/>
  <c r="AJ80" i="23"/>
  <c r="AJ79" i="23"/>
  <c r="AJ78" i="23"/>
  <c r="AJ72" i="23"/>
  <c r="AJ71" i="23"/>
  <c r="AJ66" i="23"/>
  <c r="AJ65" i="23"/>
  <c r="AJ64" i="23"/>
  <c r="AJ63" i="23"/>
  <c r="AJ57" i="23"/>
  <c r="AJ53" i="23"/>
  <c r="AJ49" i="23"/>
  <c r="AJ45" i="23"/>
  <c r="AJ41" i="23"/>
  <c r="AJ40" i="23"/>
  <c r="AJ39" i="23"/>
  <c r="AJ34" i="23"/>
  <c r="AJ30" i="23"/>
  <c r="AJ26" i="23"/>
  <c r="AG198" i="23"/>
  <c r="AG194" i="23"/>
  <c r="AG189" i="23"/>
  <c r="AG188" i="23"/>
  <c r="AG187" i="23"/>
  <c r="AG186" i="23"/>
  <c r="AG185" i="23"/>
  <c r="AG184" i="23"/>
  <c r="AG179" i="23"/>
  <c r="AG178" i="23"/>
  <c r="AG176" i="23"/>
  <c r="AG175" i="23"/>
  <c r="AG173" i="23"/>
  <c r="AG172" i="23"/>
  <c r="AG171" i="23"/>
  <c r="AG167" i="23"/>
  <c r="AG166" i="23"/>
  <c r="AG165" i="23"/>
  <c r="AG163" i="23"/>
  <c r="AG162" i="23"/>
  <c r="AG160" i="23"/>
  <c r="AG159" i="23"/>
  <c r="AG158" i="23"/>
  <c r="AG153" i="23"/>
  <c r="AG152" i="23"/>
  <c r="AG151" i="23"/>
  <c r="AG150" i="23"/>
  <c r="AG149" i="23"/>
  <c r="AG148" i="23"/>
  <c r="AG145" i="23"/>
  <c r="AG144" i="23"/>
  <c r="AG143" i="23"/>
  <c r="AG142" i="23"/>
  <c r="AG141" i="23"/>
  <c r="AG140" i="23"/>
  <c r="AG139" i="23"/>
  <c r="AG138" i="23"/>
  <c r="AG136" i="23"/>
  <c r="AG135" i="23"/>
  <c r="AG134" i="23"/>
  <c r="AG133" i="23"/>
  <c r="AG131" i="23"/>
  <c r="AG130" i="23"/>
  <c r="AG129" i="23"/>
  <c r="AG127" i="23"/>
  <c r="AG126" i="23"/>
  <c r="AG125" i="23"/>
  <c r="AG124" i="23"/>
  <c r="AG122" i="23"/>
  <c r="AG121" i="23"/>
  <c r="AG120" i="23"/>
  <c r="AG119" i="23"/>
  <c r="AG118" i="23"/>
  <c r="AG116" i="23"/>
  <c r="AG115" i="23"/>
  <c r="AG114" i="23"/>
  <c r="AG113" i="23"/>
  <c r="AG112" i="23"/>
  <c r="AG111" i="23"/>
  <c r="AG109" i="23"/>
  <c r="AG106" i="23"/>
  <c r="AG105" i="23"/>
  <c r="AG103" i="23"/>
  <c r="AG102" i="23"/>
  <c r="AG101" i="23"/>
  <c r="AG100" i="23"/>
  <c r="AG99" i="23"/>
  <c r="AG98" i="23"/>
  <c r="AG97" i="23"/>
  <c r="AG95" i="23"/>
  <c r="AG94" i="23"/>
  <c r="AG92" i="23"/>
  <c r="AG91" i="23"/>
  <c r="AG90" i="23"/>
  <c r="AG89" i="23"/>
  <c r="AG88" i="23"/>
  <c r="AG87" i="23"/>
  <c r="AG86" i="23"/>
  <c r="AG82" i="23"/>
  <c r="AG80" i="23"/>
  <c r="AG79" i="23"/>
  <c r="AG78" i="23"/>
  <c r="AG72" i="23"/>
  <c r="AG71" i="23"/>
  <c r="AG66" i="23"/>
  <c r="AG65" i="23"/>
  <c r="AG64" i="23"/>
  <c r="AG63" i="23"/>
  <c r="AG57" i="23"/>
  <c r="AG53" i="23"/>
  <c r="AG49" i="23"/>
  <c r="AG45" i="23"/>
  <c r="AG41" i="23"/>
  <c r="AG40" i="23"/>
  <c r="AG39" i="23"/>
  <c r="AG34" i="23"/>
  <c r="AG30" i="23"/>
  <c r="AG26" i="23"/>
  <c r="AD198" i="23"/>
  <c r="AD194" i="23"/>
  <c r="AD189" i="23"/>
  <c r="AD188" i="23"/>
  <c r="AD187" i="23"/>
  <c r="AD186" i="23"/>
  <c r="AD185" i="23"/>
  <c r="AD184" i="23"/>
  <c r="AD179" i="23"/>
  <c r="AD178" i="23"/>
  <c r="AD176" i="23"/>
  <c r="AD175" i="23"/>
  <c r="AD173" i="23"/>
  <c r="AD172" i="23"/>
  <c r="AD171" i="23"/>
  <c r="AD167" i="23"/>
  <c r="AD166" i="23"/>
  <c r="AD165" i="23"/>
  <c r="AD163" i="23"/>
  <c r="AD162" i="23"/>
  <c r="AD160" i="23"/>
  <c r="AD159" i="23"/>
  <c r="AD158" i="23"/>
  <c r="AD153" i="23"/>
  <c r="AD152" i="23"/>
  <c r="AD151" i="23"/>
  <c r="AD150" i="23"/>
  <c r="AD149" i="23"/>
  <c r="AD148" i="23"/>
  <c r="AD145" i="23"/>
  <c r="AD144" i="23"/>
  <c r="AD143" i="23"/>
  <c r="AD142" i="23"/>
  <c r="AD141" i="23"/>
  <c r="AD140" i="23"/>
  <c r="AD139" i="23"/>
  <c r="AD138" i="23"/>
  <c r="AD136" i="23"/>
  <c r="AD135" i="23"/>
  <c r="AD134" i="23"/>
  <c r="AD133" i="23"/>
  <c r="AD131" i="23"/>
  <c r="AD130" i="23"/>
  <c r="AD129" i="23"/>
  <c r="AD127" i="23"/>
  <c r="AD126" i="23"/>
  <c r="AD125" i="23"/>
  <c r="AD124" i="23"/>
  <c r="AD122" i="23"/>
  <c r="AD121" i="23"/>
  <c r="AD120" i="23"/>
  <c r="AD119" i="23"/>
  <c r="AD118" i="23"/>
  <c r="AD116" i="23"/>
  <c r="AD115" i="23"/>
  <c r="AD114" i="23"/>
  <c r="AD113" i="23"/>
  <c r="AD112" i="23"/>
  <c r="AD111" i="23"/>
  <c r="AD109" i="23"/>
  <c r="AD106" i="23"/>
  <c r="AD105" i="23"/>
  <c r="AD103" i="23"/>
  <c r="AD102" i="23"/>
  <c r="AD101" i="23"/>
  <c r="AD100" i="23"/>
  <c r="AD99" i="23"/>
  <c r="AD98" i="23"/>
  <c r="AD97" i="23"/>
  <c r="AD95" i="23"/>
  <c r="AD94" i="23"/>
  <c r="AD92" i="23"/>
  <c r="AD91" i="23"/>
  <c r="AD90" i="23"/>
  <c r="AD89" i="23"/>
  <c r="AD88" i="23"/>
  <c r="AD87" i="23"/>
  <c r="AD86" i="23"/>
  <c r="AD82" i="23"/>
  <c r="AD80" i="23"/>
  <c r="AD79" i="23"/>
  <c r="AD78" i="23"/>
  <c r="AD72" i="23"/>
  <c r="AD71" i="23"/>
  <c r="AD66" i="23"/>
  <c r="AD65" i="23"/>
  <c r="AD64" i="23"/>
  <c r="AD63" i="23"/>
  <c r="AD57" i="23"/>
  <c r="AD53" i="23"/>
  <c r="AD49" i="23"/>
  <c r="AD45" i="23"/>
  <c r="AD41" i="23"/>
  <c r="AD40" i="23"/>
  <c r="AD39" i="23"/>
  <c r="AD34" i="23"/>
  <c r="AD30" i="23"/>
  <c r="AD26" i="23"/>
  <c r="AA198" i="23"/>
  <c r="AA194" i="23"/>
  <c r="AA189" i="23"/>
  <c r="AA188" i="23"/>
  <c r="AA187" i="23"/>
  <c r="AA186" i="23"/>
  <c r="AA185" i="23"/>
  <c r="AA184" i="23"/>
  <c r="AA179" i="23"/>
  <c r="AA178" i="23"/>
  <c r="AA176" i="23"/>
  <c r="AA175" i="23"/>
  <c r="AA173" i="23"/>
  <c r="AA172" i="23"/>
  <c r="AA171" i="23"/>
  <c r="AA167" i="23"/>
  <c r="AA166" i="23"/>
  <c r="AA165" i="23"/>
  <c r="AA163" i="23"/>
  <c r="AA162" i="23"/>
  <c r="AA160" i="23"/>
  <c r="AA159" i="23"/>
  <c r="AA158" i="23"/>
  <c r="AA153" i="23"/>
  <c r="AA152" i="23"/>
  <c r="AA151" i="23"/>
  <c r="AA150" i="23"/>
  <c r="AA149" i="23"/>
  <c r="AA148" i="23"/>
  <c r="AA145" i="23"/>
  <c r="AA144" i="23"/>
  <c r="AA143" i="23"/>
  <c r="AA142" i="23"/>
  <c r="AA141" i="23"/>
  <c r="AA140" i="23"/>
  <c r="AA139" i="23"/>
  <c r="AA138" i="23"/>
  <c r="AA136" i="23"/>
  <c r="AA135" i="23"/>
  <c r="AA134" i="23"/>
  <c r="AA133" i="23"/>
  <c r="AA131" i="23"/>
  <c r="AA130" i="23"/>
  <c r="AA129" i="23"/>
  <c r="AA127" i="23"/>
  <c r="AA126" i="23"/>
  <c r="AA125" i="23"/>
  <c r="AA124" i="23"/>
  <c r="AA122" i="23"/>
  <c r="AA121" i="23"/>
  <c r="AA120" i="23"/>
  <c r="AA119" i="23"/>
  <c r="AA118" i="23"/>
  <c r="AA116" i="23"/>
  <c r="AA115" i="23"/>
  <c r="AA114" i="23"/>
  <c r="AA113" i="23"/>
  <c r="AA112" i="23"/>
  <c r="AA111" i="23"/>
  <c r="AA109" i="23"/>
  <c r="AA106" i="23"/>
  <c r="AA105" i="23"/>
  <c r="AA103" i="23"/>
  <c r="AA102" i="23"/>
  <c r="AA101" i="23"/>
  <c r="AA100" i="23"/>
  <c r="AA99" i="23"/>
  <c r="AA98" i="23"/>
  <c r="AA97" i="23"/>
  <c r="AA95" i="23"/>
  <c r="AA94" i="23"/>
  <c r="AA92" i="23"/>
  <c r="AA91" i="23"/>
  <c r="AA90" i="23"/>
  <c r="AA89" i="23"/>
  <c r="AA88" i="23"/>
  <c r="AA87" i="23"/>
  <c r="AA86" i="23"/>
  <c r="AA82" i="23"/>
  <c r="AA80" i="23"/>
  <c r="AA79" i="23"/>
  <c r="AA78" i="23"/>
  <c r="AA72" i="23"/>
  <c r="AA71" i="23"/>
  <c r="AA66" i="23"/>
  <c r="AA65" i="23"/>
  <c r="AA64" i="23"/>
  <c r="AA63" i="23"/>
  <c r="AA57" i="23"/>
  <c r="AA53" i="23"/>
  <c r="AA49" i="23"/>
  <c r="AA45" i="23"/>
  <c r="AA41" i="23"/>
  <c r="AA40" i="23"/>
  <c r="AA39" i="23"/>
  <c r="AA34" i="23"/>
  <c r="AA30" i="23"/>
  <c r="AA26" i="23"/>
  <c r="X198" i="23"/>
  <c r="X194" i="23"/>
  <c r="X189" i="23"/>
  <c r="X188" i="23"/>
  <c r="X187" i="23"/>
  <c r="X186" i="23"/>
  <c r="X185" i="23"/>
  <c r="X184" i="23"/>
  <c r="X179" i="23"/>
  <c r="X178" i="23"/>
  <c r="X176" i="23"/>
  <c r="X175" i="23"/>
  <c r="X173" i="23"/>
  <c r="X172" i="23"/>
  <c r="X171" i="23"/>
  <c r="X167" i="23"/>
  <c r="X166" i="23"/>
  <c r="X165" i="23"/>
  <c r="X163" i="23"/>
  <c r="X162" i="23"/>
  <c r="X160" i="23"/>
  <c r="X159" i="23"/>
  <c r="X158" i="23"/>
  <c r="X153" i="23"/>
  <c r="X152" i="23"/>
  <c r="X151" i="23"/>
  <c r="X150" i="23"/>
  <c r="X149" i="23"/>
  <c r="X148" i="23"/>
  <c r="X145" i="23"/>
  <c r="X144" i="23"/>
  <c r="X143" i="23"/>
  <c r="X142" i="23"/>
  <c r="X141" i="23"/>
  <c r="X140" i="23"/>
  <c r="X139" i="23"/>
  <c r="X138" i="23"/>
  <c r="X136" i="23"/>
  <c r="X135" i="23"/>
  <c r="X134" i="23"/>
  <c r="X133" i="23"/>
  <c r="X131" i="23"/>
  <c r="X130" i="23"/>
  <c r="X129" i="23"/>
  <c r="X127" i="23"/>
  <c r="X126" i="23"/>
  <c r="X125" i="23"/>
  <c r="X124" i="23"/>
  <c r="X122" i="23"/>
  <c r="X121" i="23"/>
  <c r="X120" i="23"/>
  <c r="X119" i="23"/>
  <c r="X118" i="23"/>
  <c r="X116" i="23"/>
  <c r="X115" i="23"/>
  <c r="X114" i="23"/>
  <c r="X113" i="23"/>
  <c r="X112" i="23"/>
  <c r="X111" i="23"/>
  <c r="X109" i="23"/>
  <c r="X106" i="23"/>
  <c r="X105" i="23"/>
  <c r="X103" i="23"/>
  <c r="X102" i="23"/>
  <c r="X101" i="23"/>
  <c r="X100" i="23"/>
  <c r="X99" i="23"/>
  <c r="X98" i="23"/>
  <c r="X97" i="23"/>
  <c r="X95" i="23"/>
  <c r="X94" i="23"/>
  <c r="X92" i="23"/>
  <c r="X91" i="23"/>
  <c r="X90" i="23"/>
  <c r="X89" i="23"/>
  <c r="X88" i="23"/>
  <c r="X87" i="23"/>
  <c r="X86" i="23"/>
  <c r="X82" i="23"/>
  <c r="X80" i="23"/>
  <c r="X79" i="23"/>
  <c r="X78" i="23"/>
  <c r="X72" i="23"/>
  <c r="X71" i="23"/>
  <c r="X66" i="23"/>
  <c r="X65" i="23"/>
  <c r="X64" i="23"/>
  <c r="X63" i="23"/>
  <c r="X57" i="23"/>
  <c r="X53" i="23"/>
  <c r="X49" i="23"/>
  <c r="X45" i="23"/>
  <c r="X41" i="23"/>
  <c r="X40" i="23"/>
  <c r="X39" i="23"/>
  <c r="X34" i="23"/>
  <c r="X30" i="23"/>
  <c r="X26" i="23"/>
  <c r="U198" i="23"/>
  <c r="U194" i="23"/>
  <c r="U189" i="23"/>
  <c r="U188" i="23"/>
  <c r="U187" i="23"/>
  <c r="U186" i="23"/>
  <c r="U185" i="23"/>
  <c r="U184" i="23"/>
  <c r="U179" i="23"/>
  <c r="U178" i="23"/>
  <c r="U176" i="23"/>
  <c r="U175" i="23"/>
  <c r="U173" i="23"/>
  <c r="U172" i="23"/>
  <c r="U171" i="23"/>
  <c r="U167" i="23"/>
  <c r="U166" i="23"/>
  <c r="U165" i="23"/>
  <c r="U163" i="23"/>
  <c r="U162" i="23"/>
  <c r="U160" i="23"/>
  <c r="U159" i="23"/>
  <c r="U158" i="23"/>
  <c r="U153" i="23"/>
  <c r="U152" i="23"/>
  <c r="U151" i="23"/>
  <c r="U150" i="23"/>
  <c r="U149" i="23"/>
  <c r="U148" i="23"/>
  <c r="U145" i="23"/>
  <c r="U144" i="23"/>
  <c r="U143" i="23"/>
  <c r="U142" i="23"/>
  <c r="U141" i="23"/>
  <c r="U140" i="23"/>
  <c r="U139" i="23"/>
  <c r="U138" i="23"/>
  <c r="U136" i="23"/>
  <c r="U135" i="23"/>
  <c r="U134" i="23"/>
  <c r="U133" i="23"/>
  <c r="U131" i="23"/>
  <c r="U130" i="23"/>
  <c r="U129" i="23"/>
  <c r="U127" i="23"/>
  <c r="U126" i="23"/>
  <c r="U125" i="23"/>
  <c r="U124" i="23"/>
  <c r="U122" i="23"/>
  <c r="U121" i="23"/>
  <c r="U120" i="23"/>
  <c r="U119" i="23"/>
  <c r="U118" i="23"/>
  <c r="U116" i="23"/>
  <c r="U115" i="23"/>
  <c r="U114" i="23"/>
  <c r="U113" i="23"/>
  <c r="U112" i="23"/>
  <c r="U111" i="23"/>
  <c r="U109" i="23"/>
  <c r="U106" i="23"/>
  <c r="U105" i="23"/>
  <c r="U103" i="23"/>
  <c r="U102" i="23"/>
  <c r="U101" i="23"/>
  <c r="U100" i="23"/>
  <c r="U99" i="23"/>
  <c r="U98" i="23"/>
  <c r="U97" i="23"/>
  <c r="U95" i="23"/>
  <c r="U94" i="23"/>
  <c r="U92" i="23"/>
  <c r="U91" i="23"/>
  <c r="U90" i="23"/>
  <c r="U89" i="23"/>
  <c r="U88" i="23"/>
  <c r="U87" i="23"/>
  <c r="U86" i="23"/>
  <c r="U82" i="23"/>
  <c r="U80" i="23"/>
  <c r="U79" i="23"/>
  <c r="U78" i="23"/>
  <c r="U72" i="23"/>
  <c r="U71" i="23"/>
  <c r="U66" i="23"/>
  <c r="U65" i="23"/>
  <c r="U64" i="23"/>
  <c r="U63" i="23"/>
  <c r="U57" i="23"/>
  <c r="U53" i="23"/>
  <c r="U49" i="23"/>
  <c r="U45" i="23"/>
  <c r="U41" i="23"/>
  <c r="U40" i="23"/>
  <c r="U39" i="23"/>
  <c r="U34" i="23"/>
  <c r="U30" i="23"/>
  <c r="U26" i="23"/>
  <c r="R198" i="23"/>
  <c r="R194" i="23"/>
  <c r="R189" i="23"/>
  <c r="R188" i="23"/>
  <c r="R187" i="23"/>
  <c r="R186" i="23"/>
  <c r="R185" i="23"/>
  <c r="R184" i="23"/>
  <c r="R179" i="23"/>
  <c r="R178" i="23"/>
  <c r="R176" i="23"/>
  <c r="R175" i="23"/>
  <c r="R173" i="23"/>
  <c r="R172" i="23"/>
  <c r="R171" i="23"/>
  <c r="R167" i="23"/>
  <c r="R166" i="23"/>
  <c r="R165" i="23"/>
  <c r="R163" i="23"/>
  <c r="R162" i="23"/>
  <c r="R160" i="23"/>
  <c r="R159" i="23"/>
  <c r="R158" i="23"/>
  <c r="R153" i="23"/>
  <c r="R152" i="23"/>
  <c r="R151" i="23"/>
  <c r="R150" i="23"/>
  <c r="R149" i="23"/>
  <c r="R148" i="23"/>
  <c r="R145" i="23"/>
  <c r="R144" i="23"/>
  <c r="R143" i="23"/>
  <c r="R142" i="23"/>
  <c r="R141" i="23"/>
  <c r="R140" i="23"/>
  <c r="R139" i="23"/>
  <c r="R138" i="23"/>
  <c r="R136" i="23"/>
  <c r="R135" i="23"/>
  <c r="R134" i="23"/>
  <c r="R133" i="23"/>
  <c r="R131" i="23"/>
  <c r="R130" i="23"/>
  <c r="R129" i="23"/>
  <c r="R127" i="23"/>
  <c r="R126" i="23"/>
  <c r="R125" i="23"/>
  <c r="R124" i="23"/>
  <c r="R122" i="23"/>
  <c r="R121" i="23"/>
  <c r="R120" i="23"/>
  <c r="R119" i="23"/>
  <c r="R118" i="23"/>
  <c r="R116" i="23"/>
  <c r="R115" i="23"/>
  <c r="R114" i="23"/>
  <c r="R113" i="23"/>
  <c r="R112" i="23"/>
  <c r="R111" i="23"/>
  <c r="R109" i="23"/>
  <c r="R106" i="23"/>
  <c r="R105" i="23"/>
  <c r="R103" i="23"/>
  <c r="R102" i="23"/>
  <c r="R101" i="23"/>
  <c r="R100" i="23"/>
  <c r="R99" i="23"/>
  <c r="R98" i="23"/>
  <c r="R97" i="23"/>
  <c r="R95" i="23"/>
  <c r="R94" i="23"/>
  <c r="R92" i="23"/>
  <c r="R91" i="23"/>
  <c r="R90" i="23"/>
  <c r="R89" i="23"/>
  <c r="R88" i="23"/>
  <c r="R87" i="23"/>
  <c r="R86" i="23"/>
  <c r="R82" i="23"/>
  <c r="R80" i="23"/>
  <c r="R79" i="23"/>
  <c r="R78" i="23"/>
  <c r="R72" i="23"/>
  <c r="R71" i="23"/>
  <c r="R66" i="23"/>
  <c r="R65" i="23"/>
  <c r="R64" i="23"/>
  <c r="R63" i="23"/>
  <c r="R57" i="23"/>
  <c r="R53" i="23"/>
  <c r="R49" i="23"/>
  <c r="R45" i="23"/>
  <c r="R41" i="23"/>
  <c r="R40" i="23"/>
  <c r="R39" i="23"/>
  <c r="R34" i="23"/>
  <c r="R30" i="23"/>
  <c r="R26" i="23"/>
  <c r="O198" i="23"/>
  <c r="O194" i="23"/>
  <c r="O189" i="23"/>
  <c r="O188" i="23"/>
  <c r="O187" i="23"/>
  <c r="O186" i="23"/>
  <c r="O185" i="23"/>
  <c r="O184" i="23"/>
  <c r="O179" i="23"/>
  <c r="O178" i="23"/>
  <c r="O176" i="23"/>
  <c r="O175" i="23"/>
  <c r="O173" i="23"/>
  <c r="O172" i="23"/>
  <c r="O171" i="23"/>
  <c r="O167" i="23"/>
  <c r="O166" i="23"/>
  <c r="O165" i="23"/>
  <c r="O163" i="23"/>
  <c r="O162" i="23"/>
  <c r="O160" i="23"/>
  <c r="O159" i="23"/>
  <c r="O158" i="23"/>
  <c r="O153" i="23"/>
  <c r="O152" i="23"/>
  <c r="O151" i="23"/>
  <c r="O150" i="23"/>
  <c r="O149" i="23"/>
  <c r="O148" i="23"/>
  <c r="O145" i="23"/>
  <c r="O144" i="23"/>
  <c r="O143" i="23"/>
  <c r="O142" i="23"/>
  <c r="O141" i="23"/>
  <c r="O140" i="23"/>
  <c r="O139" i="23"/>
  <c r="O138" i="23"/>
  <c r="O136" i="23"/>
  <c r="O135" i="23"/>
  <c r="O134" i="23"/>
  <c r="O133" i="23"/>
  <c r="O131" i="23"/>
  <c r="O130" i="23"/>
  <c r="O129" i="23"/>
  <c r="O127" i="23"/>
  <c r="O126" i="23"/>
  <c r="O125" i="23"/>
  <c r="O124" i="23"/>
  <c r="O122" i="23"/>
  <c r="O121" i="23"/>
  <c r="O120" i="23"/>
  <c r="O119" i="23"/>
  <c r="O118" i="23"/>
  <c r="O116" i="23"/>
  <c r="O115" i="23"/>
  <c r="O114" i="23"/>
  <c r="O113" i="23"/>
  <c r="O112" i="23"/>
  <c r="O111" i="23"/>
  <c r="O109" i="23"/>
  <c r="O106" i="23"/>
  <c r="O105" i="23"/>
  <c r="O103" i="23"/>
  <c r="O102" i="23"/>
  <c r="O101" i="23"/>
  <c r="O100" i="23"/>
  <c r="O99" i="23"/>
  <c r="O98" i="23"/>
  <c r="O97" i="23"/>
  <c r="O95" i="23"/>
  <c r="O94" i="23"/>
  <c r="O92" i="23"/>
  <c r="O91" i="23"/>
  <c r="O90" i="23"/>
  <c r="O89" i="23"/>
  <c r="O88" i="23"/>
  <c r="O87" i="23"/>
  <c r="O86" i="23"/>
  <c r="O82" i="23"/>
  <c r="O80" i="23"/>
  <c r="O79" i="23"/>
  <c r="O78" i="23"/>
  <c r="O72" i="23"/>
  <c r="O71" i="23"/>
  <c r="O66" i="23"/>
  <c r="O65" i="23"/>
  <c r="O64" i="23"/>
  <c r="O63" i="23"/>
  <c r="O57" i="23"/>
  <c r="O53" i="23"/>
  <c r="O49" i="23"/>
  <c r="O45" i="23"/>
  <c r="O41" i="23"/>
  <c r="O40" i="23"/>
  <c r="O39" i="23"/>
  <c r="O34" i="23"/>
  <c r="O30" i="23"/>
  <c r="O26" i="23"/>
  <c r="L198" i="23"/>
  <c r="L194" i="23"/>
  <c r="L189" i="23"/>
  <c r="L188" i="23"/>
  <c r="L187" i="23"/>
  <c r="L186" i="23"/>
  <c r="L185" i="23"/>
  <c r="L184" i="23"/>
  <c r="L179" i="23"/>
  <c r="L178" i="23"/>
  <c r="L176" i="23"/>
  <c r="L175" i="23"/>
  <c r="L173" i="23"/>
  <c r="L172" i="23"/>
  <c r="L171" i="23"/>
  <c r="L167" i="23"/>
  <c r="L166" i="23"/>
  <c r="L165" i="23"/>
  <c r="L163" i="23"/>
  <c r="L162" i="23"/>
  <c r="L160" i="23"/>
  <c r="L159" i="23"/>
  <c r="L158" i="23"/>
  <c r="L153" i="23"/>
  <c r="L152" i="23"/>
  <c r="L151" i="23"/>
  <c r="L150" i="23"/>
  <c r="L149" i="23"/>
  <c r="L148" i="23"/>
  <c r="L145" i="23"/>
  <c r="L144" i="23"/>
  <c r="L143" i="23"/>
  <c r="L142" i="23"/>
  <c r="L141" i="23"/>
  <c r="L140" i="23"/>
  <c r="L139" i="23"/>
  <c r="L138" i="23"/>
  <c r="L136" i="23"/>
  <c r="L135" i="23"/>
  <c r="L134" i="23"/>
  <c r="L133" i="23"/>
  <c r="L131" i="23"/>
  <c r="L130" i="23"/>
  <c r="L129" i="23"/>
  <c r="L127" i="23"/>
  <c r="L126" i="23"/>
  <c r="L125" i="23"/>
  <c r="L124" i="23"/>
  <c r="L122" i="23"/>
  <c r="L121" i="23"/>
  <c r="L120" i="23"/>
  <c r="L119" i="23"/>
  <c r="L118" i="23"/>
  <c r="L116" i="23"/>
  <c r="L115" i="23"/>
  <c r="L114" i="23"/>
  <c r="L113" i="23"/>
  <c r="L112" i="23"/>
  <c r="L111" i="23"/>
  <c r="L109" i="23"/>
  <c r="L106" i="23"/>
  <c r="L105" i="23"/>
  <c r="L103" i="23"/>
  <c r="L102" i="23"/>
  <c r="L101" i="23"/>
  <c r="L100" i="23"/>
  <c r="L99" i="23"/>
  <c r="L98" i="23"/>
  <c r="L97" i="23"/>
  <c r="L95" i="23"/>
  <c r="L94" i="23"/>
  <c r="L92" i="23"/>
  <c r="L91" i="23"/>
  <c r="L90" i="23"/>
  <c r="L89" i="23"/>
  <c r="L88" i="23"/>
  <c r="L87" i="23"/>
  <c r="L86" i="23"/>
  <c r="L82" i="23"/>
  <c r="L80" i="23"/>
  <c r="L79" i="23"/>
  <c r="L78" i="23"/>
  <c r="L72" i="23"/>
  <c r="L71" i="23"/>
  <c r="L66" i="23"/>
  <c r="L65" i="23"/>
  <c r="L64" i="23"/>
  <c r="L63" i="23"/>
  <c r="L57" i="23"/>
  <c r="L53" i="23"/>
  <c r="L49" i="23"/>
  <c r="L45" i="23"/>
  <c r="L41" i="23"/>
  <c r="L40" i="23"/>
  <c r="L39" i="23"/>
  <c r="L34" i="23"/>
  <c r="L30" i="23"/>
  <c r="L26" i="23"/>
  <c r="I198" i="23"/>
  <c r="I194" i="23"/>
  <c r="I189" i="23"/>
  <c r="I188" i="23"/>
  <c r="I187" i="23"/>
  <c r="I186" i="23"/>
  <c r="I185" i="23"/>
  <c r="I184" i="23"/>
  <c r="I179" i="23"/>
  <c r="I178" i="23"/>
  <c r="I176" i="23"/>
  <c r="I175" i="23"/>
  <c r="I173" i="23"/>
  <c r="I172" i="23"/>
  <c r="I171" i="23"/>
  <c r="I167" i="23"/>
  <c r="I166" i="23"/>
  <c r="I165" i="23"/>
  <c r="I163" i="23"/>
  <c r="I162" i="23"/>
  <c r="I160" i="23"/>
  <c r="I159" i="23"/>
  <c r="I158" i="23"/>
  <c r="I153" i="23"/>
  <c r="I152" i="23"/>
  <c r="I151" i="23"/>
  <c r="I150" i="23"/>
  <c r="I149" i="23"/>
  <c r="I148" i="23"/>
  <c r="I145" i="23"/>
  <c r="I144" i="23"/>
  <c r="I143" i="23"/>
  <c r="I142" i="23"/>
  <c r="I141" i="23"/>
  <c r="I140" i="23"/>
  <c r="I139" i="23"/>
  <c r="I138" i="23"/>
  <c r="I136" i="23"/>
  <c r="I135" i="23"/>
  <c r="I134" i="23"/>
  <c r="I133" i="23"/>
  <c r="I131" i="23"/>
  <c r="I130" i="23"/>
  <c r="I129" i="23"/>
  <c r="I127" i="23"/>
  <c r="I126" i="23"/>
  <c r="I125" i="23"/>
  <c r="I124" i="23"/>
  <c r="I122" i="23"/>
  <c r="I121" i="23"/>
  <c r="I120" i="23"/>
  <c r="I119" i="23"/>
  <c r="I118" i="23"/>
  <c r="I116" i="23"/>
  <c r="I115" i="23"/>
  <c r="I114" i="23"/>
  <c r="I113" i="23"/>
  <c r="I112" i="23"/>
  <c r="I111" i="23"/>
  <c r="I109" i="23"/>
  <c r="I106" i="23"/>
  <c r="I105" i="23"/>
  <c r="I103" i="23"/>
  <c r="I102" i="23"/>
  <c r="I101" i="23"/>
  <c r="I100" i="23"/>
  <c r="I99" i="23"/>
  <c r="I98" i="23"/>
  <c r="I97" i="23"/>
  <c r="I95" i="23"/>
  <c r="I94" i="23"/>
  <c r="I92" i="23"/>
  <c r="I91" i="23"/>
  <c r="I90" i="23"/>
  <c r="I89" i="23"/>
  <c r="I88" i="23"/>
  <c r="I87" i="23"/>
  <c r="I86" i="23"/>
  <c r="I82" i="23"/>
  <c r="I80" i="23"/>
  <c r="I79" i="23"/>
  <c r="I78" i="23"/>
  <c r="I72" i="23"/>
  <c r="I71" i="23"/>
  <c r="I66" i="23"/>
  <c r="I65" i="23"/>
  <c r="I64" i="23"/>
  <c r="I63" i="23"/>
  <c r="I57" i="23"/>
  <c r="I53" i="23"/>
  <c r="I49" i="23"/>
  <c r="I45" i="23"/>
  <c r="I41" i="23"/>
  <c r="I40" i="23"/>
  <c r="I39" i="23"/>
  <c r="I34" i="23"/>
  <c r="I30" i="23"/>
  <c r="I26" i="23"/>
  <c r="F26" i="23"/>
  <c r="F30" i="23"/>
  <c r="F34" i="23"/>
  <c r="F39" i="23"/>
  <c r="F40" i="23"/>
  <c r="F41" i="23"/>
  <c r="F45" i="23"/>
  <c r="F49" i="23"/>
  <c r="F53" i="23"/>
  <c r="F57" i="23"/>
  <c r="F63" i="23"/>
  <c r="F64" i="23"/>
  <c r="F65" i="23"/>
  <c r="F66" i="23"/>
  <c r="F71" i="23"/>
  <c r="F72" i="23"/>
  <c r="F78" i="23"/>
  <c r="F79" i="23"/>
  <c r="F80" i="23"/>
  <c r="F82" i="23"/>
  <c r="F86" i="23"/>
  <c r="F87" i="23"/>
  <c r="F88" i="23"/>
  <c r="F89" i="23"/>
  <c r="F90" i="23"/>
  <c r="F91" i="23"/>
  <c r="F92" i="23"/>
  <c r="F94" i="23"/>
  <c r="F95" i="23"/>
  <c r="F97" i="23"/>
  <c r="F98" i="23"/>
  <c r="F99" i="23"/>
  <c r="F100" i="23"/>
  <c r="F101" i="23"/>
  <c r="F102" i="23"/>
  <c r="F103" i="23"/>
  <c r="F105" i="23"/>
  <c r="F106" i="23"/>
  <c r="F109" i="23"/>
  <c r="F111" i="23"/>
  <c r="F112" i="23"/>
  <c r="F113" i="23"/>
  <c r="F114" i="23"/>
  <c r="F115" i="23"/>
  <c r="F116" i="23"/>
  <c r="F118" i="23"/>
  <c r="F119" i="23"/>
  <c r="F120" i="23"/>
  <c r="F121" i="23"/>
  <c r="F122" i="23"/>
  <c r="F124" i="23"/>
  <c r="F125" i="23"/>
  <c r="F126" i="23"/>
  <c r="F127" i="23"/>
  <c r="F129" i="23"/>
  <c r="F130" i="23"/>
  <c r="F131" i="23"/>
  <c r="F133" i="23"/>
  <c r="F134" i="23"/>
  <c r="F135" i="23"/>
  <c r="F136" i="23"/>
  <c r="F138" i="23"/>
  <c r="F139" i="23"/>
  <c r="F140" i="23"/>
  <c r="F141" i="23"/>
  <c r="F142" i="23"/>
  <c r="F143" i="23"/>
  <c r="F144" i="23"/>
  <c r="F145" i="23"/>
  <c r="F148" i="23"/>
  <c r="F149" i="23"/>
  <c r="F150" i="23"/>
  <c r="F151" i="23"/>
  <c r="F152" i="23"/>
  <c r="F153" i="23"/>
  <c r="F158" i="23"/>
  <c r="F159" i="23"/>
  <c r="F160" i="23"/>
  <c r="F162" i="23"/>
  <c r="F163" i="23"/>
  <c r="F165" i="23"/>
  <c r="F166" i="23"/>
  <c r="F167" i="23"/>
  <c r="F171" i="23"/>
  <c r="F172" i="23"/>
  <c r="F173" i="23"/>
  <c r="F175" i="23"/>
  <c r="F176" i="23"/>
  <c r="F178" i="23"/>
  <c r="F179" i="23"/>
  <c r="F184" i="23"/>
  <c r="F185" i="23"/>
  <c r="F186" i="23"/>
  <c r="F187" i="23"/>
  <c r="F188" i="23"/>
  <c r="F189" i="23"/>
  <c r="F194" i="23"/>
  <c r="F198" i="23"/>
  <c r="Y197" i="23" l="1"/>
  <c r="AB197" i="23"/>
  <c r="AE197" i="23"/>
  <c r="Y177" i="23"/>
  <c r="D177" i="23"/>
  <c r="G177" i="23"/>
  <c r="J177" i="23"/>
  <c r="M177" i="23"/>
  <c r="P177" i="23"/>
  <c r="S177" i="23"/>
  <c r="V177" i="23"/>
  <c r="AB177" i="23"/>
  <c r="AE177" i="23"/>
  <c r="AH177" i="23"/>
  <c r="Y174" i="23"/>
  <c r="G174" i="23"/>
  <c r="M174" i="23"/>
  <c r="P174" i="23"/>
  <c r="S174" i="23"/>
  <c r="V174" i="23"/>
  <c r="AB174" i="23"/>
  <c r="AE174" i="23"/>
  <c r="AH164" i="23"/>
  <c r="AH197" i="23"/>
  <c r="AH193" i="23"/>
  <c r="AH174" i="23"/>
  <c r="AH170" i="23"/>
  <c r="AH161" i="23"/>
  <c r="AH128" i="23"/>
  <c r="AH108" i="23"/>
  <c r="AH12" i="23" s="1"/>
  <c r="AH81" i="23"/>
  <c r="AH56" i="23"/>
  <c r="AH52" i="23"/>
  <c r="AH48" i="23"/>
  <c r="AH44" i="23"/>
  <c r="AH33" i="23"/>
  <c r="AH29" i="23"/>
  <c r="AH25" i="23"/>
  <c r="AK390" i="22"/>
  <c r="AK388" i="22"/>
  <c r="G25" i="23"/>
  <c r="J25" i="23"/>
  <c r="M25" i="23"/>
  <c r="P25" i="23"/>
  <c r="S25" i="23"/>
  <c r="V25" i="23"/>
  <c r="Y25" i="23"/>
  <c r="AB25" i="23"/>
  <c r="AE25" i="23"/>
  <c r="G29" i="23"/>
  <c r="J29" i="23"/>
  <c r="M29" i="23"/>
  <c r="P29" i="23"/>
  <c r="S29" i="23"/>
  <c r="V29" i="23"/>
  <c r="Y29" i="23"/>
  <c r="AB29" i="23"/>
  <c r="AE29" i="23"/>
  <c r="G33" i="23"/>
  <c r="J33" i="23"/>
  <c r="M33" i="23"/>
  <c r="P33" i="23"/>
  <c r="S33" i="23"/>
  <c r="V33" i="23"/>
  <c r="Y33" i="23"/>
  <c r="AB33" i="23"/>
  <c r="AE33" i="23"/>
  <c r="G44" i="23"/>
  <c r="J44" i="23"/>
  <c r="M44" i="23"/>
  <c r="P44" i="23"/>
  <c r="S44" i="23"/>
  <c r="V44" i="23"/>
  <c r="Y44" i="23"/>
  <c r="AB44" i="23"/>
  <c r="AE44" i="23"/>
  <c r="G48" i="23"/>
  <c r="J48" i="23"/>
  <c r="M48" i="23"/>
  <c r="P48" i="23"/>
  <c r="S48" i="23"/>
  <c r="V48" i="23"/>
  <c r="Y48" i="23"/>
  <c r="AB48" i="23"/>
  <c r="AE48" i="23"/>
  <c r="G52" i="23"/>
  <c r="J52" i="23"/>
  <c r="M52" i="23"/>
  <c r="P52" i="23"/>
  <c r="S52" i="23"/>
  <c r="V52" i="23"/>
  <c r="Y52" i="23"/>
  <c r="AB52" i="23"/>
  <c r="AE52" i="23"/>
  <c r="G56" i="23"/>
  <c r="J56" i="23"/>
  <c r="M56" i="23"/>
  <c r="P56" i="23"/>
  <c r="S56" i="23"/>
  <c r="V56" i="23"/>
  <c r="Y56" i="23"/>
  <c r="AB56" i="23"/>
  <c r="AE56" i="23"/>
  <c r="G81" i="23"/>
  <c r="J81" i="23"/>
  <c r="M81" i="23"/>
  <c r="P81" i="23"/>
  <c r="S81" i="23"/>
  <c r="V81" i="23"/>
  <c r="Y81" i="23"/>
  <c r="AB81" i="23"/>
  <c r="AE81" i="23"/>
  <c r="G108" i="23"/>
  <c r="G12" i="23" s="1"/>
  <c r="J108" i="23"/>
  <c r="J12" i="23" s="1"/>
  <c r="M108" i="23"/>
  <c r="M12" i="23" s="1"/>
  <c r="P108" i="23"/>
  <c r="P12" i="23" s="1"/>
  <c r="S108" i="23"/>
  <c r="S12" i="23" s="1"/>
  <c r="V108" i="23"/>
  <c r="V12" i="23" s="1"/>
  <c r="Y108" i="23"/>
  <c r="Y12" i="23" s="1"/>
  <c r="AB108" i="23"/>
  <c r="AB12" i="23" s="1"/>
  <c r="AE108" i="23"/>
  <c r="AE12" i="23" s="1"/>
  <c r="G161" i="23"/>
  <c r="J161" i="23"/>
  <c r="M161" i="23"/>
  <c r="P161" i="23"/>
  <c r="S161" i="23"/>
  <c r="V161" i="23"/>
  <c r="Y161" i="23"/>
  <c r="AB161" i="23"/>
  <c r="AE161" i="23"/>
  <c r="G193" i="23"/>
  <c r="J193" i="23"/>
  <c r="M193" i="23"/>
  <c r="P193" i="23"/>
  <c r="S193" i="23"/>
  <c r="V193" i="23"/>
  <c r="Y193" i="23"/>
  <c r="AB193" i="23"/>
  <c r="AE193" i="23"/>
  <c r="G197" i="23"/>
  <c r="J197" i="23"/>
  <c r="M197" i="23"/>
  <c r="P197" i="23"/>
  <c r="S197" i="23"/>
  <c r="V197" i="23"/>
  <c r="D197" i="23"/>
  <c r="D193" i="23"/>
  <c r="D161" i="23"/>
  <c r="D108" i="23"/>
  <c r="D12" i="23" s="1"/>
  <c r="D81" i="23"/>
  <c r="D77" i="23"/>
  <c r="D56" i="23"/>
  <c r="D52" i="23"/>
  <c r="D48" i="23"/>
  <c r="D44" i="23"/>
  <c r="D33" i="23"/>
  <c r="D29" i="23"/>
  <c r="D25" i="23"/>
  <c r="F193" i="23" l="1"/>
  <c r="L161" i="23"/>
  <c r="S55" i="23"/>
  <c r="U56" i="23"/>
  <c r="AB43" i="23"/>
  <c r="AD44" i="23"/>
  <c r="I33" i="23"/>
  <c r="J28" i="23"/>
  <c r="L29" i="23"/>
  <c r="AH43" i="23"/>
  <c r="X177" i="23"/>
  <c r="AB192" i="23"/>
  <c r="AD193" i="23"/>
  <c r="AG161" i="23"/>
  <c r="O81" i="23"/>
  <c r="S51" i="23"/>
  <c r="U52" i="23"/>
  <c r="AB32" i="23"/>
  <c r="AD33" i="23"/>
  <c r="I29" i="23"/>
  <c r="AH47" i="23"/>
  <c r="U177" i="23"/>
  <c r="V196" i="23"/>
  <c r="X197" i="23"/>
  <c r="AG108" i="23"/>
  <c r="M55" i="23"/>
  <c r="O56" i="23"/>
  <c r="S47" i="23"/>
  <c r="U48" i="23"/>
  <c r="V43" i="23"/>
  <c r="X44" i="23"/>
  <c r="AB28" i="23"/>
  <c r="AD29" i="23"/>
  <c r="I25" i="23"/>
  <c r="O174" i="23"/>
  <c r="Y196" i="23"/>
  <c r="AA197" i="23"/>
  <c r="S196" i="23"/>
  <c r="U197" i="23"/>
  <c r="AA161" i="23"/>
  <c r="AG81" i="23"/>
  <c r="J55" i="23"/>
  <c r="L56" i="23"/>
  <c r="P47" i="23"/>
  <c r="R48" i="23"/>
  <c r="S43" i="23"/>
  <c r="U44" i="23"/>
  <c r="Y28" i="23"/>
  <c r="AA29" i="23"/>
  <c r="AH55" i="23"/>
  <c r="P196" i="23"/>
  <c r="R197" i="23"/>
  <c r="S192" i="23"/>
  <c r="U193" i="23"/>
  <c r="X161" i="23"/>
  <c r="AA108" i="23"/>
  <c r="AD81" i="23"/>
  <c r="AE55" i="23"/>
  <c r="AG56" i="23"/>
  <c r="I56" i="23"/>
  <c r="J51" i="23"/>
  <c r="L52" i="23"/>
  <c r="M47" i="23"/>
  <c r="O48" i="23"/>
  <c r="P43" i="23"/>
  <c r="R44" i="23"/>
  <c r="S32" i="23"/>
  <c r="U33" i="23"/>
  <c r="V28" i="23"/>
  <c r="X29" i="23"/>
  <c r="Y24" i="23"/>
  <c r="AA25" i="23"/>
  <c r="AJ81" i="23"/>
  <c r="AA174" i="23"/>
  <c r="L177" i="23"/>
  <c r="D43" i="23"/>
  <c r="F44" i="23"/>
  <c r="AE192" i="23"/>
  <c r="AG193" i="23"/>
  <c r="O108" i="23"/>
  <c r="Y47" i="23"/>
  <c r="AA48" i="23"/>
  <c r="AH169" i="23"/>
  <c r="AE196" i="23"/>
  <c r="AG197" i="23"/>
  <c r="F197" i="23"/>
  <c r="I161" i="23"/>
  <c r="P55" i="23"/>
  <c r="R56" i="23"/>
  <c r="V47" i="23"/>
  <c r="X48" i="23"/>
  <c r="AE28" i="23"/>
  <c r="AG29" i="23"/>
  <c r="J24" i="23"/>
  <c r="L25" i="23"/>
  <c r="AJ174" i="23"/>
  <c r="R174" i="23"/>
  <c r="D51" i="23"/>
  <c r="F52" i="23"/>
  <c r="AD161" i="23"/>
  <c r="L81" i="23"/>
  <c r="P51" i="23"/>
  <c r="R52" i="23"/>
  <c r="Y32" i="23"/>
  <c r="AA33" i="23"/>
  <c r="AE24" i="23"/>
  <c r="AG25" i="23"/>
  <c r="AH51" i="23"/>
  <c r="AH192" i="23"/>
  <c r="AJ193" i="23"/>
  <c r="R177" i="23"/>
  <c r="D55" i="23"/>
  <c r="F56" i="23"/>
  <c r="V192" i="23"/>
  <c r="X193" i="23"/>
  <c r="AD108" i="23"/>
  <c r="I81" i="23"/>
  <c r="M51" i="23"/>
  <c r="O52" i="23"/>
  <c r="V32" i="23"/>
  <c r="X33" i="23"/>
  <c r="AB24" i="23"/>
  <c r="AD25" i="23"/>
  <c r="AH196" i="23"/>
  <c r="AJ197" i="23"/>
  <c r="O177" i="23"/>
  <c r="D24" i="23"/>
  <c r="F25" i="23"/>
  <c r="F81" i="23"/>
  <c r="M196" i="23"/>
  <c r="O197" i="23"/>
  <c r="P192" i="23"/>
  <c r="R193" i="23"/>
  <c r="U161" i="23"/>
  <c r="X108" i="23"/>
  <c r="AA81" i="23"/>
  <c r="AB55" i="23"/>
  <c r="AD56" i="23"/>
  <c r="AE51" i="23"/>
  <c r="AG52" i="23"/>
  <c r="I52" i="23"/>
  <c r="J47" i="23"/>
  <c r="L48" i="23"/>
  <c r="M43" i="23"/>
  <c r="O44" i="23"/>
  <c r="P32" i="23"/>
  <c r="R33" i="23"/>
  <c r="S28" i="23"/>
  <c r="U29" i="23"/>
  <c r="V24" i="23"/>
  <c r="X25" i="23"/>
  <c r="AH24" i="23"/>
  <c r="AG174" i="23"/>
  <c r="I177" i="23"/>
  <c r="G192" i="23"/>
  <c r="I193" i="23"/>
  <c r="R81" i="23"/>
  <c r="V51" i="23"/>
  <c r="X52" i="23"/>
  <c r="AE32" i="23"/>
  <c r="AG33" i="23"/>
  <c r="M24" i="23"/>
  <c r="O25" i="23"/>
  <c r="U174" i="23"/>
  <c r="D47" i="23"/>
  <c r="F48" i="23"/>
  <c r="L108" i="23"/>
  <c r="Y43" i="23"/>
  <c r="AA44" i="23"/>
  <c r="AB196" i="23"/>
  <c r="AD197" i="23"/>
  <c r="Y192" i="23"/>
  <c r="AA193" i="23"/>
  <c r="I108" i="23"/>
  <c r="D28" i="23"/>
  <c r="F29" i="23"/>
  <c r="F108" i="23"/>
  <c r="J196" i="23"/>
  <c r="L197" i="23"/>
  <c r="M192" i="23"/>
  <c r="O193" i="23"/>
  <c r="R161" i="23"/>
  <c r="U108" i="23"/>
  <c r="X81" i="23"/>
  <c r="Y55" i="23"/>
  <c r="AA56" i="23"/>
  <c r="AB51" i="23"/>
  <c r="AD52" i="23"/>
  <c r="AE47" i="23"/>
  <c r="AG48" i="23"/>
  <c r="I48" i="23"/>
  <c r="J43" i="23"/>
  <c r="L44" i="23"/>
  <c r="M32" i="23"/>
  <c r="O33" i="23"/>
  <c r="P28" i="23"/>
  <c r="R29" i="23"/>
  <c r="S24" i="23"/>
  <c r="U25" i="23"/>
  <c r="AH28" i="23"/>
  <c r="AD174" i="23"/>
  <c r="AG177" i="23"/>
  <c r="F177" i="23"/>
  <c r="D32" i="23"/>
  <c r="F33" i="23"/>
  <c r="F161" i="23"/>
  <c r="G196" i="23"/>
  <c r="I197" i="23"/>
  <c r="J192" i="23"/>
  <c r="L193" i="23"/>
  <c r="O161" i="23"/>
  <c r="R108" i="23"/>
  <c r="U81" i="23"/>
  <c r="V55" i="23"/>
  <c r="X56" i="23"/>
  <c r="Y51" i="23"/>
  <c r="AA52" i="23"/>
  <c r="AB47" i="23"/>
  <c r="AD48" i="23"/>
  <c r="AE43" i="23"/>
  <c r="AG44" i="23"/>
  <c r="I44" i="23"/>
  <c r="J32" i="23"/>
  <c r="L33" i="23"/>
  <c r="M28" i="23"/>
  <c r="O29" i="23"/>
  <c r="P24" i="23"/>
  <c r="R25" i="23"/>
  <c r="AH32" i="23"/>
  <c r="X174" i="23"/>
  <c r="AD177" i="23"/>
  <c r="AA177" i="23"/>
  <c r="D192" i="23"/>
  <c r="D196" i="23"/>
  <c r="G28" i="23"/>
  <c r="G51" i="23"/>
  <c r="G47" i="23"/>
  <c r="G55" i="23"/>
  <c r="G43" i="23"/>
  <c r="G32" i="23"/>
  <c r="G24" i="23"/>
  <c r="D174" i="23"/>
  <c r="J174" i="23"/>
  <c r="I174" i="23" s="1"/>
  <c r="AK93" i="23"/>
  <c r="AH96" i="23"/>
  <c r="AH117" i="23"/>
  <c r="AK197" i="23"/>
  <c r="AK193" i="23"/>
  <c r="AK177" i="23"/>
  <c r="AK174" i="23"/>
  <c r="AK161" i="23"/>
  <c r="AJ161" i="23" s="1"/>
  <c r="AK108" i="23"/>
  <c r="AK12" i="23" s="1"/>
  <c r="AK85" i="23"/>
  <c r="AK81" i="23"/>
  <c r="AK70" i="23"/>
  <c r="AK56" i="23"/>
  <c r="AJ56" i="23" s="1"/>
  <c r="AK52" i="23"/>
  <c r="AK38" i="23"/>
  <c r="AK48" i="23"/>
  <c r="AJ48" i="23" s="1"/>
  <c r="AK44" i="23"/>
  <c r="AJ44" i="23" s="1"/>
  <c r="AK33" i="23"/>
  <c r="AJ33" i="23" s="1"/>
  <c r="AK29" i="23"/>
  <c r="AJ29" i="23" s="1"/>
  <c r="AK25" i="23"/>
  <c r="D157" i="23"/>
  <c r="P164" i="23"/>
  <c r="Y164" i="23"/>
  <c r="M164" i="23"/>
  <c r="J164" i="23"/>
  <c r="AE164" i="23"/>
  <c r="G164" i="23"/>
  <c r="AB164" i="23"/>
  <c r="V164" i="23"/>
  <c r="S164" i="23"/>
  <c r="AE170" i="23"/>
  <c r="G170" i="23"/>
  <c r="AB170" i="23"/>
  <c r="Y170" i="23"/>
  <c r="V170" i="23"/>
  <c r="S170" i="23"/>
  <c r="P170" i="23"/>
  <c r="M170" i="23"/>
  <c r="J170" i="23"/>
  <c r="AH70" i="23"/>
  <c r="AH62" i="23"/>
  <c r="AH157" i="23"/>
  <c r="AH38" i="23"/>
  <c r="AH85" i="23"/>
  <c r="AH104" i="23"/>
  <c r="AH137" i="23"/>
  <c r="AH147" i="23"/>
  <c r="AH110" i="23"/>
  <c r="AH77" i="23"/>
  <c r="AH132" i="23"/>
  <c r="AH123" i="23"/>
  <c r="AH183" i="23"/>
  <c r="AH93" i="23"/>
  <c r="AH168" i="23"/>
  <c r="J183" i="23"/>
  <c r="AE183" i="23"/>
  <c r="G183" i="23"/>
  <c r="AB183" i="23"/>
  <c r="Y183" i="23"/>
  <c r="V183" i="23"/>
  <c r="S183" i="23"/>
  <c r="P183" i="23"/>
  <c r="M183" i="23"/>
  <c r="AE128" i="23"/>
  <c r="AE104" i="23"/>
  <c r="G104" i="23"/>
  <c r="Y70" i="23"/>
  <c r="M38" i="23"/>
  <c r="V104" i="23"/>
  <c r="J77" i="23"/>
  <c r="V93" i="23"/>
  <c r="P85" i="23"/>
  <c r="G128" i="23"/>
  <c r="V123" i="23"/>
  <c r="S132" i="23"/>
  <c r="V128" i="23"/>
  <c r="AB128" i="23"/>
  <c r="M70" i="23"/>
  <c r="J132" i="23"/>
  <c r="P132" i="23"/>
  <c r="P104" i="23"/>
  <c r="Y147" i="23"/>
  <c r="M104" i="23"/>
  <c r="AE96" i="23"/>
  <c r="G96" i="23"/>
  <c r="P93" i="23"/>
  <c r="M85" i="23"/>
  <c r="AB38" i="23"/>
  <c r="V147" i="23"/>
  <c r="S38" i="23"/>
  <c r="M62" i="23"/>
  <c r="M110" i="23"/>
  <c r="P77" i="23"/>
  <c r="P157" i="23"/>
  <c r="P117" i="23"/>
  <c r="S70" i="23"/>
  <c r="AE123" i="23"/>
  <c r="G123" i="23"/>
  <c r="V157" i="23"/>
  <c r="AB157" i="23"/>
  <c r="V132" i="23"/>
  <c r="J128" i="23"/>
  <c r="AE93" i="23"/>
  <c r="G93" i="23"/>
  <c r="J85" i="23"/>
  <c r="AE77" i="23"/>
  <c r="G77" i="23"/>
  <c r="P70" i="23"/>
  <c r="P62" i="23"/>
  <c r="Y38" i="23"/>
  <c r="Y157" i="23"/>
  <c r="Y123" i="23"/>
  <c r="S117" i="23"/>
  <c r="P110" i="23"/>
  <c r="J104" i="23"/>
  <c r="AB93" i="23"/>
  <c r="AE85" i="23"/>
  <c r="G85" i="23"/>
  <c r="V77" i="23"/>
  <c r="AB77" i="23"/>
  <c r="V38" i="23"/>
  <c r="Y93" i="23"/>
  <c r="V85" i="23"/>
  <c r="AB85" i="23"/>
  <c r="Y77" i="23"/>
  <c r="J70" i="23"/>
  <c r="J62" i="23"/>
  <c r="S157" i="23"/>
  <c r="AB137" i="23"/>
  <c r="S137" i="23"/>
  <c r="Y137" i="23"/>
  <c r="M132" i="23"/>
  <c r="Y128" i="23"/>
  <c r="S123" i="23"/>
  <c r="M117" i="23"/>
  <c r="J110" i="23"/>
  <c r="AB104" i="23"/>
  <c r="Y85" i="23"/>
  <c r="AE70" i="23"/>
  <c r="G70" i="23"/>
  <c r="AB62" i="23"/>
  <c r="AE62" i="23"/>
  <c r="G62" i="23"/>
  <c r="P38" i="23"/>
  <c r="M147" i="23"/>
  <c r="S147" i="23"/>
  <c r="V137" i="23"/>
  <c r="S93" i="23"/>
  <c r="S77" i="23"/>
  <c r="AB70" i="23"/>
  <c r="AE157" i="23"/>
  <c r="G157" i="23"/>
  <c r="M157" i="23"/>
  <c r="Y132" i="23"/>
  <c r="M128" i="23"/>
  <c r="S128" i="23"/>
  <c r="AB96" i="23"/>
  <c r="S85" i="23"/>
  <c r="S62" i="23"/>
  <c r="Y62" i="23"/>
  <c r="J38" i="23"/>
  <c r="AB132" i="23"/>
  <c r="P128" i="23"/>
  <c r="AB123" i="23"/>
  <c r="V117" i="23"/>
  <c r="Y110" i="23"/>
  <c r="S104" i="23"/>
  <c r="M93" i="23"/>
  <c r="M77" i="23"/>
  <c r="V70" i="23"/>
  <c r="V62" i="23"/>
  <c r="AE38" i="23"/>
  <c r="G38" i="23"/>
  <c r="Y117" i="23"/>
  <c r="V110" i="23"/>
  <c r="Y96" i="23"/>
  <c r="AE137" i="23"/>
  <c r="G137" i="23"/>
  <c r="V96" i="23"/>
  <c r="J93" i="23"/>
  <c r="M96" i="23"/>
  <c r="S96" i="23"/>
  <c r="P96" i="23"/>
  <c r="J157" i="23"/>
  <c r="P147" i="23"/>
  <c r="M123" i="23"/>
  <c r="P123" i="23"/>
  <c r="G117" i="23"/>
  <c r="J117" i="23"/>
  <c r="AE110" i="23"/>
  <c r="G110" i="23"/>
  <c r="J96" i="23"/>
  <c r="AB147" i="23"/>
  <c r="J147" i="23"/>
  <c r="J137" i="23"/>
  <c r="P137" i="23"/>
  <c r="AE132" i="23"/>
  <c r="G132" i="23"/>
  <c r="AE117" i="23"/>
  <c r="AB110" i="23"/>
  <c r="Y104" i="23"/>
  <c r="AE147" i="23"/>
  <c r="G147" i="23"/>
  <c r="M137" i="23"/>
  <c r="J123" i="23"/>
  <c r="AB117" i="23"/>
  <c r="S110" i="23"/>
  <c r="D183" i="23"/>
  <c r="D170" i="23"/>
  <c r="D147" i="23"/>
  <c r="D110" i="23"/>
  <c r="D137" i="23"/>
  <c r="D132" i="23"/>
  <c r="D128" i="23"/>
  <c r="D123" i="23"/>
  <c r="D117" i="23"/>
  <c r="D93" i="23"/>
  <c r="D104" i="23"/>
  <c r="D96" i="23"/>
  <c r="D85" i="23"/>
  <c r="D70" i="23"/>
  <c r="D62" i="23"/>
  <c r="D38" i="23"/>
  <c r="F137" i="23" l="1"/>
  <c r="R128" i="23"/>
  <c r="L104" i="23"/>
  <c r="M37" i="23"/>
  <c r="O38" i="23"/>
  <c r="AG110" i="23"/>
  <c r="AD132" i="23"/>
  <c r="R110" i="23"/>
  <c r="U132" i="23"/>
  <c r="AJ93" i="23"/>
  <c r="X164" i="23"/>
  <c r="I24" i="23"/>
  <c r="D146" i="23"/>
  <c r="F147" i="23"/>
  <c r="R137" i="23"/>
  <c r="R96" i="23"/>
  <c r="J37" i="23"/>
  <c r="L38" i="23"/>
  <c r="AD137" i="23"/>
  <c r="U117" i="23"/>
  <c r="AG123" i="23"/>
  <c r="X123" i="23"/>
  <c r="V182" i="23"/>
  <c r="X183" i="23"/>
  <c r="S169" i="23"/>
  <c r="U170" i="23"/>
  <c r="AD164" i="23"/>
  <c r="M191" i="23"/>
  <c r="O192" i="23"/>
  <c r="AB23" i="23"/>
  <c r="AD24" i="23"/>
  <c r="F170" i="23"/>
  <c r="L137" i="23"/>
  <c r="O93" i="23"/>
  <c r="Y61" i="23"/>
  <c r="AA62" i="23"/>
  <c r="P37" i="23"/>
  <c r="R38" i="23"/>
  <c r="S156" i="23"/>
  <c r="S155" i="23" s="1"/>
  <c r="U157" i="23"/>
  <c r="AA123" i="23"/>
  <c r="S69" i="23"/>
  <c r="U70" i="23"/>
  <c r="R132" i="23"/>
  <c r="AG104" i="23"/>
  <c r="Y182" i="23"/>
  <c r="AA183" i="23"/>
  <c r="AH37" i="23"/>
  <c r="AJ38" i="23"/>
  <c r="I164" i="23"/>
  <c r="I43" i="23"/>
  <c r="V54" i="23"/>
  <c r="X55" i="23"/>
  <c r="AE46" i="23"/>
  <c r="AG47" i="23"/>
  <c r="V23" i="23"/>
  <c r="X24" i="23"/>
  <c r="AH50" i="23"/>
  <c r="S191" i="23"/>
  <c r="U192" i="23"/>
  <c r="AB27" i="23"/>
  <c r="AD28" i="23"/>
  <c r="F117" i="23"/>
  <c r="F183" i="23"/>
  <c r="J146" i="23"/>
  <c r="L147" i="23"/>
  <c r="R123" i="23"/>
  <c r="U96" i="23"/>
  <c r="AA117" i="23"/>
  <c r="U104" i="23"/>
  <c r="S61" i="23"/>
  <c r="U62" i="23"/>
  <c r="AE156" i="23"/>
  <c r="AE155" i="23" s="1"/>
  <c r="AG157" i="23"/>
  <c r="I62" i="23"/>
  <c r="O117" i="23"/>
  <c r="J61" i="23"/>
  <c r="L62" i="23"/>
  <c r="V76" i="23"/>
  <c r="X77" i="23"/>
  <c r="Y156" i="23"/>
  <c r="Y155" i="23" s="1"/>
  <c r="AA157" i="23"/>
  <c r="AG93" i="23"/>
  <c r="R117" i="23"/>
  <c r="O85" i="23"/>
  <c r="L132" i="23"/>
  <c r="R85" i="23"/>
  <c r="AG128" i="23"/>
  <c r="AB182" i="23"/>
  <c r="AD183" i="23"/>
  <c r="AH156" i="23"/>
  <c r="Y169" i="23"/>
  <c r="AA170" i="23"/>
  <c r="AG164" i="23"/>
  <c r="AK32" i="23"/>
  <c r="AJ32" i="23" s="1"/>
  <c r="I55" i="23"/>
  <c r="AH31" i="23"/>
  <c r="J191" i="23"/>
  <c r="L192" i="23"/>
  <c r="D27" i="23"/>
  <c r="F28" i="23"/>
  <c r="AB195" i="23"/>
  <c r="AD196" i="23"/>
  <c r="M42" i="23"/>
  <c r="O43" i="23"/>
  <c r="AE50" i="23"/>
  <c r="AG51" i="23"/>
  <c r="P50" i="23"/>
  <c r="R51" i="23"/>
  <c r="D50" i="23"/>
  <c r="F51" i="23"/>
  <c r="P54" i="23"/>
  <c r="R55" i="23"/>
  <c r="AE195" i="23"/>
  <c r="AG196" i="23"/>
  <c r="S31" i="23"/>
  <c r="U32" i="23"/>
  <c r="S42" i="23"/>
  <c r="U43" i="23"/>
  <c r="Y195" i="23"/>
  <c r="AA196" i="23"/>
  <c r="M54" i="23"/>
  <c r="O55" i="23"/>
  <c r="I132" i="23"/>
  <c r="AE69" i="23"/>
  <c r="AG70" i="23"/>
  <c r="P182" i="23"/>
  <c r="R183" i="23"/>
  <c r="S146" i="23"/>
  <c r="U147" i="23"/>
  <c r="AE76" i="23"/>
  <c r="AG77" i="23"/>
  <c r="S182" i="23"/>
  <c r="U183" i="23"/>
  <c r="F157" i="23"/>
  <c r="F192" i="23"/>
  <c r="I147" i="23"/>
  <c r="AA96" i="23"/>
  <c r="M156" i="23"/>
  <c r="M155" i="23" s="1"/>
  <c r="O157" i="23"/>
  <c r="AD104" i="23"/>
  <c r="L85" i="23"/>
  <c r="R104" i="23"/>
  <c r="AH182" i="23"/>
  <c r="AK24" i="23"/>
  <c r="AJ24" i="23" s="1"/>
  <c r="I32" i="23"/>
  <c r="M27" i="23"/>
  <c r="O28" i="23"/>
  <c r="M23" i="23"/>
  <c r="O24" i="23"/>
  <c r="F93" i="23"/>
  <c r="AE146" i="23"/>
  <c r="AG147" i="23"/>
  <c r="I117" i="23"/>
  <c r="X110" i="23"/>
  <c r="G156" i="23"/>
  <c r="I157" i="23"/>
  <c r="L110" i="23"/>
  <c r="AB76" i="23"/>
  <c r="AD77" i="23"/>
  <c r="I93" i="23"/>
  <c r="AB37" i="23"/>
  <c r="AD38" i="23"/>
  <c r="I128" i="23"/>
  <c r="V169" i="23"/>
  <c r="X170" i="23"/>
  <c r="AK28" i="23"/>
  <c r="AJ28" i="23" s="1"/>
  <c r="M31" i="23"/>
  <c r="O32" i="23"/>
  <c r="M195" i="23"/>
  <c r="O196" i="23"/>
  <c r="D54" i="23"/>
  <c r="F55" i="23"/>
  <c r="J23" i="23"/>
  <c r="L24" i="23"/>
  <c r="D42" i="23"/>
  <c r="F43" i="23"/>
  <c r="AB31" i="23"/>
  <c r="AD32" i="23"/>
  <c r="D37" i="23"/>
  <c r="F38" i="23"/>
  <c r="F123" i="23"/>
  <c r="AA104" i="23"/>
  <c r="AB146" i="23"/>
  <c r="AD147" i="23"/>
  <c r="O123" i="23"/>
  <c r="O96" i="23"/>
  <c r="AA110" i="23"/>
  <c r="U85" i="23"/>
  <c r="AB69" i="23"/>
  <c r="AD70" i="23"/>
  <c r="AE61" i="23"/>
  <c r="AG62" i="23"/>
  <c r="U123" i="23"/>
  <c r="J69" i="23"/>
  <c r="L70" i="23"/>
  <c r="I85" i="23"/>
  <c r="Y37" i="23"/>
  <c r="AA38" i="23"/>
  <c r="L128" i="23"/>
  <c r="P156" i="23"/>
  <c r="P155" i="23" s="1"/>
  <c r="R157" i="23"/>
  <c r="R93" i="23"/>
  <c r="M69" i="23"/>
  <c r="O70" i="23"/>
  <c r="X93" i="23"/>
  <c r="G182" i="23"/>
  <c r="I183" i="23"/>
  <c r="AH76" i="23"/>
  <c r="AH61" i="23"/>
  <c r="AB169" i="23"/>
  <c r="AD170" i="23"/>
  <c r="L164" i="23"/>
  <c r="AK43" i="23"/>
  <c r="AJ43" i="23" s="1"/>
  <c r="I47" i="23"/>
  <c r="J31" i="23"/>
  <c r="L32" i="23"/>
  <c r="AB46" i="23"/>
  <c r="AD47" i="23"/>
  <c r="S23" i="23"/>
  <c r="U24" i="23"/>
  <c r="J195" i="23"/>
  <c r="L196" i="23"/>
  <c r="D46" i="23"/>
  <c r="F47" i="23"/>
  <c r="AE31" i="23"/>
  <c r="AG32" i="23"/>
  <c r="G191" i="23"/>
  <c r="I192" i="23"/>
  <c r="AJ108" i="23"/>
  <c r="V31" i="23"/>
  <c r="X32" i="23"/>
  <c r="J50" i="23"/>
  <c r="L51" i="23"/>
  <c r="AB191" i="23"/>
  <c r="AD192" i="23"/>
  <c r="J27" i="23"/>
  <c r="L28" i="23"/>
  <c r="S54" i="23"/>
  <c r="U55" i="23"/>
  <c r="J156" i="23"/>
  <c r="L157" i="23"/>
  <c r="X85" i="23"/>
  <c r="X128" i="23"/>
  <c r="F96" i="23"/>
  <c r="AG137" i="23"/>
  <c r="AA85" i="23"/>
  <c r="S37" i="23"/>
  <c r="U38" i="23"/>
  <c r="AJ104" i="23"/>
  <c r="D61" i="23"/>
  <c r="F62" i="23"/>
  <c r="U110" i="23"/>
  <c r="L93" i="23"/>
  <c r="X117" i="23"/>
  <c r="S76" i="23"/>
  <c r="U77" i="23"/>
  <c r="AB61" i="23"/>
  <c r="AD62" i="23"/>
  <c r="Y76" i="23"/>
  <c r="AA77" i="23"/>
  <c r="P61" i="23"/>
  <c r="R62" i="23"/>
  <c r="I96" i="23"/>
  <c r="J76" i="23"/>
  <c r="L77" i="23"/>
  <c r="AE182" i="23"/>
  <c r="AG183" i="23"/>
  <c r="AH69" i="23"/>
  <c r="AJ70" i="23"/>
  <c r="O164" i="23"/>
  <c r="S27" i="23"/>
  <c r="U28" i="23"/>
  <c r="S50" i="23"/>
  <c r="U51" i="23"/>
  <c r="V61" i="23"/>
  <c r="X62" i="23"/>
  <c r="M61" i="23"/>
  <c r="O62" i="23"/>
  <c r="F110" i="23"/>
  <c r="AA132" i="23"/>
  <c r="Y146" i="23"/>
  <c r="AA147" i="23"/>
  <c r="F128" i="23"/>
  <c r="AD110" i="23"/>
  <c r="I38" i="23"/>
  <c r="AD96" i="23"/>
  <c r="AA128" i="23"/>
  <c r="AG85" i="23"/>
  <c r="X132" i="23"/>
  <c r="P76" i="23"/>
  <c r="R77" i="23"/>
  <c r="G169" i="23"/>
  <c r="I170" i="23"/>
  <c r="AK47" i="23"/>
  <c r="AJ47" i="23" s="1"/>
  <c r="I51" i="23"/>
  <c r="D31" i="23"/>
  <c r="F32" i="23"/>
  <c r="J42" i="23"/>
  <c r="L43" i="23"/>
  <c r="AB50" i="23"/>
  <c r="AD51" i="23"/>
  <c r="AE23" i="23"/>
  <c r="AG24" i="23"/>
  <c r="AE27" i="23"/>
  <c r="AG28" i="23"/>
  <c r="Y23" i="23"/>
  <c r="AA24" i="23"/>
  <c r="P195" i="23"/>
  <c r="R196" i="23"/>
  <c r="AH54" i="23"/>
  <c r="V42" i="23"/>
  <c r="X43" i="23"/>
  <c r="AH46" i="23"/>
  <c r="D69" i="23"/>
  <c r="F70" i="23"/>
  <c r="F132" i="23"/>
  <c r="AD117" i="23"/>
  <c r="AG117" i="23"/>
  <c r="L96" i="23"/>
  <c r="P146" i="23"/>
  <c r="R147" i="23"/>
  <c r="X96" i="23"/>
  <c r="AE37" i="23"/>
  <c r="AG38" i="23"/>
  <c r="AD123" i="23"/>
  <c r="U128" i="23"/>
  <c r="U93" i="23"/>
  <c r="I70" i="23"/>
  <c r="O132" i="23"/>
  <c r="AD85" i="23"/>
  <c r="AD93" i="23"/>
  <c r="P69" i="23"/>
  <c r="R70" i="23"/>
  <c r="AB156" i="23"/>
  <c r="AB155" i="23" s="1"/>
  <c r="AD157" i="23"/>
  <c r="O110" i="23"/>
  <c r="AG96" i="23"/>
  <c r="AD128" i="23"/>
  <c r="X104" i="23"/>
  <c r="M182" i="23"/>
  <c r="O183" i="23"/>
  <c r="J182" i="23"/>
  <c r="L183" i="23"/>
  <c r="AH146" i="23"/>
  <c r="J169" i="23"/>
  <c r="L170" i="23"/>
  <c r="AE169" i="23"/>
  <c r="AG170" i="23"/>
  <c r="AA164" i="23"/>
  <c r="AK37" i="23"/>
  <c r="L174" i="23"/>
  <c r="I28" i="23"/>
  <c r="P23" i="23"/>
  <c r="R24" i="23"/>
  <c r="G195" i="23"/>
  <c r="I196" i="23"/>
  <c r="Y42" i="23"/>
  <c r="AA43" i="23"/>
  <c r="AJ25" i="23"/>
  <c r="J46" i="23"/>
  <c r="L47" i="23"/>
  <c r="AB54" i="23"/>
  <c r="AD55" i="23"/>
  <c r="AH195" i="23"/>
  <c r="AJ196" i="23"/>
  <c r="V191" i="23"/>
  <c r="X192" i="23"/>
  <c r="AE191" i="23"/>
  <c r="AG192" i="23"/>
  <c r="P42" i="23"/>
  <c r="R43" i="23"/>
  <c r="P46" i="23"/>
  <c r="R47" i="23"/>
  <c r="F85" i="23"/>
  <c r="I137" i="23"/>
  <c r="X137" i="23"/>
  <c r="I77" i="23"/>
  <c r="O104" i="23"/>
  <c r="M169" i="23"/>
  <c r="O170" i="23"/>
  <c r="U164" i="23"/>
  <c r="R164" i="23"/>
  <c r="AK51" i="23"/>
  <c r="AJ51" i="23" s="1"/>
  <c r="F174" i="23"/>
  <c r="F196" i="23"/>
  <c r="Y50" i="23"/>
  <c r="AA51" i="23"/>
  <c r="P27" i="23"/>
  <c r="R28" i="23"/>
  <c r="V50" i="23"/>
  <c r="X51" i="23"/>
  <c r="AH23" i="23"/>
  <c r="P191" i="23"/>
  <c r="R192" i="23"/>
  <c r="M50" i="23"/>
  <c r="O51" i="23"/>
  <c r="AH191" i="23"/>
  <c r="AJ192" i="23"/>
  <c r="F77" i="23"/>
  <c r="L123" i="23"/>
  <c r="O128" i="23"/>
  <c r="V156" i="23"/>
  <c r="V155" i="23" s="1"/>
  <c r="X157" i="23"/>
  <c r="O137" i="23"/>
  <c r="AA93" i="23"/>
  <c r="AK55" i="23"/>
  <c r="AJ55" i="23" s="1"/>
  <c r="Y54" i="23"/>
  <c r="AA55" i="23"/>
  <c r="Y191" i="23"/>
  <c r="AA192" i="23"/>
  <c r="AJ177" i="23"/>
  <c r="P31" i="23"/>
  <c r="R32" i="23"/>
  <c r="Y31" i="23"/>
  <c r="AA32" i="23"/>
  <c r="V46" i="23"/>
  <c r="X47" i="23"/>
  <c r="V27" i="23"/>
  <c r="X28" i="23"/>
  <c r="Y27" i="23"/>
  <c r="AA28" i="23"/>
  <c r="S195" i="23"/>
  <c r="U196" i="23"/>
  <c r="S46" i="23"/>
  <c r="U47" i="23"/>
  <c r="V195" i="23"/>
  <c r="X196" i="23"/>
  <c r="I110" i="23"/>
  <c r="AA137" i="23"/>
  <c r="AG132" i="23"/>
  <c r="V69" i="23"/>
  <c r="X70" i="23"/>
  <c r="U137" i="23"/>
  <c r="I123" i="23"/>
  <c r="Y69" i="23"/>
  <c r="AA70" i="23"/>
  <c r="P169" i="23"/>
  <c r="R170" i="23"/>
  <c r="AK192" i="23"/>
  <c r="F104" i="23"/>
  <c r="L117" i="23"/>
  <c r="M76" i="23"/>
  <c r="O77" i="23"/>
  <c r="M146" i="23"/>
  <c r="O147" i="23"/>
  <c r="V37" i="23"/>
  <c r="X38" i="23"/>
  <c r="V146" i="23"/>
  <c r="X147" i="23"/>
  <c r="I104" i="23"/>
  <c r="AJ85" i="23"/>
  <c r="AK69" i="23"/>
  <c r="AK196" i="23"/>
  <c r="AE42" i="23"/>
  <c r="AG43" i="23"/>
  <c r="AH27" i="23"/>
  <c r="D23" i="23"/>
  <c r="F24" i="23"/>
  <c r="AJ52" i="23"/>
  <c r="Y46" i="23"/>
  <c r="AA47" i="23"/>
  <c r="M46" i="23"/>
  <c r="O47" i="23"/>
  <c r="AE54" i="23"/>
  <c r="AG55" i="23"/>
  <c r="J54" i="23"/>
  <c r="L55" i="23"/>
  <c r="AH42" i="23"/>
  <c r="AB42" i="23"/>
  <c r="AD43" i="23"/>
  <c r="D191" i="23"/>
  <c r="D156" i="23"/>
  <c r="D182" i="23"/>
  <c r="D169" i="23"/>
  <c r="D195" i="23"/>
  <c r="G61" i="23"/>
  <c r="G23" i="23"/>
  <c r="G46" i="23"/>
  <c r="G27" i="23"/>
  <c r="G37" i="23"/>
  <c r="G31" i="23"/>
  <c r="G50" i="23"/>
  <c r="G54" i="23"/>
  <c r="G69" i="23"/>
  <c r="G146" i="23"/>
  <c r="G76" i="23"/>
  <c r="G42" i="23"/>
  <c r="AK183" i="23"/>
  <c r="AJ183" i="23" s="1"/>
  <c r="AK170" i="23"/>
  <c r="AK157" i="23"/>
  <c r="AJ157" i="23" s="1"/>
  <c r="D164" i="23"/>
  <c r="AK164" i="23"/>
  <c r="AK110" i="23"/>
  <c r="AJ110" i="23" s="1"/>
  <c r="AK147" i="23"/>
  <c r="AJ147" i="23" s="1"/>
  <c r="AK117" i="23"/>
  <c r="AK137" i="23"/>
  <c r="AJ137" i="23" s="1"/>
  <c r="AK128" i="23"/>
  <c r="AK123" i="23"/>
  <c r="AJ123" i="23" s="1"/>
  <c r="AK132" i="23"/>
  <c r="AK104" i="23"/>
  <c r="AK96" i="23"/>
  <c r="AJ96" i="23" s="1"/>
  <c r="AK77" i="23"/>
  <c r="AK62" i="23"/>
  <c r="AJ62" i="23" s="1"/>
  <c r="G155" i="23"/>
  <c r="AH107" i="23"/>
  <c r="AH84" i="23"/>
  <c r="D107" i="23"/>
  <c r="D76" i="23"/>
  <c r="AE107" i="23"/>
  <c r="V84" i="23"/>
  <c r="M84" i="23"/>
  <c r="V107" i="23"/>
  <c r="S107" i="23"/>
  <c r="S84" i="23"/>
  <c r="M107" i="23"/>
  <c r="P84" i="23"/>
  <c r="J84" i="23"/>
  <c r="AB84" i="23"/>
  <c r="AE84" i="23"/>
  <c r="G84" i="23"/>
  <c r="AB107" i="23"/>
  <c r="Y84" i="23"/>
  <c r="J107" i="23"/>
  <c r="G107" i="23"/>
  <c r="P107" i="23"/>
  <c r="Y107" i="23"/>
  <c r="D84" i="23"/>
  <c r="X155" i="23" l="1"/>
  <c r="R107" i="23"/>
  <c r="AK76" i="23"/>
  <c r="AJ76" i="23" s="1"/>
  <c r="AK36" i="23"/>
  <c r="AE36" i="23"/>
  <c r="AG37" i="23"/>
  <c r="X42" i="23"/>
  <c r="AA146" i="23"/>
  <c r="M60" i="23"/>
  <c r="O61" i="23"/>
  <c r="AB60" i="23"/>
  <c r="AD61" i="23"/>
  <c r="L156" i="23"/>
  <c r="U23" i="23"/>
  <c r="S22" i="23"/>
  <c r="AB168" i="23"/>
  <c r="AB154" i="23" s="1"/>
  <c r="AB15" i="23" s="1"/>
  <c r="AD169" i="23"/>
  <c r="Y36" i="23"/>
  <c r="AA37" i="23"/>
  <c r="AD146" i="23"/>
  <c r="F42" i="23"/>
  <c r="AB75" i="23"/>
  <c r="AD76" i="23"/>
  <c r="U146" i="23"/>
  <c r="Y168" i="23"/>
  <c r="Y154" i="23" s="1"/>
  <c r="Y15" i="23" s="1"/>
  <c r="AA169" i="23"/>
  <c r="AB181" i="23"/>
  <c r="AD182" i="23"/>
  <c r="M36" i="23"/>
  <c r="O37" i="23"/>
  <c r="AD84" i="23"/>
  <c r="O84" i="23"/>
  <c r="I54" i="23"/>
  <c r="F169" i="23"/>
  <c r="AG42" i="23"/>
  <c r="V68" i="23"/>
  <c r="X69" i="23"/>
  <c r="X46" i="23"/>
  <c r="AA50" i="23"/>
  <c r="M168" i="23"/>
  <c r="M154" i="23" s="1"/>
  <c r="M15" i="23" s="1"/>
  <c r="O169" i="23"/>
  <c r="AG191" i="23"/>
  <c r="AE190" i="23"/>
  <c r="AE17" i="23" s="1"/>
  <c r="AJ195" i="23"/>
  <c r="R23" i="23"/>
  <c r="P22" i="23"/>
  <c r="Q191" i="23" s="1"/>
  <c r="M181" i="23"/>
  <c r="O182" i="23"/>
  <c r="AA23" i="23"/>
  <c r="Y22" i="23"/>
  <c r="Z46" i="23" s="1"/>
  <c r="F31" i="23"/>
  <c r="G168" i="23"/>
  <c r="I169" i="23"/>
  <c r="U27" i="23"/>
  <c r="AD191" i="23"/>
  <c r="AB190" i="23"/>
  <c r="AB17" i="23" s="1"/>
  <c r="G181" i="23"/>
  <c r="I182" i="23"/>
  <c r="D36" i="23"/>
  <c r="F37" i="23"/>
  <c r="AK27" i="23"/>
  <c r="AJ27" i="23" s="1"/>
  <c r="AK23" i="23"/>
  <c r="AJ23" i="23" s="1"/>
  <c r="U42" i="23"/>
  <c r="R50" i="23"/>
  <c r="L191" i="23"/>
  <c r="J190" i="23"/>
  <c r="J17" i="23" s="1"/>
  <c r="U156" i="23"/>
  <c r="AD23" i="23"/>
  <c r="AB22" i="23"/>
  <c r="S168" i="23"/>
  <c r="U169" i="23"/>
  <c r="I61" i="23"/>
  <c r="J168" i="23"/>
  <c r="L169" i="23"/>
  <c r="AJ164" i="23"/>
  <c r="Y68" i="23"/>
  <c r="AA69" i="23"/>
  <c r="AE181" i="23"/>
  <c r="AG182" i="23"/>
  <c r="AE60" i="23"/>
  <c r="AG61" i="23"/>
  <c r="O195" i="23"/>
  <c r="O23" i="23"/>
  <c r="M22" i="23"/>
  <c r="M3" i="23" s="1"/>
  <c r="R54" i="23"/>
  <c r="AD195" i="23"/>
  <c r="V75" i="23"/>
  <c r="X76" i="23"/>
  <c r="L146" i="23"/>
  <c r="X54" i="23"/>
  <c r="AH36" i="23"/>
  <c r="AJ37" i="23"/>
  <c r="AA155" i="23"/>
  <c r="AG54" i="23"/>
  <c r="U195" i="23"/>
  <c r="L84" i="23"/>
  <c r="X195" i="23"/>
  <c r="R84" i="23"/>
  <c r="F156" i="23"/>
  <c r="AK195" i="23"/>
  <c r="AA27" i="23"/>
  <c r="AA42" i="23"/>
  <c r="V60" i="23"/>
  <c r="X61" i="23"/>
  <c r="S75" i="23"/>
  <c r="U76" i="23"/>
  <c r="U54" i="23"/>
  <c r="I191" i="23"/>
  <c r="G190" i="23"/>
  <c r="G17" i="23" s="1"/>
  <c r="AD46" i="23"/>
  <c r="AK42" i="23"/>
  <c r="AJ42" i="23" s="1"/>
  <c r="AH60" i="23"/>
  <c r="R156" i="23"/>
  <c r="L23" i="23"/>
  <c r="J22" i="23"/>
  <c r="AB36" i="23"/>
  <c r="AD37" i="23"/>
  <c r="P181" i="23"/>
  <c r="R182" i="23"/>
  <c r="O54" i="23"/>
  <c r="AK31" i="23"/>
  <c r="AJ31" i="23" s="1"/>
  <c r="AH155" i="23"/>
  <c r="AG155" i="23" s="1"/>
  <c r="AD27" i="23"/>
  <c r="F107" i="23"/>
  <c r="AK54" i="23"/>
  <c r="AJ54" i="23" s="1"/>
  <c r="X84" i="23"/>
  <c r="I50" i="23"/>
  <c r="O50" i="23"/>
  <c r="AK50" i="23"/>
  <c r="AJ50" i="23" s="1"/>
  <c r="D68" i="23"/>
  <c r="F69" i="23"/>
  <c r="AD50" i="23"/>
  <c r="F46" i="23"/>
  <c r="S181" i="23"/>
  <c r="U182" i="23"/>
  <c r="F84" i="23"/>
  <c r="O155" i="23"/>
  <c r="I31" i="23"/>
  <c r="F23" i="23"/>
  <c r="D22" i="23"/>
  <c r="O107" i="23"/>
  <c r="I76" i="23"/>
  <c r="F191" i="23"/>
  <c r="AK191" i="23"/>
  <c r="AA31" i="23"/>
  <c r="AD54" i="23"/>
  <c r="AD156" i="23"/>
  <c r="AG27" i="23"/>
  <c r="L50" i="23"/>
  <c r="AD31" i="23"/>
  <c r="V168" i="23"/>
  <c r="X169" i="23"/>
  <c r="AG146" i="23"/>
  <c r="AH181" i="23"/>
  <c r="U31" i="23"/>
  <c r="AG50" i="23"/>
  <c r="AG156" i="23"/>
  <c r="X23" i="23"/>
  <c r="V22" i="23"/>
  <c r="V3" i="23" s="1"/>
  <c r="S68" i="23"/>
  <c r="U69" i="23"/>
  <c r="P36" i="23"/>
  <c r="R37" i="23"/>
  <c r="O191" i="23"/>
  <c r="M190" i="23"/>
  <c r="M17" i="23" s="1"/>
  <c r="V181" i="23"/>
  <c r="X182" i="23"/>
  <c r="AG84" i="23"/>
  <c r="AK146" i="23"/>
  <c r="AH22" i="23"/>
  <c r="I107" i="23"/>
  <c r="I42" i="23"/>
  <c r="F182" i="23"/>
  <c r="O146" i="23"/>
  <c r="P60" i="23"/>
  <c r="R61" i="23"/>
  <c r="S36" i="23"/>
  <c r="U37" i="23"/>
  <c r="L107" i="23"/>
  <c r="F164" i="23"/>
  <c r="O46" i="23"/>
  <c r="N46" i="23"/>
  <c r="AA191" i="23"/>
  <c r="Y190" i="23"/>
  <c r="Y17" i="23" s="1"/>
  <c r="X50" i="23"/>
  <c r="R46" i="23"/>
  <c r="AG107" i="23"/>
  <c r="J155" i="23"/>
  <c r="I155" i="23" s="1"/>
  <c r="AK156" i="23"/>
  <c r="AJ156" i="23" s="1"/>
  <c r="I37" i="23"/>
  <c r="X146" i="23"/>
  <c r="AA84" i="23"/>
  <c r="U84" i="23"/>
  <c r="AD155" i="23"/>
  <c r="AJ128" i="23"/>
  <c r="AK169" i="23"/>
  <c r="AJ170" i="23"/>
  <c r="I146" i="23"/>
  <c r="I27" i="23"/>
  <c r="L54" i="23"/>
  <c r="AK68" i="23"/>
  <c r="M75" i="23"/>
  <c r="O76" i="23"/>
  <c r="U46" i="23"/>
  <c r="R191" i="23"/>
  <c r="P190" i="23"/>
  <c r="P17" i="23" s="1"/>
  <c r="AE168" i="23"/>
  <c r="AG169" i="23"/>
  <c r="R146" i="23"/>
  <c r="L42" i="23"/>
  <c r="J75" i="23"/>
  <c r="L76" i="23"/>
  <c r="K76" i="23"/>
  <c r="Y75" i="23"/>
  <c r="AA76" i="23"/>
  <c r="D60" i="23"/>
  <c r="F61" i="23"/>
  <c r="L195" i="23"/>
  <c r="AJ77" i="23"/>
  <c r="J68" i="23"/>
  <c r="L69" i="23"/>
  <c r="AB68" i="23"/>
  <c r="AD69" i="23"/>
  <c r="O31" i="23"/>
  <c r="I156" i="23"/>
  <c r="O27" i="23"/>
  <c r="O156" i="23"/>
  <c r="AE75" i="23"/>
  <c r="AG76" i="23"/>
  <c r="AJ132" i="23"/>
  <c r="J60" i="23"/>
  <c r="L61" i="23"/>
  <c r="Y181" i="23"/>
  <c r="AA182" i="23"/>
  <c r="U107" i="23"/>
  <c r="AA46" i="23"/>
  <c r="X27" i="23"/>
  <c r="AA54" i="23"/>
  <c r="R27" i="23"/>
  <c r="X191" i="23"/>
  <c r="V190" i="23"/>
  <c r="V17" i="23" s="1"/>
  <c r="I195" i="23"/>
  <c r="AK46" i="23"/>
  <c r="AJ46" i="23" s="1"/>
  <c r="L27" i="23"/>
  <c r="AG31" i="23"/>
  <c r="L31" i="23"/>
  <c r="AH75" i="23"/>
  <c r="AE68" i="23"/>
  <c r="AG69" i="23"/>
  <c r="AA195" i="23"/>
  <c r="F50" i="23"/>
  <c r="F27" i="23"/>
  <c r="U191" i="23"/>
  <c r="S190" i="23"/>
  <c r="S17" i="23" s="1"/>
  <c r="AD107" i="23"/>
  <c r="AK182" i="23"/>
  <c r="AJ182" i="23" s="1"/>
  <c r="I46" i="23"/>
  <c r="R42" i="23"/>
  <c r="J181" i="23"/>
  <c r="L182" i="23"/>
  <c r="R195" i="23"/>
  <c r="P75" i="23"/>
  <c r="R76" i="23"/>
  <c r="U50" i="23"/>
  <c r="M68" i="23"/>
  <c r="O69" i="23"/>
  <c r="AA107" i="23"/>
  <c r="I84" i="23"/>
  <c r="X107" i="23"/>
  <c r="D75" i="23"/>
  <c r="F76" i="23"/>
  <c r="R155" i="23"/>
  <c r="U155" i="23"/>
  <c r="AK61" i="23"/>
  <c r="AJ61" i="23" s="1"/>
  <c r="I69" i="23"/>
  <c r="I23" i="23"/>
  <c r="F195" i="23"/>
  <c r="AD42" i="23"/>
  <c r="V36" i="23"/>
  <c r="X37" i="23"/>
  <c r="P168" i="23"/>
  <c r="P154" i="23" s="1"/>
  <c r="P15" i="23" s="1"/>
  <c r="R169" i="23"/>
  <c r="R31" i="23"/>
  <c r="X156" i="23"/>
  <c r="AJ191" i="23"/>
  <c r="AH190" i="23"/>
  <c r="AH17" i="23" s="1"/>
  <c r="L46" i="23"/>
  <c r="K46" i="23"/>
  <c r="P68" i="23"/>
  <c r="R69" i="23"/>
  <c r="AG23" i="23"/>
  <c r="AE22" i="23"/>
  <c r="AE3" i="23" s="1"/>
  <c r="AH68" i="23"/>
  <c r="AJ69" i="23"/>
  <c r="X31" i="23"/>
  <c r="F54" i="23"/>
  <c r="AJ117" i="23"/>
  <c r="AG195" i="23"/>
  <c r="O42" i="23"/>
  <c r="AA156" i="23"/>
  <c r="S60" i="23"/>
  <c r="U61" i="23"/>
  <c r="AG46" i="23"/>
  <c r="Y60" i="23"/>
  <c r="AA61" i="23"/>
  <c r="J36" i="23"/>
  <c r="L37" i="23"/>
  <c r="F146" i="23"/>
  <c r="D190" i="23"/>
  <c r="D17" i="23" s="1"/>
  <c r="D168" i="23"/>
  <c r="D181" i="23"/>
  <c r="D155" i="23"/>
  <c r="G68" i="23"/>
  <c r="G60" i="23"/>
  <c r="G36" i="23"/>
  <c r="G22" i="23"/>
  <c r="G3" i="23" s="1"/>
  <c r="G75" i="23"/>
  <c r="AK84" i="23"/>
  <c r="AK107" i="23"/>
  <c r="AJ107" i="23" s="1"/>
  <c r="AH83" i="23"/>
  <c r="G154" i="23"/>
  <c r="G15" i="23" s="1"/>
  <c r="AE83" i="23"/>
  <c r="AB83" i="23"/>
  <c r="G83" i="23"/>
  <c r="J83" i="23"/>
  <c r="M83" i="23"/>
  <c r="P83" i="23"/>
  <c r="S83" i="23"/>
  <c r="Y83" i="23"/>
  <c r="V83" i="23"/>
  <c r="D83" i="23"/>
  <c r="T61" i="23" l="1"/>
  <c r="S3" i="23"/>
  <c r="Q37" i="23"/>
  <c r="P3" i="23"/>
  <c r="AC27" i="23"/>
  <c r="AB3" i="23"/>
  <c r="Q76" i="23"/>
  <c r="K37" i="23"/>
  <c r="J3" i="23"/>
  <c r="Z195" i="23"/>
  <c r="Y3" i="23"/>
  <c r="AI76" i="23"/>
  <c r="AH3" i="23"/>
  <c r="Q169" i="23"/>
  <c r="Z107" i="23"/>
  <c r="Q195" i="23"/>
  <c r="Z84" i="23"/>
  <c r="AC107" i="23"/>
  <c r="T146" i="23"/>
  <c r="Z31" i="23"/>
  <c r="Q155" i="23"/>
  <c r="Z69" i="23"/>
  <c r="Q156" i="23"/>
  <c r="Q84" i="23"/>
  <c r="Q42" i="23"/>
  <c r="Q27" i="23"/>
  <c r="Q146" i="23"/>
  <c r="Z61" i="23"/>
  <c r="Q46" i="23"/>
  <c r="K146" i="23"/>
  <c r="Q107" i="23"/>
  <c r="T169" i="23"/>
  <c r="N37" i="23"/>
  <c r="AC42" i="23"/>
  <c r="H27" i="23"/>
  <c r="W191" i="23"/>
  <c r="AC69" i="23"/>
  <c r="AF37" i="23"/>
  <c r="Z169" i="23"/>
  <c r="AI61" i="23"/>
  <c r="E182" i="23"/>
  <c r="D3" i="23"/>
  <c r="AC46" i="23"/>
  <c r="W146" i="23"/>
  <c r="Q69" i="23"/>
  <c r="Q31" i="23"/>
  <c r="E195" i="23"/>
  <c r="H195" i="23"/>
  <c r="E61" i="23"/>
  <c r="Z42" i="23"/>
  <c r="AC146" i="23"/>
  <c r="AC155" i="23"/>
  <c r="Z191" i="23"/>
  <c r="Q61" i="23"/>
  <c r="Q182" i="23"/>
  <c r="H54" i="23"/>
  <c r="Z156" i="23"/>
  <c r="Z182" i="23"/>
  <c r="N156" i="23"/>
  <c r="AC156" i="23"/>
  <c r="Q54" i="23"/>
  <c r="AF155" i="23"/>
  <c r="AF23" i="23"/>
  <c r="H146" i="23"/>
  <c r="E23" i="23"/>
  <c r="H50" i="23"/>
  <c r="H169" i="23"/>
  <c r="AF50" i="23"/>
  <c r="E46" i="23"/>
  <c r="AI146" i="23"/>
  <c r="E50" i="23"/>
  <c r="E76" i="23"/>
  <c r="H69" i="23"/>
  <c r="E164" i="23"/>
  <c r="AF84" i="23"/>
  <c r="AF27" i="23"/>
  <c r="E191" i="23"/>
  <c r="H31" i="23"/>
  <c r="N54" i="23"/>
  <c r="H182" i="23"/>
  <c r="AI84" i="23"/>
  <c r="AI156" i="23"/>
  <c r="AF31" i="23"/>
  <c r="AF169" i="23"/>
  <c r="Q50" i="23"/>
  <c r="E31" i="23"/>
  <c r="AK155" i="23"/>
  <c r="AI27" i="23"/>
  <c r="AF69" i="23"/>
  <c r="H42" i="23"/>
  <c r="AI191" i="23"/>
  <c r="H37" i="23"/>
  <c r="N107" i="23"/>
  <c r="E84" i="23"/>
  <c r="AI107" i="23"/>
  <c r="AC23" i="23"/>
  <c r="E169" i="23"/>
  <c r="Z146" i="23"/>
  <c r="E54" i="23"/>
  <c r="E27" i="23"/>
  <c r="E156" i="23"/>
  <c r="AF182" i="23"/>
  <c r="I83" i="23"/>
  <c r="H83" i="23"/>
  <c r="Y180" i="23"/>
  <c r="Y16" i="23" s="1"/>
  <c r="AA181" i="23"/>
  <c r="Z181" i="23"/>
  <c r="D74" i="23"/>
  <c r="D10" i="23" s="1"/>
  <c r="F83" i="23"/>
  <c r="E83" i="23"/>
  <c r="K61" i="23"/>
  <c r="S35" i="23"/>
  <c r="S5" i="23" s="1"/>
  <c r="U36" i="23"/>
  <c r="T36" i="23"/>
  <c r="X22" i="23"/>
  <c r="W194" i="23"/>
  <c r="W186" i="23"/>
  <c r="W178" i="23"/>
  <c r="W162" i="23"/>
  <c r="W138" i="23"/>
  <c r="W130" i="23"/>
  <c r="W122" i="23"/>
  <c r="W114" i="23"/>
  <c r="W106" i="23"/>
  <c r="W98" i="23"/>
  <c r="W187" i="23"/>
  <c r="W159" i="23"/>
  <c r="W150" i="23"/>
  <c r="W141" i="23"/>
  <c r="W113" i="23"/>
  <c r="W95" i="23"/>
  <c r="W87" i="23"/>
  <c r="W79" i="23"/>
  <c r="W71" i="23"/>
  <c r="W63" i="23"/>
  <c r="W39" i="23"/>
  <c r="W184" i="23"/>
  <c r="W175" i="23"/>
  <c r="W166" i="23"/>
  <c r="W148" i="23"/>
  <c r="W139" i="23"/>
  <c r="W129" i="23"/>
  <c r="W120" i="23"/>
  <c r="W111" i="23"/>
  <c r="W102" i="23"/>
  <c r="W53" i="23"/>
  <c r="W45" i="23"/>
  <c r="W165" i="23"/>
  <c r="W119" i="23"/>
  <c r="W101" i="23"/>
  <c r="W92" i="23"/>
  <c r="W188" i="23"/>
  <c r="W172" i="23"/>
  <c r="W158" i="23"/>
  <c r="W143" i="23"/>
  <c r="W127" i="23"/>
  <c r="W115" i="23"/>
  <c r="W99" i="23"/>
  <c r="W86" i="23"/>
  <c r="W34" i="23"/>
  <c r="W22" i="23"/>
  <c r="W185" i="23"/>
  <c r="W171" i="23"/>
  <c r="W142" i="23"/>
  <c r="W126" i="23"/>
  <c r="W112" i="23"/>
  <c r="W97" i="23"/>
  <c r="W72" i="23"/>
  <c r="W198" i="23"/>
  <c r="W153" i="23"/>
  <c r="W140" i="23"/>
  <c r="W125" i="23"/>
  <c r="W109" i="23"/>
  <c r="W82" i="23"/>
  <c r="W57" i="23"/>
  <c r="W167" i="23"/>
  <c r="W152" i="23"/>
  <c r="W136" i="23"/>
  <c r="W124" i="23"/>
  <c r="W94" i="23"/>
  <c r="W30" i="23"/>
  <c r="W151" i="23"/>
  <c r="W135" i="23"/>
  <c r="W121" i="23"/>
  <c r="W91" i="23"/>
  <c r="W80" i="23"/>
  <c r="W66" i="23"/>
  <c r="W41" i="23"/>
  <c r="W179" i="23"/>
  <c r="W163" i="23"/>
  <c r="W149" i="23"/>
  <c r="W134" i="23"/>
  <c r="W118" i="23"/>
  <c r="W105" i="23"/>
  <c r="W90" i="23"/>
  <c r="W78" i="23"/>
  <c r="W65" i="23"/>
  <c r="W40" i="23"/>
  <c r="W26" i="23"/>
  <c r="W176" i="23"/>
  <c r="W145" i="23"/>
  <c r="W133" i="23"/>
  <c r="W103" i="23"/>
  <c r="W89" i="23"/>
  <c r="W64" i="23"/>
  <c r="W116" i="23"/>
  <c r="W100" i="23"/>
  <c r="W88" i="23"/>
  <c r="W189" i="23"/>
  <c r="W173" i="23"/>
  <c r="W160" i="23"/>
  <c r="W49" i="23"/>
  <c r="W131" i="23"/>
  <c r="W144" i="23"/>
  <c r="W108" i="23"/>
  <c r="W81" i="23"/>
  <c r="W25" i="23"/>
  <c r="W56" i="23"/>
  <c r="W197" i="23"/>
  <c r="W161" i="23"/>
  <c r="W29" i="23"/>
  <c r="W48" i="23"/>
  <c r="W177" i="23"/>
  <c r="W52" i="23"/>
  <c r="W174" i="23"/>
  <c r="W193" i="23"/>
  <c r="W33" i="23"/>
  <c r="W44" i="23"/>
  <c r="W132" i="23"/>
  <c r="W47" i="23"/>
  <c r="W70" i="23"/>
  <c r="W43" i="23"/>
  <c r="W110" i="23"/>
  <c r="W123" i="23"/>
  <c r="W32" i="23"/>
  <c r="W157" i="23"/>
  <c r="W38" i="23"/>
  <c r="W183" i="23"/>
  <c r="W170" i="23"/>
  <c r="W93" i="23"/>
  <c r="W104" i="23"/>
  <c r="W137" i="23"/>
  <c r="W85" i="23"/>
  <c r="W117" i="23"/>
  <c r="W192" i="23"/>
  <c r="W28" i="23"/>
  <c r="W128" i="23"/>
  <c r="W147" i="23"/>
  <c r="W164" i="23"/>
  <c r="W24" i="23"/>
  <c r="W196" i="23"/>
  <c r="W62" i="23"/>
  <c r="W96" i="23"/>
  <c r="W51" i="23"/>
  <c r="W55" i="23"/>
  <c r="W77" i="23"/>
  <c r="N155" i="23"/>
  <c r="K23" i="23"/>
  <c r="R168" i="23"/>
  <c r="Q168" i="23"/>
  <c r="N69" i="23"/>
  <c r="J59" i="23"/>
  <c r="L60" i="23"/>
  <c r="K60" i="23"/>
  <c r="O75" i="23"/>
  <c r="N75" i="23"/>
  <c r="T195" i="23"/>
  <c r="X75" i="23"/>
  <c r="W75" i="23"/>
  <c r="S74" i="23"/>
  <c r="U83" i="23"/>
  <c r="T83" i="23"/>
  <c r="O154" i="23"/>
  <c r="N154" i="23"/>
  <c r="I22" i="23"/>
  <c r="H184" i="23"/>
  <c r="H176" i="23"/>
  <c r="H160" i="23"/>
  <c r="H152" i="23"/>
  <c r="H144" i="23"/>
  <c r="H136" i="23"/>
  <c r="H120" i="23"/>
  <c r="H112" i="23"/>
  <c r="H88" i="23"/>
  <c r="H80" i="23"/>
  <c r="H72" i="23"/>
  <c r="H64" i="23"/>
  <c r="H40" i="23"/>
  <c r="H175" i="23"/>
  <c r="H167" i="23"/>
  <c r="H159" i="23"/>
  <c r="H151" i="23"/>
  <c r="H143" i="23"/>
  <c r="H135" i="23"/>
  <c r="H127" i="23"/>
  <c r="H119" i="23"/>
  <c r="H111" i="23"/>
  <c r="H103" i="23"/>
  <c r="H95" i="23"/>
  <c r="H87" i="23"/>
  <c r="H79" i="23"/>
  <c r="H71" i="23"/>
  <c r="H63" i="23"/>
  <c r="H39" i="23"/>
  <c r="H188" i="23"/>
  <c r="H172" i="23"/>
  <c r="H148" i="23"/>
  <c r="H140" i="23"/>
  <c r="H124" i="23"/>
  <c r="H116" i="23"/>
  <c r="H100" i="23"/>
  <c r="H92" i="23"/>
  <c r="H187" i="23"/>
  <c r="H162" i="23"/>
  <c r="H149" i="23"/>
  <c r="H98" i="23"/>
  <c r="H34" i="23"/>
  <c r="H86" i="23"/>
  <c r="H198" i="23"/>
  <c r="H186" i="23"/>
  <c r="H173" i="23"/>
  <c r="H134" i="23"/>
  <c r="H122" i="23"/>
  <c r="H109" i="23"/>
  <c r="H97" i="23"/>
  <c r="H45" i="23"/>
  <c r="H150" i="23"/>
  <c r="H185" i="23"/>
  <c r="H171" i="23"/>
  <c r="H158" i="23"/>
  <c r="H133" i="23"/>
  <c r="H121" i="23"/>
  <c r="H94" i="23"/>
  <c r="H82" i="23"/>
  <c r="H57" i="23"/>
  <c r="H30" i="23"/>
  <c r="H125" i="23"/>
  <c r="H145" i="23"/>
  <c r="H131" i="23"/>
  <c r="H118" i="23"/>
  <c r="H106" i="23"/>
  <c r="H130" i="23"/>
  <c r="H91" i="23"/>
  <c r="H66" i="23"/>
  <c r="H41" i="23"/>
  <c r="H194" i="23"/>
  <c r="H142" i="23"/>
  <c r="H105" i="23"/>
  <c r="H78" i="23"/>
  <c r="H53" i="23"/>
  <c r="H179" i="23"/>
  <c r="H166" i="23"/>
  <c r="H141" i="23"/>
  <c r="H129" i="23"/>
  <c r="H115" i="23"/>
  <c r="H102" i="23"/>
  <c r="H90" i="23"/>
  <c r="H65" i="23"/>
  <c r="H26" i="23"/>
  <c r="H189" i="23"/>
  <c r="H138" i="23"/>
  <c r="H99" i="23"/>
  <c r="H49" i="23"/>
  <c r="H178" i="23"/>
  <c r="H165" i="23"/>
  <c r="H153" i="23"/>
  <c r="H139" i="23"/>
  <c r="H126" i="23"/>
  <c r="H114" i="23"/>
  <c r="H101" i="23"/>
  <c r="H89" i="23"/>
  <c r="H163" i="23"/>
  <c r="H113" i="23"/>
  <c r="H22" i="23"/>
  <c r="H174" i="23"/>
  <c r="H81" i="23"/>
  <c r="H52" i="23"/>
  <c r="H29" i="23"/>
  <c r="H25" i="23"/>
  <c r="H48" i="23"/>
  <c r="H33" i="23"/>
  <c r="H56" i="23"/>
  <c r="H177" i="23"/>
  <c r="H44" i="23"/>
  <c r="H161" i="23"/>
  <c r="H108" i="23"/>
  <c r="H197" i="23"/>
  <c r="H193" i="23"/>
  <c r="H132" i="23"/>
  <c r="H128" i="23"/>
  <c r="H183" i="23"/>
  <c r="H47" i="23"/>
  <c r="H38" i="23"/>
  <c r="H170" i="23"/>
  <c r="H96" i="23"/>
  <c r="H70" i="23"/>
  <c r="H110" i="23"/>
  <c r="H164" i="23"/>
  <c r="H32" i="23"/>
  <c r="H55" i="23"/>
  <c r="H93" i="23"/>
  <c r="H196" i="23"/>
  <c r="H137" i="23"/>
  <c r="H28" i="23"/>
  <c r="H43" i="23"/>
  <c r="H157" i="23"/>
  <c r="H123" i="23"/>
  <c r="H51" i="23"/>
  <c r="H85" i="23"/>
  <c r="H192" i="23"/>
  <c r="H24" i="23"/>
  <c r="H62" i="23"/>
  <c r="H147" i="23"/>
  <c r="H117" i="23"/>
  <c r="H77" i="23"/>
  <c r="H104" i="23"/>
  <c r="F190" i="23"/>
  <c r="E190" i="23"/>
  <c r="W37" i="23"/>
  <c r="H23" i="23"/>
  <c r="F75" i="23"/>
  <c r="E75" i="23"/>
  <c r="H46" i="23"/>
  <c r="T107" i="23"/>
  <c r="H156" i="23"/>
  <c r="D59" i="23"/>
  <c r="F60" i="23"/>
  <c r="E60" i="23"/>
  <c r="R190" i="23"/>
  <c r="Q190" i="23"/>
  <c r="T84" i="23"/>
  <c r="P59" i="23"/>
  <c r="R60" i="23"/>
  <c r="Q60" i="23"/>
  <c r="H107" i="23"/>
  <c r="AF156" i="23"/>
  <c r="AI182" i="23"/>
  <c r="AC31" i="23"/>
  <c r="AC54" i="23"/>
  <c r="AC50" i="23"/>
  <c r="N50" i="23"/>
  <c r="P180" i="23"/>
  <c r="P16" i="23" s="1"/>
  <c r="R181" i="23"/>
  <c r="Q181" i="23"/>
  <c r="I190" i="23"/>
  <c r="H190" i="23"/>
  <c r="W61" i="23"/>
  <c r="AH35" i="23"/>
  <c r="AH5" i="23" s="1"/>
  <c r="AJ36" i="23"/>
  <c r="AI36" i="23"/>
  <c r="AC195" i="23"/>
  <c r="L168" i="23"/>
  <c r="K168" i="23"/>
  <c r="E37" i="23"/>
  <c r="AC191" i="23"/>
  <c r="R22" i="23"/>
  <c r="Q187" i="23"/>
  <c r="Q179" i="23"/>
  <c r="Q171" i="23"/>
  <c r="Q163" i="23"/>
  <c r="Q185" i="23"/>
  <c r="Q153" i="23"/>
  <c r="Q184" i="23"/>
  <c r="Q176" i="23"/>
  <c r="Q160" i="23"/>
  <c r="Q152" i="23"/>
  <c r="Q198" i="23"/>
  <c r="Q186" i="23"/>
  <c r="Q173" i="23"/>
  <c r="Q159" i="23"/>
  <c r="Q148" i="23"/>
  <c r="Q140" i="23"/>
  <c r="Q124" i="23"/>
  <c r="Q116" i="23"/>
  <c r="Q100" i="23"/>
  <c r="Q92" i="23"/>
  <c r="Q172" i="23"/>
  <c r="Q158" i="23"/>
  <c r="Q139" i="23"/>
  <c r="Q131" i="23"/>
  <c r="Q115" i="23"/>
  <c r="Q99" i="23"/>
  <c r="Q91" i="23"/>
  <c r="Q138" i="23"/>
  <c r="Q130" i="23"/>
  <c r="Q122" i="23"/>
  <c r="Q114" i="23"/>
  <c r="Q106" i="23"/>
  <c r="Q98" i="23"/>
  <c r="Q90" i="23"/>
  <c r="Q82" i="23"/>
  <c r="Q66" i="23"/>
  <c r="Q34" i="23"/>
  <c r="Q26" i="23"/>
  <c r="Q72" i="23"/>
  <c r="Q194" i="23"/>
  <c r="Q167" i="23"/>
  <c r="Q145" i="23"/>
  <c r="Q129" i="23"/>
  <c r="Q121" i="23"/>
  <c r="Q113" i="23"/>
  <c r="Q105" i="23"/>
  <c r="Q97" i="23"/>
  <c r="Q89" i="23"/>
  <c r="Q65" i="23"/>
  <c r="Q57" i="23"/>
  <c r="Q49" i="23"/>
  <c r="Q41" i="23"/>
  <c r="Q136" i="23"/>
  <c r="Q166" i="23"/>
  <c r="Q144" i="23"/>
  <c r="Q120" i="23"/>
  <c r="Q112" i="23"/>
  <c r="Q88" i="23"/>
  <c r="Q80" i="23"/>
  <c r="Q64" i="23"/>
  <c r="Q40" i="23"/>
  <c r="Q178" i="23"/>
  <c r="Q165" i="23"/>
  <c r="Q151" i="23"/>
  <c r="Q143" i="23"/>
  <c r="Q135" i="23"/>
  <c r="Q127" i="23"/>
  <c r="Q119" i="23"/>
  <c r="Q111" i="23"/>
  <c r="Q103" i="23"/>
  <c r="Q95" i="23"/>
  <c r="Q87" i="23"/>
  <c r="Q79" i="23"/>
  <c r="Q189" i="23"/>
  <c r="Q175" i="23"/>
  <c r="Q150" i="23"/>
  <c r="Q142" i="23"/>
  <c r="Q134" i="23"/>
  <c r="Q126" i="23"/>
  <c r="Q118" i="23"/>
  <c r="Q102" i="23"/>
  <c r="Q94" i="23"/>
  <c r="Q86" i="23"/>
  <c r="Q78" i="23"/>
  <c r="Q30" i="23"/>
  <c r="Q22" i="23"/>
  <c r="Q162" i="23"/>
  <c r="Q53" i="23"/>
  <c r="Q149" i="23"/>
  <c r="Q141" i="23"/>
  <c r="Q45" i="23"/>
  <c r="Q133" i="23"/>
  <c r="Q71" i="23"/>
  <c r="Q39" i="23"/>
  <c r="Q125" i="23"/>
  <c r="Q63" i="23"/>
  <c r="Q101" i="23"/>
  <c r="Q188" i="23"/>
  <c r="Q109" i="23"/>
  <c r="Q56" i="23"/>
  <c r="Q52" i="23"/>
  <c r="Q81" i="23"/>
  <c r="Q33" i="23"/>
  <c r="Q108" i="23"/>
  <c r="Q193" i="23"/>
  <c r="Q161" i="23"/>
  <c r="Q29" i="23"/>
  <c r="Q48" i="23"/>
  <c r="Q44" i="23"/>
  <c r="Q174" i="23"/>
  <c r="Q25" i="23"/>
  <c r="Q197" i="23"/>
  <c r="Q177" i="23"/>
  <c r="Q51" i="23"/>
  <c r="Q93" i="23"/>
  <c r="Q24" i="23"/>
  <c r="Q123" i="23"/>
  <c r="Q104" i="23"/>
  <c r="Q70" i="23"/>
  <c r="Q32" i="23"/>
  <c r="Q170" i="23"/>
  <c r="Q77" i="23"/>
  <c r="Q196" i="23"/>
  <c r="Q43" i="23"/>
  <c r="Q28" i="23"/>
  <c r="Q128" i="23"/>
  <c r="Q85" i="23"/>
  <c r="Q147" i="23"/>
  <c r="Q164" i="23"/>
  <c r="Q192" i="23"/>
  <c r="Q137" i="23"/>
  <c r="Q38" i="23"/>
  <c r="Q132" i="23"/>
  <c r="Q117" i="23"/>
  <c r="Q183" i="23"/>
  <c r="Q157" i="23"/>
  <c r="Q47" i="23"/>
  <c r="Q110" i="23"/>
  <c r="Q96" i="23"/>
  <c r="Q55" i="23"/>
  <c r="Q62" i="23"/>
  <c r="N169" i="23"/>
  <c r="AB180" i="23"/>
  <c r="AB16" i="23" s="1"/>
  <c r="AD181" i="23"/>
  <c r="AC181" i="23"/>
  <c r="AD75" i="23"/>
  <c r="AC75" i="23"/>
  <c r="Y35" i="23"/>
  <c r="Y5" i="23" s="1"/>
  <c r="AA36" i="23"/>
  <c r="Z36" i="23"/>
  <c r="N191" i="23"/>
  <c r="K84" i="23"/>
  <c r="U168" i="23"/>
  <c r="T168" i="23"/>
  <c r="M35" i="23"/>
  <c r="M5" i="23" s="1"/>
  <c r="O36" i="23"/>
  <c r="N36" i="23"/>
  <c r="Y74" i="23"/>
  <c r="AA83" i="23"/>
  <c r="Z83" i="23"/>
  <c r="I68" i="23"/>
  <c r="H68" i="23"/>
  <c r="K69" i="23"/>
  <c r="AG168" i="23"/>
  <c r="AF168" i="23"/>
  <c r="AC154" i="23"/>
  <c r="W50" i="23"/>
  <c r="X168" i="23"/>
  <c r="W168" i="23"/>
  <c r="U75" i="23"/>
  <c r="T75" i="23"/>
  <c r="N195" i="23"/>
  <c r="AD190" i="23"/>
  <c r="AC190" i="23"/>
  <c r="M180" i="23"/>
  <c r="M16" i="23" s="1"/>
  <c r="O181" i="23"/>
  <c r="N181" i="23"/>
  <c r="W69" i="23"/>
  <c r="N84" i="23"/>
  <c r="K156" i="23"/>
  <c r="AK35" i="23"/>
  <c r="P74" i="23"/>
  <c r="R83" i="23"/>
  <c r="Q83" i="23"/>
  <c r="AH74" i="23"/>
  <c r="AI83" i="23"/>
  <c r="I36" i="23"/>
  <c r="H36" i="23"/>
  <c r="E146" i="23"/>
  <c r="Y59" i="23"/>
  <c r="AA60" i="23"/>
  <c r="Z60" i="23"/>
  <c r="N42" i="23"/>
  <c r="W31" i="23"/>
  <c r="W156" i="23"/>
  <c r="S154" i="23"/>
  <c r="S15" i="23" s="1"/>
  <c r="W107" i="23"/>
  <c r="M67" i="23"/>
  <c r="O68" i="23"/>
  <c r="N68" i="23"/>
  <c r="K182" i="23"/>
  <c r="U190" i="23"/>
  <c r="T190" i="23"/>
  <c r="AI75" i="23"/>
  <c r="Z54" i="23"/>
  <c r="AF76" i="23"/>
  <c r="J67" i="23"/>
  <c r="L68" i="23"/>
  <c r="K68" i="23"/>
  <c r="Z76" i="23"/>
  <c r="AI46" i="23"/>
  <c r="AK67" i="23"/>
  <c r="AA190" i="23"/>
  <c r="Z190" i="23"/>
  <c r="K107" i="23"/>
  <c r="N146" i="23"/>
  <c r="W182" i="23"/>
  <c r="P35" i="23"/>
  <c r="P5" i="23" s="1"/>
  <c r="R36" i="23"/>
  <c r="Q36" i="23"/>
  <c r="H76" i="23"/>
  <c r="AI155" i="23"/>
  <c r="AH154" i="23"/>
  <c r="AH15" i="23" s="1"/>
  <c r="AC37" i="23"/>
  <c r="H191" i="23"/>
  <c r="Z27" i="23"/>
  <c r="AF54" i="23"/>
  <c r="W54" i="23"/>
  <c r="AF61" i="23"/>
  <c r="Y67" i="23"/>
  <c r="AA68" i="23"/>
  <c r="Z68" i="23"/>
  <c r="H61" i="23"/>
  <c r="T156" i="23"/>
  <c r="Q23" i="23"/>
  <c r="V67" i="23"/>
  <c r="X68" i="23"/>
  <c r="W68" i="23"/>
  <c r="AC84" i="23"/>
  <c r="E42" i="23"/>
  <c r="AC169" i="23"/>
  <c r="AC61" i="23"/>
  <c r="W42" i="23"/>
  <c r="AK75" i="23"/>
  <c r="AJ75" i="23" s="1"/>
  <c r="AB74" i="23"/>
  <c r="AD83" i="23"/>
  <c r="AC83" i="23"/>
  <c r="F181" i="23"/>
  <c r="E181" i="23"/>
  <c r="AH67" i="23"/>
  <c r="AJ68" i="23"/>
  <c r="AI68" i="23"/>
  <c r="T76" i="23"/>
  <c r="N23" i="23"/>
  <c r="AK22" i="23"/>
  <c r="H154" i="23"/>
  <c r="T155" i="23"/>
  <c r="M74" i="23"/>
  <c r="O83" i="23"/>
  <c r="N83" i="23"/>
  <c r="V35" i="23"/>
  <c r="V5" i="23" s="1"/>
  <c r="X36" i="23"/>
  <c r="W36" i="23"/>
  <c r="T191" i="23"/>
  <c r="N31" i="23"/>
  <c r="AK168" i="23"/>
  <c r="AJ169" i="23"/>
  <c r="J154" i="23"/>
  <c r="L155" i="23"/>
  <c r="K155" i="23"/>
  <c r="AI187" i="23"/>
  <c r="AI179" i="23"/>
  <c r="AI171" i="23"/>
  <c r="AI163" i="23"/>
  <c r="AI139" i="23"/>
  <c r="AI131" i="23"/>
  <c r="AI115" i="23"/>
  <c r="AI99" i="23"/>
  <c r="AI91" i="23"/>
  <c r="AI194" i="23"/>
  <c r="AI186" i="23"/>
  <c r="AI178" i="23"/>
  <c r="AI162" i="23"/>
  <c r="AI138" i="23"/>
  <c r="AI130" i="23"/>
  <c r="AI122" i="23"/>
  <c r="AI114" i="23"/>
  <c r="AI106" i="23"/>
  <c r="AI98" i="23"/>
  <c r="AI90" i="23"/>
  <c r="AI82" i="23"/>
  <c r="AI66" i="23"/>
  <c r="AI34" i="23"/>
  <c r="AI26" i="23"/>
  <c r="AI175" i="23"/>
  <c r="AI167" i="23"/>
  <c r="AI159" i="23"/>
  <c r="AI151" i="23"/>
  <c r="AI143" i="23"/>
  <c r="AI135" i="23"/>
  <c r="AI127" i="23"/>
  <c r="AI119" i="23"/>
  <c r="AI111" i="23"/>
  <c r="AI103" i="23"/>
  <c r="AI95" i="23"/>
  <c r="AI87" i="23"/>
  <c r="AI79" i="23"/>
  <c r="AI71" i="23"/>
  <c r="AI63" i="23"/>
  <c r="AI39" i="23"/>
  <c r="AI144" i="23"/>
  <c r="AI118" i="23"/>
  <c r="AI105" i="23"/>
  <c r="AI80" i="23"/>
  <c r="AI41" i="23"/>
  <c r="AI142" i="23"/>
  <c r="AI129" i="23"/>
  <c r="AI92" i="23"/>
  <c r="AI78" i="23"/>
  <c r="AI65" i="23"/>
  <c r="AI166" i="23"/>
  <c r="AI153" i="23"/>
  <c r="AI141" i="23"/>
  <c r="AI116" i="23"/>
  <c r="AI102" i="23"/>
  <c r="AI89" i="23"/>
  <c r="AI64" i="23"/>
  <c r="AI165" i="23"/>
  <c r="AI152" i="23"/>
  <c r="AI140" i="23"/>
  <c r="AI126" i="23"/>
  <c r="AI113" i="23"/>
  <c r="AI101" i="23"/>
  <c r="AI88" i="23"/>
  <c r="AI49" i="23"/>
  <c r="AI189" i="23"/>
  <c r="AI176" i="23"/>
  <c r="AI150" i="23"/>
  <c r="AI125" i="23"/>
  <c r="AI112" i="23"/>
  <c r="AI100" i="23"/>
  <c r="AI86" i="23"/>
  <c r="AI22" i="23"/>
  <c r="AI188" i="23"/>
  <c r="AI149" i="23"/>
  <c r="AI136" i="23"/>
  <c r="AI124" i="23"/>
  <c r="AI97" i="23"/>
  <c r="AI72" i="23"/>
  <c r="AI198" i="23"/>
  <c r="AI185" i="23"/>
  <c r="AI173" i="23"/>
  <c r="AI160" i="23"/>
  <c r="AI148" i="23"/>
  <c r="AI134" i="23"/>
  <c r="AI121" i="23"/>
  <c r="AI109" i="23"/>
  <c r="AI57" i="23"/>
  <c r="AI45" i="23"/>
  <c r="AI94" i="23"/>
  <c r="AI40" i="23"/>
  <c r="AI172" i="23"/>
  <c r="AI30" i="23"/>
  <c r="AI158" i="23"/>
  <c r="AI53" i="23"/>
  <c r="AI184" i="23"/>
  <c r="AI145" i="23"/>
  <c r="AI133" i="23"/>
  <c r="AI120" i="23"/>
  <c r="AI81" i="23"/>
  <c r="AI33" i="23"/>
  <c r="AI52" i="23"/>
  <c r="AI44" i="23"/>
  <c r="AI164" i="23"/>
  <c r="AI177" i="23"/>
  <c r="AI29" i="23"/>
  <c r="AI161" i="23"/>
  <c r="AI174" i="23"/>
  <c r="AI193" i="23"/>
  <c r="AI25" i="23"/>
  <c r="AI128" i="23"/>
  <c r="AI170" i="23"/>
  <c r="AI197" i="23"/>
  <c r="AI48" i="23"/>
  <c r="AI56" i="23"/>
  <c r="AI108" i="23"/>
  <c r="AI51" i="23"/>
  <c r="AI96" i="23"/>
  <c r="AI196" i="23"/>
  <c r="AI117" i="23"/>
  <c r="AI104" i="23"/>
  <c r="AI24" i="23"/>
  <c r="AI85" i="23"/>
  <c r="AI123" i="23"/>
  <c r="AI70" i="23"/>
  <c r="AI192" i="23"/>
  <c r="AI28" i="23"/>
  <c r="AI183" i="23"/>
  <c r="AI43" i="23"/>
  <c r="AI93" i="23"/>
  <c r="AI132" i="23"/>
  <c r="AI77" i="23"/>
  <c r="AI168" i="23"/>
  <c r="AI169" i="23"/>
  <c r="AI47" i="23"/>
  <c r="AI32" i="23"/>
  <c r="AI137" i="23"/>
  <c r="AI110" i="23"/>
  <c r="AI157" i="23"/>
  <c r="AI62" i="23"/>
  <c r="AI55" i="23"/>
  <c r="AI147" i="23"/>
  <c r="AI38" i="23"/>
  <c r="T69" i="23"/>
  <c r="AI31" i="23"/>
  <c r="AH180" i="23"/>
  <c r="AH16" i="23" s="1"/>
  <c r="AI181" i="23"/>
  <c r="K50" i="23"/>
  <c r="T182" i="23"/>
  <c r="E69" i="23"/>
  <c r="AI42" i="23"/>
  <c r="E107" i="23"/>
  <c r="V59" i="23"/>
  <c r="X60" i="23"/>
  <c r="W60" i="23"/>
  <c r="W195" i="23"/>
  <c r="T42" i="23"/>
  <c r="T27" i="23"/>
  <c r="AA22" i="23"/>
  <c r="Z194" i="23"/>
  <c r="Z186" i="23"/>
  <c r="Z178" i="23"/>
  <c r="Z162" i="23"/>
  <c r="Z138" i="23"/>
  <c r="Z130" i="23"/>
  <c r="Z122" i="23"/>
  <c r="Z114" i="23"/>
  <c r="Z106" i="23"/>
  <c r="Z98" i="23"/>
  <c r="Z184" i="23"/>
  <c r="Z176" i="23"/>
  <c r="Z160" i="23"/>
  <c r="Z152" i="23"/>
  <c r="Z144" i="23"/>
  <c r="Z136" i="23"/>
  <c r="Z120" i="23"/>
  <c r="Z112" i="23"/>
  <c r="Z88" i="23"/>
  <c r="Z80" i="23"/>
  <c r="Z72" i="23"/>
  <c r="Z64" i="23"/>
  <c r="Z40" i="23"/>
  <c r="Z175" i="23"/>
  <c r="Z167" i="23"/>
  <c r="Z159" i="23"/>
  <c r="Z151" i="23"/>
  <c r="Z143" i="23"/>
  <c r="Z135" i="23"/>
  <c r="Z127" i="23"/>
  <c r="Z119" i="23"/>
  <c r="Z111" i="23"/>
  <c r="Z103" i="23"/>
  <c r="Z95" i="23"/>
  <c r="Z87" i="23"/>
  <c r="Z79" i="23"/>
  <c r="Z71" i="23"/>
  <c r="Z63" i="23"/>
  <c r="Z198" i="23"/>
  <c r="Z166" i="23"/>
  <c r="Z158" i="23"/>
  <c r="Z179" i="23"/>
  <c r="Z163" i="23"/>
  <c r="Z148" i="23"/>
  <c r="Z134" i="23"/>
  <c r="Z109" i="23"/>
  <c r="Z97" i="23"/>
  <c r="Z65" i="23"/>
  <c r="Z45" i="23"/>
  <c r="Z189" i="23"/>
  <c r="Z173" i="23"/>
  <c r="Z145" i="23"/>
  <c r="Z118" i="23"/>
  <c r="Z34" i="23"/>
  <c r="Z188" i="23"/>
  <c r="Z172" i="23"/>
  <c r="Z142" i="23"/>
  <c r="Z131" i="23"/>
  <c r="Z105" i="23"/>
  <c r="Z92" i="23"/>
  <c r="Z82" i="23"/>
  <c r="Z125" i="23"/>
  <c r="Z102" i="23"/>
  <c r="Z86" i="23"/>
  <c r="Z53" i="23"/>
  <c r="Z22" i="23"/>
  <c r="Z165" i="23"/>
  <c r="Z141" i="23"/>
  <c r="Z124" i="23"/>
  <c r="Z101" i="23"/>
  <c r="Z187" i="23"/>
  <c r="Z140" i="23"/>
  <c r="Z121" i="23"/>
  <c r="Z100" i="23"/>
  <c r="Z66" i="23"/>
  <c r="Z49" i="23"/>
  <c r="Z185" i="23"/>
  <c r="Z139" i="23"/>
  <c r="Z116" i="23"/>
  <c r="Z99" i="23"/>
  <c r="Z78" i="23"/>
  <c r="Z115" i="23"/>
  <c r="Z94" i="23"/>
  <c r="Z30" i="23"/>
  <c r="Z153" i="23"/>
  <c r="Z133" i="23"/>
  <c r="Z113" i="23"/>
  <c r="Z91" i="23"/>
  <c r="Z150" i="23"/>
  <c r="Z129" i="23"/>
  <c r="Z90" i="23"/>
  <c r="Z57" i="23"/>
  <c r="Z41" i="23"/>
  <c r="Z39" i="23"/>
  <c r="Z171" i="23"/>
  <c r="Z26" i="23"/>
  <c r="Z149" i="23"/>
  <c r="Z126" i="23"/>
  <c r="Z89" i="23"/>
  <c r="Z197" i="23"/>
  <c r="Z48" i="23"/>
  <c r="Z81" i="23"/>
  <c r="Z29" i="23"/>
  <c r="Z33" i="23"/>
  <c r="Z193" i="23"/>
  <c r="Z56" i="23"/>
  <c r="Z174" i="23"/>
  <c r="Z52" i="23"/>
  <c r="Z161" i="23"/>
  <c r="Z108" i="23"/>
  <c r="Z44" i="23"/>
  <c r="Z25" i="23"/>
  <c r="Z177" i="23"/>
  <c r="Z24" i="23"/>
  <c r="Z51" i="23"/>
  <c r="Z38" i="23"/>
  <c r="Z170" i="23"/>
  <c r="Z96" i="23"/>
  <c r="Z147" i="23"/>
  <c r="Z62" i="23"/>
  <c r="Z123" i="23"/>
  <c r="Z157" i="23"/>
  <c r="Z196" i="23"/>
  <c r="Z55" i="23"/>
  <c r="Z137" i="23"/>
  <c r="Z47" i="23"/>
  <c r="Z32" i="23"/>
  <c r="Z183" i="23"/>
  <c r="Z85" i="23"/>
  <c r="Z77" i="23"/>
  <c r="Z128" i="23"/>
  <c r="Z117" i="23"/>
  <c r="Z70" i="23"/>
  <c r="Z104" i="23"/>
  <c r="Z132" i="23"/>
  <c r="Z164" i="23"/>
  <c r="Z43" i="23"/>
  <c r="Z93" i="23"/>
  <c r="Z192" i="23"/>
  <c r="Z28" i="23"/>
  <c r="Z110" i="23"/>
  <c r="O168" i="23"/>
  <c r="N168" i="23"/>
  <c r="AF42" i="23"/>
  <c r="D67" i="23"/>
  <c r="F68" i="23"/>
  <c r="E68" i="23"/>
  <c r="T23" i="23"/>
  <c r="F168" i="23"/>
  <c r="E168" i="23"/>
  <c r="K42" i="23"/>
  <c r="AF46" i="23"/>
  <c r="T50" i="23"/>
  <c r="K31" i="23"/>
  <c r="K54" i="23"/>
  <c r="J74" i="23"/>
  <c r="L83" i="23"/>
  <c r="K83" i="23"/>
  <c r="AF195" i="23"/>
  <c r="AI69" i="23"/>
  <c r="P67" i="23"/>
  <c r="R68" i="23"/>
  <c r="Q68" i="23"/>
  <c r="H84" i="23"/>
  <c r="J180" i="23"/>
  <c r="J16" i="23" s="1"/>
  <c r="L181" i="23"/>
  <c r="K181" i="23"/>
  <c r="AK181" i="23"/>
  <c r="W27" i="23"/>
  <c r="AG75" i="23"/>
  <c r="AF75" i="23"/>
  <c r="K195" i="23"/>
  <c r="AA75" i="23"/>
  <c r="Z75" i="23"/>
  <c r="T46" i="23"/>
  <c r="AF107" i="23"/>
  <c r="T37" i="23"/>
  <c r="AI23" i="23"/>
  <c r="V180" i="23"/>
  <c r="V16" i="23" s="1"/>
  <c r="X181" i="23"/>
  <c r="W181" i="23"/>
  <c r="AF146" i="23"/>
  <c r="AB35" i="23"/>
  <c r="AB5" i="23" s="1"/>
  <c r="AD36" i="23"/>
  <c r="AC36" i="23"/>
  <c r="AH59" i="23"/>
  <c r="AI60" i="23"/>
  <c r="T54" i="23"/>
  <c r="AI54" i="23"/>
  <c r="Z155" i="23"/>
  <c r="AE59" i="23"/>
  <c r="AG60" i="23"/>
  <c r="AF60" i="23"/>
  <c r="AI50" i="23"/>
  <c r="D35" i="23"/>
  <c r="D21" i="23" s="1"/>
  <c r="D4" i="23" s="1"/>
  <c r="F36" i="23"/>
  <c r="E36" i="23"/>
  <c r="Z23" i="23"/>
  <c r="AI195" i="23"/>
  <c r="Z50" i="23"/>
  <c r="H155" i="23"/>
  <c r="AA168" i="23"/>
  <c r="Z168" i="23"/>
  <c r="AD168" i="23"/>
  <c r="AC168" i="23"/>
  <c r="AB59" i="23"/>
  <c r="AD60" i="23"/>
  <c r="AC60" i="23"/>
  <c r="Q154" i="23"/>
  <c r="S67" i="23"/>
  <c r="U68" i="23"/>
  <c r="T68" i="23"/>
  <c r="L22" i="23"/>
  <c r="K198" i="23"/>
  <c r="K166" i="23"/>
  <c r="K158" i="23"/>
  <c r="K150" i="23"/>
  <c r="K142" i="23"/>
  <c r="K134" i="23"/>
  <c r="K126" i="23"/>
  <c r="K118" i="23"/>
  <c r="K102" i="23"/>
  <c r="K94" i="23"/>
  <c r="K86" i="23"/>
  <c r="K78" i="23"/>
  <c r="K30" i="23"/>
  <c r="K22" i="23"/>
  <c r="K189" i="23"/>
  <c r="K173" i="23"/>
  <c r="K165" i="23"/>
  <c r="K149" i="23"/>
  <c r="K141" i="23"/>
  <c r="K133" i="23"/>
  <c r="K125" i="23"/>
  <c r="K109" i="23"/>
  <c r="K101" i="23"/>
  <c r="K53" i="23"/>
  <c r="K45" i="23"/>
  <c r="K194" i="23"/>
  <c r="K186" i="23"/>
  <c r="K178" i="23"/>
  <c r="K162" i="23"/>
  <c r="K138" i="23"/>
  <c r="K130" i="23"/>
  <c r="K122" i="23"/>
  <c r="K114" i="23"/>
  <c r="K106" i="23"/>
  <c r="K98" i="23"/>
  <c r="K90" i="23"/>
  <c r="K82" i="23"/>
  <c r="K66" i="23"/>
  <c r="K34" i="23"/>
  <c r="K26" i="23"/>
  <c r="K188" i="23"/>
  <c r="K176" i="23"/>
  <c r="K163" i="23"/>
  <c r="K151" i="23"/>
  <c r="K124" i="23"/>
  <c r="K112" i="23"/>
  <c r="K99" i="23"/>
  <c r="K87" i="23"/>
  <c r="K100" i="23"/>
  <c r="K187" i="23"/>
  <c r="K175" i="23"/>
  <c r="K148" i="23"/>
  <c r="K136" i="23"/>
  <c r="K111" i="23"/>
  <c r="K97" i="23"/>
  <c r="K72" i="23"/>
  <c r="K185" i="23"/>
  <c r="K172" i="23"/>
  <c r="K160" i="23"/>
  <c r="K135" i="23"/>
  <c r="K121" i="23"/>
  <c r="K71" i="23"/>
  <c r="K57" i="23"/>
  <c r="K63" i="23"/>
  <c r="K184" i="23"/>
  <c r="K171" i="23"/>
  <c r="K159" i="23"/>
  <c r="K145" i="23"/>
  <c r="K120" i="23"/>
  <c r="K95" i="23"/>
  <c r="K144" i="23"/>
  <c r="K131" i="23"/>
  <c r="K119" i="23"/>
  <c r="K105" i="23"/>
  <c r="K92" i="23"/>
  <c r="K80" i="23"/>
  <c r="K41" i="23"/>
  <c r="K143" i="23"/>
  <c r="K129" i="23"/>
  <c r="K116" i="23"/>
  <c r="K91" i="23"/>
  <c r="K79" i="23"/>
  <c r="K65" i="23"/>
  <c r="K40" i="23"/>
  <c r="K139" i="23"/>
  <c r="K113" i="23"/>
  <c r="K49" i="23"/>
  <c r="K179" i="23"/>
  <c r="K167" i="23"/>
  <c r="K153" i="23"/>
  <c r="K140" i="23"/>
  <c r="K115" i="23"/>
  <c r="K103" i="23"/>
  <c r="K89" i="23"/>
  <c r="K64" i="23"/>
  <c r="K39" i="23"/>
  <c r="K152" i="23"/>
  <c r="K127" i="23"/>
  <c r="K88" i="23"/>
  <c r="K193" i="23"/>
  <c r="K25" i="23"/>
  <c r="K56" i="23"/>
  <c r="K108" i="23"/>
  <c r="K161" i="23"/>
  <c r="K81" i="23"/>
  <c r="K48" i="23"/>
  <c r="K177" i="23"/>
  <c r="K44" i="23"/>
  <c r="K29" i="23"/>
  <c r="K52" i="23"/>
  <c r="K197" i="23"/>
  <c r="K33" i="23"/>
  <c r="K192" i="23"/>
  <c r="K85" i="23"/>
  <c r="K157" i="23"/>
  <c r="K93" i="23"/>
  <c r="K96" i="23"/>
  <c r="K170" i="23"/>
  <c r="K117" i="23"/>
  <c r="K38" i="23"/>
  <c r="K132" i="23"/>
  <c r="K47" i="23"/>
  <c r="K51" i="23"/>
  <c r="K128" i="23"/>
  <c r="K164" i="23"/>
  <c r="K32" i="23"/>
  <c r="K28" i="23"/>
  <c r="K183" i="23"/>
  <c r="K174" i="23"/>
  <c r="K43" i="23"/>
  <c r="K55" i="23"/>
  <c r="K137" i="23"/>
  <c r="K62" i="23"/>
  <c r="K70" i="23"/>
  <c r="K196" i="23"/>
  <c r="K77" i="23"/>
  <c r="K123" i="23"/>
  <c r="K104" i="23"/>
  <c r="K110" i="23"/>
  <c r="K24" i="23"/>
  <c r="K147" i="23"/>
  <c r="O22" i="23"/>
  <c r="N198" i="23"/>
  <c r="N166" i="23"/>
  <c r="N158" i="23"/>
  <c r="N150" i="23"/>
  <c r="N142" i="23"/>
  <c r="N134" i="23"/>
  <c r="N126" i="23"/>
  <c r="N118" i="23"/>
  <c r="N102" i="23"/>
  <c r="N94" i="23"/>
  <c r="N86" i="23"/>
  <c r="N189" i="23"/>
  <c r="N173" i="23"/>
  <c r="N165" i="23"/>
  <c r="N188" i="23"/>
  <c r="N172" i="23"/>
  <c r="N148" i="23"/>
  <c r="N140" i="23"/>
  <c r="N124" i="23"/>
  <c r="N116" i="23"/>
  <c r="N100" i="23"/>
  <c r="N92" i="23"/>
  <c r="N186" i="23"/>
  <c r="N162" i="23"/>
  <c r="N138" i="23"/>
  <c r="N187" i="23"/>
  <c r="N179" i="23"/>
  <c r="N171" i="23"/>
  <c r="N163" i="23"/>
  <c r="N139" i="23"/>
  <c r="N131" i="23"/>
  <c r="N115" i="23"/>
  <c r="N99" i="23"/>
  <c r="N91" i="23"/>
  <c r="N194" i="23"/>
  <c r="N178" i="23"/>
  <c r="N130" i="23"/>
  <c r="N184" i="23"/>
  <c r="N176" i="23"/>
  <c r="N160" i="23"/>
  <c r="N152" i="23"/>
  <c r="N144" i="23"/>
  <c r="N136" i="23"/>
  <c r="N120" i="23"/>
  <c r="N112" i="23"/>
  <c r="N88" i="23"/>
  <c r="N80" i="23"/>
  <c r="N72" i="23"/>
  <c r="N64" i="23"/>
  <c r="N40" i="23"/>
  <c r="N167" i="23"/>
  <c r="N141" i="23"/>
  <c r="N121" i="23"/>
  <c r="N105" i="23"/>
  <c r="N89" i="23"/>
  <c r="N49" i="23"/>
  <c r="N119" i="23"/>
  <c r="N103" i="23"/>
  <c r="N87" i="23"/>
  <c r="N34" i="23"/>
  <c r="N22" i="23"/>
  <c r="N106" i="23"/>
  <c r="N159" i="23"/>
  <c r="N135" i="23"/>
  <c r="N101" i="23"/>
  <c r="N71" i="23"/>
  <c r="N122" i="23"/>
  <c r="N185" i="23"/>
  <c r="N153" i="23"/>
  <c r="N133" i="23"/>
  <c r="N114" i="23"/>
  <c r="N98" i="23"/>
  <c r="N82" i="23"/>
  <c r="N57" i="23"/>
  <c r="N45" i="23"/>
  <c r="N151" i="23"/>
  <c r="N129" i="23"/>
  <c r="N113" i="23"/>
  <c r="N97" i="23"/>
  <c r="N30" i="23"/>
  <c r="N63" i="23"/>
  <c r="N149" i="23"/>
  <c r="N127" i="23"/>
  <c r="N111" i="23"/>
  <c r="N95" i="23"/>
  <c r="N79" i="23"/>
  <c r="N66" i="23"/>
  <c r="N41" i="23"/>
  <c r="N90" i="23"/>
  <c r="N175" i="23"/>
  <c r="N145" i="23"/>
  <c r="N125" i="23"/>
  <c r="N109" i="23"/>
  <c r="N78" i="23"/>
  <c r="N65" i="23"/>
  <c r="N53" i="23"/>
  <c r="N39" i="23"/>
  <c r="N26" i="23"/>
  <c r="N143" i="23"/>
  <c r="N56" i="23"/>
  <c r="N44" i="23"/>
  <c r="N197" i="23"/>
  <c r="N48" i="23"/>
  <c r="N25" i="23"/>
  <c r="N193" i="23"/>
  <c r="N161" i="23"/>
  <c r="N29" i="23"/>
  <c r="N81" i="23"/>
  <c r="N52" i="23"/>
  <c r="N174" i="23"/>
  <c r="N33" i="23"/>
  <c r="N108" i="23"/>
  <c r="N177" i="23"/>
  <c r="N85" i="23"/>
  <c r="N183" i="23"/>
  <c r="N170" i="23"/>
  <c r="N62" i="23"/>
  <c r="N104" i="23"/>
  <c r="N38" i="23"/>
  <c r="N117" i="23"/>
  <c r="N43" i="23"/>
  <c r="N96" i="23"/>
  <c r="N123" i="23"/>
  <c r="N70" i="23"/>
  <c r="N132" i="23"/>
  <c r="N137" i="23"/>
  <c r="N77" i="23"/>
  <c r="N110" i="23"/>
  <c r="N157" i="23"/>
  <c r="N28" i="23"/>
  <c r="N32" i="23"/>
  <c r="N164" i="23"/>
  <c r="N192" i="23"/>
  <c r="N51" i="23"/>
  <c r="N147" i="23"/>
  <c r="N128" i="23"/>
  <c r="N55" i="23"/>
  <c r="N47" i="23"/>
  <c r="N93" i="23"/>
  <c r="N24" i="23"/>
  <c r="N196" i="23"/>
  <c r="U22" i="23"/>
  <c r="T185" i="23"/>
  <c r="T153" i="23"/>
  <c r="T145" i="23"/>
  <c r="T129" i="23"/>
  <c r="T121" i="23"/>
  <c r="T113" i="23"/>
  <c r="T105" i="23"/>
  <c r="T97" i="23"/>
  <c r="T89" i="23"/>
  <c r="T65" i="23"/>
  <c r="T57" i="23"/>
  <c r="T49" i="23"/>
  <c r="T41" i="23"/>
  <c r="T175" i="23"/>
  <c r="T167" i="23"/>
  <c r="T159" i="23"/>
  <c r="T151" i="23"/>
  <c r="T143" i="23"/>
  <c r="T135" i="23"/>
  <c r="T127" i="23"/>
  <c r="T119" i="23"/>
  <c r="T111" i="23"/>
  <c r="T103" i="23"/>
  <c r="T95" i="23"/>
  <c r="T87" i="23"/>
  <c r="T79" i="23"/>
  <c r="T71" i="23"/>
  <c r="T63" i="23"/>
  <c r="T39" i="23"/>
  <c r="T198" i="23"/>
  <c r="T166" i="23"/>
  <c r="T158" i="23"/>
  <c r="T150" i="23"/>
  <c r="T142" i="23"/>
  <c r="T134" i="23"/>
  <c r="T126" i="23"/>
  <c r="T118" i="23"/>
  <c r="T102" i="23"/>
  <c r="T94" i="23"/>
  <c r="T86" i="23"/>
  <c r="T78" i="23"/>
  <c r="T30" i="23"/>
  <c r="T22" i="23"/>
  <c r="T187" i="23"/>
  <c r="T173" i="23"/>
  <c r="T162" i="23"/>
  <c r="T148" i="23"/>
  <c r="T136" i="23"/>
  <c r="T109" i="23"/>
  <c r="T98" i="23"/>
  <c r="T72" i="23"/>
  <c r="T45" i="23"/>
  <c r="T34" i="23"/>
  <c r="T186" i="23"/>
  <c r="T172" i="23"/>
  <c r="T160" i="23"/>
  <c r="T133" i="23"/>
  <c r="T122" i="23"/>
  <c r="T184" i="23"/>
  <c r="T171" i="23"/>
  <c r="T120" i="23"/>
  <c r="T82" i="23"/>
  <c r="T144" i="23"/>
  <c r="T131" i="23"/>
  <c r="T106" i="23"/>
  <c r="T92" i="23"/>
  <c r="T80" i="23"/>
  <c r="T53" i="23"/>
  <c r="T194" i="23"/>
  <c r="T141" i="23"/>
  <c r="T130" i="23"/>
  <c r="T116" i="23"/>
  <c r="T91" i="23"/>
  <c r="T66" i="23"/>
  <c r="T40" i="23"/>
  <c r="T179" i="23"/>
  <c r="T165" i="23"/>
  <c r="T140" i="23"/>
  <c r="T115" i="23"/>
  <c r="T101" i="23"/>
  <c r="T90" i="23"/>
  <c r="T64" i="23"/>
  <c r="T26" i="23"/>
  <c r="T189" i="23"/>
  <c r="T178" i="23"/>
  <c r="T152" i="23"/>
  <c r="T139" i="23"/>
  <c r="T125" i="23"/>
  <c r="T114" i="23"/>
  <c r="T100" i="23"/>
  <c r="T88" i="23"/>
  <c r="T188" i="23"/>
  <c r="T176" i="23"/>
  <c r="T163" i="23"/>
  <c r="T149" i="23"/>
  <c r="T138" i="23"/>
  <c r="T124" i="23"/>
  <c r="T99" i="23"/>
  <c r="T112" i="23"/>
  <c r="T177" i="23"/>
  <c r="T44" i="23"/>
  <c r="T193" i="23"/>
  <c r="T48" i="23"/>
  <c r="T197" i="23"/>
  <c r="T174" i="23"/>
  <c r="T56" i="23"/>
  <c r="T52" i="23"/>
  <c r="T161" i="23"/>
  <c r="T29" i="23"/>
  <c r="T108" i="23"/>
  <c r="T81" i="23"/>
  <c r="T25" i="23"/>
  <c r="T33" i="23"/>
  <c r="T170" i="23"/>
  <c r="T157" i="23"/>
  <c r="T43" i="23"/>
  <c r="T28" i="23"/>
  <c r="T85" i="23"/>
  <c r="T24" i="23"/>
  <c r="T132" i="23"/>
  <c r="T147" i="23"/>
  <c r="T123" i="23"/>
  <c r="T196" i="23"/>
  <c r="T62" i="23"/>
  <c r="T164" i="23"/>
  <c r="T137" i="23"/>
  <c r="T47" i="23"/>
  <c r="T128" i="23"/>
  <c r="T93" i="23"/>
  <c r="T192" i="23"/>
  <c r="T96" i="23"/>
  <c r="T51" i="23"/>
  <c r="T70" i="23"/>
  <c r="T32" i="23"/>
  <c r="T117" i="23"/>
  <c r="T55" i="23"/>
  <c r="T77" i="23"/>
  <c r="T104" i="23"/>
  <c r="T183" i="23"/>
  <c r="T38" i="23"/>
  <c r="T110" i="23"/>
  <c r="N61" i="23"/>
  <c r="W155" i="23"/>
  <c r="N76" i="23"/>
  <c r="AK190" i="23"/>
  <c r="AK17" i="23" s="1"/>
  <c r="AA154" i="23"/>
  <c r="Z154" i="23"/>
  <c r="AG190" i="23"/>
  <c r="AF190" i="23"/>
  <c r="F155" i="23"/>
  <c r="E155" i="23"/>
  <c r="X190" i="23"/>
  <c r="W190" i="23"/>
  <c r="O190" i="23"/>
  <c r="N190" i="23"/>
  <c r="S180" i="23"/>
  <c r="U181" i="23"/>
  <c r="T181" i="23"/>
  <c r="W169" i="23"/>
  <c r="W76" i="23"/>
  <c r="L190" i="23"/>
  <c r="K190" i="23"/>
  <c r="N182" i="23"/>
  <c r="W46" i="23"/>
  <c r="AE35" i="23"/>
  <c r="AE5" i="23" s="1"/>
  <c r="AG36" i="23"/>
  <c r="AF36" i="23"/>
  <c r="V74" i="23"/>
  <c r="X83" i="23"/>
  <c r="W83" i="23"/>
  <c r="AE74" i="23"/>
  <c r="AG83" i="23"/>
  <c r="AF83" i="23"/>
  <c r="I75" i="23"/>
  <c r="H75" i="23"/>
  <c r="I60" i="23"/>
  <c r="H60" i="23"/>
  <c r="J35" i="23"/>
  <c r="J5" i="23" s="1"/>
  <c r="L36" i="23"/>
  <c r="K36" i="23"/>
  <c r="S59" i="23"/>
  <c r="U60" i="23"/>
  <c r="T60" i="23"/>
  <c r="AG22" i="23"/>
  <c r="AF189" i="23"/>
  <c r="AF173" i="23"/>
  <c r="AF165" i="23"/>
  <c r="AF149" i="23"/>
  <c r="AF141" i="23"/>
  <c r="AF133" i="23"/>
  <c r="AF125" i="23"/>
  <c r="AF109" i="23"/>
  <c r="AF101" i="23"/>
  <c r="AF53" i="23"/>
  <c r="AF45" i="23"/>
  <c r="AF188" i="23"/>
  <c r="AF172" i="23"/>
  <c r="AF148" i="23"/>
  <c r="AF140" i="23"/>
  <c r="AF124" i="23"/>
  <c r="AF116" i="23"/>
  <c r="AF185" i="23"/>
  <c r="AF153" i="23"/>
  <c r="AF145" i="23"/>
  <c r="AF129" i="23"/>
  <c r="AF121" i="23"/>
  <c r="AF113" i="23"/>
  <c r="AF105" i="23"/>
  <c r="AF194" i="23"/>
  <c r="AF143" i="23"/>
  <c r="AF130" i="23"/>
  <c r="AF118" i="23"/>
  <c r="AF106" i="23"/>
  <c r="AF87" i="23"/>
  <c r="AF78" i="23"/>
  <c r="AF41" i="23"/>
  <c r="AF178" i="23"/>
  <c r="AF166" i="23"/>
  <c r="AF152" i="23"/>
  <c r="AF139" i="23"/>
  <c r="AF127" i="23"/>
  <c r="AF114" i="23"/>
  <c r="AF103" i="23"/>
  <c r="AF94" i="23"/>
  <c r="AF66" i="23"/>
  <c r="AF57" i="23"/>
  <c r="AF39" i="23"/>
  <c r="AF30" i="23"/>
  <c r="AF176" i="23"/>
  <c r="AF163" i="23"/>
  <c r="AF151" i="23"/>
  <c r="AF138" i="23"/>
  <c r="AF126" i="23"/>
  <c r="AF112" i="23"/>
  <c r="AF102" i="23"/>
  <c r="AF92" i="23"/>
  <c r="AF65" i="23"/>
  <c r="AF187" i="23"/>
  <c r="AF175" i="23"/>
  <c r="AF162" i="23"/>
  <c r="AF150" i="23"/>
  <c r="AF136" i="23"/>
  <c r="AF111" i="23"/>
  <c r="AF100" i="23"/>
  <c r="AF91" i="23"/>
  <c r="AF82" i="23"/>
  <c r="AF64" i="23"/>
  <c r="AF198" i="23"/>
  <c r="AF184" i="23"/>
  <c r="AF171" i="23"/>
  <c r="AF159" i="23"/>
  <c r="AF134" i="23"/>
  <c r="AF120" i="23"/>
  <c r="AF98" i="23"/>
  <c r="AF89" i="23"/>
  <c r="AF80" i="23"/>
  <c r="AF71" i="23"/>
  <c r="AF34" i="23"/>
  <c r="AF115" i="23"/>
  <c r="AF88" i="23"/>
  <c r="AF63" i="23"/>
  <c r="AF40" i="23"/>
  <c r="AF142" i="23"/>
  <c r="AF135" i="23"/>
  <c r="AF79" i="23"/>
  <c r="AF144" i="23"/>
  <c r="AF95" i="23"/>
  <c r="AF131" i="23"/>
  <c r="AF90" i="23"/>
  <c r="AF49" i="23"/>
  <c r="AF186" i="23"/>
  <c r="AF86" i="23"/>
  <c r="AF179" i="23"/>
  <c r="AF122" i="23"/>
  <c r="AF167" i="23"/>
  <c r="AF119" i="23"/>
  <c r="AF72" i="23"/>
  <c r="AF160" i="23"/>
  <c r="AF26" i="23"/>
  <c r="AF158" i="23"/>
  <c r="AF99" i="23"/>
  <c r="AF97" i="23"/>
  <c r="AF22" i="23"/>
  <c r="AF197" i="23"/>
  <c r="AF161" i="23"/>
  <c r="AF48" i="23"/>
  <c r="AF56" i="23"/>
  <c r="AF44" i="23"/>
  <c r="AF108" i="23"/>
  <c r="AF193" i="23"/>
  <c r="AF52" i="23"/>
  <c r="AF174" i="23"/>
  <c r="AF29" i="23"/>
  <c r="AF25" i="23"/>
  <c r="AF81" i="23"/>
  <c r="AF33" i="23"/>
  <c r="AF177" i="23"/>
  <c r="AF123" i="23"/>
  <c r="AF192" i="23"/>
  <c r="AF43" i="23"/>
  <c r="AF55" i="23"/>
  <c r="AF104" i="23"/>
  <c r="AF38" i="23"/>
  <c r="AF96" i="23"/>
  <c r="AF47" i="23"/>
  <c r="AF196" i="23"/>
  <c r="AF137" i="23"/>
  <c r="AF24" i="23"/>
  <c r="AE21" i="23"/>
  <c r="AF51" i="23"/>
  <c r="AF147" i="23"/>
  <c r="AF28" i="23"/>
  <c r="AF110" i="23"/>
  <c r="AF164" i="23"/>
  <c r="AF70" i="23"/>
  <c r="AF32" i="23"/>
  <c r="AF170" i="23"/>
  <c r="AF132" i="23"/>
  <c r="AF93" i="23"/>
  <c r="AF77" i="23"/>
  <c r="AF157" i="23"/>
  <c r="AF128" i="23"/>
  <c r="AF85" i="23"/>
  <c r="AF62" i="23"/>
  <c r="AF183" i="23"/>
  <c r="AF117" i="23"/>
  <c r="AJ190" i="23"/>
  <c r="AI190" i="23"/>
  <c r="AK60" i="23"/>
  <c r="AJ60" i="23" s="1"/>
  <c r="R75" i="23"/>
  <c r="Q75" i="23"/>
  <c r="AE154" i="23"/>
  <c r="AE15" i="23" s="1"/>
  <c r="AE67" i="23"/>
  <c r="AG68" i="23"/>
  <c r="AF68" i="23"/>
  <c r="K27" i="23"/>
  <c r="N27" i="23"/>
  <c r="AB67" i="23"/>
  <c r="AD68" i="23"/>
  <c r="AC68" i="23"/>
  <c r="L75" i="23"/>
  <c r="K75" i="23"/>
  <c r="W23" i="23"/>
  <c r="T31" i="23"/>
  <c r="F22" i="23"/>
  <c r="E26" i="23"/>
  <c r="E34" i="23"/>
  <c r="E66" i="23"/>
  <c r="E82" i="23"/>
  <c r="E90" i="23"/>
  <c r="E98" i="23"/>
  <c r="E106" i="23"/>
  <c r="E114" i="23"/>
  <c r="E122" i="23"/>
  <c r="E130" i="23"/>
  <c r="E138" i="23"/>
  <c r="E162" i="23"/>
  <c r="E178" i="23"/>
  <c r="E186" i="23"/>
  <c r="E194" i="23"/>
  <c r="E91" i="23"/>
  <c r="E115" i="23"/>
  <c r="E131" i="23"/>
  <c r="E163" i="23"/>
  <c r="E179" i="23"/>
  <c r="E99" i="23"/>
  <c r="E139" i="23"/>
  <c r="E171" i="23"/>
  <c r="E187" i="23"/>
  <c r="E22" i="23"/>
  <c r="E30" i="23"/>
  <c r="E78" i="23"/>
  <c r="E86" i="23"/>
  <c r="E94" i="23"/>
  <c r="E102" i="23"/>
  <c r="E118" i="23"/>
  <c r="E126" i="23"/>
  <c r="E134" i="23"/>
  <c r="E142" i="23"/>
  <c r="E150" i="23"/>
  <c r="E158" i="23"/>
  <c r="E166" i="23"/>
  <c r="E198" i="23"/>
  <c r="E72" i="23"/>
  <c r="E97" i="23"/>
  <c r="E111" i="23"/>
  <c r="E124" i="23"/>
  <c r="E136" i="23"/>
  <c r="E149" i="23"/>
  <c r="E175" i="23"/>
  <c r="E188" i="23"/>
  <c r="E100" i="23"/>
  <c r="E189" i="23"/>
  <c r="E45" i="23"/>
  <c r="E121" i="23"/>
  <c r="E173" i="23"/>
  <c r="E87" i="23"/>
  <c r="E112" i="23"/>
  <c r="E125" i="23"/>
  <c r="E151" i="23"/>
  <c r="E176" i="23"/>
  <c r="E71" i="23"/>
  <c r="E160" i="23"/>
  <c r="E49" i="23"/>
  <c r="E63" i="23"/>
  <c r="E88" i="23"/>
  <c r="E101" i="23"/>
  <c r="E113" i="23"/>
  <c r="E127" i="23"/>
  <c r="E140" i="23"/>
  <c r="E152" i="23"/>
  <c r="E165" i="23"/>
  <c r="E109" i="23"/>
  <c r="E39" i="23"/>
  <c r="E64" i="23"/>
  <c r="E89" i="23"/>
  <c r="E103" i="23"/>
  <c r="E116" i="23"/>
  <c r="E141" i="23"/>
  <c r="E153" i="23"/>
  <c r="E167" i="23"/>
  <c r="E40" i="23"/>
  <c r="E65" i="23"/>
  <c r="E92" i="23"/>
  <c r="E129" i="23"/>
  <c r="E53" i="23"/>
  <c r="E79" i="23"/>
  <c r="E143" i="23"/>
  <c r="E41" i="23"/>
  <c r="E80" i="23"/>
  <c r="E105" i="23"/>
  <c r="E119" i="23"/>
  <c r="E144" i="23"/>
  <c r="E148" i="23"/>
  <c r="E95" i="23"/>
  <c r="E120" i="23"/>
  <c r="E133" i="23"/>
  <c r="E145" i="23"/>
  <c r="E159" i="23"/>
  <c r="E172" i="23"/>
  <c r="E184" i="23"/>
  <c r="E57" i="23"/>
  <c r="E135" i="23"/>
  <c r="E185" i="23"/>
  <c r="E52" i="23"/>
  <c r="E29" i="23"/>
  <c r="E193" i="23"/>
  <c r="E44" i="23"/>
  <c r="E56" i="23"/>
  <c r="E161" i="23"/>
  <c r="E77" i="23"/>
  <c r="E197" i="23"/>
  <c r="E25" i="23"/>
  <c r="E177" i="23"/>
  <c r="E108" i="23"/>
  <c r="E81" i="23"/>
  <c r="E33" i="23"/>
  <c r="E48" i="23"/>
  <c r="E47" i="23"/>
  <c r="E96" i="23"/>
  <c r="E70" i="23"/>
  <c r="E38" i="23"/>
  <c r="E32" i="23"/>
  <c r="E117" i="23"/>
  <c r="E85" i="23"/>
  <c r="E137" i="23"/>
  <c r="E157" i="23"/>
  <c r="E93" i="23"/>
  <c r="E43" i="23"/>
  <c r="E174" i="23"/>
  <c r="E196" i="23"/>
  <c r="E104" i="23"/>
  <c r="E147" i="23"/>
  <c r="E170" i="23"/>
  <c r="E55" i="23"/>
  <c r="E132" i="23"/>
  <c r="E24" i="23"/>
  <c r="E183" i="23"/>
  <c r="E28" i="23"/>
  <c r="E51" i="23"/>
  <c r="E123" i="23"/>
  <c r="E110" i="23"/>
  <c r="E128" i="23"/>
  <c r="E62" i="23"/>
  <c r="E192" i="23"/>
  <c r="W84" i="23"/>
  <c r="AJ146" i="23"/>
  <c r="AI37" i="23"/>
  <c r="AE180" i="23"/>
  <c r="AE16" i="23" s="1"/>
  <c r="AG181" i="23"/>
  <c r="AF181" i="23"/>
  <c r="K169" i="23"/>
  <c r="AD22" i="23"/>
  <c r="AC175" i="23"/>
  <c r="AC167" i="23"/>
  <c r="AC159" i="23"/>
  <c r="AC151" i="23"/>
  <c r="AC143" i="23"/>
  <c r="AC135" i="23"/>
  <c r="AC173" i="23"/>
  <c r="AC120" i="23"/>
  <c r="AC112" i="23"/>
  <c r="AC88" i="23"/>
  <c r="AC80" i="23"/>
  <c r="AC72" i="23"/>
  <c r="AC64" i="23"/>
  <c r="AC40" i="23"/>
  <c r="AC198" i="23"/>
  <c r="AC189" i="23"/>
  <c r="AC171" i="23"/>
  <c r="AC162" i="23"/>
  <c r="AC153" i="23"/>
  <c r="AC144" i="23"/>
  <c r="AC134" i="23"/>
  <c r="AC126" i="23"/>
  <c r="AC118" i="23"/>
  <c r="AC102" i="23"/>
  <c r="AC94" i="23"/>
  <c r="AC86" i="23"/>
  <c r="AC78" i="23"/>
  <c r="AC30" i="23"/>
  <c r="AC22" i="23"/>
  <c r="AC188" i="23"/>
  <c r="AC179" i="23"/>
  <c r="AC152" i="23"/>
  <c r="AC142" i="23"/>
  <c r="AC133" i="23"/>
  <c r="AC125" i="23"/>
  <c r="AC109" i="23"/>
  <c r="AC101" i="23"/>
  <c r="AC53" i="23"/>
  <c r="AC45" i="23"/>
  <c r="AC187" i="23"/>
  <c r="AC178" i="23"/>
  <c r="AC160" i="23"/>
  <c r="AC150" i="23"/>
  <c r="AC141" i="23"/>
  <c r="AC124" i="23"/>
  <c r="AC116" i="23"/>
  <c r="AC100" i="23"/>
  <c r="AC92" i="23"/>
  <c r="AC194" i="23"/>
  <c r="AC185" i="23"/>
  <c r="AC176" i="23"/>
  <c r="AC166" i="23"/>
  <c r="AC148" i="23"/>
  <c r="AC139" i="23"/>
  <c r="AC130" i="23"/>
  <c r="AC122" i="23"/>
  <c r="AC114" i="23"/>
  <c r="AC106" i="23"/>
  <c r="AC98" i="23"/>
  <c r="AC90" i="23"/>
  <c r="AC82" i="23"/>
  <c r="AC66" i="23"/>
  <c r="AC34" i="23"/>
  <c r="AC26" i="23"/>
  <c r="AC145" i="23"/>
  <c r="AC121" i="23"/>
  <c r="AC99" i="23"/>
  <c r="AC79" i="23"/>
  <c r="AC57" i="23"/>
  <c r="AC186" i="23"/>
  <c r="AC163" i="23"/>
  <c r="AC138" i="23"/>
  <c r="AC115" i="23"/>
  <c r="AC95" i="23"/>
  <c r="AC184" i="23"/>
  <c r="AC158" i="23"/>
  <c r="AC136" i="23"/>
  <c r="AC113" i="23"/>
  <c r="AC91" i="23"/>
  <c r="AC71" i="23"/>
  <c r="AC49" i="23"/>
  <c r="AC119" i="23"/>
  <c r="AC149" i="23"/>
  <c r="AC111" i="23"/>
  <c r="AC41" i="23"/>
  <c r="AC140" i="23"/>
  <c r="AC105" i="23"/>
  <c r="AC39" i="23"/>
  <c r="AC131" i="23"/>
  <c r="AC103" i="23"/>
  <c r="AC65" i="23"/>
  <c r="AC172" i="23"/>
  <c r="AC129" i="23"/>
  <c r="AC97" i="23"/>
  <c r="AC63" i="23"/>
  <c r="AC165" i="23"/>
  <c r="AC127" i="23"/>
  <c r="AC89" i="23"/>
  <c r="AC87" i="23"/>
  <c r="AC197" i="23"/>
  <c r="AC33" i="23"/>
  <c r="AC29" i="23"/>
  <c r="AC44" i="23"/>
  <c r="AC25" i="23"/>
  <c r="AC161" i="23"/>
  <c r="AC56" i="23"/>
  <c r="AC81" i="23"/>
  <c r="AC48" i="23"/>
  <c r="AC52" i="23"/>
  <c r="AC174" i="23"/>
  <c r="AC177" i="23"/>
  <c r="AC193" i="23"/>
  <c r="AC108" i="23"/>
  <c r="AC24" i="23"/>
  <c r="AC192" i="23"/>
  <c r="AC170" i="23"/>
  <c r="AC183" i="23"/>
  <c r="AC77" i="23"/>
  <c r="AC147" i="23"/>
  <c r="AC62" i="23"/>
  <c r="AC164" i="23"/>
  <c r="AC96" i="23"/>
  <c r="AC43" i="23"/>
  <c r="AC123" i="23"/>
  <c r="AC128" i="23"/>
  <c r="AC157" i="23"/>
  <c r="AC137" i="23"/>
  <c r="AC70" i="23"/>
  <c r="AC32" i="23"/>
  <c r="AC85" i="23"/>
  <c r="AC55" i="23"/>
  <c r="AC93" i="23"/>
  <c r="AC132" i="23"/>
  <c r="AC117" i="23"/>
  <c r="AC28" i="23"/>
  <c r="AC104" i="23"/>
  <c r="AC38" i="23"/>
  <c r="AC47" i="23"/>
  <c r="AC110" i="23"/>
  <c r="AC196" i="23"/>
  <c r="AC51" i="23"/>
  <c r="K191" i="23"/>
  <c r="G180" i="23"/>
  <c r="G16" i="23" s="1"/>
  <c r="I181" i="23"/>
  <c r="H181" i="23"/>
  <c r="I168" i="23"/>
  <c r="H168" i="23"/>
  <c r="AF191" i="23"/>
  <c r="AJ84" i="23"/>
  <c r="AC182" i="23"/>
  <c r="AC76" i="23"/>
  <c r="Z37" i="23"/>
  <c r="M59" i="23"/>
  <c r="O60" i="23"/>
  <c r="N60" i="23"/>
  <c r="V154" i="23"/>
  <c r="V15" i="23" s="1"/>
  <c r="D180" i="23"/>
  <c r="D16" i="23" s="1"/>
  <c r="D154" i="23"/>
  <c r="D15" i="23" s="1"/>
  <c r="G59" i="23"/>
  <c r="G74" i="23"/>
  <c r="P73" i="23"/>
  <c r="G35" i="23"/>
  <c r="G5" i="23" s="1"/>
  <c r="G67" i="23"/>
  <c r="AK83" i="23"/>
  <c r="AJ83" i="23" s="1"/>
  <c r="AL107" i="23" l="1"/>
  <c r="AK3" i="23"/>
  <c r="V11" i="23"/>
  <c r="V10" i="23"/>
  <c r="P11" i="23"/>
  <c r="P10" i="23"/>
  <c r="Y11" i="23"/>
  <c r="Y10" i="23"/>
  <c r="S11" i="23"/>
  <c r="S10" i="23"/>
  <c r="AB11" i="23"/>
  <c r="AB10" i="23"/>
  <c r="AK5" i="23"/>
  <c r="I154" i="23"/>
  <c r="J15" i="23"/>
  <c r="G11" i="23"/>
  <c r="G10" i="23"/>
  <c r="AE9" i="23"/>
  <c r="AE4" i="23"/>
  <c r="S73" i="23"/>
  <c r="S16" i="23"/>
  <c r="M11" i="23"/>
  <c r="M10" i="23"/>
  <c r="AE11" i="23"/>
  <c r="AE10" i="23"/>
  <c r="J11" i="23"/>
  <c r="J10" i="23"/>
  <c r="AH11" i="23"/>
  <c r="AH10" i="23"/>
  <c r="AL146" i="23"/>
  <c r="Y73" i="23"/>
  <c r="AL190" i="23"/>
  <c r="AH73" i="23"/>
  <c r="AI73" i="23" s="1"/>
  <c r="P21" i="23"/>
  <c r="M21" i="23"/>
  <c r="J21" i="23"/>
  <c r="S21" i="23"/>
  <c r="V73" i="23"/>
  <c r="W73" i="23" s="1"/>
  <c r="AL36" i="23"/>
  <c r="AM61" i="23"/>
  <c r="AB21" i="23"/>
  <c r="Y21" i="23"/>
  <c r="AL61" i="23"/>
  <c r="AL31" i="23"/>
  <c r="AL42" i="23"/>
  <c r="AM27" i="23"/>
  <c r="AL84" i="23"/>
  <c r="AJ22" i="23"/>
  <c r="AM22" i="23" s="1"/>
  <c r="AM3" i="23" s="1"/>
  <c r="AL155" i="23"/>
  <c r="AL191" i="23"/>
  <c r="AM138" i="23"/>
  <c r="J73" i="23"/>
  <c r="AL195" i="23"/>
  <c r="AL169" i="23"/>
  <c r="AL182" i="23"/>
  <c r="M73" i="23"/>
  <c r="O73" i="23" s="1"/>
  <c r="AM62" i="23"/>
  <c r="AM153" i="23"/>
  <c r="AM150" i="23"/>
  <c r="AM143" i="23"/>
  <c r="AM173" i="23"/>
  <c r="D73" i="23"/>
  <c r="E73" i="23" s="1"/>
  <c r="AM31" i="23"/>
  <c r="AM161" i="23"/>
  <c r="AM53" i="23"/>
  <c r="AM116" i="23"/>
  <c r="AM140" i="23"/>
  <c r="AM71" i="23"/>
  <c r="AM45" i="23"/>
  <c r="AM134" i="23"/>
  <c r="AM115" i="23"/>
  <c r="AM122" i="23"/>
  <c r="AM26" i="23"/>
  <c r="AK154" i="23"/>
  <c r="AM76" i="23"/>
  <c r="AL76" i="23"/>
  <c r="AJ155" i="23"/>
  <c r="AM155" i="23" s="1"/>
  <c r="AM190" i="23"/>
  <c r="AM17" i="23" s="1"/>
  <c r="AM36" i="23"/>
  <c r="AM148" i="23"/>
  <c r="AL75" i="23"/>
  <c r="AL54" i="23"/>
  <c r="AM182" i="23"/>
  <c r="AM156" i="23"/>
  <c r="AL50" i="23"/>
  <c r="AM137" i="23"/>
  <c r="AM57" i="23"/>
  <c r="AM44" i="23"/>
  <c r="AM92" i="23"/>
  <c r="AM171" i="23"/>
  <c r="AM195" i="23"/>
  <c r="AM23" i="23"/>
  <c r="AM60" i="23"/>
  <c r="AM84" i="23"/>
  <c r="AL156" i="23"/>
  <c r="AM46" i="23"/>
  <c r="AL23" i="23"/>
  <c r="AL67" i="23"/>
  <c r="AL46" i="23"/>
  <c r="AM164" i="23"/>
  <c r="AM50" i="23"/>
  <c r="AM191" i="23"/>
  <c r="AM169" i="23"/>
  <c r="AM54" i="23"/>
  <c r="AM68" i="23"/>
  <c r="AM75" i="23"/>
  <c r="AL27" i="23"/>
  <c r="K73" i="23"/>
  <c r="Q21" i="23"/>
  <c r="AM83" i="23"/>
  <c r="AM111" i="23"/>
  <c r="AG154" i="23"/>
  <c r="AF154" i="23"/>
  <c r="AJ35" i="23"/>
  <c r="AI35" i="23"/>
  <c r="AM123" i="23"/>
  <c r="AM147" i="23"/>
  <c r="AM85" i="23"/>
  <c r="AM33" i="23"/>
  <c r="AM56" i="23"/>
  <c r="AM184" i="23"/>
  <c r="AM144" i="23"/>
  <c r="AM129" i="23"/>
  <c r="AM103" i="23"/>
  <c r="AM127" i="23"/>
  <c r="AM176" i="23"/>
  <c r="AM189" i="23"/>
  <c r="AM97" i="23"/>
  <c r="AM126" i="23"/>
  <c r="AM187" i="23"/>
  <c r="AM91" i="23"/>
  <c r="AM114" i="23"/>
  <c r="AD59" i="23"/>
  <c r="AC59" i="23"/>
  <c r="AB58" i="23"/>
  <c r="AG59" i="23"/>
  <c r="AF59" i="23"/>
  <c r="AE58" i="23"/>
  <c r="AM69" i="23"/>
  <c r="AJ67" i="23"/>
  <c r="AI67" i="23"/>
  <c r="AD154" i="23"/>
  <c r="AA74" i="23"/>
  <c r="Z74" i="23"/>
  <c r="AG180" i="23"/>
  <c r="AF180" i="23"/>
  <c r="AF21" i="23"/>
  <c r="AM51" i="23"/>
  <c r="AM81" i="23"/>
  <c r="AM119" i="23"/>
  <c r="AM151" i="23"/>
  <c r="AM118" i="23"/>
  <c r="AD35" i="23"/>
  <c r="AC35" i="23"/>
  <c r="R67" i="23"/>
  <c r="Q67" i="23"/>
  <c r="AH21" i="23"/>
  <c r="X67" i="23"/>
  <c r="W67" i="23"/>
  <c r="AM37" i="23"/>
  <c r="O21" i="23"/>
  <c r="AA67" i="23"/>
  <c r="Z67" i="23"/>
  <c r="U154" i="23"/>
  <c r="T154" i="23"/>
  <c r="AD180" i="23"/>
  <c r="AC180" i="23"/>
  <c r="I35" i="23"/>
  <c r="H35" i="23"/>
  <c r="AM104" i="23"/>
  <c r="AM172" i="23"/>
  <c r="AM89" i="23"/>
  <c r="AM72" i="23"/>
  <c r="AM194" i="23"/>
  <c r="AG74" i="23"/>
  <c r="AF74" i="23"/>
  <c r="R73" i="23"/>
  <c r="Q73" i="23"/>
  <c r="AB73" i="23"/>
  <c r="AA73" i="23" s="1"/>
  <c r="AM28" i="23"/>
  <c r="AM196" i="23"/>
  <c r="AM32" i="23"/>
  <c r="AM108" i="23"/>
  <c r="AM12" i="23" s="1"/>
  <c r="AM193" i="23"/>
  <c r="AM159" i="23"/>
  <c r="AM105" i="23"/>
  <c r="AM65" i="23"/>
  <c r="AM64" i="23"/>
  <c r="AM101" i="23"/>
  <c r="AM125" i="23"/>
  <c r="AM188" i="23"/>
  <c r="AM198" i="23"/>
  <c r="AM102" i="23"/>
  <c r="AM139" i="23"/>
  <c r="AM186" i="23"/>
  <c r="AM98" i="23"/>
  <c r="L35" i="23"/>
  <c r="K35" i="23"/>
  <c r="AK180" i="23"/>
  <c r="AL181" i="23"/>
  <c r="AL194" i="23"/>
  <c r="AL175" i="23"/>
  <c r="AL167" i="23"/>
  <c r="AL159" i="23"/>
  <c r="AL151" i="23"/>
  <c r="AL143" i="23"/>
  <c r="AL135" i="23"/>
  <c r="AL127" i="23"/>
  <c r="AL119" i="23"/>
  <c r="AL111" i="23"/>
  <c r="AL103" i="23"/>
  <c r="AL95" i="23"/>
  <c r="AL189" i="23"/>
  <c r="AL171" i="23"/>
  <c r="AL162" i="23"/>
  <c r="AL153" i="23"/>
  <c r="AL144" i="23"/>
  <c r="AL134" i="23"/>
  <c r="AL125" i="23"/>
  <c r="AL116" i="23"/>
  <c r="AL98" i="23"/>
  <c r="AL89" i="23"/>
  <c r="AL65" i="23"/>
  <c r="AL57" i="23"/>
  <c r="AL49" i="23"/>
  <c r="AL41" i="23"/>
  <c r="AL198" i="23"/>
  <c r="AL188" i="23"/>
  <c r="AL179" i="23"/>
  <c r="AL152" i="23"/>
  <c r="AL142" i="23"/>
  <c r="AL133" i="23"/>
  <c r="AL124" i="23"/>
  <c r="AL115" i="23"/>
  <c r="AL106" i="23"/>
  <c r="AL97" i="23"/>
  <c r="AL88" i="23"/>
  <c r="AL80" i="23"/>
  <c r="AL72" i="23"/>
  <c r="AL64" i="23"/>
  <c r="AL40" i="23"/>
  <c r="AL185" i="23"/>
  <c r="AL176" i="23"/>
  <c r="AL166" i="23"/>
  <c r="AL148" i="23"/>
  <c r="AL139" i="23"/>
  <c r="AL130" i="23"/>
  <c r="AL121" i="23"/>
  <c r="AL112" i="23"/>
  <c r="AL102" i="23"/>
  <c r="AL53" i="23"/>
  <c r="AL45" i="23"/>
  <c r="AL138" i="23"/>
  <c r="AL109" i="23"/>
  <c r="AL94" i="23"/>
  <c r="AL82" i="23"/>
  <c r="AL30" i="23"/>
  <c r="AL165" i="23"/>
  <c r="AL150" i="23"/>
  <c r="AL122" i="23"/>
  <c r="AL92" i="23"/>
  <c r="AL79" i="23"/>
  <c r="AL178" i="23"/>
  <c r="AL149" i="23"/>
  <c r="AL136" i="23"/>
  <c r="AL120" i="23"/>
  <c r="AL105" i="23"/>
  <c r="AL91" i="23"/>
  <c r="AL78" i="23"/>
  <c r="AL66" i="23"/>
  <c r="AL39" i="23"/>
  <c r="AL163" i="23"/>
  <c r="AL118" i="23"/>
  <c r="AL90" i="23"/>
  <c r="AL63" i="23"/>
  <c r="AL26" i="23"/>
  <c r="AL160" i="23"/>
  <c r="AL131" i="23"/>
  <c r="AL101" i="23"/>
  <c r="AL87" i="23"/>
  <c r="AL187" i="23"/>
  <c r="AL173" i="23"/>
  <c r="AL158" i="23"/>
  <c r="AL145" i="23"/>
  <c r="AL129" i="23"/>
  <c r="AL114" i="23"/>
  <c r="AL100" i="23"/>
  <c r="AL86" i="23"/>
  <c r="AL22" i="23"/>
  <c r="AL186" i="23"/>
  <c r="AL172" i="23"/>
  <c r="AL141" i="23"/>
  <c r="AL113" i="23"/>
  <c r="AL99" i="23"/>
  <c r="AL71" i="23"/>
  <c r="AL34" i="23"/>
  <c r="AL126" i="23"/>
  <c r="AL184" i="23"/>
  <c r="AL140" i="23"/>
  <c r="AL38" i="23"/>
  <c r="AL56" i="23"/>
  <c r="AL174" i="23"/>
  <c r="AL81" i="23"/>
  <c r="AL48" i="23"/>
  <c r="AL193" i="23"/>
  <c r="AL197" i="23"/>
  <c r="AL93" i="23"/>
  <c r="AL70" i="23"/>
  <c r="AL177" i="23"/>
  <c r="AL44" i="23"/>
  <c r="AL161" i="23"/>
  <c r="AL33" i="23"/>
  <c r="AL85" i="23"/>
  <c r="AL108" i="23"/>
  <c r="AL52" i="23"/>
  <c r="AL25" i="23"/>
  <c r="AL29" i="23"/>
  <c r="AL37" i="23"/>
  <c r="AL28" i="23"/>
  <c r="AL51" i="23"/>
  <c r="AL104" i="23"/>
  <c r="AL128" i="23"/>
  <c r="AL24" i="23"/>
  <c r="AL43" i="23"/>
  <c r="AL164" i="23"/>
  <c r="AL196" i="23"/>
  <c r="AL123" i="23"/>
  <c r="AL183" i="23"/>
  <c r="AK21" i="23"/>
  <c r="AL62" i="23"/>
  <c r="AL96" i="23"/>
  <c r="AL32" i="23"/>
  <c r="AL147" i="23"/>
  <c r="AL117" i="23"/>
  <c r="AL110" i="23"/>
  <c r="AL170" i="23"/>
  <c r="AL137" i="23"/>
  <c r="AL132" i="23"/>
  <c r="AL77" i="23"/>
  <c r="AL55" i="23"/>
  <c r="AL157" i="23"/>
  <c r="AL69" i="23"/>
  <c r="AL47" i="23"/>
  <c r="AL192" i="23"/>
  <c r="L67" i="23"/>
  <c r="K67" i="23"/>
  <c r="AA35" i="23"/>
  <c r="Z35" i="23"/>
  <c r="D11" i="23"/>
  <c r="F74" i="23"/>
  <c r="E74" i="23"/>
  <c r="AM48" i="23"/>
  <c r="AM117" i="23"/>
  <c r="AM100" i="23"/>
  <c r="AM106" i="23"/>
  <c r="AE73" i="23"/>
  <c r="I180" i="23"/>
  <c r="H180" i="23"/>
  <c r="AM192" i="23"/>
  <c r="AM183" i="23"/>
  <c r="AM174" i="23"/>
  <c r="AM38" i="23"/>
  <c r="AM177" i="23"/>
  <c r="AM29" i="23"/>
  <c r="AM145" i="23"/>
  <c r="AM80" i="23"/>
  <c r="AM40" i="23"/>
  <c r="AM39" i="23"/>
  <c r="AM88" i="23"/>
  <c r="AM112" i="23"/>
  <c r="AM175" i="23"/>
  <c r="AM166" i="23"/>
  <c r="AM94" i="23"/>
  <c r="AM99" i="23"/>
  <c r="AM178" i="23"/>
  <c r="AM90" i="23"/>
  <c r="AK59" i="23"/>
  <c r="AJ59" i="23" s="1"/>
  <c r="AL60" i="23"/>
  <c r="U180" i="23"/>
  <c r="T180" i="23"/>
  <c r="U67" i="23"/>
  <c r="T67" i="23"/>
  <c r="L154" i="23"/>
  <c r="K154" i="23"/>
  <c r="X35" i="23"/>
  <c r="W35" i="23"/>
  <c r="AI74" i="23"/>
  <c r="O35" i="23"/>
  <c r="N35" i="23"/>
  <c r="AM110" i="23"/>
  <c r="U59" i="23"/>
  <c r="T59" i="23"/>
  <c r="S58" i="23"/>
  <c r="R59" i="23"/>
  <c r="Q59" i="23"/>
  <c r="P58" i="23"/>
  <c r="O59" i="23"/>
  <c r="N59" i="23"/>
  <c r="M58" i="23"/>
  <c r="AM113" i="23"/>
  <c r="AD67" i="23"/>
  <c r="AC67" i="23"/>
  <c r="Z73" i="23"/>
  <c r="AK74" i="23"/>
  <c r="AL83" i="23"/>
  <c r="F154" i="23"/>
  <c r="E154" i="23"/>
  <c r="E21" i="23"/>
  <c r="AM24" i="23"/>
  <c r="AM43" i="23"/>
  <c r="AM70" i="23"/>
  <c r="AM25" i="23"/>
  <c r="AM52" i="23"/>
  <c r="AM133" i="23"/>
  <c r="AM41" i="23"/>
  <c r="AM167" i="23"/>
  <c r="AM109" i="23"/>
  <c r="AM63" i="23"/>
  <c r="AM87" i="23"/>
  <c r="AM149" i="23"/>
  <c r="AM158" i="23"/>
  <c r="AM86" i="23"/>
  <c r="AM179" i="23"/>
  <c r="AM162" i="23"/>
  <c r="AM82" i="23"/>
  <c r="X74" i="23"/>
  <c r="W74" i="23"/>
  <c r="F35" i="23"/>
  <c r="E35" i="23"/>
  <c r="D5" i="23"/>
  <c r="F67" i="23"/>
  <c r="E67" i="23"/>
  <c r="AJ181" i="23"/>
  <c r="AM181" i="23" s="1"/>
  <c r="AL68" i="23"/>
  <c r="U74" i="23"/>
  <c r="T74" i="23"/>
  <c r="AG35" i="23"/>
  <c r="AF35" i="23"/>
  <c r="F180" i="23"/>
  <c r="E180" i="23"/>
  <c r="AM132" i="23"/>
  <c r="AM96" i="23"/>
  <c r="AM120" i="23"/>
  <c r="AM163" i="23"/>
  <c r="AM66" i="23"/>
  <c r="K21" i="23"/>
  <c r="R154" i="23"/>
  <c r="L180" i="23"/>
  <c r="K180" i="23"/>
  <c r="X59" i="23"/>
  <c r="W59" i="23"/>
  <c r="V58" i="23"/>
  <c r="AI180" i="23"/>
  <c r="AM42" i="23"/>
  <c r="R35" i="23"/>
  <c r="Q35" i="23"/>
  <c r="O67" i="23"/>
  <c r="N67" i="23"/>
  <c r="AA59" i="23"/>
  <c r="Z59" i="23"/>
  <c r="Y58" i="23"/>
  <c r="R180" i="23"/>
  <c r="Q180" i="23"/>
  <c r="U35" i="23"/>
  <c r="T35" i="23"/>
  <c r="AA180" i="23"/>
  <c r="Z180" i="23"/>
  <c r="U73" i="23"/>
  <c r="T73" i="23"/>
  <c r="AM170" i="23"/>
  <c r="L74" i="23"/>
  <c r="K74" i="23"/>
  <c r="AL35" i="23"/>
  <c r="I74" i="23"/>
  <c r="H74" i="23"/>
  <c r="AM93" i="23"/>
  <c r="AM197" i="23"/>
  <c r="AM185" i="23"/>
  <c r="AM165" i="23"/>
  <c r="AM49" i="23"/>
  <c r="AM136" i="23"/>
  <c r="AM78" i="23"/>
  <c r="I67" i="23"/>
  <c r="H67" i="23"/>
  <c r="I59" i="23"/>
  <c r="H59" i="23"/>
  <c r="X154" i="23"/>
  <c r="W154" i="23"/>
  <c r="AM128" i="23"/>
  <c r="AM55" i="23"/>
  <c r="AM157" i="23"/>
  <c r="AM47" i="23"/>
  <c r="AM77" i="23"/>
  <c r="AM135" i="23"/>
  <c r="AM95" i="23"/>
  <c r="AM79" i="23"/>
  <c r="AM141" i="23"/>
  <c r="AM152" i="23"/>
  <c r="AM160" i="23"/>
  <c r="AM121" i="23"/>
  <c r="AM124" i="23"/>
  <c r="AM142" i="23"/>
  <c r="AM30" i="23"/>
  <c r="AM131" i="23"/>
  <c r="AM130" i="23"/>
  <c r="AM34" i="23"/>
  <c r="AG67" i="23"/>
  <c r="AF67" i="23"/>
  <c r="AI59" i="23"/>
  <c r="AH58" i="23"/>
  <c r="X180" i="23"/>
  <c r="W180" i="23"/>
  <c r="AM107" i="23"/>
  <c r="AL168" i="23"/>
  <c r="AJ168" i="23"/>
  <c r="AM168" i="23" s="1"/>
  <c r="O74" i="23"/>
  <c r="N74" i="23"/>
  <c r="AD74" i="23"/>
  <c r="AC74" i="23"/>
  <c r="AJ154" i="23"/>
  <c r="AI154" i="23"/>
  <c r="AM146" i="23"/>
  <c r="R74" i="23"/>
  <c r="Q74" i="23"/>
  <c r="O180" i="23"/>
  <c r="N180" i="23"/>
  <c r="F59" i="23"/>
  <c r="E59" i="23"/>
  <c r="D58" i="23"/>
  <c r="L59" i="23"/>
  <c r="K59" i="23"/>
  <c r="J58" i="23"/>
  <c r="V21" i="23"/>
  <c r="G73" i="23"/>
  <c r="G58" i="23"/>
  <c r="G21" i="23"/>
  <c r="AP106" i="22"/>
  <c r="AP107" i="22"/>
  <c r="AP108" i="22"/>
  <c r="AP109" i="22"/>
  <c r="AP110" i="22"/>
  <c r="AP111" i="22"/>
  <c r="AP112" i="22"/>
  <c r="AP113" i="22"/>
  <c r="AP114" i="22"/>
  <c r="AP115" i="22"/>
  <c r="AP116" i="22"/>
  <c r="AP117" i="22"/>
  <c r="AP118" i="22"/>
  <c r="AP119" i="22"/>
  <c r="AP120" i="22"/>
  <c r="AP121" i="22"/>
  <c r="AP122" i="22"/>
  <c r="AP123" i="22"/>
  <c r="AP124" i="22"/>
  <c r="AP125" i="22"/>
  <c r="AP126" i="22"/>
  <c r="AP127" i="22"/>
  <c r="AP128" i="22"/>
  <c r="AP129" i="22"/>
  <c r="AP130" i="22"/>
  <c r="AP131" i="22"/>
  <c r="AP132" i="22"/>
  <c r="AP133" i="22"/>
  <c r="AP134" i="22"/>
  <c r="AP135" i="22"/>
  <c r="AP136" i="22"/>
  <c r="AP137" i="22"/>
  <c r="AP138" i="22"/>
  <c r="AP139" i="22"/>
  <c r="AP140" i="22"/>
  <c r="AP141" i="22"/>
  <c r="AP142" i="22"/>
  <c r="AP143" i="22"/>
  <c r="AP144" i="22"/>
  <c r="AP145" i="22"/>
  <c r="AP146" i="22"/>
  <c r="AP147" i="22"/>
  <c r="AP148" i="22"/>
  <c r="AP149" i="22"/>
  <c r="AP150" i="22"/>
  <c r="AP151" i="22"/>
  <c r="AP152" i="22"/>
  <c r="AP153" i="22"/>
  <c r="AP154" i="22"/>
  <c r="AP155" i="22"/>
  <c r="AP156" i="22"/>
  <c r="AP157" i="22"/>
  <c r="AP158" i="22"/>
  <c r="AP159" i="22"/>
  <c r="AP160" i="22"/>
  <c r="AP161" i="22"/>
  <c r="AP162" i="22"/>
  <c r="AP163" i="22"/>
  <c r="AP164" i="22"/>
  <c r="AP165" i="22"/>
  <c r="AP166" i="22"/>
  <c r="AP167" i="22"/>
  <c r="AP168" i="22"/>
  <c r="AP169" i="22"/>
  <c r="AP170" i="22"/>
  <c r="AP171" i="22"/>
  <c r="AP172" i="22"/>
  <c r="AP173" i="22"/>
  <c r="AP174" i="22"/>
  <c r="AP175" i="22"/>
  <c r="AP176" i="22"/>
  <c r="AP177" i="22"/>
  <c r="AP178" i="22"/>
  <c r="AP179" i="22"/>
  <c r="AP180" i="22"/>
  <c r="AP181" i="22"/>
  <c r="AP182" i="22"/>
  <c r="AP183" i="22"/>
  <c r="AP184" i="22"/>
  <c r="AP185" i="22"/>
  <c r="AP186" i="22"/>
  <c r="AP187" i="22"/>
  <c r="AP188" i="22"/>
  <c r="AP189" i="22"/>
  <c r="AP190" i="22"/>
  <c r="AP191" i="22"/>
  <c r="AP192" i="22"/>
  <c r="AP193" i="22"/>
  <c r="AP194" i="22"/>
  <c r="AP195" i="22"/>
  <c r="AP196" i="22"/>
  <c r="AP197" i="22"/>
  <c r="AP198" i="22"/>
  <c r="AP199" i="22"/>
  <c r="AP200" i="22"/>
  <c r="AP201" i="22"/>
  <c r="AP202" i="22"/>
  <c r="AP203" i="22"/>
  <c r="AP204" i="22"/>
  <c r="AP205" i="22"/>
  <c r="AP206" i="22"/>
  <c r="AP105" i="22"/>
  <c r="AP6" i="22"/>
  <c r="AP7" i="22"/>
  <c r="AP8" i="22"/>
  <c r="AP9" i="22"/>
  <c r="AP10" i="22"/>
  <c r="AP11" i="22"/>
  <c r="AP12" i="22"/>
  <c r="AP13" i="22"/>
  <c r="AP14" i="22"/>
  <c r="AP15" i="22"/>
  <c r="AP16" i="22"/>
  <c r="AP17" i="22"/>
  <c r="AP18" i="22"/>
  <c r="AP19" i="22"/>
  <c r="AP20" i="22"/>
  <c r="AP21" i="22"/>
  <c r="AP22" i="22"/>
  <c r="AP23" i="22"/>
  <c r="AP24" i="22"/>
  <c r="AP25" i="22"/>
  <c r="AP26" i="22"/>
  <c r="AP27" i="22"/>
  <c r="AP28" i="22"/>
  <c r="AP29" i="22"/>
  <c r="AP30" i="22"/>
  <c r="AP31" i="22"/>
  <c r="AP32" i="22"/>
  <c r="AP33" i="22"/>
  <c r="AP34" i="22"/>
  <c r="AP35" i="22"/>
  <c r="AP36" i="22"/>
  <c r="AP37" i="22"/>
  <c r="AP38" i="22"/>
  <c r="AP39" i="22"/>
  <c r="AP40" i="22"/>
  <c r="AP41" i="22"/>
  <c r="AP42" i="22"/>
  <c r="AP43" i="22"/>
  <c r="AP44" i="22"/>
  <c r="AP45" i="22"/>
  <c r="AP46" i="22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P60" i="22"/>
  <c r="AP61" i="22"/>
  <c r="AP62" i="22"/>
  <c r="AP63" i="22"/>
  <c r="AP64" i="22"/>
  <c r="AP65" i="22"/>
  <c r="AP66" i="22"/>
  <c r="AP67" i="22"/>
  <c r="AP68" i="22"/>
  <c r="AP69" i="22"/>
  <c r="AP70" i="22"/>
  <c r="AP71" i="22"/>
  <c r="AP72" i="22"/>
  <c r="AP73" i="22"/>
  <c r="AP74" i="22"/>
  <c r="AP75" i="22"/>
  <c r="AP76" i="22"/>
  <c r="AP77" i="22"/>
  <c r="AP78" i="22"/>
  <c r="AP79" i="22"/>
  <c r="AP80" i="22"/>
  <c r="AP81" i="22"/>
  <c r="AP82" i="22"/>
  <c r="AP83" i="22"/>
  <c r="AP84" i="22"/>
  <c r="AP85" i="22"/>
  <c r="AP86" i="22"/>
  <c r="AP87" i="22"/>
  <c r="AP88" i="22"/>
  <c r="AP89" i="22"/>
  <c r="AP90" i="22"/>
  <c r="AP91" i="22"/>
  <c r="AP92" i="22"/>
  <c r="AP93" i="22"/>
  <c r="AP94" i="22"/>
  <c r="AP95" i="22"/>
  <c r="AP96" i="22"/>
  <c r="AP97" i="22"/>
  <c r="AP98" i="22"/>
  <c r="AP99" i="22"/>
  <c r="AP100" i="22"/>
  <c r="AP101" i="22"/>
  <c r="AP5" i="22"/>
  <c r="AO206" i="22"/>
  <c r="AO205" i="22"/>
  <c r="AO204" i="22"/>
  <c r="AO203" i="22"/>
  <c r="AO202" i="22"/>
  <c r="AO201" i="22"/>
  <c r="AO200" i="22"/>
  <c r="AO199" i="22"/>
  <c r="AO198" i="22"/>
  <c r="AO197" i="22"/>
  <c r="AO196" i="22"/>
  <c r="AO195" i="22"/>
  <c r="AO194" i="22"/>
  <c r="AO193" i="22"/>
  <c r="AO192" i="22"/>
  <c r="AO191" i="22"/>
  <c r="AO190" i="22"/>
  <c r="AO189" i="22"/>
  <c r="AO188" i="22"/>
  <c r="AO187" i="22"/>
  <c r="AO186" i="22"/>
  <c r="AO185" i="22"/>
  <c r="AO184" i="22"/>
  <c r="AO183" i="22"/>
  <c r="AO182" i="22"/>
  <c r="AO181" i="22"/>
  <c r="AO180" i="22"/>
  <c r="AO179" i="22"/>
  <c r="AO178" i="22"/>
  <c r="AO177" i="22"/>
  <c r="AO176" i="22"/>
  <c r="AO175" i="22"/>
  <c r="AO174" i="22"/>
  <c r="AO173" i="22"/>
  <c r="AO172" i="22"/>
  <c r="AO171" i="22"/>
  <c r="AO170" i="22"/>
  <c r="AO169" i="22"/>
  <c r="AO168" i="22"/>
  <c r="AO167" i="22"/>
  <c r="AO166" i="22"/>
  <c r="AO165" i="22"/>
  <c r="AO164" i="22"/>
  <c r="AO163" i="22"/>
  <c r="AO162" i="22"/>
  <c r="AO161" i="22"/>
  <c r="AO160" i="22"/>
  <c r="AO159" i="22"/>
  <c r="AO158" i="22"/>
  <c r="AO157" i="22"/>
  <c r="AO156" i="22"/>
  <c r="AO155" i="22"/>
  <c r="AO154" i="22"/>
  <c r="AO153" i="22"/>
  <c r="AO152" i="22"/>
  <c r="AO151" i="22"/>
  <c r="AO150" i="22"/>
  <c r="AO149" i="22"/>
  <c r="AO148" i="22"/>
  <c r="AO147" i="22"/>
  <c r="AO146" i="22"/>
  <c r="AO145" i="22"/>
  <c r="AO144" i="22"/>
  <c r="AO143" i="22"/>
  <c r="AO142" i="22"/>
  <c r="AO141" i="22"/>
  <c r="AO140" i="22"/>
  <c r="AO139" i="22"/>
  <c r="AO138" i="22"/>
  <c r="AO137" i="22"/>
  <c r="AO136" i="22"/>
  <c r="AO135" i="22"/>
  <c r="AO134" i="22"/>
  <c r="AO133" i="22"/>
  <c r="AO132" i="22"/>
  <c r="AO131" i="22"/>
  <c r="AO130" i="22"/>
  <c r="AO129" i="22"/>
  <c r="AO128" i="22"/>
  <c r="AO127" i="22"/>
  <c r="AO126" i="22"/>
  <c r="AO125" i="22"/>
  <c r="AO124" i="22"/>
  <c r="AO123" i="22"/>
  <c r="AO122" i="22"/>
  <c r="AO121" i="22"/>
  <c r="AO120" i="22"/>
  <c r="AO119" i="22"/>
  <c r="AO118" i="22"/>
  <c r="AO117" i="22"/>
  <c r="AO116" i="22"/>
  <c r="AO115" i="22"/>
  <c r="AO114" i="22"/>
  <c r="AO113" i="22"/>
  <c r="AO112" i="22"/>
  <c r="AO111" i="22"/>
  <c r="AO110" i="22"/>
  <c r="AO109" i="22"/>
  <c r="AO108" i="22"/>
  <c r="AO107" i="22"/>
  <c r="AO106" i="22"/>
  <c r="AO105" i="22"/>
  <c r="AO101" i="22"/>
  <c r="AO100" i="22"/>
  <c r="AO99" i="22"/>
  <c r="AO98" i="22"/>
  <c r="AO97" i="22"/>
  <c r="AO96" i="22"/>
  <c r="AO95" i="22"/>
  <c r="AO94" i="22"/>
  <c r="AO93" i="22"/>
  <c r="AO92" i="22"/>
  <c r="AO91" i="22"/>
  <c r="AO90" i="22"/>
  <c r="AO89" i="22"/>
  <c r="AO88" i="22"/>
  <c r="AO87" i="22"/>
  <c r="AO86" i="22"/>
  <c r="AO85" i="22"/>
  <c r="AO84" i="22"/>
  <c r="AO83" i="22"/>
  <c r="AO82" i="22"/>
  <c r="AO81" i="22"/>
  <c r="AO80" i="22"/>
  <c r="AO79" i="22"/>
  <c r="AO78" i="22"/>
  <c r="AO77" i="22"/>
  <c r="AO76" i="22"/>
  <c r="AO75" i="22"/>
  <c r="AO74" i="22"/>
  <c r="AO73" i="22"/>
  <c r="AO72" i="22"/>
  <c r="AO71" i="22"/>
  <c r="AO70" i="22"/>
  <c r="AO69" i="22"/>
  <c r="AO68" i="22"/>
  <c r="AO67" i="22"/>
  <c r="AO66" i="22"/>
  <c r="AO65" i="22"/>
  <c r="AO64" i="22"/>
  <c r="AO63" i="22"/>
  <c r="AO62" i="22"/>
  <c r="AO61" i="22"/>
  <c r="AO60" i="22"/>
  <c r="AO59" i="22"/>
  <c r="AO58" i="22"/>
  <c r="AO57" i="22"/>
  <c r="AO56" i="22"/>
  <c r="AO55" i="22"/>
  <c r="AO54" i="22"/>
  <c r="AO53" i="22"/>
  <c r="AO52" i="22"/>
  <c r="AO51" i="22"/>
  <c r="AO50" i="22"/>
  <c r="AO49" i="22"/>
  <c r="AO48" i="22"/>
  <c r="AO47" i="22"/>
  <c r="AO46" i="22"/>
  <c r="AO45" i="22"/>
  <c r="AO44" i="22"/>
  <c r="AO43" i="22"/>
  <c r="AO42" i="22"/>
  <c r="AO41" i="22"/>
  <c r="AO40" i="22"/>
  <c r="AO39" i="22"/>
  <c r="AO38" i="22"/>
  <c r="AO37" i="22"/>
  <c r="AO36" i="22"/>
  <c r="AO35" i="22"/>
  <c r="AO34" i="22"/>
  <c r="AO33" i="22"/>
  <c r="AO32" i="22"/>
  <c r="AO31" i="22"/>
  <c r="AO30" i="22"/>
  <c r="AO29" i="22"/>
  <c r="AO28" i="22"/>
  <c r="AO27" i="22"/>
  <c r="AO26" i="22"/>
  <c r="AO25" i="22"/>
  <c r="AO24" i="22"/>
  <c r="AO23" i="22"/>
  <c r="AO22" i="22"/>
  <c r="AO21" i="22"/>
  <c r="AO20" i="22"/>
  <c r="AO19" i="22"/>
  <c r="AO18" i="22"/>
  <c r="AO17" i="22"/>
  <c r="AO16" i="22"/>
  <c r="AO15" i="22"/>
  <c r="AO14" i="22"/>
  <c r="AO13" i="22"/>
  <c r="AO12" i="22"/>
  <c r="AO11" i="22"/>
  <c r="AO10" i="22"/>
  <c r="AO9" i="22"/>
  <c r="AO8" i="22"/>
  <c r="AO7" i="22"/>
  <c r="AO6" i="22"/>
  <c r="AO5" i="22"/>
  <c r="AN2" i="22"/>
  <c r="AK2" i="22"/>
  <c r="AH2" i="22"/>
  <c r="AE2" i="22"/>
  <c r="AB2" i="22"/>
  <c r="Y2" i="22"/>
  <c r="V2" i="22"/>
  <c r="S2" i="22"/>
  <c r="P2" i="22"/>
  <c r="M2" i="22"/>
  <c r="J2" i="22"/>
  <c r="G2" i="22"/>
  <c r="D2" i="22"/>
  <c r="AM206" i="22"/>
  <c r="AL206" i="22"/>
  <c r="AM205" i="22"/>
  <c r="AL205" i="22"/>
  <c r="AM204" i="22"/>
  <c r="AL204" i="22"/>
  <c r="AM203" i="22"/>
  <c r="AL203" i="22"/>
  <c r="AM202" i="22"/>
  <c r="AL202" i="22"/>
  <c r="AM201" i="22"/>
  <c r="AL201" i="22"/>
  <c r="AM200" i="22"/>
  <c r="AL200" i="22"/>
  <c r="AM199" i="22"/>
  <c r="AL199" i="22"/>
  <c r="AM198" i="22"/>
  <c r="AL198" i="22"/>
  <c r="AM197" i="22"/>
  <c r="AL197" i="22"/>
  <c r="AM196" i="22"/>
  <c r="AL196" i="22"/>
  <c r="AM195" i="22"/>
  <c r="AL195" i="22"/>
  <c r="AM194" i="22"/>
  <c r="AL194" i="22"/>
  <c r="AM193" i="22"/>
  <c r="AL193" i="22"/>
  <c r="AM192" i="22"/>
  <c r="AL192" i="22"/>
  <c r="AM191" i="22"/>
  <c r="AL191" i="22"/>
  <c r="AM190" i="22"/>
  <c r="AL190" i="22"/>
  <c r="AM189" i="22"/>
  <c r="AL189" i="22"/>
  <c r="AM188" i="22"/>
  <c r="AL188" i="22"/>
  <c r="AM187" i="22"/>
  <c r="AL187" i="22"/>
  <c r="AM186" i="22"/>
  <c r="AL186" i="22"/>
  <c r="AM185" i="22"/>
  <c r="AL185" i="22"/>
  <c r="AM184" i="22"/>
  <c r="AL184" i="22"/>
  <c r="AM183" i="22"/>
  <c r="AL183" i="22"/>
  <c r="AM182" i="22"/>
  <c r="AL182" i="22"/>
  <c r="AM181" i="22"/>
  <c r="AL181" i="22"/>
  <c r="AM180" i="22"/>
  <c r="AL180" i="22"/>
  <c r="AM179" i="22"/>
  <c r="AL179" i="22"/>
  <c r="AM178" i="22"/>
  <c r="AL178" i="22"/>
  <c r="AM177" i="22"/>
  <c r="AL177" i="22"/>
  <c r="AM176" i="22"/>
  <c r="AL176" i="22"/>
  <c r="AM175" i="22"/>
  <c r="AL175" i="22"/>
  <c r="AM174" i="22"/>
  <c r="AL174" i="22"/>
  <c r="AM173" i="22"/>
  <c r="AL173" i="22"/>
  <c r="AM172" i="22"/>
  <c r="AL172" i="22"/>
  <c r="AM171" i="22"/>
  <c r="AL171" i="22"/>
  <c r="AM170" i="22"/>
  <c r="AL170" i="22"/>
  <c r="AM169" i="22"/>
  <c r="AL169" i="22"/>
  <c r="AM168" i="22"/>
  <c r="AL168" i="22"/>
  <c r="AM167" i="22"/>
  <c r="AL167" i="22"/>
  <c r="AM166" i="22"/>
  <c r="AL166" i="22"/>
  <c r="AM165" i="22"/>
  <c r="AL165" i="22"/>
  <c r="AM164" i="22"/>
  <c r="AL164" i="22"/>
  <c r="AM163" i="22"/>
  <c r="AL163" i="22"/>
  <c r="AM162" i="22"/>
  <c r="AL162" i="22"/>
  <c r="AM161" i="22"/>
  <c r="AL161" i="22"/>
  <c r="AM160" i="22"/>
  <c r="AL160" i="22"/>
  <c r="AM159" i="22"/>
  <c r="AL159" i="22"/>
  <c r="AM158" i="22"/>
  <c r="AL158" i="22"/>
  <c r="AM157" i="22"/>
  <c r="AL157" i="22"/>
  <c r="AM156" i="22"/>
  <c r="AL156" i="22"/>
  <c r="AM155" i="22"/>
  <c r="AL155" i="22"/>
  <c r="AM154" i="22"/>
  <c r="AL154" i="22"/>
  <c r="AM153" i="22"/>
  <c r="AL153" i="22"/>
  <c r="AM152" i="22"/>
  <c r="AL152" i="22"/>
  <c r="AM151" i="22"/>
  <c r="AL151" i="22"/>
  <c r="AM150" i="22"/>
  <c r="AL150" i="22"/>
  <c r="AM149" i="22"/>
  <c r="AL149" i="22"/>
  <c r="AM148" i="22"/>
  <c r="AL148" i="22"/>
  <c r="AM147" i="22"/>
  <c r="AL147" i="22"/>
  <c r="AM146" i="22"/>
  <c r="AL146" i="22"/>
  <c r="AM145" i="22"/>
  <c r="AL145" i="22"/>
  <c r="AM144" i="22"/>
  <c r="AL144" i="22"/>
  <c r="AM143" i="22"/>
  <c r="AL143" i="22"/>
  <c r="AM142" i="22"/>
  <c r="AL142" i="22"/>
  <c r="AM141" i="22"/>
  <c r="AL141" i="22"/>
  <c r="AM140" i="22"/>
  <c r="AL140" i="22"/>
  <c r="AM139" i="22"/>
  <c r="AL139" i="22"/>
  <c r="AM138" i="22"/>
  <c r="AL138" i="22"/>
  <c r="AM137" i="22"/>
  <c r="AL137" i="22"/>
  <c r="AM136" i="22"/>
  <c r="AL136" i="22"/>
  <c r="AM135" i="22"/>
  <c r="AL135" i="22"/>
  <c r="AM134" i="22"/>
  <c r="AL134" i="22"/>
  <c r="AM133" i="22"/>
  <c r="AL133" i="22"/>
  <c r="AM132" i="22"/>
  <c r="AL132" i="22"/>
  <c r="AM131" i="22"/>
  <c r="AL131" i="22"/>
  <c r="AM130" i="22"/>
  <c r="AL130" i="22"/>
  <c r="AM129" i="22"/>
  <c r="AL129" i="22"/>
  <c r="AM128" i="22"/>
  <c r="AL128" i="22"/>
  <c r="AM127" i="22"/>
  <c r="AL127" i="22"/>
  <c r="AM126" i="22"/>
  <c r="AL126" i="22"/>
  <c r="AM125" i="22"/>
  <c r="AL125" i="22"/>
  <c r="AM124" i="22"/>
  <c r="AL124" i="22"/>
  <c r="AM123" i="22"/>
  <c r="AL123" i="22"/>
  <c r="AM122" i="22"/>
  <c r="AL122" i="22"/>
  <c r="AM121" i="22"/>
  <c r="AL121" i="22"/>
  <c r="AM120" i="22"/>
  <c r="AL120" i="22"/>
  <c r="AM119" i="22"/>
  <c r="AL119" i="22"/>
  <c r="AM118" i="22"/>
  <c r="AL118" i="22"/>
  <c r="AM117" i="22"/>
  <c r="AL117" i="22"/>
  <c r="AM116" i="22"/>
  <c r="AL116" i="22"/>
  <c r="AM115" i="22"/>
  <c r="AL115" i="22"/>
  <c r="AM114" i="22"/>
  <c r="AL114" i="22"/>
  <c r="AM113" i="22"/>
  <c r="AL113" i="22"/>
  <c r="AM112" i="22"/>
  <c r="AL112" i="22"/>
  <c r="AM111" i="22"/>
  <c r="AL111" i="22"/>
  <c r="AM110" i="22"/>
  <c r="AL110" i="22"/>
  <c r="AM109" i="22"/>
  <c r="AL109" i="22"/>
  <c r="AM108" i="22"/>
  <c r="AL108" i="22"/>
  <c r="AM107" i="22"/>
  <c r="AL107" i="22"/>
  <c r="AM106" i="22"/>
  <c r="AL106" i="22"/>
  <c r="AM105" i="22"/>
  <c r="AL105" i="22"/>
  <c r="AM101" i="22"/>
  <c r="AL101" i="22"/>
  <c r="AM100" i="22"/>
  <c r="AL100" i="22"/>
  <c r="AM99" i="22"/>
  <c r="AL99" i="22"/>
  <c r="AM98" i="22"/>
  <c r="AL98" i="22"/>
  <c r="AM97" i="22"/>
  <c r="AL97" i="22"/>
  <c r="AM96" i="22"/>
  <c r="AL96" i="22"/>
  <c r="AM95" i="22"/>
  <c r="AL95" i="22"/>
  <c r="AM94" i="22"/>
  <c r="AL94" i="22"/>
  <c r="AM93" i="22"/>
  <c r="AL93" i="22"/>
  <c r="AM92" i="22"/>
  <c r="AL92" i="22"/>
  <c r="AM91" i="22"/>
  <c r="AL91" i="22"/>
  <c r="AM90" i="22"/>
  <c r="AL90" i="22"/>
  <c r="AM89" i="22"/>
  <c r="AL89" i="22"/>
  <c r="AM88" i="22"/>
  <c r="AL88" i="22"/>
  <c r="AM87" i="22"/>
  <c r="AL87" i="22"/>
  <c r="AM86" i="22"/>
  <c r="AL86" i="22"/>
  <c r="AM85" i="22"/>
  <c r="AL85" i="22"/>
  <c r="AM84" i="22"/>
  <c r="AL84" i="22"/>
  <c r="AM83" i="22"/>
  <c r="AL83" i="22"/>
  <c r="AM82" i="22"/>
  <c r="AL82" i="22"/>
  <c r="AM81" i="22"/>
  <c r="AL81" i="22"/>
  <c r="AM80" i="22"/>
  <c r="AL80" i="22"/>
  <c r="AM79" i="22"/>
  <c r="AL79" i="22"/>
  <c r="AM78" i="22"/>
  <c r="AL78" i="22"/>
  <c r="AM77" i="22"/>
  <c r="AL77" i="22"/>
  <c r="AM76" i="22"/>
  <c r="AL76" i="22"/>
  <c r="AM75" i="22"/>
  <c r="AL75" i="22"/>
  <c r="AM74" i="22"/>
  <c r="AL74" i="22"/>
  <c r="AM73" i="22"/>
  <c r="AL73" i="22"/>
  <c r="AM72" i="22"/>
  <c r="AL72" i="22"/>
  <c r="AM71" i="22"/>
  <c r="AL71" i="22"/>
  <c r="AM70" i="22"/>
  <c r="AL70" i="22"/>
  <c r="AM69" i="22"/>
  <c r="AL69" i="22"/>
  <c r="AM68" i="22"/>
  <c r="AL68" i="22"/>
  <c r="AM67" i="22"/>
  <c r="AL67" i="22"/>
  <c r="AM66" i="22"/>
  <c r="AL66" i="22"/>
  <c r="AM65" i="22"/>
  <c r="AL65" i="22"/>
  <c r="AM64" i="22"/>
  <c r="AL64" i="22"/>
  <c r="AM63" i="22"/>
  <c r="AL63" i="22"/>
  <c r="AM62" i="22"/>
  <c r="AL62" i="22"/>
  <c r="AM61" i="22"/>
  <c r="AL61" i="22"/>
  <c r="AM60" i="22"/>
  <c r="AL60" i="22"/>
  <c r="AM59" i="22"/>
  <c r="AL59" i="22"/>
  <c r="AM58" i="22"/>
  <c r="AL58" i="22"/>
  <c r="AM57" i="22"/>
  <c r="AL57" i="22"/>
  <c r="AM56" i="22"/>
  <c r="AL56" i="22"/>
  <c r="AM55" i="22"/>
  <c r="AL55" i="22"/>
  <c r="AM54" i="22"/>
  <c r="AL54" i="22"/>
  <c r="AM53" i="22"/>
  <c r="AL53" i="22"/>
  <c r="AM52" i="22"/>
  <c r="AL52" i="22"/>
  <c r="AM51" i="22"/>
  <c r="AL51" i="22"/>
  <c r="AM50" i="22"/>
  <c r="AL50" i="22"/>
  <c r="AM49" i="22"/>
  <c r="AL49" i="22"/>
  <c r="AM48" i="22"/>
  <c r="AL48" i="22"/>
  <c r="AM47" i="22"/>
  <c r="AL47" i="22"/>
  <c r="AM46" i="22"/>
  <c r="AL46" i="22"/>
  <c r="AM45" i="22"/>
  <c r="AL45" i="22"/>
  <c r="AM44" i="22"/>
  <c r="AL44" i="22"/>
  <c r="AM43" i="22"/>
  <c r="AL43" i="22"/>
  <c r="AM42" i="22"/>
  <c r="AL42" i="22"/>
  <c r="AM41" i="22"/>
  <c r="AL41" i="22"/>
  <c r="AM40" i="22"/>
  <c r="AL40" i="22"/>
  <c r="AM39" i="22"/>
  <c r="AL39" i="22"/>
  <c r="AM38" i="22"/>
  <c r="AL38" i="22"/>
  <c r="AM37" i="22"/>
  <c r="AL37" i="22"/>
  <c r="AM36" i="22"/>
  <c r="AL36" i="22"/>
  <c r="AM35" i="22"/>
  <c r="AL35" i="22"/>
  <c r="AM34" i="22"/>
  <c r="AL34" i="22"/>
  <c r="AM33" i="22"/>
  <c r="AL33" i="22"/>
  <c r="AM32" i="22"/>
  <c r="AL32" i="22"/>
  <c r="AM31" i="22"/>
  <c r="AL31" i="22"/>
  <c r="AM30" i="22"/>
  <c r="AL30" i="22"/>
  <c r="AM29" i="22"/>
  <c r="AL29" i="22"/>
  <c r="AM28" i="22"/>
  <c r="AL28" i="22"/>
  <c r="AM27" i="22"/>
  <c r="AL27" i="22"/>
  <c r="AM26" i="22"/>
  <c r="AL26" i="22"/>
  <c r="AM25" i="22"/>
  <c r="AL25" i="22"/>
  <c r="AM24" i="22"/>
  <c r="AL24" i="22"/>
  <c r="AM23" i="22"/>
  <c r="AL23" i="22"/>
  <c r="AM22" i="22"/>
  <c r="AL22" i="22"/>
  <c r="AM21" i="22"/>
  <c r="AL21" i="22"/>
  <c r="AM20" i="22"/>
  <c r="AL20" i="22"/>
  <c r="AM19" i="22"/>
  <c r="AL19" i="22"/>
  <c r="AM18" i="22"/>
  <c r="AL18" i="22"/>
  <c r="AM17" i="22"/>
  <c r="AL17" i="22"/>
  <c r="AM16" i="22"/>
  <c r="AL16" i="22"/>
  <c r="AM15" i="22"/>
  <c r="AL15" i="22"/>
  <c r="AM14" i="22"/>
  <c r="AL14" i="22"/>
  <c r="AM13" i="22"/>
  <c r="AL13" i="22"/>
  <c r="AM12" i="22"/>
  <c r="AL12" i="22"/>
  <c r="AM11" i="22"/>
  <c r="AL11" i="22"/>
  <c r="AM10" i="22"/>
  <c r="AL10" i="22"/>
  <c r="AM9" i="22"/>
  <c r="AL9" i="22"/>
  <c r="AM8" i="22"/>
  <c r="AL8" i="22"/>
  <c r="AM7" i="22"/>
  <c r="AL7" i="22"/>
  <c r="AM6" i="22"/>
  <c r="AL6" i="22"/>
  <c r="AM5" i="22"/>
  <c r="AL5" i="22"/>
  <c r="AJ206" i="22"/>
  <c r="AI206" i="22"/>
  <c r="AJ205" i="22"/>
  <c r="AI205" i="22"/>
  <c r="AJ204" i="22"/>
  <c r="AI204" i="22"/>
  <c r="AJ203" i="22"/>
  <c r="AI203" i="22"/>
  <c r="AJ202" i="22"/>
  <c r="AI202" i="22"/>
  <c r="AJ201" i="22"/>
  <c r="AI201" i="22"/>
  <c r="AJ200" i="22"/>
  <c r="AI200" i="22"/>
  <c r="AJ199" i="22"/>
  <c r="AI199" i="22"/>
  <c r="AJ198" i="22"/>
  <c r="AI198" i="22"/>
  <c r="AJ197" i="22"/>
  <c r="AI197" i="22"/>
  <c r="AJ196" i="22"/>
  <c r="AI196" i="22"/>
  <c r="AJ195" i="22"/>
  <c r="AI195" i="22"/>
  <c r="AJ194" i="22"/>
  <c r="AI194" i="22"/>
  <c r="AJ193" i="22"/>
  <c r="AI193" i="22"/>
  <c r="AJ192" i="22"/>
  <c r="AI192" i="22"/>
  <c r="AJ191" i="22"/>
  <c r="AI191" i="22"/>
  <c r="AJ190" i="22"/>
  <c r="AI190" i="22"/>
  <c r="AJ189" i="22"/>
  <c r="AI189" i="22"/>
  <c r="AJ188" i="22"/>
  <c r="AI188" i="22"/>
  <c r="AJ187" i="22"/>
  <c r="AI187" i="22"/>
  <c r="AJ186" i="22"/>
  <c r="AI186" i="22"/>
  <c r="AJ185" i="22"/>
  <c r="AI185" i="22"/>
  <c r="AJ184" i="22"/>
  <c r="AI184" i="22"/>
  <c r="AJ183" i="22"/>
  <c r="AI183" i="22"/>
  <c r="AJ182" i="22"/>
  <c r="AI182" i="22"/>
  <c r="AJ181" i="22"/>
  <c r="AI181" i="22"/>
  <c r="AJ180" i="22"/>
  <c r="AI180" i="22"/>
  <c r="AJ179" i="22"/>
  <c r="AI179" i="22"/>
  <c r="AJ178" i="22"/>
  <c r="AI178" i="22"/>
  <c r="AJ177" i="22"/>
  <c r="AI177" i="22"/>
  <c r="AJ176" i="22"/>
  <c r="AI176" i="22"/>
  <c r="AJ175" i="22"/>
  <c r="AI175" i="22"/>
  <c r="AJ174" i="22"/>
  <c r="AI174" i="22"/>
  <c r="AJ173" i="22"/>
  <c r="AI173" i="22"/>
  <c r="AJ172" i="22"/>
  <c r="AI172" i="22"/>
  <c r="AJ171" i="22"/>
  <c r="AI171" i="22"/>
  <c r="AJ170" i="22"/>
  <c r="AI170" i="22"/>
  <c r="AJ169" i="22"/>
  <c r="AI169" i="22"/>
  <c r="AJ168" i="22"/>
  <c r="AI168" i="22"/>
  <c r="AJ167" i="22"/>
  <c r="AI167" i="22"/>
  <c r="AJ166" i="22"/>
  <c r="AI166" i="22"/>
  <c r="AJ165" i="22"/>
  <c r="AI165" i="22"/>
  <c r="AJ164" i="22"/>
  <c r="AI164" i="22"/>
  <c r="AJ163" i="22"/>
  <c r="AI163" i="22"/>
  <c r="AJ162" i="22"/>
  <c r="AI162" i="22"/>
  <c r="AJ161" i="22"/>
  <c r="AI161" i="22"/>
  <c r="AJ160" i="22"/>
  <c r="AI160" i="22"/>
  <c r="AJ159" i="22"/>
  <c r="AI159" i="22"/>
  <c r="AJ158" i="22"/>
  <c r="AI158" i="22"/>
  <c r="AJ157" i="22"/>
  <c r="AI157" i="22"/>
  <c r="AJ156" i="22"/>
  <c r="AI156" i="22"/>
  <c r="AJ155" i="22"/>
  <c r="AI155" i="22"/>
  <c r="AJ154" i="22"/>
  <c r="AI154" i="22"/>
  <c r="AJ153" i="22"/>
  <c r="AI153" i="22"/>
  <c r="AJ152" i="22"/>
  <c r="AI152" i="22"/>
  <c r="AJ151" i="22"/>
  <c r="AI151" i="22"/>
  <c r="AJ150" i="22"/>
  <c r="AI150" i="22"/>
  <c r="AJ149" i="22"/>
  <c r="AI149" i="22"/>
  <c r="AJ148" i="22"/>
  <c r="AI148" i="22"/>
  <c r="AJ147" i="22"/>
  <c r="AI147" i="22"/>
  <c r="AJ146" i="22"/>
  <c r="AI146" i="22"/>
  <c r="AJ145" i="22"/>
  <c r="AI145" i="22"/>
  <c r="AJ144" i="22"/>
  <c r="AI144" i="22"/>
  <c r="AJ143" i="22"/>
  <c r="AI143" i="22"/>
  <c r="AJ142" i="22"/>
  <c r="AI142" i="22"/>
  <c r="AJ141" i="22"/>
  <c r="AI141" i="22"/>
  <c r="AJ140" i="22"/>
  <c r="AI140" i="22"/>
  <c r="AJ139" i="22"/>
  <c r="AI139" i="22"/>
  <c r="AJ138" i="22"/>
  <c r="AI138" i="22"/>
  <c r="AJ137" i="22"/>
  <c r="AI137" i="22"/>
  <c r="AJ136" i="22"/>
  <c r="AI136" i="22"/>
  <c r="AJ135" i="22"/>
  <c r="AI135" i="22"/>
  <c r="AJ134" i="22"/>
  <c r="AI134" i="22"/>
  <c r="AJ133" i="22"/>
  <c r="AI133" i="22"/>
  <c r="AJ132" i="22"/>
  <c r="AI132" i="22"/>
  <c r="AJ131" i="22"/>
  <c r="AI131" i="22"/>
  <c r="AJ130" i="22"/>
  <c r="AI130" i="22"/>
  <c r="AJ129" i="22"/>
  <c r="AI129" i="22"/>
  <c r="AJ128" i="22"/>
  <c r="AI128" i="22"/>
  <c r="AJ127" i="22"/>
  <c r="AI127" i="22"/>
  <c r="AJ126" i="22"/>
  <c r="AI126" i="22"/>
  <c r="AJ125" i="22"/>
  <c r="AI125" i="22"/>
  <c r="AJ124" i="22"/>
  <c r="AI124" i="22"/>
  <c r="AJ123" i="22"/>
  <c r="AI123" i="22"/>
  <c r="AJ122" i="22"/>
  <c r="AI122" i="22"/>
  <c r="AJ121" i="22"/>
  <c r="AI121" i="22"/>
  <c r="AJ120" i="22"/>
  <c r="AI120" i="22"/>
  <c r="AJ119" i="22"/>
  <c r="AI119" i="22"/>
  <c r="AJ118" i="22"/>
  <c r="AI118" i="22"/>
  <c r="AJ117" i="22"/>
  <c r="AI117" i="22"/>
  <c r="AJ116" i="22"/>
  <c r="AI116" i="22"/>
  <c r="AJ115" i="22"/>
  <c r="AI115" i="22"/>
  <c r="AJ114" i="22"/>
  <c r="AI114" i="22"/>
  <c r="AJ113" i="22"/>
  <c r="AI113" i="22"/>
  <c r="AJ112" i="22"/>
  <c r="AI112" i="22"/>
  <c r="AJ111" i="22"/>
  <c r="AI111" i="22"/>
  <c r="AJ110" i="22"/>
  <c r="AI110" i="22"/>
  <c r="AJ109" i="22"/>
  <c r="AI109" i="22"/>
  <c r="AJ108" i="22"/>
  <c r="AI108" i="22"/>
  <c r="AJ107" i="22"/>
  <c r="AI107" i="22"/>
  <c r="AJ106" i="22"/>
  <c r="AI106" i="22"/>
  <c r="AJ105" i="22"/>
  <c r="AI105" i="22"/>
  <c r="AJ101" i="22"/>
  <c r="AI101" i="22"/>
  <c r="AJ100" i="22"/>
  <c r="AI100" i="22"/>
  <c r="AJ99" i="22"/>
  <c r="AI99" i="22"/>
  <c r="AJ98" i="22"/>
  <c r="AI98" i="22"/>
  <c r="AJ97" i="22"/>
  <c r="AI97" i="22"/>
  <c r="AJ96" i="22"/>
  <c r="AI96" i="22"/>
  <c r="AJ95" i="22"/>
  <c r="AI95" i="22"/>
  <c r="AJ94" i="22"/>
  <c r="AI94" i="22"/>
  <c r="AJ93" i="22"/>
  <c r="AI93" i="22"/>
  <c r="AJ92" i="22"/>
  <c r="AI92" i="22"/>
  <c r="AJ91" i="22"/>
  <c r="AI91" i="22"/>
  <c r="AJ90" i="22"/>
  <c r="AI90" i="22"/>
  <c r="AJ89" i="22"/>
  <c r="AI89" i="22"/>
  <c r="AJ88" i="22"/>
  <c r="AI88" i="22"/>
  <c r="AJ87" i="22"/>
  <c r="AI87" i="22"/>
  <c r="AJ86" i="22"/>
  <c r="AI86" i="22"/>
  <c r="AJ85" i="22"/>
  <c r="AI85" i="22"/>
  <c r="AJ84" i="22"/>
  <c r="AI84" i="22"/>
  <c r="AJ83" i="22"/>
  <c r="AI83" i="22"/>
  <c r="AJ82" i="22"/>
  <c r="AI82" i="22"/>
  <c r="AJ81" i="22"/>
  <c r="AI81" i="22"/>
  <c r="AJ80" i="22"/>
  <c r="AI80" i="22"/>
  <c r="AJ79" i="22"/>
  <c r="AI79" i="22"/>
  <c r="AJ78" i="22"/>
  <c r="AI78" i="22"/>
  <c r="AJ77" i="22"/>
  <c r="AI77" i="22"/>
  <c r="AJ76" i="22"/>
  <c r="AI76" i="22"/>
  <c r="AJ75" i="22"/>
  <c r="AI75" i="22"/>
  <c r="AJ74" i="22"/>
  <c r="AI74" i="22"/>
  <c r="AJ73" i="22"/>
  <c r="AI73" i="22"/>
  <c r="AJ72" i="22"/>
  <c r="AI72" i="22"/>
  <c r="AJ71" i="22"/>
  <c r="AI71" i="22"/>
  <c r="AJ70" i="22"/>
  <c r="AI70" i="22"/>
  <c r="AJ69" i="22"/>
  <c r="AI69" i="22"/>
  <c r="AJ68" i="22"/>
  <c r="AI68" i="22"/>
  <c r="AJ67" i="22"/>
  <c r="AI67" i="22"/>
  <c r="AJ66" i="22"/>
  <c r="AI66" i="22"/>
  <c r="AJ65" i="22"/>
  <c r="AI65" i="22"/>
  <c r="AJ64" i="22"/>
  <c r="AI64" i="22"/>
  <c r="AJ63" i="22"/>
  <c r="AI63" i="22"/>
  <c r="AJ62" i="22"/>
  <c r="AI62" i="22"/>
  <c r="AJ61" i="22"/>
  <c r="AI61" i="22"/>
  <c r="AJ60" i="22"/>
  <c r="AI60" i="22"/>
  <c r="AJ59" i="22"/>
  <c r="AI59" i="22"/>
  <c r="AJ58" i="22"/>
  <c r="AI58" i="22"/>
  <c r="AJ57" i="22"/>
  <c r="AI57" i="22"/>
  <c r="AJ56" i="22"/>
  <c r="AI56" i="22"/>
  <c r="AJ55" i="22"/>
  <c r="AI55" i="22"/>
  <c r="AJ54" i="22"/>
  <c r="AI54" i="22"/>
  <c r="AJ53" i="22"/>
  <c r="AI53" i="22"/>
  <c r="AJ52" i="22"/>
  <c r="AI52" i="22"/>
  <c r="AJ51" i="22"/>
  <c r="AI51" i="22"/>
  <c r="AJ50" i="22"/>
  <c r="AI50" i="22"/>
  <c r="AJ49" i="22"/>
  <c r="AI49" i="22"/>
  <c r="AJ48" i="22"/>
  <c r="AI48" i="22"/>
  <c r="AJ47" i="22"/>
  <c r="AI47" i="22"/>
  <c r="AJ46" i="22"/>
  <c r="AI46" i="22"/>
  <c r="AJ45" i="22"/>
  <c r="AI45" i="22"/>
  <c r="AJ44" i="22"/>
  <c r="AI44" i="22"/>
  <c r="AJ43" i="22"/>
  <c r="AI43" i="22"/>
  <c r="AJ42" i="22"/>
  <c r="AI42" i="22"/>
  <c r="AJ41" i="22"/>
  <c r="AI41" i="22"/>
  <c r="AJ40" i="22"/>
  <c r="AI40" i="22"/>
  <c r="AJ39" i="22"/>
  <c r="AI39" i="22"/>
  <c r="AJ38" i="22"/>
  <c r="AI38" i="22"/>
  <c r="AJ37" i="22"/>
  <c r="AI37" i="22"/>
  <c r="AJ36" i="22"/>
  <c r="AI36" i="22"/>
  <c r="AJ35" i="22"/>
  <c r="AI35" i="22"/>
  <c r="AJ34" i="22"/>
  <c r="AI34" i="22"/>
  <c r="AJ33" i="22"/>
  <c r="AI33" i="22"/>
  <c r="AJ32" i="22"/>
  <c r="AI32" i="22"/>
  <c r="AJ31" i="22"/>
  <c r="AI31" i="22"/>
  <c r="AJ30" i="22"/>
  <c r="AI30" i="22"/>
  <c r="AJ29" i="22"/>
  <c r="AI29" i="22"/>
  <c r="AJ28" i="22"/>
  <c r="AI28" i="22"/>
  <c r="AJ27" i="22"/>
  <c r="AI27" i="22"/>
  <c r="AJ26" i="22"/>
  <c r="AI26" i="22"/>
  <c r="AJ25" i="22"/>
  <c r="AI25" i="22"/>
  <c r="AJ24" i="22"/>
  <c r="AI24" i="22"/>
  <c r="AJ23" i="22"/>
  <c r="AI23" i="22"/>
  <c r="AJ22" i="22"/>
  <c r="AI22" i="22"/>
  <c r="AJ21" i="22"/>
  <c r="AI21" i="22"/>
  <c r="AJ20" i="22"/>
  <c r="AI20" i="22"/>
  <c r="AJ19" i="22"/>
  <c r="AI19" i="22"/>
  <c r="AJ18" i="22"/>
  <c r="AI18" i="22"/>
  <c r="AJ17" i="22"/>
  <c r="AI17" i="22"/>
  <c r="AJ16" i="22"/>
  <c r="AI16" i="22"/>
  <c r="AJ15" i="22"/>
  <c r="AI15" i="22"/>
  <c r="AJ14" i="22"/>
  <c r="AI14" i="22"/>
  <c r="AJ13" i="22"/>
  <c r="AI13" i="22"/>
  <c r="AJ12" i="22"/>
  <c r="AI12" i="22"/>
  <c r="AJ11" i="22"/>
  <c r="AI11" i="22"/>
  <c r="AJ10" i="22"/>
  <c r="AI10" i="22"/>
  <c r="AJ9" i="22"/>
  <c r="AI9" i="22"/>
  <c r="AJ8" i="22"/>
  <c r="AI8" i="22"/>
  <c r="AJ7" i="22"/>
  <c r="AI7" i="22"/>
  <c r="AJ6" i="22"/>
  <c r="AI6" i="22"/>
  <c r="AJ5" i="22"/>
  <c r="AI5" i="22"/>
  <c r="AG206" i="22"/>
  <c r="AF206" i="22"/>
  <c r="AG205" i="22"/>
  <c r="AF205" i="22"/>
  <c r="AG204" i="22"/>
  <c r="AF204" i="22"/>
  <c r="AG203" i="22"/>
  <c r="AF203" i="22"/>
  <c r="AG202" i="22"/>
  <c r="AF202" i="22"/>
  <c r="AG201" i="22"/>
  <c r="AF201" i="22"/>
  <c r="AG200" i="22"/>
  <c r="AF200" i="22"/>
  <c r="AG199" i="22"/>
  <c r="AF199" i="22"/>
  <c r="AG198" i="22"/>
  <c r="AF198" i="22"/>
  <c r="AG197" i="22"/>
  <c r="AF197" i="22"/>
  <c r="AG196" i="22"/>
  <c r="AF196" i="22"/>
  <c r="AG195" i="22"/>
  <c r="AF195" i="22"/>
  <c r="AG194" i="22"/>
  <c r="AF194" i="22"/>
  <c r="AG193" i="22"/>
  <c r="AF193" i="22"/>
  <c r="AG192" i="22"/>
  <c r="AF192" i="22"/>
  <c r="AG191" i="22"/>
  <c r="AF191" i="22"/>
  <c r="AG190" i="22"/>
  <c r="AF190" i="22"/>
  <c r="AG189" i="22"/>
  <c r="AF189" i="22"/>
  <c r="AG188" i="22"/>
  <c r="AF188" i="22"/>
  <c r="AG187" i="22"/>
  <c r="AF187" i="22"/>
  <c r="AG186" i="22"/>
  <c r="AF186" i="22"/>
  <c r="AG185" i="22"/>
  <c r="AF185" i="22"/>
  <c r="AG184" i="22"/>
  <c r="AF184" i="22"/>
  <c r="AG183" i="22"/>
  <c r="AF183" i="22"/>
  <c r="AG182" i="22"/>
  <c r="AF182" i="22"/>
  <c r="AG181" i="22"/>
  <c r="AF181" i="22"/>
  <c r="AG180" i="22"/>
  <c r="AF180" i="22"/>
  <c r="AG179" i="22"/>
  <c r="AF179" i="22"/>
  <c r="AG178" i="22"/>
  <c r="AF178" i="22"/>
  <c r="AG177" i="22"/>
  <c r="AF177" i="22"/>
  <c r="AG176" i="22"/>
  <c r="AF176" i="22"/>
  <c r="AG175" i="22"/>
  <c r="AF175" i="22"/>
  <c r="AG174" i="22"/>
  <c r="AF174" i="22"/>
  <c r="AG173" i="22"/>
  <c r="AF173" i="22"/>
  <c r="AG172" i="22"/>
  <c r="AF172" i="22"/>
  <c r="AG171" i="22"/>
  <c r="AF171" i="22"/>
  <c r="AG170" i="22"/>
  <c r="AF170" i="22"/>
  <c r="AG169" i="22"/>
  <c r="AF169" i="22"/>
  <c r="AG168" i="22"/>
  <c r="AF168" i="22"/>
  <c r="AG167" i="22"/>
  <c r="AF167" i="22"/>
  <c r="AG166" i="22"/>
  <c r="AF166" i="22"/>
  <c r="AG165" i="22"/>
  <c r="AF165" i="22"/>
  <c r="AG164" i="22"/>
  <c r="AF164" i="22"/>
  <c r="AG163" i="22"/>
  <c r="AF163" i="22"/>
  <c r="AG162" i="22"/>
  <c r="AF162" i="22"/>
  <c r="AG161" i="22"/>
  <c r="AF161" i="22"/>
  <c r="AG160" i="22"/>
  <c r="AF160" i="22"/>
  <c r="AG159" i="22"/>
  <c r="AF159" i="22"/>
  <c r="AG158" i="22"/>
  <c r="AF158" i="22"/>
  <c r="AG157" i="22"/>
  <c r="AF157" i="22"/>
  <c r="AG156" i="22"/>
  <c r="AF156" i="22"/>
  <c r="AG155" i="22"/>
  <c r="AF155" i="22"/>
  <c r="AG154" i="22"/>
  <c r="AF154" i="22"/>
  <c r="AG153" i="22"/>
  <c r="AF153" i="22"/>
  <c r="AG152" i="22"/>
  <c r="AF152" i="22"/>
  <c r="AG151" i="22"/>
  <c r="AF151" i="22"/>
  <c r="AG150" i="22"/>
  <c r="AF150" i="22"/>
  <c r="AG149" i="22"/>
  <c r="AF149" i="22"/>
  <c r="AG148" i="22"/>
  <c r="AF148" i="22"/>
  <c r="AG147" i="22"/>
  <c r="AF147" i="22"/>
  <c r="AG146" i="22"/>
  <c r="AF146" i="22"/>
  <c r="AG145" i="22"/>
  <c r="AF145" i="22"/>
  <c r="AG144" i="22"/>
  <c r="AF144" i="22"/>
  <c r="AG143" i="22"/>
  <c r="AF143" i="22"/>
  <c r="AG142" i="22"/>
  <c r="AF142" i="22"/>
  <c r="AG141" i="22"/>
  <c r="AF141" i="22"/>
  <c r="AG140" i="22"/>
  <c r="AF140" i="22"/>
  <c r="AG139" i="22"/>
  <c r="AF139" i="22"/>
  <c r="AG138" i="22"/>
  <c r="AF138" i="22"/>
  <c r="AG137" i="22"/>
  <c r="AF137" i="22"/>
  <c r="AG136" i="22"/>
  <c r="AF136" i="22"/>
  <c r="AG135" i="22"/>
  <c r="AF135" i="22"/>
  <c r="AG134" i="22"/>
  <c r="AF134" i="22"/>
  <c r="AG133" i="22"/>
  <c r="AF133" i="22"/>
  <c r="AG132" i="22"/>
  <c r="AF132" i="22"/>
  <c r="AG131" i="22"/>
  <c r="AF131" i="22"/>
  <c r="AG130" i="22"/>
  <c r="AF130" i="22"/>
  <c r="AG129" i="22"/>
  <c r="AF129" i="22"/>
  <c r="AG128" i="22"/>
  <c r="AF128" i="22"/>
  <c r="AG127" i="22"/>
  <c r="AF127" i="22"/>
  <c r="AG126" i="22"/>
  <c r="AF126" i="22"/>
  <c r="AG125" i="22"/>
  <c r="AF125" i="22"/>
  <c r="AG124" i="22"/>
  <c r="AF124" i="22"/>
  <c r="AG123" i="22"/>
  <c r="AF123" i="22"/>
  <c r="AG122" i="22"/>
  <c r="AF122" i="22"/>
  <c r="AG121" i="22"/>
  <c r="AF121" i="22"/>
  <c r="AG120" i="22"/>
  <c r="AF120" i="22"/>
  <c r="AG119" i="22"/>
  <c r="AF119" i="22"/>
  <c r="AG118" i="22"/>
  <c r="AF118" i="22"/>
  <c r="AG117" i="22"/>
  <c r="AF117" i="22"/>
  <c r="AG116" i="22"/>
  <c r="AF116" i="22"/>
  <c r="AG115" i="22"/>
  <c r="AF115" i="22"/>
  <c r="AG114" i="22"/>
  <c r="AF114" i="22"/>
  <c r="AG113" i="22"/>
  <c r="AF113" i="22"/>
  <c r="AG112" i="22"/>
  <c r="AF112" i="22"/>
  <c r="AG111" i="22"/>
  <c r="AF111" i="22"/>
  <c r="AG110" i="22"/>
  <c r="AF110" i="22"/>
  <c r="AG109" i="22"/>
  <c r="AF109" i="22"/>
  <c r="AG108" i="22"/>
  <c r="AF108" i="22"/>
  <c r="AG107" i="22"/>
  <c r="AF107" i="22"/>
  <c r="AG106" i="22"/>
  <c r="AF106" i="22"/>
  <c r="AG105" i="22"/>
  <c r="AF105" i="22"/>
  <c r="AG101" i="22"/>
  <c r="AF101" i="22"/>
  <c r="AG100" i="22"/>
  <c r="AF100" i="22"/>
  <c r="AG99" i="22"/>
  <c r="AF99" i="22"/>
  <c r="AG98" i="22"/>
  <c r="AF98" i="22"/>
  <c r="AG97" i="22"/>
  <c r="AF97" i="22"/>
  <c r="AG96" i="22"/>
  <c r="AF96" i="22"/>
  <c r="AG95" i="22"/>
  <c r="AF95" i="22"/>
  <c r="AG94" i="22"/>
  <c r="AF94" i="22"/>
  <c r="AG93" i="22"/>
  <c r="AF93" i="22"/>
  <c r="AG92" i="22"/>
  <c r="AF92" i="22"/>
  <c r="AG91" i="22"/>
  <c r="AF91" i="22"/>
  <c r="AG90" i="22"/>
  <c r="AF90" i="22"/>
  <c r="AG89" i="22"/>
  <c r="AF89" i="22"/>
  <c r="AG88" i="22"/>
  <c r="AF88" i="22"/>
  <c r="AG87" i="22"/>
  <c r="AF87" i="22"/>
  <c r="AG86" i="22"/>
  <c r="AF86" i="22"/>
  <c r="AG85" i="22"/>
  <c r="AF85" i="22"/>
  <c r="AG84" i="22"/>
  <c r="AF84" i="22"/>
  <c r="AG83" i="22"/>
  <c r="AF83" i="22"/>
  <c r="AG82" i="22"/>
  <c r="AF82" i="22"/>
  <c r="AG81" i="22"/>
  <c r="AF81" i="22"/>
  <c r="AG80" i="22"/>
  <c r="AF80" i="22"/>
  <c r="AG79" i="22"/>
  <c r="AF79" i="22"/>
  <c r="AG78" i="22"/>
  <c r="AF78" i="22"/>
  <c r="AG77" i="22"/>
  <c r="AF77" i="22"/>
  <c r="AG76" i="22"/>
  <c r="AF76" i="22"/>
  <c r="AG75" i="22"/>
  <c r="AF75" i="22"/>
  <c r="AG74" i="22"/>
  <c r="AF74" i="22"/>
  <c r="AG73" i="22"/>
  <c r="AF73" i="22"/>
  <c r="AG72" i="22"/>
  <c r="AF72" i="22"/>
  <c r="AG71" i="22"/>
  <c r="AF71" i="22"/>
  <c r="AG70" i="22"/>
  <c r="AF70" i="22"/>
  <c r="AG69" i="22"/>
  <c r="AF69" i="22"/>
  <c r="AG68" i="22"/>
  <c r="AF68" i="22"/>
  <c r="AG67" i="22"/>
  <c r="AF67" i="22"/>
  <c r="AG66" i="22"/>
  <c r="AF66" i="22"/>
  <c r="AG65" i="22"/>
  <c r="AF65" i="22"/>
  <c r="AG64" i="22"/>
  <c r="AF64" i="22"/>
  <c r="AG63" i="22"/>
  <c r="AF63" i="22"/>
  <c r="AG62" i="22"/>
  <c r="AF62" i="22"/>
  <c r="AG61" i="22"/>
  <c r="AF61" i="22"/>
  <c r="AG60" i="22"/>
  <c r="AF60" i="22"/>
  <c r="AG59" i="22"/>
  <c r="AF59" i="22"/>
  <c r="AG58" i="22"/>
  <c r="AF58" i="22"/>
  <c r="AG57" i="22"/>
  <c r="AF57" i="22"/>
  <c r="AG56" i="22"/>
  <c r="AF56" i="22"/>
  <c r="AG55" i="22"/>
  <c r="AF55" i="22"/>
  <c r="AG54" i="22"/>
  <c r="AF54" i="22"/>
  <c r="AG53" i="22"/>
  <c r="AF53" i="22"/>
  <c r="AG52" i="22"/>
  <c r="AF52" i="22"/>
  <c r="AG51" i="22"/>
  <c r="AF51" i="22"/>
  <c r="AG50" i="22"/>
  <c r="AF50" i="22"/>
  <c r="AG49" i="22"/>
  <c r="AF49" i="22"/>
  <c r="AG48" i="22"/>
  <c r="AF48" i="22"/>
  <c r="AG47" i="22"/>
  <c r="AF47" i="22"/>
  <c r="AG46" i="22"/>
  <c r="AF46" i="22"/>
  <c r="AG45" i="22"/>
  <c r="AF45" i="22"/>
  <c r="AG44" i="22"/>
  <c r="AF44" i="22"/>
  <c r="AG43" i="22"/>
  <c r="AF43" i="22"/>
  <c r="AG42" i="22"/>
  <c r="AF42" i="22"/>
  <c r="AG41" i="22"/>
  <c r="AF41" i="22"/>
  <c r="AG40" i="22"/>
  <c r="AF40" i="22"/>
  <c r="AG39" i="22"/>
  <c r="AF39" i="22"/>
  <c r="AG38" i="22"/>
  <c r="AF38" i="22"/>
  <c r="AG37" i="22"/>
  <c r="AF37" i="22"/>
  <c r="AG36" i="22"/>
  <c r="AF36" i="22"/>
  <c r="AG35" i="22"/>
  <c r="AF35" i="22"/>
  <c r="AG34" i="22"/>
  <c r="AF34" i="22"/>
  <c r="AG33" i="22"/>
  <c r="AF33" i="22"/>
  <c r="AG32" i="22"/>
  <c r="AF32" i="22"/>
  <c r="AG31" i="22"/>
  <c r="AF31" i="22"/>
  <c r="AG30" i="22"/>
  <c r="AF30" i="22"/>
  <c r="AG29" i="22"/>
  <c r="AF29" i="22"/>
  <c r="AG28" i="22"/>
  <c r="AF28" i="22"/>
  <c r="AG27" i="22"/>
  <c r="AF27" i="22"/>
  <c r="AG26" i="22"/>
  <c r="AF26" i="22"/>
  <c r="AG25" i="22"/>
  <c r="AF25" i="22"/>
  <c r="AG24" i="22"/>
  <c r="AF24" i="22"/>
  <c r="AG23" i="22"/>
  <c r="AF23" i="22"/>
  <c r="AG22" i="22"/>
  <c r="AF22" i="22"/>
  <c r="AG21" i="22"/>
  <c r="AF21" i="22"/>
  <c r="AG20" i="22"/>
  <c r="AF20" i="22"/>
  <c r="AG19" i="22"/>
  <c r="AF19" i="22"/>
  <c r="AG18" i="22"/>
  <c r="AF18" i="22"/>
  <c r="AG17" i="22"/>
  <c r="AF17" i="22"/>
  <c r="AG16" i="22"/>
  <c r="AF16" i="22"/>
  <c r="AG15" i="22"/>
  <c r="AF15" i="22"/>
  <c r="AG14" i="22"/>
  <c r="AF14" i="22"/>
  <c r="AG13" i="22"/>
  <c r="AF13" i="22"/>
  <c r="AG12" i="22"/>
  <c r="AF12" i="22"/>
  <c r="AG11" i="22"/>
  <c r="AF11" i="22"/>
  <c r="AG10" i="22"/>
  <c r="AF10" i="22"/>
  <c r="AG9" i="22"/>
  <c r="AF9" i="22"/>
  <c r="AG8" i="22"/>
  <c r="AF8" i="22"/>
  <c r="AG7" i="22"/>
  <c r="AF7" i="22"/>
  <c r="AG6" i="22"/>
  <c r="AF6" i="22"/>
  <c r="AG5" i="22"/>
  <c r="AF5" i="22"/>
  <c r="AD206" i="22"/>
  <c r="AC206" i="22"/>
  <c r="AD205" i="22"/>
  <c r="AC205" i="22"/>
  <c r="AD204" i="22"/>
  <c r="AC204" i="22"/>
  <c r="AD203" i="22"/>
  <c r="AC203" i="22"/>
  <c r="AD202" i="22"/>
  <c r="AC202" i="22"/>
  <c r="AD201" i="22"/>
  <c r="AC201" i="22"/>
  <c r="AD200" i="22"/>
  <c r="AC200" i="22"/>
  <c r="AD199" i="22"/>
  <c r="AC199" i="22"/>
  <c r="AD198" i="22"/>
  <c r="AC198" i="22"/>
  <c r="AD197" i="22"/>
  <c r="AC197" i="22"/>
  <c r="AD196" i="22"/>
  <c r="AC196" i="22"/>
  <c r="AD195" i="22"/>
  <c r="AC195" i="22"/>
  <c r="AD194" i="22"/>
  <c r="AC194" i="22"/>
  <c r="AD193" i="22"/>
  <c r="AC193" i="22"/>
  <c r="AD192" i="22"/>
  <c r="AC192" i="22"/>
  <c r="AD191" i="22"/>
  <c r="AC191" i="22"/>
  <c r="AD190" i="22"/>
  <c r="AC190" i="22"/>
  <c r="AD189" i="22"/>
  <c r="AC189" i="22"/>
  <c r="AD188" i="22"/>
  <c r="AC188" i="22"/>
  <c r="AD187" i="22"/>
  <c r="AC187" i="22"/>
  <c r="AD186" i="22"/>
  <c r="AC186" i="22"/>
  <c r="AD185" i="22"/>
  <c r="AC185" i="22"/>
  <c r="AD184" i="22"/>
  <c r="AC184" i="22"/>
  <c r="AD183" i="22"/>
  <c r="AC183" i="22"/>
  <c r="AD182" i="22"/>
  <c r="AC182" i="22"/>
  <c r="AD181" i="22"/>
  <c r="AC181" i="22"/>
  <c r="AD180" i="22"/>
  <c r="AC180" i="22"/>
  <c r="AD179" i="22"/>
  <c r="AC179" i="22"/>
  <c r="AD178" i="22"/>
  <c r="AC178" i="22"/>
  <c r="AD177" i="22"/>
  <c r="AC177" i="22"/>
  <c r="AD176" i="22"/>
  <c r="AC176" i="22"/>
  <c r="AD175" i="22"/>
  <c r="AC175" i="22"/>
  <c r="AD174" i="22"/>
  <c r="AC174" i="22"/>
  <c r="AD173" i="22"/>
  <c r="AC173" i="22"/>
  <c r="AD172" i="22"/>
  <c r="AC172" i="22"/>
  <c r="AD171" i="22"/>
  <c r="AC171" i="22"/>
  <c r="AD170" i="22"/>
  <c r="AC170" i="22"/>
  <c r="AD169" i="22"/>
  <c r="AC169" i="22"/>
  <c r="AD168" i="22"/>
  <c r="AC168" i="22"/>
  <c r="AD167" i="22"/>
  <c r="AC167" i="22"/>
  <c r="AD166" i="22"/>
  <c r="AC166" i="22"/>
  <c r="AD165" i="22"/>
  <c r="AC165" i="22"/>
  <c r="AD164" i="22"/>
  <c r="AC164" i="22"/>
  <c r="AD163" i="22"/>
  <c r="AC163" i="22"/>
  <c r="AD162" i="22"/>
  <c r="AC162" i="22"/>
  <c r="AD161" i="22"/>
  <c r="AC161" i="22"/>
  <c r="AD160" i="22"/>
  <c r="AC160" i="22"/>
  <c r="AD159" i="22"/>
  <c r="AC159" i="22"/>
  <c r="AD158" i="22"/>
  <c r="AC158" i="22"/>
  <c r="AD157" i="22"/>
  <c r="AC157" i="22"/>
  <c r="AD156" i="22"/>
  <c r="AC156" i="22"/>
  <c r="AD155" i="22"/>
  <c r="AC155" i="22"/>
  <c r="AD154" i="22"/>
  <c r="AC154" i="22"/>
  <c r="AD153" i="22"/>
  <c r="AC153" i="22"/>
  <c r="AD152" i="22"/>
  <c r="AC152" i="22"/>
  <c r="AD151" i="22"/>
  <c r="AC151" i="22"/>
  <c r="AD150" i="22"/>
  <c r="AC150" i="22"/>
  <c r="AD149" i="22"/>
  <c r="AC149" i="22"/>
  <c r="AD148" i="22"/>
  <c r="AC148" i="22"/>
  <c r="AD147" i="22"/>
  <c r="AC147" i="22"/>
  <c r="AD146" i="22"/>
  <c r="AC146" i="22"/>
  <c r="AD145" i="22"/>
  <c r="AC145" i="22"/>
  <c r="AD144" i="22"/>
  <c r="AC144" i="22"/>
  <c r="AD143" i="22"/>
  <c r="AC143" i="22"/>
  <c r="AD142" i="22"/>
  <c r="AC142" i="22"/>
  <c r="AD141" i="22"/>
  <c r="AC141" i="22"/>
  <c r="AD140" i="22"/>
  <c r="AC140" i="22"/>
  <c r="AD139" i="22"/>
  <c r="AC139" i="22"/>
  <c r="AD138" i="22"/>
  <c r="AC138" i="22"/>
  <c r="AD137" i="22"/>
  <c r="AC137" i="22"/>
  <c r="AD136" i="22"/>
  <c r="AC136" i="22"/>
  <c r="AD135" i="22"/>
  <c r="AC135" i="22"/>
  <c r="AD134" i="22"/>
  <c r="AC134" i="22"/>
  <c r="AD133" i="22"/>
  <c r="AC133" i="22"/>
  <c r="AD132" i="22"/>
  <c r="AC132" i="22"/>
  <c r="AD131" i="22"/>
  <c r="AC131" i="22"/>
  <c r="AD130" i="22"/>
  <c r="AC130" i="22"/>
  <c r="AD129" i="22"/>
  <c r="AC129" i="22"/>
  <c r="AD128" i="22"/>
  <c r="AC128" i="22"/>
  <c r="AD127" i="22"/>
  <c r="AC127" i="22"/>
  <c r="AD126" i="22"/>
  <c r="AC126" i="22"/>
  <c r="AD125" i="22"/>
  <c r="AC125" i="22"/>
  <c r="AD124" i="22"/>
  <c r="AC124" i="22"/>
  <c r="AD123" i="22"/>
  <c r="AC123" i="22"/>
  <c r="AD122" i="22"/>
  <c r="AC122" i="22"/>
  <c r="AD121" i="22"/>
  <c r="AC121" i="22"/>
  <c r="AD120" i="22"/>
  <c r="AC120" i="22"/>
  <c r="AD119" i="22"/>
  <c r="AC119" i="22"/>
  <c r="AD118" i="22"/>
  <c r="AC118" i="22"/>
  <c r="AD117" i="22"/>
  <c r="AC117" i="22"/>
  <c r="AD116" i="22"/>
  <c r="AC116" i="22"/>
  <c r="AD115" i="22"/>
  <c r="AC115" i="22"/>
  <c r="AD114" i="22"/>
  <c r="AC114" i="22"/>
  <c r="AD113" i="22"/>
  <c r="AC113" i="22"/>
  <c r="AD112" i="22"/>
  <c r="AC112" i="22"/>
  <c r="AD111" i="22"/>
  <c r="AC111" i="22"/>
  <c r="AD110" i="22"/>
  <c r="AC110" i="22"/>
  <c r="AD109" i="22"/>
  <c r="AC109" i="22"/>
  <c r="AD108" i="22"/>
  <c r="AC108" i="22"/>
  <c r="AD107" i="22"/>
  <c r="AC107" i="22"/>
  <c r="AD106" i="22"/>
  <c r="AC106" i="22"/>
  <c r="AD105" i="22"/>
  <c r="AC105" i="22"/>
  <c r="AD101" i="22"/>
  <c r="AC101" i="22"/>
  <c r="AD100" i="22"/>
  <c r="AC100" i="22"/>
  <c r="AD99" i="22"/>
  <c r="AC99" i="22"/>
  <c r="AD98" i="22"/>
  <c r="AC98" i="22"/>
  <c r="AD97" i="22"/>
  <c r="AC97" i="22"/>
  <c r="AD96" i="22"/>
  <c r="AC96" i="22"/>
  <c r="AD95" i="22"/>
  <c r="AC95" i="22"/>
  <c r="AD94" i="22"/>
  <c r="AC94" i="22"/>
  <c r="AD93" i="22"/>
  <c r="AC93" i="22"/>
  <c r="AD92" i="22"/>
  <c r="AC92" i="22"/>
  <c r="AD91" i="22"/>
  <c r="AC91" i="22"/>
  <c r="AD90" i="22"/>
  <c r="AC90" i="22"/>
  <c r="AD89" i="22"/>
  <c r="AC89" i="22"/>
  <c r="AD88" i="22"/>
  <c r="AC88" i="22"/>
  <c r="AD87" i="22"/>
  <c r="AC87" i="22"/>
  <c r="AD86" i="22"/>
  <c r="AC86" i="22"/>
  <c r="AD85" i="22"/>
  <c r="AC85" i="22"/>
  <c r="AD84" i="22"/>
  <c r="AC84" i="22"/>
  <c r="AD83" i="22"/>
  <c r="AC83" i="22"/>
  <c r="AD82" i="22"/>
  <c r="AC82" i="22"/>
  <c r="AD81" i="22"/>
  <c r="AC81" i="22"/>
  <c r="AD80" i="22"/>
  <c r="AC80" i="22"/>
  <c r="AD79" i="22"/>
  <c r="AC79" i="22"/>
  <c r="AD78" i="22"/>
  <c r="AC78" i="22"/>
  <c r="AD77" i="22"/>
  <c r="AC77" i="22"/>
  <c r="AD76" i="22"/>
  <c r="AC76" i="22"/>
  <c r="AD75" i="22"/>
  <c r="AC75" i="22"/>
  <c r="AD74" i="22"/>
  <c r="AC74" i="22"/>
  <c r="AD73" i="22"/>
  <c r="AC73" i="22"/>
  <c r="AD72" i="22"/>
  <c r="AC72" i="22"/>
  <c r="AD71" i="22"/>
  <c r="AC71" i="22"/>
  <c r="AD70" i="22"/>
  <c r="AC70" i="22"/>
  <c r="AD69" i="22"/>
  <c r="AC69" i="22"/>
  <c r="AD68" i="22"/>
  <c r="AC68" i="22"/>
  <c r="AD67" i="22"/>
  <c r="AC67" i="22"/>
  <c r="AD66" i="22"/>
  <c r="AC66" i="22"/>
  <c r="AD65" i="22"/>
  <c r="AC65" i="22"/>
  <c r="AD64" i="22"/>
  <c r="AC64" i="22"/>
  <c r="AD63" i="22"/>
  <c r="AC63" i="22"/>
  <c r="AD62" i="22"/>
  <c r="AC62" i="22"/>
  <c r="AD61" i="22"/>
  <c r="AC61" i="22"/>
  <c r="AD60" i="22"/>
  <c r="AC60" i="22"/>
  <c r="AD59" i="22"/>
  <c r="AC59" i="22"/>
  <c r="AD58" i="22"/>
  <c r="AC58" i="22"/>
  <c r="AD57" i="22"/>
  <c r="AC57" i="22"/>
  <c r="AD56" i="22"/>
  <c r="AC56" i="22"/>
  <c r="AD55" i="22"/>
  <c r="AC55" i="22"/>
  <c r="AD54" i="22"/>
  <c r="AC54" i="22"/>
  <c r="AD53" i="22"/>
  <c r="AC53" i="22"/>
  <c r="AD52" i="22"/>
  <c r="AC52" i="22"/>
  <c r="AD51" i="22"/>
  <c r="AC51" i="22"/>
  <c r="AD50" i="22"/>
  <c r="AC50" i="22"/>
  <c r="AD49" i="22"/>
  <c r="AC49" i="22"/>
  <c r="AD48" i="22"/>
  <c r="AC48" i="22"/>
  <c r="AD47" i="22"/>
  <c r="AC47" i="22"/>
  <c r="AD46" i="22"/>
  <c r="AC46" i="22"/>
  <c r="AD45" i="22"/>
  <c r="AC45" i="22"/>
  <c r="AD44" i="22"/>
  <c r="AC44" i="22"/>
  <c r="AD43" i="22"/>
  <c r="AC43" i="22"/>
  <c r="AD42" i="22"/>
  <c r="AC42" i="22"/>
  <c r="AD41" i="22"/>
  <c r="AC41" i="22"/>
  <c r="AD40" i="22"/>
  <c r="AC40" i="22"/>
  <c r="AD39" i="22"/>
  <c r="AC39" i="22"/>
  <c r="AD38" i="22"/>
  <c r="AC38" i="22"/>
  <c r="AD37" i="22"/>
  <c r="AC37" i="22"/>
  <c r="AD36" i="22"/>
  <c r="AC36" i="22"/>
  <c r="AD35" i="22"/>
  <c r="AC35" i="22"/>
  <c r="AD34" i="22"/>
  <c r="AC34" i="22"/>
  <c r="AD33" i="22"/>
  <c r="AC33" i="22"/>
  <c r="AD32" i="22"/>
  <c r="AC32" i="22"/>
  <c r="AD31" i="22"/>
  <c r="AC31" i="22"/>
  <c r="AD30" i="22"/>
  <c r="AC30" i="22"/>
  <c r="AD29" i="22"/>
  <c r="AC29" i="22"/>
  <c r="AD28" i="22"/>
  <c r="AC28" i="22"/>
  <c r="AD27" i="22"/>
  <c r="AC27" i="22"/>
  <c r="AD26" i="22"/>
  <c r="AC26" i="22"/>
  <c r="AD25" i="22"/>
  <c r="AC25" i="22"/>
  <c r="AD24" i="22"/>
  <c r="AC24" i="22"/>
  <c r="AD23" i="22"/>
  <c r="AC23" i="22"/>
  <c r="AD22" i="22"/>
  <c r="AC22" i="22"/>
  <c r="AD21" i="22"/>
  <c r="AC21" i="22"/>
  <c r="AD20" i="22"/>
  <c r="AC20" i="22"/>
  <c r="AD19" i="22"/>
  <c r="AC19" i="22"/>
  <c r="AD18" i="22"/>
  <c r="AC18" i="22"/>
  <c r="AD17" i="22"/>
  <c r="AC17" i="22"/>
  <c r="AD16" i="22"/>
  <c r="AC16" i="22"/>
  <c r="AD15" i="22"/>
  <c r="AC15" i="22"/>
  <c r="AD14" i="22"/>
  <c r="AC14" i="22"/>
  <c r="AD13" i="22"/>
  <c r="AC13" i="22"/>
  <c r="AD12" i="22"/>
  <c r="AC12" i="22"/>
  <c r="AD11" i="22"/>
  <c r="AC11" i="22"/>
  <c r="AD10" i="22"/>
  <c r="AC10" i="22"/>
  <c r="AD9" i="22"/>
  <c r="AC9" i="22"/>
  <c r="AD8" i="22"/>
  <c r="AC8" i="22"/>
  <c r="AD7" i="22"/>
  <c r="AC7" i="22"/>
  <c r="AD6" i="22"/>
  <c r="AC6" i="22"/>
  <c r="AD5" i="22"/>
  <c r="AC5" i="22"/>
  <c r="AA206" i="22"/>
  <c r="Z206" i="22"/>
  <c r="AA205" i="22"/>
  <c r="Z205" i="22"/>
  <c r="AA204" i="22"/>
  <c r="Z204" i="22"/>
  <c r="AA203" i="22"/>
  <c r="Z203" i="22"/>
  <c r="AA202" i="22"/>
  <c r="Z202" i="22"/>
  <c r="AA201" i="22"/>
  <c r="Z201" i="22"/>
  <c r="AA200" i="22"/>
  <c r="Z200" i="22"/>
  <c r="AA199" i="22"/>
  <c r="Z199" i="22"/>
  <c r="AA198" i="22"/>
  <c r="Z198" i="22"/>
  <c r="AA197" i="22"/>
  <c r="Z197" i="22"/>
  <c r="AA196" i="22"/>
  <c r="Z196" i="22"/>
  <c r="AA195" i="22"/>
  <c r="Z195" i="22"/>
  <c r="AA194" i="22"/>
  <c r="Z194" i="22"/>
  <c r="AA193" i="22"/>
  <c r="Z193" i="22"/>
  <c r="AA192" i="22"/>
  <c r="Z192" i="22"/>
  <c r="AA191" i="22"/>
  <c r="Z191" i="22"/>
  <c r="AA190" i="22"/>
  <c r="Z190" i="22"/>
  <c r="AA189" i="22"/>
  <c r="Z189" i="22"/>
  <c r="AA188" i="22"/>
  <c r="Z188" i="22"/>
  <c r="AA187" i="22"/>
  <c r="Z187" i="22"/>
  <c r="AA186" i="22"/>
  <c r="Z186" i="22"/>
  <c r="AA185" i="22"/>
  <c r="Z185" i="22"/>
  <c r="AA184" i="22"/>
  <c r="Z184" i="22"/>
  <c r="AA183" i="22"/>
  <c r="Z183" i="22"/>
  <c r="AA182" i="22"/>
  <c r="Z182" i="22"/>
  <c r="AA181" i="22"/>
  <c r="Z181" i="22"/>
  <c r="AA180" i="22"/>
  <c r="Z180" i="22"/>
  <c r="AA179" i="22"/>
  <c r="Z179" i="22"/>
  <c r="AA178" i="22"/>
  <c r="Z178" i="22"/>
  <c r="AA177" i="22"/>
  <c r="Z177" i="22"/>
  <c r="AA176" i="22"/>
  <c r="Z176" i="22"/>
  <c r="AA175" i="22"/>
  <c r="Z175" i="22"/>
  <c r="AA174" i="22"/>
  <c r="Z174" i="22"/>
  <c r="AA173" i="22"/>
  <c r="Z173" i="22"/>
  <c r="AA172" i="22"/>
  <c r="Z172" i="22"/>
  <c r="AA171" i="22"/>
  <c r="Z171" i="22"/>
  <c r="AA170" i="22"/>
  <c r="Z170" i="22"/>
  <c r="AA169" i="22"/>
  <c r="Z169" i="22"/>
  <c r="AA168" i="22"/>
  <c r="Z168" i="22"/>
  <c r="AA167" i="22"/>
  <c r="Z167" i="22"/>
  <c r="AA166" i="22"/>
  <c r="Z166" i="22"/>
  <c r="AA165" i="22"/>
  <c r="Z165" i="22"/>
  <c r="AA164" i="22"/>
  <c r="Z164" i="22"/>
  <c r="AA163" i="22"/>
  <c r="Z163" i="22"/>
  <c r="AA162" i="22"/>
  <c r="Z162" i="22"/>
  <c r="AA161" i="22"/>
  <c r="Z161" i="22"/>
  <c r="AA160" i="22"/>
  <c r="Z160" i="22"/>
  <c r="AA159" i="22"/>
  <c r="Z159" i="22"/>
  <c r="AA158" i="22"/>
  <c r="Z158" i="22"/>
  <c r="AA157" i="22"/>
  <c r="Z157" i="22"/>
  <c r="AA156" i="22"/>
  <c r="Z156" i="22"/>
  <c r="AA155" i="22"/>
  <c r="Z155" i="22"/>
  <c r="AA154" i="22"/>
  <c r="Z154" i="22"/>
  <c r="AA153" i="22"/>
  <c r="Z153" i="22"/>
  <c r="AA152" i="22"/>
  <c r="Z152" i="22"/>
  <c r="AA151" i="22"/>
  <c r="Z151" i="22"/>
  <c r="AA150" i="22"/>
  <c r="Z150" i="22"/>
  <c r="AA149" i="22"/>
  <c r="Z149" i="22"/>
  <c r="AA148" i="22"/>
  <c r="Z148" i="22"/>
  <c r="AA147" i="22"/>
  <c r="Z147" i="22"/>
  <c r="AA146" i="22"/>
  <c r="Z146" i="22"/>
  <c r="AA145" i="22"/>
  <c r="Z145" i="22"/>
  <c r="AA144" i="22"/>
  <c r="Z144" i="22"/>
  <c r="AA143" i="22"/>
  <c r="Z143" i="22"/>
  <c r="AA142" i="22"/>
  <c r="Z142" i="22"/>
  <c r="AA141" i="22"/>
  <c r="Z141" i="22"/>
  <c r="AA140" i="22"/>
  <c r="Z140" i="22"/>
  <c r="AA139" i="22"/>
  <c r="Z139" i="22"/>
  <c r="AA138" i="22"/>
  <c r="Z138" i="22"/>
  <c r="AA137" i="22"/>
  <c r="Z137" i="22"/>
  <c r="AA136" i="22"/>
  <c r="Z136" i="22"/>
  <c r="AA135" i="22"/>
  <c r="Z135" i="22"/>
  <c r="AA134" i="22"/>
  <c r="Z134" i="22"/>
  <c r="AA133" i="22"/>
  <c r="Z133" i="22"/>
  <c r="AA132" i="22"/>
  <c r="Z132" i="22"/>
  <c r="AA131" i="22"/>
  <c r="Z131" i="22"/>
  <c r="AA130" i="22"/>
  <c r="Z130" i="22"/>
  <c r="AA129" i="22"/>
  <c r="Z129" i="22"/>
  <c r="AA128" i="22"/>
  <c r="Z128" i="22"/>
  <c r="AA127" i="22"/>
  <c r="Z127" i="22"/>
  <c r="AA126" i="22"/>
  <c r="Z126" i="22"/>
  <c r="AA125" i="22"/>
  <c r="Z125" i="22"/>
  <c r="AA124" i="22"/>
  <c r="Z124" i="22"/>
  <c r="AA123" i="22"/>
  <c r="Z123" i="22"/>
  <c r="AA122" i="22"/>
  <c r="Z122" i="22"/>
  <c r="AA121" i="22"/>
  <c r="Z121" i="22"/>
  <c r="AA120" i="22"/>
  <c r="Z120" i="22"/>
  <c r="AA119" i="22"/>
  <c r="Z119" i="22"/>
  <c r="AA118" i="22"/>
  <c r="Z118" i="22"/>
  <c r="AA117" i="22"/>
  <c r="Z117" i="22"/>
  <c r="AA116" i="22"/>
  <c r="Z116" i="22"/>
  <c r="AA115" i="22"/>
  <c r="Z115" i="22"/>
  <c r="AA114" i="22"/>
  <c r="Z114" i="22"/>
  <c r="AA113" i="22"/>
  <c r="Z113" i="22"/>
  <c r="AA112" i="22"/>
  <c r="Z112" i="22"/>
  <c r="AA111" i="22"/>
  <c r="Z111" i="22"/>
  <c r="AA110" i="22"/>
  <c r="Z110" i="22"/>
  <c r="AA109" i="22"/>
  <c r="Z109" i="22"/>
  <c r="AA108" i="22"/>
  <c r="Z108" i="22"/>
  <c r="AA107" i="22"/>
  <c r="Z107" i="22"/>
  <c r="AA106" i="22"/>
  <c r="Z106" i="22"/>
  <c r="AA105" i="22"/>
  <c r="Z105" i="22"/>
  <c r="AA101" i="22"/>
  <c r="Z101" i="22"/>
  <c r="AA100" i="22"/>
  <c r="Z100" i="22"/>
  <c r="AA99" i="22"/>
  <c r="Z99" i="22"/>
  <c r="AA98" i="22"/>
  <c r="Z98" i="22"/>
  <c r="AA97" i="22"/>
  <c r="Z97" i="22"/>
  <c r="AA96" i="22"/>
  <c r="Z96" i="22"/>
  <c r="AA95" i="22"/>
  <c r="Z95" i="22"/>
  <c r="AA94" i="22"/>
  <c r="Z94" i="22"/>
  <c r="AA93" i="22"/>
  <c r="Z93" i="22"/>
  <c r="AA92" i="22"/>
  <c r="Z92" i="22"/>
  <c r="AA91" i="22"/>
  <c r="Z91" i="22"/>
  <c r="AA90" i="22"/>
  <c r="Z90" i="22"/>
  <c r="AA89" i="22"/>
  <c r="Z89" i="22"/>
  <c r="AA88" i="22"/>
  <c r="Z88" i="22"/>
  <c r="AA87" i="22"/>
  <c r="Z87" i="22"/>
  <c r="AA86" i="22"/>
  <c r="Z86" i="22"/>
  <c r="AA85" i="22"/>
  <c r="Z85" i="22"/>
  <c r="AA84" i="22"/>
  <c r="Z84" i="22"/>
  <c r="AA83" i="22"/>
  <c r="Z83" i="22"/>
  <c r="AA82" i="22"/>
  <c r="Z82" i="22"/>
  <c r="AA81" i="22"/>
  <c r="Z81" i="22"/>
  <c r="AA80" i="22"/>
  <c r="Z80" i="22"/>
  <c r="AA79" i="22"/>
  <c r="Z79" i="22"/>
  <c r="AA78" i="22"/>
  <c r="Z78" i="22"/>
  <c r="AA77" i="22"/>
  <c r="Z77" i="22"/>
  <c r="AA76" i="22"/>
  <c r="Z76" i="22"/>
  <c r="AA75" i="22"/>
  <c r="Z75" i="22"/>
  <c r="AA74" i="22"/>
  <c r="Z74" i="22"/>
  <c r="AA73" i="22"/>
  <c r="Z73" i="22"/>
  <c r="AA72" i="22"/>
  <c r="Z72" i="22"/>
  <c r="AA71" i="22"/>
  <c r="Z71" i="22"/>
  <c r="AA70" i="22"/>
  <c r="Z70" i="22"/>
  <c r="AA69" i="22"/>
  <c r="Z69" i="22"/>
  <c r="AA68" i="22"/>
  <c r="Z68" i="22"/>
  <c r="AA67" i="22"/>
  <c r="Z67" i="22"/>
  <c r="AA66" i="22"/>
  <c r="Z66" i="22"/>
  <c r="AA65" i="22"/>
  <c r="Z65" i="22"/>
  <c r="AA64" i="22"/>
  <c r="Z64" i="22"/>
  <c r="AA63" i="22"/>
  <c r="Z63" i="22"/>
  <c r="AA62" i="22"/>
  <c r="Z62" i="22"/>
  <c r="AA61" i="22"/>
  <c r="Z61" i="22"/>
  <c r="AA60" i="22"/>
  <c r="Z60" i="22"/>
  <c r="AA59" i="22"/>
  <c r="Z59" i="22"/>
  <c r="AA58" i="22"/>
  <c r="Z58" i="22"/>
  <c r="AA57" i="22"/>
  <c r="Z57" i="22"/>
  <c r="AA56" i="22"/>
  <c r="Z56" i="22"/>
  <c r="AA55" i="22"/>
  <c r="Z55" i="22"/>
  <c r="AA54" i="22"/>
  <c r="Z54" i="22"/>
  <c r="AA53" i="22"/>
  <c r="Z53" i="22"/>
  <c r="AA52" i="22"/>
  <c r="Z52" i="22"/>
  <c r="AA51" i="22"/>
  <c r="Z51" i="22"/>
  <c r="AA50" i="22"/>
  <c r="Z50" i="22"/>
  <c r="AA49" i="22"/>
  <c r="Z49" i="22"/>
  <c r="AA48" i="22"/>
  <c r="Z48" i="22"/>
  <c r="AA47" i="22"/>
  <c r="Z47" i="22"/>
  <c r="AA46" i="22"/>
  <c r="Z46" i="22"/>
  <c r="AA45" i="22"/>
  <c r="Z45" i="22"/>
  <c r="AA44" i="22"/>
  <c r="Z44" i="22"/>
  <c r="AA43" i="22"/>
  <c r="Z43" i="22"/>
  <c r="AA42" i="22"/>
  <c r="Z42" i="22"/>
  <c r="AA41" i="22"/>
  <c r="Z41" i="22"/>
  <c r="AA40" i="22"/>
  <c r="Z40" i="22"/>
  <c r="AA39" i="22"/>
  <c r="Z39" i="22"/>
  <c r="AA38" i="22"/>
  <c r="Z38" i="22"/>
  <c r="AA37" i="22"/>
  <c r="Z37" i="22"/>
  <c r="AA36" i="22"/>
  <c r="Z36" i="22"/>
  <c r="AA35" i="22"/>
  <c r="Z35" i="22"/>
  <c r="AA34" i="22"/>
  <c r="Z34" i="22"/>
  <c r="AA33" i="22"/>
  <c r="Z33" i="22"/>
  <c r="AA32" i="22"/>
  <c r="Z32" i="22"/>
  <c r="AA31" i="22"/>
  <c r="Z31" i="22"/>
  <c r="AA30" i="22"/>
  <c r="Z30" i="22"/>
  <c r="AA29" i="22"/>
  <c r="Z29" i="22"/>
  <c r="AA28" i="22"/>
  <c r="Z28" i="22"/>
  <c r="AA27" i="22"/>
  <c r="Z27" i="22"/>
  <c r="AA26" i="22"/>
  <c r="Z26" i="22"/>
  <c r="AA25" i="22"/>
  <c r="Z25" i="22"/>
  <c r="AA24" i="22"/>
  <c r="Z24" i="22"/>
  <c r="AA23" i="22"/>
  <c r="Z23" i="22"/>
  <c r="AA22" i="22"/>
  <c r="Z22" i="22"/>
  <c r="AA21" i="22"/>
  <c r="Z21" i="22"/>
  <c r="AA20" i="22"/>
  <c r="Z20" i="22"/>
  <c r="AA19" i="22"/>
  <c r="Z19" i="22"/>
  <c r="AA18" i="22"/>
  <c r="Z18" i="22"/>
  <c r="AA17" i="22"/>
  <c r="Z17" i="22"/>
  <c r="AA16" i="22"/>
  <c r="Z16" i="22"/>
  <c r="AA15" i="22"/>
  <c r="Z15" i="22"/>
  <c r="AA14" i="22"/>
  <c r="Z14" i="22"/>
  <c r="AA13" i="22"/>
  <c r="Z13" i="22"/>
  <c r="AA12" i="22"/>
  <c r="Z12" i="22"/>
  <c r="AA11" i="22"/>
  <c r="Z11" i="22"/>
  <c r="AA10" i="22"/>
  <c r="Z10" i="22"/>
  <c r="AA9" i="22"/>
  <c r="Z9" i="22"/>
  <c r="AA8" i="22"/>
  <c r="Z8" i="22"/>
  <c r="AA7" i="22"/>
  <c r="Z7" i="22"/>
  <c r="AA6" i="22"/>
  <c r="Z6" i="22"/>
  <c r="AA5" i="22"/>
  <c r="Z5" i="22"/>
  <c r="X206" i="22"/>
  <c r="W206" i="22"/>
  <c r="X205" i="22"/>
  <c r="W205" i="22"/>
  <c r="X204" i="22"/>
  <c r="W204" i="22"/>
  <c r="X203" i="22"/>
  <c r="W203" i="22"/>
  <c r="X202" i="22"/>
  <c r="W202" i="22"/>
  <c r="X201" i="22"/>
  <c r="W201" i="22"/>
  <c r="X200" i="22"/>
  <c r="W200" i="22"/>
  <c r="X199" i="22"/>
  <c r="W199" i="22"/>
  <c r="X198" i="22"/>
  <c r="W198" i="22"/>
  <c r="X197" i="22"/>
  <c r="W197" i="22"/>
  <c r="X196" i="22"/>
  <c r="W196" i="22"/>
  <c r="X195" i="22"/>
  <c r="W195" i="22"/>
  <c r="X194" i="22"/>
  <c r="W194" i="22"/>
  <c r="X193" i="22"/>
  <c r="W193" i="22"/>
  <c r="X192" i="22"/>
  <c r="W192" i="22"/>
  <c r="X191" i="22"/>
  <c r="W191" i="22"/>
  <c r="X190" i="22"/>
  <c r="W190" i="22"/>
  <c r="X189" i="22"/>
  <c r="W189" i="22"/>
  <c r="X188" i="22"/>
  <c r="W188" i="22"/>
  <c r="X187" i="22"/>
  <c r="W187" i="22"/>
  <c r="X186" i="22"/>
  <c r="W186" i="22"/>
  <c r="X185" i="22"/>
  <c r="W185" i="22"/>
  <c r="X184" i="22"/>
  <c r="W184" i="22"/>
  <c r="X183" i="22"/>
  <c r="W183" i="22"/>
  <c r="X182" i="22"/>
  <c r="W182" i="22"/>
  <c r="X181" i="22"/>
  <c r="W181" i="22"/>
  <c r="X180" i="22"/>
  <c r="W180" i="22"/>
  <c r="X179" i="22"/>
  <c r="W179" i="22"/>
  <c r="X178" i="22"/>
  <c r="W178" i="22"/>
  <c r="X177" i="22"/>
  <c r="W177" i="22"/>
  <c r="X176" i="22"/>
  <c r="W176" i="22"/>
  <c r="X175" i="22"/>
  <c r="W175" i="22"/>
  <c r="X174" i="22"/>
  <c r="W174" i="22"/>
  <c r="X173" i="22"/>
  <c r="W173" i="22"/>
  <c r="X172" i="22"/>
  <c r="W172" i="22"/>
  <c r="X171" i="22"/>
  <c r="W171" i="22"/>
  <c r="X170" i="22"/>
  <c r="W170" i="22"/>
  <c r="X169" i="22"/>
  <c r="W169" i="22"/>
  <c r="X168" i="22"/>
  <c r="W168" i="22"/>
  <c r="X167" i="22"/>
  <c r="W167" i="22"/>
  <c r="X166" i="22"/>
  <c r="W166" i="22"/>
  <c r="X165" i="22"/>
  <c r="W165" i="22"/>
  <c r="X164" i="22"/>
  <c r="W164" i="22"/>
  <c r="X163" i="22"/>
  <c r="W163" i="22"/>
  <c r="X162" i="22"/>
  <c r="W162" i="22"/>
  <c r="X161" i="22"/>
  <c r="W161" i="22"/>
  <c r="X160" i="22"/>
  <c r="W160" i="22"/>
  <c r="X159" i="22"/>
  <c r="W159" i="22"/>
  <c r="X158" i="22"/>
  <c r="W158" i="22"/>
  <c r="X157" i="22"/>
  <c r="W157" i="22"/>
  <c r="X156" i="22"/>
  <c r="W156" i="22"/>
  <c r="X155" i="22"/>
  <c r="W155" i="22"/>
  <c r="X154" i="22"/>
  <c r="W154" i="22"/>
  <c r="X153" i="22"/>
  <c r="W153" i="22"/>
  <c r="X152" i="22"/>
  <c r="W152" i="22"/>
  <c r="X151" i="22"/>
  <c r="W151" i="22"/>
  <c r="X150" i="22"/>
  <c r="W150" i="22"/>
  <c r="X149" i="22"/>
  <c r="W149" i="22"/>
  <c r="X148" i="22"/>
  <c r="W148" i="22"/>
  <c r="X147" i="22"/>
  <c r="W147" i="22"/>
  <c r="X146" i="22"/>
  <c r="W146" i="22"/>
  <c r="X145" i="22"/>
  <c r="W145" i="22"/>
  <c r="X144" i="22"/>
  <c r="W144" i="22"/>
  <c r="X143" i="22"/>
  <c r="W143" i="22"/>
  <c r="X142" i="22"/>
  <c r="W142" i="22"/>
  <c r="X141" i="22"/>
  <c r="W141" i="22"/>
  <c r="X140" i="22"/>
  <c r="W140" i="22"/>
  <c r="X139" i="22"/>
  <c r="W139" i="22"/>
  <c r="X138" i="22"/>
  <c r="W138" i="22"/>
  <c r="X137" i="22"/>
  <c r="W137" i="22"/>
  <c r="X136" i="22"/>
  <c r="W136" i="22"/>
  <c r="X135" i="22"/>
  <c r="W135" i="22"/>
  <c r="X134" i="22"/>
  <c r="W134" i="22"/>
  <c r="X133" i="22"/>
  <c r="W133" i="22"/>
  <c r="X132" i="22"/>
  <c r="W132" i="22"/>
  <c r="X131" i="22"/>
  <c r="W131" i="22"/>
  <c r="X130" i="22"/>
  <c r="W130" i="22"/>
  <c r="X129" i="22"/>
  <c r="W129" i="22"/>
  <c r="X128" i="22"/>
  <c r="W128" i="22"/>
  <c r="X127" i="22"/>
  <c r="W127" i="22"/>
  <c r="X126" i="22"/>
  <c r="W126" i="22"/>
  <c r="X125" i="22"/>
  <c r="W125" i="22"/>
  <c r="X124" i="22"/>
  <c r="W124" i="22"/>
  <c r="X123" i="22"/>
  <c r="W123" i="22"/>
  <c r="X122" i="22"/>
  <c r="W122" i="22"/>
  <c r="X121" i="22"/>
  <c r="W121" i="22"/>
  <c r="X120" i="22"/>
  <c r="W120" i="22"/>
  <c r="X119" i="22"/>
  <c r="W119" i="22"/>
  <c r="X118" i="22"/>
  <c r="W118" i="22"/>
  <c r="X117" i="22"/>
  <c r="W117" i="22"/>
  <c r="X116" i="22"/>
  <c r="W116" i="22"/>
  <c r="X115" i="22"/>
  <c r="W115" i="22"/>
  <c r="X114" i="22"/>
  <c r="W114" i="22"/>
  <c r="X113" i="22"/>
  <c r="W113" i="22"/>
  <c r="X112" i="22"/>
  <c r="W112" i="22"/>
  <c r="X111" i="22"/>
  <c r="W111" i="22"/>
  <c r="X110" i="22"/>
  <c r="W110" i="22"/>
  <c r="X109" i="22"/>
  <c r="W109" i="22"/>
  <c r="X108" i="22"/>
  <c r="W108" i="22"/>
  <c r="X107" i="22"/>
  <c r="W107" i="22"/>
  <c r="X106" i="22"/>
  <c r="W106" i="22"/>
  <c r="X105" i="22"/>
  <c r="W105" i="22"/>
  <c r="X101" i="22"/>
  <c r="W101" i="22"/>
  <c r="X100" i="22"/>
  <c r="W100" i="22"/>
  <c r="X99" i="22"/>
  <c r="W99" i="22"/>
  <c r="X98" i="22"/>
  <c r="W98" i="22"/>
  <c r="X97" i="22"/>
  <c r="W97" i="22"/>
  <c r="X96" i="22"/>
  <c r="W96" i="22"/>
  <c r="X95" i="22"/>
  <c r="W95" i="22"/>
  <c r="X94" i="22"/>
  <c r="W94" i="22"/>
  <c r="X93" i="22"/>
  <c r="W93" i="22"/>
  <c r="X92" i="22"/>
  <c r="W92" i="22"/>
  <c r="X91" i="22"/>
  <c r="W91" i="22"/>
  <c r="X90" i="22"/>
  <c r="W90" i="22"/>
  <c r="X89" i="22"/>
  <c r="W89" i="22"/>
  <c r="X88" i="22"/>
  <c r="W88" i="22"/>
  <c r="X87" i="22"/>
  <c r="W87" i="22"/>
  <c r="X86" i="22"/>
  <c r="W86" i="22"/>
  <c r="X85" i="22"/>
  <c r="W85" i="22"/>
  <c r="X84" i="22"/>
  <c r="W84" i="22"/>
  <c r="X83" i="22"/>
  <c r="W83" i="22"/>
  <c r="X82" i="22"/>
  <c r="W82" i="22"/>
  <c r="X81" i="22"/>
  <c r="W81" i="22"/>
  <c r="X80" i="22"/>
  <c r="W80" i="22"/>
  <c r="X79" i="22"/>
  <c r="W79" i="22"/>
  <c r="X78" i="22"/>
  <c r="W78" i="22"/>
  <c r="X77" i="22"/>
  <c r="W77" i="22"/>
  <c r="X76" i="22"/>
  <c r="W76" i="22"/>
  <c r="X75" i="22"/>
  <c r="W75" i="22"/>
  <c r="X74" i="22"/>
  <c r="W74" i="22"/>
  <c r="X73" i="22"/>
  <c r="W73" i="22"/>
  <c r="X72" i="22"/>
  <c r="W72" i="22"/>
  <c r="X71" i="22"/>
  <c r="W71" i="22"/>
  <c r="X70" i="22"/>
  <c r="W70" i="22"/>
  <c r="X69" i="22"/>
  <c r="W69" i="22"/>
  <c r="X68" i="22"/>
  <c r="W68" i="22"/>
  <c r="X67" i="22"/>
  <c r="W67" i="22"/>
  <c r="X66" i="22"/>
  <c r="W66" i="22"/>
  <c r="X65" i="22"/>
  <c r="W65" i="22"/>
  <c r="X64" i="22"/>
  <c r="W64" i="22"/>
  <c r="X63" i="22"/>
  <c r="W63" i="22"/>
  <c r="X62" i="22"/>
  <c r="W62" i="22"/>
  <c r="X61" i="22"/>
  <c r="W61" i="22"/>
  <c r="X60" i="22"/>
  <c r="W60" i="22"/>
  <c r="X59" i="22"/>
  <c r="W59" i="22"/>
  <c r="X58" i="22"/>
  <c r="W58" i="22"/>
  <c r="X57" i="22"/>
  <c r="W57" i="22"/>
  <c r="X56" i="22"/>
  <c r="W56" i="22"/>
  <c r="X55" i="22"/>
  <c r="W55" i="22"/>
  <c r="X54" i="22"/>
  <c r="W54" i="22"/>
  <c r="X53" i="22"/>
  <c r="W53" i="22"/>
  <c r="X52" i="22"/>
  <c r="W52" i="22"/>
  <c r="X51" i="22"/>
  <c r="W51" i="22"/>
  <c r="X50" i="22"/>
  <c r="W50" i="22"/>
  <c r="X49" i="22"/>
  <c r="W49" i="22"/>
  <c r="X48" i="22"/>
  <c r="W48" i="22"/>
  <c r="X47" i="22"/>
  <c r="W47" i="22"/>
  <c r="X46" i="22"/>
  <c r="W46" i="22"/>
  <c r="X45" i="22"/>
  <c r="W45" i="22"/>
  <c r="X44" i="22"/>
  <c r="W44" i="22"/>
  <c r="X43" i="22"/>
  <c r="W43" i="22"/>
  <c r="X42" i="22"/>
  <c r="W42" i="22"/>
  <c r="X41" i="22"/>
  <c r="W41" i="22"/>
  <c r="X40" i="22"/>
  <c r="W40" i="22"/>
  <c r="X39" i="22"/>
  <c r="W39" i="22"/>
  <c r="X38" i="22"/>
  <c r="W38" i="22"/>
  <c r="X37" i="22"/>
  <c r="W37" i="22"/>
  <c r="X36" i="22"/>
  <c r="W36" i="22"/>
  <c r="X35" i="22"/>
  <c r="W35" i="22"/>
  <c r="X34" i="22"/>
  <c r="W34" i="22"/>
  <c r="X33" i="22"/>
  <c r="W33" i="22"/>
  <c r="X32" i="22"/>
  <c r="W32" i="22"/>
  <c r="X31" i="22"/>
  <c r="W31" i="22"/>
  <c r="X30" i="22"/>
  <c r="W30" i="22"/>
  <c r="X29" i="22"/>
  <c r="W29" i="22"/>
  <c r="X28" i="22"/>
  <c r="W28" i="22"/>
  <c r="X27" i="22"/>
  <c r="W27" i="22"/>
  <c r="X26" i="22"/>
  <c r="W26" i="22"/>
  <c r="X25" i="22"/>
  <c r="W25" i="22"/>
  <c r="X24" i="22"/>
  <c r="W24" i="22"/>
  <c r="X23" i="22"/>
  <c r="W23" i="22"/>
  <c r="X22" i="22"/>
  <c r="W22" i="22"/>
  <c r="X21" i="22"/>
  <c r="W21" i="22"/>
  <c r="X20" i="22"/>
  <c r="W20" i="22"/>
  <c r="X19" i="22"/>
  <c r="W19" i="22"/>
  <c r="X18" i="22"/>
  <c r="W18" i="22"/>
  <c r="X17" i="22"/>
  <c r="W17" i="22"/>
  <c r="X16" i="22"/>
  <c r="W16" i="22"/>
  <c r="X15" i="22"/>
  <c r="W15" i="22"/>
  <c r="X14" i="22"/>
  <c r="W14" i="22"/>
  <c r="X13" i="22"/>
  <c r="W13" i="22"/>
  <c r="X12" i="22"/>
  <c r="W12" i="22"/>
  <c r="X11" i="22"/>
  <c r="W11" i="22"/>
  <c r="X10" i="22"/>
  <c r="W10" i="22"/>
  <c r="X9" i="22"/>
  <c r="W9" i="22"/>
  <c r="X8" i="22"/>
  <c r="W8" i="22"/>
  <c r="X7" i="22"/>
  <c r="W7" i="22"/>
  <c r="X6" i="22"/>
  <c r="W6" i="22"/>
  <c r="X5" i="22"/>
  <c r="W5" i="22"/>
  <c r="U206" i="22"/>
  <c r="T206" i="22"/>
  <c r="U205" i="22"/>
  <c r="T205" i="22"/>
  <c r="U204" i="22"/>
  <c r="T204" i="22"/>
  <c r="U203" i="22"/>
  <c r="T203" i="22"/>
  <c r="U202" i="22"/>
  <c r="T202" i="22"/>
  <c r="U201" i="22"/>
  <c r="T201" i="22"/>
  <c r="U200" i="22"/>
  <c r="T200" i="22"/>
  <c r="U199" i="22"/>
  <c r="T199" i="22"/>
  <c r="U198" i="22"/>
  <c r="T198" i="22"/>
  <c r="U197" i="22"/>
  <c r="T197" i="22"/>
  <c r="U196" i="22"/>
  <c r="T196" i="22"/>
  <c r="U195" i="22"/>
  <c r="T195" i="22"/>
  <c r="U194" i="22"/>
  <c r="T194" i="22"/>
  <c r="U193" i="22"/>
  <c r="T193" i="22"/>
  <c r="U192" i="22"/>
  <c r="T192" i="22"/>
  <c r="U191" i="22"/>
  <c r="T191" i="22"/>
  <c r="U190" i="22"/>
  <c r="T190" i="22"/>
  <c r="U189" i="22"/>
  <c r="T189" i="22"/>
  <c r="U188" i="22"/>
  <c r="T188" i="22"/>
  <c r="U187" i="22"/>
  <c r="T187" i="22"/>
  <c r="U186" i="22"/>
  <c r="T186" i="22"/>
  <c r="U185" i="22"/>
  <c r="T185" i="22"/>
  <c r="U184" i="22"/>
  <c r="T184" i="22"/>
  <c r="U183" i="22"/>
  <c r="T183" i="22"/>
  <c r="U182" i="22"/>
  <c r="T182" i="22"/>
  <c r="U181" i="22"/>
  <c r="T181" i="22"/>
  <c r="U180" i="22"/>
  <c r="T180" i="22"/>
  <c r="U179" i="22"/>
  <c r="T179" i="22"/>
  <c r="U178" i="22"/>
  <c r="T178" i="22"/>
  <c r="U177" i="22"/>
  <c r="T177" i="22"/>
  <c r="U176" i="22"/>
  <c r="T176" i="22"/>
  <c r="U175" i="22"/>
  <c r="T175" i="22"/>
  <c r="U174" i="22"/>
  <c r="T174" i="22"/>
  <c r="U173" i="22"/>
  <c r="T173" i="22"/>
  <c r="U172" i="22"/>
  <c r="T172" i="22"/>
  <c r="U171" i="22"/>
  <c r="T171" i="22"/>
  <c r="U170" i="22"/>
  <c r="T170" i="22"/>
  <c r="U169" i="22"/>
  <c r="T169" i="22"/>
  <c r="U168" i="22"/>
  <c r="T168" i="22"/>
  <c r="U167" i="22"/>
  <c r="T167" i="22"/>
  <c r="U166" i="22"/>
  <c r="T166" i="22"/>
  <c r="U165" i="22"/>
  <c r="T165" i="22"/>
  <c r="U164" i="22"/>
  <c r="T164" i="22"/>
  <c r="U163" i="22"/>
  <c r="T163" i="22"/>
  <c r="U162" i="22"/>
  <c r="T162" i="22"/>
  <c r="U161" i="22"/>
  <c r="T161" i="22"/>
  <c r="U160" i="22"/>
  <c r="T160" i="22"/>
  <c r="U159" i="22"/>
  <c r="T159" i="22"/>
  <c r="U158" i="22"/>
  <c r="T158" i="22"/>
  <c r="U157" i="22"/>
  <c r="T157" i="22"/>
  <c r="U156" i="22"/>
  <c r="T156" i="22"/>
  <c r="U155" i="22"/>
  <c r="T155" i="22"/>
  <c r="U154" i="22"/>
  <c r="T154" i="22"/>
  <c r="U153" i="22"/>
  <c r="T153" i="22"/>
  <c r="U152" i="22"/>
  <c r="T152" i="22"/>
  <c r="U151" i="22"/>
  <c r="T151" i="22"/>
  <c r="U150" i="22"/>
  <c r="T150" i="22"/>
  <c r="U149" i="22"/>
  <c r="T149" i="22"/>
  <c r="U148" i="22"/>
  <c r="T148" i="22"/>
  <c r="U147" i="22"/>
  <c r="T147" i="22"/>
  <c r="U146" i="22"/>
  <c r="T146" i="22"/>
  <c r="U145" i="22"/>
  <c r="T145" i="22"/>
  <c r="U144" i="22"/>
  <c r="T144" i="22"/>
  <c r="U143" i="22"/>
  <c r="T143" i="22"/>
  <c r="U142" i="22"/>
  <c r="T142" i="22"/>
  <c r="U141" i="22"/>
  <c r="T141" i="22"/>
  <c r="U140" i="22"/>
  <c r="T140" i="22"/>
  <c r="U139" i="22"/>
  <c r="T139" i="22"/>
  <c r="U138" i="22"/>
  <c r="T138" i="22"/>
  <c r="U137" i="22"/>
  <c r="T137" i="22"/>
  <c r="U136" i="22"/>
  <c r="T136" i="22"/>
  <c r="U135" i="22"/>
  <c r="T135" i="22"/>
  <c r="U134" i="22"/>
  <c r="T134" i="22"/>
  <c r="U133" i="22"/>
  <c r="T133" i="22"/>
  <c r="U132" i="22"/>
  <c r="T132" i="22"/>
  <c r="U131" i="22"/>
  <c r="T131" i="22"/>
  <c r="U130" i="22"/>
  <c r="T130" i="22"/>
  <c r="U129" i="22"/>
  <c r="T129" i="22"/>
  <c r="U128" i="22"/>
  <c r="T128" i="22"/>
  <c r="U127" i="22"/>
  <c r="T127" i="22"/>
  <c r="U126" i="22"/>
  <c r="T126" i="22"/>
  <c r="U125" i="22"/>
  <c r="T125" i="22"/>
  <c r="U124" i="22"/>
  <c r="T124" i="22"/>
  <c r="U123" i="22"/>
  <c r="T123" i="22"/>
  <c r="U122" i="22"/>
  <c r="T122" i="22"/>
  <c r="U121" i="22"/>
  <c r="T121" i="22"/>
  <c r="U120" i="22"/>
  <c r="T120" i="22"/>
  <c r="U119" i="22"/>
  <c r="T119" i="22"/>
  <c r="U118" i="22"/>
  <c r="T118" i="22"/>
  <c r="U117" i="22"/>
  <c r="T117" i="22"/>
  <c r="U116" i="22"/>
  <c r="T116" i="22"/>
  <c r="U115" i="22"/>
  <c r="T115" i="22"/>
  <c r="U114" i="22"/>
  <c r="T114" i="22"/>
  <c r="U113" i="22"/>
  <c r="T113" i="22"/>
  <c r="U112" i="22"/>
  <c r="T112" i="22"/>
  <c r="U111" i="22"/>
  <c r="T111" i="22"/>
  <c r="U110" i="22"/>
  <c r="T110" i="22"/>
  <c r="U109" i="22"/>
  <c r="T109" i="22"/>
  <c r="U108" i="22"/>
  <c r="T108" i="22"/>
  <c r="U107" i="22"/>
  <c r="T107" i="22"/>
  <c r="U106" i="22"/>
  <c r="T106" i="22"/>
  <c r="U105" i="22"/>
  <c r="T105" i="22"/>
  <c r="U101" i="22"/>
  <c r="T101" i="22"/>
  <c r="U100" i="22"/>
  <c r="T100" i="22"/>
  <c r="U99" i="22"/>
  <c r="T99" i="22"/>
  <c r="U98" i="22"/>
  <c r="T98" i="22"/>
  <c r="U97" i="22"/>
  <c r="T97" i="22"/>
  <c r="U96" i="22"/>
  <c r="T96" i="22"/>
  <c r="U95" i="22"/>
  <c r="T95" i="22"/>
  <c r="U94" i="22"/>
  <c r="T94" i="22"/>
  <c r="U93" i="22"/>
  <c r="T93" i="22"/>
  <c r="U92" i="22"/>
  <c r="T92" i="22"/>
  <c r="U91" i="22"/>
  <c r="T91" i="22"/>
  <c r="U90" i="22"/>
  <c r="T90" i="22"/>
  <c r="U89" i="22"/>
  <c r="T89" i="22"/>
  <c r="U88" i="22"/>
  <c r="T88" i="22"/>
  <c r="U87" i="22"/>
  <c r="T87" i="22"/>
  <c r="U86" i="22"/>
  <c r="T86" i="22"/>
  <c r="U85" i="22"/>
  <c r="T85" i="22"/>
  <c r="U84" i="22"/>
  <c r="T84" i="22"/>
  <c r="U83" i="22"/>
  <c r="T83" i="22"/>
  <c r="U82" i="22"/>
  <c r="T82" i="22"/>
  <c r="U81" i="22"/>
  <c r="T81" i="22"/>
  <c r="U80" i="22"/>
  <c r="T80" i="22"/>
  <c r="U79" i="22"/>
  <c r="T79" i="22"/>
  <c r="U78" i="22"/>
  <c r="T78" i="22"/>
  <c r="U77" i="22"/>
  <c r="T77" i="22"/>
  <c r="U76" i="22"/>
  <c r="T76" i="22"/>
  <c r="U75" i="22"/>
  <c r="T75" i="22"/>
  <c r="U74" i="22"/>
  <c r="T74" i="22"/>
  <c r="U73" i="22"/>
  <c r="T73" i="22"/>
  <c r="U72" i="22"/>
  <c r="T72" i="22"/>
  <c r="U71" i="22"/>
  <c r="T71" i="22"/>
  <c r="U70" i="22"/>
  <c r="T70" i="22"/>
  <c r="U69" i="22"/>
  <c r="T69" i="22"/>
  <c r="U68" i="22"/>
  <c r="T68" i="22"/>
  <c r="U67" i="22"/>
  <c r="T67" i="22"/>
  <c r="U66" i="22"/>
  <c r="T66" i="22"/>
  <c r="U65" i="22"/>
  <c r="T65" i="22"/>
  <c r="U64" i="22"/>
  <c r="T64" i="22"/>
  <c r="U63" i="22"/>
  <c r="T63" i="22"/>
  <c r="U62" i="22"/>
  <c r="T62" i="22"/>
  <c r="U61" i="22"/>
  <c r="T61" i="22"/>
  <c r="U60" i="22"/>
  <c r="T60" i="22"/>
  <c r="U59" i="22"/>
  <c r="T59" i="22"/>
  <c r="U58" i="22"/>
  <c r="T58" i="22"/>
  <c r="U57" i="22"/>
  <c r="T57" i="22"/>
  <c r="U56" i="22"/>
  <c r="T56" i="22"/>
  <c r="U55" i="22"/>
  <c r="T55" i="22"/>
  <c r="U54" i="22"/>
  <c r="T54" i="22"/>
  <c r="U53" i="22"/>
  <c r="T53" i="22"/>
  <c r="U52" i="22"/>
  <c r="T52" i="22"/>
  <c r="U51" i="22"/>
  <c r="T51" i="22"/>
  <c r="U50" i="22"/>
  <c r="T50" i="22"/>
  <c r="U49" i="22"/>
  <c r="T49" i="22"/>
  <c r="U48" i="22"/>
  <c r="T48" i="22"/>
  <c r="U47" i="22"/>
  <c r="T47" i="22"/>
  <c r="U46" i="22"/>
  <c r="T46" i="22"/>
  <c r="U45" i="22"/>
  <c r="T45" i="22"/>
  <c r="U44" i="22"/>
  <c r="T44" i="22"/>
  <c r="U43" i="22"/>
  <c r="T43" i="22"/>
  <c r="U42" i="22"/>
  <c r="T42" i="22"/>
  <c r="U41" i="22"/>
  <c r="T41" i="22"/>
  <c r="U40" i="22"/>
  <c r="T40" i="22"/>
  <c r="U39" i="22"/>
  <c r="T39" i="22"/>
  <c r="U38" i="22"/>
  <c r="T38" i="22"/>
  <c r="U37" i="22"/>
  <c r="T37" i="22"/>
  <c r="U36" i="22"/>
  <c r="T36" i="22"/>
  <c r="U35" i="22"/>
  <c r="T35" i="22"/>
  <c r="U34" i="22"/>
  <c r="T34" i="22"/>
  <c r="U33" i="22"/>
  <c r="T33" i="22"/>
  <c r="U32" i="22"/>
  <c r="T32" i="22"/>
  <c r="U31" i="22"/>
  <c r="T31" i="22"/>
  <c r="U30" i="22"/>
  <c r="T30" i="22"/>
  <c r="U29" i="22"/>
  <c r="T29" i="22"/>
  <c r="U28" i="22"/>
  <c r="T28" i="22"/>
  <c r="U27" i="22"/>
  <c r="T27" i="22"/>
  <c r="U26" i="22"/>
  <c r="T26" i="22"/>
  <c r="U25" i="22"/>
  <c r="T25" i="22"/>
  <c r="U24" i="22"/>
  <c r="T24" i="22"/>
  <c r="U23" i="22"/>
  <c r="T23" i="22"/>
  <c r="U22" i="22"/>
  <c r="T22" i="22"/>
  <c r="U21" i="22"/>
  <c r="T21" i="22"/>
  <c r="U20" i="22"/>
  <c r="T20" i="22"/>
  <c r="U19" i="22"/>
  <c r="T19" i="22"/>
  <c r="U18" i="22"/>
  <c r="T18" i="22"/>
  <c r="U17" i="22"/>
  <c r="T17" i="22"/>
  <c r="U16" i="22"/>
  <c r="T16" i="22"/>
  <c r="U15" i="22"/>
  <c r="T15" i="22"/>
  <c r="U14" i="22"/>
  <c r="T14" i="22"/>
  <c r="U13" i="22"/>
  <c r="T13" i="22"/>
  <c r="U12" i="22"/>
  <c r="T12" i="22"/>
  <c r="U11" i="22"/>
  <c r="T11" i="22"/>
  <c r="U10" i="22"/>
  <c r="T10" i="22"/>
  <c r="U9" i="22"/>
  <c r="T9" i="22"/>
  <c r="U8" i="22"/>
  <c r="T8" i="22"/>
  <c r="U7" i="22"/>
  <c r="T7" i="22"/>
  <c r="U6" i="22"/>
  <c r="T6" i="22"/>
  <c r="U5" i="22"/>
  <c r="T5" i="22"/>
  <c r="R206" i="22"/>
  <c r="Q206" i="22"/>
  <c r="R205" i="22"/>
  <c r="Q205" i="22"/>
  <c r="R204" i="22"/>
  <c r="Q204" i="22"/>
  <c r="R203" i="22"/>
  <c r="Q203" i="22"/>
  <c r="R202" i="22"/>
  <c r="Q202" i="22"/>
  <c r="R201" i="22"/>
  <c r="Q201" i="22"/>
  <c r="R200" i="22"/>
  <c r="Q200" i="22"/>
  <c r="R199" i="22"/>
  <c r="Q199" i="22"/>
  <c r="R198" i="22"/>
  <c r="Q198" i="22"/>
  <c r="R197" i="22"/>
  <c r="Q197" i="22"/>
  <c r="R196" i="22"/>
  <c r="Q196" i="22"/>
  <c r="R195" i="22"/>
  <c r="Q195" i="22"/>
  <c r="R194" i="22"/>
  <c r="Q194" i="22"/>
  <c r="R193" i="22"/>
  <c r="Q193" i="22"/>
  <c r="R192" i="22"/>
  <c r="Q192" i="22"/>
  <c r="R191" i="22"/>
  <c r="Q191" i="22"/>
  <c r="R190" i="22"/>
  <c r="Q190" i="22"/>
  <c r="R189" i="22"/>
  <c r="Q189" i="22"/>
  <c r="R188" i="22"/>
  <c r="Q188" i="22"/>
  <c r="R187" i="22"/>
  <c r="Q187" i="22"/>
  <c r="R186" i="22"/>
  <c r="Q186" i="22"/>
  <c r="R185" i="22"/>
  <c r="Q185" i="22"/>
  <c r="R184" i="22"/>
  <c r="Q184" i="22"/>
  <c r="R183" i="22"/>
  <c r="Q183" i="22"/>
  <c r="R182" i="22"/>
  <c r="Q182" i="22"/>
  <c r="R181" i="22"/>
  <c r="Q181" i="22"/>
  <c r="R180" i="22"/>
  <c r="Q180" i="22"/>
  <c r="R179" i="22"/>
  <c r="Q179" i="22"/>
  <c r="R178" i="22"/>
  <c r="Q178" i="22"/>
  <c r="R177" i="22"/>
  <c r="Q177" i="22"/>
  <c r="R176" i="22"/>
  <c r="Q176" i="22"/>
  <c r="R175" i="22"/>
  <c r="Q175" i="22"/>
  <c r="R174" i="22"/>
  <c r="Q174" i="22"/>
  <c r="R173" i="22"/>
  <c r="Q173" i="22"/>
  <c r="R172" i="22"/>
  <c r="Q172" i="22"/>
  <c r="R171" i="22"/>
  <c r="Q171" i="22"/>
  <c r="R170" i="22"/>
  <c r="Q170" i="22"/>
  <c r="R169" i="22"/>
  <c r="Q169" i="22"/>
  <c r="R168" i="22"/>
  <c r="Q168" i="22"/>
  <c r="R167" i="22"/>
  <c r="Q167" i="22"/>
  <c r="R166" i="22"/>
  <c r="Q166" i="22"/>
  <c r="R165" i="22"/>
  <c r="Q165" i="22"/>
  <c r="R164" i="22"/>
  <c r="Q164" i="22"/>
  <c r="R163" i="22"/>
  <c r="Q163" i="22"/>
  <c r="R162" i="22"/>
  <c r="Q162" i="22"/>
  <c r="R161" i="22"/>
  <c r="Q161" i="22"/>
  <c r="R160" i="22"/>
  <c r="Q160" i="22"/>
  <c r="R159" i="22"/>
  <c r="Q159" i="22"/>
  <c r="R158" i="22"/>
  <c r="Q158" i="22"/>
  <c r="R157" i="22"/>
  <c r="Q157" i="22"/>
  <c r="R156" i="22"/>
  <c r="Q156" i="22"/>
  <c r="R155" i="22"/>
  <c r="Q155" i="22"/>
  <c r="R154" i="22"/>
  <c r="Q154" i="22"/>
  <c r="R153" i="22"/>
  <c r="Q153" i="22"/>
  <c r="R152" i="22"/>
  <c r="Q152" i="22"/>
  <c r="R151" i="22"/>
  <c r="Q151" i="22"/>
  <c r="R150" i="22"/>
  <c r="Q150" i="22"/>
  <c r="R149" i="22"/>
  <c r="Q149" i="22"/>
  <c r="R148" i="22"/>
  <c r="Q148" i="22"/>
  <c r="R147" i="22"/>
  <c r="Q147" i="22"/>
  <c r="R146" i="22"/>
  <c r="Q146" i="22"/>
  <c r="R145" i="22"/>
  <c r="Q145" i="22"/>
  <c r="R144" i="22"/>
  <c r="Q144" i="22"/>
  <c r="R143" i="22"/>
  <c r="Q143" i="22"/>
  <c r="R142" i="22"/>
  <c r="Q142" i="22"/>
  <c r="R141" i="22"/>
  <c r="Q141" i="22"/>
  <c r="R140" i="22"/>
  <c r="Q140" i="22"/>
  <c r="R139" i="22"/>
  <c r="Q139" i="22"/>
  <c r="R138" i="22"/>
  <c r="Q138" i="22"/>
  <c r="R137" i="22"/>
  <c r="Q137" i="22"/>
  <c r="R136" i="22"/>
  <c r="Q136" i="22"/>
  <c r="R135" i="22"/>
  <c r="Q135" i="22"/>
  <c r="R134" i="22"/>
  <c r="Q134" i="22"/>
  <c r="R133" i="22"/>
  <c r="Q133" i="22"/>
  <c r="R132" i="22"/>
  <c r="Q132" i="22"/>
  <c r="R131" i="22"/>
  <c r="Q131" i="22"/>
  <c r="R130" i="22"/>
  <c r="Q130" i="22"/>
  <c r="R129" i="22"/>
  <c r="Q129" i="22"/>
  <c r="R128" i="22"/>
  <c r="Q128" i="22"/>
  <c r="R127" i="22"/>
  <c r="Q127" i="22"/>
  <c r="R126" i="22"/>
  <c r="Q126" i="22"/>
  <c r="R125" i="22"/>
  <c r="Q125" i="22"/>
  <c r="R124" i="22"/>
  <c r="Q124" i="22"/>
  <c r="R123" i="22"/>
  <c r="Q123" i="22"/>
  <c r="R122" i="22"/>
  <c r="Q122" i="22"/>
  <c r="R121" i="22"/>
  <c r="Q121" i="22"/>
  <c r="R120" i="22"/>
  <c r="Q120" i="22"/>
  <c r="R119" i="22"/>
  <c r="Q119" i="22"/>
  <c r="R118" i="22"/>
  <c r="Q118" i="22"/>
  <c r="R117" i="22"/>
  <c r="Q117" i="22"/>
  <c r="R116" i="22"/>
  <c r="Q116" i="22"/>
  <c r="R115" i="22"/>
  <c r="Q115" i="22"/>
  <c r="R114" i="22"/>
  <c r="Q114" i="22"/>
  <c r="R113" i="22"/>
  <c r="Q113" i="22"/>
  <c r="R112" i="22"/>
  <c r="Q112" i="22"/>
  <c r="R111" i="22"/>
  <c r="Q111" i="22"/>
  <c r="R110" i="22"/>
  <c r="Q110" i="22"/>
  <c r="R109" i="22"/>
  <c r="Q109" i="22"/>
  <c r="R108" i="22"/>
  <c r="Q108" i="22"/>
  <c r="R107" i="22"/>
  <c r="Q107" i="22"/>
  <c r="R106" i="22"/>
  <c r="Q106" i="22"/>
  <c r="R105" i="22"/>
  <c r="Q105" i="22"/>
  <c r="R101" i="22"/>
  <c r="Q101" i="22"/>
  <c r="R100" i="22"/>
  <c r="Q100" i="22"/>
  <c r="R99" i="22"/>
  <c r="Q99" i="22"/>
  <c r="R98" i="22"/>
  <c r="Q98" i="22"/>
  <c r="R97" i="22"/>
  <c r="Q97" i="22"/>
  <c r="R96" i="22"/>
  <c r="Q96" i="22"/>
  <c r="R95" i="22"/>
  <c r="Q95" i="22"/>
  <c r="R94" i="22"/>
  <c r="Q94" i="22"/>
  <c r="R93" i="22"/>
  <c r="Q93" i="22"/>
  <c r="R92" i="22"/>
  <c r="Q92" i="22"/>
  <c r="R91" i="22"/>
  <c r="Q91" i="22"/>
  <c r="R90" i="22"/>
  <c r="Q90" i="22"/>
  <c r="R89" i="22"/>
  <c r="Q89" i="22"/>
  <c r="R88" i="22"/>
  <c r="Q88" i="22"/>
  <c r="R87" i="22"/>
  <c r="Q87" i="22"/>
  <c r="R86" i="22"/>
  <c r="Q86" i="22"/>
  <c r="R85" i="22"/>
  <c r="Q85" i="22"/>
  <c r="R84" i="22"/>
  <c r="Q84" i="22"/>
  <c r="R83" i="22"/>
  <c r="Q83" i="22"/>
  <c r="R82" i="22"/>
  <c r="Q82" i="22"/>
  <c r="R81" i="22"/>
  <c r="Q81" i="22"/>
  <c r="R80" i="22"/>
  <c r="Q80" i="22"/>
  <c r="R79" i="22"/>
  <c r="Q79" i="22"/>
  <c r="R78" i="22"/>
  <c r="Q78" i="22"/>
  <c r="R77" i="22"/>
  <c r="Q77" i="22"/>
  <c r="R76" i="22"/>
  <c r="Q76" i="22"/>
  <c r="R75" i="22"/>
  <c r="Q75" i="22"/>
  <c r="R74" i="22"/>
  <c r="Q74" i="22"/>
  <c r="R73" i="22"/>
  <c r="Q73" i="22"/>
  <c r="R72" i="22"/>
  <c r="Q72" i="22"/>
  <c r="R71" i="22"/>
  <c r="Q71" i="22"/>
  <c r="R70" i="22"/>
  <c r="Q70" i="22"/>
  <c r="R69" i="22"/>
  <c r="Q69" i="22"/>
  <c r="R68" i="22"/>
  <c r="Q68" i="22"/>
  <c r="R67" i="22"/>
  <c r="Q67" i="22"/>
  <c r="R66" i="22"/>
  <c r="Q66" i="22"/>
  <c r="R65" i="22"/>
  <c r="Q65" i="22"/>
  <c r="R64" i="22"/>
  <c r="Q64" i="22"/>
  <c r="R63" i="22"/>
  <c r="Q63" i="22"/>
  <c r="R62" i="22"/>
  <c r="Q62" i="22"/>
  <c r="R61" i="22"/>
  <c r="Q61" i="22"/>
  <c r="R60" i="22"/>
  <c r="Q60" i="22"/>
  <c r="R59" i="22"/>
  <c r="Q59" i="22"/>
  <c r="R58" i="22"/>
  <c r="Q58" i="22"/>
  <c r="R57" i="22"/>
  <c r="Q57" i="22"/>
  <c r="R56" i="22"/>
  <c r="Q56" i="22"/>
  <c r="R55" i="22"/>
  <c r="Q55" i="22"/>
  <c r="R54" i="22"/>
  <c r="Q54" i="22"/>
  <c r="R53" i="22"/>
  <c r="Q53" i="22"/>
  <c r="R52" i="22"/>
  <c r="Q52" i="22"/>
  <c r="R51" i="22"/>
  <c r="Q51" i="22"/>
  <c r="R50" i="22"/>
  <c r="Q50" i="22"/>
  <c r="R49" i="22"/>
  <c r="Q49" i="22"/>
  <c r="R48" i="22"/>
  <c r="Q48" i="22"/>
  <c r="R47" i="22"/>
  <c r="Q47" i="22"/>
  <c r="R46" i="22"/>
  <c r="Q46" i="22"/>
  <c r="R45" i="22"/>
  <c r="Q45" i="22"/>
  <c r="R44" i="22"/>
  <c r="Q44" i="22"/>
  <c r="R43" i="22"/>
  <c r="Q43" i="22"/>
  <c r="R42" i="22"/>
  <c r="Q42" i="22"/>
  <c r="R41" i="22"/>
  <c r="Q41" i="22"/>
  <c r="R40" i="22"/>
  <c r="Q40" i="22"/>
  <c r="R39" i="22"/>
  <c r="Q39" i="22"/>
  <c r="R38" i="22"/>
  <c r="Q38" i="22"/>
  <c r="R37" i="22"/>
  <c r="Q37" i="22"/>
  <c r="R36" i="22"/>
  <c r="Q36" i="22"/>
  <c r="R35" i="22"/>
  <c r="Q35" i="22"/>
  <c r="R34" i="22"/>
  <c r="Q34" i="22"/>
  <c r="R33" i="22"/>
  <c r="Q33" i="22"/>
  <c r="R32" i="22"/>
  <c r="Q32" i="22"/>
  <c r="R31" i="22"/>
  <c r="Q31" i="22"/>
  <c r="R30" i="22"/>
  <c r="Q30" i="22"/>
  <c r="R29" i="22"/>
  <c r="Q29" i="22"/>
  <c r="R28" i="22"/>
  <c r="Q28" i="22"/>
  <c r="R27" i="22"/>
  <c r="Q27" i="22"/>
  <c r="R26" i="22"/>
  <c r="Q26" i="22"/>
  <c r="R25" i="22"/>
  <c r="Q25" i="22"/>
  <c r="R24" i="22"/>
  <c r="Q24" i="22"/>
  <c r="R23" i="22"/>
  <c r="Q23" i="22"/>
  <c r="R22" i="22"/>
  <c r="Q22" i="22"/>
  <c r="R21" i="22"/>
  <c r="Q21" i="22"/>
  <c r="R20" i="22"/>
  <c r="Q20" i="22"/>
  <c r="R19" i="22"/>
  <c r="Q19" i="22"/>
  <c r="R18" i="22"/>
  <c r="Q18" i="22"/>
  <c r="R17" i="22"/>
  <c r="Q17" i="22"/>
  <c r="R16" i="22"/>
  <c r="Q16" i="22"/>
  <c r="R15" i="22"/>
  <c r="Q15" i="22"/>
  <c r="R14" i="22"/>
  <c r="Q14" i="22"/>
  <c r="R13" i="22"/>
  <c r="Q13" i="22"/>
  <c r="R12" i="22"/>
  <c r="Q12" i="22"/>
  <c r="R11" i="22"/>
  <c r="Q11" i="22"/>
  <c r="R10" i="22"/>
  <c r="Q10" i="22"/>
  <c r="R9" i="22"/>
  <c r="Q9" i="22"/>
  <c r="R8" i="22"/>
  <c r="Q8" i="22"/>
  <c r="R7" i="22"/>
  <c r="Q7" i="22"/>
  <c r="R6" i="22"/>
  <c r="Q6" i="22"/>
  <c r="R5" i="22"/>
  <c r="Q5" i="22"/>
  <c r="O206" i="22"/>
  <c r="N206" i="22"/>
  <c r="O205" i="22"/>
  <c r="N205" i="22"/>
  <c r="O204" i="22"/>
  <c r="N204" i="22"/>
  <c r="O203" i="22"/>
  <c r="N203" i="22"/>
  <c r="O202" i="22"/>
  <c r="N202" i="22"/>
  <c r="O201" i="22"/>
  <c r="N201" i="22"/>
  <c r="O200" i="22"/>
  <c r="N200" i="22"/>
  <c r="O199" i="22"/>
  <c r="N199" i="22"/>
  <c r="O198" i="22"/>
  <c r="N198" i="22"/>
  <c r="O197" i="22"/>
  <c r="N197" i="22"/>
  <c r="O196" i="22"/>
  <c r="N196" i="22"/>
  <c r="O195" i="22"/>
  <c r="N195" i="22"/>
  <c r="O194" i="22"/>
  <c r="N194" i="22"/>
  <c r="O193" i="22"/>
  <c r="N193" i="22"/>
  <c r="O192" i="22"/>
  <c r="N192" i="22"/>
  <c r="O191" i="22"/>
  <c r="N191" i="22"/>
  <c r="O190" i="22"/>
  <c r="N190" i="22"/>
  <c r="O189" i="22"/>
  <c r="N189" i="22"/>
  <c r="O188" i="22"/>
  <c r="N188" i="22"/>
  <c r="O187" i="22"/>
  <c r="N187" i="22"/>
  <c r="O186" i="22"/>
  <c r="N186" i="22"/>
  <c r="O185" i="22"/>
  <c r="N185" i="22"/>
  <c r="O184" i="22"/>
  <c r="N184" i="22"/>
  <c r="O183" i="22"/>
  <c r="N183" i="22"/>
  <c r="O182" i="22"/>
  <c r="N182" i="22"/>
  <c r="O181" i="22"/>
  <c r="N181" i="22"/>
  <c r="O180" i="22"/>
  <c r="N180" i="22"/>
  <c r="O179" i="22"/>
  <c r="N179" i="22"/>
  <c r="O178" i="22"/>
  <c r="N178" i="22"/>
  <c r="O177" i="22"/>
  <c r="N177" i="22"/>
  <c r="O176" i="22"/>
  <c r="N176" i="22"/>
  <c r="O175" i="22"/>
  <c r="N175" i="22"/>
  <c r="O174" i="22"/>
  <c r="N174" i="22"/>
  <c r="O173" i="22"/>
  <c r="N173" i="22"/>
  <c r="O172" i="22"/>
  <c r="N172" i="22"/>
  <c r="O171" i="22"/>
  <c r="N171" i="22"/>
  <c r="O170" i="22"/>
  <c r="N170" i="22"/>
  <c r="O169" i="22"/>
  <c r="N169" i="22"/>
  <c r="O168" i="22"/>
  <c r="N168" i="22"/>
  <c r="O167" i="22"/>
  <c r="N167" i="22"/>
  <c r="O166" i="22"/>
  <c r="N166" i="22"/>
  <c r="O165" i="22"/>
  <c r="N165" i="22"/>
  <c r="O164" i="22"/>
  <c r="N164" i="22"/>
  <c r="O163" i="22"/>
  <c r="N163" i="22"/>
  <c r="O162" i="22"/>
  <c r="N162" i="22"/>
  <c r="O161" i="22"/>
  <c r="N161" i="22"/>
  <c r="O160" i="22"/>
  <c r="N160" i="22"/>
  <c r="O159" i="22"/>
  <c r="N159" i="22"/>
  <c r="O158" i="22"/>
  <c r="N158" i="22"/>
  <c r="O157" i="22"/>
  <c r="N157" i="22"/>
  <c r="O156" i="22"/>
  <c r="N156" i="22"/>
  <c r="O155" i="22"/>
  <c r="N155" i="22"/>
  <c r="O154" i="22"/>
  <c r="N154" i="22"/>
  <c r="O153" i="22"/>
  <c r="N153" i="22"/>
  <c r="O152" i="22"/>
  <c r="N152" i="22"/>
  <c r="O151" i="22"/>
  <c r="N151" i="22"/>
  <c r="O150" i="22"/>
  <c r="N150" i="22"/>
  <c r="O149" i="22"/>
  <c r="N149" i="22"/>
  <c r="O148" i="22"/>
  <c r="N148" i="22"/>
  <c r="O147" i="22"/>
  <c r="N147" i="22"/>
  <c r="O146" i="22"/>
  <c r="N146" i="22"/>
  <c r="O145" i="22"/>
  <c r="N145" i="22"/>
  <c r="O144" i="22"/>
  <c r="N144" i="22"/>
  <c r="O143" i="22"/>
  <c r="N143" i="22"/>
  <c r="O142" i="22"/>
  <c r="N142" i="22"/>
  <c r="O141" i="22"/>
  <c r="N141" i="22"/>
  <c r="O140" i="22"/>
  <c r="N140" i="22"/>
  <c r="O139" i="22"/>
  <c r="N139" i="22"/>
  <c r="O138" i="22"/>
  <c r="N138" i="22"/>
  <c r="O137" i="22"/>
  <c r="N137" i="22"/>
  <c r="O136" i="22"/>
  <c r="N136" i="22"/>
  <c r="O135" i="22"/>
  <c r="N135" i="22"/>
  <c r="O134" i="22"/>
  <c r="N134" i="22"/>
  <c r="O133" i="22"/>
  <c r="N133" i="22"/>
  <c r="O132" i="22"/>
  <c r="N132" i="22"/>
  <c r="O131" i="22"/>
  <c r="N131" i="22"/>
  <c r="O130" i="22"/>
  <c r="N130" i="22"/>
  <c r="O129" i="22"/>
  <c r="N129" i="22"/>
  <c r="O128" i="22"/>
  <c r="N128" i="22"/>
  <c r="O127" i="22"/>
  <c r="N127" i="22"/>
  <c r="O126" i="22"/>
  <c r="N126" i="22"/>
  <c r="O125" i="22"/>
  <c r="N125" i="22"/>
  <c r="O124" i="22"/>
  <c r="N124" i="22"/>
  <c r="O123" i="22"/>
  <c r="N123" i="22"/>
  <c r="O122" i="22"/>
  <c r="N122" i="22"/>
  <c r="O121" i="22"/>
  <c r="N121" i="22"/>
  <c r="O120" i="22"/>
  <c r="N120" i="22"/>
  <c r="O119" i="22"/>
  <c r="N119" i="22"/>
  <c r="O118" i="22"/>
  <c r="N118" i="22"/>
  <c r="O117" i="22"/>
  <c r="N117" i="22"/>
  <c r="O116" i="22"/>
  <c r="N116" i="22"/>
  <c r="O115" i="22"/>
  <c r="N115" i="22"/>
  <c r="O114" i="22"/>
  <c r="N114" i="22"/>
  <c r="O113" i="22"/>
  <c r="N113" i="22"/>
  <c r="O112" i="22"/>
  <c r="N112" i="22"/>
  <c r="O111" i="22"/>
  <c r="N111" i="22"/>
  <c r="O110" i="22"/>
  <c r="N110" i="22"/>
  <c r="O109" i="22"/>
  <c r="N109" i="22"/>
  <c r="O108" i="22"/>
  <c r="N108" i="22"/>
  <c r="O107" i="22"/>
  <c r="N107" i="22"/>
  <c r="O106" i="22"/>
  <c r="N106" i="22"/>
  <c r="O105" i="22"/>
  <c r="N105" i="22"/>
  <c r="O101" i="22"/>
  <c r="N101" i="22"/>
  <c r="O100" i="22"/>
  <c r="N100" i="22"/>
  <c r="O99" i="22"/>
  <c r="N99" i="22"/>
  <c r="O98" i="22"/>
  <c r="N98" i="22"/>
  <c r="O97" i="22"/>
  <c r="N97" i="22"/>
  <c r="O96" i="22"/>
  <c r="N96" i="22"/>
  <c r="O95" i="22"/>
  <c r="N95" i="22"/>
  <c r="O94" i="22"/>
  <c r="N94" i="22"/>
  <c r="O93" i="22"/>
  <c r="N93" i="22"/>
  <c r="O92" i="22"/>
  <c r="N92" i="22"/>
  <c r="O91" i="22"/>
  <c r="N91" i="22"/>
  <c r="O90" i="22"/>
  <c r="N90" i="22"/>
  <c r="O89" i="22"/>
  <c r="N89" i="22"/>
  <c r="O88" i="22"/>
  <c r="N88" i="22"/>
  <c r="O87" i="22"/>
  <c r="N87" i="22"/>
  <c r="O86" i="22"/>
  <c r="N86" i="22"/>
  <c r="O85" i="22"/>
  <c r="N85" i="22"/>
  <c r="O84" i="22"/>
  <c r="N84" i="22"/>
  <c r="O83" i="22"/>
  <c r="N83" i="22"/>
  <c r="O82" i="22"/>
  <c r="N82" i="22"/>
  <c r="O81" i="22"/>
  <c r="N81" i="22"/>
  <c r="O80" i="22"/>
  <c r="N80" i="22"/>
  <c r="O79" i="22"/>
  <c r="N79" i="22"/>
  <c r="O78" i="22"/>
  <c r="N78" i="22"/>
  <c r="O77" i="22"/>
  <c r="N77" i="22"/>
  <c r="O76" i="22"/>
  <c r="N76" i="22"/>
  <c r="O75" i="22"/>
  <c r="N75" i="22"/>
  <c r="O74" i="22"/>
  <c r="N74" i="22"/>
  <c r="O73" i="22"/>
  <c r="N73" i="22"/>
  <c r="O72" i="22"/>
  <c r="N72" i="22"/>
  <c r="O71" i="22"/>
  <c r="N71" i="22"/>
  <c r="O70" i="22"/>
  <c r="N70" i="22"/>
  <c r="O69" i="22"/>
  <c r="N69" i="22"/>
  <c r="O68" i="22"/>
  <c r="N68" i="22"/>
  <c r="O67" i="22"/>
  <c r="N67" i="22"/>
  <c r="O66" i="22"/>
  <c r="N66" i="22"/>
  <c r="O65" i="22"/>
  <c r="N65" i="22"/>
  <c r="O64" i="22"/>
  <c r="N64" i="22"/>
  <c r="O63" i="22"/>
  <c r="N63" i="22"/>
  <c r="O62" i="22"/>
  <c r="N62" i="22"/>
  <c r="O61" i="22"/>
  <c r="N61" i="22"/>
  <c r="O60" i="22"/>
  <c r="N60" i="22"/>
  <c r="O59" i="22"/>
  <c r="N59" i="22"/>
  <c r="O58" i="22"/>
  <c r="N58" i="22"/>
  <c r="O57" i="22"/>
  <c r="N57" i="22"/>
  <c r="O56" i="22"/>
  <c r="N56" i="22"/>
  <c r="O55" i="22"/>
  <c r="N55" i="22"/>
  <c r="O54" i="22"/>
  <c r="N54" i="22"/>
  <c r="O53" i="22"/>
  <c r="N53" i="22"/>
  <c r="O52" i="22"/>
  <c r="N52" i="22"/>
  <c r="O51" i="22"/>
  <c r="N51" i="22"/>
  <c r="O50" i="22"/>
  <c r="N50" i="22"/>
  <c r="O49" i="22"/>
  <c r="N49" i="22"/>
  <c r="O48" i="22"/>
  <c r="N48" i="22"/>
  <c r="O47" i="22"/>
  <c r="N47" i="22"/>
  <c r="O46" i="22"/>
  <c r="N46" i="22"/>
  <c r="O45" i="22"/>
  <c r="N45" i="22"/>
  <c r="O44" i="22"/>
  <c r="N44" i="22"/>
  <c r="O43" i="22"/>
  <c r="N43" i="22"/>
  <c r="O42" i="22"/>
  <c r="N42" i="22"/>
  <c r="O41" i="22"/>
  <c r="N41" i="22"/>
  <c r="O40" i="22"/>
  <c r="N40" i="22"/>
  <c r="O39" i="22"/>
  <c r="N39" i="22"/>
  <c r="O38" i="22"/>
  <c r="N38" i="22"/>
  <c r="O37" i="22"/>
  <c r="N37" i="22"/>
  <c r="O36" i="22"/>
  <c r="N36" i="22"/>
  <c r="O35" i="22"/>
  <c r="N35" i="22"/>
  <c r="O34" i="22"/>
  <c r="N34" i="22"/>
  <c r="O33" i="22"/>
  <c r="N33" i="22"/>
  <c r="O32" i="22"/>
  <c r="N32" i="22"/>
  <c r="O31" i="22"/>
  <c r="N31" i="22"/>
  <c r="O30" i="22"/>
  <c r="N30" i="22"/>
  <c r="O29" i="22"/>
  <c r="N29" i="22"/>
  <c r="O28" i="22"/>
  <c r="N28" i="22"/>
  <c r="O27" i="22"/>
  <c r="N27" i="22"/>
  <c r="O26" i="22"/>
  <c r="N26" i="22"/>
  <c r="O25" i="22"/>
  <c r="N25" i="22"/>
  <c r="O24" i="22"/>
  <c r="N24" i="22"/>
  <c r="O23" i="22"/>
  <c r="N23" i="22"/>
  <c r="O22" i="22"/>
  <c r="N22" i="22"/>
  <c r="O21" i="22"/>
  <c r="N21" i="22"/>
  <c r="O20" i="22"/>
  <c r="N20" i="22"/>
  <c r="O19" i="22"/>
  <c r="N19" i="22"/>
  <c r="O18" i="22"/>
  <c r="N18" i="22"/>
  <c r="O17" i="22"/>
  <c r="N17" i="22"/>
  <c r="O16" i="22"/>
  <c r="N16" i="22"/>
  <c r="O15" i="22"/>
  <c r="N15" i="22"/>
  <c r="O14" i="22"/>
  <c r="N14" i="22"/>
  <c r="O13" i="22"/>
  <c r="N13" i="22"/>
  <c r="O12" i="22"/>
  <c r="N12" i="22"/>
  <c r="O11" i="22"/>
  <c r="N11" i="22"/>
  <c r="O10" i="22"/>
  <c r="N10" i="22"/>
  <c r="O9" i="22"/>
  <c r="N9" i="22"/>
  <c r="O8" i="22"/>
  <c r="N8" i="22"/>
  <c r="O7" i="22"/>
  <c r="N7" i="22"/>
  <c r="O6" i="22"/>
  <c r="N6" i="22"/>
  <c r="O5" i="22"/>
  <c r="N5" i="22"/>
  <c r="L206" i="22"/>
  <c r="K206" i="22"/>
  <c r="L205" i="22"/>
  <c r="K205" i="22"/>
  <c r="L204" i="22"/>
  <c r="K204" i="22"/>
  <c r="L203" i="22"/>
  <c r="K203" i="22"/>
  <c r="L202" i="22"/>
  <c r="K202" i="22"/>
  <c r="L201" i="22"/>
  <c r="K201" i="22"/>
  <c r="L200" i="22"/>
  <c r="K200" i="22"/>
  <c r="L199" i="22"/>
  <c r="K199" i="22"/>
  <c r="L198" i="22"/>
  <c r="K198" i="22"/>
  <c r="L197" i="22"/>
  <c r="K197" i="22"/>
  <c r="L196" i="22"/>
  <c r="K196" i="22"/>
  <c r="L195" i="22"/>
  <c r="K195" i="22"/>
  <c r="L194" i="22"/>
  <c r="K194" i="22"/>
  <c r="L193" i="22"/>
  <c r="K193" i="22"/>
  <c r="L192" i="22"/>
  <c r="K192" i="22"/>
  <c r="L191" i="22"/>
  <c r="K191" i="22"/>
  <c r="L190" i="22"/>
  <c r="K190" i="22"/>
  <c r="L189" i="22"/>
  <c r="K189" i="22"/>
  <c r="L188" i="22"/>
  <c r="K188" i="22"/>
  <c r="L187" i="22"/>
  <c r="K187" i="22"/>
  <c r="L186" i="22"/>
  <c r="K186" i="22"/>
  <c r="L185" i="22"/>
  <c r="K185" i="22"/>
  <c r="L184" i="22"/>
  <c r="K184" i="22"/>
  <c r="L183" i="22"/>
  <c r="K183" i="22"/>
  <c r="L182" i="22"/>
  <c r="K182" i="22"/>
  <c r="L181" i="22"/>
  <c r="K181" i="22"/>
  <c r="L180" i="22"/>
  <c r="K180" i="22"/>
  <c r="L179" i="22"/>
  <c r="K179" i="22"/>
  <c r="L178" i="22"/>
  <c r="K178" i="22"/>
  <c r="L177" i="22"/>
  <c r="K177" i="22"/>
  <c r="L176" i="22"/>
  <c r="K176" i="22"/>
  <c r="L175" i="22"/>
  <c r="K175" i="22"/>
  <c r="L174" i="22"/>
  <c r="K174" i="22"/>
  <c r="L173" i="22"/>
  <c r="K173" i="22"/>
  <c r="L172" i="22"/>
  <c r="K172" i="22"/>
  <c r="L171" i="22"/>
  <c r="K171" i="22"/>
  <c r="L170" i="22"/>
  <c r="K170" i="22"/>
  <c r="L169" i="22"/>
  <c r="K169" i="22"/>
  <c r="L168" i="22"/>
  <c r="K168" i="22"/>
  <c r="L167" i="22"/>
  <c r="K167" i="22"/>
  <c r="L166" i="22"/>
  <c r="K166" i="22"/>
  <c r="L165" i="22"/>
  <c r="K165" i="22"/>
  <c r="L164" i="22"/>
  <c r="K164" i="22"/>
  <c r="L163" i="22"/>
  <c r="K163" i="22"/>
  <c r="L162" i="22"/>
  <c r="K162" i="22"/>
  <c r="L161" i="22"/>
  <c r="K161" i="22"/>
  <c r="L160" i="22"/>
  <c r="K160" i="22"/>
  <c r="L159" i="22"/>
  <c r="K159" i="22"/>
  <c r="L158" i="22"/>
  <c r="K158" i="22"/>
  <c r="L157" i="22"/>
  <c r="K157" i="22"/>
  <c r="L156" i="22"/>
  <c r="K156" i="22"/>
  <c r="L155" i="22"/>
  <c r="K155" i="22"/>
  <c r="L154" i="22"/>
  <c r="K154" i="22"/>
  <c r="L153" i="22"/>
  <c r="K153" i="22"/>
  <c r="L152" i="22"/>
  <c r="K152" i="22"/>
  <c r="L151" i="22"/>
  <c r="K151" i="22"/>
  <c r="L150" i="22"/>
  <c r="K150" i="22"/>
  <c r="L149" i="22"/>
  <c r="K149" i="22"/>
  <c r="L148" i="22"/>
  <c r="K148" i="22"/>
  <c r="L147" i="22"/>
  <c r="K147" i="22"/>
  <c r="L146" i="22"/>
  <c r="K146" i="22"/>
  <c r="L145" i="22"/>
  <c r="K145" i="22"/>
  <c r="L144" i="22"/>
  <c r="K144" i="22"/>
  <c r="L143" i="22"/>
  <c r="K143" i="22"/>
  <c r="L142" i="22"/>
  <c r="K142" i="22"/>
  <c r="L141" i="22"/>
  <c r="K141" i="22"/>
  <c r="L140" i="22"/>
  <c r="K140" i="22"/>
  <c r="L139" i="22"/>
  <c r="K139" i="22"/>
  <c r="L138" i="22"/>
  <c r="K138" i="22"/>
  <c r="L137" i="22"/>
  <c r="K137" i="22"/>
  <c r="L136" i="22"/>
  <c r="K136" i="22"/>
  <c r="L135" i="22"/>
  <c r="K135" i="22"/>
  <c r="L134" i="22"/>
  <c r="K134" i="22"/>
  <c r="L133" i="22"/>
  <c r="K133" i="22"/>
  <c r="L132" i="22"/>
  <c r="K132" i="22"/>
  <c r="L131" i="22"/>
  <c r="K131" i="22"/>
  <c r="L130" i="22"/>
  <c r="K130" i="22"/>
  <c r="L129" i="22"/>
  <c r="K129" i="22"/>
  <c r="L128" i="22"/>
  <c r="K128" i="22"/>
  <c r="L127" i="22"/>
  <c r="K127" i="22"/>
  <c r="L126" i="22"/>
  <c r="K126" i="22"/>
  <c r="L125" i="22"/>
  <c r="K125" i="22"/>
  <c r="L124" i="22"/>
  <c r="K124" i="22"/>
  <c r="L123" i="22"/>
  <c r="K123" i="22"/>
  <c r="L122" i="22"/>
  <c r="K122" i="22"/>
  <c r="L121" i="22"/>
  <c r="K121" i="22"/>
  <c r="L120" i="22"/>
  <c r="K120" i="22"/>
  <c r="L119" i="22"/>
  <c r="K119" i="22"/>
  <c r="L118" i="22"/>
  <c r="K118" i="22"/>
  <c r="L117" i="22"/>
  <c r="K117" i="22"/>
  <c r="L116" i="22"/>
  <c r="K116" i="22"/>
  <c r="L115" i="22"/>
  <c r="K115" i="22"/>
  <c r="L114" i="22"/>
  <c r="K114" i="22"/>
  <c r="L113" i="22"/>
  <c r="K113" i="22"/>
  <c r="L112" i="22"/>
  <c r="K112" i="22"/>
  <c r="L111" i="22"/>
  <c r="K111" i="22"/>
  <c r="L110" i="22"/>
  <c r="K110" i="22"/>
  <c r="L109" i="22"/>
  <c r="K109" i="22"/>
  <c r="L108" i="22"/>
  <c r="K108" i="22"/>
  <c r="L107" i="22"/>
  <c r="K107" i="22"/>
  <c r="L106" i="22"/>
  <c r="K106" i="22"/>
  <c r="L105" i="22"/>
  <c r="K105" i="22"/>
  <c r="L101" i="22"/>
  <c r="K101" i="22"/>
  <c r="L100" i="22"/>
  <c r="K100" i="22"/>
  <c r="L99" i="22"/>
  <c r="K99" i="22"/>
  <c r="L98" i="22"/>
  <c r="K98" i="22"/>
  <c r="L97" i="22"/>
  <c r="K97" i="22"/>
  <c r="L96" i="22"/>
  <c r="K96" i="22"/>
  <c r="L95" i="22"/>
  <c r="K95" i="22"/>
  <c r="L94" i="22"/>
  <c r="K94" i="22"/>
  <c r="L93" i="22"/>
  <c r="K93" i="22"/>
  <c r="L92" i="22"/>
  <c r="K92" i="22"/>
  <c r="L91" i="22"/>
  <c r="K91" i="22"/>
  <c r="L90" i="22"/>
  <c r="K90" i="22"/>
  <c r="L89" i="22"/>
  <c r="K89" i="22"/>
  <c r="L88" i="22"/>
  <c r="K88" i="22"/>
  <c r="L87" i="22"/>
  <c r="K87" i="22"/>
  <c r="L86" i="22"/>
  <c r="K86" i="22"/>
  <c r="L85" i="22"/>
  <c r="K85" i="22"/>
  <c r="L84" i="22"/>
  <c r="K84" i="22"/>
  <c r="L83" i="22"/>
  <c r="K83" i="22"/>
  <c r="L82" i="22"/>
  <c r="K82" i="22"/>
  <c r="L81" i="22"/>
  <c r="K81" i="22"/>
  <c r="L80" i="22"/>
  <c r="K80" i="22"/>
  <c r="L79" i="22"/>
  <c r="K79" i="22"/>
  <c r="L78" i="22"/>
  <c r="K78" i="22"/>
  <c r="L77" i="22"/>
  <c r="K77" i="22"/>
  <c r="L76" i="22"/>
  <c r="K76" i="22"/>
  <c r="L75" i="22"/>
  <c r="K75" i="22"/>
  <c r="L74" i="22"/>
  <c r="K74" i="22"/>
  <c r="L73" i="22"/>
  <c r="K73" i="22"/>
  <c r="L72" i="22"/>
  <c r="K72" i="22"/>
  <c r="L71" i="22"/>
  <c r="K71" i="22"/>
  <c r="L70" i="22"/>
  <c r="K70" i="22"/>
  <c r="L69" i="22"/>
  <c r="K69" i="22"/>
  <c r="L68" i="22"/>
  <c r="K68" i="22"/>
  <c r="L67" i="22"/>
  <c r="K67" i="22"/>
  <c r="L66" i="22"/>
  <c r="K66" i="22"/>
  <c r="L65" i="22"/>
  <c r="K65" i="22"/>
  <c r="L64" i="22"/>
  <c r="K64" i="22"/>
  <c r="L63" i="22"/>
  <c r="K63" i="22"/>
  <c r="L62" i="22"/>
  <c r="K62" i="22"/>
  <c r="L61" i="22"/>
  <c r="K61" i="22"/>
  <c r="L60" i="22"/>
  <c r="K60" i="22"/>
  <c r="L59" i="22"/>
  <c r="K59" i="22"/>
  <c r="L58" i="22"/>
  <c r="K58" i="22"/>
  <c r="L57" i="22"/>
  <c r="K57" i="22"/>
  <c r="L56" i="22"/>
  <c r="K56" i="22"/>
  <c r="L55" i="22"/>
  <c r="K55" i="22"/>
  <c r="L54" i="22"/>
  <c r="K54" i="22"/>
  <c r="L53" i="22"/>
  <c r="K53" i="22"/>
  <c r="L52" i="22"/>
  <c r="K52" i="22"/>
  <c r="L51" i="22"/>
  <c r="K51" i="22"/>
  <c r="L50" i="22"/>
  <c r="K50" i="22"/>
  <c r="L49" i="22"/>
  <c r="K49" i="22"/>
  <c r="L48" i="22"/>
  <c r="K48" i="22"/>
  <c r="L47" i="22"/>
  <c r="K47" i="22"/>
  <c r="L46" i="22"/>
  <c r="K46" i="22"/>
  <c r="L45" i="22"/>
  <c r="K45" i="22"/>
  <c r="L44" i="22"/>
  <c r="K44" i="22"/>
  <c r="L43" i="22"/>
  <c r="K43" i="22"/>
  <c r="L42" i="22"/>
  <c r="K42" i="22"/>
  <c r="L41" i="22"/>
  <c r="K41" i="22"/>
  <c r="L40" i="22"/>
  <c r="K40" i="22"/>
  <c r="L39" i="22"/>
  <c r="K39" i="22"/>
  <c r="L38" i="22"/>
  <c r="K38" i="22"/>
  <c r="L37" i="22"/>
  <c r="K37" i="22"/>
  <c r="L36" i="22"/>
  <c r="K36" i="22"/>
  <c r="L35" i="22"/>
  <c r="K35" i="22"/>
  <c r="L34" i="22"/>
  <c r="K34" i="22"/>
  <c r="L33" i="22"/>
  <c r="K33" i="22"/>
  <c r="L32" i="22"/>
  <c r="K32" i="22"/>
  <c r="L31" i="22"/>
  <c r="K31" i="22"/>
  <c r="L30" i="22"/>
  <c r="K30" i="22"/>
  <c r="L29" i="22"/>
  <c r="K29" i="22"/>
  <c r="L28" i="22"/>
  <c r="K28" i="22"/>
  <c r="L27" i="22"/>
  <c r="K27" i="22"/>
  <c r="L26" i="22"/>
  <c r="K26" i="22"/>
  <c r="L25" i="22"/>
  <c r="K25" i="22"/>
  <c r="L24" i="22"/>
  <c r="K24" i="22"/>
  <c r="L23" i="22"/>
  <c r="K23" i="22"/>
  <c r="L22" i="22"/>
  <c r="K22" i="22"/>
  <c r="L21" i="22"/>
  <c r="K21" i="22"/>
  <c r="L20" i="22"/>
  <c r="K20" i="22"/>
  <c r="L19" i="22"/>
  <c r="K19" i="22"/>
  <c r="L18" i="22"/>
  <c r="K18" i="22"/>
  <c r="L17" i="22"/>
  <c r="K17" i="22"/>
  <c r="L16" i="22"/>
  <c r="K16" i="22"/>
  <c r="L15" i="22"/>
  <c r="K15" i="22"/>
  <c r="L14" i="22"/>
  <c r="K14" i="22"/>
  <c r="L13" i="22"/>
  <c r="K13" i="22"/>
  <c r="L12" i="22"/>
  <c r="K12" i="22"/>
  <c r="L11" i="22"/>
  <c r="K11" i="22"/>
  <c r="L10" i="22"/>
  <c r="K10" i="22"/>
  <c r="L9" i="22"/>
  <c r="K9" i="22"/>
  <c r="L8" i="22"/>
  <c r="K8" i="22"/>
  <c r="L7" i="22"/>
  <c r="K7" i="22"/>
  <c r="L6" i="22"/>
  <c r="K6" i="22"/>
  <c r="L5" i="22"/>
  <c r="K5" i="22"/>
  <c r="I206" i="22"/>
  <c r="H206" i="22"/>
  <c r="I205" i="22"/>
  <c r="H205" i="22"/>
  <c r="I204" i="22"/>
  <c r="H204" i="22"/>
  <c r="I203" i="22"/>
  <c r="H203" i="22"/>
  <c r="I202" i="22"/>
  <c r="H202" i="22"/>
  <c r="I201" i="22"/>
  <c r="H201" i="22"/>
  <c r="I200" i="22"/>
  <c r="H200" i="22"/>
  <c r="I199" i="22"/>
  <c r="H199" i="22"/>
  <c r="I198" i="22"/>
  <c r="H198" i="22"/>
  <c r="I197" i="22"/>
  <c r="H197" i="22"/>
  <c r="I196" i="22"/>
  <c r="H196" i="22"/>
  <c r="I195" i="22"/>
  <c r="H195" i="22"/>
  <c r="I194" i="22"/>
  <c r="H194" i="22"/>
  <c r="I193" i="22"/>
  <c r="H193" i="22"/>
  <c r="I192" i="22"/>
  <c r="H192" i="22"/>
  <c r="I191" i="22"/>
  <c r="H191" i="22"/>
  <c r="I190" i="22"/>
  <c r="H190" i="22"/>
  <c r="I189" i="22"/>
  <c r="H189" i="22"/>
  <c r="I188" i="22"/>
  <c r="H188" i="22"/>
  <c r="I187" i="22"/>
  <c r="H187" i="22"/>
  <c r="I186" i="22"/>
  <c r="H186" i="22"/>
  <c r="I185" i="22"/>
  <c r="H185" i="22"/>
  <c r="I184" i="22"/>
  <c r="H184" i="22"/>
  <c r="I183" i="22"/>
  <c r="H183" i="22"/>
  <c r="I182" i="22"/>
  <c r="H182" i="22"/>
  <c r="I181" i="22"/>
  <c r="H181" i="22"/>
  <c r="I180" i="22"/>
  <c r="H180" i="22"/>
  <c r="I179" i="22"/>
  <c r="H179" i="22"/>
  <c r="I178" i="22"/>
  <c r="H178" i="22"/>
  <c r="I177" i="22"/>
  <c r="H177" i="22"/>
  <c r="I176" i="22"/>
  <c r="H176" i="22"/>
  <c r="I175" i="22"/>
  <c r="H175" i="22"/>
  <c r="I174" i="22"/>
  <c r="H174" i="22"/>
  <c r="I173" i="22"/>
  <c r="H173" i="22"/>
  <c r="I172" i="22"/>
  <c r="H172" i="22"/>
  <c r="I171" i="22"/>
  <c r="H171" i="22"/>
  <c r="I170" i="22"/>
  <c r="H170" i="22"/>
  <c r="I169" i="22"/>
  <c r="H169" i="22"/>
  <c r="I168" i="22"/>
  <c r="H168" i="22"/>
  <c r="I167" i="22"/>
  <c r="H167" i="22"/>
  <c r="I166" i="22"/>
  <c r="H166" i="22"/>
  <c r="I165" i="22"/>
  <c r="H165" i="22"/>
  <c r="I164" i="22"/>
  <c r="H164" i="22"/>
  <c r="I163" i="22"/>
  <c r="H163" i="22"/>
  <c r="I162" i="22"/>
  <c r="H162" i="22"/>
  <c r="I161" i="22"/>
  <c r="H161" i="22"/>
  <c r="I160" i="22"/>
  <c r="H160" i="22"/>
  <c r="I159" i="22"/>
  <c r="H159" i="22"/>
  <c r="I158" i="22"/>
  <c r="H158" i="22"/>
  <c r="I157" i="22"/>
  <c r="H157" i="22"/>
  <c r="I156" i="22"/>
  <c r="H156" i="22"/>
  <c r="I155" i="22"/>
  <c r="H155" i="22"/>
  <c r="I154" i="22"/>
  <c r="H154" i="22"/>
  <c r="I153" i="22"/>
  <c r="H153" i="22"/>
  <c r="I152" i="22"/>
  <c r="H152" i="22"/>
  <c r="I151" i="22"/>
  <c r="H151" i="22"/>
  <c r="I150" i="22"/>
  <c r="H150" i="22"/>
  <c r="I149" i="22"/>
  <c r="H149" i="22"/>
  <c r="I148" i="22"/>
  <c r="H148" i="22"/>
  <c r="I147" i="22"/>
  <c r="H147" i="22"/>
  <c r="I146" i="22"/>
  <c r="H146" i="22"/>
  <c r="I145" i="22"/>
  <c r="H145" i="22"/>
  <c r="I144" i="22"/>
  <c r="H144" i="22"/>
  <c r="I143" i="22"/>
  <c r="H143" i="22"/>
  <c r="I142" i="22"/>
  <c r="H142" i="22"/>
  <c r="I141" i="22"/>
  <c r="H141" i="22"/>
  <c r="I140" i="22"/>
  <c r="H140" i="22"/>
  <c r="I139" i="22"/>
  <c r="H139" i="22"/>
  <c r="I138" i="22"/>
  <c r="H138" i="22"/>
  <c r="I137" i="22"/>
  <c r="H137" i="22"/>
  <c r="I136" i="22"/>
  <c r="H136" i="22"/>
  <c r="I135" i="22"/>
  <c r="H135" i="22"/>
  <c r="I134" i="22"/>
  <c r="H134" i="22"/>
  <c r="I133" i="22"/>
  <c r="H133" i="22"/>
  <c r="I132" i="22"/>
  <c r="H132" i="22"/>
  <c r="I131" i="22"/>
  <c r="H131" i="22"/>
  <c r="I130" i="22"/>
  <c r="H130" i="22"/>
  <c r="I129" i="22"/>
  <c r="H129" i="22"/>
  <c r="I128" i="22"/>
  <c r="H128" i="22"/>
  <c r="I127" i="22"/>
  <c r="H127" i="22"/>
  <c r="I126" i="22"/>
  <c r="H126" i="22"/>
  <c r="I125" i="22"/>
  <c r="H125" i="22"/>
  <c r="I124" i="22"/>
  <c r="H124" i="22"/>
  <c r="I123" i="22"/>
  <c r="H123" i="22"/>
  <c r="I122" i="22"/>
  <c r="H122" i="22"/>
  <c r="I121" i="22"/>
  <c r="H121" i="22"/>
  <c r="I120" i="22"/>
  <c r="H120" i="22"/>
  <c r="I119" i="22"/>
  <c r="H119" i="22"/>
  <c r="I118" i="22"/>
  <c r="H118" i="22"/>
  <c r="I117" i="22"/>
  <c r="H117" i="22"/>
  <c r="I116" i="22"/>
  <c r="H116" i="22"/>
  <c r="I115" i="22"/>
  <c r="H115" i="22"/>
  <c r="I114" i="22"/>
  <c r="H114" i="22"/>
  <c r="I113" i="22"/>
  <c r="H113" i="22"/>
  <c r="I112" i="22"/>
  <c r="H112" i="22"/>
  <c r="I111" i="22"/>
  <c r="H111" i="22"/>
  <c r="I110" i="22"/>
  <c r="H110" i="22"/>
  <c r="I109" i="22"/>
  <c r="H109" i="22"/>
  <c r="I108" i="22"/>
  <c r="H108" i="22"/>
  <c r="I107" i="22"/>
  <c r="H107" i="22"/>
  <c r="I106" i="22"/>
  <c r="H106" i="22"/>
  <c r="I105" i="22"/>
  <c r="H105" i="22"/>
  <c r="I101" i="22"/>
  <c r="H101" i="22"/>
  <c r="I100" i="22"/>
  <c r="H100" i="22"/>
  <c r="I99" i="22"/>
  <c r="H99" i="22"/>
  <c r="I98" i="22"/>
  <c r="H98" i="22"/>
  <c r="I97" i="22"/>
  <c r="H97" i="22"/>
  <c r="I96" i="22"/>
  <c r="H96" i="22"/>
  <c r="I95" i="22"/>
  <c r="H95" i="22"/>
  <c r="I94" i="22"/>
  <c r="H94" i="22"/>
  <c r="I93" i="22"/>
  <c r="H93" i="22"/>
  <c r="I92" i="22"/>
  <c r="H92" i="22"/>
  <c r="I91" i="22"/>
  <c r="H91" i="22"/>
  <c r="I90" i="22"/>
  <c r="H90" i="22"/>
  <c r="I89" i="22"/>
  <c r="H89" i="22"/>
  <c r="I88" i="22"/>
  <c r="H88" i="22"/>
  <c r="I87" i="22"/>
  <c r="H87" i="22"/>
  <c r="I86" i="22"/>
  <c r="H86" i="22"/>
  <c r="I85" i="22"/>
  <c r="H85" i="22"/>
  <c r="I84" i="22"/>
  <c r="H84" i="22"/>
  <c r="I83" i="22"/>
  <c r="H83" i="22"/>
  <c r="I82" i="22"/>
  <c r="H82" i="22"/>
  <c r="I81" i="22"/>
  <c r="H81" i="22"/>
  <c r="I80" i="22"/>
  <c r="H80" i="22"/>
  <c r="I79" i="22"/>
  <c r="H79" i="22"/>
  <c r="I78" i="22"/>
  <c r="H78" i="22"/>
  <c r="I77" i="22"/>
  <c r="H77" i="22"/>
  <c r="I76" i="22"/>
  <c r="H76" i="22"/>
  <c r="I75" i="22"/>
  <c r="H75" i="22"/>
  <c r="I74" i="22"/>
  <c r="H74" i="22"/>
  <c r="I73" i="22"/>
  <c r="H73" i="22"/>
  <c r="I72" i="22"/>
  <c r="H72" i="22"/>
  <c r="I71" i="22"/>
  <c r="H71" i="22"/>
  <c r="I70" i="22"/>
  <c r="H70" i="22"/>
  <c r="I69" i="22"/>
  <c r="H69" i="22"/>
  <c r="I68" i="22"/>
  <c r="H68" i="22"/>
  <c r="I67" i="22"/>
  <c r="H67" i="22"/>
  <c r="I66" i="22"/>
  <c r="H66" i="22"/>
  <c r="I65" i="22"/>
  <c r="H65" i="22"/>
  <c r="I64" i="22"/>
  <c r="H64" i="22"/>
  <c r="I63" i="22"/>
  <c r="H63" i="22"/>
  <c r="I62" i="22"/>
  <c r="H62" i="22"/>
  <c r="I61" i="22"/>
  <c r="H61" i="22"/>
  <c r="I60" i="22"/>
  <c r="H60" i="22"/>
  <c r="I59" i="22"/>
  <c r="H59" i="22"/>
  <c r="I58" i="22"/>
  <c r="H58" i="22"/>
  <c r="I57" i="22"/>
  <c r="H57" i="22"/>
  <c r="I56" i="22"/>
  <c r="H56" i="22"/>
  <c r="I55" i="22"/>
  <c r="H55" i="22"/>
  <c r="I54" i="22"/>
  <c r="H54" i="22"/>
  <c r="I53" i="22"/>
  <c r="H53" i="22"/>
  <c r="I52" i="22"/>
  <c r="H52" i="22"/>
  <c r="I51" i="22"/>
  <c r="H51" i="22"/>
  <c r="I50" i="22"/>
  <c r="H50" i="22"/>
  <c r="I49" i="22"/>
  <c r="H49" i="22"/>
  <c r="I48" i="22"/>
  <c r="H48" i="22"/>
  <c r="I47" i="22"/>
  <c r="H47" i="22"/>
  <c r="I46" i="22"/>
  <c r="H46" i="22"/>
  <c r="I45" i="22"/>
  <c r="H45" i="22"/>
  <c r="I44" i="22"/>
  <c r="H44" i="22"/>
  <c r="I43" i="22"/>
  <c r="H43" i="22"/>
  <c r="I42" i="22"/>
  <c r="H42" i="22"/>
  <c r="I41" i="22"/>
  <c r="H41" i="22"/>
  <c r="I40" i="22"/>
  <c r="H40" i="22"/>
  <c r="I39" i="22"/>
  <c r="H39" i="22"/>
  <c r="I38" i="22"/>
  <c r="H38" i="22"/>
  <c r="I37" i="22"/>
  <c r="H37" i="22"/>
  <c r="I36" i="22"/>
  <c r="H36" i="22"/>
  <c r="I35" i="22"/>
  <c r="H35" i="22"/>
  <c r="I34" i="22"/>
  <c r="H34" i="22"/>
  <c r="I33" i="22"/>
  <c r="H33" i="22"/>
  <c r="I32" i="22"/>
  <c r="H32" i="22"/>
  <c r="I31" i="22"/>
  <c r="H31" i="22"/>
  <c r="I30" i="22"/>
  <c r="H30" i="22"/>
  <c r="I29" i="22"/>
  <c r="H29" i="22"/>
  <c r="I28" i="22"/>
  <c r="H28" i="22"/>
  <c r="I27" i="22"/>
  <c r="H27" i="22"/>
  <c r="I26" i="22"/>
  <c r="H26" i="22"/>
  <c r="I25" i="22"/>
  <c r="H25" i="22"/>
  <c r="I24" i="22"/>
  <c r="H24" i="22"/>
  <c r="I23" i="22"/>
  <c r="H23" i="22"/>
  <c r="I22" i="22"/>
  <c r="H22" i="22"/>
  <c r="I21" i="22"/>
  <c r="H21" i="22"/>
  <c r="I20" i="22"/>
  <c r="H20" i="22"/>
  <c r="I19" i="22"/>
  <c r="H19" i="22"/>
  <c r="I18" i="22"/>
  <c r="H18" i="22"/>
  <c r="I17" i="22"/>
  <c r="H17" i="22"/>
  <c r="I16" i="22"/>
  <c r="H16" i="22"/>
  <c r="I15" i="22"/>
  <c r="H15" i="22"/>
  <c r="I14" i="22"/>
  <c r="H14" i="22"/>
  <c r="I13" i="22"/>
  <c r="H13" i="22"/>
  <c r="I12" i="22"/>
  <c r="H12" i="22"/>
  <c r="I11" i="22"/>
  <c r="H11" i="22"/>
  <c r="I10" i="22"/>
  <c r="H10" i="22"/>
  <c r="I9" i="22"/>
  <c r="H9" i="22"/>
  <c r="I8" i="22"/>
  <c r="H8" i="22"/>
  <c r="I7" i="22"/>
  <c r="H7" i="22"/>
  <c r="I6" i="22"/>
  <c r="H6" i="22"/>
  <c r="I5" i="22"/>
  <c r="H5" i="22"/>
  <c r="F206" i="22"/>
  <c r="F205" i="22"/>
  <c r="F204" i="22"/>
  <c r="F203" i="22"/>
  <c r="F202" i="22"/>
  <c r="F201" i="22"/>
  <c r="F200" i="22"/>
  <c r="F199" i="22"/>
  <c r="F198" i="22"/>
  <c r="F197" i="22"/>
  <c r="F196" i="22"/>
  <c r="F195" i="22"/>
  <c r="F194" i="22"/>
  <c r="F193" i="22"/>
  <c r="F192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F172" i="22"/>
  <c r="F171" i="22"/>
  <c r="F170" i="22"/>
  <c r="F169" i="22"/>
  <c r="F168" i="22"/>
  <c r="F167" i="22"/>
  <c r="F166" i="22"/>
  <c r="F165" i="22"/>
  <c r="F164" i="22"/>
  <c r="F163" i="22"/>
  <c r="F162" i="22"/>
  <c r="F161" i="22"/>
  <c r="F160" i="22"/>
  <c r="F159" i="22"/>
  <c r="F158" i="22"/>
  <c r="F157" i="22"/>
  <c r="F156" i="22"/>
  <c r="F155" i="22"/>
  <c r="F154" i="22"/>
  <c r="F153" i="22"/>
  <c r="F152" i="22"/>
  <c r="F151" i="22"/>
  <c r="F150" i="22"/>
  <c r="F149" i="22"/>
  <c r="F148" i="22"/>
  <c r="F147" i="22"/>
  <c r="F146" i="22"/>
  <c r="F145" i="22"/>
  <c r="F144" i="22"/>
  <c r="F143" i="22"/>
  <c r="F142" i="22"/>
  <c r="F141" i="22"/>
  <c r="F140" i="22"/>
  <c r="F139" i="22"/>
  <c r="F138" i="22"/>
  <c r="F137" i="22"/>
  <c r="F136" i="22"/>
  <c r="F135" i="22"/>
  <c r="F134" i="22"/>
  <c r="F133" i="22"/>
  <c r="F132" i="22"/>
  <c r="F131" i="22"/>
  <c r="F130" i="22"/>
  <c r="F129" i="22"/>
  <c r="F128" i="22"/>
  <c r="F127" i="22"/>
  <c r="F126" i="22"/>
  <c r="F125" i="22"/>
  <c r="F124" i="22"/>
  <c r="F123" i="22"/>
  <c r="F122" i="22"/>
  <c r="F121" i="22"/>
  <c r="F120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107" i="22"/>
  <c r="F106" i="22"/>
  <c r="F10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5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4" i="22"/>
  <c r="E173" i="22"/>
  <c r="E172" i="22"/>
  <c r="E171" i="22"/>
  <c r="E170" i="22"/>
  <c r="E169" i="22"/>
  <c r="E168" i="22"/>
  <c r="E167" i="22"/>
  <c r="E166" i="22"/>
  <c r="E165" i="22"/>
  <c r="E164" i="22"/>
  <c r="E163" i="22"/>
  <c r="E162" i="22"/>
  <c r="E161" i="22"/>
  <c r="E160" i="22"/>
  <c r="E159" i="22"/>
  <c r="E158" i="22"/>
  <c r="E157" i="22"/>
  <c r="E156" i="22"/>
  <c r="E155" i="22"/>
  <c r="E154" i="22"/>
  <c r="E153" i="22"/>
  <c r="E152" i="22"/>
  <c r="E151" i="22"/>
  <c r="E150" i="22"/>
  <c r="E149" i="22"/>
  <c r="E148" i="22"/>
  <c r="E147" i="22"/>
  <c r="E146" i="22"/>
  <c r="E145" i="22"/>
  <c r="E144" i="22"/>
  <c r="E143" i="22"/>
  <c r="E142" i="22"/>
  <c r="E141" i="22"/>
  <c r="E140" i="22"/>
  <c r="E139" i="22"/>
  <c r="E138" i="22"/>
  <c r="E137" i="22"/>
  <c r="E136" i="22"/>
  <c r="E135" i="22"/>
  <c r="E134" i="22"/>
  <c r="E133" i="22"/>
  <c r="E132" i="22"/>
  <c r="E131" i="22"/>
  <c r="E130" i="22"/>
  <c r="E129" i="22"/>
  <c r="E128" i="22"/>
  <c r="E127" i="22"/>
  <c r="E126" i="22"/>
  <c r="E125" i="22"/>
  <c r="E124" i="22"/>
  <c r="E123" i="22"/>
  <c r="E122" i="22"/>
  <c r="E121" i="22"/>
  <c r="E120" i="22"/>
  <c r="E119" i="22"/>
  <c r="E118" i="22"/>
  <c r="E117" i="22"/>
  <c r="E116" i="22"/>
  <c r="E115" i="22"/>
  <c r="E114" i="22"/>
  <c r="E113" i="22"/>
  <c r="E112" i="22"/>
  <c r="E111" i="22"/>
  <c r="E110" i="22"/>
  <c r="E109" i="22"/>
  <c r="E108" i="22"/>
  <c r="E107" i="22"/>
  <c r="E106" i="22"/>
  <c r="E10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5" i="22"/>
  <c r="X73" i="23" l="1"/>
  <c r="Y13" i="23"/>
  <c r="AH4" i="23"/>
  <c r="AH9" i="23"/>
  <c r="AH8" i="23"/>
  <c r="T21" i="23"/>
  <c r="S9" i="23"/>
  <c r="S8" i="23"/>
  <c r="S4" i="23"/>
  <c r="AK11" i="23"/>
  <c r="AK10" i="23"/>
  <c r="P6" i="23"/>
  <c r="P7" i="23"/>
  <c r="J4" i="23"/>
  <c r="J13" i="23" s="1"/>
  <c r="J9" i="23"/>
  <c r="J8" i="23"/>
  <c r="N21" i="23"/>
  <c r="M9" i="23"/>
  <c r="M8" i="23"/>
  <c r="M4" i="23"/>
  <c r="G9" i="23"/>
  <c r="G8" i="23"/>
  <c r="G4" i="23"/>
  <c r="AE7" i="23"/>
  <c r="AE6" i="23"/>
  <c r="AL154" i="23"/>
  <c r="AK15" i="23"/>
  <c r="Z21" i="23"/>
  <c r="Y9" i="23"/>
  <c r="Y8" i="23"/>
  <c r="Y4" i="23"/>
  <c r="P4" i="23"/>
  <c r="P13" i="23" s="1"/>
  <c r="P9" i="23"/>
  <c r="P8" i="23"/>
  <c r="V6" i="23"/>
  <c r="V7" i="23"/>
  <c r="G7" i="23"/>
  <c r="G6" i="23"/>
  <c r="G13" i="23" s="1"/>
  <c r="G14" i="23" s="1"/>
  <c r="S7" i="23"/>
  <c r="S6" i="23"/>
  <c r="S13" i="23" s="1"/>
  <c r="AK4" i="23"/>
  <c r="AB4" i="23"/>
  <c r="AB13" i="23" s="1"/>
  <c r="AB9" i="23"/>
  <c r="AB8" i="23"/>
  <c r="AE13" i="23"/>
  <c r="AE8" i="23"/>
  <c r="AH6" i="23"/>
  <c r="AH7" i="23"/>
  <c r="J6" i="23"/>
  <c r="J7" i="23"/>
  <c r="V4" i="23"/>
  <c r="V13" i="23" s="1"/>
  <c r="V9" i="23"/>
  <c r="V8" i="23"/>
  <c r="Y7" i="23"/>
  <c r="Y6" i="23"/>
  <c r="M7" i="23"/>
  <c r="M6" i="23"/>
  <c r="M13" i="23" s="1"/>
  <c r="AL180" i="23"/>
  <c r="AK16" i="23"/>
  <c r="AM10" i="23"/>
  <c r="AB6" i="23"/>
  <c r="AB7" i="23"/>
  <c r="L21" i="23"/>
  <c r="L73" i="23"/>
  <c r="D8" i="23"/>
  <c r="D6" i="23"/>
  <c r="D13" i="23" s="1"/>
  <c r="AA21" i="23"/>
  <c r="R21" i="23"/>
  <c r="AJ74" i="23"/>
  <c r="AM74" i="23" s="1"/>
  <c r="AM11" i="23" s="1"/>
  <c r="AC21" i="23"/>
  <c r="AD21" i="23"/>
  <c r="N73" i="23"/>
  <c r="AM59" i="23"/>
  <c r="AM67" i="23"/>
  <c r="AM35" i="23"/>
  <c r="AM5" i="23" s="1"/>
  <c r="AM154" i="23"/>
  <c r="AM15" i="23" s="1"/>
  <c r="AJ21" i="23"/>
  <c r="AI21" i="23"/>
  <c r="X21" i="23"/>
  <c r="W21" i="23"/>
  <c r="U58" i="23"/>
  <c r="T58" i="23"/>
  <c r="AL21" i="23"/>
  <c r="L58" i="23"/>
  <c r="K58" i="23"/>
  <c r="AA58" i="23"/>
  <c r="Z58" i="23"/>
  <c r="AD58" i="23"/>
  <c r="AC58" i="23"/>
  <c r="I21" i="23"/>
  <c r="H21" i="23"/>
  <c r="O58" i="23"/>
  <c r="N58" i="23"/>
  <c r="U21" i="23"/>
  <c r="AD73" i="23"/>
  <c r="AC73" i="23"/>
  <c r="AI58" i="23"/>
  <c r="AJ180" i="23"/>
  <c r="AM180" i="23" s="1"/>
  <c r="AM16" i="23" s="1"/>
  <c r="AL74" i="23"/>
  <c r="AG73" i="23"/>
  <c r="AF73" i="23"/>
  <c r="AG21" i="23"/>
  <c r="AK73" i="23"/>
  <c r="D7" i="23"/>
  <c r="F58" i="23"/>
  <c r="E58" i="23"/>
  <c r="X58" i="23"/>
  <c r="W58" i="23"/>
  <c r="D9" i="23"/>
  <c r="I58" i="23"/>
  <c r="H58" i="23"/>
  <c r="R58" i="23"/>
  <c r="Q58" i="23"/>
  <c r="I73" i="23"/>
  <c r="H73" i="23"/>
  <c r="F73" i="23"/>
  <c r="F21" i="23"/>
  <c r="AK58" i="23"/>
  <c r="AL59" i="23"/>
  <c r="AG58" i="23"/>
  <c r="AF58" i="23"/>
  <c r="C20" i="3"/>
  <c r="M18" i="23" l="1"/>
  <c r="M14" i="23"/>
  <c r="S14" i="23"/>
  <c r="S18" i="23"/>
  <c r="P18" i="23"/>
  <c r="P14" i="23"/>
  <c r="J14" i="23"/>
  <c r="J18" i="23"/>
  <c r="AK7" i="23"/>
  <c r="AK6" i="23"/>
  <c r="AK13" i="23" s="1"/>
  <c r="AK8" i="23"/>
  <c r="AB14" i="23"/>
  <c r="AB18" i="23"/>
  <c r="AK9" i="23"/>
  <c r="AH13" i="23"/>
  <c r="Y18" i="23"/>
  <c r="Y14" i="23"/>
  <c r="V18" i="23"/>
  <c r="V14" i="23"/>
  <c r="AE18" i="23"/>
  <c r="AE14" i="23"/>
  <c r="D14" i="23"/>
  <c r="D18" i="23"/>
  <c r="AJ58" i="23"/>
  <c r="AM58" i="23" s="1"/>
  <c r="AM21" i="23"/>
  <c r="AL73" i="23"/>
  <c r="AJ73" i="23"/>
  <c r="AM73" i="23" s="1"/>
  <c r="AL58" i="23"/>
  <c r="C17" i="3"/>
  <c r="C78" i="3"/>
  <c r="C80" i="3"/>
  <c r="C7" i="3"/>
  <c r="C84" i="3"/>
  <c r="C86" i="3"/>
  <c r="AK18" i="23" l="1"/>
  <c r="AK14" i="23"/>
  <c r="AM6" i="23"/>
  <c r="AM7" i="23"/>
  <c r="AH18" i="23"/>
  <c r="AH14" i="23"/>
  <c r="AM4" i="23"/>
  <c r="AM13" i="23" s="1"/>
  <c r="AM9" i="23"/>
  <c r="AM8" i="23"/>
  <c r="C40" i="3"/>
  <c r="C82" i="3"/>
  <c r="C35" i="3"/>
  <c r="C27" i="3"/>
  <c r="C3" i="3"/>
  <c r="C65" i="3"/>
  <c r="C61" i="3"/>
  <c r="C72" i="3" s="1"/>
  <c r="C5" i="3"/>
  <c r="C9" i="3"/>
  <c r="C88" i="3"/>
  <c r="C90" i="3" s="1"/>
  <c r="C11" i="3"/>
  <c r="AM14" i="23" l="1"/>
  <c r="C43" i="3" s="1"/>
  <c r="AM18" i="23"/>
  <c r="C51" i="3"/>
  <c r="C56" i="3" s="1"/>
  <c r="C13" i="3" s="1"/>
  <c r="C47" i="3"/>
  <c r="C36" i="3"/>
  <c r="C31" i="3"/>
  <c r="AN58" i="23" l="1"/>
  <c r="AN21" i="23"/>
  <c r="AN73" i="23"/>
  <c r="AN35" i="23"/>
  <c r="AN74" i="23"/>
  <c r="AN46" i="23"/>
  <c r="AN60" i="23"/>
  <c r="AN85" i="23"/>
  <c r="AN192" i="23"/>
  <c r="AN33" i="23"/>
  <c r="AN197" i="23"/>
  <c r="AN47" i="23"/>
  <c r="AN81" i="23"/>
  <c r="AN111" i="23"/>
  <c r="AN166" i="23"/>
  <c r="AN152" i="23"/>
  <c r="AN185" i="23"/>
  <c r="AN72" i="23"/>
  <c r="AN86" i="23"/>
  <c r="AN157" i="23"/>
  <c r="AN191" i="23"/>
  <c r="AN190" i="23"/>
  <c r="AN49" i="23"/>
  <c r="AN59" i="23"/>
  <c r="AN48" i="23"/>
  <c r="AN70" i="23"/>
  <c r="AN54" i="23"/>
  <c r="AN56" i="23"/>
  <c r="AN177" i="23"/>
  <c r="AN133" i="23"/>
  <c r="AN129" i="23"/>
  <c r="AN26" i="23"/>
  <c r="AN94" i="23"/>
  <c r="AN106" i="23"/>
  <c r="AN40" i="23"/>
  <c r="AN194" i="23"/>
  <c r="AN61" i="23"/>
  <c r="AN84" i="23"/>
  <c r="AN181" i="23"/>
  <c r="AN93" i="23"/>
  <c r="AN149" i="23"/>
  <c r="AN65" i="23"/>
  <c r="AN102" i="23"/>
  <c r="AN139" i="23"/>
  <c r="AN146" i="23"/>
  <c r="AN123" i="23"/>
  <c r="AN44" i="23"/>
  <c r="AN137" i="23"/>
  <c r="AN132" i="23"/>
  <c r="AN24" i="23"/>
  <c r="AN161" i="23"/>
  <c r="AN57" i="23"/>
  <c r="AN126" i="23"/>
  <c r="AN148" i="23"/>
  <c r="AN99" i="23"/>
  <c r="AN82" i="23"/>
  <c r="AN145" i="23"/>
  <c r="AN100" i="23"/>
  <c r="AN39" i="23"/>
  <c r="AN164" i="23"/>
  <c r="AN155" i="23"/>
  <c r="AN154" i="23"/>
  <c r="AN31" i="23"/>
  <c r="AN117" i="23"/>
  <c r="AN43" i="23"/>
  <c r="AN193" i="23"/>
  <c r="AN55" i="23"/>
  <c r="AN108" i="23"/>
  <c r="AN165" i="23"/>
  <c r="AN125" i="23"/>
  <c r="AN134" i="23"/>
  <c r="AN41" i="23"/>
  <c r="AN109" i="23"/>
  <c r="AN92" i="23"/>
  <c r="AN122" i="23"/>
  <c r="AN158" i="23"/>
  <c r="AN163" i="23"/>
  <c r="AN98" i="23"/>
  <c r="AN156" i="23"/>
  <c r="AN23" i="23"/>
  <c r="AN180" i="23"/>
  <c r="AN101" i="23"/>
  <c r="AN83" i="23"/>
  <c r="AN32" i="23"/>
  <c r="AN104" i="23"/>
  <c r="AN25" i="23"/>
  <c r="AN169" i="23"/>
  <c r="AN178" i="23"/>
  <c r="AN78" i="23"/>
  <c r="AN113" i="23"/>
  <c r="AN198" i="23"/>
  <c r="AN95" i="23"/>
  <c r="AN142" i="23"/>
  <c r="AN64" i="23"/>
  <c r="AN45" i="23"/>
  <c r="AN34" i="23"/>
  <c r="AN69" i="23"/>
  <c r="AN67" i="23"/>
  <c r="AN75" i="23"/>
  <c r="AN87" i="23"/>
  <c r="AN167" i="23"/>
  <c r="AN147" i="23"/>
  <c r="AN42" i="23"/>
  <c r="AN38" i="23"/>
  <c r="AN96" i="23"/>
  <c r="AN195" i="23"/>
  <c r="AN71" i="23"/>
  <c r="AN124" i="23"/>
  <c r="AN115" i="23"/>
  <c r="AN88" i="23"/>
  <c r="AN119" i="23"/>
  <c r="AN91" i="23"/>
  <c r="AN76" i="23"/>
  <c r="AN170" i="23"/>
  <c r="AN36" i="23"/>
  <c r="AN62" i="23"/>
  <c r="AN110" i="23"/>
  <c r="AN90" i="23"/>
  <c r="AN172" i="23"/>
  <c r="AN37" i="23"/>
  <c r="AN107" i="23"/>
  <c r="AN183" i="23"/>
  <c r="AN128" i="23"/>
  <c r="AN196" i="23"/>
  <c r="AN162" i="23"/>
  <c r="AN179" i="23"/>
  <c r="AN79" i="23"/>
  <c r="AN63" i="23"/>
  <c r="AN187" i="23"/>
  <c r="AN135" i="23"/>
  <c r="AN160" i="23"/>
  <c r="AN130" i="23"/>
  <c r="AN189" i="23"/>
  <c r="AN80" i="23"/>
  <c r="AN136" i="23"/>
  <c r="AN174" i="23"/>
  <c r="AN52" i="23"/>
  <c r="AN66" i="23"/>
  <c r="AN173" i="23"/>
  <c r="AN131" i="23"/>
  <c r="AN159" i="23"/>
  <c r="AN144" i="23"/>
  <c r="AN116" i="23"/>
  <c r="AN175" i="23"/>
  <c r="AN184" i="23"/>
  <c r="AN121" i="23"/>
  <c r="AN97" i="23"/>
  <c r="AN176" i="23"/>
  <c r="AN143" i="23"/>
  <c r="AN50" i="23"/>
  <c r="AN27" i="23"/>
  <c r="AN138" i="23"/>
  <c r="AN89" i="23"/>
  <c r="AN112" i="23"/>
  <c r="AN140" i="23"/>
  <c r="AN28" i="23"/>
  <c r="AN105" i="23"/>
  <c r="AN151" i="23"/>
  <c r="AN103" i="23"/>
  <c r="AN141" i="23"/>
  <c r="AN153" i="23"/>
  <c r="AN118" i="23"/>
  <c r="AN188" i="23"/>
  <c r="AN114" i="23"/>
  <c r="AN51" i="23"/>
  <c r="AN29" i="23"/>
  <c r="AN120" i="23"/>
  <c r="AN53" i="23"/>
  <c r="AN30" i="23"/>
  <c r="AN127" i="23"/>
  <c r="AN186" i="23"/>
  <c r="AN150" i="23"/>
  <c r="AN22" i="23"/>
  <c r="AN171" i="23"/>
  <c r="AN77" i="23"/>
  <c r="AN168" i="23"/>
  <c r="AN68" i="23"/>
  <c r="AN182" i="23"/>
  <c r="G18" i="23"/>
</calcChain>
</file>

<file path=xl/sharedStrings.xml><?xml version="1.0" encoding="utf-8"?>
<sst xmlns="http://schemas.openxmlformats.org/spreadsheetml/2006/main" count="1316" uniqueCount="834">
  <si>
    <t>ATIVO</t>
  </si>
  <si>
    <t>CIRCULANTE</t>
  </si>
  <si>
    <t>1.1.4.10.1002</t>
  </si>
  <si>
    <t>1.1.4.10.3001</t>
  </si>
  <si>
    <t>1.1.4.10.2002</t>
  </si>
  <si>
    <t>3</t>
  </si>
  <si>
    <t>RECEITAS</t>
  </si>
  <si>
    <t>4</t>
  </si>
  <si>
    <t>CUSTO</t>
  </si>
  <si>
    <t>5</t>
  </si>
  <si>
    <t>DESPESAS</t>
  </si>
  <si>
    <t>1- Análise  da Liquidez</t>
  </si>
  <si>
    <t>RP – Rentabilidade do Patrimônio;</t>
  </si>
  <si>
    <t>1.1- Indice de liquidez  imediata</t>
  </si>
  <si>
    <t xml:space="preserve"> Disponivel : P C </t>
  </si>
  <si>
    <t>Quanto de disponivel para cobrir o PC. Quanto maior, melhor!</t>
  </si>
  <si>
    <t>LG – Liquidez Geral;</t>
  </si>
  <si>
    <t>LS – Liquidez Seca;</t>
  </si>
  <si>
    <t>1.2- Indice liquidez. Seca</t>
  </si>
  <si>
    <t>AC-Estoque : PC</t>
  </si>
  <si>
    <t>Quanto de recursos sem estoque p/cobrir o PC. Quanto maior, melhor!</t>
  </si>
  <si>
    <t>LC – Liquidez Corrente;</t>
  </si>
  <si>
    <t>GE – Grau de Endividamento.</t>
  </si>
  <si>
    <t>1.3- Indice de liquidez Corrente</t>
  </si>
  <si>
    <t>AC : PC</t>
  </si>
  <si>
    <t>Quanto de  Recursos  do AC(cp) para cobrir o PC(cp). Quanto maior, melhor!</t>
  </si>
  <si>
    <t>1.4- Indice  de liquidez geral</t>
  </si>
  <si>
    <t>(AC+RLP) : (PC+ELP)</t>
  </si>
  <si>
    <t>Quanto  Recursos  de CP+LP p/cobrir o Exigivel de CP+LP. Quanto maior, melhor!</t>
  </si>
  <si>
    <t>1.5-Grau de endividamento</t>
  </si>
  <si>
    <t>IE=(AC/PC)</t>
  </si>
  <si>
    <t>1.6- INSOLVENCIA - fórmula de Kanitz</t>
  </si>
  <si>
    <t>Y=(0,05*RP+1,65*LG+3,55*LS)-(1,06*LC+0,33*GE)</t>
  </si>
  <si>
    <t>De acordo com Kanitz se, após a aplicação da fórmula, o resultado (Y) se situar abaixo de – 3, indica que a empresa se encontra numa situação que poderá levá-la a falência. Evidentemente, quanto menor este valor, mais próximo da falência estará a empresa. Do mesmo modo, se a empresa se encontrar em relação ao termômetro com um valor acima de zero, não haverá razão para a administração se preocupar, principalmente à medida que melhora a posição da empresa no termômetro. Se ela se situar entre zero e – 3, temos o que o Kanitz chama de penumbra, ou seja, uma posição que demanda certa cautela. A penumbra funciona, por conseguinte, como um alerta. Se o fator resultar num valor entre 0 e +7, considera-se que a empresa se situa na faixa de solvência. As empresas inseridas dentro desses limites são as que apresentam as menores probabilidades de falência, e elas se reduzem quanto mais elevado se apresentar o fator calculado.</t>
  </si>
  <si>
    <t>2- Análise da atividade</t>
  </si>
  <si>
    <t xml:space="preserve">2.1- P M R E </t>
  </si>
  <si>
    <t>(EstoqueX365): CMV</t>
  </si>
  <si>
    <t xml:space="preserve">Tempo em DIAS que leva para  girar os estoque </t>
  </si>
  <si>
    <t xml:space="preserve">2.2- P M R D </t>
  </si>
  <si>
    <t>(DaRx365): Receita Liquida</t>
  </si>
  <si>
    <t>Temp em DIAS  que a empresa leva para cobrar as duplicatas</t>
  </si>
  <si>
    <t xml:space="preserve">2.3- P M R F </t>
  </si>
  <si>
    <t>(Forncx365): Compras</t>
  </si>
  <si>
    <t>Tempo em DIAS p/ pagamento  ao fornecedor</t>
  </si>
  <si>
    <t>3- Análise do Endividamento</t>
  </si>
  <si>
    <t>3.1- Indice de endividamento Geral</t>
  </si>
  <si>
    <t xml:space="preserve"> EG=(CT: AT) x 100</t>
  </si>
  <si>
    <t xml:space="preserve"> Indica quanto de CT estão financiando o investimento total AT</t>
  </si>
  <si>
    <t xml:space="preserve">3.2- Indice  capital de Terceiros </t>
  </si>
  <si>
    <t>ECP=((PC+PnC) : PL) x 100</t>
  </si>
  <si>
    <t>Indica quanto de Exigivel a CP e  LP tem em relação ao PL(CP)</t>
  </si>
  <si>
    <t xml:space="preserve">      em  relação ao Capital Próprio</t>
  </si>
  <si>
    <t>3.3-Compsição  da Estrutura de Capitais</t>
  </si>
  <si>
    <t>CT=( (PC+PnC) : PT) x 100</t>
  </si>
  <si>
    <t xml:space="preserve"> Indica o % de participação dos CT  no financiamento total</t>
  </si>
  <si>
    <t>CP= (PL :  PT) x 100</t>
  </si>
  <si>
    <t>Indica o % de participação dos CP no financiamento  total</t>
  </si>
  <si>
    <t>4-Análise da  Lucratividade e Rentabilidade</t>
  </si>
  <si>
    <t>4.1-  Margem Bruta</t>
  </si>
  <si>
    <t>(LB x 100) : Receita liquida</t>
  </si>
  <si>
    <t>Resulado bruto em relação as vendas brutas</t>
  </si>
  <si>
    <t>quanto MAIOR, tanto melhor !!</t>
  </si>
  <si>
    <t>4.2- Margem operacional</t>
  </si>
  <si>
    <t>(LO x100) : Receita  liquida operacional</t>
  </si>
  <si>
    <t xml:space="preserve"> indica quanto foi  alcançado de resultado a nivel operacinal</t>
  </si>
  <si>
    <t>quanto MAIOR, tanto melhor</t>
  </si>
  <si>
    <t>4.3- Margem liquida</t>
  </si>
  <si>
    <t>(Result.liquido x100) : Receita operacional líquida</t>
  </si>
  <si>
    <t xml:space="preserve"> Quanto foi  obtido de LL em relaçao a receita operacional</t>
  </si>
  <si>
    <t>quanto MAIOR , tanto melhor</t>
  </si>
  <si>
    <t xml:space="preserve">4.4- R O A </t>
  </si>
  <si>
    <t>(LL: AT) x 100</t>
  </si>
  <si>
    <t xml:space="preserve"> é o retorno sobre o investimento total (AT)</t>
  </si>
  <si>
    <t xml:space="preserve">       ( ver fórmula de DU PONT)</t>
  </si>
  <si>
    <t>Margem X giro</t>
  </si>
  <si>
    <t>(LL/RB x Vendas líquidas/AT)</t>
  </si>
  <si>
    <t xml:space="preserve">4.5- R O E </t>
  </si>
  <si>
    <t>(LL:AT) x (V:AT) x (AT:PL)</t>
  </si>
  <si>
    <t>é o retorno sobre o PL (acionistas)</t>
  </si>
  <si>
    <t>(LL : PL) x 100</t>
  </si>
  <si>
    <t>quanto MAIOR, tanto melhor  para os acionistas</t>
  </si>
  <si>
    <t>5- Análise do capital de giro</t>
  </si>
  <si>
    <t xml:space="preserve">5.4- Ciclo Operacional </t>
  </si>
  <si>
    <t xml:space="preserve"> P M R E + P M R D </t>
  </si>
  <si>
    <t xml:space="preserve"> é  indicado em "DIAS". È o tempo que a empresa leva para girar o estoque e mais o tempo  o prazo de cobrança de suas duplicata</t>
  </si>
  <si>
    <t>quanto MENOR, tanto melhjor !!</t>
  </si>
  <si>
    <t>5.6- Ciclo Econômico</t>
  </si>
  <si>
    <t>P M R E</t>
  </si>
  <si>
    <t xml:space="preserve">é indicado em 'DIAS". Significa o tempo que a empresa leva para </t>
  </si>
  <si>
    <t xml:space="preserve">girar seus estoques. Lembrem-se que o estoque é um ATIVO que </t>
  </si>
  <si>
    <t xml:space="preserve">tem que ser  vendido para produzir seu efeito  econômico (LUCRO </t>
  </si>
  <si>
    <t>PARA A EMPRESA).</t>
  </si>
  <si>
    <t>Quanto MENOR, tanto melhor !!</t>
  </si>
  <si>
    <t>5.5- Ciclo de caixa ou ciclo financeiro</t>
  </si>
  <si>
    <t>PMRE + PMRD - PMRF</t>
  </si>
  <si>
    <t>é o periodo em "DIAS" que a empresa tem que captar recursos para financiar sua atividade operacional</t>
  </si>
  <si>
    <t>quanto MENOR, tanto melhor !!</t>
  </si>
  <si>
    <t>5.6 Efeito Tesoura</t>
  </si>
  <si>
    <t>ACC</t>
  </si>
  <si>
    <t>PCC</t>
  </si>
  <si>
    <t>NLGC</t>
  </si>
  <si>
    <t>ACA</t>
  </si>
  <si>
    <t>PCA</t>
  </si>
  <si>
    <t>TES</t>
  </si>
  <si>
    <t>CCL= Capital circulante Liquido</t>
  </si>
  <si>
    <t>Conta</t>
  </si>
  <si>
    <t>Descricao</t>
  </si>
  <si>
    <t>1</t>
  </si>
  <si>
    <t>1.1</t>
  </si>
  <si>
    <t>ATIVO CIRCULANTE</t>
  </si>
  <si>
    <t>1.1.1</t>
  </si>
  <si>
    <t>DISPONIBILIDADES</t>
  </si>
  <si>
    <t>1.1.1.1</t>
  </si>
  <si>
    <t>EM MOEDA NACIONAL</t>
  </si>
  <si>
    <t>1.1.1.10.1</t>
  </si>
  <si>
    <t>CAIXA</t>
  </si>
  <si>
    <t>1.1.1.10.1001</t>
  </si>
  <si>
    <t>CAIXA EM MOEDA NACIONAL</t>
  </si>
  <si>
    <t>1.1.1.2</t>
  </si>
  <si>
    <t>BANCOS-CONTA MOVIMENTO</t>
  </si>
  <si>
    <t>1.1.1.20.1</t>
  </si>
  <si>
    <t>BANCOS NACIONAIS</t>
  </si>
  <si>
    <t>1.1.1.3</t>
  </si>
  <si>
    <t>APLICACOES FINANCEIRAS</t>
  </si>
  <si>
    <t>1.1.1.30.0</t>
  </si>
  <si>
    <t>1.1.1.30.0001</t>
  </si>
  <si>
    <t>1.1.2</t>
  </si>
  <si>
    <t>1.1.2.1</t>
  </si>
  <si>
    <t>CLIENTES NACIONAIS</t>
  </si>
  <si>
    <t>1.1.2.10.0</t>
  </si>
  <si>
    <t>1.1.2.10.0001</t>
  </si>
  <si>
    <t>1.1.2.5</t>
  </si>
  <si>
    <t>1.1.2.50.0</t>
  </si>
  <si>
    <t>1.1.2.50.0001</t>
  </si>
  <si>
    <t>1.1.3</t>
  </si>
  <si>
    <t>ESTOQUES</t>
  </si>
  <si>
    <t>1.1.3.2</t>
  </si>
  <si>
    <t>MERCADORIAS PARA REVENDA</t>
  </si>
  <si>
    <t>1.1.3.20.0</t>
  </si>
  <si>
    <t>1.1.3.20.0001</t>
  </si>
  <si>
    <t>1.1.3.20.0002</t>
  </si>
  <si>
    <t>EQUIPAMENTOS PARA REVENDA</t>
  </si>
  <si>
    <t>1.1.3.3</t>
  </si>
  <si>
    <t>ALMOXARIFADO</t>
  </si>
  <si>
    <t>1.1.3.30.0</t>
  </si>
  <si>
    <t>1.1.3.30.0001</t>
  </si>
  <si>
    <t>1.1.3.30.0002</t>
  </si>
  <si>
    <t>EMBALAGENS</t>
  </si>
  <si>
    <t>1.1.3.4</t>
  </si>
  <si>
    <t>ADIANTAMENTOS A FORNECEDORES</t>
  </si>
  <si>
    <t>1.1.3.40.0</t>
  </si>
  <si>
    <t>1.1.3.40.0005</t>
  </si>
  <si>
    <t>ADTO A FORNECEDORES NACIONAIS</t>
  </si>
  <si>
    <t>1.1.4</t>
  </si>
  <si>
    <t>IMPOSTOS A RECUPERAR</t>
  </si>
  <si>
    <t>1.1.4.1</t>
  </si>
  <si>
    <t>1.1.4.10.1</t>
  </si>
  <si>
    <t>ICMS</t>
  </si>
  <si>
    <t>ICMS A RECUPERAR</t>
  </si>
  <si>
    <t>1.1.4.10.2</t>
  </si>
  <si>
    <t>PIS</t>
  </si>
  <si>
    <t>PIS A RECUPERAR</t>
  </si>
  <si>
    <t>1.1.4.10.3</t>
  </si>
  <si>
    <t>COFINS</t>
  </si>
  <si>
    <t>COFINS A RECUPERAR</t>
  </si>
  <si>
    <t>1.1.4.10.5</t>
  </si>
  <si>
    <t>IRPJ</t>
  </si>
  <si>
    <t>1.1.4.10.5001</t>
  </si>
  <si>
    <t>IRRF S/ APLICACAO FINANCEIRA</t>
  </si>
  <si>
    <t>1.1.4.10.5009</t>
  </si>
  <si>
    <t>IRRF A COMPENSAR</t>
  </si>
  <si>
    <t>1.1.4.19.0</t>
  </si>
  <si>
    <t>OUTROS IMPOSTOS A COMPENSAR</t>
  </si>
  <si>
    <t>1.1.4.19.0099</t>
  </si>
  <si>
    <t>1.1.5</t>
  </si>
  <si>
    <t>1.1.5.1</t>
  </si>
  <si>
    <t>ADIANTAMENTO A EMPREGADOS</t>
  </si>
  <si>
    <t>1.1.5.10.0</t>
  </si>
  <si>
    <t>1.1.5.10.0001</t>
  </si>
  <si>
    <t>ADIANTAMENTOS SALARIOS</t>
  </si>
  <si>
    <t>1.1.5.10.0004</t>
  </si>
  <si>
    <t>1.1.5.10.0005</t>
  </si>
  <si>
    <t>1.2</t>
  </si>
  <si>
    <t>NAO CIRCULANTE</t>
  </si>
  <si>
    <t>1.2.1</t>
  </si>
  <si>
    <t>REALIZAVEL A LONGO PRAZO</t>
  </si>
  <si>
    <t>1.2.2</t>
  </si>
  <si>
    <t>PERMANENTE</t>
  </si>
  <si>
    <t>1.2.2.2</t>
  </si>
  <si>
    <t>IMOBILIZADO</t>
  </si>
  <si>
    <t>1.2.2.20.4</t>
  </si>
  <si>
    <t>MAQUINAS, FERR E EQUIPAMENTOS</t>
  </si>
  <si>
    <t>1.2.2.20.4001</t>
  </si>
  <si>
    <t>MAQUINAS, FERR E EQUIPAMENTOS - CUSTO</t>
  </si>
  <si>
    <t>1.2.2.20.4002</t>
  </si>
  <si>
    <t>(-)DEPREC CUSTO - MAQUINAS, FERR E EQUIP</t>
  </si>
  <si>
    <t>1.2.2.20.5</t>
  </si>
  <si>
    <t>MOVEIS E UTENSILIOS</t>
  </si>
  <si>
    <t>1.2.2.20.5001</t>
  </si>
  <si>
    <t>MOVEIS E UTENSILIOS - CUSTO</t>
  </si>
  <si>
    <t>1.2.2.20.5002</t>
  </si>
  <si>
    <t>(-)DEPREC CUSTO - MOVEIS E UTENSILIOS</t>
  </si>
  <si>
    <t>1.2.2.20.6</t>
  </si>
  <si>
    <t>VEICULOS</t>
  </si>
  <si>
    <t>1.2.2.20.6001</t>
  </si>
  <si>
    <t>VEICULOS - CUSTO</t>
  </si>
  <si>
    <t>1.2.2.20.6002</t>
  </si>
  <si>
    <t>(-)DEPREC CUSTO - VEICULOS</t>
  </si>
  <si>
    <t>1.2.2.20.7</t>
  </si>
  <si>
    <t>1.2.2.20.7001</t>
  </si>
  <si>
    <t>1.2.2.20.7002</t>
  </si>
  <si>
    <t>2</t>
  </si>
  <si>
    <t>PASSIVO</t>
  </si>
  <si>
    <t>2.1</t>
  </si>
  <si>
    <t>2.1.1</t>
  </si>
  <si>
    <t>FORNECEDORES</t>
  </si>
  <si>
    <t>2.1.1.0</t>
  </si>
  <si>
    <t>2.1.1.00.0</t>
  </si>
  <si>
    <t>2.1.1.00.0001</t>
  </si>
  <si>
    <t>FORNECEDORES NACIONAIS</t>
  </si>
  <si>
    <t>2.1.2</t>
  </si>
  <si>
    <t>EMPRESTIMOS E FINANCIAMENTOS</t>
  </si>
  <si>
    <t>2.1.2.1</t>
  </si>
  <si>
    <t>EMPR E FINANCIAMENTOS BANCARIOS</t>
  </si>
  <si>
    <t>2.1.2.10</t>
  </si>
  <si>
    <t>2.1.3</t>
  </si>
  <si>
    <t>SALARIOS, PROVISOES E CONTR SOCIAIS</t>
  </si>
  <si>
    <t>2.1.3.1</t>
  </si>
  <si>
    <t>OBRIGACOES COM PESSOAL</t>
  </si>
  <si>
    <t>2.1.3.10.1</t>
  </si>
  <si>
    <t>2.1.3.10.1001</t>
  </si>
  <si>
    <t>SALARIOS A PAGAR</t>
  </si>
  <si>
    <t>2.1.3.10.1002</t>
  </si>
  <si>
    <t>RESCISOES TRABALHISTAS</t>
  </si>
  <si>
    <t>2.1.3.10.1004</t>
  </si>
  <si>
    <t>PROVISAO P/13 SALARIO C/ENCARGOS</t>
  </si>
  <si>
    <t>2.1.3.10.1005</t>
  </si>
  <si>
    <t>PROVISAO P/FERIAS C/ENCARGOS</t>
  </si>
  <si>
    <t>2.1.3.2</t>
  </si>
  <si>
    <t>ENCARGOS SOCIAIS</t>
  </si>
  <si>
    <t>2.1.3.20.0</t>
  </si>
  <si>
    <t>2.1.3.20.0001</t>
  </si>
  <si>
    <t>INSS FOLHA</t>
  </si>
  <si>
    <t>2.1.3.20.0004</t>
  </si>
  <si>
    <t>FGTS RECOLHER</t>
  </si>
  <si>
    <t>2.1.3.20.0006</t>
  </si>
  <si>
    <t>IRRF FOLHA</t>
  </si>
  <si>
    <t>2.1.6</t>
  </si>
  <si>
    <t>2.1.6.0</t>
  </si>
  <si>
    <t>2.1.6.00.0</t>
  </si>
  <si>
    <t>2.1.6.00.0001</t>
  </si>
  <si>
    <t>2.1.7</t>
  </si>
  <si>
    <t>IMPOSTOS A RECOLHER</t>
  </si>
  <si>
    <t>2.1.7.1</t>
  </si>
  <si>
    <t>2.1.7.10.0</t>
  </si>
  <si>
    <t>2.1.7.10.0001</t>
  </si>
  <si>
    <t>2.1.7.10.0004</t>
  </si>
  <si>
    <t>2.1.7.2</t>
  </si>
  <si>
    <t>2.1.7.20.0</t>
  </si>
  <si>
    <t>2.1.7.20.0001</t>
  </si>
  <si>
    <t>2.1.7.3</t>
  </si>
  <si>
    <t>2.1.7.30.0</t>
  </si>
  <si>
    <t>2.1.7.30.0001</t>
  </si>
  <si>
    <t>2.1.7.5</t>
  </si>
  <si>
    <t>IRPJ A RECOLHER</t>
  </si>
  <si>
    <t>2.1.7.50.0</t>
  </si>
  <si>
    <t>2.1.7.50.0001</t>
  </si>
  <si>
    <t>2.1.7.6</t>
  </si>
  <si>
    <t>CSLL A RECOLHER</t>
  </si>
  <si>
    <t>2.1.7.60.0</t>
  </si>
  <si>
    <t>2.1.7.60.0001</t>
  </si>
  <si>
    <t>IOF</t>
  </si>
  <si>
    <t>2.1.7.9</t>
  </si>
  <si>
    <t>OUTROS IMPOSTOS A RECOLHER</t>
  </si>
  <si>
    <t>2.1.7.90.0</t>
  </si>
  <si>
    <t>2.1.7.90.0002</t>
  </si>
  <si>
    <t>IRRF-PJ A RECOLHER</t>
  </si>
  <si>
    <t>2.1.7.90.0003</t>
  </si>
  <si>
    <t>PIS-RETENCAO A RECOLHER</t>
  </si>
  <si>
    <t>2.1.7.90.0004</t>
  </si>
  <si>
    <t>COFINS-RETENCAO A RECOLHER</t>
  </si>
  <si>
    <t>2.1.7.90.0005</t>
  </si>
  <si>
    <t>CSLL-RETENCAO A RECOLHER</t>
  </si>
  <si>
    <t>2.1.7.90.0006</t>
  </si>
  <si>
    <t>ISS PROPRIO A RECOLHER</t>
  </si>
  <si>
    <t>2.1.7.90.0007</t>
  </si>
  <si>
    <t>PIS/COFINS/CSLL-RETENCAO PJ A PJ</t>
  </si>
  <si>
    <t>2.1.7.90.0009</t>
  </si>
  <si>
    <t>ISS-RETENCAO A RECOLHER</t>
  </si>
  <si>
    <t>2.1.9</t>
  </si>
  <si>
    <t>OUTRAS OBRIGACOES</t>
  </si>
  <si>
    <t>2.1.9.0</t>
  </si>
  <si>
    <t>2.1.9.00.0</t>
  </si>
  <si>
    <t>2.1.9.00.0018</t>
  </si>
  <si>
    <t>OUTRAS CONTAS  A PAGAR</t>
  </si>
  <si>
    <t>2.3</t>
  </si>
  <si>
    <t>PATRIMONIO LIQUIDO</t>
  </si>
  <si>
    <t>2.3.1</t>
  </si>
  <si>
    <t>CAPITAL SOCIAL</t>
  </si>
  <si>
    <t>2.3.1.0</t>
  </si>
  <si>
    <t>2.3.1.00.0</t>
  </si>
  <si>
    <t>2.3.1.00.0001</t>
  </si>
  <si>
    <t>CAPITAL SOCIAL SUBSCRITO</t>
  </si>
  <si>
    <t>2.3.4</t>
  </si>
  <si>
    <t>2.3.4.0</t>
  </si>
  <si>
    <t>2.3.4.00.0</t>
  </si>
  <si>
    <t>2.3.4.00.0001</t>
  </si>
  <si>
    <t>3.1</t>
  </si>
  <si>
    <t>VENDAS</t>
  </si>
  <si>
    <t>3.1.2</t>
  </si>
  <si>
    <t>VENDAS DE MERCADORIAS</t>
  </si>
  <si>
    <t>3.1.2.0</t>
  </si>
  <si>
    <t>3.1.2.00.0</t>
  </si>
  <si>
    <t>3.1.2.00.0001</t>
  </si>
  <si>
    <t>3.1.3</t>
  </si>
  <si>
    <t>VENDAS DE SERVICOS</t>
  </si>
  <si>
    <t>3.1.3.0</t>
  </si>
  <si>
    <t>3.1.3.00.0</t>
  </si>
  <si>
    <t>3.1.3.00.0001</t>
  </si>
  <si>
    <t>3.1.4</t>
  </si>
  <si>
    <t>VENDAS DE IMOVEIS E LOCACOES</t>
  </si>
  <si>
    <t>3.1.4.0</t>
  </si>
  <si>
    <t>3.1.4.00.0</t>
  </si>
  <si>
    <t>3.1.4.00.0001</t>
  </si>
  <si>
    <t>RECEITA DE LOCAÇÕES</t>
  </si>
  <si>
    <t>3.2</t>
  </si>
  <si>
    <t>DEDUCAO DE VENDAS</t>
  </si>
  <si>
    <t>3.2.1</t>
  </si>
  <si>
    <t>3.2.1.0</t>
  </si>
  <si>
    <t>3.2.1.00.0</t>
  </si>
  <si>
    <t>3.2.1.00.0001</t>
  </si>
  <si>
    <t>3.2.1.00.0003</t>
  </si>
  <si>
    <t>DIFAL-DIFERENCIAL ICMS (ESTADO DESTINO)</t>
  </si>
  <si>
    <t>3.2.1.00.0006</t>
  </si>
  <si>
    <t>ICMS S/ BONIFICACAO</t>
  </si>
  <si>
    <t>3.2.2</t>
  </si>
  <si>
    <t>3.2.2.0</t>
  </si>
  <si>
    <t>3.2.2.00.0</t>
  </si>
  <si>
    <t>3.2.2.00.0001</t>
  </si>
  <si>
    <t>3.2.3</t>
  </si>
  <si>
    <t>3.2.3.0</t>
  </si>
  <si>
    <t>3.2.3.00.0</t>
  </si>
  <si>
    <t>3.2.3.00.0001</t>
  </si>
  <si>
    <t>3.2.5</t>
  </si>
  <si>
    <t>ISS</t>
  </si>
  <si>
    <t>3.2.5.0</t>
  </si>
  <si>
    <t>3.2.5.00.0</t>
  </si>
  <si>
    <t>3.2.5.00.0001</t>
  </si>
  <si>
    <t>3.2.6</t>
  </si>
  <si>
    <t>DEVOLUCOES DE VENDAS</t>
  </si>
  <si>
    <t>3.2.6.0</t>
  </si>
  <si>
    <t>3.2.6.00.0</t>
  </si>
  <si>
    <t>3.2.6.00.0001</t>
  </si>
  <si>
    <t>4.2</t>
  </si>
  <si>
    <t>CUSTO DE MERCADORIAS</t>
  </si>
  <si>
    <t>4.2.0</t>
  </si>
  <si>
    <t>4.2.0.0</t>
  </si>
  <si>
    <t>4.2.0.00.0</t>
  </si>
  <si>
    <t>4.2.0.00.0001</t>
  </si>
  <si>
    <t>4.2.0.00.0002</t>
  </si>
  <si>
    <t>CUSTO DE MERCADORIAS S/ BONIFICACAO</t>
  </si>
  <si>
    <t>4.2.0.00.0005</t>
  </si>
  <si>
    <t>CUSTO DE MERC. DESCARTE</t>
  </si>
  <si>
    <t>4.2.0.00.0099</t>
  </si>
  <si>
    <t>CUSTO DE MERCADORIAS-AJUSTES</t>
  </si>
  <si>
    <t>4.3</t>
  </si>
  <si>
    <t>CUSTO DE SERVICOS</t>
  </si>
  <si>
    <t>4.3.0</t>
  </si>
  <si>
    <t>4.3.0.0</t>
  </si>
  <si>
    <t>4.3.0.00.0</t>
  </si>
  <si>
    <t>4.3.0.00.0001</t>
  </si>
  <si>
    <t>4.3.0.00.0099</t>
  </si>
  <si>
    <t>CUSTO DE SERVICOS-AJUSTES</t>
  </si>
  <si>
    <t>5.1</t>
  </si>
  <si>
    <t>DESPESAS OPERACIONAIS</t>
  </si>
  <si>
    <t>5.1.1</t>
  </si>
  <si>
    <t>DESPESAS COM VENDAS</t>
  </si>
  <si>
    <t>5.1.1.0</t>
  </si>
  <si>
    <t>5.1.1.00.0</t>
  </si>
  <si>
    <t>5.1.1.00.0003</t>
  </si>
  <si>
    <t>DIARIAS FRETES/CONTAINERS</t>
  </si>
  <si>
    <t>5.1.1.00.0099</t>
  </si>
  <si>
    <t>DESPESAS COM VENDAS-OUTRAS</t>
  </si>
  <si>
    <t>5.1.2</t>
  </si>
  <si>
    <t>DESPESAS GERAIS</t>
  </si>
  <si>
    <t>5.1.2.1</t>
  </si>
  <si>
    <t>DESPESAS COM PESSOAL</t>
  </si>
  <si>
    <t>5.1.2.10.1</t>
  </si>
  <si>
    <t>SALARIOS E REMUNERACAO</t>
  </si>
  <si>
    <t>5.1.2.10.1001</t>
  </si>
  <si>
    <t>SALARIO NOMINAL E PROVENTOS</t>
  </si>
  <si>
    <t>5.1.2.10.1004</t>
  </si>
  <si>
    <t>FERIAS</t>
  </si>
  <si>
    <t>5.1.2.10.1005</t>
  </si>
  <si>
    <t>13 SALARIO</t>
  </si>
  <si>
    <t>5.1.2.10.1006</t>
  </si>
  <si>
    <t>HORAS EXTRAS</t>
  </si>
  <si>
    <t>5.1.2.10.1013</t>
  </si>
  <si>
    <t>INSALUBRIDADE</t>
  </si>
  <si>
    <t>5.1.2.10.1015</t>
  </si>
  <si>
    <t>ADCIONAL TEMPO SERVICO - ATS</t>
  </si>
  <si>
    <t>5.1.2.10.2</t>
  </si>
  <si>
    <t>ENCARGOS SALARIAIS</t>
  </si>
  <si>
    <t>5.1.2.10.2001</t>
  </si>
  <si>
    <t>FGTS</t>
  </si>
  <si>
    <t>5.1.2.10.2002</t>
  </si>
  <si>
    <t>INSS</t>
  </si>
  <si>
    <t>5.1.2.10.3</t>
  </si>
  <si>
    <t>OUTROS BENEFICIOS SALARIAIS</t>
  </si>
  <si>
    <t>5.1.2.10.3001</t>
  </si>
  <si>
    <t>ASSISTENCIA MEDICA/PLANO DE SAUDE</t>
  </si>
  <si>
    <t>5.1.2.10.3002</t>
  </si>
  <si>
    <t>PAT-PROGRAMA ALIM. TRABALHADOR</t>
  </si>
  <si>
    <t>5.1.2.10.3004</t>
  </si>
  <si>
    <t>VALE TRANSPORTE</t>
  </si>
  <si>
    <t>5.1.2.10.4</t>
  </si>
  <si>
    <t>OUTRAS DESPESAS COM PESSOAL</t>
  </si>
  <si>
    <t>5.1.2.10.4006</t>
  </si>
  <si>
    <t>TREINAMENTO E DESENVOLVIMENTO</t>
  </si>
  <si>
    <t>5.1.2.10.4007</t>
  </si>
  <si>
    <t>INDENIZACOES RESCISORIAS - VIA FOLHA</t>
  </si>
  <si>
    <t>5.1.2.2</t>
  </si>
  <si>
    <t>DESPESAS FIXAS</t>
  </si>
  <si>
    <t>5.1.2.20.1</t>
  </si>
  <si>
    <t>DEPRECIACAO,AMORTIZ. E EXAUSTAO</t>
  </si>
  <si>
    <t>5.1.2.20.1001</t>
  </si>
  <si>
    <t>DEPRECIACAO</t>
  </si>
  <si>
    <t>5.1.2.20.2</t>
  </si>
  <si>
    <t>INFORMATICA E COMUNICACAO</t>
  </si>
  <si>
    <t>5.1.2.20.2002</t>
  </si>
  <si>
    <t>CORREIOS E ENCOMENDAS</t>
  </si>
  <si>
    <t>5.1.2.20.2003</t>
  </si>
  <si>
    <t>MANUTENCAO DE INFORMATICA</t>
  </si>
  <si>
    <t>5.1.2.20.2004</t>
  </si>
  <si>
    <t>SERVICOS TELEFONICOS</t>
  </si>
  <si>
    <t>5.1.2.20.2006</t>
  </si>
  <si>
    <t>SERVICOS DE TERCEIROS EM TI</t>
  </si>
  <si>
    <t>5.1.2.20.3</t>
  </si>
  <si>
    <t>VIAGENS E VEICULOS</t>
  </si>
  <si>
    <t>5.1.2.20.3001</t>
  </si>
  <si>
    <t>MANUTENCAO DE VEICULOS</t>
  </si>
  <si>
    <t>5.1.2.20.3002</t>
  </si>
  <si>
    <t>VIAGENS E REPRESENTACOES</t>
  </si>
  <si>
    <t>5.1.2.20.3003</t>
  </si>
  <si>
    <t>LOCACAO DE VEICULOS</t>
  </si>
  <si>
    <t>5.1.2.20.3004</t>
  </si>
  <si>
    <t>PASSAGENS / CONDUCAO / DESLOCAMENTO</t>
  </si>
  <si>
    <t>5.1.2.20.3099</t>
  </si>
  <si>
    <t>OUTRAS DESPESAS C/VIAGENS/VEICULOS</t>
  </si>
  <si>
    <t>5.1.2.20.4</t>
  </si>
  <si>
    <t>SERVICOS DE TERCEIROS</t>
  </si>
  <si>
    <t>5.1.2.20.4005</t>
  </si>
  <si>
    <t>SERVICOS DE VIGILANCIA/SEGURANCA</t>
  </si>
  <si>
    <t>5.1.2.20.4018</t>
  </si>
  <si>
    <t>MANUT.MAQ.E IMPLEMENTOS</t>
  </si>
  <si>
    <t>5.1.2.20.4099</t>
  </si>
  <si>
    <t>OUTROS SERVICOS TERCEIROS DE PJ</t>
  </si>
  <si>
    <t>5.1.2.20.5</t>
  </si>
  <si>
    <t>DESPESAS TRIBUTARIAS</t>
  </si>
  <si>
    <t>5.1.2.20.5002</t>
  </si>
  <si>
    <t>ALVARAS, LICENCAS E TAXAS DIVERSAS</t>
  </si>
  <si>
    <t>5.1.2.20.6</t>
  </si>
  <si>
    <t>MANUT/CONS DE INSTAL E EQUIPAMENTOS</t>
  </si>
  <si>
    <t>5.1.2.20.6002</t>
  </si>
  <si>
    <t>MANUTENCAO DE MAQU E EQUIPAMENTOS</t>
  </si>
  <si>
    <t>5.1.2.20.6007</t>
  </si>
  <si>
    <t>BENS DEDUZIDOS COMO DESPESAS</t>
  </si>
  <si>
    <t>5.1.2.20.7</t>
  </si>
  <si>
    <t>DESPESAS DIVERSAS</t>
  </si>
  <si>
    <t>5.1.2.20.7001</t>
  </si>
  <si>
    <t>MATERIAL DE HIGIENE E LIMPEZA</t>
  </si>
  <si>
    <t>5.1.2.20.7002</t>
  </si>
  <si>
    <t>MATERIAL DE EXPEDIENTE</t>
  </si>
  <si>
    <t>5.1.2.20.7004</t>
  </si>
  <si>
    <t>FRETES/CARRETOS E TRANSP PESSOA JURIDICA</t>
  </si>
  <si>
    <t>5.1.2.20.7011</t>
  </si>
  <si>
    <t>MATERIAL DE CONSUMO</t>
  </si>
  <si>
    <t>5.1.2.20.7012</t>
  </si>
  <si>
    <t>TAXAS E EMOLUMENTOS CARTORIAIS</t>
  </si>
  <si>
    <t>5.1.2.20.7013</t>
  </si>
  <si>
    <t>CONTRIBUICOES PATRONAIS</t>
  </si>
  <si>
    <t>5.1.2.20.7099</t>
  </si>
  <si>
    <t>OUTRAS DESPESAS ADMINISTRATIVAS</t>
  </si>
  <si>
    <t>5.1.2.3</t>
  </si>
  <si>
    <t>DESPESAS VARIAVEIS</t>
  </si>
  <si>
    <t>5.1.2.30.1</t>
  </si>
  <si>
    <t>MATERIAL DE CONSUMO E PRODUCAO</t>
  </si>
  <si>
    <t>5.1.2.30.1001</t>
  </si>
  <si>
    <t>AGUA E ESGOTO</t>
  </si>
  <si>
    <t>5.1.2.30.1002</t>
  </si>
  <si>
    <t>ENERGIA ELETRICA</t>
  </si>
  <si>
    <t>5.1.2.30.1005</t>
  </si>
  <si>
    <t>COMBUSTIVEIS</t>
  </si>
  <si>
    <t>5.1.2.30.1007</t>
  </si>
  <si>
    <t>5.1.2.30.1026</t>
  </si>
  <si>
    <t>ELIMINACAO DE RESIDUOS</t>
  </si>
  <si>
    <t>5.2</t>
  </si>
  <si>
    <t>RESULTADO FINANCEIRO LIQUIDO</t>
  </si>
  <si>
    <t>5.2.1</t>
  </si>
  <si>
    <t>DESPESAS FINANCEIRAS</t>
  </si>
  <si>
    <t>5.2.1.1</t>
  </si>
  <si>
    <t>JUROS, DESC E ENCARGOS FINANCEIROS</t>
  </si>
  <si>
    <t>5.2.1.10.0</t>
  </si>
  <si>
    <t>5.2.1.10.0001</t>
  </si>
  <si>
    <t>DESCONTOS CONCEDIDOS</t>
  </si>
  <si>
    <t>5.2.1.10.0009</t>
  </si>
  <si>
    <t>ENCARGOS FINANCEIROS S/ OUTROS</t>
  </si>
  <si>
    <t>5.2.1.4</t>
  </si>
  <si>
    <t>IMPOSTOS E TAXAS S/OPER FINANCEIRAS</t>
  </si>
  <si>
    <t>5.2.1.40.0</t>
  </si>
  <si>
    <t>5.2.1.40.0001</t>
  </si>
  <si>
    <t>5.2.1.9</t>
  </si>
  <si>
    <t>OUTRAS DESPESAS FINANCEIRAS</t>
  </si>
  <si>
    <t>5.2.1.90.0</t>
  </si>
  <si>
    <t>5.2.1.90.0001</t>
  </si>
  <si>
    <t>DESPESAS BANCARIAS</t>
  </si>
  <si>
    <t>5.2.1.90.0003</t>
  </si>
  <si>
    <t>JUROS/MULTA DE MORA PAGOS</t>
  </si>
  <si>
    <t>5.2.2</t>
  </si>
  <si>
    <t>RECEITAS FINANCEIRAS</t>
  </si>
  <si>
    <t>5.2.2.1</t>
  </si>
  <si>
    <t>JUROS E DESC FINANCEIROS OBTIDOS</t>
  </si>
  <si>
    <t>5.2.2.10.0</t>
  </si>
  <si>
    <t>5.2.2.10.0001</t>
  </si>
  <si>
    <t>DESCONTOS OBTIDOS</t>
  </si>
  <si>
    <t>5.2.2.10.0002</t>
  </si>
  <si>
    <t>JUROS APROPRIADOS</t>
  </si>
  <si>
    <t>5.2.2.4</t>
  </si>
  <si>
    <t>RECEITAS S/APLICACOES FINANCEIRAS</t>
  </si>
  <si>
    <t>5.2.2.40.0</t>
  </si>
  <si>
    <t>5.2.2.40.0001</t>
  </si>
  <si>
    <t>5.3</t>
  </si>
  <si>
    <t>OUTRAS RECEITAS/DESPESAS OPERAC</t>
  </si>
  <si>
    <t>5.3.9</t>
  </si>
  <si>
    <t>5.3.9.0</t>
  </si>
  <si>
    <t>5.3.9.00.0</t>
  </si>
  <si>
    <t>5.3.9.00.0006</t>
  </si>
  <si>
    <t>PROVISAO CREDITOS LIQ DUVIDOSA</t>
  </si>
  <si>
    <t>5.3.9.00.0027</t>
  </si>
  <si>
    <t>RECEITA C/ BONIFICAÇÃO</t>
  </si>
  <si>
    <t>5.3.9.00.0098</t>
  </si>
  <si>
    <t>OUTRAS RECEITAS OPERACIONAIS</t>
  </si>
  <si>
    <t>5.3.9.00.0099</t>
  </si>
  <si>
    <t>OUTRAS DESPESAS OPERACIONAIS</t>
  </si>
  <si>
    <t>5.7</t>
  </si>
  <si>
    <t>IMPOSTOS INCIDENTES S/LUCRO</t>
  </si>
  <si>
    <t>5.7.1</t>
  </si>
  <si>
    <t>IRPJ DO EXERCICIO</t>
  </si>
  <si>
    <t>5.7.1.0</t>
  </si>
  <si>
    <t>5.7.1.00.0</t>
  </si>
  <si>
    <t>5.7.1.00.0001</t>
  </si>
  <si>
    <t>IRPJ S/LUCRO DO EXERCICIO</t>
  </si>
  <si>
    <t>5.7.2</t>
  </si>
  <si>
    <t>CSLL DO EXERCICIO</t>
  </si>
  <si>
    <t>5.7.2.0</t>
  </si>
  <si>
    <t>5.7.2.00.0</t>
  </si>
  <si>
    <t>5.7.2.00.0001</t>
  </si>
  <si>
    <t>CSLL S/LUCRO DO EXERCICIO</t>
  </si>
  <si>
    <t>1.1.1.20.1109</t>
  </si>
  <si>
    <t>1.1.1.20.1110</t>
  </si>
  <si>
    <t>1.1.1.20.1111</t>
  </si>
  <si>
    <t>1.1.1.20.1112</t>
  </si>
  <si>
    <t>1.1.1.30.0002</t>
  </si>
  <si>
    <t>1.1.2.3</t>
  </si>
  <si>
    <t>(-)VENDA PARA ENTREGA FUTURA</t>
  </si>
  <si>
    <t>1.1.2.30.0</t>
  </si>
  <si>
    <t>1.1.2.30.0001</t>
  </si>
  <si>
    <t>(-) VENDA PARA ENTREGA FUTURA</t>
  </si>
  <si>
    <t>1.1.4.10.2003</t>
  </si>
  <si>
    <t>PIS RETENCAO POR ORGAO PUBLICO</t>
  </si>
  <si>
    <t>1.1.4.10.3004</t>
  </si>
  <si>
    <t>COFINS RETENCAO POR ORGAO PUBLICO</t>
  </si>
  <si>
    <t>1.1.4.10.5010</t>
  </si>
  <si>
    <t>IRPJ-RETENCAO POR ORGAO PUBLICO</t>
  </si>
  <si>
    <t>1.1.4.10.6</t>
  </si>
  <si>
    <t>CSLL</t>
  </si>
  <si>
    <t>1.1.4.10.6004</t>
  </si>
  <si>
    <t>CSLL RETENCAO POR ORGAO PUBLICO</t>
  </si>
  <si>
    <t>1.1.4.10.6007</t>
  </si>
  <si>
    <t>CSLL A COMPENSAR</t>
  </si>
  <si>
    <t>1.1.4.19.0003</t>
  </si>
  <si>
    <t>ISSQN RETIDO</t>
  </si>
  <si>
    <t>1.1.5.9</t>
  </si>
  <si>
    <t>OUTROS ATIVOS E CREDITOS</t>
  </si>
  <si>
    <t>1.1.5.90.0</t>
  </si>
  <si>
    <t>1.1.5.90.0009</t>
  </si>
  <si>
    <t>PRECATORIOS A RECEBER</t>
  </si>
  <si>
    <t>1.1.5.90.0010</t>
  </si>
  <si>
    <t>CONSORCIOS</t>
  </si>
  <si>
    <t>1.1.5.90.0099</t>
  </si>
  <si>
    <t>OUTROS CREDITOS</t>
  </si>
  <si>
    <t>1.2.1.5</t>
  </si>
  <si>
    <t>DEPOSITOS JUDICIAIS</t>
  </si>
  <si>
    <t>1.2.1.50.0</t>
  </si>
  <si>
    <t>1.2.1.50.0002</t>
  </si>
  <si>
    <t>CAUSAS TRABALHISTAS</t>
  </si>
  <si>
    <t>1.2.2.20.1</t>
  </si>
  <si>
    <t>TERRENOS</t>
  </si>
  <si>
    <t>1.2.2.20.1001</t>
  </si>
  <si>
    <t>TERRENOS - CUSTO</t>
  </si>
  <si>
    <t>1.2.2.20.2</t>
  </si>
  <si>
    <t>PREDIOS E BENFEITORIAS</t>
  </si>
  <si>
    <t>1.2.2.20.2001</t>
  </si>
  <si>
    <t>PREDIOS E BENFEITORIAS - CUSTO</t>
  </si>
  <si>
    <t>1.2.2.20.2002</t>
  </si>
  <si>
    <t>(-)DEPREC CUSTO - PREDIOS E BENFEITORIAS</t>
  </si>
  <si>
    <t>1.2.2.3</t>
  </si>
  <si>
    <t>INTANGIVEL</t>
  </si>
  <si>
    <t>1.2.2.30.3</t>
  </si>
  <si>
    <t>1.2.2.30.3004</t>
  </si>
  <si>
    <t>SOFTWARES E LICENCAS - CUSTO</t>
  </si>
  <si>
    <t>1.2.2.30.3005</t>
  </si>
  <si>
    <t>(-)AMORTIZACAO CUSTO-SOFTWARES E LICENCA</t>
  </si>
  <si>
    <t>2.1.2.10.1</t>
  </si>
  <si>
    <t>2.1.2.10.1001</t>
  </si>
  <si>
    <t>2.1.2.10.1002</t>
  </si>
  <si>
    <t>2.1.2.10.9001</t>
  </si>
  <si>
    <t>EMPRESTIMOS SANTANDER</t>
  </si>
  <si>
    <t>2.1.2.10.9002</t>
  </si>
  <si>
    <t>(-) JUROS A TRANSCORRER</t>
  </si>
  <si>
    <t>2.1.4</t>
  </si>
  <si>
    <t>CREDITOS COM PARTES LIGADAS - PF/PJ</t>
  </si>
  <si>
    <t>2.1.4.0</t>
  </si>
  <si>
    <t>2.1.4.00.0</t>
  </si>
  <si>
    <t>2.1.4.00.0001</t>
  </si>
  <si>
    <t>2.1.4.00.0004</t>
  </si>
  <si>
    <t>2.1.7.8</t>
  </si>
  <si>
    <t>2.1.7.80.0</t>
  </si>
  <si>
    <t>2.1.7.80.0001</t>
  </si>
  <si>
    <t>PARCELAMENTO LEI 11941/2009 CP</t>
  </si>
  <si>
    <t>2.1.7.80.0002</t>
  </si>
  <si>
    <t>ICMS PARCELAMENTO CP</t>
  </si>
  <si>
    <t>2.1.7.80.0003</t>
  </si>
  <si>
    <t>IRPJ PARCELAMENTO CP</t>
  </si>
  <si>
    <t>2.1.7.80.0004</t>
  </si>
  <si>
    <t>CSLL PARCELAMENTO CP</t>
  </si>
  <si>
    <t>2.1.7.80.0005</t>
  </si>
  <si>
    <t>COFINS PARCELAMENTO CP</t>
  </si>
  <si>
    <t>2.1.7.80.0006</t>
  </si>
  <si>
    <t>PARC.SIMP.CONT.PREVIDENCIA CP</t>
  </si>
  <si>
    <t>2.1.7.90.0001</t>
  </si>
  <si>
    <t>IRRF-PF A RECOLHER</t>
  </si>
  <si>
    <t>2.2</t>
  </si>
  <si>
    <t>PASSIVO NAO CIRCULANTE</t>
  </si>
  <si>
    <t>2.2.1</t>
  </si>
  <si>
    <t>EXIGIVEL A LONGO PRAZO</t>
  </si>
  <si>
    <t>2.2.1.1</t>
  </si>
  <si>
    <t>2.2.1.10.1</t>
  </si>
  <si>
    <t>2.2.1.10.1004</t>
  </si>
  <si>
    <t>2.2.1.10.1009</t>
  </si>
  <si>
    <t>2.2.1.10.2002</t>
  </si>
  <si>
    <t>(-) JUROS A TRANSCORRER LP</t>
  </si>
  <si>
    <t>2.2.1.2</t>
  </si>
  <si>
    <t>2.2.1.20.3</t>
  </si>
  <si>
    <t>2.2.1.20.3001</t>
  </si>
  <si>
    <t>PARCELAMENTO LEI 11941/2009 LP</t>
  </si>
  <si>
    <t>2.2.1.20.3002</t>
  </si>
  <si>
    <t>ICMS PARCELAMENTO LP</t>
  </si>
  <si>
    <t>2.2.1.20.3003</t>
  </si>
  <si>
    <t>IRPJ PARCELAMENTO LP</t>
  </si>
  <si>
    <t>2.2.1.20.3004</t>
  </si>
  <si>
    <t>CSLL PARCELAMENTO LP</t>
  </si>
  <si>
    <t>2.2.1.20.3005</t>
  </si>
  <si>
    <t>COFINS PARCELAMENTO LP</t>
  </si>
  <si>
    <t>2.2.1.20.3006</t>
  </si>
  <si>
    <t>PARC.SIMP.CONT.PREVIDENCIA LP</t>
  </si>
  <si>
    <t>2.3.5</t>
  </si>
  <si>
    <t>2.3.5.0</t>
  </si>
  <si>
    <t>2.3.5.00.0</t>
  </si>
  <si>
    <t>2.3.5.00.0002</t>
  </si>
  <si>
    <t>5.1.1.00.0004</t>
  </si>
  <si>
    <t>PUBLICIDADE E PROPAGANDA</t>
  </si>
  <si>
    <t>5.1.1.00.1</t>
  </si>
  <si>
    <t>DESPESAS DE MARKETING</t>
  </si>
  <si>
    <t>5.1.1.00.1003</t>
  </si>
  <si>
    <t>BRINDES</t>
  </si>
  <si>
    <t>5.1.2.10.1011</t>
  </si>
  <si>
    <t>COMISSOES A EMPREGADOS</t>
  </si>
  <si>
    <t>5.1.2.10.3003</t>
  </si>
  <si>
    <t>SEGURO DE VIDA EM GRUPO</t>
  </si>
  <si>
    <t>5.1.2.10.3007</t>
  </si>
  <si>
    <t>LANCHES E REFEICOES EXTRAS</t>
  </si>
  <si>
    <t>5.1.2.10.3012</t>
  </si>
  <si>
    <t>TRANSPORTE DE FUNCIONARIOS</t>
  </si>
  <si>
    <t>5.1.2.10.3099</t>
  </si>
  <si>
    <t>5.1.2.20.2005</t>
  </si>
  <si>
    <t>LOCACAO DE BENS - INFORMATICA</t>
  </si>
  <si>
    <t>5.1.2.20.2099</t>
  </si>
  <si>
    <t>OUTRAS DESPESAS C/INFORM E COMUNIC</t>
  </si>
  <si>
    <t>5.1.2.20.4002</t>
  </si>
  <si>
    <t>ASSESSORIA JURIDICA PJ</t>
  </si>
  <si>
    <t>5.1.2.20.5006</t>
  </si>
  <si>
    <t>IPVA</t>
  </si>
  <si>
    <t>5.1.2.20.5099</t>
  </si>
  <si>
    <t>OUTRAS DESPESAS TRIBUTARIAS</t>
  </si>
  <si>
    <t>5.1.2.20.6004</t>
  </si>
  <si>
    <t>LOCACOES-BENS MOVEIS</t>
  </si>
  <si>
    <t>5.1.2.20.6099</t>
  </si>
  <si>
    <t>OUTRAS DESPESAS COM MANUT/CONSERV</t>
  </si>
  <si>
    <t>5.1.2.20.7005</t>
  </si>
  <si>
    <t>LIVROS JORNAIS E REVISTAS</t>
  </si>
  <si>
    <t>5.1.2.30.1030</t>
  </si>
  <si>
    <t>MEDICAMENTOS E VACINAS</t>
  </si>
  <si>
    <t>5.2.1.10.0005</t>
  </si>
  <si>
    <t>TAXAS BANCARIAS DIVERSAS</t>
  </si>
  <si>
    <t>5.2.2.10.0005</t>
  </si>
  <si>
    <t>GANHO S/ OPERACOES FINANCEIRAS</t>
  </si>
  <si>
    <t>5.2.2.3</t>
  </si>
  <si>
    <t>VARIACOES MONETARIAS ATIVAS</t>
  </si>
  <si>
    <t>5.2.2.30.0</t>
  </si>
  <si>
    <t>5.2.2.30.0002</t>
  </si>
  <si>
    <t>VARIACAO MONETARIA ATIVA S/ OUTROS</t>
  </si>
  <si>
    <t>5.3.9.00.0003</t>
  </si>
  <si>
    <t>MULTAS DEDUTIVEIS</t>
  </si>
  <si>
    <t>5.3.9.00.0009</t>
  </si>
  <si>
    <t>RECUPERACAO DE DESPESAS DIVERSAS</t>
  </si>
  <si>
    <t>Depreciação/Amortização</t>
  </si>
  <si>
    <t>Var Vert</t>
  </si>
  <si>
    <t>Var Horiz</t>
  </si>
  <si>
    <t>TITULOSE CAPITALIZACAO</t>
  </si>
  <si>
    <t>CONTAS A RECEBERE CLIENTES</t>
  </si>
  <si>
    <t>(-)PROV P/CREDITOSE LIQUVIDOSA</t>
  </si>
  <si>
    <t>(-) PROV. P/CREDITOSE LIQUVIDOSA</t>
  </si>
  <si>
    <t>ESTOQUEE ALMOXARIFADO</t>
  </si>
  <si>
    <t>CREDITOSIVERSOS</t>
  </si>
  <si>
    <t>ADIANTAMENTOE 13 SALARIO</t>
  </si>
  <si>
    <t>ADIANTAMENTOSE VIAGEM</t>
  </si>
  <si>
    <t>EQUIPAMENTOSE INFORMATICA</t>
  </si>
  <si>
    <t>EQUIPAMENTOSE INFORMATICA - CUSTO</t>
  </si>
  <si>
    <t>(-)DEPREC CUSTO - EQUIPE INFORMATICA</t>
  </si>
  <si>
    <t>INTANGIVEISIVERSOS</t>
  </si>
  <si>
    <t>EMPRESTIMOS - BANCOO BRASIL SA</t>
  </si>
  <si>
    <t>FOLHAE PAGAMENTO</t>
  </si>
  <si>
    <t>ADIANTAMENTO EEVOLUCAOE CLIENTES</t>
  </si>
  <si>
    <t>ADTO EEVOLUCAO CLIENTES-NACIONAL</t>
  </si>
  <si>
    <t>ICMSIFERENCIALE ALIQUOTA</t>
  </si>
  <si>
    <t>PARCELAMENTOSE CONTR E IMPOSTOS</t>
  </si>
  <si>
    <t>EMPRESTIMOS - BANCOO BRASIL S A</t>
  </si>
  <si>
    <t>PARCE CONTRIBUICOES E IMPOSTOS</t>
  </si>
  <si>
    <t>RESERVAE RETENCAOE LUCROS</t>
  </si>
  <si>
    <t>LUCROS ACUMULADOS AESTINAR</t>
  </si>
  <si>
    <t>RESULTADOO EXERCICIO</t>
  </si>
  <si>
    <t>VENDASE MERCADORIAS</t>
  </si>
  <si>
    <t>VENDASE SERVICOS</t>
  </si>
  <si>
    <t>VENDASE IMOVEIS E LOCACOES</t>
  </si>
  <si>
    <t>RECEITAE LOCAÇÕES</t>
  </si>
  <si>
    <t>DEDUCAOE VENDAS</t>
  </si>
  <si>
    <t>DIFAL-DIFERENCIAL ICMS (ESTADOESTINO)</t>
  </si>
  <si>
    <t>DEVOLUCOESE VENDAS</t>
  </si>
  <si>
    <t>CUSTOE MERCADORIAS</t>
  </si>
  <si>
    <t>CUSTOE MERCADORIAS S/ BONIFICACAO</t>
  </si>
  <si>
    <t>CUSTOE MERCADORIAS-AJUSTES</t>
  </si>
  <si>
    <t>CUSTOE SERVICOS</t>
  </si>
  <si>
    <t>CUSTOE SERVICOS-AJUSTES</t>
  </si>
  <si>
    <t>DESPESASE MARKETING</t>
  </si>
  <si>
    <t>ASSISTENCIA MEDICA/PLANOE SAUDE</t>
  </si>
  <si>
    <t>SEGUROE VIDA EM GRUPO</t>
  </si>
  <si>
    <t>TRANSPORTEE FUNCIONARIOS</t>
  </si>
  <si>
    <t>OUTRASESPESAS COM PESSOAL</t>
  </si>
  <si>
    <t>TREINAMENTO EESENVOLVIMENTO</t>
  </si>
  <si>
    <t>MANUTENCAOE INFORMATICA</t>
  </si>
  <si>
    <t>LOCACAOE BENS - INFORMATICA</t>
  </si>
  <si>
    <t>SERVICOSE TERCEIROS EM TI</t>
  </si>
  <si>
    <t>OUTRASESPESAS C/INFORM E COMUNIC</t>
  </si>
  <si>
    <t>MANUTENCAOE VEICULOS</t>
  </si>
  <si>
    <t>LOCACAOE VEICULOS</t>
  </si>
  <si>
    <t>PASSAGENS / CONDUCAO /ESLOCAMENTO</t>
  </si>
  <si>
    <t>OUTRASESPESAS C/VIAGENS/VEICULOS</t>
  </si>
  <si>
    <t>SERVICOSE TERCEIROS</t>
  </si>
  <si>
    <t>SERVICOSE VIGILANCIA/SEGURANCA</t>
  </si>
  <si>
    <t>OUTROS SERVICOS TERCEIROSE PJ</t>
  </si>
  <si>
    <t>ALVARAS, LICENCAS E TAXASIVERSAS</t>
  </si>
  <si>
    <t>OUTRASESPESAS TRIBUTARIAS</t>
  </si>
  <si>
    <t>MANUT/CONSE INSTAL E EQUIPAMENTOS</t>
  </si>
  <si>
    <t>MANUTENCAOE MAQU E EQUIPAMENTOS</t>
  </si>
  <si>
    <t>BENSEDUZIDOS COMOESPESAS</t>
  </si>
  <si>
    <t>OUTRASESPESAS COM MANUT/CONSERV</t>
  </si>
  <si>
    <t>DESPESASIVERSAS</t>
  </si>
  <si>
    <t>MATERIALE HIGIENE E LIMPEZA</t>
  </si>
  <si>
    <t>MATERIALE EXPEDIENTE</t>
  </si>
  <si>
    <t>MATERIALE CONSUMO</t>
  </si>
  <si>
    <t>OUTRASESPESAS ADMINISTRATIVAS</t>
  </si>
  <si>
    <t>MATERIALE CONSUMO E PRODUCAO</t>
  </si>
  <si>
    <t>ELIMINACAOE RESIDUOS</t>
  </si>
  <si>
    <t>JUROS,ESC E ENCARGOS FINANCEIROS</t>
  </si>
  <si>
    <t>TAXAS BANCARIASIVERSAS</t>
  </si>
  <si>
    <t>OUTRASESPESAS FINANCEIRAS</t>
  </si>
  <si>
    <t>JUROS/MULTAE MORA PAGOS</t>
  </si>
  <si>
    <t>JUROS EESC FINANCEIROS OBTIDOS</t>
  </si>
  <si>
    <t>MULTASEDUTIVEIS</t>
  </si>
  <si>
    <t>RECUPERACAOEESPESASIVERSAS</t>
  </si>
  <si>
    <t>OUTRASESPESAS OPERACIONAIS</t>
  </si>
  <si>
    <t>IRPJO EXERCICIO</t>
  </si>
  <si>
    <t>IRPJ S/LUCROO EXERCICIO</t>
  </si>
  <si>
    <t>CSLLO EXERCICIO</t>
  </si>
  <si>
    <t>CSLL S/LUCROO EXERCICIO</t>
  </si>
  <si>
    <t>Check</t>
  </si>
  <si>
    <t>Var Hor vs dez/18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</si>
  <si>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</si>
  <si>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</si>
  <si>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</si>
  <si>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</si>
  <si>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</si>
  <si>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</si>
  <si>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</si>
  <si>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</si>
  <si>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</si>
  <si>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</si>
  <si>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</si>
  <si>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</si>
  <si>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YTD 2019</t>
  </si>
  <si>
    <t>Descrição</t>
  </si>
  <si>
    <t>Deduções</t>
  </si>
  <si>
    <t>COGS</t>
  </si>
  <si>
    <t>SG&amp;A</t>
  </si>
  <si>
    <t>GM</t>
  </si>
  <si>
    <t>EMPRESA MODELO</t>
  </si>
  <si>
    <t xml:space="preserve">BANCOO BRASIL </t>
  </si>
  <si>
    <t xml:space="preserve">SANTANDER </t>
  </si>
  <si>
    <t>BANCO BRASILIA</t>
  </si>
  <si>
    <t>ITAU</t>
  </si>
  <si>
    <t>BANCOO BRASIL</t>
  </si>
  <si>
    <t>EMPRESA A</t>
  </si>
  <si>
    <t>PESSOA B</t>
  </si>
  <si>
    <t>EBITDA</t>
  </si>
  <si>
    <t>GM %</t>
  </si>
  <si>
    <t>EBITDA Margin %</t>
  </si>
  <si>
    <t>Receita bruta</t>
  </si>
  <si>
    <t>Receita líquida</t>
  </si>
  <si>
    <t>COGS %</t>
  </si>
  <si>
    <t>Lucro líquido</t>
  </si>
  <si>
    <t>Resultado financeiro</t>
  </si>
  <si>
    <t>Outros resultados operacionais</t>
  </si>
  <si>
    <t>Impostos sobre o 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</si>
</sst>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_-* #,##0.00_-;\-* #,##0.00_-;_-* &quot;-&quot;??_-;_-@_-"/>
    <numFmt numFmtId="166" formatCode="_([$€-2]* #,##0_);_([$€-2]* \(#,##0\);_([$€-2]* &quot;-&quot;??_)"/>
    <numFmt numFmtId="171" formatCode="_-* #,##0.00\ _R_$_-;\-* #,##0.00\ _R_$_-;_-* &quot;-&quot;??\ _R_$_-;_-@_-"/>
    <numFmt numFmtId="172" formatCode="0.0%"/>
    <numFmt numFmtId="174" formatCode="_(* #,##0.00_);_(* \(#,##0.00\);_(* &quot;-&quot;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sz val="8"/>
      <name val="Courier New"/>
      <family val="3"/>
    </font>
    <font>
      <sz val="8"/>
      <name val="Calibri"/>
      <family val="2"/>
      <scheme val="minor"/>
    </font>
    <font>
      <b/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b/>
      <i/>
      <sz val="9"/>
      <name val="Calibri Light"/>
      <family val="2"/>
      <scheme val="major"/>
    </font>
    <font>
      <sz val="8"/>
      <name val="Courier New"/>
    </font>
    <font>
      <b/>
      <i/>
      <sz val="9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8">
    <xf numFmtId="166" fontId="0" fillId="0" borderId="0"/>
    <xf numFmtId="165" fontId="1" fillId="0" borderId="0" applyFont="0" applyFill="0" applyBorder="0" applyAlignment="0" applyProtection="0"/>
    <xf numFmtId="166" fontId="3" fillId="0" borderId="0"/>
    <xf numFmtId="165" fontId="3" fillId="0" borderId="0" applyFont="0" applyFill="0" applyBorder="0" applyAlignment="0" applyProtection="0"/>
    <xf numFmtId="166" fontId="3" fillId="0" borderId="0"/>
    <xf numFmtId="166" fontId="1" fillId="0" borderId="0"/>
    <xf numFmtId="0" fontId="3" fillId="0" borderId="0"/>
    <xf numFmtId="0" fontId="3" fillId="0" borderId="0"/>
    <xf numFmtId="0" fontId="1" fillId="0" borderId="0"/>
    <xf numFmtId="17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5" fontId="20" fillId="0" borderId="0" applyFont="0" applyFill="0" applyBorder="0" applyAlignment="0" applyProtection="0"/>
  </cellStyleXfs>
  <cellXfs count="97">
    <xf numFmtId="166" fontId="0" fillId="0" borderId="0" xfId="0"/>
    <xf numFmtId="0" fontId="4" fillId="0" borderId="0" xfId="6" applyFont="1" applyAlignment="1">
      <alignment vertical="top" wrapText="1"/>
    </xf>
    <xf numFmtId="0" fontId="3" fillId="0" borderId="0" xfId="6" applyAlignment="1">
      <alignment vertical="top"/>
    </xf>
    <xf numFmtId="165" fontId="2" fillId="0" borderId="0" xfId="1" applyFont="1" applyAlignment="1">
      <alignment vertical="top"/>
    </xf>
    <xf numFmtId="166" fontId="0" fillId="0" borderId="0" xfId="0" applyAlignment="1">
      <alignment vertical="top" wrapText="1"/>
    </xf>
    <xf numFmtId="166" fontId="0" fillId="0" borderId="0" xfId="0" applyAlignment="1">
      <alignment vertical="top"/>
    </xf>
    <xf numFmtId="166" fontId="0" fillId="0" borderId="0" xfId="0" applyAlignment="1">
      <alignment horizontal="right" vertical="top"/>
    </xf>
    <xf numFmtId="0" fontId="3" fillId="0" borderId="0" xfId="6" applyAlignment="1">
      <alignment vertical="top" wrapText="1"/>
    </xf>
    <xf numFmtId="166" fontId="5" fillId="0" borderId="0" xfId="0" applyFont="1" applyAlignment="1">
      <alignment vertical="top" wrapText="1"/>
    </xf>
    <xf numFmtId="166" fontId="6" fillId="0" borderId="0" xfId="0" applyFont="1" applyAlignment="1">
      <alignment vertical="top" wrapText="1"/>
    </xf>
    <xf numFmtId="166" fontId="7" fillId="0" borderId="0" xfId="0" applyFont="1" applyAlignment="1">
      <alignment vertical="top" wrapText="1"/>
    </xf>
    <xf numFmtId="166" fontId="4" fillId="0" borderId="0" xfId="0" applyFont="1" applyAlignment="1">
      <alignment vertical="top" wrapText="1"/>
    </xf>
    <xf numFmtId="166" fontId="6" fillId="0" borderId="0" xfId="0" applyFont="1" applyAlignment="1">
      <alignment vertical="top"/>
    </xf>
    <xf numFmtId="166" fontId="3" fillId="0" borderId="0" xfId="0" applyFont="1" applyAlignment="1">
      <alignment vertical="top"/>
    </xf>
    <xf numFmtId="166" fontId="8" fillId="0" borderId="0" xfId="0" applyFont="1" applyAlignment="1">
      <alignment vertical="top" wrapText="1"/>
    </xf>
    <xf numFmtId="166" fontId="9" fillId="0" borderId="0" xfId="0" applyFont="1" applyAlignment="1">
      <alignment vertical="top" wrapText="1"/>
    </xf>
    <xf numFmtId="166" fontId="9" fillId="0" borderId="0" xfId="0" applyFont="1" applyAlignment="1">
      <alignment vertical="top"/>
    </xf>
    <xf numFmtId="166" fontId="9" fillId="0" borderId="0" xfId="0" applyFont="1" applyAlignment="1">
      <alignment horizontal="left" vertical="top" wrapText="1"/>
    </xf>
    <xf numFmtId="166" fontId="3" fillId="0" borderId="0" xfId="0" applyFont="1" applyAlignment="1">
      <alignment vertical="top" wrapText="1"/>
    </xf>
    <xf numFmtId="166" fontId="4" fillId="0" borderId="0" xfId="0" applyFont="1" applyAlignment="1">
      <alignment vertical="top"/>
    </xf>
    <xf numFmtId="166" fontId="8" fillId="0" borderId="0" xfId="0" applyFont="1" applyAlignment="1">
      <alignment horizontal="center" vertical="top"/>
    </xf>
    <xf numFmtId="166" fontId="10" fillId="0" borderId="0" xfId="0" applyFont="1" applyAlignment="1">
      <alignment vertical="top" wrapText="1"/>
    </xf>
    <xf numFmtId="166" fontId="3" fillId="0" borderId="0" xfId="0" applyFont="1" applyAlignment="1">
      <alignment horizontal="center" vertical="top"/>
    </xf>
    <xf numFmtId="166" fontId="11" fillId="0" borderId="0" xfId="0" applyFont="1" applyAlignment="1">
      <alignment vertical="top"/>
    </xf>
    <xf numFmtId="166" fontId="0" fillId="0" borderId="0" xfId="0" applyAlignment="1">
      <alignment horizontal="center" vertical="top"/>
    </xf>
    <xf numFmtId="0" fontId="3" fillId="0" borderId="0" xfId="0" applyNumberFormat="1" applyFont="1" applyAlignment="1">
      <alignment horizontal="center" vertical="top"/>
    </xf>
    <xf numFmtId="166" fontId="12" fillId="0" borderId="0" xfId="0" applyFont="1" applyAlignment="1">
      <alignment vertical="top"/>
    </xf>
    <xf numFmtId="0" fontId="15" fillId="0" borderId="0" xfId="14" applyFont="1" applyAlignment="1">
      <alignment horizontal="left"/>
    </xf>
    <xf numFmtId="0" fontId="16" fillId="0" borderId="0" xfId="13" applyFont="1"/>
    <xf numFmtId="43" fontId="17" fillId="0" borderId="0" xfId="14" applyNumberFormat="1" applyFont="1"/>
    <xf numFmtId="0" fontId="17" fillId="0" borderId="0" xfId="14" applyFont="1"/>
    <xf numFmtId="43" fontId="15" fillId="0" borderId="0" xfId="14" applyNumberFormat="1" applyFont="1"/>
    <xf numFmtId="0" fontId="15" fillId="0" borderId="0" xfId="14" applyFont="1"/>
    <xf numFmtId="43" fontId="17" fillId="0" borderId="0" xfId="14" applyNumberFormat="1" applyFont="1" applyAlignment="1">
      <alignment horizontal="center"/>
    </xf>
    <xf numFmtId="0" fontId="17" fillId="0" borderId="0" xfId="14" applyFont="1" applyAlignment="1">
      <alignment horizontal="center"/>
    </xf>
    <xf numFmtId="0" fontId="16" fillId="0" borderId="0" xfId="13" applyFont="1" applyBorder="1"/>
    <xf numFmtId="172" fontId="15" fillId="0" borderId="0" xfId="15" applyNumberFormat="1" applyFont="1"/>
    <xf numFmtId="0" fontId="16" fillId="0" borderId="0" xfId="13" applyFont="1" applyAlignment="1">
      <alignment horizontal="left"/>
    </xf>
    <xf numFmtId="0" fontId="17" fillId="0" borderId="0" xfId="14" applyFont="1" applyAlignment="1">
      <alignment horizontal="left"/>
    </xf>
    <xf numFmtId="0" fontId="17" fillId="0" borderId="0" xfId="8" applyFont="1"/>
    <xf numFmtId="39" fontId="17" fillId="0" borderId="0" xfId="14" applyNumberFormat="1" applyFont="1"/>
    <xf numFmtId="39" fontId="17" fillId="0" borderId="0" xfId="1" applyNumberFormat="1" applyFont="1" applyFill="1" applyAlignment="1"/>
    <xf numFmtId="17" fontId="15" fillId="2" borderId="0" xfId="14" applyNumberFormat="1" applyFont="1" applyFill="1"/>
    <xf numFmtId="4" fontId="15" fillId="2" borderId="0" xfId="14" applyNumberFormat="1" applyFont="1" applyFill="1" applyAlignment="1">
      <alignment horizontal="center" wrapText="1"/>
    </xf>
    <xf numFmtId="17" fontId="15" fillId="2" borderId="0" xfId="8" applyNumberFormat="1" applyFont="1" applyFill="1"/>
    <xf numFmtId="39" fontId="17" fillId="0" borderId="0" xfId="14" applyNumberFormat="1" applyFont="1" applyAlignment="1"/>
    <xf numFmtId="0" fontId="15" fillId="0" borderId="0" xfId="8" applyFont="1" applyAlignment="1">
      <alignment horizontal="left"/>
    </xf>
    <xf numFmtId="166" fontId="17" fillId="0" borderId="0" xfId="0" applyFont="1"/>
    <xf numFmtId="39" fontId="17" fillId="0" borderId="0" xfId="0" applyNumberFormat="1" applyFont="1" applyAlignment="1"/>
    <xf numFmtId="39" fontId="17" fillId="0" borderId="0" xfId="0" applyNumberFormat="1" applyFont="1"/>
    <xf numFmtId="0" fontId="15" fillId="3" borderId="0" xfId="14" applyFont="1" applyFill="1" applyAlignment="1">
      <alignment horizontal="left"/>
    </xf>
    <xf numFmtId="166" fontId="15" fillId="3" borderId="0" xfId="0" applyFont="1" applyFill="1" applyAlignment="1">
      <alignment horizontal="center"/>
    </xf>
    <xf numFmtId="0" fontId="15" fillId="3" borderId="0" xfId="14" applyFont="1" applyFill="1"/>
    <xf numFmtId="0" fontId="19" fillId="0" borderId="0" xfId="13" applyFont="1" applyAlignment="1">
      <alignment horizontal="right"/>
    </xf>
    <xf numFmtId="166" fontId="4" fillId="0" borderId="0" xfId="0" applyFont="1" applyAlignment="1">
      <alignment horizontal="left" vertical="top" wrapText="1"/>
    </xf>
    <xf numFmtId="166" fontId="15" fillId="0" borderId="0" xfId="0" applyFont="1" applyFill="1" applyAlignment="1">
      <alignment horizontal="left"/>
    </xf>
    <xf numFmtId="0" fontId="15" fillId="0" borderId="0" xfId="0" applyNumberFormat="1" applyFont="1" applyFill="1" applyAlignment="1">
      <alignment horizontal="left"/>
    </xf>
    <xf numFmtId="39" fontId="15" fillId="0" borderId="0" xfId="0" applyNumberFormat="1" applyFont="1" applyFill="1" applyAlignment="1"/>
    <xf numFmtId="172" fontId="15" fillId="0" borderId="0" xfId="15" applyNumberFormat="1" applyFont="1" applyFill="1" applyAlignment="1"/>
    <xf numFmtId="4" fontId="15" fillId="0" borderId="0" xfId="8" applyNumberFormat="1" applyFont="1" applyFill="1" applyAlignment="1">
      <alignment horizontal="center"/>
    </xf>
    <xf numFmtId="0" fontId="15" fillId="0" borderId="0" xfId="8" applyFont="1" applyFill="1" applyAlignment="1">
      <alignment horizontal="center"/>
    </xf>
    <xf numFmtId="49" fontId="15" fillId="0" borderId="0" xfId="8" applyNumberFormat="1" applyFont="1" applyFill="1" applyAlignment="1">
      <alignment horizontal="center"/>
    </xf>
    <xf numFmtId="0" fontId="15" fillId="0" borderId="0" xfId="8" applyFont="1" applyFill="1" applyAlignment="1">
      <alignment horizontal="left"/>
    </xf>
    <xf numFmtId="0" fontId="15" fillId="0" borderId="0" xfId="14" applyFont="1" applyFill="1"/>
    <xf numFmtId="4" fontId="15" fillId="0" borderId="0" xfId="8" applyNumberFormat="1" applyFont="1" applyFill="1"/>
    <xf numFmtId="0" fontId="15" fillId="0" borderId="0" xfId="8" quotePrefix="1" applyFont="1" applyFill="1" applyAlignment="1">
      <alignment horizontal="center"/>
    </xf>
    <xf numFmtId="166" fontId="17" fillId="0" borderId="0" xfId="0" applyFont="1" applyFill="1" applyAlignment="1">
      <alignment horizontal="left"/>
    </xf>
    <xf numFmtId="0" fontId="17" fillId="0" borderId="0" xfId="0" applyNumberFormat="1" applyFont="1" applyFill="1" applyAlignment="1">
      <alignment horizontal="left"/>
    </xf>
    <xf numFmtId="39" fontId="17" fillId="0" borderId="0" xfId="0" applyNumberFormat="1" applyFont="1" applyFill="1" applyAlignment="1"/>
    <xf numFmtId="0" fontId="17" fillId="0" borderId="0" xfId="8" applyFont="1" applyFill="1" applyAlignment="1">
      <alignment horizontal="center"/>
    </xf>
    <xf numFmtId="49" fontId="17" fillId="0" borderId="0" xfId="8" applyNumberFormat="1" applyFont="1" applyFill="1" applyAlignment="1">
      <alignment horizontal="center"/>
    </xf>
    <xf numFmtId="0" fontId="17" fillId="0" borderId="0" xfId="8" quotePrefix="1" applyFont="1" applyFill="1" applyAlignment="1">
      <alignment horizontal="center"/>
    </xf>
    <xf numFmtId="0" fontId="17" fillId="0" borderId="0" xfId="8" applyFont="1" applyFill="1" applyAlignment="1">
      <alignment horizontal="left"/>
    </xf>
    <xf numFmtId="4" fontId="17" fillId="0" borderId="0" xfId="8" applyNumberFormat="1" applyFont="1" applyFill="1"/>
    <xf numFmtId="0" fontId="17" fillId="0" borderId="0" xfId="14" applyFont="1" applyFill="1"/>
    <xf numFmtId="0" fontId="15" fillId="0" borderId="0" xfId="8" applyFont="1" applyFill="1"/>
    <xf numFmtId="0" fontId="17" fillId="0" borderId="0" xfId="8" applyFont="1" applyFill="1"/>
    <xf numFmtId="4" fontId="17" fillId="0" borderId="0" xfId="8" applyNumberFormat="1" applyFont="1" applyFill="1" applyAlignment="1">
      <alignment horizontal="center"/>
    </xf>
    <xf numFmtId="166" fontId="17" fillId="0" borderId="0" xfId="0" applyFont="1" applyFill="1"/>
    <xf numFmtId="172" fontId="17" fillId="0" borderId="0" xfId="15" applyNumberFormat="1" applyFont="1" applyFill="1"/>
    <xf numFmtId="9" fontId="17" fillId="0" borderId="0" xfId="15" applyFont="1" applyFill="1"/>
    <xf numFmtId="166" fontId="21" fillId="3" borderId="0" xfId="0" applyFont="1" applyFill="1" applyAlignment="1">
      <alignment horizontal="right"/>
    </xf>
    <xf numFmtId="166" fontId="17" fillId="3" borderId="0" xfId="0" applyFont="1" applyFill="1"/>
    <xf numFmtId="39" fontId="17" fillId="3" borderId="0" xfId="0" applyNumberFormat="1" applyFont="1" applyFill="1" applyAlignment="1"/>
    <xf numFmtId="172" fontId="17" fillId="3" borderId="0" xfId="15" applyNumberFormat="1" applyFont="1" applyFill="1"/>
    <xf numFmtId="9" fontId="17" fillId="3" borderId="0" xfId="15" applyFont="1" applyFill="1"/>
    <xf numFmtId="0" fontId="18" fillId="0" borderId="0" xfId="13" applyFont="1" applyFill="1" applyAlignment="1">
      <alignment horizontal="left"/>
    </xf>
    <xf numFmtId="39" fontId="15" fillId="0" borderId="0" xfId="1" applyNumberFormat="1" applyFont="1" applyFill="1" applyAlignment="1"/>
    <xf numFmtId="172" fontId="15" fillId="0" borderId="0" xfId="15" applyNumberFormat="1" applyFont="1" applyFill="1"/>
    <xf numFmtId="0" fontId="16" fillId="0" borderId="0" xfId="13" applyFont="1" applyFill="1" applyAlignment="1">
      <alignment horizontal="left"/>
    </xf>
    <xf numFmtId="4" fontId="17" fillId="0" borderId="0" xfId="14" applyNumberFormat="1" applyFont="1" applyFill="1"/>
    <xf numFmtId="165" fontId="17" fillId="0" borderId="0" xfId="1" applyFont="1" applyFill="1" applyAlignment="1">
      <alignment horizontal="left"/>
    </xf>
    <xf numFmtId="43" fontId="15" fillId="0" borderId="0" xfId="14" applyNumberFormat="1" applyFont="1" applyFill="1"/>
    <xf numFmtId="43" fontId="17" fillId="0" borderId="0" xfId="14" applyNumberFormat="1" applyFont="1" applyFill="1"/>
    <xf numFmtId="172" fontId="2" fillId="0" borderId="0" xfId="15" applyNumberFormat="1" applyFont="1" applyAlignment="1">
      <alignment vertical="top"/>
    </xf>
    <xf numFmtId="174" fontId="17" fillId="3" borderId="0" xfId="15" applyNumberFormat="1" applyFont="1" applyFill="1"/>
    <xf numFmtId="39" fontId="15" fillId="0" borderId="0" xfId="8" applyNumberFormat="1" applyFont="1" applyFill="1"/>
  </cellXfs>
  <cellStyles count="18">
    <cellStyle name="Comma 2" xfId="3" xr:uid="{3F5DFF45-9F5B-486D-8DB4-795966B2853C}"/>
    <cellStyle name="Normal" xfId="0" builtinId="0"/>
    <cellStyle name="Normal 12 2" xfId="11" xr:uid="{1FD67F45-FA5B-4682-A611-942EDB482D0E}"/>
    <cellStyle name="Normal 2" xfId="2" xr:uid="{60921E29-A6CD-4755-B2FC-F70F8E3E1D62}"/>
    <cellStyle name="Normal 2 2 3" xfId="6" xr:uid="{F80E72BE-6C75-4AE9-9852-917945D21980}"/>
    <cellStyle name="Normal 3" xfId="4" xr:uid="{AE2BC008-45D9-4EC7-BD21-C60D22CC2AB5}"/>
    <cellStyle name="Normal 4" xfId="5" xr:uid="{1FCA0C61-0DE3-4480-9F0F-14BDB98AE19A}"/>
    <cellStyle name="Normal 40" xfId="7" xr:uid="{89FD9E84-105E-491C-AFF5-B31DFE87F6AF}"/>
    <cellStyle name="Normal 5" xfId="8" xr:uid="{B59F89F0-137E-4938-A35B-D5048D733995}"/>
    <cellStyle name="Normal 6" xfId="13" xr:uid="{A58403BB-7504-4835-AC61-D9E3AEEE1EEB}"/>
    <cellStyle name="Normal 7" xfId="14" xr:uid="{E0752103-9593-4AEF-AAC7-768B9830EA17}"/>
    <cellStyle name="Normal 8" xfId="16" xr:uid="{6E228F88-7118-4781-832D-3D1B4DBD64FF}"/>
    <cellStyle name="Porcentagem" xfId="15" builtinId="5"/>
    <cellStyle name="Porcentagem 2" xfId="10" xr:uid="{B01FCCE9-8D24-48A4-993C-008737F22B08}"/>
    <cellStyle name="Vírgula" xfId="1" builtinId="3"/>
    <cellStyle name="Vírgula 2" xfId="17" xr:uid="{6CD8325D-1F80-4A9D-AF7E-C2F6420E087E}"/>
    <cellStyle name="Vírgula 5" xfId="12" xr:uid="{BDAE3A80-08A0-45F6-AE68-B4CFD23BE4FE}"/>
    <cellStyle name="Vírgula 6" xfId="9" xr:uid="{AA9A0F7E-6F0F-4D23-82F9-13C8368D3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304800</xdr:colOff>
      <xdr:row>6</xdr:row>
      <xdr:rowOff>114300</xdr:rowOff>
    </xdr:to>
    <xdr:sp macro="" textlink="">
      <xdr:nvSpPr>
        <xdr:cNvPr id="2" name="AutoShape 1" descr="{\displaystyle Y=(0,05.RP+1,65.LG+3,55.LS)-(1,06.LC+0,33.GE)}">
          <a:extLst>
            <a:ext uri="{FF2B5EF4-FFF2-40B4-BE49-F238E27FC236}">
              <a16:creationId xmlns:a16="http://schemas.microsoft.com/office/drawing/2014/main" id="{298C0D18-84CA-4B0A-ACEE-F85E449EBF46}"/>
            </a:ext>
          </a:extLst>
        </xdr:cNvPr>
        <xdr:cNvSpPr>
          <a:spLocks noChangeAspect="1" noChangeArrowheads="1"/>
        </xdr:cNvSpPr>
      </xdr:nvSpPr>
      <xdr:spPr bwMode="auto">
        <a:xfrm>
          <a:off x="1262634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304800</xdr:colOff>
      <xdr:row>6</xdr:row>
      <xdr:rowOff>114300</xdr:rowOff>
    </xdr:to>
    <xdr:sp macro="" textlink="">
      <xdr:nvSpPr>
        <xdr:cNvPr id="3" name="AutoShape 2" descr="{\displaystyle Y=(0,05.RP+1,65.LG+3,55.LS)-(1,06.LC+0,33.GE)}">
          <a:extLst>
            <a:ext uri="{FF2B5EF4-FFF2-40B4-BE49-F238E27FC236}">
              <a16:creationId xmlns:a16="http://schemas.microsoft.com/office/drawing/2014/main" id="{BF7CEBC0-558E-4AAF-B5B3-9FF70D59762D}"/>
            </a:ext>
          </a:extLst>
        </xdr:cNvPr>
        <xdr:cNvSpPr>
          <a:spLocks noChangeAspect="1" noChangeArrowheads="1"/>
        </xdr:cNvSpPr>
      </xdr:nvSpPr>
      <xdr:spPr bwMode="auto">
        <a:xfrm>
          <a:off x="1262634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eandro\mcons\irpj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in\DAD7\CSAMAN\corpo\excel\MODEL\sc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\Data\Clientes\Unipar\2002\Imobilizado%20DQ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ransfer\Configura&#231;&#245;es%20locais\Temporary%20Internet%20Files\Content.IE5\KHUZSTUN\Worksheet%20in%20(C)%201602%20Revis&#227;o%20anal&#237;tica%202o%20ITR%20-%2030%20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0.1%20Publica&#231;&#227;o%202008%20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udi\Data\Clientes\Biosint&#233;tica\31.12.03\Administra&#231;&#227;o%20do%20JOB\Comparativo%20dez02%20x%20dez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IR_DIFERIDO"/>
      <sheetName val="MÚTUO"/>
      <sheetName val="JAN"/>
      <sheetName val="FEV"/>
      <sheetName val="MAR"/>
      <sheetName val="MAR_AJUSTADO"/>
      <sheetName val="ABR"/>
      <sheetName val="ABR_01"/>
      <sheetName val="MAI"/>
      <sheetName val="JUN"/>
      <sheetName val="PROJ_0299"/>
      <sheetName val="DEM_PGTO_01"/>
      <sheetName val="DARF"/>
      <sheetName val="CONC_0399"/>
      <sheetName val="CONC_0499"/>
      <sheetName val="CONC_0599"/>
      <sheetName val="CONC_0699"/>
    </sheetNames>
    <sheetDataSet>
      <sheetData sheetId="0">
        <row r="7">
          <cell r="E7">
            <v>1999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G_LANGUE"/>
    </sheetNames>
    <sheetDataSet>
      <sheetData sheetId="0" refreshError="1">
        <row r="2">
          <cell r="A2">
            <v>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movimentação jan-dez-02"/>
      <sheetName val="Mapa Movimentação out-dez-02"/>
      <sheetName val="Global Depreciação"/>
      <sheetName val="Parâmetro"/>
      <sheetName val="Obras em Andamento"/>
      <sheetName val="Obras em andamento (2)"/>
      <sheetName val="teste de adição"/>
      <sheetName val="Teste Baixas"/>
      <sheetName val="XREF"/>
      <sheetName val="Tickmark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4">
          <cell r="G14" t="e">
            <v>#REF!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de Resultado"/>
      <sheetName val="BALANCO"/>
      <sheetName val="RESULTADO"/>
      <sheetName val="Bancos e aplicação"/>
      <sheetName val="Contas a Receber"/>
      <sheetName val="Aging Jun-06{PPC}"/>
      <sheetName val="Aging para Nota Explicativa"/>
      <sheetName val="Investimentos"/>
      <sheetName val="Outros ativos"/>
      <sheetName val="Deposito Judicial"/>
      <sheetName val="Permanente"/>
      <sheetName val="Empresas ligadas"/>
      <sheetName val="Fornecedores"/>
      <sheetName val="Empréstimos"/>
      <sheetName val="Obrigações Fiscais "/>
      <sheetName val="Salários e Encargos"/>
      <sheetName val="Provisões e Aluguel de Poste"/>
      <sheetName val="Outras Contas a Pagar"/>
      <sheetName val="Contingências"/>
      <sheetName val="Receitas"/>
      <sheetName val="Outros custos"/>
      <sheetName val="Testes Resultado"/>
      <sheetName val="Explicações"/>
      <sheetName val="XREF"/>
      <sheetName val="Tickmarks"/>
      <sheetName val="Covenants 30.06.06"/>
      <sheetName val="Deduções"/>
      <sheetName val="Custos Programação e Outros"/>
      <sheetName val="Desp. gerais e adm e vendas"/>
      <sheetName val="#REF"/>
      <sheetName val="Tickmarks "/>
      <sheetName val="Suporte DO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o"/>
      <sheetName val="Resultado"/>
      <sheetName val="Reconciliação IR"/>
      <sheetName val="Fluxo Caixa"/>
      <sheetName val="DVA"/>
      <sheetName val="Mutacoes"/>
      <sheetName val="Base DVA"/>
      <sheetName val="Trial"/>
      <sheetName val="XREF"/>
      <sheetName val="Tickmarks"/>
    </sheetNames>
    <sheetDataSet>
      <sheetData sheetId="0"/>
      <sheetData sheetId="1"/>
      <sheetData sheetId="2" refreshError="1"/>
      <sheetData sheetId="3">
        <row r="15">
          <cell r="E15">
            <v>61616</v>
          </cell>
        </row>
        <row r="16">
          <cell r="E16">
            <v>116</v>
          </cell>
        </row>
        <row r="17">
          <cell r="E17">
            <v>593</v>
          </cell>
        </row>
        <row r="19">
          <cell r="E19">
            <v>11060</v>
          </cell>
        </row>
        <row r="20">
          <cell r="E20">
            <v>-20343</v>
          </cell>
        </row>
        <row r="25">
          <cell r="E25">
            <v>33343</v>
          </cell>
        </row>
        <row r="45">
          <cell r="E45">
            <v>238</v>
          </cell>
        </row>
        <row r="46">
          <cell r="Q46">
            <v>137178</v>
          </cell>
        </row>
      </sheetData>
      <sheetData sheetId="4">
        <row r="19">
          <cell r="E19">
            <v>-18407</v>
          </cell>
        </row>
        <row r="28">
          <cell r="E28">
            <v>176572</v>
          </cell>
        </row>
      </sheetData>
      <sheetData sheetId="5"/>
      <sheetData sheetId="6" refreshError="1"/>
      <sheetData sheetId="7" refreshError="1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IVO"/>
      <sheetName val="PASSIVO"/>
      <sheetName val="RESULTADO"/>
      <sheetName val="Resumo"/>
      <sheetName val="MUT"/>
      <sheetName val="DOAR"/>
      <sheetName val="Mapa Imobilizad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5DF6-879B-48EA-B3DA-5E403DE3D2D8}">
  <dimension ref="A1:AP390"/>
  <sheetViews>
    <sheetView workbookViewId="0">
      <pane xSplit="6" ySplit="4" topLeftCell="AE185" activePane="bottomRight" state="frozen"/>
      <selection pane="topRight" activeCell="G1" sqref="G1"/>
      <selection pane="bottomLeft" activeCell="A5" sqref="A5"/>
      <selection pane="bottomRight" activeCell="AN388" sqref="AN388"/>
    </sheetView>
  </sheetViews>
  <sheetFormatPr defaultColWidth="9.109375" defaultRowHeight="12" x14ac:dyDescent="0.25"/>
  <cols>
    <col min="1" max="1" width="13" style="28" customWidth="1"/>
    <col min="2" max="2" width="33.88671875" style="28" bestFit="1" customWidth="1"/>
    <col min="3" max="3" width="2.44140625" style="39" customWidth="1"/>
    <col min="4" max="4" width="13.88671875" style="30" bestFit="1" customWidth="1"/>
    <col min="5" max="5" width="7.21875" style="30" customWidth="1"/>
    <col min="6" max="6" width="8.88671875" style="30" bestFit="1" customWidth="1"/>
    <col min="7" max="7" width="13.88671875" style="30" bestFit="1" customWidth="1"/>
    <col min="8" max="8" width="7.21875" style="30" customWidth="1"/>
    <col min="9" max="9" width="8" style="30" bestFit="1" customWidth="1"/>
    <col min="10" max="10" width="13.88671875" style="30" bestFit="1" customWidth="1"/>
    <col min="11" max="11" width="7.21875" style="30" customWidth="1"/>
    <col min="12" max="12" width="8" style="30" bestFit="1" customWidth="1"/>
    <col min="13" max="13" width="13.88671875" style="30" bestFit="1" customWidth="1"/>
    <col min="14" max="14" width="7.21875" style="30" customWidth="1"/>
    <col min="15" max="15" width="8" style="30" bestFit="1" customWidth="1"/>
    <col min="16" max="16" width="13.88671875" style="30" bestFit="1" customWidth="1"/>
    <col min="17" max="17" width="7.21875" style="30" customWidth="1"/>
    <col min="18" max="18" width="8.88671875" style="30" bestFit="1" customWidth="1"/>
    <col min="19" max="19" width="13.88671875" style="30" bestFit="1" customWidth="1"/>
    <col min="20" max="20" width="7.21875" style="30" customWidth="1"/>
    <col min="21" max="21" width="8" style="30" bestFit="1" customWidth="1"/>
    <col min="22" max="22" width="13.88671875" style="30" bestFit="1" customWidth="1"/>
    <col min="23" max="23" width="7.21875" style="30" customWidth="1"/>
    <col min="24" max="24" width="8" style="30" bestFit="1" customWidth="1"/>
    <col min="25" max="25" width="13.88671875" style="30" bestFit="1" customWidth="1"/>
    <col min="26" max="26" width="7.21875" style="30" customWidth="1"/>
    <col min="27" max="27" width="8" style="30" bestFit="1" customWidth="1"/>
    <col min="28" max="28" width="13.88671875" style="30" bestFit="1" customWidth="1"/>
    <col min="29" max="29" width="7.21875" style="30" customWidth="1"/>
    <col min="30" max="30" width="8" style="30" bestFit="1" customWidth="1"/>
    <col min="31" max="31" width="13.88671875" style="30" customWidth="1"/>
    <col min="32" max="32" width="7.21875" style="30" customWidth="1"/>
    <col min="33" max="33" width="8" style="30" bestFit="1" customWidth="1"/>
    <col min="34" max="34" width="13.88671875" style="30" customWidth="1"/>
    <col min="35" max="35" width="7.21875" style="30" customWidth="1"/>
    <col min="36" max="36" width="8" style="30" bestFit="1" customWidth="1"/>
    <col min="37" max="37" width="13.88671875" style="30" customWidth="1"/>
    <col min="38" max="38" width="7.21875" style="30" customWidth="1"/>
    <col min="39" max="39" width="8.88671875" style="30" customWidth="1"/>
    <col min="40" max="40" width="13.44140625" style="30" bestFit="1" customWidth="1"/>
    <col min="41" max="41" width="7.21875" style="30" customWidth="1"/>
    <col min="42" max="42" width="8.88671875" style="30" bestFit="1" customWidth="1"/>
    <col min="43" max="16384" width="9.109375" style="30"/>
  </cols>
  <sheetData>
    <row r="1" spans="1:42" x14ac:dyDescent="0.25">
      <c r="A1" s="27" t="s">
        <v>816</v>
      </c>
      <c r="C1" s="28"/>
      <c r="D1" s="29"/>
      <c r="E1" s="29"/>
      <c r="F1" s="29"/>
      <c r="H1" s="29"/>
      <c r="I1" s="29"/>
      <c r="K1" s="29"/>
      <c r="L1" s="29"/>
      <c r="N1" s="29"/>
      <c r="O1" s="29"/>
      <c r="P1" s="29"/>
      <c r="Q1" s="29"/>
      <c r="R1" s="29"/>
      <c r="T1" s="29"/>
      <c r="U1" s="29"/>
      <c r="W1" s="29"/>
      <c r="X1" s="29"/>
      <c r="Z1" s="29"/>
      <c r="AA1" s="29"/>
      <c r="AC1" s="29"/>
      <c r="AD1" s="29"/>
      <c r="AF1" s="29"/>
      <c r="AG1" s="29"/>
      <c r="AI1" s="29"/>
      <c r="AJ1" s="29"/>
      <c r="AL1" s="29"/>
      <c r="AM1" s="29"/>
      <c r="AO1" s="29"/>
    </row>
    <row r="2" spans="1:42" s="32" customFormat="1" x14ac:dyDescent="0.25">
      <c r="A2" s="28"/>
      <c r="B2" s="53" t="s">
        <v>796</v>
      </c>
      <c r="C2" s="28"/>
      <c r="D2" s="31">
        <f>D5-D105</f>
        <v>0</v>
      </c>
      <c r="E2" s="31"/>
      <c r="F2" s="31"/>
      <c r="G2" s="31">
        <f>G5-G105</f>
        <v>0</v>
      </c>
      <c r="H2" s="31"/>
      <c r="I2" s="31"/>
      <c r="J2" s="31">
        <f>J5-J105</f>
        <v>0</v>
      </c>
      <c r="K2" s="31"/>
      <c r="L2" s="31"/>
      <c r="M2" s="31">
        <f>M5-M105</f>
        <v>0</v>
      </c>
      <c r="N2" s="31"/>
      <c r="O2" s="31"/>
      <c r="P2" s="31">
        <f>P5-P105</f>
        <v>0</v>
      </c>
      <c r="Q2" s="31"/>
      <c r="R2" s="31"/>
      <c r="S2" s="31">
        <f>S5-S105</f>
        <v>0</v>
      </c>
      <c r="T2" s="31"/>
      <c r="U2" s="31"/>
      <c r="V2" s="31">
        <f>V5-V105</f>
        <v>0</v>
      </c>
      <c r="W2" s="31"/>
      <c r="X2" s="31"/>
      <c r="Y2" s="31">
        <f>Y5-Y105</f>
        <v>0</v>
      </c>
      <c r="Z2" s="31"/>
      <c r="AA2" s="31"/>
      <c r="AB2" s="31">
        <f>AB5-AB105</f>
        <v>0</v>
      </c>
      <c r="AC2" s="31"/>
      <c r="AD2" s="31"/>
      <c r="AE2" s="31">
        <f>AE5-AE105</f>
        <v>0</v>
      </c>
      <c r="AF2" s="31"/>
      <c r="AG2" s="31"/>
      <c r="AH2" s="31">
        <f>AH5-AH105</f>
        <v>0</v>
      </c>
      <c r="AI2" s="31"/>
      <c r="AJ2" s="31"/>
      <c r="AK2" s="31">
        <f>AK5-AK105</f>
        <v>0</v>
      </c>
      <c r="AL2" s="31"/>
      <c r="AM2" s="31"/>
      <c r="AN2" s="31">
        <f>AN5-AN105</f>
        <v>0</v>
      </c>
      <c r="AO2" s="31"/>
    </row>
    <row r="3" spans="1:42" s="34" customFormat="1" x14ac:dyDescent="0.25">
      <c r="A3" s="28"/>
      <c r="B3" s="28"/>
      <c r="C3" s="28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</row>
    <row r="4" spans="1:42" ht="24" x14ac:dyDescent="0.25">
      <c r="A4" s="42" t="s">
        <v>105</v>
      </c>
      <c r="B4" s="42" t="s">
        <v>106</v>
      </c>
      <c r="C4" s="35"/>
      <c r="D4" s="42">
        <v>43435</v>
      </c>
      <c r="E4" s="43" t="s">
        <v>717</v>
      </c>
      <c r="F4" s="43" t="s">
        <v>718</v>
      </c>
      <c r="G4" s="42">
        <v>43466</v>
      </c>
      <c r="H4" s="43" t="s">
        <v>717</v>
      </c>
      <c r="I4" s="43" t="s">
        <v>718</v>
      </c>
      <c r="J4" s="44">
        <v>43497</v>
      </c>
      <c r="K4" s="43" t="s">
        <v>717</v>
      </c>
      <c r="L4" s="43" t="s">
        <v>718</v>
      </c>
      <c r="M4" s="44">
        <v>43525</v>
      </c>
      <c r="N4" s="43" t="s">
        <v>717</v>
      </c>
      <c r="O4" s="43" t="s">
        <v>718</v>
      </c>
      <c r="P4" s="44">
        <v>43556</v>
      </c>
      <c r="Q4" s="43" t="s">
        <v>717</v>
      </c>
      <c r="R4" s="43" t="s">
        <v>718</v>
      </c>
      <c r="S4" s="44">
        <v>43586</v>
      </c>
      <c r="T4" s="43" t="s">
        <v>717</v>
      </c>
      <c r="U4" s="43" t="s">
        <v>718</v>
      </c>
      <c r="V4" s="44">
        <v>43617</v>
      </c>
      <c r="W4" s="43" t="s">
        <v>717</v>
      </c>
      <c r="X4" s="43" t="s">
        <v>718</v>
      </c>
      <c r="Y4" s="44">
        <v>43647</v>
      </c>
      <c r="Z4" s="43" t="s">
        <v>717</v>
      </c>
      <c r="AA4" s="43" t="s">
        <v>718</v>
      </c>
      <c r="AB4" s="44">
        <v>43678</v>
      </c>
      <c r="AC4" s="43" t="s">
        <v>717</v>
      </c>
      <c r="AD4" s="43" t="s">
        <v>718</v>
      </c>
      <c r="AE4" s="44">
        <v>43709</v>
      </c>
      <c r="AF4" s="43" t="s">
        <v>717</v>
      </c>
      <c r="AG4" s="43" t="s">
        <v>718</v>
      </c>
      <c r="AH4" s="44">
        <v>43739</v>
      </c>
      <c r="AI4" s="43" t="s">
        <v>717</v>
      </c>
      <c r="AJ4" s="43" t="s">
        <v>718</v>
      </c>
      <c r="AK4" s="44">
        <v>43770</v>
      </c>
      <c r="AL4" s="43" t="s">
        <v>717</v>
      </c>
      <c r="AM4" s="43" t="s">
        <v>718</v>
      </c>
      <c r="AN4" s="44">
        <v>43800</v>
      </c>
      <c r="AO4" s="43" t="s">
        <v>717</v>
      </c>
      <c r="AP4" s="43" t="s">
        <v>797</v>
      </c>
    </row>
    <row r="5" spans="1:42" s="63" customFormat="1" x14ac:dyDescent="0.25">
      <c r="A5" s="86" t="s">
        <v>107</v>
      </c>
      <c r="B5" s="86" t="s">
        <v>0</v>
      </c>
      <c r="C5" s="86"/>
      <c r="D5" s="92">
        <v>11799609.48</v>
      </c>
      <c r="E5" s="88">
        <f>IF(D5=0,0,D5/$D$5)</f>
        <v>1</v>
      </c>
      <c r="F5" s="88">
        <f>IF(D5=0,0,G5/D5-1)</f>
        <v>-3.8382132965302129E-2</v>
      </c>
      <c r="G5" s="92">
        <v>11346715.300000001</v>
      </c>
      <c r="H5" s="88">
        <f>IF(G5=0,0,G5/$D$5)</f>
        <v>0.96161786703469787</v>
      </c>
      <c r="I5" s="88">
        <f>IF(G5=0,0,J5/G5-1)</f>
        <v>4.9067557022426378E-3</v>
      </c>
      <c r="J5" s="92">
        <v>11402390.859999999</v>
      </c>
      <c r="K5" s="88">
        <f>IF(J5=0,0,J5/$D$5)</f>
        <v>0.96633629098714879</v>
      </c>
      <c r="L5" s="88">
        <f>IF(J5=0,0,M5/J5-1)</f>
        <v>-4.2810740834399175E-3</v>
      </c>
      <c r="M5" s="92">
        <v>11353576.380000001</v>
      </c>
      <c r="N5" s="88">
        <f>IF(M5=0,0,M5/$D$5)</f>
        <v>0.96219933373591615</v>
      </c>
      <c r="O5" s="88">
        <f>IF(M5=0,0,P5/M5-1)</f>
        <v>1.4427145642719186E-3</v>
      </c>
      <c r="P5" s="92">
        <v>11369956.350000001</v>
      </c>
      <c r="Q5" s="88">
        <f>IF(P5=0,0,P5/$D$5)</f>
        <v>0.9635875127284298</v>
      </c>
      <c r="R5" s="88">
        <f>IF(P5=0,0,S5/P5-1)</f>
        <v>-1.3978767825260974E-2</v>
      </c>
      <c r="S5" s="92">
        <v>11211018.369999999</v>
      </c>
      <c r="T5" s="88">
        <f>IF(S5=0,0,S5/$D$5)</f>
        <v>0.95011774660867832</v>
      </c>
      <c r="U5" s="88">
        <f>IF(S5=0,0,V5/S5-1)</f>
        <v>3.4377723528785875E-2</v>
      </c>
      <c r="V5" s="92">
        <v>11596427.659999998</v>
      </c>
      <c r="W5" s="88">
        <f>IF(V5=0,0,V5/$D$5)</f>
        <v>0.98278063182138442</v>
      </c>
      <c r="X5" s="88">
        <f>IF(V5=0,0,Y5/V5-1)</f>
        <v>-2.6056110455657033E-2</v>
      </c>
      <c r="Y5" s="92">
        <v>11294269.860000001</v>
      </c>
      <c r="Z5" s="88">
        <f>IF(Y5=0,0,Y5/$D$5)</f>
        <v>0.95717319112496602</v>
      </c>
      <c r="AA5" s="88">
        <f>IF(Y5=0,0,AB5/Y5-1)</f>
        <v>-9.2506705873947048E-3</v>
      </c>
      <c r="AB5" s="92">
        <v>11189790.290000001</v>
      </c>
      <c r="AC5" s="88">
        <f>IF(AB5=0,0,AB5/$D$5)</f>
        <v>0.94831869723878359</v>
      </c>
      <c r="AD5" s="88">
        <f>IF(AB5=0,0,AE5/AB5-1)</f>
        <v>2.5924578788509844E-3</v>
      </c>
      <c r="AE5" s="92">
        <v>11218799.350000001</v>
      </c>
      <c r="AF5" s="88">
        <f>IF(AE5=0,0,AE5/$D$5)</f>
        <v>0.95077717351710189</v>
      </c>
      <c r="AG5" s="88">
        <f>IF(AE5=0,0,AH5/AE5-1)</f>
        <v>-1.1869321827206125E-2</v>
      </c>
      <c r="AH5" s="92">
        <v>11085639.810000001</v>
      </c>
      <c r="AI5" s="88">
        <f>IF(AH5=0,0,AH5/$D$5)</f>
        <v>0.93949209325866601</v>
      </c>
      <c r="AJ5" s="88">
        <f>IF(AH5=0,0,AK5/AH5-1)</f>
        <v>9.9471940176631968E-3</v>
      </c>
      <c r="AK5" s="92">
        <v>11195910.82</v>
      </c>
      <c r="AL5" s="88">
        <f>IF(AK5=0,0,AK5/$D$5)</f>
        <v>0.94883740338837042</v>
      </c>
      <c r="AM5" s="88">
        <f>IF(AK5=0,0,AN5/AK5-1)</f>
        <v>-0.40340242724441422</v>
      </c>
      <c r="AN5" s="92">
        <v>6679453.2200000007</v>
      </c>
      <c r="AO5" s="88">
        <f>IF(AN5=0,0,AN5/$D$5)</f>
        <v>0.56607409180121449</v>
      </c>
      <c r="AP5" s="88">
        <f>IF(D5=0,0,AN5/D5-1)</f>
        <v>-0.43392590819878551</v>
      </c>
    </row>
    <row r="6" spans="1:42" s="63" customFormat="1" x14ac:dyDescent="0.25">
      <c r="A6" s="86" t="s">
        <v>108</v>
      </c>
      <c r="B6" s="86" t="s">
        <v>109</v>
      </c>
      <c r="C6" s="86"/>
      <c r="D6" s="92">
        <v>8624715.7899999991</v>
      </c>
      <c r="E6" s="88">
        <f t="shared" ref="E6:E69" si="0">IF(D6=0,0,D6/$D$5)</f>
        <v>0.7309323079393979</v>
      </c>
      <c r="F6" s="88">
        <f t="shared" ref="F6:F69" si="1">IF(D6=0,0,G6/D6-1)</f>
        <v>-5.1771167986510491E-2</v>
      </c>
      <c r="G6" s="92">
        <v>8178204.1799999997</v>
      </c>
      <c r="H6" s="88">
        <f t="shared" ref="H6:H69" si="2">IF(G6=0,0,G6/$D$5)</f>
        <v>0.69309108863829949</v>
      </c>
      <c r="I6" s="88">
        <f t="shared" ref="I6:I69" si="3">IF(G6=0,0,J6/G6-1)</f>
        <v>8.2711899227736474E-3</v>
      </c>
      <c r="J6" s="92">
        <v>8245847.6600000001</v>
      </c>
      <c r="K6" s="88">
        <f t="shared" ref="K6:K69" si="4">IF(J6=0,0,J6/$D$5)</f>
        <v>0.69882377666620876</v>
      </c>
      <c r="L6" s="88">
        <f t="shared" ref="L6:L69" si="5">IF(J6=0,0,M6/J6-1)</f>
        <v>-4.4684987546811383E-3</v>
      </c>
      <c r="M6" s="92">
        <v>8209001.0999999996</v>
      </c>
      <c r="N6" s="88">
        <f t="shared" ref="N6:N69" si="6">IF(M6=0,0,M6/$D$5)</f>
        <v>0.69570108349043425</v>
      </c>
      <c r="O6" s="88">
        <f t="shared" ref="O6:O69" si="7">IF(M6=0,0,P6/M6-1)</f>
        <v>3.2538075795849331E-3</v>
      </c>
      <c r="P6" s="92">
        <v>8235711.6100000003</v>
      </c>
      <c r="Q6" s="88">
        <f t="shared" ref="Q6:Q69" si="8">IF(P6=0,0,P6/$D$5)</f>
        <v>0.69796476094902082</v>
      </c>
      <c r="R6" s="88">
        <f t="shared" ref="R6:R69" si="9">IF(P6=0,0,S6/P6-1)</f>
        <v>-1.7842146126338276E-2</v>
      </c>
      <c r="S6" s="92">
        <v>8088768.8399999999</v>
      </c>
      <c r="T6" s="88">
        <f t="shared" ref="T6:T69" si="10">IF(S6=0,0,S6/$D$5)</f>
        <v>0.6855115716931337</v>
      </c>
      <c r="U6" s="88">
        <f t="shared" ref="U6:U69" si="11">IF(S6=0,0,V6/S6-1)</f>
        <v>4.9130406352420719E-2</v>
      </c>
      <c r="V6" s="92">
        <v>8486173.339999998</v>
      </c>
      <c r="W6" s="88">
        <f t="shared" ref="W6:W69" si="12">IF(V6=0,0,V6/$D$5)</f>
        <v>0.71919103376970384</v>
      </c>
      <c r="X6" s="88">
        <f t="shared" ref="X6:X69" si="13">IF(V6=0,0,Y6/V6-1)</f>
        <v>-3.5024112528910245E-2</v>
      </c>
      <c r="Y6" s="92">
        <v>8188952.6500000004</v>
      </c>
      <c r="Z6" s="88">
        <f t="shared" ref="Z6:Z69" si="14">IF(Y6=0,0,Y6/$D$5)</f>
        <v>0.69400200607317053</v>
      </c>
      <c r="AA6" s="88">
        <f t="shared" ref="AA6:AA69" si="15">IF(Y6=0,0,AB6/Y6-1)</f>
        <v>-1.1732750707747708E-2</v>
      </c>
      <c r="AB6" s="92">
        <v>8092873.71</v>
      </c>
      <c r="AC6" s="88">
        <f t="shared" ref="AC6:AC69" si="16">IF(AB6=0,0,AB6/$D$5)</f>
        <v>0.68585945354523714</v>
      </c>
      <c r="AD6" s="88">
        <f t="shared" ref="AD6:AD69" si="17">IF(AB6=0,0,AE6/AB6-1)</f>
        <v>5.9116083747712267E-4</v>
      </c>
      <c r="AE6" s="92">
        <v>8097657.9000000004</v>
      </c>
      <c r="AF6" s="88">
        <f t="shared" ref="AF6:AF69" si="18">IF(AE6=0,0,AE6/$D$5)</f>
        <v>0.6862649067941865</v>
      </c>
      <c r="AG6" s="88">
        <f t="shared" ref="AG6:AG69" si="19">IF(AE6=0,0,AH6/AE6-1)</f>
        <v>-1.4953068096393629E-2</v>
      </c>
      <c r="AH6" s="92">
        <v>7976573.0700000003</v>
      </c>
      <c r="AI6" s="88">
        <f t="shared" ref="AI6:AI69" si="20">IF(AH6=0,0,AH6/$D$5)</f>
        <v>0.67600314091072788</v>
      </c>
      <c r="AJ6" s="88">
        <f t="shared" ref="AJ6:AJ69" si="21">IF(AH6=0,0,AK6/AH6-1)</f>
        <v>1.5332361269273731E-2</v>
      </c>
      <c r="AK6" s="92">
        <v>8098872.7700000005</v>
      </c>
      <c r="AL6" s="88">
        <f t="shared" ref="AL6:AL69" si="22">IF(AK6=0,0,AK6/$D$5)</f>
        <v>0.68636786528633487</v>
      </c>
      <c r="AM6" s="88">
        <f t="shared" ref="AM6:AM69" si="23">IF(AK6=0,0,AN6/AK6-1)</f>
        <v>-0.55549390115928454</v>
      </c>
      <c r="AN6" s="92">
        <v>3599998.3399999994</v>
      </c>
      <c r="AO6" s="88">
        <f t="shared" ref="AO6:AO69" si="24">IF(AN6=0,0,AN6/$D$5)</f>
        <v>0.30509470216805845</v>
      </c>
      <c r="AP6" s="88">
        <f t="shared" ref="AP6:AP69" si="25">IF(D6=0,0,AN6/D6-1)</f>
        <v>-0.58259513383918704</v>
      </c>
    </row>
    <row r="7" spans="1:42" s="63" customFormat="1" x14ac:dyDescent="0.25">
      <c r="A7" s="86" t="s">
        <v>110</v>
      </c>
      <c r="B7" s="86" t="s">
        <v>111</v>
      </c>
      <c r="C7" s="86"/>
      <c r="D7" s="92">
        <v>113269.94</v>
      </c>
      <c r="E7" s="88">
        <f t="shared" si="0"/>
        <v>9.59946515111278E-3</v>
      </c>
      <c r="F7" s="88">
        <f t="shared" si="1"/>
        <v>0.83144460039442025</v>
      </c>
      <c r="G7" s="92">
        <v>207447.61999999997</v>
      </c>
      <c r="H7" s="88">
        <f t="shared" si="2"/>
        <v>1.758088861767991E-2</v>
      </c>
      <c r="I7" s="88">
        <f t="shared" si="3"/>
        <v>-0.69506924205734433</v>
      </c>
      <c r="J7" s="92">
        <v>63257.16</v>
      </c>
      <c r="K7" s="88">
        <f t="shared" si="4"/>
        <v>5.3609536914945429E-3</v>
      </c>
      <c r="L7" s="88">
        <f t="shared" si="5"/>
        <v>-0.27458694003967299</v>
      </c>
      <c r="M7" s="92">
        <v>45887.57</v>
      </c>
      <c r="N7" s="88">
        <f t="shared" si="6"/>
        <v>3.8889058216526671E-3</v>
      </c>
      <c r="O7" s="88">
        <f t="shared" si="7"/>
        <v>9.3763114935046676</v>
      </c>
      <c r="P7" s="92">
        <v>476143.72</v>
      </c>
      <c r="Q7" s="88">
        <f t="shared" si="8"/>
        <v>4.0352498174371781E-2</v>
      </c>
      <c r="R7" s="88">
        <f t="shared" si="9"/>
        <v>-0.61844100348525022</v>
      </c>
      <c r="S7" s="92">
        <v>181676.91999999998</v>
      </c>
      <c r="T7" s="88">
        <f t="shared" si="10"/>
        <v>1.539685871027657E-2</v>
      </c>
      <c r="U7" s="88">
        <f t="shared" si="11"/>
        <v>-0.66190388960799207</v>
      </c>
      <c r="V7" s="92">
        <v>61424.259999999995</v>
      </c>
      <c r="W7" s="88">
        <f t="shared" si="12"/>
        <v>5.2056180421998161E-3</v>
      </c>
      <c r="X7" s="88">
        <f t="shared" si="13"/>
        <v>-0.93596097046997384</v>
      </c>
      <c r="Y7" s="92">
        <v>3933.5500000000011</v>
      </c>
      <c r="Z7" s="88">
        <f t="shared" si="14"/>
        <v>3.3336272752647073E-4</v>
      </c>
      <c r="AA7" s="88">
        <f t="shared" si="15"/>
        <v>-7.9812281526864997</v>
      </c>
      <c r="AB7" s="92">
        <v>-27461.009999999987</v>
      </c>
      <c r="AC7" s="88">
        <f t="shared" si="16"/>
        <v>-2.3272812584641559E-3</v>
      </c>
      <c r="AD7" s="88">
        <f t="shared" si="17"/>
        <v>-1.7129005815882232</v>
      </c>
      <c r="AE7" s="92">
        <v>19576.97</v>
      </c>
      <c r="AF7" s="88">
        <f t="shared" si="18"/>
        <v>1.6591201626784686E-3</v>
      </c>
      <c r="AG7" s="88">
        <f t="shared" si="19"/>
        <v>-0.76877167406396363</v>
      </c>
      <c r="AH7" s="92">
        <v>4526.7500000000055</v>
      </c>
      <c r="AI7" s="88">
        <f t="shared" si="20"/>
        <v>3.8363557774286658E-4</v>
      </c>
      <c r="AJ7" s="88">
        <f t="shared" si="21"/>
        <v>7.2629060584304312</v>
      </c>
      <c r="AK7" s="92">
        <v>37404.11</v>
      </c>
      <c r="AL7" s="88">
        <f t="shared" si="22"/>
        <v>3.1699447395609911E-3</v>
      </c>
      <c r="AM7" s="88">
        <f t="shared" si="23"/>
        <v>1.0891321836022834</v>
      </c>
      <c r="AN7" s="92">
        <v>78142.13</v>
      </c>
      <c r="AO7" s="88">
        <f t="shared" si="24"/>
        <v>6.6224335756576245E-3</v>
      </c>
      <c r="AP7" s="88">
        <f t="shared" si="25"/>
        <v>-0.31012473388791406</v>
      </c>
    </row>
    <row r="8" spans="1:42" s="63" customFormat="1" x14ac:dyDescent="0.25">
      <c r="A8" s="86" t="s">
        <v>112</v>
      </c>
      <c r="B8" s="86" t="s">
        <v>113</v>
      </c>
      <c r="C8" s="86"/>
      <c r="D8" s="92">
        <v>38708.300000000003</v>
      </c>
      <c r="E8" s="88">
        <f t="shared" si="0"/>
        <v>3.2804729737547214E-3</v>
      </c>
      <c r="F8" s="88">
        <f t="shared" si="1"/>
        <v>-0.10461580591242703</v>
      </c>
      <c r="G8" s="92">
        <v>34658.800000000003</v>
      </c>
      <c r="H8" s="88">
        <f t="shared" si="2"/>
        <v>2.9372836498314349E-3</v>
      </c>
      <c r="I8" s="88">
        <f t="shared" si="3"/>
        <v>-2.8881553891075273E-2</v>
      </c>
      <c r="J8" s="92">
        <v>33657.800000000003</v>
      </c>
      <c r="K8" s="88">
        <f t="shared" si="4"/>
        <v>2.8524503338054541E-3</v>
      </c>
      <c r="L8" s="88">
        <f t="shared" si="5"/>
        <v>-4.5881489580424262E-2</v>
      </c>
      <c r="M8" s="92">
        <v>32113.53</v>
      </c>
      <c r="N8" s="88">
        <f t="shared" si="6"/>
        <v>2.7215756635362814E-3</v>
      </c>
      <c r="O8" s="88">
        <f t="shared" si="7"/>
        <v>2.7552561179041923E-2</v>
      </c>
      <c r="P8" s="92">
        <v>32998.339999999997</v>
      </c>
      <c r="Q8" s="88">
        <f t="shared" si="8"/>
        <v>2.7965620435092564E-3</v>
      </c>
      <c r="R8" s="88">
        <f t="shared" si="9"/>
        <v>0.14128892544291638</v>
      </c>
      <c r="S8" s="92">
        <v>37660.639999999999</v>
      </c>
      <c r="T8" s="88">
        <f t="shared" si="10"/>
        <v>3.1916852895711254E-3</v>
      </c>
      <c r="U8" s="88">
        <f t="shared" si="11"/>
        <v>-0.15400428670357158</v>
      </c>
      <c r="V8" s="92">
        <v>31860.74</v>
      </c>
      <c r="W8" s="88">
        <f t="shared" si="12"/>
        <v>2.7001520731684417E-3</v>
      </c>
      <c r="X8" s="88">
        <f t="shared" si="13"/>
        <v>-0.46568347125647425</v>
      </c>
      <c r="Y8" s="92">
        <v>17023.72</v>
      </c>
      <c r="Z8" s="88">
        <f t="shared" si="14"/>
        <v>1.4427358828149963E-3</v>
      </c>
      <c r="AA8" s="88">
        <f t="shared" si="15"/>
        <v>-0.1160433794728768</v>
      </c>
      <c r="AB8" s="92">
        <v>15048.23</v>
      </c>
      <c r="AC8" s="88">
        <f t="shared" si="16"/>
        <v>1.2753159352863598E-3</v>
      </c>
      <c r="AD8" s="88">
        <f t="shared" si="17"/>
        <v>-1.0159998883589538E-2</v>
      </c>
      <c r="AE8" s="92">
        <v>14895.34</v>
      </c>
      <c r="AF8" s="88">
        <f t="shared" si="18"/>
        <v>1.2623587268076266E-3</v>
      </c>
      <c r="AG8" s="88">
        <f t="shared" si="19"/>
        <v>0</v>
      </c>
      <c r="AH8" s="92">
        <v>14895.34</v>
      </c>
      <c r="AI8" s="88">
        <f t="shared" si="20"/>
        <v>1.2623587268076266E-3</v>
      </c>
      <c r="AJ8" s="88">
        <f t="shared" si="21"/>
        <v>5.4621109689339198E-2</v>
      </c>
      <c r="AK8" s="92">
        <v>15708.94</v>
      </c>
      <c r="AL8" s="88">
        <f t="shared" si="22"/>
        <v>1.3313101612918803E-3</v>
      </c>
      <c r="AM8" s="88">
        <f t="shared" si="23"/>
        <v>-0.85415056649271048</v>
      </c>
      <c r="AN8" s="92">
        <v>2291.14</v>
      </c>
      <c r="AO8" s="88">
        <f t="shared" si="24"/>
        <v>1.9417083284691892E-4</v>
      </c>
      <c r="AP8" s="88">
        <f t="shared" si="25"/>
        <v>-0.94081011049309837</v>
      </c>
    </row>
    <row r="9" spans="1:42" s="74" customFormat="1" x14ac:dyDescent="0.25">
      <c r="A9" s="86" t="s">
        <v>114</v>
      </c>
      <c r="B9" s="86" t="s">
        <v>115</v>
      </c>
      <c r="C9" s="86"/>
      <c r="D9" s="92">
        <v>38708.300000000003</v>
      </c>
      <c r="E9" s="88">
        <f t="shared" si="0"/>
        <v>3.2804729737547214E-3</v>
      </c>
      <c r="F9" s="88">
        <f t="shared" si="1"/>
        <v>-0.10461580591242703</v>
      </c>
      <c r="G9" s="92">
        <v>34658.800000000003</v>
      </c>
      <c r="H9" s="88">
        <f t="shared" si="2"/>
        <v>2.9372836498314349E-3</v>
      </c>
      <c r="I9" s="88">
        <f t="shared" si="3"/>
        <v>-2.8881553891075273E-2</v>
      </c>
      <c r="J9" s="92">
        <v>33657.800000000003</v>
      </c>
      <c r="K9" s="88">
        <f t="shared" si="4"/>
        <v>2.8524503338054541E-3</v>
      </c>
      <c r="L9" s="88">
        <f t="shared" si="5"/>
        <v>-4.5881489580424262E-2</v>
      </c>
      <c r="M9" s="92">
        <v>32113.53</v>
      </c>
      <c r="N9" s="88">
        <f t="shared" si="6"/>
        <v>2.7215756635362814E-3</v>
      </c>
      <c r="O9" s="88">
        <f t="shared" si="7"/>
        <v>2.7552561179041923E-2</v>
      </c>
      <c r="P9" s="92">
        <v>32998.339999999997</v>
      </c>
      <c r="Q9" s="88">
        <f t="shared" si="8"/>
        <v>2.7965620435092564E-3</v>
      </c>
      <c r="R9" s="88">
        <f t="shared" si="9"/>
        <v>0.14128892544291638</v>
      </c>
      <c r="S9" s="92">
        <v>37660.639999999999</v>
      </c>
      <c r="T9" s="88">
        <f t="shared" si="10"/>
        <v>3.1916852895711254E-3</v>
      </c>
      <c r="U9" s="88">
        <f t="shared" si="11"/>
        <v>-0.15400428670357158</v>
      </c>
      <c r="V9" s="92">
        <v>31860.74</v>
      </c>
      <c r="W9" s="88">
        <f t="shared" si="12"/>
        <v>2.7001520731684417E-3</v>
      </c>
      <c r="X9" s="88">
        <f t="shared" si="13"/>
        <v>-0.46568347125647425</v>
      </c>
      <c r="Y9" s="92">
        <v>17023.72</v>
      </c>
      <c r="Z9" s="88">
        <f t="shared" si="14"/>
        <v>1.4427358828149963E-3</v>
      </c>
      <c r="AA9" s="88">
        <f t="shared" si="15"/>
        <v>-0.1160433794728768</v>
      </c>
      <c r="AB9" s="92">
        <v>15048.23</v>
      </c>
      <c r="AC9" s="88">
        <f t="shared" si="16"/>
        <v>1.2753159352863598E-3</v>
      </c>
      <c r="AD9" s="88">
        <f t="shared" si="17"/>
        <v>-1.0159998883589538E-2</v>
      </c>
      <c r="AE9" s="92">
        <v>14895.34</v>
      </c>
      <c r="AF9" s="88">
        <f t="shared" si="18"/>
        <v>1.2623587268076266E-3</v>
      </c>
      <c r="AG9" s="88">
        <f t="shared" si="19"/>
        <v>0</v>
      </c>
      <c r="AH9" s="92">
        <v>14895.34</v>
      </c>
      <c r="AI9" s="88">
        <f t="shared" si="20"/>
        <v>1.2623587268076266E-3</v>
      </c>
      <c r="AJ9" s="88">
        <f t="shared" si="21"/>
        <v>5.4621109689339198E-2</v>
      </c>
      <c r="AK9" s="92">
        <v>15708.94</v>
      </c>
      <c r="AL9" s="88">
        <f t="shared" si="22"/>
        <v>1.3313101612918803E-3</v>
      </c>
      <c r="AM9" s="88">
        <f t="shared" si="23"/>
        <v>-0.85415056649271048</v>
      </c>
      <c r="AN9" s="92">
        <v>2291.14</v>
      </c>
      <c r="AO9" s="88">
        <f t="shared" si="24"/>
        <v>1.9417083284691892E-4</v>
      </c>
      <c r="AP9" s="88">
        <f t="shared" si="25"/>
        <v>-0.94081011049309837</v>
      </c>
    </row>
    <row r="10" spans="1:42" s="63" customFormat="1" x14ac:dyDescent="0.25">
      <c r="A10" s="89" t="s">
        <v>116</v>
      </c>
      <c r="B10" s="89" t="s">
        <v>117</v>
      </c>
      <c r="C10" s="89"/>
      <c r="D10" s="93">
        <v>38708.300000000003</v>
      </c>
      <c r="E10" s="88">
        <f t="shared" si="0"/>
        <v>3.2804729737547214E-3</v>
      </c>
      <c r="F10" s="88">
        <f t="shared" si="1"/>
        <v>-0.10461580591242703</v>
      </c>
      <c r="G10" s="93">
        <v>34658.800000000003</v>
      </c>
      <c r="H10" s="88">
        <f t="shared" si="2"/>
        <v>2.9372836498314349E-3</v>
      </c>
      <c r="I10" s="88">
        <f t="shared" si="3"/>
        <v>-2.8881553891075273E-2</v>
      </c>
      <c r="J10" s="93">
        <v>33657.800000000003</v>
      </c>
      <c r="K10" s="88">
        <f t="shared" si="4"/>
        <v>2.8524503338054541E-3</v>
      </c>
      <c r="L10" s="88">
        <f t="shared" si="5"/>
        <v>-4.5881489580424262E-2</v>
      </c>
      <c r="M10" s="93">
        <v>32113.53</v>
      </c>
      <c r="N10" s="88">
        <f t="shared" si="6"/>
        <v>2.7215756635362814E-3</v>
      </c>
      <c r="O10" s="88">
        <f t="shared" si="7"/>
        <v>2.7552561179041923E-2</v>
      </c>
      <c r="P10" s="93">
        <v>32998.339999999997</v>
      </c>
      <c r="Q10" s="88">
        <f t="shared" si="8"/>
        <v>2.7965620435092564E-3</v>
      </c>
      <c r="R10" s="88">
        <f t="shared" si="9"/>
        <v>0.14128892544291638</v>
      </c>
      <c r="S10" s="93">
        <v>37660.639999999999</v>
      </c>
      <c r="T10" s="88">
        <f t="shared" si="10"/>
        <v>3.1916852895711254E-3</v>
      </c>
      <c r="U10" s="88">
        <f t="shared" si="11"/>
        <v>-0.15400428670357158</v>
      </c>
      <c r="V10" s="93">
        <v>31860.74</v>
      </c>
      <c r="W10" s="88">
        <f t="shared" si="12"/>
        <v>2.7001520731684417E-3</v>
      </c>
      <c r="X10" s="88">
        <f t="shared" si="13"/>
        <v>-0.46568347125647425</v>
      </c>
      <c r="Y10" s="93">
        <v>17023.72</v>
      </c>
      <c r="Z10" s="88">
        <f t="shared" si="14"/>
        <v>1.4427358828149963E-3</v>
      </c>
      <c r="AA10" s="88">
        <f t="shared" si="15"/>
        <v>-0.1160433794728768</v>
      </c>
      <c r="AB10" s="93">
        <v>15048.23</v>
      </c>
      <c r="AC10" s="88">
        <f t="shared" si="16"/>
        <v>1.2753159352863598E-3</v>
      </c>
      <c r="AD10" s="88">
        <f t="shared" si="17"/>
        <v>-1.0159998883589538E-2</v>
      </c>
      <c r="AE10" s="93">
        <v>14895.34</v>
      </c>
      <c r="AF10" s="88">
        <f t="shared" si="18"/>
        <v>1.2623587268076266E-3</v>
      </c>
      <c r="AG10" s="88">
        <f t="shared" si="19"/>
        <v>0</v>
      </c>
      <c r="AH10" s="93">
        <v>14895.34</v>
      </c>
      <c r="AI10" s="88">
        <f t="shared" si="20"/>
        <v>1.2623587268076266E-3</v>
      </c>
      <c r="AJ10" s="88">
        <f t="shared" si="21"/>
        <v>5.4621109689339198E-2</v>
      </c>
      <c r="AK10" s="93">
        <v>15708.94</v>
      </c>
      <c r="AL10" s="88">
        <f t="shared" si="22"/>
        <v>1.3313101612918803E-3</v>
      </c>
      <c r="AM10" s="88">
        <f t="shared" si="23"/>
        <v>-0.85415056649271048</v>
      </c>
      <c r="AN10" s="93">
        <v>2291.14</v>
      </c>
      <c r="AO10" s="88">
        <f t="shared" si="24"/>
        <v>1.9417083284691892E-4</v>
      </c>
      <c r="AP10" s="88">
        <f t="shared" si="25"/>
        <v>-0.94081011049309837</v>
      </c>
    </row>
    <row r="11" spans="1:42" s="63" customFormat="1" x14ac:dyDescent="0.25">
      <c r="A11" s="86" t="s">
        <v>118</v>
      </c>
      <c r="B11" s="86" t="s">
        <v>119</v>
      </c>
      <c r="C11" s="86"/>
      <c r="D11" s="92">
        <v>61573.74</v>
      </c>
      <c r="E11" s="88">
        <f t="shared" si="0"/>
        <v>5.2182862580635167E-3</v>
      </c>
      <c r="F11" s="88">
        <f t="shared" si="1"/>
        <v>1.5726022164643565</v>
      </c>
      <c r="G11" s="92">
        <v>158404.74</v>
      </c>
      <c r="H11" s="88">
        <f t="shared" si="2"/>
        <v>1.3424574793639696E-2</v>
      </c>
      <c r="I11" s="88">
        <f t="shared" si="3"/>
        <v>-0.89894342808176064</v>
      </c>
      <c r="J11" s="92">
        <v>16007.84</v>
      </c>
      <c r="K11" s="88">
        <f t="shared" si="4"/>
        <v>1.3566415081052326E-3</v>
      </c>
      <c r="L11" s="88">
        <f t="shared" si="5"/>
        <v>-0.95089031374626432</v>
      </c>
      <c r="M11" s="92">
        <v>786.14</v>
      </c>
      <c r="N11" s="88">
        <f t="shared" si="6"/>
        <v>6.6624238821842772E-5</v>
      </c>
      <c r="O11" s="88">
        <f t="shared" si="7"/>
        <v>31.821596662172134</v>
      </c>
      <c r="P11" s="92">
        <v>25802.37</v>
      </c>
      <c r="Q11" s="88">
        <f t="shared" si="8"/>
        <v>2.1867138945347534E-3</v>
      </c>
      <c r="R11" s="88">
        <f t="shared" si="9"/>
        <v>0.67215104658990632</v>
      </c>
      <c r="S11" s="92">
        <v>43145.46</v>
      </c>
      <c r="T11" s="88">
        <f t="shared" si="10"/>
        <v>3.6565159273389781E-3</v>
      </c>
      <c r="U11" s="88">
        <f t="shared" si="11"/>
        <v>-0.62498024125829232</v>
      </c>
      <c r="V11" s="92">
        <v>16180.4</v>
      </c>
      <c r="W11" s="88">
        <f t="shared" si="12"/>
        <v>1.3712657209058751E-3</v>
      </c>
      <c r="X11" s="88">
        <f t="shared" si="13"/>
        <v>-2.6578829942399445</v>
      </c>
      <c r="Y11" s="92">
        <v>-26825.21</v>
      </c>
      <c r="Z11" s="88">
        <f t="shared" si="14"/>
        <v>-2.2733981192740284E-3</v>
      </c>
      <c r="AA11" s="88">
        <f t="shared" si="15"/>
        <v>1.0688427043068813</v>
      </c>
      <c r="AB11" s="92">
        <v>-55497.139999999992</v>
      </c>
      <c r="AC11" s="88">
        <f t="shared" si="16"/>
        <v>-4.7033031130450592E-3</v>
      </c>
      <c r="AD11" s="88">
        <f t="shared" si="17"/>
        <v>-0.85032976474102995</v>
      </c>
      <c r="AE11" s="92">
        <v>-8306.2699999999968</v>
      </c>
      <c r="AF11" s="88">
        <f t="shared" si="18"/>
        <v>-7.0394448342370023E-4</v>
      </c>
      <c r="AG11" s="88">
        <f t="shared" si="19"/>
        <v>1.8119107613886865</v>
      </c>
      <c r="AH11" s="92">
        <v>-23356.489999999994</v>
      </c>
      <c r="AI11" s="88">
        <f t="shared" si="20"/>
        <v>-1.9794290683593026E-3</v>
      </c>
      <c r="AJ11" s="88">
        <f t="shared" si="21"/>
        <v>-1.0037077488954891</v>
      </c>
      <c r="AK11" s="92">
        <v>86.6</v>
      </c>
      <c r="AL11" s="88">
        <f t="shared" si="22"/>
        <v>7.3392259419080362E-6</v>
      </c>
      <c r="AM11" s="88">
        <f t="shared" si="23"/>
        <v>78.072863741339503</v>
      </c>
      <c r="AN11" s="92">
        <v>6847.71</v>
      </c>
      <c r="AO11" s="88">
        <f t="shared" si="24"/>
        <v>5.803336128713982E-4</v>
      </c>
      <c r="AP11" s="88">
        <f t="shared" si="25"/>
        <v>-0.88878846729141348</v>
      </c>
    </row>
    <row r="12" spans="1:42" s="74" customFormat="1" x14ac:dyDescent="0.25">
      <c r="A12" s="86" t="s">
        <v>120</v>
      </c>
      <c r="B12" s="86" t="s">
        <v>121</v>
      </c>
      <c r="C12" s="86"/>
      <c r="D12" s="92">
        <v>61573.74</v>
      </c>
      <c r="E12" s="88">
        <f t="shared" si="0"/>
        <v>5.2182862580635167E-3</v>
      </c>
      <c r="F12" s="88">
        <f t="shared" si="1"/>
        <v>1.5726022164643565</v>
      </c>
      <c r="G12" s="92">
        <v>158404.74</v>
      </c>
      <c r="H12" s="88">
        <f t="shared" si="2"/>
        <v>1.3424574793639696E-2</v>
      </c>
      <c r="I12" s="88">
        <f t="shared" si="3"/>
        <v>-0.89894342808176064</v>
      </c>
      <c r="J12" s="92">
        <v>16007.84</v>
      </c>
      <c r="K12" s="88">
        <f t="shared" si="4"/>
        <v>1.3566415081052326E-3</v>
      </c>
      <c r="L12" s="88">
        <f t="shared" si="5"/>
        <v>-0.95089031374626432</v>
      </c>
      <c r="M12" s="92">
        <v>786.14</v>
      </c>
      <c r="N12" s="88">
        <f t="shared" si="6"/>
        <v>6.6624238821842772E-5</v>
      </c>
      <c r="O12" s="88">
        <f t="shared" si="7"/>
        <v>31.821596662172134</v>
      </c>
      <c r="P12" s="92">
        <v>25802.37</v>
      </c>
      <c r="Q12" s="88">
        <f t="shared" si="8"/>
        <v>2.1867138945347534E-3</v>
      </c>
      <c r="R12" s="88">
        <f t="shared" si="9"/>
        <v>0.67215104658990632</v>
      </c>
      <c r="S12" s="92">
        <v>43145.46</v>
      </c>
      <c r="T12" s="88">
        <f t="shared" si="10"/>
        <v>3.6565159273389781E-3</v>
      </c>
      <c r="U12" s="88">
        <f t="shared" si="11"/>
        <v>-0.62498024125829232</v>
      </c>
      <c r="V12" s="92">
        <v>16180.4</v>
      </c>
      <c r="W12" s="88">
        <f t="shared" si="12"/>
        <v>1.3712657209058751E-3</v>
      </c>
      <c r="X12" s="88">
        <f t="shared" si="13"/>
        <v>-2.6578829942399445</v>
      </c>
      <c r="Y12" s="92">
        <v>-26825.21</v>
      </c>
      <c r="Z12" s="88">
        <f t="shared" si="14"/>
        <v>-2.2733981192740284E-3</v>
      </c>
      <c r="AA12" s="88">
        <f t="shared" si="15"/>
        <v>1.0688427043068813</v>
      </c>
      <c r="AB12" s="92">
        <v>-55497.139999999992</v>
      </c>
      <c r="AC12" s="88">
        <f t="shared" si="16"/>
        <v>-4.7033031130450592E-3</v>
      </c>
      <c r="AD12" s="88">
        <f t="shared" si="17"/>
        <v>-0.85032976474102995</v>
      </c>
      <c r="AE12" s="92">
        <v>-8306.2699999999968</v>
      </c>
      <c r="AF12" s="88">
        <f t="shared" si="18"/>
        <v>-7.0394448342370023E-4</v>
      </c>
      <c r="AG12" s="88">
        <f t="shared" si="19"/>
        <v>1.8119107613886865</v>
      </c>
      <c r="AH12" s="92">
        <v>-23356.489999999994</v>
      </c>
      <c r="AI12" s="88">
        <f t="shared" si="20"/>
        <v>-1.9794290683593026E-3</v>
      </c>
      <c r="AJ12" s="88">
        <f t="shared" si="21"/>
        <v>-1.0037077488954891</v>
      </c>
      <c r="AK12" s="92">
        <v>86.6</v>
      </c>
      <c r="AL12" s="88">
        <f t="shared" si="22"/>
        <v>7.3392259419080362E-6</v>
      </c>
      <c r="AM12" s="88">
        <f t="shared" si="23"/>
        <v>78.072863741339503</v>
      </c>
      <c r="AN12" s="92">
        <v>6847.71</v>
      </c>
      <c r="AO12" s="88">
        <f t="shared" si="24"/>
        <v>5.803336128713982E-4</v>
      </c>
      <c r="AP12" s="88">
        <f t="shared" si="25"/>
        <v>-0.88878846729141348</v>
      </c>
    </row>
    <row r="13" spans="1:42" s="74" customFormat="1" x14ac:dyDescent="0.25">
      <c r="A13" s="89" t="s">
        <v>558</v>
      </c>
      <c r="B13" s="89" t="s">
        <v>817</v>
      </c>
      <c r="C13" s="89"/>
      <c r="D13" s="93">
        <v>55980.86</v>
      </c>
      <c r="E13" s="88">
        <f t="shared" si="0"/>
        <v>4.7442976900960963E-3</v>
      </c>
      <c r="F13" s="88">
        <f t="shared" si="1"/>
        <v>1.6968697872808671</v>
      </c>
      <c r="G13" s="93">
        <v>150973.09</v>
      </c>
      <c r="H13" s="88">
        <f t="shared" si="2"/>
        <v>1.2794753102286567E-2</v>
      </c>
      <c r="I13" s="88">
        <f t="shared" si="3"/>
        <v>-0.92775540329736905</v>
      </c>
      <c r="J13" s="93">
        <v>10906.99</v>
      </c>
      <c r="K13" s="88">
        <f t="shared" si="4"/>
        <v>9.2435177778442878E-4</v>
      </c>
      <c r="L13" s="88">
        <f t="shared" si="5"/>
        <v>-1</v>
      </c>
      <c r="M13" s="93">
        <v>0</v>
      </c>
      <c r="N13" s="88">
        <f t="shared" si="6"/>
        <v>0</v>
      </c>
      <c r="O13" s="88">
        <f t="shared" si="7"/>
        <v>0</v>
      </c>
      <c r="P13" s="93">
        <v>13248.82</v>
      </c>
      <c r="Q13" s="88">
        <f t="shared" si="8"/>
        <v>1.1228185155158202E-3</v>
      </c>
      <c r="R13" s="88">
        <f t="shared" si="9"/>
        <v>-1</v>
      </c>
      <c r="S13" s="93">
        <v>0</v>
      </c>
      <c r="T13" s="88">
        <f t="shared" si="10"/>
        <v>0</v>
      </c>
      <c r="U13" s="88">
        <f t="shared" si="11"/>
        <v>0</v>
      </c>
      <c r="V13" s="93">
        <v>0</v>
      </c>
      <c r="W13" s="88">
        <f t="shared" si="12"/>
        <v>0</v>
      </c>
      <c r="X13" s="88">
        <f t="shared" si="13"/>
        <v>0</v>
      </c>
      <c r="Y13" s="93">
        <v>1134.28</v>
      </c>
      <c r="Z13" s="88">
        <f t="shared" si="14"/>
        <v>9.6128605096852736E-5</v>
      </c>
      <c r="AA13" s="88">
        <f t="shared" si="15"/>
        <v>-0.59003068025531613</v>
      </c>
      <c r="AB13" s="93">
        <v>465.02</v>
      </c>
      <c r="AC13" s="88">
        <f t="shared" si="16"/>
        <v>3.9409778839562066E-5</v>
      </c>
      <c r="AD13" s="88">
        <f t="shared" si="17"/>
        <v>39.179712700529009</v>
      </c>
      <c r="AE13" s="93">
        <v>18684.37</v>
      </c>
      <c r="AF13" s="88">
        <f t="shared" si="18"/>
        <v>1.5834735913649914E-3</v>
      </c>
      <c r="AG13" s="88">
        <f t="shared" si="19"/>
        <v>0.13205047855507046</v>
      </c>
      <c r="AH13" s="93">
        <v>21151.65</v>
      </c>
      <c r="AI13" s="88">
        <f t="shared" si="20"/>
        <v>1.7925720368840547E-3</v>
      </c>
      <c r="AJ13" s="88">
        <f t="shared" si="21"/>
        <v>-1.000001891105422</v>
      </c>
      <c r="AK13" s="93">
        <v>-0.04</v>
      </c>
      <c r="AL13" s="88">
        <f t="shared" si="22"/>
        <v>-3.3899426983408945E-9</v>
      </c>
      <c r="AM13" s="88">
        <f t="shared" si="23"/>
        <v>0.5</v>
      </c>
      <c r="AN13" s="93">
        <v>-0.06</v>
      </c>
      <c r="AO13" s="88">
        <f t="shared" si="24"/>
        <v>-5.0849140475113415E-9</v>
      </c>
      <c r="AP13" s="88">
        <f t="shared" si="25"/>
        <v>-1.0000010717948955</v>
      </c>
    </row>
    <row r="14" spans="1:42" s="74" customFormat="1" x14ac:dyDescent="0.25">
      <c r="A14" s="89" t="s">
        <v>559</v>
      </c>
      <c r="B14" s="89" t="s">
        <v>818</v>
      </c>
      <c r="C14" s="89"/>
      <c r="D14" s="93">
        <v>0</v>
      </c>
      <c r="E14" s="88">
        <f t="shared" si="0"/>
        <v>0</v>
      </c>
      <c r="F14" s="88">
        <f t="shared" si="1"/>
        <v>0</v>
      </c>
      <c r="G14" s="93">
        <v>0</v>
      </c>
      <c r="H14" s="88">
        <f t="shared" si="2"/>
        <v>0</v>
      </c>
      <c r="I14" s="88">
        <f t="shared" si="3"/>
        <v>0</v>
      </c>
      <c r="J14" s="93">
        <v>0</v>
      </c>
      <c r="K14" s="88">
        <f t="shared" si="4"/>
        <v>0</v>
      </c>
      <c r="L14" s="88">
        <f t="shared" si="5"/>
        <v>0</v>
      </c>
      <c r="M14" s="93">
        <v>-144.21</v>
      </c>
      <c r="N14" s="88">
        <f t="shared" si="6"/>
        <v>-1.2221590913193511E-5</v>
      </c>
      <c r="O14" s="88">
        <f t="shared" si="7"/>
        <v>-1</v>
      </c>
      <c r="P14" s="93">
        <v>0</v>
      </c>
      <c r="Q14" s="88">
        <f t="shared" si="8"/>
        <v>0</v>
      </c>
      <c r="R14" s="88">
        <f t="shared" si="9"/>
        <v>0</v>
      </c>
      <c r="S14" s="93">
        <v>0</v>
      </c>
      <c r="T14" s="88">
        <f t="shared" si="10"/>
        <v>0</v>
      </c>
      <c r="U14" s="88">
        <f t="shared" si="11"/>
        <v>0</v>
      </c>
      <c r="V14" s="93">
        <v>0</v>
      </c>
      <c r="W14" s="88">
        <f t="shared" si="12"/>
        <v>0</v>
      </c>
      <c r="X14" s="88">
        <f t="shared" si="13"/>
        <v>0</v>
      </c>
      <c r="Y14" s="93">
        <v>-28260.71</v>
      </c>
      <c r="Z14" s="88">
        <f t="shared" si="14"/>
        <v>-2.3950546878607373E-3</v>
      </c>
      <c r="AA14" s="88">
        <f t="shared" si="15"/>
        <v>1.5303281481604674</v>
      </c>
      <c r="AB14" s="93">
        <v>-71508.87</v>
      </c>
      <c r="AC14" s="88">
        <f t="shared" si="16"/>
        <v>-6.0602742930777054E-3</v>
      </c>
      <c r="AD14" s="88">
        <f t="shared" si="17"/>
        <v>0.1799050942910998</v>
      </c>
      <c r="AE14" s="93">
        <v>-84373.68</v>
      </c>
      <c r="AF14" s="88">
        <f t="shared" si="18"/>
        <v>-7.1505485112037786E-3</v>
      </c>
      <c r="AG14" s="88">
        <f t="shared" si="19"/>
        <v>-0.42082412430037419</v>
      </c>
      <c r="AH14" s="93">
        <v>-48867.199999999997</v>
      </c>
      <c r="AI14" s="88">
        <f t="shared" si="20"/>
        <v>-4.1414251957091041E-3</v>
      </c>
      <c r="AJ14" s="88">
        <f t="shared" si="21"/>
        <v>-1.0005365562176676</v>
      </c>
      <c r="AK14" s="93">
        <v>26.22</v>
      </c>
      <c r="AL14" s="88">
        <f t="shared" si="22"/>
        <v>2.2221074387624562E-6</v>
      </c>
      <c r="AM14" s="88">
        <f t="shared" si="23"/>
        <v>-1.4961861174675821</v>
      </c>
      <c r="AN14" s="93">
        <v>-13.01</v>
      </c>
      <c r="AO14" s="88">
        <f t="shared" si="24"/>
        <v>-1.1025788626353759E-6</v>
      </c>
      <c r="AP14" s="88">
        <f t="shared" si="25"/>
        <v>0</v>
      </c>
    </row>
    <row r="15" spans="1:42" s="63" customFormat="1" x14ac:dyDescent="0.25">
      <c r="A15" s="89" t="s">
        <v>560</v>
      </c>
      <c r="B15" s="89" t="s">
        <v>819</v>
      </c>
      <c r="C15" s="89"/>
      <c r="D15" s="93">
        <v>5592.88</v>
      </c>
      <c r="E15" s="88">
        <f t="shared" si="0"/>
        <v>4.7398856796742055E-4</v>
      </c>
      <c r="F15" s="88">
        <f t="shared" si="1"/>
        <v>0.32876979302255727</v>
      </c>
      <c r="G15" s="93">
        <v>7431.65</v>
      </c>
      <c r="H15" s="88">
        <f t="shared" si="2"/>
        <v>6.2982169135312766E-4</v>
      </c>
      <c r="I15" s="88">
        <f t="shared" si="3"/>
        <v>-0.31363156230446798</v>
      </c>
      <c r="J15" s="93">
        <v>5100.8500000000004</v>
      </c>
      <c r="K15" s="88">
        <f t="shared" si="4"/>
        <v>4.3228973032080381E-4</v>
      </c>
      <c r="L15" s="88">
        <f t="shared" si="5"/>
        <v>-0.81760882990089889</v>
      </c>
      <c r="M15" s="93">
        <v>930.35</v>
      </c>
      <c r="N15" s="88">
        <f t="shared" si="6"/>
        <v>7.8845829735036275E-5</v>
      </c>
      <c r="O15" s="88">
        <f t="shared" si="7"/>
        <v>12.493362712957488</v>
      </c>
      <c r="P15" s="93">
        <v>12553.55</v>
      </c>
      <c r="Q15" s="88">
        <f t="shared" si="8"/>
        <v>1.0638953790189332E-3</v>
      </c>
      <c r="R15" s="88">
        <f t="shared" si="9"/>
        <v>2.4369130644319736</v>
      </c>
      <c r="S15" s="93">
        <v>43145.46</v>
      </c>
      <c r="T15" s="88">
        <f t="shared" si="10"/>
        <v>3.6565159273389781E-3</v>
      </c>
      <c r="U15" s="88">
        <f t="shared" si="11"/>
        <v>-0.62498024125829232</v>
      </c>
      <c r="V15" s="93">
        <v>16180.4</v>
      </c>
      <c r="W15" s="88">
        <f t="shared" si="12"/>
        <v>1.3712657209058751E-3</v>
      </c>
      <c r="X15" s="88">
        <f t="shared" si="13"/>
        <v>-0.98138364935353883</v>
      </c>
      <c r="Y15" s="93">
        <v>301.22000000000003</v>
      </c>
      <c r="Z15" s="88">
        <f t="shared" si="14"/>
        <v>2.5527963489856107E-5</v>
      </c>
      <c r="AA15" s="88">
        <f t="shared" si="15"/>
        <v>50.612475931213062</v>
      </c>
      <c r="AB15" s="93">
        <v>15546.71</v>
      </c>
      <c r="AC15" s="88">
        <f t="shared" si="16"/>
        <v>1.317561401193084E-3</v>
      </c>
      <c r="AD15" s="88">
        <f t="shared" si="17"/>
        <v>2.6910085799503562</v>
      </c>
      <c r="AE15" s="93">
        <v>57383.040000000001</v>
      </c>
      <c r="AF15" s="88">
        <f t="shared" si="18"/>
        <v>4.8631304364150875E-3</v>
      </c>
      <c r="AG15" s="88">
        <f t="shared" si="19"/>
        <v>-0.99755328403653765</v>
      </c>
      <c r="AH15" s="93">
        <v>140.4</v>
      </c>
      <c r="AI15" s="88">
        <f t="shared" si="20"/>
        <v>1.189869887117654E-5</v>
      </c>
      <c r="AJ15" s="88">
        <f t="shared" si="21"/>
        <v>-0.6408831908831909</v>
      </c>
      <c r="AK15" s="93">
        <v>50.42</v>
      </c>
      <c r="AL15" s="88">
        <f t="shared" si="22"/>
        <v>4.2730227712586975E-6</v>
      </c>
      <c r="AM15" s="88">
        <f t="shared" si="23"/>
        <v>134.8742562475208</v>
      </c>
      <c r="AN15" s="93">
        <v>6850.78</v>
      </c>
      <c r="AO15" s="88">
        <f t="shared" si="24"/>
        <v>5.8059379097349581E-4</v>
      </c>
      <c r="AP15" s="88">
        <f t="shared" si="25"/>
        <v>0.22491095821830598</v>
      </c>
    </row>
    <row r="16" spans="1:42" s="74" customFormat="1" x14ac:dyDescent="0.25">
      <c r="A16" s="89" t="s">
        <v>561</v>
      </c>
      <c r="B16" s="89" t="s">
        <v>820</v>
      </c>
      <c r="C16" s="89"/>
      <c r="D16" s="93">
        <v>0</v>
      </c>
      <c r="E16" s="88">
        <f t="shared" si="0"/>
        <v>0</v>
      </c>
      <c r="F16" s="88">
        <f t="shared" si="1"/>
        <v>0</v>
      </c>
      <c r="G16" s="93">
        <v>0</v>
      </c>
      <c r="H16" s="88">
        <f t="shared" si="2"/>
        <v>0</v>
      </c>
      <c r="I16" s="88">
        <f t="shared" si="3"/>
        <v>0</v>
      </c>
      <c r="J16" s="93">
        <v>0</v>
      </c>
      <c r="K16" s="88">
        <f t="shared" si="4"/>
        <v>0</v>
      </c>
      <c r="L16" s="88">
        <f t="shared" si="5"/>
        <v>0</v>
      </c>
      <c r="M16" s="93">
        <v>0</v>
      </c>
      <c r="N16" s="88">
        <f t="shared" si="6"/>
        <v>0</v>
      </c>
      <c r="O16" s="88">
        <f t="shared" si="7"/>
        <v>0</v>
      </c>
      <c r="P16" s="93">
        <v>0</v>
      </c>
      <c r="Q16" s="88">
        <f t="shared" si="8"/>
        <v>0</v>
      </c>
      <c r="R16" s="88">
        <f t="shared" si="9"/>
        <v>0</v>
      </c>
      <c r="S16" s="93">
        <v>0</v>
      </c>
      <c r="T16" s="88">
        <f t="shared" si="10"/>
        <v>0</v>
      </c>
      <c r="U16" s="88">
        <f t="shared" si="11"/>
        <v>0</v>
      </c>
      <c r="V16" s="93">
        <v>0</v>
      </c>
      <c r="W16" s="88">
        <f t="shared" si="12"/>
        <v>0</v>
      </c>
      <c r="X16" s="88">
        <f t="shared" si="13"/>
        <v>0</v>
      </c>
      <c r="Y16" s="93">
        <v>0</v>
      </c>
      <c r="Z16" s="88">
        <f t="shared" si="14"/>
        <v>0</v>
      </c>
      <c r="AA16" s="88">
        <f t="shared" si="15"/>
        <v>0</v>
      </c>
      <c r="AB16" s="93">
        <v>0</v>
      </c>
      <c r="AC16" s="88">
        <f t="shared" si="16"/>
        <v>0</v>
      </c>
      <c r="AD16" s="88">
        <f t="shared" si="17"/>
        <v>0</v>
      </c>
      <c r="AE16" s="93">
        <v>0</v>
      </c>
      <c r="AF16" s="88">
        <f t="shared" si="18"/>
        <v>0</v>
      </c>
      <c r="AG16" s="88">
        <f t="shared" si="19"/>
        <v>0</v>
      </c>
      <c r="AH16" s="93">
        <v>4218.66</v>
      </c>
      <c r="AI16" s="88">
        <f t="shared" si="20"/>
        <v>3.5752539159456995E-4</v>
      </c>
      <c r="AJ16" s="88">
        <f t="shared" si="21"/>
        <v>-0.99762957906064964</v>
      </c>
      <c r="AK16" s="93">
        <v>10</v>
      </c>
      <c r="AL16" s="88">
        <f t="shared" si="22"/>
        <v>8.4748567458522359E-7</v>
      </c>
      <c r="AM16" s="88">
        <f t="shared" si="23"/>
        <v>0</v>
      </c>
      <c r="AN16" s="93">
        <v>10</v>
      </c>
      <c r="AO16" s="88">
        <f t="shared" si="24"/>
        <v>8.4748567458522359E-7</v>
      </c>
      <c r="AP16" s="88">
        <f t="shared" si="25"/>
        <v>0</v>
      </c>
    </row>
    <row r="17" spans="1:42" s="63" customFormat="1" x14ac:dyDescent="0.25">
      <c r="A17" s="86" t="s">
        <v>122</v>
      </c>
      <c r="B17" s="86" t="s">
        <v>123</v>
      </c>
      <c r="C17" s="86"/>
      <c r="D17" s="92">
        <v>12987.9</v>
      </c>
      <c r="E17" s="88">
        <f t="shared" si="0"/>
        <v>1.1007059192945426E-3</v>
      </c>
      <c r="F17" s="88">
        <f t="shared" si="1"/>
        <v>0.10749851785123088</v>
      </c>
      <c r="G17" s="92">
        <v>14384.08</v>
      </c>
      <c r="H17" s="88">
        <f t="shared" si="2"/>
        <v>1.2190301742087822E-3</v>
      </c>
      <c r="I17" s="88">
        <f t="shared" si="3"/>
        <v>-5.5099804784177975E-2</v>
      </c>
      <c r="J17" s="92">
        <v>13591.52</v>
      </c>
      <c r="K17" s="88">
        <f t="shared" si="4"/>
        <v>1.1518618495838559E-3</v>
      </c>
      <c r="L17" s="88">
        <f t="shared" si="5"/>
        <v>-4.4411515415494374E-2</v>
      </c>
      <c r="M17" s="92">
        <v>12987.9</v>
      </c>
      <c r="N17" s="88">
        <f t="shared" si="6"/>
        <v>1.1007059192945426E-3</v>
      </c>
      <c r="O17" s="88">
        <f t="shared" si="7"/>
        <v>31.133217071274032</v>
      </c>
      <c r="P17" s="92">
        <v>417343.01</v>
      </c>
      <c r="Q17" s="88">
        <f t="shared" si="8"/>
        <v>3.5369222236327776E-2</v>
      </c>
      <c r="R17" s="88">
        <f t="shared" si="9"/>
        <v>-0.75830236140770635</v>
      </c>
      <c r="S17" s="92">
        <v>100870.81999999999</v>
      </c>
      <c r="T17" s="88">
        <f t="shared" si="10"/>
        <v>8.5486574933664652E-3</v>
      </c>
      <c r="U17" s="88">
        <f t="shared" si="11"/>
        <v>-0.86732416768298304</v>
      </c>
      <c r="V17" s="92">
        <v>13383.119999999999</v>
      </c>
      <c r="W17" s="88">
        <f t="shared" si="12"/>
        <v>1.1342002481254997E-3</v>
      </c>
      <c r="X17" s="88">
        <f t="shared" si="13"/>
        <v>2.6295811440082639E-2</v>
      </c>
      <c r="Y17" s="92">
        <v>13735.039999999999</v>
      </c>
      <c r="Z17" s="88">
        <f t="shared" si="14"/>
        <v>1.1640249639855028E-3</v>
      </c>
      <c r="AA17" s="88">
        <f t="shared" si="15"/>
        <v>-5.4396638087693905E-2</v>
      </c>
      <c r="AB17" s="92">
        <v>12987.9</v>
      </c>
      <c r="AC17" s="88">
        <f t="shared" si="16"/>
        <v>1.1007059192945426E-3</v>
      </c>
      <c r="AD17" s="88">
        <f t="shared" si="17"/>
        <v>0</v>
      </c>
      <c r="AE17" s="92">
        <v>12987.9</v>
      </c>
      <c r="AF17" s="88">
        <f t="shared" si="18"/>
        <v>1.1007059192945426E-3</v>
      </c>
      <c r="AG17" s="88">
        <f t="shared" si="19"/>
        <v>0</v>
      </c>
      <c r="AH17" s="92">
        <v>12987.9</v>
      </c>
      <c r="AI17" s="88">
        <f t="shared" si="20"/>
        <v>1.1007059192945426E-3</v>
      </c>
      <c r="AJ17" s="88">
        <f t="shared" si="21"/>
        <v>0.66374625613070637</v>
      </c>
      <c r="AK17" s="92">
        <v>21608.57</v>
      </c>
      <c r="AL17" s="88">
        <f t="shared" si="22"/>
        <v>1.8312953523272025E-3</v>
      </c>
      <c r="AM17" s="88">
        <f t="shared" si="23"/>
        <v>2.1933293133233711</v>
      </c>
      <c r="AN17" s="92">
        <v>69003.28</v>
      </c>
      <c r="AO17" s="88">
        <f t="shared" si="24"/>
        <v>5.8479291299393067E-3</v>
      </c>
      <c r="AP17" s="88">
        <f t="shared" si="25"/>
        <v>4.3128896896341979</v>
      </c>
    </row>
    <row r="18" spans="1:42" s="63" customFormat="1" x14ac:dyDescent="0.25">
      <c r="A18" s="86" t="s">
        <v>124</v>
      </c>
      <c r="B18" s="86" t="s">
        <v>123</v>
      </c>
      <c r="C18" s="86"/>
      <c r="D18" s="92">
        <v>12987.9</v>
      </c>
      <c r="E18" s="88">
        <f t="shared" si="0"/>
        <v>1.1007059192945426E-3</v>
      </c>
      <c r="F18" s="88">
        <f t="shared" si="1"/>
        <v>0.10749851785123088</v>
      </c>
      <c r="G18" s="92">
        <v>14384.08</v>
      </c>
      <c r="H18" s="88">
        <f t="shared" si="2"/>
        <v>1.2190301742087822E-3</v>
      </c>
      <c r="I18" s="88">
        <f t="shared" si="3"/>
        <v>-5.5099804784177975E-2</v>
      </c>
      <c r="J18" s="92">
        <v>13591.52</v>
      </c>
      <c r="K18" s="88">
        <f t="shared" si="4"/>
        <v>1.1518618495838559E-3</v>
      </c>
      <c r="L18" s="88">
        <f t="shared" si="5"/>
        <v>-4.4411515415494374E-2</v>
      </c>
      <c r="M18" s="92">
        <v>12987.9</v>
      </c>
      <c r="N18" s="88">
        <f t="shared" si="6"/>
        <v>1.1007059192945426E-3</v>
      </c>
      <c r="O18" s="88">
        <f t="shared" si="7"/>
        <v>31.133217071274032</v>
      </c>
      <c r="P18" s="92">
        <v>417343.01</v>
      </c>
      <c r="Q18" s="88">
        <f t="shared" si="8"/>
        <v>3.5369222236327776E-2</v>
      </c>
      <c r="R18" s="88">
        <f t="shared" si="9"/>
        <v>-0.75830236140770635</v>
      </c>
      <c r="S18" s="92">
        <v>100870.81999999999</v>
      </c>
      <c r="T18" s="88">
        <f t="shared" si="10"/>
        <v>8.5486574933664652E-3</v>
      </c>
      <c r="U18" s="88">
        <f t="shared" si="11"/>
        <v>-0.86732416768298304</v>
      </c>
      <c r="V18" s="92">
        <v>13383.119999999999</v>
      </c>
      <c r="W18" s="88">
        <f t="shared" si="12"/>
        <v>1.1342002481254997E-3</v>
      </c>
      <c r="X18" s="88">
        <f t="shared" si="13"/>
        <v>2.6295811440082639E-2</v>
      </c>
      <c r="Y18" s="92">
        <v>13735.039999999999</v>
      </c>
      <c r="Z18" s="88">
        <f t="shared" si="14"/>
        <v>1.1640249639855028E-3</v>
      </c>
      <c r="AA18" s="88">
        <f t="shared" si="15"/>
        <v>-5.4396638087693905E-2</v>
      </c>
      <c r="AB18" s="92">
        <v>12987.9</v>
      </c>
      <c r="AC18" s="88">
        <f t="shared" si="16"/>
        <v>1.1007059192945426E-3</v>
      </c>
      <c r="AD18" s="88">
        <f t="shared" si="17"/>
        <v>0</v>
      </c>
      <c r="AE18" s="92">
        <v>12987.9</v>
      </c>
      <c r="AF18" s="88">
        <f t="shared" si="18"/>
        <v>1.1007059192945426E-3</v>
      </c>
      <c r="AG18" s="88">
        <f t="shared" si="19"/>
        <v>0</v>
      </c>
      <c r="AH18" s="92">
        <v>12987.9</v>
      </c>
      <c r="AI18" s="88">
        <f t="shared" si="20"/>
        <v>1.1007059192945426E-3</v>
      </c>
      <c r="AJ18" s="88">
        <f t="shared" si="21"/>
        <v>0.66374625613070637</v>
      </c>
      <c r="AK18" s="92">
        <v>21608.57</v>
      </c>
      <c r="AL18" s="88">
        <f t="shared" si="22"/>
        <v>1.8312953523272025E-3</v>
      </c>
      <c r="AM18" s="88">
        <f t="shared" si="23"/>
        <v>2.1933293133233711</v>
      </c>
      <c r="AN18" s="92">
        <v>69003.28</v>
      </c>
      <c r="AO18" s="88">
        <f t="shared" si="24"/>
        <v>5.8479291299393067E-3</v>
      </c>
      <c r="AP18" s="88">
        <f t="shared" si="25"/>
        <v>4.3128896896341979</v>
      </c>
    </row>
    <row r="19" spans="1:42" s="74" customFormat="1" x14ac:dyDescent="0.25">
      <c r="A19" s="89" t="s">
        <v>125</v>
      </c>
      <c r="B19" s="89" t="s">
        <v>123</v>
      </c>
      <c r="C19" s="89"/>
      <c r="D19" s="93">
        <v>0</v>
      </c>
      <c r="E19" s="88">
        <f t="shared" si="0"/>
        <v>0</v>
      </c>
      <c r="F19" s="88">
        <f t="shared" si="1"/>
        <v>0</v>
      </c>
      <c r="G19" s="93">
        <v>1396.18</v>
      </c>
      <c r="H19" s="88">
        <f t="shared" si="2"/>
        <v>1.1832425491423976E-4</v>
      </c>
      <c r="I19" s="88">
        <f t="shared" si="3"/>
        <v>-0.56766319529000553</v>
      </c>
      <c r="J19" s="93">
        <v>603.62</v>
      </c>
      <c r="K19" s="88">
        <f t="shared" si="4"/>
        <v>5.1155930289313269E-5</v>
      </c>
      <c r="L19" s="88">
        <f t="shared" si="5"/>
        <v>-1</v>
      </c>
      <c r="M19" s="93">
        <v>0</v>
      </c>
      <c r="N19" s="88">
        <f t="shared" si="6"/>
        <v>0</v>
      </c>
      <c r="O19" s="88">
        <f t="shared" si="7"/>
        <v>0</v>
      </c>
      <c r="P19" s="93">
        <v>404355.11</v>
      </c>
      <c r="Q19" s="88">
        <f t="shared" si="8"/>
        <v>3.4268516317033232E-2</v>
      </c>
      <c r="R19" s="88">
        <f t="shared" si="9"/>
        <v>-0.78265905926105395</v>
      </c>
      <c r="S19" s="93">
        <v>87882.92</v>
      </c>
      <c r="T19" s="88">
        <f t="shared" si="10"/>
        <v>7.4479515740719241E-3</v>
      </c>
      <c r="U19" s="88">
        <f t="shared" si="11"/>
        <v>-0.99550288042318125</v>
      </c>
      <c r="V19" s="93">
        <v>395.22</v>
      </c>
      <c r="W19" s="88">
        <f t="shared" si="12"/>
        <v>3.3494328830957209E-5</v>
      </c>
      <c r="X19" s="88">
        <f t="shared" si="13"/>
        <v>0.8904407671676533</v>
      </c>
      <c r="Y19" s="93">
        <v>747.14</v>
      </c>
      <c r="Z19" s="88">
        <f t="shared" si="14"/>
        <v>6.33190446909604E-5</v>
      </c>
      <c r="AA19" s="88">
        <f t="shared" si="15"/>
        <v>-1</v>
      </c>
      <c r="AB19" s="93">
        <v>0</v>
      </c>
      <c r="AC19" s="88">
        <f t="shared" si="16"/>
        <v>0</v>
      </c>
      <c r="AD19" s="88">
        <f t="shared" si="17"/>
        <v>0</v>
      </c>
      <c r="AE19" s="93">
        <v>0</v>
      </c>
      <c r="AF19" s="88">
        <f t="shared" si="18"/>
        <v>0</v>
      </c>
      <c r="AG19" s="88">
        <f t="shared" si="19"/>
        <v>0</v>
      </c>
      <c r="AH19" s="93">
        <v>0</v>
      </c>
      <c r="AI19" s="88">
        <f t="shared" si="20"/>
        <v>0</v>
      </c>
      <c r="AJ19" s="88">
        <f t="shared" si="21"/>
        <v>0</v>
      </c>
      <c r="AK19" s="93">
        <v>8620.67</v>
      </c>
      <c r="AL19" s="88">
        <f t="shared" si="22"/>
        <v>7.3058943303265999E-4</v>
      </c>
      <c r="AM19" s="88">
        <f t="shared" si="23"/>
        <v>5.4977988949814804</v>
      </c>
      <c r="AN19" s="93">
        <v>56015.38</v>
      </c>
      <c r="AO19" s="88">
        <f t="shared" si="24"/>
        <v>4.7472232106447639E-3</v>
      </c>
      <c r="AP19" s="88">
        <f t="shared" si="25"/>
        <v>0</v>
      </c>
    </row>
    <row r="20" spans="1:42" s="63" customFormat="1" x14ac:dyDescent="0.25">
      <c r="A20" s="89" t="s">
        <v>562</v>
      </c>
      <c r="B20" s="89" t="s">
        <v>719</v>
      </c>
      <c r="C20" s="89"/>
      <c r="D20" s="93">
        <v>12987.9</v>
      </c>
      <c r="E20" s="88">
        <f t="shared" si="0"/>
        <v>1.1007059192945426E-3</v>
      </c>
      <c r="F20" s="88">
        <f t="shared" si="1"/>
        <v>0</v>
      </c>
      <c r="G20" s="93">
        <v>12987.9</v>
      </c>
      <c r="H20" s="88">
        <f t="shared" si="2"/>
        <v>1.1007059192945426E-3</v>
      </c>
      <c r="I20" s="88">
        <f t="shared" si="3"/>
        <v>0</v>
      </c>
      <c r="J20" s="93">
        <v>12987.9</v>
      </c>
      <c r="K20" s="88">
        <f t="shared" si="4"/>
        <v>1.1007059192945426E-3</v>
      </c>
      <c r="L20" s="88">
        <f t="shared" si="5"/>
        <v>0</v>
      </c>
      <c r="M20" s="93">
        <v>12987.9</v>
      </c>
      <c r="N20" s="88">
        <f t="shared" si="6"/>
        <v>1.1007059192945426E-3</v>
      </c>
      <c r="O20" s="88">
        <f t="shared" si="7"/>
        <v>0</v>
      </c>
      <c r="P20" s="93">
        <v>12987.9</v>
      </c>
      <c r="Q20" s="88">
        <f t="shared" si="8"/>
        <v>1.1007059192945426E-3</v>
      </c>
      <c r="R20" s="88">
        <f t="shared" si="9"/>
        <v>0</v>
      </c>
      <c r="S20" s="93">
        <v>12987.9</v>
      </c>
      <c r="T20" s="88">
        <f t="shared" si="10"/>
        <v>1.1007059192945426E-3</v>
      </c>
      <c r="U20" s="88">
        <f t="shared" si="11"/>
        <v>0</v>
      </c>
      <c r="V20" s="93">
        <v>12987.9</v>
      </c>
      <c r="W20" s="88">
        <f t="shared" si="12"/>
        <v>1.1007059192945426E-3</v>
      </c>
      <c r="X20" s="88">
        <f t="shared" si="13"/>
        <v>0</v>
      </c>
      <c r="Y20" s="93">
        <v>12987.9</v>
      </c>
      <c r="Z20" s="88">
        <f t="shared" si="14"/>
        <v>1.1007059192945426E-3</v>
      </c>
      <c r="AA20" s="88">
        <f t="shared" si="15"/>
        <v>0</v>
      </c>
      <c r="AB20" s="93">
        <v>12987.9</v>
      </c>
      <c r="AC20" s="88">
        <f t="shared" si="16"/>
        <v>1.1007059192945426E-3</v>
      </c>
      <c r="AD20" s="88">
        <f t="shared" si="17"/>
        <v>0</v>
      </c>
      <c r="AE20" s="93">
        <v>12987.9</v>
      </c>
      <c r="AF20" s="88">
        <f t="shared" si="18"/>
        <v>1.1007059192945426E-3</v>
      </c>
      <c r="AG20" s="88">
        <f t="shared" si="19"/>
        <v>0</v>
      </c>
      <c r="AH20" s="93">
        <v>12987.9</v>
      </c>
      <c r="AI20" s="88">
        <f t="shared" si="20"/>
        <v>1.1007059192945426E-3</v>
      </c>
      <c r="AJ20" s="88">
        <f t="shared" si="21"/>
        <v>0</v>
      </c>
      <c r="AK20" s="93">
        <v>12987.9</v>
      </c>
      <c r="AL20" s="88">
        <f t="shared" si="22"/>
        <v>1.1007059192945426E-3</v>
      </c>
      <c r="AM20" s="88">
        <f t="shared" si="23"/>
        <v>0</v>
      </c>
      <c r="AN20" s="93">
        <v>12987.9</v>
      </c>
      <c r="AO20" s="88">
        <f t="shared" si="24"/>
        <v>1.1007059192945426E-3</v>
      </c>
      <c r="AP20" s="88">
        <f t="shared" si="25"/>
        <v>0</v>
      </c>
    </row>
    <row r="21" spans="1:42" s="74" customFormat="1" x14ac:dyDescent="0.25">
      <c r="A21" s="86" t="s">
        <v>126</v>
      </c>
      <c r="B21" s="86" t="s">
        <v>720</v>
      </c>
      <c r="C21" s="86"/>
      <c r="D21" s="92">
        <v>2683629.7999999998</v>
      </c>
      <c r="E21" s="88">
        <f t="shared" si="0"/>
        <v>0.22743378113900087</v>
      </c>
      <c r="F21" s="88">
        <f t="shared" si="1"/>
        <v>-9.3934796818845756E-2</v>
      </c>
      <c r="G21" s="92">
        <v>2431543.58</v>
      </c>
      <c r="H21" s="88">
        <f t="shared" si="2"/>
        <v>0.20606983511796698</v>
      </c>
      <c r="I21" s="88">
        <f t="shared" si="3"/>
        <v>8.8992848731915375E-2</v>
      </c>
      <c r="J21" s="92">
        <v>2647933.5699999998</v>
      </c>
      <c r="K21" s="88">
        <f t="shared" si="4"/>
        <v>0.22440857678283094</v>
      </c>
      <c r="L21" s="88">
        <f t="shared" si="5"/>
        <v>-1.5781668571088869E-2</v>
      </c>
      <c r="M21" s="92">
        <v>2606144.7599999998</v>
      </c>
      <c r="N21" s="88">
        <f t="shared" si="6"/>
        <v>0.22086703499953456</v>
      </c>
      <c r="O21" s="88">
        <f t="shared" si="7"/>
        <v>-0.16238483621301214</v>
      </c>
      <c r="P21" s="92">
        <v>2182946.37</v>
      </c>
      <c r="Q21" s="88">
        <f t="shared" si="8"/>
        <v>0.18500157769628153</v>
      </c>
      <c r="R21" s="88">
        <f t="shared" si="9"/>
        <v>5.6716679668131098E-2</v>
      </c>
      <c r="S21" s="92">
        <v>2306755.84</v>
      </c>
      <c r="T21" s="88">
        <f t="shared" si="10"/>
        <v>0.1954942529165804</v>
      </c>
      <c r="U21" s="88">
        <f t="shared" si="11"/>
        <v>-9.2624341204659011E-2</v>
      </c>
      <c r="V21" s="92">
        <v>2093094.1</v>
      </c>
      <c r="W21" s="88">
        <f t="shared" si="12"/>
        <v>0.17738672653088516</v>
      </c>
      <c r="X21" s="88">
        <f t="shared" si="13"/>
        <v>3.7977958086069741E-2</v>
      </c>
      <c r="Y21" s="92">
        <v>2172585.54</v>
      </c>
      <c r="Z21" s="88">
        <f t="shared" si="14"/>
        <v>0.18412351219610024</v>
      </c>
      <c r="AA21" s="88">
        <f t="shared" si="15"/>
        <v>-3.5903262984987028E-2</v>
      </c>
      <c r="AB21" s="92">
        <v>2094582.63</v>
      </c>
      <c r="AC21" s="88">
        <f t="shared" si="16"/>
        <v>0.17751287731600418</v>
      </c>
      <c r="AD21" s="88">
        <f t="shared" si="17"/>
        <v>-1.7250501117733297E-2</v>
      </c>
      <c r="AE21" s="92">
        <v>2058450.03</v>
      </c>
      <c r="AF21" s="88">
        <f t="shared" si="18"/>
        <v>0.17445069122745238</v>
      </c>
      <c r="AG21" s="88">
        <f t="shared" si="19"/>
        <v>-2.9174533811734071E-2</v>
      </c>
      <c r="AH21" s="92">
        <v>1998395.71</v>
      </c>
      <c r="AI21" s="88">
        <f t="shared" si="20"/>
        <v>0.16936117363775668</v>
      </c>
      <c r="AJ21" s="88">
        <f t="shared" si="21"/>
        <v>-6.4647957035496306E-3</v>
      </c>
      <c r="AK21" s="92">
        <v>1985476.49</v>
      </c>
      <c r="AL21" s="88">
        <f t="shared" si="22"/>
        <v>0.1682662882500752</v>
      </c>
      <c r="AM21" s="88">
        <f t="shared" si="23"/>
        <v>-1.0021046131853217</v>
      </c>
      <c r="AN21" s="92">
        <v>-4178.660000000149</v>
      </c>
      <c r="AO21" s="88">
        <f t="shared" si="24"/>
        <v>-3.5413544889624168E-4</v>
      </c>
      <c r="AP21" s="88">
        <f t="shared" si="25"/>
        <v>-1.0015570925617236</v>
      </c>
    </row>
    <row r="22" spans="1:42" s="63" customFormat="1" x14ac:dyDescent="0.25">
      <c r="A22" s="86" t="s">
        <v>127</v>
      </c>
      <c r="B22" s="86" t="s">
        <v>128</v>
      </c>
      <c r="C22" s="86"/>
      <c r="D22" s="92">
        <v>2683629.7999999998</v>
      </c>
      <c r="E22" s="88">
        <f t="shared" si="0"/>
        <v>0.22743378113900087</v>
      </c>
      <c r="F22" s="88">
        <f t="shared" si="1"/>
        <v>-9.3934796818845756E-2</v>
      </c>
      <c r="G22" s="92">
        <v>2431543.58</v>
      </c>
      <c r="H22" s="88">
        <f t="shared" si="2"/>
        <v>0.20606983511796698</v>
      </c>
      <c r="I22" s="88">
        <f t="shared" si="3"/>
        <v>8.8992848731915375E-2</v>
      </c>
      <c r="J22" s="92">
        <v>2647933.5699999998</v>
      </c>
      <c r="K22" s="88">
        <f t="shared" si="4"/>
        <v>0.22440857678283094</v>
      </c>
      <c r="L22" s="88">
        <f t="shared" si="5"/>
        <v>-1.5781668571088869E-2</v>
      </c>
      <c r="M22" s="92">
        <v>2606144.7599999998</v>
      </c>
      <c r="N22" s="88">
        <f t="shared" si="6"/>
        <v>0.22086703499953456</v>
      </c>
      <c r="O22" s="88">
        <f t="shared" si="7"/>
        <v>-0.16238483621301214</v>
      </c>
      <c r="P22" s="92">
        <v>2182946.37</v>
      </c>
      <c r="Q22" s="88">
        <f t="shared" si="8"/>
        <v>0.18500157769628153</v>
      </c>
      <c r="R22" s="88">
        <f t="shared" si="9"/>
        <v>5.6716679668131098E-2</v>
      </c>
      <c r="S22" s="92">
        <v>2306755.84</v>
      </c>
      <c r="T22" s="88">
        <f t="shared" si="10"/>
        <v>0.1954942529165804</v>
      </c>
      <c r="U22" s="88">
        <f t="shared" si="11"/>
        <v>-9.2624341204659011E-2</v>
      </c>
      <c r="V22" s="92">
        <v>2093094.1</v>
      </c>
      <c r="W22" s="88">
        <f t="shared" si="12"/>
        <v>0.17738672653088516</v>
      </c>
      <c r="X22" s="88">
        <f t="shared" si="13"/>
        <v>3.7977958086069741E-2</v>
      </c>
      <c r="Y22" s="92">
        <v>2172585.54</v>
      </c>
      <c r="Z22" s="88">
        <f t="shared" si="14"/>
        <v>0.18412351219610024</v>
      </c>
      <c r="AA22" s="88">
        <f t="shared" si="15"/>
        <v>-3.5903262984987028E-2</v>
      </c>
      <c r="AB22" s="92">
        <v>2094582.63</v>
      </c>
      <c r="AC22" s="88">
        <f t="shared" si="16"/>
        <v>0.17751287731600418</v>
      </c>
      <c r="AD22" s="88">
        <f t="shared" si="17"/>
        <v>-1.7250501117733297E-2</v>
      </c>
      <c r="AE22" s="92">
        <v>2058450.03</v>
      </c>
      <c r="AF22" s="88">
        <f t="shared" si="18"/>
        <v>0.17445069122745238</v>
      </c>
      <c r="AG22" s="88">
        <f t="shared" si="19"/>
        <v>-2.9174533811734071E-2</v>
      </c>
      <c r="AH22" s="92">
        <v>1998395.71</v>
      </c>
      <c r="AI22" s="88">
        <f t="shared" si="20"/>
        <v>0.16936117363775668</v>
      </c>
      <c r="AJ22" s="88">
        <f t="shared" si="21"/>
        <v>-5.676233162049682E-3</v>
      </c>
      <c r="AK22" s="92">
        <v>1987052.35</v>
      </c>
      <c r="AL22" s="88">
        <f t="shared" si="22"/>
        <v>0.16839984012759041</v>
      </c>
      <c r="AM22" s="88">
        <f t="shared" si="23"/>
        <v>-0.10205982746252262</v>
      </c>
      <c r="AN22" s="92">
        <v>1784254.13</v>
      </c>
      <c r="AO22" s="88">
        <f t="shared" si="24"/>
        <v>0.15121298149945211</v>
      </c>
      <c r="AP22" s="88">
        <f t="shared" si="25"/>
        <v>-0.33513403003648268</v>
      </c>
    </row>
    <row r="23" spans="1:42" s="63" customFormat="1" x14ac:dyDescent="0.25">
      <c r="A23" s="86" t="s">
        <v>129</v>
      </c>
      <c r="B23" s="86" t="s">
        <v>128</v>
      </c>
      <c r="C23" s="86"/>
      <c r="D23" s="92">
        <v>2683629.7999999998</v>
      </c>
      <c r="E23" s="88">
        <f t="shared" si="0"/>
        <v>0.22743378113900087</v>
      </c>
      <c r="F23" s="88">
        <f t="shared" si="1"/>
        <v>-9.3934796818845756E-2</v>
      </c>
      <c r="G23" s="92">
        <v>2431543.58</v>
      </c>
      <c r="H23" s="88">
        <f t="shared" si="2"/>
        <v>0.20606983511796698</v>
      </c>
      <c r="I23" s="88">
        <f t="shared" si="3"/>
        <v>8.8992848731915375E-2</v>
      </c>
      <c r="J23" s="92">
        <v>2647933.5699999998</v>
      </c>
      <c r="K23" s="88">
        <f t="shared" si="4"/>
        <v>0.22440857678283094</v>
      </c>
      <c r="L23" s="88">
        <f t="shared" si="5"/>
        <v>-1.5781668571088869E-2</v>
      </c>
      <c r="M23" s="92">
        <v>2606144.7599999998</v>
      </c>
      <c r="N23" s="88">
        <f t="shared" si="6"/>
        <v>0.22086703499953456</v>
      </c>
      <c r="O23" s="88">
        <f t="shared" si="7"/>
        <v>-0.16238483621301214</v>
      </c>
      <c r="P23" s="92">
        <v>2182946.37</v>
      </c>
      <c r="Q23" s="88">
        <f t="shared" si="8"/>
        <v>0.18500157769628153</v>
      </c>
      <c r="R23" s="88">
        <f t="shared" si="9"/>
        <v>5.6716679668131098E-2</v>
      </c>
      <c r="S23" s="92">
        <v>2306755.84</v>
      </c>
      <c r="T23" s="88">
        <f t="shared" si="10"/>
        <v>0.1954942529165804</v>
      </c>
      <c r="U23" s="88">
        <f t="shared" si="11"/>
        <v>-9.2624341204659011E-2</v>
      </c>
      <c r="V23" s="92">
        <v>2093094.1</v>
      </c>
      <c r="W23" s="88">
        <f t="shared" si="12"/>
        <v>0.17738672653088516</v>
      </c>
      <c r="X23" s="88">
        <f t="shared" si="13"/>
        <v>3.7977958086069741E-2</v>
      </c>
      <c r="Y23" s="92">
        <v>2172585.54</v>
      </c>
      <c r="Z23" s="88">
        <f t="shared" si="14"/>
        <v>0.18412351219610024</v>
      </c>
      <c r="AA23" s="88">
        <f t="shared" si="15"/>
        <v>-3.5903262984987028E-2</v>
      </c>
      <c r="AB23" s="92">
        <v>2094582.63</v>
      </c>
      <c r="AC23" s="88">
        <f t="shared" si="16"/>
        <v>0.17751287731600418</v>
      </c>
      <c r="AD23" s="88">
        <f t="shared" si="17"/>
        <v>-1.7250501117733297E-2</v>
      </c>
      <c r="AE23" s="92">
        <v>2058450.03</v>
      </c>
      <c r="AF23" s="88">
        <f t="shared" si="18"/>
        <v>0.17445069122745238</v>
      </c>
      <c r="AG23" s="88">
        <f t="shared" si="19"/>
        <v>-2.9174533811734071E-2</v>
      </c>
      <c r="AH23" s="92">
        <v>1998395.71</v>
      </c>
      <c r="AI23" s="88">
        <f t="shared" si="20"/>
        <v>0.16936117363775668</v>
      </c>
      <c r="AJ23" s="88">
        <f t="shared" si="21"/>
        <v>-5.676233162049682E-3</v>
      </c>
      <c r="AK23" s="92">
        <v>1987052.35</v>
      </c>
      <c r="AL23" s="88">
        <f t="shared" si="22"/>
        <v>0.16839984012759041</v>
      </c>
      <c r="AM23" s="88">
        <f t="shared" si="23"/>
        <v>-0.10205982746252262</v>
      </c>
      <c r="AN23" s="92">
        <v>1784254.13</v>
      </c>
      <c r="AO23" s="88">
        <f t="shared" si="24"/>
        <v>0.15121298149945211</v>
      </c>
      <c r="AP23" s="88">
        <f t="shared" si="25"/>
        <v>-0.33513403003648268</v>
      </c>
    </row>
    <row r="24" spans="1:42" s="74" customFormat="1" x14ac:dyDescent="0.25">
      <c r="A24" s="89" t="s">
        <v>130</v>
      </c>
      <c r="B24" s="89" t="s">
        <v>128</v>
      </c>
      <c r="C24" s="89"/>
      <c r="D24" s="93">
        <v>2683629.7999999998</v>
      </c>
      <c r="E24" s="88">
        <f t="shared" si="0"/>
        <v>0.22743378113900087</v>
      </c>
      <c r="F24" s="88">
        <f t="shared" si="1"/>
        <v>-9.3934796818845756E-2</v>
      </c>
      <c r="G24" s="93">
        <v>2431543.58</v>
      </c>
      <c r="H24" s="88">
        <f t="shared" si="2"/>
        <v>0.20606983511796698</v>
      </c>
      <c r="I24" s="88">
        <f t="shared" si="3"/>
        <v>8.8992848731915375E-2</v>
      </c>
      <c r="J24" s="93">
        <v>2647933.5699999998</v>
      </c>
      <c r="K24" s="88">
        <f t="shared" si="4"/>
        <v>0.22440857678283094</v>
      </c>
      <c r="L24" s="88">
        <f t="shared" si="5"/>
        <v>-1.5781668571088869E-2</v>
      </c>
      <c r="M24" s="93">
        <v>2606144.7599999998</v>
      </c>
      <c r="N24" s="88">
        <f t="shared" si="6"/>
        <v>0.22086703499953456</v>
      </c>
      <c r="O24" s="88">
        <f t="shared" si="7"/>
        <v>-0.16238483621301214</v>
      </c>
      <c r="P24" s="93">
        <v>2182946.37</v>
      </c>
      <c r="Q24" s="88">
        <f t="shared" si="8"/>
        <v>0.18500157769628153</v>
      </c>
      <c r="R24" s="88">
        <f t="shared" si="9"/>
        <v>5.6716679668131098E-2</v>
      </c>
      <c r="S24" s="93">
        <v>2306755.84</v>
      </c>
      <c r="T24" s="88">
        <f t="shared" si="10"/>
        <v>0.1954942529165804</v>
      </c>
      <c r="U24" s="88">
        <f t="shared" si="11"/>
        <v>-9.2624341204659011E-2</v>
      </c>
      <c r="V24" s="93">
        <v>2093094.1</v>
      </c>
      <c r="W24" s="88">
        <f t="shared" si="12"/>
        <v>0.17738672653088516</v>
      </c>
      <c r="X24" s="88">
        <f t="shared" si="13"/>
        <v>3.7977958086069741E-2</v>
      </c>
      <c r="Y24" s="93">
        <v>2172585.54</v>
      </c>
      <c r="Z24" s="88">
        <f t="shared" si="14"/>
        <v>0.18412351219610024</v>
      </c>
      <c r="AA24" s="88">
        <f t="shared" si="15"/>
        <v>-3.5903262984987028E-2</v>
      </c>
      <c r="AB24" s="93">
        <v>2094582.63</v>
      </c>
      <c r="AC24" s="88">
        <f t="shared" si="16"/>
        <v>0.17751287731600418</v>
      </c>
      <c r="AD24" s="88">
        <f t="shared" si="17"/>
        <v>-1.7250501117733297E-2</v>
      </c>
      <c r="AE24" s="93">
        <v>2058450.03</v>
      </c>
      <c r="AF24" s="88">
        <f t="shared" si="18"/>
        <v>0.17445069122745238</v>
      </c>
      <c r="AG24" s="88">
        <f t="shared" si="19"/>
        <v>-2.9174533811734071E-2</v>
      </c>
      <c r="AH24" s="93">
        <v>1998395.71</v>
      </c>
      <c r="AI24" s="88">
        <f t="shared" si="20"/>
        <v>0.16936117363775668</v>
      </c>
      <c r="AJ24" s="88">
        <f t="shared" si="21"/>
        <v>-5.676233162049682E-3</v>
      </c>
      <c r="AK24" s="93">
        <v>1987052.35</v>
      </c>
      <c r="AL24" s="88">
        <f t="shared" si="22"/>
        <v>0.16839984012759041</v>
      </c>
      <c r="AM24" s="88">
        <f t="shared" si="23"/>
        <v>-0.10205982746252262</v>
      </c>
      <c r="AN24" s="93">
        <v>1784254.13</v>
      </c>
      <c r="AO24" s="88">
        <f t="shared" si="24"/>
        <v>0.15121298149945211</v>
      </c>
      <c r="AP24" s="88">
        <f t="shared" si="25"/>
        <v>-0.33513403003648268</v>
      </c>
    </row>
    <row r="25" spans="1:42" s="63" customFormat="1" x14ac:dyDescent="0.25">
      <c r="A25" s="86" t="s">
        <v>563</v>
      </c>
      <c r="B25" s="86" t="s">
        <v>564</v>
      </c>
      <c r="C25" s="86"/>
      <c r="D25" s="92">
        <v>0</v>
      </c>
      <c r="E25" s="88">
        <f t="shared" si="0"/>
        <v>0</v>
      </c>
      <c r="F25" s="88">
        <f t="shared" si="1"/>
        <v>0</v>
      </c>
      <c r="G25" s="92">
        <v>0</v>
      </c>
      <c r="H25" s="88">
        <f t="shared" si="2"/>
        <v>0</v>
      </c>
      <c r="I25" s="88">
        <f t="shared" si="3"/>
        <v>0</v>
      </c>
      <c r="J25" s="92">
        <v>0</v>
      </c>
      <c r="K25" s="88">
        <f t="shared" si="4"/>
        <v>0</v>
      </c>
      <c r="L25" s="88">
        <f t="shared" si="5"/>
        <v>0</v>
      </c>
      <c r="M25" s="92">
        <v>0</v>
      </c>
      <c r="N25" s="88">
        <f t="shared" si="6"/>
        <v>0</v>
      </c>
      <c r="O25" s="88">
        <f t="shared" si="7"/>
        <v>0</v>
      </c>
      <c r="P25" s="92">
        <v>0</v>
      </c>
      <c r="Q25" s="88">
        <f t="shared" si="8"/>
        <v>0</v>
      </c>
      <c r="R25" s="88">
        <f t="shared" si="9"/>
        <v>0</v>
      </c>
      <c r="S25" s="92">
        <v>0</v>
      </c>
      <c r="T25" s="88">
        <f t="shared" si="10"/>
        <v>0</v>
      </c>
      <c r="U25" s="88">
        <f t="shared" si="11"/>
        <v>0</v>
      </c>
      <c r="V25" s="92">
        <v>0</v>
      </c>
      <c r="W25" s="88">
        <f t="shared" si="12"/>
        <v>0</v>
      </c>
      <c r="X25" s="88">
        <f t="shared" si="13"/>
        <v>0</v>
      </c>
      <c r="Y25" s="92">
        <v>0</v>
      </c>
      <c r="Z25" s="88">
        <f t="shared" si="14"/>
        <v>0</v>
      </c>
      <c r="AA25" s="88">
        <f t="shared" si="15"/>
        <v>0</v>
      </c>
      <c r="AB25" s="92">
        <v>0</v>
      </c>
      <c r="AC25" s="88">
        <f t="shared" si="16"/>
        <v>0</v>
      </c>
      <c r="AD25" s="88">
        <f t="shared" si="17"/>
        <v>0</v>
      </c>
      <c r="AE25" s="92">
        <v>0</v>
      </c>
      <c r="AF25" s="88">
        <f t="shared" si="18"/>
        <v>0</v>
      </c>
      <c r="AG25" s="88">
        <f t="shared" si="19"/>
        <v>0</v>
      </c>
      <c r="AH25" s="92">
        <v>0</v>
      </c>
      <c r="AI25" s="88">
        <f t="shared" si="20"/>
        <v>0</v>
      </c>
      <c r="AJ25" s="88">
        <f t="shared" si="21"/>
        <v>0</v>
      </c>
      <c r="AK25" s="92">
        <v>-1575.86</v>
      </c>
      <c r="AL25" s="88">
        <f t="shared" si="22"/>
        <v>-1.3355187751518704E-4</v>
      </c>
      <c r="AM25" s="88">
        <f t="shared" si="23"/>
        <v>8.5575876029596536</v>
      </c>
      <c r="AN25" s="92">
        <v>-15061.42</v>
      </c>
      <c r="AO25" s="88">
        <f t="shared" si="24"/>
        <v>-1.2764337688911378E-3</v>
      </c>
      <c r="AP25" s="88">
        <f t="shared" si="25"/>
        <v>0</v>
      </c>
    </row>
    <row r="26" spans="1:42" s="63" customFormat="1" x14ac:dyDescent="0.25">
      <c r="A26" s="86" t="s">
        <v>565</v>
      </c>
      <c r="B26" s="86" t="s">
        <v>564</v>
      </c>
      <c r="C26" s="86"/>
      <c r="D26" s="92">
        <v>0</v>
      </c>
      <c r="E26" s="88">
        <f t="shared" si="0"/>
        <v>0</v>
      </c>
      <c r="F26" s="88">
        <f t="shared" si="1"/>
        <v>0</v>
      </c>
      <c r="G26" s="92">
        <v>0</v>
      </c>
      <c r="H26" s="88">
        <f t="shared" si="2"/>
        <v>0</v>
      </c>
      <c r="I26" s="88">
        <f t="shared" si="3"/>
        <v>0</v>
      </c>
      <c r="J26" s="92">
        <v>0</v>
      </c>
      <c r="K26" s="88">
        <f t="shared" si="4"/>
        <v>0</v>
      </c>
      <c r="L26" s="88">
        <f t="shared" si="5"/>
        <v>0</v>
      </c>
      <c r="M26" s="92">
        <v>0</v>
      </c>
      <c r="N26" s="88">
        <f t="shared" si="6"/>
        <v>0</v>
      </c>
      <c r="O26" s="88">
        <f t="shared" si="7"/>
        <v>0</v>
      </c>
      <c r="P26" s="92">
        <v>0</v>
      </c>
      <c r="Q26" s="88">
        <f t="shared" si="8"/>
        <v>0</v>
      </c>
      <c r="R26" s="88">
        <f t="shared" si="9"/>
        <v>0</v>
      </c>
      <c r="S26" s="92">
        <v>0</v>
      </c>
      <c r="T26" s="88">
        <f t="shared" si="10"/>
        <v>0</v>
      </c>
      <c r="U26" s="88">
        <f t="shared" si="11"/>
        <v>0</v>
      </c>
      <c r="V26" s="92">
        <v>0</v>
      </c>
      <c r="W26" s="88">
        <f t="shared" si="12"/>
        <v>0</v>
      </c>
      <c r="X26" s="88">
        <f t="shared" si="13"/>
        <v>0</v>
      </c>
      <c r="Y26" s="92">
        <v>0</v>
      </c>
      <c r="Z26" s="88">
        <f t="shared" si="14"/>
        <v>0</v>
      </c>
      <c r="AA26" s="88">
        <f t="shared" si="15"/>
        <v>0</v>
      </c>
      <c r="AB26" s="92">
        <v>0</v>
      </c>
      <c r="AC26" s="88">
        <f t="shared" si="16"/>
        <v>0</v>
      </c>
      <c r="AD26" s="88">
        <f t="shared" si="17"/>
        <v>0</v>
      </c>
      <c r="AE26" s="92">
        <v>0</v>
      </c>
      <c r="AF26" s="88">
        <f t="shared" si="18"/>
        <v>0</v>
      </c>
      <c r="AG26" s="88">
        <f t="shared" si="19"/>
        <v>0</v>
      </c>
      <c r="AH26" s="92">
        <v>0</v>
      </c>
      <c r="AI26" s="88">
        <f t="shared" si="20"/>
        <v>0</v>
      </c>
      <c r="AJ26" s="88">
        <f t="shared" si="21"/>
        <v>0</v>
      </c>
      <c r="AK26" s="92">
        <v>-1575.86</v>
      </c>
      <c r="AL26" s="88">
        <f t="shared" si="22"/>
        <v>-1.3355187751518704E-4</v>
      </c>
      <c r="AM26" s="88">
        <f t="shared" si="23"/>
        <v>8.5575876029596536</v>
      </c>
      <c r="AN26" s="92">
        <v>-15061.42</v>
      </c>
      <c r="AO26" s="88">
        <f t="shared" si="24"/>
        <v>-1.2764337688911378E-3</v>
      </c>
      <c r="AP26" s="88">
        <f t="shared" si="25"/>
        <v>0</v>
      </c>
    </row>
    <row r="27" spans="1:42" s="74" customFormat="1" x14ac:dyDescent="0.25">
      <c r="A27" s="89" t="s">
        <v>566</v>
      </c>
      <c r="B27" s="89" t="s">
        <v>567</v>
      </c>
      <c r="C27" s="89"/>
      <c r="D27" s="93"/>
      <c r="E27" s="88">
        <f t="shared" si="0"/>
        <v>0</v>
      </c>
      <c r="F27" s="88">
        <f t="shared" si="1"/>
        <v>0</v>
      </c>
      <c r="G27" s="93"/>
      <c r="H27" s="88">
        <f t="shared" si="2"/>
        <v>0</v>
      </c>
      <c r="I27" s="88">
        <f t="shared" si="3"/>
        <v>0</v>
      </c>
      <c r="J27" s="93"/>
      <c r="K27" s="88">
        <f t="shared" si="4"/>
        <v>0</v>
      </c>
      <c r="L27" s="88">
        <f t="shared" si="5"/>
        <v>0</v>
      </c>
      <c r="M27" s="93"/>
      <c r="N27" s="88">
        <f t="shared" si="6"/>
        <v>0</v>
      </c>
      <c r="O27" s="88">
        <f t="shared" si="7"/>
        <v>0</v>
      </c>
      <c r="P27" s="93"/>
      <c r="Q27" s="88">
        <f t="shared" si="8"/>
        <v>0</v>
      </c>
      <c r="R27" s="88">
        <f t="shared" si="9"/>
        <v>0</v>
      </c>
      <c r="S27" s="93"/>
      <c r="T27" s="88">
        <f t="shared" si="10"/>
        <v>0</v>
      </c>
      <c r="U27" s="88">
        <f t="shared" si="11"/>
        <v>0</v>
      </c>
      <c r="V27" s="93"/>
      <c r="W27" s="88">
        <f t="shared" si="12"/>
        <v>0</v>
      </c>
      <c r="X27" s="88">
        <f t="shared" si="13"/>
        <v>0</v>
      </c>
      <c r="Y27" s="93"/>
      <c r="Z27" s="88">
        <f t="shared" si="14"/>
        <v>0</v>
      </c>
      <c r="AA27" s="88">
        <f t="shared" si="15"/>
        <v>0</v>
      </c>
      <c r="AB27" s="93"/>
      <c r="AC27" s="88">
        <f t="shared" si="16"/>
        <v>0</v>
      </c>
      <c r="AD27" s="88">
        <f t="shared" si="17"/>
        <v>0</v>
      </c>
      <c r="AE27" s="93"/>
      <c r="AF27" s="88">
        <f t="shared" si="18"/>
        <v>0</v>
      </c>
      <c r="AG27" s="88">
        <f t="shared" si="19"/>
        <v>0</v>
      </c>
      <c r="AH27" s="93"/>
      <c r="AI27" s="88">
        <f t="shared" si="20"/>
        <v>0</v>
      </c>
      <c r="AJ27" s="88">
        <f t="shared" si="21"/>
        <v>0</v>
      </c>
      <c r="AK27" s="93">
        <v>-1575.86</v>
      </c>
      <c r="AL27" s="88">
        <f t="shared" si="22"/>
        <v>-1.3355187751518704E-4</v>
      </c>
      <c r="AM27" s="88">
        <f t="shared" si="23"/>
        <v>8.5575876029596536</v>
      </c>
      <c r="AN27" s="93">
        <v>-15061.42</v>
      </c>
      <c r="AO27" s="88">
        <f t="shared" si="24"/>
        <v>-1.2764337688911378E-3</v>
      </c>
      <c r="AP27" s="88">
        <f t="shared" si="25"/>
        <v>0</v>
      </c>
    </row>
    <row r="28" spans="1:42" s="63" customFormat="1" x14ac:dyDescent="0.25">
      <c r="A28" s="55" t="s">
        <v>131</v>
      </c>
      <c r="B28" s="55" t="s">
        <v>721</v>
      </c>
      <c r="C28" s="55"/>
      <c r="D28" s="92"/>
      <c r="E28" s="88">
        <f t="shared" si="0"/>
        <v>0</v>
      </c>
      <c r="F28" s="88">
        <f t="shared" si="1"/>
        <v>0</v>
      </c>
      <c r="G28" s="92"/>
      <c r="H28" s="88">
        <f t="shared" si="2"/>
        <v>0</v>
      </c>
      <c r="I28" s="88">
        <f t="shared" si="3"/>
        <v>0</v>
      </c>
      <c r="J28" s="92"/>
      <c r="K28" s="88">
        <f t="shared" si="4"/>
        <v>0</v>
      </c>
      <c r="L28" s="88">
        <f t="shared" si="5"/>
        <v>0</v>
      </c>
      <c r="M28" s="92"/>
      <c r="N28" s="88">
        <f t="shared" si="6"/>
        <v>0</v>
      </c>
      <c r="O28" s="88">
        <f t="shared" si="7"/>
        <v>0</v>
      </c>
      <c r="P28" s="92"/>
      <c r="Q28" s="88">
        <f t="shared" si="8"/>
        <v>0</v>
      </c>
      <c r="R28" s="88">
        <f t="shared" si="9"/>
        <v>0</v>
      </c>
      <c r="S28" s="92"/>
      <c r="T28" s="88">
        <f t="shared" si="10"/>
        <v>0</v>
      </c>
      <c r="U28" s="88">
        <f t="shared" si="11"/>
        <v>0</v>
      </c>
      <c r="V28" s="92"/>
      <c r="W28" s="88">
        <f t="shared" si="12"/>
        <v>0</v>
      </c>
      <c r="X28" s="88">
        <f t="shared" si="13"/>
        <v>0</v>
      </c>
      <c r="Y28" s="92"/>
      <c r="Z28" s="88">
        <f t="shared" si="14"/>
        <v>0</v>
      </c>
      <c r="AA28" s="88">
        <f t="shared" si="15"/>
        <v>0</v>
      </c>
      <c r="AB28" s="92"/>
      <c r="AC28" s="88">
        <f t="shared" si="16"/>
        <v>0</v>
      </c>
      <c r="AD28" s="88">
        <f t="shared" si="17"/>
        <v>0</v>
      </c>
      <c r="AE28" s="92"/>
      <c r="AF28" s="88">
        <f t="shared" si="18"/>
        <v>0</v>
      </c>
      <c r="AG28" s="88">
        <f t="shared" si="19"/>
        <v>0</v>
      </c>
      <c r="AH28" s="92"/>
      <c r="AI28" s="88">
        <f t="shared" si="20"/>
        <v>0</v>
      </c>
      <c r="AJ28" s="88">
        <f t="shared" si="21"/>
        <v>0</v>
      </c>
      <c r="AK28" s="92"/>
      <c r="AL28" s="88">
        <f t="shared" si="22"/>
        <v>0</v>
      </c>
      <c r="AM28" s="88">
        <f t="shared" si="23"/>
        <v>0</v>
      </c>
      <c r="AN28" s="92">
        <v>-1773371.37</v>
      </c>
      <c r="AO28" s="88">
        <f t="shared" si="24"/>
        <v>-0.15029068317945724</v>
      </c>
      <c r="AP28" s="88">
        <f t="shared" si="25"/>
        <v>0</v>
      </c>
    </row>
    <row r="29" spans="1:42" s="74" customFormat="1" x14ac:dyDescent="0.25">
      <c r="A29" s="55" t="s">
        <v>132</v>
      </c>
      <c r="B29" s="55" t="s">
        <v>721</v>
      </c>
      <c r="C29" s="55"/>
      <c r="D29" s="92"/>
      <c r="E29" s="88">
        <f t="shared" si="0"/>
        <v>0</v>
      </c>
      <c r="F29" s="88">
        <f t="shared" si="1"/>
        <v>0</v>
      </c>
      <c r="G29" s="92"/>
      <c r="H29" s="88">
        <f t="shared" si="2"/>
        <v>0</v>
      </c>
      <c r="I29" s="88">
        <f t="shared" si="3"/>
        <v>0</v>
      </c>
      <c r="J29" s="92"/>
      <c r="K29" s="88">
        <f t="shared" si="4"/>
        <v>0</v>
      </c>
      <c r="L29" s="88">
        <f t="shared" si="5"/>
        <v>0</v>
      </c>
      <c r="M29" s="92"/>
      <c r="N29" s="88">
        <f t="shared" si="6"/>
        <v>0</v>
      </c>
      <c r="O29" s="88">
        <f t="shared" si="7"/>
        <v>0</v>
      </c>
      <c r="P29" s="92"/>
      <c r="Q29" s="88">
        <f t="shared" si="8"/>
        <v>0</v>
      </c>
      <c r="R29" s="88">
        <f t="shared" si="9"/>
        <v>0</v>
      </c>
      <c r="S29" s="92"/>
      <c r="T29" s="88">
        <f t="shared" si="10"/>
        <v>0</v>
      </c>
      <c r="U29" s="88">
        <f t="shared" si="11"/>
        <v>0</v>
      </c>
      <c r="V29" s="92"/>
      <c r="W29" s="88">
        <f t="shared" si="12"/>
        <v>0</v>
      </c>
      <c r="X29" s="88">
        <f t="shared" si="13"/>
        <v>0</v>
      </c>
      <c r="Y29" s="92"/>
      <c r="Z29" s="88">
        <f t="shared" si="14"/>
        <v>0</v>
      </c>
      <c r="AA29" s="88">
        <f t="shared" si="15"/>
        <v>0</v>
      </c>
      <c r="AB29" s="92"/>
      <c r="AC29" s="88">
        <f t="shared" si="16"/>
        <v>0</v>
      </c>
      <c r="AD29" s="88">
        <f t="shared" si="17"/>
        <v>0</v>
      </c>
      <c r="AE29" s="92"/>
      <c r="AF29" s="88">
        <f t="shared" si="18"/>
        <v>0</v>
      </c>
      <c r="AG29" s="88">
        <f t="shared" si="19"/>
        <v>0</v>
      </c>
      <c r="AH29" s="92"/>
      <c r="AI29" s="88">
        <f t="shared" si="20"/>
        <v>0</v>
      </c>
      <c r="AJ29" s="88">
        <f t="shared" si="21"/>
        <v>0</v>
      </c>
      <c r="AK29" s="92"/>
      <c r="AL29" s="88">
        <f t="shared" si="22"/>
        <v>0</v>
      </c>
      <c r="AM29" s="88">
        <f t="shared" si="23"/>
        <v>0</v>
      </c>
      <c r="AN29" s="92">
        <v>-1773371.37</v>
      </c>
      <c r="AO29" s="88">
        <f t="shared" si="24"/>
        <v>-0.15029068317945724</v>
      </c>
      <c r="AP29" s="88">
        <f t="shared" si="25"/>
        <v>0</v>
      </c>
    </row>
    <row r="30" spans="1:42" s="63" customFormat="1" x14ac:dyDescent="0.25">
      <c r="A30" s="66" t="s">
        <v>133</v>
      </c>
      <c r="B30" s="66" t="s">
        <v>722</v>
      </c>
      <c r="C30" s="66"/>
      <c r="D30" s="93"/>
      <c r="E30" s="88">
        <f t="shared" si="0"/>
        <v>0</v>
      </c>
      <c r="F30" s="88">
        <f t="shared" si="1"/>
        <v>0</v>
      </c>
      <c r="G30" s="93"/>
      <c r="H30" s="88">
        <f t="shared" si="2"/>
        <v>0</v>
      </c>
      <c r="I30" s="88">
        <f t="shared" si="3"/>
        <v>0</v>
      </c>
      <c r="J30" s="93"/>
      <c r="K30" s="88">
        <f t="shared" si="4"/>
        <v>0</v>
      </c>
      <c r="L30" s="88">
        <f t="shared" si="5"/>
        <v>0</v>
      </c>
      <c r="M30" s="93"/>
      <c r="N30" s="88">
        <f t="shared" si="6"/>
        <v>0</v>
      </c>
      <c r="O30" s="88">
        <f t="shared" si="7"/>
        <v>0</v>
      </c>
      <c r="P30" s="93"/>
      <c r="Q30" s="88">
        <f t="shared" si="8"/>
        <v>0</v>
      </c>
      <c r="R30" s="88">
        <f t="shared" si="9"/>
        <v>0</v>
      </c>
      <c r="S30" s="93"/>
      <c r="T30" s="88">
        <f t="shared" si="10"/>
        <v>0</v>
      </c>
      <c r="U30" s="88">
        <f t="shared" si="11"/>
        <v>0</v>
      </c>
      <c r="V30" s="93"/>
      <c r="W30" s="88">
        <f t="shared" si="12"/>
        <v>0</v>
      </c>
      <c r="X30" s="88">
        <f t="shared" si="13"/>
        <v>0</v>
      </c>
      <c r="Y30" s="93"/>
      <c r="Z30" s="88">
        <f t="shared" si="14"/>
        <v>0</v>
      </c>
      <c r="AA30" s="88">
        <f t="shared" si="15"/>
        <v>0</v>
      </c>
      <c r="AB30" s="93"/>
      <c r="AC30" s="88">
        <f t="shared" si="16"/>
        <v>0</v>
      </c>
      <c r="AD30" s="88">
        <f t="shared" si="17"/>
        <v>0</v>
      </c>
      <c r="AE30" s="93"/>
      <c r="AF30" s="88">
        <f t="shared" si="18"/>
        <v>0</v>
      </c>
      <c r="AG30" s="88">
        <f t="shared" si="19"/>
        <v>0</v>
      </c>
      <c r="AH30" s="93"/>
      <c r="AI30" s="88">
        <f t="shared" si="20"/>
        <v>0</v>
      </c>
      <c r="AJ30" s="88">
        <f t="shared" si="21"/>
        <v>0</v>
      </c>
      <c r="AK30" s="93"/>
      <c r="AL30" s="88">
        <f t="shared" si="22"/>
        <v>0</v>
      </c>
      <c r="AM30" s="88">
        <f t="shared" si="23"/>
        <v>0</v>
      </c>
      <c r="AN30" s="93">
        <v>-1773371.37</v>
      </c>
      <c r="AO30" s="88">
        <f t="shared" si="24"/>
        <v>-0.15029068317945724</v>
      </c>
      <c r="AP30" s="88">
        <f t="shared" si="25"/>
        <v>0</v>
      </c>
    </row>
    <row r="31" spans="1:42" s="74" customFormat="1" x14ac:dyDescent="0.25">
      <c r="A31" s="86" t="s">
        <v>134</v>
      </c>
      <c r="B31" s="86" t="s">
        <v>135</v>
      </c>
      <c r="C31" s="86"/>
      <c r="D31" s="92">
        <v>3773942.51</v>
      </c>
      <c r="E31" s="88">
        <f t="shared" si="0"/>
        <v>0.31983622139332019</v>
      </c>
      <c r="F31" s="88">
        <f t="shared" si="1"/>
        <v>7.6212077751014462E-4</v>
      </c>
      <c r="G31" s="92">
        <v>3776818.71</v>
      </c>
      <c r="H31" s="88">
        <f t="shared" si="2"/>
        <v>0.32007997522304438</v>
      </c>
      <c r="I31" s="88">
        <f t="shared" si="3"/>
        <v>-1.5215053835613279E-3</v>
      </c>
      <c r="J31" s="92">
        <v>3771072.26</v>
      </c>
      <c r="K31" s="88">
        <f t="shared" si="4"/>
        <v>0.31959297181757235</v>
      </c>
      <c r="L31" s="88">
        <f t="shared" si="5"/>
        <v>-5.3035313618554625E-7</v>
      </c>
      <c r="M31" s="92">
        <v>3771070.26</v>
      </c>
      <c r="N31" s="88">
        <f t="shared" si="6"/>
        <v>0.31959280232043746</v>
      </c>
      <c r="O31" s="88">
        <f t="shared" si="7"/>
        <v>3.9484811932277708E-5</v>
      </c>
      <c r="P31" s="92">
        <v>3771219.1599999997</v>
      </c>
      <c r="Q31" s="88">
        <f t="shared" si="8"/>
        <v>0.31960542138213199</v>
      </c>
      <c r="R31" s="88">
        <f t="shared" si="9"/>
        <v>2.7439879680712931E-3</v>
      </c>
      <c r="S31" s="92">
        <v>3781567.34</v>
      </c>
      <c r="T31" s="88">
        <f t="shared" si="10"/>
        <v>0.32048241481293493</v>
      </c>
      <c r="U31" s="88">
        <f t="shared" si="11"/>
        <v>0.18665697752720689</v>
      </c>
      <c r="V31" s="92">
        <v>4487423.2699999996</v>
      </c>
      <c r="W31" s="88">
        <f t="shared" si="12"/>
        <v>0.38030269371253794</v>
      </c>
      <c r="X31" s="88">
        <f t="shared" si="13"/>
        <v>-1.4869179033338398E-2</v>
      </c>
      <c r="Y31" s="92">
        <v>4420698.9700000007</v>
      </c>
      <c r="Z31" s="88">
        <f t="shared" si="14"/>
        <v>0.37464790487286537</v>
      </c>
      <c r="AA31" s="88">
        <f t="shared" si="15"/>
        <v>3.3113134595543769E-3</v>
      </c>
      <c r="AB31" s="92">
        <v>4435337.29</v>
      </c>
      <c r="AC31" s="88">
        <f t="shared" si="16"/>
        <v>0.37588848152286475</v>
      </c>
      <c r="AD31" s="88">
        <f t="shared" si="17"/>
        <v>-2.1616845288444653E-3</v>
      </c>
      <c r="AE31" s="92">
        <v>4425749.49</v>
      </c>
      <c r="AF31" s="88">
        <f t="shared" si="18"/>
        <v>0.37507592920778593</v>
      </c>
      <c r="AG31" s="88">
        <f t="shared" si="19"/>
        <v>-4.1902032733442951E-3</v>
      </c>
      <c r="AH31" s="92">
        <v>4407204.7</v>
      </c>
      <c r="AI31" s="88">
        <f t="shared" si="20"/>
        <v>0.3735042848214668</v>
      </c>
      <c r="AJ31" s="88">
        <f t="shared" si="21"/>
        <v>1.775808598134776E-2</v>
      </c>
      <c r="AK31" s="92">
        <v>4485468.22</v>
      </c>
      <c r="AL31" s="88">
        <f t="shared" si="22"/>
        <v>0.3801370060257282</v>
      </c>
      <c r="AM31" s="88">
        <f t="shared" si="23"/>
        <v>-0.55780713345462074</v>
      </c>
      <c r="AN31" s="92">
        <v>1983442.0499999998</v>
      </c>
      <c r="AO31" s="88">
        <f t="shared" si="24"/>
        <v>0.16809387237449486</v>
      </c>
      <c r="AP31" s="88">
        <f t="shared" si="25"/>
        <v>-0.47443766174381918</v>
      </c>
    </row>
    <row r="32" spans="1:42" s="63" customFormat="1" x14ac:dyDescent="0.25">
      <c r="A32" s="86" t="s">
        <v>136</v>
      </c>
      <c r="B32" s="86" t="s">
        <v>137</v>
      </c>
      <c r="C32" s="86"/>
      <c r="D32" s="92">
        <v>3550248.67</v>
      </c>
      <c r="E32" s="88">
        <f t="shared" si="0"/>
        <v>0.3008784889040243</v>
      </c>
      <c r="F32" s="88">
        <f t="shared" si="1"/>
        <v>-5.6334082088049797E-7</v>
      </c>
      <c r="G32" s="92">
        <v>3550246.67</v>
      </c>
      <c r="H32" s="88">
        <f t="shared" si="2"/>
        <v>0.30087831940688936</v>
      </c>
      <c r="I32" s="88">
        <f t="shared" si="3"/>
        <v>-5.6334113818223841E-7</v>
      </c>
      <c r="J32" s="92">
        <v>3550244.67</v>
      </c>
      <c r="K32" s="88">
        <f t="shared" si="4"/>
        <v>0.30087814990975448</v>
      </c>
      <c r="L32" s="88">
        <f t="shared" si="5"/>
        <v>-5.6334145559500115E-7</v>
      </c>
      <c r="M32" s="92">
        <v>3550242.67</v>
      </c>
      <c r="N32" s="88">
        <f t="shared" si="6"/>
        <v>0.30087798041261954</v>
      </c>
      <c r="O32" s="88">
        <f t="shared" si="7"/>
        <v>-3.0983797516537237E-7</v>
      </c>
      <c r="P32" s="92">
        <v>3550241.57</v>
      </c>
      <c r="Q32" s="88">
        <f t="shared" si="8"/>
        <v>0.30087788718919534</v>
      </c>
      <c r="R32" s="88">
        <f t="shared" si="9"/>
        <v>-2.3097019841156197E-7</v>
      </c>
      <c r="S32" s="92">
        <v>3550240.75</v>
      </c>
      <c r="T32" s="88">
        <f t="shared" si="10"/>
        <v>0.30087781769537003</v>
      </c>
      <c r="U32" s="88">
        <f t="shared" si="11"/>
        <v>0.19862820007347382</v>
      </c>
      <c r="V32" s="92">
        <v>4255418.68</v>
      </c>
      <c r="W32" s="88">
        <f t="shared" si="12"/>
        <v>0.36064063706623617</v>
      </c>
      <c r="X32" s="88">
        <f t="shared" si="13"/>
        <v>-2.0209527284986706E-7</v>
      </c>
      <c r="Y32" s="92">
        <v>4255417.82</v>
      </c>
      <c r="Z32" s="88">
        <f t="shared" si="14"/>
        <v>0.3606405641824682</v>
      </c>
      <c r="AA32" s="88">
        <f t="shared" si="15"/>
        <v>-9.1647874900235848E-7</v>
      </c>
      <c r="AB32" s="92">
        <v>4255413.92</v>
      </c>
      <c r="AC32" s="88">
        <f t="shared" si="16"/>
        <v>0.36064023366305509</v>
      </c>
      <c r="AD32" s="88">
        <f t="shared" si="17"/>
        <v>-1.6836228236993711E-2</v>
      </c>
      <c r="AE32" s="92">
        <v>4183768.8</v>
      </c>
      <c r="AF32" s="88">
        <f t="shared" si="18"/>
        <v>0.35456841237766112</v>
      </c>
      <c r="AG32" s="88">
        <f t="shared" si="19"/>
        <v>-4.4325561202138708E-3</v>
      </c>
      <c r="AH32" s="92">
        <v>4165224.01</v>
      </c>
      <c r="AI32" s="88">
        <f t="shared" si="20"/>
        <v>0.352996767991342</v>
      </c>
      <c r="AJ32" s="88">
        <f t="shared" si="21"/>
        <v>3.9452595972142568E-3</v>
      </c>
      <c r="AK32" s="92">
        <v>4181656.9</v>
      </c>
      <c r="AL32" s="88">
        <f t="shared" si="22"/>
        <v>0.3543894318780455</v>
      </c>
      <c r="AM32" s="88">
        <f t="shared" si="23"/>
        <v>-0.74800263981485426</v>
      </c>
      <c r="AN32" s="92">
        <v>1053766.5</v>
      </c>
      <c r="AO32" s="88">
        <f t="shared" si="24"/>
        <v>8.9305201310780999E-2</v>
      </c>
      <c r="AP32" s="88">
        <f t="shared" si="25"/>
        <v>-0.70318515744983012</v>
      </c>
    </row>
    <row r="33" spans="1:42" s="63" customFormat="1" x14ac:dyDescent="0.25">
      <c r="A33" s="86" t="s">
        <v>138</v>
      </c>
      <c r="B33" s="86" t="s">
        <v>137</v>
      </c>
      <c r="C33" s="86"/>
      <c r="D33" s="92">
        <v>3550248.67</v>
      </c>
      <c r="E33" s="88">
        <f t="shared" si="0"/>
        <v>0.3008784889040243</v>
      </c>
      <c r="F33" s="88">
        <f t="shared" si="1"/>
        <v>-5.6334082088049797E-7</v>
      </c>
      <c r="G33" s="92">
        <v>3550246.67</v>
      </c>
      <c r="H33" s="88">
        <f t="shared" si="2"/>
        <v>0.30087831940688936</v>
      </c>
      <c r="I33" s="88">
        <f t="shared" si="3"/>
        <v>-5.6334113818223841E-7</v>
      </c>
      <c r="J33" s="92">
        <v>3550244.67</v>
      </c>
      <c r="K33" s="88">
        <f t="shared" si="4"/>
        <v>0.30087814990975448</v>
      </c>
      <c r="L33" s="88">
        <f t="shared" si="5"/>
        <v>-5.6334145559500115E-7</v>
      </c>
      <c r="M33" s="92">
        <v>3550242.67</v>
      </c>
      <c r="N33" s="88">
        <f t="shared" si="6"/>
        <v>0.30087798041261954</v>
      </c>
      <c r="O33" s="88">
        <f t="shared" si="7"/>
        <v>-3.0983797516537237E-7</v>
      </c>
      <c r="P33" s="92">
        <v>3550241.57</v>
      </c>
      <c r="Q33" s="88">
        <f t="shared" si="8"/>
        <v>0.30087788718919534</v>
      </c>
      <c r="R33" s="88">
        <f t="shared" si="9"/>
        <v>-2.3097019841156197E-7</v>
      </c>
      <c r="S33" s="92">
        <v>3550240.75</v>
      </c>
      <c r="T33" s="88">
        <f t="shared" si="10"/>
        <v>0.30087781769537003</v>
      </c>
      <c r="U33" s="88">
        <f t="shared" si="11"/>
        <v>0.19862820007347382</v>
      </c>
      <c r="V33" s="92">
        <v>4255418.68</v>
      </c>
      <c r="W33" s="88">
        <f t="shared" si="12"/>
        <v>0.36064063706623617</v>
      </c>
      <c r="X33" s="88">
        <f t="shared" si="13"/>
        <v>-2.0209527284986706E-7</v>
      </c>
      <c r="Y33" s="92">
        <v>4255417.82</v>
      </c>
      <c r="Z33" s="88">
        <f t="shared" si="14"/>
        <v>0.3606405641824682</v>
      </c>
      <c r="AA33" s="88">
        <f t="shared" si="15"/>
        <v>-9.1647874900235848E-7</v>
      </c>
      <c r="AB33" s="92">
        <v>4255413.92</v>
      </c>
      <c r="AC33" s="88">
        <f t="shared" si="16"/>
        <v>0.36064023366305509</v>
      </c>
      <c r="AD33" s="88">
        <f t="shared" si="17"/>
        <v>-1.6836228236993711E-2</v>
      </c>
      <c r="AE33" s="92">
        <v>4183768.8</v>
      </c>
      <c r="AF33" s="88">
        <f t="shared" si="18"/>
        <v>0.35456841237766112</v>
      </c>
      <c r="AG33" s="88">
        <f t="shared" si="19"/>
        <v>-4.4325561202138708E-3</v>
      </c>
      <c r="AH33" s="92">
        <v>4165224.01</v>
      </c>
      <c r="AI33" s="88">
        <f t="shared" si="20"/>
        <v>0.352996767991342</v>
      </c>
      <c r="AJ33" s="88">
        <f t="shared" si="21"/>
        <v>3.9452595972142568E-3</v>
      </c>
      <c r="AK33" s="92">
        <v>4181656.9</v>
      </c>
      <c r="AL33" s="88">
        <f t="shared" si="22"/>
        <v>0.3543894318780455</v>
      </c>
      <c r="AM33" s="88">
        <f t="shared" si="23"/>
        <v>-0.74800263981485426</v>
      </c>
      <c r="AN33" s="92">
        <v>1053766.5</v>
      </c>
      <c r="AO33" s="88">
        <f t="shared" si="24"/>
        <v>8.9305201310780999E-2</v>
      </c>
      <c r="AP33" s="88">
        <f t="shared" si="25"/>
        <v>-0.70318515744983012</v>
      </c>
    </row>
    <row r="34" spans="1:42" s="74" customFormat="1" x14ac:dyDescent="0.25">
      <c r="A34" s="89" t="s">
        <v>139</v>
      </c>
      <c r="B34" s="89" t="s">
        <v>137</v>
      </c>
      <c r="C34" s="89"/>
      <c r="D34" s="93">
        <v>3550248.67</v>
      </c>
      <c r="E34" s="88">
        <f t="shared" si="0"/>
        <v>0.3008784889040243</v>
      </c>
      <c r="F34" s="88">
        <f t="shared" si="1"/>
        <v>-5.6334082088049797E-7</v>
      </c>
      <c r="G34" s="93">
        <v>3550246.67</v>
      </c>
      <c r="H34" s="88">
        <f t="shared" si="2"/>
        <v>0.30087831940688936</v>
      </c>
      <c r="I34" s="88">
        <f t="shared" si="3"/>
        <v>-5.6334113818223841E-7</v>
      </c>
      <c r="J34" s="93">
        <v>3550244.67</v>
      </c>
      <c r="K34" s="88">
        <f t="shared" si="4"/>
        <v>0.30087814990975448</v>
      </c>
      <c r="L34" s="88">
        <f t="shared" si="5"/>
        <v>-5.6334145559500115E-7</v>
      </c>
      <c r="M34" s="93">
        <v>3550242.67</v>
      </c>
      <c r="N34" s="88">
        <f t="shared" si="6"/>
        <v>0.30087798041261954</v>
      </c>
      <c r="O34" s="88">
        <f t="shared" si="7"/>
        <v>-3.0983797516537237E-7</v>
      </c>
      <c r="P34" s="93">
        <v>3550241.57</v>
      </c>
      <c r="Q34" s="88">
        <f t="shared" si="8"/>
        <v>0.30087788718919534</v>
      </c>
      <c r="R34" s="88">
        <f t="shared" si="9"/>
        <v>-2.3097019841156197E-7</v>
      </c>
      <c r="S34" s="93">
        <v>3550240.75</v>
      </c>
      <c r="T34" s="88">
        <f t="shared" si="10"/>
        <v>0.30087781769537003</v>
      </c>
      <c r="U34" s="88">
        <f t="shared" si="11"/>
        <v>0.19862820007347382</v>
      </c>
      <c r="V34" s="93">
        <v>4255418.68</v>
      </c>
      <c r="W34" s="88">
        <f t="shared" si="12"/>
        <v>0.36064063706623617</v>
      </c>
      <c r="X34" s="88">
        <f t="shared" si="13"/>
        <v>-2.0209527284986706E-7</v>
      </c>
      <c r="Y34" s="93">
        <v>4255417.82</v>
      </c>
      <c r="Z34" s="88">
        <f t="shared" si="14"/>
        <v>0.3606405641824682</v>
      </c>
      <c r="AA34" s="88">
        <f t="shared" si="15"/>
        <v>-9.1647874900235848E-7</v>
      </c>
      <c r="AB34" s="93">
        <v>4255413.92</v>
      </c>
      <c r="AC34" s="88">
        <f t="shared" si="16"/>
        <v>0.36064023366305509</v>
      </c>
      <c r="AD34" s="88">
        <f t="shared" si="17"/>
        <v>-1.6836228236993711E-2</v>
      </c>
      <c r="AE34" s="93">
        <v>4183768.8</v>
      </c>
      <c r="AF34" s="88">
        <f t="shared" si="18"/>
        <v>0.35456841237766112</v>
      </c>
      <c r="AG34" s="88">
        <f t="shared" si="19"/>
        <v>-4.4325561202138708E-3</v>
      </c>
      <c r="AH34" s="93">
        <v>4165224.01</v>
      </c>
      <c r="AI34" s="88">
        <f t="shared" si="20"/>
        <v>0.352996767991342</v>
      </c>
      <c r="AJ34" s="88">
        <f t="shared" si="21"/>
        <v>3.9452595972142568E-3</v>
      </c>
      <c r="AK34" s="93">
        <v>4181656.9</v>
      </c>
      <c r="AL34" s="88">
        <f t="shared" si="22"/>
        <v>0.3543894318780455</v>
      </c>
      <c r="AM34" s="88">
        <f t="shared" si="23"/>
        <v>-0.97554884524361618</v>
      </c>
      <c r="AN34" s="93">
        <v>102246.34</v>
      </c>
      <c r="AO34" s="88">
        <f t="shared" si="24"/>
        <v>8.6652308428770124E-3</v>
      </c>
      <c r="AP34" s="88">
        <f t="shared" si="25"/>
        <v>-0.9712002314474496</v>
      </c>
    </row>
    <row r="35" spans="1:42" s="74" customFormat="1" x14ac:dyDescent="0.25">
      <c r="A35" s="66" t="s">
        <v>140</v>
      </c>
      <c r="B35" s="66" t="s">
        <v>141</v>
      </c>
      <c r="C35" s="66"/>
      <c r="D35" s="93"/>
      <c r="E35" s="88">
        <f t="shared" si="0"/>
        <v>0</v>
      </c>
      <c r="F35" s="88">
        <f t="shared" si="1"/>
        <v>0</v>
      </c>
      <c r="G35" s="93"/>
      <c r="H35" s="88">
        <f t="shared" si="2"/>
        <v>0</v>
      </c>
      <c r="I35" s="88">
        <f t="shared" si="3"/>
        <v>0</v>
      </c>
      <c r="J35" s="93"/>
      <c r="K35" s="88">
        <f t="shared" si="4"/>
        <v>0</v>
      </c>
      <c r="L35" s="88">
        <f t="shared" si="5"/>
        <v>0</v>
      </c>
      <c r="M35" s="93"/>
      <c r="N35" s="88">
        <f t="shared" si="6"/>
        <v>0</v>
      </c>
      <c r="O35" s="88">
        <f t="shared" si="7"/>
        <v>0</v>
      </c>
      <c r="P35" s="93"/>
      <c r="Q35" s="88">
        <f t="shared" si="8"/>
        <v>0</v>
      </c>
      <c r="R35" s="88">
        <f t="shared" si="9"/>
        <v>0</v>
      </c>
      <c r="S35" s="93"/>
      <c r="T35" s="88">
        <f t="shared" si="10"/>
        <v>0</v>
      </c>
      <c r="U35" s="88">
        <f t="shared" si="11"/>
        <v>0</v>
      </c>
      <c r="V35" s="93"/>
      <c r="W35" s="88">
        <f t="shared" si="12"/>
        <v>0</v>
      </c>
      <c r="X35" s="88">
        <f t="shared" si="13"/>
        <v>0</v>
      </c>
      <c r="Y35" s="93"/>
      <c r="Z35" s="88">
        <f t="shared" si="14"/>
        <v>0</v>
      </c>
      <c r="AA35" s="88">
        <f t="shared" si="15"/>
        <v>0</v>
      </c>
      <c r="AB35" s="93"/>
      <c r="AC35" s="88">
        <f t="shared" si="16"/>
        <v>0</v>
      </c>
      <c r="AD35" s="88">
        <f t="shared" si="17"/>
        <v>0</v>
      </c>
      <c r="AE35" s="93"/>
      <c r="AF35" s="88">
        <f t="shared" si="18"/>
        <v>0</v>
      </c>
      <c r="AG35" s="88">
        <f t="shared" si="19"/>
        <v>0</v>
      </c>
      <c r="AH35" s="93"/>
      <c r="AI35" s="88">
        <f t="shared" si="20"/>
        <v>0</v>
      </c>
      <c r="AJ35" s="88">
        <f t="shared" si="21"/>
        <v>0</v>
      </c>
      <c r="AK35" s="93"/>
      <c r="AL35" s="88">
        <f t="shared" si="22"/>
        <v>0</v>
      </c>
      <c r="AM35" s="88">
        <f t="shared" si="23"/>
        <v>0</v>
      </c>
      <c r="AN35" s="93">
        <v>951520.16</v>
      </c>
      <c r="AO35" s="88">
        <f t="shared" si="24"/>
        <v>8.0639970467903999E-2</v>
      </c>
      <c r="AP35" s="88">
        <f t="shared" si="25"/>
        <v>0</v>
      </c>
    </row>
    <row r="36" spans="1:42" s="74" customFormat="1" x14ac:dyDescent="0.25">
      <c r="A36" s="86" t="s">
        <v>142</v>
      </c>
      <c r="B36" s="86" t="s">
        <v>143</v>
      </c>
      <c r="C36" s="86"/>
      <c r="D36" s="92">
        <v>0</v>
      </c>
      <c r="E36" s="88">
        <f t="shared" si="0"/>
        <v>0</v>
      </c>
      <c r="F36" s="88">
        <f t="shared" si="1"/>
        <v>0</v>
      </c>
      <c r="G36" s="92">
        <v>0</v>
      </c>
      <c r="H36" s="88">
        <f t="shared" si="2"/>
        <v>0</v>
      </c>
      <c r="I36" s="88">
        <f t="shared" si="3"/>
        <v>0</v>
      </c>
      <c r="J36" s="92">
        <v>0</v>
      </c>
      <c r="K36" s="88">
        <f t="shared" si="4"/>
        <v>0</v>
      </c>
      <c r="L36" s="88">
        <f t="shared" si="5"/>
        <v>0</v>
      </c>
      <c r="M36" s="92">
        <v>0</v>
      </c>
      <c r="N36" s="88">
        <f t="shared" si="6"/>
        <v>0</v>
      </c>
      <c r="O36" s="88">
        <f t="shared" si="7"/>
        <v>0</v>
      </c>
      <c r="P36" s="92">
        <v>0</v>
      </c>
      <c r="Q36" s="88">
        <f t="shared" si="8"/>
        <v>0</v>
      </c>
      <c r="R36" s="88">
        <f t="shared" si="9"/>
        <v>0</v>
      </c>
      <c r="S36" s="92">
        <v>0</v>
      </c>
      <c r="T36" s="88">
        <f t="shared" si="10"/>
        <v>0</v>
      </c>
      <c r="U36" s="88">
        <f t="shared" si="11"/>
        <v>0</v>
      </c>
      <c r="V36" s="92">
        <v>0</v>
      </c>
      <c r="W36" s="88">
        <f t="shared" si="12"/>
        <v>0</v>
      </c>
      <c r="X36" s="88">
        <f t="shared" si="13"/>
        <v>0</v>
      </c>
      <c r="Y36" s="92">
        <v>0</v>
      </c>
      <c r="Z36" s="88">
        <f t="shared" si="14"/>
        <v>0</v>
      </c>
      <c r="AA36" s="88">
        <f t="shared" si="15"/>
        <v>0</v>
      </c>
      <c r="AB36" s="92">
        <v>0</v>
      </c>
      <c r="AC36" s="88">
        <f t="shared" si="16"/>
        <v>0</v>
      </c>
      <c r="AD36" s="88">
        <f t="shared" si="17"/>
        <v>0</v>
      </c>
      <c r="AE36" s="92">
        <v>0</v>
      </c>
      <c r="AF36" s="88">
        <f t="shared" si="18"/>
        <v>0</v>
      </c>
      <c r="AG36" s="88">
        <f t="shared" si="19"/>
        <v>0</v>
      </c>
      <c r="AH36" s="92">
        <v>0</v>
      </c>
      <c r="AI36" s="88">
        <f t="shared" si="20"/>
        <v>0</v>
      </c>
      <c r="AJ36" s="88">
        <f t="shared" si="21"/>
        <v>0</v>
      </c>
      <c r="AK36" s="92">
        <v>1278.8599999999999</v>
      </c>
      <c r="AL36" s="88">
        <f t="shared" si="22"/>
        <v>1.0838155298000589E-4</v>
      </c>
      <c r="AM36" s="88">
        <f t="shared" si="23"/>
        <v>462.1756877218773</v>
      </c>
      <c r="AN36" s="92">
        <v>592336.86</v>
      </c>
      <c r="AO36" s="88">
        <f t="shared" si="24"/>
        <v>5.0199700337879315E-2</v>
      </c>
      <c r="AP36" s="88">
        <f t="shared" si="25"/>
        <v>0</v>
      </c>
    </row>
    <row r="37" spans="1:42" s="74" customFormat="1" x14ac:dyDescent="0.25">
      <c r="A37" s="86" t="s">
        <v>144</v>
      </c>
      <c r="B37" s="86" t="s">
        <v>143</v>
      </c>
      <c r="C37" s="86"/>
      <c r="D37" s="92">
        <v>0</v>
      </c>
      <c r="E37" s="88">
        <f t="shared" si="0"/>
        <v>0</v>
      </c>
      <c r="F37" s="88">
        <f t="shared" si="1"/>
        <v>0</v>
      </c>
      <c r="G37" s="92">
        <v>0</v>
      </c>
      <c r="H37" s="88">
        <f t="shared" si="2"/>
        <v>0</v>
      </c>
      <c r="I37" s="88">
        <f t="shared" si="3"/>
        <v>0</v>
      </c>
      <c r="J37" s="92">
        <v>0</v>
      </c>
      <c r="K37" s="88">
        <f t="shared" si="4"/>
        <v>0</v>
      </c>
      <c r="L37" s="88">
        <f t="shared" si="5"/>
        <v>0</v>
      </c>
      <c r="M37" s="92">
        <v>0</v>
      </c>
      <c r="N37" s="88">
        <f t="shared" si="6"/>
        <v>0</v>
      </c>
      <c r="O37" s="88">
        <f t="shared" si="7"/>
        <v>0</v>
      </c>
      <c r="P37" s="92">
        <v>0</v>
      </c>
      <c r="Q37" s="88">
        <f t="shared" si="8"/>
        <v>0</v>
      </c>
      <c r="R37" s="88">
        <f t="shared" si="9"/>
        <v>0</v>
      </c>
      <c r="S37" s="92">
        <v>0</v>
      </c>
      <c r="T37" s="88">
        <f t="shared" si="10"/>
        <v>0</v>
      </c>
      <c r="U37" s="88">
        <f t="shared" si="11"/>
        <v>0</v>
      </c>
      <c r="V37" s="92">
        <v>0</v>
      </c>
      <c r="W37" s="88">
        <f t="shared" si="12"/>
        <v>0</v>
      </c>
      <c r="X37" s="88">
        <f t="shared" si="13"/>
        <v>0</v>
      </c>
      <c r="Y37" s="92">
        <v>0</v>
      </c>
      <c r="Z37" s="88">
        <f t="shared" si="14"/>
        <v>0</v>
      </c>
      <c r="AA37" s="88">
        <f t="shared" si="15"/>
        <v>0</v>
      </c>
      <c r="AB37" s="92">
        <v>0</v>
      </c>
      <c r="AC37" s="88">
        <f t="shared" si="16"/>
        <v>0</v>
      </c>
      <c r="AD37" s="88">
        <f t="shared" si="17"/>
        <v>0</v>
      </c>
      <c r="AE37" s="92">
        <v>0</v>
      </c>
      <c r="AF37" s="88">
        <f t="shared" si="18"/>
        <v>0</v>
      </c>
      <c r="AG37" s="88">
        <f t="shared" si="19"/>
        <v>0</v>
      </c>
      <c r="AH37" s="92">
        <v>0</v>
      </c>
      <c r="AI37" s="88">
        <f t="shared" si="20"/>
        <v>0</v>
      </c>
      <c r="AJ37" s="88">
        <f t="shared" si="21"/>
        <v>0</v>
      </c>
      <c r="AK37" s="92">
        <v>1278.8599999999999</v>
      </c>
      <c r="AL37" s="88">
        <f t="shared" si="22"/>
        <v>1.0838155298000589E-4</v>
      </c>
      <c r="AM37" s="88">
        <f t="shared" si="23"/>
        <v>462.1756877218773</v>
      </c>
      <c r="AN37" s="92">
        <v>592336.86</v>
      </c>
      <c r="AO37" s="88">
        <f t="shared" si="24"/>
        <v>5.0199700337879315E-2</v>
      </c>
      <c r="AP37" s="88">
        <f t="shared" si="25"/>
        <v>0</v>
      </c>
    </row>
    <row r="38" spans="1:42" s="74" customFormat="1" x14ac:dyDescent="0.25">
      <c r="A38" s="89" t="s">
        <v>145</v>
      </c>
      <c r="B38" s="89" t="s">
        <v>723</v>
      </c>
      <c r="C38" s="89"/>
      <c r="D38" s="93"/>
      <c r="E38" s="88">
        <f t="shared" si="0"/>
        <v>0</v>
      </c>
      <c r="F38" s="88">
        <f t="shared" si="1"/>
        <v>0</v>
      </c>
      <c r="G38" s="93"/>
      <c r="H38" s="88">
        <f t="shared" si="2"/>
        <v>0</v>
      </c>
      <c r="I38" s="88">
        <f t="shared" si="3"/>
        <v>0</v>
      </c>
      <c r="J38" s="93"/>
      <c r="K38" s="88">
        <f t="shared" si="4"/>
        <v>0</v>
      </c>
      <c r="L38" s="88">
        <f t="shared" si="5"/>
        <v>0</v>
      </c>
      <c r="M38" s="93"/>
      <c r="N38" s="88">
        <f t="shared" si="6"/>
        <v>0</v>
      </c>
      <c r="O38" s="88">
        <f t="shared" si="7"/>
        <v>0</v>
      </c>
      <c r="P38" s="93"/>
      <c r="Q38" s="88">
        <f t="shared" si="8"/>
        <v>0</v>
      </c>
      <c r="R38" s="88">
        <f t="shared" si="9"/>
        <v>0</v>
      </c>
      <c r="S38" s="93"/>
      <c r="T38" s="88">
        <f t="shared" si="10"/>
        <v>0</v>
      </c>
      <c r="U38" s="88">
        <f t="shared" si="11"/>
        <v>0</v>
      </c>
      <c r="V38" s="93"/>
      <c r="W38" s="88">
        <f t="shared" si="12"/>
        <v>0</v>
      </c>
      <c r="X38" s="88">
        <f t="shared" si="13"/>
        <v>0</v>
      </c>
      <c r="Y38" s="93"/>
      <c r="Z38" s="88">
        <f t="shared" si="14"/>
        <v>0</v>
      </c>
      <c r="AA38" s="88">
        <f t="shared" si="15"/>
        <v>0</v>
      </c>
      <c r="AB38" s="93"/>
      <c r="AC38" s="88">
        <f t="shared" si="16"/>
        <v>0</v>
      </c>
      <c r="AD38" s="88">
        <f t="shared" si="17"/>
        <v>0</v>
      </c>
      <c r="AE38" s="93"/>
      <c r="AF38" s="88">
        <f t="shared" si="18"/>
        <v>0</v>
      </c>
      <c r="AG38" s="88">
        <f t="shared" si="19"/>
        <v>0</v>
      </c>
      <c r="AH38" s="93"/>
      <c r="AI38" s="88">
        <f t="shared" si="20"/>
        <v>0</v>
      </c>
      <c r="AJ38" s="88">
        <f t="shared" si="21"/>
        <v>0</v>
      </c>
      <c r="AK38" s="93">
        <v>1278.8599999999999</v>
      </c>
      <c r="AL38" s="88">
        <f t="shared" si="22"/>
        <v>1.0838155298000589E-4</v>
      </c>
      <c r="AM38" s="88">
        <f t="shared" si="23"/>
        <v>454.73703141860722</v>
      </c>
      <c r="AN38" s="93">
        <v>582823.86</v>
      </c>
      <c r="AO38" s="88">
        <f t="shared" si="24"/>
        <v>4.9393487215646389E-2</v>
      </c>
      <c r="AP38" s="88">
        <f t="shared" si="25"/>
        <v>0</v>
      </c>
    </row>
    <row r="39" spans="1:42" s="74" customFormat="1" x14ac:dyDescent="0.25">
      <c r="A39" s="66" t="s">
        <v>146</v>
      </c>
      <c r="B39" s="66" t="s">
        <v>147</v>
      </c>
      <c r="C39" s="66"/>
      <c r="D39" s="93"/>
      <c r="E39" s="88">
        <f t="shared" si="0"/>
        <v>0</v>
      </c>
      <c r="F39" s="88">
        <f t="shared" si="1"/>
        <v>0</v>
      </c>
      <c r="G39" s="93"/>
      <c r="H39" s="88">
        <f t="shared" si="2"/>
        <v>0</v>
      </c>
      <c r="I39" s="88">
        <f t="shared" si="3"/>
        <v>0</v>
      </c>
      <c r="J39" s="93"/>
      <c r="K39" s="88">
        <f t="shared" si="4"/>
        <v>0</v>
      </c>
      <c r="L39" s="88">
        <f t="shared" si="5"/>
        <v>0</v>
      </c>
      <c r="M39" s="93"/>
      <c r="N39" s="88">
        <f t="shared" si="6"/>
        <v>0</v>
      </c>
      <c r="O39" s="88">
        <f t="shared" si="7"/>
        <v>0</v>
      </c>
      <c r="P39" s="93"/>
      <c r="Q39" s="88">
        <f t="shared" si="8"/>
        <v>0</v>
      </c>
      <c r="R39" s="88">
        <f t="shared" si="9"/>
        <v>0</v>
      </c>
      <c r="S39" s="93"/>
      <c r="T39" s="88">
        <f t="shared" si="10"/>
        <v>0</v>
      </c>
      <c r="U39" s="88">
        <f t="shared" si="11"/>
        <v>0</v>
      </c>
      <c r="V39" s="93"/>
      <c r="W39" s="88">
        <f t="shared" si="12"/>
        <v>0</v>
      </c>
      <c r="X39" s="88">
        <f t="shared" si="13"/>
        <v>0</v>
      </c>
      <c r="Y39" s="93"/>
      <c r="Z39" s="88">
        <f t="shared" si="14"/>
        <v>0</v>
      </c>
      <c r="AA39" s="88">
        <f t="shared" si="15"/>
        <v>0</v>
      </c>
      <c r="AB39" s="93"/>
      <c r="AC39" s="88">
        <f t="shared" si="16"/>
        <v>0</v>
      </c>
      <c r="AD39" s="88">
        <f t="shared" si="17"/>
        <v>0</v>
      </c>
      <c r="AE39" s="93"/>
      <c r="AF39" s="88">
        <f t="shared" si="18"/>
        <v>0</v>
      </c>
      <c r="AG39" s="88">
        <f t="shared" si="19"/>
        <v>0</v>
      </c>
      <c r="AH39" s="93"/>
      <c r="AI39" s="88">
        <f t="shared" si="20"/>
        <v>0</v>
      </c>
      <c r="AJ39" s="88">
        <f t="shared" si="21"/>
        <v>0</v>
      </c>
      <c r="AK39" s="93"/>
      <c r="AL39" s="88">
        <f t="shared" si="22"/>
        <v>0</v>
      </c>
      <c r="AM39" s="88">
        <f t="shared" si="23"/>
        <v>0</v>
      </c>
      <c r="AN39" s="93">
        <v>9513</v>
      </c>
      <c r="AO39" s="88">
        <f t="shared" si="24"/>
        <v>8.0621312223292318E-4</v>
      </c>
      <c r="AP39" s="88">
        <f t="shared" si="25"/>
        <v>0</v>
      </c>
    </row>
    <row r="40" spans="1:42" s="74" customFormat="1" x14ac:dyDescent="0.25">
      <c r="A40" s="86" t="s">
        <v>148</v>
      </c>
      <c r="B40" s="86" t="s">
        <v>149</v>
      </c>
      <c r="C40" s="86"/>
      <c r="D40" s="92">
        <v>223693.84</v>
      </c>
      <c r="E40" s="88">
        <f t="shared" si="0"/>
        <v>1.8957732489295907E-2</v>
      </c>
      <c r="F40" s="88">
        <f t="shared" si="1"/>
        <v>1.2866693155251907E-2</v>
      </c>
      <c r="G40" s="92">
        <v>226572.04</v>
      </c>
      <c r="H40" s="88">
        <f t="shared" si="2"/>
        <v>1.9201655816155027E-2</v>
      </c>
      <c r="I40" s="88">
        <f t="shared" si="3"/>
        <v>-2.5353746208049421E-2</v>
      </c>
      <c r="J40" s="92">
        <v>220827.59</v>
      </c>
      <c r="K40" s="88">
        <f t="shared" si="4"/>
        <v>1.8714821907817918E-2</v>
      </c>
      <c r="L40" s="88">
        <f t="shared" si="5"/>
        <v>0</v>
      </c>
      <c r="M40" s="92">
        <v>220827.59</v>
      </c>
      <c r="N40" s="88">
        <f t="shared" si="6"/>
        <v>1.8714821907817918E-2</v>
      </c>
      <c r="O40" s="88">
        <f t="shared" si="7"/>
        <v>6.7926294898201789E-4</v>
      </c>
      <c r="P40" s="92">
        <v>220977.59</v>
      </c>
      <c r="Q40" s="88">
        <f t="shared" si="8"/>
        <v>1.8727534192936695E-2</v>
      </c>
      <c r="R40" s="88">
        <f t="shared" si="9"/>
        <v>4.6832803272042201E-2</v>
      </c>
      <c r="S40" s="92">
        <v>231326.59</v>
      </c>
      <c r="T40" s="88">
        <f t="shared" si="10"/>
        <v>1.9604597117564945E-2</v>
      </c>
      <c r="U40" s="88">
        <f t="shared" si="11"/>
        <v>2.9309211708001826E-3</v>
      </c>
      <c r="V40" s="92">
        <v>232004.59</v>
      </c>
      <c r="W40" s="88">
        <f t="shared" si="12"/>
        <v>1.9662056646301822E-2</v>
      </c>
      <c r="X40" s="88">
        <f t="shared" si="13"/>
        <v>-0.28759534455762281</v>
      </c>
      <c r="Y40" s="92">
        <v>165281.15</v>
      </c>
      <c r="Z40" s="88">
        <f t="shared" si="14"/>
        <v>1.4007340690397153E-2</v>
      </c>
      <c r="AA40" s="88">
        <f t="shared" si="15"/>
        <v>8.8589775664073001E-2</v>
      </c>
      <c r="AB40" s="92">
        <v>179923.37</v>
      </c>
      <c r="AC40" s="88">
        <f t="shared" si="16"/>
        <v>1.5248247859809678E-2</v>
      </c>
      <c r="AD40" s="88">
        <f t="shared" si="17"/>
        <v>0.3449097246233217</v>
      </c>
      <c r="AE40" s="92">
        <v>241980.69</v>
      </c>
      <c r="AF40" s="88">
        <f t="shared" si="18"/>
        <v>2.0507516830124788E-2</v>
      </c>
      <c r="AG40" s="88">
        <f t="shared" si="19"/>
        <v>0</v>
      </c>
      <c r="AH40" s="92">
        <v>241980.69</v>
      </c>
      <c r="AI40" s="88">
        <f t="shared" si="20"/>
        <v>2.0507516830124788E-2</v>
      </c>
      <c r="AJ40" s="88">
        <f t="shared" si="21"/>
        <v>0.2502338926300276</v>
      </c>
      <c r="AK40" s="92">
        <v>302532.46000000002</v>
      </c>
      <c r="AL40" s="88">
        <f t="shared" si="22"/>
        <v>2.5639192594702719E-2</v>
      </c>
      <c r="AM40" s="88">
        <f t="shared" si="23"/>
        <v>0.11504957187073406</v>
      </c>
      <c r="AN40" s="92">
        <v>337338.69</v>
      </c>
      <c r="AO40" s="88">
        <f t="shared" si="24"/>
        <v>2.8588970725834564E-2</v>
      </c>
      <c r="AP40" s="88">
        <f t="shared" si="25"/>
        <v>0.50803745869801342</v>
      </c>
    </row>
    <row r="41" spans="1:42" s="63" customFormat="1" x14ac:dyDescent="0.25">
      <c r="A41" s="86" t="s">
        <v>150</v>
      </c>
      <c r="B41" s="86" t="s">
        <v>149</v>
      </c>
      <c r="C41" s="86"/>
      <c r="D41" s="92">
        <v>223693.84</v>
      </c>
      <c r="E41" s="88">
        <f t="shared" si="0"/>
        <v>1.8957732489295907E-2</v>
      </c>
      <c r="F41" s="88">
        <f t="shared" si="1"/>
        <v>1.2866693155251907E-2</v>
      </c>
      <c r="G41" s="92">
        <v>226572.04</v>
      </c>
      <c r="H41" s="88">
        <f t="shared" si="2"/>
        <v>1.9201655816155027E-2</v>
      </c>
      <c r="I41" s="88">
        <f t="shared" si="3"/>
        <v>-2.5353746208049421E-2</v>
      </c>
      <c r="J41" s="92">
        <v>220827.59</v>
      </c>
      <c r="K41" s="88">
        <f t="shared" si="4"/>
        <v>1.8714821907817918E-2</v>
      </c>
      <c r="L41" s="88">
        <f t="shared" si="5"/>
        <v>0</v>
      </c>
      <c r="M41" s="92">
        <v>220827.59</v>
      </c>
      <c r="N41" s="88">
        <f t="shared" si="6"/>
        <v>1.8714821907817918E-2</v>
      </c>
      <c r="O41" s="88">
        <f t="shared" si="7"/>
        <v>6.7926294898201789E-4</v>
      </c>
      <c r="P41" s="92">
        <v>220977.59</v>
      </c>
      <c r="Q41" s="88">
        <f t="shared" si="8"/>
        <v>1.8727534192936695E-2</v>
      </c>
      <c r="R41" s="88">
        <f t="shared" si="9"/>
        <v>4.6832803272042201E-2</v>
      </c>
      <c r="S41" s="92">
        <v>231326.59</v>
      </c>
      <c r="T41" s="88">
        <f t="shared" si="10"/>
        <v>1.9604597117564945E-2</v>
      </c>
      <c r="U41" s="88">
        <f t="shared" si="11"/>
        <v>2.9309211708001826E-3</v>
      </c>
      <c r="V41" s="92">
        <v>232004.59</v>
      </c>
      <c r="W41" s="88">
        <f t="shared" si="12"/>
        <v>1.9662056646301822E-2</v>
      </c>
      <c r="X41" s="88">
        <f t="shared" si="13"/>
        <v>-0.28759534455762281</v>
      </c>
      <c r="Y41" s="92">
        <v>165281.15</v>
      </c>
      <c r="Z41" s="88">
        <f t="shared" si="14"/>
        <v>1.4007340690397153E-2</v>
      </c>
      <c r="AA41" s="88">
        <f t="shared" si="15"/>
        <v>8.8589775664073001E-2</v>
      </c>
      <c r="AB41" s="92">
        <v>179923.37</v>
      </c>
      <c r="AC41" s="88">
        <f t="shared" si="16"/>
        <v>1.5248247859809678E-2</v>
      </c>
      <c r="AD41" s="88">
        <f t="shared" si="17"/>
        <v>0.3449097246233217</v>
      </c>
      <c r="AE41" s="92">
        <v>241980.69</v>
      </c>
      <c r="AF41" s="88">
        <f t="shared" si="18"/>
        <v>2.0507516830124788E-2</v>
      </c>
      <c r="AG41" s="88">
        <f t="shared" si="19"/>
        <v>0</v>
      </c>
      <c r="AH41" s="92">
        <v>241980.69</v>
      </c>
      <c r="AI41" s="88">
        <f t="shared" si="20"/>
        <v>2.0507516830124788E-2</v>
      </c>
      <c r="AJ41" s="88">
        <f t="shared" si="21"/>
        <v>0.2502338926300276</v>
      </c>
      <c r="AK41" s="92">
        <v>302532.46000000002</v>
      </c>
      <c r="AL41" s="88">
        <f t="shared" si="22"/>
        <v>2.5639192594702719E-2</v>
      </c>
      <c r="AM41" s="88">
        <f t="shared" si="23"/>
        <v>0.11504957187073406</v>
      </c>
      <c r="AN41" s="92">
        <v>337338.69</v>
      </c>
      <c r="AO41" s="88">
        <f t="shared" si="24"/>
        <v>2.8588970725834564E-2</v>
      </c>
      <c r="AP41" s="88">
        <f t="shared" si="25"/>
        <v>0.50803745869801342</v>
      </c>
    </row>
    <row r="42" spans="1:42" s="74" customFormat="1" x14ac:dyDescent="0.25">
      <c r="A42" s="89" t="s">
        <v>151</v>
      </c>
      <c r="B42" s="89" t="s">
        <v>152</v>
      </c>
      <c r="C42" s="89"/>
      <c r="D42" s="93">
        <v>223693.84</v>
      </c>
      <c r="E42" s="88">
        <f t="shared" si="0"/>
        <v>1.8957732489295907E-2</v>
      </c>
      <c r="F42" s="88">
        <f t="shared" si="1"/>
        <v>1.2866693155251907E-2</v>
      </c>
      <c r="G42" s="93">
        <v>226572.04</v>
      </c>
      <c r="H42" s="88">
        <f t="shared" si="2"/>
        <v>1.9201655816155027E-2</v>
      </c>
      <c r="I42" s="88">
        <f t="shared" si="3"/>
        <v>-2.5353746208049421E-2</v>
      </c>
      <c r="J42" s="93">
        <v>220827.59</v>
      </c>
      <c r="K42" s="88">
        <f t="shared" si="4"/>
        <v>1.8714821907817918E-2</v>
      </c>
      <c r="L42" s="88">
        <f t="shared" si="5"/>
        <v>0</v>
      </c>
      <c r="M42" s="93">
        <v>220827.59</v>
      </c>
      <c r="N42" s="88">
        <f t="shared" si="6"/>
        <v>1.8714821907817918E-2</v>
      </c>
      <c r="O42" s="88">
        <f t="shared" si="7"/>
        <v>6.7926294898201789E-4</v>
      </c>
      <c r="P42" s="93">
        <v>220977.59</v>
      </c>
      <c r="Q42" s="88">
        <f t="shared" si="8"/>
        <v>1.8727534192936695E-2</v>
      </c>
      <c r="R42" s="88">
        <f t="shared" si="9"/>
        <v>4.6832803272042201E-2</v>
      </c>
      <c r="S42" s="93">
        <v>231326.59</v>
      </c>
      <c r="T42" s="88">
        <f t="shared" si="10"/>
        <v>1.9604597117564945E-2</v>
      </c>
      <c r="U42" s="88">
        <f t="shared" si="11"/>
        <v>2.9309211708001826E-3</v>
      </c>
      <c r="V42" s="93">
        <v>232004.59</v>
      </c>
      <c r="W42" s="88">
        <f t="shared" si="12"/>
        <v>1.9662056646301822E-2</v>
      </c>
      <c r="X42" s="88">
        <f t="shared" si="13"/>
        <v>-0.28759534455762281</v>
      </c>
      <c r="Y42" s="93">
        <v>165281.15</v>
      </c>
      <c r="Z42" s="88">
        <f t="shared" si="14"/>
        <v>1.4007340690397153E-2</v>
      </c>
      <c r="AA42" s="88">
        <f t="shared" si="15"/>
        <v>8.8589775664073001E-2</v>
      </c>
      <c r="AB42" s="93">
        <v>179923.37</v>
      </c>
      <c r="AC42" s="88">
        <f t="shared" si="16"/>
        <v>1.5248247859809678E-2</v>
      </c>
      <c r="AD42" s="88">
        <f t="shared" si="17"/>
        <v>0.3449097246233217</v>
      </c>
      <c r="AE42" s="93">
        <v>241980.69</v>
      </c>
      <c r="AF42" s="88">
        <f t="shared" si="18"/>
        <v>2.0507516830124788E-2</v>
      </c>
      <c r="AG42" s="88">
        <f t="shared" si="19"/>
        <v>0</v>
      </c>
      <c r="AH42" s="93">
        <v>241980.69</v>
      </c>
      <c r="AI42" s="88">
        <f t="shared" si="20"/>
        <v>2.0507516830124788E-2</v>
      </c>
      <c r="AJ42" s="88">
        <f t="shared" si="21"/>
        <v>0.2502338926300276</v>
      </c>
      <c r="AK42" s="93">
        <v>302532.46000000002</v>
      </c>
      <c r="AL42" s="88">
        <f t="shared" si="22"/>
        <v>2.5639192594702719E-2</v>
      </c>
      <c r="AM42" s="88">
        <f t="shared" si="23"/>
        <v>0.11504957187073406</v>
      </c>
      <c r="AN42" s="93">
        <v>337338.69</v>
      </c>
      <c r="AO42" s="88">
        <f t="shared" si="24"/>
        <v>2.8588970725834564E-2</v>
      </c>
      <c r="AP42" s="88">
        <f t="shared" si="25"/>
        <v>0.50803745869801342</v>
      </c>
    </row>
    <row r="43" spans="1:42" s="74" customFormat="1" x14ac:dyDescent="0.25">
      <c r="A43" s="86" t="s">
        <v>153</v>
      </c>
      <c r="B43" s="86" t="s">
        <v>154</v>
      </c>
      <c r="C43" s="86"/>
      <c r="D43" s="92">
        <v>33178.879999999997</v>
      </c>
      <c r="E43" s="88">
        <f t="shared" si="0"/>
        <v>2.8118625498782181E-3</v>
      </c>
      <c r="F43" s="88">
        <f t="shared" si="1"/>
        <v>0</v>
      </c>
      <c r="G43" s="92">
        <v>33178.879999999997</v>
      </c>
      <c r="H43" s="88">
        <f t="shared" si="2"/>
        <v>2.8118625498782181E-3</v>
      </c>
      <c r="I43" s="88">
        <f t="shared" si="3"/>
        <v>-3.0139655093908146E-7</v>
      </c>
      <c r="J43" s="92">
        <v>33178.870000000003</v>
      </c>
      <c r="K43" s="88">
        <f t="shared" si="4"/>
        <v>2.811861702392544E-3</v>
      </c>
      <c r="L43" s="88">
        <f t="shared" si="5"/>
        <v>8.0928012316270337E-3</v>
      </c>
      <c r="M43" s="92">
        <v>33447.379999999997</v>
      </c>
      <c r="N43" s="88">
        <f t="shared" si="6"/>
        <v>2.8346175402408315E-3</v>
      </c>
      <c r="O43" s="88">
        <f t="shared" si="7"/>
        <v>-3.4812891174135219E-3</v>
      </c>
      <c r="P43" s="92">
        <v>33330.94</v>
      </c>
      <c r="Q43" s="88">
        <f t="shared" si="8"/>
        <v>2.8247494170459617E-3</v>
      </c>
      <c r="R43" s="88">
        <f t="shared" si="9"/>
        <v>-6.000430832209247E-7</v>
      </c>
      <c r="S43" s="92">
        <v>33330.92</v>
      </c>
      <c r="T43" s="88">
        <f t="shared" si="10"/>
        <v>2.8247477220746122E-3</v>
      </c>
      <c r="U43" s="88">
        <f t="shared" si="11"/>
        <v>2.3970835488489328E-2</v>
      </c>
      <c r="V43" s="92">
        <v>34129.89</v>
      </c>
      <c r="W43" s="88">
        <f t="shared" si="12"/>
        <v>2.8924592850169475E-3</v>
      </c>
      <c r="X43" s="88">
        <f t="shared" si="13"/>
        <v>3.1057820579105666E-5</v>
      </c>
      <c r="Y43" s="92">
        <v>34130.950000000004</v>
      </c>
      <c r="Z43" s="88">
        <f t="shared" si="14"/>
        <v>2.892549118498454E-3</v>
      </c>
      <c r="AA43" s="88">
        <f t="shared" si="15"/>
        <v>4.9066902620642505E-3</v>
      </c>
      <c r="AB43" s="92">
        <v>34298.420000000006</v>
      </c>
      <c r="AC43" s="88">
        <f t="shared" si="16"/>
        <v>2.9067419610907331E-3</v>
      </c>
      <c r="AD43" s="88">
        <f t="shared" si="17"/>
        <v>9.3389724657870321E-2</v>
      </c>
      <c r="AE43" s="92">
        <v>37501.54</v>
      </c>
      <c r="AF43" s="88">
        <f t="shared" si="18"/>
        <v>3.1782017924884749E-3</v>
      </c>
      <c r="AG43" s="88">
        <f t="shared" si="19"/>
        <v>1.5708688229869594E-3</v>
      </c>
      <c r="AH43" s="92">
        <v>37560.449999999997</v>
      </c>
      <c r="AI43" s="88">
        <f t="shared" si="20"/>
        <v>3.183194330597456E-3</v>
      </c>
      <c r="AJ43" s="88">
        <f t="shared" si="21"/>
        <v>1.3468954711672865E-3</v>
      </c>
      <c r="AK43" s="92">
        <v>37611.040000000001</v>
      </c>
      <c r="AL43" s="88">
        <f t="shared" si="22"/>
        <v>3.1874817606251829E-3</v>
      </c>
      <c r="AM43" s="88">
        <f t="shared" si="23"/>
        <v>6.0519464497656994E-3</v>
      </c>
      <c r="AN43" s="92">
        <v>37838.659999999996</v>
      </c>
      <c r="AO43" s="88">
        <f t="shared" si="24"/>
        <v>3.2067722295500913E-3</v>
      </c>
      <c r="AP43" s="88">
        <f t="shared" si="25"/>
        <v>0.14044416206936461</v>
      </c>
    </row>
    <row r="44" spans="1:42" s="74" customFormat="1" x14ac:dyDescent="0.25">
      <c r="A44" s="86" t="s">
        <v>155</v>
      </c>
      <c r="B44" s="86" t="s">
        <v>154</v>
      </c>
      <c r="C44" s="86"/>
      <c r="D44" s="92">
        <v>33178.879999999997</v>
      </c>
      <c r="E44" s="88">
        <f t="shared" si="0"/>
        <v>2.8118625498782181E-3</v>
      </c>
      <c r="F44" s="88">
        <f t="shared" si="1"/>
        <v>0</v>
      </c>
      <c r="G44" s="92">
        <v>33178.879999999997</v>
      </c>
      <c r="H44" s="88">
        <f t="shared" si="2"/>
        <v>2.8118625498782181E-3</v>
      </c>
      <c r="I44" s="88">
        <f t="shared" si="3"/>
        <v>-3.0139655093908146E-7</v>
      </c>
      <c r="J44" s="92">
        <v>33178.870000000003</v>
      </c>
      <c r="K44" s="88">
        <f t="shared" si="4"/>
        <v>2.811861702392544E-3</v>
      </c>
      <c r="L44" s="88">
        <f t="shared" si="5"/>
        <v>8.0928012316270337E-3</v>
      </c>
      <c r="M44" s="92">
        <v>33447.379999999997</v>
      </c>
      <c r="N44" s="88">
        <f t="shared" si="6"/>
        <v>2.8346175402408315E-3</v>
      </c>
      <c r="O44" s="88">
        <f t="shared" si="7"/>
        <v>-3.4812891174135219E-3</v>
      </c>
      <c r="P44" s="92">
        <v>33330.94</v>
      </c>
      <c r="Q44" s="88">
        <f t="shared" si="8"/>
        <v>2.8247494170459617E-3</v>
      </c>
      <c r="R44" s="88">
        <f t="shared" si="9"/>
        <v>-6.000430832209247E-7</v>
      </c>
      <c r="S44" s="92">
        <v>33330.92</v>
      </c>
      <c r="T44" s="88">
        <f t="shared" si="10"/>
        <v>2.8247477220746122E-3</v>
      </c>
      <c r="U44" s="88">
        <f t="shared" si="11"/>
        <v>2.3970835488489328E-2</v>
      </c>
      <c r="V44" s="92">
        <v>34129.89</v>
      </c>
      <c r="W44" s="88">
        <f t="shared" si="12"/>
        <v>2.8924592850169475E-3</v>
      </c>
      <c r="X44" s="88">
        <f t="shared" si="13"/>
        <v>3.1057820579105666E-5</v>
      </c>
      <c r="Y44" s="92">
        <v>34130.950000000004</v>
      </c>
      <c r="Z44" s="88">
        <f t="shared" si="14"/>
        <v>2.892549118498454E-3</v>
      </c>
      <c r="AA44" s="88">
        <f t="shared" si="15"/>
        <v>4.9066902620642505E-3</v>
      </c>
      <c r="AB44" s="92">
        <v>34298.420000000006</v>
      </c>
      <c r="AC44" s="88">
        <f t="shared" si="16"/>
        <v>2.9067419610907331E-3</v>
      </c>
      <c r="AD44" s="88">
        <f t="shared" si="17"/>
        <v>9.3389724657870321E-2</v>
      </c>
      <c r="AE44" s="92">
        <v>37501.54</v>
      </c>
      <c r="AF44" s="88">
        <f t="shared" si="18"/>
        <v>3.1782017924884749E-3</v>
      </c>
      <c r="AG44" s="88">
        <f t="shared" si="19"/>
        <v>1.5708688229869594E-3</v>
      </c>
      <c r="AH44" s="92">
        <v>37560.449999999997</v>
      </c>
      <c r="AI44" s="88">
        <f t="shared" si="20"/>
        <v>3.183194330597456E-3</v>
      </c>
      <c r="AJ44" s="88">
        <f t="shared" si="21"/>
        <v>1.3468954711672865E-3</v>
      </c>
      <c r="AK44" s="92">
        <v>37611.040000000001</v>
      </c>
      <c r="AL44" s="88">
        <f t="shared" si="22"/>
        <v>3.1874817606251829E-3</v>
      </c>
      <c r="AM44" s="88">
        <f t="shared" si="23"/>
        <v>6.0519464497656994E-3</v>
      </c>
      <c r="AN44" s="92">
        <v>37838.659999999996</v>
      </c>
      <c r="AO44" s="88">
        <f t="shared" si="24"/>
        <v>3.2067722295500913E-3</v>
      </c>
      <c r="AP44" s="88">
        <f t="shared" si="25"/>
        <v>0.14044416206936461</v>
      </c>
    </row>
    <row r="45" spans="1:42" s="74" customFormat="1" x14ac:dyDescent="0.25">
      <c r="A45" s="86" t="s">
        <v>156</v>
      </c>
      <c r="B45" s="86" t="s">
        <v>157</v>
      </c>
      <c r="C45" s="86"/>
      <c r="D45" s="92">
        <v>23176.81</v>
      </c>
      <c r="E45" s="88">
        <f t="shared" si="0"/>
        <v>1.9642014457583556E-3</v>
      </c>
      <c r="F45" s="88">
        <f t="shared" si="1"/>
        <v>0</v>
      </c>
      <c r="G45" s="92">
        <v>23176.81</v>
      </c>
      <c r="H45" s="88">
        <f t="shared" si="2"/>
        <v>1.9642014457583556E-3</v>
      </c>
      <c r="I45" s="88">
        <f t="shared" si="3"/>
        <v>0</v>
      </c>
      <c r="J45" s="92">
        <v>23176.81</v>
      </c>
      <c r="K45" s="88">
        <f t="shared" si="4"/>
        <v>1.9642014457583556E-3</v>
      </c>
      <c r="L45" s="88">
        <f t="shared" si="5"/>
        <v>0</v>
      </c>
      <c r="M45" s="92">
        <v>23176.81</v>
      </c>
      <c r="N45" s="88">
        <f t="shared" si="6"/>
        <v>1.9642014457583556E-3</v>
      </c>
      <c r="O45" s="88">
        <f t="shared" si="7"/>
        <v>0</v>
      </c>
      <c r="P45" s="92">
        <v>23176.81</v>
      </c>
      <c r="Q45" s="88">
        <f t="shared" si="8"/>
        <v>1.9642014457583556E-3</v>
      </c>
      <c r="R45" s="88">
        <f t="shared" si="9"/>
        <v>0</v>
      </c>
      <c r="S45" s="92">
        <v>23176.81</v>
      </c>
      <c r="T45" s="88">
        <f t="shared" si="10"/>
        <v>1.9642014457583556E-3</v>
      </c>
      <c r="U45" s="88">
        <f t="shared" si="11"/>
        <v>0</v>
      </c>
      <c r="V45" s="92">
        <v>23176.81</v>
      </c>
      <c r="W45" s="88">
        <f t="shared" si="12"/>
        <v>1.9642014457583556E-3</v>
      </c>
      <c r="X45" s="88">
        <f t="shared" si="13"/>
        <v>0</v>
      </c>
      <c r="Y45" s="92">
        <v>23176.81</v>
      </c>
      <c r="Z45" s="88">
        <f t="shared" si="14"/>
        <v>1.9642014457583556E-3</v>
      </c>
      <c r="AA45" s="88">
        <f t="shared" si="15"/>
        <v>0</v>
      </c>
      <c r="AB45" s="92">
        <v>23176.81</v>
      </c>
      <c r="AC45" s="88">
        <f t="shared" si="16"/>
        <v>1.9642014457583556E-3</v>
      </c>
      <c r="AD45" s="88">
        <f t="shared" si="17"/>
        <v>0</v>
      </c>
      <c r="AE45" s="92">
        <v>23176.81</v>
      </c>
      <c r="AF45" s="88">
        <f t="shared" si="18"/>
        <v>1.9642014457583556E-3</v>
      </c>
      <c r="AG45" s="88">
        <f t="shared" si="19"/>
        <v>0</v>
      </c>
      <c r="AH45" s="92">
        <v>23176.81</v>
      </c>
      <c r="AI45" s="88">
        <f t="shared" si="20"/>
        <v>1.9642014457583556E-3</v>
      </c>
      <c r="AJ45" s="88">
        <f t="shared" si="21"/>
        <v>0</v>
      </c>
      <c r="AK45" s="92">
        <v>23176.81</v>
      </c>
      <c r="AL45" s="88">
        <f t="shared" si="22"/>
        <v>1.9642014457583556E-3</v>
      </c>
      <c r="AM45" s="88">
        <f t="shared" si="23"/>
        <v>0</v>
      </c>
      <c r="AN45" s="92">
        <v>23176.81</v>
      </c>
      <c r="AO45" s="88">
        <f t="shared" si="24"/>
        <v>1.9642014457583556E-3</v>
      </c>
      <c r="AP45" s="88">
        <f t="shared" si="25"/>
        <v>0</v>
      </c>
    </row>
    <row r="46" spans="1:42" s="63" customFormat="1" x14ac:dyDescent="0.25">
      <c r="A46" s="89" t="s">
        <v>2</v>
      </c>
      <c r="B46" s="89" t="s">
        <v>158</v>
      </c>
      <c r="C46" s="89"/>
      <c r="D46" s="93">
        <v>23176.81</v>
      </c>
      <c r="E46" s="88">
        <f t="shared" si="0"/>
        <v>1.9642014457583556E-3</v>
      </c>
      <c r="F46" s="88">
        <f t="shared" si="1"/>
        <v>0</v>
      </c>
      <c r="G46" s="93">
        <v>23176.81</v>
      </c>
      <c r="H46" s="88">
        <f t="shared" si="2"/>
        <v>1.9642014457583556E-3</v>
      </c>
      <c r="I46" s="88">
        <f t="shared" si="3"/>
        <v>0</v>
      </c>
      <c r="J46" s="93">
        <v>23176.81</v>
      </c>
      <c r="K46" s="88">
        <f t="shared" si="4"/>
        <v>1.9642014457583556E-3</v>
      </c>
      <c r="L46" s="88">
        <f t="shared" si="5"/>
        <v>0</v>
      </c>
      <c r="M46" s="93">
        <v>23176.81</v>
      </c>
      <c r="N46" s="88">
        <f t="shared" si="6"/>
        <v>1.9642014457583556E-3</v>
      </c>
      <c r="O46" s="88">
        <f t="shared" si="7"/>
        <v>0</v>
      </c>
      <c r="P46" s="93">
        <v>23176.81</v>
      </c>
      <c r="Q46" s="88">
        <f t="shared" si="8"/>
        <v>1.9642014457583556E-3</v>
      </c>
      <c r="R46" s="88">
        <f t="shared" si="9"/>
        <v>0</v>
      </c>
      <c r="S46" s="93">
        <v>23176.81</v>
      </c>
      <c r="T46" s="88">
        <f t="shared" si="10"/>
        <v>1.9642014457583556E-3</v>
      </c>
      <c r="U46" s="88">
        <f t="shared" si="11"/>
        <v>0</v>
      </c>
      <c r="V46" s="93">
        <v>23176.81</v>
      </c>
      <c r="W46" s="88">
        <f t="shared" si="12"/>
        <v>1.9642014457583556E-3</v>
      </c>
      <c r="X46" s="88">
        <f t="shared" si="13"/>
        <v>0</v>
      </c>
      <c r="Y46" s="93">
        <v>23176.81</v>
      </c>
      <c r="Z46" s="88">
        <f t="shared" si="14"/>
        <v>1.9642014457583556E-3</v>
      </c>
      <c r="AA46" s="88">
        <f t="shared" si="15"/>
        <v>0</v>
      </c>
      <c r="AB46" s="93">
        <v>23176.81</v>
      </c>
      <c r="AC46" s="88">
        <f t="shared" si="16"/>
        <v>1.9642014457583556E-3</v>
      </c>
      <c r="AD46" s="88">
        <f t="shared" si="17"/>
        <v>0</v>
      </c>
      <c r="AE46" s="93">
        <v>23176.81</v>
      </c>
      <c r="AF46" s="88">
        <f t="shared" si="18"/>
        <v>1.9642014457583556E-3</v>
      </c>
      <c r="AG46" s="88">
        <f t="shared" si="19"/>
        <v>0</v>
      </c>
      <c r="AH46" s="93">
        <v>23176.81</v>
      </c>
      <c r="AI46" s="88">
        <f t="shared" si="20"/>
        <v>1.9642014457583556E-3</v>
      </c>
      <c r="AJ46" s="88">
        <f t="shared" si="21"/>
        <v>0</v>
      </c>
      <c r="AK46" s="93">
        <v>23176.81</v>
      </c>
      <c r="AL46" s="88">
        <f t="shared" si="22"/>
        <v>1.9642014457583556E-3</v>
      </c>
      <c r="AM46" s="88">
        <f t="shared" si="23"/>
        <v>0</v>
      </c>
      <c r="AN46" s="93">
        <v>23176.81</v>
      </c>
      <c r="AO46" s="88">
        <f t="shared" si="24"/>
        <v>1.9642014457583556E-3</v>
      </c>
      <c r="AP46" s="88">
        <f t="shared" si="25"/>
        <v>0</v>
      </c>
    </row>
    <row r="47" spans="1:42" s="74" customFormat="1" x14ac:dyDescent="0.25">
      <c r="A47" s="86" t="s">
        <v>159</v>
      </c>
      <c r="B47" s="86" t="s">
        <v>160</v>
      </c>
      <c r="C47" s="86"/>
      <c r="D47" s="92">
        <v>95.7</v>
      </c>
      <c r="E47" s="88">
        <f t="shared" si="0"/>
        <v>8.11043790578059E-6</v>
      </c>
      <c r="F47" s="88">
        <f t="shared" si="1"/>
        <v>1.0449320794148065E-4</v>
      </c>
      <c r="G47" s="92">
        <v>95.710000000000008</v>
      </c>
      <c r="H47" s="88">
        <f t="shared" si="2"/>
        <v>8.1112853914551758E-6</v>
      </c>
      <c r="I47" s="88">
        <f t="shared" si="3"/>
        <v>-1.0448229025183942E-4</v>
      </c>
      <c r="J47" s="92">
        <v>95.7</v>
      </c>
      <c r="K47" s="88">
        <f t="shared" si="4"/>
        <v>8.11043790578059E-6</v>
      </c>
      <c r="L47" s="88">
        <f t="shared" si="5"/>
        <v>0.30929989550679204</v>
      </c>
      <c r="M47" s="92">
        <v>125.3</v>
      </c>
      <c r="N47" s="88">
        <f t="shared" si="6"/>
        <v>1.0618995502552851E-5</v>
      </c>
      <c r="O47" s="88">
        <f t="shared" si="7"/>
        <v>-0.10335195530726249</v>
      </c>
      <c r="P47" s="92">
        <v>112.35000000000001</v>
      </c>
      <c r="Q47" s="88">
        <f t="shared" si="8"/>
        <v>9.5215015539649885E-6</v>
      </c>
      <c r="R47" s="88">
        <f t="shared" si="9"/>
        <v>0</v>
      </c>
      <c r="S47" s="92">
        <v>112.35000000000001</v>
      </c>
      <c r="T47" s="88">
        <f t="shared" si="10"/>
        <v>9.5215015539649885E-6</v>
      </c>
      <c r="U47" s="88">
        <f t="shared" si="11"/>
        <v>0.41450823319982177</v>
      </c>
      <c r="V47" s="92">
        <v>158.91999999999999</v>
      </c>
      <c r="W47" s="88">
        <f t="shared" si="12"/>
        <v>1.3468242340508372E-5</v>
      </c>
      <c r="X47" s="88">
        <f t="shared" si="13"/>
        <v>-1.9506670022653161E-3</v>
      </c>
      <c r="Y47" s="92">
        <v>158.60999999999999</v>
      </c>
      <c r="Z47" s="88">
        <f t="shared" si="14"/>
        <v>1.344197028459623E-5</v>
      </c>
      <c r="AA47" s="88">
        <f t="shared" si="15"/>
        <v>0</v>
      </c>
      <c r="AB47" s="92">
        <v>158.60999999999999</v>
      </c>
      <c r="AC47" s="88">
        <f t="shared" si="16"/>
        <v>1.344197028459623E-5</v>
      </c>
      <c r="AD47" s="88">
        <f t="shared" si="17"/>
        <v>2.1069289452115254</v>
      </c>
      <c r="AE47" s="92">
        <v>492.79</v>
      </c>
      <c r="AF47" s="88">
        <f t="shared" si="18"/>
        <v>4.1763246557885233E-5</v>
      </c>
      <c r="AG47" s="88">
        <f t="shared" si="19"/>
        <v>1.329166582114083E-2</v>
      </c>
      <c r="AH47" s="92">
        <v>499.34000000000003</v>
      </c>
      <c r="AI47" s="88">
        <f t="shared" si="20"/>
        <v>4.2318349674738557E-5</v>
      </c>
      <c r="AJ47" s="88">
        <f t="shared" si="21"/>
        <v>1.7182681139103595E-2</v>
      </c>
      <c r="AK47" s="92">
        <v>507.92</v>
      </c>
      <c r="AL47" s="88">
        <f t="shared" si="22"/>
        <v>4.3045492383532681E-5</v>
      </c>
      <c r="AM47" s="88">
        <f t="shared" si="23"/>
        <v>7.5858402898094202E-2</v>
      </c>
      <c r="AN47" s="92">
        <v>546.45000000000005</v>
      </c>
      <c r="AO47" s="88">
        <f t="shared" si="24"/>
        <v>4.6310854687709551E-5</v>
      </c>
      <c r="AP47" s="88">
        <f t="shared" si="25"/>
        <v>4.7100313479623823</v>
      </c>
    </row>
    <row r="48" spans="1:42" s="74" customFormat="1" x14ac:dyDescent="0.25">
      <c r="A48" s="89" t="s">
        <v>4</v>
      </c>
      <c r="B48" s="89" t="s">
        <v>161</v>
      </c>
      <c r="C48" s="89"/>
      <c r="D48" s="93">
        <v>5.92</v>
      </c>
      <c r="E48" s="88">
        <f t="shared" si="0"/>
        <v>5.0171151935445233E-7</v>
      </c>
      <c r="F48" s="88">
        <f t="shared" si="1"/>
        <v>0</v>
      </c>
      <c r="G48" s="93">
        <v>5.92</v>
      </c>
      <c r="H48" s="88">
        <f t="shared" si="2"/>
        <v>5.0171151935445233E-7</v>
      </c>
      <c r="I48" s="88">
        <f t="shared" si="3"/>
        <v>0</v>
      </c>
      <c r="J48" s="93">
        <v>5.92</v>
      </c>
      <c r="K48" s="88">
        <f t="shared" si="4"/>
        <v>5.0171151935445233E-7</v>
      </c>
      <c r="L48" s="88">
        <f t="shared" si="5"/>
        <v>0</v>
      </c>
      <c r="M48" s="93">
        <v>5.92</v>
      </c>
      <c r="N48" s="88">
        <f t="shared" si="6"/>
        <v>5.0171151935445233E-7</v>
      </c>
      <c r="O48" s="88">
        <f t="shared" si="7"/>
        <v>0</v>
      </c>
      <c r="P48" s="93">
        <v>5.92</v>
      </c>
      <c r="Q48" s="88">
        <f t="shared" si="8"/>
        <v>5.0171151935445233E-7</v>
      </c>
      <c r="R48" s="88">
        <f t="shared" si="9"/>
        <v>0</v>
      </c>
      <c r="S48" s="93">
        <v>5.92</v>
      </c>
      <c r="T48" s="88">
        <f t="shared" si="10"/>
        <v>5.0171151935445233E-7</v>
      </c>
      <c r="U48" s="88">
        <f t="shared" si="11"/>
        <v>0</v>
      </c>
      <c r="V48" s="93">
        <v>5.92</v>
      </c>
      <c r="W48" s="88">
        <f t="shared" si="12"/>
        <v>5.0171151935445233E-7</v>
      </c>
      <c r="X48" s="88">
        <f t="shared" si="13"/>
        <v>0</v>
      </c>
      <c r="Y48" s="93">
        <v>5.92</v>
      </c>
      <c r="Z48" s="88">
        <f t="shared" si="14"/>
        <v>5.0171151935445233E-7</v>
      </c>
      <c r="AA48" s="88">
        <f t="shared" si="15"/>
        <v>0</v>
      </c>
      <c r="AB48" s="93">
        <v>5.92</v>
      </c>
      <c r="AC48" s="88">
        <f t="shared" si="16"/>
        <v>5.0171151935445233E-7</v>
      </c>
      <c r="AD48" s="88">
        <f t="shared" si="17"/>
        <v>0</v>
      </c>
      <c r="AE48" s="93">
        <v>5.92</v>
      </c>
      <c r="AF48" s="88">
        <f t="shared" si="18"/>
        <v>5.0171151935445233E-7</v>
      </c>
      <c r="AG48" s="88">
        <f t="shared" si="19"/>
        <v>0</v>
      </c>
      <c r="AH48" s="93">
        <v>5.92</v>
      </c>
      <c r="AI48" s="88">
        <f t="shared" si="20"/>
        <v>5.0171151935445233E-7</v>
      </c>
      <c r="AJ48" s="88">
        <f t="shared" si="21"/>
        <v>1.4493243243243246</v>
      </c>
      <c r="AK48" s="93">
        <v>14.5</v>
      </c>
      <c r="AL48" s="88">
        <f t="shared" si="22"/>
        <v>1.2288542281485742E-6</v>
      </c>
      <c r="AM48" s="88">
        <f t="shared" si="23"/>
        <v>2.4282758620689657</v>
      </c>
      <c r="AN48" s="93">
        <v>49.71</v>
      </c>
      <c r="AO48" s="88">
        <f t="shared" si="24"/>
        <v>4.212851288363147E-6</v>
      </c>
      <c r="AP48" s="88">
        <f t="shared" si="25"/>
        <v>7.3969594594594597</v>
      </c>
    </row>
    <row r="49" spans="1:42" s="63" customFormat="1" x14ac:dyDescent="0.25">
      <c r="A49" s="89" t="s">
        <v>568</v>
      </c>
      <c r="B49" s="89" t="s">
        <v>569</v>
      </c>
      <c r="C49" s="89"/>
      <c r="D49" s="93">
        <v>89.78</v>
      </c>
      <c r="E49" s="88">
        <f t="shared" si="0"/>
        <v>7.6087263864261375E-6</v>
      </c>
      <c r="F49" s="88">
        <f t="shared" si="1"/>
        <v>1.1138338159955019E-4</v>
      </c>
      <c r="G49" s="93">
        <v>89.79</v>
      </c>
      <c r="H49" s="88">
        <f t="shared" si="2"/>
        <v>7.6095738721007233E-6</v>
      </c>
      <c r="I49" s="88">
        <f t="shared" si="3"/>
        <v>-1.1137097672353491E-4</v>
      </c>
      <c r="J49" s="93">
        <v>89.78</v>
      </c>
      <c r="K49" s="88">
        <f t="shared" si="4"/>
        <v>7.6087263864261375E-6</v>
      </c>
      <c r="L49" s="88">
        <f t="shared" si="5"/>
        <v>0.32969480953441743</v>
      </c>
      <c r="M49" s="93">
        <v>119.38</v>
      </c>
      <c r="N49" s="88">
        <f t="shared" si="6"/>
        <v>1.0117283983198399E-5</v>
      </c>
      <c r="O49" s="88">
        <f t="shared" si="7"/>
        <v>-0.10847713184788066</v>
      </c>
      <c r="P49" s="93">
        <v>106.43</v>
      </c>
      <c r="Q49" s="88">
        <f t="shared" si="8"/>
        <v>9.0197900346105359E-6</v>
      </c>
      <c r="R49" s="88">
        <f t="shared" si="9"/>
        <v>0</v>
      </c>
      <c r="S49" s="93">
        <v>106.43</v>
      </c>
      <c r="T49" s="88">
        <f t="shared" si="10"/>
        <v>9.0197900346105359E-6</v>
      </c>
      <c r="U49" s="88">
        <f t="shared" si="11"/>
        <v>0.43756459644836965</v>
      </c>
      <c r="V49" s="93">
        <v>153</v>
      </c>
      <c r="W49" s="88">
        <f t="shared" si="12"/>
        <v>1.2966530821153921E-5</v>
      </c>
      <c r="X49" s="88">
        <f t="shared" si="13"/>
        <v>-2.0261437908496438E-3</v>
      </c>
      <c r="Y49" s="93">
        <v>152.69</v>
      </c>
      <c r="Z49" s="88">
        <f t="shared" si="14"/>
        <v>1.2940258765241779E-5</v>
      </c>
      <c r="AA49" s="88">
        <f t="shared" si="15"/>
        <v>0</v>
      </c>
      <c r="AB49" s="93">
        <v>152.69</v>
      </c>
      <c r="AC49" s="88">
        <f t="shared" si="16"/>
        <v>1.2940258765241779E-5</v>
      </c>
      <c r="AD49" s="88">
        <f t="shared" si="17"/>
        <v>2.1886174602135045</v>
      </c>
      <c r="AE49" s="93">
        <v>486.87</v>
      </c>
      <c r="AF49" s="88">
        <f t="shared" si="18"/>
        <v>4.1261535038530784E-5</v>
      </c>
      <c r="AG49" s="88">
        <f t="shared" si="19"/>
        <v>1.3453283217286005E-2</v>
      </c>
      <c r="AH49" s="93">
        <v>493.42</v>
      </c>
      <c r="AI49" s="88">
        <f t="shared" si="20"/>
        <v>4.1816638155384107E-5</v>
      </c>
      <c r="AJ49" s="88">
        <f t="shared" si="21"/>
        <v>0</v>
      </c>
      <c r="AK49" s="93">
        <v>493.42</v>
      </c>
      <c r="AL49" s="88">
        <f t="shared" si="22"/>
        <v>4.1816638155384107E-5</v>
      </c>
      <c r="AM49" s="88">
        <f t="shared" si="23"/>
        <v>6.7285476875684758E-3</v>
      </c>
      <c r="AN49" s="93">
        <v>496.74</v>
      </c>
      <c r="AO49" s="88">
        <f t="shared" si="24"/>
        <v>4.2098003399346399E-5</v>
      </c>
      <c r="AP49" s="88">
        <f t="shared" si="25"/>
        <v>4.5328580975718422</v>
      </c>
    </row>
    <row r="50" spans="1:42" s="74" customFormat="1" x14ac:dyDescent="0.25">
      <c r="A50" s="86" t="s">
        <v>162</v>
      </c>
      <c r="B50" s="86" t="s">
        <v>163</v>
      </c>
      <c r="C50" s="86"/>
      <c r="D50" s="92">
        <v>501.51</v>
      </c>
      <c r="E50" s="88">
        <f t="shared" si="0"/>
        <v>4.2502254066123548E-5</v>
      </c>
      <c r="F50" s="88">
        <f t="shared" si="1"/>
        <v>0</v>
      </c>
      <c r="G50" s="92">
        <v>501.51</v>
      </c>
      <c r="H50" s="88">
        <f t="shared" si="2"/>
        <v>4.2502254066123548E-5</v>
      </c>
      <c r="I50" s="88">
        <f t="shared" si="3"/>
        <v>1.9939781858768768E-5</v>
      </c>
      <c r="J50" s="92">
        <v>501.52</v>
      </c>
      <c r="K50" s="88">
        <f t="shared" si="4"/>
        <v>4.2503101551798135E-5</v>
      </c>
      <c r="L50" s="88">
        <f t="shared" si="5"/>
        <v>0.27476471526559254</v>
      </c>
      <c r="M50" s="92">
        <v>639.31999999999994</v>
      </c>
      <c r="N50" s="88">
        <f t="shared" si="6"/>
        <v>5.4181454147582512E-5</v>
      </c>
      <c r="O50" s="88">
        <f t="shared" si="7"/>
        <v>-9.3396108365137898E-2</v>
      </c>
      <c r="P50" s="92">
        <v>579.61</v>
      </c>
      <c r="Q50" s="88">
        <f t="shared" si="8"/>
        <v>4.9121117184634147E-5</v>
      </c>
      <c r="R50" s="88">
        <f t="shared" si="9"/>
        <v>0</v>
      </c>
      <c r="S50" s="92">
        <v>579.61</v>
      </c>
      <c r="T50" s="88">
        <f t="shared" si="10"/>
        <v>4.9121117184634147E-5</v>
      </c>
      <c r="U50" s="88">
        <f t="shared" si="11"/>
        <v>0.37090457376511776</v>
      </c>
      <c r="V50" s="92">
        <v>794.58999999999992</v>
      </c>
      <c r="W50" s="88">
        <f t="shared" si="12"/>
        <v>6.734036421686728E-5</v>
      </c>
      <c r="X50" s="88">
        <f t="shared" si="13"/>
        <v>-2.5170213569292166E-5</v>
      </c>
      <c r="Y50" s="92">
        <v>794.56999999999994</v>
      </c>
      <c r="Z50" s="88">
        <f t="shared" si="14"/>
        <v>6.7338669245518105E-5</v>
      </c>
      <c r="AA50" s="88">
        <f t="shared" si="15"/>
        <v>0</v>
      </c>
      <c r="AB50" s="92">
        <v>794.56999999999994</v>
      </c>
      <c r="AC50" s="88">
        <f t="shared" si="16"/>
        <v>6.7338669245518105E-5</v>
      </c>
      <c r="AD50" s="88">
        <f t="shared" si="17"/>
        <v>1.9419308556829478</v>
      </c>
      <c r="AE50" s="92">
        <v>2337.5699999999997</v>
      </c>
      <c r="AF50" s="88">
        <f t="shared" si="18"/>
        <v>1.9810570883401808E-4</v>
      </c>
      <c r="AG50" s="88">
        <f t="shared" si="19"/>
        <v>1.2923677151914115E-2</v>
      </c>
      <c r="AH50" s="92">
        <v>2367.7799999999997</v>
      </c>
      <c r="AI50" s="88">
        <f t="shared" si="20"/>
        <v>2.0066596305694007E-4</v>
      </c>
      <c r="AJ50" s="88">
        <f t="shared" si="21"/>
        <v>1.6724526771913162E-2</v>
      </c>
      <c r="AK50" s="92">
        <v>2407.38</v>
      </c>
      <c r="AL50" s="88">
        <f t="shared" si="22"/>
        <v>2.0402200632829758E-4</v>
      </c>
      <c r="AM50" s="88">
        <f t="shared" si="23"/>
        <v>7.3860379333549275E-2</v>
      </c>
      <c r="AN50" s="92">
        <v>2585.19</v>
      </c>
      <c r="AO50" s="88">
        <f t="shared" si="24"/>
        <v>2.1909114910809743E-4</v>
      </c>
      <c r="AP50" s="88">
        <f t="shared" si="25"/>
        <v>4.1548124663516184</v>
      </c>
    </row>
    <row r="51" spans="1:42" s="63" customFormat="1" x14ac:dyDescent="0.25">
      <c r="A51" s="89" t="s">
        <v>3</v>
      </c>
      <c r="B51" s="89" t="s">
        <v>164</v>
      </c>
      <c r="C51" s="89"/>
      <c r="D51" s="93">
        <v>363.3</v>
      </c>
      <c r="E51" s="88">
        <f t="shared" si="0"/>
        <v>3.0789154557681174E-5</v>
      </c>
      <c r="F51" s="88">
        <f t="shared" si="1"/>
        <v>5.2848885218827357E-2</v>
      </c>
      <c r="G51" s="93">
        <v>382.5</v>
      </c>
      <c r="H51" s="88">
        <f t="shared" si="2"/>
        <v>3.2416327052884804E-5</v>
      </c>
      <c r="I51" s="88">
        <f t="shared" si="3"/>
        <v>0</v>
      </c>
      <c r="J51" s="93">
        <v>382.5</v>
      </c>
      <c r="K51" s="88">
        <f t="shared" si="4"/>
        <v>3.2416327052884804E-5</v>
      </c>
      <c r="L51" s="88">
        <f t="shared" si="5"/>
        <v>0</v>
      </c>
      <c r="M51" s="93">
        <v>382.5</v>
      </c>
      <c r="N51" s="88">
        <f t="shared" si="6"/>
        <v>3.2416327052884804E-5</v>
      </c>
      <c r="O51" s="88">
        <f t="shared" si="7"/>
        <v>0</v>
      </c>
      <c r="P51" s="93">
        <v>382.5</v>
      </c>
      <c r="Q51" s="88">
        <f t="shared" si="8"/>
        <v>3.2416327052884804E-5</v>
      </c>
      <c r="R51" s="88">
        <f t="shared" si="9"/>
        <v>0</v>
      </c>
      <c r="S51" s="93">
        <v>382.5</v>
      </c>
      <c r="T51" s="88">
        <f t="shared" si="10"/>
        <v>3.2416327052884804E-5</v>
      </c>
      <c r="U51" s="88">
        <f t="shared" si="11"/>
        <v>0</v>
      </c>
      <c r="V51" s="93">
        <v>382.5</v>
      </c>
      <c r="W51" s="88">
        <f t="shared" si="12"/>
        <v>3.2416327052884804E-5</v>
      </c>
      <c r="X51" s="88">
        <f t="shared" si="13"/>
        <v>0</v>
      </c>
      <c r="Y51" s="93">
        <v>382.5</v>
      </c>
      <c r="Z51" s="88">
        <f t="shared" si="14"/>
        <v>3.2416327052884804E-5</v>
      </c>
      <c r="AA51" s="88">
        <f t="shared" si="15"/>
        <v>0</v>
      </c>
      <c r="AB51" s="93">
        <v>382.5</v>
      </c>
      <c r="AC51" s="88">
        <f t="shared" si="16"/>
        <v>3.2416327052884804E-5</v>
      </c>
      <c r="AD51" s="88">
        <f t="shared" si="17"/>
        <v>0</v>
      </c>
      <c r="AE51" s="93">
        <v>382.5</v>
      </c>
      <c r="AF51" s="88">
        <f t="shared" si="18"/>
        <v>3.2416327052884804E-5</v>
      </c>
      <c r="AG51" s="88">
        <f t="shared" si="19"/>
        <v>7.8980392156862589E-2</v>
      </c>
      <c r="AH51" s="93">
        <v>412.71</v>
      </c>
      <c r="AI51" s="88">
        <f t="shared" si="20"/>
        <v>3.4976581275806763E-5</v>
      </c>
      <c r="AJ51" s="88">
        <f t="shared" si="21"/>
        <v>9.5951152140728357E-2</v>
      </c>
      <c r="AK51" s="93">
        <v>452.31</v>
      </c>
      <c r="AL51" s="88">
        <f t="shared" si="22"/>
        <v>3.8332624547164248E-5</v>
      </c>
      <c r="AM51" s="88">
        <f t="shared" si="23"/>
        <v>0.3592447657579978</v>
      </c>
      <c r="AN51" s="93">
        <v>614.79999999999995</v>
      </c>
      <c r="AO51" s="88">
        <f t="shared" si="24"/>
        <v>5.2103419273499544E-5</v>
      </c>
      <c r="AP51" s="88">
        <f t="shared" si="25"/>
        <v>0.692265345444536</v>
      </c>
    </row>
    <row r="52" spans="1:42" s="63" customFormat="1" x14ac:dyDescent="0.25">
      <c r="A52" s="89" t="s">
        <v>570</v>
      </c>
      <c r="B52" s="89" t="s">
        <v>571</v>
      </c>
      <c r="C52" s="89"/>
      <c r="D52" s="93">
        <v>138.21</v>
      </c>
      <c r="E52" s="88">
        <f t="shared" si="0"/>
        <v>1.1713099508442376E-5</v>
      </c>
      <c r="F52" s="88">
        <f t="shared" si="1"/>
        <v>-0.138919036249186</v>
      </c>
      <c r="G52" s="93">
        <v>119.01</v>
      </c>
      <c r="H52" s="88">
        <f t="shared" si="2"/>
        <v>1.0085927013238747E-5</v>
      </c>
      <c r="I52" s="88">
        <f t="shared" si="3"/>
        <v>8.4026552390481513E-5</v>
      </c>
      <c r="J52" s="93">
        <v>119.02</v>
      </c>
      <c r="K52" s="88">
        <f t="shared" si="4"/>
        <v>1.0086774498913331E-5</v>
      </c>
      <c r="L52" s="88">
        <f t="shared" si="5"/>
        <v>1.1577886069568142</v>
      </c>
      <c r="M52" s="93">
        <v>256.82</v>
      </c>
      <c r="N52" s="88">
        <f t="shared" si="6"/>
        <v>2.1765127094697711E-5</v>
      </c>
      <c r="O52" s="88">
        <f t="shared" si="7"/>
        <v>-0.23249746904446689</v>
      </c>
      <c r="P52" s="93">
        <v>197.11</v>
      </c>
      <c r="Q52" s="88">
        <f t="shared" si="8"/>
        <v>1.6704790131749343E-5</v>
      </c>
      <c r="R52" s="88">
        <f t="shared" si="9"/>
        <v>0</v>
      </c>
      <c r="S52" s="93">
        <v>197.11</v>
      </c>
      <c r="T52" s="88">
        <f t="shared" si="10"/>
        <v>1.6704790131749343E-5</v>
      </c>
      <c r="U52" s="88">
        <f t="shared" si="11"/>
        <v>1.0906600375424889</v>
      </c>
      <c r="V52" s="93">
        <v>412.09</v>
      </c>
      <c r="W52" s="88">
        <f t="shared" si="12"/>
        <v>3.4924037163982476E-5</v>
      </c>
      <c r="X52" s="88">
        <f t="shared" si="13"/>
        <v>-4.8533087432356403E-5</v>
      </c>
      <c r="Y52" s="93">
        <v>412.07</v>
      </c>
      <c r="Z52" s="88">
        <f t="shared" si="14"/>
        <v>3.4922342192633308E-5</v>
      </c>
      <c r="AA52" s="88">
        <f t="shared" si="15"/>
        <v>0</v>
      </c>
      <c r="AB52" s="93">
        <v>412.07</v>
      </c>
      <c r="AC52" s="88">
        <f t="shared" si="16"/>
        <v>3.4922342192633308E-5</v>
      </c>
      <c r="AD52" s="88">
        <f t="shared" si="17"/>
        <v>3.7445094280098044</v>
      </c>
      <c r="AE52" s="93">
        <v>1955.07</v>
      </c>
      <c r="AF52" s="88">
        <f t="shared" si="18"/>
        <v>1.656893817811333E-4</v>
      </c>
      <c r="AG52" s="88">
        <f t="shared" si="19"/>
        <v>0</v>
      </c>
      <c r="AH52" s="93">
        <v>1955.07</v>
      </c>
      <c r="AI52" s="88">
        <f t="shared" si="20"/>
        <v>1.656893817811333E-4</v>
      </c>
      <c r="AJ52" s="88">
        <f t="shared" si="21"/>
        <v>0</v>
      </c>
      <c r="AK52" s="93">
        <v>1955.07</v>
      </c>
      <c r="AL52" s="88">
        <f t="shared" si="22"/>
        <v>1.656893817811333E-4</v>
      </c>
      <c r="AM52" s="88">
        <f t="shared" si="23"/>
        <v>7.8360365613507899E-3</v>
      </c>
      <c r="AN52" s="93">
        <v>1970.39</v>
      </c>
      <c r="AO52" s="88">
        <f t="shared" si="24"/>
        <v>1.6698772983459787E-4</v>
      </c>
      <c r="AP52" s="88">
        <f t="shared" si="25"/>
        <v>13.256493741408002</v>
      </c>
    </row>
    <row r="53" spans="1:42" s="63" customFormat="1" x14ac:dyDescent="0.25">
      <c r="A53" s="86" t="s">
        <v>165</v>
      </c>
      <c r="B53" s="86" t="s">
        <v>166</v>
      </c>
      <c r="C53" s="86"/>
      <c r="D53" s="92">
        <v>6026.04</v>
      </c>
      <c r="E53" s="88">
        <f t="shared" si="0"/>
        <v>5.1069825744775406E-4</v>
      </c>
      <c r="F53" s="88">
        <f t="shared" si="1"/>
        <v>-1.6594645901868432E-6</v>
      </c>
      <c r="G53" s="92">
        <v>6026.0300000000007</v>
      </c>
      <c r="H53" s="88">
        <f t="shared" si="2"/>
        <v>5.1069740996207954E-4</v>
      </c>
      <c r="I53" s="88">
        <f t="shared" si="3"/>
        <v>-1.6594673442060781E-6</v>
      </c>
      <c r="J53" s="92">
        <v>6026.02</v>
      </c>
      <c r="K53" s="88">
        <f t="shared" si="4"/>
        <v>5.1069656247640491E-4</v>
      </c>
      <c r="L53" s="88">
        <f t="shared" si="5"/>
        <v>9.1586154709077938E-3</v>
      </c>
      <c r="M53" s="92">
        <v>6081.21</v>
      </c>
      <c r="N53" s="88">
        <f t="shared" si="6"/>
        <v>5.1537383591444082E-4</v>
      </c>
      <c r="O53" s="88">
        <f t="shared" si="7"/>
        <v>-3.9284944936945898E-3</v>
      </c>
      <c r="P53" s="92">
        <v>6057.32</v>
      </c>
      <c r="Q53" s="88">
        <f t="shared" si="8"/>
        <v>5.133491926378567E-4</v>
      </c>
      <c r="R53" s="88">
        <f t="shared" si="9"/>
        <v>-1.650895115390405E-6</v>
      </c>
      <c r="S53" s="92">
        <v>6057.3099999999995</v>
      </c>
      <c r="T53" s="88">
        <f t="shared" si="10"/>
        <v>5.1334834515218207E-4</v>
      </c>
      <c r="U53" s="88">
        <f t="shared" si="11"/>
        <v>1.7740548197137107E-2</v>
      </c>
      <c r="V53" s="92">
        <v>6164.7699999999995</v>
      </c>
      <c r="W53" s="88">
        <f t="shared" si="12"/>
        <v>5.2245542621127483E-4</v>
      </c>
      <c r="X53" s="88">
        <f t="shared" si="13"/>
        <v>2.3196323626017978E-4</v>
      </c>
      <c r="Y53" s="92">
        <v>6166.2</v>
      </c>
      <c r="Z53" s="88">
        <f t="shared" si="14"/>
        <v>5.2257661666274058E-4</v>
      </c>
      <c r="AA53" s="88">
        <f t="shared" si="15"/>
        <v>0</v>
      </c>
      <c r="AB53" s="92">
        <v>6166.2</v>
      </c>
      <c r="AC53" s="88">
        <f t="shared" si="16"/>
        <v>5.2257661666274058E-4</v>
      </c>
      <c r="AD53" s="88">
        <f t="shared" si="17"/>
        <v>0.13162239304596013</v>
      </c>
      <c r="AE53" s="92">
        <v>6977.8099999999995</v>
      </c>
      <c r="AF53" s="88">
        <f t="shared" si="18"/>
        <v>5.9135940149775189E-4</v>
      </c>
      <c r="AG53" s="88">
        <f t="shared" si="19"/>
        <v>1.7312021966777724E-3</v>
      </c>
      <c r="AH53" s="92">
        <v>6989.8899999999994</v>
      </c>
      <c r="AI53" s="88">
        <f t="shared" si="20"/>
        <v>5.9238316419265083E-4</v>
      </c>
      <c r="AJ53" s="88">
        <f t="shared" si="21"/>
        <v>3.4478368042978325E-4</v>
      </c>
      <c r="AK53" s="92">
        <v>6992.2999999999993</v>
      </c>
      <c r="AL53" s="88">
        <f t="shared" si="22"/>
        <v>5.925874082402258E-4</v>
      </c>
      <c r="AM53" s="88">
        <f t="shared" si="23"/>
        <v>8.8239921056021409E-4</v>
      </c>
      <c r="AN53" s="92">
        <v>6998.4699999999993</v>
      </c>
      <c r="AO53" s="88">
        <f t="shared" si="24"/>
        <v>5.931103069014449E-4</v>
      </c>
      <c r="AP53" s="88">
        <f t="shared" si="25"/>
        <v>0.16137131515887715</v>
      </c>
    </row>
    <row r="54" spans="1:42" s="74" customFormat="1" x14ac:dyDescent="0.25">
      <c r="A54" s="89" t="s">
        <v>167</v>
      </c>
      <c r="B54" s="89" t="s">
        <v>168</v>
      </c>
      <c r="C54" s="89"/>
      <c r="D54" s="93">
        <v>5849.01</v>
      </c>
      <c r="E54" s="88">
        <f t="shared" si="0"/>
        <v>4.9569521855057194E-4</v>
      </c>
      <c r="F54" s="88">
        <f t="shared" si="1"/>
        <v>0</v>
      </c>
      <c r="G54" s="93">
        <v>5849.01</v>
      </c>
      <c r="H54" s="88">
        <f t="shared" si="2"/>
        <v>4.9569521855057194E-4</v>
      </c>
      <c r="I54" s="88">
        <f t="shared" si="3"/>
        <v>0</v>
      </c>
      <c r="J54" s="93">
        <v>5849.01</v>
      </c>
      <c r="K54" s="88">
        <f t="shared" si="4"/>
        <v>4.9569521855057194E-4</v>
      </c>
      <c r="L54" s="88">
        <f t="shared" si="5"/>
        <v>1.0258146250219369E-5</v>
      </c>
      <c r="M54" s="93">
        <v>5849.07</v>
      </c>
      <c r="N54" s="88">
        <f t="shared" si="6"/>
        <v>4.9570030346461939E-4</v>
      </c>
      <c r="O54" s="88">
        <f t="shared" si="7"/>
        <v>0</v>
      </c>
      <c r="P54" s="93">
        <v>5849.07</v>
      </c>
      <c r="Q54" s="88">
        <f t="shared" si="8"/>
        <v>4.9570030346461939E-4</v>
      </c>
      <c r="R54" s="88">
        <f t="shared" si="9"/>
        <v>0</v>
      </c>
      <c r="S54" s="93">
        <v>5849.07</v>
      </c>
      <c r="T54" s="88">
        <f t="shared" si="10"/>
        <v>4.9570030346461939E-4</v>
      </c>
      <c r="U54" s="88">
        <f t="shared" si="11"/>
        <v>0</v>
      </c>
      <c r="V54" s="93">
        <v>5849.07</v>
      </c>
      <c r="W54" s="88">
        <f t="shared" si="12"/>
        <v>4.9570030346461939E-4</v>
      </c>
      <c r="X54" s="88">
        <f t="shared" si="13"/>
        <v>2.6328971956224301E-4</v>
      </c>
      <c r="Y54" s="93">
        <v>5850.61</v>
      </c>
      <c r="Z54" s="88">
        <f t="shared" si="14"/>
        <v>4.958308162585055E-4</v>
      </c>
      <c r="AA54" s="88">
        <f t="shared" si="15"/>
        <v>0</v>
      </c>
      <c r="AB54" s="93">
        <v>5850.61</v>
      </c>
      <c r="AC54" s="88">
        <f t="shared" si="16"/>
        <v>4.958308162585055E-4</v>
      </c>
      <c r="AD54" s="88">
        <f t="shared" si="17"/>
        <v>0</v>
      </c>
      <c r="AE54" s="93">
        <v>5850.61</v>
      </c>
      <c r="AF54" s="88">
        <f t="shared" si="18"/>
        <v>4.958308162585055E-4</v>
      </c>
      <c r="AG54" s="88">
        <f t="shared" si="19"/>
        <v>0</v>
      </c>
      <c r="AH54" s="93">
        <v>5850.61</v>
      </c>
      <c r="AI54" s="88">
        <f t="shared" si="20"/>
        <v>4.958308162585055E-4</v>
      </c>
      <c r="AJ54" s="88">
        <f t="shared" si="21"/>
        <v>0</v>
      </c>
      <c r="AK54" s="93">
        <v>5850.61</v>
      </c>
      <c r="AL54" s="88">
        <f t="shared" si="22"/>
        <v>4.958308162585055E-4</v>
      </c>
      <c r="AM54" s="88">
        <f t="shared" si="23"/>
        <v>6.8368939307728027E-6</v>
      </c>
      <c r="AN54" s="93">
        <v>5850.65</v>
      </c>
      <c r="AO54" s="88">
        <f t="shared" si="24"/>
        <v>4.958342062012038E-4</v>
      </c>
      <c r="AP54" s="88">
        <f t="shared" si="25"/>
        <v>2.8038933084384432E-4</v>
      </c>
    </row>
    <row r="55" spans="1:42" s="63" customFormat="1" x14ac:dyDescent="0.25">
      <c r="A55" s="89" t="s">
        <v>169</v>
      </c>
      <c r="B55" s="89" t="s">
        <v>170</v>
      </c>
      <c r="C55" s="89"/>
      <c r="D55" s="93">
        <v>0</v>
      </c>
      <c r="E55" s="88">
        <f t="shared" si="0"/>
        <v>0</v>
      </c>
      <c r="F55" s="88">
        <f t="shared" si="1"/>
        <v>0</v>
      </c>
      <c r="G55" s="93">
        <v>0</v>
      </c>
      <c r="H55" s="88">
        <f t="shared" si="2"/>
        <v>0</v>
      </c>
      <c r="I55" s="88">
        <f t="shared" si="3"/>
        <v>0</v>
      </c>
      <c r="J55" s="93">
        <v>0</v>
      </c>
      <c r="K55" s="88">
        <f t="shared" si="4"/>
        <v>0</v>
      </c>
      <c r="L55" s="88">
        <f t="shared" si="5"/>
        <v>0</v>
      </c>
      <c r="M55" s="93">
        <v>0</v>
      </c>
      <c r="N55" s="88">
        <f t="shared" si="6"/>
        <v>0</v>
      </c>
      <c r="O55" s="88">
        <f t="shared" si="7"/>
        <v>0</v>
      </c>
      <c r="P55" s="93">
        <v>0</v>
      </c>
      <c r="Q55" s="88">
        <f t="shared" si="8"/>
        <v>0</v>
      </c>
      <c r="R55" s="88">
        <f t="shared" si="9"/>
        <v>0</v>
      </c>
      <c r="S55" s="93">
        <v>0</v>
      </c>
      <c r="T55" s="88">
        <f t="shared" si="10"/>
        <v>0</v>
      </c>
      <c r="U55" s="88">
        <f t="shared" si="11"/>
        <v>0</v>
      </c>
      <c r="V55" s="93">
        <v>0</v>
      </c>
      <c r="W55" s="88">
        <f t="shared" si="12"/>
        <v>0</v>
      </c>
      <c r="X55" s="88">
        <f t="shared" si="13"/>
        <v>0</v>
      </c>
      <c r="Y55" s="93">
        <v>0</v>
      </c>
      <c r="Z55" s="88">
        <f t="shared" si="14"/>
        <v>0</v>
      </c>
      <c r="AA55" s="88">
        <f t="shared" si="15"/>
        <v>0</v>
      </c>
      <c r="AB55" s="93">
        <v>0</v>
      </c>
      <c r="AC55" s="88">
        <f t="shared" si="16"/>
        <v>0</v>
      </c>
      <c r="AD55" s="88">
        <f t="shared" si="17"/>
        <v>0</v>
      </c>
      <c r="AE55" s="93">
        <v>0</v>
      </c>
      <c r="AF55" s="88">
        <f t="shared" si="18"/>
        <v>0</v>
      </c>
      <c r="AG55" s="88">
        <f t="shared" si="19"/>
        <v>0</v>
      </c>
      <c r="AH55" s="93">
        <v>0</v>
      </c>
      <c r="AI55" s="88">
        <f t="shared" si="20"/>
        <v>0</v>
      </c>
      <c r="AJ55" s="88">
        <f t="shared" si="21"/>
        <v>0</v>
      </c>
      <c r="AK55" s="93">
        <v>2.41</v>
      </c>
      <c r="AL55" s="88">
        <f t="shared" si="22"/>
        <v>2.0424404757503891E-7</v>
      </c>
      <c r="AM55" s="88">
        <f t="shared" si="23"/>
        <v>0</v>
      </c>
      <c r="AN55" s="93">
        <v>2.41</v>
      </c>
      <c r="AO55" s="88">
        <f t="shared" si="24"/>
        <v>2.0424404757503891E-7</v>
      </c>
      <c r="AP55" s="88">
        <f t="shared" si="25"/>
        <v>0</v>
      </c>
    </row>
    <row r="56" spans="1:42" s="74" customFormat="1" x14ac:dyDescent="0.25">
      <c r="A56" s="89" t="s">
        <v>572</v>
      </c>
      <c r="B56" s="89" t="s">
        <v>573</v>
      </c>
      <c r="C56" s="89"/>
      <c r="D56" s="93">
        <v>177.03</v>
      </c>
      <c r="E56" s="88">
        <f t="shared" si="0"/>
        <v>1.5003038897182213E-5</v>
      </c>
      <c r="F56" s="88">
        <f t="shared" si="1"/>
        <v>-5.6487600971544261E-5</v>
      </c>
      <c r="G56" s="93">
        <v>177.02</v>
      </c>
      <c r="H56" s="88">
        <f t="shared" si="2"/>
        <v>1.5002191411507629E-5</v>
      </c>
      <c r="I56" s="88">
        <f t="shared" si="3"/>
        <v>-5.6490792000984946E-5</v>
      </c>
      <c r="J56" s="93">
        <v>177.01</v>
      </c>
      <c r="K56" s="88">
        <f t="shared" si="4"/>
        <v>1.5001343925833043E-5</v>
      </c>
      <c r="L56" s="88">
        <f t="shared" si="5"/>
        <v>0.31145133043330886</v>
      </c>
      <c r="M56" s="93">
        <v>232.14</v>
      </c>
      <c r="N56" s="88">
        <f t="shared" si="6"/>
        <v>1.9673532449821381E-5</v>
      </c>
      <c r="O56" s="88">
        <f t="shared" si="7"/>
        <v>-0.10291203584044106</v>
      </c>
      <c r="P56" s="93">
        <v>208.25</v>
      </c>
      <c r="Q56" s="88">
        <f t="shared" si="8"/>
        <v>1.7648889173237282E-5</v>
      </c>
      <c r="R56" s="88">
        <f t="shared" si="9"/>
        <v>-4.8019207683047682E-5</v>
      </c>
      <c r="S56" s="93">
        <v>208.24</v>
      </c>
      <c r="T56" s="88">
        <f t="shared" si="10"/>
        <v>1.7648041687562698E-5</v>
      </c>
      <c r="U56" s="88">
        <f t="shared" si="11"/>
        <v>0.51603918555512851</v>
      </c>
      <c r="V56" s="93">
        <v>315.7</v>
      </c>
      <c r="W56" s="88">
        <f t="shared" si="12"/>
        <v>2.6755122746655509E-5</v>
      </c>
      <c r="X56" s="88">
        <f t="shared" si="13"/>
        <v>-3.4843205574919267E-4</v>
      </c>
      <c r="Y56" s="93">
        <v>315.58999999999997</v>
      </c>
      <c r="Z56" s="88">
        <f t="shared" si="14"/>
        <v>2.674580040423507E-5</v>
      </c>
      <c r="AA56" s="88">
        <f t="shared" si="15"/>
        <v>0</v>
      </c>
      <c r="AB56" s="93">
        <v>315.58999999999997</v>
      </c>
      <c r="AC56" s="88">
        <f t="shared" si="16"/>
        <v>2.674580040423507E-5</v>
      </c>
      <c r="AD56" s="88">
        <f t="shared" si="17"/>
        <v>2.5717228049050989</v>
      </c>
      <c r="AE56" s="93">
        <v>1127.2</v>
      </c>
      <c r="AF56" s="88">
        <f t="shared" si="18"/>
        <v>9.5528585239246412E-5</v>
      </c>
      <c r="AG56" s="88">
        <f t="shared" si="19"/>
        <v>1.0716820440028307E-2</v>
      </c>
      <c r="AH56" s="93">
        <v>1139.28</v>
      </c>
      <c r="AI56" s="88">
        <f t="shared" si="20"/>
        <v>9.6552347934145355E-5</v>
      </c>
      <c r="AJ56" s="88">
        <f t="shared" si="21"/>
        <v>0</v>
      </c>
      <c r="AK56" s="93">
        <v>1139.28</v>
      </c>
      <c r="AL56" s="88">
        <f t="shared" si="22"/>
        <v>9.6552347934145355E-5</v>
      </c>
      <c r="AM56" s="88">
        <f t="shared" si="23"/>
        <v>5.3805912506144082E-3</v>
      </c>
      <c r="AN56" s="93">
        <v>1145.4100000000001</v>
      </c>
      <c r="AO56" s="88">
        <f t="shared" si="24"/>
        <v>9.70718566526661E-5</v>
      </c>
      <c r="AP56" s="88">
        <f t="shared" si="25"/>
        <v>5.4701463028865165</v>
      </c>
    </row>
    <row r="57" spans="1:42" s="74" customFormat="1" x14ac:dyDescent="0.25">
      <c r="A57" s="86" t="s">
        <v>574</v>
      </c>
      <c r="B57" s="86" t="s">
        <v>575</v>
      </c>
      <c r="C57" s="86"/>
      <c r="D57" s="92">
        <v>464.6</v>
      </c>
      <c r="E57" s="88">
        <f t="shared" si="0"/>
        <v>3.9374184441229494E-5</v>
      </c>
      <c r="F57" s="88">
        <f t="shared" si="1"/>
        <v>0</v>
      </c>
      <c r="G57" s="92">
        <v>464.6</v>
      </c>
      <c r="H57" s="88">
        <f t="shared" si="2"/>
        <v>3.9374184441229494E-5</v>
      </c>
      <c r="I57" s="88">
        <f t="shared" si="3"/>
        <v>0</v>
      </c>
      <c r="J57" s="92">
        <v>464.6</v>
      </c>
      <c r="K57" s="88">
        <f t="shared" si="4"/>
        <v>3.9374184441229494E-5</v>
      </c>
      <c r="L57" s="88">
        <f t="shared" si="5"/>
        <v>9.8837709857942269E-2</v>
      </c>
      <c r="M57" s="92">
        <v>510.52</v>
      </c>
      <c r="N57" s="88">
        <f t="shared" si="6"/>
        <v>4.3265838658924832E-5</v>
      </c>
      <c r="O57" s="88">
        <f t="shared" si="7"/>
        <v>-3.8960275797226385E-2</v>
      </c>
      <c r="P57" s="92">
        <v>490.63</v>
      </c>
      <c r="Q57" s="88">
        <f t="shared" si="8"/>
        <v>4.1580189652174829E-5</v>
      </c>
      <c r="R57" s="88">
        <f t="shared" si="9"/>
        <v>-2.0381957890891478E-5</v>
      </c>
      <c r="S57" s="92">
        <v>490.62</v>
      </c>
      <c r="T57" s="88">
        <f t="shared" si="10"/>
        <v>4.1579342166500242E-5</v>
      </c>
      <c r="U57" s="88">
        <f t="shared" si="11"/>
        <v>0.14606008723655783</v>
      </c>
      <c r="V57" s="92">
        <v>562.28</v>
      </c>
      <c r="W57" s="88">
        <f t="shared" si="12"/>
        <v>4.7652424510577952E-5</v>
      </c>
      <c r="X57" s="88">
        <f t="shared" si="13"/>
        <v>-7.1138934338743631E-5</v>
      </c>
      <c r="Y57" s="92">
        <v>562.24</v>
      </c>
      <c r="Z57" s="88">
        <f t="shared" si="14"/>
        <v>4.7649034567879616E-5</v>
      </c>
      <c r="AA57" s="88">
        <f t="shared" si="15"/>
        <v>0</v>
      </c>
      <c r="AB57" s="92">
        <v>562.24</v>
      </c>
      <c r="AC57" s="88">
        <f t="shared" si="16"/>
        <v>4.7649034567879616E-5</v>
      </c>
      <c r="AD57" s="88">
        <f t="shared" si="17"/>
        <v>0.91478727945361427</v>
      </c>
      <c r="AE57" s="92">
        <v>1076.5700000000002</v>
      </c>
      <c r="AF57" s="88">
        <f t="shared" si="18"/>
        <v>9.1237765268821437E-5</v>
      </c>
      <c r="AG57" s="88">
        <f t="shared" si="19"/>
        <v>9.3537809896242496E-3</v>
      </c>
      <c r="AH57" s="92">
        <v>1086.6399999999999</v>
      </c>
      <c r="AI57" s="88">
        <f t="shared" si="20"/>
        <v>9.2091183343128734E-5</v>
      </c>
      <c r="AJ57" s="88">
        <f t="shared" si="21"/>
        <v>0</v>
      </c>
      <c r="AK57" s="92">
        <v>1086.6399999999999</v>
      </c>
      <c r="AL57" s="88">
        <f t="shared" si="22"/>
        <v>9.2091183343128734E-5</v>
      </c>
      <c r="AM57" s="88">
        <f t="shared" si="23"/>
        <v>4.7025693882059016E-3</v>
      </c>
      <c r="AN57" s="92">
        <v>1091.75</v>
      </c>
      <c r="AO57" s="88">
        <f t="shared" si="24"/>
        <v>9.2524248522841789E-5</v>
      </c>
      <c r="AP57" s="88">
        <f t="shared" si="25"/>
        <v>1.3498708566508824</v>
      </c>
    </row>
    <row r="58" spans="1:42" s="63" customFormat="1" x14ac:dyDescent="0.25">
      <c r="A58" s="89" t="s">
        <v>576</v>
      </c>
      <c r="B58" s="89" t="s">
        <v>577</v>
      </c>
      <c r="C58" s="89"/>
      <c r="D58" s="93">
        <v>147.5</v>
      </c>
      <c r="E58" s="88">
        <f t="shared" si="0"/>
        <v>1.2500413700132049E-5</v>
      </c>
      <c r="F58" s="88">
        <f t="shared" si="1"/>
        <v>0</v>
      </c>
      <c r="G58" s="93">
        <v>147.5</v>
      </c>
      <c r="H58" s="88">
        <f t="shared" si="2"/>
        <v>1.2500413700132049E-5</v>
      </c>
      <c r="I58" s="88">
        <f t="shared" si="3"/>
        <v>0</v>
      </c>
      <c r="J58" s="93">
        <v>147.5</v>
      </c>
      <c r="K58" s="88">
        <f t="shared" si="4"/>
        <v>1.2500413700132049E-5</v>
      </c>
      <c r="L58" s="88">
        <f t="shared" si="5"/>
        <v>0.31132203389830493</v>
      </c>
      <c r="M58" s="93">
        <v>193.42</v>
      </c>
      <c r="N58" s="88">
        <f t="shared" si="6"/>
        <v>1.6392067917827393E-5</v>
      </c>
      <c r="O58" s="88">
        <f t="shared" si="7"/>
        <v>-0.10283321269775614</v>
      </c>
      <c r="P58" s="93">
        <v>173.53</v>
      </c>
      <c r="Q58" s="88">
        <f t="shared" si="8"/>
        <v>1.4706418911077386E-5</v>
      </c>
      <c r="R58" s="88">
        <f t="shared" si="9"/>
        <v>-5.7626923298470523E-5</v>
      </c>
      <c r="S58" s="93">
        <v>173.52</v>
      </c>
      <c r="T58" s="88">
        <f t="shared" si="10"/>
        <v>1.4705571425402802E-5</v>
      </c>
      <c r="U58" s="88">
        <f t="shared" si="11"/>
        <v>0.41297833102812342</v>
      </c>
      <c r="V58" s="93">
        <v>245.18</v>
      </c>
      <c r="W58" s="88">
        <f t="shared" si="12"/>
        <v>2.0778653769480514E-5</v>
      </c>
      <c r="X58" s="88">
        <f t="shared" si="13"/>
        <v>-1.6314544416351495E-4</v>
      </c>
      <c r="Y58" s="93">
        <v>245.14</v>
      </c>
      <c r="Z58" s="88">
        <f t="shared" si="14"/>
        <v>2.0775263826782171E-5</v>
      </c>
      <c r="AA58" s="88">
        <f t="shared" si="15"/>
        <v>0</v>
      </c>
      <c r="AB58" s="93">
        <v>245.14</v>
      </c>
      <c r="AC58" s="88">
        <f t="shared" si="16"/>
        <v>2.0775263826782171E-5</v>
      </c>
      <c r="AD58" s="88">
        <f t="shared" si="17"/>
        <v>2.0981072040466673</v>
      </c>
      <c r="AE58" s="93">
        <v>759.47</v>
      </c>
      <c r="AF58" s="88">
        <f t="shared" si="18"/>
        <v>6.4363994527723975E-5</v>
      </c>
      <c r="AG58" s="88">
        <f t="shared" si="19"/>
        <v>1.3259246579851558E-2</v>
      </c>
      <c r="AH58" s="93">
        <v>769.54</v>
      </c>
      <c r="AI58" s="88">
        <f t="shared" si="20"/>
        <v>6.5217412602031299E-5</v>
      </c>
      <c r="AJ58" s="88">
        <f t="shared" si="21"/>
        <v>0</v>
      </c>
      <c r="AK58" s="93">
        <v>769.54</v>
      </c>
      <c r="AL58" s="88">
        <f t="shared" si="22"/>
        <v>6.5217412602031299E-5</v>
      </c>
      <c r="AM58" s="88">
        <f t="shared" si="23"/>
        <v>6.6403305871038931E-3</v>
      </c>
      <c r="AN58" s="93">
        <v>774.65</v>
      </c>
      <c r="AO58" s="88">
        <f t="shared" si="24"/>
        <v>6.565047778174434E-5</v>
      </c>
      <c r="AP58" s="88">
        <f t="shared" si="25"/>
        <v>4.2518644067796609</v>
      </c>
    </row>
    <row r="59" spans="1:42" s="63" customFormat="1" x14ac:dyDescent="0.25">
      <c r="A59" s="89" t="s">
        <v>578</v>
      </c>
      <c r="B59" s="89" t="s">
        <v>579</v>
      </c>
      <c r="C59" s="89"/>
      <c r="D59" s="93">
        <v>317.10000000000002</v>
      </c>
      <c r="E59" s="88">
        <f t="shared" si="0"/>
        <v>2.6873770741097442E-5</v>
      </c>
      <c r="F59" s="88">
        <f t="shared" si="1"/>
        <v>0</v>
      </c>
      <c r="G59" s="93">
        <v>317.10000000000002</v>
      </c>
      <c r="H59" s="88">
        <f t="shared" si="2"/>
        <v>2.6873770741097442E-5</v>
      </c>
      <c r="I59" s="88">
        <f t="shared" si="3"/>
        <v>0</v>
      </c>
      <c r="J59" s="93">
        <v>317.10000000000002</v>
      </c>
      <c r="K59" s="88">
        <f t="shared" si="4"/>
        <v>2.6873770741097442E-5</v>
      </c>
      <c r="L59" s="88">
        <f t="shared" si="5"/>
        <v>0</v>
      </c>
      <c r="M59" s="93">
        <v>317.10000000000002</v>
      </c>
      <c r="N59" s="88">
        <f t="shared" si="6"/>
        <v>2.6873770741097442E-5</v>
      </c>
      <c r="O59" s="88">
        <f t="shared" si="7"/>
        <v>0</v>
      </c>
      <c r="P59" s="93">
        <v>317.10000000000002</v>
      </c>
      <c r="Q59" s="88">
        <f t="shared" si="8"/>
        <v>2.6873770741097442E-5</v>
      </c>
      <c r="R59" s="88">
        <f t="shared" si="9"/>
        <v>0</v>
      </c>
      <c r="S59" s="93">
        <v>317.10000000000002</v>
      </c>
      <c r="T59" s="88">
        <f t="shared" si="10"/>
        <v>2.6873770741097442E-5</v>
      </c>
      <c r="U59" s="88">
        <f t="shared" si="11"/>
        <v>0</v>
      </c>
      <c r="V59" s="93">
        <v>317.10000000000002</v>
      </c>
      <c r="W59" s="88">
        <f t="shared" si="12"/>
        <v>2.6873770741097442E-5</v>
      </c>
      <c r="X59" s="88">
        <f t="shared" si="13"/>
        <v>0</v>
      </c>
      <c r="Y59" s="93">
        <v>317.10000000000002</v>
      </c>
      <c r="Z59" s="88">
        <f t="shared" si="14"/>
        <v>2.6873770741097442E-5</v>
      </c>
      <c r="AA59" s="88">
        <f t="shared" si="15"/>
        <v>0</v>
      </c>
      <c r="AB59" s="93">
        <v>317.10000000000002</v>
      </c>
      <c r="AC59" s="88">
        <f t="shared" si="16"/>
        <v>2.6873770741097442E-5</v>
      </c>
      <c r="AD59" s="88">
        <f t="shared" si="17"/>
        <v>0</v>
      </c>
      <c r="AE59" s="93">
        <v>317.10000000000002</v>
      </c>
      <c r="AF59" s="88">
        <f t="shared" si="18"/>
        <v>2.6873770741097442E-5</v>
      </c>
      <c r="AG59" s="88">
        <f t="shared" si="19"/>
        <v>0</v>
      </c>
      <c r="AH59" s="93">
        <v>317.10000000000002</v>
      </c>
      <c r="AI59" s="88">
        <f t="shared" si="20"/>
        <v>2.6873770741097442E-5</v>
      </c>
      <c r="AJ59" s="88">
        <f t="shared" si="21"/>
        <v>0</v>
      </c>
      <c r="AK59" s="93">
        <v>317.10000000000002</v>
      </c>
      <c r="AL59" s="88">
        <f t="shared" si="22"/>
        <v>2.6873770741097442E-5</v>
      </c>
      <c r="AM59" s="88">
        <f t="shared" si="23"/>
        <v>0</v>
      </c>
      <c r="AN59" s="93">
        <v>317.10000000000002</v>
      </c>
      <c r="AO59" s="88">
        <f t="shared" si="24"/>
        <v>2.6873770741097442E-5</v>
      </c>
      <c r="AP59" s="88">
        <f t="shared" si="25"/>
        <v>0</v>
      </c>
    </row>
    <row r="60" spans="1:42" s="63" customFormat="1" x14ac:dyDescent="0.25">
      <c r="A60" s="86" t="s">
        <v>171</v>
      </c>
      <c r="B60" s="86" t="s">
        <v>172</v>
      </c>
      <c r="C60" s="86"/>
      <c r="D60" s="92">
        <v>2914.22</v>
      </c>
      <c r="E60" s="88">
        <f t="shared" si="0"/>
        <v>2.4697597025897502E-4</v>
      </c>
      <c r="F60" s="88">
        <f t="shared" si="1"/>
        <v>0</v>
      </c>
      <c r="G60" s="92">
        <v>2914.22</v>
      </c>
      <c r="H60" s="88">
        <f t="shared" si="2"/>
        <v>2.4697597025897502E-4</v>
      </c>
      <c r="I60" s="88">
        <f t="shared" si="3"/>
        <v>0</v>
      </c>
      <c r="J60" s="92">
        <v>2914.22</v>
      </c>
      <c r="K60" s="88">
        <f t="shared" si="4"/>
        <v>2.4697597025897502E-4</v>
      </c>
      <c r="L60" s="88">
        <f t="shared" si="5"/>
        <v>0</v>
      </c>
      <c r="M60" s="92">
        <v>2914.22</v>
      </c>
      <c r="N60" s="88">
        <f t="shared" si="6"/>
        <v>2.4697597025897502E-4</v>
      </c>
      <c r="O60" s="88">
        <f t="shared" si="7"/>
        <v>0</v>
      </c>
      <c r="P60" s="92">
        <v>2914.22</v>
      </c>
      <c r="Q60" s="88">
        <f t="shared" si="8"/>
        <v>2.4697597025897502E-4</v>
      </c>
      <c r="R60" s="88">
        <f t="shared" si="9"/>
        <v>0</v>
      </c>
      <c r="S60" s="92">
        <v>2914.22</v>
      </c>
      <c r="T60" s="88">
        <f t="shared" si="10"/>
        <v>2.4697597025897502E-4</v>
      </c>
      <c r="U60" s="88">
        <f t="shared" si="11"/>
        <v>0.12294885080742013</v>
      </c>
      <c r="V60" s="92">
        <v>3272.52</v>
      </c>
      <c r="W60" s="88">
        <f t="shared" si="12"/>
        <v>2.7734138197936357E-4</v>
      </c>
      <c r="X60" s="88">
        <f t="shared" si="13"/>
        <v>0</v>
      </c>
      <c r="Y60" s="92">
        <v>3272.52</v>
      </c>
      <c r="Z60" s="88">
        <f t="shared" si="14"/>
        <v>2.7734138197936357E-4</v>
      </c>
      <c r="AA60" s="88">
        <f t="shared" si="15"/>
        <v>5.1174629948785633E-2</v>
      </c>
      <c r="AB60" s="92">
        <v>3439.9900000000002</v>
      </c>
      <c r="AC60" s="88">
        <f t="shared" si="16"/>
        <v>2.9153422457164235E-4</v>
      </c>
      <c r="AD60" s="88">
        <f t="shared" si="17"/>
        <v>0</v>
      </c>
      <c r="AE60" s="92">
        <v>3439.9900000000002</v>
      </c>
      <c r="AF60" s="88">
        <f t="shared" si="18"/>
        <v>2.9153422457164235E-4</v>
      </c>
      <c r="AG60" s="88">
        <f t="shared" si="19"/>
        <v>0</v>
      </c>
      <c r="AH60" s="92">
        <v>3439.9900000000002</v>
      </c>
      <c r="AI60" s="88">
        <f t="shared" si="20"/>
        <v>2.9153422457164235E-4</v>
      </c>
      <c r="AJ60" s="88">
        <f t="shared" si="21"/>
        <v>0</v>
      </c>
      <c r="AK60" s="92">
        <v>3439.9900000000002</v>
      </c>
      <c r="AL60" s="88">
        <f t="shared" si="22"/>
        <v>2.9153422457164235E-4</v>
      </c>
      <c r="AM60" s="88">
        <f t="shared" si="23"/>
        <v>0</v>
      </c>
      <c r="AN60" s="92">
        <v>3439.9900000000002</v>
      </c>
      <c r="AO60" s="88">
        <f t="shared" si="24"/>
        <v>2.9153422457164235E-4</v>
      </c>
      <c r="AP60" s="88">
        <f t="shared" si="25"/>
        <v>0.18041534269890414</v>
      </c>
    </row>
    <row r="61" spans="1:42" s="74" customFormat="1" x14ac:dyDescent="0.25">
      <c r="A61" s="89" t="s">
        <v>580</v>
      </c>
      <c r="B61" s="89" t="s">
        <v>581</v>
      </c>
      <c r="C61" s="89"/>
      <c r="D61" s="93">
        <v>2630.49</v>
      </c>
      <c r="E61" s="88">
        <f t="shared" si="0"/>
        <v>2.2293025921396847E-4</v>
      </c>
      <c r="F61" s="88">
        <f t="shared" si="1"/>
        <v>0</v>
      </c>
      <c r="G61" s="93">
        <v>2630.49</v>
      </c>
      <c r="H61" s="88">
        <f t="shared" si="2"/>
        <v>2.2293025921396847E-4</v>
      </c>
      <c r="I61" s="88">
        <f t="shared" si="3"/>
        <v>0</v>
      </c>
      <c r="J61" s="93">
        <v>2630.49</v>
      </c>
      <c r="K61" s="88">
        <f t="shared" si="4"/>
        <v>2.2293025921396847E-4</v>
      </c>
      <c r="L61" s="88">
        <f t="shared" si="5"/>
        <v>0</v>
      </c>
      <c r="M61" s="93">
        <v>2630.49</v>
      </c>
      <c r="N61" s="88">
        <f t="shared" si="6"/>
        <v>2.2293025921396847E-4</v>
      </c>
      <c r="O61" s="88">
        <f t="shared" si="7"/>
        <v>0</v>
      </c>
      <c r="P61" s="93">
        <v>2630.49</v>
      </c>
      <c r="Q61" s="88">
        <f t="shared" si="8"/>
        <v>2.2293025921396847E-4</v>
      </c>
      <c r="R61" s="88">
        <f t="shared" si="9"/>
        <v>0</v>
      </c>
      <c r="S61" s="93">
        <v>2630.49</v>
      </c>
      <c r="T61" s="88">
        <f t="shared" si="10"/>
        <v>2.2293025921396847E-4</v>
      </c>
      <c r="U61" s="88">
        <f t="shared" si="11"/>
        <v>0.13621036384856056</v>
      </c>
      <c r="V61" s="93">
        <v>2988.79</v>
      </c>
      <c r="W61" s="88">
        <f t="shared" si="12"/>
        <v>2.5329567093435707E-4</v>
      </c>
      <c r="X61" s="88">
        <f t="shared" si="13"/>
        <v>0</v>
      </c>
      <c r="Y61" s="93">
        <v>2988.79</v>
      </c>
      <c r="Z61" s="88">
        <f t="shared" si="14"/>
        <v>2.5329567093435707E-4</v>
      </c>
      <c r="AA61" s="88">
        <f t="shared" si="15"/>
        <v>5.6032708888881455E-2</v>
      </c>
      <c r="AB61" s="93">
        <v>3156.26</v>
      </c>
      <c r="AC61" s="88">
        <f t="shared" si="16"/>
        <v>2.6748851352663579E-4</v>
      </c>
      <c r="AD61" s="88">
        <f t="shared" si="17"/>
        <v>0</v>
      </c>
      <c r="AE61" s="93">
        <v>3156.26</v>
      </c>
      <c r="AF61" s="88">
        <f t="shared" si="18"/>
        <v>2.6748851352663579E-4</v>
      </c>
      <c r="AG61" s="88">
        <f t="shared" si="19"/>
        <v>0</v>
      </c>
      <c r="AH61" s="93">
        <v>3156.26</v>
      </c>
      <c r="AI61" s="88">
        <f t="shared" si="20"/>
        <v>2.6748851352663579E-4</v>
      </c>
      <c r="AJ61" s="88">
        <f t="shared" si="21"/>
        <v>0</v>
      </c>
      <c r="AK61" s="93">
        <v>3156.26</v>
      </c>
      <c r="AL61" s="88">
        <f t="shared" si="22"/>
        <v>2.6748851352663579E-4</v>
      </c>
      <c r="AM61" s="88">
        <f t="shared" si="23"/>
        <v>0</v>
      </c>
      <c r="AN61" s="93">
        <v>3156.26</v>
      </c>
      <c r="AO61" s="88">
        <f t="shared" si="24"/>
        <v>2.6748851352663579E-4</v>
      </c>
      <c r="AP61" s="88">
        <f t="shared" si="25"/>
        <v>0.19987530840261725</v>
      </c>
    </row>
    <row r="62" spans="1:42" s="63" customFormat="1" x14ac:dyDescent="0.25">
      <c r="A62" s="89" t="s">
        <v>173</v>
      </c>
      <c r="B62" s="89" t="s">
        <v>172</v>
      </c>
      <c r="C62" s="89"/>
      <c r="D62" s="93">
        <v>283.73</v>
      </c>
      <c r="E62" s="88">
        <f t="shared" si="0"/>
        <v>2.4045711045006553E-5</v>
      </c>
      <c r="F62" s="88">
        <f t="shared" si="1"/>
        <v>0</v>
      </c>
      <c r="G62" s="93">
        <v>283.73</v>
      </c>
      <c r="H62" s="88">
        <f t="shared" si="2"/>
        <v>2.4045711045006553E-5</v>
      </c>
      <c r="I62" s="88">
        <f t="shared" si="3"/>
        <v>0</v>
      </c>
      <c r="J62" s="93">
        <v>283.73</v>
      </c>
      <c r="K62" s="88">
        <f t="shared" si="4"/>
        <v>2.4045711045006553E-5</v>
      </c>
      <c r="L62" s="88">
        <f t="shared" si="5"/>
        <v>0</v>
      </c>
      <c r="M62" s="93">
        <v>283.73</v>
      </c>
      <c r="N62" s="88">
        <f t="shared" si="6"/>
        <v>2.4045711045006553E-5</v>
      </c>
      <c r="O62" s="88">
        <f t="shared" si="7"/>
        <v>0</v>
      </c>
      <c r="P62" s="93">
        <v>283.73</v>
      </c>
      <c r="Q62" s="88">
        <f t="shared" si="8"/>
        <v>2.4045711045006553E-5</v>
      </c>
      <c r="R62" s="88">
        <f t="shared" si="9"/>
        <v>0</v>
      </c>
      <c r="S62" s="93">
        <v>283.73</v>
      </c>
      <c r="T62" s="88">
        <f t="shared" si="10"/>
        <v>2.4045711045006553E-5</v>
      </c>
      <c r="U62" s="88">
        <f t="shared" si="11"/>
        <v>0</v>
      </c>
      <c r="V62" s="93">
        <v>283.73</v>
      </c>
      <c r="W62" s="88">
        <f t="shared" si="12"/>
        <v>2.4045711045006553E-5</v>
      </c>
      <c r="X62" s="88">
        <f t="shared" si="13"/>
        <v>0</v>
      </c>
      <c r="Y62" s="93">
        <v>283.73</v>
      </c>
      <c r="Z62" s="88">
        <f t="shared" si="14"/>
        <v>2.4045711045006553E-5</v>
      </c>
      <c r="AA62" s="88">
        <f t="shared" si="15"/>
        <v>0</v>
      </c>
      <c r="AB62" s="93">
        <v>283.73</v>
      </c>
      <c r="AC62" s="88">
        <f t="shared" si="16"/>
        <v>2.4045711045006553E-5</v>
      </c>
      <c r="AD62" s="88">
        <f t="shared" si="17"/>
        <v>0</v>
      </c>
      <c r="AE62" s="93">
        <v>283.73</v>
      </c>
      <c r="AF62" s="88">
        <f t="shared" si="18"/>
        <v>2.4045711045006553E-5</v>
      </c>
      <c r="AG62" s="88">
        <f t="shared" si="19"/>
        <v>0</v>
      </c>
      <c r="AH62" s="93">
        <v>283.73</v>
      </c>
      <c r="AI62" s="88">
        <f t="shared" si="20"/>
        <v>2.4045711045006553E-5</v>
      </c>
      <c r="AJ62" s="88">
        <f t="shared" si="21"/>
        <v>0</v>
      </c>
      <c r="AK62" s="93">
        <v>283.73</v>
      </c>
      <c r="AL62" s="88">
        <f t="shared" si="22"/>
        <v>2.4045711045006553E-5</v>
      </c>
      <c r="AM62" s="88">
        <f t="shared" si="23"/>
        <v>0</v>
      </c>
      <c r="AN62" s="93">
        <v>283.73</v>
      </c>
      <c r="AO62" s="88">
        <f t="shared" si="24"/>
        <v>2.4045711045006553E-5</v>
      </c>
      <c r="AP62" s="88">
        <f t="shared" si="25"/>
        <v>0</v>
      </c>
    </row>
    <row r="63" spans="1:42" s="74" customFormat="1" x14ac:dyDescent="0.25">
      <c r="A63" s="86" t="s">
        <v>174</v>
      </c>
      <c r="B63" s="86" t="s">
        <v>724</v>
      </c>
      <c r="C63" s="86"/>
      <c r="D63" s="92">
        <v>2020694.6600000001</v>
      </c>
      <c r="E63" s="88">
        <f t="shared" si="0"/>
        <v>0.17125097770608591</v>
      </c>
      <c r="F63" s="88">
        <f t="shared" si="1"/>
        <v>-0.14424706303722312</v>
      </c>
      <c r="G63" s="92">
        <v>1729215.39</v>
      </c>
      <c r="H63" s="88">
        <f t="shared" si="2"/>
        <v>0.14654852712973004</v>
      </c>
      <c r="I63" s="88">
        <f t="shared" si="3"/>
        <v>6.8841048193535315E-4</v>
      </c>
      <c r="J63" s="92">
        <v>1730405.7999999998</v>
      </c>
      <c r="K63" s="88">
        <f t="shared" si="4"/>
        <v>0.14664941267191833</v>
      </c>
      <c r="L63" s="88">
        <f t="shared" si="5"/>
        <v>1.2739976946448017E-2</v>
      </c>
      <c r="M63" s="92">
        <v>1752451.13</v>
      </c>
      <c r="N63" s="88">
        <f t="shared" si="6"/>
        <v>0.14851772280856873</v>
      </c>
      <c r="O63" s="88">
        <f t="shared" si="7"/>
        <v>1.1195912778463768E-2</v>
      </c>
      <c r="P63" s="92">
        <v>1772071.4200000002</v>
      </c>
      <c r="Q63" s="88">
        <f t="shared" si="8"/>
        <v>0.15018051427918952</v>
      </c>
      <c r="R63" s="88">
        <f t="shared" si="9"/>
        <v>7.5428111131095044E-3</v>
      </c>
      <c r="S63" s="92">
        <v>1785437.82</v>
      </c>
      <c r="T63" s="88">
        <f t="shared" si="10"/>
        <v>0.1513132975312671</v>
      </c>
      <c r="U63" s="88">
        <f t="shared" si="11"/>
        <v>1.3813978691232132E-2</v>
      </c>
      <c r="V63" s="92">
        <v>1810101.82</v>
      </c>
      <c r="W63" s="88">
        <f t="shared" si="12"/>
        <v>0.15340353619906411</v>
      </c>
      <c r="X63" s="88">
        <f t="shared" si="13"/>
        <v>-0.13949390979563803</v>
      </c>
      <c r="Y63" s="92">
        <v>1557603.64</v>
      </c>
      <c r="Z63" s="88">
        <f t="shared" si="14"/>
        <v>0.13200467715817998</v>
      </c>
      <c r="AA63" s="88">
        <f t="shared" si="15"/>
        <v>-9.5483854929867551E-4</v>
      </c>
      <c r="AB63" s="92">
        <v>1556116.38</v>
      </c>
      <c r="AC63" s="88">
        <f t="shared" si="16"/>
        <v>0.13187863400374161</v>
      </c>
      <c r="AD63" s="88">
        <f t="shared" si="17"/>
        <v>1.6932538169145417E-4</v>
      </c>
      <c r="AE63" s="92">
        <v>1556379.8699999999</v>
      </c>
      <c r="AF63" s="88">
        <f t="shared" si="18"/>
        <v>0.13190096440378124</v>
      </c>
      <c r="AG63" s="88">
        <f t="shared" si="19"/>
        <v>-1.7665616556708508E-2</v>
      </c>
      <c r="AH63" s="92">
        <v>1528885.46</v>
      </c>
      <c r="AI63" s="88">
        <f t="shared" si="20"/>
        <v>0.129570852543164</v>
      </c>
      <c r="AJ63" s="88">
        <f t="shared" si="21"/>
        <v>1.5715663879751984E-2</v>
      </c>
      <c r="AK63" s="92">
        <v>1552912.91</v>
      </c>
      <c r="AL63" s="88">
        <f t="shared" si="22"/>
        <v>0.13160714451034525</v>
      </c>
      <c r="AM63" s="88">
        <f t="shared" si="23"/>
        <v>-3.1011880762843336E-2</v>
      </c>
      <c r="AN63" s="92">
        <v>1504754.16</v>
      </c>
      <c r="AO63" s="88">
        <f t="shared" si="24"/>
        <v>0.12752575943725214</v>
      </c>
      <c r="AP63" s="88">
        <f t="shared" si="25"/>
        <v>-0.25532828398725027</v>
      </c>
    </row>
    <row r="64" spans="1:42" s="74" customFormat="1" x14ac:dyDescent="0.25">
      <c r="A64" s="86" t="s">
        <v>175</v>
      </c>
      <c r="B64" s="86" t="s">
        <v>176</v>
      </c>
      <c r="C64" s="86"/>
      <c r="D64" s="92">
        <v>44563.29</v>
      </c>
      <c r="E64" s="88">
        <f t="shared" si="0"/>
        <v>3.7766749887386949E-3</v>
      </c>
      <c r="F64" s="88">
        <f t="shared" si="1"/>
        <v>-0.35146529800649817</v>
      </c>
      <c r="G64" s="92">
        <v>28900.84</v>
      </c>
      <c r="H64" s="88">
        <f t="shared" si="2"/>
        <v>2.4493047883479614E-3</v>
      </c>
      <c r="I64" s="88">
        <f t="shared" si="3"/>
        <v>-0.12616034689649158</v>
      </c>
      <c r="J64" s="92">
        <v>25254.7</v>
      </c>
      <c r="K64" s="88">
        <f t="shared" si="4"/>
        <v>2.1402996465947448E-3</v>
      </c>
      <c r="L64" s="88">
        <f t="shared" si="5"/>
        <v>0</v>
      </c>
      <c r="M64" s="92">
        <v>25254.7</v>
      </c>
      <c r="N64" s="88">
        <f t="shared" si="6"/>
        <v>2.1402996465947448E-3</v>
      </c>
      <c r="O64" s="88">
        <f t="shared" si="7"/>
        <v>3.707824682138261E-3</v>
      </c>
      <c r="P64" s="92">
        <v>25348.34</v>
      </c>
      <c r="Q64" s="88">
        <f t="shared" si="8"/>
        <v>2.1482355024515609E-3</v>
      </c>
      <c r="R64" s="88">
        <f t="shared" si="9"/>
        <v>-1.4907090562932268E-2</v>
      </c>
      <c r="S64" s="92">
        <v>24970.47</v>
      </c>
      <c r="T64" s="88">
        <f t="shared" si="10"/>
        <v>2.1162115612660092E-3</v>
      </c>
      <c r="U64" s="88">
        <f t="shared" si="11"/>
        <v>-9.9317313610837177E-3</v>
      </c>
      <c r="V64" s="92">
        <v>24722.47</v>
      </c>
      <c r="W64" s="88">
        <f t="shared" si="12"/>
        <v>2.0951939165362956E-3</v>
      </c>
      <c r="X64" s="88">
        <f t="shared" si="13"/>
        <v>3.5878696586546521E-2</v>
      </c>
      <c r="Y64" s="92">
        <v>25609.48</v>
      </c>
      <c r="Z64" s="88">
        <f t="shared" si="14"/>
        <v>2.1703667433576792E-3</v>
      </c>
      <c r="AA64" s="88">
        <f t="shared" si="15"/>
        <v>-5.8074588004129679E-2</v>
      </c>
      <c r="AB64" s="92">
        <v>24122.22</v>
      </c>
      <c r="AC64" s="88">
        <f t="shared" si="16"/>
        <v>2.0443235889193172E-3</v>
      </c>
      <c r="AD64" s="88">
        <f t="shared" si="17"/>
        <v>1.0923123991075423E-2</v>
      </c>
      <c r="AE64" s="92">
        <v>24385.71</v>
      </c>
      <c r="AF64" s="88">
        <f t="shared" si="18"/>
        <v>2.0666539889589632E-3</v>
      </c>
      <c r="AG64" s="88">
        <f t="shared" si="19"/>
        <v>0.14375591278662792</v>
      </c>
      <c r="AH64" s="92">
        <v>27891.3</v>
      </c>
      <c r="AI64" s="88">
        <f t="shared" si="20"/>
        <v>2.3637477195558847E-3</v>
      </c>
      <c r="AJ64" s="88">
        <f t="shared" si="21"/>
        <v>0.86146755439868361</v>
      </c>
      <c r="AK64" s="92">
        <v>51918.75</v>
      </c>
      <c r="AL64" s="88">
        <f t="shared" si="22"/>
        <v>4.4000396867371581E-3</v>
      </c>
      <c r="AM64" s="88">
        <f t="shared" si="23"/>
        <v>-0.92757915011436143</v>
      </c>
      <c r="AN64" s="92">
        <v>3760</v>
      </c>
      <c r="AO64" s="88">
        <f t="shared" si="24"/>
        <v>3.1865461364404408E-4</v>
      </c>
      <c r="AP64" s="88">
        <f t="shared" si="25"/>
        <v>-0.91562561920360908</v>
      </c>
    </row>
    <row r="65" spans="1:42" s="63" customFormat="1" x14ac:dyDescent="0.25">
      <c r="A65" s="86" t="s">
        <v>177</v>
      </c>
      <c r="B65" s="86" t="s">
        <v>176</v>
      </c>
      <c r="C65" s="86"/>
      <c r="D65" s="92">
        <v>44563.29</v>
      </c>
      <c r="E65" s="88">
        <f t="shared" si="0"/>
        <v>3.7766749887386949E-3</v>
      </c>
      <c r="F65" s="88">
        <f t="shared" si="1"/>
        <v>-0.35146529800649817</v>
      </c>
      <c r="G65" s="92">
        <v>28900.84</v>
      </c>
      <c r="H65" s="88">
        <f t="shared" si="2"/>
        <v>2.4493047883479614E-3</v>
      </c>
      <c r="I65" s="88">
        <f t="shared" si="3"/>
        <v>-0.12616034689649158</v>
      </c>
      <c r="J65" s="92">
        <v>25254.7</v>
      </c>
      <c r="K65" s="88">
        <f t="shared" si="4"/>
        <v>2.1402996465947448E-3</v>
      </c>
      <c r="L65" s="88">
        <f t="shared" si="5"/>
        <v>0</v>
      </c>
      <c r="M65" s="92">
        <v>25254.7</v>
      </c>
      <c r="N65" s="88">
        <f t="shared" si="6"/>
        <v>2.1402996465947448E-3</v>
      </c>
      <c r="O65" s="88">
        <f t="shared" si="7"/>
        <v>3.707824682138261E-3</v>
      </c>
      <c r="P65" s="92">
        <v>25348.34</v>
      </c>
      <c r="Q65" s="88">
        <f t="shared" si="8"/>
        <v>2.1482355024515609E-3</v>
      </c>
      <c r="R65" s="88">
        <f t="shared" si="9"/>
        <v>-1.4907090562932268E-2</v>
      </c>
      <c r="S65" s="92">
        <v>24970.47</v>
      </c>
      <c r="T65" s="88">
        <f t="shared" si="10"/>
        <v>2.1162115612660092E-3</v>
      </c>
      <c r="U65" s="88">
        <f t="shared" si="11"/>
        <v>-9.9317313610837177E-3</v>
      </c>
      <c r="V65" s="92">
        <v>24722.47</v>
      </c>
      <c r="W65" s="88">
        <f t="shared" si="12"/>
        <v>2.0951939165362956E-3</v>
      </c>
      <c r="X65" s="88">
        <f t="shared" si="13"/>
        <v>3.5878696586546521E-2</v>
      </c>
      <c r="Y65" s="92">
        <v>25609.48</v>
      </c>
      <c r="Z65" s="88">
        <f t="shared" si="14"/>
        <v>2.1703667433576792E-3</v>
      </c>
      <c r="AA65" s="88">
        <f t="shared" si="15"/>
        <v>-5.8074588004129679E-2</v>
      </c>
      <c r="AB65" s="92">
        <v>24122.22</v>
      </c>
      <c r="AC65" s="88">
        <f t="shared" si="16"/>
        <v>2.0443235889193172E-3</v>
      </c>
      <c r="AD65" s="88">
        <f t="shared" si="17"/>
        <v>1.0923123991075423E-2</v>
      </c>
      <c r="AE65" s="92">
        <v>24385.71</v>
      </c>
      <c r="AF65" s="88">
        <f t="shared" si="18"/>
        <v>2.0666539889589632E-3</v>
      </c>
      <c r="AG65" s="88">
        <f t="shared" si="19"/>
        <v>0.14375591278662792</v>
      </c>
      <c r="AH65" s="92">
        <v>27891.3</v>
      </c>
      <c r="AI65" s="88">
        <f t="shared" si="20"/>
        <v>2.3637477195558847E-3</v>
      </c>
      <c r="AJ65" s="88">
        <f t="shared" si="21"/>
        <v>0.86146755439868361</v>
      </c>
      <c r="AK65" s="92">
        <v>51918.75</v>
      </c>
      <c r="AL65" s="88">
        <f t="shared" si="22"/>
        <v>4.4000396867371581E-3</v>
      </c>
      <c r="AM65" s="88">
        <f t="shared" si="23"/>
        <v>-0.92757915011436143</v>
      </c>
      <c r="AN65" s="92">
        <v>3760</v>
      </c>
      <c r="AO65" s="88">
        <f t="shared" si="24"/>
        <v>3.1865461364404408E-4</v>
      </c>
      <c r="AP65" s="88">
        <f t="shared" si="25"/>
        <v>-0.91562561920360908</v>
      </c>
    </row>
    <row r="66" spans="1:42" s="74" customFormat="1" x14ac:dyDescent="0.25">
      <c r="A66" s="89" t="s">
        <v>178</v>
      </c>
      <c r="B66" s="89" t="s">
        <v>179</v>
      </c>
      <c r="C66" s="89"/>
      <c r="D66" s="93">
        <v>42624.24</v>
      </c>
      <c r="E66" s="88">
        <f t="shared" si="0"/>
        <v>3.6123432790082471E-3</v>
      </c>
      <c r="F66" s="88">
        <f t="shared" si="1"/>
        <v>-0.40750380534644137</v>
      </c>
      <c r="G66" s="93">
        <v>25254.7</v>
      </c>
      <c r="H66" s="88">
        <f t="shared" si="2"/>
        <v>2.1402996465947448E-3</v>
      </c>
      <c r="I66" s="88">
        <f t="shared" si="3"/>
        <v>0</v>
      </c>
      <c r="J66" s="93">
        <v>25254.7</v>
      </c>
      <c r="K66" s="88">
        <f t="shared" si="4"/>
        <v>2.1402996465947448E-3</v>
      </c>
      <c r="L66" s="88">
        <f t="shared" si="5"/>
        <v>0</v>
      </c>
      <c r="M66" s="93">
        <v>25254.7</v>
      </c>
      <c r="N66" s="88">
        <f t="shared" si="6"/>
        <v>2.1402996465947448E-3</v>
      </c>
      <c r="O66" s="88">
        <f t="shared" si="7"/>
        <v>3.707824682138261E-3</v>
      </c>
      <c r="P66" s="93">
        <v>25348.34</v>
      </c>
      <c r="Q66" s="88">
        <f t="shared" si="8"/>
        <v>2.1482355024515609E-3</v>
      </c>
      <c r="R66" s="88">
        <f t="shared" si="9"/>
        <v>-1.4907090562932268E-2</v>
      </c>
      <c r="S66" s="93">
        <v>24970.47</v>
      </c>
      <c r="T66" s="88">
        <f t="shared" si="10"/>
        <v>2.1162115612660092E-3</v>
      </c>
      <c r="U66" s="88">
        <f t="shared" si="11"/>
        <v>-9.9317313610837177E-3</v>
      </c>
      <c r="V66" s="93">
        <v>24722.47</v>
      </c>
      <c r="W66" s="88">
        <f t="shared" si="12"/>
        <v>2.0951939165362956E-3</v>
      </c>
      <c r="X66" s="88">
        <f t="shared" si="13"/>
        <v>-1.0033787077100342E-2</v>
      </c>
      <c r="Y66" s="93">
        <v>24474.41</v>
      </c>
      <c r="Z66" s="88">
        <f t="shared" si="14"/>
        <v>2.0741711868925341E-3</v>
      </c>
      <c r="AA66" s="88">
        <f t="shared" si="15"/>
        <v>-1.4390132387256727E-2</v>
      </c>
      <c r="AB66" s="93">
        <v>24122.22</v>
      </c>
      <c r="AC66" s="88">
        <f t="shared" si="16"/>
        <v>2.0443235889193172E-3</v>
      </c>
      <c r="AD66" s="88">
        <f t="shared" si="17"/>
        <v>3.7641643265007296E-4</v>
      </c>
      <c r="AE66" s="93">
        <v>24131.3</v>
      </c>
      <c r="AF66" s="88">
        <f t="shared" si="18"/>
        <v>2.0450931059118405E-3</v>
      </c>
      <c r="AG66" s="88">
        <f t="shared" si="19"/>
        <v>0</v>
      </c>
      <c r="AH66" s="93">
        <v>24131.3</v>
      </c>
      <c r="AI66" s="88">
        <f t="shared" si="20"/>
        <v>2.0450931059118405E-3</v>
      </c>
      <c r="AJ66" s="88">
        <f t="shared" si="21"/>
        <v>0</v>
      </c>
      <c r="AK66" s="93">
        <v>24131.3</v>
      </c>
      <c r="AL66" s="88">
        <f t="shared" si="22"/>
        <v>2.0450931059118405E-3</v>
      </c>
      <c r="AM66" s="88">
        <f t="shared" si="23"/>
        <v>-1</v>
      </c>
      <c r="AN66" s="93">
        <v>0</v>
      </c>
      <c r="AO66" s="88">
        <f t="shared" si="24"/>
        <v>0</v>
      </c>
      <c r="AP66" s="88">
        <f t="shared" si="25"/>
        <v>-1</v>
      </c>
    </row>
    <row r="67" spans="1:42" s="63" customFormat="1" x14ac:dyDescent="0.25">
      <c r="A67" s="89" t="s">
        <v>180</v>
      </c>
      <c r="B67" s="89" t="s">
        <v>725</v>
      </c>
      <c r="C67" s="89"/>
      <c r="D67" s="93">
        <v>1939.05</v>
      </c>
      <c r="E67" s="88">
        <f t="shared" si="0"/>
        <v>1.6433170973044779E-4</v>
      </c>
      <c r="F67" s="88">
        <f t="shared" si="1"/>
        <v>0.88037441014929985</v>
      </c>
      <c r="G67" s="93">
        <v>3646.14</v>
      </c>
      <c r="H67" s="88">
        <f t="shared" si="2"/>
        <v>3.090051417532167E-4</v>
      </c>
      <c r="I67" s="88">
        <f t="shared" si="3"/>
        <v>-1</v>
      </c>
      <c r="J67" s="93">
        <v>0</v>
      </c>
      <c r="K67" s="88">
        <f t="shared" si="4"/>
        <v>0</v>
      </c>
      <c r="L67" s="88">
        <f t="shared" si="5"/>
        <v>0</v>
      </c>
      <c r="M67" s="93">
        <v>0</v>
      </c>
      <c r="N67" s="88">
        <f t="shared" si="6"/>
        <v>0</v>
      </c>
      <c r="O67" s="88">
        <f t="shared" si="7"/>
        <v>0</v>
      </c>
      <c r="P67" s="93">
        <v>0</v>
      </c>
      <c r="Q67" s="88">
        <f t="shared" si="8"/>
        <v>0</v>
      </c>
      <c r="R67" s="88">
        <f t="shared" si="9"/>
        <v>0</v>
      </c>
      <c r="S67" s="93">
        <v>0</v>
      </c>
      <c r="T67" s="88">
        <f t="shared" si="10"/>
        <v>0</v>
      </c>
      <c r="U67" s="88">
        <f t="shared" si="11"/>
        <v>0</v>
      </c>
      <c r="V67" s="93">
        <v>0</v>
      </c>
      <c r="W67" s="88">
        <f t="shared" si="12"/>
        <v>0</v>
      </c>
      <c r="X67" s="88">
        <f t="shared" si="13"/>
        <v>0</v>
      </c>
      <c r="Y67" s="93">
        <v>1135.07</v>
      </c>
      <c r="Z67" s="88">
        <f t="shared" si="14"/>
        <v>9.6195556465144969E-5</v>
      </c>
      <c r="AA67" s="88">
        <f t="shared" si="15"/>
        <v>-1</v>
      </c>
      <c r="AB67" s="93">
        <v>0</v>
      </c>
      <c r="AC67" s="88">
        <f t="shared" si="16"/>
        <v>0</v>
      </c>
      <c r="AD67" s="88">
        <f t="shared" si="17"/>
        <v>0</v>
      </c>
      <c r="AE67" s="93">
        <v>254.41</v>
      </c>
      <c r="AF67" s="88">
        <f t="shared" si="18"/>
        <v>2.1560883047122675E-5</v>
      </c>
      <c r="AG67" s="88">
        <f t="shared" si="19"/>
        <v>-1</v>
      </c>
      <c r="AH67" s="93">
        <v>0</v>
      </c>
      <c r="AI67" s="88">
        <f t="shared" si="20"/>
        <v>0</v>
      </c>
      <c r="AJ67" s="88">
        <f t="shared" si="21"/>
        <v>0</v>
      </c>
      <c r="AK67" s="93">
        <v>24027.45</v>
      </c>
      <c r="AL67" s="88">
        <f t="shared" si="22"/>
        <v>2.036291967181273E-3</v>
      </c>
      <c r="AM67" s="88">
        <f t="shared" si="23"/>
        <v>-1</v>
      </c>
      <c r="AN67" s="93">
        <v>0</v>
      </c>
      <c r="AO67" s="88">
        <f t="shared" si="24"/>
        <v>0</v>
      </c>
      <c r="AP67" s="88">
        <f t="shared" si="25"/>
        <v>-1</v>
      </c>
    </row>
    <row r="68" spans="1:42" s="74" customFormat="1" x14ac:dyDescent="0.25">
      <c r="A68" s="89" t="s">
        <v>181</v>
      </c>
      <c r="B68" s="89" t="s">
        <v>726</v>
      </c>
      <c r="C68" s="89"/>
      <c r="D68" s="93">
        <v>0</v>
      </c>
      <c r="E68" s="88">
        <f t="shared" si="0"/>
        <v>0</v>
      </c>
      <c r="F68" s="88">
        <f t="shared" si="1"/>
        <v>0</v>
      </c>
      <c r="G68" s="93">
        <v>0</v>
      </c>
      <c r="H68" s="88">
        <f t="shared" si="2"/>
        <v>0</v>
      </c>
      <c r="I68" s="88">
        <f t="shared" si="3"/>
        <v>0</v>
      </c>
      <c r="J68" s="93">
        <v>0</v>
      </c>
      <c r="K68" s="88">
        <f t="shared" si="4"/>
        <v>0</v>
      </c>
      <c r="L68" s="88">
        <f t="shared" si="5"/>
        <v>0</v>
      </c>
      <c r="M68" s="93">
        <v>0</v>
      </c>
      <c r="N68" s="88">
        <f t="shared" si="6"/>
        <v>0</v>
      </c>
      <c r="O68" s="88">
        <f t="shared" si="7"/>
        <v>0</v>
      </c>
      <c r="P68" s="93">
        <v>0</v>
      </c>
      <c r="Q68" s="88">
        <f t="shared" si="8"/>
        <v>0</v>
      </c>
      <c r="R68" s="88">
        <f t="shared" si="9"/>
        <v>0</v>
      </c>
      <c r="S68" s="93">
        <v>0</v>
      </c>
      <c r="T68" s="88">
        <f t="shared" si="10"/>
        <v>0</v>
      </c>
      <c r="U68" s="88">
        <f t="shared" si="11"/>
        <v>0</v>
      </c>
      <c r="V68" s="93">
        <v>0</v>
      </c>
      <c r="W68" s="88">
        <f t="shared" si="12"/>
        <v>0</v>
      </c>
      <c r="X68" s="88">
        <f t="shared" si="13"/>
        <v>0</v>
      </c>
      <c r="Y68" s="93">
        <v>0</v>
      </c>
      <c r="Z68" s="88">
        <f t="shared" si="14"/>
        <v>0</v>
      </c>
      <c r="AA68" s="88">
        <f t="shared" si="15"/>
        <v>0</v>
      </c>
      <c r="AB68" s="93">
        <v>0</v>
      </c>
      <c r="AC68" s="88">
        <f t="shared" si="16"/>
        <v>0</v>
      </c>
      <c r="AD68" s="88">
        <f t="shared" si="17"/>
        <v>0</v>
      </c>
      <c r="AE68" s="93">
        <v>0</v>
      </c>
      <c r="AF68" s="88">
        <f t="shared" si="18"/>
        <v>0</v>
      </c>
      <c r="AG68" s="88">
        <f t="shared" si="19"/>
        <v>0</v>
      </c>
      <c r="AH68" s="93">
        <v>3760</v>
      </c>
      <c r="AI68" s="88">
        <f t="shared" si="20"/>
        <v>3.1865461364404408E-4</v>
      </c>
      <c r="AJ68" s="88">
        <f t="shared" si="21"/>
        <v>0</v>
      </c>
      <c r="AK68" s="93">
        <v>3760</v>
      </c>
      <c r="AL68" s="88">
        <f t="shared" si="22"/>
        <v>3.1865461364404408E-4</v>
      </c>
      <c r="AM68" s="88">
        <f t="shared" si="23"/>
        <v>0</v>
      </c>
      <c r="AN68" s="93">
        <v>3760</v>
      </c>
      <c r="AO68" s="88">
        <f t="shared" si="24"/>
        <v>3.1865461364404408E-4</v>
      </c>
      <c r="AP68" s="88">
        <f t="shared" si="25"/>
        <v>0</v>
      </c>
    </row>
    <row r="69" spans="1:42" s="63" customFormat="1" x14ac:dyDescent="0.25">
      <c r="A69" s="86" t="s">
        <v>582</v>
      </c>
      <c r="B69" s="86" t="s">
        <v>583</v>
      </c>
      <c r="C69" s="86"/>
      <c r="D69" s="92">
        <v>1976131.37</v>
      </c>
      <c r="E69" s="88">
        <f t="shared" si="0"/>
        <v>0.16747430271734723</v>
      </c>
      <c r="F69" s="88">
        <f t="shared" si="1"/>
        <v>-0.13957413165299848</v>
      </c>
      <c r="G69" s="92">
        <v>1700314.5499999998</v>
      </c>
      <c r="H69" s="88">
        <f t="shared" si="2"/>
        <v>0.14409922234138209</v>
      </c>
      <c r="I69" s="88">
        <f t="shared" si="3"/>
        <v>2.8445030950303707E-3</v>
      </c>
      <c r="J69" s="92">
        <v>1705151.0999999999</v>
      </c>
      <c r="K69" s="88">
        <f t="shared" si="4"/>
        <v>0.1445091130253236</v>
      </c>
      <c r="L69" s="88">
        <f t="shared" si="5"/>
        <v>1.2928666556295321E-2</v>
      </c>
      <c r="M69" s="92">
        <v>1727196.43</v>
      </c>
      <c r="N69" s="88">
        <f t="shared" si="6"/>
        <v>0.146377423161974</v>
      </c>
      <c r="O69" s="88">
        <f t="shared" si="7"/>
        <v>1.1305402014986976E-2</v>
      </c>
      <c r="P69" s="92">
        <v>1746723.08</v>
      </c>
      <c r="Q69" s="88">
        <f t="shared" si="8"/>
        <v>0.14803227877673797</v>
      </c>
      <c r="R69" s="88">
        <f t="shared" si="9"/>
        <v>7.8686027323804364E-3</v>
      </c>
      <c r="S69" s="92">
        <v>1760467.35</v>
      </c>
      <c r="T69" s="88">
        <f t="shared" si="10"/>
        <v>0.14919708597000111</v>
      </c>
      <c r="U69" s="88">
        <f t="shared" si="11"/>
        <v>1.4150787857553748E-2</v>
      </c>
      <c r="V69" s="92">
        <v>1785379.35</v>
      </c>
      <c r="W69" s="88">
        <f t="shared" si="12"/>
        <v>0.15130834228252782</v>
      </c>
      <c r="X69" s="88">
        <f t="shared" si="13"/>
        <v>-0.14192232591913878</v>
      </c>
      <c r="Y69" s="92">
        <v>1531994.16</v>
      </c>
      <c r="Z69" s="88">
        <f t="shared" si="14"/>
        <v>0.1298343104148223</v>
      </c>
      <c r="AA69" s="88">
        <f t="shared" si="15"/>
        <v>0</v>
      </c>
      <c r="AB69" s="92">
        <v>1531994.16</v>
      </c>
      <c r="AC69" s="88">
        <f t="shared" si="16"/>
        <v>0.1298343104148223</v>
      </c>
      <c r="AD69" s="88">
        <f t="shared" si="17"/>
        <v>0</v>
      </c>
      <c r="AE69" s="92">
        <v>1531994.16</v>
      </c>
      <c r="AF69" s="88">
        <f t="shared" si="18"/>
        <v>0.1298343104148223</v>
      </c>
      <c r="AG69" s="88">
        <f t="shared" si="19"/>
        <v>-2.0235064081445375E-2</v>
      </c>
      <c r="AH69" s="92">
        <v>1500994.16</v>
      </c>
      <c r="AI69" s="88">
        <f t="shared" si="20"/>
        <v>0.12720710482360809</v>
      </c>
      <c r="AJ69" s="88">
        <f t="shared" si="21"/>
        <v>0</v>
      </c>
      <c r="AK69" s="92">
        <v>1500994.16</v>
      </c>
      <c r="AL69" s="88">
        <f t="shared" si="22"/>
        <v>0.12720710482360809</v>
      </c>
      <c r="AM69" s="88">
        <f t="shared" si="23"/>
        <v>0</v>
      </c>
      <c r="AN69" s="92">
        <v>1500994.16</v>
      </c>
      <c r="AO69" s="88">
        <f t="shared" si="24"/>
        <v>0.12720710482360809</v>
      </c>
      <c r="AP69" s="88">
        <f t="shared" si="25"/>
        <v>-0.24043806864925188</v>
      </c>
    </row>
    <row r="70" spans="1:42" s="63" customFormat="1" x14ac:dyDescent="0.25">
      <c r="A70" s="86" t="s">
        <v>584</v>
      </c>
      <c r="B70" s="86" t="s">
        <v>583</v>
      </c>
      <c r="C70" s="86"/>
      <c r="D70" s="92">
        <v>1976131.37</v>
      </c>
      <c r="E70" s="88">
        <f t="shared" ref="E70:E101" si="26">IF(D70=0,0,D70/$D$5)</f>
        <v>0.16747430271734723</v>
      </c>
      <c r="F70" s="88">
        <f t="shared" ref="F70:F101" si="27">IF(D70=0,0,G70/D70-1)</f>
        <v>-0.13957413165299848</v>
      </c>
      <c r="G70" s="92">
        <v>1700314.5499999998</v>
      </c>
      <c r="H70" s="88">
        <f t="shared" ref="H70:H101" si="28">IF(G70=0,0,G70/$D$5)</f>
        <v>0.14409922234138209</v>
      </c>
      <c r="I70" s="88">
        <f t="shared" ref="I70:I101" si="29">IF(G70=0,0,J70/G70-1)</f>
        <v>2.8445030950303707E-3</v>
      </c>
      <c r="J70" s="92">
        <v>1705151.0999999999</v>
      </c>
      <c r="K70" s="88">
        <f t="shared" ref="K70:K101" si="30">IF(J70=0,0,J70/$D$5)</f>
        <v>0.1445091130253236</v>
      </c>
      <c r="L70" s="88">
        <f t="shared" ref="L70:L101" si="31">IF(J70=0,0,M70/J70-1)</f>
        <v>1.2928666556295321E-2</v>
      </c>
      <c r="M70" s="92">
        <v>1727196.43</v>
      </c>
      <c r="N70" s="88">
        <f t="shared" ref="N70:N101" si="32">IF(M70=0,0,M70/$D$5)</f>
        <v>0.146377423161974</v>
      </c>
      <c r="O70" s="88">
        <f t="shared" ref="O70:O101" si="33">IF(M70=0,0,P70/M70-1)</f>
        <v>1.1305402014986976E-2</v>
      </c>
      <c r="P70" s="92">
        <v>1746723.08</v>
      </c>
      <c r="Q70" s="88">
        <f t="shared" ref="Q70:Q101" si="34">IF(P70=0,0,P70/$D$5)</f>
        <v>0.14803227877673797</v>
      </c>
      <c r="R70" s="88">
        <f t="shared" ref="R70:R101" si="35">IF(P70=0,0,S70/P70-1)</f>
        <v>7.8686027323804364E-3</v>
      </c>
      <c r="S70" s="92">
        <v>1760467.35</v>
      </c>
      <c r="T70" s="88">
        <f t="shared" ref="T70:T101" si="36">IF(S70=0,0,S70/$D$5)</f>
        <v>0.14919708597000111</v>
      </c>
      <c r="U70" s="88">
        <f t="shared" ref="U70:U101" si="37">IF(S70=0,0,V70/S70-1)</f>
        <v>1.4150787857553748E-2</v>
      </c>
      <c r="V70" s="92">
        <v>1785379.35</v>
      </c>
      <c r="W70" s="88">
        <f t="shared" ref="W70:W101" si="38">IF(V70=0,0,V70/$D$5)</f>
        <v>0.15130834228252782</v>
      </c>
      <c r="X70" s="88">
        <f t="shared" ref="X70:X101" si="39">IF(V70=0,0,Y70/V70-1)</f>
        <v>-0.14192232591913878</v>
      </c>
      <c r="Y70" s="92">
        <v>1531994.16</v>
      </c>
      <c r="Z70" s="88">
        <f t="shared" ref="Z70:Z101" si="40">IF(Y70=0,0,Y70/$D$5)</f>
        <v>0.1298343104148223</v>
      </c>
      <c r="AA70" s="88">
        <f t="shared" ref="AA70:AA101" si="41">IF(Y70=0,0,AB70/Y70-1)</f>
        <v>0</v>
      </c>
      <c r="AB70" s="92">
        <v>1531994.16</v>
      </c>
      <c r="AC70" s="88">
        <f t="shared" ref="AC70:AC101" si="42">IF(AB70=0,0,AB70/$D$5)</f>
        <v>0.1298343104148223</v>
      </c>
      <c r="AD70" s="88">
        <f t="shared" ref="AD70:AD101" si="43">IF(AB70=0,0,AE70/AB70-1)</f>
        <v>0</v>
      </c>
      <c r="AE70" s="92">
        <v>1531994.16</v>
      </c>
      <c r="AF70" s="88">
        <f t="shared" ref="AF70:AF101" si="44">IF(AE70=0,0,AE70/$D$5)</f>
        <v>0.1298343104148223</v>
      </c>
      <c r="AG70" s="88">
        <f t="shared" ref="AG70:AG101" si="45">IF(AE70=0,0,AH70/AE70-1)</f>
        <v>-2.0235064081445375E-2</v>
      </c>
      <c r="AH70" s="92">
        <v>1500994.16</v>
      </c>
      <c r="AI70" s="88">
        <f t="shared" ref="AI70:AI101" si="46">IF(AH70=0,0,AH70/$D$5)</f>
        <v>0.12720710482360809</v>
      </c>
      <c r="AJ70" s="88">
        <f t="shared" ref="AJ70:AJ101" si="47">IF(AH70=0,0,AK70/AH70-1)</f>
        <v>0</v>
      </c>
      <c r="AK70" s="92">
        <v>1500994.16</v>
      </c>
      <c r="AL70" s="88">
        <f t="shared" ref="AL70:AL101" si="48">IF(AK70=0,0,AK70/$D$5)</f>
        <v>0.12720710482360809</v>
      </c>
      <c r="AM70" s="88">
        <f t="shared" ref="AM70:AM101" si="49">IF(AK70=0,0,AN70/AK70-1)</f>
        <v>0</v>
      </c>
      <c r="AN70" s="92">
        <v>1500994.16</v>
      </c>
      <c r="AO70" s="88">
        <f t="shared" ref="AO70:AO101" si="50">IF(AN70=0,0,AN70/$D$5)</f>
        <v>0.12720710482360809</v>
      </c>
      <c r="AP70" s="88">
        <f t="shared" ref="AP70:AP101" si="51">IF(D70=0,0,AN70/D70-1)</f>
        <v>-0.24043806864925188</v>
      </c>
    </row>
    <row r="71" spans="1:42" s="74" customFormat="1" x14ac:dyDescent="0.25">
      <c r="A71" s="89" t="s">
        <v>585</v>
      </c>
      <c r="B71" s="89" t="s">
        <v>586</v>
      </c>
      <c r="C71" s="89"/>
      <c r="D71" s="93">
        <v>1443428.75</v>
      </c>
      <c r="E71" s="88">
        <f t="shared" si="26"/>
        <v>0.12232851879094561</v>
      </c>
      <c r="F71" s="88">
        <f t="shared" si="27"/>
        <v>0</v>
      </c>
      <c r="G71" s="93">
        <v>1443428.75</v>
      </c>
      <c r="H71" s="88">
        <f t="shared" si="28"/>
        <v>0.12232851879094561</v>
      </c>
      <c r="I71" s="88">
        <f t="shared" si="29"/>
        <v>0</v>
      </c>
      <c r="J71" s="93">
        <v>1443428.75</v>
      </c>
      <c r="K71" s="88">
        <f t="shared" si="30"/>
        <v>0.12232851879094561</v>
      </c>
      <c r="L71" s="88">
        <f t="shared" si="31"/>
        <v>0</v>
      </c>
      <c r="M71" s="93">
        <v>1443428.75</v>
      </c>
      <c r="N71" s="88">
        <f t="shared" si="32"/>
        <v>0.12232851879094561</v>
      </c>
      <c r="O71" s="88">
        <f t="shared" si="33"/>
        <v>0</v>
      </c>
      <c r="P71" s="93">
        <v>1443428.75</v>
      </c>
      <c r="Q71" s="88">
        <f t="shared" si="34"/>
        <v>0.12232851879094561</v>
      </c>
      <c r="R71" s="88">
        <f t="shared" si="35"/>
        <v>0</v>
      </c>
      <c r="S71" s="93">
        <v>1443428.75</v>
      </c>
      <c r="T71" s="88">
        <f t="shared" si="36"/>
        <v>0.12232851879094561</v>
      </c>
      <c r="U71" s="88">
        <f t="shared" si="37"/>
        <v>0</v>
      </c>
      <c r="V71" s="93">
        <v>1443428.75</v>
      </c>
      <c r="W71" s="88">
        <f t="shared" si="38"/>
        <v>0.12232851879094561</v>
      </c>
      <c r="X71" s="88">
        <f t="shared" si="39"/>
        <v>0</v>
      </c>
      <c r="Y71" s="93">
        <v>1443428.75</v>
      </c>
      <c r="Z71" s="88">
        <f t="shared" si="40"/>
        <v>0.12232851879094561</v>
      </c>
      <c r="AA71" s="88">
        <f t="shared" si="41"/>
        <v>0</v>
      </c>
      <c r="AB71" s="93">
        <v>1443428.75</v>
      </c>
      <c r="AC71" s="88">
        <f t="shared" si="42"/>
        <v>0.12232851879094561</v>
      </c>
      <c r="AD71" s="88">
        <f t="shared" si="43"/>
        <v>0</v>
      </c>
      <c r="AE71" s="93">
        <v>1443428.75</v>
      </c>
      <c r="AF71" s="88">
        <f t="shared" si="44"/>
        <v>0.12232851879094561</v>
      </c>
      <c r="AG71" s="88">
        <f t="shared" si="45"/>
        <v>0</v>
      </c>
      <c r="AH71" s="93">
        <v>1443428.75</v>
      </c>
      <c r="AI71" s="88">
        <f t="shared" si="46"/>
        <v>0.12232851879094561</v>
      </c>
      <c r="AJ71" s="88">
        <f t="shared" si="47"/>
        <v>0</v>
      </c>
      <c r="AK71" s="93">
        <v>1443428.75</v>
      </c>
      <c r="AL71" s="88">
        <f t="shared" si="48"/>
        <v>0.12232851879094561</v>
      </c>
      <c r="AM71" s="88">
        <f t="shared" si="49"/>
        <v>0</v>
      </c>
      <c r="AN71" s="93">
        <v>1443428.75</v>
      </c>
      <c r="AO71" s="88">
        <f t="shared" si="50"/>
        <v>0.12232851879094561</v>
      </c>
      <c r="AP71" s="88">
        <f t="shared" si="51"/>
        <v>0</v>
      </c>
    </row>
    <row r="72" spans="1:42" s="74" customFormat="1" x14ac:dyDescent="0.25">
      <c r="A72" s="89" t="s">
        <v>587</v>
      </c>
      <c r="B72" s="89" t="s">
        <v>588</v>
      </c>
      <c r="C72" s="89"/>
      <c r="D72" s="93">
        <v>39849.31</v>
      </c>
      <c r="E72" s="88">
        <f t="shared" si="26"/>
        <v>3.3771719367105693E-3</v>
      </c>
      <c r="F72" s="88">
        <f t="shared" si="27"/>
        <v>7.0825567619615226E-2</v>
      </c>
      <c r="G72" s="93">
        <v>42671.66</v>
      </c>
      <c r="H72" s="88">
        <f t="shared" si="28"/>
        <v>3.6163620560771305E-3</v>
      </c>
      <c r="I72" s="88">
        <f t="shared" si="29"/>
        <v>0</v>
      </c>
      <c r="J72" s="93">
        <v>42671.66</v>
      </c>
      <c r="K72" s="88">
        <f t="shared" si="30"/>
        <v>3.6163620560771305E-3</v>
      </c>
      <c r="L72" s="88">
        <f t="shared" si="31"/>
        <v>6.6141087550847466E-2</v>
      </c>
      <c r="M72" s="93">
        <v>45494.01</v>
      </c>
      <c r="N72" s="88">
        <f t="shared" si="32"/>
        <v>3.8555521754436912E-3</v>
      </c>
      <c r="O72" s="88">
        <f t="shared" si="33"/>
        <v>6.2037837508718052E-2</v>
      </c>
      <c r="P72" s="93">
        <v>48316.36</v>
      </c>
      <c r="Q72" s="88">
        <f t="shared" si="34"/>
        <v>4.0947422948102519E-3</v>
      </c>
      <c r="R72" s="88">
        <f t="shared" si="35"/>
        <v>5.8413961647773016E-2</v>
      </c>
      <c r="S72" s="93">
        <v>51138.71</v>
      </c>
      <c r="T72" s="88">
        <f t="shared" si="36"/>
        <v>4.3339324141768122E-3</v>
      </c>
      <c r="U72" s="88">
        <f t="shared" si="37"/>
        <v>5.5190089855610358E-2</v>
      </c>
      <c r="V72" s="93">
        <v>53961.06</v>
      </c>
      <c r="W72" s="88">
        <f t="shared" si="38"/>
        <v>4.5731225335433725E-3</v>
      </c>
      <c r="X72" s="88">
        <f t="shared" si="39"/>
        <v>5.2303457344981874E-2</v>
      </c>
      <c r="Y72" s="93">
        <v>56783.41</v>
      </c>
      <c r="Z72" s="88">
        <f t="shared" si="40"/>
        <v>4.8123126529099336E-3</v>
      </c>
      <c r="AA72" s="88">
        <f t="shared" si="41"/>
        <v>0</v>
      </c>
      <c r="AB72" s="93">
        <v>56783.41</v>
      </c>
      <c r="AC72" s="88">
        <f t="shared" si="42"/>
        <v>4.8123126529099336E-3</v>
      </c>
      <c r="AD72" s="88">
        <f t="shared" si="43"/>
        <v>0</v>
      </c>
      <c r="AE72" s="93">
        <v>56783.41</v>
      </c>
      <c r="AF72" s="88">
        <f t="shared" si="44"/>
        <v>4.8123126529099336E-3</v>
      </c>
      <c r="AG72" s="88">
        <f t="shared" si="45"/>
        <v>0</v>
      </c>
      <c r="AH72" s="93">
        <v>56783.41</v>
      </c>
      <c r="AI72" s="88">
        <f t="shared" si="46"/>
        <v>4.8123126529099336E-3</v>
      </c>
      <c r="AJ72" s="88">
        <f t="shared" si="47"/>
        <v>0</v>
      </c>
      <c r="AK72" s="93">
        <v>56783.41</v>
      </c>
      <c r="AL72" s="88">
        <f t="shared" si="48"/>
        <v>4.8123126529099336E-3</v>
      </c>
      <c r="AM72" s="88">
        <f t="shared" si="49"/>
        <v>0</v>
      </c>
      <c r="AN72" s="93">
        <v>56783.41</v>
      </c>
      <c r="AO72" s="88">
        <f t="shared" si="50"/>
        <v>4.8123126529099336E-3</v>
      </c>
      <c r="AP72" s="88">
        <f t="shared" si="51"/>
        <v>0.42495340571769025</v>
      </c>
    </row>
    <row r="73" spans="1:42" s="74" customFormat="1" x14ac:dyDescent="0.25">
      <c r="A73" s="89" t="s">
        <v>589</v>
      </c>
      <c r="B73" s="89" t="s">
        <v>590</v>
      </c>
      <c r="C73" s="89"/>
      <c r="D73" s="93">
        <v>492853.31</v>
      </c>
      <c r="E73" s="88">
        <f t="shared" si="26"/>
        <v>4.1768611989691035E-2</v>
      </c>
      <c r="F73" s="88">
        <f t="shared" si="27"/>
        <v>-0.56535923437340818</v>
      </c>
      <c r="G73" s="93">
        <v>214214.14</v>
      </c>
      <c r="H73" s="88">
        <f t="shared" si="28"/>
        <v>1.8154341494359353E-2</v>
      </c>
      <c r="I73" s="88">
        <f t="shared" si="29"/>
        <v>2.257810805579874E-2</v>
      </c>
      <c r="J73" s="93">
        <v>219050.69</v>
      </c>
      <c r="K73" s="88">
        <f t="shared" si="30"/>
        <v>1.8564232178300871E-2</v>
      </c>
      <c r="L73" s="88">
        <f t="shared" si="31"/>
        <v>8.7755852309800986E-2</v>
      </c>
      <c r="M73" s="93">
        <v>238273.66999999998</v>
      </c>
      <c r="N73" s="88">
        <f t="shared" si="32"/>
        <v>2.0193352195584695E-2</v>
      </c>
      <c r="O73" s="88">
        <f t="shared" si="33"/>
        <v>7.0105521940380555E-2</v>
      </c>
      <c r="P73" s="93">
        <v>254977.97</v>
      </c>
      <c r="Q73" s="88">
        <f t="shared" si="34"/>
        <v>2.1609017690982092E-2</v>
      </c>
      <c r="R73" s="88">
        <f t="shared" si="35"/>
        <v>4.2834759410783629E-2</v>
      </c>
      <c r="S73" s="93">
        <v>265899.89</v>
      </c>
      <c r="T73" s="88">
        <f t="shared" si="36"/>
        <v>2.2534634764878676E-2</v>
      </c>
      <c r="U73" s="88">
        <f t="shared" si="37"/>
        <v>8.3075062573361835E-2</v>
      </c>
      <c r="V73" s="93">
        <v>287989.54000000004</v>
      </c>
      <c r="W73" s="88">
        <f t="shared" si="38"/>
        <v>2.4406700958038829E-2</v>
      </c>
      <c r="X73" s="88">
        <f t="shared" si="39"/>
        <v>-0.8896418251857342</v>
      </c>
      <c r="Y73" s="93">
        <v>31782</v>
      </c>
      <c r="Z73" s="88">
        <f t="shared" si="40"/>
        <v>2.6934789709667575E-3</v>
      </c>
      <c r="AA73" s="88">
        <f t="shared" si="41"/>
        <v>0</v>
      </c>
      <c r="AB73" s="93">
        <v>31782</v>
      </c>
      <c r="AC73" s="88">
        <f t="shared" si="42"/>
        <v>2.6934789709667575E-3</v>
      </c>
      <c r="AD73" s="88">
        <f t="shared" si="43"/>
        <v>0</v>
      </c>
      <c r="AE73" s="93">
        <v>31782</v>
      </c>
      <c r="AF73" s="88">
        <f t="shared" si="44"/>
        <v>2.6934789709667575E-3</v>
      </c>
      <c r="AG73" s="88">
        <f t="shared" si="45"/>
        <v>-0.97539487760367505</v>
      </c>
      <c r="AH73" s="93">
        <v>782</v>
      </c>
      <c r="AI73" s="88">
        <f t="shared" si="46"/>
        <v>6.6273379752564485E-5</v>
      </c>
      <c r="AJ73" s="88">
        <f t="shared" si="47"/>
        <v>0</v>
      </c>
      <c r="AK73" s="93">
        <v>782</v>
      </c>
      <c r="AL73" s="88">
        <f t="shared" si="48"/>
        <v>6.6273379752564485E-5</v>
      </c>
      <c r="AM73" s="88">
        <f t="shared" si="49"/>
        <v>0</v>
      </c>
      <c r="AN73" s="93">
        <v>782</v>
      </c>
      <c r="AO73" s="88">
        <f t="shared" si="50"/>
        <v>6.6273379752564485E-5</v>
      </c>
      <c r="AP73" s="88">
        <f t="shared" si="51"/>
        <v>-0.99841332099402968</v>
      </c>
    </row>
    <row r="74" spans="1:42" s="74" customFormat="1" x14ac:dyDescent="0.25">
      <c r="A74" s="86" t="s">
        <v>182</v>
      </c>
      <c r="B74" s="86" t="s">
        <v>183</v>
      </c>
      <c r="C74" s="86"/>
      <c r="D74" s="92">
        <v>3174893.6900000009</v>
      </c>
      <c r="E74" s="88">
        <f t="shared" si="26"/>
        <v>0.26906769206060205</v>
      </c>
      <c r="F74" s="88">
        <f t="shared" si="27"/>
        <v>-2.0103255803819442E-3</v>
      </c>
      <c r="G74" s="92">
        <v>3168511.1200000006</v>
      </c>
      <c r="H74" s="88">
        <f t="shared" si="28"/>
        <v>0.26852677839639827</v>
      </c>
      <c r="I74" s="88">
        <f t="shared" si="29"/>
        <v>-3.777143127085103E-3</v>
      </c>
      <c r="J74" s="92">
        <v>3156543.1999999997</v>
      </c>
      <c r="K74" s="88">
        <f t="shared" si="30"/>
        <v>0.26751251432094003</v>
      </c>
      <c r="L74" s="88">
        <f t="shared" si="31"/>
        <v>-3.7914640293846835E-3</v>
      </c>
      <c r="M74" s="92">
        <v>3144575.2800000007</v>
      </c>
      <c r="N74" s="88">
        <f t="shared" si="32"/>
        <v>0.2664982502454819</v>
      </c>
      <c r="O74" s="88">
        <f t="shared" si="33"/>
        <v>-3.2851940501167354E-3</v>
      </c>
      <c r="P74" s="92">
        <v>3134244.7400000007</v>
      </c>
      <c r="Q74" s="88">
        <f t="shared" si="34"/>
        <v>0.26562275177940892</v>
      </c>
      <c r="R74" s="88">
        <f t="shared" si="35"/>
        <v>-3.8271452917875148E-3</v>
      </c>
      <c r="S74" s="92">
        <v>3122249.53</v>
      </c>
      <c r="T74" s="88">
        <f t="shared" si="36"/>
        <v>0.26460617491554472</v>
      </c>
      <c r="U74" s="88">
        <f t="shared" si="37"/>
        <v>-3.8418486045859179E-3</v>
      </c>
      <c r="V74" s="92">
        <v>3110254.3200000003</v>
      </c>
      <c r="W74" s="88">
        <f t="shared" si="38"/>
        <v>0.26358959805168064</v>
      </c>
      <c r="X74" s="88">
        <f t="shared" si="39"/>
        <v>-1.5873653701733437E-3</v>
      </c>
      <c r="Y74" s="92">
        <v>3105317.2100000004</v>
      </c>
      <c r="Z74" s="88">
        <f t="shared" si="40"/>
        <v>0.26317118505179549</v>
      </c>
      <c r="AA74" s="88">
        <f t="shared" si="41"/>
        <v>-2.7052405380511013E-3</v>
      </c>
      <c r="AB74" s="92">
        <v>3096916.5800000005</v>
      </c>
      <c r="AC74" s="88">
        <f t="shared" si="42"/>
        <v>0.2624592436935464</v>
      </c>
      <c r="AD74" s="88">
        <f t="shared" si="43"/>
        <v>7.8222546117143743E-3</v>
      </c>
      <c r="AE74" s="92">
        <v>3121141.45</v>
      </c>
      <c r="AF74" s="88">
        <f t="shared" si="44"/>
        <v>0.26451226672291533</v>
      </c>
      <c r="AG74" s="88">
        <f t="shared" si="45"/>
        <v>-3.868684003411671E-3</v>
      </c>
      <c r="AH74" s="92">
        <v>3109066.74</v>
      </c>
      <c r="AI74" s="88">
        <f t="shared" si="46"/>
        <v>0.26348895234793823</v>
      </c>
      <c r="AJ74" s="88">
        <f t="shared" si="47"/>
        <v>-3.8689069762456452E-3</v>
      </c>
      <c r="AK74" s="92">
        <v>3097038.0500000007</v>
      </c>
      <c r="AL74" s="88">
        <f t="shared" si="48"/>
        <v>0.2624695381020356</v>
      </c>
      <c r="AM74" s="88">
        <f t="shared" si="49"/>
        <v>-5.6774149093841153E-3</v>
      </c>
      <c r="AN74" s="92">
        <v>3079454.8800000008</v>
      </c>
      <c r="AO74" s="88">
        <f t="shared" si="50"/>
        <v>0.26097938963315598</v>
      </c>
      <c r="AP74" s="88">
        <f t="shared" si="51"/>
        <v>-3.0060474245359736E-2</v>
      </c>
    </row>
    <row r="75" spans="1:42" s="74" customFormat="1" x14ac:dyDescent="0.25">
      <c r="A75" s="86" t="s">
        <v>184</v>
      </c>
      <c r="B75" s="86" t="s">
        <v>185</v>
      </c>
      <c r="C75" s="86"/>
      <c r="D75" s="92">
        <v>14060.58</v>
      </c>
      <c r="E75" s="88">
        <f t="shared" si="26"/>
        <v>1.1916140126359504E-3</v>
      </c>
      <c r="F75" s="88">
        <f t="shared" si="27"/>
        <v>0</v>
      </c>
      <c r="G75" s="92">
        <v>14060.58</v>
      </c>
      <c r="H75" s="88">
        <f t="shared" si="28"/>
        <v>1.1916140126359504E-3</v>
      </c>
      <c r="I75" s="88">
        <f t="shared" si="29"/>
        <v>0</v>
      </c>
      <c r="J75" s="92">
        <v>14060.58</v>
      </c>
      <c r="K75" s="88">
        <f t="shared" si="30"/>
        <v>1.1916140126359504E-3</v>
      </c>
      <c r="L75" s="88">
        <f t="shared" si="31"/>
        <v>0</v>
      </c>
      <c r="M75" s="92">
        <v>14060.58</v>
      </c>
      <c r="N75" s="88">
        <f t="shared" si="32"/>
        <v>1.1916140126359504E-3</v>
      </c>
      <c r="O75" s="88">
        <f t="shared" si="33"/>
        <v>0</v>
      </c>
      <c r="P75" s="92">
        <v>14060.58</v>
      </c>
      <c r="Q75" s="88">
        <f t="shared" si="34"/>
        <v>1.1916140126359504E-3</v>
      </c>
      <c r="R75" s="88">
        <f t="shared" si="35"/>
        <v>0</v>
      </c>
      <c r="S75" s="92">
        <v>14060.58</v>
      </c>
      <c r="T75" s="88">
        <f t="shared" si="36"/>
        <v>1.1916140126359504E-3</v>
      </c>
      <c r="U75" s="88">
        <f t="shared" si="37"/>
        <v>0</v>
      </c>
      <c r="V75" s="92">
        <v>14060.58</v>
      </c>
      <c r="W75" s="88">
        <f t="shared" si="38"/>
        <v>1.1916140126359504E-3</v>
      </c>
      <c r="X75" s="88">
        <f t="shared" si="39"/>
        <v>0</v>
      </c>
      <c r="Y75" s="92">
        <v>14060.58</v>
      </c>
      <c r="Z75" s="88">
        <f t="shared" si="40"/>
        <v>1.1916140126359504E-3</v>
      </c>
      <c r="AA75" s="88">
        <f t="shared" si="41"/>
        <v>0</v>
      </c>
      <c r="AB75" s="92">
        <v>14060.58</v>
      </c>
      <c r="AC75" s="88">
        <f t="shared" si="42"/>
        <v>1.1916140126359504E-3</v>
      </c>
      <c r="AD75" s="88">
        <f t="shared" si="43"/>
        <v>0</v>
      </c>
      <c r="AE75" s="92">
        <v>14060.58</v>
      </c>
      <c r="AF75" s="88">
        <f t="shared" si="44"/>
        <v>1.1916140126359504E-3</v>
      </c>
      <c r="AG75" s="88">
        <f t="shared" si="45"/>
        <v>0</v>
      </c>
      <c r="AH75" s="92">
        <v>14060.58</v>
      </c>
      <c r="AI75" s="88">
        <f t="shared" si="46"/>
        <v>1.1916140126359504E-3</v>
      </c>
      <c r="AJ75" s="88">
        <f t="shared" si="47"/>
        <v>0</v>
      </c>
      <c r="AK75" s="92">
        <v>14060.58</v>
      </c>
      <c r="AL75" s="88">
        <f t="shared" si="48"/>
        <v>1.1916140126359504E-3</v>
      </c>
      <c r="AM75" s="88">
        <f t="shared" si="49"/>
        <v>0</v>
      </c>
      <c r="AN75" s="92">
        <v>14060.58</v>
      </c>
      <c r="AO75" s="88">
        <f t="shared" si="50"/>
        <v>1.1916140126359504E-3</v>
      </c>
      <c r="AP75" s="88">
        <f t="shared" si="51"/>
        <v>0</v>
      </c>
    </row>
    <row r="76" spans="1:42" s="74" customFormat="1" x14ac:dyDescent="0.25">
      <c r="A76" s="86" t="s">
        <v>591</v>
      </c>
      <c r="B76" s="86" t="s">
        <v>592</v>
      </c>
      <c r="C76" s="86"/>
      <c r="D76" s="92">
        <v>14060.58</v>
      </c>
      <c r="E76" s="88">
        <f t="shared" si="26"/>
        <v>1.1916140126359504E-3</v>
      </c>
      <c r="F76" s="88">
        <f t="shared" si="27"/>
        <v>0</v>
      </c>
      <c r="G76" s="92">
        <v>14060.58</v>
      </c>
      <c r="H76" s="88">
        <f t="shared" si="28"/>
        <v>1.1916140126359504E-3</v>
      </c>
      <c r="I76" s="88">
        <f t="shared" si="29"/>
        <v>0</v>
      </c>
      <c r="J76" s="92">
        <v>14060.58</v>
      </c>
      <c r="K76" s="88">
        <f t="shared" si="30"/>
        <v>1.1916140126359504E-3</v>
      </c>
      <c r="L76" s="88">
        <f t="shared" si="31"/>
        <v>0</v>
      </c>
      <c r="M76" s="92">
        <v>14060.58</v>
      </c>
      <c r="N76" s="88">
        <f t="shared" si="32"/>
        <v>1.1916140126359504E-3</v>
      </c>
      <c r="O76" s="88">
        <f t="shared" si="33"/>
        <v>0</v>
      </c>
      <c r="P76" s="92">
        <v>14060.58</v>
      </c>
      <c r="Q76" s="88">
        <f t="shared" si="34"/>
        <v>1.1916140126359504E-3</v>
      </c>
      <c r="R76" s="88">
        <f t="shared" si="35"/>
        <v>0</v>
      </c>
      <c r="S76" s="92">
        <v>14060.58</v>
      </c>
      <c r="T76" s="88">
        <f t="shared" si="36"/>
        <v>1.1916140126359504E-3</v>
      </c>
      <c r="U76" s="88">
        <f t="shared" si="37"/>
        <v>0</v>
      </c>
      <c r="V76" s="92">
        <v>14060.58</v>
      </c>
      <c r="W76" s="88">
        <f t="shared" si="38"/>
        <v>1.1916140126359504E-3</v>
      </c>
      <c r="X76" s="88">
        <f t="shared" si="39"/>
        <v>0</v>
      </c>
      <c r="Y76" s="92">
        <v>14060.58</v>
      </c>
      <c r="Z76" s="88">
        <f t="shared" si="40"/>
        <v>1.1916140126359504E-3</v>
      </c>
      <c r="AA76" s="88">
        <f t="shared" si="41"/>
        <v>0</v>
      </c>
      <c r="AB76" s="92">
        <v>14060.58</v>
      </c>
      <c r="AC76" s="88">
        <f t="shared" si="42"/>
        <v>1.1916140126359504E-3</v>
      </c>
      <c r="AD76" s="88">
        <f t="shared" si="43"/>
        <v>0</v>
      </c>
      <c r="AE76" s="92">
        <v>14060.58</v>
      </c>
      <c r="AF76" s="88">
        <f t="shared" si="44"/>
        <v>1.1916140126359504E-3</v>
      </c>
      <c r="AG76" s="88">
        <f t="shared" si="45"/>
        <v>0</v>
      </c>
      <c r="AH76" s="92">
        <v>14060.58</v>
      </c>
      <c r="AI76" s="88">
        <f t="shared" si="46"/>
        <v>1.1916140126359504E-3</v>
      </c>
      <c r="AJ76" s="88">
        <f t="shared" si="47"/>
        <v>0</v>
      </c>
      <c r="AK76" s="92">
        <v>14060.58</v>
      </c>
      <c r="AL76" s="88">
        <f t="shared" si="48"/>
        <v>1.1916140126359504E-3</v>
      </c>
      <c r="AM76" s="88">
        <f t="shared" si="49"/>
        <v>0</v>
      </c>
      <c r="AN76" s="92">
        <v>14060.58</v>
      </c>
      <c r="AO76" s="88">
        <f t="shared" si="50"/>
        <v>1.1916140126359504E-3</v>
      </c>
      <c r="AP76" s="88">
        <f t="shared" si="51"/>
        <v>0</v>
      </c>
    </row>
    <row r="77" spans="1:42" s="74" customFormat="1" x14ac:dyDescent="0.25">
      <c r="A77" s="86" t="s">
        <v>593</v>
      </c>
      <c r="B77" s="86" t="s">
        <v>592</v>
      </c>
      <c r="C77" s="86"/>
      <c r="D77" s="92">
        <v>14060.58</v>
      </c>
      <c r="E77" s="88">
        <f t="shared" si="26"/>
        <v>1.1916140126359504E-3</v>
      </c>
      <c r="F77" s="88">
        <f t="shared" si="27"/>
        <v>0</v>
      </c>
      <c r="G77" s="92">
        <v>14060.58</v>
      </c>
      <c r="H77" s="88">
        <f t="shared" si="28"/>
        <v>1.1916140126359504E-3</v>
      </c>
      <c r="I77" s="88">
        <f t="shared" si="29"/>
        <v>0</v>
      </c>
      <c r="J77" s="92">
        <v>14060.58</v>
      </c>
      <c r="K77" s="88">
        <f t="shared" si="30"/>
        <v>1.1916140126359504E-3</v>
      </c>
      <c r="L77" s="88">
        <f t="shared" si="31"/>
        <v>0</v>
      </c>
      <c r="M77" s="92">
        <v>14060.58</v>
      </c>
      <c r="N77" s="88">
        <f t="shared" si="32"/>
        <v>1.1916140126359504E-3</v>
      </c>
      <c r="O77" s="88">
        <f t="shared" si="33"/>
        <v>0</v>
      </c>
      <c r="P77" s="92">
        <v>14060.58</v>
      </c>
      <c r="Q77" s="88">
        <f t="shared" si="34"/>
        <v>1.1916140126359504E-3</v>
      </c>
      <c r="R77" s="88">
        <f t="shared" si="35"/>
        <v>0</v>
      </c>
      <c r="S77" s="92">
        <v>14060.58</v>
      </c>
      <c r="T77" s="88">
        <f t="shared" si="36"/>
        <v>1.1916140126359504E-3</v>
      </c>
      <c r="U77" s="88">
        <f t="shared" si="37"/>
        <v>0</v>
      </c>
      <c r="V77" s="92">
        <v>14060.58</v>
      </c>
      <c r="W77" s="88">
        <f t="shared" si="38"/>
        <v>1.1916140126359504E-3</v>
      </c>
      <c r="X77" s="88">
        <f t="shared" si="39"/>
        <v>0</v>
      </c>
      <c r="Y77" s="92">
        <v>14060.58</v>
      </c>
      <c r="Z77" s="88">
        <f t="shared" si="40"/>
        <v>1.1916140126359504E-3</v>
      </c>
      <c r="AA77" s="88">
        <f t="shared" si="41"/>
        <v>0</v>
      </c>
      <c r="AB77" s="92">
        <v>14060.58</v>
      </c>
      <c r="AC77" s="88">
        <f t="shared" si="42"/>
        <v>1.1916140126359504E-3</v>
      </c>
      <c r="AD77" s="88">
        <f t="shared" si="43"/>
        <v>0</v>
      </c>
      <c r="AE77" s="92">
        <v>14060.58</v>
      </c>
      <c r="AF77" s="88">
        <f t="shared" si="44"/>
        <v>1.1916140126359504E-3</v>
      </c>
      <c r="AG77" s="88">
        <f t="shared" si="45"/>
        <v>0</v>
      </c>
      <c r="AH77" s="92">
        <v>14060.58</v>
      </c>
      <c r="AI77" s="88">
        <f t="shared" si="46"/>
        <v>1.1916140126359504E-3</v>
      </c>
      <c r="AJ77" s="88">
        <f t="shared" si="47"/>
        <v>0</v>
      </c>
      <c r="AK77" s="92">
        <v>14060.58</v>
      </c>
      <c r="AL77" s="88">
        <f t="shared" si="48"/>
        <v>1.1916140126359504E-3</v>
      </c>
      <c r="AM77" s="88">
        <f t="shared" si="49"/>
        <v>0</v>
      </c>
      <c r="AN77" s="92">
        <v>14060.58</v>
      </c>
      <c r="AO77" s="88">
        <f t="shared" si="50"/>
        <v>1.1916140126359504E-3</v>
      </c>
      <c r="AP77" s="88">
        <f t="shared" si="51"/>
        <v>0</v>
      </c>
    </row>
    <row r="78" spans="1:42" s="74" customFormat="1" x14ac:dyDescent="0.25">
      <c r="A78" s="89" t="s">
        <v>594</v>
      </c>
      <c r="B78" s="89" t="s">
        <v>595</v>
      </c>
      <c r="C78" s="89"/>
      <c r="D78" s="93">
        <v>14060.58</v>
      </c>
      <c r="E78" s="88">
        <f t="shared" si="26"/>
        <v>1.1916140126359504E-3</v>
      </c>
      <c r="F78" s="88">
        <f t="shared" si="27"/>
        <v>0</v>
      </c>
      <c r="G78" s="93">
        <v>14060.58</v>
      </c>
      <c r="H78" s="88">
        <f t="shared" si="28"/>
        <v>1.1916140126359504E-3</v>
      </c>
      <c r="I78" s="88">
        <f t="shared" si="29"/>
        <v>0</v>
      </c>
      <c r="J78" s="93">
        <v>14060.58</v>
      </c>
      <c r="K78" s="88">
        <f t="shared" si="30"/>
        <v>1.1916140126359504E-3</v>
      </c>
      <c r="L78" s="88">
        <f t="shared" si="31"/>
        <v>0</v>
      </c>
      <c r="M78" s="93">
        <v>14060.58</v>
      </c>
      <c r="N78" s="88">
        <f t="shared" si="32"/>
        <v>1.1916140126359504E-3</v>
      </c>
      <c r="O78" s="88">
        <f t="shared" si="33"/>
        <v>0</v>
      </c>
      <c r="P78" s="93">
        <v>14060.58</v>
      </c>
      <c r="Q78" s="88">
        <f t="shared" si="34"/>
        <v>1.1916140126359504E-3</v>
      </c>
      <c r="R78" s="88">
        <f t="shared" si="35"/>
        <v>0</v>
      </c>
      <c r="S78" s="93">
        <v>14060.58</v>
      </c>
      <c r="T78" s="88">
        <f t="shared" si="36"/>
        <v>1.1916140126359504E-3</v>
      </c>
      <c r="U78" s="88">
        <f t="shared" si="37"/>
        <v>0</v>
      </c>
      <c r="V78" s="93">
        <v>14060.58</v>
      </c>
      <c r="W78" s="88">
        <f t="shared" si="38"/>
        <v>1.1916140126359504E-3</v>
      </c>
      <c r="X78" s="88">
        <f t="shared" si="39"/>
        <v>0</v>
      </c>
      <c r="Y78" s="93">
        <v>14060.58</v>
      </c>
      <c r="Z78" s="88">
        <f t="shared" si="40"/>
        <v>1.1916140126359504E-3</v>
      </c>
      <c r="AA78" s="88">
        <f t="shared" si="41"/>
        <v>0</v>
      </c>
      <c r="AB78" s="93">
        <v>14060.58</v>
      </c>
      <c r="AC78" s="88">
        <f t="shared" si="42"/>
        <v>1.1916140126359504E-3</v>
      </c>
      <c r="AD78" s="88">
        <f t="shared" si="43"/>
        <v>0</v>
      </c>
      <c r="AE78" s="93">
        <v>14060.58</v>
      </c>
      <c r="AF78" s="88">
        <f t="shared" si="44"/>
        <v>1.1916140126359504E-3</v>
      </c>
      <c r="AG78" s="88">
        <f t="shared" si="45"/>
        <v>0</v>
      </c>
      <c r="AH78" s="93">
        <v>14060.58</v>
      </c>
      <c r="AI78" s="88">
        <f t="shared" si="46"/>
        <v>1.1916140126359504E-3</v>
      </c>
      <c r="AJ78" s="88">
        <f t="shared" si="47"/>
        <v>0</v>
      </c>
      <c r="AK78" s="93">
        <v>14060.58</v>
      </c>
      <c r="AL78" s="88">
        <f t="shared" si="48"/>
        <v>1.1916140126359504E-3</v>
      </c>
      <c r="AM78" s="88">
        <f t="shared" si="49"/>
        <v>0</v>
      </c>
      <c r="AN78" s="93">
        <v>14060.58</v>
      </c>
      <c r="AO78" s="88">
        <f t="shared" si="50"/>
        <v>1.1916140126359504E-3</v>
      </c>
      <c r="AP78" s="88">
        <f t="shared" si="51"/>
        <v>0</v>
      </c>
    </row>
    <row r="79" spans="1:42" s="74" customFormat="1" x14ac:dyDescent="0.25">
      <c r="A79" s="86" t="s">
        <v>186</v>
      </c>
      <c r="B79" s="86" t="s">
        <v>187</v>
      </c>
      <c r="C79" s="86"/>
      <c r="D79" s="92">
        <v>3160833.1100000008</v>
      </c>
      <c r="E79" s="88">
        <f t="shared" si="26"/>
        <v>0.26787607804796609</v>
      </c>
      <c r="F79" s="88">
        <f t="shared" si="27"/>
        <v>-2.0192682681687835E-3</v>
      </c>
      <c r="G79" s="92">
        <v>3154450.5400000005</v>
      </c>
      <c r="H79" s="88">
        <f t="shared" si="28"/>
        <v>0.26733516438376231</v>
      </c>
      <c r="I79" s="88">
        <f t="shared" si="29"/>
        <v>-3.7939792836316766E-3</v>
      </c>
      <c r="J79" s="92">
        <v>3142482.6199999996</v>
      </c>
      <c r="K79" s="88">
        <f t="shared" si="30"/>
        <v>0.26632090030830408</v>
      </c>
      <c r="L79" s="88">
        <f t="shared" si="31"/>
        <v>-3.8084283820156717E-3</v>
      </c>
      <c r="M79" s="92">
        <v>3130514.7000000007</v>
      </c>
      <c r="N79" s="88">
        <f t="shared" si="32"/>
        <v>0.26530663623284595</v>
      </c>
      <c r="O79" s="88">
        <f t="shared" si="33"/>
        <v>-3.2999493661537427E-3</v>
      </c>
      <c r="P79" s="92">
        <v>3120184.1600000006</v>
      </c>
      <c r="Q79" s="88">
        <f t="shared" si="34"/>
        <v>0.26443113776677296</v>
      </c>
      <c r="R79" s="88">
        <f t="shared" si="35"/>
        <v>-3.844391672061076E-3</v>
      </c>
      <c r="S79" s="92">
        <v>3108188.9499999997</v>
      </c>
      <c r="T79" s="88">
        <f t="shared" si="36"/>
        <v>0.26341456090290877</v>
      </c>
      <c r="U79" s="88">
        <f t="shared" si="37"/>
        <v>-3.8592280562607106E-3</v>
      </c>
      <c r="V79" s="92">
        <v>3096193.74</v>
      </c>
      <c r="W79" s="88">
        <f t="shared" si="38"/>
        <v>0.26239798403904468</v>
      </c>
      <c r="X79" s="88">
        <f t="shared" si="39"/>
        <v>-1.5945739881251253E-3</v>
      </c>
      <c r="Y79" s="92">
        <v>3091256.6300000004</v>
      </c>
      <c r="Z79" s="88">
        <f t="shared" si="40"/>
        <v>0.26197957103915953</v>
      </c>
      <c r="AA79" s="88">
        <f t="shared" si="41"/>
        <v>-2.7175453239545178E-3</v>
      </c>
      <c r="AB79" s="92">
        <v>3082856.0000000005</v>
      </c>
      <c r="AC79" s="88">
        <f t="shared" si="42"/>
        <v>0.26126762968091044</v>
      </c>
      <c r="AD79" s="88">
        <f t="shared" si="43"/>
        <v>7.8579310872775032E-3</v>
      </c>
      <c r="AE79" s="92">
        <v>3107080.87</v>
      </c>
      <c r="AF79" s="88">
        <f t="shared" si="44"/>
        <v>0.26332065271027938</v>
      </c>
      <c r="AG79" s="88">
        <f t="shared" si="45"/>
        <v>-3.8861910922839416E-3</v>
      </c>
      <c r="AH79" s="92">
        <v>3095006.16</v>
      </c>
      <c r="AI79" s="88">
        <f t="shared" si="46"/>
        <v>0.26229733833530228</v>
      </c>
      <c r="AJ79" s="88">
        <f t="shared" si="47"/>
        <v>-3.8864833794061138E-3</v>
      </c>
      <c r="AK79" s="92">
        <v>3082977.4700000007</v>
      </c>
      <c r="AL79" s="88">
        <f t="shared" si="48"/>
        <v>0.26127792408939965</v>
      </c>
      <c r="AM79" s="88">
        <f t="shared" si="49"/>
        <v>-5.7033079777907281E-3</v>
      </c>
      <c r="AN79" s="92">
        <v>3065394.3000000007</v>
      </c>
      <c r="AO79" s="88">
        <f t="shared" si="50"/>
        <v>0.25978777562052002</v>
      </c>
      <c r="AP79" s="88">
        <f t="shared" si="51"/>
        <v>-3.01941945932096E-2</v>
      </c>
    </row>
    <row r="80" spans="1:42" s="63" customFormat="1" x14ac:dyDescent="0.25">
      <c r="A80" s="86" t="s">
        <v>188</v>
      </c>
      <c r="B80" s="86" t="s">
        <v>189</v>
      </c>
      <c r="C80" s="86"/>
      <c r="D80" s="92">
        <v>3160833.1100000008</v>
      </c>
      <c r="E80" s="88">
        <f t="shared" si="26"/>
        <v>0.26787607804796609</v>
      </c>
      <c r="F80" s="88">
        <f t="shared" si="27"/>
        <v>-2.0192682681687835E-3</v>
      </c>
      <c r="G80" s="92">
        <v>3154450.5400000005</v>
      </c>
      <c r="H80" s="88">
        <f t="shared" si="28"/>
        <v>0.26733516438376231</v>
      </c>
      <c r="I80" s="88">
        <f t="shared" si="29"/>
        <v>-3.7939792836316766E-3</v>
      </c>
      <c r="J80" s="92">
        <v>3142482.6199999996</v>
      </c>
      <c r="K80" s="88">
        <f t="shared" si="30"/>
        <v>0.26632090030830408</v>
      </c>
      <c r="L80" s="88">
        <f t="shared" si="31"/>
        <v>-3.8084283820156717E-3</v>
      </c>
      <c r="M80" s="92">
        <v>3130514.7000000007</v>
      </c>
      <c r="N80" s="88">
        <f t="shared" si="32"/>
        <v>0.26530663623284595</v>
      </c>
      <c r="O80" s="88">
        <f t="shared" si="33"/>
        <v>-3.2999493661537427E-3</v>
      </c>
      <c r="P80" s="92">
        <v>3120184.1600000006</v>
      </c>
      <c r="Q80" s="88">
        <f t="shared" si="34"/>
        <v>0.26443113776677296</v>
      </c>
      <c r="R80" s="88">
        <f t="shared" si="35"/>
        <v>-3.844391672061076E-3</v>
      </c>
      <c r="S80" s="92">
        <v>3108188.9499999997</v>
      </c>
      <c r="T80" s="88">
        <f t="shared" si="36"/>
        <v>0.26341456090290877</v>
      </c>
      <c r="U80" s="88">
        <f t="shared" si="37"/>
        <v>-3.8592280562607106E-3</v>
      </c>
      <c r="V80" s="92">
        <v>3096193.74</v>
      </c>
      <c r="W80" s="88">
        <f t="shared" si="38"/>
        <v>0.26239798403904468</v>
      </c>
      <c r="X80" s="88">
        <f t="shared" si="39"/>
        <v>-1.5945739881251253E-3</v>
      </c>
      <c r="Y80" s="92">
        <v>3091256.6300000004</v>
      </c>
      <c r="Z80" s="88">
        <f t="shared" si="40"/>
        <v>0.26197957103915953</v>
      </c>
      <c r="AA80" s="88">
        <f t="shared" si="41"/>
        <v>-2.7175453239545178E-3</v>
      </c>
      <c r="AB80" s="92">
        <v>3082856.0000000005</v>
      </c>
      <c r="AC80" s="88">
        <f t="shared" si="42"/>
        <v>0.26126762968091044</v>
      </c>
      <c r="AD80" s="88">
        <f t="shared" si="43"/>
        <v>7.8579310872775032E-3</v>
      </c>
      <c r="AE80" s="92">
        <v>3107080.87</v>
      </c>
      <c r="AF80" s="88">
        <f t="shared" si="44"/>
        <v>0.26332065271027938</v>
      </c>
      <c r="AG80" s="88">
        <f t="shared" si="45"/>
        <v>-3.8861910922839416E-3</v>
      </c>
      <c r="AH80" s="92">
        <v>3095006.16</v>
      </c>
      <c r="AI80" s="88">
        <f t="shared" si="46"/>
        <v>0.26229733833530228</v>
      </c>
      <c r="AJ80" s="88">
        <f t="shared" si="47"/>
        <v>-3.8864833794061138E-3</v>
      </c>
      <c r="AK80" s="92">
        <v>3082977.4700000007</v>
      </c>
      <c r="AL80" s="88">
        <f t="shared" si="48"/>
        <v>0.26127792408939965</v>
      </c>
      <c r="AM80" s="88">
        <f t="shared" si="49"/>
        <v>-5.7033079777907281E-3</v>
      </c>
      <c r="AN80" s="92">
        <v>3065394.3000000007</v>
      </c>
      <c r="AO80" s="88">
        <f t="shared" si="50"/>
        <v>0.25978777562052002</v>
      </c>
      <c r="AP80" s="88">
        <f t="shared" si="51"/>
        <v>-3.01941945932096E-2</v>
      </c>
    </row>
    <row r="81" spans="1:42" s="74" customFormat="1" x14ac:dyDescent="0.25">
      <c r="A81" s="86" t="s">
        <v>596</v>
      </c>
      <c r="B81" s="86" t="s">
        <v>597</v>
      </c>
      <c r="C81" s="86"/>
      <c r="D81" s="92">
        <v>500000</v>
      </c>
      <c r="E81" s="88">
        <f t="shared" si="26"/>
        <v>4.2374283729261178E-2</v>
      </c>
      <c r="F81" s="88">
        <f t="shared" si="27"/>
        <v>0</v>
      </c>
      <c r="G81" s="92">
        <v>500000</v>
      </c>
      <c r="H81" s="88">
        <f t="shared" si="28"/>
        <v>4.2374283729261178E-2</v>
      </c>
      <c r="I81" s="88">
        <f t="shared" si="29"/>
        <v>0</v>
      </c>
      <c r="J81" s="92">
        <v>500000</v>
      </c>
      <c r="K81" s="88">
        <f t="shared" si="30"/>
        <v>4.2374283729261178E-2</v>
      </c>
      <c r="L81" s="88">
        <f t="shared" si="31"/>
        <v>0</v>
      </c>
      <c r="M81" s="92">
        <v>500000</v>
      </c>
      <c r="N81" s="88">
        <f t="shared" si="32"/>
        <v>4.2374283729261178E-2</v>
      </c>
      <c r="O81" s="88">
        <f t="shared" si="33"/>
        <v>0</v>
      </c>
      <c r="P81" s="92">
        <v>500000</v>
      </c>
      <c r="Q81" s="88">
        <f t="shared" si="34"/>
        <v>4.2374283729261178E-2</v>
      </c>
      <c r="R81" s="88">
        <f t="shared" si="35"/>
        <v>0</v>
      </c>
      <c r="S81" s="92">
        <v>500000</v>
      </c>
      <c r="T81" s="88">
        <f t="shared" si="36"/>
        <v>4.2374283729261178E-2</v>
      </c>
      <c r="U81" s="88">
        <f t="shared" si="37"/>
        <v>0</v>
      </c>
      <c r="V81" s="92">
        <v>500000</v>
      </c>
      <c r="W81" s="88">
        <f t="shared" si="38"/>
        <v>4.2374283729261178E-2</v>
      </c>
      <c r="X81" s="88">
        <f t="shared" si="39"/>
        <v>0</v>
      </c>
      <c r="Y81" s="92">
        <v>500000</v>
      </c>
      <c r="Z81" s="88">
        <f t="shared" si="40"/>
        <v>4.2374283729261178E-2</v>
      </c>
      <c r="AA81" s="88">
        <f t="shared" si="41"/>
        <v>0</v>
      </c>
      <c r="AB81" s="92">
        <v>500000</v>
      </c>
      <c r="AC81" s="88">
        <f t="shared" si="42"/>
        <v>4.2374283729261178E-2</v>
      </c>
      <c r="AD81" s="88">
        <f t="shared" si="43"/>
        <v>0</v>
      </c>
      <c r="AE81" s="92">
        <v>500000</v>
      </c>
      <c r="AF81" s="88">
        <f t="shared" si="44"/>
        <v>4.2374283729261178E-2</v>
      </c>
      <c r="AG81" s="88">
        <f t="shared" si="45"/>
        <v>0</v>
      </c>
      <c r="AH81" s="92">
        <v>500000</v>
      </c>
      <c r="AI81" s="88">
        <f t="shared" si="46"/>
        <v>4.2374283729261178E-2</v>
      </c>
      <c r="AJ81" s="88">
        <f t="shared" si="47"/>
        <v>0</v>
      </c>
      <c r="AK81" s="92">
        <v>500000</v>
      </c>
      <c r="AL81" s="88">
        <f t="shared" si="48"/>
        <v>4.2374283729261178E-2</v>
      </c>
      <c r="AM81" s="88">
        <f t="shared" si="49"/>
        <v>0</v>
      </c>
      <c r="AN81" s="92">
        <v>500000</v>
      </c>
      <c r="AO81" s="88">
        <f t="shared" si="50"/>
        <v>4.2374283729261178E-2</v>
      </c>
      <c r="AP81" s="88">
        <f t="shared" si="51"/>
        <v>0</v>
      </c>
    </row>
    <row r="82" spans="1:42" s="74" customFormat="1" x14ac:dyDescent="0.25">
      <c r="A82" s="89" t="s">
        <v>598</v>
      </c>
      <c r="B82" s="89" t="s">
        <v>599</v>
      </c>
      <c r="C82" s="89"/>
      <c r="D82" s="93">
        <v>500000</v>
      </c>
      <c r="E82" s="88">
        <f t="shared" si="26"/>
        <v>4.2374283729261178E-2</v>
      </c>
      <c r="F82" s="88">
        <f t="shared" si="27"/>
        <v>0</v>
      </c>
      <c r="G82" s="93">
        <v>500000</v>
      </c>
      <c r="H82" s="88">
        <f t="shared" si="28"/>
        <v>4.2374283729261178E-2</v>
      </c>
      <c r="I82" s="88">
        <f t="shared" si="29"/>
        <v>0</v>
      </c>
      <c r="J82" s="93">
        <v>500000</v>
      </c>
      <c r="K82" s="88">
        <f t="shared" si="30"/>
        <v>4.2374283729261178E-2</v>
      </c>
      <c r="L82" s="88">
        <f t="shared" si="31"/>
        <v>0</v>
      </c>
      <c r="M82" s="93">
        <v>500000</v>
      </c>
      <c r="N82" s="88">
        <f t="shared" si="32"/>
        <v>4.2374283729261178E-2</v>
      </c>
      <c r="O82" s="88">
        <f t="shared" si="33"/>
        <v>0</v>
      </c>
      <c r="P82" s="93">
        <v>500000</v>
      </c>
      <c r="Q82" s="88">
        <f t="shared" si="34"/>
        <v>4.2374283729261178E-2</v>
      </c>
      <c r="R82" s="88">
        <f t="shared" si="35"/>
        <v>0</v>
      </c>
      <c r="S82" s="93">
        <v>500000</v>
      </c>
      <c r="T82" s="88">
        <f t="shared" si="36"/>
        <v>4.2374283729261178E-2</v>
      </c>
      <c r="U82" s="88">
        <f t="shared" si="37"/>
        <v>0</v>
      </c>
      <c r="V82" s="93">
        <v>500000</v>
      </c>
      <c r="W82" s="88">
        <f t="shared" si="38"/>
        <v>4.2374283729261178E-2</v>
      </c>
      <c r="X82" s="88">
        <f t="shared" si="39"/>
        <v>0</v>
      </c>
      <c r="Y82" s="93">
        <v>500000</v>
      </c>
      <c r="Z82" s="88">
        <f t="shared" si="40"/>
        <v>4.2374283729261178E-2</v>
      </c>
      <c r="AA82" s="88">
        <f t="shared" si="41"/>
        <v>0</v>
      </c>
      <c r="AB82" s="93">
        <v>500000</v>
      </c>
      <c r="AC82" s="88">
        <f t="shared" si="42"/>
        <v>4.2374283729261178E-2</v>
      </c>
      <c r="AD82" s="88">
        <f t="shared" si="43"/>
        <v>0</v>
      </c>
      <c r="AE82" s="93">
        <v>500000</v>
      </c>
      <c r="AF82" s="88">
        <f t="shared" si="44"/>
        <v>4.2374283729261178E-2</v>
      </c>
      <c r="AG82" s="88">
        <f t="shared" si="45"/>
        <v>0</v>
      </c>
      <c r="AH82" s="93">
        <v>500000</v>
      </c>
      <c r="AI82" s="88">
        <f t="shared" si="46"/>
        <v>4.2374283729261178E-2</v>
      </c>
      <c r="AJ82" s="88">
        <f t="shared" si="47"/>
        <v>0</v>
      </c>
      <c r="AK82" s="93">
        <v>500000</v>
      </c>
      <c r="AL82" s="88">
        <f t="shared" si="48"/>
        <v>4.2374283729261178E-2</v>
      </c>
      <c r="AM82" s="88">
        <f t="shared" si="49"/>
        <v>0</v>
      </c>
      <c r="AN82" s="93">
        <v>500000</v>
      </c>
      <c r="AO82" s="88">
        <f t="shared" si="50"/>
        <v>4.2374283729261178E-2</v>
      </c>
      <c r="AP82" s="88">
        <f t="shared" si="51"/>
        <v>0</v>
      </c>
    </row>
    <row r="83" spans="1:42" s="74" customFormat="1" x14ac:dyDescent="0.25">
      <c r="A83" s="86" t="s">
        <v>600</v>
      </c>
      <c r="B83" s="86" t="s">
        <v>601</v>
      </c>
      <c r="C83" s="86"/>
      <c r="D83" s="92">
        <v>2495352.3200000003</v>
      </c>
      <c r="E83" s="88">
        <f t="shared" si="26"/>
        <v>0.21147753442430031</v>
      </c>
      <c r="F83" s="88">
        <f t="shared" si="27"/>
        <v>-3.6227910293645804E-3</v>
      </c>
      <c r="G83" s="92">
        <v>2486312.1800000002</v>
      </c>
      <c r="H83" s="88">
        <f t="shared" si="28"/>
        <v>0.2107113955096758</v>
      </c>
      <c r="I83" s="88">
        <f t="shared" si="29"/>
        <v>-3.635963364825745E-3</v>
      </c>
      <c r="J83" s="92">
        <v>2477272.04</v>
      </c>
      <c r="K83" s="88">
        <f t="shared" si="30"/>
        <v>0.20994525659505131</v>
      </c>
      <c r="L83" s="88">
        <f t="shared" si="31"/>
        <v>-3.6492318380987321E-3</v>
      </c>
      <c r="M83" s="92">
        <v>2468231.9000000004</v>
      </c>
      <c r="N83" s="88">
        <f t="shared" si="32"/>
        <v>0.20917911768042685</v>
      </c>
      <c r="O83" s="88">
        <f t="shared" si="33"/>
        <v>-3.6625975055262217E-3</v>
      </c>
      <c r="P83" s="92">
        <v>2459191.7600000002</v>
      </c>
      <c r="Q83" s="88">
        <f t="shared" si="34"/>
        <v>0.20841297876580236</v>
      </c>
      <c r="R83" s="88">
        <f t="shared" si="35"/>
        <v>-3.6760614389828028E-3</v>
      </c>
      <c r="S83" s="92">
        <v>2450151.62</v>
      </c>
      <c r="T83" s="88">
        <f t="shared" si="36"/>
        <v>0.20764683985117785</v>
      </c>
      <c r="U83" s="88">
        <f t="shared" si="37"/>
        <v>-3.6896247261629656E-3</v>
      </c>
      <c r="V83" s="92">
        <v>2441111.48</v>
      </c>
      <c r="W83" s="88">
        <f t="shared" si="38"/>
        <v>0.20688070093655336</v>
      </c>
      <c r="X83" s="88">
        <f t="shared" si="39"/>
        <v>-3.7032884708729785E-3</v>
      </c>
      <c r="Y83" s="92">
        <v>2432071.3400000003</v>
      </c>
      <c r="Z83" s="88">
        <f t="shared" si="40"/>
        <v>0.2061145620219289</v>
      </c>
      <c r="AA83" s="88">
        <f t="shared" si="41"/>
        <v>-3.7170537933316483E-3</v>
      </c>
      <c r="AB83" s="92">
        <v>2423031.2000000002</v>
      </c>
      <c r="AC83" s="88">
        <f t="shared" si="42"/>
        <v>0.20534842310730439</v>
      </c>
      <c r="AD83" s="88">
        <f t="shared" si="43"/>
        <v>-3.7309218304741876E-3</v>
      </c>
      <c r="AE83" s="92">
        <v>2413991.06</v>
      </c>
      <c r="AF83" s="88">
        <f t="shared" si="44"/>
        <v>0.2045822841926799</v>
      </c>
      <c r="AG83" s="88">
        <f t="shared" si="45"/>
        <v>-3.7448937362676293E-3</v>
      </c>
      <c r="AH83" s="92">
        <v>2404950.92</v>
      </c>
      <c r="AI83" s="88">
        <f t="shared" si="46"/>
        <v>0.20381614527805542</v>
      </c>
      <c r="AJ83" s="88">
        <f t="shared" si="47"/>
        <v>-3.7593490681298025E-3</v>
      </c>
      <c r="AK83" s="92">
        <v>2395909.87</v>
      </c>
      <c r="AL83" s="88">
        <f t="shared" si="48"/>
        <v>0.20304992924223456</v>
      </c>
      <c r="AM83" s="88">
        <f t="shared" si="49"/>
        <v>-3.7735351038058473E-3</v>
      </c>
      <c r="AN83" s="92">
        <v>2386868.8200000003</v>
      </c>
      <c r="AO83" s="88">
        <f t="shared" si="50"/>
        <v>0.2022837132064137</v>
      </c>
      <c r="AP83" s="88">
        <f t="shared" si="51"/>
        <v>-4.3474221708299732E-2</v>
      </c>
    </row>
    <row r="84" spans="1:42" s="74" customFormat="1" x14ac:dyDescent="0.25">
      <c r="A84" s="89" t="s">
        <v>602</v>
      </c>
      <c r="B84" s="89" t="s">
        <v>603</v>
      </c>
      <c r="C84" s="89"/>
      <c r="D84" s="93">
        <v>2712315.68</v>
      </c>
      <c r="E84" s="88">
        <f t="shared" si="26"/>
        <v>0.22986486837528797</v>
      </c>
      <c r="F84" s="88">
        <f t="shared" si="27"/>
        <v>0</v>
      </c>
      <c r="G84" s="93">
        <v>2712315.68</v>
      </c>
      <c r="H84" s="88">
        <f t="shared" si="28"/>
        <v>0.22986486837528797</v>
      </c>
      <c r="I84" s="88">
        <f t="shared" si="29"/>
        <v>0</v>
      </c>
      <c r="J84" s="93">
        <v>2712315.68</v>
      </c>
      <c r="K84" s="88">
        <f t="shared" si="30"/>
        <v>0.22986486837528797</v>
      </c>
      <c r="L84" s="88">
        <f t="shared" si="31"/>
        <v>0</v>
      </c>
      <c r="M84" s="93">
        <v>2712315.68</v>
      </c>
      <c r="N84" s="88">
        <f t="shared" si="32"/>
        <v>0.22986486837528797</v>
      </c>
      <c r="O84" s="88">
        <f t="shared" si="33"/>
        <v>0</v>
      </c>
      <c r="P84" s="93">
        <v>2712315.68</v>
      </c>
      <c r="Q84" s="88">
        <f t="shared" si="34"/>
        <v>0.22986486837528797</v>
      </c>
      <c r="R84" s="88">
        <f t="shared" si="35"/>
        <v>0</v>
      </c>
      <c r="S84" s="93">
        <v>2712315.68</v>
      </c>
      <c r="T84" s="88">
        <f t="shared" si="36"/>
        <v>0.22986486837528797</v>
      </c>
      <c r="U84" s="88">
        <f t="shared" si="37"/>
        <v>0</v>
      </c>
      <c r="V84" s="93">
        <v>2712315.68</v>
      </c>
      <c r="W84" s="88">
        <f t="shared" si="38"/>
        <v>0.22986486837528797</v>
      </c>
      <c r="X84" s="88">
        <f t="shared" si="39"/>
        <v>0</v>
      </c>
      <c r="Y84" s="93">
        <v>2712315.68</v>
      </c>
      <c r="Z84" s="88">
        <f t="shared" si="40"/>
        <v>0.22986486837528797</v>
      </c>
      <c r="AA84" s="88">
        <f t="shared" si="41"/>
        <v>0</v>
      </c>
      <c r="AB84" s="93">
        <v>2712315.68</v>
      </c>
      <c r="AC84" s="88">
        <f t="shared" si="42"/>
        <v>0.22986486837528797</v>
      </c>
      <c r="AD84" s="88">
        <f t="shared" si="43"/>
        <v>0</v>
      </c>
      <c r="AE84" s="93">
        <v>2712315.68</v>
      </c>
      <c r="AF84" s="88">
        <f t="shared" si="44"/>
        <v>0.22986486837528797</v>
      </c>
      <c r="AG84" s="88">
        <f t="shared" si="45"/>
        <v>0</v>
      </c>
      <c r="AH84" s="93">
        <v>2712315.68</v>
      </c>
      <c r="AI84" s="88">
        <f t="shared" si="46"/>
        <v>0.22986486837528797</v>
      </c>
      <c r="AJ84" s="88">
        <f t="shared" si="47"/>
        <v>0</v>
      </c>
      <c r="AK84" s="93">
        <v>2712315.68</v>
      </c>
      <c r="AL84" s="88">
        <f t="shared" si="48"/>
        <v>0.22986486837528797</v>
      </c>
      <c r="AM84" s="88">
        <f t="shared" si="49"/>
        <v>0</v>
      </c>
      <c r="AN84" s="93">
        <v>2712315.68</v>
      </c>
      <c r="AO84" s="88">
        <f t="shared" si="50"/>
        <v>0.22986486837528797</v>
      </c>
      <c r="AP84" s="88">
        <f t="shared" si="51"/>
        <v>0</v>
      </c>
    </row>
    <row r="85" spans="1:42" s="74" customFormat="1" x14ac:dyDescent="0.25">
      <c r="A85" s="89" t="s">
        <v>604</v>
      </c>
      <c r="B85" s="89" t="s">
        <v>605</v>
      </c>
      <c r="C85" s="89"/>
      <c r="D85" s="93">
        <v>-216963.36</v>
      </c>
      <c r="E85" s="88">
        <f t="shared" si="26"/>
        <v>-1.8387333950987669E-2</v>
      </c>
      <c r="F85" s="88">
        <f t="shared" si="27"/>
        <v>4.1666666666666741E-2</v>
      </c>
      <c r="G85" s="93">
        <v>-226003.5</v>
      </c>
      <c r="H85" s="88">
        <f t="shared" si="28"/>
        <v>-1.915347286561216E-2</v>
      </c>
      <c r="I85" s="88">
        <f t="shared" si="29"/>
        <v>4.0000000000000036E-2</v>
      </c>
      <c r="J85" s="93">
        <v>-235043.64</v>
      </c>
      <c r="K85" s="88">
        <f t="shared" si="30"/>
        <v>-1.9919611780236646E-2</v>
      </c>
      <c r="L85" s="88">
        <f t="shared" si="31"/>
        <v>3.8461538461538325E-2</v>
      </c>
      <c r="M85" s="93">
        <v>-244083.78</v>
      </c>
      <c r="N85" s="88">
        <f t="shared" si="32"/>
        <v>-2.068575069486113E-2</v>
      </c>
      <c r="O85" s="88">
        <f t="shared" si="33"/>
        <v>3.7037037037037202E-2</v>
      </c>
      <c r="P85" s="93">
        <v>-253123.92</v>
      </c>
      <c r="Q85" s="88">
        <f t="shared" si="34"/>
        <v>-2.145188960948562E-2</v>
      </c>
      <c r="R85" s="88">
        <f t="shared" si="35"/>
        <v>3.5714285714285587E-2</v>
      </c>
      <c r="S85" s="93">
        <v>-262164.06</v>
      </c>
      <c r="T85" s="88">
        <f t="shared" si="36"/>
        <v>-2.2218028524110103E-2</v>
      </c>
      <c r="U85" s="88">
        <f t="shared" si="37"/>
        <v>3.4482758620689724E-2</v>
      </c>
      <c r="V85" s="93">
        <v>-271204.2</v>
      </c>
      <c r="W85" s="88">
        <f t="shared" si="38"/>
        <v>-2.298416743873459E-2</v>
      </c>
      <c r="X85" s="88">
        <f t="shared" si="39"/>
        <v>3.3333333333333437E-2</v>
      </c>
      <c r="Y85" s="93">
        <v>-280244.34000000003</v>
      </c>
      <c r="Z85" s="88">
        <f t="shared" si="40"/>
        <v>-2.375030635335908E-2</v>
      </c>
      <c r="AA85" s="88">
        <f t="shared" si="41"/>
        <v>3.2258064516128782E-2</v>
      </c>
      <c r="AB85" s="93">
        <v>-289284.47999999998</v>
      </c>
      <c r="AC85" s="88">
        <f t="shared" si="42"/>
        <v>-2.451644526798356E-2</v>
      </c>
      <c r="AD85" s="88">
        <f t="shared" si="43"/>
        <v>3.125E-2</v>
      </c>
      <c r="AE85" s="93">
        <v>-298324.62</v>
      </c>
      <c r="AF85" s="88">
        <f t="shared" si="44"/>
        <v>-2.5282584182608051E-2</v>
      </c>
      <c r="AG85" s="88">
        <f t="shared" si="45"/>
        <v>3.0303030303030276E-2</v>
      </c>
      <c r="AH85" s="93">
        <v>-307364.76</v>
      </c>
      <c r="AI85" s="88">
        <f t="shared" si="46"/>
        <v>-2.6048723097232537E-2</v>
      </c>
      <c r="AJ85" s="88">
        <f t="shared" si="47"/>
        <v>2.9414725357584937E-2</v>
      </c>
      <c r="AK85" s="93">
        <v>-316405.81</v>
      </c>
      <c r="AL85" s="88">
        <f t="shared" si="48"/>
        <v>-2.6814939133053408E-2</v>
      </c>
      <c r="AM85" s="88">
        <f t="shared" si="49"/>
        <v>2.8574222451857034E-2</v>
      </c>
      <c r="AN85" s="93">
        <v>-325446.86</v>
      </c>
      <c r="AO85" s="88">
        <f t="shared" si="50"/>
        <v>-2.7581155168874282E-2</v>
      </c>
      <c r="AP85" s="88">
        <f t="shared" si="51"/>
        <v>0.50000838851315721</v>
      </c>
    </row>
    <row r="86" spans="1:42" s="74" customFormat="1" x14ac:dyDescent="0.25">
      <c r="A86" s="86" t="s">
        <v>190</v>
      </c>
      <c r="B86" s="86" t="s">
        <v>191</v>
      </c>
      <c r="C86" s="86"/>
      <c r="D86" s="92">
        <v>94205.49</v>
      </c>
      <c r="E86" s="88">
        <f t="shared" si="26"/>
        <v>7.9837803242281541E-3</v>
      </c>
      <c r="F86" s="88">
        <f t="shared" si="27"/>
        <v>6.293231954952927E-2</v>
      </c>
      <c r="G86" s="92">
        <v>100134.06</v>
      </c>
      <c r="H86" s="88">
        <f t="shared" si="28"/>
        <v>8.4862181388057258E-3</v>
      </c>
      <c r="I86" s="88">
        <f t="shared" si="29"/>
        <v>-1.2445215943506116E-2</v>
      </c>
      <c r="J86" s="92">
        <v>98887.87</v>
      </c>
      <c r="K86" s="88">
        <f t="shared" si="30"/>
        <v>8.3806053215245892E-3</v>
      </c>
      <c r="L86" s="88">
        <f t="shared" si="31"/>
        <v>-1.2602051191920705E-2</v>
      </c>
      <c r="M86" s="92">
        <v>97641.68</v>
      </c>
      <c r="N86" s="88">
        <f t="shared" si="32"/>
        <v>8.2749925042434527E-3</v>
      </c>
      <c r="O86" s="88">
        <f t="shared" si="33"/>
        <v>-1.2762889782314102E-2</v>
      </c>
      <c r="P86" s="92">
        <v>96395.49</v>
      </c>
      <c r="Q86" s="88">
        <f t="shared" si="34"/>
        <v>8.1693796869623178E-3</v>
      </c>
      <c r="R86" s="88">
        <f t="shared" si="35"/>
        <v>-1.2927886978944758E-2</v>
      </c>
      <c r="S86" s="92">
        <v>95149.3</v>
      </c>
      <c r="T86" s="88">
        <f t="shared" si="36"/>
        <v>8.0637668696811812E-3</v>
      </c>
      <c r="U86" s="88">
        <f t="shared" si="37"/>
        <v>-1.3097206180182064E-2</v>
      </c>
      <c r="V86" s="92">
        <v>93903.11</v>
      </c>
      <c r="W86" s="88">
        <f t="shared" si="38"/>
        <v>7.9581540524000464E-3</v>
      </c>
      <c r="X86" s="88">
        <f t="shared" si="39"/>
        <v>-1.3271019458248046E-2</v>
      </c>
      <c r="Y86" s="92">
        <v>92656.92</v>
      </c>
      <c r="Z86" s="88">
        <f t="shared" si="40"/>
        <v>7.8525412351189098E-3</v>
      </c>
      <c r="AA86" s="88">
        <f t="shared" si="41"/>
        <v>-1.3449508142511113E-2</v>
      </c>
      <c r="AB86" s="92">
        <v>91410.73</v>
      </c>
      <c r="AC86" s="88">
        <f t="shared" si="42"/>
        <v>7.7469284178377732E-3</v>
      </c>
      <c r="AD86" s="88">
        <f t="shared" si="43"/>
        <v>0.3801939881674723</v>
      </c>
      <c r="AE86" s="92">
        <v>126164.54</v>
      </c>
      <c r="AF86" s="88">
        <f t="shared" si="44"/>
        <v>1.0692264029063443E-2</v>
      </c>
      <c r="AG86" s="88">
        <f t="shared" si="45"/>
        <v>-1.2255186758498016E-2</v>
      </c>
      <c r="AH86" s="92">
        <v>124618.37</v>
      </c>
      <c r="AI86" s="88">
        <f t="shared" si="46"/>
        <v>1.0561228336516099E-2</v>
      </c>
      <c r="AJ86" s="88">
        <f t="shared" si="47"/>
        <v>-1.2408202739291108E-2</v>
      </c>
      <c r="AK86" s="92">
        <v>123072.08</v>
      </c>
      <c r="AL86" s="88">
        <f t="shared" si="48"/>
        <v>1.043018247414066E-2</v>
      </c>
      <c r="AM86" s="88">
        <f t="shared" si="49"/>
        <v>-1.2564100647360577E-2</v>
      </c>
      <c r="AN86" s="92">
        <v>121525.79</v>
      </c>
      <c r="AO86" s="88">
        <f t="shared" si="50"/>
        <v>1.0299136611765222E-2</v>
      </c>
      <c r="AP86" s="88">
        <f t="shared" si="51"/>
        <v>0.29000751442405304</v>
      </c>
    </row>
    <row r="87" spans="1:42" s="74" customFormat="1" x14ac:dyDescent="0.25">
      <c r="A87" s="89" t="s">
        <v>192</v>
      </c>
      <c r="B87" s="89" t="s">
        <v>193</v>
      </c>
      <c r="C87" s="89"/>
      <c r="D87" s="93">
        <v>164899.95000000001</v>
      </c>
      <c r="E87" s="88">
        <f t="shared" si="26"/>
        <v>1.3975034536481966E-2</v>
      </c>
      <c r="F87" s="88">
        <f t="shared" si="27"/>
        <v>3.7312321804827686E-2</v>
      </c>
      <c r="G87" s="93">
        <v>171052.75</v>
      </c>
      <c r="H87" s="88">
        <f t="shared" si="28"/>
        <v>1.4496475522340761E-2</v>
      </c>
      <c r="I87" s="88">
        <f t="shared" si="29"/>
        <v>0</v>
      </c>
      <c r="J87" s="93">
        <v>171052.75</v>
      </c>
      <c r="K87" s="88">
        <f t="shared" si="30"/>
        <v>1.4496475522340761E-2</v>
      </c>
      <c r="L87" s="88">
        <f t="shared" si="31"/>
        <v>0</v>
      </c>
      <c r="M87" s="93">
        <v>171052.75</v>
      </c>
      <c r="N87" s="88">
        <f t="shared" si="32"/>
        <v>1.4496475522340761E-2</v>
      </c>
      <c r="O87" s="88">
        <f t="shared" si="33"/>
        <v>0</v>
      </c>
      <c r="P87" s="93">
        <v>171052.75</v>
      </c>
      <c r="Q87" s="88">
        <f t="shared" si="34"/>
        <v>1.4496475522340761E-2</v>
      </c>
      <c r="R87" s="88">
        <f t="shared" si="35"/>
        <v>0</v>
      </c>
      <c r="S87" s="93">
        <v>171052.75</v>
      </c>
      <c r="T87" s="88">
        <f t="shared" si="36"/>
        <v>1.4496475522340761E-2</v>
      </c>
      <c r="U87" s="88">
        <f t="shared" si="37"/>
        <v>0</v>
      </c>
      <c r="V87" s="93">
        <v>171052.75</v>
      </c>
      <c r="W87" s="88">
        <f t="shared" si="38"/>
        <v>1.4496475522340761E-2</v>
      </c>
      <c r="X87" s="88">
        <f t="shared" si="39"/>
        <v>0</v>
      </c>
      <c r="Y87" s="93">
        <v>171052.75</v>
      </c>
      <c r="Z87" s="88">
        <f t="shared" si="40"/>
        <v>1.4496475522340761E-2</v>
      </c>
      <c r="AA87" s="88">
        <f t="shared" si="41"/>
        <v>0</v>
      </c>
      <c r="AB87" s="93">
        <v>171052.75</v>
      </c>
      <c r="AC87" s="88">
        <f t="shared" si="42"/>
        <v>1.4496475522340761E-2</v>
      </c>
      <c r="AD87" s="88">
        <f t="shared" si="43"/>
        <v>0.21046139275749742</v>
      </c>
      <c r="AE87" s="93">
        <v>207052.75</v>
      </c>
      <c r="AF87" s="88">
        <f t="shared" si="44"/>
        <v>1.7547423950847567E-2</v>
      </c>
      <c r="AG87" s="88">
        <f t="shared" si="45"/>
        <v>0</v>
      </c>
      <c r="AH87" s="93">
        <v>207052.75</v>
      </c>
      <c r="AI87" s="88">
        <f t="shared" si="46"/>
        <v>1.7547423950847567E-2</v>
      </c>
      <c r="AJ87" s="88">
        <f t="shared" si="47"/>
        <v>0</v>
      </c>
      <c r="AK87" s="93">
        <v>207052.75</v>
      </c>
      <c r="AL87" s="88">
        <f t="shared" si="48"/>
        <v>1.7547423950847567E-2</v>
      </c>
      <c r="AM87" s="88">
        <f t="shared" si="49"/>
        <v>0</v>
      </c>
      <c r="AN87" s="93">
        <v>207052.75</v>
      </c>
      <c r="AO87" s="88">
        <f t="shared" si="50"/>
        <v>1.7547423950847567E-2</v>
      </c>
      <c r="AP87" s="88">
        <f t="shared" si="51"/>
        <v>0.25562651777638501</v>
      </c>
    </row>
    <row r="88" spans="1:42" s="74" customFormat="1" x14ac:dyDescent="0.25">
      <c r="A88" s="89" t="s">
        <v>194</v>
      </c>
      <c r="B88" s="89" t="s">
        <v>195</v>
      </c>
      <c r="C88" s="89"/>
      <c r="D88" s="93">
        <v>-70694.460000000006</v>
      </c>
      <c r="E88" s="88">
        <f t="shared" si="26"/>
        <v>-5.9912542122538114E-3</v>
      </c>
      <c r="F88" s="88">
        <f t="shared" si="27"/>
        <v>3.171818555513406E-3</v>
      </c>
      <c r="G88" s="93">
        <v>-70918.69</v>
      </c>
      <c r="H88" s="88">
        <f t="shared" si="28"/>
        <v>-6.0102573835350351E-3</v>
      </c>
      <c r="I88" s="88">
        <f t="shared" si="29"/>
        <v>1.757209559285422E-2</v>
      </c>
      <c r="J88" s="93">
        <v>-72164.88</v>
      </c>
      <c r="K88" s="88">
        <f t="shared" si="30"/>
        <v>-6.1158702008161717E-3</v>
      </c>
      <c r="L88" s="88">
        <f t="shared" si="31"/>
        <v>1.7268649237690115E-2</v>
      </c>
      <c r="M88" s="93">
        <v>-73411.070000000007</v>
      </c>
      <c r="N88" s="88">
        <f t="shared" si="32"/>
        <v>-6.2214830180973074E-3</v>
      </c>
      <c r="O88" s="88">
        <f t="shared" si="33"/>
        <v>1.697550519288149E-2</v>
      </c>
      <c r="P88" s="93">
        <v>-74657.259999999995</v>
      </c>
      <c r="Q88" s="88">
        <f t="shared" si="34"/>
        <v>-6.3270958353784431E-3</v>
      </c>
      <c r="R88" s="88">
        <f t="shared" si="35"/>
        <v>1.6692147555375181E-2</v>
      </c>
      <c r="S88" s="93">
        <v>-75903.45</v>
      </c>
      <c r="T88" s="88">
        <f t="shared" si="36"/>
        <v>-6.4327086526595788E-3</v>
      </c>
      <c r="U88" s="88">
        <f t="shared" si="37"/>
        <v>1.6418094302696362E-2</v>
      </c>
      <c r="V88" s="93">
        <v>-77149.64</v>
      </c>
      <c r="W88" s="88">
        <f t="shared" si="38"/>
        <v>-6.5383214699407154E-3</v>
      </c>
      <c r="X88" s="88">
        <f t="shared" si="39"/>
        <v>1.6152894556604513E-2</v>
      </c>
      <c r="Y88" s="93">
        <v>-78395.83</v>
      </c>
      <c r="Z88" s="88">
        <f t="shared" si="40"/>
        <v>-6.6439342872218511E-3</v>
      </c>
      <c r="AA88" s="88">
        <f t="shared" si="41"/>
        <v>1.5896126107727948E-2</v>
      </c>
      <c r="AB88" s="93">
        <v>-79642.02</v>
      </c>
      <c r="AC88" s="88">
        <f t="shared" si="42"/>
        <v>-6.7495471045029877E-3</v>
      </c>
      <c r="AD88" s="88">
        <f t="shared" si="43"/>
        <v>1.5647393172599111E-2</v>
      </c>
      <c r="AE88" s="93">
        <v>-80888.210000000006</v>
      </c>
      <c r="AF88" s="88">
        <f t="shared" si="44"/>
        <v>-6.8551599217841234E-3</v>
      </c>
      <c r="AG88" s="88">
        <f t="shared" si="45"/>
        <v>1.9114899439609312E-2</v>
      </c>
      <c r="AH88" s="93">
        <v>-82434.38</v>
      </c>
      <c r="AI88" s="88">
        <f t="shared" si="46"/>
        <v>-6.9861956143314674E-3</v>
      </c>
      <c r="AJ88" s="88">
        <f t="shared" si="47"/>
        <v>1.8757828954375499E-2</v>
      </c>
      <c r="AK88" s="93">
        <v>-83980.67</v>
      </c>
      <c r="AL88" s="88">
        <f t="shared" si="48"/>
        <v>-7.1172414767069047E-3</v>
      </c>
      <c r="AM88" s="88">
        <f t="shared" si="49"/>
        <v>1.8412451341481395E-2</v>
      </c>
      <c r="AN88" s="93">
        <v>-85526.96</v>
      </c>
      <c r="AO88" s="88">
        <f t="shared" si="50"/>
        <v>-7.2482873390823446E-3</v>
      </c>
      <c r="AP88" s="88">
        <f t="shared" si="51"/>
        <v>0.20981134872520424</v>
      </c>
    </row>
    <row r="89" spans="1:42" s="63" customFormat="1" x14ac:dyDescent="0.25">
      <c r="A89" s="86" t="s">
        <v>196</v>
      </c>
      <c r="B89" s="86" t="s">
        <v>197</v>
      </c>
      <c r="C89" s="86"/>
      <c r="D89" s="92">
        <v>46810.290000000008</v>
      </c>
      <c r="E89" s="88">
        <f t="shared" si="26"/>
        <v>3.9671050198179956E-3</v>
      </c>
      <c r="F89" s="88">
        <f t="shared" si="27"/>
        <v>-2.1194912486122486E-2</v>
      </c>
      <c r="G89" s="92">
        <v>45818.149999999994</v>
      </c>
      <c r="H89" s="88">
        <f t="shared" si="28"/>
        <v>3.883022576099696E-3</v>
      </c>
      <c r="I89" s="88">
        <f t="shared" si="29"/>
        <v>-2.1653864243754595E-2</v>
      </c>
      <c r="J89" s="92">
        <v>44826.010000000009</v>
      </c>
      <c r="K89" s="88">
        <f t="shared" si="30"/>
        <v>3.7989401323813986E-3</v>
      </c>
      <c r="L89" s="88">
        <f t="shared" si="31"/>
        <v>-2.213313208112877E-2</v>
      </c>
      <c r="M89" s="92">
        <v>43833.87000000001</v>
      </c>
      <c r="N89" s="88">
        <f t="shared" si="32"/>
        <v>3.7148576886631003E-3</v>
      </c>
      <c r="O89" s="88">
        <f t="shared" si="33"/>
        <v>-2.2634095506511298E-2</v>
      </c>
      <c r="P89" s="92">
        <v>42841.73000000001</v>
      </c>
      <c r="Q89" s="88">
        <f t="shared" si="34"/>
        <v>3.630775244944802E-3</v>
      </c>
      <c r="R89" s="88">
        <f t="shared" si="35"/>
        <v>-2.315826181622449E-2</v>
      </c>
      <c r="S89" s="92">
        <v>41849.590000000011</v>
      </c>
      <c r="T89" s="88">
        <f t="shared" si="36"/>
        <v>3.5466928012265037E-3</v>
      </c>
      <c r="U89" s="88">
        <f t="shared" si="37"/>
        <v>-2.3707281242182132E-2</v>
      </c>
      <c r="V89" s="92">
        <v>40857.449999999997</v>
      </c>
      <c r="W89" s="88">
        <f t="shared" si="38"/>
        <v>3.4626103575082041E-3</v>
      </c>
      <c r="X89" s="88">
        <f t="shared" si="39"/>
        <v>-2.4282964306387211E-2</v>
      </c>
      <c r="Y89" s="92">
        <v>39865.31</v>
      </c>
      <c r="Z89" s="88">
        <f t="shared" si="40"/>
        <v>3.3785279137899058E-3</v>
      </c>
      <c r="AA89" s="88">
        <f t="shared" si="41"/>
        <v>-2.4887301766874481E-2</v>
      </c>
      <c r="AB89" s="92">
        <v>38873.17</v>
      </c>
      <c r="AC89" s="88">
        <f t="shared" si="42"/>
        <v>3.2944454700716075E-3</v>
      </c>
      <c r="AD89" s="88">
        <f t="shared" si="43"/>
        <v>-2.5421389611395395E-2</v>
      </c>
      <c r="AE89" s="92">
        <v>37884.959999999992</v>
      </c>
      <c r="AF89" s="88">
        <f t="shared" si="44"/>
        <v>3.2106960882234206E-3</v>
      </c>
      <c r="AG89" s="88">
        <f t="shared" si="45"/>
        <v>-2.6073935408668758E-2</v>
      </c>
      <c r="AH89" s="92">
        <v>36897.149999999994</v>
      </c>
      <c r="AI89" s="88">
        <f t="shared" si="46"/>
        <v>3.126980605802218E-3</v>
      </c>
      <c r="AJ89" s="88">
        <f t="shared" si="47"/>
        <v>-2.5495736120540125E-2</v>
      </c>
      <c r="AK89" s="92">
        <v>35956.430000000008</v>
      </c>
      <c r="AL89" s="88">
        <f t="shared" si="48"/>
        <v>3.0472559334226378E-3</v>
      </c>
      <c r="AM89" s="88">
        <f t="shared" si="49"/>
        <v>3.8004329128336733E-2</v>
      </c>
      <c r="AN89" s="92">
        <v>37322.930000000008</v>
      </c>
      <c r="AO89" s="88">
        <f t="shared" si="50"/>
        <v>3.1630648508547085E-3</v>
      </c>
      <c r="AP89" s="88">
        <f t="shared" si="51"/>
        <v>-0.2026768046085593</v>
      </c>
    </row>
    <row r="90" spans="1:42" s="63" customFormat="1" x14ac:dyDescent="0.25">
      <c r="A90" s="89" t="s">
        <v>198</v>
      </c>
      <c r="B90" s="89" t="s">
        <v>199</v>
      </c>
      <c r="C90" s="89"/>
      <c r="D90" s="93">
        <v>137249.72</v>
      </c>
      <c r="E90" s="88">
        <f t="shared" si="26"/>
        <v>1.1631717154083307E-2</v>
      </c>
      <c r="F90" s="88">
        <f t="shared" si="27"/>
        <v>0</v>
      </c>
      <c r="G90" s="93">
        <v>137249.72</v>
      </c>
      <c r="H90" s="88">
        <f t="shared" si="28"/>
        <v>1.1631717154083307E-2</v>
      </c>
      <c r="I90" s="88">
        <f t="shared" si="29"/>
        <v>0</v>
      </c>
      <c r="J90" s="93">
        <v>137249.72</v>
      </c>
      <c r="K90" s="88">
        <f t="shared" si="30"/>
        <v>1.1631717154083307E-2</v>
      </c>
      <c r="L90" s="88">
        <f t="shared" si="31"/>
        <v>0</v>
      </c>
      <c r="M90" s="93">
        <v>137249.72</v>
      </c>
      <c r="N90" s="88">
        <f t="shared" si="32"/>
        <v>1.1631717154083307E-2</v>
      </c>
      <c r="O90" s="88">
        <f t="shared" si="33"/>
        <v>0</v>
      </c>
      <c r="P90" s="93">
        <v>137249.72</v>
      </c>
      <c r="Q90" s="88">
        <f t="shared" si="34"/>
        <v>1.1631717154083307E-2</v>
      </c>
      <c r="R90" s="88">
        <f t="shared" si="35"/>
        <v>0</v>
      </c>
      <c r="S90" s="93">
        <v>137249.72</v>
      </c>
      <c r="T90" s="88">
        <f t="shared" si="36"/>
        <v>1.1631717154083307E-2</v>
      </c>
      <c r="U90" s="88">
        <f t="shared" si="37"/>
        <v>0</v>
      </c>
      <c r="V90" s="93">
        <v>137249.72</v>
      </c>
      <c r="W90" s="88">
        <f t="shared" si="38"/>
        <v>1.1631717154083307E-2</v>
      </c>
      <c r="X90" s="88">
        <f t="shared" si="39"/>
        <v>0</v>
      </c>
      <c r="Y90" s="93">
        <v>137249.72</v>
      </c>
      <c r="Z90" s="88">
        <f t="shared" si="40"/>
        <v>1.1631717154083307E-2</v>
      </c>
      <c r="AA90" s="88">
        <f t="shared" si="41"/>
        <v>0</v>
      </c>
      <c r="AB90" s="93">
        <v>137249.72</v>
      </c>
      <c r="AC90" s="88">
        <f t="shared" si="42"/>
        <v>1.1631717154083307E-2</v>
      </c>
      <c r="AD90" s="88">
        <f t="shared" si="43"/>
        <v>0</v>
      </c>
      <c r="AE90" s="93">
        <v>137249.72</v>
      </c>
      <c r="AF90" s="88">
        <f t="shared" si="44"/>
        <v>1.1631717154083307E-2</v>
      </c>
      <c r="AG90" s="88">
        <f t="shared" si="45"/>
        <v>0</v>
      </c>
      <c r="AH90" s="93">
        <v>137249.72</v>
      </c>
      <c r="AI90" s="88">
        <f t="shared" si="46"/>
        <v>1.1631717154083307E-2</v>
      </c>
      <c r="AJ90" s="88">
        <f t="shared" si="47"/>
        <v>0</v>
      </c>
      <c r="AK90" s="93">
        <v>137249.72</v>
      </c>
      <c r="AL90" s="88">
        <f t="shared" si="48"/>
        <v>1.1631717154083307E-2</v>
      </c>
      <c r="AM90" s="88">
        <f t="shared" si="49"/>
        <v>0</v>
      </c>
      <c r="AN90" s="93">
        <v>137249.72</v>
      </c>
      <c r="AO90" s="88">
        <f t="shared" si="50"/>
        <v>1.1631717154083307E-2</v>
      </c>
      <c r="AP90" s="88">
        <f t="shared" si="51"/>
        <v>0</v>
      </c>
    </row>
    <row r="91" spans="1:42" s="74" customFormat="1" x14ac:dyDescent="0.25">
      <c r="A91" s="89" t="s">
        <v>200</v>
      </c>
      <c r="B91" s="89" t="s">
        <v>201</v>
      </c>
      <c r="C91" s="89"/>
      <c r="D91" s="93">
        <v>-90439.43</v>
      </c>
      <c r="E91" s="88">
        <f t="shared" si="26"/>
        <v>-7.6646121342653101E-3</v>
      </c>
      <c r="F91" s="88">
        <f t="shared" si="27"/>
        <v>1.0970215093129232E-2</v>
      </c>
      <c r="G91" s="93">
        <v>-91431.57</v>
      </c>
      <c r="H91" s="88">
        <f t="shared" si="28"/>
        <v>-7.7486945779836102E-3</v>
      </c>
      <c r="I91" s="88">
        <f t="shared" si="29"/>
        <v>1.0851175365357735E-2</v>
      </c>
      <c r="J91" s="93">
        <v>-92423.709999999992</v>
      </c>
      <c r="K91" s="88">
        <f t="shared" si="30"/>
        <v>-7.8327770217019067E-3</v>
      </c>
      <c r="L91" s="88">
        <f t="shared" si="31"/>
        <v>1.0734691347058067E-2</v>
      </c>
      <c r="M91" s="93">
        <v>-93415.849999999991</v>
      </c>
      <c r="N91" s="88">
        <f t="shared" si="32"/>
        <v>-7.9168594654202059E-3</v>
      </c>
      <c r="O91" s="88">
        <f t="shared" si="33"/>
        <v>1.0620681608099591E-2</v>
      </c>
      <c r="P91" s="93">
        <v>-94407.989999999991</v>
      </c>
      <c r="Q91" s="88">
        <f t="shared" si="34"/>
        <v>-8.0009419091385033E-3</v>
      </c>
      <c r="R91" s="88">
        <f t="shared" si="35"/>
        <v>1.0509068141372424E-2</v>
      </c>
      <c r="S91" s="93">
        <v>-95400.12999999999</v>
      </c>
      <c r="T91" s="88">
        <f t="shared" si="36"/>
        <v>-8.0850243528568025E-3</v>
      </c>
      <c r="U91" s="88">
        <f t="shared" si="37"/>
        <v>1.0399776184791598E-2</v>
      </c>
      <c r="V91" s="93">
        <v>-96392.27</v>
      </c>
      <c r="W91" s="88">
        <f t="shared" si="38"/>
        <v>-8.1691067965751017E-3</v>
      </c>
      <c r="X91" s="88">
        <f t="shared" si="39"/>
        <v>1.0292734054297092E-2</v>
      </c>
      <c r="Y91" s="93">
        <v>-97384.41</v>
      </c>
      <c r="Z91" s="88">
        <f t="shared" si="40"/>
        <v>-8.2531892402933991E-3</v>
      </c>
      <c r="AA91" s="88">
        <f t="shared" si="41"/>
        <v>1.0187872987062363E-2</v>
      </c>
      <c r="AB91" s="93">
        <v>-98376.55</v>
      </c>
      <c r="AC91" s="88">
        <f t="shared" si="42"/>
        <v>-8.3372716840116982E-3</v>
      </c>
      <c r="AD91" s="88">
        <f t="shared" si="43"/>
        <v>1.0045178449539005E-2</v>
      </c>
      <c r="AE91" s="93">
        <v>-99364.760000000009</v>
      </c>
      <c r="AF91" s="88">
        <f t="shared" si="44"/>
        <v>-8.421021065859886E-3</v>
      </c>
      <c r="AG91" s="88">
        <f t="shared" si="45"/>
        <v>9.9412508015919165E-3</v>
      </c>
      <c r="AH91" s="93">
        <v>-100352.57</v>
      </c>
      <c r="AI91" s="88">
        <f t="shared" si="46"/>
        <v>-8.5047365482810878E-3</v>
      </c>
      <c r="AJ91" s="88">
        <f t="shared" si="47"/>
        <v>9.374149560892997E-3</v>
      </c>
      <c r="AK91" s="93">
        <v>-101293.29</v>
      </c>
      <c r="AL91" s="88">
        <f t="shared" si="48"/>
        <v>-8.5844612206606684E-3</v>
      </c>
      <c r="AM91" s="88">
        <f t="shared" si="49"/>
        <v>-1.3490528345954655E-2</v>
      </c>
      <c r="AN91" s="93">
        <v>-99926.79</v>
      </c>
      <c r="AO91" s="88">
        <f t="shared" si="50"/>
        <v>-8.4686523032285969E-3</v>
      </c>
      <c r="AP91" s="88">
        <f t="shared" si="51"/>
        <v>0.10490291679193464</v>
      </c>
    </row>
    <row r="92" spans="1:42" s="63" customFormat="1" x14ac:dyDescent="0.25">
      <c r="A92" s="86" t="s">
        <v>202</v>
      </c>
      <c r="B92" s="86" t="s">
        <v>203</v>
      </c>
      <c r="C92" s="86"/>
      <c r="D92" s="92">
        <v>12220.600000000006</v>
      </c>
      <c r="E92" s="88">
        <f t="shared" si="26"/>
        <v>1.0356783434836189E-3</v>
      </c>
      <c r="F92" s="88">
        <f t="shared" si="27"/>
        <v>-0.15718704482594825</v>
      </c>
      <c r="G92" s="92">
        <v>10299.680000000022</v>
      </c>
      <c r="H92" s="88">
        <f t="shared" si="28"/>
        <v>8.7288312528119544E-4</v>
      </c>
      <c r="I92" s="88">
        <f t="shared" si="29"/>
        <v>-3.382046820872342E-2</v>
      </c>
      <c r="J92" s="92">
        <v>9951.3399999999965</v>
      </c>
      <c r="K92" s="88">
        <f t="shared" si="30"/>
        <v>8.4336180929269161E-4</v>
      </c>
      <c r="L92" s="88">
        <f t="shared" si="31"/>
        <v>-3.5004331075010664E-2</v>
      </c>
      <c r="M92" s="92">
        <v>9603</v>
      </c>
      <c r="N92" s="88">
        <f t="shared" si="32"/>
        <v>8.1384049330419028E-4</v>
      </c>
      <c r="O92" s="88">
        <f t="shared" si="33"/>
        <v>-3.6274081016348658E-2</v>
      </c>
      <c r="P92" s="92">
        <v>9254.6600000000035</v>
      </c>
      <c r="Q92" s="88">
        <f t="shared" si="34"/>
        <v>7.8431917731568883E-4</v>
      </c>
      <c r="R92" s="88">
        <f t="shared" si="35"/>
        <v>-3.7639416250839774E-2</v>
      </c>
      <c r="S92" s="92">
        <v>8906.320000000007</v>
      </c>
      <c r="T92" s="88">
        <f t="shared" si="36"/>
        <v>7.547978613271875E-4</v>
      </c>
      <c r="U92" s="88">
        <f t="shared" si="37"/>
        <v>-3.9111552246045123E-2</v>
      </c>
      <c r="V92" s="92">
        <v>8557.9800000000105</v>
      </c>
      <c r="W92" s="88">
        <f t="shared" si="38"/>
        <v>7.2527654533868606E-4</v>
      </c>
      <c r="X92" s="88">
        <f t="shared" si="39"/>
        <v>-4.070353050603015E-2</v>
      </c>
      <c r="Y92" s="92">
        <v>8209.640000000014</v>
      </c>
      <c r="Z92" s="88">
        <f t="shared" si="40"/>
        <v>6.9575522935018473E-4</v>
      </c>
      <c r="AA92" s="88">
        <f t="shared" si="41"/>
        <v>-4.2381882762216327E-2</v>
      </c>
      <c r="AB92" s="92">
        <v>7861.7000000000116</v>
      </c>
      <c r="AC92" s="88">
        <f t="shared" si="42"/>
        <v>6.6626781278866624E-4</v>
      </c>
      <c r="AD92" s="88">
        <f t="shared" si="43"/>
        <v>0</v>
      </c>
      <c r="AE92" s="92">
        <v>7861.7000000000116</v>
      </c>
      <c r="AF92" s="88">
        <f t="shared" si="44"/>
        <v>6.6626781278866624E-4</v>
      </c>
      <c r="AG92" s="88">
        <f t="shared" si="45"/>
        <v>0</v>
      </c>
      <c r="AH92" s="92">
        <v>7861.7000000000116</v>
      </c>
      <c r="AI92" s="88">
        <f t="shared" si="46"/>
        <v>6.6626781278866624E-4</v>
      </c>
      <c r="AJ92" s="88">
        <f t="shared" si="47"/>
        <v>0</v>
      </c>
      <c r="AK92" s="92">
        <v>7861.7000000000116</v>
      </c>
      <c r="AL92" s="88">
        <f t="shared" si="48"/>
        <v>6.6626781278866624E-4</v>
      </c>
      <c r="AM92" s="88">
        <f t="shared" si="49"/>
        <v>-1</v>
      </c>
      <c r="AN92" s="92">
        <v>0</v>
      </c>
      <c r="AO92" s="88">
        <f t="shared" si="50"/>
        <v>0</v>
      </c>
      <c r="AP92" s="88">
        <f t="shared" si="51"/>
        <v>-1</v>
      </c>
    </row>
    <row r="93" spans="1:42" s="74" customFormat="1" x14ac:dyDescent="0.25">
      <c r="A93" s="89" t="s">
        <v>204</v>
      </c>
      <c r="B93" s="89" t="s">
        <v>205</v>
      </c>
      <c r="C93" s="89"/>
      <c r="D93" s="93">
        <v>174758.73</v>
      </c>
      <c r="E93" s="88">
        <f t="shared" si="26"/>
        <v>1.4810552018370697E-2</v>
      </c>
      <c r="F93" s="88">
        <f t="shared" si="27"/>
        <v>0</v>
      </c>
      <c r="G93" s="93">
        <v>174758.73</v>
      </c>
      <c r="H93" s="88">
        <f t="shared" si="28"/>
        <v>1.4810552018370697E-2</v>
      </c>
      <c r="I93" s="88">
        <f t="shared" si="29"/>
        <v>0</v>
      </c>
      <c r="J93" s="93">
        <v>174758.73</v>
      </c>
      <c r="K93" s="88">
        <f t="shared" si="30"/>
        <v>1.4810552018370697E-2</v>
      </c>
      <c r="L93" s="88">
        <f t="shared" si="31"/>
        <v>0</v>
      </c>
      <c r="M93" s="93">
        <v>174758.73</v>
      </c>
      <c r="N93" s="88">
        <f t="shared" si="32"/>
        <v>1.4810552018370697E-2</v>
      </c>
      <c r="O93" s="88">
        <f t="shared" si="33"/>
        <v>0</v>
      </c>
      <c r="P93" s="93">
        <v>174758.73</v>
      </c>
      <c r="Q93" s="88">
        <f t="shared" si="34"/>
        <v>1.4810552018370697E-2</v>
      </c>
      <c r="R93" s="88">
        <f t="shared" si="35"/>
        <v>0</v>
      </c>
      <c r="S93" s="93">
        <v>174758.73</v>
      </c>
      <c r="T93" s="88">
        <f t="shared" si="36"/>
        <v>1.4810552018370697E-2</v>
      </c>
      <c r="U93" s="88">
        <f t="shared" si="37"/>
        <v>0</v>
      </c>
      <c r="V93" s="93">
        <v>174758.73</v>
      </c>
      <c r="W93" s="88">
        <f t="shared" si="38"/>
        <v>1.4810552018370697E-2</v>
      </c>
      <c r="X93" s="88">
        <f t="shared" si="39"/>
        <v>0</v>
      </c>
      <c r="Y93" s="93">
        <v>174758.73</v>
      </c>
      <c r="Z93" s="88">
        <f t="shared" si="40"/>
        <v>1.4810552018370697E-2</v>
      </c>
      <c r="AA93" s="88">
        <f t="shared" si="41"/>
        <v>0</v>
      </c>
      <c r="AB93" s="93">
        <v>174758.73</v>
      </c>
      <c r="AC93" s="88">
        <f t="shared" si="42"/>
        <v>1.4810552018370697E-2</v>
      </c>
      <c r="AD93" s="88">
        <f t="shared" si="43"/>
        <v>0</v>
      </c>
      <c r="AE93" s="93">
        <v>174758.73</v>
      </c>
      <c r="AF93" s="88">
        <f t="shared" si="44"/>
        <v>1.4810552018370697E-2</v>
      </c>
      <c r="AG93" s="88">
        <f t="shared" si="45"/>
        <v>0</v>
      </c>
      <c r="AH93" s="93">
        <v>174758.73</v>
      </c>
      <c r="AI93" s="88">
        <f t="shared" si="46"/>
        <v>1.4810552018370697E-2</v>
      </c>
      <c r="AJ93" s="88">
        <f t="shared" si="47"/>
        <v>0</v>
      </c>
      <c r="AK93" s="93">
        <v>174758.73</v>
      </c>
      <c r="AL93" s="88">
        <f t="shared" si="48"/>
        <v>1.4810552018370697E-2</v>
      </c>
      <c r="AM93" s="88">
        <f t="shared" si="49"/>
        <v>0</v>
      </c>
      <c r="AN93" s="93">
        <v>174758.73</v>
      </c>
      <c r="AO93" s="88">
        <f t="shared" si="50"/>
        <v>1.4810552018370697E-2</v>
      </c>
      <c r="AP93" s="88">
        <f t="shared" si="51"/>
        <v>0</v>
      </c>
    </row>
    <row r="94" spans="1:42" s="74" customFormat="1" x14ac:dyDescent="0.25">
      <c r="A94" s="89" t="s">
        <v>206</v>
      </c>
      <c r="B94" s="89" t="s">
        <v>207</v>
      </c>
      <c r="C94" s="89"/>
      <c r="D94" s="93">
        <v>-162538.13</v>
      </c>
      <c r="E94" s="88">
        <f t="shared" si="26"/>
        <v>-1.3774873674887077E-2</v>
      </c>
      <c r="F94" s="88">
        <f t="shared" si="27"/>
        <v>1.1818273041531713E-2</v>
      </c>
      <c r="G94" s="93">
        <v>-164459.04999999999</v>
      </c>
      <c r="H94" s="88">
        <f t="shared" si="28"/>
        <v>-1.39376688930895E-2</v>
      </c>
      <c r="I94" s="88">
        <f t="shared" si="29"/>
        <v>2.1180956596795752E-3</v>
      </c>
      <c r="J94" s="93">
        <v>-164807.39000000001</v>
      </c>
      <c r="K94" s="88">
        <f t="shared" si="30"/>
        <v>-1.3967190209078004E-2</v>
      </c>
      <c r="L94" s="88">
        <f t="shared" si="31"/>
        <v>2.1136188128456634E-3</v>
      </c>
      <c r="M94" s="93">
        <v>-165155.73000000001</v>
      </c>
      <c r="N94" s="88">
        <f t="shared" si="32"/>
        <v>-1.3996711525066506E-2</v>
      </c>
      <c r="O94" s="88">
        <f t="shared" si="33"/>
        <v>2.1091608507921578E-3</v>
      </c>
      <c r="P94" s="93">
        <v>-165504.07</v>
      </c>
      <c r="Q94" s="88">
        <f t="shared" si="34"/>
        <v>-1.4026232841055008E-2</v>
      </c>
      <c r="R94" s="88">
        <f t="shared" si="35"/>
        <v>2.1047216542771086E-3</v>
      </c>
      <c r="S94" s="93">
        <v>-165852.41</v>
      </c>
      <c r="T94" s="88">
        <f t="shared" si="36"/>
        <v>-1.4055754157043509E-2</v>
      </c>
      <c r="U94" s="88">
        <f t="shared" si="37"/>
        <v>2.1003011050608755E-3</v>
      </c>
      <c r="V94" s="93">
        <v>-166200.75</v>
      </c>
      <c r="W94" s="88">
        <f t="shared" si="38"/>
        <v>-1.4085275473032011E-2</v>
      </c>
      <c r="X94" s="88">
        <f t="shared" si="39"/>
        <v>2.0958990858945814E-3</v>
      </c>
      <c r="Y94" s="93">
        <v>-166549.09</v>
      </c>
      <c r="Z94" s="88">
        <f t="shared" si="40"/>
        <v>-1.4114796789020511E-2</v>
      </c>
      <c r="AA94" s="88">
        <f t="shared" si="41"/>
        <v>2.0891137862115716E-3</v>
      </c>
      <c r="AB94" s="93">
        <v>-166897.03</v>
      </c>
      <c r="AC94" s="88">
        <f t="shared" si="42"/>
        <v>-1.4144284205582031E-2</v>
      </c>
      <c r="AD94" s="88">
        <f t="shared" si="43"/>
        <v>0</v>
      </c>
      <c r="AE94" s="93">
        <v>-166897.03</v>
      </c>
      <c r="AF94" s="88">
        <f t="shared" si="44"/>
        <v>-1.4144284205582031E-2</v>
      </c>
      <c r="AG94" s="88">
        <f t="shared" si="45"/>
        <v>0</v>
      </c>
      <c r="AH94" s="93">
        <v>-166897.03</v>
      </c>
      <c r="AI94" s="88">
        <f t="shared" si="46"/>
        <v>-1.4144284205582031E-2</v>
      </c>
      <c r="AJ94" s="88">
        <f t="shared" si="47"/>
        <v>0</v>
      </c>
      <c r="AK94" s="93">
        <v>-166897.03</v>
      </c>
      <c r="AL94" s="88">
        <f t="shared" si="48"/>
        <v>-1.4144284205582031E-2</v>
      </c>
      <c r="AM94" s="88">
        <f t="shared" si="49"/>
        <v>4.7105092283547645E-2</v>
      </c>
      <c r="AN94" s="93">
        <v>-174758.73</v>
      </c>
      <c r="AO94" s="88">
        <f t="shared" si="50"/>
        <v>-1.4810552018370697E-2</v>
      </c>
      <c r="AP94" s="88">
        <f t="shared" si="51"/>
        <v>7.5186050190192422E-2</v>
      </c>
    </row>
    <row r="95" spans="1:42" s="74" customFormat="1" x14ac:dyDescent="0.25">
      <c r="A95" s="86" t="s">
        <v>208</v>
      </c>
      <c r="B95" s="86" t="s">
        <v>727</v>
      </c>
      <c r="C95" s="86"/>
      <c r="D95" s="92">
        <v>12244.410000000003</v>
      </c>
      <c r="E95" s="88">
        <f t="shared" si="26"/>
        <v>1.037696206874806E-3</v>
      </c>
      <c r="F95" s="88">
        <f t="shared" si="27"/>
        <v>-2.9232931598991097E-2</v>
      </c>
      <c r="G95" s="92">
        <v>11886.470000000001</v>
      </c>
      <c r="H95" s="88">
        <f t="shared" si="28"/>
        <v>1.0073613046387023E-3</v>
      </c>
      <c r="I95" s="88">
        <f t="shared" si="29"/>
        <v>-2.8697334027679045E-2</v>
      </c>
      <c r="J95" s="92">
        <v>11545.360000000015</v>
      </c>
      <c r="K95" s="88">
        <f t="shared" si="30"/>
        <v>9.7845272079292696E-4</v>
      </c>
      <c r="L95" s="88">
        <f t="shared" si="31"/>
        <v>-2.9545202574888463E-2</v>
      </c>
      <c r="M95" s="92">
        <v>11204.25</v>
      </c>
      <c r="N95" s="88">
        <f t="shared" si="32"/>
        <v>9.4954413694714912E-4</v>
      </c>
      <c r="O95" s="88">
        <f t="shared" si="33"/>
        <v>0.11569449092978012</v>
      </c>
      <c r="P95" s="92">
        <v>12500.51999999999</v>
      </c>
      <c r="Q95" s="88">
        <f t="shared" si="34"/>
        <v>1.059401162486607E-3</v>
      </c>
      <c r="R95" s="88">
        <f t="shared" si="35"/>
        <v>-2.9470774015802781E-2</v>
      </c>
      <c r="S95" s="92">
        <v>12132.119999999966</v>
      </c>
      <c r="T95" s="88">
        <f t="shared" si="36"/>
        <v>1.0281797902348855E-3</v>
      </c>
      <c r="U95" s="88">
        <f t="shared" si="37"/>
        <v>-3.0365673930029979E-2</v>
      </c>
      <c r="V95" s="92">
        <v>11763.719999999972</v>
      </c>
      <c r="W95" s="88">
        <f t="shared" si="38"/>
        <v>9.9695841798316635E-4</v>
      </c>
      <c r="X95" s="88">
        <f t="shared" si="39"/>
        <v>0.56867215472657096</v>
      </c>
      <c r="Y95" s="92">
        <v>18453.420000000013</v>
      </c>
      <c r="Z95" s="88">
        <f t="shared" si="40"/>
        <v>1.5639009097104467E-3</v>
      </c>
      <c r="AA95" s="88">
        <f t="shared" si="41"/>
        <v>0.17480662121167767</v>
      </c>
      <c r="AB95" s="92">
        <v>21679.200000000012</v>
      </c>
      <c r="AC95" s="88">
        <f t="shared" si="42"/>
        <v>1.837281143646799E-3</v>
      </c>
      <c r="AD95" s="88">
        <f t="shared" si="43"/>
        <v>-2.3090796708365446E-2</v>
      </c>
      <c r="AE95" s="92">
        <v>21178.610000000015</v>
      </c>
      <c r="AF95" s="88">
        <f t="shared" si="44"/>
        <v>1.7948568582627376E-3</v>
      </c>
      <c r="AG95" s="88">
        <f t="shared" si="45"/>
        <v>-2.3636584270638972E-2</v>
      </c>
      <c r="AH95" s="92">
        <v>20678.020000000019</v>
      </c>
      <c r="AI95" s="88">
        <f t="shared" si="46"/>
        <v>1.7524325728786761E-3</v>
      </c>
      <c r="AJ95" s="88">
        <f t="shared" si="47"/>
        <v>-2.4210731975305433E-2</v>
      </c>
      <c r="AK95" s="92">
        <v>20177.390000000014</v>
      </c>
      <c r="AL95" s="88">
        <f t="shared" si="48"/>
        <v>1.7100048975519156E-3</v>
      </c>
      <c r="AM95" s="88">
        <f t="shared" si="49"/>
        <v>-2.4811434977467517E-2</v>
      </c>
      <c r="AN95" s="92">
        <v>19676.760000000009</v>
      </c>
      <c r="AO95" s="88">
        <f t="shared" si="50"/>
        <v>1.6675772222251553E-3</v>
      </c>
      <c r="AP95" s="88">
        <f t="shared" si="51"/>
        <v>0.60699943892764163</v>
      </c>
    </row>
    <row r="96" spans="1:42" s="74" customFormat="1" x14ac:dyDescent="0.25">
      <c r="A96" s="89" t="s">
        <v>209</v>
      </c>
      <c r="B96" s="89" t="s">
        <v>728</v>
      </c>
      <c r="C96" s="89"/>
      <c r="D96" s="93">
        <v>139248.41</v>
      </c>
      <c r="E96" s="88">
        <f t="shared" si="26"/>
        <v>1.1801103268376981E-2</v>
      </c>
      <c r="F96" s="88">
        <f t="shared" si="27"/>
        <v>0</v>
      </c>
      <c r="G96" s="93">
        <v>139248.41</v>
      </c>
      <c r="H96" s="88">
        <f t="shared" si="28"/>
        <v>1.1801103268376981E-2</v>
      </c>
      <c r="I96" s="88">
        <f t="shared" si="29"/>
        <v>0</v>
      </c>
      <c r="J96" s="93">
        <v>139248.41</v>
      </c>
      <c r="K96" s="88">
        <f t="shared" si="30"/>
        <v>1.1801103268376981E-2</v>
      </c>
      <c r="L96" s="88">
        <f t="shared" si="31"/>
        <v>0</v>
      </c>
      <c r="M96" s="93">
        <v>139248.41</v>
      </c>
      <c r="N96" s="88">
        <f t="shared" si="32"/>
        <v>1.1801103268376981E-2</v>
      </c>
      <c r="O96" s="88">
        <f t="shared" si="33"/>
        <v>1.1758697998777601E-2</v>
      </c>
      <c r="P96" s="93">
        <v>140885.78999999998</v>
      </c>
      <c r="Q96" s="88">
        <f t="shared" si="34"/>
        <v>1.1939868877762213E-2</v>
      </c>
      <c r="R96" s="88">
        <f t="shared" si="35"/>
        <v>0</v>
      </c>
      <c r="S96" s="93">
        <v>140885.78999999998</v>
      </c>
      <c r="T96" s="88">
        <f t="shared" si="36"/>
        <v>1.1939868877762213E-2</v>
      </c>
      <c r="U96" s="88">
        <f t="shared" si="37"/>
        <v>0</v>
      </c>
      <c r="V96" s="93">
        <v>140885.78999999998</v>
      </c>
      <c r="W96" s="88">
        <f t="shared" si="38"/>
        <v>1.1939868877762213E-2</v>
      </c>
      <c r="X96" s="88">
        <f t="shared" si="39"/>
        <v>5.0098026209740798E-2</v>
      </c>
      <c r="Y96" s="93">
        <v>147943.89000000001</v>
      </c>
      <c r="Z96" s="88">
        <f t="shared" si="40"/>
        <v>1.2538032741741213E-2</v>
      </c>
      <c r="AA96" s="88">
        <f t="shared" si="41"/>
        <v>2.5088903637723758E-2</v>
      </c>
      <c r="AB96" s="93">
        <v>151655.64000000001</v>
      </c>
      <c r="AC96" s="88">
        <f t="shared" si="42"/>
        <v>1.2852598237005384E-2</v>
      </c>
      <c r="AD96" s="88">
        <f t="shared" si="43"/>
        <v>0</v>
      </c>
      <c r="AE96" s="93">
        <v>151655.64000000001</v>
      </c>
      <c r="AF96" s="88">
        <f t="shared" si="44"/>
        <v>1.2852598237005384E-2</v>
      </c>
      <c r="AG96" s="88">
        <f t="shared" si="45"/>
        <v>0</v>
      </c>
      <c r="AH96" s="93">
        <v>151655.64000000001</v>
      </c>
      <c r="AI96" s="88">
        <f t="shared" si="46"/>
        <v>1.2852598237005384E-2</v>
      </c>
      <c r="AJ96" s="88">
        <f t="shared" si="47"/>
        <v>0</v>
      </c>
      <c r="AK96" s="93">
        <v>151655.64000000001</v>
      </c>
      <c r="AL96" s="88">
        <f t="shared" si="48"/>
        <v>1.2852598237005384E-2</v>
      </c>
      <c r="AM96" s="88">
        <f t="shared" si="49"/>
        <v>0</v>
      </c>
      <c r="AN96" s="93">
        <v>151655.64000000001</v>
      </c>
      <c r="AO96" s="88">
        <f t="shared" si="50"/>
        <v>1.2852598237005384E-2</v>
      </c>
      <c r="AP96" s="88">
        <f t="shared" si="51"/>
        <v>8.910141236083069E-2</v>
      </c>
    </row>
    <row r="97" spans="1:42" s="74" customFormat="1" x14ac:dyDescent="0.25">
      <c r="A97" s="89" t="s">
        <v>210</v>
      </c>
      <c r="B97" s="89" t="s">
        <v>729</v>
      </c>
      <c r="C97" s="89"/>
      <c r="D97" s="93">
        <v>-127004</v>
      </c>
      <c r="E97" s="88">
        <f t="shared" si="26"/>
        <v>-1.0763407061502174E-2</v>
      </c>
      <c r="F97" s="88">
        <f t="shared" si="27"/>
        <v>2.818336430348678E-3</v>
      </c>
      <c r="G97" s="93">
        <v>-127361.94</v>
      </c>
      <c r="H97" s="88">
        <f t="shared" si="28"/>
        <v>-1.0793741963738277E-2</v>
      </c>
      <c r="I97" s="88">
        <f t="shared" si="29"/>
        <v>2.6782726456584527E-3</v>
      </c>
      <c r="J97" s="93">
        <v>-127703.04999999999</v>
      </c>
      <c r="K97" s="88">
        <f t="shared" si="30"/>
        <v>-1.0822650547584052E-2</v>
      </c>
      <c r="L97" s="88">
        <f t="shared" si="31"/>
        <v>2.6711186616139582E-3</v>
      </c>
      <c r="M97" s="93">
        <v>-128044.16</v>
      </c>
      <c r="N97" s="88">
        <f t="shared" si="32"/>
        <v>-1.0851559131429831E-2</v>
      </c>
      <c r="O97" s="88">
        <f t="shared" si="33"/>
        <v>2.6640027940358912E-3</v>
      </c>
      <c r="P97" s="93">
        <v>-128385.26999999999</v>
      </c>
      <c r="Q97" s="88">
        <f t="shared" si="34"/>
        <v>-1.0880467715275606E-2</v>
      </c>
      <c r="R97" s="88">
        <f t="shared" si="35"/>
        <v>2.8694880651030097E-3</v>
      </c>
      <c r="S97" s="93">
        <v>-128753.67000000001</v>
      </c>
      <c r="T97" s="88">
        <f t="shared" si="36"/>
        <v>-1.0911689087527328E-2</v>
      </c>
      <c r="U97" s="88">
        <f t="shared" si="37"/>
        <v>2.8612776629979297E-3</v>
      </c>
      <c r="V97" s="93">
        <v>-129122.07</v>
      </c>
      <c r="W97" s="88">
        <f t="shared" si="38"/>
        <v>-1.0942910459779047E-2</v>
      </c>
      <c r="X97" s="88">
        <f t="shared" si="39"/>
        <v>2.8531141113210534E-3</v>
      </c>
      <c r="Y97" s="93">
        <v>-129490.47</v>
      </c>
      <c r="Z97" s="88">
        <f t="shared" si="40"/>
        <v>-1.0974131832030767E-2</v>
      </c>
      <c r="AA97" s="88">
        <f t="shared" si="41"/>
        <v>3.7529402742919604E-3</v>
      </c>
      <c r="AB97" s="93">
        <v>-129976.44</v>
      </c>
      <c r="AC97" s="88">
        <f t="shared" si="42"/>
        <v>-1.1015317093358585E-2</v>
      </c>
      <c r="AD97" s="88">
        <f t="shared" si="43"/>
        <v>3.8513902981185399E-3</v>
      </c>
      <c r="AE97" s="93">
        <v>-130477.03</v>
      </c>
      <c r="AF97" s="88">
        <f t="shared" si="44"/>
        <v>-1.1057741378742646E-2</v>
      </c>
      <c r="AG97" s="88">
        <f t="shared" si="45"/>
        <v>3.8366140001806492E-3</v>
      </c>
      <c r="AH97" s="93">
        <v>-130977.62</v>
      </c>
      <c r="AI97" s="88">
        <f t="shared" si="46"/>
        <v>-1.1100165664126707E-2</v>
      </c>
      <c r="AJ97" s="88">
        <f t="shared" si="47"/>
        <v>3.8222560464911126E-3</v>
      </c>
      <c r="AK97" s="93">
        <v>-131478.25</v>
      </c>
      <c r="AL97" s="88">
        <f t="shared" si="48"/>
        <v>-1.1142593339453468E-2</v>
      </c>
      <c r="AM97" s="88">
        <f t="shared" si="49"/>
        <v>3.8077020343669776E-3</v>
      </c>
      <c r="AN97" s="93">
        <v>-131978.88</v>
      </c>
      <c r="AO97" s="88">
        <f t="shared" si="50"/>
        <v>-1.1185021014780227E-2</v>
      </c>
      <c r="AP97" s="88">
        <f t="shared" si="51"/>
        <v>3.9171049730717167E-2</v>
      </c>
    </row>
    <row r="98" spans="1:42" s="74" customFormat="1" x14ac:dyDescent="0.25">
      <c r="A98" s="86" t="s">
        <v>606</v>
      </c>
      <c r="B98" s="86" t="s">
        <v>607</v>
      </c>
      <c r="C98" s="86"/>
      <c r="D98" s="92">
        <v>0</v>
      </c>
      <c r="E98" s="88">
        <f t="shared" si="26"/>
        <v>0</v>
      </c>
      <c r="F98" s="88">
        <f t="shared" si="27"/>
        <v>0</v>
      </c>
      <c r="G98" s="92">
        <v>0</v>
      </c>
      <c r="H98" s="88">
        <f t="shared" si="28"/>
        <v>0</v>
      </c>
      <c r="I98" s="88">
        <f t="shared" si="29"/>
        <v>0</v>
      </c>
      <c r="J98" s="92">
        <v>0</v>
      </c>
      <c r="K98" s="88">
        <f t="shared" si="30"/>
        <v>0</v>
      </c>
      <c r="L98" s="88">
        <f t="shared" si="31"/>
        <v>0</v>
      </c>
      <c r="M98" s="92">
        <v>0</v>
      </c>
      <c r="N98" s="88">
        <f t="shared" si="32"/>
        <v>0</v>
      </c>
      <c r="O98" s="88">
        <f t="shared" si="33"/>
        <v>0</v>
      </c>
      <c r="P98" s="92">
        <v>0</v>
      </c>
      <c r="Q98" s="88">
        <f t="shared" si="34"/>
        <v>0</v>
      </c>
      <c r="R98" s="88">
        <f t="shared" si="35"/>
        <v>0</v>
      </c>
      <c r="S98" s="92">
        <v>0</v>
      </c>
      <c r="T98" s="88">
        <f t="shared" si="36"/>
        <v>0</v>
      </c>
      <c r="U98" s="88">
        <f t="shared" si="37"/>
        <v>0</v>
      </c>
      <c r="V98" s="92">
        <v>0</v>
      </c>
      <c r="W98" s="88">
        <f t="shared" si="38"/>
        <v>0</v>
      </c>
      <c r="X98" s="88">
        <f t="shared" si="39"/>
        <v>0</v>
      </c>
      <c r="Y98" s="92">
        <v>0</v>
      </c>
      <c r="Z98" s="88">
        <f t="shared" si="40"/>
        <v>0</v>
      </c>
      <c r="AA98" s="88">
        <f t="shared" si="41"/>
        <v>0</v>
      </c>
      <c r="AB98" s="92">
        <v>0</v>
      </c>
      <c r="AC98" s="88">
        <f t="shared" si="42"/>
        <v>0</v>
      </c>
      <c r="AD98" s="88">
        <f t="shared" si="43"/>
        <v>0</v>
      </c>
      <c r="AE98" s="92">
        <v>0</v>
      </c>
      <c r="AF98" s="88">
        <f t="shared" si="44"/>
        <v>0</v>
      </c>
      <c r="AG98" s="88">
        <f t="shared" si="45"/>
        <v>0</v>
      </c>
      <c r="AH98" s="92">
        <v>0</v>
      </c>
      <c r="AI98" s="88">
        <f t="shared" si="46"/>
        <v>0</v>
      </c>
      <c r="AJ98" s="88">
        <f t="shared" si="47"/>
        <v>0</v>
      </c>
      <c r="AK98" s="92">
        <v>0</v>
      </c>
      <c r="AL98" s="88">
        <f t="shared" si="48"/>
        <v>0</v>
      </c>
      <c r="AM98" s="88">
        <f t="shared" si="49"/>
        <v>0</v>
      </c>
      <c r="AN98" s="92">
        <v>0</v>
      </c>
      <c r="AO98" s="88">
        <f t="shared" si="50"/>
        <v>0</v>
      </c>
      <c r="AP98" s="88">
        <f t="shared" si="51"/>
        <v>0</v>
      </c>
    </row>
    <row r="99" spans="1:42" s="74" customFormat="1" x14ac:dyDescent="0.25">
      <c r="A99" s="86" t="s">
        <v>608</v>
      </c>
      <c r="B99" s="86" t="s">
        <v>730</v>
      </c>
      <c r="C99" s="86"/>
      <c r="D99" s="92">
        <v>0</v>
      </c>
      <c r="E99" s="88">
        <f t="shared" si="26"/>
        <v>0</v>
      </c>
      <c r="F99" s="88">
        <f t="shared" si="27"/>
        <v>0</v>
      </c>
      <c r="G99" s="92">
        <v>0</v>
      </c>
      <c r="H99" s="88">
        <f t="shared" si="28"/>
        <v>0</v>
      </c>
      <c r="I99" s="88">
        <f t="shared" si="29"/>
        <v>0</v>
      </c>
      <c r="J99" s="92">
        <v>0</v>
      </c>
      <c r="K99" s="88">
        <f t="shared" si="30"/>
        <v>0</v>
      </c>
      <c r="L99" s="88">
        <f t="shared" si="31"/>
        <v>0</v>
      </c>
      <c r="M99" s="92">
        <v>0</v>
      </c>
      <c r="N99" s="88">
        <f t="shared" si="32"/>
        <v>0</v>
      </c>
      <c r="O99" s="88">
        <f t="shared" si="33"/>
        <v>0</v>
      </c>
      <c r="P99" s="92">
        <v>0</v>
      </c>
      <c r="Q99" s="88">
        <f t="shared" si="34"/>
        <v>0</v>
      </c>
      <c r="R99" s="88">
        <f t="shared" si="35"/>
        <v>0</v>
      </c>
      <c r="S99" s="92">
        <v>0</v>
      </c>
      <c r="T99" s="88">
        <f t="shared" si="36"/>
        <v>0</v>
      </c>
      <c r="U99" s="88">
        <f t="shared" si="37"/>
        <v>0</v>
      </c>
      <c r="V99" s="92">
        <v>0</v>
      </c>
      <c r="W99" s="88">
        <f t="shared" si="38"/>
        <v>0</v>
      </c>
      <c r="X99" s="88">
        <f t="shared" si="39"/>
        <v>0</v>
      </c>
      <c r="Y99" s="92">
        <v>0</v>
      </c>
      <c r="Z99" s="88">
        <f t="shared" si="40"/>
        <v>0</v>
      </c>
      <c r="AA99" s="88">
        <f t="shared" si="41"/>
        <v>0</v>
      </c>
      <c r="AB99" s="92">
        <v>0</v>
      </c>
      <c r="AC99" s="88">
        <f t="shared" si="42"/>
        <v>0</v>
      </c>
      <c r="AD99" s="88">
        <f t="shared" si="43"/>
        <v>0</v>
      </c>
      <c r="AE99" s="92">
        <v>0</v>
      </c>
      <c r="AF99" s="88">
        <f t="shared" si="44"/>
        <v>0</v>
      </c>
      <c r="AG99" s="88">
        <f t="shared" si="45"/>
        <v>0</v>
      </c>
      <c r="AH99" s="92">
        <v>0</v>
      </c>
      <c r="AI99" s="88">
        <f t="shared" si="46"/>
        <v>0</v>
      </c>
      <c r="AJ99" s="88">
        <f t="shared" si="47"/>
        <v>0</v>
      </c>
      <c r="AK99" s="92">
        <v>0</v>
      </c>
      <c r="AL99" s="88">
        <f t="shared" si="48"/>
        <v>0</v>
      </c>
      <c r="AM99" s="88">
        <f t="shared" si="49"/>
        <v>0</v>
      </c>
      <c r="AN99" s="92">
        <v>0</v>
      </c>
      <c r="AO99" s="88">
        <f t="shared" si="50"/>
        <v>0</v>
      </c>
      <c r="AP99" s="88">
        <f t="shared" si="51"/>
        <v>0</v>
      </c>
    </row>
    <row r="100" spans="1:42" s="74" customFormat="1" x14ac:dyDescent="0.25">
      <c r="A100" s="89" t="s">
        <v>609</v>
      </c>
      <c r="B100" s="89" t="s">
        <v>610</v>
      </c>
      <c r="C100" s="89"/>
      <c r="D100" s="93">
        <v>1520.23</v>
      </c>
      <c r="E100" s="88">
        <f t="shared" si="26"/>
        <v>1.2883731470746945E-4</v>
      </c>
      <c r="F100" s="88">
        <f t="shared" si="27"/>
        <v>0</v>
      </c>
      <c r="G100" s="93">
        <v>1520.23</v>
      </c>
      <c r="H100" s="88">
        <f t="shared" si="28"/>
        <v>1.2883731470746945E-4</v>
      </c>
      <c r="I100" s="88">
        <f t="shared" si="29"/>
        <v>0</v>
      </c>
      <c r="J100" s="93">
        <v>1520.23</v>
      </c>
      <c r="K100" s="88">
        <f t="shared" si="30"/>
        <v>1.2883731470746945E-4</v>
      </c>
      <c r="L100" s="88">
        <f t="shared" si="31"/>
        <v>0</v>
      </c>
      <c r="M100" s="93">
        <v>1520.23</v>
      </c>
      <c r="N100" s="88">
        <f t="shared" si="32"/>
        <v>1.2883731470746945E-4</v>
      </c>
      <c r="O100" s="88">
        <f t="shared" si="33"/>
        <v>0</v>
      </c>
      <c r="P100" s="93">
        <v>1520.23</v>
      </c>
      <c r="Q100" s="88">
        <f t="shared" si="34"/>
        <v>1.2883731470746945E-4</v>
      </c>
      <c r="R100" s="88">
        <f t="shared" si="35"/>
        <v>0</v>
      </c>
      <c r="S100" s="93">
        <v>1520.23</v>
      </c>
      <c r="T100" s="88">
        <f t="shared" si="36"/>
        <v>1.2883731470746945E-4</v>
      </c>
      <c r="U100" s="88">
        <f t="shared" si="37"/>
        <v>0</v>
      </c>
      <c r="V100" s="93">
        <v>1520.23</v>
      </c>
      <c r="W100" s="88">
        <f t="shared" si="38"/>
        <v>1.2883731470746945E-4</v>
      </c>
      <c r="X100" s="88">
        <f t="shared" si="39"/>
        <v>0</v>
      </c>
      <c r="Y100" s="93">
        <v>1520.23</v>
      </c>
      <c r="Z100" s="88">
        <f t="shared" si="40"/>
        <v>1.2883731470746945E-4</v>
      </c>
      <c r="AA100" s="88">
        <f t="shared" si="41"/>
        <v>0</v>
      </c>
      <c r="AB100" s="93">
        <v>1520.23</v>
      </c>
      <c r="AC100" s="88">
        <f t="shared" si="42"/>
        <v>1.2883731470746945E-4</v>
      </c>
      <c r="AD100" s="88">
        <f t="shared" si="43"/>
        <v>0</v>
      </c>
      <c r="AE100" s="93">
        <v>1520.23</v>
      </c>
      <c r="AF100" s="88">
        <f t="shared" si="44"/>
        <v>1.2883731470746945E-4</v>
      </c>
      <c r="AG100" s="88">
        <f t="shared" si="45"/>
        <v>0</v>
      </c>
      <c r="AH100" s="93">
        <v>1520.23</v>
      </c>
      <c r="AI100" s="88">
        <f t="shared" si="46"/>
        <v>1.2883731470746945E-4</v>
      </c>
      <c r="AJ100" s="88">
        <f t="shared" si="47"/>
        <v>0</v>
      </c>
      <c r="AK100" s="93">
        <v>1520.23</v>
      </c>
      <c r="AL100" s="88">
        <f t="shared" si="48"/>
        <v>1.2883731470746945E-4</v>
      </c>
      <c r="AM100" s="88">
        <f t="shared" si="49"/>
        <v>0</v>
      </c>
      <c r="AN100" s="93">
        <v>1520.23</v>
      </c>
      <c r="AO100" s="88">
        <f t="shared" si="50"/>
        <v>1.2883731470746945E-4</v>
      </c>
      <c r="AP100" s="88">
        <f t="shared" si="51"/>
        <v>0</v>
      </c>
    </row>
    <row r="101" spans="1:42" s="74" customFormat="1" x14ac:dyDescent="0.25">
      <c r="A101" s="89" t="s">
        <v>611</v>
      </c>
      <c r="B101" s="89" t="s">
        <v>612</v>
      </c>
      <c r="C101" s="89"/>
      <c r="D101" s="93">
        <v>-1520.23</v>
      </c>
      <c r="E101" s="88">
        <f t="shared" si="26"/>
        <v>-1.2883731470746945E-4</v>
      </c>
      <c r="F101" s="88">
        <f t="shared" si="27"/>
        <v>0</v>
      </c>
      <c r="G101" s="93">
        <v>-1520.23</v>
      </c>
      <c r="H101" s="88">
        <f t="shared" si="28"/>
        <v>-1.2883731470746945E-4</v>
      </c>
      <c r="I101" s="88">
        <f t="shared" si="29"/>
        <v>0</v>
      </c>
      <c r="J101" s="93">
        <v>-1520.23</v>
      </c>
      <c r="K101" s="88">
        <f t="shared" si="30"/>
        <v>-1.2883731470746945E-4</v>
      </c>
      <c r="L101" s="88">
        <f t="shared" si="31"/>
        <v>0</v>
      </c>
      <c r="M101" s="93">
        <v>-1520.23</v>
      </c>
      <c r="N101" s="88">
        <f t="shared" si="32"/>
        <v>-1.2883731470746945E-4</v>
      </c>
      <c r="O101" s="88">
        <f t="shared" si="33"/>
        <v>0</v>
      </c>
      <c r="P101" s="93">
        <v>-1520.23</v>
      </c>
      <c r="Q101" s="88">
        <f t="shared" si="34"/>
        <v>-1.2883731470746945E-4</v>
      </c>
      <c r="R101" s="88">
        <f t="shared" si="35"/>
        <v>0</v>
      </c>
      <c r="S101" s="93">
        <v>-1520.23</v>
      </c>
      <c r="T101" s="88">
        <f t="shared" si="36"/>
        <v>-1.2883731470746945E-4</v>
      </c>
      <c r="U101" s="88">
        <f t="shared" si="37"/>
        <v>0</v>
      </c>
      <c r="V101" s="93">
        <v>-1520.23</v>
      </c>
      <c r="W101" s="88">
        <f t="shared" si="38"/>
        <v>-1.2883731470746945E-4</v>
      </c>
      <c r="X101" s="88">
        <f t="shared" si="39"/>
        <v>0</v>
      </c>
      <c r="Y101" s="93">
        <v>-1520.23</v>
      </c>
      <c r="Z101" s="88">
        <f t="shared" si="40"/>
        <v>-1.2883731470746945E-4</v>
      </c>
      <c r="AA101" s="88">
        <f t="shared" si="41"/>
        <v>0</v>
      </c>
      <c r="AB101" s="93">
        <v>-1520.23</v>
      </c>
      <c r="AC101" s="88">
        <f t="shared" si="42"/>
        <v>-1.2883731470746945E-4</v>
      </c>
      <c r="AD101" s="88">
        <f t="shared" si="43"/>
        <v>0</v>
      </c>
      <c r="AE101" s="93">
        <v>-1520.23</v>
      </c>
      <c r="AF101" s="88">
        <f t="shared" si="44"/>
        <v>-1.2883731470746945E-4</v>
      </c>
      <c r="AG101" s="88">
        <f t="shared" si="45"/>
        <v>0</v>
      </c>
      <c r="AH101" s="93">
        <v>-1520.23</v>
      </c>
      <c r="AI101" s="88">
        <f t="shared" si="46"/>
        <v>-1.2883731470746945E-4</v>
      </c>
      <c r="AJ101" s="88">
        <f t="shared" si="47"/>
        <v>0</v>
      </c>
      <c r="AK101" s="93">
        <v>-1520.23</v>
      </c>
      <c r="AL101" s="88">
        <f t="shared" si="48"/>
        <v>-1.2883731470746945E-4</v>
      </c>
      <c r="AM101" s="88">
        <f t="shared" si="49"/>
        <v>0</v>
      </c>
      <c r="AN101" s="93">
        <v>-1520.23</v>
      </c>
      <c r="AO101" s="88">
        <f t="shared" si="50"/>
        <v>-1.2883731470746945E-4</v>
      </c>
      <c r="AP101" s="88">
        <f t="shared" si="51"/>
        <v>0</v>
      </c>
    </row>
    <row r="102" spans="1:42" x14ac:dyDescent="0.25">
      <c r="A102" s="37"/>
      <c r="B102" s="37"/>
      <c r="C102" s="30"/>
      <c r="E102" s="36"/>
      <c r="F102" s="36"/>
      <c r="H102" s="36"/>
      <c r="I102" s="36"/>
      <c r="K102" s="36"/>
      <c r="L102" s="36"/>
      <c r="N102" s="36"/>
      <c r="O102" s="36"/>
      <c r="Q102" s="36"/>
      <c r="R102" s="36"/>
      <c r="T102" s="36"/>
      <c r="U102" s="36"/>
      <c r="W102" s="36"/>
      <c r="X102" s="36"/>
      <c r="Z102" s="36"/>
      <c r="AA102" s="36"/>
      <c r="AC102" s="36"/>
      <c r="AD102" s="36"/>
      <c r="AF102" s="36"/>
      <c r="AG102" s="36"/>
      <c r="AI102" s="36"/>
      <c r="AJ102" s="36"/>
      <c r="AK102" s="34"/>
      <c r="AL102" s="36"/>
      <c r="AM102" s="36"/>
      <c r="AN102" s="38"/>
      <c r="AO102" s="36"/>
    </row>
    <row r="103" spans="1:42" x14ac:dyDescent="0.25">
      <c r="A103" s="37"/>
      <c r="B103" s="37"/>
      <c r="D103" s="29"/>
      <c r="E103" s="36"/>
      <c r="F103" s="36"/>
      <c r="G103" s="29"/>
      <c r="H103" s="36"/>
      <c r="I103" s="36"/>
      <c r="J103" s="29"/>
      <c r="K103" s="36"/>
      <c r="L103" s="36"/>
      <c r="M103" s="29"/>
      <c r="N103" s="36"/>
      <c r="O103" s="36"/>
      <c r="P103" s="29"/>
      <c r="Q103" s="36"/>
      <c r="R103" s="36"/>
      <c r="S103" s="29"/>
      <c r="T103" s="36"/>
      <c r="U103" s="36"/>
      <c r="V103" s="29"/>
      <c r="W103" s="36"/>
      <c r="X103" s="36"/>
      <c r="Y103" s="29"/>
      <c r="Z103" s="36"/>
      <c r="AA103" s="36"/>
      <c r="AB103" s="29"/>
      <c r="AC103" s="36"/>
      <c r="AD103" s="36"/>
      <c r="AE103" s="29"/>
      <c r="AF103" s="36"/>
      <c r="AG103" s="36"/>
      <c r="AH103" s="29"/>
      <c r="AI103" s="36"/>
      <c r="AJ103" s="36"/>
      <c r="AK103" s="29"/>
      <c r="AL103" s="36"/>
      <c r="AM103" s="36"/>
      <c r="AN103" s="29"/>
      <c r="AO103" s="36"/>
    </row>
    <row r="104" spans="1:42" ht="24" x14ac:dyDescent="0.25">
      <c r="A104" s="42" t="s">
        <v>105</v>
      </c>
      <c r="B104" s="42" t="s">
        <v>106</v>
      </c>
      <c r="D104" s="42">
        <v>43435</v>
      </c>
      <c r="E104" s="43" t="s">
        <v>717</v>
      </c>
      <c r="F104" s="43" t="s">
        <v>718</v>
      </c>
      <c r="G104" s="42">
        <v>43466</v>
      </c>
      <c r="H104" s="43" t="s">
        <v>717</v>
      </c>
      <c r="I104" s="43" t="s">
        <v>718</v>
      </c>
      <c r="J104" s="44">
        <v>43497</v>
      </c>
      <c r="K104" s="43" t="s">
        <v>717</v>
      </c>
      <c r="L104" s="43" t="s">
        <v>718</v>
      </c>
      <c r="M104" s="44">
        <v>43525</v>
      </c>
      <c r="N104" s="43" t="s">
        <v>717</v>
      </c>
      <c r="O104" s="43" t="s">
        <v>718</v>
      </c>
      <c r="P104" s="44">
        <v>43556</v>
      </c>
      <c r="Q104" s="43" t="s">
        <v>717</v>
      </c>
      <c r="R104" s="43" t="s">
        <v>718</v>
      </c>
      <c r="S104" s="44">
        <v>43586</v>
      </c>
      <c r="T104" s="43" t="s">
        <v>717</v>
      </c>
      <c r="U104" s="43" t="s">
        <v>718</v>
      </c>
      <c r="V104" s="44">
        <v>43617</v>
      </c>
      <c r="W104" s="43" t="s">
        <v>717</v>
      </c>
      <c r="X104" s="43" t="s">
        <v>718</v>
      </c>
      <c r="Y104" s="44">
        <v>43647</v>
      </c>
      <c r="Z104" s="43" t="s">
        <v>717</v>
      </c>
      <c r="AA104" s="43" t="s">
        <v>718</v>
      </c>
      <c r="AB104" s="44">
        <v>43678</v>
      </c>
      <c r="AC104" s="43" t="s">
        <v>717</v>
      </c>
      <c r="AD104" s="43" t="s">
        <v>718</v>
      </c>
      <c r="AE104" s="44">
        <v>43709</v>
      </c>
      <c r="AF104" s="43" t="s">
        <v>717</v>
      </c>
      <c r="AG104" s="43" t="s">
        <v>718</v>
      </c>
      <c r="AH104" s="44">
        <v>43739</v>
      </c>
      <c r="AI104" s="43" t="s">
        <v>717</v>
      </c>
      <c r="AJ104" s="43" t="s">
        <v>718</v>
      </c>
      <c r="AK104" s="44">
        <v>43770</v>
      </c>
      <c r="AL104" s="43" t="s">
        <v>717</v>
      </c>
      <c r="AM104" s="43" t="s">
        <v>718</v>
      </c>
      <c r="AN104" s="44">
        <v>43800</v>
      </c>
      <c r="AO104" s="43" t="s">
        <v>717</v>
      </c>
      <c r="AP104" s="43" t="s">
        <v>797</v>
      </c>
    </row>
    <row r="105" spans="1:42" s="63" customFormat="1" x14ac:dyDescent="0.25">
      <c r="A105" s="86" t="s">
        <v>211</v>
      </c>
      <c r="B105" s="86" t="s">
        <v>212</v>
      </c>
      <c r="C105" s="86"/>
      <c r="D105" s="87">
        <v>11799609.48</v>
      </c>
      <c r="E105" s="88">
        <f t="shared" ref="E105:E165" si="52">IF(D105=0,0,D105/$D$5)</f>
        <v>1</v>
      </c>
      <c r="F105" s="88">
        <f t="shared" ref="F105:F165" si="53">IF(D105=0,0,G105/D105-1)</f>
        <v>-3.8382132965302129E-2</v>
      </c>
      <c r="G105" s="87">
        <v>11346715.300000001</v>
      </c>
      <c r="H105" s="88">
        <f t="shared" ref="H105:H165" si="54">IF(G105=0,0,G105/$D$5)</f>
        <v>0.96161786703469787</v>
      </c>
      <c r="I105" s="88">
        <f t="shared" ref="I105:I165" si="55">IF(G105=0,0,J105/G105-1)</f>
        <v>4.9067557022426378E-3</v>
      </c>
      <c r="J105" s="87">
        <v>11402390.859999999</v>
      </c>
      <c r="K105" s="88">
        <f t="shared" ref="K105:K165" si="56">IF(J105=0,0,J105/$D$5)</f>
        <v>0.96633629098714879</v>
      </c>
      <c r="L105" s="88">
        <f t="shared" ref="L105:L165" si="57">IF(J105=0,0,M105/J105-1)</f>
        <v>-4.2810740834401395E-3</v>
      </c>
      <c r="M105" s="87">
        <v>11353576.379999999</v>
      </c>
      <c r="N105" s="88">
        <f t="shared" ref="N105:N165" si="58">IF(M105=0,0,M105/$D$5)</f>
        <v>0.96219933373591604</v>
      </c>
      <c r="O105" s="88">
        <f t="shared" ref="O105:O165" si="59">IF(M105=0,0,P105/M105-1)</f>
        <v>1.4427145642719186E-3</v>
      </c>
      <c r="P105" s="87">
        <v>11369956.35</v>
      </c>
      <c r="Q105" s="88">
        <f t="shared" ref="Q105:Q165" si="60">IF(P105=0,0,P105/$D$5)</f>
        <v>0.96358751272842968</v>
      </c>
      <c r="R105" s="88">
        <f t="shared" ref="R105:R165" si="61">IF(P105=0,0,S105/P105-1)</f>
        <v>-1.3978767825260752E-2</v>
      </c>
      <c r="S105" s="87">
        <v>11211018.370000001</v>
      </c>
      <c r="T105" s="88">
        <f t="shared" ref="T105:T165" si="62">IF(S105=0,0,S105/$D$5)</f>
        <v>0.95011774660867854</v>
      </c>
      <c r="U105" s="88">
        <f t="shared" ref="U105:U165" si="63">IF(S105=0,0,V105/S105-1)</f>
        <v>3.4377723528785653E-2</v>
      </c>
      <c r="V105" s="87">
        <v>11596427.659999998</v>
      </c>
      <c r="W105" s="88">
        <f t="shared" ref="W105:W165" si="64">IF(V105=0,0,V105/$D$5)</f>
        <v>0.98278063182138442</v>
      </c>
      <c r="X105" s="88">
        <f t="shared" ref="X105:X165" si="65">IF(V105=0,0,Y105/V105-1)</f>
        <v>-2.6056110455657033E-2</v>
      </c>
      <c r="Y105" s="87">
        <v>11294269.860000001</v>
      </c>
      <c r="Z105" s="88">
        <f t="shared" ref="Z105:Z165" si="66">IF(Y105=0,0,Y105/$D$5)</f>
        <v>0.95717319112496602</v>
      </c>
      <c r="AA105" s="88">
        <f t="shared" ref="AA105:AA165" si="67">IF(Y105=0,0,AB105/Y105-1)</f>
        <v>-9.2506705873947048E-3</v>
      </c>
      <c r="AB105" s="87">
        <v>11189790.290000001</v>
      </c>
      <c r="AC105" s="88">
        <f t="shared" ref="AC105:AC165" si="68">IF(AB105=0,0,AB105/$D$5)</f>
        <v>0.94831869723878359</v>
      </c>
      <c r="AD105" s="88">
        <f t="shared" ref="AD105:AD165" si="69">IF(AB105=0,0,AE105/AB105-1)</f>
        <v>2.5924578788509844E-3</v>
      </c>
      <c r="AE105" s="87">
        <v>11218799.350000001</v>
      </c>
      <c r="AF105" s="88">
        <f t="shared" ref="AF105:AF165" si="70">IF(AE105=0,0,AE105/$D$5)</f>
        <v>0.95077717351710189</v>
      </c>
      <c r="AG105" s="88">
        <f t="shared" ref="AG105:AG165" si="71">IF(AE105=0,0,AH105/AE105-1)</f>
        <v>-1.1869321827206014E-2</v>
      </c>
      <c r="AH105" s="87">
        <v>11085639.810000002</v>
      </c>
      <c r="AI105" s="88">
        <f t="shared" ref="AI105:AI165" si="72">IF(AH105=0,0,AH105/$D$5)</f>
        <v>0.93949209325866623</v>
      </c>
      <c r="AJ105" s="88">
        <f t="shared" ref="AJ105:AJ165" si="73">IF(AH105=0,0,AK105/AH105-1)</f>
        <v>9.9471940176629747E-3</v>
      </c>
      <c r="AK105" s="87">
        <v>11195910.82</v>
      </c>
      <c r="AL105" s="88">
        <f t="shared" ref="AL105:AL165" si="74">IF(AK105=0,0,AK105/$D$5)</f>
        <v>0.94883740338837042</v>
      </c>
      <c r="AM105" s="88">
        <f t="shared" ref="AM105:AM165" si="75">IF(AK105=0,0,AN105/AK105-1)</f>
        <v>-0.40340242724441422</v>
      </c>
      <c r="AN105" s="87">
        <v>6679453.2200000007</v>
      </c>
      <c r="AO105" s="88">
        <f t="shared" ref="AO105:AO168" si="76">IF(AN105=0,0,AN105/$D$5)</f>
        <v>0.56607409180121449</v>
      </c>
      <c r="AP105" s="88">
        <f>IF(D105=0,0,AN105/D105-1)</f>
        <v>-0.43392590819878551</v>
      </c>
    </row>
    <row r="106" spans="1:42" s="63" customFormat="1" x14ac:dyDescent="0.25">
      <c r="A106" s="86" t="s">
        <v>213</v>
      </c>
      <c r="B106" s="86" t="s">
        <v>1</v>
      </c>
      <c r="C106" s="86"/>
      <c r="D106" s="87">
        <v>5609933.6799999997</v>
      </c>
      <c r="E106" s="88">
        <f t="shared" si="52"/>
        <v>0.47543384291731655</v>
      </c>
      <c r="F106" s="88">
        <f t="shared" si="53"/>
        <v>0.14885031225538503</v>
      </c>
      <c r="G106" s="87">
        <v>6444974.0600000005</v>
      </c>
      <c r="H106" s="88">
        <f t="shared" si="54"/>
        <v>0.54620231889233684</v>
      </c>
      <c r="I106" s="88">
        <f t="shared" si="55"/>
        <v>5.7027922312537616E-2</v>
      </c>
      <c r="J106" s="87">
        <v>6812517.54</v>
      </c>
      <c r="K106" s="88">
        <f t="shared" si="56"/>
        <v>0.5773511023010568</v>
      </c>
      <c r="L106" s="88">
        <f t="shared" si="57"/>
        <v>-2.6314398303919906E-2</v>
      </c>
      <c r="M106" s="87">
        <v>6633250.2399999993</v>
      </c>
      <c r="N106" s="88">
        <f t="shared" si="58"/>
        <v>0.56215845543389953</v>
      </c>
      <c r="O106" s="88">
        <f t="shared" si="59"/>
        <v>3.7695975721247832E-2</v>
      </c>
      <c r="P106" s="87">
        <v>6883297.0800000001</v>
      </c>
      <c r="Q106" s="88">
        <f t="shared" si="60"/>
        <v>0.58334956692143003</v>
      </c>
      <c r="R106" s="88">
        <f t="shared" si="61"/>
        <v>4.8120297024867309E-3</v>
      </c>
      <c r="S106" s="87">
        <v>6916419.7100000009</v>
      </c>
      <c r="T106" s="88">
        <f t="shared" si="62"/>
        <v>0.58615666236438879</v>
      </c>
      <c r="U106" s="88">
        <f t="shared" si="63"/>
        <v>-6.3627252025166836E-2</v>
      </c>
      <c r="V106" s="87">
        <v>6476346.9299999997</v>
      </c>
      <c r="W106" s="88">
        <f t="shared" si="64"/>
        <v>0.54886112468189918</v>
      </c>
      <c r="X106" s="88">
        <f t="shared" si="65"/>
        <v>3.9771791533719014E-2</v>
      </c>
      <c r="Y106" s="87">
        <v>6733922.8500000006</v>
      </c>
      <c r="Z106" s="88">
        <f t="shared" si="66"/>
        <v>0.57069031491371025</v>
      </c>
      <c r="AA106" s="88">
        <f t="shared" si="67"/>
        <v>-1.287613653013564E-2</v>
      </c>
      <c r="AB106" s="87">
        <v>6647215.9400000004</v>
      </c>
      <c r="AC106" s="88">
        <f t="shared" si="68"/>
        <v>0.56334202850245518</v>
      </c>
      <c r="AD106" s="88">
        <f t="shared" si="69"/>
        <v>3.6067906047294818E-2</v>
      </c>
      <c r="AE106" s="87">
        <v>6886967.1000000006</v>
      </c>
      <c r="AF106" s="88">
        <f t="shared" si="70"/>
        <v>0.58366059585897412</v>
      </c>
      <c r="AG106" s="88">
        <f t="shared" si="71"/>
        <v>1.8526446859315149E-2</v>
      </c>
      <c r="AH106" s="87">
        <v>7014558.1300000018</v>
      </c>
      <c r="AI106" s="88">
        <f t="shared" si="72"/>
        <v>0.59447375287203164</v>
      </c>
      <c r="AJ106" s="88">
        <f t="shared" si="73"/>
        <v>5.4087304284695881E-2</v>
      </c>
      <c r="AK106" s="87">
        <v>7393956.6699999999</v>
      </c>
      <c r="AL106" s="88">
        <f t="shared" si="74"/>
        <v>0.62662723563288636</v>
      </c>
      <c r="AM106" s="88">
        <f t="shared" si="75"/>
        <v>8.6506592957893425E-3</v>
      </c>
      <c r="AN106" s="87">
        <v>7457919.2699999996</v>
      </c>
      <c r="AO106" s="88">
        <f t="shared" si="76"/>
        <v>0.63204797435380877</v>
      </c>
      <c r="AP106" s="88">
        <f t="shared" ref="AP106:AP169" si="77">IF(D106=0,0,AN106/D106-1)</f>
        <v>0.32941309031660415</v>
      </c>
    </row>
    <row r="107" spans="1:42" s="63" customFormat="1" x14ac:dyDescent="0.25">
      <c r="A107" s="86" t="s">
        <v>214</v>
      </c>
      <c r="B107" s="86" t="s">
        <v>215</v>
      </c>
      <c r="C107" s="86"/>
      <c r="D107" s="87">
        <v>2408538.48</v>
      </c>
      <c r="E107" s="88">
        <f t="shared" si="52"/>
        <v>0.2041201858487269</v>
      </c>
      <c r="F107" s="88">
        <f t="shared" si="53"/>
        <v>2.5185647023584501E-3</v>
      </c>
      <c r="G107" s="87">
        <v>2414604.54</v>
      </c>
      <c r="H107" s="88">
        <f t="shared" si="54"/>
        <v>0.20463427574384435</v>
      </c>
      <c r="I107" s="88">
        <f t="shared" si="55"/>
        <v>-4.2485072938693302E-2</v>
      </c>
      <c r="J107" s="87">
        <v>2312019.89</v>
      </c>
      <c r="K107" s="88">
        <f t="shared" si="56"/>
        <v>0.19594037361311045</v>
      </c>
      <c r="L107" s="88">
        <f t="shared" si="57"/>
        <v>-3.4003267160474082E-2</v>
      </c>
      <c r="M107" s="87">
        <v>2233403.66</v>
      </c>
      <c r="N107" s="88">
        <f t="shared" si="58"/>
        <v>0.18927776074162075</v>
      </c>
      <c r="O107" s="88">
        <f t="shared" si="59"/>
        <v>-0.15559751075181816</v>
      </c>
      <c r="P107" s="87">
        <v>1885891.61</v>
      </c>
      <c r="Q107" s="88">
        <f t="shared" si="60"/>
        <v>0.15982661232954634</v>
      </c>
      <c r="R107" s="88">
        <f t="shared" si="61"/>
        <v>3.9357861080892009E-2</v>
      </c>
      <c r="S107" s="87">
        <v>1960116.27</v>
      </c>
      <c r="T107" s="88">
        <f t="shared" si="62"/>
        <v>0.16611704593464224</v>
      </c>
      <c r="U107" s="88">
        <f t="shared" si="63"/>
        <v>-2.3577427883908153E-2</v>
      </c>
      <c r="V107" s="87">
        <v>1913901.77</v>
      </c>
      <c r="W107" s="88">
        <f t="shared" si="64"/>
        <v>0.16220043326383035</v>
      </c>
      <c r="X107" s="88">
        <f t="shared" si="65"/>
        <v>-3.2761012598885975E-2</v>
      </c>
      <c r="Y107" s="87">
        <v>1851200.41</v>
      </c>
      <c r="Z107" s="88">
        <f t="shared" si="66"/>
        <v>0.15688658282612924</v>
      </c>
      <c r="AA107" s="88">
        <f t="shared" si="67"/>
        <v>-1.8270636618970881E-2</v>
      </c>
      <c r="AB107" s="87">
        <v>1817377.8</v>
      </c>
      <c r="AC107" s="88">
        <f t="shared" si="68"/>
        <v>0.15402016508092095</v>
      </c>
      <c r="AD107" s="88">
        <f t="shared" si="69"/>
        <v>9.0989429935811827E-2</v>
      </c>
      <c r="AE107" s="87">
        <v>1982739.97</v>
      </c>
      <c r="AF107" s="88">
        <f t="shared" si="70"/>
        <v>0.1680343721002536</v>
      </c>
      <c r="AG107" s="88">
        <f t="shared" si="71"/>
        <v>-4.2799328849965068E-2</v>
      </c>
      <c r="AH107" s="87">
        <v>1897880.03</v>
      </c>
      <c r="AI107" s="88">
        <f t="shared" si="72"/>
        <v>0.16084261375063744</v>
      </c>
      <c r="AJ107" s="88">
        <f t="shared" si="73"/>
        <v>0.19428287572002123</v>
      </c>
      <c r="AK107" s="87">
        <v>2266605.62</v>
      </c>
      <c r="AL107" s="88">
        <f t="shared" si="74"/>
        <v>0.1920915792884359</v>
      </c>
      <c r="AM107" s="88">
        <f t="shared" si="75"/>
        <v>2.2482115790394941E-2</v>
      </c>
      <c r="AN107" s="87">
        <v>2317563.71</v>
      </c>
      <c r="AO107" s="88">
        <f t="shared" si="76"/>
        <v>0.19641020441635834</v>
      </c>
      <c r="AP107" s="88">
        <f t="shared" si="77"/>
        <v>-3.7771773527986108E-2</v>
      </c>
    </row>
    <row r="108" spans="1:42" s="63" customFormat="1" x14ac:dyDescent="0.25">
      <c r="A108" s="86" t="s">
        <v>216</v>
      </c>
      <c r="B108" s="86" t="s">
        <v>215</v>
      </c>
      <c r="C108" s="86"/>
      <c r="D108" s="87">
        <v>2408538.48</v>
      </c>
      <c r="E108" s="88">
        <f t="shared" si="52"/>
        <v>0.2041201858487269</v>
      </c>
      <c r="F108" s="88">
        <f t="shared" si="53"/>
        <v>2.5185647023584501E-3</v>
      </c>
      <c r="G108" s="87">
        <v>2414604.54</v>
      </c>
      <c r="H108" s="88">
        <f t="shared" si="54"/>
        <v>0.20463427574384435</v>
      </c>
      <c r="I108" s="88">
        <f t="shared" si="55"/>
        <v>-4.2485072938693302E-2</v>
      </c>
      <c r="J108" s="87">
        <v>2312019.89</v>
      </c>
      <c r="K108" s="88">
        <f t="shared" si="56"/>
        <v>0.19594037361311045</v>
      </c>
      <c r="L108" s="88">
        <f t="shared" si="57"/>
        <v>-3.4003267160474082E-2</v>
      </c>
      <c r="M108" s="87">
        <v>2233403.66</v>
      </c>
      <c r="N108" s="88">
        <f t="shared" si="58"/>
        <v>0.18927776074162075</v>
      </c>
      <c r="O108" s="88">
        <f t="shared" si="59"/>
        <v>-0.15559751075181816</v>
      </c>
      <c r="P108" s="87">
        <v>1885891.61</v>
      </c>
      <c r="Q108" s="88">
        <f t="shared" si="60"/>
        <v>0.15982661232954634</v>
      </c>
      <c r="R108" s="88">
        <f t="shared" si="61"/>
        <v>3.9357861080892009E-2</v>
      </c>
      <c r="S108" s="87">
        <v>1960116.27</v>
      </c>
      <c r="T108" s="88">
        <f t="shared" si="62"/>
        <v>0.16611704593464224</v>
      </c>
      <c r="U108" s="88">
        <f t="shared" si="63"/>
        <v>-2.3577427883908153E-2</v>
      </c>
      <c r="V108" s="87">
        <v>1913901.77</v>
      </c>
      <c r="W108" s="88">
        <f t="shared" si="64"/>
        <v>0.16220043326383035</v>
      </c>
      <c r="X108" s="88">
        <f t="shared" si="65"/>
        <v>-3.2761012598885975E-2</v>
      </c>
      <c r="Y108" s="87">
        <v>1851200.41</v>
      </c>
      <c r="Z108" s="88">
        <f t="shared" si="66"/>
        <v>0.15688658282612924</v>
      </c>
      <c r="AA108" s="88">
        <f t="shared" si="67"/>
        <v>-1.8270636618970881E-2</v>
      </c>
      <c r="AB108" s="87">
        <v>1817377.8</v>
      </c>
      <c r="AC108" s="88">
        <f t="shared" si="68"/>
        <v>0.15402016508092095</v>
      </c>
      <c r="AD108" s="88">
        <f t="shared" si="69"/>
        <v>9.0989429935811827E-2</v>
      </c>
      <c r="AE108" s="87">
        <v>1982739.97</v>
      </c>
      <c r="AF108" s="88">
        <f t="shared" si="70"/>
        <v>0.1680343721002536</v>
      </c>
      <c r="AG108" s="88">
        <f t="shared" si="71"/>
        <v>-4.2799328849965068E-2</v>
      </c>
      <c r="AH108" s="87">
        <v>1897880.03</v>
      </c>
      <c r="AI108" s="88">
        <f t="shared" si="72"/>
        <v>0.16084261375063744</v>
      </c>
      <c r="AJ108" s="88">
        <f t="shared" si="73"/>
        <v>0.19428287572002123</v>
      </c>
      <c r="AK108" s="87">
        <v>2266605.62</v>
      </c>
      <c r="AL108" s="88">
        <f t="shared" si="74"/>
        <v>0.1920915792884359</v>
      </c>
      <c r="AM108" s="88">
        <f t="shared" si="75"/>
        <v>2.2482115790394941E-2</v>
      </c>
      <c r="AN108" s="87">
        <v>2317563.71</v>
      </c>
      <c r="AO108" s="88">
        <f t="shared" si="76"/>
        <v>0.19641020441635834</v>
      </c>
      <c r="AP108" s="88">
        <f t="shared" si="77"/>
        <v>-3.7771773527986108E-2</v>
      </c>
    </row>
    <row r="109" spans="1:42" s="63" customFormat="1" x14ac:dyDescent="0.25">
      <c r="A109" s="86" t="s">
        <v>217</v>
      </c>
      <c r="B109" s="86" t="s">
        <v>215</v>
      </c>
      <c r="C109" s="86"/>
      <c r="D109" s="87">
        <v>2408538.48</v>
      </c>
      <c r="E109" s="88">
        <f t="shared" si="52"/>
        <v>0.2041201858487269</v>
      </c>
      <c r="F109" s="88">
        <f t="shared" si="53"/>
        <v>2.5185647023584501E-3</v>
      </c>
      <c r="G109" s="87">
        <v>2414604.54</v>
      </c>
      <c r="H109" s="88">
        <f t="shared" si="54"/>
        <v>0.20463427574384435</v>
      </c>
      <c r="I109" s="88">
        <f t="shared" si="55"/>
        <v>-4.2485072938693302E-2</v>
      </c>
      <c r="J109" s="87">
        <v>2312019.89</v>
      </c>
      <c r="K109" s="88">
        <f t="shared" si="56"/>
        <v>0.19594037361311045</v>
      </c>
      <c r="L109" s="88">
        <f t="shared" si="57"/>
        <v>-3.4003267160474082E-2</v>
      </c>
      <c r="M109" s="87">
        <v>2233403.66</v>
      </c>
      <c r="N109" s="88">
        <f t="shared" si="58"/>
        <v>0.18927776074162075</v>
      </c>
      <c r="O109" s="88">
        <f t="shared" si="59"/>
        <v>-0.15559751075181816</v>
      </c>
      <c r="P109" s="87">
        <v>1885891.61</v>
      </c>
      <c r="Q109" s="88">
        <f t="shared" si="60"/>
        <v>0.15982661232954634</v>
      </c>
      <c r="R109" s="88">
        <f t="shared" si="61"/>
        <v>3.9357861080892009E-2</v>
      </c>
      <c r="S109" s="87">
        <v>1960116.27</v>
      </c>
      <c r="T109" s="88">
        <f t="shared" si="62"/>
        <v>0.16611704593464224</v>
      </c>
      <c r="U109" s="88">
        <f t="shared" si="63"/>
        <v>-2.3577427883908153E-2</v>
      </c>
      <c r="V109" s="87">
        <v>1913901.77</v>
      </c>
      <c r="W109" s="88">
        <f t="shared" si="64"/>
        <v>0.16220043326383035</v>
      </c>
      <c r="X109" s="88">
        <f t="shared" si="65"/>
        <v>-3.2761012598885975E-2</v>
      </c>
      <c r="Y109" s="87">
        <v>1851200.41</v>
      </c>
      <c r="Z109" s="88">
        <f t="shared" si="66"/>
        <v>0.15688658282612924</v>
      </c>
      <c r="AA109" s="88">
        <f t="shared" si="67"/>
        <v>-1.8270636618970881E-2</v>
      </c>
      <c r="AB109" s="87">
        <v>1817377.8</v>
      </c>
      <c r="AC109" s="88">
        <f t="shared" si="68"/>
        <v>0.15402016508092095</v>
      </c>
      <c r="AD109" s="88">
        <f t="shared" si="69"/>
        <v>9.0989429935811827E-2</v>
      </c>
      <c r="AE109" s="87">
        <v>1982739.97</v>
      </c>
      <c r="AF109" s="88">
        <f t="shared" si="70"/>
        <v>0.1680343721002536</v>
      </c>
      <c r="AG109" s="88">
        <f t="shared" si="71"/>
        <v>-4.2799328849965068E-2</v>
      </c>
      <c r="AH109" s="87">
        <v>1897880.03</v>
      </c>
      <c r="AI109" s="88">
        <f t="shared" si="72"/>
        <v>0.16084261375063744</v>
      </c>
      <c r="AJ109" s="88">
        <f t="shared" si="73"/>
        <v>0.19428287572002123</v>
      </c>
      <c r="AK109" s="87">
        <v>2266605.62</v>
      </c>
      <c r="AL109" s="88">
        <f t="shared" si="74"/>
        <v>0.1920915792884359</v>
      </c>
      <c r="AM109" s="88">
        <f t="shared" si="75"/>
        <v>2.2482115790394941E-2</v>
      </c>
      <c r="AN109" s="87">
        <v>2317563.71</v>
      </c>
      <c r="AO109" s="88">
        <f t="shared" si="76"/>
        <v>0.19641020441635834</v>
      </c>
      <c r="AP109" s="88">
        <f t="shared" si="77"/>
        <v>-3.7771773527986108E-2</v>
      </c>
    </row>
    <row r="110" spans="1:42" s="74" customFormat="1" x14ac:dyDescent="0.25">
      <c r="A110" s="89" t="s">
        <v>218</v>
      </c>
      <c r="B110" s="89" t="s">
        <v>219</v>
      </c>
      <c r="C110" s="89"/>
      <c r="D110" s="41">
        <v>2408538.48</v>
      </c>
      <c r="E110" s="88">
        <f t="shared" si="52"/>
        <v>0.2041201858487269</v>
      </c>
      <c r="F110" s="88">
        <f t="shared" si="53"/>
        <v>2.5185647023584501E-3</v>
      </c>
      <c r="G110" s="41">
        <v>2414604.54</v>
      </c>
      <c r="H110" s="88">
        <f t="shared" si="54"/>
        <v>0.20463427574384435</v>
      </c>
      <c r="I110" s="88">
        <f t="shared" si="55"/>
        <v>-4.2485072938693302E-2</v>
      </c>
      <c r="J110" s="41">
        <v>2312019.89</v>
      </c>
      <c r="K110" s="88">
        <f t="shared" si="56"/>
        <v>0.19594037361311045</v>
      </c>
      <c r="L110" s="88">
        <f t="shared" si="57"/>
        <v>-3.4003267160474082E-2</v>
      </c>
      <c r="M110" s="41">
        <v>2233403.66</v>
      </c>
      <c r="N110" s="88">
        <f t="shared" si="58"/>
        <v>0.18927776074162075</v>
      </c>
      <c r="O110" s="88">
        <f t="shared" si="59"/>
        <v>-0.15559751075181816</v>
      </c>
      <c r="P110" s="41">
        <v>1885891.61</v>
      </c>
      <c r="Q110" s="88">
        <f t="shared" si="60"/>
        <v>0.15982661232954634</v>
      </c>
      <c r="R110" s="88">
        <f t="shared" si="61"/>
        <v>3.9357861080892009E-2</v>
      </c>
      <c r="S110" s="41">
        <v>1960116.27</v>
      </c>
      <c r="T110" s="88">
        <f t="shared" si="62"/>
        <v>0.16611704593464224</v>
      </c>
      <c r="U110" s="88">
        <f t="shared" si="63"/>
        <v>-2.3577427883908153E-2</v>
      </c>
      <c r="V110" s="41">
        <v>1913901.77</v>
      </c>
      <c r="W110" s="88">
        <f t="shared" si="64"/>
        <v>0.16220043326383035</v>
      </c>
      <c r="X110" s="88">
        <f t="shared" si="65"/>
        <v>-3.2761012598885975E-2</v>
      </c>
      <c r="Y110" s="41">
        <v>1851200.41</v>
      </c>
      <c r="Z110" s="88">
        <f t="shared" si="66"/>
        <v>0.15688658282612924</v>
      </c>
      <c r="AA110" s="88">
        <f t="shared" si="67"/>
        <v>-1.8270636618970881E-2</v>
      </c>
      <c r="AB110" s="41">
        <v>1817377.8</v>
      </c>
      <c r="AC110" s="88">
        <f t="shared" si="68"/>
        <v>0.15402016508092095</v>
      </c>
      <c r="AD110" s="88">
        <f t="shared" si="69"/>
        <v>9.0989429935811827E-2</v>
      </c>
      <c r="AE110" s="41">
        <v>1982739.97</v>
      </c>
      <c r="AF110" s="88">
        <f t="shared" si="70"/>
        <v>0.1680343721002536</v>
      </c>
      <c r="AG110" s="88">
        <f t="shared" si="71"/>
        <v>-4.2799328849965068E-2</v>
      </c>
      <c r="AH110" s="41">
        <v>1897880.03</v>
      </c>
      <c r="AI110" s="88">
        <f t="shared" si="72"/>
        <v>0.16084261375063744</v>
      </c>
      <c r="AJ110" s="88">
        <f t="shared" si="73"/>
        <v>0.19428287572002123</v>
      </c>
      <c r="AK110" s="41">
        <v>2266605.62</v>
      </c>
      <c r="AL110" s="88">
        <f t="shared" si="74"/>
        <v>0.1920915792884359</v>
      </c>
      <c r="AM110" s="88">
        <f t="shared" si="75"/>
        <v>2.2482115790394941E-2</v>
      </c>
      <c r="AN110" s="41">
        <v>2317563.71</v>
      </c>
      <c r="AO110" s="88">
        <f t="shared" si="76"/>
        <v>0.19641020441635834</v>
      </c>
      <c r="AP110" s="88">
        <f t="shared" si="77"/>
        <v>-3.7771773527986108E-2</v>
      </c>
    </row>
    <row r="111" spans="1:42" s="63" customFormat="1" x14ac:dyDescent="0.25">
      <c r="A111" s="86" t="s">
        <v>220</v>
      </c>
      <c r="B111" s="86" t="s">
        <v>221</v>
      </c>
      <c r="C111" s="86"/>
      <c r="D111" s="87">
        <v>1398220.66</v>
      </c>
      <c r="E111" s="88">
        <f t="shared" si="52"/>
        <v>0.11849719792590965</v>
      </c>
      <c r="F111" s="88">
        <f t="shared" si="53"/>
        <v>0.27779240509863445</v>
      </c>
      <c r="G111" s="87">
        <v>1786635.74</v>
      </c>
      <c r="H111" s="88">
        <f t="shared" si="54"/>
        <v>0.151414819535197</v>
      </c>
      <c r="I111" s="88">
        <f t="shared" si="55"/>
        <v>0.19098240472901318</v>
      </c>
      <c r="J111" s="87">
        <v>2127851.73</v>
      </c>
      <c r="K111" s="88">
        <f t="shared" si="56"/>
        <v>0.1803323858816385</v>
      </c>
      <c r="L111" s="88">
        <f t="shared" si="57"/>
        <v>-3.3554833258988337E-2</v>
      </c>
      <c r="M111" s="87">
        <v>2056452.02</v>
      </c>
      <c r="N111" s="88">
        <f t="shared" si="58"/>
        <v>0.17428136274218459</v>
      </c>
      <c r="O111" s="88">
        <f t="shared" si="59"/>
        <v>0.19941913354243979</v>
      </c>
      <c r="P111" s="87">
        <v>2466547.9</v>
      </c>
      <c r="Q111" s="88">
        <f t="shared" si="60"/>
        <v>0.20903640109282665</v>
      </c>
      <c r="R111" s="88">
        <f t="shared" si="61"/>
        <v>-4.9937708487234334E-2</v>
      </c>
      <c r="S111" s="87">
        <v>2343374.15</v>
      </c>
      <c r="T111" s="88">
        <f t="shared" si="62"/>
        <v>0.19859760223183248</v>
      </c>
      <c r="U111" s="88">
        <f t="shared" si="63"/>
        <v>-5.4264121672589094E-2</v>
      </c>
      <c r="V111" s="87">
        <v>2216213.0099999998</v>
      </c>
      <c r="W111" s="88">
        <f t="shared" si="64"/>
        <v>0.18782087778043988</v>
      </c>
      <c r="X111" s="88">
        <f t="shared" si="65"/>
        <v>0.13751681297096985</v>
      </c>
      <c r="Y111" s="87">
        <v>2520979.56</v>
      </c>
      <c r="Z111" s="88">
        <f t="shared" si="66"/>
        <v>0.21364940630221602</v>
      </c>
      <c r="AA111" s="88">
        <f t="shared" si="67"/>
        <v>-5.3081426015211264E-2</v>
      </c>
      <c r="AB111" s="87">
        <v>2387162.37</v>
      </c>
      <c r="AC111" s="88">
        <f t="shared" si="68"/>
        <v>0.20230859114839111</v>
      </c>
      <c r="AD111" s="88">
        <f t="shared" si="69"/>
        <v>-4.5360668114084013E-2</v>
      </c>
      <c r="AE111" s="87">
        <v>2278879.09</v>
      </c>
      <c r="AF111" s="88">
        <f t="shared" si="70"/>
        <v>0.19313173828868105</v>
      </c>
      <c r="AG111" s="88">
        <f t="shared" si="71"/>
        <v>-4.6367527993773416E-2</v>
      </c>
      <c r="AH111" s="87">
        <v>2173213.1</v>
      </c>
      <c r="AI111" s="88">
        <f t="shared" si="72"/>
        <v>0.18417669700709452</v>
      </c>
      <c r="AJ111" s="88">
        <f t="shared" si="73"/>
        <v>-4.3377094496623525E-2</v>
      </c>
      <c r="AK111" s="87">
        <v>2078945.43</v>
      </c>
      <c r="AL111" s="88">
        <f t="shared" si="74"/>
        <v>0.17618764701694178</v>
      </c>
      <c r="AM111" s="88">
        <f t="shared" si="75"/>
        <v>-2.9958381351067875E-2</v>
      </c>
      <c r="AN111" s="87">
        <v>2016663.59</v>
      </c>
      <c r="AO111" s="88">
        <f t="shared" si="76"/>
        <v>0.17090935029826088</v>
      </c>
      <c r="AP111" s="88">
        <f t="shared" si="77"/>
        <v>0.44230710337236778</v>
      </c>
    </row>
    <row r="112" spans="1:42" s="63" customFormat="1" x14ac:dyDescent="0.25">
      <c r="A112" s="86" t="s">
        <v>222</v>
      </c>
      <c r="B112" s="86" t="s">
        <v>223</v>
      </c>
      <c r="C112" s="86"/>
      <c r="D112" s="87">
        <v>1398220.66</v>
      </c>
      <c r="E112" s="88">
        <f t="shared" si="52"/>
        <v>0.11849719792590965</v>
      </c>
      <c r="F112" s="88">
        <f t="shared" si="53"/>
        <v>0.27779240509863445</v>
      </c>
      <c r="G112" s="87">
        <v>1786635.74</v>
      </c>
      <c r="H112" s="88">
        <f t="shared" si="54"/>
        <v>0.151414819535197</v>
      </c>
      <c r="I112" s="88">
        <f t="shared" si="55"/>
        <v>0.19098240472901318</v>
      </c>
      <c r="J112" s="87">
        <v>2127851.73</v>
      </c>
      <c r="K112" s="88">
        <f t="shared" si="56"/>
        <v>0.1803323858816385</v>
      </c>
      <c r="L112" s="88">
        <f t="shared" si="57"/>
        <v>-3.3554833258988337E-2</v>
      </c>
      <c r="M112" s="87">
        <v>2056452.02</v>
      </c>
      <c r="N112" s="88">
        <f t="shared" si="58"/>
        <v>0.17428136274218459</v>
      </c>
      <c r="O112" s="88">
        <f t="shared" si="59"/>
        <v>0.19941913354243979</v>
      </c>
      <c r="P112" s="87">
        <v>2466547.9</v>
      </c>
      <c r="Q112" s="88">
        <f t="shared" si="60"/>
        <v>0.20903640109282665</v>
      </c>
      <c r="R112" s="88">
        <f t="shared" si="61"/>
        <v>-4.9937708487234334E-2</v>
      </c>
      <c r="S112" s="87">
        <v>2343374.15</v>
      </c>
      <c r="T112" s="88">
        <f t="shared" si="62"/>
        <v>0.19859760223183248</v>
      </c>
      <c r="U112" s="88">
        <f t="shared" si="63"/>
        <v>-5.4264121672589094E-2</v>
      </c>
      <c r="V112" s="87">
        <v>2216213.0099999998</v>
      </c>
      <c r="W112" s="88">
        <f t="shared" si="64"/>
        <v>0.18782087778043988</v>
      </c>
      <c r="X112" s="88">
        <f t="shared" si="65"/>
        <v>0.13751681297096985</v>
      </c>
      <c r="Y112" s="87">
        <v>2520979.56</v>
      </c>
      <c r="Z112" s="88">
        <f t="shared" si="66"/>
        <v>0.21364940630221602</v>
      </c>
      <c r="AA112" s="88">
        <f t="shared" si="67"/>
        <v>-5.3081426015211264E-2</v>
      </c>
      <c r="AB112" s="87">
        <v>2387162.37</v>
      </c>
      <c r="AC112" s="88">
        <f t="shared" si="68"/>
        <v>0.20230859114839111</v>
      </c>
      <c r="AD112" s="88">
        <f t="shared" si="69"/>
        <v>-4.5360668114084013E-2</v>
      </c>
      <c r="AE112" s="87">
        <v>2278879.09</v>
      </c>
      <c r="AF112" s="88">
        <f t="shared" si="70"/>
        <v>0.19313173828868105</v>
      </c>
      <c r="AG112" s="88">
        <f t="shared" si="71"/>
        <v>-4.6367527993773416E-2</v>
      </c>
      <c r="AH112" s="87">
        <v>2173213.1</v>
      </c>
      <c r="AI112" s="88">
        <f t="shared" si="72"/>
        <v>0.18417669700709452</v>
      </c>
      <c r="AJ112" s="88">
        <f t="shared" si="73"/>
        <v>-4.3377094496623525E-2</v>
      </c>
      <c r="AK112" s="87">
        <v>2078945.43</v>
      </c>
      <c r="AL112" s="88">
        <f t="shared" si="74"/>
        <v>0.17618764701694178</v>
      </c>
      <c r="AM112" s="88">
        <f t="shared" si="75"/>
        <v>-2.9958381351067875E-2</v>
      </c>
      <c r="AN112" s="87">
        <v>2016663.59</v>
      </c>
      <c r="AO112" s="88">
        <f t="shared" si="76"/>
        <v>0.17090935029826088</v>
      </c>
      <c r="AP112" s="88">
        <f t="shared" si="77"/>
        <v>0.44230710337236778</v>
      </c>
    </row>
    <row r="113" spans="1:42" s="63" customFormat="1" x14ac:dyDescent="0.25">
      <c r="A113" s="86" t="s">
        <v>224</v>
      </c>
      <c r="B113" s="86" t="s">
        <v>223</v>
      </c>
      <c r="C113" s="86"/>
      <c r="D113" s="87">
        <v>1398220.66</v>
      </c>
      <c r="E113" s="88">
        <f t="shared" si="52"/>
        <v>0.11849719792590965</v>
      </c>
      <c r="F113" s="88">
        <f t="shared" si="53"/>
        <v>0.27779240509863445</v>
      </c>
      <c r="G113" s="87">
        <v>1786635.74</v>
      </c>
      <c r="H113" s="88">
        <f t="shared" si="54"/>
        <v>0.151414819535197</v>
      </c>
      <c r="I113" s="88">
        <f t="shared" si="55"/>
        <v>0.19098240472901318</v>
      </c>
      <c r="J113" s="87">
        <v>2127851.73</v>
      </c>
      <c r="K113" s="88">
        <f t="shared" si="56"/>
        <v>0.1803323858816385</v>
      </c>
      <c r="L113" s="88">
        <f t="shared" si="57"/>
        <v>-3.3554833258988337E-2</v>
      </c>
      <c r="M113" s="87">
        <v>2056452.02</v>
      </c>
      <c r="N113" s="88">
        <f t="shared" si="58"/>
        <v>0.17428136274218459</v>
      </c>
      <c r="O113" s="88">
        <f t="shared" si="59"/>
        <v>0.19941913354243979</v>
      </c>
      <c r="P113" s="87">
        <v>2466547.9</v>
      </c>
      <c r="Q113" s="88">
        <f t="shared" si="60"/>
        <v>0.20903640109282665</v>
      </c>
      <c r="R113" s="88">
        <f t="shared" si="61"/>
        <v>-4.9937708487234334E-2</v>
      </c>
      <c r="S113" s="87">
        <v>2343374.15</v>
      </c>
      <c r="T113" s="88">
        <f t="shared" si="62"/>
        <v>0.19859760223183248</v>
      </c>
      <c r="U113" s="88">
        <f t="shared" si="63"/>
        <v>-5.4264121672589094E-2</v>
      </c>
      <c r="V113" s="87">
        <v>2216213.0099999998</v>
      </c>
      <c r="W113" s="88">
        <f t="shared" si="64"/>
        <v>0.18782087778043988</v>
      </c>
      <c r="X113" s="88">
        <f t="shared" si="65"/>
        <v>0.13751681297096985</v>
      </c>
      <c r="Y113" s="87">
        <v>2520979.56</v>
      </c>
      <c r="Z113" s="88">
        <f t="shared" si="66"/>
        <v>0.21364940630221602</v>
      </c>
      <c r="AA113" s="88">
        <f t="shared" si="67"/>
        <v>-5.3081426015211264E-2</v>
      </c>
      <c r="AB113" s="87">
        <v>2387162.37</v>
      </c>
      <c r="AC113" s="88">
        <f t="shared" si="68"/>
        <v>0.20230859114839111</v>
      </c>
      <c r="AD113" s="88">
        <f t="shared" si="69"/>
        <v>-4.5360668114084013E-2</v>
      </c>
      <c r="AE113" s="87">
        <v>2278879.09</v>
      </c>
      <c r="AF113" s="88">
        <f t="shared" si="70"/>
        <v>0.19313173828868105</v>
      </c>
      <c r="AG113" s="88">
        <f t="shared" si="71"/>
        <v>-4.6367527993773416E-2</v>
      </c>
      <c r="AH113" s="87">
        <v>2173213.1</v>
      </c>
      <c r="AI113" s="88">
        <f t="shared" si="72"/>
        <v>0.18417669700709452</v>
      </c>
      <c r="AJ113" s="88">
        <f t="shared" si="73"/>
        <v>-4.3377094496623525E-2</v>
      </c>
      <c r="AK113" s="87">
        <v>2078945.43</v>
      </c>
      <c r="AL113" s="88">
        <f t="shared" si="74"/>
        <v>0.17618764701694178</v>
      </c>
      <c r="AM113" s="88">
        <f t="shared" si="75"/>
        <v>-2.9958381351067875E-2</v>
      </c>
      <c r="AN113" s="87">
        <v>2016663.59</v>
      </c>
      <c r="AO113" s="88">
        <f t="shared" si="76"/>
        <v>0.17090935029826088</v>
      </c>
      <c r="AP113" s="88">
        <f t="shared" si="77"/>
        <v>0.44230710337236778</v>
      </c>
    </row>
    <row r="114" spans="1:42" s="63" customFormat="1" x14ac:dyDescent="0.25">
      <c r="A114" s="86" t="s">
        <v>613</v>
      </c>
      <c r="B114" s="86" t="s">
        <v>731</v>
      </c>
      <c r="C114" s="86"/>
      <c r="D114" s="87">
        <v>1398220.66</v>
      </c>
      <c r="E114" s="88">
        <f t="shared" si="52"/>
        <v>0.11849719792590965</v>
      </c>
      <c r="F114" s="88">
        <f t="shared" si="53"/>
        <v>0.27779240509863445</v>
      </c>
      <c r="G114" s="87">
        <v>1786635.74</v>
      </c>
      <c r="H114" s="88">
        <f t="shared" si="54"/>
        <v>0.151414819535197</v>
      </c>
      <c r="I114" s="88">
        <f t="shared" si="55"/>
        <v>0.19098240472901318</v>
      </c>
      <c r="J114" s="87">
        <v>2127851.73</v>
      </c>
      <c r="K114" s="88">
        <f t="shared" si="56"/>
        <v>0.1803323858816385</v>
      </c>
      <c r="L114" s="88">
        <f t="shared" si="57"/>
        <v>-3.3554833258988337E-2</v>
      </c>
      <c r="M114" s="87">
        <v>2056452.02</v>
      </c>
      <c r="N114" s="88">
        <f t="shared" si="58"/>
        <v>0.17428136274218459</v>
      </c>
      <c r="O114" s="88">
        <f t="shared" si="59"/>
        <v>0.19941913354243979</v>
      </c>
      <c r="P114" s="87">
        <v>2466547.9</v>
      </c>
      <c r="Q114" s="88">
        <f t="shared" si="60"/>
        <v>0.20903640109282665</v>
      </c>
      <c r="R114" s="88">
        <f t="shared" si="61"/>
        <v>-4.9937708487234334E-2</v>
      </c>
      <c r="S114" s="87">
        <v>2343374.15</v>
      </c>
      <c r="T114" s="88">
        <f t="shared" si="62"/>
        <v>0.19859760223183248</v>
      </c>
      <c r="U114" s="88">
        <f t="shared" si="63"/>
        <v>-5.4264121672589094E-2</v>
      </c>
      <c r="V114" s="87">
        <v>2216213.0099999998</v>
      </c>
      <c r="W114" s="88">
        <f t="shared" si="64"/>
        <v>0.18782087778043988</v>
      </c>
      <c r="X114" s="88">
        <f t="shared" si="65"/>
        <v>0.13751681297096985</v>
      </c>
      <c r="Y114" s="87">
        <v>2520979.56</v>
      </c>
      <c r="Z114" s="88">
        <f t="shared" si="66"/>
        <v>0.21364940630221602</v>
      </c>
      <c r="AA114" s="88">
        <f t="shared" si="67"/>
        <v>-5.3081426015211264E-2</v>
      </c>
      <c r="AB114" s="87">
        <v>2387162.37</v>
      </c>
      <c r="AC114" s="88">
        <f t="shared" si="68"/>
        <v>0.20230859114839111</v>
      </c>
      <c r="AD114" s="88">
        <f t="shared" si="69"/>
        <v>-4.5360668114084013E-2</v>
      </c>
      <c r="AE114" s="87">
        <v>2278879.09</v>
      </c>
      <c r="AF114" s="88">
        <f t="shared" si="70"/>
        <v>0.19313173828868105</v>
      </c>
      <c r="AG114" s="88">
        <f t="shared" si="71"/>
        <v>-4.6367527993773416E-2</v>
      </c>
      <c r="AH114" s="87">
        <v>2173213.1</v>
      </c>
      <c r="AI114" s="88">
        <f t="shared" si="72"/>
        <v>0.18417669700709452</v>
      </c>
      <c r="AJ114" s="88">
        <f t="shared" si="73"/>
        <v>-4.3377094496623525E-2</v>
      </c>
      <c r="AK114" s="87">
        <v>2078945.43</v>
      </c>
      <c r="AL114" s="88">
        <f t="shared" si="74"/>
        <v>0.17618764701694178</v>
      </c>
      <c r="AM114" s="88">
        <f t="shared" si="75"/>
        <v>-2.9958381351067875E-2</v>
      </c>
      <c r="AN114" s="87">
        <v>2016663.59</v>
      </c>
      <c r="AO114" s="88">
        <f t="shared" si="76"/>
        <v>0.17090935029826088</v>
      </c>
      <c r="AP114" s="88">
        <f t="shared" si="77"/>
        <v>0.44230710337236778</v>
      </c>
    </row>
    <row r="115" spans="1:42" s="74" customFormat="1" x14ac:dyDescent="0.25">
      <c r="A115" s="89" t="s">
        <v>614</v>
      </c>
      <c r="B115" s="89" t="s">
        <v>821</v>
      </c>
      <c r="C115" s="89"/>
      <c r="D115" s="41">
        <v>1381878.66</v>
      </c>
      <c r="E115" s="88">
        <f t="shared" si="52"/>
        <v>0.11711223683650247</v>
      </c>
      <c r="F115" s="88">
        <f t="shared" si="53"/>
        <v>0.28107755857522254</v>
      </c>
      <c r="G115" s="41">
        <v>1770293.74</v>
      </c>
      <c r="H115" s="88">
        <f t="shared" si="54"/>
        <v>0.15002985844578984</v>
      </c>
      <c r="I115" s="88">
        <f t="shared" si="55"/>
        <v>0.19274540845407939</v>
      </c>
      <c r="J115" s="41">
        <v>2111509.73</v>
      </c>
      <c r="K115" s="88">
        <f t="shared" si="56"/>
        <v>0.17894742479223133</v>
      </c>
      <c r="L115" s="88">
        <f t="shared" si="57"/>
        <v>-3.3814530421320876E-2</v>
      </c>
      <c r="M115" s="41">
        <v>2040110.02</v>
      </c>
      <c r="N115" s="88">
        <f t="shared" si="58"/>
        <v>0.17289640165277739</v>
      </c>
      <c r="O115" s="88">
        <f t="shared" si="59"/>
        <v>-6.4120669335274383E-2</v>
      </c>
      <c r="P115" s="41">
        <v>1909296.8</v>
      </c>
      <c r="Q115" s="88">
        <f t="shared" si="60"/>
        <v>0.16181016865314088</v>
      </c>
      <c r="R115" s="88">
        <f t="shared" si="61"/>
        <v>-6.4512625800242307E-2</v>
      </c>
      <c r="S115" s="41">
        <v>1786123.05</v>
      </c>
      <c r="T115" s="88">
        <f t="shared" si="62"/>
        <v>0.15137136979214671</v>
      </c>
      <c r="U115" s="88">
        <f t="shared" si="63"/>
        <v>-7.1193941537230687E-2</v>
      </c>
      <c r="V115" s="41">
        <v>1658961.91</v>
      </c>
      <c r="W115" s="88">
        <f t="shared" si="64"/>
        <v>0.14059464534075408</v>
      </c>
      <c r="X115" s="88">
        <f t="shared" si="65"/>
        <v>0.1837091907673758</v>
      </c>
      <c r="Y115" s="41">
        <v>1963728.46</v>
      </c>
      <c r="Z115" s="88">
        <f t="shared" si="66"/>
        <v>0.16642317386253022</v>
      </c>
      <c r="AA115" s="88">
        <f t="shared" si="67"/>
        <v>-5.1941504173138031E-2</v>
      </c>
      <c r="AB115" s="41">
        <v>1861729.45</v>
      </c>
      <c r="AC115" s="88">
        <f t="shared" si="68"/>
        <v>0.15777890388284274</v>
      </c>
      <c r="AD115" s="88">
        <f t="shared" si="69"/>
        <v>-5.8110290944798582E-2</v>
      </c>
      <c r="AE115" s="41">
        <v>1753543.81</v>
      </c>
      <c r="AF115" s="88">
        <f t="shared" si="70"/>
        <v>0.14861032587325931</v>
      </c>
      <c r="AG115" s="88">
        <f t="shared" si="71"/>
        <v>-6.0258540104566882E-2</v>
      </c>
      <c r="AH115" s="41">
        <v>1647877.82</v>
      </c>
      <c r="AI115" s="88">
        <f t="shared" si="72"/>
        <v>0.13965528459167278</v>
      </c>
      <c r="AJ115" s="88">
        <f t="shared" si="73"/>
        <v>-1</v>
      </c>
      <c r="AK115" s="41">
        <v>0</v>
      </c>
      <c r="AL115" s="88">
        <f t="shared" si="74"/>
        <v>0</v>
      </c>
      <c r="AM115" s="88">
        <f t="shared" si="75"/>
        <v>0</v>
      </c>
      <c r="AN115" s="41">
        <v>0</v>
      </c>
      <c r="AO115" s="88">
        <f t="shared" si="76"/>
        <v>0</v>
      </c>
      <c r="AP115" s="88">
        <f t="shared" si="77"/>
        <v>-1</v>
      </c>
    </row>
    <row r="116" spans="1:42" s="74" customFormat="1" x14ac:dyDescent="0.25">
      <c r="A116" s="89" t="s">
        <v>615</v>
      </c>
      <c r="B116" s="89" t="s">
        <v>817</v>
      </c>
      <c r="C116" s="89"/>
      <c r="D116" s="41"/>
      <c r="E116" s="88">
        <f t="shared" si="52"/>
        <v>0</v>
      </c>
      <c r="F116" s="88">
        <f t="shared" si="53"/>
        <v>0</v>
      </c>
      <c r="G116" s="41"/>
      <c r="H116" s="88">
        <f t="shared" si="54"/>
        <v>0</v>
      </c>
      <c r="I116" s="88">
        <f t="shared" si="55"/>
        <v>0</v>
      </c>
      <c r="J116" s="41"/>
      <c r="K116" s="88">
        <f t="shared" si="56"/>
        <v>0</v>
      </c>
      <c r="L116" s="88">
        <f t="shared" si="57"/>
        <v>0</v>
      </c>
      <c r="M116" s="41"/>
      <c r="N116" s="88">
        <f t="shared" si="58"/>
        <v>0</v>
      </c>
      <c r="O116" s="88">
        <f t="shared" si="59"/>
        <v>0</v>
      </c>
      <c r="P116" s="41"/>
      <c r="Q116" s="88">
        <f t="shared" si="60"/>
        <v>0</v>
      </c>
      <c r="R116" s="88">
        <f t="shared" si="61"/>
        <v>0</v>
      </c>
      <c r="S116" s="41"/>
      <c r="T116" s="88">
        <f t="shared" si="62"/>
        <v>0</v>
      </c>
      <c r="U116" s="88">
        <f t="shared" si="63"/>
        <v>0</v>
      </c>
      <c r="V116" s="41"/>
      <c r="W116" s="88">
        <f t="shared" si="64"/>
        <v>0</v>
      </c>
      <c r="X116" s="88">
        <f t="shared" si="65"/>
        <v>0</v>
      </c>
      <c r="Y116" s="41"/>
      <c r="Z116" s="88">
        <f t="shared" si="66"/>
        <v>0</v>
      </c>
      <c r="AA116" s="88">
        <f t="shared" si="67"/>
        <v>0</v>
      </c>
      <c r="AB116" s="41"/>
      <c r="AC116" s="88">
        <f t="shared" si="68"/>
        <v>0</v>
      </c>
      <c r="AD116" s="88">
        <f t="shared" si="69"/>
        <v>0</v>
      </c>
      <c r="AE116" s="41"/>
      <c r="AF116" s="88">
        <f t="shared" si="70"/>
        <v>0</v>
      </c>
      <c r="AG116" s="88">
        <f t="shared" si="71"/>
        <v>0</v>
      </c>
      <c r="AH116" s="41"/>
      <c r="AI116" s="88">
        <f t="shared" si="72"/>
        <v>0</v>
      </c>
      <c r="AJ116" s="88">
        <f t="shared" si="73"/>
        <v>0</v>
      </c>
      <c r="AK116" s="41">
        <v>1569952.15</v>
      </c>
      <c r="AL116" s="88">
        <f t="shared" si="74"/>
        <v>0.13305119569092722</v>
      </c>
      <c r="AM116" s="88">
        <f t="shared" si="75"/>
        <v>-3.9671170869761796E-2</v>
      </c>
      <c r="AN116" s="41">
        <v>1507670.31</v>
      </c>
      <c r="AO116" s="88">
        <f t="shared" si="76"/>
        <v>0.12777289897224633</v>
      </c>
      <c r="AP116" s="88">
        <f t="shared" si="77"/>
        <v>0</v>
      </c>
    </row>
    <row r="117" spans="1:42" s="74" customFormat="1" x14ac:dyDescent="0.25">
      <c r="A117" s="89" t="s">
        <v>616</v>
      </c>
      <c r="B117" s="89" t="s">
        <v>617</v>
      </c>
      <c r="C117" s="89"/>
      <c r="D117" s="41">
        <v>16342</v>
      </c>
      <c r="E117" s="88">
        <f t="shared" si="52"/>
        <v>1.3849610894071725E-3</v>
      </c>
      <c r="F117" s="88">
        <f t="shared" si="53"/>
        <v>0</v>
      </c>
      <c r="G117" s="41">
        <v>16342</v>
      </c>
      <c r="H117" s="88">
        <f t="shared" si="54"/>
        <v>1.3849610894071725E-3</v>
      </c>
      <c r="I117" s="88">
        <f t="shared" si="55"/>
        <v>0</v>
      </c>
      <c r="J117" s="41">
        <v>16342</v>
      </c>
      <c r="K117" s="88">
        <f t="shared" si="56"/>
        <v>1.3849610894071725E-3</v>
      </c>
      <c r="L117" s="88">
        <f t="shared" si="57"/>
        <v>0</v>
      </c>
      <c r="M117" s="41">
        <v>16342</v>
      </c>
      <c r="N117" s="88">
        <f t="shared" si="58"/>
        <v>1.3849610894071725E-3</v>
      </c>
      <c r="O117" s="88">
        <f t="shared" si="59"/>
        <v>33.099320768571779</v>
      </c>
      <c r="P117" s="41">
        <v>557251.1</v>
      </c>
      <c r="Q117" s="88">
        <f t="shared" si="60"/>
        <v>4.7226232439685788E-2</v>
      </c>
      <c r="R117" s="88">
        <f t="shared" si="61"/>
        <v>0</v>
      </c>
      <c r="S117" s="41">
        <v>557251.1</v>
      </c>
      <c r="T117" s="88">
        <f t="shared" si="62"/>
        <v>4.7226232439685788E-2</v>
      </c>
      <c r="U117" s="88">
        <f t="shared" si="63"/>
        <v>0</v>
      </c>
      <c r="V117" s="41">
        <v>557251.1</v>
      </c>
      <c r="W117" s="88">
        <f t="shared" si="64"/>
        <v>4.7226232439685788E-2</v>
      </c>
      <c r="X117" s="88">
        <f t="shared" si="65"/>
        <v>0</v>
      </c>
      <c r="Y117" s="41">
        <v>557251.1</v>
      </c>
      <c r="Z117" s="88">
        <f t="shared" si="66"/>
        <v>4.7226232439685788E-2</v>
      </c>
      <c r="AA117" s="88">
        <f t="shared" si="67"/>
        <v>-5.7098460640095716E-2</v>
      </c>
      <c r="AB117" s="41">
        <v>525432.91999999993</v>
      </c>
      <c r="AC117" s="88">
        <f t="shared" si="68"/>
        <v>4.452968726554838E-2</v>
      </c>
      <c r="AD117" s="88">
        <f t="shared" si="69"/>
        <v>-1.8582771707542634E-4</v>
      </c>
      <c r="AE117" s="41">
        <v>525335.28</v>
      </c>
      <c r="AF117" s="88">
        <f t="shared" si="70"/>
        <v>4.4521412415421735E-2</v>
      </c>
      <c r="AG117" s="88">
        <f t="shared" si="71"/>
        <v>0</v>
      </c>
      <c r="AH117" s="41">
        <v>525335.28</v>
      </c>
      <c r="AI117" s="88">
        <f t="shared" si="72"/>
        <v>4.4521412415421735E-2</v>
      </c>
      <c r="AJ117" s="88">
        <f t="shared" si="73"/>
        <v>0.33971365867527492</v>
      </c>
      <c r="AK117" s="41">
        <v>703798.85</v>
      </c>
      <c r="AL117" s="88">
        <f t="shared" si="74"/>
        <v>5.9645944316455458E-2</v>
      </c>
      <c r="AM117" s="88">
        <f t="shared" si="75"/>
        <v>0</v>
      </c>
      <c r="AN117" s="41">
        <v>703798.85</v>
      </c>
      <c r="AO117" s="88">
        <f t="shared" si="76"/>
        <v>5.9645944316455458E-2</v>
      </c>
      <c r="AP117" s="88">
        <f t="shared" si="77"/>
        <v>42.066873699669564</v>
      </c>
    </row>
    <row r="118" spans="1:42" s="74" customFormat="1" x14ac:dyDescent="0.25">
      <c r="A118" s="89" t="s">
        <v>618</v>
      </c>
      <c r="B118" s="89" t="s">
        <v>619</v>
      </c>
      <c r="C118" s="89"/>
      <c r="D118" s="41">
        <v>0</v>
      </c>
      <c r="E118" s="88">
        <f t="shared" si="52"/>
        <v>0</v>
      </c>
      <c r="F118" s="88">
        <f t="shared" si="53"/>
        <v>0</v>
      </c>
      <c r="G118" s="41">
        <v>0</v>
      </c>
      <c r="H118" s="88">
        <f t="shared" si="54"/>
        <v>0</v>
      </c>
      <c r="I118" s="88">
        <f t="shared" si="55"/>
        <v>0</v>
      </c>
      <c r="J118" s="41">
        <v>0</v>
      </c>
      <c r="K118" s="88">
        <f t="shared" si="56"/>
        <v>0</v>
      </c>
      <c r="L118" s="88">
        <f t="shared" si="57"/>
        <v>0</v>
      </c>
      <c r="M118" s="41">
        <v>0</v>
      </c>
      <c r="N118" s="88">
        <f t="shared" si="58"/>
        <v>0</v>
      </c>
      <c r="O118" s="88">
        <f t="shared" si="59"/>
        <v>0</v>
      </c>
      <c r="P118" s="41">
        <v>0</v>
      </c>
      <c r="Q118" s="88">
        <f t="shared" si="60"/>
        <v>0</v>
      </c>
      <c r="R118" s="88">
        <f t="shared" si="61"/>
        <v>0</v>
      </c>
      <c r="S118" s="41">
        <v>0</v>
      </c>
      <c r="T118" s="88">
        <f t="shared" si="62"/>
        <v>0</v>
      </c>
      <c r="U118" s="88">
        <f t="shared" si="63"/>
        <v>0</v>
      </c>
      <c r="V118" s="41">
        <v>0</v>
      </c>
      <c r="W118" s="88">
        <f t="shared" si="64"/>
        <v>0</v>
      </c>
      <c r="X118" s="88">
        <f t="shared" si="65"/>
        <v>0</v>
      </c>
      <c r="Y118" s="41">
        <v>0</v>
      </c>
      <c r="Z118" s="88">
        <f t="shared" si="66"/>
        <v>0</v>
      </c>
      <c r="AA118" s="88">
        <f t="shared" si="67"/>
        <v>0</v>
      </c>
      <c r="AB118" s="41">
        <v>0</v>
      </c>
      <c r="AC118" s="88">
        <f t="shared" si="68"/>
        <v>0</v>
      </c>
      <c r="AD118" s="88">
        <f t="shared" si="69"/>
        <v>0</v>
      </c>
      <c r="AE118" s="41">
        <v>0</v>
      </c>
      <c r="AF118" s="88">
        <f t="shared" si="70"/>
        <v>0</v>
      </c>
      <c r="AG118" s="88">
        <f t="shared" si="71"/>
        <v>0</v>
      </c>
      <c r="AH118" s="41">
        <v>0</v>
      </c>
      <c r="AI118" s="88">
        <f t="shared" si="72"/>
        <v>0</v>
      </c>
      <c r="AJ118" s="88">
        <f t="shared" si="73"/>
        <v>0</v>
      </c>
      <c r="AK118" s="41">
        <v>-194805.57</v>
      </c>
      <c r="AL118" s="88">
        <f t="shared" si="74"/>
        <v>-1.65094929904409E-2</v>
      </c>
      <c r="AM118" s="88">
        <f t="shared" si="75"/>
        <v>0</v>
      </c>
      <c r="AN118" s="41">
        <v>-194805.57</v>
      </c>
      <c r="AO118" s="88">
        <f t="shared" si="76"/>
        <v>-1.65094929904409E-2</v>
      </c>
      <c r="AP118" s="88">
        <f t="shared" si="77"/>
        <v>0</v>
      </c>
    </row>
    <row r="119" spans="1:42" s="63" customFormat="1" x14ac:dyDescent="0.25">
      <c r="A119" s="86" t="s">
        <v>225</v>
      </c>
      <c r="B119" s="86" t="s">
        <v>226</v>
      </c>
      <c r="C119" s="86"/>
      <c r="D119" s="87">
        <v>319800.10000000003</v>
      </c>
      <c r="E119" s="88">
        <f t="shared" si="52"/>
        <v>2.7102600348092198E-2</v>
      </c>
      <c r="F119" s="88">
        <f t="shared" si="53"/>
        <v>0.12368129340797562</v>
      </c>
      <c r="G119" s="87">
        <v>359353.39</v>
      </c>
      <c r="H119" s="88">
        <f t="shared" si="54"/>
        <v>3.0454685013863697E-2</v>
      </c>
      <c r="I119" s="88">
        <f t="shared" si="55"/>
        <v>0.17859728552999043</v>
      </c>
      <c r="J119" s="87">
        <v>423532.93000000005</v>
      </c>
      <c r="K119" s="88">
        <f t="shared" si="56"/>
        <v>3.5893809089010631E-2</v>
      </c>
      <c r="L119" s="88">
        <f t="shared" si="57"/>
        <v>-7.7778249733733817E-2</v>
      </c>
      <c r="M119" s="87">
        <v>390591.28</v>
      </c>
      <c r="N119" s="88">
        <f t="shared" si="58"/>
        <v>3.3102051441790598E-2</v>
      </c>
      <c r="O119" s="88">
        <f t="shared" si="59"/>
        <v>0.19243294422753099</v>
      </c>
      <c r="P119" s="87">
        <v>465753.91</v>
      </c>
      <c r="Q119" s="88">
        <f t="shared" si="60"/>
        <v>3.9471976660705552E-2</v>
      </c>
      <c r="R119" s="88">
        <f t="shared" si="61"/>
        <v>6.5416412714602856E-2</v>
      </c>
      <c r="S119" s="87">
        <v>496221.86</v>
      </c>
      <c r="T119" s="88">
        <f t="shared" si="62"/>
        <v>4.2054091776603436E-2</v>
      </c>
      <c r="U119" s="88">
        <f t="shared" si="63"/>
        <v>-0.1300712548213816</v>
      </c>
      <c r="V119" s="87">
        <v>431677.66000000003</v>
      </c>
      <c r="W119" s="88">
        <f t="shared" si="64"/>
        <v>3.6584063288847085E-2</v>
      </c>
      <c r="X119" s="88">
        <f t="shared" si="65"/>
        <v>3.8709137739488364E-2</v>
      </c>
      <c r="Y119" s="87">
        <v>448387.53</v>
      </c>
      <c r="Z119" s="88">
        <f t="shared" si="66"/>
        <v>3.8000200833765221E-2</v>
      </c>
      <c r="AA119" s="88">
        <f t="shared" si="67"/>
        <v>4.9020832492821409E-2</v>
      </c>
      <c r="AB119" s="87">
        <v>470367.86</v>
      </c>
      <c r="AC119" s="88">
        <f t="shared" si="68"/>
        <v>3.98630023135308E-2</v>
      </c>
      <c r="AD119" s="88">
        <f t="shared" si="69"/>
        <v>-7.7620737097129355E-3</v>
      </c>
      <c r="AE119" s="87">
        <v>466716.83000000007</v>
      </c>
      <c r="AF119" s="88">
        <f t="shared" si="70"/>
        <v>3.955358275128272E-2</v>
      </c>
      <c r="AG119" s="88">
        <f t="shared" si="71"/>
        <v>-0.42092531782065801</v>
      </c>
      <c r="AH119" s="87">
        <v>270263.90000000002</v>
      </c>
      <c r="AI119" s="88">
        <f t="shared" si="72"/>
        <v>2.2904478360753343E-2</v>
      </c>
      <c r="AJ119" s="88">
        <f t="shared" si="73"/>
        <v>0.233502254648142</v>
      </c>
      <c r="AK119" s="87">
        <v>333371.13</v>
      </c>
      <c r="AL119" s="88">
        <f t="shared" si="74"/>
        <v>2.8252725699528827E-2</v>
      </c>
      <c r="AM119" s="88">
        <f t="shared" si="75"/>
        <v>-8.9483243495020126E-2</v>
      </c>
      <c r="AN119" s="87">
        <v>303540</v>
      </c>
      <c r="AO119" s="88">
        <f t="shared" si="76"/>
        <v>2.5724580166359878E-2</v>
      </c>
      <c r="AP119" s="88">
        <f t="shared" si="77"/>
        <v>-5.0844574470114368E-2</v>
      </c>
    </row>
    <row r="120" spans="1:42" s="63" customFormat="1" x14ac:dyDescent="0.25">
      <c r="A120" s="86" t="s">
        <v>227</v>
      </c>
      <c r="B120" s="86" t="s">
        <v>228</v>
      </c>
      <c r="C120" s="86"/>
      <c r="D120" s="87">
        <v>193690.52000000002</v>
      </c>
      <c r="E120" s="88">
        <f t="shared" si="52"/>
        <v>1.6414994100296277E-2</v>
      </c>
      <c r="F120" s="88">
        <f t="shared" si="53"/>
        <v>0.27061412195083157</v>
      </c>
      <c r="G120" s="87">
        <v>246105.91</v>
      </c>
      <c r="H120" s="88">
        <f t="shared" si="54"/>
        <v>2.0857123315576032E-2</v>
      </c>
      <c r="I120" s="88">
        <f t="shared" si="55"/>
        <v>0.12231002498070853</v>
      </c>
      <c r="J120" s="87">
        <v>276207.13</v>
      </c>
      <c r="K120" s="88">
        <f t="shared" si="56"/>
        <v>2.3408158589329858E-2</v>
      </c>
      <c r="L120" s="88">
        <f t="shared" si="57"/>
        <v>9.8914644238184524E-2</v>
      </c>
      <c r="M120" s="87">
        <v>303528.06</v>
      </c>
      <c r="N120" s="88">
        <f t="shared" si="58"/>
        <v>2.5723568268464423E-2</v>
      </c>
      <c r="O120" s="88">
        <f t="shared" si="59"/>
        <v>0.10948322207838035</v>
      </c>
      <c r="P120" s="87">
        <v>336759.29</v>
      </c>
      <c r="Q120" s="88">
        <f t="shared" si="60"/>
        <v>2.8539867405849094E-2</v>
      </c>
      <c r="R120" s="88">
        <f t="shared" si="61"/>
        <v>9.8137188732046798E-2</v>
      </c>
      <c r="S120" s="87">
        <v>369807.9</v>
      </c>
      <c r="T120" s="88">
        <f t="shared" si="62"/>
        <v>3.1340689759844491E-2</v>
      </c>
      <c r="U120" s="88">
        <f t="shared" si="63"/>
        <v>-3.9057305157623734E-3</v>
      </c>
      <c r="V120" s="87">
        <v>368363.53</v>
      </c>
      <c r="W120" s="88">
        <f t="shared" si="64"/>
        <v>3.1218281471464427E-2</v>
      </c>
      <c r="X120" s="88">
        <f t="shared" si="65"/>
        <v>-4.2353541350849788E-2</v>
      </c>
      <c r="Y120" s="87">
        <v>352762.03</v>
      </c>
      <c r="Z120" s="88">
        <f t="shared" si="66"/>
        <v>2.9896076696260293E-2</v>
      </c>
      <c r="AA120" s="88">
        <f t="shared" si="67"/>
        <v>-2.717540206920821E-2</v>
      </c>
      <c r="AB120" s="87">
        <v>343175.57999999996</v>
      </c>
      <c r="AC120" s="88">
        <f t="shared" si="68"/>
        <v>2.9083638791747534E-2</v>
      </c>
      <c r="AD120" s="88">
        <f t="shared" si="69"/>
        <v>-8.6678719971857832E-2</v>
      </c>
      <c r="AE120" s="87">
        <v>313429.56000000006</v>
      </c>
      <c r="AF120" s="88">
        <f t="shared" si="70"/>
        <v>2.6562706209154987E-2</v>
      </c>
      <c r="AG120" s="88">
        <f t="shared" si="71"/>
        <v>-0.38419098058268675</v>
      </c>
      <c r="AH120" s="87">
        <v>193012.75</v>
      </c>
      <c r="AI120" s="88">
        <f t="shared" si="72"/>
        <v>1.6357554063729914E-2</v>
      </c>
      <c r="AJ120" s="88">
        <f t="shared" si="73"/>
        <v>0.207784252594712</v>
      </c>
      <c r="AK120" s="87">
        <v>233117.76</v>
      </c>
      <c r="AL120" s="88">
        <f t="shared" si="74"/>
        <v>1.9756396209139628E-2</v>
      </c>
      <c r="AM120" s="88">
        <f t="shared" si="75"/>
        <v>-0.3262763420513306</v>
      </c>
      <c r="AN120" s="87">
        <v>157056.95000000001</v>
      </c>
      <c r="AO120" s="88">
        <f t="shared" si="76"/>
        <v>1.3310351521904774E-2</v>
      </c>
      <c r="AP120" s="88">
        <f t="shared" si="77"/>
        <v>-0.18913455341025465</v>
      </c>
    </row>
    <row r="121" spans="1:42" s="63" customFormat="1" x14ac:dyDescent="0.25">
      <c r="A121" s="86" t="s">
        <v>229</v>
      </c>
      <c r="B121" s="86" t="s">
        <v>732</v>
      </c>
      <c r="C121" s="86"/>
      <c r="D121" s="87">
        <v>193690.52000000002</v>
      </c>
      <c r="E121" s="88">
        <f t="shared" si="52"/>
        <v>1.6414994100296277E-2</v>
      </c>
      <c r="F121" s="88">
        <f t="shared" si="53"/>
        <v>0.27061412195083157</v>
      </c>
      <c r="G121" s="87">
        <v>246105.91</v>
      </c>
      <c r="H121" s="88">
        <f t="shared" si="54"/>
        <v>2.0857123315576032E-2</v>
      </c>
      <c r="I121" s="88">
        <f t="shared" si="55"/>
        <v>0.12231002498070853</v>
      </c>
      <c r="J121" s="87">
        <v>276207.13</v>
      </c>
      <c r="K121" s="88">
        <f t="shared" si="56"/>
        <v>2.3408158589329858E-2</v>
      </c>
      <c r="L121" s="88">
        <f t="shared" si="57"/>
        <v>9.8914644238184524E-2</v>
      </c>
      <c r="M121" s="87">
        <v>303528.06</v>
      </c>
      <c r="N121" s="88">
        <f t="shared" si="58"/>
        <v>2.5723568268464423E-2</v>
      </c>
      <c r="O121" s="88">
        <f t="shared" si="59"/>
        <v>0.10948322207838035</v>
      </c>
      <c r="P121" s="87">
        <v>336759.29</v>
      </c>
      <c r="Q121" s="88">
        <f t="shared" si="60"/>
        <v>2.8539867405849094E-2</v>
      </c>
      <c r="R121" s="88">
        <f t="shared" si="61"/>
        <v>9.8137188732046798E-2</v>
      </c>
      <c r="S121" s="87">
        <v>369807.9</v>
      </c>
      <c r="T121" s="88">
        <f t="shared" si="62"/>
        <v>3.1340689759844491E-2</v>
      </c>
      <c r="U121" s="88">
        <f t="shared" si="63"/>
        <v>-3.9057305157623734E-3</v>
      </c>
      <c r="V121" s="87">
        <v>368363.53</v>
      </c>
      <c r="W121" s="88">
        <f t="shared" si="64"/>
        <v>3.1218281471464427E-2</v>
      </c>
      <c r="X121" s="88">
        <f t="shared" si="65"/>
        <v>-4.2353541350849788E-2</v>
      </c>
      <c r="Y121" s="87">
        <v>352762.03</v>
      </c>
      <c r="Z121" s="88">
        <f t="shared" si="66"/>
        <v>2.9896076696260293E-2</v>
      </c>
      <c r="AA121" s="88">
        <f t="shared" si="67"/>
        <v>-2.717540206920821E-2</v>
      </c>
      <c r="AB121" s="87">
        <v>343175.57999999996</v>
      </c>
      <c r="AC121" s="88">
        <f t="shared" si="68"/>
        <v>2.9083638791747534E-2</v>
      </c>
      <c r="AD121" s="88">
        <f t="shared" si="69"/>
        <v>-8.6678719971857832E-2</v>
      </c>
      <c r="AE121" s="87">
        <v>313429.56000000006</v>
      </c>
      <c r="AF121" s="88">
        <f t="shared" si="70"/>
        <v>2.6562706209154987E-2</v>
      </c>
      <c r="AG121" s="88">
        <f t="shared" si="71"/>
        <v>-0.38419098058268675</v>
      </c>
      <c r="AH121" s="87">
        <v>193012.75</v>
      </c>
      <c r="AI121" s="88">
        <f t="shared" si="72"/>
        <v>1.6357554063729914E-2</v>
      </c>
      <c r="AJ121" s="88">
        <f t="shared" si="73"/>
        <v>0.207784252594712</v>
      </c>
      <c r="AK121" s="87">
        <v>233117.76</v>
      </c>
      <c r="AL121" s="88">
        <f t="shared" si="74"/>
        <v>1.9756396209139628E-2</v>
      </c>
      <c r="AM121" s="88">
        <f t="shared" si="75"/>
        <v>-0.3262763420513306</v>
      </c>
      <c r="AN121" s="87">
        <v>157056.95000000001</v>
      </c>
      <c r="AO121" s="88">
        <f t="shared" si="76"/>
        <v>1.3310351521904774E-2</v>
      </c>
      <c r="AP121" s="88">
        <f t="shared" si="77"/>
        <v>-0.18913455341025465</v>
      </c>
    </row>
    <row r="122" spans="1:42" s="74" customFormat="1" x14ac:dyDescent="0.25">
      <c r="A122" s="89" t="s">
        <v>230</v>
      </c>
      <c r="B122" s="89" t="s">
        <v>231</v>
      </c>
      <c r="C122" s="89"/>
      <c r="D122" s="41">
        <v>554.37</v>
      </c>
      <c r="E122" s="88">
        <f t="shared" si="52"/>
        <v>4.6982063341981039E-5</v>
      </c>
      <c r="F122" s="88">
        <f t="shared" si="53"/>
        <v>119.26664502047369</v>
      </c>
      <c r="G122" s="41">
        <v>66672.22</v>
      </c>
      <c r="H122" s="88">
        <f t="shared" si="54"/>
        <v>5.6503751342794435E-3</v>
      </c>
      <c r="I122" s="88">
        <f t="shared" si="55"/>
        <v>2.6175519579219042E-2</v>
      </c>
      <c r="J122" s="41">
        <v>68417.399999999994</v>
      </c>
      <c r="K122" s="88">
        <f t="shared" si="56"/>
        <v>5.7982766392367076E-3</v>
      </c>
      <c r="L122" s="88">
        <f t="shared" si="57"/>
        <v>0.13742702879676827</v>
      </c>
      <c r="M122" s="41">
        <v>77819.8</v>
      </c>
      <c r="N122" s="88">
        <f t="shared" si="58"/>
        <v>6.595116569908719E-3</v>
      </c>
      <c r="O122" s="88">
        <f t="shared" si="59"/>
        <v>5.6431011130843256E-2</v>
      </c>
      <c r="P122" s="41">
        <v>82211.25</v>
      </c>
      <c r="Q122" s="88">
        <f t="shared" si="60"/>
        <v>6.9672856664744461E-3</v>
      </c>
      <c r="R122" s="88">
        <f t="shared" si="61"/>
        <v>-8.6921437151241454E-2</v>
      </c>
      <c r="S122" s="41">
        <v>75065.33</v>
      </c>
      <c r="T122" s="88">
        <f t="shared" si="62"/>
        <v>6.3616791833012425E-3</v>
      </c>
      <c r="U122" s="88">
        <f t="shared" si="63"/>
        <v>5.5579453257582401E-2</v>
      </c>
      <c r="V122" s="41">
        <v>79237.42</v>
      </c>
      <c r="W122" s="88">
        <f t="shared" si="64"/>
        <v>6.7152578341092692E-3</v>
      </c>
      <c r="X122" s="88">
        <f t="shared" si="65"/>
        <v>-0.26812672598375864</v>
      </c>
      <c r="Y122" s="41">
        <v>57991.75</v>
      </c>
      <c r="Z122" s="88">
        <f t="shared" si="66"/>
        <v>4.9147177369127642E-3</v>
      </c>
      <c r="AA122" s="88">
        <f t="shared" si="67"/>
        <v>-0.16703513861885533</v>
      </c>
      <c r="AB122" s="41">
        <v>48305.09</v>
      </c>
      <c r="AC122" s="88">
        <f t="shared" si="68"/>
        <v>4.0937871784549936E-3</v>
      </c>
      <c r="AD122" s="88">
        <f t="shared" si="69"/>
        <v>4.4554517960736728E-2</v>
      </c>
      <c r="AE122" s="41">
        <v>50457.3</v>
      </c>
      <c r="AF122" s="88">
        <f t="shared" si="70"/>
        <v>4.2761838928249002E-3</v>
      </c>
      <c r="AG122" s="88">
        <f t="shared" si="71"/>
        <v>-7.9288824411928638E-2</v>
      </c>
      <c r="AH122" s="41">
        <v>46456.6</v>
      </c>
      <c r="AI122" s="88">
        <f t="shared" si="72"/>
        <v>3.9371302989935899E-3</v>
      </c>
      <c r="AJ122" s="88">
        <f t="shared" si="73"/>
        <v>-0.14414894761992914</v>
      </c>
      <c r="AK122" s="41">
        <v>39759.93</v>
      </c>
      <c r="AL122" s="88">
        <f t="shared" si="74"/>
        <v>3.3695971097511268E-3</v>
      </c>
      <c r="AM122" s="88">
        <f t="shared" si="75"/>
        <v>-0.20446816682021318</v>
      </c>
      <c r="AN122" s="41">
        <v>31630.29</v>
      </c>
      <c r="AO122" s="88">
        <f t="shared" si="76"/>
        <v>2.6806217657976252E-3</v>
      </c>
      <c r="AP122" s="88">
        <f t="shared" si="77"/>
        <v>56.056280101737109</v>
      </c>
    </row>
    <row r="123" spans="1:42" s="74" customFormat="1" x14ac:dyDescent="0.25">
      <c r="A123" s="89" t="s">
        <v>232</v>
      </c>
      <c r="B123" s="89" t="s">
        <v>233</v>
      </c>
      <c r="C123" s="89"/>
      <c r="D123" s="41">
        <v>125.83</v>
      </c>
      <c r="E123" s="88">
        <f t="shared" si="52"/>
        <v>1.0663912243305868E-5</v>
      </c>
      <c r="F123" s="88">
        <f t="shared" si="53"/>
        <v>0</v>
      </c>
      <c r="G123" s="41">
        <v>125.83</v>
      </c>
      <c r="H123" s="88">
        <f t="shared" si="54"/>
        <v>1.0663912243305868E-5</v>
      </c>
      <c r="I123" s="88">
        <f t="shared" si="55"/>
        <v>69.01716601764285</v>
      </c>
      <c r="J123" s="41">
        <v>8810.26</v>
      </c>
      <c r="K123" s="88">
        <f t="shared" si="56"/>
        <v>7.4665691393712124E-4</v>
      </c>
      <c r="L123" s="88">
        <f t="shared" si="57"/>
        <v>-0.98571778812430055</v>
      </c>
      <c r="M123" s="41">
        <v>125.83</v>
      </c>
      <c r="N123" s="88">
        <f t="shared" si="58"/>
        <v>1.0663912243305868E-5</v>
      </c>
      <c r="O123" s="88">
        <f t="shared" si="59"/>
        <v>0</v>
      </c>
      <c r="P123" s="41">
        <v>125.83</v>
      </c>
      <c r="Q123" s="88">
        <f t="shared" si="60"/>
        <v>1.0663912243305868E-5</v>
      </c>
      <c r="R123" s="88">
        <f t="shared" si="61"/>
        <v>201.86744019709133</v>
      </c>
      <c r="S123" s="41">
        <v>25526.81</v>
      </c>
      <c r="T123" s="88">
        <f t="shared" si="62"/>
        <v>2.1633605792858832E-3</v>
      </c>
      <c r="U123" s="88">
        <f t="shared" si="63"/>
        <v>-0.72589406980347326</v>
      </c>
      <c r="V123" s="41">
        <v>6997.05</v>
      </c>
      <c r="W123" s="88">
        <f t="shared" si="64"/>
        <v>5.9298996393565388E-4</v>
      </c>
      <c r="X123" s="88">
        <f t="shared" si="65"/>
        <v>1.7654282876355034</v>
      </c>
      <c r="Y123" s="41">
        <v>19349.84</v>
      </c>
      <c r="Z123" s="88">
        <f t="shared" si="66"/>
        <v>1.6398712205516143E-3</v>
      </c>
      <c r="AA123" s="88">
        <f t="shared" si="67"/>
        <v>1.8550804554456262</v>
      </c>
      <c r="AB123" s="41">
        <v>55245.35</v>
      </c>
      <c r="AC123" s="88">
        <f t="shared" si="68"/>
        <v>4.681964271244678E-3</v>
      </c>
      <c r="AD123" s="88">
        <f t="shared" si="69"/>
        <v>-0.63783322940301757</v>
      </c>
      <c r="AE123" s="41">
        <v>20008.03</v>
      </c>
      <c r="AF123" s="88">
        <f t="shared" si="70"/>
        <v>1.6956518801671391E-3</v>
      </c>
      <c r="AG123" s="88">
        <f t="shared" si="71"/>
        <v>-0.63612109737940215</v>
      </c>
      <c r="AH123" s="41">
        <v>7280.5</v>
      </c>
      <c r="AI123" s="88">
        <f t="shared" si="72"/>
        <v>6.170119453817721E-4</v>
      </c>
      <c r="AJ123" s="88">
        <f t="shared" si="73"/>
        <v>0</v>
      </c>
      <c r="AK123" s="41">
        <v>7280.5</v>
      </c>
      <c r="AL123" s="88">
        <f t="shared" si="74"/>
        <v>6.170119453817721E-4</v>
      </c>
      <c r="AM123" s="88">
        <f t="shared" si="75"/>
        <v>-1</v>
      </c>
      <c r="AN123" s="41">
        <v>0</v>
      </c>
      <c r="AO123" s="88">
        <f t="shared" si="76"/>
        <v>0</v>
      </c>
      <c r="AP123" s="88">
        <f t="shared" si="77"/>
        <v>-1</v>
      </c>
    </row>
    <row r="124" spans="1:42" s="74" customFormat="1" x14ac:dyDescent="0.25">
      <c r="A124" s="89" t="s">
        <v>234</v>
      </c>
      <c r="B124" s="89" t="s">
        <v>235</v>
      </c>
      <c r="C124" s="89"/>
      <c r="D124" s="41">
        <v>0</v>
      </c>
      <c r="E124" s="88">
        <f t="shared" si="52"/>
        <v>0</v>
      </c>
      <c r="F124" s="88">
        <f t="shared" si="53"/>
        <v>0</v>
      </c>
      <c r="G124" s="41">
        <v>10083.52</v>
      </c>
      <c r="H124" s="88">
        <f t="shared" si="54"/>
        <v>8.5456387493935949E-4</v>
      </c>
      <c r="I124" s="88">
        <f t="shared" si="55"/>
        <v>1.0302572911046934</v>
      </c>
      <c r="J124" s="41">
        <v>20472.14</v>
      </c>
      <c r="K124" s="88">
        <f t="shared" si="56"/>
        <v>1.7349845378103138E-3</v>
      </c>
      <c r="L124" s="88">
        <f t="shared" si="57"/>
        <v>0.57196316555084126</v>
      </c>
      <c r="M124" s="41">
        <v>32181.449999999997</v>
      </c>
      <c r="N124" s="88">
        <f t="shared" si="58"/>
        <v>2.7273317862380642E-3</v>
      </c>
      <c r="O124" s="88">
        <f t="shared" si="59"/>
        <v>0.38322667250854159</v>
      </c>
      <c r="P124" s="41">
        <v>44514.240000000005</v>
      </c>
      <c r="Q124" s="88">
        <f t="shared" si="60"/>
        <v>3.7725180715048549E-3</v>
      </c>
      <c r="R124" s="88">
        <f t="shared" si="61"/>
        <v>0.17648891680504919</v>
      </c>
      <c r="S124" s="41">
        <v>52370.509999999995</v>
      </c>
      <c r="T124" s="88">
        <f t="shared" si="62"/>
        <v>4.4383256995722195E-3</v>
      </c>
      <c r="U124" s="88">
        <f t="shared" si="63"/>
        <v>0.23045889757422655</v>
      </c>
      <c r="V124" s="41">
        <v>64439.76</v>
      </c>
      <c r="W124" s="88">
        <f t="shared" si="64"/>
        <v>5.4611773473709907E-3</v>
      </c>
      <c r="X124" s="88">
        <f t="shared" si="65"/>
        <v>0.10556557007661116</v>
      </c>
      <c r="Y124" s="41">
        <v>71242.38</v>
      </c>
      <c r="Z124" s="88">
        <f t="shared" si="66"/>
        <v>6.0376896473356848E-3</v>
      </c>
      <c r="AA124" s="88">
        <f t="shared" si="67"/>
        <v>-3.5833305961985085E-2</v>
      </c>
      <c r="AB124" s="41">
        <v>68689.53</v>
      </c>
      <c r="AC124" s="88">
        <f t="shared" si="68"/>
        <v>5.8213392668991955E-3</v>
      </c>
      <c r="AD124" s="88">
        <f t="shared" si="69"/>
        <v>3.8890206411370309E-2</v>
      </c>
      <c r="AE124" s="41">
        <v>71360.88</v>
      </c>
      <c r="AF124" s="88">
        <f t="shared" si="70"/>
        <v>6.0477323525795195E-3</v>
      </c>
      <c r="AG124" s="88">
        <f t="shared" si="71"/>
        <v>-0.18230072274893483</v>
      </c>
      <c r="AH124" s="41">
        <v>58351.74</v>
      </c>
      <c r="AI124" s="88">
        <f t="shared" si="72"/>
        <v>4.9452263737121572E-3</v>
      </c>
      <c r="AJ124" s="88">
        <f t="shared" si="73"/>
        <v>6.5533264303686556E-2</v>
      </c>
      <c r="AK124" s="41">
        <v>62175.72</v>
      </c>
      <c r="AL124" s="88">
        <f t="shared" si="74"/>
        <v>5.2693032007021983E-3</v>
      </c>
      <c r="AM124" s="88">
        <f t="shared" si="75"/>
        <v>-1</v>
      </c>
      <c r="AN124" s="41">
        <v>0</v>
      </c>
      <c r="AO124" s="88">
        <f t="shared" si="76"/>
        <v>0</v>
      </c>
      <c r="AP124" s="88">
        <f t="shared" si="77"/>
        <v>0</v>
      </c>
    </row>
    <row r="125" spans="1:42" s="74" customFormat="1" x14ac:dyDescent="0.25">
      <c r="A125" s="89" t="s">
        <v>236</v>
      </c>
      <c r="B125" s="89" t="s">
        <v>237</v>
      </c>
      <c r="C125" s="89"/>
      <c r="D125" s="41">
        <v>193010.32</v>
      </c>
      <c r="E125" s="88">
        <f t="shared" si="52"/>
        <v>1.6357348124710989E-2</v>
      </c>
      <c r="F125" s="88">
        <f t="shared" si="53"/>
        <v>-0.12323683003064301</v>
      </c>
      <c r="G125" s="41">
        <v>169224.34</v>
      </c>
      <c r="H125" s="88">
        <f t="shared" si="54"/>
        <v>1.4341520394113924E-2</v>
      </c>
      <c r="I125" s="88">
        <f t="shared" si="55"/>
        <v>5.4856115851892318E-2</v>
      </c>
      <c r="J125" s="41">
        <v>178507.33000000002</v>
      </c>
      <c r="K125" s="88">
        <f t="shared" si="56"/>
        <v>1.5128240498345713E-2</v>
      </c>
      <c r="L125" s="88">
        <f t="shared" si="57"/>
        <v>8.3434388940778925E-2</v>
      </c>
      <c r="M125" s="41">
        <v>193400.97999999998</v>
      </c>
      <c r="N125" s="88">
        <f t="shared" si="58"/>
        <v>1.6390456000074334E-2</v>
      </c>
      <c r="O125" s="88">
        <f t="shared" si="59"/>
        <v>8.5351118696503026E-2</v>
      </c>
      <c r="P125" s="41">
        <v>209907.96999999997</v>
      </c>
      <c r="Q125" s="88">
        <f t="shared" si="60"/>
        <v>1.7789399755626486E-2</v>
      </c>
      <c r="R125" s="88">
        <f t="shared" si="61"/>
        <v>3.3049150063239718E-2</v>
      </c>
      <c r="S125" s="41">
        <v>216845.25</v>
      </c>
      <c r="T125" s="88">
        <f t="shared" si="62"/>
        <v>1.8377324297685148E-2</v>
      </c>
      <c r="U125" s="88">
        <f t="shared" si="63"/>
        <v>3.8924071428818596E-3</v>
      </c>
      <c r="V125" s="41">
        <v>217689.3</v>
      </c>
      <c r="W125" s="88">
        <f t="shared" si="64"/>
        <v>1.8448856326048511E-2</v>
      </c>
      <c r="X125" s="88">
        <f t="shared" si="65"/>
        <v>-6.2066624312724583E-2</v>
      </c>
      <c r="Y125" s="41">
        <v>204178.06</v>
      </c>
      <c r="Z125" s="88">
        <f t="shared" si="66"/>
        <v>1.7303798091460227E-2</v>
      </c>
      <c r="AA125" s="88">
        <f t="shared" si="67"/>
        <v>-0.16281107774263315</v>
      </c>
      <c r="AB125" s="41">
        <v>170935.61</v>
      </c>
      <c r="AC125" s="88">
        <f t="shared" si="68"/>
        <v>1.4486548075148669E-2</v>
      </c>
      <c r="AD125" s="88">
        <f t="shared" si="69"/>
        <v>3.9063832281642785E-3</v>
      </c>
      <c r="AE125" s="41">
        <v>171603.35</v>
      </c>
      <c r="AF125" s="88">
        <f t="shared" si="70"/>
        <v>1.4543138083583424E-2</v>
      </c>
      <c r="AG125" s="88">
        <f t="shared" si="71"/>
        <v>-0.52842464905259723</v>
      </c>
      <c r="AH125" s="41">
        <v>80923.91</v>
      </c>
      <c r="AI125" s="88">
        <f t="shared" si="72"/>
        <v>6.8581854456423929E-3</v>
      </c>
      <c r="AJ125" s="88">
        <f t="shared" si="73"/>
        <v>0.53108778357348263</v>
      </c>
      <c r="AK125" s="41">
        <v>123901.61</v>
      </c>
      <c r="AL125" s="88">
        <f t="shared" si="74"/>
        <v>1.0500483953304529E-2</v>
      </c>
      <c r="AM125" s="88">
        <f t="shared" si="75"/>
        <v>1.230855676532383E-2</v>
      </c>
      <c r="AN125" s="41">
        <v>125426.66</v>
      </c>
      <c r="AO125" s="88">
        <f t="shared" si="76"/>
        <v>1.0629729756107148E-2</v>
      </c>
      <c r="AP125" s="88">
        <f t="shared" si="77"/>
        <v>-0.35015568079468495</v>
      </c>
    </row>
    <row r="126" spans="1:42" s="63" customFormat="1" x14ac:dyDescent="0.25">
      <c r="A126" s="86" t="s">
        <v>238</v>
      </c>
      <c r="B126" s="86" t="s">
        <v>239</v>
      </c>
      <c r="C126" s="86"/>
      <c r="D126" s="87">
        <v>126109.58</v>
      </c>
      <c r="E126" s="88">
        <f t="shared" si="52"/>
        <v>1.0687606247795923E-2</v>
      </c>
      <c r="F126" s="88">
        <f t="shared" si="53"/>
        <v>-0.10199145853947011</v>
      </c>
      <c r="G126" s="87">
        <v>113247.48000000001</v>
      </c>
      <c r="H126" s="88">
        <f t="shared" si="54"/>
        <v>9.597561698287663E-3</v>
      </c>
      <c r="I126" s="88">
        <f t="shared" si="55"/>
        <v>0.30091901382706276</v>
      </c>
      <c r="J126" s="87">
        <v>147325.80000000002</v>
      </c>
      <c r="K126" s="88">
        <f t="shared" si="56"/>
        <v>1.2485650499680775E-2</v>
      </c>
      <c r="L126" s="88">
        <f t="shared" si="57"/>
        <v>-0.40904295106491873</v>
      </c>
      <c r="M126" s="87">
        <v>87063.22</v>
      </c>
      <c r="N126" s="88">
        <f t="shared" si="58"/>
        <v>7.3784831733261736E-3</v>
      </c>
      <c r="O126" s="88">
        <f t="shared" si="59"/>
        <v>0.48162013764250844</v>
      </c>
      <c r="P126" s="87">
        <v>128994.62</v>
      </c>
      <c r="Q126" s="88">
        <f t="shared" si="60"/>
        <v>1.0932109254856458E-2</v>
      </c>
      <c r="R126" s="88">
        <f t="shared" si="61"/>
        <v>-2.0005950635770708E-2</v>
      </c>
      <c r="S126" s="87">
        <v>126413.95999999999</v>
      </c>
      <c r="T126" s="88">
        <f t="shared" si="62"/>
        <v>1.0713402016758947E-2</v>
      </c>
      <c r="U126" s="88">
        <f t="shared" si="63"/>
        <v>-0.49915238791665095</v>
      </c>
      <c r="V126" s="87">
        <v>63314.13</v>
      </c>
      <c r="W126" s="88">
        <f t="shared" si="64"/>
        <v>5.3657818173826538E-3</v>
      </c>
      <c r="X126" s="88">
        <f t="shared" si="65"/>
        <v>0.51033426503688828</v>
      </c>
      <c r="Y126" s="87">
        <v>95625.5</v>
      </c>
      <c r="Z126" s="88">
        <f t="shared" si="66"/>
        <v>8.1041241375049301E-3</v>
      </c>
      <c r="AA126" s="88">
        <f t="shared" si="67"/>
        <v>0.3301083915901093</v>
      </c>
      <c r="AB126" s="87">
        <v>127192.28</v>
      </c>
      <c r="AC126" s="88">
        <f t="shared" si="68"/>
        <v>1.0779363521783264E-2</v>
      </c>
      <c r="AD126" s="88">
        <f t="shared" si="69"/>
        <v>0.20516174409327359</v>
      </c>
      <c r="AE126" s="87">
        <v>153287.26999999999</v>
      </c>
      <c r="AF126" s="88">
        <f t="shared" si="70"/>
        <v>1.299087654212773E-2</v>
      </c>
      <c r="AG126" s="88">
        <f t="shared" si="71"/>
        <v>-0.49603675504169398</v>
      </c>
      <c r="AH126" s="87">
        <v>77251.149999999994</v>
      </c>
      <c r="AI126" s="88">
        <f t="shared" si="72"/>
        <v>6.5469242970234293E-3</v>
      </c>
      <c r="AJ126" s="88">
        <f t="shared" si="73"/>
        <v>0.29775893303853729</v>
      </c>
      <c r="AK126" s="87">
        <v>100253.37</v>
      </c>
      <c r="AL126" s="88">
        <f t="shared" si="74"/>
        <v>8.4963294903892018E-3</v>
      </c>
      <c r="AM126" s="88">
        <f t="shared" si="75"/>
        <v>0.4611284388744239</v>
      </c>
      <c r="AN126" s="87">
        <v>146483.04999999999</v>
      </c>
      <c r="AO126" s="88">
        <f t="shared" si="76"/>
        <v>1.2414228644455103E-2</v>
      </c>
      <c r="AP126" s="88">
        <f t="shared" si="77"/>
        <v>0.16155370591195362</v>
      </c>
    </row>
    <row r="127" spans="1:42" s="63" customFormat="1" x14ac:dyDescent="0.25">
      <c r="A127" s="86" t="s">
        <v>240</v>
      </c>
      <c r="B127" s="86" t="s">
        <v>239</v>
      </c>
      <c r="C127" s="86"/>
      <c r="D127" s="87">
        <v>126109.58</v>
      </c>
      <c r="E127" s="88">
        <f t="shared" si="52"/>
        <v>1.0687606247795923E-2</v>
      </c>
      <c r="F127" s="88">
        <f t="shared" si="53"/>
        <v>-0.10199145853947011</v>
      </c>
      <c r="G127" s="87">
        <v>113247.48000000001</v>
      </c>
      <c r="H127" s="88">
        <f t="shared" si="54"/>
        <v>9.597561698287663E-3</v>
      </c>
      <c r="I127" s="88">
        <f t="shared" si="55"/>
        <v>0.30091901382706276</v>
      </c>
      <c r="J127" s="87">
        <v>147325.80000000002</v>
      </c>
      <c r="K127" s="88">
        <f t="shared" si="56"/>
        <v>1.2485650499680775E-2</v>
      </c>
      <c r="L127" s="88">
        <f t="shared" si="57"/>
        <v>-0.40904295106491873</v>
      </c>
      <c r="M127" s="87">
        <v>87063.22</v>
      </c>
      <c r="N127" s="88">
        <f t="shared" si="58"/>
        <v>7.3784831733261736E-3</v>
      </c>
      <c r="O127" s="88">
        <f t="shared" si="59"/>
        <v>0.48162013764250844</v>
      </c>
      <c r="P127" s="87">
        <v>128994.62</v>
      </c>
      <c r="Q127" s="88">
        <f t="shared" si="60"/>
        <v>1.0932109254856458E-2</v>
      </c>
      <c r="R127" s="88">
        <f t="shared" si="61"/>
        <v>-2.0005950635770708E-2</v>
      </c>
      <c r="S127" s="87">
        <v>126413.95999999999</v>
      </c>
      <c r="T127" s="88">
        <f t="shared" si="62"/>
        <v>1.0713402016758947E-2</v>
      </c>
      <c r="U127" s="88">
        <f t="shared" si="63"/>
        <v>-0.49915238791665095</v>
      </c>
      <c r="V127" s="87">
        <v>63314.13</v>
      </c>
      <c r="W127" s="88">
        <f t="shared" si="64"/>
        <v>5.3657818173826538E-3</v>
      </c>
      <c r="X127" s="88">
        <f t="shared" si="65"/>
        <v>0.51033426503688828</v>
      </c>
      <c r="Y127" s="87">
        <v>95625.5</v>
      </c>
      <c r="Z127" s="88">
        <f t="shared" si="66"/>
        <v>8.1041241375049301E-3</v>
      </c>
      <c r="AA127" s="88">
        <f t="shared" si="67"/>
        <v>0.3301083915901093</v>
      </c>
      <c r="AB127" s="87">
        <v>127192.28</v>
      </c>
      <c r="AC127" s="88">
        <f t="shared" si="68"/>
        <v>1.0779363521783264E-2</v>
      </c>
      <c r="AD127" s="88">
        <f t="shared" si="69"/>
        <v>0.20516174409327359</v>
      </c>
      <c r="AE127" s="87">
        <v>153287.26999999999</v>
      </c>
      <c r="AF127" s="88">
        <f t="shared" si="70"/>
        <v>1.299087654212773E-2</v>
      </c>
      <c r="AG127" s="88">
        <f t="shared" si="71"/>
        <v>-0.49603675504169398</v>
      </c>
      <c r="AH127" s="87">
        <v>77251.149999999994</v>
      </c>
      <c r="AI127" s="88">
        <f t="shared" si="72"/>
        <v>6.5469242970234293E-3</v>
      </c>
      <c r="AJ127" s="88">
        <f t="shared" si="73"/>
        <v>0.29775893303853729</v>
      </c>
      <c r="AK127" s="87">
        <v>100253.37</v>
      </c>
      <c r="AL127" s="88">
        <f t="shared" si="74"/>
        <v>8.4963294903892018E-3</v>
      </c>
      <c r="AM127" s="88">
        <f t="shared" si="75"/>
        <v>0.4611284388744239</v>
      </c>
      <c r="AN127" s="87">
        <v>146483.04999999999</v>
      </c>
      <c r="AO127" s="88">
        <f t="shared" si="76"/>
        <v>1.2414228644455103E-2</v>
      </c>
      <c r="AP127" s="88">
        <f t="shared" si="77"/>
        <v>0.16155370591195362</v>
      </c>
    </row>
    <row r="128" spans="1:42" s="74" customFormat="1" x14ac:dyDescent="0.25">
      <c r="A128" s="89" t="s">
        <v>241</v>
      </c>
      <c r="B128" s="89" t="s">
        <v>242</v>
      </c>
      <c r="C128" s="89"/>
      <c r="D128" s="41">
        <v>100714.1</v>
      </c>
      <c r="E128" s="88">
        <f t="shared" si="52"/>
        <v>8.5353756978743672E-3</v>
      </c>
      <c r="F128" s="88">
        <f t="shared" si="53"/>
        <v>-3.7539828087626348E-2</v>
      </c>
      <c r="G128" s="41">
        <v>96933.31</v>
      </c>
      <c r="H128" s="88">
        <f t="shared" si="54"/>
        <v>8.2149591615128595E-3</v>
      </c>
      <c r="I128" s="88">
        <f t="shared" si="55"/>
        <v>0.36178935806483858</v>
      </c>
      <c r="J128" s="41">
        <v>132002.75</v>
      </c>
      <c r="K128" s="88">
        <f t="shared" si="56"/>
        <v>1.1187043963085463E-2</v>
      </c>
      <c r="L128" s="88">
        <f t="shared" si="57"/>
        <v>-0.46275899555122912</v>
      </c>
      <c r="M128" s="41">
        <v>70917.289999999994</v>
      </c>
      <c r="N128" s="88">
        <f t="shared" si="58"/>
        <v>6.0101387355405928E-3</v>
      </c>
      <c r="O128" s="88">
        <f t="shared" si="59"/>
        <v>0.54615750263440721</v>
      </c>
      <c r="P128" s="41">
        <v>109649.3</v>
      </c>
      <c r="Q128" s="88">
        <f t="shared" si="60"/>
        <v>9.2926210978297556E-3</v>
      </c>
      <c r="R128" s="88">
        <f t="shared" si="61"/>
        <v>-1.5568088441969108E-2</v>
      </c>
      <c r="S128" s="41">
        <v>107942.27</v>
      </c>
      <c r="T128" s="88">
        <f t="shared" si="62"/>
        <v>9.1479527507210348E-3</v>
      </c>
      <c r="U128" s="88">
        <f t="shared" si="63"/>
        <v>-0.60631483847801237</v>
      </c>
      <c r="V128" s="41">
        <v>42495.27</v>
      </c>
      <c r="W128" s="88">
        <f t="shared" si="64"/>
        <v>3.6014132562631213E-3</v>
      </c>
      <c r="X128" s="88">
        <f t="shared" si="65"/>
        <v>0.83525719450658875</v>
      </c>
      <c r="Y128" s="41">
        <v>77989.75</v>
      </c>
      <c r="Z128" s="88">
        <f t="shared" si="66"/>
        <v>6.6095195889482941E-3</v>
      </c>
      <c r="AA128" s="88">
        <f t="shared" si="67"/>
        <v>0.32665690042601758</v>
      </c>
      <c r="AB128" s="41">
        <v>103465.64</v>
      </c>
      <c r="AC128" s="88">
        <f t="shared" si="68"/>
        <v>8.7685647711791895E-3</v>
      </c>
      <c r="AD128" s="88">
        <f t="shared" si="69"/>
        <v>0.19776836058811398</v>
      </c>
      <c r="AE128" s="41">
        <v>123927.87</v>
      </c>
      <c r="AF128" s="88">
        <f t="shared" si="70"/>
        <v>1.0502709450685989E-2</v>
      </c>
      <c r="AG128" s="88">
        <f t="shared" si="71"/>
        <v>-0.67926439791146254</v>
      </c>
      <c r="AH128" s="41">
        <v>39748.080000000002</v>
      </c>
      <c r="AI128" s="88">
        <f t="shared" si="72"/>
        <v>3.3685928392267438E-3</v>
      </c>
      <c r="AJ128" s="88">
        <f t="shared" si="73"/>
        <v>0.44179467284960672</v>
      </c>
      <c r="AK128" s="41">
        <v>57308.57</v>
      </c>
      <c r="AL128" s="88">
        <f t="shared" si="74"/>
        <v>4.8568192105964509E-3</v>
      </c>
      <c r="AM128" s="88">
        <f t="shared" si="75"/>
        <v>0.63073219241031486</v>
      </c>
      <c r="AN128" s="41">
        <v>93454.93</v>
      </c>
      <c r="AO128" s="88">
        <f t="shared" si="76"/>
        <v>7.9201714394364839E-3</v>
      </c>
      <c r="AP128" s="88">
        <f t="shared" si="77"/>
        <v>-7.2076998156166971E-2</v>
      </c>
    </row>
    <row r="129" spans="1:42" s="74" customFormat="1" x14ac:dyDescent="0.25">
      <c r="A129" s="89" t="s">
        <v>243</v>
      </c>
      <c r="B129" s="89" t="s">
        <v>244</v>
      </c>
      <c r="C129" s="89"/>
      <c r="D129" s="41">
        <v>12001.23</v>
      </c>
      <c r="E129" s="88">
        <f t="shared" si="52"/>
        <v>1.0170870502402424E-3</v>
      </c>
      <c r="F129" s="88">
        <f t="shared" si="53"/>
        <v>-0.38451308740854062</v>
      </c>
      <c r="G129" s="41">
        <v>7386.6</v>
      </c>
      <c r="H129" s="88">
        <f t="shared" si="54"/>
        <v>6.260037683891213E-4</v>
      </c>
      <c r="I129" s="88">
        <f t="shared" si="55"/>
        <v>2.8316140037365045E-2</v>
      </c>
      <c r="J129" s="41">
        <v>7595.76</v>
      </c>
      <c r="K129" s="88">
        <f t="shared" si="56"/>
        <v>6.4372977875874586E-4</v>
      </c>
      <c r="L129" s="88">
        <f t="shared" si="57"/>
        <v>6.0454780035177569E-2</v>
      </c>
      <c r="M129" s="41">
        <v>8054.96</v>
      </c>
      <c r="N129" s="88">
        <f t="shared" si="58"/>
        <v>6.8264632093569932E-4</v>
      </c>
      <c r="O129" s="88">
        <f t="shared" si="59"/>
        <v>8.6391490460536069E-2</v>
      </c>
      <c r="P129" s="41">
        <v>8750.84</v>
      </c>
      <c r="Q129" s="88">
        <f t="shared" si="60"/>
        <v>7.4162115405873585E-4</v>
      </c>
      <c r="R129" s="88">
        <f t="shared" si="61"/>
        <v>-9.2212861850976657E-2</v>
      </c>
      <c r="S129" s="41">
        <v>7943.9</v>
      </c>
      <c r="T129" s="88">
        <f t="shared" si="62"/>
        <v>6.7323414503375572E-4</v>
      </c>
      <c r="U129" s="88">
        <f t="shared" si="63"/>
        <v>0.22573421115572967</v>
      </c>
      <c r="V129" s="41">
        <v>9737.11</v>
      </c>
      <c r="W129" s="88">
        <f t="shared" si="64"/>
        <v>8.2520612368605271E-4</v>
      </c>
      <c r="X129" s="88">
        <f t="shared" si="65"/>
        <v>-0.23600945249668537</v>
      </c>
      <c r="Y129" s="41">
        <v>7439.06</v>
      </c>
      <c r="Z129" s="88">
        <f t="shared" si="66"/>
        <v>6.3044967823799544E-4</v>
      </c>
      <c r="AA129" s="88">
        <f t="shared" si="67"/>
        <v>-0.13460974908120127</v>
      </c>
      <c r="AB129" s="41">
        <v>6437.69</v>
      </c>
      <c r="AC129" s="88">
        <f t="shared" si="68"/>
        <v>5.4558500524205474E-4</v>
      </c>
      <c r="AD129" s="88">
        <f t="shared" si="69"/>
        <v>-9.8566411243784624E-2</v>
      </c>
      <c r="AE129" s="41">
        <v>5803.15</v>
      </c>
      <c r="AF129" s="88">
        <f t="shared" si="70"/>
        <v>4.9180864924692406E-4</v>
      </c>
      <c r="AG129" s="88">
        <f t="shared" si="71"/>
        <v>-0.19980872457199961</v>
      </c>
      <c r="AH129" s="41">
        <v>4643.63</v>
      </c>
      <c r="AI129" s="88">
        <f t="shared" si="72"/>
        <v>3.9354099030741821E-4</v>
      </c>
      <c r="AJ129" s="88">
        <f t="shared" si="73"/>
        <v>0.26557240779304125</v>
      </c>
      <c r="AK129" s="41">
        <v>5876.85</v>
      </c>
      <c r="AL129" s="88">
        <f t="shared" si="74"/>
        <v>4.9805461866861715E-4</v>
      </c>
      <c r="AM129" s="88">
        <f t="shared" si="75"/>
        <v>5.0423270969992329E-2</v>
      </c>
      <c r="AN129" s="41">
        <v>6173.18</v>
      </c>
      <c r="AO129" s="88">
        <f t="shared" si="76"/>
        <v>5.2316816166360109E-4</v>
      </c>
      <c r="AP129" s="88">
        <f t="shared" si="77"/>
        <v>-0.48562105717497284</v>
      </c>
    </row>
    <row r="130" spans="1:42" s="74" customFormat="1" x14ac:dyDescent="0.25">
      <c r="A130" s="89" t="s">
        <v>245</v>
      </c>
      <c r="B130" s="89" t="s">
        <v>246</v>
      </c>
      <c r="C130" s="89"/>
      <c r="D130" s="41">
        <v>13394.25</v>
      </c>
      <c r="E130" s="88">
        <f t="shared" si="52"/>
        <v>1.1351434996813132E-3</v>
      </c>
      <c r="F130" s="88">
        <f t="shared" si="53"/>
        <v>-0.3334774250144652</v>
      </c>
      <c r="G130" s="41">
        <v>8927.57</v>
      </c>
      <c r="H130" s="88">
        <f t="shared" si="54"/>
        <v>7.5659876838568042E-4</v>
      </c>
      <c r="I130" s="88">
        <f t="shared" si="55"/>
        <v>-0.13444643951265567</v>
      </c>
      <c r="J130" s="41">
        <v>7727.29</v>
      </c>
      <c r="K130" s="88">
        <f t="shared" si="56"/>
        <v>6.5487675783656529E-4</v>
      </c>
      <c r="L130" s="88">
        <f t="shared" si="57"/>
        <v>4.7064365385536266E-2</v>
      </c>
      <c r="M130" s="41">
        <v>8090.97</v>
      </c>
      <c r="N130" s="88">
        <f t="shared" si="58"/>
        <v>6.8569811684988068E-4</v>
      </c>
      <c r="O130" s="88">
        <f t="shared" si="59"/>
        <v>0.30942025492617065</v>
      </c>
      <c r="P130" s="41">
        <v>10594.48</v>
      </c>
      <c r="Q130" s="88">
        <f t="shared" si="60"/>
        <v>8.9786700296796593E-4</v>
      </c>
      <c r="R130" s="88">
        <f t="shared" si="61"/>
        <v>-6.2947874742317333E-3</v>
      </c>
      <c r="S130" s="41">
        <v>10527.79</v>
      </c>
      <c r="T130" s="88">
        <f t="shared" si="62"/>
        <v>8.9221512100415724E-4</v>
      </c>
      <c r="U130" s="88">
        <f t="shared" si="63"/>
        <v>5.261883073275575E-2</v>
      </c>
      <c r="V130" s="41">
        <v>11081.75</v>
      </c>
      <c r="W130" s="88">
        <f t="shared" si="64"/>
        <v>9.3916243743348018E-4</v>
      </c>
      <c r="X130" s="88">
        <f t="shared" si="65"/>
        <v>-7.9866447086425874E-2</v>
      </c>
      <c r="Y130" s="41">
        <v>10196.69</v>
      </c>
      <c r="Z130" s="88">
        <f t="shared" si="66"/>
        <v>8.6415487031864041E-4</v>
      </c>
      <c r="AA130" s="88">
        <f t="shared" si="67"/>
        <v>0.69554531911826278</v>
      </c>
      <c r="AB130" s="41">
        <v>17288.95</v>
      </c>
      <c r="AC130" s="88">
        <f t="shared" si="68"/>
        <v>1.4652137453620203E-3</v>
      </c>
      <c r="AD130" s="88">
        <f t="shared" si="69"/>
        <v>0.36250321737294633</v>
      </c>
      <c r="AE130" s="41">
        <v>23556.25</v>
      </c>
      <c r="AF130" s="88">
        <f t="shared" si="70"/>
        <v>1.9963584421948174E-3</v>
      </c>
      <c r="AG130" s="88">
        <f t="shared" si="71"/>
        <v>0.39493510214911121</v>
      </c>
      <c r="AH130" s="41">
        <v>32859.440000000002</v>
      </c>
      <c r="AI130" s="88">
        <f t="shared" si="72"/>
        <v>2.7847904674892683E-3</v>
      </c>
      <c r="AJ130" s="88">
        <f t="shared" si="73"/>
        <v>0.1280761327642832</v>
      </c>
      <c r="AK130" s="41">
        <v>37067.949999999997</v>
      </c>
      <c r="AL130" s="88">
        <f t="shared" si="74"/>
        <v>3.1414556611241338E-3</v>
      </c>
      <c r="AM130" s="88">
        <f t="shared" si="75"/>
        <v>0.26402835873038577</v>
      </c>
      <c r="AN130" s="41">
        <v>46854.94</v>
      </c>
      <c r="AO130" s="88">
        <f t="shared" si="76"/>
        <v>3.9708890433550175E-3</v>
      </c>
      <c r="AP130" s="88">
        <f t="shared" si="77"/>
        <v>2.498138380275118</v>
      </c>
    </row>
    <row r="131" spans="1:42" s="63" customFormat="1" x14ac:dyDescent="0.25">
      <c r="A131" s="86" t="s">
        <v>620</v>
      </c>
      <c r="B131" s="86" t="s">
        <v>621</v>
      </c>
      <c r="C131" s="86"/>
      <c r="D131" s="87">
        <v>15000</v>
      </c>
      <c r="E131" s="88">
        <f t="shared" si="52"/>
        <v>1.2712285118778354E-3</v>
      </c>
      <c r="F131" s="88">
        <f t="shared" si="53"/>
        <v>0</v>
      </c>
      <c r="G131" s="87">
        <v>15000</v>
      </c>
      <c r="H131" s="88">
        <f t="shared" si="54"/>
        <v>1.2712285118778354E-3</v>
      </c>
      <c r="I131" s="88">
        <f t="shared" si="55"/>
        <v>0</v>
      </c>
      <c r="J131" s="87">
        <v>15000</v>
      </c>
      <c r="K131" s="88">
        <f t="shared" si="56"/>
        <v>1.2712285118778354E-3</v>
      </c>
      <c r="L131" s="88">
        <f t="shared" si="57"/>
        <v>0</v>
      </c>
      <c r="M131" s="87">
        <v>15000</v>
      </c>
      <c r="N131" s="88">
        <f t="shared" si="58"/>
        <v>1.2712285118778354E-3</v>
      </c>
      <c r="O131" s="88">
        <f t="shared" si="59"/>
        <v>0</v>
      </c>
      <c r="P131" s="87">
        <v>15000</v>
      </c>
      <c r="Q131" s="88">
        <f t="shared" si="60"/>
        <v>1.2712285118778354E-3</v>
      </c>
      <c r="R131" s="88">
        <f t="shared" si="61"/>
        <v>0</v>
      </c>
      <c r="S131" s="87">
        <v>15000</v>
      </c>
      <c r="T131" s="88">
        <f t="shared" si="62"/>
        <v>1.2712285118778354E-3</v>
      </c>
      <c r="U131" s="88">
        <f t="shared" si="63"/>
        <v>0</v>
      </c>
      <c r="V131" s="87">
        <v>15000</v>
      </c>
      <c r="W131" s="88">
        <f t="shared" si="64"/>
        <v>1.2712285118778354E-3</v>
      </c>
      <c r="X131" s="88">
        <f t="shared" si="65"/>
        <v>0.20666666666666678</v>
      </c>
      <c r="Y131" s="87">
        <v>18100</v>
      </c>
      <c r="Z131" s="88">
        <f t="shared" si="66"/>
        <v>1.5339490709992548E-3</v>
      </c>
      <c r="AA131" s="88">
        <f t="shared" si="67"/>
        <v>0</v>
      </c>
      <c r="AB131" s="87">
        <v>18100</v>
      </c>
      <c r="AC131" s="88">
        <f t="shared" si="68"/>
        <v>1.5339490709992548E-3</v>
      </c>
      <c r="AD131" s="88">
        <f t="shared" si="69"/>
        <v>8.6396491712707171</v>
      </c>
      <c r="AE131" s="87">
        <v>174477.65</v>
      </c>
      <c r="AF131" s="88">
        <f t="shared" si="70"/>
        <v>1.4786730891029453E-2</v>
      </c>
      <c r="AG131" s="88">
        <f t="shared" si="71"/>
        <v>3.3373902044187327</v>
      </c>
      <c r="AH131" s="87">
        <v>756777.65</v>
      </c>
      <c r="AI131" s="88">
        <f t="shared" si="72"/>
        <v>6.413582172212702E-2</v>
      </c>
      <c r="AJ131" s="88">
        <f t="shared" si="73"/>
        <v>0.25899284948491808</v>
      </c>
      <c r="AK131" s="87">
        <v>952777.65</v>
      </c>
      <c r="AL131" s="88">
        <f t="shared" si="74"/>
        <v>8.0746540943997414E-2</v>
      </c>
      <c r="AM131" s="88">
        <f t="shared" si="75"/>
        <v>3.3860901334115123E-2</v>
      </c>
      <c r="AN131" s="87">
        <v>985039.56</v>
      </c>
      <c r="AO131" s="88">
        <f t="shared" si="76"/>
        <v>8.3480691599973192E-2</v>
      </c>
      <c r="AP131" s="88">
        <f t="shared" si="77"/>
        <v>64.669303999999997</v>
      </c>
    </row>
    <row r="132" spans="1:42" s="63" customFormat="1" x14ac:dyDescent="0.25">
      <c r="A132" s="86" t="s">
        <v>622</v>
      </c>
      <c r="B132" s="86" t="s">
        <v>621</v>
      </c>
      <c r="C132" s="86"/>
      <c r="D132" s="87">
        <v>15000</v>
      </c>
      <c r="E132" s="88">
        <f t="shared" si="52"/>
        <v>1.2712285118778354E-3</v>
      </c>
      <c r="F132" s="88">
        <f t="shared" si="53"/>
        <v>0</v>
      </c>
      <c r="G132" s="87">
        <v>15000</v>
      </c>
      <c r="H132" s="88">
        <f t="shared" si="54"/>
        <v>1.2712285118778354E-3</v>
      </c>
      <c r="I132" s="88">
        <f t="shared" si="55"/>
        <v>0</v>
      </c>
      <c r="J132" s="87">
        <v>15000</v>
      </c>
      <c r="K132" s="88">
        <f t="shared" si="56"/>
        <v>1.2712285118778354E-3</v>
      </c>
      <c r="L132" s="88">
        <f t="shared" si="57"/>
        <v>0</v>
      </c>
      <c r="M132" s="87">
        <v>15000</v>
      </c>
      <c r="N132" s="88">
        <f t="shared" si="58"/>
        <v>1.2712285118778354E-3</v>
      </c>
      <c r="O132" s="88">
        <f t="shared" si="59"/>
        <v>0</v>
      </c>
      <c r="P132" s="87">
        <v>15000</v>
      </c>
      <c r="Q132" s="88">
        <f t="shared" si="60"/>
        <v>1.2712285118778354E-3</v>
      </c>
      <c r="R132" s="88">
        <f t="shared" si="61"/>
        <v>0</v>
      </c>
      <c r="S132" s="87">
        <v>15000</v>
      </c>
      <c r="T132" s="88">
        <f t="shared" si="62"/>
        <v>1.2712285118778354E-3</v>
      </c>
      <c r="U132" s="88">
        <f t="shared" si="63"/>
        <v>0</v>
      </c>
      <c r="V132" s="87">
        <v>15000</v>
      </c>
      <c r="W132" s="88">
        <f t="shared" si="64"/>
        <v>1.2712285118778354E-3</v>
      </c>
      <c r="X132" s="88">
        <f t="shared" si="65"/>
        <v>0.20666666666666678</v>
      </c>
      <c r="Y132" s="87">
        <v>18100</v>
      </c>
      <c r="Z132" s="88">
        <f t="shared" si="66"/>
        <v>1.5339490709992548E-3</v>
      </c>
      <c r="AA132" s="88">
        <f t="shared" si="67"/>
        <v>0</v>
      </c>
      <c r="AB132" s="87">
        <v>18100</v>
      </c>
      <c r="AC132" s="88">
        <f t="shared" si="68"/>
        <v>1.5339490709992548E-3</v>
      </c>
      <c r="AD132" s="88">
        <f t="shared" si="69"/>
        <v>8.6396491712707171</v>
      </c>
      <c r="AE132" s="87">
        <v>174477.65</v>
      </c>
      <c r="AF132" s="88">
        <f t="shared" si="70"/>
        <v>1.4786730891029453E-2</v>
      </c>
      <c r="AG132" s="88">
        <f t="shared" si="71"/>
        <v>3.3373902044187327</v>
      </c>
      <c r="AH132" s="87">
        <v>756777.65</v>
      </c>
      <c r="AI132" s="88">
        <f t="shared" si="72"/>
        <v>6.413582172212702E-2</v>
      </c>
      <c r="AJ132" s="88">
        <f t="shared" si="73"/>
        <v>0.25899284948491808</v>
      </c>
      <c r="AK132" s="87">
        <v>952777.65</v>
      </c>
      <c r="AL132" s="88">
        <f t="shared" si="74"/>
        <v>8.0746540943997414E-2</v>
      </c>
      <c r="AM132" s="88">
        <f t="shared" si="75"/>
        <v>3.3860901334115123E-2</v>
      </c>
      <c r="AN132" s="87">
        <v>985039.56</v>
      </c>
      <c r="AO132" s="88">
        <f t="shared" si="76"/>
        <v>8.3480691599973192E-2</v>
      </c>
      <c r="AP132" s="88">
        <f t="shared" si="77"/>
        <v>64.669303999999997</v>
      </c>
    </row>
    <row r="133" spans="1:42" s="63" customFormat="1" x14ac:dyDescent="0.25">
      <c r="A133" s="86" t="s">
        <v>623</v>
      </c>
      <c r="B133" s="86" t="s">
        <v>621</v>
      </c>
      <c r="C133" s="86"/>
      <c r="D133" s="87">
        <v>15000</v>
      </c>
      <c r="E133" s="88">
        <f t="shared" si="52"/>
        <v>1.2712285118778354E-3</v>
      </c>
      <c r="F133" s="88">
        <f t="shared" si="53"/>
        <v>0</v>
      </c>
      <c r="G133" s="87">
        <v>15000</v>
      </c>
      <c r="H133" s="88">
        <f t="shared" si="54"/>
        <v>1.2712285118778354E-3</v>
      </c>
      <c r="I133" s="88">
        <f t="shared" si="55"/>
        <v>0</v>
      </c>
      <c r="J133" s="87">
        <v>15000</v>
      </c>
      <c r="K133" s="88">
        <f t="shared" si="56"/>
        <v>1.2712285118778354E-3</v>
      </c>
      <c r="L133" s="88">
        <f t="shared" si="57"/>
        <v>0</v>
      </c>
      <c r="M133" s="87">
        <v>15000</v>
      </c>
      <c r="N133" s="88">
        <f t="shared" si="58"/>
        <v>1.2712285118778354E-3</v>
      </c>
      <c r="O133" s="88">
        <f t="shared" si="59"/>
        <v>0</v>
      </c>
      <c r="P133" s="87">
        <v>15000</v>
      </c>
      <c r="Q133" s="88">
        <f t="shared" si="60"/>
        <v>1.2712285118778354E-3</v>
      </c>
      <c r="R133" s="88">
        <f t="shared" si="61"/>
        <v>0</v>
      </c>
      <c r="S133" s="87">
        <v>15000</v>
      </c>
      <c r="T133" s="88">
        <f t="shared" si="62"/>
        <v>1.2712285118778354E-3</v>
      </c>
      <c r="U133" s="88">
        <f t="shared" si="63"/>
        <v>0</v>
      </c>
      <c r="V133" s="87">
        <v>15000</v>
      </c>
      <c r="W133" s="88">
        <f t="shared" si="64"/>
        <v>1.2712285118778354E-3</v>
      </c>
      <c r="X133" s="88">
        <f t="shared" si="65"/>
        <v>0.20666666666666678</v>
      </c>
      <c r="Y133" s="87">
        <v>18100</v>
      </c>
      <c r="Z133" s="88">
        <f t="shared" si="66"/>
        <v>1.5339490709992548E-3</v>
      </c>
      <c r="AA133" s="88">
        <f t="shared" si="67"/>
        <v>0</v>
      </c>
      <c r="AB133" s="87">
        <v>18100</v>
      </c>
      <c r="AC133" s="88">
        <f t="shared" si="68"/>
        <v>1.5339490709992548E-3</v>
      </c>
      <c r="AD133" s="88">
        <f t="shared" si="69"/>
        <v>8.6396491712707171</v>
      </c>
      <c r="AE133" s="87">
        <v>174477.65</v>
      </c>
      <c r="AF133" s="88">
        <f t="shared" si="70"/>
        <v>1.4786730891029453E-2</v>
      </c>
      <c r="AG133" s="88">
        <f t="shared" si="71"/>
        <v>3.3373902044187327</v>
      </c>
      <c r="AH133" s="87">
        <v>756777.65</v>
      </c>
      <c r="AI133" s="88">
        <f t="shared" si="72"/>
        <v>6.413582172212702E-2</v>
      </c>
      <c r="AJ133" s="88">
        <f t="shared" si="73"/>
        <v>0.25899284948491808</v>
      </c>
      <c r="AK133" s="87">
        <v>952777.65</v>
      </c>
      <c r="AL133" s="88">
        <f t="shared" si="74"/>
        <v>8.0746540943997414E-2</v>
      </c>
      <c r="AM133" s="88">
        <f t="shared" si="75"/>
        <v>3.3860901334115123E-2</v>
      </c>
      <c r="AN133" s="87">
        <v>985039.56</v>
      </c>
      <c r="AO133" s="88">
        <f t="shared" si="76"/>
        <v>8.3480691599973192E-2</v>
      </c>
      <c r="AP133" s="88">
        <f t="shared" si="77"/>
        <v>64.669303999999997</v>
      </c>
    </row>
    <row r="134" spans="1:42" s="74" customFormat="1" x14ac:dyDescent="0.25">
      <c r="A134" s="89" t="s">
        <v>624</v>
      </c>
      <c r="B134" s="89" t="s">
        <v>822</v>
      </c>
      <c r="C134" s="89"/>
      <c r="E134" s="88">
        <f t="shared" si="52"/>
        <v>0</v>
      </c>
      <c r="F134" s="88">
        <f t="shared" si="53"/>
        <v>0</v>
      </c>
      <c r="H134" s="88">
        <f t="shared" si="54"/>
        <v>0</v>
      </c>
      <c r="I134" s="88">
        <f t="shared" si="55"/>
        <v>0</v>
      </c>
      <c r="K134" s="88">
        <f t="shared" si="56"/>
        <v>0</v>
      </c>
      <c r="L134" s="88">
        <f t="shared" si="57"/>
        <v>0</v>
      </c>
      <c r="N134" s="88">
        <f t="shared" si="58"/>
        <v>0</v>
      </c>
      <c r="O134" s="88">
        <f t="shared" si="59"/>
        <v>0</v>
      </c>
      <c r="Q134" s="88">
        <f t="shared" si="60"/>
        <v>0</v>
      </c>
      <c r="R134" s="88">
        <f t="shared" si="61"/>
        <v>0</v>
      </c>
      <c r="T134" s="88">
        <f t="shared" si="62"/>
        <v>0</v>
      </c>
      <c r="U134" s="88">
        <f t="shared" si="63"/>
        <v>0</v>
      </c>
      <c r="W134" s="88">
        <f t="shared" si="64"/>
        <v>0</v>
      </c>
      <c r="X134" s="88">
        <f t="shared" si="65"/>
        <v>0</v>
      </c>
      <c r="Z134" s="88">
        <f t="shared" si="66"/>
        <v>0</v>
      </c>
      <c r="AA134" s="88">
        <f t="shared" si="67"/>
        <v>0</v>
      </c>
      <c r="AC134" s="88">
        <f t="shared" si="68"/>
        <v>0</v>
      </c>
      <c r="AD134" s="88">
        <f t="shared" si="69"/>
        <v>0</v>
      </c>
      <c r="AE134" s="90">
        <v>156377.65</v>
      </c>
      <c r="AF134" s="88">
        <f t="shared" si="70"/>
        <v>1.3252781820030198E-2</v>
      </c>
      <c r="AG134" s="88">
        <f t="shared" si="71"/>
        <v>3.7236779040994676</v>
      </c>
      <c r="AH134" s="90">
        <v>738677.65</v>
      </c>
      <c r="AI134" s="88">
        <f t="shared" si="72"/>
        <v>6.2601872651127766E-2</v>
      </c>
      <c r="AJ134" s="88">
        <f t="shared" si="73"/>
        <v>0.26533901492755341</v>
      </c>
      <c r="AK134" s="41">
        <v>934677.65</v>
      </c>
      <c r="AL134" s="88">
        <f t="shared" si="74"/>
        <v>7.9212591872998159E-2</v>
      </c>
      <c r="AM134" s="88">
        <f t="shared" si="75"/>
        <v>3.4516616504096431E-2</v>
      </c>
      <c r="AN134" s="41">
        <v>966939.56</v>
      </c>
      <c r="AO134" s="88">
        <f t="shared" si="76"/>
        <v>8.1946742528973937E-2</v>
      </c>
      <c r="AP134" s="88">
        <f t="shared" si="77"/>
        <v>0</v>
      </c>
    </row>
    <row r="135" spans="1:42" s="74" customFormat="1" x14ac:dyDescent="0.25">
      <c r="A135" s="89" t="s">
        <v>625</v>
      </c>
      <c r="B135" s="89" t="s">
        <v>823</v>
      </c>
      <c r="C135" s="89"/>
      <c r="D135" s="41">
        <v>15000</v>
      </c>
      <c r="E135" s="88">
        <f t="shared" si="52"/>
        <v>1.2712285118778354E-3</v>
      </c>
      <c r="F135" s="88">
        <f t="shared" si="53"/>
        <v>0</v>
      </c>
      <c r="G135" s="41">
        <v>15000</v>
      </c>
      <c r="H135" s="88">
        <f t="shared" si="54"/>
        <v>1.2712285118778354E-3</v>
      </c>
      <c r="I135" s="88">
        <f t="shared" si="55"/>
        <v>0</v>
      </c>
      <c r="J135" s="41">
        <v>15000</v>
      </c>
      <c r="K135" s="88">
        <f t="shared" si="56"/>
        <v>1.2712285118778354E-3</v>
      </c>
      <c r="L135" s="88">
        <f t="shared" si="57"/>
        <v>0</v>
      </c>
      <c r="M135" s="41">
        <v>15000</v>
      </c>
      <c r="N135" s="88">
        <f t="shared" si="58"/>
        <v>1.2712285118778354E-3</v>
      </c>
      <c r="O135" s="88">
        <f t="shared" si="59"/>
        <v>0</v>
      </c>
      <c r="P135" s="41">
        <v>15000</v>
      </c>
      <c r="Q135" s="88">
        <f t="shared" si="60"/>
        <v>1.2712285118778354E-3</v>
      </c>
      <c r="R135" s="88">
        <f t="shared" si="61"/>
        <v>0</v>
      </c>
      <c r="S135" s="41">
        <v>15000</v>
      </c>
      <c r="T135" s="88">
        <f t="shared" si="62"/>
        <v>1.2712285118778354E-3</v>
      </c>
      <c r="U135" s="88">
        <f t="shared" si="63"/>
        <v>0</v>
      </c>
      <c r="V135" s="41">
        <v>15000</v>
      </c>
      <c r="W135" s="88">
        <f t="shared" si="64"/>
        <v>1.2712285118778354E-3</v>
      </c>
      <c r="X135" s="88">
        <f t="shared" si="65"/>
        <v>0.20666666666666678</v>
      </c>
      <c r="Y135" s="41">
        <v>18100</v>
      </c>
      <c r="Z135" s="88">
        <f t="shared" si="66"/>
        <v>1.5339490709992548E-3</v>
      </c>
      <c r="AA135" s="88">
        <f t="shared" si="67"/>
        <v>0</v>
      </c>
      <c r="AB135" s="41">
        <v>18100</v>
      </c>
      <c r="AC135" s="88">
        <f t="shared" si="68"/>
        <v>1.5339490709992548E-3</v>
      </c>
      <c r="AD135" s="88">
        <f t="shared" si="69"/>
        <v>0</v>
      </c>
      <c r="AE135" s="41">
        <v>18100</v>
      </c>
      <c r="AF135" s="88">
        <f t="shared" si="70"/>
        <v>1.5339490709992548E-3</v>
      </c>
      <c r="AG135" s="88">
        <f t="shared" si="71"/>
        <v>0</v>
      </c>
      <c r="AH135" s="41">
        <v>18100</v>
      </c>
      <c r="AI135" s="88">
        <f t="shared" si="72"/>
        <v>1.5339490709992548E-3</v>
      </c>
      <c r="AJ135" s="88">
        <f t="shared" si="73"/>
        <v>0</v>
      </c>
      <c r="AK135" s="41">
        <v>18100</v>
      </c>
      <c r="AL135" s="88">
        <f t="shared" si="74"/>
        <v>1.5339490709992548E-3</v>
      </c>
      <c r="AM135" s="88">
        <f t="shared" si="75"/>
        <v>0</v>
      </c>
      <c r="AN135" s="41">
        <v>18100</v>
      </c>
      <c r="AO135" s="88">
        <f t="shared" si="76"/>
        <v>1.5339490709992548E-3</v>
      </c>
      <c r="AP135" s="88">
        <f t="shared" si="77"/>
        <v>0.20666666666666678</v>
      </c>
    </row>
    <row r="136" spans="1:42" s="63" customFormat="1" x14ac:dyDescent="0.25">
      <c r="A136" s="86" t="s">
        <v>247</v>
      </c>
      <c r="B136" s="86" t="s">
        <v>733</v>
      </c>
      <c r="C136" s="86"/>
      <c r="D136" s="87">
        <v>133982.31</v>
      </c>
      <c r="E136" s="88">
        <f t="shared" si="52"/>
        <v>1.1354808837283655E-2</v>
      </c>
      <c r="F136" s="88">
        <f t="shared" si="53"/>
        <v>-3.7935828991155551E-2</v>
      </c>
      <c r="G136" s="87">
        <v>128899.58</v>
      </c>
      <c r="H136" s="88">
        <f t="shared" si="54"/>
        <v>1.09240547510052E-2</v>
      </c>
      <c r="I136" s="88">
        <f t="shared" si="55"/>
        <v>6.8461045412249177E-3</v>
      </c>
      <c r="J136" s="87">
        <v>129782.04</v>
      </c>
      <c r="K136" s="88">
        <f t="shared" si="56"/>
        <v>1.0998841971844647E-2</v>
      </c>
      <c r="L136" s="88">
        <f t="shared" si="57"/>
        <v>-4.0762959189114545E-3</v>
      </c>
      <c r="M136" s="87">
        <v>129253.01</v>
      </c>
      <c r="N136" s="88">
        <f t="shared" si="58"/>
        <v>1.0954007437202064E-2</v>
      </c>
      <c r="O136" s="88">
        <f t="shared" si="59"/>
        <v>0.28287828654822045</v>
      </c>
      <c r="P136" s="87">
        <v>165815.88</v>
      </c>
      <c r="Q136" s="88">
        <f t="shared" si="60"/>
        <v>1.405265829187425E-2</v>
      </c>
      <c r="R136" s="88">
        <f t="shared" si="61"/>
        <v>-0.16708496194694977</v>
      </c>
      <c r="S136" s="87">
        <v>138110.54</v>
      </c>
      <c r="T136" s="88">
        <f t="shared" si="62"/>
        <v>1.1704670415922951E-2</v>
      </c>
      <c r="U136" s="88">
        <f t="shared" si="63"/>
        <v>5.6000794725732383E-3</v>
      </c>
      <c r="V136" s="87">
        <v>138883.97</v>
      </c>
      <c r="W136" s="88">
        <f t="shared" si="64"/>
        <v>1.1770217500452396E-2</v>
      </c>
      <c r="X136" s="88">
        <f t="shared" si="65"/>
        <v>-0.10290222838532048</v>
      </c>
      <c r="Y136" s="87">
        <v>124592.5</v>
      </c>
      <c r="Z136" s="88">
        <f t="shared" si="66"/>
        <v>1.0559035891075947E-2</v>
      </c>
      <c r="AA136" s="88">
        <f t="shared" si="67"/>
        <v>9.109801954371255E-2</v>
      </c>
      <c r="AB136" s="87">
        <v>135942.63</v>
      </c>
      <c r="AC136" s="88">
        <f t="shared" si="68"/>
        <v>1.1520943149043946E-2</v>
      </c>
      <c r="AD136" s="88">
        <f t="shared" si="69"/>
        <v>3.9788843278962815E-3</v>
      </c>
      <c r="AE136" s="87">
        <v>136483.53</v>
      </c>
      <c r="AF136" s="88">
        <f t="shared" si="70"/>
        <v>1.1566783649182261E-2</v>
      </c>
      <c r="AG136" s="88">
        <f t="shared" si="71"/>
        <v>1.6950177065320648E-2</v>
      </c>
      <c r="AH136" s="87">
        <v>138796.95000000001</v>
      </c>
      <c r="AI136" s="88">
        <f t="shared" si="72"/>
        <v>1.1762842680112157E-2</v>
      </c>
      <c r="AJ136" s="88">
        <f t="shared" si="73"/>
        <v>-0.98615560356333476</v>
      </c>
      <c r="AK136" s="87">
        <v>1921.56</v>
      </c>
      <c r="AL136" s="88">
        <f t="shared" si="74"/>
        <v>1.6284945728559823E-4</v>
      </c>
      <c r="AM136" s="88">
        <f t="shared" si="75"/>
        <v>-0.10000208164199909</v>
      </c>
      <c r="AN136" s="87">
        <v>1729.4</v>
      </c>
      <c r="AO136" s="88">
        <f t="shared" si="76"/>
        <v>1.4656417256276859E-4</v>
      </c>
      <c r="AP136" s="88">
        <f t="shared" si="77"/>
        <v>-0.98709232584510598</v>
      </c>
    </row>
    <row r="137" spans="1:42" s="63" customFormat="1" x14ac:dyDescent="0.25">
      <c r="A137" s="86" t="s">
        <v>248</v>
      </c>
      <c r="B137" s="86" t="s">
        <v>733</v>
      </c>
      <c r="C137" s="86"/>
      <c r="D137" s="87">
        <v>133982.31</v>
      </c>
      <c r="E137" s="88">
        <f t="shared" si="52"/>
        <v>1.1354808837283655E-2</v>
      </c>
      <c r="F137" s="88">
        <f t="shared" si="53"/>
        <v>-3.7935828991155551E-2</v>
      </c>
      <c r="G137" s="87">
        <v>128899.58</v>
      </c>
      <c r="H137" s="88">
        <f t="shared" si="54"/>
        <v>1.09240547510052E-2</v>
      </c>
      <c r="I137" s="88">
        <f t="shared" si="55"/>
        <v>6.8461045412249177E-3</v>
      </c>
      <c r="J137" s="87">
        <v>129782.04</v>
      </c>
      <c r="K137" s="88">
        <f t="shared" si="56"/>
        <v>1.0998841971844647E-2</v>
      </c>
      <c r="L137" s="88">
        <f t="shared" si="57"/>
        <v>-4.0762959189114545E-3</v>
      </c>
      <c r="M137" s="87">
        <v>129253.01</v>
      </c>
      <c r="N137" s="88">
        <f t="shared" si="58"/>
        <v>1.0954007437202064E-2</v>
      </c>
      <c r="O137" s="88">
        <f t="shared" si="59"/>
        <v>0.28287828654822045</v>
      </c>
      <c r="P137" s="87">
        <v>165815.88</v>
      </c>
      <c r="Q137" s="88">
        <f t="shared" si="60"/>
        <v>1.405265829187425E-2</v>
      </c>
      <c r="R137" s="88">
        <f t="shared" si="61"/>
        <v>-0.16708496194694977</v>
      </c>
      <c r="S137" s="87">
        <v>138110.54</v>
      </c>
      <c r="T137" s="88">
        <f t="shared" si="62"/>
        <v>1.1704670415922951E-2</v>
      </c>
      <c r="U137" s="88">
        <f t="shared" si="63"/>
        <v>5.6000794725732383E-3</v>
      </c>
      <c r="V137" s="87">
        <v>138883.97</v>
      </c>
      <c r="W137" s="88">
        <f t="shared" si="64"/>
        <v>1.1770217500452396E-2</v>
      </c>
      <c r="X137" s="88">
        <f t="shared" si="65"/>
        <v>-0.10290222838532048</v>
      </c>
      <c r="Y137" s="87">
        <v>124592.5</v>
      </c>
      <c r="Z137" s="88">
        <f t="shared" si="66"/>
        <v>1.0559035891075947E-2</v>
      </c>
      <c r="AA137" s="88">
        <f t="shared" si="67"/>
        <v>9.109801954371255E-2</v>
      </c>
      <c r="AB137" s="87">
        <v>135942.63</v>
      </c>
      <c r="AC137" s="88">
        <f t="shared" si="68"/>
        <v>1.1520943149043946E-2</v>
      </c>
      <c r="AD137" s="88">
        <f t="shared" si="69"/>
        <v>3.9788843278962815E-3</v>
      </c>
      <c r="AE137" s="87">
        <v>136483.53</v>
      </c>
      <c r="AF137" s="88">
        <f t="shared" si="70"/>
        <v>1.1566783649182261E-2</v>
      </c>
      <c r="AG137" s="88">
        <f t="shared" si="71"/>
        <v>1.6950177065320648E-2</v>
      </c>
      <c r="AH137" s="87">
        <v>138796.95000000001</v>
      </c>
      <c r="AI137" s="88">
        <f t="shared" si="72"/>
        <v>1.1762842680112157E-2</v>
      </c>
      <c r="AJ137" s="88">
        <f t="shared" si="73"/>
        <v>-0.98615560356333476</v>
      </c>
      <c r="AK137" s="87">
        <v>1921.56</v>
      </c>
      <c r="AL137" s="88">
        <f t="shared" si="74"/>
        <v>1.6284945728559823E-4</v>
      </c>
      <c r="AM137" s="88">
        <f t="shared" si="75"/>
        <v>-0.10000208164199909</v>
      </c>
      <c r="AN137" s="87">
        <v>1729.4</v>
      </c>
      <c r="AO137" s="88">
        <f t="shared" si="76"/>
        <v>1.4656417256276859E-4</v>
      </c>
      <c r="AP137" s="88">
        <f t="shared" si="77"/>
        <v>-0.98709232584510598</v>
      </c>
    </row>
    <row r="138" spans="1:42" s="63" customFormat="1" x14ac:dyDescent="0.25">
      <c r="A138" s="86" t="s">
        <v>249</v>
      </c>
      <c r="B138" s="86" t="s">
        <v>733</v>
      </c>
      <c r="C138" s="86"/>
      <c r="D138" s="87">
        <v>133982.31</v>
      </c>
      <c r="E138" s="88">
        <f t="shared" si="52"/>
        <v>1.1354808837283655E-2</v>
      </c>
      <c r="F138" s="88">
        <f t="shared" si="53"/>
        <v>-3.7935828991155551E-2</v>
      </c>
      <c r="G138" s="87">
        <v>128899.58</v>
      </c>
      <c r="H138" s="88">
        <f t="shared" si="54"/>
        <v>1.09240547510052E-2</v>
      </c>
      <c r="I138" s="88">
        <f t="shared" si="55"/>
        <v>6.8461045412249177E-3</v>
      </c>
      <c r="J138" s="87">
        <v>129782.04</v>
      </c>
      <c r="K138" s="88">
        <f t="shared" si="56"/>
        <v>1.0998841971844647E-2</v>
      </c>
      <c r="L138" s="88">
        <f t="shared" si="57"/>
        <v>-4.0762959189114545E-3</v>
      </c>
      <c r="M138" s="87">
        <v>129253.01</v>
      </c>
      <c r="N138" s="88">
        <f t="shared" si="58"/>
        <v>1.0954007437202064E-2</v>
      </c>
      <c r="O138" s="88">
        <f t="shared" si="59"/>
        <v>0.28287828654822045</v>
      </c>
      <c r="P138" s="87">
        <v>165815.88</v>
      </c>
      <c r="Q138" s="88">
        <f t="shared" si="60"/>
        <v>1.405265829187425E-2</v>
      </c>
      <c r="R138" s="88">
        <f t="shared" si="61"/>
        <v>-0.16708496194694977</v>
      </c>
      <c r="S138" s="87">
        <v>138110.54</v>
      </c>
      <c r="T138" s="88">
        <f t="shared" si="62"/>
        <v>1.1704670415922951E-2</v>
      </c>
      <c r="U138" s="88">
        <f t="shared" si="63"/>
        <v>5.6000794725732383E-3</v>
      </c>
      <c r="V138" s="87">
        <v>138883.97</v>
      </c>
      <c r="W138" s="88">
        <f t="shared" si="64"/>
        <v>1.1770217500452396E-2</v>
      </c>
      <c r="X138" s="88">
        <f t="shared" si="65"/>
        <v>-0.10290222838532048</v>
      </c>
      <c r="Y138" s="87">
        <v>124592.5</v>
      </c>
      <c r="Z138" s="88">
        <f t="shared" si="66"/>
        <v>1.0559035891075947E-2</v>
      </c>
      <c r="AA138" s="88">
        <f t="shared" si="67"/>
        <v>9.109801954371255E-2</v>
      </c>
      <c r="AB138" s="87">
        <v>135942.63</v>
      </c>
      <c r="AC138" s="88">
        <f t="shared" si="68"/>
        <v>1.1520943149043946E-2</v>
      </c>
      <c r="AD138" s="88">
        <f t="shared" si="69"/>
        <v>3.9788843278962815E-3</v>
      </c>
      <c r="AE138" s="87">
        <v>136483.53</v>
      </c>
      <c r="AF138" s="88">
        <f t="shared" si="70"/>
        <v>1.1566783649182261E-2</v>
      </c>
      <c r="AG138" s="88">
        <f t="shared" si="71"/>
        <v>1.6950177065320648E-2</v>
      </c>
      <c r="AH138" s="87">
        <v>138796.95000000001</v>
      </c>
      <c r="AI138" s="88">
        <f t="shared" si="72"/>
        <v>1.1762842680112157E-2</v>
      </c>
      <c r="AJ138" s="88">
        <f t="shared" si="73"/>
        <v>-0.98615560356333476</v>
      </c>
      <c r="AK138" s="87">
        <v>1921.56</v>
      </c>
      <c r="AL138" s="88">
        <f t="shared" si="74"/>
        <v>1.6284945728559823E-4</v>
      </c>
      <c r="AM138" s="88">
        <f t="shared" si="75"/>
        <v>-0.10000208164199909</v>
      </c>
      <c r="AN138" s="87">
        <v>1729.4</v>
      </c>
      <c r="AO138" s="88">
        <f t="shared" si="76"/>
        <v>1.4656417256276859E-4</v>
      </c>
      <c r="AP138" s="88">
        <f t="shared" si="77"/>
        <v>-0.98709232584510598</v>
      </c>
    </row>
    <row r="139" spans="1:42" s="74" customFormat="1" x14ac:dyDescent="0.25">
      <c r="A139" s="89" t="s">
        <v>250</v>
      </c>
      <c r="B139" s="89" t="s">
        <v>734</v>
      </c>
      <c r="C139" s="89"/>
      <c r="D139" s="41">
        <v>133982.31</v>
      </c>
      <c r="E139" s="88">
        <f t="shared" si="52"/>
        <v>1.1354808837283655E-2</v>
      </c>
      <c r="F139" s="88">
        <f t="shared" si="53"/>
        <v>-3.7935828991155551E-2</v>
      </c>
      <c r="G139" s="41">
        <v>128899.58</v>
      </c>
      <c r="H139" s="88">
        <f t="shared" si="54"/>
        <v>1.09240547510052E-2</v>
      </c>
      <c r="I139" s="88">
        <f t="shared" si="55"/>
        <v>6.8461045412249177E-3</v>
      </c>
      <c r="J139" s="41">
        <v>129782.04</v>
      </c>
      <c r="K139" s="88">
        <f t="shared" si="56"/>
        <v>1.0998841971844647E-2</v>
      </c>
      <c r="L139" s="88">
        <f t="shared" si="57"/>
        <v>-4.0762959189114545E-3</v>
      </c>
      <c r="M139" s="41">
        <v>129253.01</v>
      </c>
      <c r="N139" s="88">
        <f t="shared" si="58"/>
        <v>1.0954007437202064E-2</v>
      </c>
      <c r="O139" s="88">
        <f t="shared" si="59"/>
        <v>0.28287828654822045</v>
      </c>
      <c r="P139" s="41">
        <v>165815.88</v>
      </c>
      <c r="Q139" s="88">
        <f t="shared" si="60"/>
        <v>1.405265829187425E-2</v>
      </c>
      <c r="R139" s="88">
        <f t="shared" si="61"/>
        <v>-0.16708496194694977</v>
      </c>
      <c r="S139" s="41">
        <v>138110.54</v>
      </c>
      <c r="T139" s="88">
        <f t="shared" si="62"/>
        <v>1.1704670415922951E-2</v>
      </c>
      <c r="U139" s="88">
        <f t="shared" si="63"/>
        <v>5.6000794725732383E-3</v>
      </c>
      <c r="V139" s="41">
        <v>138883.97</v>
      </c>
      <c r="W139" s="88">
        <f t="shared" si="64"/>
        <v>1.1770217500452396E-2</v>
      </c>
      <c r="X139" s="88">
        <f t="shared" si="65"/>
        <v>-0.10290222838532048</v>
      </c>
      <c r="Y139" s="41">
        <v>124592.5</v>
      </c>
      <c r="Z139" s="88">
        <f t="shared" si="66"/>
        <v>1.0559035891075947E-2</v>
      </c>
      <c r="AA139" s="88">
        <f t="shared" si="67"/>
        <v>9.109801954371255E-2</v>
      </c>
      <c r="AB139" s="41">
        <v>135942.63</v>
      </c>
      <c r="AC139" s="88">
        <f t="shared" si="68"/>
        <v>1.1520943149043946E-2</v>
      </c>
      <c r="AD139" s="88">
        <f t="shared" si="69"/>
        <v>3.9788843278962815E-3</v>
      </c>
      <c r="AE139" s="41">
        <v>136483.53</v>
      </c>
      <c r="AF139" s="88">
        <f t="shared" si="70"/>
        <v>1.1566783649182261E-2</v>
      </c>
      <c r="AG139" s="88">
        <f t="shared" si="71"/>
        <v>1.6950177065320648E-2</v>
      </c>
      <c r="AH139" s="41">
        <v>138796.95000000001</v>
      </c>
      <c r="AI139" s="88">
        <f t="shared" si="72"/>
        <v>1.1762842680112157E-2</v>
      </c>
      <c r="AJ139" s="88">
        <f t="shared" si="73"/>
        <v>-0.98615560356333476</v>
      </c>
      <c r="AK139" s="41">
        <v>1921.56</v>
      </c>
      <c r="AL139" s="88">
        <f t="shared" si="74"/>
        <v>1.6284945728559823E-4</v>
      </c>
      <c r="AM139" s="88">
        <f t="shared" si="75"/>
        <v>-0.10000208164199909</v>
      </c>
      <c r="AN139" s="41">
        <v>1729.4</v>
      </c>
      <c r="AO139" s="88">
        <f t="shared" si="76"/>
        <v>1.4656417256276859E-4</v>
      </c>
      <c r="AP139" s="88">
        <f t="shared" si="77"/>
        <v>-0.98709232584510598</v>
      </c>
    </row>
    <row r="140" spans="1:42" s="63" customFormat="1" x14ac:dyDescent="0.25">
      <c r="A140" s="86" t="s">
        <v>251</v>
      </c>
      <c r="B140" s="86" t="s">
        <v>252</v>
      </c>
      <c r="C140" s="86"/>
      <c r="D140" s="87">
        <v>1277692.1299999999</v>
      </c>
      <c r="E140" s="88">
        <f t="shared" si="52"/>
        <v>0.10828257767052811</v>
      </c>
      <c r="F140" s="88">
        <f t="shared" si="53"/>
        <v>0.31782983589325253</v>
      </c>
      <c r="G140" s="87">
        <v>1683780.81</v>
      </c>
      <c r="H140" s="88">
        <f t="shared" si="54"/>
        <v>0.14269801156165043</v>
      </c>
      <c r="I140" s="88">
        <f t="shared" si="55"/>
        <v>3.7920695865395926E-2</v>
      </c>
      <c r="J140" s="87">
        <v>1747630.95</v>
      </c>
      <c r="K140" s="88">
        <f t="shared" si="56"/>
        <v>0.14810921945867653</v>
      </c>
      <c r="L140" s="88">
        <f t="shared" si="57"/>
        <v>-2.7108526545606138E-3</v>
      </c>
      <c r="M140" s="87">
        <v>1742893.3800000001</v>
      </c>
      <c r="N140" s="88">
        <f t="shared" si="58"/>
        <v>0.14770771718794207</v>
      </c>
      <c r="O140" s="88">
        <f t="shared" si="59"/>
        <v>4.8661731677470677E-2</v>
      </c>
      <c r="P140" s="87">
        <v>1827705.59</v>
      </c>
      <c r="Q140" s="88">
        <f t="shared" si="60"/>
        <v>0.15489543048843343</v>
      </c>
      <c r="R140" s="88">
        <f t="shared" si="61"/>
        <v>4.339271621968388E-2</v>
      </c>
      <c r="S140" s="87">
        <v>1907014.7</v>
      </c>
      <c r="T140" s="88">
        <f t="shared" si="62"/>
        <v>0.16161676394734378</v>
      </c>
      <c r="U140" s="88">
        <f t="shared" si="63"/>
        <v>-0.10641049070046493</v>
      </c>
      <c r="V140" s="87">
        <v>1704088.33</v>
      </c>
      <c r="W140" s="88">
        <f t="shared" si="64"/>
        <v>0.14441904479028572</v>
      </c>
      <c r="X140" s="88">
        <f t="shared" si="65"/>
        <v>2.7958544848435185E-2</v>
      </c>
      <c r="Y140" s="87">
        <v>1751732.16</v>
      </c>
      <c r="Z140" s="88">
        <f t="shared" si="66"/>
        <v>0.14845679113102309</v>
      </c>
      <c r="AA140" s="88">
        <f t="shared" si="67"/>
        <v>2.7174491104850373E-2</v>
      </c>
      <c r="AB140" s="87">
        <v>1799334.59</v>
      </c>
      <c r="AC140" s="88">
        <f t="shared" si="68"/>
        <v>0.15249102888106769</v>
      </c>
      <c r="AD140" s="88">
        <f t="shared" si="69"/>
        <v>1.6342013410635126E-2</v>
      </c>
      <c r="AE140" s="87">
        <v>1828739.3399999999</v>
      </c>
      <c r="AF140" s="88">
        <f t="shared" si="70"/>
        <v>0.15498303932004365</v>
      </c>
      <c r="AG140" s="88">
        <f t="shared" si="71"/>
        <v>-3.830153837014294E-2</v>
      </c>
      <c r="AH140" s="87">
        <v>1758695.81</v>
      </c>
      <c r="AI140" s="88">
        <f t="shared" si="72"/>
        <v>0.14904695049280564</v>
      </c>
      <c r="AJ140" s="88">
        <f t="shared" si="73"/>
        <v>2.8016783641504617E-4</v>
      </c>
      <c r="AK140" s="87">
        <v>1759188.54</v>
      </c>
      <c r="AL140" s="88">
        <f t="shared" si="74"/>
        <v>0.14908870865444945</v>
      </c>
      <c r="AM140" s="88">
        <f t="shared" si="75"/>
        <v>4.1523536755190493E-2</v>
      </c>
      <c r="AN140" s="87">
        <v>1832236.27</v>
      </c>
      <c r="AO140" s="88">
        <f t="shared" si="76"/>
        <v>0.15527939912804639</v>
      </c>
      <c r="AP140" s="88">
        <f t="shared" si="77"/>
        <v>0.43402015789202686</v>
      </c>
    </row>
    <row r="141" spans="1:42" s="63" customFormat="1" x14ac:dyDescent="0.25">
      <c r="A141" s="86" t="s">
        <v>253</v>
      </c>
      <c r="B141" s="86" t="s">
        <v>157</v>
      </c>
      <c r="C141" s="86"/>
      <c r="D141" s="87">
        <v>830088.60000000009</v>
      </c>
      <c r="E141" s="88">
        <f t="shared" si="52"/>
        <v>7.0348819713650396E-2</v>
      </c>
      <c r="F141" s="88">
        <f t="shared" si="53"/>
        <v>-0.43187786219446944</v>
      </c>
      <c r="G141" s="87">
        <v>471591.70999999996</v>
      </c>
      <c r="H141" s="88">
        <f t="shared" si="54"/>
        <v>3.9966721847814912E-2</v>
      </c>
      <c r="I141" s="88">
        <f t="shared" si="55"/>
        <v>0.15360238202660526</v>
      </c>
      <c r="J141" s="87">
        <v>544029.31999999995</v>
      </c>
      <c r="K141" s="88">
        <f t="shared" si="56"/>
        <v>4.6105705525434047E-2</v>
      </c>
      <c r="L141" s="88">
        <f t="shared" si="57"/>
        <v>-8.6982572924562129E-2</v>
      </c>
      <c r="M141" s="87">
        <v>496708.25</v>
      </c>
      <c r="N141" s="88">
        <f t="shared" si="58"/>
        <v>4.2095312632329587E-2</v>
      </c>
      <c r="O141" s="88">
        <f t="shared" si="59"/>
        <v>0.24752757780850221</v>
      </c>
      <c r="P141" s="87">
        <v>619657.24</v>
      </c>
      <c r="Q141" s="88">
        <f t="shared" si="60"/>
        <v>5.2515063405301779E-2</v>
      </c>
      <c r="R141" s="88">
        <f t="shared" si="61"/>
        <v>0.1538099675878879</v>
      </c>
      <c r="S141" s="87">
        <v>714966.70000000007</v>
      </c>
      <c r="T141" s="88">
        <f t="shared" si="62"/>
        <v>6.0592403605547122E-2</v>
      </c>
      <c r="U141" s="88">
        <f t="shared" si="63"/>
        <v>-0.32488010980091808</v>
      </c>
      <c r="V141" s="87">
        <v>482688.24</v>
      </c>
      <c r="W141" s="88">
        <f t="shared" si="64"/>
        <v>4.0907136869075433E-2</v>
      </c>
      <c r="X141" s="88">
        <f t="shared" si="65"/>
        <v>0.14250040564485267</v>
      </c>
      <c r="Y141" s="87">
        <v>551471.51</v>
      </c>
      <c r="Z141" s="88">
        <f t="shared" si="66"/>
        <v>4.6736420466688189E-2</v>
      </c>
      <c r="AA141" s="88">
        <f t="shared" si="67"/>
        <v>9.2535895462668494E-2</v>
      </c>
      <c r="AB141" s="87">
        <v>602502.41999999993</v>
      </c>
      <c r="AC141" s="88">
        <f t="shared" si="68"/>
        <v>5.1061216985292965E-2</v>
      </c>
      <c r="AD141" s="88">
        <f t="shared" si="69"/>
        <v>8.9186529740411746E-2</v>
      </c>
      <c r="AE141" s="87">
        <v>656237.5199999999</v>
      </c>
      <c r="AF141" s="88">
        <f t="shared" si="70"/>
        <v>5.5615189732533411E-2</v>
      </c>
      <c r="AG141" s="88">
        <f t="shared" si="71"/>
        <v>6.9324746930044423E-2</v>
      </c>
      <c r="AH141" s="87">
        <v>701731.0199999999</v>
      </c>
      <c r="AI141" s="88">
        <f t="shared" si="72"/>
        <v>5.9470698686207697E-2</v>
      </c>
      <c r="AJ141" s="88">
        <f t="shared" si="73"/>
        <v>-1.001700053105814E-2</v>
      </c>
      <c r="AK141" s="87">
        <v>694701.77999999991</v>
      </c>
      <c r="AL141" s="88">
        <f t="shared" si="74"/>
        <v>5.8874980665885555E-2</v>
      </c>
      <c r="AM141" s="88">
        <f t="shared" si="75"/>
        <v>4.6053804554812006E-2</v>
      </c>
      <c r="AN141" s="87">
        <v>726695.44</v>
      </c>
      <c r="AO141" s="88">
        <f t="shared" si="76"/>
        <v>6.1586397518640583E-2</v>
      </c>
      <c r="AP141" s="88">
        <f t="shared" si="77"/>
        <v>-0.12455677622846539</v>
      </c>
    </row>
    <row r="142" spans="1:42" s="63" customFormat="1" x14ac:dyDescent="0.25">
      <c r="A142" s="86" t="s">
        <v>254</v>
      </c>
      <c r="B142" s="86" t="s">
        <v>157</v>
      </c>
      <c r="C142" s="86"/>
      <c r="D142" s="87">
        <v>830088.60000000009</v>
      </c>
      <c r="E142" s="88">
        <f t="shared" si="52"/>
        <v>7.0348819713650396E-2</v>
      </c>
      <c r="F142" s="88">
        <f t="shared" si="53"/>
        <v>-0.43187786219446944</v>
      </c>
      <c r="G142" s="87">
        <v>471591.70999999996</v>
      </c>
      <c r="H142" s="88">
        <f t="shared" si="54"/>
        <v>3.9966721847814912E-2</v>
      </c>
      <c r="I142" s="88">
        <f t="shared" si="55"/>
        <v>0.15360238202660526</v>
      </c>
      <c r="J142" s="87">
        <v>544029.31999999995</v>
      </c>
      <c r="K142" s="88">
        <f t="shared" si="56"/>
        <v>4.6105705525434047E-2</v>
      </c>
      <c r="L142" s="88">
        <f t="shared" si="57"/>
        <v>-8.6982572924562129E-2</v>
      </c>
      <c r="M142" s="87">
        <v>496708.25</v>
      </c>
      <c r="N142" s="88">
        <f t="shared" si="58"/>
        <v>4.2095312632329587E-2</v>
      </c>
      <c r="O142" s="88">
        <f t="shared" si="59"/>
        <v>0.24752757780850221</v>
      </c>
      <c r="P142" s="87">
        <v>619657.24</v>
      </c>
      <c r="Q142" s="88">
        <f t="shared" si="60"/>
        <v>5.2515063405301779E-2</v>
      </c>
      <c r="R142" s="88">
        <f t="shared" si="61"/>
        <v>0.1538099675878879</v>
      </c>
      <c r="S142" s="87">
        <v>714966.70000000007</v>
      </c>
      <c r="T142" s="88">
        <f t="shared" si="62"/>
        <v>6.0592403605547122E-2</v>
      </c>
      <c r="U142" s="88">
        <f t="shared" si="63"/>
        <v>-0.32488010980091808</v>
      </c>
      <c r="V142" s="87">
        <v>482688.24</v>
      </c>
      <c r="W142" s="88">
        <f t="shared" si="64"/>
        <v>4.0907136869075433E-2</v>
      </c>
      <c r="X142" s="88">
        <f t="shared" si="65"/>
        <v>0.14250040564485267</v>
      </c>
      <c r="Y142" s="87">
        <v>551471.51</v>
      </c>
      <c r="Z142" s="88">
        <f t="shared" si="66"/>
        <v>4.6736420466688189E-2</v>
      </c>
      <c r="AA142" s="88">
        <f t="shared" si="67"/>
        <v>9.2535895462668494E-2</v>
      </c>
      <c r="AB142" s="87">
        <v>602502.41999999993</v>
      </c>
      <c r="AC142" s="88">
        <f t="shared" si="68"/>
        <v>5.1061216985292965E-2</v>
      </c>
      <c r="AD142" s="88">
        <f t="shared" si="69"/>
        <v>8.9186529740411746E-2</v>
      </c>
      <c r="AE142" s="87">
        <v>656237.5199999999</v>
      </c>
      <c r="AF142" s="88">
        <f t="shared" si="70"/>
        <v>5.5615189732533411E-2</v>
      </c>
      <c r="AG142" s="88">
        <f t="shared" si="71"/>
        <v>6.9324746930044423E-2</v>
      </c>
      <c r="AH142" s="87">
        <v>701731.0199999999</v>
      </c>
      <c r="AI142" s="88">
        <f t="shared" si="72"/>
        <v>5.9470698686207697E-2</v>
      </c>
      <c r="AJ142" s="88">
        <f t="shared" si="73"/>
        <v>-1.001700053105814E-2</v>
      </c>
      <c r="AK142" s="87">
        <v>694701.77999999991</v>
      </c>
      <c r="AL142" s="88">
        <f t="shared" si="74"/>
        <v>5.8874980665885555E-2</v>
      </c>
      <c r="AM142" s="88">
        <f t="shared" si="75"/>
        <v>4.6053804554812006E-2</v>
      </c>
      <c r="AN142" s="87">
        <v>726695.44</v>
      </c>
      <c r="AO142" s="88">
        <f t="shared" si="76"/>
        <v>6.1586397518640583E-2</v>
      </c>
      <c r="AP142" s="88">
        <f t="shared" si="77"/>
        <v>-0.12455677622846539</v>
      </c>
    </row>
    <row r="143" spans="1:42" s="74" customFormat="1" x14ac:dyDescent="0.25">
      <c r="A143" s="89" t="s">
        <v>255</v>
      </c>
      <c r="B143" s="89" t="s">
        <v>157</v>
      </c>
      <c r="C143" s="89"/>
      <c r="D143" s="41">
        <v>825606.43</v>
      </c>
      <c r="E143" s="88">
        <f t="shared" si="52"/>
        <v>6.9968962227044823E-2</v>
      </c>
      <c r="F143" s="88">
        <f t="shared" si="53"/>
        <v>-0.43557348505631199</v>
      </c>
      <c r="G143" s="41">
        <v>465994.16</v>
      </c>
      <c r="H143" s="88">
        <f t="shared" si="54"/>
        <v>3.949233750403746E-2</v>
      </c>
      <c r="I143" s="88">
        <f t="shared" si="55"/>
        <v>0.15621727963286069</v>
      </c>
      <c r="J143" s="41">
        <v>538790.5</v>
      </c>
      <c r="K143" s="88">
        <f t="shared" si="56"/>
        <v>4.566172303526099E-2</v>
      </c>
      <c r="L143" s="88">
        <f t="shared" si="57"/>
        <v>-0.10857988401799956</v>
      </c>
      <c r="M143" s="41">
        <v>480288.69</v>
      </c>
      <c r="N143" s="88">
        <f t="shared" si="58"/>
        <v>4.0703778444030336E-2</v>
      </c>
      <c r="O143" s="88">
        <f t="shared" si="59"/>
        <v>0.25224751805002943</v>
      </c>
      <c r="P143" s="41">
        <v>601440.31999999995</v>
      </c>
      <c r="Q143" s="88">
        <f t="shared" si="60"/>
        <v>5.0971205531795273E-2</v>
      </c>
      <c r="R143" s="88">
        <f t="shared" si="61"/>
        <v>0.17296806772116669</v>
      </c>
      <c r="S143" s="41">
        <v>705470.29</v>
      </c>
      <c r="T143" s="88">
        <f t="shared" si="62"/>
        <v>5.9787596462048335E-2</v>
      </c>
      <c r="U143" s="88">
        <f t="shared" si="63"/>
        <v>-0.321204114775691</v>
      </c>
      <c r="V143" s="41">
        <v>478870.33</v>
      </c>
      <c r="W143" s="88">
        <f t="shared" si="64"/>
        <v>4.0583574465889866E-2</v>
      </c>
      <c r="X143" s="88">
        <f t="shared" si="65"/>
        <v>0.14572928333229584</v>
      </c>
      <c r="Y143" s="41">
        <v>548655.76</v>
      </c>
      <c r="Z143" s="88">
        <f t="shared" si="66"/>
        <v>4.6497789687866858E-2</v>
      </c>
      <c r="AA143" s="88">
        <f t="shared" si="67"/>
        <v>8.691256608697584E-2</v>
      </c>
      <c r="AB143" s="41">
        <v>596340.84</v>
      </c>
      <c r="AC143" s="88">
        <f t="shared" si="68"/>
        <v>5.0539031907011887E-2</v>
      </c>
      <c r="AD143" s="88">
        <f t="shared" si="69"/>
        <v>9.0108032849133712E-2</v>
      </c>
      <c r="AE143" s="41">
        <v>650075.93999999994</v>
      </c>
      <c r="AF143" s="88">
        <f t="shared" si="70"/>
        <v>5.5093004654252327E-2</v>
      </c>
      <c r="AG143" s="88">
        <f t="shared" si="71"/>
        <v>6.9981823969673451E-2</v>
      </c>
      <c r="AH143" s="41">
        <v>695569.44</v>
      </c>
      <c r="AI143" s="88">
        <f t="shared" si="72"/>
        <v>5.894851360792662E-2</v>
      </c>
      <c r="AJ143" s="88">
        <f t="shared" si="73"/>
        <v>-2.0520582387863362E-2</v>
      </c>
      <c r="AK143" s="41">
        <v>681295.95</v>
      </c>
      <c r="AL143" s="88">
        <f t="shared" si="74"/>
        <v>5.7738855777793072E-2</v>
      </c>
      <c r="AM143" s="88">
        <f t="shared" si="75"/>
        <v>3.8726063174161052E-2</v>
      </c>
      <c r="AN143" s="41">
        <v>707679.86</v>
      </c>
      <c r="AO143" s="88">
        <f t="shared" si="76"/>
        <v>5.997485435424766E-2</v>
      </c>
      <c r="AP143" s="88">
        <f t="shared" si="77"/>
        <v>-0.14283630276474479</v>
      </c>
    </row>
    <row r="144" spans="1:42" s="74" customFormat="1" x14ac:dyDescent="0.25">
      <c r="A144" s="89" t="s">
        <v>256</v>
      </c>
      <c r="B144" s="89" t="s">
        <v>735</v>
      </c>
      <c r="C144" s="89"/>
      <c r="D144" s="41">
        <v>4482.17</v>
      </c>
      <c r="E144" s="88">
        <f t="shared" si="52"/>
        <v>3.7985748660556519E-4</v>
      </c>
      <c r="F144" s="88">
        <f t="shared" si="53"/>
        <v>0.24884821414627289</v>
      </c>
      <c r="G144" s="41">
        <v>5597.55</v>
      </c>
      <c r="H144" s="88">
        <f t="shared" si="54"/>
        <v>4.7438434377745188E-4</v>
      </c>
      <c r="I144" s="88">
        <f t="shared" si="55"/>
        <v>-6.4086966619324559E-2</v>
      </c>
      <c r="J144" s="41">
        <v>5238.82</v>
      </c>
      <c r="K144" s="88">
        <f t="shared" si="56"/>
        <v>4.4398249017305611E-4</v>
      </c>
      <c r="L144" s="88">
        <f t="shared" si="57"/>
        <v>2.1342096120882186</v>
      </c>
      <c r="M144" s="41">
        <v>16419.560000000001</v>
      </c>
      <c r="N144" s="88">
        <f t="shared" si="58"/>
        <v>1.3915341882992556E-3</v>
      </c>
      <c r="O144" s="88">
        <f t="shared" si="59"/>
        <v>0.1094645654329347</v>
      </c>
      <c r="P144" s="41">
        <v>18216.919999999998</v>
      </c>
      <c r="Q144" s="88">
        <f t="shared" si="60"/>
        <v>1.543857873506505E-3</v>
      </c>
      <c r="R144" s="88">
        <f t="shared" si="61"/>
        <v>-0.47870386431954459</v>
      </c>
      <c r="S144" s="41">
        <v>9496.41</v>
      </c>
      <c r="T144" s="88">
        <f t="shared" si="62"/>
        <v>8.0480714349878636E-4</v>
      </c>
      <c r="U144" s="88">
        <f t="shared" si="63"/>
        <v>-0.59796280910365074</v>
      </c>
      <c r="V144" s="41">
        <v>3817.91</v>
      </c>
      <c r="W144" s="88">
        <f t="shared" si="64"/>
        <v>3.2356240318556708E-4</v>
      </c>
      <c r="X144" s="88">
        <f t="shared" si="65"/>
        <v>-0.26248916291897917</v>
      </c>
      <c r="Y144" s="41">
        <v>2815.75</v>
      </c>
      <c r="Z144" s="88">
        <f t="shared" si="66"/>
        <v>2.3863077882133434E-4</v>
      </c>
      <c r="AA144" s="88">
        <f t="shared" si="67"/>
        <v>1.1882553493740566</v>
      </c>
      <c r="AB144" s="41">
        <v>6161.58</v>
      </c>
      <c r="AC144" s="88">
        <f t="shared" si="68"/>
        <v>5.2218507828108223E-4</v>
      </c>
      <c r="AD144" s="88">
        <f t="shared" si="69"/>
        <v>0</v>
      </c>
      <c r="AE144" s="41">
        <v>6161.58</v>
      </c>
      <c r="AF144" s="88">
        <f t="shared" si="70"/>
        <v>5.2218507828108223E-4</v>
      </c>
      <c r="AG144" s="88">
        <f t="shared" si="71"/>
        <v>0</v>
      </c>
      <c r="AH144" s="41">
        <v>6161.58</v>
      </c>
      <c r="AI144" s="88">
        <f t="shared" si="72"/>
        <v>5.2218507828108223E-4</v>
      </c>
      <c r="AJ144" s="88">
        <f t="shared" si="73"/>
        <v>1.1757130476273945</v>
      </c>
      <c r="AK144" s="41">
        <v>13405.83</v>
      </c>
      <c r="AL144" s="88">
        <f t="shared" si="74"/>
        <v>1.1361248880924829E-3</v>
      </c>
      <c r="AM144" s="88">
        <f t="shared" si="75"/>
        <v>0.41845600011338369</v>
      </c>
      <c r="AN144" s="41">
        <v>19015.580000000002</v>
      </c>
      <c r="AO144" s="88">
        <f t="shared" si="76"/>
        <v>1.6115431643929287E-3</v>
      </c>
      <c r="AP144" s="88">
        <f t="shared" si="77"/>
        <v>3.2424941490394161</v>
      </c>
    </row>
    <row r="145" spans="1:42" s="63" customFormat="1" x14ac:dyDescent="0.25">
      <c r="A145" s="86" t="s">
        <v>257</v>
      </c>
      <c r="B145" s="86" t="s">
        <v>160</v>
      </c>
      <c r="C145" s="86"/>
      <c r="D145" s="87">
        <v>4481.1000000000004</v>
      </c>
      <c r="E145" s="88">
        <f t="shared" si="52"/>
        <v>3.7976680563838459E-4</v>
      </c>
      <c r="F145" s="88">
        <f t="shared" si="53"/>
        <v>-0.25129767244649748</v>
      </c>
      <c r="G145" s="87">
        <v>3355.01</v>
      </c>
      <c r="H145" s="88">
        <f t="shared" si="54"/>
        <v>2.8433229130901715E-4</v>
      </c>
      <c r="I145" s="88">
        <f t="shared" si="55"/>
        <v>0.32316446150682099</v>
      </c>
      <c r="J145" s="87">
        <v>4439.2299999999996</v>
      </c>
      <c r="K145" s="88">
        <f t="shared" si="56"/>
        <v>3.7621838311889619E-4</v>
      </c>
      <c r="L145" s="88">
        <f t="shared" si="57"/>
        <v>0.72108000711835185</v>
      </c>
      <c r="M145" s="87">
        <v>7640.27</v>
      </c>
      <c r="N145" s="88">
        <f t="shared" si="58"/>
        <v>6.4750193749632469E-4</v>
      </c>
      <c r="O145" s="88">
        <f t="shared" si="59"/>
        <v>-0.1443797143294675</v>
      </c>
      <c r="P145" s="87">
        <v>6537.17</v>
      </c>
      <c r="Q145" s="88">
        <f t="shared" si="60"/>
        <v>5.5401579273282864E-4</v>
      </c>
      <c r="R145" s="88">
        <f t="shared" si="61"/>
        <v>-0.19898824720788966</v>
      </c>
      <c r="S145" s="87">
        <v>5236.3500000000004</v>
      </c>
      <c r="T145" s="88">
        <f t="shared" si="62"/>
        <v>4.4377316121143359E-4</v>
      </c>
      <c r="U145" s="88">
        <f t="shared" si="63"/>
        <v>-0.26813333715278775</v>
      </c>
      <c r="V145" s="87">
        <v>3832.31</v>
      </c>
      <c r="W145" s="88">
        <f t="shared" si="64"/>
        <v>3.2478278255696982E-4</v>
      </c>
      <c r="X145" s="88">
        <f t="shared" si="65"/>
        <v>1.1182680941781848</v>
      </c>
      <c r="Y145" s="87">
        <v>8117.86</v>
      </c>
      <c r="Z145" s="88">
        <f t="shared" si="66"/>
        <v>6.8797700582884033E-4</v>
      </c>
      <c r="AA145" s="88">
        <f t="shared" si="67"/>
        <v>0.41504657631444752</v>
      </c>
      <c r="AB145" s="87">
        <v>11487.15</v>
      </c>
      <c r="AC145" s="88">
        <f t="shared" si="68"/>
        <v>9.7351950668116507E-4</v>
      </c>
      <c r="AD145" s="88">
        <f t="shared" si="69"/>
        <v>-6.0071471165606738E-2</v>
      </c>
      <c r="AE145" s="87">
        <v>10797.1</v>
      </c>
      <c r="AF145" s="88">
        <f t="shared" si="70"/>
        <v>9.1503875770641179E-4</v>
      </c>
      <c r="AG145" s="88">
        <f t="shared" si="71"/>
        <v>-0.5403765826008835</v>
      </c>
      <c r="AH145" s="87">
        <v>4962.6000000000004</v>
      </c>
      <c r="AI145" s="88">
        <f t="shared" si="72"/>
        <v>4.2057324086966312E-4</v>
      </c>
      <c r="AJ145" s="88">
        <f t="shared" si="73"/>
        <v>0.33545923507838626</v>
      </c>
      <c r="AK145" s="87">
        <v>6627.35</v>
      </c>
      <c r="AL145" s="88">
        <f t="shared" si="74"/>
        <v>5.6165841854623818E-4</v>
      </c>
      <c r="AM145" s="88">
        <f t="shared" si="75"/>
        <v>0.14357473198186299</v>
      </c>
      <c r="AN145" s="87">
        <v>7578.87</v>
      </c>
      <c r="AO145" s="88">
        <f t="shared" si="76"/>
        <v>6.4229837545437139E-4</v>
      </c>
      <c r="AP145" s="88">
        <f t="shared" si="77"/>
        <v>0.69129677980852899</v>
      </c>
    </row>
    <row r="146" spans="1:42" s="63" customFormat="1" x14ac:dyDescent="0.25">
      <c r="A146" s="86" t="s">
        <v>258</v>
      </c>
      <c r="B146" s="86" t="s">
        <v>160</v>
      </c>
      <c r="C146" s="86"/>
      <c r="D146" s="87">
        <v>4481.1000000000004</v>
      </c>
      <c r="E146" s="88">
        <f t="shared" si="52"/>
        <v>3.7976680563838459E-4</v>
      </c>
      <c r="F146" s="88">
        <f t="shared" si="53"/>
        <v>-0.25129767244649748</v>
      </c>
      <c r="G146" s="87">
        <v>3355.01</v>
      </c>
      <c r="H146" s="88">
        <f t="shared" si="54"/>
        <v>2.8433229130901715E-4</v>
      </c>
      <c r="I146" s="88">
        <f t="shared" si="55"/>
        <v>0.32316446150682099</v>
      </c>
      <c r="J146" s="87">
        <v>4439.2299999999996</v>
      </c>
      <c r="K146" s="88">
        <f t="shared" si="56"/>
        <v>3.7621838311889619E-4</v>
      </c>
      <c r="L146" s="88">
        <f t="shared" si="57"/>
        <v>0.72108000711835185</v>
      </c>
      <c r="M146" s="87">
        <v>7640.27</v>
      </c>
      <c r="N146" s="88">
        <f t="shared" si="58"/>
        <v>6.4750193749632469E-4</v>
      </c>
      <c r="O146" s="88">
        <f t="shared" si="59"/>
        <v>-0.1443797143294675</v>
      </c>
      <c r="P146" s="87">
        <v>6537.17</v>
      </c>
      <c r="Q146" s="88">
        <f t="shared" si="60"/>
        <v>5.5401579273282864E-4</v>
      </c>
      <c r="R146" s="88">
        <f t="shared" si="61"/>
        <v>-0.19898824720788966</v>
      </c>
      <c r="S146" s="87">
        <v>5236.3500000000004</v>
      </c>
      <c r="T146" s="88">
        <f t="shared" si="62"/>
        <v>4.4377316121143359E-4</v>
      </c>
      <c r="U146" s="88">
        <f t="shared" si="63"/>
        <v>-0.26813333715278775</v>
      </c>
      <c r="V146" s="87">
        <v>3832.31</v>
      </c>
      <c r="W146" s="88">
        <f t="shared" si="64"/>
        <v>3.2478278255696982E-4</v>
      </c>
      <c r="X146" s="88">
        <f t="shared" si="65"/>
        <v>1.1182680941781848</v>
      </c>
      <c r="Y146" s="87">
        <v>8117.86</v>
      </c>
      <c r="Z146" s="88">
        <f t="shared" si="66"/>
        <v>6.8797700582884033E-4</v>
      </c>
      <c r="AA146" s="88">
        <f t="shared" si="67"/>
        <v>0.41504657631444752</v>
      </c>
      <c r="AB146" s="87">
        <v>11487.15</v>
      </c>
      <c r="AC146" s="88">
        <f t="shared" si="68"/>
        <v>9.7351950668116507E-4</v>
      </c>
      <c r="AD146" s="88">
        <f t="shared" si="69"/>
        <v>-6.0071471165606738E-2</v>
      </c>
      <c r="AE146" s="87">
        <v>10797.1</v>
      </c>
      <c r="AF146" s="88">
        <f t="shared" si="70"/>
        <v>9.1503875770641179E-4</v>
      </c>
      <c r="AG146" s="88">
        <f t="shared" si="71"/>
        <v>-0.5403765826008835</v>
      </c>
      <c r="AH146" s="87">
        <v>4962.6000000000004</v>
      </c>
      <c r="AI146" s="88">
        <f t="shared" si="72"/>
        <v>4.2057324086966312E-4</v>
      </c>
      <c r="AJ146" s="88">
        <f t="shared" si="73"/>
        <v>0.33545923507838626</v>
      </c>
      <c r="AK146" s="87">
        <v>6627.35</v>
      </c>
      <c r="AL146" s="88">
        <f t="shared" si="74"/>
        <v>5.6165841854623818E-4</v>
      </c>
      <c r="AM146" s="88">
        <f t="shared" si="75"/>
        <v>0.14357473198186299</v>
      </c>
      <c r="AN146" s="87">
        <v>7578.87</v>
      </c>
      <c r="AO146" s="88">
        <f t="shared" si="76"/>
        <v>6.4229837545437139E-4</v>
      </c>
      <c r="AP146" s="88">
        <f t="shared" si="77"/>
        <v>0.69129677980852899</v>
      </c>
    </row>
    <row r="147" spans="1:42" s="74" customFormat="1" x14ac:dyDescent="0.25">
      <c r="A147" s="89" t="s">
        <v>259</v>
      </c>
      <c r="B147" s="89" t="s">
        <v>160</v>
      </c>
      <c r="C147" s="89"/>
      <c r="D147" s="41">
        <v>4481.1000000000004</v>
      </c>
      <c r="E147" s="88">
        <f t="shared" si="52"/>
        <v>3.7976680563838459E-4</v>
      </c>
      <c r="F147" s="88">
        <f t="shared" si="53"/>
        <v>-0.25129767244649748</v>
      </c>
      <c r="G147" s="41">
        <v>3355.01</v>
      </c>
      <c r="H147" s="88">
        <f t="shared" si="54"/>
        <v>2.8433229130901715E-4</v>
      </c>
      <c r="I147" s="88">
        <f t="shared" si="55"/>
        <v>0.32316446150682099</v>
      </c>
      <c r="J147" s="41">
        <v>4439.2299999999996</v>
      </c>
      <c r="K147" s="88">
        <f t="shared" si="56"/>
        <v>3.7621838311889619E-4</v>
      </c>
      <c r="L147" s="88">
        <f t="shared" si="57"/>
        <v>0.72108000711835185</v>
      </c>
      <c r="M147" s="41">
        <v>7640.27</v>
      </c>
      <c r="N147" s="88">
        <f t="shared" si="58"/>
        <v>6.4750193749632469E-4</v>
      </c>
      <c r="O147" s="88">
        <f t="shared" si="59"/>
        <v>-0.1443797143294675</v>
      </c>
      <c r="P147" s="41">
        <v>6537.17</v>
      </c>
      <c r="Q147" s="88">
        <f t="shared" si="60"/>
        <v>5.5401579273282864E-4</v>
      </c>
      <c r="R147" s="88">
        <f t="shared" si="61"/>
        <v>-0.19898824720788966</v>
      </c>
      <c r="S147" s="41">
        <v>5236.3500000000004</v>
      </c>
      <c r="T147" s="88">
        <f t="shared" si="62"/>
        <v>4.4377316121143359E-4</v>
      </c>
      <c r="U147" s="88">
        <f t="shared" si="63"/>
        <v>-0.26813333715278775</v>
      </c>
      <c r="V147" s="41">
        <v>3832.31</v>
      </c>
      <c r="W147" s="88">
        <f t="shared" si="64"/>
        <v>3.2478278255696982E-4</v>
      </c>
      <c r="X147" s="88">
        <f t="shared" si="65"/>
        <v>1.1182680941781848</v>
      </c>
      <c r="Y147" s="41">
        <v>8117.86</v>
      </c>
      <c r="Z147" s="88">
        <f t="shared" si="66"/>
        <v>6.8797700582884033E-4</v>
      </c>
      <c r="AA147" s="88">
        <f t="shared" si="67"/>
        <v>0.41504657631444752</v>
      </c>
      <c r="AB147" s="41">
        <v>11487.15</v>
      </c>
      <c r="AC147" s="88">
        <f t="shared" si="68"/>
        <v>9.7351950668116507E-4</v>
      </c>
      <c r="AD147" s="88">
        <f t="shared" si="69"/>
        <v>-6.0071471165606738E-2</v>
      </c>
      <c r="AE147" s="41">
        <v>10797.1</v>
      </c>
      <c r="AF147" s="88">
        <f t="shared" si="70"/>
        <v>9.1503875770641179E-4</v>
      </c>
      <c r="AG147" s="88">
        <f t="shared" si="71"/>
        <v>-0.5403765826008835</v>
      </c>
      <c r="AH147" s="41">
        <v>4962.6000000000004</v>
      </c>
      <c r="AI147" s="88">
        <f t="shared" si="72"/>
        <v>4.2057324086966312E-4</v>
      </c>
      <c r="AJ147" s="88">
        <f t="shared" si="73"/>
        <v>0.33545923507838626</v>
      </c>
      <c r="AK147" s="41">
        <v>6627.35</v>
      </c>
      <c r="AL147" s="88">
        <f t="shared" si="74"/>
        <v>5.6165841854623818E-4</v>
      </c>
      <c r="AM147" s="88">
        <f t="shared" si="75"/>
        <v>0.14357473198186299</v>
      </c>
      <c r="AN147" s="41">
        <v>7578.87</v>
      </c>
      <c r="AO147" s="88">
        <f t="shared" si="76"/>
        <v>6.4229837545437139E-4</v>
      </c>
      <c r="AP147" s="88">
        <f t="shared" si="77"/>
        <v>0.69129677980852899</v>
      </c>
    </row>
    <row r="148" spans="1:42" s="63" customFormat="1" x14ac:dyDescent="0.25">
      <c r="A148" s="86" t="s">
        <v>260</v>
      </c>
      <c r="B148" s="86" t="s">
        <v>163</v>
      </c>
      <c r="C148" s="86"/>
      <c r="D148" s="87">
        <v>65830.100000000006</v>
      </c>
      <c r="E148" s="88">
        <f t="shared" si="52"/>
        <v>5.5790066706512733E-3</v>
      </c>
      <c r="F148" s="88">
        <f t="shared" si="53"/>
        <v>-7.8951270011742403E-2</v>
      </c>
      <c r="G148" s="87">
        <v>60632.73</v>
      </c>
      <c r="H148" s="88">
        <f t="shared" si="54"/>
        <v>5.1385370085993724E-3</v>
      </c>
      <c r="I148" s="88">
        <f t="shared" si="55"/>
        <v>0.33791501718626216</v>
      </c>
      <c r="J148" s="87">
        <v>81121.440000000002</v>
      </c>
      <c r="K148" s="88">
        <f t="shared" si="56"/>
        <v>6.8749258301724746E-3</v>
      </c>
      <c r="L148" s="88">
        <f t="shared" si="57"/>
        <v>-9.3655388760357394E-2</v>
      </c>
      <c r="M148" s="87">
        <v>73523.98</v>
      </c>
      <c r="N148" s="88">
        <f t="shared" si="58"/>
        <v>6.2310519788490483E-3</v>
      </c>
      <c r="O148" s="88">
        <f t="shared" si="59"/>
        <v>0.1316958086327753</v>
      </c>
      <c r="P148" s="87">
        <v>83206.78</v>
      </c>
      <c r="Q148" s="88">
        <f t="shared" si="60"/>
        <v>7.0516554078364291E-3</v>
      </c>
      <c r="R148" s="88">
        <f t="shared" si="61"/>
        <v>0.1740846118549475</v>
      </c>
      <c r="S148" s="87">
        <v>97691.8</v>
      </c>
      <c r="T148" s="88">
        <f t="shared" si="62"/>
        <v>8.279240102444475E-3</v>
      </c>
      <c r="U148" s="88">
        <f t="shared" si="63"/>
        <v>-0.57155626163096596</v>
      </c>
      <c r="V148" s="87">
        <v>41855.440000000002</v>
      </c>
      <c r="W148" s="88">
        <f t="shared" si="64"/>
        <v>3.5471885803461355E-3</v>
      </c>
      <c r="X148" s="88">
        <f t="shared" si="65"/>
        <v>0.47256629006886564</v>
      </c>
      <c r="Y148" s="87">
        <v>61634.91</v>
      </c>
      <c r="Z148" s="88">
        <f t="shared" si="66"/>
        <v>5.2234703279349544E-3</v>
      </c>
      <c r="AA148" s="88">
        <f t="shared" si="67"/>
        <v>0.25230230724762936</v>
      </c>
      <c r="AB148" s="87">
        <v>77185.539999999994</v>
      </c>
      <c r="AC148" s="88">
        <f t="shared" si="68"/>
        <v>6.5413639435124753E-3</v>
      </c>
      <c r="AD148" s="88">
        <f t="shared" si="69"/>
        <v>-4.1262521451556844E-2</v>
      </c>
      <c r="AE148" s="87">
        <v>74000.67</v>
      </c>
      <c r="AF148" s="88">
        <f t="shared" si="70"/>
        <v>6.2714507734708521E-3</v>
      </c>
      <c r="AG148" s="88">
        <f t="shared" si="71"/>
        <v>-0.69048442399237731</v>
      </c>
      <c r="AH148" s="87">
        <v>22904.36</v>
      </c>
      <c r="AI148" s="88">
        <f t="shared" si="72"/>
        <v>1.9411116985542812E-3</v>
      </c>
      <c r="AJ148" s="88">
        <f t="shared" si="73"/>
        <v>0.33546800696461276</v>
      </c>
      <c r="AK148" s="87">
        <v>30588.04</v>
      </c>
      <c r="AL148" s="88">
        <f t="shared" si="74"/>
        <v>2.5922925713639804E-3</v>
      </c>
      <c r="AM148" s="88">
        <f t="shared" si="75"/>
        <v>0.14357735899390733</v>
      </c>
      <c r="AN148" s="87">
        <v>34979.79</v>
      </c>
      <c r="AO148" s="88">
        <f t="shared" si="76"/>
        <v>2.9644870924999461E-3</v>
      </c>
      <c r="AP148" s="88">
        <f t="shared" si="77"/>
        <v>-0.46863532031699784</v>
      </c>
    </row>
    <row r="149" spans="1:42" s="63" customFormat="1" x14ac:dyDescent="0.25">
      <c r="A149" s="86" t="s">
        <v>261</v>
      </c>
      <c r="B149" s="86" t="s">
        <v>163</v>
      </c>
      <c r="C149" s="86"/>
      <c r="D149" s="87">
        <v>65830.100000000006</v>
      </c>
      <c r="E149" s="88">
        <f t="shared" si="52"/>
        <v>5.5790066706512733E-3</v>
      </c>
      <c r="F149" s="88">
        <f t="shared" si="53"/>
        <v>-7.8951270011742403E-2</v>
      </c>
      <c r="G149" s="87">
        <v>60632.73</v>
      </c>
      <c r="H149" s="88">
        <f t="shared" si="54"/>
        <v>5.1385370085993724E-3</v>
      </c>
      <c r="I149" s="88">
        <f t="shared" si="55"/>
        <v>0.33791501718626216</v>
      </c>
      <c r="J149" s="87">
        <v>81121.440000000002</v>
      </c>
      <c r="K149" s="88">
        <f t="shared" si="56"/>
        <v>6.8749258301724746E-3</v>
      </c>
      <c r="L149" s="88">
        <f t="shared" si="57"/>
        <v>-9.3655388760357394E-2</v>
      </c>
      <c r="M149" s="87">
        <v>73523.98</v>
      </c>
      <c r="N149" s="88">
        <f t="shared" si="58"/>
        <v>6.2310519788490483E-3</v>
      </c>
      <c r="O149" s="88">
        <f t="shared" si="59"/>
        <v>0.1316958086327753</v>
      </c>
      <c r="P149" s="87">
        <v>83206.78</v>
      </c>
      <c r="Q149" s="88">
        <f t="shared" si="60"/>
        <v>7.0516554078364291E-3</v>
      </c>
      <c r="R149" s="88">
        <f t="shared" si="61"/>
        <v>0.1740846118549475</v>
      </c>
      <c r="S149" s="87">
        <v>97691.8</v>
      </c>
      <c r="T149" s="88">
        <f t="shared" si="62"/>
        <v>8.279240102444475E-3</v>
      </c>
      <c r="U149" s="88">
        <f t="shared" si="63"/>
        <v>-0.57155626163096596</v>
      </c>
      <c r="V149" s="87">
        <v>41855.440000000002</v>
      </c>
      <c r="W149" s="88">
        <f t="shared" si="64"/>
        <v>3.5471885803461355E-3</v>
      </c>
      <c r="X149" s="88">
        <f t="shared" si="65"/>
        <v>0.47256629006886564</v>
      </c>
      <c r="Y149" s="87">
        <v>61634.91</v>
      </c>
      <c r="Z149" s="88">
        <f t="shared" si="66"/>
        <v>5.2234703279349544E-3</v>
      </c>
      <c r="AA149" s="88">
        <f t="shared" si="67"/>
        <v>0.25230230724762936</v>
      </c>
      <c r="AB149" s="87">
        <v>77185.539999999994</v>
      </c>
      <c r="AC149" s="88">
        <f t="shared" si="68"/>
        <v>6.5413639435124753E-3</v>
      </c>
      <c r="AD149" s="88">
        <f t="shared" si="69"/>
        <v>-4.1262521451556844E-2</v>
      </c>
      <c r="AE149" s="87">
        <v>74000.67</v>
      </c>
      <c r="AF149" s="88">
        <f t="shared" si="70"/>
        <v>6.2714507734708521E-3</v>
      </c>
      <c r="AG149" s="88">
        <f t="shared" si="71"/>
        <v>-0.69048442399237731</v>
      </c>
      <c r="AH149" s="87">
        <v>22904.36</v>
      </c>
      <c r="AI149" s="88">
        <f t="shared" si="72"/>
        <v>1.9411116985542812E-3</v>
      </c>
      <c r="AJ149" s="88">
        <f t="shared" si="73"/>
        <v>0.33546800696461276</v>
      </c>
      <c r="AK149" s="87">
        <v>30588.04</v>
      </c>
      <c r="AL149" s="88">
        <f t="shared" si="74"/>
        <v>2.5922925713639804E-3</v>
      </c>
      <c r="AM149" s="88">
        <f t="shared" si="75"/>
        <v>0.14357735899390733</v>
      </c>
      <c r="AN149" s="87">
        <v>34979.79</v>
      </c>
      <c r="AO149" s="88">
        <f t="shared" si="76"/>
        <v>2.9644870924999461E-3</v>
      </c>
      <c r="AP149" s="88">
        <f t="shared" si="77"/>
        <v>-0.46863532031699784</v>
      </c>
    </row>
    <row r="150" spans="1:42" s="74" customFormat="1" x14ac:dyDescent="0.25">
      <c r="A150" s="89" t="s">
        <v>262</v>
      </c>
      <c r="B150" s="89" t="s">
        <v>163</v>
      </c>
      <c r="C150" s="89"/>
      <c r="D150" s="41">
        <v>65830.100000000006</v>
      </c>
      <c r="E150" s="88">
        <f t="shared" si="52"/>
        <v>5.5790066706512733E-3</v>
      </c>
      <c r="F150" s="88">
        <f t="shared" si="53"/>
        <v>-7.8951270011742403E-2</v>
      </c>
      <c r="G150" s="41">
        <v>60632.73</v>
      </c>
      <c r="H150" s="88">
        <f t="shared" si="54"/>
        <v>5.1385370085993724E-3</v>
      </c>
      <c r="I150" s="88">
        <f t="shared" si="55"/>
        <v>0.33791501718626216</v>
      </c>
      <c r="J150" s="41">
        <v>81121.440000000002</v>
      </c>
      <c r="K150" s="88">
        <f t="shared" si="56"/>
        <v>6.8749258301724746E-3</v>
      </c>
      <c r="L150" s="88">
        <f t="shared" si="57"/>
        <v>-9.3655388760357394E-2</v>
      </c>
      <c r="M150" s="41">
        <v>73523.98</v>
      </c>
      <c r="N150" s="88">
        <f t="shared" si="58"/>
        <v>6.2310519788490483E-3</v>
      </c>
      <c r="O150" s="88">
        <f t="shared" si="59"/>
        <v>0.1316958086327753</v>
      </c>
      <c r="P150" s="41">
        <v>83206.78</v>
      </c>
      <c r="Q150" s="88">
        <f t="shared" si="60"/>
        <v>7.0516554078364291E-3</v>
      </c>
      <c r="R150" s="88">
        <f t="shared" si="61"/>
        <v>0.1740846118549475</v>
      </c>
      <c r="S150" s="41">
        <v>97691.8</v>
      </c>
      <c r="T150" s="88">
        <f t="shared" si="62"/>
        <v>8.279240102444475E-3</v>
      </c>
      <c r="U150" s="88">
        <f t="shared" si="63"/>
        <v>-0.57155626163096596</v>
      </c>
      <c r="V150" s="41">
        <v>41855.440000000002</v>
      </c>
      <c r="W150" s="88">
        <f t="shared" si="64"/>
        <v>3.5471885803461355E-3</v>
      </c>
      <c r="X150" s="88">
        <f t="shared" si="65"/>
        <v>0.47256629006886564</v>
      </c>
      <c r="Y150" s="41">
        <v>61634.91</v>
      </c>
      <c r="Z150" s="88">
        <f t="shared" si="66"/>
        <v>5.2234703279349544E-3</v>
      </c>
      <c r="AA150" s="88">
        <f t="shared" si="67"/>
        <v>0.25230230724762936</v>
      </c>
      <c r="AB150" s="41">
        <v>77185.539999999994</v>
      </c>
      <c r="AC150" s="88">
        <f t="shared" si="68"/>
        <v>6.5413639435124753E-3</v>
      </c>
      <c r="AD150" s="88">
        <f t="shared" si="69"/>
        <v>-4.1262521451556844E-2</v>
      </c>
      <c r="AE150" s="41">
        <v>74000.67</v>
      </c>
      <c r="AF150" s="88">
        <f t="shared" si="70"/>
        <v>6.2714507734708521E-3</v>
      </c>
      <c r="AG150" s="88">
        <f t="shared" si="71"/>
        <v>-0.69048442399237731</v>
      </c>
      <c r="AH150" s="41">
        <v>22904.36</v>
      </c>
      <c r="AI150" s="88">
        <f t="shared" si="72"/>
        <v>1.9411116985542812E-3</v>
      </c>
      <c r="AJ150" s="88">
        <f t="shared" si="73"/>
        <v>0.33546800696461276</v>
      </c>
      <c r="AK150" s="41">
        <v>30588.04</v>
      </c>
      <c r="AL150" s="88">
        <f t="shared" si="74"/>
        <v>2.5922925713639804E-3</v>
      </c>
      <c r="AM150" s="88">
        <f t="shared" si="75"/>
        <v>0.14357735899390733</v>
      </c>
      <c r="AN150" s="91">
        <v>34979.79</v>
      </c>
      <c r="AO150" s="88">
        <f t="shared" si="76"/>
        <v>2.9644870924999461E-3</v>
      </c>
      <c r="AP150" s="88">
        <f t="shared" si="77"/>
        <v>-0.46863532031699784</v>
      </c>
    </row>
    <row r="151" spans="1:42" s="63" customFormat="1" x14ac:dyDescent="0.25">
      <c r="A151" s="86" t="s">
        <v>263</v>
      </c>
      <c r="B151" s="86" t="s">
        <v>264</v>
      </c>
      <c r="C151" s="86"/>
      <c r="D151" s="87">
        <v>43081</v>
      </c>
      <c r="E151" s="88">
        <f t="shared" si="52"/>
        <v>3.6510530346806017E-3</v>
      </c>
      <c r="F151" s="88">
        <f t="shared" si="53"/>
        <v>0.22670341914068848</v>
      </c>
      <c r="G151" s="87">
        <v>52847.61</v>
      </c>
      <c r="H151" s="88">
        <f t="shared" si="54"/>
        <v>4.4787592411066812E-3</v>
      </c>
      <c r="I151" s="88">
        <f t="shared" si="55"/>
        <v>0.26645500146553447</v>
      </c>
      <c r="J151" s="87">
        <v>66929.119999999995</v>
      </c>
      <c r="K151" s="88">
        <f t="shared" si="56"/>
        <v>5.6721470412595381E-3</v>
      </c>
      <c r="L151" s="88">
        <f t="shared" si="57"/>
        <v>-0.48729461854570921</v>
      </c>
      <c r="M151" s="87">
        <v>34314.92</v>
      </c>
      <c r="N151" s="88">
        <f t="shared" si="58"/>
        <v>2.9081403124537981E-3</v>
      </c>
      <c r="O151" s="88">
        <f t="shared" si="59"/>
        <v>0.25944982532379512</v>
      </c>
      <c r="P151" s="87">
        <v>43217.919999999998</v>
      </c>
      <c r="Q151" s="88">
        <f t="shared" si="60"/>
        <v>3.6626568085370227E-3</v>
      </c>
      <c r="R151" s="88">
        <f t="shared" si="61"/>
        <v>0.40251867743750758</v>
      </c>
      <c r="S151" s="87">
        <v>60613.94</v>
      </c>
      <c r="T151" s="88">
        <f t="shared" si="62"/>
        <v>5.1369445830168267E-3</v>
      </c>
      <c r="U151" s="88">
        <f t="shared" si="63"/>
        <v>-0.36274345472345149</v>
      </c>
      <c r="V151" s="87">
        <v>38626.629999999997</v>
      </c>
      <c r="W151" s="88">
        <f t="shared" si="64"/>
        <v>3.2735515582503834E-3</v>
      </c>
      <c r="X151" s="88">
        <f t="shared" si="65"/>
        <v>0.35256686902274414</v>
      </c>
      <c r="Y151" s="87">
        <v>52245.1</v>
      </c>
      <c r="Z151" s="88">
        <f t="shared" si="66"/>
        <v>4.4276973817272466E-3</v>
      </c>
      <c r="AA151" s="88">
        <f t="shared" si="67"/>
        <v>0.19627371753523315</v>
      </c>
      <c r="AB151" s="87">
        <v>62499.44</v>
      </c>
      <c r="AC151" s="88">
        <f t="shared" si="68"/>
        <v>5.2967380069598707E-3</v>
      </c>
      <c r="AD151" s="88">
        <f t="shared" si="69"/>
        <v>0.12650865351753549</v>
      </c>
      <c r="AE151" s="87">
        <v>70406.16</v>
      </c>
      <c r="AF151" s="88">
        <f t="shared" si="70"/>
        <v>5.9668212002555194E-3</v>
      </c>
      <c r="AG151" s="88">
        <f t="shared" si="71"/>
        <v>-0.4771585327192962</v>
      </c>
      <c r="AH151" s="87">
        <v>36811.26</v>
      </c>
      <c r="AI151" s="88">
        <f t="shared" si="72"/>
        <v>3.1197015513432062E-3</v>
      </c>
      <c r="AJ151" s="88">
        <f t="shared" si="73"/>
        <v>0</v>
      </c>
      <c r="AK151" s="87">
        <v>36811.26</v>
      </c>
      <c r="AL151" s="88">
        <f t="shared" si="74"/>
        <v>3.1197015513432062E-3</v>
      </c>
      <c r="AM151" s="88">
        <f t="shared" si="75"/>
        <v>0.73672077511065881</v>
      </c>
      <c r="AN151" s="87">
        <v>63930.879999999997</v>
      </c>
      <c r="AO151" s="88">
        <f t="shared" si="76"/>
        <v>5.4180504963626981E-3</v>
      </c>
      <c r="AP151" s="88">
        <f t="shared" si="77"/>
        <v>0.48396926719435474</v>
      </c>
    </row>
    <row r="152" spans="1:42" s="63" customFormat="1" x14ac:dyDescent="0.25">
      <c r="A152" s="86" t="s">
        <v>265</v>
      </c>
      <c r="B152" s="86" t="s">
        <v>264</v>
      </c>
      <c r="C152" s="86"/>
      <c r="D152" s="87">
        <v>43081</v>
      </c>
      <c r="E152" s="88">
        <f t="shared" si="52"/>
        <v>3.6510530346806017E-3</v>
      </c>
      <c r="F152" s="88">
        <f t="shared" si="53"/>
        <v>0.22670341914068848</v>
      </c>
      <c r="G152" s="87">
        <v>52847.61</v>
      </c>
      <c r="H152" s="88">
        <f t="shared" si="54"/>
        <v>4.4787592411066812E-3</v>
      </c>
      <c r="I152" s="88">
        <f t="shared" si="55"/>
        <v>0.26645500146553447</v>
      </c>
      <c r="J152" s="87">
        <v>66929.119999999995</v>
      </c>
      <c r="K152" s="88">
        <f t="shared" si="56"/>
        <v>5.6721470412595381E-3</v>
      </c>
      <c r="L152" s="88">
        <f t="shared" si="57"/>
        <v>-0.48729461854570921</v>
      </c>
      <c r="M152" s="87">
        <v>34314.92</v>
      </c>
      <c r="N152" s="88">
        <f t="shared" si="58"/>
        <v>2.9081403124537981E-3</v>
      </c>
      <c r="O152" s="88">
        <f t="shared" si="59"/>
        <v>0.25944982532379512</v>
      </c>
      <c r="P152" s="87">
        <v>43217.919999999998</v>
      </c>
      <c r="Q152" s="88">
        <f t="shared" si="60"/>
        <v>3.6626568085370227E-3</v>
      </c>
      <c r="R152" s="88">
        <f t="shared" si="61"/>
        <v>0.40251867743750758</v>
      </c>
      <c r="S152" s="87">
        <v>60613.94</v>
      </c>
      <c r="T152" s="88">
        <f t="shared" si="62"/>
        <v>5.1369445830168267E-3</v>
      </c>
      <c r="U152" s="88">
        <f t="shared" si="63"/>
        <v>-0.36274345472345149</v>
      </c>
      <c r="V152" s="87">
        <v>38626.629999999997</v>
      </c>
      <c r="W152" s="88">
        <f t="shared" si="64"/>
        <v>3.2735515582503834E-3</v>
      </c>
      <c r="X152" s="88">
        <f t="shared" si="65"/>
        <v>0.35256686902274414</v>
      </c>
      <c r="Y152" s="87">
        <v>52245.1</v>
      </c>
      <c r="Z152" s="88">
        <f t="shared" si="66"/>
        <v>4.4276973817272466E-3</v>
      </c>
      <c r="AA152" s="88">
        <f t="shared" si="67"/>
        <v>0.19627371753523315</v>
      </c>
      <c r="AB152" s="87">
        <v>62499.44</v>
      </c>
      <c r="AC152" s="88">
        <f t="shared" si="68"/>
        <v>5.2967380069598707E-3</v>
      </c>
      <c r="AD152" s="88">
        <f t="shared" si="69"/>
        <v>0.12650865351753549</v>
      </c>
      <c r="AE152" s="87">
        <v>70406.16</v>
      </c>
      <c r="AF152" s="88">
        <f t="shared" si="70"/>
        <v>5.9668212002555194E-3</v>
      </c>
      <c r="AG152" s="88">
        <f t="shared" si="71"/>
        <v>-0.4771585327192962</v>
      </c>
      <c r="AH152" s="87">
        <v>36811.26</v>
      </c>
      <c r="AI152" s="88">
        <f t="shared" si="72"/>
        <v>3.1197015513432062E-3</v>
      </c>
      <c r="AJ152" s="88">
        <f t="shared" si="73"/>
        <v>0</v>
      </c>
      <c r="AK152" s="87">
        <v>36811.26</v>
      </c>
      <c r="AL152" s="88">
        <f t="shared" si="74"/>
        <v>3.1197015513432062E-3</v>
      </c>
      <c r="AM152" s="88">
        <f t="shared" si="75"/>
        <v>0.73672077511065881</v>
      </c>
      <c r="AN152" s="87">
        <v>63930.879999999997</v>
      </c>
      <c r="AO152" s="88">
        <f t="shared" si="76"/>
        <v>5.4180504963626981E-3</v>
      </c>
      <c r="AP152" s="88">
        <f t="shared" si="77"/>
        <v>0.48396926719435474</v>
      </c>
    </row>
    <row r="153" spans="1:42" s="74" customFormat="1" x14ac:dyDescent="0.25">
      <c r="A153" s="89" t="s">
        <v>266</v>
      </c>
      <c r="B153" s="89" t="s">
        <v>264</v>
      </c>
      <c r="C153" s="89"/>
      <c r="D153" s="41">
        <v>43081</v>
      </c>
      <c r="E153" s="88">
        <f t="shared" si="52"/>
        <v>3.6510530346806017E-3</v>
      </c>
      <c r="F153" s="88">
        <f t="shared" si="53"/>
        <v>0.22670341914068848</v>
      </c>
      <c r="G153" s="41">
        <v>52847.61</v>
      </c>
      <c r="H153" s="88">
        <f t="shared" si="54"/>
        <v>4.4787592411066812E-3</v>
      </c>
      <c r="I153" s="88">
        <f t="shared" si="55"/>
        <v>0.26645500146553447</v>
      </c>
      <c r="J153" s="41">
        <v>66929.119999999995</v>
      </c>
      <c r="K153" s="88">
        <f t="shared" si="56"/>
        <v>5.6721470412595381E-3</v>
      </c>
      <c r="L153" s="88">
        <f t="shared" si="57"/>
        <v>-0.48729461854570921</v>
      </c>
      <c r="M153" s="41">
        <v>34314.92</v>
      </c>
      <c r="N153" s="88">
        <f t="shared" si="58"/>
        <v>2.9081403124537981E-3</v>
      </c>
      <c r="O153" s="88">
        <f t="shared" si="59"/>
        <v>0.25944982532379512</v>
      </c>
      <c r="P153" s="41">
        <v>43217.919999999998</v>
      </c>
      <c r="Q153" s="88">
        <f t="shared" si="60"/>
        <v>3.6626568085370227E-3</v>
      </c>
      <c r="R153" s="88">
        <f t="shared" si="61"/>
        <v>0.40251867743750758</v>
      </c>
      <c r="S153" s="41">
        <v>60613.94</v>
      </c>
      <c r="T153" s="88">
        <f t="shared" si="62"/>
        <v>5.1369445830168267E-3</v>
      </c>
      <c r="U153" s="88">
        <f t="shared" si="63"/>
        <v>-0.36274345472345149</v>
      </c>
      <c r="V153" s="41">
        <v>38626.629999999997</v>
      </c>
      <c r="W153" s="88">
        <f t="shared" si="64"/>
        <v>3.2735515582503834E-3</v>
      </c>
      <c r="X153" s="88">
        <f t="shared" si="65"/>
        <v>0.35256686902274414</v>
      </c>
      <c r="Y153" s="41">
        <v>52245.1</v>
      </c>
      <c r="Z153" s="88">
        <f t="shared" si="66"/>
        <v>4.4276973817272466E-3</v>
      </c>
      <c r="AA153" s="88">
        <f t="shared" si="67"/>
        <v>0.19627371753523315</v>
      </c>
      <c r="AB153" s="41">
        <v>62499.44</v>
      </c>
      <c r="AC153" s="88">
        <f t="shared" si="68"/>
        <v>5.2967380069598707E-3</v>
      </c>
      <c r="AD153" s="88">
        <f t="shared" si="69"/>
        <v>0.12650865351753549</v>
      </c>
      <c r="AE153" s="41">
        <v>70406.16</v>
      </c>
      <c r="AF153" s="88">
        <f t="shared" si="70"/>
        <v>5.9668212002555194E-3</v>
      </c>
      <c r="AG153" s="88">
        <f t="shared" si="71"/>
        <v>-0.4771585327192962</v>
      </c>
      <c r="AH153" s="41">
        <v>36811.26</v>
      </c>
      <c r="AI153" s="88">
        <f t="shared" si="72"/>
        <v>3.1197015513432062E-3</v>
      </c>
      <c r="AJ153" s="88">
        <f t="shared" si="73"/>
        <v>0</v>
      </c>
      <c r="AK153" s="41">
        <v>36811.26</v>
      </c>
      <c r="AL153" s="88">
        <f t="shared" si="74"/>
        <v>3.1197015513432062E-3</v>
      </c>
      <c r="AM153" s="88">
        <f t="shared" si="75"/>
        <v>0.73672077511065881</v>
      </c>
      <c r="AN153" s="41">
        <v>63930.879999999997</v>
      </c>
      <c r="AO153" s="88">
        <f t="shared" si="76"/>
        <v>5.4180504963626981E-3</v>
      </c>
      <c r="AP153" s="88">
        <f t="shared" si="77"/>
        <v>0.48396926719435474</v>
      </c>
    </row>
    <row r="154" spans="1:42" s="63" customFormat="1" x14ac:dyDescent="0.25">
      <c r="A154" s="86" t="s">
        <v>267</v>
      </c>
      <c r="B154" s="86" t="s">
        <v>268</v>
      </c>
      <c r="C154" s="86"/>
      <c r="D154" s="87">
        <v>25611.759999999998</v>
      </c>
      <c r="E154" s="88">
        <f t="shared" si="52"/>
        <v>2.1705599700914844E-3</v>
      </c>
      <c r="F154" s="88">
        <f t="shared" si="53"/>
        <v>0.23158697410876883</v>
      </c>
      <c r="G154" s="87">
        <v>31543.11</v>
      </c>
      <c r="H154" s="88">
        <f t="shared" si="54"/>
        <v>2.6732333856865913E-3</v>
      </c>
      <c r="I154" s="88">
        <f t="shared" si="55"/>
        <v>0.25420480098506437</v>
      </c>
      <c r="J154" s="87">
        <v>39561.519999999997</v>
      </c>
      <c r="K154" s="88">
        <f t="shared" si="56"/>
        <v>3.3527821464816813E-3</v>
      </c>
      <c r="L154" s="88">
        <f t="shared" si="57"/>
        <v>-0.49871390179143771</v>
      </c>
      <c r="M154" s="87">
        <v>19831.64</v>
      </c>
      <c r="N154" s="88">
        <f t="shared" si="58"/>
        <v>1.6807030803531304E-3</v>
      </c>
      <c r="O154" s="88">
        <f t="shared" si="59"/>
        <v>0.21672841983819802</v>
      </c>
      <c r="P154" s="87">
        <v>24129.72</v>
      </c>
      <c r="Q154" s="88">
        <f t="shared" si="60"/>
        <v>2.0449592031752564E-3</v>
      </c>
      <c r="R154" s="88">
        <f t="shared" si="61"/>
        <v>0.39235929799434044</v>
      </c>
      <c r="S154" s="87">
        <v>33597.24</v>
      </c>
      <c r="T154" s="88">
        <f t="shared" si="62"/>
        <v>2.8473179605601655E-3</v>
      </c>
      <c r="U154" s="88">
        <f t="shared" si="63"/>
        <v>-0.37751970102306021</v>
      </c>
      <c r="V154" s="87">
        <v>20913.62</v>
      </c>
      <c r="W154" s="88">
        <f t="shared" si="64"/>
        <v>1.7723993353719024E-3</v>
      </c>
      <c r="X154" s="88">
        <f t="shared" si="65"/>
        <v>0.37923850581582719</v>
      </c>
      <c r="Y154" s="87">
        <v>28844.87</v>
      </c>
      <c r="Z154" s="88">
        <f t="shared" si="66"/>
        <v>2.4445614110273077E-3</v>
      </c>
      <c r="AA154" s="88">
        <f t="shared" si="67"/>
        <v>0.21546430959820606</v>
      </c>
      <c r="AB154" s="87">
        <v>35059.910000000003</v>
      </c>
      <c r="AC154" s="88">
        <f t="shared" si="68"/>
        <v>2.9712771477247231E-3</v>
      </c>
      <c r="AD154" s="88">
        <f t="shared" si="69"/>
        <v>0.1412023020024864</v>
      </c>
      <c r="AE154" s="87">
        <v>40010.449999999997</v>
      </c>
      <c r="AF154" s="88">
        <f t="shared" si="70"/>
        <v>3.3908283208708358E-3</v>
      </c>
      <c r="AG154" s="88">
        <f t="shared" si="71"/>
        <v>-0.42783622778549102</v>
      </c>
      <c r="AH154" s="87">
        <v>22892.53</v>
      </c>
      <c r="AI154" s="88">
        <f t="shared" si="72"/>
        <v>1.9401091230012467E-3</v>
      </c>
      <c r="AJ154" s="88">
        <f t="shared" si="73"/>
        <v>0</v>
      </c>
      <c r="AK154" s="87">
        <v>22892.53</v>
      </c>
      <c r="AL154" s="88">
        <f t="shared" si="74"/>
        <v>1.9401091230012467E-3</v>
      </c>
      <c r="AM154" s="88">
        <f t="shared" si="75"/>
        <v>0.6487513612519018</v>
      </c>
      <c r="AN154" s="87">
        <v>37744.089999999997</v>
      </c>
      <c r="AO154" s="88">
        <f t="shared" si="76"/>
        <v>3.1987575575255392E-3</v>
      </c>
      <c r="AP154" s="88">
        <f t="shared" si="77"/>
        <v>0.47370153398282655</v>
      </c>
    </row>
    <row r="155" spans="1:42" s="63" customFormat="1" x14ac:dyDescent="0.25">
      <c r="A155" s="86" t="s">
        <v>269</v>
      </c>
      <c r="B155" s="86" t="s">
        <v>268</v>
      </c>
      <c r="C155" s="86"/>
      <c r="D155" s="87">
        <v>25611.759999999998</v>
      </c>
      <c r="E155" s="88">
        <f t="shared" si="52"/>
        <v>2.1705599700914844E-3</v>
      </c>
      <c r="F155" s="88">
        <f t="shared" si="53"/>
        <v>0.23158697410876883</v>
      </c>
      <c r="G155" s="87">
        <v>31543.11</v>
      </c>
      <c r="H155" s="88">
        <f t="shared" si="54"/>
        <v>2.6732333856865913E-3</v>
      </c>
      <c r="I155" s="88">
        <f t="shared" si="55"/>
        <v>0.25420480098506437</v>
      </c>
      <c r="J155" s="87">
        <v>39561.519999999997</v>
      </c>
      <c r="K155" s="88">
        <f t="shared" si="56"/>
        <v>3.3527821464816813E-3</v>
      </c>
      <c r="L155" s="88">
        <f t="shared" si="57"/>
        <v>-0.49871390179143771</v>
      </c>
      <c r="M155" s="87">
        <v>19831.64</v>
      </c>
      <c r="N155" s="88">
        <f t="shared" si="58"/>
        <v>1.6807030803531304E-3</v>
      </c>
      <c r="O155" s="88">
        <f t="shared" si="59"/>
        <v>0.21672841983819802</v>
      </c>
      <c r="P155" s="87">
        <v>24129.72</v>
      </c>
      <c r="Q155" s="88">
        <f t="shared" si="60"/>
        <v>2.0449592031752564E-3</v>
      </c>
      <c r="R155" s="88">
        <f t="shared" si="61"/>
        <v>0.39235929799434044</v>
      </c>
      <c r="S155" s="87">
        <v>33597.24</v>
      </c>
      <c r="T155" s="88">
        <f t="shared" si="62"/>
        <v>2.8473179605601655E-3</v>
      </c>
      <c r="U155" s="88">
        <f t="shared" si="63"/>
        <v>-0.37751970102306021</v>
      </c>
      <c r="V155" s="87">
        <v>20913.62</v>
      </c>
      <c r="W155" s="88">
        <f t="shared" si="64"/>
        <v>1.7723993353719024E-3</v>
      </c>
      <c r="X155" s="88">
        <f t="shared" si="65"/>
        <v>0.37923850581582719</v>
      </c>
      <c r="Y155" s="87">
        <v>28844.87</v>
      </c>
      <c r="Z155" s="88">
        <f t="shared" si="66"/>
        <v>2.4445614110273077E-3</v>
      </c>
      <c r="AA155" s="88">
        <f t="shared" si="67"/>
        <v>0.21546430959820606</v>
      </c>
      <c r="AB155" s="87">
        <v>35059.910000000003</v>
      </c>
      <c r="AC155" s="88">
        <f t="shared" si="68"/>
        <v>2.9712771477247231E-3</v>
      </c>
      <c r="AD155" s="88">
        <f t="shared" si="69"/>
        <v>0.1412023020024864</v>
      </c>
      <c r="AE155" s="87">
        <v>40010.449999999997</v>
      </c>
      <c r="AF155" s="88">
        <f t="shared" si="70"/>
        <v>3.3908283208708358E-3</v>
      </c>
      <c r="AG155" s="88">
        <f t="shared" si="71"/>
        <v>-0.42783622778549102</v>
      </c>
      <c r="AH155" s="87">
        <v>22892.53</v>
      </c>
      <c r="AI155" s="88">
        <f t="shared" si="72"/>
        <v>1.9401091230012467E-3</v>
      </c>
      <c r="AJ155" s="88">
        <f t="shared" si="73"/>
        <v>0</v>
      </c>
      <c r="AK155" s="87">
        <v>22892.53</v>
      </c>
      <c r="AL155" s="88">
        <f t="shared" si="74"/>
        <v>1.9401091230012467E-3</v>
      </c>
      <c r="AM155" s="88">
        <f t="shared" si="75"/>
        <v>0.6487513612519018</v>
      </c>
      <c r="AN155" s="87">
        <v>37744.089999999997</v>
      </c>
      <c r="AO155" s="88">
        <f t="shared" si="76"/>
        <v>3.1987575575255392E-3</v>
      </c>
      <c r="AP155" s="88">
        <f t="shared" si="77"/>
        <v>0.47370153398282655</v>
      </c>
    </row>
    <row r="156" spans="1:42" s="74" customFormat="1" x14ac:dyDescent="0.25">
      <c r="A156" s="89" t="s">
        <v>270</v>
      </c>
      <c r="B156" s="89" t="s">
        <v>268</v>
      </c>
      <c r="C156" s="89"/>
      <c r="D156" s="41">
        <v>25611.759999999998</v>
      </c>
      <c r="E156" s="88">
        <f t="shared" si="52"/>
        <v>2.1705599700914844E-3</v>
      </c>
      <c r="F156" s="88">
        <f t="shared" si="53"/>
        <v>0.23158697410876883</v>
      </c>
      <c r="G156" s="41">
        <v>31543.11</v>
      </c>
      <c r="H156" s="88">
        <f t="shared" si="54"/>
        <v>2.6732333856865913E-3</v>
      </c>
      <c r="I156" s="88">
        <f t="shared" si="55"/>
        <v>0.25420480098506437</v>
      </c>
      <c r="J156" s="41">
        <v>39561.519999999997</v>
      </c>
      <c r="K156" s="88">
        <f t="shared" si="56"/>
        <v>3.3527821464816813E-3</v>
      </c>
      <c r="L156" s="88">
        <f t="shared" si="57"/>
        <v>-0.49871390179143771</v>
      </c>
      <c r="M156" s="41">
        <v>19831.64</v>
      </c>
      <c r="N156" s="88">
        <f t="shared" si="58"/>
        <v>1.6807030803531304E-3</v>
      </c>
      <c r="O156" s="88">
        <f t="shared" si="59"/>
        <v>0.21672841983819802</v>
      </c>
      <c r="P156" s="41">
        <v>24129.72</v>
      </c>
      <c r="Q156" s="88">
        <f t="shared" si="60"/>
        <v>2.0449592031752564E-3</v>
      </c>
      <c r="R156" s="88">
        <f t="shared" si="61"/>
        <v>0.39235929799434044</v>
      </c>
      <c r="S156" s="41">
        <v>33597.24</v>
      </c>
      <c r="T156" s="88">
        <f t="shared" si="62"/>
        <v>2.8473179605601655E-3</v>
      </c>
      <c r="U156" s="88">
        <f t="shared" si="63"/>
        <v>-0.37751970102306021</v>
      </c>
      <c r="V156" s="41">
        <v>20913.62</v>
      </c>
      <c r="W156" s="88">
        <f t="shared" si="64"/>
        <v>1.7723993353719024E-3</v>
      </c>
      <c r="X156" s="88">
        <f t="shared" si="65"/>
        <v>0.37923850581582719</v>
      </c>
      <c r="Y156" s="41">
        <v>28844.87</v>
      </c>
      <c r="Z156" s="88">
        <f t="shared" si="66"/>
        <v>2.4445614110273077E-3</v>
      </c>
      <c r="AA156" s="88">
        <f t="shared" si="67"/>
        <v>0.21546430959820606</v>
      </c>
      <c r="AB156" s="41">
        <v>35059.910000000003</v>
      </c>
      <c r="AC156" s="88">
        <f t="shared" si="68"/>
        <v>2.9712771477247231E-3</v>
      </c>
      <c r="AD156" s="88">
        <f t="shared" si="69"/>
        <v>0.1412023020024864</v>
      </c>
      <c r="AE156" s="41">
        <v>40010.449999999997</v>
      </c>
      <c r="AF156" s="88">
        <f t="shared" si="70"/>
        <v>3.3908283208708358E-3</v>
      </c>
      <c r="AG156" s="88">
        <f t="shared" si="71"/>
        <v>-0.42783622778549102</v>
      </c>
      <c r="AH156" s="41">
        <v>22892.53</v>
      </c>
      <c r="AI156" s="88">
        <f t="shared" si="72"/>
        <v>1.9401091230012467E-3</v>
      </c>
      <c r="AJ156" s="88">
        <f t="shared" si="73"/>
        <v>0</v>
      </c>
      <c r="AK156" s="41">
        <v>22892.53</v>
      </c>
      <c r="AL156" s="88">
        <f t="shared" si="74"/>
        <v>1.9401091230012467E-3</v>
      </c>
      <c r="AM156" s="88">
        <f t="shared" si="75"/>
        <v>0.6487513612519018</v>
      </c>
      <c r="AN156" s="41">
        <v>37744.089999999997</v>
      </c>
      <c r="AO156" s="88">
        <f t="shared" si="76"/>
        <v>3.1987575575255392E-3</v>
      </c>
      <c r="AP156" s="88">
        <f t="shared" si="77"/>
        <v>0.47370153398282655</v>
      </c>
    </row>
    <row r="157" spans="1:42" s="63" customFormat="1" x14ac:dyDescent="0.25">
      <c r="A157" s="86" t="s">
        <v>626</v>
      </c>
      <c r="B157" s="86" t="s">
        <v>736</v>
      </c>
      <c r="C157" s="86"/>
      <c r="D157" s="87">
        <v>297530.90000000002</v>
      </c>
      <c r="E157" s="88">
        <f t="shared" si="52"/>
        <v>2.5215317549644872E-2</v>
      </c>
      <c r="F157" s="88">
        <f t="shared" si="53"/>
        <v>2.5453225866624272</v>
      </c>
      <c r="G157" s="87">
        <v>1054843.02</v>
      </c>
      <c r="H157" s="88">
        <f t="shared" si="54"/>
        <v>8.9396434838621461E-2</v>
      </c>
      <c r="I157" s="88">
        <f t="shared" si="55"/>
        <v>-5.0647346559680506E-2</v>
      </c>
      <c r="J157" s="87">
        <v>1001418.02</v>
      </c>
      <c r="K157" s="88">
        <f t="shared" si="56"/>
        <v>8.4868742622149898E-2</v>
      </c>
      <c r="L157" s="88">
        <f t="shared" si="57"/>
        <v>9.9711417216159282E-2</v>
      </c>
      <c r="M157" s="87">
        <v>1101270.83</v>
      </c>
      <c r="N157" s="88">
        <f t="shared" si="58"/>
        <v>9.3331125226357919E-2</v>
      </c>
      <c r="O157" s="88">
        <f t="shared" si="59"/>
        <v>-5.4755522762734099E-2</v>
      </c>
      <c r="P157" s="87">
        <v>1040970.17</v>
      </c>
      <c r="Q157" s="88">
        <f t="shared" si="60"/>
        <v>8.8220730674554493E-2</v>
      </c>
      <c r="R157" s="88">
        <f t="shared" si="61"/>
        <v>-5.4188565268878053E-2</v>
      </c>
      <c r="S157" s="87">
        <v>984561.49</v>
      </c>
      <c r="T157" s="88">
        <f t="shared" si="62"/>
        <v>8.3440175852328283E-2</v>
      </c>
      <c r="U157" s="88">
        <f t="shared" si="63"/>
        <v>0.1230037445401202</v>
      </c>
      <c r="V157" s="87">
        <v>1105666.24</v>
      </c>
      <c r="W157" s="88">
        <f t="shared" si="64"/>
        <v>9.3703629927250773E-2</v>
      </c>
      <c r="X157" s="88">
        <f t="shared" si="65"/>
        <v>-6.0567626628448057E-2</v>
      </c>
      <c r="Y157" s="87">
        <v>1038698.6599999999</v>
      </c>
      <c r="Z157" s="88">
        <f t="shared" si="66"/>
        <v>8.8028223456086782E-2</v>
      </c>
      <c r="AA157" s="88">
        <f t="shared" si="67"/>
        <v>-3.8739397237693374E-2</v>
      </c>
      <c r="AB157" s="87">
        <v>998460.10000000009</v>
      </c>
      <c r="AC157" s="88">
        <f t="shared" si="68"/>
        <v>8.4618063139492994E-2</v>
      </c>
      <c r="AD157" s="88">
        <f t="shared" si="69"/>
        <v>-3.4857777491559383E-2</v>
      </c>
      <c r="AE157" s="87">
        <v>963656</v>
      </c>
      <c r="AF157" s="88">
        <f t="shared" si="70"/>
        <v>8.1668465522809819E-2</v>
      </c>
      <c r="AG157" s="88">
        <f t="shared" si="71"/>
        <v>-8.1962858115343096E-3</v>
      </c>
      <c r="AH157" s="87">
        <v>955757.60000000009</v>
      </c>
      <c r="AI157" s="88">
        <f t="shared" si="72"/>
        <v>8.0999087437595443E-2</v>
      </c>
      <c r="AJ157" s="88">
        <f t="shared" si="73"/>
        <v>-8.208671320009131E-4</v>
      </c>
      <c r="AK157" s="87">
        <v>954973.05</v>
      </c>
      <c r="AL157" s="88">
        <f t="shared" si="74"/>
        <v>8.0932597948995849E-2</v>
      </c>
      <c r="AM157" s="88">
        <f t="shared" si="75"/>
        <v>-6.6740941013990751E-3</v>
      </c>
      <c r="AN157" s="87">
        <v>948599.47</v>
      </c>
      <c r="AO157" s="88">
        <f t="shared" si="76"/>
        <v>8.0392446174413559E-2</v>
      </c>
      <c r="AP157" s="88">
        <f t="shared" si="77"/>
        <v>2.1882384989256574</v>
      </c>
    </row>
    <row r="158" spans="1:42" s="63" customFormat="1" x14ac:dyDescent="0.25">
      <c r="A158" s="86" t="s">
        <v>627</v>
      </c>
      <c r="B158" s="86" t="s">
        <v>736</v>
      </c>
      <c r="C158" s="86"/>
      <c r="D158" s="87">
        <v>297530.90000000002</v>
      </c>
      <c r="E158" s="88">
        <f t="shared" si="52"/>
        <v>2.5215317549644872E-2</v>
      </c>
      <c r="F158" s="88">
        <f t="shared" si="53"/>
        <v>2.5453225866624272</v>
      </c>
      <c r="G158" s="87">
        <v>1054843.02</v>
      </c>
      <c r="H158" s="88">
        <f t="shared" si="54"/>
        <v>8.9396434838621461E-2</v>
      </c>
      <c r="I158" s="88">
        <f t="shared" si="55"/>
        <v>-5.0647346559680506E-2</v>
      </c>
      <c r="J158" s="87">
        <v>1001418.02</v>
      </c>
      <c r="K158" s="88">
        <f t="shared" si="56"/>
        <v>8.4868742622149898E-2</v>
      </c>
      <c r="L158" s="88">
        <f t="shared" si="57"/>
        <v>9.9711417216159282E-2</v>
      </c>
      <c r="M158" s="87">
        <v>1101270.83</v>
      </c>
      <c r="N158" s="88">
        <f t="shared" si="58"/>
        <v>9.3331125226357919E-2</v>
      </c>
      <c r="O158" s="88">
        <f t="shared" si="59"/>
        <v>-5.4755522762734099E-2</v>
      </c>
      <c r="P158" s="87">
        <v>1040970.17</v>
      </c>
      <c r="Q158" s="88">
        <f t="shared" si="60"/>
        <v>8.8220730674554493E-2</v>
      </c>
      <c r="R158" s="88">
        <f t="shared" si="61"/>
        <v>-5.4188565268878053E-2</v>
      </c>
      <c r="S158" s="87">
        <v>984561.49</v>
      </c>
      <c r="T158" s="88">
        <f t="shared" si="62"/>
        <v>8.3440175852328283E-2</v>
      </c>
      <c r="U158" s="88">
        <f t="shared" si="63"/>
        <v>0.1230037445401202</v>
      </c>
      <c r="V158" s="87">
        <v>1105666.24</v>
      </c>
      <c r="W158" s="88">
        <f t="shared" si="64"/>
        <v>9.3703629927250773E-2</v>
      </c>
      <c r="X158" s="88">
        <f t="shared" si="65"/>
        <v>-6.0567626628448057E-2</v>
      </c>
      <c r="Y158" s="87">
        <v>1038698.6599999999</v>
      </c>
      <c r="Z158" s="88">
        <f t="shared" si="66"/>
        <v>8.8028223456086782E-2</v>
      </c>
      <c r="AA158" s="88">
        <f t="shared" si="67"/>
        <v>-3.8739397237693374E-2</v>
      </c>
      <c r="AB158" s="87">
        <v>998460.10000000009</v>
      </c>
      <c r="AC158" s="88">
        <f t="shared" si="68"/>
        <v>8.4618063139492994E-2</v>
      </c>
      <c r="AD158" s="88">
        <f t="shared" si="69"/>
        <v>-3.4857777491559383E-2</v>
      </c>
      <c r="AE158" s="87">
        <v>963656</v>
      </c>
      <c r="AF158" s="88">
        <f t="shared" si="70"/>
        <v>8.1668465522809819E-2</v>
      </c>
      <c r="AG158" s="88">
        <f t="shared" si="71"/>
        <v>-8.1962858115343096E-3</v>
      </c>
      <c r="AH158" s="87">
        <v>955757.60000000009</v>
      </c>
      <c r="AI158" s="88">
        <f t="shared" si="72"/>
        <v>8.0999087437595443E-2</v>
      </c>
      <c r="AJ158" s="88">
        <f t="shared" si="73"/>
        <v>-8.208671320009131E-4</v>
      </c>
      <c r="AK158" s="87">
        <v>954973.05</v>
      </c>
      <c r="AL158" s="88">
        <f t="shared" si="74"/>
        <v>8.0932597948995849E-2</v>
      </c>
      <c r="AM158" s="88">
        <f t="shared" si="75"/>
        <v>-6.6740941013990751E-3</v>
      </c>
      <c r="AN158" s="87">
        <v>948599.47</v>
      </c>
      <c r="AO158" s="88">
        <f t="shared" si="76"/>
        <v>8.0392446174413559E-2</v>
      </c>
      <c r="AP158" s="88">
        <f t="shared" si="77"/>
        <v>2.1882384989256574</v>
      </c>
    </row>
    <row r="159" spans="1:42" s="74" customFormat="1" x14ac:dyDescent="0.25">
      <c r="A159" s="89" t="s">
        <v>628</v>
      </c>
      <c r="B159" s="89" t="s">
        <v>629</v>
      </c>
      <c r="C159" s="89"/>
      <c r="D159" s="41">
        <v>45609.57</v>
      </c>
      <c r="E159" s="88">
        <f t="shared" si="52"/>
        <v>3.8653457198991976E-3</v>
      </c>
      <c r="F159" s="88">
        <f t="shared" si="53"/>
        <v>0.5740749145409616</v>
      </c>
      <c r="G159" s="41">
        <v>71792.88</v>
      </c>
      <c r="H159" s="88">
        <f t="shared" si="54"/>
        <v>6.0843437337216016E-3</v>
      </c>
      <c r="I159" s="88">
        <f t="shared" si="55"/>
        <v>-8.333333333333337E-2</v>
      </c>
      <c r="J159" s="41">
        <v>65810.14</v>
      </c>
      <c r="K159" s="88">
        <f t="shared" si="56"/>
        <v>5.577315089244801E-3</v>
      </c>
      <c r="L159" s="88">
        <f t="shared" si="57"/>
        <v>0</v>
      </c>
      <c r="M159" s="41">
        <v>65810.14</v>
      </c>
      <c r="N159" s="88">
        <f t="shared" si="58"/>
        <v>5.577315089244801E-3</v>
      </c>
      <c r="O159" s="88">
        <f t="shared" si="59"/>
        <v>-9.0909090909090828E-2</v>
      </c>
      <c r="P159" s="41">
        <v>59827.4</v>
      </c>
      <c r="Q159" s="88">
        <f t="shared" si="60"/>
        <v>5.0702864447680004E-3</v>
      </c>
      <c r="R159" s="88">
        <f t="shared" si="61"/>
        <v>-5.0000000000000044E-2</v>
      </c>
      <c r="S159" s="41">
        <v>56836.03</v>
      </c>
      <c r="T159" s="88">
        <f t="shared" si="62"/>
        <v>4.8167721225296006E-3</v>
      </c>
      <c r="U159" s="88">
        <f t="shared" si="63"/>
        <v>-5.2631578947368363E-2</v>
      </c>
      <c r="V159" s="41">
        <v>53844.66</v>
      </c>
      <c r="W159" s="88">
        <f t="shared" si="64"/>
        <v>4.5632578002912007E-3</v>
      </c>
      <c r="X159" s="88">
        <f t="shared" si="65"/>
        <v>-5.555555555555558E-2</v>
      </c>
      <c r="Y159" s="41">
        <v>50853.29</v>
      </c>
      <c r="Z159" s="88">
        <f t="shared" si="66"/>
        <v>4.3097434780528009E-3</v>
      </c>
      <c r="AA159" s="88">
        <f t="shared" si="67"/>
        <v>0</v>
      </c>
      <c r="AB159" s="41">
        <v>50853.29</v>
      </c>
      <c r="AC159" s="88">
        <f t="shared" si="68"/>
        <v>4.3097434780528009E-3</v>
      </c>
      <c r="AD159" s="88">
        <f t="shared" si="69"/>
        <v>0</v>
      </c>
      <c r="AE159" s="41">
        <v>50853.29</v>
      </c>
      <c r="AF159" s="88">
        <f t="shared" si="70"/>
        <v>4.3097434780528009E-3</v>
      </c>
      <c r="AG159" s="88">
        <f t="shared" si="71"/>
        <v>-0.11764705882352933</v>
      </c>
      <c r="AH159" s="41">
        <v>44870.55</v>
      </c>
      <c r="AI159" s="88">
        <f t="shared" si="72"/>
        <v>3.8027148335760008E-3</v>
      </c>
      <c r="AJ159" s="88">
        <f t="shared" si="73"/>
        <v>0</v>
      </c>
      <c r="AK159" s="41">
        <v>44870.55</v>
      </c>
      <c r="AL159" s="88">
        <f t="shared" si="74"/>
        <v>3.8027148335760008E-3</v>
      </c>
      <c r="AM159" s="88">
        <f t="shared" si="75"/>
        <v>0</v>
      </c>
      <c r="AN159" s="41">
        <v>44870.55</v>
      </c>
      <c r="AO159" s="88">
        <f t="shared" si="76"/>
        <v>3.8027148335760008E-3</v>
      </c>
      <c r="AP159" s="88">
        <f t="shared" si="77"/>
        <v>-1.6203178411899E-2</v>
      </c>
    </row>
    <row r="160" spans="1:42" s="74" customFormat="1" x14ac:dyDescent="0.25">
      <c r="A160" s="89" t="s">
        <v>630</v>
      </c>
      <c r="B160" s="89" t="s">
        <v>631</v>
      </c>
      <c r="C160" s="89"/>
      <c r="D160" s="41">
        <v>212919.29</v>
      </c>
      <c r="E160" s="88">
        <f t="shared" si="52"/>
        <v>1.8044604811785686E-2</v>
      </c>
      <c r="F160" s="88">
        <f t="shared" si="53"/>
        <v>3.206804183876435</v>
      </c>
      <c r="G160" s="41">
        <v>895709.76</v>
      </c>
      <c r="H160" s="88">
        <f t="shared" si="54"/>
        <v>7.591011901861687E-2</v>
      </c>
      <c r="I160" s="88">
        <f t="shared" si="55"/>
        <v>-4.7570744344685889E-2</v>
      </c>
      <c r="J160" s="41">
        <v>853100.18</v>
      </c>
      <c r="K160" s="88">
        <f t="shared" si="56"/>
        <v>7.2299018153607578E-2</v>
      </c>
      <c r="L160" s="88">
        <f t="shared" si="57"/>
        <v>1.6533368918056013E-2</v>
      </c>
      <c r="M160" s="41">
        <v>867204.8</v>
      </c>
      <c r="N160" s="88">
        <f t="shared" si="58"/>
        <v>7.3494364493154399E-2</v>
      </c>
      <c r="O160" s="88">
        <f t="shared" si="59"/>
        <v>-4.916286210592935E-2</v>
      </c>
      <c r="P160" s="41">
        <v>824570.53</v>
      </c>
      <c r="Q160" s="88">
        <f t="shared" si="60"/>
        <v>6.9881171186014543E-2</v>
      </c>
      <c r="R160" s="88">
        <f t="shared" si="61"/>
        <v>-5.5160836271943903E-2</v>
      </c>
      <c r="S160" s="41">
        <v>779086.53</v>
      </c>
      <c r="T160" s="88">
        <f t="shared" si="62"/>
        <v>6.6026467343731104E-2</v>
      </c>
      <c r="U160" s="88">
        <f t="shared" si="63"/>
        <v>3.2728033431665082E-2</v>
      </c>
      <c r="V160" s="41">
        <v>804584.5</v>
      </c>
      <c r="W160" s="88">
        <f t="shared" si="64"/>
        <v>6.8187383774331478E-2</v>
      </c>
      <c r="X160" s="88">
        <f t="shared" si="65"/>
        <v>-5.6563331756950275E-2</v>
      </c>
      <c r="Y160" s="41">
        <v>759074.52</v>
      </c>
      <c r="Z160" s="88">
        <f t="shared" si="66"/>
        <v>6.4330478164265487E-2</v>
      </c>
      <c r="AA160" s="88">
        <f t="shared" si="67"/>
        <v>-3.5119384589539338E-2</v>
      </c>
      <c r="AB160" s="41">
        <v>732416.29</v>
      </c>
      <c r="AC160" s="88">
        <f t="shared" si="68"/>
        <v>6.2071231360785677E-2</v>
      </c>
      <c r="AD160" s="88">
        <f t="shared" si="69"/>
        <v>-3.6415205893358893E-2</v>
      </c>
      <c r="AE160" s="41">
        <v>705745.2</v>
      </c>
      <c r="AF160" s="88">
        <f t="shared" si="70"/>
        <v>5.9810894690728353E-2</v>
      </c>
      <c r="AG160" s="88">
        <f t="shared" si="71"/>
        <v>0</v>
      </c>
      <c r="AH160" s="41">
        <v>705745.2</v>
      </c>
      <c r="AI160" s="88">
        <f t="shared" si="72"/>
        <v>5.9810894690728353E-2</v>
      </c>
      <c r="AJ160" s="88">
        <f t="shared" si="73"/>
        <v>0</v>
      </c>
      <c r="AK160" s="41">
        <v>705745.2</v>
      </c>
      <c r="AL160" s="88">
        <f t="shared" si="74"/>
        <v>5.9810894690728353E-2</v>
      </c>
      <c r="AM160" s="88">
        <f t="shared" si="75"/>
        <v>0</v>
      </c>
      <c r="AN160" s="41">
        <v>705745.2</v>
      </c>
      <c r="AO160" s="88">
        <f t="shared" si="76"/>
        <v>5.9810894690728353E-2</v>
      </c>
      <c r="AP160" s="88">
        <f t="shared" si="77"/>
        <v>2.3146137205323196</v>
      </c>
    </row>
    <row r="161" spans="1:42" s="74" customFormat="1" x14ac:dyDescent="0.25">
      <c r="A161" s="89" t="s">
        <v>632</v>
      </c>
      <c r="B161" s="89" t="s">
        <v>633</v>
      </c>
      <c r="C161" s="89"/>
      <c r="D161" s="41">
        <v>16234.2</v>
      </c>
      <c r="E161" s="88">
        <f t="shared" si="52"/>
        <v>1.3758251938351437E-3</v>
      </c>
      <c r="F161" s="88">
        <f t="shared" si="53"/>
        <v>0.91666666666666652</v>
      </c>
      <c r="G161" s="41">
        <v>31115.55</v>
      </c>
      <c r="H161" s="88">
        <f t="shared" si="54"/>
        <v>2.6369982881840255E-3</v>
      </c>
      <c r="I161" s="88">
        <f t="shared" si="55"/>
        <v>-4.3478260869565188E-2</v>
      </c>
      <c r="J161" s="41">
        <v>29762.7</v>
      </c>
      <c r="K161" s="88">
        <f t="shared" si="56"/>
        <v>2.5223461886977635E-3</v>
      </c>
      <c r="L161" s="88">
        <f t="shared" si="57"/>
        <v>0.6682468324446369</v>
      </c>
      <c r="M161" s="41">
        <v>49651.53</v>
      </c>
      <c r="N161" s="88">
        <f t="shared" si="58"/>
        <v>4.2078960396238468E-3</v>
      </c>
      <c r="O161" s="88">
        <f t="shared" si="59"/>
        <v>-7.5576321615869579E-2</v>
      </c>
      <c r="P161" s="41">
        <v>45899.05</v>
      </c>
      <c r="Q161" s="88">
        <f t="shared" si="60"/>
        <v>3.8898787352070912E-3</v>
      </c>
      <c r="R161" s="88">
        <f t="shared" si="61"/>
        <v>-5.2280602757573513E-2</v>
      </c>
      <c r="S161" s="41">
        <v>43499.42</v>
      </c>
      <c r="T161" s="88">
        <f t="shared" si="62"/>
        <v>3.6865135302765967E-3</v>
      </c>
      <c r="U161" s="88">
        <f t="shared" si="63"/>
        <v>0.35953720762253849</v>
      </c>
      <c r="V161" s="41">
        <v>59139.08</v>
      </c>
      <c r="W161" s="88">
        <f t="shared" si="64"/>
        <v>5.0119523108149511E-3</v>
      </c>
      <c r="X161" s="88">
        <f t="shared" si="65"/>
        <v>-9.5844237008759658E-2</v>
      </c>
      <c r="Y161" s="41">
        <v>53470.94</v>
      </c>
      <c r="Z161" s="88">
        <f t="shared" si="66"/>
        <v>4.531585565660602E-3</v>
      </c>
      <c r="AA161" s="88">
        <f t="shared" si="67"/>
        <v>-6.112684759235576E-2</v>
      </c>
      <c r="AB161" s="41">
        <v>50202.43</v>
      </c>
      <c r="AC161" s="88">
        <f t="shared" si="68"/>
        <v>4.2545840254367469E-3</v>
      </c>
      <c r="AD161" s="88">
        <f t="shared" si="69"/>
        <v>-6.5106609381259117E-2</v>
      </c>
      <c r="AE161" s="41">
        <v>46933.919999999998</v>
      </c>
      <c r="AF161" s="88">
        <f t="shared" si="70"/>
        <v>3.9775824852128919E-3</v>
      </c>
      <c r="AG161" s="88">
        <f t="shared" si="71"/>
        <v>-4.0816109116817767E-2</v>
      </c>
      <c r="AH161" s="41">
        <v>45018.26</v>
      </c>
      <c r="AI161" s="88">
        <f t="shared" si="72"/>
        <v>3.8152330444752992E-3</v>
      </c>
      <c r="AJ161" s="88">
        <f t="shared" si="73"/>
        <v>0</v>
      </c>
      <c r="AK161" s="41">
        <v>45018.26</v>
      </c>
      <c r="AL161" s="88">
        <f t="shared" si="74"/>
        <v>3.8152330444752992E-3</v>
      </c>
      <c r="AM161" s="88">
        <f t="shared" si="75"/>
        <v>-5.6564825028777355E-2</v>
      </c>
      <c r="AN161" s="41">
        <v>42471.81</v>
      </c>
      <c r="AO161" s="88">
        <f t="shared" si="76"/>
        <v>3.5994250548705446E-3</v>
      </c>
      <c r="AP161" s="88">
        <f t="shared" si="77"/>
        <v>1.6161935913072401</v>
      </c>
    </row>
    <row r="162" spans="1:42" s="74" customFormat="1" x14ac:dyDescent="0.25">
      <c r="A162" s="89" t="s">
        <v>634</v>
      </c>
      <c r="B162" s="89" t="s">
        <v>635</v>
      </c>
      <c r="C162" s="89"/>
      <c r="D162" s="41">
        <v>9779.8799999999992</v>
      </c>
      <c r="E162" s="88">
        <f t="shared" si="52"/>
        <v>8.2883081991625362E-4</v>
      </c>
      <c r="F162" s="88">
        <f t="shared" si="53"/>
        <v>0.91666666666666696</v>
      </c>
      <c r="G162" s="41">
        <v>18744.77</v>
      </c>
      <c r="H162" s="88">
        <f t="shared" si="54"/>
        <v>1.5885924048394862E-3</v>
      </c>
      <c r="I162" s="88">
        <f t="shared" si="55"/>
        <v>-4.3478260869565299E-2</v>
      </c>
      <c r="J162" s="41">
        <v>17929.78</v>
      </c>
      <c r="K162" s="88">
        <f t="shared" si="56"/>
        <v>1.5195231698464651E-3</v>
      </c>
      <c r="L162" s="88">
        <f t="shared" si="57"/>
        <v>0.72886003063060478</v>
      </c>
      <c r="M162" s="41">
        <v>30998.080000000002</v>
      </c>
      <c r="N162" s="88">
        <f t="shared" si="58"/>
        <v>2.6270428739646728E-3</v>
      </c>
      <c r="O162" s="88">
        <f t="shared" si="59"/>
        <v>-7.2658693699738874E-2</v>
      </c>
      <c r="P162" s="41">
        <v>28745.8</v>
      </c>
      <c r="Q162" s="88">
        <f t="shared" si="60"/>
        <v>2.4361653704491918E-3</v>
      </c>
      <c r="R162" s="88">
        <f t="shared" si="61"/>
        <v>-5.0000347876907214E-2</v>
      </c>
      <c r="S162" s="41">
        <v>27308.5</v>
      </c>
      <c r="T162" s="88">
        <f t="shared" si="62"/>
        <v>2.3143562544410581E-3</v>
      </c>
      <c r="U162" s="88">
        <f t="shared" si="63"/>
        <v>0.3309848581943351</v>
      </c>
      <c r="V162" s="41">
        <v>36347.199999999997</v>
      </c>
      <c r="W162" s="88">
        <f t="shared" si="64"/>
        <v>3.0803731311284037E-3</v>
      </c>
      <c r="X162" s="88">
        <f t="shared" si="65"/>
        <v>-9.2902616982876274E-2</v>
      </c>
      <c r="Y162" s="41">
        <v>32970.449999999997</v>
      </c>
      <c r="Z162" s="88">
        <f t="shared" si="66"/>
        <v>2.7941984059628383E-3</v>
      </c>
      <c r="AA162" s="88">
        <f t="shared" si="67"/>
        <v>-5.882388623752477E-2</v>
      </c>
      <c r="AB162" s="41">
        <v>31031</v>
      </c>
      <c r="AC162" s="88">
        <f t="shared" si="68"/>
        <v>2.6298327968054076E-3</v>
      </c>
      <c r="AD162" s="88">
        <f t="shared" si="69"/>
        <v>-6.2500402822983525E-2</v>
      </c>
      <c r="AE162" s="41">
        <v>29091.55</v>
      </c>
      <c r="AF162" s="88">
        <f t="shared" si="70"/>
        <v>2.465467187647976E-3</v>
      </c>
      <c r="AG162" s="88">
        <f t="shared" si="71"/>
        <v>0</v>
      </c>
      <c r="AH162" s="41">
        <v>29091.55</v>
      </c>
      <c r="AI162" s="88">
        <f t="shared" si="72"/>
        <v>2.465467187647976E-3</v>
      </c>
      <c r="AJ162" s="88">
        <f t="shared" si="73"/>
        <v>0</v>
      </c>
      <c r="AK162" s="41">
        <v>29091.55</v>
      </c>
      <c r="AL162" s="88">
        <f t="shared" si="74"/>
        <v>2.465467187647976E-3</v>
      </c>
      <c r="AM162" s="88">
        <f t="shared" si="75"/>
        <v>-5.193398082948486E-2</v>
      </c>
      <c r="AN162" s="41">
        <v>27580.71</v>
      </c>
      <c r="AO162" s="88">
        <f t="shared" si="76"/>
        <v>2.3374256619889421E-3</v>
      </c>
      <c r="AP162" s="88">
        <f t="shared" si="77"/>
        <v>1.820148099976687</v>
      </c>
    </row>
    <row r="163" spans="1:42" s="74" customFormat="1" x14ac:dyDescent="0.25">
      <c r="A163" s="89" t="s">
        <v>636</v>
      </c>
      <c r="B163" s="89" t="s">
        <v>637</v>
      </c>
      <c r="C163" s="89"/>
      <c r="D163" s="41">
        <v>0</v>
      </c>
      <c r="E163" s="88">
        <f t="shared" si="52"/>
        <v>0</v>
      </c>
      <c r="F163" s="88">
        <f t="shared" si="53"/>
        <v>0</v>
      </c>
      <c r="G163" s="41">
        <v>11504.14</v>
      </c>
      <c r="H163" s="88">
        <f t="shared" si="54"/>
        <v>9.7495938484228539E-4</v>
      </c>
      <c r="I163" s="88">
        <f t="shared" si="55"/>
        <v>-4.3478260869565299E-2</v>
      </c>
      <c r="J163" s="41">
        <v>11003.96</v>
      </c>
      <c r="K163" s="88">
        <f t="shared" si="56"/>
        <v>9.3256984637088165E-4</v>
      </c>
      <c r="L163" s="88">
        <f t="shared" si="57"/>
        <v>1.0461488409627084</v>
      </c>
      <c r="M163" s="41">
        <v>22515.74</v>
      </c>
      <c r="N163" s="88">
        <f t="shared" si="58"/>
        <v>1.9081767102685505E-3</v>
      </c>
      <c r="O163" s="88">
        <f t="shared" si="59"/>
        <v>-6.8776331579597283E-2</v>
      </c>
      <c r="P163" s="41">
        <v>20967.189999999999</v>
      </c>
      <c r="Q163" s="88">
        <f t="shared" si="60"/>
        <v>1.7769393161306555E-3</v>
      </c>
      <c r="R163" s="88">
        <f t="shared" si="61"/>
        <v>-5.0000500782412804E-2</v>
      </c>
      <c r="S163" s="41">
        <v>19918.82</v>
      </c>
      <c r="T163" s="88">
        <f t="shared" si="62"/>
        <v>1.6880914604641643E-3</v>
      </c>
      <c r="U163" s="88">
        <f t="shared" si="63"/>
        <v>1.6958866037245177</v>
      </c>
      <c r="V163" s="41">
        <v>53698.879999999997</v>
      </c>
      <c r="W163" s="88">
        <f t="shared" si="64"/>
        <v>4.5509031541270967E-3</v>
      </c>
      <c r="X163" s="88">
        <f t="shared" si="65"/>
        <v>-7.3994466923704927E-2</v>
      </c>
      <c r="Y163" s="41">
        <v>49725.46</v>
      </c>
      <c r="Z163" s="88">
        <f t="shared" si="66"/>
        <v>4.2141615012160549E-3</v>
      </c>
      <c r="AA163" s="88">
        <f t="shared" si="67"/>
        <v>-5.8823990768511636E-2</v>
      </c>
      <c r="AB163" s="41">
        <v>46800.41</v>
      </c>
      <c r="AC163" s="88">
        <f t="shared" si="68"/>
        <v>3.9662677039715051E-3</v>
      </c>
      <c r="AD163" s="88">
        <f t="shared" si="69"/>
        <v>-6.2500520828770556E-2</v>
      </c>
      <c r="AE163" s="41">
        <v>43875.360000000001</v>
      </c>
      <c r="AF163" s="88">
        <f t="shared" si="70"/>
        <v>3.7183739067269536E-3</v>
      </c>
      <c r="AG163" s="88">
        <f t="shared" si="71"/>
        <v>0</v>
      </c>
      <c r="AH163" s="41">
        <v>43875.360000000001</v>
      </c>
      <c r="AI163" s="88">
        <f t="shared" si="72"/>
        <v>3.7183739067269536E-3</v>
      </c>
      <c r="AJ163" s="88">
        <f t="shared" si="73"/>
        <v>-1.7881334762837375E-2</v>
      </c>
      <c r="AK163" s="41">
        <v>43090.81</v>
      </c>
      <c r="AL163" s="88">
        <f t="shared" si="74"/>
        <v>3.6518844181273697E-3</v>
      </c>
      <c r="AM163" s="88">
        <f t="shared" si="75"/>
        <v>-5.3753689011647787E-2</v>
      </c>
      <c r="AN163" s="41">
        <v>40774.519999999997</v>
      </c>
      <c r="AO163" s="88">
        <f t="shared" si="76"/>
        <v>3.4555821588088688E-3</v>
      </c>
      <c r="AP163" s="88">
        <f t="shared" si="77"/>
        <v>0</v>
      </c>
    </row>
    <row r="164" spans="1:42" s="74" customFormat="1" x14ac:dyDescent="0.25">
      <c r="A164" s="89" t="s">
        <v>638</v>
      </c>
      <c r="B164" s="89" t="s">
        <v>639</v>
      </c>
      <c r="C164" s="89"/>
      <c r="D164" s="41">
        <v>12987.96</v>
      </c>
      <c r="E164" s="88">
        <f t="shared" si="52"/>
        <v>1.10071100420859E-3</v>
      </c>
      <c r="F164" s="88">
        <f t="shared" si="53"/>
        <v>1</v>
      </c>
      <c r="G164" s="41">
        <v>25975.919999999998</v>
      </c>
      <c r="H164" s="88">
        <f t="shared" si="54"/>
        <v>2.2014220084171799E-3</v>
      </c>
      <c r="I164" s="88">
        <f t="shared" si="55"/>
        <v>-8.333333333333337E-2</v>
      </c>
      <c r="J164" s="41">
        <v>23811.26</v>
      </c>
      <c r="K164" s="88">
        <f t="shared" si="56"/>
        <v>2.0179701743824152E-3</v>
      </c>
      <c r="L164" s="88">
        <f t="shared" si="57"/>
        <v>1.7336033456440361</v>
      </c>
      <c r="M164" s="41">
        <v>65090.54</v>
      </c>
      <c r="N164" s="88">
        <f t="shared" si="58"/>
        <v>5.5163300201016485E-3</v>
      </c>
      <c r="O164" s="88">
        <f t="shared" si="59"/>
        <v>-6.3455303950466613E-2</v>
      </c>
      <c r="P164" s="41">
        <v>60960.2</v>
      </c>
      <c r="Q164" s="88">
        <f t="shared" si="60"/>
        <v>5.1662896219850148E-3</v>
      </c>
      <c r="R164" s="88">
        <f t="shared" si="61"/>
        <v>-4.9999999999999933E-2</v>
      </c>
      <c r="S164" s="41">
        <v>57912.19</v>
      </c>
      <c r="T164" s="88">
        <f t="shared" si="62"/>
        <v>4.9079751408857642E-3</v>
      </c>
      <c r="U164" s="88">
        <f t="shared" si="63"/>
        <v>0.69311366052639345</v>
      </c>
      <c r="V164" s="41">
        <v>98051.92</v>
      </c>
      <c r="W164" s="88">
        <f t="shared" si="64"/>
        <v>8.3097597565576376E-3</v>
      </c>
      <c r="X164" s="88">
        <f t="shared" si="65"/>
        <v>-5.5561584107684969E-2</v>
      </c>
      <c r="Y164" s="41">
        <v>92604</v>
      </c>
      <c r="Z164" s="88">
        <f t="shared" si="66"/>
        <v>7.8480563409290046E-3</v>
      </c>
      <c r="AA164" s="88">
        <f t="shared" si="67"/>
        <v>-5.8823808906742769E-2</v>
      </c>
      <c r="AB164" s="41">
        <v>87156.68</v>
      </c>
      <c r="AC164" s="88">
        <f t="shared" si="68"/>
        <v>7.3864037744408462E-3</v>
      </c>
      <c r="AD164" s="88">
        <f t="shared" si="69"/>
        <v>0</v>
      </c>
      <c r="AE164" s="41">
        <v>87156.68</v>
      </c>
      <c r="AF164" s="88">
        <f t="shared" si="70"/>
        <v>7.3864037744408462E-3</v>
      </c>
      <c r="AG164" s="88">
        <f t="shared" si="71"/>
        <v>0</v>
      </c>
      <c r="AH164" s="41">
        <v>87156.68</v>
      </c>
      <c r="AI164" s="88">
        <f t="shared" si="72"/>
        <v>7.3864037744408462E-3</v>
      </c>
      <c r="AJ164" s="88">
        <f t="shared" si="73"/>
        <v>0</v>
      </c>
      <c r="AK164" s="41">
        <v>87156.68</v>
      </c>
      <c r="AL164" s="88">
        <f t="shared" si="74"/>
        <v>7.3864037744408462E-3</v>
      </c>
      <c r="AM164" s="88">
        <f t="shared" si="75"/>
        <v>0</v>
      </c>
      <c r="AN164" s="41">
        <v>87156.68</v>
      </c>
      <c r="AO164" s="88">
        <f t="shared" si="76"/>
        <v>7.3864037744408462E-3</v>
      </c>
      <c r="AP164" s="88">
        <f t="shared" si="77"/>
        <v>5.7105750248691862</v>
      </c>
    </row>
    <row r="165" spans="1:42" s="63" customFormat="1" x14ac:dyDescent="0.25">
      <c r="A165" s="86" t="s">
        <v>272</v>
      </c>
      <c r="B165" s="86" t="s">
        <v>273</v>
      </c>
      <c r="C165" s="86"/>
      <c r="D165" s="87">
        <v>11068.67</v>
      </c>
      <c r="E165" s="88">
        <f t="shared" si="52"/>
        <v>9.3805392617112276E-4</v>
      </c>
      <c r="F165" s="88">
        <f t="shared" si="53"/>
        <v>-0.18981955374945669</v>
      </c>
      <c r="G165" s="87">
        <v>8967.6200000000008</v>
      </c>
      <c r="H165" s="88">
        <f t="shared" si="54"/>
        <v>7.5999294851239441E-4</v>
      </c>
      <c r="I165" s="88">
        <f t="shared" si="55"/>
        <v>0.12987615443116463</v>
      </c>
      <c r="J165" s="87">
        <v>10132.300000000001</v>
      </c>
      <c r="K165" s="88">
        <f t="shared" si="56"/>
        <v>8.586979100599862E-4</v>
      </c>
      <c r="L165" s="88">
        <f t="shared" si="57"/>
        <v>-5.2190519427968152E-2</v>
      </c>
      <c r="M165" s="87">
        <v>9603.49</v>
      </c>
      <c r="N165" s="88">
        <f t="shared" si="58"/>
        <v>8.1388202010224489E-4</v>
      </c>
      <c r="O165" s="88">
        <f t="shared" si="59"/>
        <v>3.9891747687559542E-2</v>
      </c>
      <c r="P165" s="87">
        <v>9986.59</v>
      </c>
      <c r="Q165" s="88">
        <f t="shared" si="60"/>
        <v>8.4634919629560481E-4</v>
      </c>
      <c r="R165" s="88">
        <f t="shared" si="61"/>
        <v>3.6107420050287553E-2</v>
      </c>
      <c r="S165" s="87">
        <v>10347.18</v>
      </c>
      <c r="T165" s="88">
        <f t="shared" si="62"/>
        <v>8.7690868223547344E-4</v>
      </c>
      <c r="U165" s="88">
        <f t="shared" si="63"/>
        <v>1.5334612909024603E-2</v>
      </c>
      <c r="V165" s="87">
        <v>10505.85</v>
      </c>
      <c r="W165" s="88">
        <f t="shared" si="64"/>
        <v>8.9035573743411714E-4</v>
      </c>
      <c r="X165" s="88">
        <f t="shared" si="65"/>
        <v>2.0312492563666851E-2</v>
      </c>
      <c r="Y165" s="87">
        <v>10719.25</v>
      </c>
      <c r="Z165" s="88">
        <f t="shared" si="66"/>
        <v>9.0844108172976582E-4</v>
      </c>
      <c r="AA165" s="88">
        <f t="shared" si="67"/>
        <v>0.13254472094596181</v>
      </c>
      <c r="AB165" s="87">
        <v>12140.03</v>
      </c>
      <c r="AC165" s="88">
        <f t="shared" si="68"/>
        <v>1.0288501514034852E-3</v>
      </c>
      <c r="AD165" s="88">
        <f t="shared" si="69"/>
        <v>0.12285060251086688</v>
      </c>
      <c r="AE165" s="87">
        <v>13631.44</v>
      </c>
      <c r="AF165" s="88">
        <f t="shared" si="70"/>
        <v>1.1552450123968E-3</v>
      </c>
      <c r="AG165" s="88">
        <f t="shared" si="71"/>
        <v>3.6679910559711537E-4</v>
      </c>
      <c r="AH165" s="87">
        <v>13636.44</v>
      </c>
      <c r="AI165" s="88">
        <f t="shared" si="72"/>
        <v>1.1556687552340928E-3</v>
      </c>
      <c r="AJ165" s="88">
        <f t="shared" si="73"/>
        <v>-7.6406305458022739E-2</v>
      </c>
      <c r="AK165" s="87">
        <v>12594.53</v>
      </c>
      <c r="AL165" s="88">
        <f t="shared" si="74"/>
        <v>1.0673683753133836E-3</v>
      </c>
      <c r="AM165" s="88">
        <f t="shared" si="75"/>
        <v>8.9880289300194871E-3</v>
      </c>
      <c r="AN165" s="87">
        <v>12707.73</v>
      </c>
      <c r="AO165" s="88">
        <f t="shared" si="76"/>
        <v>1.0769619131496884E-3</v>
      </c>
      <c r="AP165" s="88">
        <f t="shared" si="77"/>
        <v>0.14808102509154208</v>
      </c>
    </row>
    <row r="166" spans="1:42" s="63" customFormat="1" x14ac:dyDescent="0.25">
      <c r="A166" s="86" t="s">
        <v>274</v>
      </c>
      <c r="B166" s="86" t="s">
        <v>273</v>
      </c>
      <c r="C166" s="86"/>
      <c r="D166" s="87">
        <v>11068.67</v>
      </c>
      <c r="E166" s="88">
        <f t="shared" ref="E166:E206" si="78">IF(D166=0,0,D166/$D$5)</f>
        <v>9.3805392617112276E-4</v>
      </c>
      <c r="F166" s="88">
        <f t="shared" ref="F166:F206" si="79">IF(D166=0,0,G166/D166-1)</f>
        <v>-0.18981955374945669</v>
      </c>
      <c r="G166" s="87">
        <v>8967.6200000000008</v>
      </c>
      <c r="H166" s="88">
        <f t="shared" ref="H166:H206" si="80">IF(G166=0,0,G166/$D$5)</f>
        <v>7.5999294851239441E-4</v>
      </c>
      <c r="I166" s="88">
        <f t="shared" ref="I166:I206" si="81">IF(G166=0,0,J166/G166-1)</f>
        <v>0.12987615443116463</v>
      </c>
      <c r="J166" s="87">
        <v>10132.300000000001</v>
      </c>
      <c r="K166" s="88">
        <f t="shared" ref="K166:K206" si="82">IF(J166=0,0,J166/$D$5)</f>
        <v>8.586979100599862E-4</v>
      </c>
      <c r="L166" s="88">
        <f t="shared" ref="L166:L206" si="83">IF(J166=0,0,M166/J166-1)</f>
        <v>-5.2190519427968152E-2</v>
      </c>
      <c r="M166" s="87">
        <v>9603.49</v>
      </c>
      <c r="N166" s="88">
        <f t="shared" ref="N166:N206" si="84">IF(M166=0,0,M166/$D$5)</f>
        <v>8.1388202010224489E-4</v>
      </c>
      <c r="O166" s="88">
        <f t="shared" ref="O166:O206" si="85">IF(M166=0,0,P166/M166-1)</f>
        <v>3.9891747687559542E-2</v>
      </c>
      <c r="P166" s="87">
        <v>9986.59</v>
      </c>
      <c r="Q166" s="88">
        <f t="shared" ref="Q166:Q206" si="86">IF(P166=0,0,P166/$D$5)</f>
        <v>8.4634919629560481E-4</v>
      </c>
      <c r="R166" s="88">
        <f t="shared" ref="R166:R206" si="87">IF(P166=0,0,S166/P166-1)</f>
        <v>3.6107420050287553E-2</v>
      </c>
      <c r="S166" s="87">
        <v>10347.18</v>
      </c>
      <c r="T166" s="88">
        <f t="shared" ref="T166:T206" si="88">IF(S166=0,0,S166/$D$5)</f>
        <v>8.7690868223547344E-4</v>
      </c>
      <c r="U166" s="88">
        <f t="shared" ref="U166:U206" si="89">IF(S166=0,0,V166/S166-1)</f>
        <v>1.5334612909024603E-2</v>
      </c>
      <c r="V166" s="87">
        <v>10505.85</v>
      </c>
      <c r="W166" s="88">
        <f t="shared" ref="W166:W206" si="90">IF(V166=0,0,V166/$D$5)</f>
        <v>8.9035573743411714E-4</v>
      </c>
      <c r="X166" s="88">
        <f t="shared" ref="X166:X206" si="91">IF(V166=0,0,Y166/V166-1)</f>
        <v>2.0312492563666851E-2</v>
      </c>
      <c r="Y166" s="87">
        <v>10719.25</v>
      </c>
      <c r="Z166" s="88">
        <f t="shared" ref="Z166:Z206" si="92">IF(Y166=0,0,Y166/$D$5)</f>
        <v>9.0844108172976582E-4</v>
      </c>
      <c r="AA166" s="88">
        <f t="shared" ref="AA166:AA206" si="93">IF(Y166=0,0,AB166/Y166-1)</f>
        <v>0.13254472094596181</v>
      </c>
      <c r="AB166" s="87">
        <v>12140.03</v>
      </c>
      <c r="AC166" s="88">
        <f t="shared" ref="AC166:AC206" si="94">IF(AB166=0,0,AB166/$D$5)</f>
        <v>1.0288501514034852E-3</v>
      </c>
      <c r="AD166" s="88">
        <f t="shared" ref="AD166:AD206" si="95">IF(AB166=0,0,AE166/AB166-1)</f>
        <v>0.12285060251086688</v>
      </c>
      <c r="AE166" s="87">
        <v>13631.44</v>
      </c>
      <c r="AF166" s="88">
        <f t="shared" ref="AF166:AF206" si="96">IF(AE166=0,0,AE166/$D$5)</f>
        <v>1.1552450123968E-3</v>
      </c>
      <c r="AG166" s="88">
        <f t="shared" ref="AG166:AG206" si="97">IF(AE166=0,0,AH166/AE166-1)</f>
        <v>3.6679910559711537E-4</v>
      </c>
      <c r="AH166" s="87">
        <v>13636.44</v>
      </c>
      <c r="AI166" s="88">
        <f t="shared" ref="AI166:AI206" si="98">IF(AH166=0,0,AH166/$D$5)</f>
        <v>1.1556687552340928E-3</v>
      </c>
      <c r="AJ166" s="88">
        <f t="shared" ref="AJ166:AJ206" si="99">IF(AH166=0,0,AK166/AH166-1)</f>
        <v>-7.6406305458022739E-2</v>
      </c>
      <c r="AK166" s="87">
        <v>12594.53</v>
      </c>
      <c r="AL166" s="88">
        <f t="shared" ref="AL166:AL206" si="100">IF(AK166=0,0,AK166/$D$5)</f>
        <v>1.0673683753133836E-3</v>
      </c>
      <c r="AM166" s="88">
        <f t="shared" ref="AM166:AM206" si="101">IF(AK166=0,0,AN166/AK166-1)</f>
        <v>8.9880289300194871E-3</v>
      </c>
      <c r="AN166" s="87">
        <v>12707.73</v>
      </c>
      <c r="AO166" s="88">
        <f t="shared" si="76"/>
        <v>1.0769619131496884E-3</v>
      </c>
      <c r="AP166" s="88">
        <f t="shared" si="77"/>
        <v>0.14808102509154208</v>
      </c>
    </row>
    <row r="167" spans="1:42" s="74" customFormat="1" x14ac:dyDescent="0.25">
      <c r="A167" s="89" t="s">
        <v>640</v>
      </c>
      <c r="B167" s="89" t="s">
        <v>641</v>
      </c>
      <c r="C167" s="89"/>
      <c r="D167" s="41">
        <v>1146.74</v>
      </c>
      <c r="E167" s="88">
        <f t="shared" si="78"/>
        <v>9.7184572247385935E-5</v>
      </c>
      <c r="F167" s="88">
        <f t="shared" si="79"/>
        <v>0</v>
      </c>
      <c r="G167" s="41">
        <v>1146.74</v>
      </c>
      <c r="H167" s="88">
        <f t="shared" si="80"/>
        <v>9.7184572247385935E-5</v>
      </c>
      <c r="I167" s="88">
        <f t="shared" si="81"/>
        <v>0</v>
      </c>
      <c r="J167" s="41">
        <v>1146.74</v>
      </c>
      <c r="K167" s="88">
        <f t="shared" si="82"/>
        <v>9.7184572247385935E-5</v>
      </c>
      <c r="L167" s="88">
        <f t="shared" si="83"/>
        <v>0</v>
      </c>
      <c r="M167" s="41">
        <v>1146.74</v>
      </c>
      <c r="N167" s="88">
        <f t="shared" si="84"/>
        <v>9.7184572247385935E-5</v>
      </c>
      <c r="O167" s="88">
        <f t="shared" si="85"/>
        <v>0</v>
      </c>
      <c r="P167" s="41">
        <v>1146.74</v>
      </c>
      <c r="Q167" s="88">
        <f t="shared" si="86"/>
        <v>9.7184572247385935E-5</v>
      </c>
      <c r="R167" s="88">
        <f t="shared" si="87"/>
        <v>0</v>
      </c>
      <c r="S167" s="41">
        <v>1146.74</v>
      </c>
      <c r="T167" s="88">
        <f t="shared" si="88"/>
        <v>9.7184572247385935E-5</v>
      </c>
      <c r="U167" s="88">
        <f t="shared" si="89"/>
        <v>0</v>
      </c>
      <c r="V167" s="41">
        <v>1146.74</v>
      </c>
      <c r="W167" s="88">
        <f t="shared" si="90"/>
        <v>9.7184572247385935E-5</v>
      </c>
      <c r="X167" s="88">
        <f t="shared" si="91"/>
        <v>0</v>
      </c>
      <c r="Y167" s="41">
        <v>1146.74</v>
      </c>
      <c r="Z167" s="88">
        <f t="shared" si="92"/>
        <v>9.7184572247385935E-5</v>
      </c>
      <c r="AA167" s="88">
        <f t="shared" si="93"/>
        <v>0</v>
      </c>
      <c r="AB167" s="41">
        <v>1146.74</v>
      </c>
      <c r="AC167" s="88">
        <f t="shared" si="94"/>
        <v>9.7184572247385935E-5</v>
      </c>
      <c r="AD167" s="88">
        <f t="shared" si="95"/>
        <v>0</v>
      </c>
      <c r="AE167" s="41">
        <v>1146.74</v>
      </c>
      <c r="AF167" s="88">
        <f t="shared" si="96"/>
        <v>9.7184572247385935E-5</v>
      </c>
      <c r="AG167" s="88">
        <f t="shared" si="97"/>
        <v>0</v>
      </c>
      <c r="AH167" s="41">
        <v>1146.74</v>
      </c>
      <c r="AI167" s="88">
        <f t="shared" si="98"/>
        <v>9.7184572247385935E-5</v>
      </c>
      <c r="AJ167" s="88">
        <f t="shared" si="99"/>
        <v>-0.35310532465946942</v>
      </c>
      <c r="AK167" s="41">
        <v>741.82</v>
      </c>
      <c r="AL167" s="88">
        <f t="shared" si="100"/>
        <v>6.2868182312081063E-5</v>
      </c>
      <c r="AM167" s="88">
        <f t="shared" si="101"/>
        <v>0</v>
      </c>
      <c r="AN167" s="41">
        <v>741.82</v>
      </c>
      <c r="AO167" s="88">
        <f t="shared" si="76"/>
        <v>6.2868182312081063E-5</v>
      </c>
      <c r="AP167" s="88">
        <f t="shared" si="77"/>
        <v>-0.35310532465946942</v>
      </c>
    </row>
    <row r="168" spans="1:42" s="74" customFormat="1" x14ac:dyDescent="0.25">
      <c r="A168" s="89" t="s">
        <v>275</v>
      </c>
      <c r="B168" s="89" t="s">
        <v>276</v>
      </c>
      <c r="C168" s="89"/>
      <c r="D168" s="41">
        <v>1047.8000000000002</v>
      </c>
      <c r="E168" s="88">
        <f t="shared" si="78"/>
        <v>8.8799548983039747E-5</v>
      </c>
      <c r="F168" s="88">
        <f t="shared" si="79"/>
        <v>-0.13113189539988557</v>
      </c>
      <c r="G168" s="41">
        <v>910.40000000000009</v>
      </c>
      <c r="H168" s="88">
        <f t="shared" si="80"/>
        <v>7.7155095814238761E-5</v>
      </c>
      <c r="I168" s="88">
        <f t="shared" si="81"/>
        <v>-1.2412126537786339E-3</v>
      </c>
      <c r="J168" s="41">
        <v>909.27</v>
      </c>
      <c r="K168" s="88">
        <f t="shared" si="82"/>
        <v>7.7059329933010622E-5</v>
      </c>
      <c r="L168" s="88">
        <f t="shared" si="83"/>
        <v>6.2687650532855521E-4</v>
      </c>
      <c r="M168" s="41">
        <v>909.84</v>
      </c>
      <c r="N168" s="88">
        <f t="shared" si="84"/>
        <v>7.7107636616461985E-5</v>
      </c>
      <c r="O168" s="88">
        <f t="shared" si="85"/>
        <v>1.2837421964301265E-2</v>
      </c>
      <c r="P168" s="41">
        <v>921.52</v>
      </c>
      <c r="Q168" s="88">
        <f t="shared" si="86"/>
        <v>7.8097499884377525E-5</v>
      </c>
      <c r="R168" s="88">
        <f t="shared" si="87"/>
        <v>0</v>
      </c>
      <c r="S168" s="41">
        <v>921.52</v>
      </c>
      <c r="T168" s="88">
        <f t="shared" si="88"/>
        <v>7.8097499884377525E-5</v>
      </c>
      <c r="U168" s="88">
        <f t="shared" si="89"/>
        <v>-1.2685562982897802E-2</v>
      </c>
      <c r="V168" s="41">
        <v>909.83</v>
      </c>
      <c r="W168" s="88">
        <f t="shared" si="90"/>
        <v>7.7106789130787398E-5</v>
      </c>
      <c r="X168" s="88">
        <f t="shared" si="91"/>
        <v>0</v>
      </c>
      <c r="Y168" s="41">
        <v>909.83</v>
      </c>
      <c r="Z168" s="88">
        <f t="shared" si="92"/>
        <v>7.7106789130787398E-5</v>
      </c>
      <c r="AA168" s="88">
        <f t="shared" si="93"/>
        <v>1.2837563061231183E-2</v>
      </c>
      <c r="AB168" s="41">
        <v>921.51</v>
      </c>
      <c r="AC168" s="88">
        <f t="shared" si="94"/>
        <v>7.8096652398702937E-5</v>
      </c>
      <c r="AD168" s="88">
        <f t="shared" si="95"/>
        <v>1.6082299703747083E-2</v>
      </c>
      <c r="AE168" s="41">
        <v>936.33</v>
      </c>
      <c r="AF168" s="88">
        <f t="shared" si="96"/>
        <v>7.9352626168438249E-5</v>
      </c>
      <c r="AG168" s="88">
        <f t="shared" si="97"/>
        <v>0</v>
      </c>
      <c r="AH168" s="41">
        <v>936.33</v>
      </c>
      <c r="AI168" s="88">
        <f t="shared" si="98"/>
        <v>7.9352626168438249E-5</v>
      </c>
      <c r="AJ168" s="88">
        <f t="shared" si="99"/>
        <v>-0.78558841434109772</v>
      </c>
      <c r="AK168" s="41">
        <v>200.76</v>
      </c>
      <c r="AL168" s="88">
        <f t="shared" si="100"/>
        <v>1.7014122402972947E-5</v>
      </c>
      <c r="AM168" s="88">
        <f t="shared" si="101"/>
        <v>9.5337716676628936E-2</v>
      </c>
      <c r="AN168" s="41">
        <v>219.9</v>
      </c>
      <c r="AO168" s="88">
        <f t="shared" si="76"/>
        <v>1.8636209984129069E-5</v>
      </c>
      <c r="AP168" s="88">
        <f t="shared" si="77"/>
        <v>-0.79013170452376413</v>
      </c>
    </row>
    <row r="169" spans="1:42" s="74" customFormat="1" x14ac:dyDescent="0.25">
      <c r="A169" s="89" t="s">
        <v>277</v>
      </c>
      <c r="B169" s="89" t="s">
        <v>278</v>
      </c>
      <c r="C169" s="89"/>
      <c r="D169" s="41"/>
      <c r="E169" s="88">
        <f t="shared" si="78"/>
        <v>0</v>
      </c>
      <c r="F169" s="88">
        <f t="shared" si="79"/>
        <v>0</v>
      </c>
      <c r="G169" s="41"/>
      <c r="H169" s="88">
        <f t="shared" si="80"/>
        <v>0</v>
      </c>
      <c r="I169" s="88">
        <f t="shared" si="81"/>
        <v>0</v>
      </c>
      <c r="J169" s="41"/>
      <c r="K169" s="88">
        <f t="shared" si="82"/>
        <v>0</v>
      </c>
      <c r="L169" s="88">
        <f t="shared" si="83"/>
        <v>0</v>
      </c>
      <c r="M169" s="41"/>
      <c r="N169" s="88">
        <f t="shared" si="84"/>
        <v>0</v>
      </c>
      <c r="O169" s="88">
        <f t="shared" si="85"/>
        <v>0</v>
      </c>
      <c r="P169" s="41"/>
      <c r="Q169" s="88">
        <f t="shared" si="86"/>
        <v>0</v>
      </c>
      <c r="R169" s="88">
        <f t="shared" si="87"/>
        <v>0</v>
      </c>
      <c r="S169" s="41"/>
      <c r="T169" s="88">
        <f t="shared" si="88"/>
        <v>0</v>
      </c>
      <c r="U169" s="88">
        <f t="shared" si="89"/>
        <v>0</v>
      </c>
      <c r="V169" s="41"/>
      <c r="W169" s="88">
        <f t="shared" si="90"/>
        <v>0</v>
      </c>
      <c r="X169" s="88">
        <f t="shared" si="91"/>
        <v>0</v>
      </c>
      <c r="Y169" s="41"/>
      <c r="Z169" s="88">
        <f t="shared" si="92"/>
        <v>0</v>
      </c>
      <c r="AA169" s="88">
        <f t="shared" si="93"/>
        <v>0</v>
      </c>
      <c r="AB169" s="41"/>
      <c r="AC169" s="88">
        <f t="shared" si="94"/>
        <v>0</v>
      </c>
      <c r="AD169" s="88">
        <f t="shared" si="95"/>
        <v>0</v>
      </c>
      <c r="AE169" s="41"/>
      <c r="AF169" s="88">
        <f t="shared" si="96"/>
        <v>0</v>
      </c>
      <c r="AG169" s="88">
        <f t="shared" si="97"/>
        <v>0</v>
      </c>
      <c r="AH169" s="41"/>
      <c r="AI169" s="88">
        <f t="shared" si="98"/>
        <v>0</v>
      </c>
      <c r="AJ169" s="88">
        <f t="shared" si="99"/>
        <v>0</v>
      </c>
      <c r="AK169" s="41">
        <v>10.84</v>
      </c>
      <c r="AL169" s="88">
        <f t="shared" si="100"/>
        <v>9.1867447125038244E-7</v>
      </c>
      <c r="AM169" s="88">
        <f t="shared" si="101"/>
        <v>1.2121771217712176</v>
      </c>
      <c r="AN169" s="41">
        <v>23.98</v>
      </c>
      <c r="AO169" s="88">
        <f t="shared" ref="AO169:AO206" si="102">IF(AN169=0,0,AN169/$D$5)</f>
        <v>2.0322706476553663E-6</v>
      </c>
      <c r="AP169" s="88">
        <f t="shared" si="77"/>
        <v>0</v>
      </c>
    </row>
    <row r="170" spans="1:42" s="74" customFormat="1" x14ac:dyDescent="0.25">
      <c r="A170" s="89" t="s">
        <v>279</v>
      </c>
      <c r="B170" s="89" t="s">
        <v>280</v>
      </c>
      <c r="C170" s="89"/>
      <c r="D170" s="41"/>
      <c r="E170" s="88">
        <f t="shared" si="78"/>
        <v>0</v>
      </c>
      <c r="F170" s="88">
        <f t="shared" si="79"/>
        <v>0</v>
      </c>
      <c r="G170" s="41"/>
      <c r="H170" s="88">
        <f t="shared" si="80"/>
        <v>0</v>
      </c>
      <c r="I170" s="88">
        <f t="shared" si="81"/>
        <v>0</v>
      </c>
      <c r="J170" s="41"/>
      <c r="K170" s="88">
        <f t="shared" si="82"/>
        <v>0</v>
      </c>
      <c r="L170" s="88">
        <f t="shared" si="83"/>
        <v>0</v>
      </c>
      <c r="M170" s="41"/>
      <c r="N170" s="88">
        <f t="shared" si="84"/>
        <v>0</v>
      </c>
      <c r="O170" s="88">
        <f t="shared" si="85"/>
        <v>0</v>
      </c>
      <c r="P170" s="41"/>
      <c r="Q170" s="88">
        <f t="shared" si="86"/>
        <v>0</v>
      </c>
      <c r="R170" s="88">
        <f t="shared" si="87"/>
        <v>0</v>
      </c>
      <c r="S170" s="41"/>
      <c r="T170" s="88">
        <f t="shared" si="88"/>
        <v>0</v>
      </c>
      <c r="U170" s="88">
        <f t="shared" si="89"/>
        <v>0</v>
      </c>
      <c r="V170" s="41"/>
      <c r="W170" s="88">
        <f t="shared" si="90"/>
        <v>0</v>
      </c>
      <c r="X170" s="88">
        <f t="shared" si="91"/>
        <v>0</v>
      </c>
      <c r="Y170" s="41"/>
      <c r="Z170" s="88">
        <f t="shared" si="92"/>
        <v>0</v>
      </c>
      <c r="AA170" s="88">
        <f t="shared" si="93"/>
        <v>0</v>
      </c>
      <c r="AB170" s="41"/>
      <c r="AC170" s="88">
        <f t="shared" si="94"/>
        <v>0</v>
      </c>
      <c r="AD170" s="88">
        <f t="shared" si="95"/>
        <v>0</v>
      </c>
      <c r="AE170" s="41"/>
      <c r="AF170" s="88">
        <f t="shared" si="96"/>
        <v>0</v>
      </c>
      <c r="AG170" s="88">
        <f t="shared" si="97"/>
        <v>0</v>
      </c>
      <c r="AH170" s="41"/>
      <c r="AI170" s="88">
        <f t="shared" si="98"/>
        <v>0</v>
      </c>
      <c r="AJ170" s="88">
        <f t="shared" si="99"/>
        <v>0</v>
      </c>
      <c r="AK170" s="41">
        <v>50.05</v>
      </c>
      <c r="AL170" s="88">
        <f t="shared" si="100"/>
        <v>4.2416658012990436E-6</v>
      </c>
      <c r="AM170" s="88">
        <f t="shared" si="101"/>
        <v>1.2125874125874128</v>
      </c>
      <c r="AN170" s="41">
        <v>110.74</v>
      </c>
      <c r="AO170" s="88">
        <f t="shared" si="102"/>
        <v>9.3850563603567663E-6</v>
      </c>
      <c r="AP170" s="88">
        <f t="shared" ref="AP170:AP206" si="103">IF(D170=0,0,AN170/D170-1)</f>
        <v>0</v>
      </c>
    </row>
    <row r="171" spans="1:42" s="74" customFormat="1" x14ac:dyDescent="0.25">
      <c r="A171" s="89" t="s">
        <v>281</v>
      </c>
      <c r="B171" s="89" t="s">
        <v>282</v>
      </c>
      <c r="C171" s="89"/>
      <c r="D171" s="41"/>
      <c r="E171" s="88">
        <f t="shared" si="78"/>
        <v>0</v>
      </c>
      <c r="F171" s="88">
        <f t="shared" si="79"/>
        <v>0</v>
      </c>
      <c r="G171" s="41"/>
      <c r="H171" s="88">
        <f t="shared" si="80"/>
        <v>0</v>
      </c>
      <c r="I171" s="88">
        <f t="shared" si="81"/>
        <v>0</v>
      </c>
      <c r="J171" s="41"/>
      <c r="K171" s="88">
        <f t="shared" si="82"/>
        <v>0</v>
      </c>
      <c r="L171" s="88">
        <f t="shared" si="83"/>
        <v>0</v>
      </c>
      <c r="M171" s="41"/>
      <c r="N171" s="88">
        <f t="shared" si="84"/>
        <v>0</v>
      </c>
      <c r="O171" s="88">
        <f t="shared" si="85"/>
        <v>0</v>
      </c>
      <c r="P171" s="41"/>
      <c r="Q171" s="88">
        <f t="shared" si="86"/>
        <v>0</v>
      </c>
      <c r="R171" s="88">
        <f t="shared" si="87"/>
        <v>0</v>
      </c>
      <c r="S171" s="41"/>
      <c r="T171" s="88">
        <f t="shared" si="88"/>
        <v>0</v>
      </c>
      <c r="U171" s="88">
        <f t="shared" si="89"/>
        <v>0</v>
      </c>
      <c r="V171" s="41"/>
      <c r="W171" s="88">
        <f t="shared" si="90"/>
        <v>0</v>
      </c>
      <c r="X171" s="88">
        <f t="shared" si="91"/>
        <v>0</v>
      </c>
      <c r="Y171" s="41"/>
      <c r="Z171" s="88">
        <f t="shared" si="92"/>
        <v>0</v>
      </c>
      <c r="AA171" s="88">
        <f t="shared" si="93"/>
        <v>0</v>
      </c>
      <c r="AB171" s="41"/>
      <c r="AC171" s="88">
        <f t="shared" si="94"/>
        <v>0</v>
      </c>
      <c r="AD171" s="88">
        <f t="shared" si="95"/>
        <v>0</v>
      </c>
      <c r="AE171" s="41"/>
      <c r="AF171" s="88">
        <f t="shared" si="96"/>
        <v>0</v>
      </c>
      <c r="AG171" s="88">
        <f t="shared" si="97"/>
        <v>0</v>
      </c>
      <c r="AH171" s="41"/>
      <c r="AI171" s="88">
        <f t="shared" si="98"/>
        <v>0</v>
      </c>
      <c r="AJ171" s="88">
        <f t="shared" si="99"/>
        <v>0</v>
      </c>
      <c r="AK171" s="41">
        <v>16.649999999999999</v>
      </c>
      <c r="AL171" s="88">
        <f t="shared" si="100"/>
        <v>1.4110636481843971E-6</v>
      </c>
      <c r="AM171" s="88">
        <f t="shared" si="101"/>
        <v>1.2150150150150152</v>
      </c>
      <c r="AN171" s="41">
        <v>36.880000000000003</v>
      </c>
      <c r="AO171" s="88">
        <f t="shared" si="102"/>
        <v>3.1255271678703047E-6</v>
      </c>
      <c r="AP171" s="88">
        <f t="shared" si="103"/>
        <v>0</v>
      </c>
    </row>
    <row r="172" spans="1:42" s="74" customFormat="1" x14ac:dyDescent="0.25">
      <c r="A172" s="89" t="s">
        <v>283</v>
      </c>
      <c r="B172" s="89" t="s">
        <v>284</v>
      </c>
      <c r="C172" s="89"/>
      <c r="D172" s="41">
        <v>8381.07</v>
      </c>
      <c r="E172" s="88">
        <f t="shared" si="78"/>
        <v>7.1028367626959797E-4</v>
      </c>
      <c r="F172" s="88">
        <f t="shared" si="79"/>
        <v>-0.18988386924342593</v>
      </c>
      <c r="G172" s="41">
        <v>6789.64</v>
      </c>
      <c r="H172" s="88">
        <f t="shared" si="80"/>
        <v>5.7541226355908176E-4</v>
      </c>
      <c r="I172" s="88">
        <f t="shared" si="81"/>
        <v>0.18278877819737116</v>
      </c>
      <c r="J172" s="41">
        <v>8030.71</v>
      </c>
      <c r="K172" s="88">
        <f t="shared" si="82"/>
        <v>6.805911681748301E-4</v>
      </c>
      <c r="L172" s="88">
        <f t="shared" si="83"/>
        <v>-6.6139855629203326E-2</v>
      </c>
      <c r="M172" s="41">
        <v>7499.56</v>
      </c>
      <c r="N172" s="88">
        <f t="shared" si="84"/>
        <v>6.35576966569236E-4</v>
      </c>
      <c r="O172" s="88">
        <f t="shared" si="85"/>
        <v>4.8524180085231627E-2</v>
      </c>
      <c r="P172" s="41">
        <v>7863.47</v>
      </c>
      <c r="Q172" s="88">
        <f t="shared" si="86"/>
        <v>6.6641781775306685E-4</v>
      </c>
      <c r="R172" s="88">
        <f t="shared" si="87"/>
        <v>4.5528246435733832E-2</v>
      </c>
      <c r="S172" s="41">
        <v>8221.48</v>
      </c>
      <c r="T172" s="88">
        <f t="shared" si="88"/>
        <v>6.9675865238889238E-4</v>
      </c>
      <c r="U172" s="88">
        <f t="shared" si="89"/>
        <v>2.0977974768533247E-2</v>
      </c>
      <c r="V172" s="41">
        <v>8393.9500000000007</v>
      </c>
      <c r="W172" s="88">
        <f t="shared" si="90"/>
        <v>7.113752378184638E-4</v>
      </c>
      <c r="X172" s="88">
        <f t="shared" si="91"/>
        <v>2.5454047260229151E-2</v>
      </c>
      <c r="Y172" s="41">
        <v>8607.61</v>
      </c>
      <c r="Z172" s="88">
        <f t="shared" si="92"/>
        <v>7.2948261674165172E-4</v>
      </c>
      <c r="AA172" s="88">
        <f t="shared" si="93"/>
        <v>0.16028607244054971</v>
      </c>
      <c r="AB172" s="41">
        <v>9987.2900000000009</v>
      </c>
      <c r="AC172" s="88">
        <f t="shared" si="94"/>
        <v>8.4640852029282585E-4</v>
      </c>
      <c r="AD172" s="88">
        <f t="shared" si="95"/>
        <v>0.1387493504243893</v>
      </c>
      <c r="AE172" s="41">
        <v>11373.02</v>
      </c>
      <c r="AF172" s="88">
        <f t="shared" si="96"/>
        <v>9.6384715267712397E-4</v>
      </c>
      <c r="AG172" s="88">
        <f t="shared" si="97"/>
        <v>4.3963696537940855E-4</v>
      </c>
      <c r="AH172" s="41">
        <v>11378.02</v>
      </c>
      <c r="AI172" s="88">
        <f t="shared" si="98"/>
        <v>9.6427089551441667E-4</v>
      </c>
      <c r="AJ172" s="88">
        <f t="shared" si="99"/>
        <v>1.4097356130502448E-3</v>
      </c>
      <c r="AK172" s="41">
        <v>11394.06</v>
      </c>
      <c r="AL172" s="88">
        <f t="shared" si="100"/>
        <v>9.6563026253645122E-4</v>
      </c>
      <c r="AM172" s="88">
        <f t="shared" si="101"/>
        <v>0</v>
      </c>
      <c r="AN172" s="41">
        <v>11394.06</v>
      </c>
      <c r="AO172" s="88">
        <f t="shared" si="102"/>
        <v>9.6563026253645122E-4</v>
      </c>
      <c r="AP172" s="88">
        <f t="shared" si="103"/>
        <v>0.35949944338849327</v>
      </c>
    </row>
    <row r="173" spans="1:42" s="74" customFormat="1" x14ac:dyDescent="0.25">
      <c r="A173" s="89" t="s">
        <v>285</v>
      </c>
      <c r="B173" s="89" t="s">
        <v>286</v>
      </c>
      <c r="C173" s="89"/>
      <c r="D173" s="41">
        <v>493.06</v>
      </c>
      <c r="E173" s="88">
        <f t="shared" si="78"/>
        <v>4.1786128671099033E-5</v>
      </c>
      <c r="F173" s="88">
        <f t="shared" si="79"/>
        <v>-0.75491826552549379</v>
      </c>
      <c r="G173" s="41">
        <v>120.84</v>
      </c>
      <c r="H173" s="88">
        <f t="shared" si="80"/>
        <v>1.0241016891687843E-5</v>
      </c>
      <c r="I173" s="88">
        <f t="shared" si="81"/>
        <v>-0.6228070175438597</v>
      </c>
      <c r="J173" s="41">
        <v>45.58</v>
      </c>
      <c r="K173" s="88">
        <f t="shared" si="82"/>
        <v>3.8628397047594494E-6</v>
      </c>
      <c r="L173" s="88">
        <f t="shared" si="83"/>
        <v>3.8832821412900564E-2</v>
      </c>
      <c r="M173" s="41">
        <v>47.35</v>
      </c>
      <c r="N173" s="88">
        <f t="shared" si="84"/>
        <v>4.0128446691610337E-6</v>
      </c>
      <c r="O173" s="88">
        <f t="shared" si="85"/>
        <v>0.15860612460401269</v>
      </c>
      <c r="P173" s="41">
        <v>54.86</v>
      </c>
      <c r="Q173" s="88">
        <f t="shared" si="86"/>
        <v>4.6493064107745369E-6</v>
      </c>
      <c r="R173" s="88">
        <f t="shared" si="87"/>
        <v>4.7028800583302832E-2</v>
      </c>
      <c r="S173" s="41">
        <v>57.44</v>
      </c>
      <c r="T173" s="88">
        <f t="shared" si="88"/>
        <v>4.8679577148175244E-6</v>
      </c>
      <c r="U173" s="88">
        <f t="shared" si="89"/>
        <v>-3.6733983286908023E-2</v>
      </c>
      <c r="V173" s="41">
        <v>55.33</v>
      </c>
      <c r="W173" s="88">
        <f t="shared" si="90"/>
        <v>4.6891382374800418E-6</v>
      </c>
      <c r="X173" s="88">
        <f t="shared" si="91"/>
        <v>-4.6990782577263079E-3</v>
      </c>
      <c r="Y173" s="41">
        <v>55.07</v>
      </c>
      <c r="Z173" s="88">
        <f t="shared" si="92"/>
        <v>4.6671036099408262E-6</v>
      </c>
      <c r="AA173" s="88">
        <f t="shared" si="93"/>
        <v>0.53422916288360267</v>
      </c>
      <c r="AB173" s="41">
        <v>84.49</v>
      </c>
      <c r="AC173" s="88">
        <f t="shared" si="94"/>
        <v>7.1604064645705536E-6</v>
      </c>
      <c r="AD173" s="88">
        <f t="shared" si="95"/>
        <v>1.0753935376967689</v>
      </c>
      <c r="AE173" s="41">
        <v>175.35</v>
      </c>
      <c r="AF173" s="88">
        <f t="shared" si="96"/>
        <v>1.4860661303851896E-5</v>
      </c>
      <c r="AG173" s="88">
        <f t="shared" si="97"/>
        <v>0</v>
      </c>
      <c r="AH173" s="41">
        <v>175.35</v>
      </c>
      <c r="AI173" s="88">
        <f t="shared" si="98"/>
        <v>1.4860661303851896E-5</v>
      </c>
      <c r="AJ173" s="88">
        <f t="shared" si="99"/>
        <v>0</v>
      </c>
      <c r="AK173" s="41">
        <v>175.35</v>
      </c>
      <c r="AL173" s="88">
        <f t="shared" si="100"/>
        <v>1.4860661303851896E-5</v>
      </c>
      <c r="AM173" s="88">
        <f t="shared" si="101"/>
        <v>0</v>
      </c>
      <c r="AN173" s="41">
        <v>175.35</v>
      </c>
      <c r="AO173" s="88">
        <f t="shared" si="102"/>
        <v>1.4860661303851896E-5</v>
      </c>
      <c r="AP173" s="88">
        <f t="shared" si="103"/>
        <v>-0.64436376911532067</v>
      </c>
    </row>
    <row r="174" spans="1:42" s="74" customFormat="1" x14ac:dyDescent="0.25">
      <c r="A174" s="89" t="s">
        <v>287</v>
      </c>
      <c r="B174" s="89" t="s">
        <v>288</v>
      </c>
      <c r="C174" s="89"/>
      <c r="D174" s="41"/>
      <c r="E174" s="88">
        <f t="shared" si="78"/>
        <v>0</v>
      </c>
      <c r="F174" s="88">
        <f t="shared" si="79"/>
        <v>0</v>
      </c>
      <c r="G174" s="41"/>
      <c r="H174" s="88">
        <f t="shared" si="80"/>
        <v>0</v>
      </c>
      <c r="I174" s="88">
        <f t="shared" si="81"/>
        <v>0</v>
      </c>
      <c r="J174" s="41"/>
      <c r="K174" s="88">
        <f t="shared" si="82"/>
        <v>0</v>
      </c>
      <c r="L174" s="88">
        <f t="shared" si="83"/>
        <v>0</v>
      </c>
      <c r="M174" s="41"/>
      <c r="N174" s="88">
        <f t="shared" si="84"/>
        <v>0</v>
      </c>
      <c r="O174" s="88">
        <f t="shared" si="85"/>
        <v>0</v>
      </c>
      <c r="P174" s="41"/>
      <c r="Q174" s="88">
        <f t="shared" si="86"/>
        <v>0</v>
      </c>
      <c r="R174" s="88">
        <f t="shared" si="87"/>
        <v>0</v>
      </c>
      <c r="S174" s="41"/>
      <c r="T174" s="88">
        <f t="shared" si="88"/>
        <v>0</v>
      </c>
      <c r="U174" s="88">
        <f t="shared" si="89"/>
        <v>0</v>
      </c>
      <c r="V174" s="41"/>
      <c r="W174" s="88">
        <f t="shared" si="90"/>
        <v>0</v>
      </c>
      <c r="X174" s="88">
        <f t="shared" si="91"/>
        <v>0</v>
      </c>
      <c r="Y174" s="41"/>
      <c r="Z174" s="88">
        <f t="shared" si="92"/>
        <v>0</v>
      </c>
      <c r="AA174" s="88">
        <f t="shared" si="93"/>
        <v>0</v>
      </c>
      <c r="AB174" s="41"/>
      <c r="AC174" s="88">
        <f t="shared" si="94"/>
        <v>0</v>
      </c>
      <c r="AD174" s="88">
        <f t="shared" si="95"/>
        <v>0</v>
      </c>
      <c r="AE174" s="41"/>
      <c r="AF174" s="88">
        <f t="shared" si="96"/>
        <v>0</v>
      </c>
      <c r="AG174" s="88">
        <f t="shared" si="97"/>
        <v>0</v>
      </c>
      <c r="AH174" s="41"/>
      <c r="AI174" s="88">
        <f t="shared" si="98"/>
        <v>0</v>
      </c>
      <c r="AJ174" s="88">
        <f t="shared" si="99"/>
        <v>0</v>
      </c>
      <c r="AK174" s="41">
        <v>5</v>
      </c>
      <c r="AL174" s="88">
        <f t="shared" si="100"/>
        <v>4.237428372926118E-7</v>
      </c>
      <c r="AM174" s="88">
        <f t="shared" si="101"/>
        <v>0</v>
      </c>
      <c r="AN174" s="41">
        <v>5</v>
      </c>
      <c r="AO174" s="88">
        <f t="shared" si="102"/>
        <v>4.237428372926118E-7</v>
      </c>
      <c r="AP174" s="88">
        <f t="shared" si="103"/>
        <v>0</v>
      </c>
    </row>
    <row r="175" spans="1:42" s="63" customFormat="1" x14ac:dyDescent="0.25">
      <c r="A175" s="86" t="s">
        <v>289</v>
      </c>
      <c r="B175" s="86" t="s">
        <v>290</v>
      </c>
      <c r="C175" s="86"/>
      <c r="D175" s="87">
        <v>56700</v>
      </c>
      <c r="E175" s="88">
        <f t="shared" si="78"/>
        <v>4.8052437748982175E-3</v>
      </c>
      <c r="F175" s="88">
        <f t="shared" si="79"/>
        <v>0</v>
      </c>
      <c r="G175" s="87">
        <v>56700</v>
      </c>
      <c r="H175" s="88">
        <f t="shared" si="80"/>
        <v>4.8052437748982175E-3</v>
      </c>
      <c r="I175" s="88">
        <f t="shared" si="81"/>
        <v>0</v>
      </c>
      <c r="J175" s="87">
        <v>56700</v>
      </c>
      <c r="K175" s="88">
        <f t="shared" si="82"/>
        <v>4.8052437748982175E-3</v>
      </c>
      <c r="L175" s="88">
        <f t="shared" si="83"/>
        <v>0.15796984126984115</v>
      </c>
      <c r="M175" s="87">
        <v>65656.89</v>
      </c>
      <c r="N175" s="88">
        <f t="shared" si="84"/>
        <v>5.5643273712817822E-3</v>
      </c>
      <c r="O175" s="88">
        <f t="shared" si="85"/>
        <v>-0.1382139787614064</v>
      </c>
      <c r="P175" s="87">
        <v>56582.19</v>
      </c>
      <c r="Q175" s="88">
        <f t="shared" si="86"/>
        <v>4.7952595461659298E-3</v>
      </c>
      <c r="R175" s="88">
        <f t="shared" si="87"/>
        <v>0</v>
      </c>
      <c r="S175" s="87">
        <v>56582.19</v>
      </c>
      <c r="T175" s="88">
        <f t="shared" si="88"/>
        <v>4.7952595461659298E-3</v>
      </c>
      <c r="U175" s="88">
        <f t="shared" si="89"/>
        <v>0</v>
      </c>
      <c r="V175" s="87">
        <v>56582.19</v>
      </c>
      <c r="W175" s="88">
        <f t="shared" si="90"/>
        <v>4.7952595461659298E-3</v>
      </c>
      <c r="X175" s="88">
        <f t="shared" si="91"/>
        <v>-0.66543023520298528</v>
      </c>
      <c r="Y175" s="87">
        <v>18930.689999999999</v>
      </c>
      <c r="Z175" s="88">
        <f t="shared" si="92"/>
        <v>1.6043488585013746E-3</v>
      </c>
      <c r="AA175" s="88">
        <f t="shared" si="93"/>
        <v>0</v>
      </c>
      <c r="AB175" s="87">
        <v>18930.689999999999</v>
      </c>
      <c r="AC175" s="88">
        <f t="shared" si="94"/>
        <v>1.6043488585013746E-3</v>
      </c>
      <c r="AD175" s="88">
        <f t="shared" si="95"/>
        <v>0</v>
      </c>
      <c r="AE175" s="87">
        <v>18930.689999999999</v>
      </c>
      <c r="AF175" s="88">
        <f t="shared" si="96"/>
        <v>1.6043488585013746E-3</v>
      </c>
      <c r="AG175" s="88">
        <f t="shared" si="97"/>
        <v>0</v>
      </c>
      <c r="AH175" s="87">
        <v>18930.689999999999</v>
      </c>
      <c r="AI175" s="88">
        <f t="shared" si="98"/>
        <v>1.6043488585013746E-3</v>
      </c>
      <c r="AJ175" s="88">
        <f t="shared" si="99"/>
        <v>-0.93942428934180422</v>
      </c>
      <c r="AK175" s="87">
        <v>1146.74</v>
      </c>
      <c r="AL175" s="88">
        <f t="shared" si="100"/>
        <v>9.7184572247385935E-5</v>
      </c>
      <c r="AM175" s="88">
        <f t="shared" si="101"/>
        <v>0</v>
      </c>
      <c r="AN175" s="87">
        <v>1146.74</v>
      </c>
      <c r="AO175" s="88">
        <f t="shared" si="102"/>
        <v>9.7184572247385935E-5</v>
      </c>
      <c r="AP175" s="88">
        <f t="shared" si="103"/>
        <v>-0.97977530864197526</v>
      </c>
    </row>
    <row r="176" spans="1:42" s="63" customFormat="1" x14ac:dyDescent="0.25">
      <c r="A176" s="86" t="s">
        <v>291</v>
      </c>
      <c r="B176" s="86" t="s">
        <v>290</v>
      </c>
      <c r="C176" s="86"/>
      <c r="D176" s="87">
        <v>56700</v>
      </c>
      <c r="E176" s="88">
        <f t="shared" si="78"/>
        <v>4.8052437748982175E-3</v>
      </c>
      <c r="F176" s="88">
        <f t="shared" si="79"/>
        <v>0</v>
      </c>
      <c r="G176" s="87">
        <v>56700</v>
      </c>
      <c r="H176" s="88">
        <f t="shared" si="80"/>
        <v>4.8052437748982175E-3</v>
      </c>
      <c r="I176" s="88">
        <f t="shared" si="81"/>
        <v>0</v>
      </c>
      <c r="J176" s="87">
        <v>56700</v>
      </c>
      <c r="K176" s="88">
        <f t="shared" si="82"/>
        <v>4.8052437748982175E-3</v>
      </c>
      <c r="L176" s="88">
        <f t="shared" si="83"/>
        <v>0.15796984126984115</v>
      </c>
      <c r="M176" s="87">
        <v>65656.89</v>
      </c>
      <c r="N176" s="88">
        <f t="shared" si="84"/>
        <v>5.5643273712817822E-3</v>
      </c>
      <c r="O176" s="88">
        <f t="shared" si="85"/>
        <v>-0.1382139787614064</v>
      </c>
      <c r="P176" s="87">
        <v>56582.19</v>
      </c>
      <c r="Q176" s="88">
        <f t="shared" si="86"/>
        <v>4.7952595461659298E-3</v>
      </c>
      <c r="R176" s="88">
        <f t="shared" si="87"/>
        <v>0</v>
      </c>
      <c r="S176" s="87">
        <v>56582.19</v>
      </c>
      <c r="T176" s="88">
        <f t="shared" si="88"/>
        <v>4.7952595461659298E-3</v>
      </c>
      <c r="U176" s="88">
        <f t="shared" si="89"/>
        <v>0</v>
      </c>
      <c r="V176" s="87">
        <v>56582.19</v>
      </c>
      <c r="W176" s="88">
        <f t="shared" si="90"/>
        <v>4.7952595461659298E-3</v>
      </c>
      <c r="X176" s="88">
        <f t="shared" si="91"/>
        <v>-0.66543023520298528</v>
      </c>
      <c r="Y176" s="87">
        <v>18930.689999999999</v>
      </c>
      <c r="Z176" s="88">
        <f t="shared" si="92"/>
        <v>1.6043488585013746E-3</v>
      </c>
      <c r="AA176" s="88">
        <f t="shared" si="93"/>
        <v>0</v>
      </c>
      <c r="AB176" s="87">
        <v>18930.689999999999</v>
      </c>
      <c r="AC176" s="88">
        <f t="shared" si="94"/>
        <v>1.6043488585013746E-3</v>
      </c>
      <c r="AD176" s="88">
        <f t="shared" si="95"/>
        <v>0</v>
      </c>
      <c r="AE176" s="87">
        <v>18930.689999999999</v>
      </c>
      <c r="AF176" s="88">
        <f t="shared" si="96"/>
        <v>1.6043488585013746E-3</v>
      </c>
      <c r="AG176" s="88">
        <f t="shared" si="97"/>
        <v>0</v>
      </c>
      <c r="AH176" s="87">
        <v>18930.689999999999</v>
      </c>
      <c r="AI176" s="88">
        <f t="shared" si="98"/>
        <v>1.6043488585013746E-3</v>
      </c>
      <c r="AJ176" s="88">
        <f t="shared" si="99"/>
        <v>-0.93942428934180422</v>
      </c>
      <c r="AK176" s="87">
        <v>1146.74</v>
      </c>
      <c r="AL176" s="88">
        <f t="shared" si="100"/>
        <v>9.7184572247385935E-5</v>
      </c>
      <c r="AM176" s="88">
        <f t="shared" si="101"/>
        <v>0</v>
      </c>
      <c r="AN176" s="87">
        <v>1146.74</v>
      </c>
      <c r="AO176" s="88">
        <f t="shared" si="102"/>
        <v>9.7184572247385935E-5</v>
      </c>
      <c r="AP176" s="88">
        <f t="shared" si="103"/>
        <v>-0.97977530864197526</v>
      </c>
    </row>
    <row r="177" spans="1:42" s="63" customFormat="1" x14ac:dyDescent="0.25">
      <c r="A177" s="86" t="s">
        <v>292</v>
      </c>
      <c r="B177" s="86" t="s">
        <v>290</v>
      </c>
      <c r="C177" s="86"/>
      <c r="D177" s="87">
        <v>56700</v>
      </c>
      <c r="E177" s="88">
        <f t="shared" si="78"/>
        <v>4.8052437748982175E-3</v>
      </c>
      <c r="F177" s="88">
        <f t="shared" si="79"/>
        <v>0</v>
      </c>
      <c r="G177" s="87">
        <v>56700</v>
      </c>
      <c r="H177" s="88">
        <f t="shared" si="80"/>
        <v>4.8052437748982175E-3</v>
      </c>
      <c r="I177" s="88">
        <f t="shared" si="81"/>
        <v>0</v>
      </c>
      <c r="J177" s="87">
        <v>56700</v>
      </c>
      <c r="K177" s="88">
        <f t="shared" si="82"/>
        <v>4.8052437748982175E-3</v>
      </c>
      <c r="L177" s="88">
        <f t="shared" si="83"/>
        <v>0.15796984126984115</v>
      </c>
      <c r="M177" s="87">
        <v>65656.89</v>
      </c>
      <c r="N177" s="88">
        <f t="shared" si="84"/>
        <v>5.5643273712817822E-3</v>
      </c>
      <c r="O177" s="88">
        <f t="shared" si="85"/>
        <v>-0.1382139787614064</v>
      </c>
      <c r="P177" s="87">
        <v>56582.19</v>
      </c>
      <c r="Q177" s="88">
        <f t="shared" si="86"/>
        <v>4.7952595461659298E-3</v>
      </c>
      <c r="R177" s="88">
        <f t="shared" si="87"/>
        <v>0</v>
      </c>
      <c r="S177" s="87">
        <v>56582.19</v>
      </c>
      <c r="T177" s="88">
        <f t="shared" si="88"/>
        <v>4.7952595461659298E-3</v>
      </c>
      <c r="U177" s="88">
        <f t="shared" si="89"/>
        <v>0</v>
      </c>
      <c r="V177" s="87">
        <v>56582.19</v>
      </c>
      <c r="W177" s="88">
        <f t="shared" si="90"/>
        <v>4.7952595461659298E-3</v>
      </c>
      <c r="X177" s="88">
        <f t="shared" si="91"/>
        <v>-0.66543023520298528</v>
      </c>
      <c r="Y177" s="87">
        <v>18930.689999999999</v>
      </c>
      <c r="Z177" s="88">
        <f t="shared" si="92"/>
        <v>1.6043488585013746E-3</v>
      </c>
      <c r="AA177" s="88">
        <f t="shared" si="93"/>
        <v>0</v>
      </c>
      <c r="AB177" s="87">
        <v>18930.689999999999</v>
      </c>
      <c r="AC177" s="88">
        <f t="shared" si="94"/>
        <v>1.6043488585013746E-3</v>
      </c>
      <c r="AD177" s="88">
        <f t="shared" si="95"/>
        <v>0</v>
      </c>
      <c r="AE177" s="87">
        <v>18930.689999999999</v>
      </c>
      <c r="AF177" s="88">
        <f t="shared" si="96"/>
        <v>1.6043488585013746E-3</v>
      </c>
      <c r="AG177" s="88">
        <f t="shared" si="97"/>
        <v>0</v>
      </c>
      <c r="AH177" s="87">
        <v>18930.689999999999</v>
      </c>
      <c r="AI177" s="88">
        <f t="shared" si="98"/>
        <v>1.6043488585013746E-3</v>
      </c>
      <c r="AJ177" s="88">
        <f t="shared" si="99"/>
        <v>-0.93942428934180422</v>
      </c>
      <c r="AK177" s="87">
        <v>1146.74</v>
      </c>
      <c r="AL177" s="88">
        <f t="shared" si="100"/>
        <v>9.7184572247385935E-5</v>
      </c>
      <c r="AM177" s="88">
        <f t="shared" si="101"/>
        <v>0</v>
      </c>
      <c r="AN177" s="87">
        <v>1146.74</v>
      </c>
      <c r="AO177" s="88">
        <f t="shared" si="102"/>
        <v>9.7184572247385935E-5</v>
      </c>
      <c r="AP177" s="88">
        <f t="shared" si="103"/>
        <v>-0.97977530864197526</v>
      </c>
    </row>
    <row r="178" spans="1:42" s="74" customFormat="1" x14ac:dyDescent="0.25">
      <c r="A178" s="89" t="s">
        <v>293</v>
      </c>
      <c r="B178" s="89" t="s">
        <v>294</v>
      </c>
      <c r="C178" s="89"/>
      <c r="D178" s="41">
        <v>56700</v>
      </c>
      <c r="E178" s="88">
        <f t="shared" si="78"/>
        <v>4.8052437748982175E-3</v>
      </c>
      <c r="F178" s="88">
        <f t="shared" si="79"/>
        <v>0</v>
      </c>
      <c r="G178" s="41">
        <v>56700</v>
      </c>
      <c r="H178" s="88">
        <f t="shared" si="80"/>
        <v>4.8052437748982175E-3</v>
      </c>
      <c r="I178" s="88">
        <f t="shared" si="81"/>
        <v>0</v>
      </c>
      <c r="J178" s="41">
        <v>56700</v>
      </c>
      <c r="K178" s="88">
        <f t="shared" si="82"/>
        <v>4.8052437748982175E-3</v>
      </c>
      <c r="L178" s="88">
        <f t="shared" si="83"/>
        <v>0.15796984126984115</v>
      </c>
      <c r="M178" s="41">
        <v>65656.89</v>
      </c>
      <c r="N178" s="88">
        <f t="shared" si="84"/>
        <v>5.5643273712817822E-3</v>
      </c>
      <c r="O178" s="88">
        <f t="shared" si="85"/>
        <v>-0.1382139787614064</v>
      </c>
      <c r="P178" s="41">
        <v>56582.19</v>
      </c>
      <c r="Q178" s="88">
        <f t="shared" si="86"/>
        <v>4.7952595461659298E-3</v>
      </c>
      <c r="R178" s="88">
        <f t="shared" si="87"/>
        <v>0</v>
      </c>
      <c r="S178" s="41">
        <v>56582.19</v>
      </c>
      <c r="T178" s="88">
        <f t="shared" si="88"/>
        <v>4.7952595461659298E-3</v>
      </c>
      <c r="U178" s="88">
        <f t="shared" si="89"/>
        <v>0</v>
      </c>
      <c r="V178" s="41">
        <v>56582.19</v>
      </c>
      <c r="W178" s="88">
        <f t="shared" si="90"/>
        <v>4.7952595461659298E-3</v>
      </c>
      <c r="X178" s="88">
        <f t="shared" si="91"/>
        <v>-0.66543023520298528</v>
      </c>
      <c r="Y178" s="41">
        <v>18930.689999999999</v>
      </c>
      <c r="Z178" s="88">
        <f t="shared" si="92"/>
        <v>1.6043488585013746E-3</v>
      </c>
      <c r="AA178" s="88">
        <f t="shared" si="93"/>
        <v>0</v>
      </c>
      <c r="AB178" s="41">
        <v>18930.689999999999</v>
      </c>
      <c r="AC178" s="88">
        <f t="shared" si="94"/>
        <v>1.6043488585013746E-3</v>
      </c>
      <c r="AD178" s="88">
        <f t="shared" si="95"/>
        <v>0</v>
      </c>
      <c r="AE178" s="41">
        <v>18930.689999999999</v>
      </c>
      <c r="AF178" s="88">
        <f t="shared" si="96"/>
        <v>1.6043488585013746E-3</v>
      </c>
      <c r="AG178" s="88">
        <f t="shared" si="97"/>
        <v>0</v>
      </c>
      <c r="AH178" s="41">
        <v>18930.689999999999</v>
      </c>
      <c r="AI178" s="88">
        <f t="shared" si="98"/>
        <v>1.6043488585013746E-3</v>
      </c>
      <c r="AJ178" s="88">
        <f t="shared" si="99"/>
        <v>-0.93942428934180422</v>
      </c>
      <c r="AK178" s="41">
        <v>1146.74</v>
      </c>
      <c r="AL178" s="88">
        <f t="shared" si="100"/>
        <v>9.7184572247385935E-5</v>
      </c>
      <c r="AM178" s="88">
        <f t="shared" si="101"/>
        <v>0</v>
      </c>
      <c r="AN178" s="41">
        <v>1146.74</v>
      </c>
      <c r="AO178" s="88">
        <f t="shared" si="102"/>
        <v>9.7184572247385935E-5</v>
      </c>
      <c r="AP178" s="88">
        <f t="shared" si="103"/>
        <v>-0.97977530864197526</v>
      </c>
    </row>
    <row r="179" spans="1:42" s="63" customFormat="1" x14ac:dyDescent="0.25">
      <c r="A179" s="86" t="s">
        <v>642</v>
      </c>
      <c r="B179" s="86" t="s">
        <v>643</v>
      </c>
      <c r="C179" s="86"/>
      <c r="D179" s="87">
        <v>2413375.41</v>
      </c>
      <c r="E179" s="88">
        <f t="shared" si="78"/>
        <v>0.20453010873712407</v>
      </c>
      <c r="F179" s="88">
        <f t="shared" si="79"/>
        <v>-0.19840842747295595</v>
      </c>
      <c r="G179" s="87">
        <v>1934541.3899999997</v>
      </c>
      <c r="H179" s="88">
        <f t="shared" si="80"/>
        <v>0.16394961149171858</v>
      </c>
      <c r="I179" s="88">
        <f t="shared" si="81"/>
        <v>0</v>
      </c>
      <c r="J179" s="87">
        <v>1934541.3899999997</v>
      </c>
      <c r="K179" s="88">
        <f t="shared" si="82"/>
        <v>0.16394961149171858</v>
      </c>
      <c r="L179" s="88">
        <f t="shared" si="83"/>
        <v>0.13043216407998415</v>
      </c>
      <c r="M179" s="87">
        <v>2186867.81</v>
      </c>
      <c r="N179" s="88">
        <f t="shared" si="84"/>
        <v>0.18533391411865607</v>
      </c>
      <c r="O179" s="88">
        <f t="shared" si="85"/>
        <v>7.2748292911220869E-2</v>
      </c>
      <c r="P179" s="87">
        <v>2345958.71</v>
      </c>
      <c r="Q179" s="88">
        <f t="shared" si="86"/>
        <v>0.1988166399893431</v>
      </c>
      <c r="R179" s="88">
        <f t="shared" si="87"/>
        <v>0</v>
      </c>
      <c r="S179" s="87">
        <v>2345958.71</v>
      </c>
      <c r="T179" s="88">
        <f t="shared" si="88"/>
        <v>0.1988166399893431</v>
      </c>
      <c r="U179" s="88">
        <f t="shared" si="89"/>
        <v>0.13409169507505947</v>
      </c>
      <c r="V179" s="87">
        <v>2660532.29</v>
      </c>
      <c r="W179" s="88">
        <f t="shared" si="90"/>
        <v>0.22547630025464199</v>
      </c>
      <c r="X179" s="88">
        <f t="shared" si="91"/>
        <v>-2.9740022437389824E-2</v>
      </c>
      <c r="Y179" s="87">
        <v>2581408</v>
      </c>
      <c r="Z179" s="88">
        <f t="shared" si="92"/>
        <v>0.2187706300259693</v>
      </c>
      <c r="AA179" s="88">
        <f t="shared" si="93"/>
        <v>0</v>
      </c>
      <c r="AB179" s="87">
        <v>2581408</v>
      </c>
      <c r="AC179" s="88">
        <f t="shared" si="94"/>
        <v>0.2187706300259693</v>
      </c>
      <c r="AD179" s="88">
        <f t="shared" si="95"/>
        <v>0</v>
      </c>
      <c r="AE179" s="87">
        <v>2581408</v>
      </c>
      <c r="AF179" s="88">
        <f t="shared" si="96"/>
        <v>0.2187706300259693</v>
      </c>
      <c r="AG179" s="88">
        <f t="shared" si="97"/>
        <v>0</v>
      </c>
      <c r="AH179" s="87">
        <v>2581408</v>
      </c>
      <c r="AI179" s="88">
        <f t="shared" si="98"/>
        <v>0.2187706300259693</v>
      </c>
      <c r="AJ179" s="88">
        <f t="shared" si="99"/>
        <v>-2.3020611232319799E-2</v>
      </c>
      <c r="AK179" s="87">
        <v>2521982.4099999997</v>
      </c>
      <c r="AL179" s="88">
        <f t="shared" si="100"/>
        <v>0.21373439640309178</v>
      </c>
      <c r="AM179" s="88">
        <f t="shared" si="101"/>
        <v>0</v>
      </c>
      <c r="AN179" s="87">
        <v>2521982.4099999997</v>
      </c>
      <c r="AO179" s="88">
        <f t="shared" si="102"/>
        <v>0.21373439640309178</v>
      </c>
      <c r="AP179" s="88">
        <f t="shared" si="103"/>
        <v>4.5002115936865206E-2</v>
      </c>
    </row>
    <row r="180" spans="1:42" s="63" customFormat="1" x14ac:dyDescent="0.25">
      <c r="A180" s="86" t="s">
        <v>644</v>
      </c>
      <c r="B180" s="86" t="s">
        <v>645</v>
      </c>
      <c r="C180" s="86"/>
      <c r="D180" s="87">
        <v>2413375.41</v>
      </c>
      <c r="E180" s="88">
        <f t="shared" si="78"/>
        <v>0.20453010873712407</v>
      </c>
      <c r="F180" s="88">
        <f t="shared" si="79"/>
        <v>-0.19840842747295595</v>
      </c>
      <c r="G180" s="87">
        <v>1934541.3899999997</v>
      </c>
      <c r="H180" s="88">
        <f t="shared" si="80"/>
        <v>0.16394961149171858</v>
      </c>
      <c r="I180" s="88">
        <f t="shared" si="81"/>
        <v>0</v>
      </c>
      <c r="J180" s="87">
        <v>1934541.3899999997</v>
      </c>
      <c r="K180" s="88">
        <f t="shared" si="82"/>
        <v>0.16394961149171858</v>
      </c>
      <c r="L180" s="88">
        <f t="shared" si="83"/>
        <v>0.13043216407998415</v>
      </c>
      <c r="M180" s="87">
        <v>2186867.81</v>
      </c>
      <c r="N180" s="88">
        <f t="shared" si="84"/>
        <v>0.18533391411865607</v>
      </c>
      <c r="O180" s="88">
        <f t="shared" si="85"/>
        <v>7.2748292911220869E-2</v>
      </c>
      <c r="P180" s="87">
        <v>2345958.71</v>
      </c>
      <c r="Q180" s="88">
        <f t="shared" si="86"/>
        <v>0.1988166399893431</v>
      </c>
      <c r="R180" s="88">
        <f t="shared" si="87"/>
        <v>0</v>
      </c>
      <c r="S180" s="87">
        <v>2345958.71</v>
      </c>
      <c r="T180" s="88">
        <f t="shared" si="88"/>
        <v>0.1988166399893431</v>
      </c>
      <c r="U180" s="88">
        <f t="shared" si="89"/>
        <v>0.13409169507505947</v>
      </c>
      <c r="V180" s="87">
        <v>2660532.29</v>
      </c>
      <c r="W180" s="88">
        <f t="shared" si="90"/>
        <v>0.22547630025464199</v>
      </c>
      <c r="X180" s="88">
        <f t="shared" si="91"/>
        <v>-2.9740022437389824E-2</v>
      </c>
      <c r="Y180" s="87">
        <v>2581408</v>
      </c>
      <c r="Z180" s="88">
        <f t="shared" si="92"/>
        <v>0.2187706300259693</v>
      </c>
      <c r="AA180" s="88">
        <f t="shared" si="93"/>
        <v>0</v>
      </c>
      <c r="AB180" s="87">
        <v>2581408</v>
      </c>
      <c r="AC180" s="88">
        <f t="shared" si="94"/>
        <v>0.2187706300259693</v>
      </c>
      <c r="AD180" s="88">
        <f t="shared" si="95"/>
        <v>0</v>
      </c>
      <c r="AE180" s="87">
        <v>2581408</v>
      </c>
      <c r="AF180" s="88">
        <f t="shared" si="96"/>
        <v>0.2187706300259693</v>
      </c>
      <c r="AG180" s="88">
        <f t="shared" si="97"/>
        <v>0</v>
      </c>
      <c r="AH180" s="87">
        <v>2581408</v>
      </c>
      <c r="AI180" s="88">
        <f t="shared" si="98"/>
        <v>0.2187706300259693</v>
      </c>
      <c r="AJ180" s="88">
        <f t="shared" si="99"/>
        <v>-2.3020611232319799E-2</v>
      </c>
      <c r="AK180" s="87">
        <v>2521982.4099999997</v>
      </c>
      <c r="AL180" s="88">
        <f t="shared" si="100"/>
        <v>0.21373439640309178</v>
      </c>
      <c r="AM180" s="88">
        <f t="shared" si="101"/>
        <v>0</v>
      </c>
      <c r="AN180" s="87">
        <v>2521982.4099999997</v>
      </c>
      <c r="AO180" s="88">
        <f t="shared" si="102"/>
        <v>0.21373439640309178</v>
      </c>
      <c r="AP180" s="88">
        <f t="shared" si="103"/>
        <v>4.5002115936865206E-2</v>
      </c>
    </row>
    <row r="181" spans="1:42" s="63" customFormat="1" x14ac:dyDescent="0.25">
      <c r="A181" s="86" t="s">
        <v>646</v>
      </c>
      <c r="B181" s="86" t="s">
        <v>221</v>
      </c>
      <c r="C181" s="86"/>
      <c r="D181" s="87">
        <v>872457.62</v>
      </c>
      <c r="E181" s="88">
        <f t="shared" si="78"/>
        <v>7.3939533463271867E-2</v>
      </c>
      <c r="F181" s="88">
        <f t="shared" si="79"/>
        <v>-0.16046624705965662</v>
      </c>
      <c r="G181" s="87">
        <v>732457.62</v>
      </c>
      <c r="H181" s="88">
        <f t="shared" si="80"/>
        <v>6.2074734019078738E-2</v>
      </c>
      <c r="I181" s="88">
        <f t="shared" si="81"/>
        <v>0</v>
      </c>
      <c r="J181" s="87">
        <v>732457.62</v>
      </c>
      <c r="K181" s="88">
        <f t="shared" si="82"/>
        <v>6.2074734019078738E-2</v>
      </c>
      <c r="L181" s="88">
        <f t="shared" si="83"/>
        <v>0</v>
      </c>
      <c r="M181" s="87">
        <v>732457.62</v>
      </c>
      <c r="N181" s="88">
        <f t="shared" si="84"/>
        <v>6.2074734019078738E-2</v>
      </c>
      <c r="O181" s="88">
        <f t="shared" si="85"/>
        <v>0.21720150853232978</v>
      </c>
      <c r="P181" s="87">
        <v>891548.52</v>
      </c>
      <c r="Q181" s="88">
        <f t="shared" si="86"/>
        <v>7.5557459889765768E-2</v>
      </c>
      <c r="R181" s="88">
        <f t="shared" si="87"/>
        <v>0</v>
      </c>
      <c r="S181" s="87">
        <v>891548.52</v>
      </c>
      <c r="T181" s="88">
        <f t="shared" si="88"/>
        <v>7.5557459889765768E-2</v>
      </c>
      <c r="U181" s="88">
        <f t="shared" si="89"/>
        <v>0</v>
      </c>
      <c r="V181" s="87">
        <v>891548.52</v>
      </c>
      <c r="W181" s="88">
        <f t="shared" si="90"/>
        <v>7.5557459889765768E-2</v>
      </c>
      <c r="X181" s="88">
        <f t="shared" si="91"/>
        <v>-8.8749280857984059E-2</v>
      </c>
      <c r="Y181" s="87">
        <v>812424.23</v>
      </c>
      <c r="Z181" s="88">
        <f t="shared" si="92"/>
        <v>6.885178966109308E-2</v>
      </c>
      <c r="AA181" s="88">
        <f t="shared" si="93"/>
        <v>0</v>
      </c>
      <c r="AB181" s="87">
        <v>812424.23</v>
      </c>
      <c r="AC181" s="88">
        <f t="shared" si="94"/>
        <v>6.885178966109308E-2</v>
      </c>
      <c r="AD181" s="88">
        <f t="shared" si="95"/>
        <v>0</v>
      </c>
      <c r="AE181" s="87">
        <v>812424.23</v>
      </c>
      <c r="AF181" s="88">
        <f t="shared" si="96"/>
        <v>6.885178966109308E-2</v>
      </c>
      <c r="AG181" s="88">
        <f t="shared" si="97"/>
        <v>0</v>
      </c>
      <c r="AH181" s="87">
        <v>812424.23</v>
      </c>
      <c r="AI181" s="88">
        <f t="shared" si="98"/>
        <v>6.885178966109308E-2</v>
      </c>
      <c r="AJ181" s="88">
        <f t="shared" si="99"/>
        <v>-7.3146008951505692E-2</v>
      </c>
      <c r="AK181" s="87">
        <v>752998.6399999999</v>
      </c>
      <c r="AL181" s="88">
        <f t="shared" si="100"/>
        <v>6.3815556038215579E-2</v>
      </c>
      <c r="AM181" s="88">
        <f t="shared" si="101"/>
        <v>0</v>
      </c>
      <c r="AN181" s="87">
        <v>752998.6399999999</v>
      </c>
      <c r="AO181" s="88">
        <f t="shared" si="102"/>
        <v>6.3815556038215579E-2</v>
      </c>
      <c r="AP181" s="88">
        <f t="shared" si="103"/>
        <v>-0.13692238712981852</v>
      </c>
    </row>
    <row r="182" spans="1:42" s="63" customFormat="1" x14ac:dyDescent="0.25">
      <c r="A182" s="86" t="s">
        <v>647</v>
      </c>
      <c r="B182" s="86" t="s">
        <v>223</v>
      </c>
      <c r="C182" s="86"/>
      <c r="D182" s="87">
        <v>872457.62</v>
      </c>
      <c r="E182" s="88">
        <f t="shared" si="78"/>
        <v>7.3939533463271867E-2</v>
      </c>
      <c r="F182" s="88">
        <f t="shared" si="79"/>
        <v>-0.16046624705965662</v>
      </c>
      <c r="G182" s="87">
        <v>732457.62</v>
      </c>
      <c r="H182" s="88">
        <f t="shared" si="80"/>
        <v>6.2074734019078738E-2</v>
      </c>
      <c r="I182" s="88">
        <f t="shared" si="81"/>
        <v>0</v>
      </c>
      <c r="J182" s="87">
        <v>732457.62</v>
      </c>
      <c r="K182" s="88">
        <f t="shared" si="82"/>
        <v>6.2074734019078738E-2</v>
      </c>
      <c r="L182" s="88">
        <f t="shared" si="83"/>
        <v>0</v>
      </c>
      <c r="M182" s="87">
        <v>732457.62</v>
      </c>
      <c r="N182" s="88">
        <f t="shared" si="84"/>
        <v>6.2074734019078738E-2</v>
      </c>
      <c r="O182" s="88">
        <f t="shared" si="85"/>
        <v>0.21720150853232978</v>
      </c>
      <c r="P182" s="87">
        <v>891548.52</v>
      </c>
      <c r="Q182" s="88">
        <f t="shared" si="86"/>
        <v>7.5557459889765768E-2</v>
      </c>
      <c r="R182" s="88">
        <f t="shared" si="87"/>
        <v>0</v>
      </c>
      <c r="S182" s="87">
        <v>891548.52</v>
      </c>
      <c r="T182" s="88">
        <f t="shared" si="88"/>
        <v>7.5557459889765768E-2</v>
      </c>
      <c r="U182" s="88">
        <f t="shared" si="89"/>
        <v>0</v>
      </c>
      <c r="V182" s="87">
        <v>891548.52</v>
      </c>
      <c r="W182" s="88">
        <f t="shared" si="90"/>
        <v>7.5557459889765768E-2</v>
      </c>
      <c r="X182" s="88">
        <f t="shared" si="91"/>
        <v>-8.8749280857984059E-2</v>
      </c>
      <c r="Y182" s="87">
        <v>812424.23</v>
      </c>
      <c r="Z182" s="88">
        <f t="shared" si="92"/>
        <v>6.885178966109308E-2</v>
      </c>
      <c r="AA182" s="88">
        <f t="shared" si="93"/>
        <v>0</v>
      </c>
      <c r="AB182" s="87">
        <v>812424.23</v>
      </c>
      <c r="AC182" s="88">
        <f t="shared" si="94"/>
        <v>6.885178966109308E-2</v>
      </c>
      <c r="AD182" s="88">
        <f t="shared" si="95"/>
        <v>0</v>
      </c>
      <c r="AE182" s="87">
        <v>812424.23</v>
      </c>
      <c r="AF182" s="88">
        <f t="shared" si="96"/>
        <v>6.885178966109308E-2</v>
      </c>
      <c r="AG182" s="88">
        <f t="shared" si="97"/>
        <v>0</v>
      </c>
      <c r="AH182" s="87">
        <v>812424.23</v>
      </c>
      <c r="AI182" s="88">
        <f t="shared" si="98"/>
        <v>6.885178966109308E-2</v>
      </c>
      <c r="AJ182" s="88">
        <f t="shared" si="99"/>
        <v>-7.3146008951505692E-2</v>
      </c>
      <c r="AK182" s="87">
        <v>752998.6399999999</v>
      </c>
      <c r="AL182" s="88">
        <f t="shared" si="100"/>
        <v>6.3815556038215579E-2</v>
      </c>
      <c r="AM182" s="88">
        <f t="shared" si="101"/>
        <v>0</v>
      </c>
      <c r="AN182" s="87">
        <v>752998.6399999999</v>
      </c>
      <c r="AO182" s="88">
        <f t="shared" si="102"/>
        <v>6.3815556038215579E-2</v>
      </c>
      <c r="AP182" s="88">
        <f t="shared" si="103"/>
        <v>-0.13692238712981852</v>
      </c>
    </row>
    <row r="183" spans="1:42" s="74" customFormat="1" x14ac:dyDescent="0.25">
      <c r="A183" s="89" t="s">
        <v>648</v>
      </c>
      <c r="B183" s="89" t="s">
        <v>737</v>
      </c>
      <c r="C183" s="89"/>
      <c r="D183" s="41">
        <v>793333.33</v>
      </c>
      <c r="E183" s="88">
        <f t="shared" si="78"/>
        <v>6.7233863234599178E-2</v>
      </c>
      <c r="F183" s="88">
        <f t="shared" si="79"/>
        <v>-0.17647058897676715</v>
      </c>
      <c r="G183" s="41">
        <v>653333.32999999996</v>
      </c>
      <c r="H183" s="88">
        <f t="shared" si="80"/>
        <v>5.5369063790406049E-2</v>
      </c>
      <c r="I183" s="88">
        <f t="shared" si="81"/>
        <v>0</v>
      </c>
      <c r="J183" s="41">
        <v>653333.32999999996</v>
      </c>
      <c r="K183" s="88">
        <f t="shared" si="82"/>
        <v>5.5369063790406049E-2</v>
      </c>
      <c r="L183" s="88">
        <f t="shared" si="83"/>
        <v>0</v>
      </c>
      <c r="M183" s="41">
        <v>653333.32999999996</v>
      </c>
      <c r="N183" s="88">
        <f t="shared" si="84"/>
        <v>5.5369063790406049E-2</v>
      </c>
      <c r="O183" s="88">
        <f t="shared" si="85"/>
        <v>0</v>
      </c>
      <c r="P183" s="41">
        <v>653333.32999999996</v>
      </c>
      <c r="Q183" s="88">
        <f t="shared" si="86"/>
        <v>5.5369063790406049E-2</v>
      </c>
      <c r="R183" s="88">
        <f t="shared" si="87"/>
        <v>0</v>
      </c>
      <c r="S183" s="41">
        <v>653333.32999999996</v>
      </c>
      <c r="T183" s="88">
        <f t="shared" si="88"/>
        <v>5.5369063790406049E-2</v>
      </c>
      <c r="U183" s="88">
        <f t="shared" si="89"/>
        <v>0</v>
      </c>
      <c r="V183" s="41">
        <v>653333.32999999996</v>
      </c>
      <c r="W183" s="88">
        <f t="shared" si="90"/>
        <v>5.5369063790406049E-2</v>
      </c>
      <c r="X183" s="88">
        <f t="shared" si="91"/>
        <v>0</v>
      </c>
      <c r="Y183" s="41">
        <v>653333.32999999996</v>
      </c>
      <c r="Z183" s="88">
        <f t="shared" si="92"/>
        <v>5.5369063790406049E-2</v>
      </c>
      <c r="AA183" s="88">
        <f t="shared" si="93"/>
        <v>0</v>
      </c>
      <c r="AB183" s="41">
        <v>653333.32999999996</v>
      </c>
      <c r="AC183" s="88">
        <f t="shared" si="94"/>
        <v>5.5369063790406049E-2</v>
      </c>
      <c r="AD183" s="88">
        <f t="shared" si="95"/>
        <v>0</v>
      </c>
      <c r="AE183" s="41">
        <v>653333.32999999996</v>
      </c>
      <c r="AF183" s="88">
        <f t="shared" si="96"/>
        <v>5.5369063790406049E-2</v>
      </c>
      <c r="AG183" s="88">
        <f t="shared" si="97"/>
        <v>0</v>
      </c>
      <c r="AH183" s="41">
        <v>653333.32999999996</v>
      </c>
      <c r="AI183" s="88">
        <f t="shared" si="98"/>
        <v>5.5369063790406049E-2</v>
      </c>
      <c r="AJ183" s="88">
        <f t="shared" si="99"/>
        <v>0</v>
      </c>
      <c r="AK183" s="41">
        <v>653333.32999999996</v>
      </c>
      <c r="AL183" s="88">
        <f t="shared" si="100"/>
        <v>5.5369063790406049E-2</v>
      </c>
      <c r="AM183" s="88">
        <f t="shared" si="101"/>
        <v>0</v>
      </c>
      <c r="AN183" s="41">
        <v>653333.32999999996</v>
      </c>
      <c r="AO183" s="88">
        <f t="shared" si="102"/>
        <v>5.5369063790406049E-2</v>
      </c>
      <c r="AP183" s="88">
        <f t="shared" si="103"/>
        <v>-0.17647058897676715</v>
      </c>
    </row>
    <row r="184" spans="1:42" s="74" customFormat="1" x14ac:dyDescent="0.25">
      <c r="A184" s="89" t="s">
        <v>649</v>
      </c>
      <c r="B184" s="89" t="s">
        <v>617</v>
      </c>
      <c r="C184" s="89"/>
      <c r="D184" s="41">
        <v>79124.289999999994</v>
      </c>
      <c r="E184" s="88">
        <f t="shared" si="78"/>
        <v>6.7056702286726853E-3</v>
      </c>
      <c r="F184" s="88">
        <f t="shared" si="79"/>
        <v>0</v>
      </c>
      <c r="G184" s="41">
        <v>79124.289999999994</v>
      </c>
      <c r="H184" s="88">
        <f t="shared" si="80"/>
        <v>6.7056702286726853E-3</v>
      </c>
      <c r="I184" s="88">
        <f t="shared" si="81"/>
        <v>0</v>
      </c>
      <c r="J184" s="41">
        <v>79124.289999999994</v>
      </c>
      <c r="K184" s="88">
        <f t="shared" si="82"/>
        <v>6.7056702286726853E-3</v>
      </c>
      <c r="L184" s="88">
        <f t="shared" si="83"/>
        <v>0</v>
      </c>
      <c r="M184" s="41">
        <v>79124.289999999994</v>
      </c>
      <c r="N184" s="88">
        <f t="shared" si="84"/>
        <v>6.7056702286726853E-3</v>
      </c>
      <c r="O184" s="88">
        <f t="shared" si="85"/>
        <v>2.0106455299630497</v>
      </c>
      <c r="P184" s="41">
        <v>238215.19</v>
      </c>
      <c r="Q184" s="88">
        <f t="shared" si="86"/>
        <v>2.0188396099359723E-2</v>
      </c>
      <c r="R184" s="88">
        <f t="shared" si="87"/>
        <v>0</v>
      </c>
      <c r="S184" s="41">
        <v>238215.19</v>
      </c>
      <c r="T184" s="88">
        <f t="shared" si="88"/>
        <v>2.0188396099359723E-2</v>
      </c>
      <c r="U184" s="88">
        <f t="shared" si="89"/>
        <v>0</v>
      </c>
      <c r="V184" s="41">
        <v>238215.19</v>
      </c>
      <c r="W184" s="88">
        <f t="shared" si="90"/>
        <v>2.0188396099359723E-2</v>
      </c>
      <c r="X184" s="88">
        <f t="shared" si="91"/>
        <v>-0.33215467913696017</v>
      </c>
      <c r="Y184" s="41">
        <v>159090.9</v>
      </c>
      <c r="Z184" s="88">
        <f t="shared" si="92"/>
        <v>1.3482725870687034E-2</v>
      </c>
      <c r="AA184" s="88">
        <f t="shared" si="93"/>
        <v>0</v>
      </c>
      <c r="AB184" s="41">
        <v>159090.9</v>
      </c>
      <c r="AC184" s="88">
        <f t="shared" si="94"/>
        <v>1.3482725870687034E-2</v>
      </c>
      <c r="AD184" s="88">
        <f t="shared" si="95"/>
        <v>0</v>
      </c>
      <c r="AE184" s="41">
        <v>159090.9</v>
      </c>
      <c r="AF184" s="88">
        <f t="shared" si="96"/>
        <v>1.3482725870687034E-2</v>
      </c>
      <c r="AG184" s="88">
        <f t="shared" si="97"/>
        <v>0</v>
      </c>
      <c r="AH184" s="41">
        <v>159090.9</v>
      </c>
      <c r="AI184" s="88">
        <f t="shared" si="98"/>
        <v>1.3482725870687034E-2</v>
      </c>
      <c r="AJ184" s="88">
        <f t="shared" si="99"/>
        <v>9.1215148069436758E-3</v>
      </c>
      <c r="AK184" s="41">
        <v>160542.04999999999</v>
      </c>
      <c r="AL184" s="88">
        <f t="shared" si="100"/>
        <v>1.3605708754354469E-2</v>
      </c>
      <c r="AM184" s="88">
        <f t="shared" si="101"/>
        <v>0</v>
      </c>
      <c r="AN184" s="41">
        <v>160542.04999999999</v>
      </c>
      <c r="AO184" s="88">
        <f t="shared" si="102"/>
        <v>1.3605708754354469E-2</v>
      </c>
      <c r="AP184" s="88">
        <f t="shared" si="103"/>
        <v>1.0289856629361225</v>
      </c>
    </row>
    <row r="185" spans="1:42" s="74" customFormat="1" x14ac:dyDescent="0.25">
      <c r="A185" s="89" t="s">
        <v>650</v>
      </c>
      <c r="B185" s="89" t="s">
        <v>651</v>
      </c>
      <c r="C185" s="89"/>
      <c r="D185" s="41">
        <v>0</v>
      </c>
      <c r="E185" s="88">
        <f t="shared" si="78"/>
        <v>0</v>
      </c>
      <c r="F185" s="88">
        <f t="shared" si="79"/>
        <v>0</v>
      </c>
      <c r="G185" s="41">
        <v>0</v>
      </c>
      <c r="H185" s="88">
        <f t="shared" si="80"/>
        <v>0</v>
      </c>
      <c r="I185" s="88">
        <f t="shared" si="81"/>
        <v>0</v>
      </c>
      <c r="J185" s="41">
        <v>0</v>
      </c>
      <c r="K185" s="88">
        <f t="shared" si="82"/>
        <v>0</v>
      </c>
      <c r="L185" s="88">
        <f t="shared" si="83"/>
        <v>0</v>
      </c>
      <c r="M185" s="41">
        <v>0</v>
      </c>
      <c r="N185" s="88">
        <f t="shared" si="84"/>
        <v>0</v>
      </c>
      <c r="O185" s="88">
        <f t="shared" si="85"/>
        <v>0</v>
      </c>
      <c r="P185" s="41">
        <v>0</v>
      </c>
      <c r="Q185" s="88">
        <f t="shared" si="86"/>
        <v>0</v>
      </c>
      <c r="R185" s="88">
        <f t="shared" si="87"/>
        <v>0</v>
      </c>
      <c r="S185" s="41">
        <v>0</v>
      </c>
      <c r="T185" s="88">
        <f t="shared" si="88"/>
        <v>0</v>
      </c>
      <c r="U185" s="88">
        <f t="shared" si="89"/>
        <v>0</v>
      </c>
      <c r="V185" s="41">
        <v>0</v>
      </c>
      <c r="W185" s="88">
        <f t="shared" si="90"/>
        <v>0</v>
      </c>
      <c r="X185" s="88">
        <f t="shared" si="91"/>
        <v>0</v>
      </c>
      <c r="Y185" s="41">
        <v>0</v>
      </c>
      <c r="Z185" s="88">
        <f t="shared" si="92"/>
        <v>0</v>
      </c>
      <c r="AA185" s="88">
        <f t="shared" si="93"/>
        <v>0</v>
      </c>
      <c r="AB185" s="41">
        <v>0</v>
      </c>
      <c r="AC185" s="88">
        <f t="shared" si="94"/>
        <v>0</v>
      </c>
      <c r="AD185" s="88">
        <f t="shared" si="95"/>
        <v>0</v>
      </c>
      <c r="AE185" s="41">
        <v>0</v>
      </c>
      <c r="AF185" s="88">
        <f t="shared" si="96"/>
        <v>0</v>
      </c>
      <c r="AG185" s="88">
        <f t="shared" si="97"/>
        <v>0</v>
      </c>
      <c r="AH185" s="41">
        <v>0</v>
      </c>
      <c r="AI185" s="88">
        <f t="shared" si="98"/>
        <v>0</v>
      </c>
      <c r="AJ185" s="88">
        <f t="shared" si="99"/>
        <v>0</v>
      </c>
      <c r="AK185" s="41">
        <v>-60876.74</v>
      </c>
      <c r="AL185" s="88">
        <f t="shared" si="100"/>
        <v>-5.1592165065449261E-3</v>
      </c>
      <c r="AM185" s="88">
        <f t="shared" si="101"/>
        <v>0</v>
      </c>
      <c r="AN185" s="41">
        <v>-60876.74</v>
      </c>
      <c r="AO185" s="88">
        <f t="shared" si="102"/>
        <v>-5.1592165065449261E-3</v>
      </c>
      <c r="AP185" s="88">
        <f t="shared" si="103"/>
        <v>0</v>
      </c>
    </row>
    <row r="186" spans="1:42" s="63" customFormat="1" x14ac:dyDescent="0.25">
      <c r="A186" s="86" t="s">
        <v>652</v>
      </c>
      <c r="B186" s="86" t="s">
        <v>252</v>
      </c>
      <c r="C186" s="86"/>
      <c r="D186" s="87">
        <v>1540917.7900000003</v>
      </c>
      <c r="E186" s="88">
        <f t="shared" si="78"/>
        <v>0.13059057527385221</v>
      </c>
      <c r="F186" s="88">
        <f t="shared" si="79"/>
        <v>-0.21989104298679063</v>
      </c>
      <c r="G186" s="87">
        <v>1202083.7699999998</v>
      </c>
      <c r="H186" s="88">
        <f t="shared" si="80"/>
        <v>0.10187487747263986</v>
      </c>
      <c r="I186" s="88">
        <f t="shared" si="81"/>
        <v>0</v>
      </c>
      <c r="J186" s="87">
        <v>1202083.7699999998</v>
      </c>
      <c r="K186" s="88">
        <f t="shared" si="82"/>
        <v>0.10187487747263986</v>
      </c>
      <c r="L186" s="88">
        <f t="shared" si="83"/>
        <v>0.20990751751019854</v>
      </c>
      <c r="M186" s="87">
        <v>1454410.1900000002</v>
      </c>
      <c r="N186" s="88">
        <f t="shared" si="84"/>
        <v>0.12325918009957734</v>
      </c>
      <c r="O186" s="88">
        <f t="shared" si="85"/>
        <v>0</v>
      </c>
      <c r="P186" s="87">
        <v>1454410.1900000002</v>
      </c>
      <c r="Q186" s="88">
        <f t="shared" si="86"/>
        <v>0.12325918009957734</v>
      </c>
      <c r="R186" s="88">
        <f t="shared" si="87"/>
        <v>0</v>
      </c>
      <c r="S186" s="87">
        <v>1454410.1900000002</v>
      </c>
      <c r="T186" s="88">
        <f t="shared" si="88"/>
        <v>0.12325918009957734</v>
      </c>
      <c r="U186" s="88">
        <f t="shared" si="89"/>
        <v>0.21628944995221699</v>
      </c>
      <c r="V186" s="87">
        <v>1768983.7699999998</v>
      </c>
      <c r="W186" s="88">
        <f t="shared" si="90"/>
        <v>0.14991884036487618</v>
      </c>
      <c r="X186" s="88">
        <f t="shared" si="91"/>
        <v>0</v>
      </c>
      <c r="Y186" s="87">
        <v>1768983.7699999998</v>
      </c>
      <c r="Z186" s="88">
        <f t="shared" si="92"/>
        <v>0.14991884036487618</v>
      </c>
      <c r="AA186" s="88">
        <f t="shared" si="93"/>
        <v>0</v>
      </c>
      <c r="AB186" s="87">
        <v>1768983.7699999998</v>
      </c>
      <c r="AC186" s="88">
        <f t="shared" si="94"/>
        <v>0.14991884036487618</v>
      </c>
      <c r="AD186" s="88">
        <f t="shared" si="95"/>
        <v>0</v>
      </c>
      <c r="AE186" s="87">
        <v>1768983.7699999998</v>
      </c>
      <c r="AF186" s="88">
        <f t="shared" si="96"/>
        <v>0.14991884036487618</v>
      </c>
      <c r="AG186" s="88">
        <f t="shared" si="97"/>
        <v>0</v>
      </c>
      <c r="AH186" s="87">
        <v>1768983.7699999998</v>
      </c>
      <c r="AI186" s="88">
        <f t="shared" si="98"/>
        <v>0.14991884036487618</v>
      </c>
      <c r="AJ186" s="88">
        <f t="shared" si="99"/>
        <v>0</v>
      </c>
      <c r="AK186" s="87">
        <v>1768983.7699999998</v>
      </c>
      <c r="AL186" s="88">
        <f t="shared" si="100"/>
        <v>0.14991884036487618</v>
      </c>
      <c r="AM186" s="88">
        <f t="shared" si="101"/>
        <v>0</v>
      </c>
      <c r="AN186" s="87">
        <v>1768983.7699999998</v>
      </c>
      <c r="AO186" s="88">
        <f t="shared" si="102"/>
        <v>0.14991884036487618</v>
      </c>
      <c r="AP186" s="88">
        <f t="shared" si="103"/>
        <v>0.14800658508848774</v>
      </c>
    </row>
    <row r="187" spans="1:42" s="63" customFormat="1" x14ac:dyDescent="0.25">
      <c r="A187" s="86" t="s">
        <v>653</v>
      </c>
      <c r="B187" s="86" t="s">
        <v>738</v>
      </c>
      <c r="C187" s="86"/>
      <c r="D187" s="87">
        <v>1540917.7900000003</v>
      </c>
      <c r="E187" s="88">
        <f t="shared" si="78"/>
        <v>0.13059057527385221</v>
      </c>
      <c r="F187" s="88">
        <f t="shared" si="79"/>
        <v>-0.21989104298679063</v>
      </c>
      <c r="G187" s="87">
        <v>1202083.7699999998</v>
      </c>
      <c r="H187" s="88">
        <f t="shared" si="80"/>
        <v>0.10187487747263986</v>
      </c>
      <c r="I187" s="88">
        <f t="shared" si="81"/>
        <v>0</v>
      </c>
      <c r="J187" s="87">
        <v>1202083.7699999998</v>
      </c>
      <c r="K187" s="88">
        <f t="shared" si="82"/>
        <v>0.10187487747263986</v>
      </c>
      <c r="L187" s="88">
        <f t="shared" si="83"/>
        <v>0.20990751751019854</v>
      </c>
      <c r="M187" s="87">
        <v>1454410.1900000002</v>
      </c>
      <c r="N187" s="88">
        <f t="shared" si="84"/>
        <v>0.12325918009957734</v>
      </c>
      <c r="O187" s="88">
        <f t="shared" si="85"/>
        <v>0</v>
      </c>
      <c r="P187" s="87">
        <v>1454410.1900000002</v>
      </c>
      <c r="Q187" s="88">
        <f t="shared" si="86"/>
        <v>0.12325918009957734</v>
      </c>
      <c r="R187" s="88">
        <f t="shared" si="87"/>
        <v>0</v>
      </c>
      <c r="S187" s="87">
        <v>1454410.1900000002</v>
      </c>
      <c r="T187" s="88">
        <f t="shared" si="88"/>
        <v>0.12325918009957734</v>
      </c>
      <c r="U187" s="88">
        <f t="shared" si="89"/>
        <v>0.21628944995221699</v>
      </c>
      <c r="V187" s="87">
        <v>1768983.7699999998</v>
      </c>
      <c r="W187" s="88">
        <f t="shared" si="90"/>
        <v>0.14991884036487618</v>
      </c>
      <c r="X187" s="88">
        <f t="shared" si="91"/>
        <v>0</v>
      </c>
      <c r="Y187" s="87">
        <v>1768983.7699999998</v>
      </c>
      <c r="Z187" s="88">
        <f t="shared" si="92"/>
        <v>0.14991884036487618</v>
      </c>
      <c r="AA187" s="88">
        <f t="shared" si="93"/>
        <v>0</v>
      </c>
      <c r="AB187" s="87">
        <v>1768983.7699999998</v>
      </c>
      <c r="AC187" s="88">
        <f t="shared" si="94"/>
        <v>0.14991884036487618</v>
      </c>
      <c r="AD187" s="88">
        <f t="shared" si="95"/>
        <v>0</v>
      </c>
      <c r="AE187" s="87">
        <v>1768983.7699999998</v>
      </c>
      <c r="AF187" s="88">
        <f t="shared" si="96"/>
        <v>0.14991884036487618</v>
      </c>
      <c r="AG187" s="88">
        <f t="shared" si="97"/>
        <v>0</v>
      </c>
      <c r="AH187" s="87">
        <v>1768983.7699999998</v>
      </c>
      <c r="AI187" s="88">
        <f t="shared" si="98"/>
        <v>0.14991884036487618</v>
      </c>
      <c r="AJ187" s="88">
        <f t="shared" si="99"/>
        <v>0</v>
      </c>
      <c r="AK187" s="87">
        <v>1768983.7699999998</v>
      </c>
      <c r="AL187" s="88">
        <f t="shared" si="100"/>
        <v>0.14991884036487618</v>
      </c>
      <c r="AM187" s="88">
        <f t="shared" si="101"/>
        <v>0</v>
      </c>
      <c r="AN187" s="87">
        <v>1768983.7699999998</v>
      </c>
      <c r="AO187" s="88">
        <f t="shared" si="102"/>
        <v>0.14991884036487618</v>
      </c>
      <c r="AP187" s="88">
        <f t="shared" si="103"/>
        <v>0.14800658508848774</v>
      </c>
    </row>
    <row r="188" spans="1:42" s="74" customFormat="1" x14ac:dyDescent="0.25">
      <c r="A188" s="89" t="s">
        <v>654</v>
      </c>
      <c r="B188" s="89" t="s">
        <v>655</v>
      </c>
      <c r="C188" s="89"/>
      <c r="D188" s="41">
        <v>173499.77</v>
      </c>
      <c r="E188" s="88">
        <f t="shared" si="78"/>
        <v>1.4703856961883113E-2</v>
      </c>
      <c r="F188" s="88">
        <f t="shared" si="79"/>
        <v>-0.15091264962483808</v>
      </c>
      <c r="G188" s="41">
        <v>147316.46</v>
      </c>
      <c r="H188" s="88">
        <f t="shared" si="80"/>
        <v>1.2484858948060711E-2</v>
      </c>
      <c r="I188" s="88">
        <f t="shared" si="81"/>
        <v>0</v>
      </c>
      <c r="J188" s="41">
        <v>147316.46</v>
      </c>
      <c r="K188" s="88">
        <f t="shared" si="82"/>
        <v>1.2484858948060711E-2</v>
      </c>
      <c r="L188" s="88">
        <f t="shared" si="83"/>
        <v>0</v>
      </c>
      <c r="M188" s="41">
        <v>147316.46</v>
      </c>
      <c r="N188" s="88">
        <f t="shared" si="84"/>
        <v>1.2484858948060711E-2</v>
      </c>
      <c r="O188" s="88">
        <f t="shared" si="85"/>
        <v>0</v>
      </c>
      <c r="P188" s="41">
        <v>147316.46</v>
      </c>
      <c r="Q188" s="88">
        <f t="shared" si="86"/>
        <v>1.2484858948060711E-2</v>
      </c>
      <c r="R188" s="88">
        <f t="shared" si="87"/>
        <v>0</v>
      </c>
      <c r="S188" s="41">
        <v>147316.46</v>
      </c>
      <c r="T188" s="88">
        <f t="shared" si="88"/>
        <v>1.2484858948060711E-2</v>
      </c>
      <c r="U188" s="88">
        <f t="shared" si="89"/>
        <v>0</v>
      </c>
      <c r="V188" s="41">
        <v>147316.46</v>
      </c>
      <c r="W188" s="88">
        <f t="shared" si="90"/>
        <v>1.2484858948060711E-2</v>
      </c>
      <c r="X188" s="88">
        <f t="shared" si="91"/>
        <v>0</v>
      </c>
      <c r="Y188" s="41">
        <v>147316.46</v>
      </c>
      <c r="Z188" s="88">
        <f t="shared" si="92"/>
        <v>1.2484858948060711E-2</v>
      </c>
      <c r="AA188" s="88">
        <f t="shared" si="93"/>
        <v>0</v>
      </c>
      <c r="AB188" s="41">
        <v>147316.46</v>
      </c>
      <c r="AC188" s="88">
        <f t="shared" si="94"/>
        <v>1.2484858948060711E-2</v>
      </c>
      <c r="AD188" s="88">
        <f t="shared" si="95"/>
        <v>0</v>
      </c>
      <c r="AE188" s="41">
        <v>147316.46</v>
      </c>
      <c r="AF188" s="88">
        <f t="shared" si="96"/>
        <v>1.2484858948060711E-2</v>
      </c>
      <c r="AG188" s="88">
        <f t="shared" si="97"/>
        <v>0</v>
      </c>
      <c r="AH188" s="41">
        <v>147316.46</v>
      </c>
      <c r="AI188" s="88">
        <f t="shared" si="98"/>
        <v>1.2484858948060711E-2</v>
      </c>
      <c r="AJ188" s="88">
        <f t="shared" si="99"/>
        <v>0</v>
      </c>
      <c r="AK188" s="41">
        <v>147316.46</v>
      </c>
      <c r="AL188" s="88">
        <f t="shared" si="100"/>
        <v>1.2484858948060711E-2</v>
      </c>
      <c r="AM188" s="88">
        <f t="shared" si="101"/>
        <v>0</v>
      </c>
      <c r="AN188" s="41">
        <v>147316.46</v>
      </c>
      <c r="AO188" s="88">
        <f t="shared" si="102"/>
        <v>1.2484858948060711E-2</v>
      </c>
      <c r="AP188" s="88">
        <f t="shared" si="103"/>
        <v>-0.15091264962483808</v>
      </c>
    </row>
    <row r="189" spans="1:42" s="74" customFormat="1" x14ac:dyDescent="0.25">
      <c r="A189" s="89" t="s">
        <v>656</v>
      </c>
      <c r="B189" s="89" t="s">
        <v>657</v>
      </c>
      <c r="C189" s="89"/>
      <c r="D189" s="41">
        <v>1275157.81</v>
      </c>
      <c r="E189" s="88">
        <f t="shared" si="78"/>
        <v>0.10806779768104664</v>
      </c>
      <c r="F189" s="88">
        <f t="shared" si="79"/>
        <v>-0.20518585852522842</v>
      </c>
      <c r="G189" s="41">
        <v>1013513.46</v>
      </c>
      <c r="H189" s="88">
        <f t="shared" si="80"/>
        <v>8.5893813834930402E-2</v>
      </c>
      <c r="I189" s="88">
        <f t="shared" si="81"/>
        <v>0</v>
      </c>
      <c r="J189" s="41">
        <v>1013513.46</v>
      </c>
      <c r="K189" s="88">
        <f t="shared" si="82"/>
        <v>8.5893813834930402E-2</v>
      </c>
      <c r="L189" s="88">
        <f t="shared" si="83"/>
        <v>0.11194143391050781</v>
      </c>
      <c r="M189" s="41">
        <v>1126967.6100000001</v>
      </c>
      <c r="N189" s="88">
        <f t="shared" si="84"/>
        <v>9.5508890519654735E-2</v>
      </c>
      <c r="O189" s="88">
        <f t="shared" si="85"/>
        <v>0</v>
      </c>
      <c r="P189" s="41">
        <v>1126967.6100000001</v>
      </c>
      <c r="Q189" s="88">
        <f t="shared" si="86"/>
        <v>9.5508890519654735E-2</v>
      </c>
      <c r="R189" s="88">
        <f t="shared" si="87"/>
        <v>0</v>
      </c>
      <c r="S189" s="41">
        <v>1126967.6100000001</v>
      </c>
      <c r="T189" s="88">
        <f t="shared" si="88"/>
        <v>9.5508890519654735E-2</v>
      </c>
      <c r="U189" s="88">
        <f t="shared" si="89"/>
        <v>0.15936720665822857</v>
      </c>
      <c r="V189" s="41">
        <v>1306569.29</v>
      </c>
      <c r="W189" s="88">
        <f t="shared" si="90"/>
        <v>0.11072987561279866</v>
      </c>
      <c r="X189" s="88">
        <f t="shared" si="91"/>
        <v>0</v>
      </c>
      <c r="Y189" s="41">
        <v>1306569.29</v>
      </c>
      <c r="Z189" s="88">
        <f t="shared" si="92"/>
        <v>0.11072987561279866</v>
      </c>
      <c r="AA189" s="88">
        <f t="shared" si="93"/>
        <v>0</v>
      </c>
      <c r="AB189" s="41">
        <v>1306569.29</v>
      </c>
      <c r="AC189" s="88">
        <f t="shared" si="94"/>
        <v>0.11072987561279866</v>
      </c>
      <c r="AD189" s="88">
        <f t="shared" si="95"/>
        <v>0</v>
      </c>
      <c r="AE189" s="41">
        <v>1306569.29</v>
      </c>
      <c r="AF189" s="88">
        <f t="shared" si="96"/>
        <v>0.11072987561279866</v>
      </c>
      <c r="AG189" s="88">
        <f t="shared" si="97"/>
        <v>0</v>
      </c>
      <c r="AH189" s="41">
        <v>1306569.29</v>
      </c>
      <c r="AI189" s="88">
        <f t="shared" si="98"/>
        <v>0.11072987561279866</v>
      </c>
      <c r="AJ189" s="88">
        <f t="shared" si="99"/>
        <v>0</v>
      </c>
      <c r="AK189" s="41">
        <v>1306569.29</v>
      </c>
      <c r="AL189" s="88">
        <f t="shared" si="100"/>
        <v>0.11072987561279866</v>
      </c>
      <c r="AM189" s="88">
        <f t="shared" si="101"/>
        <v>0</v>
      </c>
      <c r="AN189" s="41">
        <v>1306569.29</v>
      </c>
      <c r="AO189" s="88">
        <f t="shared" si="102"/>
        <v>0.11072987561279866</v>
      </c>
      <c r="AP189" s="88">
        <f t="shared" si="103"/>
        <v>2.4633405962513732E-2</v>
      </c>
    </row>
    <row r="190" spans="1:42" s="74" customFormat="1" x14ac:dyDescent="0.25">
      <c r="A190" s="89" t="s">
        <v>658</v>
      </c>
      <c r="B190" s="89" t="s">
        <v>659</v>
      </c>
      <c r="C190" s="89"/>
      <c r="D190" s="41">
        <v>31115.55</v>
      </c>
      <c r="E190" s="88">
        <f t="shared" si="78"/>
        <v>2.6369982881840255E-3</v>
      </c>
      <c r="F190" s="88">
        <f t="shared" si="79"/>
        <v>-0.52173913043478259</v>
      </c>
      <c r="G190" s="41">
        <v>14881.35</v>
      </c>
      <c r="H190" s="88">
        <f t="shared" si="80"/>
        <v>1.2611730943488818E-3</v>
      </c>
      <c r="I190" s="88">
        <f t="shared" si="81"/>
        <v>0</v>
      </c>
      <c r="J190" s="41">
        <v>14881.35</v>
      </c>
      <c r="K190" s="88">
        <f t="shared" si="82"/>
        <v>1.2611730943488818E-3</v>
      </c>
      <c r="L190" s="88">
        <f t="shared" si="83"/>
        <v>2.1102184949618144</v>
      </c>
      <c r="M190" s="41">
        <v>46284.25</v>
      </c>
      <c r="N190" s="88">
        <f t="shared" si="84"/>
        <v>3.9225238833921136E-3</v>
      </c>
      <c r="O190" s="88">
        <f t="shared" si="85"/>
        <v>0</v>
      </c>
      <c r="P190" s="41">
        <v>46284.25</v>
      </c>
      <c r="Q190" s="88">
        <f t="shared" si="86"/>
        <v>3.9225238833921136E-3</v>
      </c>
      <c r="R190" s="88">
        <f t="shared" si="87"/>
        <v>0</v>
      </c>
      <c r="S190" s="41">
        <v>46284.25</v>
      </c>
      <c r="T190" s="88">
        <f t="shared" si="88"/>
        <v>3.9225238833921136E-3</v>
      </c>
      <c r="U190" s="88">
        <f t="shared" si="89"/>
        <v>0.54440700670314413</v>
      </c>
      <c r="V190" s="41">
        <v>71481.72</v>
      </c>
      <c r="W190" s="88">
        <f t="shared" si="90"/>
        <v>6.0579733694712075E-3</v>
      </c>
      <c r="X190" s="88">
        <f t="shared" si="91"/>
        <v>0</v>
      </c>
      <c r="Y190" s="41">
        <v>71481.72</v>
      </c>
      <c r="Z190" s="88">
        <f t="shared" si="92"/>
        <v>6.0579733694712075E-3</v>
      </c>
      <c r="AA190" s="88">
        <f t="shared" si="93"/>
        <v>0</v>
      </c>
      <c r="AB190" s="41">
        <v>71481.72</v>
      </c>
      <c r="AC190" s="88">
        <f t="shared" si="94"/>
        <v>6.0579733694712075E-3</v>
      </c>
      <c r="AD190" s="88">
        <f t="shared" si="95"/>
        <v>0</v>
      </c>
      <c r="AE190" s="41">
        <v>71481.72</v>
      </c>
      <c r="AF190" s="88">
        <f t="shared" si="96"/>
        <v>6.0579733694712075E-3</v>
      </c>
      <c r="AG190" s="88">
        <f t="shared" si="97"/>
        <v>0</v>
      </c>
      <c r="AH190" s="41">
        <v>71481.72</v>
      </c>
      <c r="AI190" s="88">
        <f t="shared" si="98"/>
        <v>6.0579733694712075E-3</v>
      </c>
      <c r="AJ190" s="88">
        <f t="shared" si="99"/>
        <v>0</v>
      </c>
      <c r="AK190" s="41">
        <v>71481.72</v>
      </c>
      <c r="AL190" s="88">
        <f t="shared" si="100"/>
        <v>6.0579733694712075E-3</v>
      </c>
      <c r="AM190" s="88">
        <f t="shared" si="101"/>
        <v>0</v>
      </c>
      <c r="AN190" s="41">
        <v>71481.72</v>
      </c>
      <c r="AO190" s="88">
        <f t="shared" si="102"/>
        <v>6.0579733694712075E-3</v>
      </c>
      <c r="AP190" s="88">
        <f t="shared" si="103"/>
        <v>1.2972989389549601</v>
      </c>
    </row>
    <row r="191" spans="1:42" s="74" customFormat="1" x14ac:dyDescent="0.25">
      <c r="A191" s="89" t="s">
        <v>660</v>
      </c>
      <c r="B191" s="89" t="s">
        <v>661</v>
      </c>
      <c r="C191" s="89"/>
      <c r="D191" s="41">
        <v>18744.77</v>
      </c>
      <c r="E191" s="88">
        <f t="shared" si="78"/>
        <v>1.5885924048394862E-3</v>
      </c>
      <c r="F191" s="88">
        <f t="shared" si="79"/>
        <v>-0.52173913043478271</v>
      </c>
      <c r="G191" s="41">
        <v>8964.89</v>
      </c>
      <c r="H191" s="88">
        <f t="shared" si="80"/>
        <v>7.5976158492323254E-4</v>
      </c>
      <c r="I191" s="88">
        <f t="shared" si="81"/>
        <v>0</v>
      </c>
      <c r="J191" s="41">
        <v>8964.89</v>
      </c>
      <c r="K191" s="88">
        <f t="shared" si="82"/>
        <v>7.5976158492323254E-4</v>
      </c>
      <c r="L191" s="88">
        <f t="shared" si="83"/>
        <v>1.943626748348279</v>
      </c>
      <c r="M191" s="41">
        <v>26389.29</v>
      </c>
      <c r="N191" s="88">
        <f t="shared" si="84"/>
        <v>2.2364545237475095E-3</v>
      </c>
      <c r="O191" s="88">
        <f t="shared" si="85"/>
        <v>0</v>
      </c>
      <c r="P191" s="41">
        <v>26389.29</v>
      </c>
      <c r="Q191" s="88">
        <f t="shared" si="86"/>
        <v>2.2364545237475095E-3</v>
      </c>
      <c r="R191" s="88">
        <f t="shared" si="87"/>
        <v>0</v>
      </c>
      <c r="S191" s="41">
        <v>26389.29</v>
      </c>
      <c r="T191" s="88">
        <f t="shared" si="88"/>
        <v>2.2364545237475095E-3</v>
      </c>
      <c r="U191" s="88">
        <f t="shared" si="89"/>
        <v>0.55182803326652596</v>
      </c>
      <c r="V191" s="41">
        <v>40951.64</v>
      </c>
      <c r="W191" s="88">
        <f t="shared" si="90"/>
        <v>3.4705928250771227E-3</v>
      </c>
      <c r="X191" s="88">
        <f t="shared" si="91"/>
        <v>0</v>
      </c>
      <c r="Y191" s="41">
        <v>40951.64</v>
      </c>
      <c r="Z191" s="88">
        <f t="shared" si="92"/>
        <v>3.4705928250771227E-3</v>
      </c>
      <c r="AA191" s="88">
        <f t="shared" si="93"/>
        <v>0</v>
      </c>
      <c r="AB191" s="41">
        <v>40951.64</v>
      </c>
      <c r="AC191" s="88">
        <f t="shared" si="94"/>
        <v>3.4705928250771227E-3</v>
      </c>
      <c r="AD191" s="88">
        <f t="shared" si="95"/>
        <v>0</v>
      </c>
      <c r="AE191" s="41">
        <v>40951.64</v>
      </c>
      <c r="AF191" s="88">
        <f t="shared" si="96"/>
        <v>3.4705928250771227E-3</v>
      </c>
      <c r="AG191" s="88">
        <f t="shared" si="97"/>
        <v>0</v>
      </c>
      <c r="AH191" s="41">
        <v>40951.64</v>
      </c>
      <c r="AI191" s="88">
        <f t="shared" si="98"/>
        <v>3.4705928250771227E-3</v>
      </c>
      <c r="AJ191" s="88">
        <f t="shared" si="99"/>
        <v>0</v>
      </c>
      <c r="AK191" s="41">
        <v>40951.64</v>
      </c>
      <c r="AL191" s="88">
        <f t="shared" si="100"/>
        <v>3.4705928250771227E-3</v>
      </c>
      <c r="AM191" s="88">
        <f t="shared" si="101"/>
        <v>0</v>
      </c>
      <c r="AN191" s="41">
        <v>40951.64</v>
      </c>
      <c r="AO191" s="88">
        <f t="shared" si="102"/>
        <v>3.4705928250771227E-3</v>
      </c>
      <c r="AP191" s="88">
        <f t="shared" si="103"/>
        <v>1.1846968514417622</v>
      </c>
    </row>
    <row r="192" spans="1:42" s="74" customFormat="1" x14ac:dyDescent="0.25">
      <c r="A192" s="89" t="s">
        <v>662</v>
      </c>
      <c r="B192" s="89" t="s">
        <v>663</v>
      </c>
      <c r="C192" s="89"/>
      <c r="D192" s="41">
        <v>17506.3</v>
      </c>
      <c r="E192" s="88">
        <f t="shared" si="78"/>
        <v>1.48363384649913E-3</v>
      </c>
      <c r="F192" s="88">
        <f t="shared" si="79"/>
        <v>-0.68571428571428572</v>
      </c>
      <c r="G192" s="41">
        <v>5501.98</v>
      </c>
      <c r="H192" s="88">
        <f t="shared" si="80"/>
        <v>4.6628492318544082E-4</v>
      </c>
      <c r="I192" s="88">
        <f t="shared" si="81"/>
        <v>0</v>
      </c>
      <c r="J192" s="41">
        <v>5501.98</v>
      </c>
      <c r="K192" s="88">
        <f t="shared" si="82"/>
        <v>4.6628492318544082E-4</v>
      </c>
      <c r="L192" s="88">
        <f t="shared" si="83"/>
        <v>2.7897302425672215</v>
      </c>
      <c r="M192" s="41">
        <v>20851.02</v>
      </c>
      <c r="N192" s="88">
        <f t="shared" si="84"/>
        <v>1.767094075048999E-3</v>
      </c>
      <c r="O192" s="88">
        <f t="shared" si="85"/>
        <v>0</v>
      </c>
      <c r="P192" s="41">
        <v>20851.02</v>
      </c>
      <c r="Q192" s="88">
        <f t="shared" si="86"/>
        <v>1.767094075048999E-3</v>
      </c>
      <c r="R192" s="88">
        <f t="shared" si="87"/>
        <v>0</v>
      </c>
      <c r="S192" s="41">
        <v>20851.02</v>
      </c>
      <c r="T192" s="88">
        <f t="shared" si="88"/>
        <v>1.767094075048999E-3</v>
      </c>
      <c r="U192" s="88">
        <f t="shared" si="89"/>
        <v>2.6101202722936336</v>
      </c>
      <c r="V192" s="41">
        <v>75274.69</v>
      </c>
      <c r="W192" s="88">
        <f t="shared" si="90"/>
        <v>6.3794221433843591E-3</v>
      </c>
      <c r="X192" s="88">
        <f t="shared" si="91"/>
        <v>0</v>
      </c>
      <c r="Y192" s="41">
        <v>75274.69</v>
      </c>
      <c r="Z192" s="88">
        <f t="shared" si="92"/>
        <v>6.3794221433843591E-3</v>
      </c>
      <c r="AA192" s="88">
        <f t="shared" si="93"/>
        <v>0</v>
      </c>
      <c r="AB192" s="41">
        <v>75274.69</v>
      </c>
      <c r="AC192" s="88">
        <f t="shared" si="94"/>
        <v>6.3794221433843591E-3</v>
      </c>
      <c r="AD192" s="88">
        <f t="shared" si="95"/>
        <v>0</v>
      </c>
      <c r="AE192" s="41">
        <v>75274.69</v>
      </c>
      <c r="AF192" s="88">
        <f t="shared" si="96"/>
        <v>6.3794221433843591E-3</v>
      </c>
      <c r="AG192" s="88">
        <f t="shared" si="97"/>
        <v>0</v>
      </c>
      <c r="AH192" s="41">
        <v>75274.69</v>
      </c>
      <c r="AI192" s="88">
        <f t="shared" si="98"/>
        <v>6.3794221433843591E-3</v>
      </c>
      <c r="AJ192" s="88">
        <f t="shared" si="99"/>
        <v>0</v>
      </c>
      <c r="AK192" s="41">
        <v>75274.69</v>
      </c>
      <c r="AL192" s="88">
        <f t="shared" si="100"/>
        <v>6.3794221433843591E-3</v>
      </c>
      <c r="AM192" s="88">
        <f t="shared" si="101"/>
        <v>0</v>
      </c>
      <c r="AN192" s="41">
        <v>75274.69</v>
      </c>
      <c r="AO192" s="88">
        <f t="shared" si="102"/>
        <v>6.3794221433843591E-3</v>
      </c>
      <c r="AP192" s="88">
        <f t="shared" si="103"/>
        <v>3.2998629064965188</v>
      </c>
    </row>
    <row r="193" spans="1:42" s="74" customFormat="1" x14ac:dyDescent="0.25">
      <c r="A193" s="89" t="s">
        <v>664</v>
      </c>
      <c r="B193" s="89" t="s">
        <v>665</v>
      </c>
      <c r="C193" s="89"/>
      <c r="D193" s="41">
        <v>24893.59</v>
      </c>
      <c r="E193" s="88">
        <f t="shared" si="78"/>
        <v>2.1096960913997978E-3</v>
      </c>
      <c r="F193" s="88">
        <f t="shared" si="79"/>
        <v>-0.52173913043478271</v>
      </c>
      <c r="G193" s="41">
        <v>11905.63</v>
      </c>
      <c r="H193" s="88">
        <f t="shared" si="80"/>
        <v>1.0089850871912076E-3</v>
      </c>
      <c r="I193" s="88">
        <f t="shared" si="81"/>
        <v>0</v>
      </c>
      <c r="J193" s="41">
        <v>11905.63</v>
      </c>
      <c r="K193" s="88">
        <f t="shared" si="82"/>
        <v>1.0089850871912076E-3</v>
      </c>
      <c r="L193" s="88">
        <f t="shared" si="83"/>
        <v>6.2740006198747986</v>
      </c>
      <c r="M193" s="41">
        <v>86601.56</v>
      </c>
      <c r="N193" s="88">
        <f t="shared" si="84"/>
        <v>7.3393581496732719E-3</v>
      </c>
      <c r="O193" s="88">
        <f t="shared" si="85"/>
        <v>0</v>
      </c>
      <c r="P193" s="41">
        <v>86601.56</v>
      </c>
      <c r="Q193" s="88">
        <f t="shared" si="86"/>
        <v>7.3393581496732719E-3</v>
      </c>
      <c r="R193" s="88">
        <f t="shared" si="87"/>
        <v>0</v>
      </c>
      <c r="S193" s="41">
        <v>86601.56</v>
      </c>
      <c r="T193" s="88">
        <f t="shared" si="88"/>
        <v>7.3393581496732719E-3</v>
      </c>
      <c r="U193" s="88">
        <f t="shared" si="89"/>
        <v>0.47098932167041796</v>
      </c>
      <c r="V193" s="41">
        <v>127389.97</v>
      </c>
      <c r="W193" s="88">
        <f t="shared" si="90"/>
        <v>1.0796117466084139E-2</v>
      </c>
      <c r="X193" s="88">
        <f t="shared" si="91"/>
        <v>0</v>
      </c>
      <c r="Y193" s="41">
        <v>127389.97</v>
      </c>
      <c r="Z193" s="88">
        <f t="shared" si="92"/>
        <v>1.0796117466084139E-2</v>
      </c>
      <c r="AA193" s="88">
        <f t="shared" si="93"/>
        <v>0</v>
      </c>
      <c r="AB193" s="41">
        <v>127389.97</v>
      </c>
      <c r="AC193" s="88">
        <f t="shared" si="94"/>
        <v>1.0796117466084139E-2</v>
      </c>
      <c r="AD193" s="88">
        <f t="shared" si="95"/>
        <v>0</v>
      </c>
      <c r="AE193" s="41">
        <v>127389.97</v>
      </c>
      <c r="AF193" s="88">
        <f t="shared" si="96"/>
        <v>1.0796117466084139E-2</v>
      </c>
      <c r="AG193" s="88">
        <f t="shared" si="97"/>
        <v>0</v>
      </c>
      <c r="AH193" s="41">
        <v>127389.97</v>
      </c>
      <c r="AI193" s="88">
        <f t="shared" si="98"/>
        <v>1.0796117466084139E-2</v>
      </c>
      <c r="AJ193" s="88">
        <f t="shared" si="99"/>
        <v>0</v>
      </c>
      <c r="AK193" s="41">
        <v>127389.97</v>
      </c>
      <c r="AL193" s="88">
        <f t="shared" si="100"/>
        <v>1.0796117466084139E-2</v>
      </c>
      <c r="AM193" s="88">
        <f t="shared" si="101"/>
        <v>0</v>
      </c>
      <c r="AN193" s="41">
        <v>127389.97</v>
      </c>
      <c r="AO193" s="88">
        <f t="shared" si="102"/>
        <v>1.0796117466084139E-2</v>
      </c>
      <c r="AP193" s="88">
        <f t="shared" si="103"/>
        <v>4.1173804180112228</v>
      </c>
    </row>
    <row r="194" spans="1:42" s="63" customFormat="1" x14ac:dyDescent="0.25">
      <c r="A194" s="86" t="s">
        <v>295</v>
      </c>
      <c r="B194" s="86" t="s">
        <v>296</v>
      </c>
      <c r="C194" s="86"/>
      <c r="D194" s="87">
        <v>3776300.39</v>
      </c>
      <c r="E194" s="88">
        <f t="shared" si="78"/>
        <v>0.32003604834555932</v>
      </c>
      <c r="F194" s="88">
        <f t="shared" si="79"/>
        <v>-0.21425746271206991</v>
      </c>
      <c r="G194" s="87">
        <v>2967199.85</v>
      </c>
      <c r="H194" s="88">
        <f t="shared" si="80"/>
        <v>0.25146593665064243</v>
      </c>
      <c r="I194" s="88">
        <f t="shared" si="81"/>
        <v>-0.10510512798792437</v>
      </c>
      <c r="J194" s="87">
        <v>2655331.9300000002</v>
      </c>
      <c r="K194" s="88">
        <f t="shared" si="82"/>
        <v>0.22503557719437339</v>
      </c>
      <c r="L194" s="88">
        <f t="shared" si="83"/>
        <v>-4.589768933332572E-2</v>
      </c>
      <c r="M194" s="87">
        <v>2533458.33</v>
      </c>
      <c r="N194" s="88">
        <f t="shared" si="84"/>
        <v>0.21470696418336041</v>
      </c>
      <c r="O194" s="88">
        <f t="shared" si="85"/>
        <v>-0.15502831262276973</v>
      </c>
      <c r="P194" s="87">
        <v>2140700.56</v>
      </c>
      <c r="Q194" s="88">
        <f t="shared" si="86"/>
        <v>0.18142130581765661</v>
      </c>
      <c r="R194" s="88">
        <f t="shared" si="87"/>
        <v>-8.9718577921986342E-2</v>
      </c>
      <c r="S194" s="87">
        <v>1948639.9500000002</v>
      </c>
      <c r="T194" s="88">
        <f t="shared" si="88"/>
        <v>0.16514444425494665</v>
      </c>
      <c r="U194" s="88">
        <f t="shared" si="89"/>
        <v>0.26218721934752431</v>
      </c>
      <c r="V194" s="87">
        <v>2459548.439999999</v>
      </c>
      <c r="W194" s="88">
        <f t="shared" si="90"/>
        <v>0.20844320688484336</v>
      </c>
      <c r="X194" s="88">
        <f t="shared" si="91"/>
        <v>-0.19540555582633679</v>
      </c>
      <c r="Y194" s="87">
        <v>1978939.0099999998</v>
      </c>
      <c r="Z194" s="88">
        <f t="shared" si="92"/>
        <v>0.16771224618528643</v>
      </c>
      <c r="AA194" s="88">
        <f t="shared" si="93"/>
        <v>-8.9809033579060227E-3</v>
      </c>
      <c r="AB194" s="87">
        <v>1961166.3499999996</v>
      </c>
      <c r="AC194" s="88">
        <f t="shared" si="94"/>
        <v>0.16620603871035905</v>
      </c>
      <c r="AD194" s="88">
        <f t="shared" si="95"/>
        <v>-0.10745753413523573</v>
      </c>
      <c r="AE194" s="87">
        <v>1750424.2499999991</v>
      </c>
      <c r="AF194" s="88">
        <f t="shared" si="96"/>
        <v>0.14834594763215833</v>
      </c>
      <c r="AG194" s="88">
        <f t="shared" si="97"/>
        <v>-0.14896421253304648</v>
      </c>
      <c r="AH194" s="87">
        <v>1489673.6800000006</v>
      </c>
      <c r="AI194" s="88">
        <f t="shared" si="98"/>
        <v>0.12624771036066532</v>
      </c>
      <c r="AJ194" s="88">
        <f t="shared" si="99"/>
        <v>-0.14077038670643649</v>
      </c>
      <c r="AK194" s="87">
        <v>1279971.7400000002</v>
      </c>
      <c r="AL194" s="88">
        <f t="shared" si="100"/>
        <v>0.10847577135239227</v>
      </c>
      <c r="AM194" s="88">
        <f t="shared" si="101"/>
        <v>-3.5785322885331818</v>
      </c>
      <c r="AN194" s="87">
        <v>-3300448.4599999995</v>
      </c>
      <c r="AO194" s="88">
        <f t="shared" si="102"/>
        <v>-0.27970827895568617</v>
      </c>
      <c r="AP194" s="88">
        <f t="shared" si="103"/>
        <v>-1.8739899158287034</v>
      </c>
    </row>
    <row r="195" spans="1:42" s="63" customFormat="1" x14ac:dyDescent="0.25">
      <c r="A195" s="86" t="s">
        <v>297</v>
      </c>
      <c r="B195" s="86" t="s">
        <v>298</v>
      </c>
      <c r="C195" s="86"/>
      <c r="D195" s="87">
        <v>600000</v>
      </c>
      <c r="E195" s="88">
        <f t="shared" si="78"/>
        <v>5.0849140475113415E-2</v>
      </c>
      <c r="F195" s="88">
        <f t="shared" si="79"/>
        <v>0</v>
      </c>
      <c r="G195" s="87">
        <v>600000</v>
      </c>
      <c r="H195" s="88">
        <f t="shared" si="80"/>
        <v>5.0849140475113415E-2</v>
      </c>
      <c r="I195" s="88">
        <f t="shared" si="81"/>
        <v>0</v>
      </c>
      <c r="J195" s="87">
        <v>600000</v>
      </c>
      <c r="K195" s="88">
        <f t="shared" si="82"/>
        <v>5.0849140475113415E-2</v>
      </c>
      <c r="L195" s="88">
        <f t="shared" si="83"/>
        <v>0</v>
      </c>
      <c r="M195" s="87">
        <v>600000</v>
      </c>
      <c r="N195" s="88">
        <f t="shared" si="84"/>
        <v>5.0849140475113415E-2</v>
      </c>
      <c r="O195" s="88">
        <f t="shared" si="85"/>
        <v>0</v>
      </c>
      <c r="P195" s="87">
        <v>600000</v>
      </c>
      <c r="Q195" s="88">
        <f t="shared" si="86"/>
        <v>5.0849140475113415E-2</v>
      </c>
      <c r="R195" s="88">
        <f t="shared" si="87"/>
        <v>0</v>
      </c>
      <c r="S195" s="87">
        <v>600000</v>
      </c>
      <c r="T195" s="88">
        <f t="shared" si="88"/>
        <v>5.0849140475113415E-2</v>
      </c>
      <c r="U195" s="88">
        <f t="shared" si="89"/>
        <v>0</v>
      </c>
      <c r="V195" s="87">
        <v>600000</v>
      </c>
      <c r="W195" s="88">
        <f t="shared" si="90"/>
        <v>5.0849140475113415E-2</v>
      </c>
      <c r="X195" s="88">
        <f t="shared" si="91"/>
        <v>0</v>
      </c>
      <c r="Y195" s="87">
        <v>600000</v>
      </c>
      <c r="Z195" s="88">
        <f t="shared" si="92"/>
        <v>5.0849140475113415E-2</v>
      </c>
      <c r="AA195" s="88">
        <f t="shared" si="93"/>
        <v>0</v>
      </c>
      <c r="AB195" s="87">
        <v>600000</v>
      </c>
      <c r="AC195" s="88">
        <f t="shared" si="94"/>
        <v>5.0849140475113415E-2</v>
      </c>
      <c r="AD195" s="88">
        <f t="shared" si="95"/>
        <v>0</v>
      </c>
      <c r="AE195" s="87">
        <v>600000</v>
      </c>
      <c r="AF195" s="88">
        <f t="shared" si="96"/>
        <v>5.0849140475113415E-2</v>
      </c>
      <c r="AG195" s="88">
        <f t="shared" si="97"/>
        <v>0</v>
      </c>
      <c r="AH195" s="87">
        <v>600000</v>
      </c>
      <c r="AI195" s="88">
        <f t="shared" si="98"/>
        <v>5.0849140475113415E-2</v>
      </c>
      <c r="AJ195" s="88">
        <f t="shared" si="99"/>
        <v>0</v>
      </c>
      <c r="AK195" s="87">
        <v>600000</v>
      </c>
      <c r="AL195" s="88">
        <f t="shared" si="100"/>
        <v>5.0849140475113415E-2</v>
      </c>
      <c r="AM195" s="88">
        <f t="shared" si="101"/>
        <v>0</v>
      </c>
      <c r="AN195" s="87">
        <v>600000</v>
      </c>
      <c r="AO195" s="88">
        <f t="shared" si="102"/>
        <v>5.0849140475113415E-2</v>
      </c>
      <c r="AP195" s="88">
        <f t="shared" si="103"/>
        <v>0</v>
      </c>
    </row>
    <row r="196" spans="1:42" s="63" customFormat="1" x14ac:dyDescent="0.25">
      <c r="A196" s="86" t="s">
        <v>299</v>
      </c>
      <c r="B196" s="86" t="s">
        <v>298</v>
      </c>
      <c r="C196" s="86"/>
      <c r="D196" s="87">
        <v>600000</v>
      </c>
      <c r="E196" s="88">
        <f t="shared" si="78"/>
        <v>5.0849140475113415E-2</v>
      </c>
      <c r="F196" s="88">
        <f t="shared" si="79"/>
        <v>0</v>
      </c>
      <c r="G196" s="87">
        <v>600000</v>
      </c>
      <c r="H196" s="88">
        <f t="shared" si="80"/>
        <v>5.0849140475113415E-2</v>
      </c>
      <c r="I196" s="88">
        <f t="shared" si="81"/>
        <v>0</v>
      </c>
      <c r="J196" s="87">
        <v>600000</v>
      </c>
      <c r="K196" s="88">
        <f t="shared" si="82"/>
        <v>5.0849140475113415E-2</v>
      </c>
      <c r="L196" s="88">
        <f t="shared" si="83"/>
        <v>0</v>
      </c>
      <c r="M196" s="87">
        <v>600000</v>
      </c>
      <c r="N196" s="88">
        <f t="shared" si="84"/>
        <v>5.0849140475113415E-2</v>
      </c>
      <c r="O196" s="88">
        <f t="shared" si="85"/>
        <v>0</v>
      </c>
      <c r="P196" s="87">
        <v>600000</v>
      </c>
      <c r="Q196" s="88">
        <f t="shared" si="86"/>
        <v>5.0849140475113415E-2</v>
      </c>
      <c r="R196" s="88">
        <f t="shared" si="87"/>
        <v>0</v>
      </c>
      <c r="S196" s="87">
        <v>600000</v>
      </c>
      <c r="T196" s="88">
        <f t="shared" si="88"/>
        <v>5.0849140475113415E-2</v>
      </c>
      <c r="U196" s="88">
        <f t="shared" si="89"/>
        <v>0</v>
      </c>
      <c r="V196" s="87">
        <v>600000</v>
      </c>
      <c r="W196" s="88">
        <f t="shared" si="90"/>
        <v>5.0849140475113415E-2</v>
      </c>
      <c r="X196" s="88">
        <f t="shared" si="91"/>
        <v>0</v>
      </c>
      <c r="Y196" s="87">
        <v>600000</v>
      </c>
      <c r="Z196" s="88">
        <f t="shared" si="92"/>
        <v>5.0849140475113415E-2</v>
      </c>
      <c r="AA196" s="88">
        <f t="shared" si="93"/>
        <v>0</v>
      </c>
      <c r="AB196" s="87">
        <v>600000</v>
      </c>
      <c r="AC196" s="88">
        <f t="shared" si="94"/>
        <v>5.0849140475113415E-2</v>
      </c>
      <c r="AD196" s="88">
        <f t="shared" si="95"/>
        <v>0</v>
      </c>
      <c r="AE196" s="87">
        <v>600000</v>
      </c>
      <c r="AF196" s="88">
        <f t="shared" si="96"/>
        <v>5.0849140475113415E-2</v>
      </c>
      <c r="AG196" s="88">
        <f t="shared" si="97"/>
        <v>0</v>
      </c>
      <c r="AH196" s="87">
        <v>600000</v>
      </c>
      <c r="AI196" s="88">
        <f t="shared" si="98"/>
        <v>5.0849140475113415E-2</v>
      </c>
      <c r="AJ196" s="88">
        <f t="shared" si="99"/>
        <v>0</v>
      </c>
      <c r="AK196" s="87">
        <v>600000</v>
      </c>
      <c r="AL196" s="88">
        <f t="shared" si="100"/>
        <v>5.0849140475113415E-2</v>
      </c>
      <c r="AM196" s="88">
        <f t="shared" si="101"/>
        <v>0</v>
      </c>
      <c r="AN196" s="87">
        <v>600000</v>
      </c>
      <c r="AO196" s="88">
        <f t="shared" si="102"/>
        <v>5.0849140475113415E-2</v>
      </c>
      <c r="AP196" s="88">
        <f t="shared" si="103"/>
        <v>0</v>
      </c>
    </row>
    <row r="197" spans="1:42" s="63" customFormat="1" x14ac:dyDescent="0.25">
      <c r="A197" s="86" t="s">
        <v>300</v>
      </c>
      <c r="B197" s="86" t="s">
        <v>298</v>
      </c>
      <c r="C197" s="86"/>
      <c r="D197" s="87">
        <v>600000</v>
      </c>
      <c r="E197" s="88">
        <f t="shared" si="78"/>
        <v>5.0849140475113415E-2</v>
      </c>
      <c r="F197" s="88">
        <f t="shared" si="79"/>
        <v>0</v>
      </c>
      <c r="G197" s="87">
        <v>600000</v>
      </c>
      <c r="H197" s="88">
        <f t="shared" si="80"/>
        <v>5.0849140475113415E-2</v>
      </c>
      <c r="I197" s="88">
        <f t="shared" si="81"/>
        <v>0</v>
      </c>
      <c r="J197" s="87">
        <v>600000</v>
      </c>
      <c r="K197" s="88">
        <f t="shared" si="82"/>
        <v>5.0849140475113415E-2</v>
      </c>
      <c r="L197" s="88">
        <f t="shared" si="83"/>
        <v>0</v>
      </c>
      <c r="M197" s="87">
        <v>600000</v>
      </c>
      <c r="N197" s="88">
        <f t="shared" si="84"/>
        <v>5.0849140475113415E-2</v>
      </c>
      <c r="O197" s="88">
        <f t="shared" si="85"/>
        <v>0</v>
      </c>
      <c r="P197" s="87">
        <v>600000</v>
      </c>
      <c r="Q197" s="88">
        <f t="shared" si="86"/>
        <v>5.0849140475113415E-2</v>
      </c>
      <c r="R197" s="88">
        <f t="shared" si="87"/>
        <v>0</v>
      </c>
      <c r="S197" s="87">
        <v>600000</v>
      </c>
      <c r="T197" s="88">
        <f t="shared" si="88"/>
        <v>5.0849140475113415E-2</v>
      </c>
      <c r="U197" s="88">
        <f t="shared" si="89"/>
        <v>0</v>
      </c>
      <c r="V197" s="87">
        <v>600000</v>
      </c>
      <c r="W197" s="88">
        <f t="shared" si="90"/>
        <v>5.0849140475113415E-2</v>
      </c>
      <c r="X197" s="88">
        <f t="shared" si="91"/>
        <v>0</v>
      </c>
      <c r="Y197" s="87">
        <v>600000</v>
      </c>
      <c r="Z197" s="88">
        <f t="shared" si="92"/>
        <v>5.0849140475113415E-2</v>
      </c>
      <c r="AA197" s="88">
        <f t="shared" si="93"/>
        <v>0</v>
      </c>
      <c r="AB197" s="87">
        <v>600000</v>
      </c>
      <c r="AC197" s="88">
        <f t="shared" si="94"/>
        <v>5.0849140475113415E-2</v>
      </c>
      <c r="AD197" s="88">
        <f t="shared" si="95"/>
        <v>0</v>
      </c>
      <c r="AE197" s="87">
        <v>600000</v>
      </c>
      <c r="AF197" s="88">
        <f t="shared" si="96"/>
        <v>5.0849140475113415E-2</v>
      </c>
      <c r="AG197" s="88">
        <f t="shared" si="97"/>
        <v>0</v>
      </c>
      <c r="AH197" s="87">
        <v>600000</v>
      </c>
      <c r="AI197" s="88">
        <f t="shared" si="98"/>
        <v>5.0849140475113415E-2</v>
      </c>
      <c r="AJ197" s="88">
        <f t="shared" si="99"/>
        <v>0</v>
      </c>
      <c r="AK197" s="87">
        <v>600000</v>
      </c>
      <c r="AL197" s="88">
        <f t="shared" si="100"/>
        <v>5.0849140475113415E-2</v>
      </c>
      <c r="AM197" s="88">
        <f t="shared" si="101"/>
        <v>0</v>
      </c>
      <c r="AN197" s="87">
        <v>600000</v>
      </c>
      <c r="AO197" s="88">
        <f t="shared" si="102"/>
        <v>5.0849140475113415E-2</v>
      </c>
      <c r="AP197" s="88">
        <f t="shared" si="103"/>
        <v>0</v>
      </c>
    </row>
    <row r="198" spans="1:42" s="74" customFormat="1" x14ac:dyDescent="0.25">
      <c r="A198" s="89" t="s">
        <v>301</v>
      </c>
      <c r="B198" s="89" t="s">
        <v>302</v>
      </c>
      <c r="C198" s="89"/>
      <c r="D198" s="41">
        <v>600000</v>
      </c>
      <c r="E198" s="88">
        <f t="shared" si="78"/>
        <v>5.0849140475113415E-2</v>
      </c>
      <c r="F198" s="88">
        <f t="shared" si="79"/>
        <v>0</v>
      </c>
      <c r="G198" s="41">
        <v>600000</v>
      </c>
      <c r="H198" s="88">
        <f t="shared" si="80"/>
        <v>5.0849140475113415E-2</v>
      </c>
      <c r="I198" s="88">
        <f t="shared" si="81"/>
        <v>0</v>
      </c>
      <c r="J198" s="41">
        <v>600000</v>
      </c>
      <c r="K198" s="88">
        <f t="shared" si="82"/>
        <v>5.0849140475113415E-2</v>
      </c>
      <c r="L198" s="88">
        <f t="shared" si="83"/>
        <v>0</v>
      </c>
      <c r="M198" s="41">
        <v>600000</v>
      </c>
      <c r="N198" s="88">
        <f t="shared" si="84"/>
        <v>5.0849140475113415E-2</v>
      </c>
      <c r="O198" s="88">
        <f t="shared" si="85"/>
        <v>0</v>
      </c>
      <c r="P198" s="41">
        <v>600000</v>
      </c>
      <c r="Q198" s="88">
        <f t="shared" si="86"/>
        <v>5.0849140475113415E-2</v>
      </c>
      <c r="R198" s="88">
        <f t="shared" si="87"/>
        <v>0</v>
      </c>
      <c r="S198" s="41">
        <v>600000</v>
      </c>
      <c r="T198" s="88">
        <f t="shared" si="88"/>
        <v>5.0849140475113415E-2</v>
      </c>
      <c r="U198" s="88">
        <f t="shared" si="89"/>
        <v>0</v>
      </c>
      <c r="V198" s="41">
        <v>600000</v>
      </c>
      <c r="W198" s="88">
        <f t="shared" si="90"/>
        <v>5.0849140475113415E-2</v>
      </c>
      <c r="X198" s="88">
        <f t="shared" si="91"/>
        <v>0</v>
      </c>
      <c r="Y198" s="41">
        <v>600000</v>
      </c>
      <c r="Z198" s="88">
        <f t="shared" si="92"/>
        <v>5.0849140475113415E-2</v>
      </c>
      <c r="AA198" s="88">
        <f t="shared" si="93"/>
        <v>0</v>
      </c>
      <c r="AB198" s="41">
        <v>600000</v>
      </c>
      <c r="AC198" s="88">
        <f t="shared" si="94"/>
        <v>5.0849140475113415E-2</v>
      </c>
      <c r="AD198" s="88">
        <f t="shared" si="95"/>
        <v>0</v>
      </c>
      <c r="AE198" s="41">
        <v>600000</v>
      </c>
      <c r="AF198" s="88">
        <f t="shared" si="96"/>
        <v>5.0849140475113415E-2</v>
      </c>
      <c r="AG198" s="88">
        <f t="shared" si="97"/>
        <v>0</v>
      </c>
      <c r="AH198" s="41">
        <v>600000</v>
      </c>
      <c r="AI198" s="88">
        <f t="shared" si="98"/>
        <v>5.0849140475113415E-2</v>
      </c>
      <c r="AJ198" s="88">
        <f t="shared" si="99"/>
        <v>0</v>
      </c>
      <c r="AK198" s="41">
        <v>600000</v>
      </c>
      <c r="AL198" s="88">
        <f t="shared" si="100"/>
        <v>5.0849140475113415E-2</v>
      </c>
      <c r="AM198" s="88">
        <f t="shared" si="101"/>
        <v>0</v>
      </c>
      <c r="AN198" s="41">
        <v>600000</v>
      </c>
      <c r="AO198" s="88">
        <f t="shared" si="102"/>
        <v>5.0849140475113415E-2</v>
      </c>
      <c r="AP198" s="88">
        <f t="shared" si="103"/>
        <v>0</v>
      </c>
    </row>
    <row r="199" spans="1:42" s="63" customFormat="1" x14ac:dyDescent="0.25">
      <c r="A199" s="86" t="s">
        <v>303</v>
      </c>
      <c r="B199" s="86" t="s">
        <v>739</v>
      </c>
      <c r="C199" s="86"/>
      <c r="D199" s="87">
        <v>3982330.7</v>
      </c>
      <c r="E199" s="88">
        <f t="shared" si="78"/>
        <v>0.3374968219710946</v>
      </c>
      <c r="F199" s="88">
        <f t="shared" si="79"/>
        <v>-0.31695402895595792</v>
      </c>
      <c r="G199" s="87">
        <v>2720114.94</v>
      </c>
      <c r="H199" s="88">
        <f t="shared" si="80"/>
        <v>0.2305258444875245</v>
      </c>
      <c r="I199" s="88">
        <f t="shared" si="81"/>
        <v>0</v>
      </c>
      <c r="J199" s="87">
        <v>2720114.94</v>
      </c>
      <c r="K199" s="88">
        <f t="shared" si="82"/>
        <v>0.2305258444875245</v>
      </c>
      <c r="L199" s="88">
        <f t="shared" si="83"/>
        <v>0</v>
      </c>
      <c r="M199" s="87">
        <v>2720114.94</v>
      </c>
      <c r="N199" s="88">
        <f t="shared" si="84"/>
        <v>0.2305258444875245</v>
      </c>
      <c r="O199" s="88">
        <f t="shared" si="85"/>
        <v>0</v>
      </c>
      <c r="P199" s="87">
        <v>2720114.94</v>
      </c>
      <c r="Q199" s="88">
        <f t="shared" si="86"/>
        <v>0.2305258444875245</v>
      </c>
      <c r="R199" s="88">
        <f t="shared" si="87"/>
        <v>0</v>
      </c>
      <c r="S199" s="87">
        <v>2720114.94</v>
      </c>
      <c r="T199" s="88">
        <f t="shared" si="88"/>
        <v>0.2305258444875245</v>
      </c>
      <c r="U199" s="88">
        <f t="shared" si="89"/>
        <v>0</v>
      </c>
      <c r="V199" s="87">
        <v>2720114.94</v>
      </c>
      <c r="W199" s="88">
        <f t="shared" si="90"/>
        <v>0.2305258444875245</v>
      </c>
      <c r="X199" s="88">
        <f t="shared" si="91"/>
        <v>-5.3958010318490346E-2</v>
      </c>
      <c r="Y199" s="87">
        <v>2573342.9500000002</v>
      </c>
      <c r="Z199" s="88">
        <f t="shared" si="92"/>
        <v>0.21808712859198795</v>
      </c>
      <c r="AA199" s="88">
        <f t="shared" si="93"/>
        <v>-1.902365947764717E-3</v>
      </c>
      <c r="AB199" s="87">
        <v>2568447.5099999998</v>
      </c>
      <c r="AC199" s="88">
        <f t="shared" si="94"/>
        <v>0.21767224706490876</v>
      </c>
      <c r="AD199" s="88">
        <f t="shared" si="95"/>
        <v>-2.9638370923920077E-3</v>
      </c>
      <c r="AE199" s="87">
        <v>2560835.0499999998</v>
      </c>
      <c r="AF199" s="88">
        <f t="shared" si="96"/>
        <v>0.21702710198507347</v>
      </c>
      <c r="AG199" s="88">
        <f t="shared" si="97"/>
        <v>-4.8049561021112908E-4</v>
      </c>
      <c r="AH199" s="87">
        <v>2559604.58</v>
      </c>
      <c r="AI199" s="88">
        <f t="shared" si="98"/>
        <v>0.2169228214152728</v>
      </c>
      <c r="AJ199" s="88">
        <f t="shared" si="99"/>
        <v>2.3711221051182951E-2</v>
      </c>
      <c r="AK199" s="87">
        <v>2620295.9300000002</v>
      </c>
      <c r="AL199" s="88">
        <f t="shared" si="100"/>
        <v>0.2220663263848966</v>
      </c>
      <c r="AM199" s="88">
        <f t="shared" si="101"/>
        <v>0</v>
      </c>
      <c r="AN199" s="87">
        <v>2620295.9300000002</v>
      </c>
      <c r="AO199" s="88">
        <f t="shared" si="102"/>
        <v>0.2220663263848966</v>
      </c>
      <c r="AP199" s="88">
        <f t="shared" si="103"/>
        <v>-0.34201950380464385</v>
      </c>
    </row>
    <row r="200" spans="1:42" s="63" customFormat="1" x14ac:dyDescent="0.25">
      <c r="A200" s="86" t="s">
        <v>304</v>
      </c>
      <c r="B200" s="86" t="s">
        <v>739</v>
      </c>
      <c r="C200" s="86"/>
      <c r="D200" s="87">
        <v>3982330.7</v>
      </c>
      <c r="E200" s="88">
        <f t="shared" si="78"/>
        <v>0.3374968219710946</v>
      </c>
      <c r="F200" s="88">
        <f t="shared" si="79"/>
        <v>-0.31695402895595792</v>
      </c>
      <c r="G200" s="87">
        <v>2720114.94</v>
      </c>
      <c r="H200" s="88">
        <f t="shared" si="80"/>
        <v>0.2305258444875245</v>
      </c>
      <c r="I200" s="88">
        <f t="shared" si="81"/>
        <v>0</v>
      </c>
      <c r="J200" s="87">
        <v>2720114.94</v>
      </c>
      <c r="K200" s="88">
        <f t="shared" si="82"/>
        <v>0.2305258444875245</v>
      </c>
      <c r="L200" s="88">
        <f t="shared" si="83"/>
        <v>0</v>
      </c>
      <c r="M200" s="87">
        <v>2720114.94</v>
      </c>
      <c r="N200" s="88">
        <f t="shared" si="84"/>
        <v>0.2305258444875245</v>
      </c>
      <c r="O200" s="88">
        <f t="shared" si="85"/>
        <v>0</v>
      </c>
      <c r="P200" s="87">
        <v>2720114.94</v>
      </c>
      <c r="Q200" s="88">
        <f t="shared" si="86"/>
        <v>0.2305258444875245</v>
      </c>
      <c r="R200" s="88">
        <f t="shared" si="87"/>
        <v>0</v>
      </c>
      <c r="S200" s="87">
        <v>2720114.94</v>
      </c>
      <c r="T200" s="88">
        <f t="shared" si="88"/>
        <v>0.2305258444875245</v>
      </c>
      <c r="U200" s="88">
        <f t="shared" si="89"/>
        <v>0</v>
      </c>
      <c r="V200" s="87">
        <v>2720114.94</v>
      </c>
      <c r="W200" s="88">
        <f t="shared" si="90"/>
        <v>0.2305258444875245</v>
      </c>
      <c r="X200" s="88">
        <f t="shared" si="91"/>
        <v>-5.3958010318490346E-2</v>
      </c>
      <c r="Y200" s="87">
        <v>2573342.9500000002</v>
      </c>
      <c r="Z200" s="88">
        <f t="shared" si="92"/>
        <v>0.21808712859198795</v>
      </c>
      <c r="AA200" s="88">
        <f t="shared" si="93"/>
        <v>-1.902365947764717E-3</v>
      </c>
      <c r="AB200" s="87">
        <v>2568447.5099999998</v>
      </c>
      <c r="AC200" s="88">
        <f t="shared" si="94"/>
        <v>0.21767224706490876</v>
      </c>
      <c r="AD200" s="88">
        <f t="shared" si="95"/>
        <v>-2.9638370923920077E-3</v>
      </c>
      <c r="AE200" s="87">
        <v>2560835.0499999998</v>
      </c>
      <c r="AF200" s="88">
        <f t="shared" si="96"/>
        <v>0.21702710198507347</v>
      </c>
      <c r="AG200" s="88">
        <f t="shared" si="97"/>
        <v>-4.8049561021112908E-4</v>
      </c>
      <c r="AH200" s="87">
        <v>2559604.58</v>
      </c>
      <c r="AI200" s="88">
        <f t="shared" si="98"/>
        <v>0.2169228214152728</v>
      </c>
      <c r="AJ200" s="88">
        <f t="shared" si="99"/>
        <v>2.3711221051182951E-2</v>
      </c>
      <c r="AK200" s="87">
        <v>2620295.9300000002</v>
      </c>
      <c r="AL200" s="88">
        <f t="shared" si="100"/>
        <v>0.2220663263848966</v>
      </c>
      <c r="AM200" s="88">
        <f t="shared" si="101"/>
        <v>0</v>
      </c>
      <c r="AN200" s="87">
        <v>2620295.9300000002</v>
      </c>
      <c r="AO200" s="88">
        <f t="shared" si="102"/>
        <v>0.2220663263848966</v>
      </c>
      <c r="AP200" s="88">
        <f t="shared" si="103"/>
        <v>-0.34201950380464385</v>
      </c>
    </row>
    <row r="201" spans="1:42" s="63" customFormat="1" x14ac:dyDescent="0.25">
      <c r="A201" s="86" t="s">
        <v>305</v>
      </c>
      <c r="B201" s="86" t="s">
        <v>739</v>
      </c>
      <c r="C201" s="86"/>
      <c r="D201" s="87">
        <v>3982330.7</v>
      </c>
      <c r="E201" s="88">
        <f t="shared" si="78"/>
        <v>0.3374968219710946</v>
      </c>
      <c r="F201" s="88">
        <f t="shared" si="79"/>
        <v>-0.31695402895595792</v>
      </c>
      <c r="G201" s="87">
        <v>2720114.94</v>
      </c>
      <c r="H201" s="88">
        <f t="shared" si="80"/>
        <v>0.2305258444875245</v>
      </c>
      <c r="I201" s="88">
        <f t="shared" si="81"/>
        <v>0</v>
      </c>
      <c r="J201" s="87">
        <v>2720114.94</v>
      </c>
      <c r="K201" s="88">
        <f t="shared" si="82"/>
        <v>0.2305258444875245</v>
      </c>
      <c r="L201" s="88">
        <f t="shared" si="83"/>
        <v>0</v>
      </c>
      <c r="M201" s="87">
        <v>2720114.94</v>
      </c>
      <c r="N201" s="88">
        <f t="shared" si="84"/>
        <v>0.2305258444875245</v>
      </c>
      <c r="O201" s="88">
        <f t="shared" si="85"/>
        <v>0</v>
      </c>
      <c r="P201" s="87">
        <v>2720114.94</v>
      </c>
      <c r="Q201" s="88">
        <f t="shared" si="86"/>
        <v>0.2305258444875245</v>
      </c>
      <c r="R201" s="88">
        <f t="shared" si="87"/>
        <v>0</v>
      </c>
      <c r="S201" s="87">
        <v>2720114.94</v>
      </c>
      <c r="T201" s="88">
        <f t="shared" si="88"/>
        <v>0.2305258444875245</v>
      </c>
      <c r="U201" s="88">
        <f t="shared" si="89"/>
        <v>0</v>
      </c>
      <c r="V201" s="87">
        <v>2720114.94</v>
      </c>
      <c r="W201" s="88">
        <f t="shared" si="90"/>
        <v>0.2305258444875245</v>
      </c>
      <c r="X201" s="88">
        <f t="shared" si="91"/>
        <v>-5.3958010318490346E-2</v>
      </c>
      <c r="Y201" s="87">
        <v>2573342.9500000002</v>
      </c>
      <c r="Z201" s="88">
        <f t="shared" si="92"/>
        <v>0.21808712859198795</v>
      </c>
      <c r="AA201" s="88">
        <f t="shared" si="93"/>
        <v>-1.902365947764717E-3</v>
      </c>
      <c r="AB201" s="87">
        <v>2568447.5099999998</v>
      </c>
      <c r="AC201" s="88">
        <f t="shared" si="94"/>
        <v>0.21767224706490876</v>
      </c>
      <c r="AD201" s="88">
        <f t="shared" si="95"/>
        <v>-2.9638370923920077E-3</v>
      </c>
      <c r="AE201" s="87">
        <v>2560835.0499999998</v>
      </c>
      <c r="AF201" s="88">
        <f t="shared" si="96"/>
        <v>0.21702710198507347</v>
      </c>
      <c r="AG201" s="88">
        <f t="shared" si="97"/>
        <v>-4.8049561021112908E-4</v>
      </c>
      <c r="AH201" s="87">
        <v>2559604.58</v>
      </c>
      <c r="AI201" s="88">
        <f t="shared" si="98"/>
        <v>0.2169228214152728</v>
      </c>
      <c r="AJ201" s="88">
        <f t="shared" si="99"/>
        <v>2.3711221051182951E-2</v>
      </c>
      <c r="AK201" s="87">
        <v>2620295.9300000002</v>
      </c>
      <c r="AL201" s="88">
        <f t="shared" si="100"/>
        <v>0.2220663263848966</v>
      </c>
      <c r="AM201" s="88">
        <f t="shared" si="101"/>
        <v>0</v>
      </c>
      <c r="AN201" s="87">
        <v>2620295.9300000002</v>
      </c>
      <c r="AO201" s="88">
        <f t="shared" si="102"/>
        <v>0.2220663263848966</v>
      </c>
      <c r="AP201" s="88">
        <f t="shared" si="103"/>
        <v>-0.34201950380464385</v>
      </c>
    </row>
    <row r="202" spans="1:42" s="74" customFormat="1" x14ac:dyDescent="0.25">
      <c r="A202" s="89" t="s">
        <v>306</v>
      </c>
      <c r="B202" s="89" t="s">
        <v>740</v>
      </c>
      <c r="C202" s="89"/>
      <c r="D202" s="41">
        <v>3982330.7</v>
      </c>
      <c r="E202" s="88">
        <f t="shared" si="78"/>
        <v>0.3374968219710946</v>
      </c>
      <c r="F202" s="88">
        <f t="shared" si="79"/>
        <v>-0.31695402895595792</v>
      </c>
      <c r="G202" s="41">
        <v>2720114.94</v>
      </c>
      <c r="H202" s="88">
        <f t="shared" si="80"/>
        <v>0.2305258444875245</v>
      </c>
      <c r="I202" s="88">
        <f t="shared" si="81"/>
        <v>0</v>
      </c>
      <c r="J202" s="41">
        <v>2720114.94</v>
      </c>
      <c r="K202" s="88">
        <f t="shared" si="82"/>
        <v>0.2305258444875245</v>
      </c>
      <c r="L202" s="88">
        <f t="shared" si="83"/>
        <v>0</v>
      </c>
      <c r="M202" s="41">
        <v>2720114.94</v>
      </c>
      <c r="N202" s="88">
        <f t="shared" si="84"/>
        <v>0.2305258444875245</v>
      </c>
      <c r="O202" s="88">
        <f t="shared" si="85"/>
        <v>0</v>
      </c>
      <c r="P202" s="41">
        <v>2720114.94</v>
      </c>
      <c r="Q202" s="88">
        <f t="shared" si="86"/>
        <v>0.2305258444875245</v>
      </c>
      <c r="R202" s="88">
        <f t="shared" si="87"/>
        <v>0</v>
      </c>
      <c r="S202" s="41">
        <v>2720114.94</v>
      </c>
      <c r="T202" s="88">
        <f t="shared" si="88"/>
        <v>0.2305258444875245</v>
      </c>
      <c r="U202" s="88">
        <f t="shared" si="89"/>
        <v>0</v>
      </c>
      <c r="V202" s="41">
        <v>2720114.94</v>
      </c>
      <c r="W202" s="88">
        <f t="shared" si="90"/>
        <v>0.2305258444875245</v>
      </c>
      <c r="X202" s="88">
        <f t="shared" si="91"/>
        <v>-5.3958010318490346E-2</v>
      </c>
      <c r="Y202" s="41">
        <v>2573342.9500000002</v>
      </c>
      <c r="Z202" s="88">
        <f t="shared" si="92"/>
        <v>0.21808712859198795</v>
      </c>
      <c r="AA202" s="88">
        <f t="shared" si="93"/>
        <v>-1.902365947764717E-3</v>
      </c>
      <c r="AB202" s="41">
        <v>2568447.5099999998</v>
      </c>
      <c r="AC202" s="88">
        <f t="shared" si="94"/>
        <v>0.21767224706490876</v>
      </c>
      <c r="AD202" s="88">
        <f t="shared" si="95"/>
        <v>-2.9638370923920077E-3</v>
      </c>
      <c r="AE202" s="41">
        <v>2560835.0499999998</v>
      </c>
      <c r="AF202" s="88">
        <f t="shared" si="96"/>
        <v>0.21702710198507347</v>
      </c>
      <c r="AG202" s="88">
        <f t="shared" si="97"/>
        <v>-4.8049561021112908E-4</v>
      </c>
      <c r="AH202" s="41">
        <v>2559604.58</v>
      </c>
      <c r="AI202" s="88">
        <f t="shared" si="98"/>
        <v>0.2169228214152728</v>
      </c>
      <c r="AJ202" s="88">
        <f t="shared" si="99"/>
        <v>2.3711221051182951E-2</v>
      </c>
      <c r="AK202" s="41">
        <v>2620295.9300000002</v>
      </c>
      <c r="AL202" s="88">
        <f t="shared" si="100"/>
        <v>0.2220663263848966</v>
      </c>
      <c r="AM202" s="88">
        <f t="shared" si="101"/>
        <v>0</v>
      </c>
      <c r="AN202" s="41">
        <v>2620295.9300000002</v>
      </c>
      <c r="AO202" s="88">
        <f t="shared" si="102"/>
        <v>0.2220663263848966</v>
      </c>
      <c r="AP202" s="88">
        <f t="shared" si="103"/>
        <v>-0.34201950380464385</v>
      </c>
    </row>
    <row r="203" spans="1:42" s="63" customFormat="1" x14ac:dyDescent="0.25">
      <c r="A203" s="86" t="s">
        <v>666</v>
      </c>
      <c r="B203" s="86" t="s">
        <v>741</v>
      </c>
      <c r="C203" s="86"/>
      <c r="D203" s="87">
        <v>-806030.31</v>
      </c>
      <c r="E203" s="88">
        <f t="shared" si="78"/>
        <v>-6.8309914100648697E-2</v>
      </c>
      <c r="F203" s="88">
        <f t="shared" si="79"/>
        <v>-0.56215655215248672</v>
      </c>
      <c r="G203" s="87">
        <v>-352915.08999999997</v>
      </c>
      <c r="H203" s="88">
        <f t="shared" si="80"/>
        <v>-2.9909048311995489E-2</v>
      </c>
      <c r="I203" s="88">
        <f t="shared" si="81"/>
        <v>0.88369108841449617</v>
      </c>
      <c r="J203" s="87">
        <v>-664783.00999999978</v>
      </c>
      <c r="K203" s="88">
        <f t="shared" si="82"/>
        <v>-5.6339407768264529E-2</v>
      </c>
      <c r="L203" s="88">
        <f t="shared" si="83"/>
        <v>0.18332839162059877</v>
      </c>
      <c r="M203" s="87">
        <v>-786656.6100000001</v>
      </c>
      <c r="N203" s="88">
        <f t="shared" si="84"/>
        <v>-6.6668020779277526E-2</v>
      </c>
      <c r="O203" s="88">
        <f t="shared" si="85"/>
        <v>0.49927473437234537</v>
      </c>
      <c r="P203" s="87">
        <v>-1179414.3799999999</v>
      </c>
      <c r="Q203" s="88">
        <f t="shared" si="86"/>
        <v>-9.9953679144981322E-2</v>
      </c>
      <c r="R203" s="88">
        <f t="shared" si="87"/>
        <v>0.16284404638173045</v>
      </c>
      <c r="S203" s="87">
        <v>-1371474.9899999998</v>
      </c>
      <c r="T203" s="88">
        <f t="shared" si="88"/>
        <v>-0.11623054070769126</v>
      </c>
      <c r="U203" s="88">
        <f t="shared" si="89"/>
        <v>-0.37252483182358209</v>
      </c>
      <c r="V203" s="87">
        <v>-860566.50000000093</v>
      </c>
      <c r="W203" s="88">
        <f t="shared" si="90"/>
        <v>-7.2931778077794565E-2</v>
      </c>
      <c r="X203" s="88">
        <f t="shared" si="91"/>
        <v>0.38792753378152534</v>
      </c>
      <c r="Y203" s="87">
        <v>-1194403.9400000004</v>
      </c>
      <c r="Z203" s="88">
        <f t="shared" si="92"/>
        <v>-0.10122402288181492</v>
      </c>
      <c r="AA203" s="88">
        <f t="shared" si="93"/>
        <v>1.0781293973293193E-2</v>
      </c>
      <c r="AB203" s="87">
        <v>-1207281.1600000001</v>
      </c>
      <c r="AC203" s="88">
        <f t="shared" si="94"/>
        <v>-0.10231534882966314</v>
      </c>
      <c r="AD203" s="88">
        <f t="shared" si="95"/>
        <v>0.16825379764892601</v>
      </c>
      <c r="AE203" s="87">
        <v>-1410410.8000000007</v>
      </c>
      <c r="AF203" s="88">
        <f t="shared" si="96"/>
        <v>-0.11953029482802856</v>
      </c>
      <c r="AG203" s="88">
        <f t="shared" si="97"/>
        <v>0.1840031996351692</v>
      </c>
      <c r="AH203" s="87">
        <v>-1669930.8999999994</v>
      </c>
      <c r="AI203" s="88">
        <f t="shared" si="98"/>
        <v>-0.14152425152972092</v>
      </c>
      <c r="AJ203" s="88">
        <f t="shared" si="99"/>
        <v>0.16191884945658575</v>
      </c>
      <c r="AK203" s="87">
        <v>-1940324.19</v>
      </c>
      <c r="AL203" s="88">
        <f t="shared" si="100"/>
        <v>-0.16443969550761775</v>
      </c>
      <c r="AM203" s="88">
        <f t="shared" si="101"/>
        <v>2.3606468566471874</v>
      </c>
      <c r="AN203" s="87">
        <v>-6520744.3899999997</v>
      </c>
      <c r="AO203" s="88">
        <f t="shared" si="102"/>
        <v>-0.55262374581569618</v>
      </c>
      <c r="AP203" s="88">
        <f t="shared" si="103"/>
        <v>7.0899493593485321</v>
      </c>
    </row>
    <row r="204" spans="1:42" s="63" customFormat="1" x14ac:dyDescent="0.25">
      <c r="A204" s="86" t="s">
        <v>667</v>
      </c>
      <c r="B204" s="86" t="s">
        <v>741</v>
      </c>
      <c r="C204" s="86"/>
      <c r="D204" s="87">
        <v>-806030.31</v>
      </c>
      <c r="E204" s="88">
        <f t="shared" si="78"/>
        <v>-6.8309914100648697E-2</v>
      </c>
      <c r="F204" s="88">
        <f t="shared" si="79"/>
        <v>-0.56215655215248672</v>
      </c>
      <c r="G204" s="87">
        <v>-352915.08999999997</v>
      </c>
      <c r="H204" s="88">
        <f t="shared" si="80"/>
        <v>-2.9909048311995489E-2</v>
      </c>
      <c r="I204" s="88">
        <f t="shared" si="81"/>
        <v>0.88369108841449617</v>
      </c>
      <c r="J204" s="87">
        <v>-664783.00999999978</v>
      </c>
      <c r="K204" s="88">
        <f t="shared" si="82"/>
        <v>-5.6339407768264529E-2</v>
      </c>
      <c r="L204" s="88">
        <f t="shared" si="83"/>
        <v>0.18332839162059877</v>
      </c>
      <c r="M204" s="87">
        <v>-786656.6100000001</v>
      </c>
      <c r="N204" s="88">
        <f t="shared" si="84"/>
        <v>-6.6668020779277526E-2</v>
      </c>
      <c r="O204" s="88">
        <f t="shared" si="85"/>
        <v>0.49927473437234537</v>
      </c>
      <c r="P204" s="87">
        <v>-1179414.3799999999</v>
      </c>
      <c r="Q204" s="88">
        <f t="shared" si="86"/>
        <v>-9.9953679144981322E-2</v>
      </c>
      <c r="R204" s="88">
        <f t="shared" si="87"/>
        <v>0.16284404638173045</v>
      </c>
      <c r="S204" s="87">
        <v>-1371474.9899999998</v>
      </c>
      <c r="T204" s="88">
        <f t="shared" si="88"/>
        <v>-0.11623054070769126</v>
      </c>
      <c r="U204" s="88">
        <f t="shared" si="89"/>
        <v>-0.37252483182358209</v>
      </c>
      <c r="V204" s="87">
        <v>-860566.50000000093</v>
      </c>
      <c r="W204" s="88">
        <f t="shared" si="90"/>
        <v>-7.2931778077794565E-2</v>
      </c>
      <c r="X204" s="88">
        <f t="shared" si="91"/>
        <v>0.38792753378152534</v>
      </c>
      <c r="Y204" s="87">
        <v>-1194403.9400000004</v>
      </c>
      <c r="Z204" s="88">
        <f t="shared" si="92"/>
        <v>-0.10122402288181492</v>
      </c>
      <c r="AA204" s="88">
        <f t="shared" si="93"/>
        <v>1.0781293973293193E-2</v>
      </c>
      <c r="AB204" s="87">
        <v>-1207281.1600000001</v>
      </c>
      <c r="AC204" s="88">
        <f t="shared" si="94"/>
        <v>-0.10231534882966314</v>
      </c>
      <c r="AD204" s="88">
        <f t="shared" si="95"/>
        <v>0.16825379764892601</v>
      </c>
      <c r="AE204" s="87">
        <v>-1410410.8000000007</v>
      </c>
      <c r="AF204" s="88">
        <f t="shared" si="96"/>
        <v>-0.11953029482802856</v>
      </c>
      <c r="AG204" s="88">
        <f t="shared" si="97"/>
        <v>0.1840031996351692</v>
      </c>
      <c r="AH204" s="87">
        <v>-1669930.8999999994</v>
      </c>
      <c r="AI204" s="88">
        <f t="shared" si="98"/>
        <v>-0.14152425152972092</v>
      </c>
      <c r="AJ204" s="88">
        <f t="shared" si="99"/>
        <v>0.16191884945658575</v>
      </c>
      <c r="AK204" s="87">
        <v>-1940324.19</v>
      </c>
      <c r="AL204" s="88">
        <f t="shared" si="100"/>
        <v>-0.16443969550761775</v>
      </c>
      <c r="AM204" s="88">
        <f t="shared" si="101"/>
        <v>2.3606468566471874</v>
      </c>
      <c r="AN204" s="87">
        <v>-6520744.3899999997</v>
      </c>
      <c r="AO204" s="88">
        <f t="shared" si="102"/>
        <v>-0.55262374581569618</v>
      </c>
      <c r="AP204" s="88">
        <f t="shared" si="103"/>
        <v>7.0899493593485321</v>
      </c>
    </row>
    <row r="205" spans="1:42" s="63" customFormat="1" x14ac:dyDescent="0.25">
      <c r="A205" s="86" t="s">
        <v>668</v>
      </c>
      <c r="B205" s="86" t="s">
        <v>741</v>
      </c>
      <c r="C205" s="86"/>
      <c r="D205" s="87">
        <v>-806030.31</v>
      </c>
      <c r="E205" s="88">
        <f t="shared" si="78"/>
        <v>-6.8309914100648697E-2</v>
      </c>
      <c r="F205" s="88">
        <f t="shared" si="79"/>
        <v>-0.56215655215248672</v>
      </c>
      <c r="G205" s="87">
        <v>-352915.08999999997</v>
      </c>
      <c r="H205" s="88">
        <f t="shared" si="80"/>
        <v>-2.9909048311995489E-2</v>
      </c>
      <c r="I205" s="88">
        <f t="shared" si="81"/>
        <v>0.88369108841449617</v>
      </c>
      <c r="J205" s="87">
        <v>-664783.00999999978</v>
      </c>
      <c r="K205" s="88">
        <f t="shared" si="82"/>
        <v>-5.6339407768264529E-2</v>
      </c>
      <c r="L205" s="88">
        <f t="shared" si="83"/>
        <v>0.18332839162059877</v>
      </c>
      <c r="M205" s="87">
        <v>-786656.6100000001</v>
      </c>
      <c r="N205" s="88">
        <f t="shared" si="84"/>
        <v>-6.6668020779277526E-2</v>
      </c>
      <c r="O205" s="88">
        <f t="shared" si="85"/>
        <v>0.49927473437234537</v>
      </c>
      <c r="P205" s="87">
        <v>-1179414.3799999999</v>
      </c>
      <c r="Q205" s="88">
        <f t="shared" si="86"/>
        <v>-9.9953679144981322E-2</v>
      </c>
      <c r="R205" s="88">
        <f t="shared" si="87"/>
        <v>0.16284404638173045</v>
      </c>
      <c r="S205" s="87">
        <v>-1371474.9899999998</v>
      </c>
      <c r="T205" s="88">
        <f t="shared" si="88"/>
        <v>-0.11623054070769126</v>
      </c>
      <c r="U205" s="88">
        <f t="shared" si="89"/>
        <v>-0.37252483182358209</v>
      </c>
      <c r="V205" s="87">
        <v>-860566.50000000093</v>
      </c>
      <c r="W205" s="88">
        <f t="shared" si="90"/>
        <v>-7.2931778077794565E-2</v>
      </c>
      <c r="X205" s="88">
        <f t="shared" si="91"/>
        <v>0.38792753378152534</v>
      </c>
      <c r="Y205" s="87">
        <v>-1194403.9400000004</v>
      </c>
      <c r="Z205" s="88">
        <f t="shared" si="92"/>
        <v>-0.10122402288181492</v>
      </c>
      <c r="AA205" s="88">
        <f t="shared" si="93"/>
        <v>1.0781293973293193E-2</v>
      </c>
      <c r="AB205" s="87">
        <v>-1207281.1600000001</v>
      </c>
      <c r="AC205" s="88">
        <f t="shared" si="94"/>
        <v>-0.10231534882966314</v>
      </c>
      <c r="AD205" s="88">
        <f t="shared" si="95"/>
        <v>0.16825379764892601</v>
      </c>
      <c r="AE205" s="87">
        <v>-1410410.8000000007</v>
      </c>
      <c r="AF205" s="88">
        <f t="shared" si="96"/>
        <v>-0.11953029482802856</v>
      </c>
      <c r="AG205" s="88">
        <f t="shared" si="97"/>
        <v>0.1840031996351692</v>
      </c>
      <c r="AH205" s="87">
        <v>-1669930.8999999994</v>
      </c>
      <c r="AI205" s="88">
        <f t="shared" si="98"/>
        <v>-0.14152425152972092</v>
      </c>
      <c r="AJ205" s="88">
        <f t="shared" si="99"/>
        <v>0.16191884945658575</v>
      </c>
      <c r="AK205" s="87">
        <v>-1940324.19</v>
      </c>
      <c r="AL205" s="88">
        <f t="shared" si="100"/>
        <v>-0.16443969550761775</v>
      </c>
      <c r="AM205" s="88">
        <f t="shared" si="101"/>
        <v>2.3606468566471874</v>
      </c>
      <c r="AN205" s="87">
        <v>-6520744.3899999997</v>
      </c>
      <c r="AO205" s="88">
        <f t="shared" si="102"/>
        <v>-0.55262374581569618</v>
      </c>
      <c r="AP205" s="88">
        <f t="shared" si="103"/>
        <v>7.0899493593485321</v>
      </c>
    </row>
    <row r="206" spans="1:42" s="74" customFormat="1" x14ac:dyDescent="0.25">
      <c r="A206" s="89" t="s">
        <v>669</v>
      </c>
      <c r="B206" s="89" t="s">
        <v>741</v>
      </c>
      <c r="C206" s="89"/>
      <c r="D206" s="41">
        <v>-806030.31</v>
      </c>
      <c r="E206" s="88">
        <f t="shared" si="78"/>
        <v>-6.8309914100648697E-2</v>
      </c>
      <c r="F206" s="88">
        <f t="shared" si="79"/>
        <v>-0.56215655215248672</v>
      </c>
      <c r="G206" s="41">
        <v>-352915.08999999997</v>
      </c>
      <c r="H206" s="88">
        <f t="shared" si="80"/>
        <v>-2.9909048311995489E-2</v>
      </c>
      <c r="I206" s="88">
        <f t="shared" si="81"/>
        <v>0.88369108841449617</v>
      </c>
      <c r="J206" s="41">
        <v>-664783.00999999978</v>
      </c>
      <c r="K206" s="88">
        <f t="shared" si="82"/>
        <v>-5.6339407768264529E-2</v>
      </c>
      <c r="L206" s="88">
        <f t="shared" si="83"/>
        <v>0.18332839162059877</v>
      </c>
      <c r="M206" s="41">
        <v>-786656.6100000001</v>
      </c>
      <c r="N206" s="88">
        <f t="shared" si="84"/>
        <v>-6.6668020779277526E-2</v>
      </c>
      <c r="O206" s="88">
        <f t="shared" si="85"/>
        <v>0.49927473437234537</v>
      </c>
      <c r="P206" s="41">
        <v>-1179414.3799999999</v>
      </c>
      <c r="Q206" s="88">
        <f t="shared" si="86"/>
        <v>-9.9953679144981322E-2</v>
      </c>
      <c r="R206" s="88">
        <f t="shared" si="87"/>
        <v>0.16284404638173045</v>
      </c>
      <c r="S206" s="41">
        <v>-1371474.9899999998</v>
      </c>
      <c r="T206" s="88">
        <f t="shared" si="88"/>
        <v>-0.11623054070769126</v>
      </c>
      <c r="U206" s="88">
        <f t="shared" si="89"/>
        <v>-0.37252483182358209</v>
      </c>
      <c r="V206" s="41">
        <v>-860566.50000000093</v>
      </c>
      <c r="W206" s="88">
        <f t="shared" si="90"/>
        <v>-7.2931778077794565E-2</v>
      </c>
      <c r="X206" s="88">
        <f t="shared" si="91"/>
        <v>0.38792753378152534</v>
      </c>
      <c r="Y206" s="41">
        <v>-1194403.9400000004</v>
      </c>
      <c r="Z206" s="88">
        <f t="shared" si="92"/>
        <v>-0.10122402288181492</v>
      </c>
      <c r="AA206" s="88">
        <f t="shared" si="93"/>
        <v>1.0781293973293193E-2</v>
      </c>
      <c r="AB206" s="41">
        <v>-1207281.1600000001</v>
      </c>
      <c r="AC206" s="88">
        <f t="shared" si="94"/>
        <v>-0.10231534882966314</v>
      </c>
      <c r="AD206" s="88">
        <f t="shared" si="95"/>
        <v>0.16825379764892601</v>
      </c>
      <c r="AE206" s="41">
        <v>-1410410.8000000007</v>
      </c>
      <c r="AF206" s="88">
        <f t="shared" si="96"/>
        <v>-0.11953029482802856</v>
      </c>
      <c r="AG206" s="88">
        <f t="shared" si="97"/>
        <v>0.1840031996351692</v>
      </c>
      <c r="AH206" s="41">
        <v>-1669930.8999999994</v>
      </c>
      <c r="AI206" s="88">
        <f t="shared" si="98"/>
        <v>-0.14152425152972092</v>
      </c>
      <c r="AJ206" s="88">
        <f t="shared" si="99"/>
        <v>0.16191884945658575</v>
      </c>
      <c r="AK206" s="41">
        <v>-1940324.19</v>
      </c>
      <c r="AL206" s="88">
        <f t="shared" si="100"/>
        <v>-0.16443969550761775</v>
      </c>
      <c r="AM206" s="88">
        <f t="shared" si="101"/>
        <v>2.3606468566471874</v>
      </c>
      <c r="AN206" s="41">
        <v>-6520744.3899999997</v>
      </c>
      <c r="AO206" s="88">
        <f t="shared" si="102"/>
        <v>-0.55262374581569618</v>
      </c>
      <c r="AP206" s="88">
        <f t="shared" si="103"/>
        <v>7.0899493593485321</v>
      </c>
    </row>
    <row r="207" spans="1:42" x14ac:dyDescent="0.25">
      <c r="A207" s="37"/>
      <c r="B207" s="37"/>
    </row>
    <row r="208" spans="1:42" hidden="1" x14ac:dyDescent="0.25">
      <c r="A208" s="37"/>
      <c r="B208" s="37"/>
      <c r="AK208" s="30">
        <v>-60691.35</v>
      </c>
    </row>
    <row r="209" spans="1:3" hidden="1" x14ac:dyDescent="0.25">
      <c r="A209" s="37" t="s">
        <v>5</v>
      </c>
      <c r="B209" s="37" t="s">
        <v>6</v>
      </c>
      <c r="C209" s="37"/>
    </row>
    <row r="210" spans="1:3" hidden="1" x14ac:dyDescent="0.25">
      <c r="A210" s="37" t="s">
        <v>307</v>
      </c>
      <c r="B210" s="37" t="s">
        <v>308</v>
      </c>
      <c r="C210" s="37"/>
    </row>
    <row r="211" spans="1:3" hidden="1" x14ac:dyDescent="0.25">
      <c r="A211" s="37" t="s">
        <v>309</v>
      </c>
      <c r="B211" s="37" t="s">
        <v>742</v>
      </c>
      <c r="C211" s="37"/>
    </row>
    <row r="212" spans="1:3" hidden="1" x14ac:dyDescent="0.25">
      <c r="A212" s="37" t="s">
        <v>311</v>
      </c>
      <c r="B212" s="37" t="s">
        <v>742</v>
      </c>
      <c r="C212" s="37"/>
    </row>
    <row r="213" spans="1:3" hidden="1" x14ac:dyDescent="0.25">
      <c r="A213" s="37" t="s">
        <v>312</v>
      </c>
      <c r="B213" s="37" t="s">
        <v>742</v>
      </c>
      <c r="C213" s="37"/>
    </row>
    <row r="214" spans="1:3" hidden="1" x14ac:dyDescent="0.25">
      <c r="A214" s="37" t="s">
        <v>313</v>
      </c>
      <c r="B214" s="37" t="s">
        <v>742</v>
      </c>
      <c r="C214" s="37"/>
    </row>
    <row r="215" spans="1:3" hidden="1" x14ac:dyDescent="0.25">
      <c r="A215" s="37" t="s">
        <v>314</v>
      </c>
      <c r="B215" s="37" t="s">
        <v>743</v>
      </c>
      <c r="C215" s="37"/>
    </row>
    <row r="216" spans="1:3" hidden="1" x14ac:dyDescent="0.25">
      <c r="A216" s="37" t="s">
        <v>316</v>
      </c>
      <c r="B216" s="37" t="s">
        <v>743</v>
      </c>
      <c r="C216" s="37"/>
    </row>
    <row r="217" spans="1:3" hidden="1" x14ac:dyDescent="0.25">
      <c r="A217" s="37" t="s">
        <v>317</v>
      </c>
      <c r="B217" s="37" t="s">
        <v>743</v>
      </c>
      <c r="C217" s="37"/>
    </row>
    <row r="218" spans="1:3" hidden="1" x14ac:dyDescent="0.25">
      <c r="A218" s="37" t="s">
        <v>318</v>
      </c>
      <c r="B218" s="37" t="s">
        <v>743</v>
      </c>
      <c r="C218" s="37"/>
    </row>
    <row r="219" spans="1:3" hidden="1" x14ac:dyDescent="0.25">
      <c r="A219" s="37" t="s">
        <v>319</v>
      </c>
      <c r="B219" s="37" t="s">
        <v>744</v>
      </c>
      <c r="C219" s="37"/>
    </row>
    <row r="220" spans="1:3" hidden="1" x14ac:dyDescent="0.25">
      <c r="A220" s="37" t="s">
        <v>321</v>
      </c>
      <c r="B220" s="37" t="s">
        <v>744</v>
      </c>
      <c r="C220" s="37"/>
    </row>
    <row r="221" spans="1:3" hidden="1" x14ac:dyDescent="0.25">
      <c r="A221" s="37" t="s">
        <v>322</v>
      </c>
      <c r="B221" s="37" t="s">
        <v>744</v>
      </c>
      <c r="C221" s="37"/>
    </row>
    <row r="222" spans="1:3" hidden="1" x14ac:dyDescent="0.25">
      <c r="A222" s="37" t="s">
        <v>323</v>
      </c>
      <c r="B222" s="37" t="s">
        <v>745</v>
      </c>
      <c r="C222" s="37"/>
    </row>
    <row r="223" spans="1:3" hidden="1" x14ac:dyDescent="0.25">
      <c r="A223" s="37" t="s">
        <v>325</v>
      </c>
      <c r="B223" s="37" t="s">
        <v>746</v>
      </c>
      <c r="C223" s="37"/>
    </row>
    <row r="224" spans="1:3" hidden="1" x14ac:dyDescent="0.25">
      <c r="A224" s="37" t="s">
        <v>327</v>
      </c>
      <c r="B224" s="37" t="s">
        <v>157</v>
      </c>
      <c r="C224" s="37"/>
    </row>
    <row r="225" spans="1:3" hidden="1" x14ac:dyDescent="0.25">
      <c r="A225" s="37" t="s">
        <v>328</v>
      </c>
      <c r="B225" s="37" t="s">
        <v>157</v>
      </c>
      <c r="C225" s="37"/>
    </row>
    <row r="226" spans="1:3" hidden="1" x14ac:dyDescent="0.25">
      <c r="A226" s="37" t="s">
        <v>329</v>
      </c>
      <c r="B226" s="37" t="s">
        <v>157</v>
      </c>
      <c r="C226" s="37"/>
    </row>
    <row r="227" spans="1:3" hidden="1" x14ac:dyDescent="0.25">
      <c r="A227" s="37" t="s">
        <v>330</v>
      </c>
      <c r="B227" s="37" t="s">
        <v>157</v>
      </c>
      <c r="C227" s="37"/>
    </row>
    <row r="228" spans="1:3" hidden="1" x14ac:dyDescent="0.25">
      <c r="A228" s="37" t="s">
        <v>331</v>
      </c>
      <c r="B228" s="37" t="s">
        <v>747</v>
      </c>
      <c r="C228" s="37"/>
    </row>
    <row r="229" spans="1:3" hidden="1" x14ac:dyDescent="0.25">
      <c r="A229" s="37" t="s">
        <v>333</v>
      </c>
      <c r="B229" s="37" t="s">
        <v>334</v>
      </c>
      <c r="C229" s="37"/>
    </row>
    <row r="230" spans="1:3" hidden="1" x14ac:dyDescent="0.25">
      <c r="A230" s="37" t="s">
        <v>335</v>
      </c>
      <c r="B230" s="37" t="s">
        <v>160</v>
      </c>
      <c r="C230" s="37"/>
    </row>
    <row r="231" spans="1:3" hidden="1" x14ac:dyDescent="0.25">
      <c r="A231" s="37" t="s">
        <v>336</v>
      </c>
      <c r="B231" s="37" t="s">
        <v>160</v>
      </c>
      <c r="C231" s="37"/>
    </row>
    <row r="232" spans="1:3" hidden="1" x14ac:dyDescent="0.25">
      <c r="A232" s="37" t="s">
        <v>337</v>
      </c>
      <c r="B232" s="37" t="s">
        <v>160</v>
      </c>
      <c r="C232" s="37"/>
    </row>
    <row r="233" spans="1:3" hidden="1" x14ac:dyDescent="0.25">
      <c r="A233" s="37" t="s">
        <v>338</v>
      </c>
      <c r="B233" s="37" t="s">
        <v>160</v>
      </c>
      <c r="C233" s="37"/>
    </row>
    <row r="234" spans="1:3" hidden="1" x14ac:dyDescent="0.25">
      <c r="A234" s="37" t="s">
        <v>339</v>
      </c>
      <c r="B234" s="37" t="s">
        <v>163</v>
      </c>
      <c r="C234" s="37"/>
    </row>
    <row r="235" spans="1:3" hidden="1" x14ac:dyDescent="0.25">
      <c r="A235" s="37" t="s">
        <v>340</v>
      </c>
      <c r="B235" s="37" t="s">
        <v>163</v>
      </c>
      <c r="C235" s="37"/>
    </row>
    <row r="236" spans="1:3" hidden="1" x14ac:dyDescent="0.25">
      <c r="A236" s="37" t="s">
        <v>341</v>
      </c>
      <c r="B236" s="37" t="s">
        <v>163</v>
      </c>
      <c r="C236" s="37"/>
    </row>
    <row r="237" spans="1:3" hidden="1" x14ac:dyDescent="0.25">
      <c r="A237" s="37" t="s">
        <v>342</v>
      </c>
      <c r="B237" s="37" t="s">
        <v>163</v>
      </c>
      <c r="C237" s="37"/>
    </row>
    <row r="238" spans="1:3" hidden="1" x14ac:dyDescent="0.25">
      <c r="A238" s="37" t="s">
        <v>343</v>
      </c>
      <c r="B238" s="37" t="s">
        <v>344</v>
      </c>
      <c r="C238" s="37"/>
    </row>
    <row r="239" spans="1:3" hidden="1" x14ac:dyDescent="0.25">
      <c r="A239" s="37" t="s">
        <v>345</v>
      </c>
      <c r="B239" s="37" t="s">
        <v>344</v>
      </c>
      <c r="C239" s="37"/>
    </row>
    <row r="240" spans="1:3" hidden="1" x14ac:dyDescent="0.25">
      <c r="A240" s="37" t="s">
        <v>346</v>
      </c>
      <c r="B240" s="37" t="s">
        <v>344</v>
      </c>
      <c r="C240" s="37"/>
    </row>
    <row r="241" spans="1:3" hidden="1" x14ac:dyDescent="0.25">
      <c r="A241" s="37" t="s">
        <v>347</v>
      </c>
      <c r="B241" s="37" t="s">
        <v>344</v>
      </c>
      <c r="C241" s="37"/>
    </row>
    <row r="242" spans="1:3" hidden="1" x14ac:dyDescent="0.25">
      <c r="A242" s="37" t="s">
        <v>348</v>
      </c>
      <c r="B242" s="37" t="s">
        <v>748</v>
      </c>
      <c r="C242" s="37"/>
    </row>
    <row r="243" spans="1:3" hidden="1" x14ac:dyDescent="0.25">
      <c r="A243" s="37" t="s">
        <v>350</v>
      </c>
      <c r="B243" s="37" t="s">
        <v>748</v>
      </c>
      <c r="C243" s="37"/>
    </row>
    <row r="244" spans="1:3" hidden="1" x14ac:dyDescent="0.25">
      <c r="A244" s="37" t="s">
        <v>351</v>
      </c>
      <c r="B244" s="37" t="s">
        <v>748</v>
      </c>
      <c r="C244" s="37"/>
    </row>
    <row r="245" spans="1:3" hidden="1" x14ac:dyDescent="0.25">
      <c r="A245" s="37" t="s">
        <v>352</v>
      </c>
      <c r="B245" s="37" t="s">
        <v>748</v>
      </c>
      <c r="C245" s="37"/>
    </row>
    <row r="246" spans="1:3" hidden="1" x14ac:dyDescent="0.25">
      <c r="A246" s="37" t="s">
        <v>7</v>
      </c>
      <c r="B246" s="37" t="s">
        <v>8</v>
      </c>
      <c r="C246" s="37"/>
    </row>
    <row r="247" spans="1:3" hidden="1" x14ac:dyDescent="0.25">
      <c r="A247" s="37" t="s">
        <v>353</v>
      </c>
      <c r="B247" s="37" t="s">
        <v>749</v>
      </c>
      <c r="C247" s="37"/>
    </row>
    <row r="248" spans="1:3" hidden="1" x14ac:dyDescent="0.25">
      <c r="A248" s="37" t="s">
        <v>355</v>
      </c>
      <c r="B248" s="37" t="s">
        <v>749</v>
      </c>
      <c r="C248" s="37"/>
    </row>
    <row r="249" spans="1:3" hidden="1" x14ac:dyDescent="0.25">
      <c r="A249" s="37" t="s">
        <v>356</v>
      </c>
      <c r="B249" s="37" t="s">
        <v>749</v>
      </c>
      <c r="C249" s="37"/>
    </row>
    <row r="250" spans="1:3" hidden="1" x14ac:dyDescent="0.25">
      <c r="A250" s="37" t="s">
        <v>357</v>
      </c>
      <c r="B250" s="37" t="s">
        <v>749</v>
      </c>
      <c r="C250" s="37"/>
    </row>
    <row r="251" spans="1:3" hidden="1" x14ac:dyDescent="0.25">
      <c r="A251" s="37" t="s">
        <v>358</v>
      </c>
      <c r="B251" s="37" t="s">
        <v>749</v>
      </c>
      <c r="C251" s="37"/>
    </row>
    <row r="252" spans="1:3" hidden="1" x14ac:dyDescent="0.25">
      <c r="A252" s="37" t="s">
        <v>359</v>
      </c>
      <c r="B252" s="37" t="s">
        <v>750</v>
      </c>
      <c r="C252" s="37"/>
    </row>
    <row r="253" spans="1:3" hidden="1" x14ac:dyDescent="0.25">
      <c r="A253" s="37" t="s">
        <v>363</v>
      </c>
      <c r="B253" s="37" t="s">
        <v>751</v>
      </c>
      <c r="C253" s="37"/>
    </row>
    <row r="254" spans="1:3" hidden="1" x14ac:dyDescent="0.25">
      <c r="A254" s="37" t="s">
        <v>365</v>
      </c>
      <c r="B254" s="37" t="s">
        <v>752</v>
      </c>
      <c r="C254" s="37"/>
    </row>
    <row r="255" spans="1:3" hidden="1" x14ac:dyDescent="0.25">
      <c r="A255" s="37" t="s">
        <v>367</v>
      </c>
      <c r="B255" s="37" t="s">
        <v>752</v>
      </c>
      <c r="C255" s="37"/>
    </row>
    <row r="256" spans="1:3" hidden="1" x14ac:dyDescent="0.25">
      <c r="A256" s="37" t="s">
        <v>368</v>
      </c>
      <c r="B256" s="37" t="s">
        <v>752</v>
      </c>
      <c r="C256" s="37"/>
    </row>
    <row r="257" spans="1:3" hidden="1" x14ac:dyDescent="0.25">
      <c r="A257" s="37" t="s">
        <v>369</v>
      </c>
      <c r="B257" s="37" t="s">
        <v>752</v>
      </c>
      <c r="C257" s="37"/>
    </row>
    <row r="258" spans="1:3" hidden="1" x14ac:dyDescent="0.25">
      <c r="A258" s="37" t="s">
        <v>370</v>
      </c>
      <c r="B258" s="37" t="s">
        <v>752</v>
      </c>
      <c r="C258" s="37"/>
    </row>
    <row r="259" spans="1:3" hidden="1" x14ac:dyDescent="0.25">
      <c r="A259" s="37" t="s">
        <v>371</v>
      </c>
      <c r="B259" s="37" t="s">
        <v>753</v>
      </c>
      <c r="C259" s="37"/>
    </row>
    <row r="260" spans="1:3" hidden="1" x14ac:dyDescent="0.25">
      <c r="A260" s="37" t="s">
        <v>9</v>
      </c>
      <c r="B260" s="37" t="s">
        <v>10</v>
      </c>
      <c r="C260" s="37"/>
    </row>
    <row r="261" spans="1:3" hidden="1" x14ac:dyDescent="0.25">
      <c r="A261" s="37" t="s">
        <v>373</v>
      </c>
      <c r="B261" s="37" t="s">
        <v>374</v>
      </c>
      <c r="C261" s="37"/>
    </row>
    <row r="262" spans="1:3" hidden="1" x14ac:dyDescent="0.25">
      <c r="A262" s="37" t="s">
        <v>375</v>
      </c>
      <c r="B262" s="37" t="s">
        <v>376</v>
      </c>
      <c r="C262" s="37"/>
    </row>
    <row r="263" spans="1:3" hidden="1" x14ac:dyDescent="0.25">
      <c r="A263" s="37" t="s">
        <v>377</v>
      </c>
      <c r="B263" s="37" t="s">
        <v>376</v>
      </c>
      <c r="C263" s="37"/>
    </row>
    <row r="264" spans="1:3" hidden="1" x14ac:dyDescent="0.25">
      <c r="A264" s="37" t="s">
        <v>378</v>
      </c>
      <c r="B264" s="37" t="s">
        <v>376</v>
      </c>
      <c r="C264" s="37"/>
    </row>
    <row r="265" spans="1:3" hidden="1" x14ac:dyDescent="0.25">
      <c r="A265" s="37" t="s">
        <v>379</v>
      </c>
      <c r="B265" s="37" t="s">
        <v>380</v>
      </c>
      <c r="C265" s="37"/>
    </row>
    <row r="266" spans="1:3" hidden="1" x14ac:dyDescent="0.25">
      <c r="A266" s="37" t="s">
        <v>670</v>
      </c>
      <c r="B266" s="37" t="s">
        <v>671</v>
      </c>
      <c r="C266" s="37"/>
    </row>
    <row r="267" spans="1:3" hidden="1" x14ac:dyDescent="0.25">
      <c r="A267" s="37" t="s">
        <v>381</v>
      </c>
      <c r="B267" s="37" t="s">
        <v>382</v>
      </c>
      <c r="C267" s="37"/>
    </row>
    <row r="268" spans="1:3" hidden="1" x14ac:dyDescent="0.25">
      <c r="A268" s="37" t="s">
        <v>672</v>
      </c>
      <c r="B268" s="37" t="s">
        <v>754</v>
      </c>
      <c r="C268" s="37"/>
    </row>
    <row r="269" spans="1:3" hidden="1" x14ac:dyDescent="0.25">
      <c r="A269" s="37" t="s">
        <v>674</v>
      </c>
      <c r="B269" s="37" t="s">
        <v>675</v>
      </c>
      <c r="C269" s="37"/>
    </row>
    <row r="270" spans="1:3" hidden="1" x14ac:dyDescent="0.25">
      <c r="A270" s="37" t="s">
        <v>383</v>
      </c>
      <c r="B270" s="37" t="s">
        <v>384</v>
      </c>
      <c r="C270" s="37"/>
    </row>
    <row r="271" spans="1:3" hidden="1" x14ac:dyDescent="0.25">
      <c r="A271" s="37" t="s">
        <v>385</v>
      </c>
      <c r="B271" s="37" t="s">
        <v>386</v>
      </c>
      <c r="C271" s="37"/>
    </row>
    <row r="272" spans="1:3" hidden="1" x14ac:dyDescent="0.25">
      <c r="A272" s="37" t="s">
        <v>387</v>
      </c>
      <c r="B272" s="37" t="s">
        <v>388</v>
      </c>
      <c r="C272" s="37"/>
    </row>
    <row r="273" spans="1:3" hidden="1" x14ac:dyDescent="0.25">
      <c r="A273" s="37" t="s">
        <v>389</v>
      </c>
      <c r="B273" s="37" t="s">
        <v>390</v>
      </c>
      <c r="C273" s="37"/>
    </row>
    <row r="274" spans="1:3" hidden="1" x14ac:dyDescent="0.25">
      <c r="A274" s="37" t="s">
        <v>391</v>
      </c>
      <c r="B274" s="37" t="s">
        <v>392</v>
      </c>
      <c r="C274" s="37"/>
    </row>
    <row r="275" spans="1:3" hidden="1" x14ac:dyDescent="0.25">
      <c r="A275" s="37" t="s">
        <v>393</v>
      </c>
      <c r="B275" s="37" t="s">
        <v>394</v>
      </c>
      <c r="C275" s="37"/>
    </row>
    <row r="276" spans="1:3" hidden="1" x14ac:dyDescent="0.25">
      <c r="A276" s="37" t="s">
        <v>395</v>
      </c>
      <c r="B276" s="37" t="s">
        <v>396</v>
      </c>
      <c r="C276" s="37"/>
    </row>
    <row r="277" spans="1:3" hidden="1" x14ac:dyDescent="0.25">
      <c r="A277" s="37" t="s">
        <v>676</v>
      </c>
      <c r="B277" s="37" t="s">
        <v>677</v>
      </c>
      <c r="C277" s="37"/>
    </row>
    <row r="278" spans="1:3" hidden="1" x14ac:dyDescent="0.25">
      <c r="A278" s="37" t="s">
        <v>397</v>
      </c>
      <c r="B278" s="37" t="s">
        <v>398</v>
      </c>
      <c r="C278" s="37"/>
    </row>
    <row r="279" spans="1:3" hidden="1" x14ac:dyDescent="0.25">
      <c r="A279" s="37" t="s">
        <v>399</v>
      </c>
      <c r="B279" s="37" t="s">
        <v>400</v>
      </c>
      <c r="C279" s="37"/>
    </row>
    <row r="280" spans="1:3" hidden="1" x14ac:dyDescent="0.25">
      <c r="A280" s="37" t="s">
        <v>401</v>
      </c>
      <c r="B280" s="37" t="s">
        <v>402</v>
      </c>
      <c r="C280" s="37"/>
    </row>
    <row r="281" spans="1:3" hidden="1" x14ac:dyDescent="0.25">
      <c r="A281" s="37" t="s">
        <v>403</v>
      </c>
      <c r="B281" s="37" t="s">
        <v>404</v>
      </c>
      <c r="C281" s="37"/>
    </row>
    <row r="282" spans="1:3" hidden="1" x14ac:dyDescent="0.25">
      <c r="A282" s="37" t="s">
        <v>405</v>
      </c>
      <c r="B282" s="37" t="s">
        <v>406</v>
      </c>
      <c r="C282" s="37"/>
    </row>
    <row r="283" spans="1:3" hidden="1" x14ac:dyDescent="0.25">
      <c r="A283" s="37" t="s">
        <v>407</v>
      </c>
      <c r="B283" s="37" t="s">
        <v>408</v>
      </c>
      <c r="C283" s="37"/>
    </row>
    <row r="284" spans="1:3" hidden="1" x14ac:dyDescent="0.25">
      <c r="A284" s="37" t="s">
        <v>409</v>
      </c>
      <c r="B284" s="37" t="s">
        <v>755</v>
      </c>
      <c r="C284" s="37"/>
    </row>
    <row r="285" spans="1:3" hidden="1" x14ac:dyDescent="0.25">
      <c r="A285" s="37" t="s">
        <v>411</v>
      </c>
      <c r="B285" s="37" t="s">
        <v>412</v>
      </c>
      <c r="C285" s="37"/>
    </row>
    <row r="286" spans="1:3" hidden="1" x14ac:dyDescent="0.25">
      <c r="A286" s="37" t="s">
        <v>678</v>
      </c>
      <c r="B286" s="37" t="s">
        <v>756</v>
      </c>
      <c r="C286" s="37"/>
    </row>
    <row r="287" spans="1:3" hidden="1" x14ac:dyDescent="0.25">
      <c r="A287" s="37" t="s">
        <v>413</v>
      </c>
      <c r="B287" s="37" t="s">
        <v>414</v>
      </c>
      <c r="C287" s="37"/>
    </row>
    <row r="288" spans="1:3" hidden="1" x14ac:dyDescent="0.25">
      <c r="A288" s="37" t="s">
        <v>680</v>
      </c>
      <c r="B288" s="37" t="s">
        <v>681</v>
      </c>
      <c r="C288" s="37"/>
    </row>
    <row r="289" spans="1:3" hidden="1" x14ac:dyDescent="0.25">
      <c r="A289" s="37" t="s">
        <v>682</v>
      </c>
      <c r="B289" s="37" t="s">
        <v>757</v>
      </c>
      <c r="C289" s="37"/>
    </row>
    <row r="290" spans="1:3" hidden="1" x14ac:dyDescent="0.25">
      <c r="A290" s="37" t="s">
        <v>684</v>
      </c>
      <c r="B290" s="37" t="s">
        <v>408</v>
      </c>
      <c r="C290" s="37"/>
    </row>
    <row r="291" spans="1:3" hidden="1" x14ac:dyDescent="0.25">
      <c r="A291" s="37" t="s">
        <v>415</v>
      </c>
      <c r="B291" s="37" t="s">
        <v>758</v>
      </c>
      <c r="C291" s="37"/>
    </row>
    <row r="292" spans="1:3" hidden="1" x14ac:dyDescent="0.25">
      <c r="A292" s="37" t="s">
        <v>417</v>
      </c>
      <c r="B292" s="37" t="s">
        <v>759</v>
      </c>
      <c r="C292" s="37"/>
    </row>
    <row r="293" spans="1:3" hidden="1" x14ac:dyDescent="0.25">
      <c r="A293" s="37" t="s">
        <v>419</v>
      </c>
      <c r="B293" s="37" t="s">
        <v>420</v>
      </c>
      <c r="C293" s="37"/>
    </row>
    <row r="294" spans="1:3" hidden="1" x14ac:dyDescent="0.25">
      <c r="A294" s="37" t="s">
        <v>421</v>
      </c>
      <c r="B294" s="37" t="s">
        <v>422</v>
      </c>
      <c r="C294" s="37"/>
    </row>
    <row r="295" spans="1:3" hidden="1" x14ac:dyDescent="0.25">
      <c r="A295" s="37" t="s">
        <v>423</v>
      </c>
      <c r="B295" s="37" t="s">
        <v>424</v>
      </c>
      <c r="C295" s="37"/>
    </row>
    <row r="296" spans="1:3" hidden="1" x14ac:dyDescent="0.25">
      <c r="A296" s="37" t="s">
        <v>425</v>
      </c>
      <c r="B296" s="37" t="s">
        <v>426</v>
      </c>
      <c r="C296" s="37"/>
    </row>
    <row r="297" spans="1:3" hidden="1" x14ac:dyDescent="0.25">
      <c r="A297" s="37" t="s">
        <v>427</v>
      </c>
      <c r="B297" s="37" t="s">
        <v>428</v>
      </c>
      <c r="C297" s="37"/>
    </row>
    <row r="298" spans="1:3" hidden="1" x14ac:dyDescent="0.25">
      <c r="A298" s="37" t="s">
        <v>429</v>
      </c>
      <c r="B298" s="37" t="s">
        <v>430</v>
      </c>
      <c r="C298" s="37"/>
    </row>
    <row r="299" spans="1:3" hidden="1" x14ac:dyDescent="0.25">
      <c r="A299" s="37" t="s">
        <v>431</v>
      </c>
      <c r="B299" s="37" t="s">
        <v>760</v>
      </c>
      <c r="C299" s="37"/>
    </row>
    <row r="300" spans="1:3" hidden="1" x14ac:dyDescent="0.25">
      <c r="A300" s="37" t="s">
        <v>433</v>
      </c>
      <c r="B300" s="37" t="s">
        <v>434</v>
      </c>
      <c r="C300" s="37"/>
    </row>
    <row r="301" spans="1:3" hidden="1" x14ac:dyDescent="0.25">
      <c r="A301" s="37" t="s">
        <v>685</v>
      </c>
      <c r="B301" s="37" t="s">
        <v>761</v>
      </c>
      <c r="C301" s="37"/>
    </row>
    <row r="302" spans="1:3" hidden="1" x14ac:dyDescent="0.25">
      <c r="A302" s="37" t="s">
        <v>435</v>
      </c>
      <c r="B302" s="37" t="s">
        <v>762</v>
      </c>
      <c r="C302" s="37"/>
    </row>
    <row r="303" spans="1:3" hidden="1" x14ac:dyDescent="0.25">
      <c r="A303" s="37" t="s">
        <v>687</v>
      </c>
      <c r="B303" s="37" t="s">
        <v>763</v>
      </c>
      <c r="C303" s="37"/>
    </row>
    <row r="304" spans="1:3" hidden="1" x14ac:dyDescent="0.25">
      <c r="A304" s="37" t="s">
        <v>437</v>
      </c>
      <c r="B304" s="37" t="s">
        <v>438</v>
      </c>
      <c r="C304" s="37"/>
    </row>
    <row r="305" spans="1:3" hidden="1" x14ac:dyDescent="0.25">
      <c r="A305" s="37" t="s">
        <v>439</v>
      </c>
      <c r="B305" s="37" t="s">
        <v>764</v>
      </c>
      <c r="C305" s="37"/>
    </row>
    <row r="306" spans="1:3" hidden="1" x14ac:dyDescent="0.25">
      <c r="A306" s="37" t="s">
        <v>441</v>
      </c>
      <c r="B306" s="37" t="s">
        <v>442</v>
      </c>
      <c r="C306" s="37"/>
    </row>
    <row r="307" spans="1:3" hidden="1" x14ac:dyDescent="0.25">
      <c r="A307" s="37" t="s">
        <v>443</v>
      </c>
      <c r="B307" s="37" t="s">
        <v>765</v>
      </c>
      <c r="C307" s="37"/>
    </row>
    <row r="308" spans="1:3" hidden="1" x14ac:dyDescent="0.25">
      <c r="A308" s="37" t="s">
        <v>445</v>
      </c>
      <c r="B308" s="37" t="s">
        <v>766</v>
      </c>
      <c r="C308" s="37"/>
    </row>
    <row r="309" spans="1:3" hidden="1" x14ac:dyDescent="0.25">
      <c r="A309" s="37" t="s">
        <v>447</v>
      </c>
      <c r="B309" s="37" t="s">
        <v>767</v>
      </c>
      <c r="C309" s="37"/>
    </row>
    <row r="310" spans="1:3" hidden="1" x14ac:dyDescent="0.25">
      <c r="A310" s="37" t="s">
        <v>449</v>
      </c>
      <c r="B310" s="37" t="s">
        <v>768</v>
      </c>
      <c r="C310" s="37"/>
    </row>
    <row r="311" spans="1:3" hidden="1" x14ac:dyDescent="0.25">
      <c r="A311" s="37" t="s">
        <v>451</v>
      </c>
      <c r="B311" s="37" t="s">
        <v>769</v>
      </c>
      <c r="C311" s="37"/>
    </row>
    <row r="312" spans="1:3" hidden="1" x14ac:dyDescent="0.25">
      <c r="A312" s="37" t="s">
        <v>453</v>
      </c>
      <c r="B312" s="37" t="s">
        <v>454</v>
      </c>
      <c r="C312" s="37"/>
    </row>
    <row r="313" spans="1:3" hidden="1" x14ac:dyDescent="0.25">
      <c r="A313" s="37" t="s">
        <v>455</v>
      </c>
      <c r="B313" s="37" t="s">
        <v>770</v>
      </c>
      <c r="C313" s="37"/>
    </row>
    <row r="314" spans="1:3" hidden="1" x14ac:dyDescent="0.25">
      <c r="A314" s="37" t="s">
        <v>457</v>
      </c>
      <c r="B314" s="37" t="s">
        <v>458</v>
      </c>
      <c r="C314" s="37"/>
    </row>
    <row r="315" spans="1:3" hidden="1" x14ac:dyDescent="0.25">
      <c r="A315" s="37" t="s">
        <v>459</v>
      </c>
      <c r="B315" s="37" t="s">
        <v>771</v>
      </c>
      <c r="C315" s="37"/>
    </row>
    <row r="316" spans="1:3" hidden="1" x14ac:dyDescent="0.25">
      <c r="A316" s="37" t="s">
        <v>691</v>
      </c>
      <c r="B316" s="37" t="s">
        <v>692</v>
      </c>
      <c r="C316" s="37"/>
    </row>
    <row r="317" spans="1:3" hidden="1" x14ac:dyDescent="0.25">
      <c r="A317" s="37" t="s">
        <v>693</v>
      </c>
      <c r="B317" s="37" t="s">
        <v>772</v>
      </c>
      <c r="C317" s="37"/>
    </row>
    <row r="318" spans="1:3" hidden="1" x14ac:dyDescent="0.25">
      <c r="A318" s="37" t="s">
        <v>461</v>
      </c>
      <c r="B318" s="37" t="s">
        <v>773</v>
      </c>
      <c r="C318" s="37"/>
    </row>
    <row r="319" spans="1:3" hidden="1" x14ac:dyDescent="0.25">
      <c r="A319" s="37" t="s">
        <v>463</v>
      </c>
      <c r="B319" s="37" t="s">
        <v>774</v>
      </c>
      <c r="C319" s="37"/>
    </row>
    <row r="320" spans="1:3" hidden="1" x14ac:dyDescent="0.25">
      <c r="A320" s="37" t="s">
        <v>695</v>
      </c>
      <c r="B320" s="37" t="s">
        <v>696</v>
      </c>
      <c r="C320" s="37"/>
    </row>
    <row r="321" spans="1:3" hidden="1" x14ac:dyDescent="0.25">
      <c r="A321" s="37" t="s">
        <v>465</v>
      </c>
      <c r="B321" s="37" t="s">
        <v>775</v>
      </c>
      <c r="C321" s="37"/>
    </row>
    <row r="322" spans="1:3" hidden="1" x14ac:dyDescent="0.25">
      <c r="A322" s="37" t="s">
        <v>697</v>
      </c>
      <c r="B322" s="37" t="s">
        <v>776</v>
      </c>
      <c r="C322" s="37"/>
    </row>
    <row r="323" spans="1:3" hidden="1" x14ac:dyDescent="0.25">
      <c r="A323" s="37" t="s">
        <v>467</v>
      </c>
      <c r="B323" s="37" t="s">
        <v>777</v>
      </c>
      <c r="C323" s="37"/>
    </row>
    <row r="324" spans="1:3" hidden="1" x14ac:dyDescent="0.25">
      <c r="A324" s="37" t="s">
        <v>469</v>
      </c>
      <c r="B324" s="37" t="s">
        <v>778</v>
      </c>
      <c r="C324" s="37"/>
    </row>
    <row r="325" spans="1:3" hidden="1" x14ac:dyDescent="0.25">
      <c r="A325" s="37" t="s">
        <v>471</v>
      </c>
      <c r="B325" s="37" t="s">
        <v>779</v>
      </c>
      <c r="C325" s="37"/>
    </row>
    <row r="326" spans="1:3" hidden="1" x14ac:dyDescent="0.25">
      <c r="A326" s="37" t="s">
        <v>473</v>
      </c>
      <c r="B326" s="37" t="s">
        <v>474</v>
      </c>
      <c r="C326" s="37"/>
    </row>
    <row r="327" spans="1:3" hidden="1" x14ac:dyDescent="0.25">
      <c r="A327" s="37" t="s">
        <v>699</v>
      </c>
      <c r="B327" s="37" t="s">
        <v>700</v>
      </c>
      <c r="C327" s="37"/>
    </row>
    <row r="328" spans="1:3" hidden="1" x14ac:dyDescent="0.25">
      <c r="A328" s="37" t="s">
        <v>475</v>
      </c>
      <c r="B328" s="37" t="s">
        <v>780</v>
      </c>
      <c r="C328" s="37"/>
    </row>
    <row r="329" spans="1:3" hidden="1" x14ac:dyDescent="0.25">
      <c r="A329" s="37" t="s">
        <v>477</v>
      </c>
      <c r="B329" s="37" t="s">
        <v>478</v>
      </c>
      <c r="C329" s="37"/>
    </row>
    <row r="330" spans="1:3" hidden="1" x14ac:dyDescent="0.25">
      <c r="A330" s="37" t="s">
        <v>479</v>
      </c>
      <c r="B330" s="37" t="s">
        <v>480</v>
      </c>
      <c r="C330" s="37"/>
    </row>
    <row r="331" spans="1:3" hidden="1" x14ac:dyDescent="0.25">
      <c r="A331" s="37" t="s">
        <v>481</v>
      </c>
      <c r="B331" s="37" t="s">
        <v>781</v>
      </c>
      <c r="C331" s="37"/>
    </row>
    <row r="332" spans="1:3" hidden="1" x14ac:dyDescent="0.25">
      <c r="A332" s="37" t="s">
        <v>483</v>
      </c>
      <c r="B332" s="37" t="s">
        <v>484</v>
      </c>
      <c r="C332" s="37"/>
    </row>
    <row r="333" spans="1:3" hidden="1" x14ac:dyDescent="0.25">
      <c r="A333" s="37" t="s">
        <v>485</v>
      </c>
      <c r="B333" s="37" t="s">
        <v>782</v>
      </c>
      <c r="C333" s="37"/>
    </row>
    <row r="334" spans="1:3" hidden="1" x14ac:dyDescent="0.25">
      <c r="A334" s="37" t="s">
        <v>487</v>
      </c>
      <c r="B334" s="37" t="s">
        <v>488</v>
      </c>
      <c r="C334" s="37"/>
    </row>
    <row r="335" spans="1:3" hidden="1" x14ac:dyDescent="0.25">
      <c r="A335" s="37" t="s">
        <v>489</v>
      </c>
      <c r="B335" s="37" t="s">
        <v>490</v>
      </c>
      <c r="C335" s="37"/>
    </row>
    <row r="336" spans="1:3" hidden="1" x14ac:dyDescent="0.25">
      <c r="A336" s="37" t="s">
        <v>491</v>
      </c>
      <c r="B336" s="37" t="s">
        <v>492</v>
      </c>
      <c r="C336" s="37"/>
    </row>
    <row r="337" spans="1:3" hidden="1" x14ac:dyDescent="0.25">
      <c r="A337" s="37" t="s">
        <v>493</v>
      </c>
      <c r="B337" s="37" t="s">
        <v>147</v>
      </c>
      <c r="C337" s="37"/>
    </row>
    <row r="338" spans="1:3" hidden="1" x14ac:dyDescent="0.25">
      <c r="A338" s="37" t="s">
        <v>494</v>
      </c>
      <c r="B338" s="37" t="s">
        <v>783</v>
      </c>
      <c r="C338" s="37"/>
    </row>
    <row r="339" spans="1:3" hidden="1" x14ac:dyDescent="0.25">
      <c r="A339" s="37" t="s">
        <v>701</v>
      </c>
      <c r="B339" s="37" t="s">
        <v>702</v>
      </c>
      <c r="C339" s="37"/>
    </row>
    <row r="340" spans="1:3" hidden="1" x14ac:dyDescent="0.25">
      <c r="A340" s="37" t="s">
        <v>496</v>
      </c>
      <c r="B340" s="37" t="s">
        <v>497</v>
      </c>
      <c r="C340" s="37"/>
    </row>
    <row r="341" spans="1:3" hidden="1" x14ac:dyDescent="0.25">
      <c r="A341" s="37" t="s">
        <v>498</v>
      </c>
      <c r="B341" s="37" t="s">
        <v>499</v>
      </c>
      <c r="C341" s="37"/>
    </row>
    <row r="342" spans="1:3" hidden="1" x14ac:dyDescent="0.25">
      <c r="A342" s="37" t="s">
        <v>500</v>
      </c>
      <c r="B342" s="37" t="s">
        <v>784</v>
      </c>
      <c r="C342" s="37"/>
    </row>
    <row r="343" spans="1:3" hidden="1" x14ac:dyDescent="0.25">
      <c r="A343" s="37" t="s">
        <v>502</v>
      </c>
      <c r="B343" s="37" t="s">
        <v>784</v>
      </c>
      <c r="C343" s="37"/>
    </row>
    <row r="344" spans="1:3" hidden="1" x14ac:dyDescent="0.25">
      <c r="A344" s="37" t="s">
        <v>503</v>
      </c>
      <c r="B344" s="37" t="s">
        <v>504</v>
      </c>
      <c r="C344" s="37"/>
    </row>
    <row r="345" spans="1:3" hidden="1" x14ac:dyDescent="0.25">
      <c r="A345" s="37" t="s">
        <v>703</v>
      </c>
      <c r="B345" s="37" t="s">
        <v>785</v>
      </c>
      <c r="C345" s="37"/>
    </row>
    <row r="346" spans="1:3" hidden="1" x14ac:dyDescent="0.25">
      <c r="A346" s="37" t="s">
        <v>505</v>
      </c>
      <c r="B346" s="37" t="s">
        <v>506</v>
      </c>
      <c r="C346" s="37"/>
    </row>
    <row r="347" spans="1:3" hidden="1" x14ac:dyDescent="0.25">
      <c r="A347" s="37" t="s">
        <v>507</v>
      </c>
      <c r="B347" s="37" t="s">
        <v>508</v>
      </c>
      <c r="C347" s="37"/>
    </row>
    <row r="348" spans="1:3" hidden="1" x14ac:dyDescent="0.25">
      <c r="A348" s="37" t="s">
        <v>509</v>
      </c>
      <c r="B348" s="37" t="s">
        <v>508</v>
      </c>
      <c r="C348" s="37"/>
    </row>
    <row r="349" spans="1:3" hidden="1" x14ac:dyDescent="0.25">
      <c r="A349" s="37" t="s">
        <v>510</v>
      </c>
      <c r="B349" s="37" t="s">
        <v>271</v>
      </c>
      <c r="C349" s="37"/>
    </row>
    <row r="350" spans="1:3" hidden="1" x14ac:dyDescent="0.25">
      <c r="A350" s="37" t="s">
        <v>511</v>
      </c>
      <c r="B350" s="37" t="s">
        <v>786</v>
      </c>
      <c r="C350" s="37"/>
    </row>
    <row r="351" spans="1:3" hidden="1" x14ac:dyDescent="0.25">
      <c r="A351" s="37" t="s">
        <v>513</v>
      </c>
      <c r="B351" s="37" t="s">
        <v>786</v>
      </c>
      <c r="C351" s="37"/>
    </row>
    <row r="352" spans="1:3" hidden="1" x14ac:dyDescent="0.25">
      <c r="A352" s="37" t="s">
        <v>514</v>
      </c>
      <c r="B352" s="37" t="s">
        <v>515</v>
      </c>
      <c r="C352" s="37"/>
    </row>
    <row r="353" spans="1:3" hidden="1" x14ac:dyDescent="0.25">
      <c r="A353" s="37" t="s">
        <v>516</v>
      </c>
      <c r="B353" s="37" t="s">
        <v>787</v>
      </c>
      <c r="C353" s="37"/>
    </row>
    <row r="354" spans="1:3" hidden="1" x14ac:dyDescent="0.25">
      <c r="A354" s="37" t="s">
        <v>518</v>
      </c>
      <c r="B354" s="37" t="s">
        <v>519</v>
      </c>
      <c r="C354" s="37"/>
    </row>
    <row r="355" spans="1:3" hidden="1" x14ac:dyDescent="0.25">
      <c r="A355" s="37" t="s">
        <v>520</v>
      </c>
      <c r="B355" s="37" t="s">
        <v>788</v>
      </c>
      <c r="C355" s="37"/>
    </row>
    <row r="356" spans="1:3" hidden="1" x14ac:dyDescent="0.25">
      <c r="A356" s="37" t="s">
        <v>522</v>
      </c>
      <c r="B356" s="37" t="s">
        <v>788</v>
      </c>
      <c r="C356" s="37"/>
    </row>
    <row r="357" spans="1:3" hidden="1" x14ac:dyDescent="0.25">
      <c r="A357" s="37" t="s">
        <v>523</v>
      </c>
      <c r="B357" s="37" t="s">
        <v>524</v>
      </c>
      <c r="C357" s="37"/>
    </row>
    <row r="358" spans="1:3" hidden="1" x14ac:dyDescent="0.25">
      <c r="A358" s="37" t="s">
        <v>525</v>
      </c>
      <c r="B358" s="37" t="s">
        <v>526</v>
      </c>
      <c r="C358" s="37"/>
    </row>
    <row r="359" spans="1:3" hidden="1" x14ac:dyDescent="0.25">
      <c r="A359" s="37" t="s">
        <v>705</v>
      </c>
      <c r="B359" s="37" t="s">
        <v>706</v>
      </c>
      <c r="C359" s="37"/>
    </row>
    <row r="360" spans="1:3" hidden="1" x14ac:dyDescent="0.25">
      <c r="A360" s="37" t="s">
        <v>707</v>
      </c>
      <c r="B360" s="37" t="s">
        <v>708</v>
      </c>
      <c r="C360" s="37"/>
    </row>
    <row r="361" spans="1:3" hidden="1" x14ac:dyDescent="0.25">
      <c r="A361" s="37" t="s">
        <v>709</v>
      </c>
      <c r="B361" s="37" t="s">
        <v>708</v>
      </c>
      <c r="C361" s="37"/>
    </row>
    <row r="362" spans="1:3" hidden="1" x14ac:dyDescent="0.25">
      <c r="A362" s="37" t="s">
        <v>710</v>
      </c>
      <c r="B362" s="37" t="s">
        <v>711</v>
      </c>
      <c r="C362" s="37"/>
    </row>
    <row r="363" spans="1:3" hidden="1" x14ac:dyDescent="0.25">
      <c r="A363" s="37" t="s">
        <v>527</v>
      </c>
      <c r="B363" s="37" t="s">
        <v>528</v>
      </c>
      <c r="C363" s="37"/>
    </row>
    <row r="364" spans="1:3" hidden="1" x14ac:dyDescent="0.25">
      <c r="A364" s="37" t="s">
        <v>529</v>
      </c>
      <c r="B364" s="37" t="s">
        <v>528</v>
      </c>
      <c r="C364" s="37"/>
    </row>
    <row r="365" spans="1:3" hidden="1" x14ac:dyDescent="0.25">
      <c r="A365" s="37" t="s">
        <v>530</v>
      </c>
      <c r="B365" s="37" t="s">
        <v>528</v>
      </c>
      <c r="C365" s="37"/>
    </row>
    <row r="366" spans="1:3" hidden="1" x14ac:dyDescent="0.25">
      <c r="A366" s="37" t="s">
        <v>531</v>
      </c>
      <c r="B366" s="37" t="s">
        <v>532</v>
      </c>
      <c r="C366" s="37"/>
    </row>
    <row r="367" spans="1:3" hidden="1" x14ac:dyDescent="0.25">
      <c r="A367" s="37" t="s">
        <v>533</v>
      </c>
      <c r="B367" s="37" t="s">
        <v>532</v>
      </c>
      <c r="C367" s="37"/>
    </row>
    <row r="368" spans="1:3" hidden="1" x14ac:dyDescent="0.25">
      <c r="A368" s="37" t="s">
        <v>534</v>
      </c>
      <c r="B368" s="37" t="s">
        <v>532</v>
      </c>
      <c r="C368" s="37"/>
    </row>
    <row r="369" spans="1:3" hidden="1" x14ac:dyDescent="0.25">
      <c r="A369" s="37" t="s">
        <v>535</v>
      </c>
      <c r="B369" s="37" t="s">
        <v>532</v>
      </c>
      <c r="C369" s="37"/>
    </row>
    <row r="370" spans="1:3" hidden="1" x14ac:dyDescent="0.25">
      <c r="A370" s="37" t="s">
        <v>712</v>
      </c>
      <c r="B370" s="37" t="s">
        <v>789</v>
      </c>
      <c r="C370" s="37"/>
    </row>
    <row r="371" spans="1:3" hidden="1" x14ac:dyDescent="0.25">
      <c r="A371" s="37" t="s">
        <v>714</v>
      </c>
      <c r="B371" s="37" t="s">
        <v>790</v>
      </c>
      <c r="C371" s="37"/>
    </row>
    <row r="372" spans="1:3" hidden="1" x14ac:dyDescent="0.25">
      <c r="A372" s="37" t="s">
        <v>538</v>
      </c>
      <c r="B372" s="37" t="s">
        <v>539</v>
      </c>
      <c r="C372" s="37"/>
    </row>
    <row r="373" spans="1:3" hidden="1" x14ac:dyDescent="0.25">
      <c r="A373" s="37" t="s">
        <v>540</v>
      </c>
      <c r="B373" s="37" t="s">
        <v>541</v>
      </c>
      <c r="C373" s="37"/>
    </row>
    <row r="374" spans="1:3" hidden="1" x14ac:dyDescent="0.25">
      <c r="A374" s="37" t="s">
        <v>542</v>
      </c>
      <c r="B374" s="37" t="s">
        <v>791</v>
      </c>
      <c r="C374" s="37"/>
    </row>
    <row r="375" spans="1:3" hidden="1" x14ac:dyDescent="0.25">
      <c r="A375" s="37" t="s">
        <v>544</v>
      </c>
      <c r="B375" s="37" t="s">
        <v>545</v>
      </c>
      <c r="C375" s="37"/>
    </row>
    <row r="376" spans="1:3" hidden="1" x14ac:dyDescent="0.25">
      <c r="A376" s="37" t="s">
        <v>546</v>
      </c>
      <c r="B376" s="37" t="s">
        <v>792</v>
      </c>
      <c r="C376" s="37"/>
    </row>
    <row r="377" spans="1:3" hidden="1" x14ac:dyDescent="0.25">
      <c r="A377" s="37" t="s">
        <v>548</v>
      </c>
      <c r="B377" s="37" t="s">
        <v>792</v>
      </c>
      <c r="C377" s="37"/>
    </row>
    <row r="378" spans="1:3" hidden="1" x14ac:dyDescent="0.25">
      <c r="A378" s="37" t="s">
        <v>549</v>
      </c>
      <c r="B378" s="37" t="s">
        <v>792</v>
      </c>
      <c r="C378" s="37"/>
    </row>
    <row r="379" spans="1:3" hidden="1" x14ac:dyDescent="0.25">
      <c r="A379" s="37" t="s">
        <v>550</v>
      </c>
      <c r="B379" s="37" t="s">
        <v>793</v>
      </c>
      <c r="C379" s="37"/>
    </row>
    <row r="380" spans="1:3" hidden="1" x14ac:dyDescent="0.25">
      <c r="A380" s="37" t="s">
        <v>552</v>
      </c>
      <c r="B380" s="37" t="s">
        <v>794</v>
      </c>
      <c r="C380" s="37"/>
    </row>
    <row r="381" spans="1:3" hidden="1" x14ac:dyDescent="0.25">
      <c r="A381" s="37" t="s">
        <v>554</v>
      </c>
      <c r="B381" s="37" t="s">
        <v>794</v>
      </c>
      <c r="C381" s="37"/>
    </row>
    <row r="382" spans="1:3" hidden="1" x14ac:dyDescent="0.25">
      <c r="A382" s="37" t="s">
        <v>555</v>
      </c>
      <c r="B382" s="37" t="s">
        <v>794</v>
      </c>
      <c r="C382" s="37"/>
    </row>
    <row r="383" spans="1:3" hidden="1" x14ac:dyDescent="0.25">
      <c r="A383" s="37" t="s">
        <v>556</v>
      </c>
      <c r="B383" s="37" t="s">
        <v>795</v>
      </c>
      <c r="C383" s="37"/>
    </row>
    <row r="384" spans="1:3" hidden="1" x14ac:dyDescent="0.25"/>
    <row r="385" spans="4:41" hidden="1" x14ac:dyDescent="0.25"/>
    <row r="386" spans="4:41" hidden="1" x14ac:dyDescent="0.25"/>
    <row r="387" spans="4:41" hidden="1" x14ac:dyDescent="0.25"/>
    <row r="388" spans="4:41" x14ac:dyDescent="0.25">
      <c r="D388" s="40"/>
      <c r="E388" s="40"/>
      <c r="F388" s="40"/>
      <c r="G388" s="40">
        <v>0</v>
      </c>
      <c r="H388" s="40"/>
      <c r="I388" s="40"/>
      <c r="J388" s="40">
        <v>0</v>
      </c>
      <c r="K388" s="40"/>
      <c r="L388" s="40"/>
      <c r="M388" s="40">
        <v>0</v>
      </c>
      <c r="N388" s="40"/>
      <c r="O388" s="40"/>
      <c r="P388" s="40">
        <v>0</v>
      </c>
      <c r="Q388" s="40"/>
      <c r="R388" s="40"/>
      <c r="S388" s="40">
        <v>0</v>
      </c>
      <c r="T388" s="40"/>
      <c r="U388" s="40"/>
      <c r="V388" s="40">
        <v>0</v>
      </c>
      <c r="W388" s="40"/>
      <c r="X388" s="40"/>
      <c r="Y388" s="40">
        <v>0</v>
      </c>
      <c r="Z388" s="40"/>
      <c r="AA388" s="40"/>
      <c r="AB388" s="40">
        <v>0</v>
      </c>
      <c r="AC388" s="40"/>
      <c r="AD388" s="40"/>
      <c r="AE388" s="40">
        <v>0</v>
      </c>
      <c r="AF388" s="40"/>
      <c r="AG388" s="40"/>
      <c r="AH388" s="40">
        <v>0</v>
      </c>
      <c r="AI388" s="40"/>
      <c r="AJ388" s="40"/>
      <c r="AK388" s="40">
        <f>AK206-AH206</f>
        <v>-270393.2900000005</v>
      </c>
      <c r="AL388" s="40"/>
      <c r="AM388" s="40"/>
      <c r="AN388" s="40">
        <f>AN206-AK389</f>
        <v>-6460053.04</v>
      </c>
      <c r="AO388" s="40"/>
    </row>
    <row r="389" spans="4:41" x14ac:dyDescent="0.25"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>
        <v>-60691.35</v>
      </c>
      <c r="AL389" s="40"/>
      <c r="AM389" s="40"/>
      <c r="AO389" s="40"/>
    </row>
    <row r="390" spans="4:41" x14ac:dyDescent="0.25">
      <c r="AK390" s="40">
        <f>AK388-AK389</f>
        <v>-209701.9400000005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75A9-256E-4B96-A17D-051E166871EC}">
  <dimension ref="A1:BT201"/>
  <sheetViews>
    <sheetView tabSelected="1" workbookViewId="0">
      <pane xSplit="3" ySplit="20" topLeftCell="D21" activePane="bottomRight" state="frozen"/>
      <selection pane="topRight" activeCell="E1" sqref="E1"/>
      <selection pane="bottomLeft" activeCell="A18" sqref="A18"/>
      <selection pane="bottomRight" activeCell="A3" sqref="A3:XFD18"/>
    </sheetView>
  </sheetViews>
  <sheetFormatPr defaultRowHeight="12" outlineLevelRow="1" x14ac:dyDescent="0.25"/>
  <cols>
    <col min="1" max="1" width="10.5546875" style="47" bestFit="1" customWidth="1"/>
    <col min="2" max="2" width="8.77734375" style="47" bestFit="1" customWidth="1"/>
    <col min="3" max="3" width="35.109375" style="47" bestFit="1" customWidth="1"/>
    <col min="4" max="4" width="11.21875" style="47" bestFit="1" customWidth="1"/>
    <col min="5" max="6" width="11.21875" style="47" customWidth="1"/>
    <col min="7" max="7" width="11.21875" style="47" bestFit="1" customWidth="1"/>
    <col min="8" max="9" width="11.21875" style="47" customWidth="1"/>
    <col min="10" max="10" width="11.21875" style="47" bestFit="1" customWidth="1"/>
    <col min="11" max="12" width="11.21875" style="47" customWidth="1"/>
    <col min="13" max="13" width="11.21875" style="47" bestFit="1" customWidth="1"/>
    <col min="14" max="15" width="11.21875" style="47" customWidth="1"/>
    <col min="16" max="16" width="11.21875" style="47" bestFit="1" customWidth="1"/>
    <col min="17" max="18" width="11.21875" style="47" customWidth="1"/>
    <col min="19" max="19" width="11.21875" style="48" bestFit="1" customWidth="1"/>
    <col min="20" max="21" width="11.21875" style="48" customWidth="1"/>
    <col min="22" max="22" width="11.21875" style="48" bestFit="1" customWidth="1"/>
    <col min="23" max="24" width="11.21875" style="48" customWidth="1"/>
    <col min="25" max="25" width="11.21875" style="47" bestFit="1" customWidth="1"/>
    <col min="26" max="27" width="11.21875" style="47" customWidth="1"/>
    <col min="28" max="28" width="11.21875" style="47" bestFit="1" customWidth="1"/>
    <col min="29" max="30" width="11.21875" style="47" customWidth="1"/>
    <col min="31" max="31" width="11.21875" style="47" bestFit="1" customWidth="1"/>
    <col min="32" max="33" width="11.21875" style="47" customWidth="1"/>
    <col min="34" max="34" width="11.21875" style="47" bestFit="1" customWidth="1"/>
    <col min="35" max="36" width="11.21875" style="47" customWidth="1"/>
    <col min="37" max="37" width="12.77734375" style="47" bestFit="1" customWidth="1"/>
    <col min="38" max="38" width="12.77734375" style="47" customWidth="1"/>
    <col min="39" max="39" width="12.77734375" style="47" bestFit="1" customWidth="1"/>
    <col min="40" max="40" width="12.77734375" style="47" customWidth="1"/>
    <col min="41" max="41" width="11.21875" style="47" bestFit="1" customWidth="1"/>
    <col min="42" max="42" width="11.6640625" style="47" bestFit="1" customWidth="1"/>
    <col min="43" max="43" width="46.6640625" style="47" bestFit="1" customWidth="1"/>
    <col min="44" max="44" width="9.44140625" style="47" bestFit="1" customWidth="1"/>
    <col min="45" max="45" width="8.77734375" style="47" bestFit="1" customWidth="1"/>
    <col min="46" max="46" width="27.6640625" style="47" bestFit="1" customWidth="1"/>
    <col min="47" max="47" width="5.77734375" style="47" bestFit="1" customWidth="1"/>
    <col min="48" max="48" width="11.6640625" style="47" bestFit="1" customWidth="1"/>
    <col min="49" max="50" width="10.109375" style="47" bestFit="1" customWidth="1"/>
    <col min="51" max="51" width="11.6640625" style="47" bestFit="1" customWidth="1"/>
    <col min="52" max="52" width="46.6640625" style="47" bestFit="1" customWidth="1"/>
    <col min="53" max="53" width="9.44140625" style="47" bestFit="1" customWidth="1"/>
    <col min="54" max="54" width="8.77734375" style="47" bestFit="1" customWidth="1"/>
    <col min="55" max="55" width="27.6640625" style="47" bestFit="1" customWidth="1"/>
    <col min="56" max="56" width="5.77734375" style="47" bestFit="1" customWidth="1"/>
    <col min="57" max="57" width="11.6640625" style="47" bestFit="1" customWidth="1"/>
    <col min="58" max="59" width="10.109375" style="47" bestFit="1" customWidth="1"/>
    <col min="60" max="60" width="11.6640625" style="47" bestFit="1" customWidth="1"/>
    <col min="61" max="61" width="46.6640625" style="47" bestFit="1" customWidth="1"/>
    <col min="62" max="62" width="9.44140625" style="47" bestFit="1" customWidth="1"/>
    <col min="63" max="63" width="8.77734375" style="47" bestFit="1" customWidth="1"/>
    <col min="64" max="64" width="27.6640625" style="47" bestFit="1" customWidth="1"/>
    <col min="65" max="65" width="5.77734375" style="47" bestFit="1" customWidth="1"/>
    <col min="66" max="66" width="11.6640625" style="47" bestFit="1" customWidth="1"/>
    <col min="67" max="68" width="10.109375" style="47" bestFit="1" customWidth="1"/>
    <col min="69" max="69" width="11.6640625" style="47" bestFit="1" customWidth="1"/>
    <col min="70" max="70" width="46.6640625" style="47" bestFit="1" customWidth="1"/>
    <col min="71" max="71" width="9.44140625" style="47" bestFit="1" customWidth="1"/>
    <col min="72" max="72" width="8.77734375" style="47" bestFit="1" customWidth="1"/>
    <col min="73" max="73" width="27.6640625" style="47" bestFit="1" customWidth="1"/>
    <col min="74" max="74" width="5.77734375" style="47" bestFit="1" customWidth="1"/>
    <col min="75" max="77" width="11.6640625" style="47" bestFit="1" customWidth="1"/>
    <col min="78" max="78" width="12.33203125" style="47" bestFit="1" customWidth="1"/>
    <col min="79" max="79" width="46.6640625" style="47" bestFit="1" customWidth="1"/>
    <col min="80" max="80" width="9.44140625" style="47" bestFit="1" customWidth="1"/>
    <col min="81" max="81" width="8.77734375" style="47" bestFit="1" customWidth="1"/>
    <col min="82" max="82" width="27.6640625" style="47" bestFit="1" customWidth="1"/>
    <col min="83" max="83" width="5.77734375" style="47" bestFit="1" customWidth="1"/>
    <col min="84" max="84" width="12.33203125" style="47" bestFit="1" customWidth="1"/>
    <col min="85" max="86" width="10.109375" style="47" bestFit="1" customWidth="1"/>
    <col min="87" max="87" width="12.33203125" style="47" bestFit="1" customWidth="1"/>
    <col min="88" max="88" width="53.109375" style="47" bestFit="1" customWidth="1"/>
    <col min="89" max="89" width="11.109375" style="47" bestFit="1" customWidth="1"/>
    <col min="90" max="90" width="10.6640625" style="47" bestFit="1" customWidth="1"/>
    <col min="91" max="91" width="32.109375" style="47" bestFit="1" customWidth="1"/>
    <col min="92" max="92" width="7.21875" style="47" bestFit="1" customWidth="1"/>
    <col min="93" max="93" width="13.5546875" style="47" bestFit="1" customWidth="1"/>
    <col min="94" max="95" width="11.109375" style="47" bestFit="1" customWidth="1"/>
    <col min="96" max="96" width="13.5546875" style="47" bestFit="1" customWidth="1"/>
    <col min="97" max="97" width="8.77734375" style="47" customWidth="1"/>
    <col min="98" max="98" width="11.109375" style="47" bestFit="1" customWidth="1"/>
    <col min="99" max="99" width="10.6640625" style="47" bestFit="1" customWidth="1"/>
    <col min="100" max="100" width="32.109375" style="47" bestFit="1" customWidth="1"/>
    <col min="101" max="101" width="7.21875" style="47" bestFit="1" customWidth="1"/>
    <col min="102" max="102" width="13.5546875" style="47" bestFit="1" customWidth="1"/>
    <col min="103" max="104" width="11.109375" style="47" bestFit="1" customWidth="1"/>
    <col min="105" max="105" width="13.5546875" style="47" bestFit="1" customWidth="1"/>
    <col min="106" max="106" width="53.109375" style="47" bestFit="1" customWidth="1"/>
    <col min="107" max="107" width="11.109375" style="47" bestFit="1" customWidth="1"/>
    <col min="108" max="108" width="10.6640625" style="47" bestFit="1" customWidth="1"/>
    <col min="109" max="109" width="32.109375" style="47" bestFit="1" customWidth="1"/>
    <col min="110" max="110" width="7.21875" style="47" bestFit="1" customWidth="1"/>
    <col min="111" max="111" width="13.5546875" style="47" bestFit="1" customWidth="1"/>
    <col min="112" max="113" width="11.109375" style="47" bestFit="1" customWidth="1"/>
    <col min="114" max="114" width="13.5546875" style="47" bestFit="1" customWidth="1"/>
    <col min="115" max="16384" width="8.88671875" style="47"/>
  </cols>
  <sheetData>
    <row r="1" spans="1:40" x14ac:dyDescent="0.25">
      <c r="A1" s="27" t="s">
        <v>816</v>
      </c>
    </row>
    <row r="2" spans="1:40" x14ac:dyDescent="0.25">
      <c r="A2" s="27"/>
    </row>
    <row r="3" spans="1:40" s="78" customFormat="1" hidden="1" outlineLevel="1" x14ac:dyDescent="0.25">
      <c r="C3" s="81" t="s">
        <v>827</v>
      </c>
      <c r="D3" s="95">
        <f>D22</f>
        <v>596358.93999999994</v>
      </c>
      <c r="E3" s="82"/>
      <c r="F3" s="82"/>
      <c r="G3" s="95">
        <f>G22</f>
        <v>741864.48</v>
      </c>
      <c r="H3" s="82"/>
      <c r="I3" s="82"/>
      <c r="J3" s="95">
        <f>J22</f>
        <v>712565.08</v>
      </c>
      <c r="K3" s="82"/>
      <c r="L3" s="82"/>
      <c r="M3" s="95">
        <f>M22</f>
        <v>724083.25</v>
      </c>
      <c r="N3" s="82"/>
      <c r="O3" s="82"/>
      <c r="P3" s="95">
        <f>P22</f>
        <v>955377.78</v>
      </c>
      <c r="Q3" s="82"/>
      <c r="R3" s="82"/>
      <c r="S3" s="95">
        <f>S22</f>
        <v>665160.94000000006</v>
      </c>
      <c r="T3" s="83"/>
      <c r="U3" s="83"/>
      <c r="V3" s="95">
        <f>V22</f>
        <v>710341.84000000008</v>
      </c>
      <c r="W3" s="83"/>
      <c r="X3" s="83"/>
      <c r="Y3" s="95">
        <f>Y22</f>
        <v>544496.19999999995</v>
      </c>
      <c r="Z3" s="82"/>
      <c r="AA3" s="82"/>
      <c r="AB3" s="95">
        <f>AB22</f>
        <v>415067.14</v>
      </c>
      <c r="AC3" s="82"/>
      <c r="AD3" s="82"/>
      <c r="AE3" s="95">
        <f>AE22</f>
        <v>354478.52</v>
      </c>
      <c r="AF3" s="82"/>
      <c r="AG3" s="82"/>
      <c r="AH3" s="95">
        <f>AH22</f>
        <v>327107.49</v>
      </c>
      <c r="AI3" s="82"/>
      <c r="AJ3" s="82"/>
      <c r="AK3" s="95">
        <f>AK22</f>
        <v>199157.34999999989</v>
      </c>
      <c r="AL3" s="82"/>
      <c r="AM3" s="95">
        <f>AM22</f>
        <v>6946069.2287222976</v>
      </c>
    </row>
    <row r="4" spans="1:40" s="78" customFormat="1" hidden="1" outlineLevel="1" x14ac:dyDescent="0.25">
      <c r="C4" s="81" t="s">
        <v>828</v>
      </c>
      <c r="D4" s="95">
        <f>D21</f>
        <v>460367.49</v>
      </c>
      <c r="E4" s="82"/>
      <c r="F4" s="82"/>
      <c r="G4" s="95">
        <f>G21</f>
        <v>592047.08000000007</v>
      </c>
      <c r="H4" s="82"/>
      <c r="I4" s="82"/>
      <c r="J4" s="95">
        <f>J21</f>
        <v>552892.03999999992</v>
      </c>
      <c r="K4" s="82"/>
      <c r="L4" s="82"/>
      <c r="M4" s="95">
        <f>M21</f>
        <v>496981.98</v>
      </c>
      <c r="N4" s="82"/>
      <c r="O4" s="82"/>
      <c r="P4" s="95">
        <f>P21</f>
        <v>751623.23</v>
      </c>
      <c r="Q4" s="82"/>
      <c r="R4" s="82"/>
      <c r="S4" s="95">
        <f>S21</f>
        <v>525720.63000000012</v>
      </c>
      <c r="T4" s="83"/>
      <c r="U4" s="83"/>
      <c r="V4" s="95">
        <f>V21</f>
        <v>550522.07000000007</v>
      </c>
      <c r="W4" s="83"/>
      <c r="X4" s="83"/>
      <c r="Y4" s="95">
        <f>Y21</f>
        <v>444515.86</v>
      </c>
      <c r="Z4" s="82"/>
      <c r="AA4" s="82"/>
      <c r="AB4" s="95">
        <f>AB21</f>
        <v>327563.79000000004</v>
      </c>
      <c r="AC4" s="82"/>
      <c r="AD4" s="82"/>
      <c r="AE4" s="95">
        <f>AE21</f>
        <v>281841.12</v>
      </c>
      <c r="AF4" s="82"/>
      <c r="AG4" s="82"/>
      <c r="AH4" s="95">
        <f>AH21</f>
        <v>253687.18</v>
      </c>
      <c r="AI4" s="82"/>
      <c r="AJ4" s="82"/>
      <c r="AK4" s="95">
        <f>AK21</f>
        <v>133135.48999999996</v>
      </c>
      <c r="AL4" s="82"/>
      <c r="AM4" s="95">
        <f>AM21</f>
        <v>5370905.7280370211</v>
      </c>
    </row>
    <row r="5" spans="1:40" s="78" customFormat="1" hidden="1" outlineLevel="1" x14ac:dyDescent="0.25">
      <c r="C5" s="81" t="s">
        <v>812</v>
      </c>
      <c r="D5" s="84">
        <f>-D35/D$22</f>
        <v>0.22803623938294612</v>
      </c>
      <c r="E5" s="84"/>
      <c r="F5" s="84"/>
      <c r="G5" s="84">
        <f>-G35/G$22</f>
        <v>0.2019471265156137</v>
      </c>
      <c r="H5" s="84"/>
      <c r="I5" s="84"/>
      <c r="J5" s="84">
        <f>-J35/J$22</f>
        <v>0.22408204454812747</v>
      </c>
      <c r="K5" s="84"/>
      <c r="L5" s="84"/>
      <c r="M5" s="84">
        <f>-M35/M$22</f>
        <v>0.31363972305670651</v>
      </c>
      <c r="N5" s="84"/>
      <c r="O5" s="84"/>
      <c r="P5" s="84">
        <f>-P35/P$22</f>
        <v>0.21327118367772796</v>
      </c>
      <c r="Q5" s="84"/>
      <c r="R5" s="84"/>
      <c r="S5" s="84">
        <f>-S35/S$22</f>
        <v>0.20963394212534486</v>
      </c>
      <c r="T5" s="84"/>
      <c r="U5" s="84"/>
      <c r="V5" s="84">
        <f>-V35/V$22</f>
        <v>0.22498994287032278</v>
      </c>
      <c r="W5" s="84"/>
      <c r="X5" s="84"/>
      <c r="Y5" s="84">
        <f>-Y35/Y$22</f>
        <v>0.18361990405075371</v>
      </c>
      <c r="Z5" s="84"/>
      <c r="AA5" s="84"/>
      <c r="AB5" s="84">
        <f>-AB35/AB$22</f>
        <v>0.21081733909362227</v>
      </c>
      <c r="AC5" s="84"/>
      <c r="AD5" s="84"/>
      <c r="AE5" s="84">
        <f>-AE35/AE$22</f>
        <v>0.20491340349762233</v>
      </c>
      <c r="AF5" s="84"/>
      <c r="AG5" s="84"/>
      <c r="AH5" s="84">
        <f>-AH35/AH$22</f>
        <v>0.224453160641476</v>
      </c>
      <c r="AI5" s="84"/>
      <c r="AJ5" s="84"/>
      <c r="AK5" s="84">
        <f>-AK35/AK$22</f>
        <v>0.33150601772919736</v>
      </c>
      <c r="AL5" s="84"/>
      <c r="AM5" s="84">
        <f>-AM35/AM$22</f>
        <v>0.22677054880749703</v>
      </c>
      <c r="AN5" s="79"/>
    </row>
    <row r="6" spans="1:40" s="78" customFormat="1" hidden="1" outlineLevel="1" x14ac:dyDescent="0.25">
      <c r="C6" s="81" t="s">
        <v>813</v>
      </c>
      <c r="D6" s="95">
        <f>D58</f>
        <v>-283701.42</v>
      </c>
      <c r="E6" s="84"/>
      <c r="F6" s="84"/>
      <c r="G6" s="95">
        <f>G58</f>
        <v>-499010.22</v>
      </c>
      <c r="H6" s="84"/>
      <c r="I6" s="84"/>
      <c r="J6" s="95">
        <f>J58</f>
        <v>-252187.56</v>
      </c>
      <c r="K6" s="84"/>
      <c r="L6" s="84"/>
      <c r="M6" s="95">
        <f>M58</f>
        <v>-453258.94999999995</v>
      </c>
      <c r="N6" s="84"/>
      <c r="O6" s="84"/>
      <c r="P6" s="95">
        <f>P58</f>
        <v>-536219.11</v>
      </c>
      <c r="Q6" s="84"/>
      <c r="R6" s="84"/>
      <c r="S6" s="95">
        <f>S58</f>
        <v>418749.89</v>
      </c>
      <c r="T6" s="84"/>
      <c r="U6" s="84"/>
      <c r="V6" s="95">
        <f>V58</f>
        <v>-467519.56</v>
      </c>
      <c r="W6" s="84"/>
      <c r="X6" s="84"/>
      <c r="Y6" s="95">
        <f>Y58</f>
        <v>-141676.01999999999</v>
      </c>
      <c r="Z6" s="84"/>
      <c r="AA6" s="84"/>
      <c r="AB6" s="95">
        <f>AB58</f>
        <v>-198219.72</v>
      </c>
      <c r="AC6" s="84"/>
      <c r="AD6" s="84"/>
      <c r="AE6" s="95">
        <f>AE58</f>
        <v>-145374.47999999998</v>
      </c>
      <c r="AF6" s="84"/>
      <c r="AG6" s="84"/>
      <c r="AH6" s="95">
        <f>AH58</f>
        <v>-149718.56</v>
      </c>
      <c r="AI6" s="84"/>
      <c r="AJ6" s="84"/>
      <c r="AK6" s="95">
        <f>AK58</f>
        <v>-2650605.5299999993</v>
      </c>
      <c r="AL6" s="84"/>
      <c r="AM6" s="95">
        <f>AM58</f>
        <v>-5358732.0471119862</v>
      </c>
      <c r="AN6" s="79"/>
    </row>
    <row r="7" spans="1:40" s="78" customFormat="1" hidden="1" outlineLevel="1" x14ac:dyDescent="0.25">
      <c r="C7" s="81" t="s">
        <v>829</v>
      </c>
      <c r="D7" s="84">
        <f>-D58/D$22</f>
        <v>0.47572259082759788</v>
      </c>
      <c r="E7" s="84"/>
      <c r="F7" s="84"/>
      <c r="G7" s="84">
        <f>-G58/G$22</f>
        <v>0.6726433647288248</v>
      </c>
      <c r="H7" s="84"/>
      <c r="I7" s="84"/>
      <c r="J7" s="84">
        <f>-J58/J$22</f>
        <v>0.35391512589979851</v>
      </c>
      <c r="K7" s="84"/>
      <c r="L7" s="84"/>
      <c r="M7" s="84">
        <f>-M58/M$22</f>
        <v>0.62597629485283623</v>
      </c>
      <c r="N7" s="84"/>
      <c r="O7" s="84"/>
      <c r="P7" s="84">
        <f>-P58/P$22</f>
        <v>0.56126395361633796</v>
      </c>
      <c r="Q7" s="84"/>
      <c r="R7" s="84"/>
      <c r="S7" s="84">
        <f>-S58/S$22</f>
        <v>-0.62954672293294911</v>
      </c>
      <c r="T7" s="84"/>
      <c r="U7" s="84"/>
      <c r="V7" s="84">
        <f>-V58/V$22</f>
        <v>0.65816137199520719</v>
      </c>
      <c r="W7" s="84"/>
      <c r="X7" s="84"/>
      <c r="Y7" s="84">
        <f>-Y58/Y$22</f>
        <v>0.2601965266240609</v>
      </c>
      <c r="Z7" s="84"/>
      <c r="AA7" s="84"/>
      <c r="AB7" s="84">
        <f>-AB58/AB$22</f>
        <v>0.47756061826527629</v>
      </c>
      <c r="AC7" s="84"/>
      <c r="AD7" s="84"/>
      <c r="AE7" s="84">
        <f>-AE58/AE$22</f>
        <v>0.41010800880121023</v>
      </c>
      <c r="AF7" s="84"/>
      <c r="AG7" s="84"/>
      <c r="AH7" s="84">
        <f>-AH58/AH$22</f>
        <v>0.45770446894994671</v>
      </c>
      <c r="AI7" s="84"/>
      <c r="AJ7" s="84"/>
      <c r="AK7" s="84">
        <f>-AK58/AK$22</f>
        <v>13.309102224949271</v>
      </c>
      <c r="AL7" s="84"/>
      <c r="AM7" s="84">
        <f>-AM58/AM$22</f>
        <v>0.77147691315159894</v>
      </c>
      <c r="AN7" s="79"/>
    </row>
    <row r="8" spans="1:40" s="78" customFormat="1" hidden="1" outlineLevel="1" x14ac:dyDescent="0.25">
      <c r="C8" s="81" t="s">
        <v>815</v>
      </c>
      <c r="D8" s="95">
        <f>D21+D58</f>
        <v>176666.07</v>
      </c>
      <c r="E8" s="84"/>
      <c r="F8" s="84"/>
      <c r="G8" s="95">
        <f>G21+G58</f>
        <v>93036.860000000102</v>
      </c>
      <c r="H8" s="84"/>
      <c r="I8" s="84"/>
      <c r="J8" s="95">
        <f>J21+J58</f>
        <v>300704.47999999992</v>
      </c>
      <c r="K8" s="84"/>
      <c r="L8" s="84"/>
      <c r="M8" s="95">
        <f>M21+M58</f>
        <v>43723.030000000028</v>
      </c>
      <c r="N8" s="84"/>
      <c r="O8" s="84"/>
      <c r="P8" s="95">
        <f>P21+P58</f>
        <v>215404.12</v>
      </c>
      <c r="Q8" s="84"/>
      <c r="R8" s="84"/>
      <c r="S8" s="95">
        <f>S21+S58</f>
        <v>944470.52000000014</v>
      </c>
      <c r="T8" s="84"/>
      <c r="U8" s="84"/>
      <c r="V8" s="95">
        <f>V21+V58</f>
        <v>83002.510000000068</v>
      </c>
      <c r="W8" s="84"/>
      <c r="X8" s="84"/>
      <c r="Y8" s="95">
        <f>Y21+Y58</f>
        <v>302839.83999999997</v>
      </c>
      <c r="Z8" s="84"/>
      <c r="AA8" s="84"/>
      <c r="AB8" s="95">
        <f>AB21+AB58</f>
        <v>129344.07000000004</v>
      </c>
      <c r="AC8" s="84"/>
      <c r="AD8" s="84"/>
      <c r="AE8" s="95">
        <f>AE21+AE58</f>
        <v>136466.64000000001</v>
      </c>
      <c r="AF8" s="84"/>
      <c r="AG8" s="84"/>
      <c r="AH8" s="95">
        <f>AH21+AH58</f>
        <v>103968.62</v>
      </c>
      <c r="AI8" s="84"/>
      <c r="AJ8" s="84"/>
      <c r="AK8" s="95">
        <f>AK21+AK58</f>
        <v>-2517470.0399999996</v>
      </c>
      <c r="AL8" s="84"/>
      <c r="AM8" s="95">
        <f>AM21+AM58</f>
        <v>12173.680925034918</v>
      </c>
      <c r="AN8" s="79"/>
    </row>
    <row r="9" spans="1:40" s="78" customFormat="1" hidden="1" outlineLevel="1" x14ac:dyDescent="0.25">
      <c r="C9" s="81" t="s">
        <v>825</v>
      </c>
      <c r="D9" s="84">
        <f>(D21+D58)/D21</f>
        <v>0.38375009929567355</v>
      </c>
      <c r="E9" s="85"/>
      <c r="F9" s="85"/>
      <c r="G9" s="84">
        <f>(G21+G58)/G21</f>
        <v>0.15714436088427308</v>
      </c>
      <c r="H9" s="85"/>
      <c r="I9" s="85"/>
      <c r="J9" s="84">
        <f>(J21+J58)/J21</f>
        <v>0.54387558193096786</v>
      </c>
      <c r="K9" s="85"/>
      <c r="L9" s="85"/>
      <c r="M9" s="84">
        <f>(M21+M58)/M21</f>
        <v>8.7977093253964717E-2</v>
      </c>
      <c r="N9" s="85"/>
      <c r="O9" s="85"/>
      <c r="P9" s="84">
        <f>(P21+P58)/P21</f>
        <v>0.28658523499865751</v>
      </c>
      <c r="Q9" s="85"/>
      <c r="R9" s="85"/>
      <c r="S9" s="84">
        <f>(S21+S58)/S21</f>
        <v>1.7965255044299857</v>
      </c>
      <c r="T9" s="85"/>
      <c r="U9" s="85"/>
      <c r="V9" s="84">
        <f>(V21+V58)/V21</f>
        <v>0.15077054040721757</v>
      </c>
      <c r="W9" s="85"/>
      <c r="X9" s="85"/>
      <c r="Y9" s="84">
        <f>(Y21+Y58)/Y21</f>
        <v>0.68128016849612516</v>
      </c>
      <c r="Z9" s="85"/>
      <c r="AA9" s="85"/>
      <c r="AB9" s="84">
        <f>(AB21+AB58)/AB21</f>
        <v>0.39486681357545661</v>
      </c>
      <c r="AC9" s="85"/>
      <c r="AD9" s="85"/>
      <c r="AE9" s="84">
        <f>(AE21+AE58)/AE21</f>
        <v>0.48419705399978547</v>
      </c>
      <c r="AF9" s="85"/>
      <c r="AG9" s="85"/>
      <c r="AH9" s="84">
        <f>(AH21+AH58)/AH21</f>
        <v>0.40983001190679008</v>
      </c>
      <c r="AI9" s="85"/>
      <c r="AJ9" s="85"/>
      <c r="AK9" s="84">
        <f>(AK21+AK58)/AK21</f>
        <v>-18.909083070186622</v>
      </c>
      <c r="AL9" s="85"/>
      <c r="AM9" s="84">
        <f>(AM21+AM58)/AM21</f>
        <v>2.2665973937107627E-3</v>
      </c>
      <c r="AN9" s="80"/>
    </row>
    <row r="10" spans="1:40" s="78" customFormat="1" hidden="1" outlineLevel="1" x14ac:dyDescent="0.25">
      <c r="C10" s="81" t="s">
        <v>814</v>
      </c>
      <c r="D10" s="95">
        <f>D74-D12</f>
        <v>-279865.67000000004</v>
      </c>
      <c r="E10" s="85"/>
      <c r="F10" s="85"/>
      <c r="G10" s="95">
        <f>G74-G12</f>
        <v>-302919</v>
      </c>
      <c r="H10" s="85"/>
      <c r="I10" s="85"/>
      <c r="J10" s="95">
        <f>J74-J12</f>
        <v>-277940.30999999994</v>
      </c>
      <c r="K10" s="85"/>
      <c r="L10" s="85"/>
      <c r="M10" s="95">
        <f>M74-M12</f>
        <v>-366019.2</v>
      </c>
      <c r="N10" s="85"/>
      <c r="O10" s="85"/>
      <c r="P10" s="95">
        <f>P74-P12</f>
        <v>-326313.18</v>
      </c>
      <c r="Q10" s="85"/>
      <c r="R10" s="85"/>
      <c r="S10" s="95">
        <f>S74-S12</f>
        <v>-294980.17</v>
      </c>
      <c r="T10" s="85"/>
      <c r="U10" s="85"/>
      <c r="V10" s="95">
        <f>V74-V12</f>
        <v>-322408.12</v>
      </c>
      <c r="W10" s="85"/>
      <c r="X10" s="85"/>
      <c r="Y10" s="95">
        <f>Y74-Y12</f>
        <v>-230783</v>
      </c>
      <c r="Z10" s="85"/>
      <c r="AA10" s="85"/>
      <c r="AB10" s="95">
        <f>AB74-AB12</f>
        <v>-196006.09999999995</v>
      </c>
      <c r="AC10" s="85"/>
      <c r="AD10" s="85"/>
      <c r="AE10" s="95">
        <f>AE74-AE12</f>
        <v>-311505.0199999999</v>
      </c>
      <c r="AF10" s="85"/>
      <c r="AG10" s="85"/>
      <c r="AH10" s="95">
        <f>AH74-AH12</f>
        <v>-214629.35</v>
      </c>
      <c r="AI10" s="85"/>
      <c r="AJ10" s="85"/>
      <c r="AK10" s="95">
        <f>AK74-AK12</f>
        <v>-317849.28999999992</v>
      </c>
      <c r="AL10" s="85"/>
      <c r="AM10" s="95">
        <f>AM74-AM12</f>
        <v>-3441223.704308934</v>
      </c>
      <c r="AN10" s="80"/>
    </row>
    <row r="11" spans="1:40" s="78" customFormat="1" hidden="1" outlineLevel="1" x14ac:dyDescent="0.25">
      <c r="C11" s="81" t="s">
        <v>814</v>
      </c>
      <c r="D11" s="84">
        <f>-D74/D$22</f>
        <v>0.49176101895948782</v>
      </c>
      <c r="E11" s="84"/>
      <c r="F11" s="84"/>
      <c r="G11" s="84">
        <f>-G74/G$22</f>
        <v>0.42445342577932832</v>
      </c>
      <c r="H11" s="84"/>
      <c r="I11" s="84"/>
      <c r="J11" s="84">
        <f>-J74/J$22</f>
        <v>0.40685158189340398</v>
      </c>
      <c r="K11" s="84"/>
      <c r="L11" s="84"/>
      <c r="M11" s="84">
        <f>-M74/M$22</f>
        <v>0.5220216321811062</v>
      </c>
      <c r="N11" s="84"/>
      <c r="O11" s="84"/>
      <c r="P11" s="84">
        <f>-P74/P$22</f>
        <v>0.35410954397536859</v>
      </c>
      <c r="Q11" s="84"/>
      <c r="R11" s="84"/>
      <c r="S11" s="84">
        <f>-S74/S$22</f>
        <v>0.46150542153001345</v>
      </c>
      <c r="T11" s="84"/>
      <c r="U11" s="84"/>
      <c r="V11" s="84">
        <f>-V74/V$22</f>
        <v>0.47076394936837729</v>
      </c>
      <c r="W11" s="84"/>
      <c r="X11" s="84"/>
      <c r="Y11" s="84">
        <f>-Y74/Y$22</f>
        <v>0.44609196538010737</v>
      </c>
      <c r="Z11" s="84"/>
      <c r="AA11" s="84"/>
      <c r="AB11" s="84">
        <f>-AB74/AB$22</f>
        <v>0.50059667455245904</v>
      </c>
      <c r="AC11" s="84"/>
      <c r="AD11" s="84"/>
      <c r="AE11" s="84">
        <f>-AE74/AE$22</f>
        <v>0.91283311045193916</v>
      </c>
      <c r="AF11" s="84"/>
      <c r="AG11" s="84"/>
      <c r="AH11" s="84">
        <f>-AH74/AH$22</f>
        <v>0.69291608088827317</v>
      </c>
      <c r="AI11" s="84"/>
      <c r="AJ11" s="84"/>
      <c r="AK11" s="84">
        <f>-AK74/AK$22</f>
        <v>1.6842585021341172</v>
      </c>
      <c r="AL11" s="84"/>
      <c r="AM11" s="84">
        <f>-AM74/AM$22</f>
        <v>0.51713960027958472</v>
      </c>
      <c r="AN11" s="79"/>
    </row>
    <row r="12" spans="1:40" s="78" customFormat="1" hidden="1" outlineLevel="1" x14ac:dyDescent="0.25">
      <c r="C12" s="81" t="s">
        <v>716</v>
      </c>
      <c r="D12" s="95">
        <f>D108</f>
        <v>-13400.41</v>
      </c>
      <c r="E12" s="84"/>
      <c r="F12" s="84"/>
      <c r="G12" s="95">
        <f>G108</f>
        <v>-11967.92</v>
      </c>
      <c r="H12" s="84"/>
      <c r="I12" s="84"/>
      <c r="J12" s="95">
        <f>J108</f>
        <v>-11967.92</v>
      </c>
      <c r="K12" s="84"/>
      <c r="L12" s="84"/>
      <c r="M12" s="95">
        <f>M108</f>
        <v>-11967.92</v>
      </c>
      <c r="N12" s="84"/>
      <c r="O12" s="84"/>
      <c r="P12" s="95">
        <f>P108</f>
        <v>-11995.21</v>
      </c>
      <c r="Q12" s="84"/>
      <c r="R12" s="84"/>
      <c r="S12" s="95">
        <f>S108</f>
        <v>-11995.21</v>
      </c>
      <c r="T12" s="84"/>
      <c r="U12" s="84"/>
      <c r="V12" s="95">
        <f>V108</f>
        <v>-11995.21</v>
      </c>
      <c r="W12" s="84"/>
      <c r="X12" s="84"/>
      <c r="Y12" s="95">
        <f>Y108</f>
        <v>-12112.38</v>
      </c>
      <c r="Z12" s="84"/>
      <c r="AA12" s="84"/>
      <c r="AB12" s="95">
        <f>AB108</f>
        <v>-11775.13</v>
      </c>
      <c r="AC12" s="84"/>
      <c r="AD12" s="84"/>
      <c r="AE12" s="95">
        <f>AE108</f>
        <v>-12074.71</v>
      </c>
      <c r="AF12" s="84"/>
      <c r="AG12" s="84"/>
      <c r="AH12" s="95">
        <f>AH108</f>
        <v>-12028.69</v>
      </c>
      <c r="AI12" s="84"/>
      <c r="AJ12" s="84"/>
      <c r="AK12" s="95">
        <f>AK108</f>
        <v>-17583.170000000013</v>
      </c>
      <c r="AL12" s="84"/>
      <c r="AM12" s="95">
        <f>AM108</f>
        <v>-150863.76014683815</v>
      </c>
      <c r="AN12" s="79"/>
    </row>
    <row r="13" spans="1:40" s="78" customFormat="1" hidden="1" outlineLevel="1" x14ac:dyDescent="0.25">
      <c r="C13" s="81" t="s">
        <v>824</v>
      </c>
      <c r="D13" s="95">
        <f>D4+D6+D10</f>
        <v>-103199.60000000003</v>
      </c>
      <c r="E13" s="85"/>
      <c r="F13" s="85"/>
      <c r="G13" s="95">
        <f>G4+G6+G10</f>
        <v>-209882.1399999999</v>
      </c>
      <c r="H13" s="85"/>
      <c r="I13" s="85"/>
      <c r="J13" s="95">
        <f>J4+J6+J10</f>
        <v>22764.169999999984</v>
      </c>
      <c r="K13" s="85"/>
      <c r="L13" s="85"/>
      <c r="M13" s="95">
        <f>M4+M6+M10</f>
        <v>-322296.17</v>
      </c>
      <c r="N13" s="85"/>
      <c r="O13" s="85"/>
      <c r="P13" s="95">
        <f>P4+P6+P10</f>
        <v>-110909.06</v>
      </c>
      <c r="Q13" s="85"/>
      <c r="R13" s="85"/>
      <c r="S13" s="95">
        <f>S4+S6+S10</f>
        <v>649490.35000000009</v>
      </c>
      <c r="T13" s="85"/>
      <c r="U13" s="85"/>
      <c r="V13" s="95">
        <f>V4+V6+V10</f>
        <v>-239405.60999999993</v>
      </c>
      <c r="W13" s="85"/>
      <c r="X13" s="85"/>
      <c r="Y13" s="95">
        <f>Y4+Y6+Y10</f>
        <v>72056.839999999967</v>
      </c>
      <c r="Z13" s="85"/>
      <c r="AA13" s="85"/>
      <c r="AB13" s="95">
        <f>AB4+AB6+AB10</f>
        <v>-66662.029999999912</v>
      </c>
      <c r="AC13" s="85"/>
      <c r="AD13" s="85"/>
      <c r="AE13" s="95">
        <f>AE4+AE6+AE10</f>
        <v>-175038.37999999989</v>
      </c>
      <c r="AF13" s="85"/>
      <c r="AG13" s="85"/>
      <c r="AH13" s="95">
        <f>AH4+AH6+AH10</f>
        <v>-110660.73000000001</v>
      </c>
      <c r="AI13" s="85"/>
      <c r="AJ13" s="85"/>
      <c r="AK13" s="95">
        <f>AK4+AK6+AK10</f>
        <v>-2835319.3299999996</v>
      </c>
      <c r="AL13" s="85"/>
      <c r="AM13" s="95">
        <f>AM4+AM6+AM10</f>
        <v>-3429050.0233838991</v>
      </c>
      <c r="AN13" s="80"/>
    </row>
    <row r="14" spans="1:40" s="78" customFormat="1" hidden="1" outlineLevel="1" x14ac:dyDescent="0.25">
      <c r="C14" s="81" t="s">
        <v>826</v>
      </c>
      <c r="D14" s="84">
        <f>D13/D4</f>
        <v>-0.22416787075907563</v>
      </c>
      <c r="E14" s="85"/>
      <c r="F14" s="85"/>
      <c r="G14" s="84">
        <f>G13/G4</f>
        <v>-0.35450244936601982</v>
      </c>
      <c r="H14" s="85"/>
      <c r="I14" s="85"/>
      <c r="J14" s="84">
        <f>J13/J4</f>
        <v>4.117290239881187E-2</v>
      </c>
      <c r="K14" s="85"/>
      <c r="L14" s="85"/>
      <c r="M14" s="84">
        <f>M13/M4</f>
        <v>-0.6485067526995647</v>
      </c>
      <c r="N14" s="85"/>
      <c r="O14" s="85"/>
      <c r="P14" s="84">
        <f>P13/P4</f>
        <v>-0.14755938291050424</v>
      </c>
      <c r="Q14" s="85"/>
      <c r="R14" s="85"/>
      <c r="S14" s="84">
        <f>S13/S4</f>
        <v>1.235428691470601</v>
      </c>
      <c r="T14" s="85"/>
      <c r="U14" s="85"/>
      <c r="V14" s="84">
        <f>V13/V4</f>
        <v>-0.4348701406285127</v>
      </c>
      <c r="W14" s="85"/>
      <c r="X14" s="85"/>
      <c r="Y14" s="84">
        <f>Y13/Y4</f>
        <v>0.16210184266541125</v>
      </c>
      <c r="Z14" s="85"/>
      <c r="AA14" s="85"/>
      <c r="AB14" s="84">
        <f>AB13/AB4</f>
        <v>-0.2035085440915185</v>
      </c>
      <c r="AC14" s="85"/>
      <c r="AD14" s="85"/>
      <c r="AE14" s="84">
        <f>AE13/AE4</f>
        <v>-0.62105337929397919</v>
      </c>
      <c r="AF14" s="85"/>
      <c r="AG14" s="85"/>
      <c r="AH14" s="84">
        <f>AH13/AH4</f>
        <v>-0.43620938984776453</v>
      </c>
      <c r="AI14" s="85"/>
      <c r="AJ14" s="85"/>
      <c r="AK14" s="84">
        <f>AK13/AK4</f>
        <v>-21.296495247059973</v>
      </c>
      <c r="AL14" s="85"/>
      <c r="AM14" s="84">
        <f>AM13/AM4</f>
        <v>-0.63844911771280732</v>
      </c>
      <c r="AN14" s="80"/>
    </row>
    <row r="15" spans="1:40" s="78" customFormat="1" hidden="1" outlineLevel="1" x14ac:dyDescent="0.25">
      <c r="C15" s="81" t="s">
        <v>831</v>
      </c>
      <c r="D15" s="95">
        <f>D154</f>
        <v>-218626.62999999998</v>
      </c>
      <c r="E15" s="85"/>
      <c r="F15" s="85"/>
      <c r="G15" s="95">
        <f>G154-G168</f>
        <v>-44100.84</v>
      </c>
      <c r="H15" s="85"/>
      <c r="I15" s="85"/>
      <c r="J15" s="95">
        <f>J154-J168</f>
        <v>-96330.579999999987</v>
      </c>
      <c r="K15" s="85"/>
      <c r="L15" s="85"/>
      <c r="M15" s="95">
        <f>M154-M168</f>
        <v>-24433.050000000003</v>
      </c>
      <c r="N15" s="85"/>
      <c r="O15" s="85"/>
      <c r="P15" s="95">
        <f>P154-P168</f>
        <v>-18851.78</v>
      </c>
      <c r="Q15" s="85"/>
      <c r="R15" s="85"/>
      <c r="S15" s="95">
        <f>S154-S168</f>
        <v>-92790.19</v>
      </c>
      <c r="T15" s="85"/>
      <c r="U15" s="85"/>
      <c r="V15" s="95">
        <f>V154-V168</f>
        <v>-37246.380000000005</v>
      </c>
      <c r="W15" s="85"/>
      <c r="X15" s="85"/>
      <c r="Y15" s="95">
        <f>Y154-Y168</f>
        <v>-37849.35</v>
      </c>
      <c r="Z15" s="85"/>
      <c r="AA15" s="85"/>
      <c r="AB15" s="95">
        <f>AB154-AB168</f>
        <v>-24421.909999999996</v>
      </c>
      <c r="AC15" s="85"/>
      <c r="AD15" s="85"/>
      <c r="AE15" s="95">
        <f>AE154-AE168</f>
        <v>-65769.19</v>
      </c>
      <c r="AF15" s="85"/>
      <c r="AG15" s="85"/>
      <c r="AH15" s="95">
        <f>AH154-AH168</f>
        <v>-94518.16</v>
      </c>
      <c r="AI15" s="85"/>
      <c r="AJ15" s="85"/>
      <c r="AK15" s="95">
        <f>AK154-AK168</f>
        <v>-21536.920000000027</v>
      </c>
      <c r="AL15" s="85"/>
      <c r="AM15" s="95">
        <f>AM154-AM168</f>
        <v>-778282.91964660876</v>
      </c>
      <c r="AN15" s="80"/>
    </row>
    <row r="16" spans="1:40" s="78" customFormat="1" hidden="1" outlineLevel="1" x14ac:dyDescent="0.25">
      <c r="C16" s="81" t="s">
        <v>832</v>
      </c>
      <c r="D16" s="95">
        <f>D180</f>
        <v>10957.96</v>
      </c>
      <c r="E16" s="85"/>
      <c r="F16" s="85"/>
      <c r="G16" s="95">
        <f>G180</f>
        <v>0</v>
      </c>
      <c r="H16" s="85"/>
      <c r="I16" s="85"/>
      <c r="J16" s="95">
        <f>J180</f>
        <v>869.76</v>
      </c>
      <c r="K16" s="85"/>
      <c r="L16" s="85"/>
      <c r="M16" s="95">
        <f>M180</f>
        <v>753.09999999999991</v>
      </c>
      <c r="N16" s="85"/>
      <c r="O16" s="85"/>
      <c r="P16" s="95">
        <f>P180</f>
        <v>465.04</v>
      </c>
      <c r="Q16" s="85"/>
      <c r="R16" s="85"/>
      <c r="S16" s="95">
        <f>S180</f>
        <v>0</v>
      </c>
      <c r="T16" s="85"/>
      <c r="U16" s="85"/>
      <c r="V16" s="95">
        <f>V180</f>
        <v>1219.2399999999998</v>
      </c>
      <c r="W16" s="85"/>
      <c r="X16" s="85"/>
      <c r="Y16" s="95">
        <f>Y180</f>
        <v>228.39999999999998</v>
      </c>
      <c r="Z16" s="85"/>
      <c r="AA16" s="85"/>
      <c r="AB16" s="95">
        <f>AB180</f>
        <v>-68332.340000000011</v>
      </c>
      <c r="AC16" s="85"/>
      <c r="AD16" s="85"/>
      <c r="AE16" s="95">
        <f>AE180</f>
        <v>342.83</v>
      </c>
      <c r="AF16" s="85"/>
      <c r="AG16" s="85"/>
      <c r="AH16" s="95">
        <f>AH180</f>
        <v>14558.45</v>
      </c>
      <c r="AI16" s="85"/>
      <c r="AJ16" s="85"/>
      <c r="AK16" s="95">
        <f>AK180</f>
        <v>-1762453.1500000001</v>
      </c>
      <c r="AL16" s="85"/>
      <c r="AM16" s="95">
        <f>AM180</f>
        <v>-1801775.9135706639</v>
      </c>
      <c r="AN16" s="80"/>
    </row>
    <row r="17" spans="1:72" s="78" customFormat="1" hidden="1" outlineLevel="1" x14ac:dyDescent="0.25">
      <c r="C17" s="81" t="s">
        <v>833</v>
      </c>
      <c r="D17" s="95">
        <f>D190</f>
        <v>-17455</v>
      </c>
      <c r="E17" s="85"/>
      <c r="F17" s="85"/>
      <c r="G17" s="95">
        <f>G190</f>
        <v>-23429.25</v>
      </c>
      <c r="H17" s="85"/>
      <c r="I17" s="85"/>
      <c r="J17" s="95">
        <f>J190</f>
        <v>-21615.13</v>
      </c>
      <c r="K17" s="85"/>
      <c r="L17" s="85"/>
      <c r="M17" s="95">
        <f>M190</f>
        <v>-21487.45</v>
      </c>
      <c r="N17" s="85"/>
      <c r="O17" s="85"/>
      <c r="P17" s="95">
        <f>P190</f>
        <v>-29966.870000000003</v>
      </c>
      <c r="Q17" s="85"/>
      <c r="R17" s="85"/>
      <c r="S17" s="95">
        <f>S190</f>
        <v>-21498.400000000001</v>
      </c>
      <c r="T17" s="85"/>
      <c r="U17" s="85"/>
      <c r="V17" s="95">
        <f>V190</f>
        <v>-22649.940000000002</v>
      </c>
      <c r="W17" s="85"/>
      <c r="X17" s="85"/>
      <c r="Y17" s="95">
        <f>Y190</f>
        <v>-17309.309999999998</v>
      </c>
      <c r="Z17" s="85"/>
      <c r="AA17" s="85"/>
      <c r="AB17" s="95">
        <f>AB190</f>
        <v>-12857.26</v>
      </c>
      <c r="AC17" s="85"/>
      <c r="AD17" s="85"/>
      <c r="AE17" s="95">
        <f>AE190</f>
        <v>-8827.43</v>
      </c>
      <c r="AF17" s="85"/>
      <c r="AG17" s="85"/>
      <c r="AH17" s="95">
        <f>AH190</f>
        <v>0</v>
      </c>
      <c r="AI17" s="85"/>
      <c r="AJ17" s="85"/>
      <c r="AK17" s="95">
        <f>AK190</f>
        <v>-41971.180000000008</v>
      </c>
      <c r="AL17" s="85"/>
      <c r="AM17" s="95">
        <f>AM190</f>
        <v>-239068.90600530826</v>
      </c>
      <c r="AN17" s="80"/>
    </row>
    <row r="18" spans="1:72" s="78" customFormat="1" hidden="1" outlineLevel="1" x14ac:dyDescent="0.25">
      <c r="C18" s="81" t="s">
        <v>830</v>
      </c>
      <c r="D18" s="95">
        <f>D13+D12+D15+D16+D17</f>
        <v>-341723.68</v>
      </c>
      <c r="E18" s="85"/>
      <c r="F18" s="85"/>
      <c r="G18" s="95">
        <f>G13+G12+G15+G16+G17</f>
        <v>-289380.14999999991</v>
      </c>
      <c r="H18" s="85"/>
      <c r="I18" s="85"/>
      <c r="J18" s="95">
        <f>J13+J12+J15+J16+J17</f>
        <v>-106279.70000000001</v>
      </c>
      <c r="K18" s="85"/>
      <c r="L18" s="85"/>
      <c r="M18" s="95">
        <f>M13+M12+M15+M16+M17</f>
        <v>-379431.49</v>
      </c>
      <c r="N18" s="85"/>
      <c r="O18" s="85"/>
      <c r="P18" s="95">
        <f>P13+P12+P15+P16+P17</f>
        <v>-171257.87999999998</v>
      </c>
      <c r="Q18" s="85"/>
      <c r="R18" s="85"/>
      <c r="S18" s="95">
        <f>S13+S12+S15+S16+S17</f>
        <v>523206.55000000016</v>
      </c>
      <c r="T18" s="85"/>
      <c r="U18" s="85"/>
      <c r="V18" s="95">
        <f>V13+V12+V15+V16+V17</f>
        <v>-310077.89999999997</v>
      </c>
      <c r="W18" s="85"/>
      <c r="X18" s="85"/>
      <c r="Y18" s="95">
        <f>Y13+Y12+Y15+Y16+Y17</f>
        <v>5014.1999999999753</v>
      </c>
      <c r="Z18" s="85"/>
      <c r="AA18" s="85"/>
      <c r="AB18" s="95">
        <f>AB13+AB12+AB15+AB16+AB17</f>
        <v>-184048.66999999993</v>
      </c>
      <c r="AC18" s="85"/>
      <c r="AD18" s="85"/>
      <c r="AE18" s="95">
        <f>AE13+AE12+AE15+AE16+AE17</f>
        <v>-261366.87999999989</v>
      </c>
      <c r="AF18" s="85"/>
      <c r="AG18" s="85"/>
      <c r="AH18" s="95">
        <f>AH13+AH12+AH15+AH16+AH17</f>
        <v>-202649.13</v>
      </c>
      <c r="AI18" s="85"/>
      <c r="AJ18" s="85"/>
      <c r="AK18" s="95">
        <f>AK13+AK12+AK15+AK16+AK17</f>
        <v>-4678863.7499999991</v>
      </c>
      <c r="AL18" s="85"/>
      <c r="AM18" s="95">
        <f>AM13+AM12+AM15+AM16+AM17</f>
        <v>-6399041.5227533178</v>
      </c>
      <c r="AN18" s="80"/>
    </row>
    <row r="19" spans="1:72" collapsed="1" x14ac:dyDescent="0.25"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N19" s="49"/>
    </row>
    <row r="20" spans="1:72" s="30" customFormat="1" x14ac:dyDescent="0.25">
      <c r="A20" s="50" t="s">
        <v>105</v>
      </c>
      <c r="B20" s="50"/>
      <c r="C20" s="52" t="s">
        <v>811</v>
      </c>
      <c r="D20" s="51" t="s">
        <v>798</v>
      </c>
      <c r="E20" s="51" t="s">
        <v>717</v>
      </c>
      <c r="F20" s="51" t="s">
        <v>718</v>
      </c>
      <c r="G20" s="51" t="s">
        <v>799</v>
      </c>
      <c r="H20" s="51" t="s">
        <v>717</v>
      </c>
      <c r="I20" s="51" t="s">
        <v>718</v>
      </c>
      <c r="J20" s="51" t="s">
        <v>800</v>
      </c>
      <c r="K20" s="51" t="s">
        <v>717</v>
      </c>
      <c r="L20" s="51" t="s">
        <v>718</v>
      </c>
      <c r="M20" s="51" t="s">
        <v>801</v>
      </c>
      <c r="N20" s="51" t="s">
        <v>717</v>
      </c>
      <c r="O20" s="51" t="s">
        <v>718</v>
      </c>
      <c r="P20" s="51" t="s">
        <v>802</v>
      </c>
      <c r="Q20" s="51" t="s">
        <v>717</v>
      </c>
      <c r="R20" s="51" t="s">
        <v>718</v>
      </c>
      <c r="S20" s="51" t="s">
        <v>803</v>
      </c>
      <c r="T20" s="51" t="s">
        <v>717</v>
      </c>
      <c r="U20" s="51" t="s">
        <v>718</v>
      </c>
      <c r="V20" s="51" t="s">
        <v>804</v>
      </c>
      <c r="W20" s="51" t="s">
        <v>717</v>
      </c>
      <c r="X20" s="51" t="s">
        <v>718</v>
      </c>
      <c r="Y20" s="51" t="s">
        <v>805</v>
      </c>
      <c r="Z20" s="51" t="s">
        <v>717</v>
      </c>
      <c r="AA20" s="51" t="s">
        <v>718</v>
      </c>
      <c r="AB20" s="51" t="s">
        <v>806</v>
      </c>
      <c r="AC20" s="51" t="s">
        <v>717</v>
      </c>
      <c r="AD20" s="51" t="s">
        <v>718</v>
      </c>
      <c r="AE20" s="51" t="s">
        <v>807</v>
      </c>
      <c r="AF20" s="51" t="s">
        <v>717</v>
      </c>
      <c r="AG20" s="51" t="s">
        <v>718</v>
      </c>
      <c r="AH20" s="51" t="s">
        <v>808</v>
      </c>
      <c r="AI20" s="51" t="s">
        <v>717</v>
      </c>
      <c r="AJ20" s="51" t="s">
        <v>718</v>
      </c>
      <c r="AK20" s="51" t="s">
        <v>809</v>
      </c>
      <c r="AL20" s="51" t="s">
        <v>717</v>
      </c>
      <c r="AM20" s="51" t="s">
        <v>810</v>
      </c>
      <c r="AN20" s="51" t="s">
        <v>717</v>
      </c>
      <c r="AO20" s="39"/>
      <c r="AP20" s="39"/>
      <c r="AQ20" s="39"/>
      <c r="AR20" s="39"/>
      <c r="AS20" s="46"/>
      <c r="AT20" s="39"/>
      <c r="AU20" s="39"/>
      <c r="AV20" s="39"/>
      <c r="AW20" s="39"/>
      <c r="AX20" s="39"/>
      <c r="AY20" s="39"/>
      <c r="AZ20" s="39"/>
      <c r="BA20" s="39"/>
      <c r="BB20" s="46"/>
      <c r="BC20" s="39"/>
      <c r="BD20" s="39"/>
      <c r="BE20" s="39"/>
      <c r="BF20" s="39"/>
      <c r="BG20" s="39"/>
      <c r="BH20" s="39"/>
      <c r="BI20" s="39"/>
      <c r="BJ20" s="39"/>
      <c r="BK20" s="46"/>
      <c r="BL20" s="39"/>
      <c r="BM20" s="39"/>
      <c r="BN20" s="39"/>
      <c r="BO20" s="39"/>
      <c r="BP20" s="39"/>
      <c r="BQ20" s="39"/>
      <c r="BR20" s="39"/>
      <c r="BS20" s="39"/>
    </row>
    <row r="21" spans="1:72" s="63" customFormat="1" x14ac:dyDescent="0.25">
      <c r="A21" s="55" t="s">
        <v>5</v>
      </c>
      <c r="B21" s="56" t="s">
        <v>5</v>
      </c>
      <c r="C21" s="55" t="s">
        <v>6</v>
      </c>
      <c r="D21" s="57">
        <f>D22+D35</f>
        <v>460367.49</v>
      </c>
      <c r="E21" s="58">
        <f>D21/D$22</f>
        <v>0.77196376061705396</v>
      </c>
      <c r="F21" s="58">
        <f>IF(D21=0,0,G21/D21-1)</f>
        <v>0.28603147020655184</v>
      </c>
      <c r="G21" s="57">
        <f t="shared" ref="G21:AK21" si="0">G22+G35</f>
        <v>592047.08000000007</v>
      </c>
      <c r="H21" s="58">
        <f>G21/G$22</f>
        <v>0.79805287348438636</v>
      </c>
      <c r="I21" s="58">
        <f>IF(G21=0,0,J21/G21-1)</f>
        <v>-6.6135010749483247E-2</v>
      </c>
      <c r="J21" s="57">
        <f t="shared" si="0"/>
        <v>552892.03999999992</v>
      </c>
      <c r="K21" s="58">
        <f>J21/J$22</f>
        <v>0.77591795545187248</v>
      </c>
      <c r="L21" s="58">
        <f>IF(J21=0,0,M21/J21-1)</f>
        <v>-0.1011229244682198</v>
      </c>
      <c r="M21" s="57">
        <f t="shared" si="0"/>
        <v>496981.98</v>
      </c>
      <c r="N21" s="58">
        <f>M21/M$22</f>
        <v>0.68636027694329349</v>
      </c>
      <c r="O21" s="58">
        <f>IF(M21=0,0,P21/M21-1)</f>
        <v>0.51237521730667179</v>
      </c>
      <c r="P21" s="57">
        <f t="shared" si="0"/>
        <v>751623.23</v>
      </c>
      <c r="Q21" s="58">
        <f>P21/P$22</f>
        <v>0.78672881632227198</v>
      </c>
      <c r="R21" s="58">
        <f>IF(P21=0,0,S21/P21-1)</f>
        <v>-0.30055297785301271</v>
      </c>
      <c r="S21" s="57">
        <f t="shared" si="0"/>
        <v>525720.63000000012</v>
      </c>
      <c r="T21" s="58">
        <f>S21/S$22</f>
        <v>0.79036605787465519</v>
      </c>
      <c r="U21" s="58">
        <f>IF(S21=0,0,V21/S21-1)</f>
        <v>4.7176082856021706E-2</v>
      </c>
      <c r="V21" s="57">
        <f t="shared" si="0"/>
        <v>550522.07000000007</v>
      </c>
      <c r="W21" s="58">
        <f>V21/V$22</f>
        <v>0.77501005712967719</v>
      </c>
      <c r="X21" s="58">
        <f>IF(V21=0,0,Y21/V21-1)</f>
        <v>-0.19255578618310443</v>
      </c>
      <c r="Y21" s="57">
        <f t="shared" si="0"/>
        <v>444515.86</v>
      </c>
      <c r="Z21" s="58">
        <f>Y21/Y$22</f>
        <v>0.81638009594924632</v>
      </c>
      <c r="AA21" s="58">
        <f>IF(Y21=0,0,AB21/Y21-1)</f>
        <v>-0.26309988129557393</v>
      </c>
      <c r="AB21" s="57">
        <f t="shared" si="0"/>
        <v>327563.79000000004</v>
      </c>
      <c r="AC21" s="58">
        <f>AB21/AB$22</f>
        <v>0.78918266090637779</v>
      </c>
      <c r="AD21" s="58">
        <f>IF(AB21=0,0,AE21/AB21-1)</f>
        <v>-0.13958401812361509</v>
      </c>
      <c r="AE21" s="57">
        <f t="shared" si="0"/>
        <v>281841.12</v>
      </c>
      <c r="AF21" s="58">
        <f>AE21/AE$22</f>
        <v>0.79508659650237756</v>
      </c>
      <c r="AG21" s="58">
        <f>IF(AE21=0,0,AH21/AE21-1)</f>
        <v>-9.9892946777957792E-2</v>
      </c>
      <c r="AH21" s="57">
        <f t="shared" si="0"/>
        <v>253687.18</v>
      </c>
      <c r="AI21" s="58">
        <f>AH21/AH$22</f>
        <v>0.77554683935852398</v>
      </c>
      <c r="AJ21" s="58">
        <f>IF(AH21=0,0,AK21/AH21-1)</f>
        <v>-0.4751981948792211</v>
      </c>
      <c r="AK21" s="57">
        <f t="shared" si="0"/>
        <v>133135.48999999996</v>
      </c>
      <c r="AL21" s="58">
        <f>AK21/AK$22</f>
        <v>0.66849398227080259</v>
      </c>
      <c r="AM21" s="57">
        <f>SUM(D21:AK21)</f>
        <v>5370905.7280370211</v>
      </c>
      <c r="AN21" s="58">
        <f>AM21/AM$22</f>
        <v>0.77322951315084698</v>
      </c>
      <c r="AO21" s="59"/>
      <c r="AP21" s="59"/>
      <c r="AQ21" s="59"/>
      <c r="AR21" s="59"/>
      <c r="AS21" s="59"/>
      <c r="AT21" s="60"/>
      <c r="AU21" s="61"/>
      <c r="AV21" s="60"/>
      <c r="AW21" s="62"/>
      <c r="AX21" s="61"/>
      <c r="AY21" s="59"/>
      <c r="AZ21" s="59"/>
      <c r="BA21" s="59"/>
      <c r="BB21" s="59"/>
      <c r="BC21" s="60"/>
      <c r="BD21" s="61"/>
      <c r="BE21" s="60"/>
      <c r="BF21" s="62"/>
      <c r="BG21" s="61"/>
      <c r="BH21" s="59"/>
      <c r="BI21" s="59"/>
      <c r="BJ21" s="59"/>
      <c r="BK21" s="59"/>
      <c r="BL21" s="60"/>
      <c r="BM21" s="61"/>
      <c r="BN21" s="60"/>
      <c r="BO21" s="62"/>
      <c r="BP21" s="61"/>
      <c r="BQ21" s="59"/>
      <c r="BR21" s="59"/>
      <c r="BS21" s="59"/>
      <c r="BT21" s="59"/>
    </row>
    <row r="22" spans="1:72" s="63" customFormat="1" x14ac:dyDescent="0.25">
      <c r="A22" s="55" t="s">
        <v>307</v>
      </c>
      <c r="B22" s="56">
        <v>31</v>
      </c>
      <c r="C22" s="55" t="s">
        <v>308</v>
      </c>
      <c r="D22" s="57">
        <f>D23+D27+D31</f>
        <v>596358.93999999994</v>
      </c>
      <c r="E22" s="58">
        <f t="shared" ref="E22:E85" si="1">D22/D$22</f>
        <v>1</v>
      </c>
      <c r="F22" s="58">
        <f t="shared" ref="F22:F85" si="2">IF(D22=0,0,G22/D22-1)</f>
        <v>0.24398986959095481</v>
      </c>
      <c r="G22" s="57">
        <f t="shared" ref="G22:AE22" si="3">G23+G27+G31</f>
        <v>741864.48</v>
      </c>
      <c r="H22" s="58">
        <f t="shared" ref="H22:H85" si="4">G22/G$22</f>
        <v>1</v>
      </c>
      <c r="I22" s="58">
        <f t="shared" ref="I22:I85" si="5">IF(G22=0,0,J22/G22-1)</f>
        <v>-3.9494275288661895E-2</v>
      </c>
      <c r="J22" s="57">
        <f t="shared" si="3"/>
        <v>712565.08</v>
      </c>
      <c r="K22" s="58">
        <f t="shared" ref="K22:K85" si="6">J22/J$22</f>
        <v>1</v>
      </c>
      <c r="L22" s="58">
        <f t="shared" ref="L22:L85" si="7">IF(J22=0,0,M22/J22-1)</f>
        <v>1.6164376171787787E-2</v>
      </c>
      <c r="M22" s="57">
        <f t="shared" si="3"/>
        <v>724083.25</v>
      </c>
      <c r="N22" s="58">
        <f t="shared" ref="N22:N85" si="8">M22/M$22</f>
        <v>1</v>
      </c>
      <c r="O22" s="58">
        <f t="shared" ref="O22:O85" si="9">IF(M22=0,0,P22/M22-1)</f>
        <v>0.31943085273689187</v>
      </c>
      <c r="P22" s="57">
        <f t="shared" si="3"/>
        <v>955377.78</v>
      </c>
      <c r="Q22" s="58">
        <f t="shared" ref="Q22:Q85" si="10">P22/P$22</f>
        <v>1</v>
      </c>
      <c r="R22" s="58">
        <f t="shared" ref="R22:R85" si="11">IF(P22=0,0,S22/P22-1)</f>
        <v>-0.30377181265404762</v>
      </c>
      <c r="S22" s="57">
        <f t="shared" si="3"/>
        <v>665160.94000000006</v>
      </c>
      <c r="T22" s="58">
        <f t="shared" ref="T22:T85" si="12">S22/S$22</f>
        <v>1</v>
      </c>
      <c r="U22" s="58">
        <f t="shared" ref="U22:U85" si="13">IF(S22=0,0,V22/S22-1)</f>
        <v>6.7924764193159071E-2</v>
      </c>
      <c r="V22" s="57">
        <f t="shared" si="3"/>
        <v>710341.84000000008</v>
      </c>
      <c r="W22" s="58">
        <f t="shared" ref="W22:W85" si="14">V22/V$22</f>
        <v>1</v>
      </c>
      <c r="X22" s="58">
        <f t="shared" ref="X22:X85" si="15">IF(V22=0,0,Y22/V22-1)</f>
        <v>-0.23347299942236277</v>
      </c>
      <c r="Y22" s="57">
        <f t="shared" si="3"/>
        <v>544496.19999999995</v>
      </c>
      <c r="Z22" s="58">
        <f t="shared" ref="Z22:Z85" si="16">Y22/Y$22</f>
        <v>1</v>
      </c>
      <c r="AA22" s="58">
        <f t="shared" ref="AA22:AA85" si="17">IF(Y22=0,0,AB22/Y22-1)</f>
        <v>-0.23770424844103588</v>
      </c>
      <c r="AB22" s="57">
        <f t="shared" si="3"/>
        <v>415067.14</v>
      </c>
      <c r="AC22" s="58">
        <f t="shared" ref="AC22:AC85" si="18">AB22/AB$22</f>
        <v>1</v>
      </c>
      <c r="AD22" s="58">
        <f t="shared" ref="AD22:AD85" si="19">IF(AB22=0,0,AE22/AB22-1)</f>
        <v>-0.14597305872009048</v>
      </c>
      <c r="AE22" s="57">
        <f t="shared" si="3"/>
        <v>354478.52</v>
      </c>
      <c r="AF22" s="58">
        <f t="shared" ref="AF22:AF85" si="20">AE22/AE$22</f>
        <v>1</v>
      </c>
      <c r="AG22" s="58">
        <f t="shared" ref="AG22:AG85" si="21">IF(AE22=0,0,AH22/AE22-1)</f>
        <v>-7.7214918410289046E-2</v>
      </c>
      <c r="AH22" s="57">
        <f>AH23+AH27+AH31</f>
        <v>327107.49</v>
      </c>
      <c r="AI22" s="58">
        <f t="shared" ref="AI22:AI85" si="22">AH22/AH$22</f>
        <v>1</v>
      </c>
      <c r="AJ22" s="58">
        <f t="shared" ref="AJ22:AJ85" si="23">IF(AH22=0,0,AK22/AH22-1)</f>
        <v>-0.39115625264343568</v>
      </c>
      <c r="AK22" s="57">
        <f>AK23+AK27+AK31</f>
        <v>199157.34999999989</v>
      </c>
      <c r="AL22" s="58">
        <f t="shared" ref="AL22:AL85" si="24">AK22/AK$22</f>
        <v>1</v>
      </c>
      <c r="AM22" s="57">
        <f>SUM(D22:AK22)</f>
        <v>6946069.2287222976</v>
      </c>
      <c r="AN22" s="58">
        <f t="shared" ref="AN22:AN85" si="25">AM22/AM$22</f>
        <v>1</v>
      </c>
      <c r="AO22" s="64"/>
      <c r="AP22" s="64"/>
      <c r="AQ22" s="64"/>
      <c r="AR22" s="64"/>
      <c r="AS22" s="64"/>
      <c r="AT22" s="60"/>
      <c r="AU22" s="61"/>
      <c r="AV22" s="60"/>
      <c r="AW22" s="62"/>
      <c r="AX22" s="61"/>
      <c r="AY22" s="64"/>
      <c r="AZ22" s="64"/>
      <c r="BA22" s="64"/>
      <c r="BB22" s="64"/>
      <c r="BC22" s="60"/>
      <c r="BD22" s="61"/>
      <c r="BE22" s="60"/>
      <c r="BF22" s="62"/>
      <c r="BG22" s="61"/>
      <c r="BH22" s="64"/>
      <c r="BI22" s="64"/>
      <c r="BJ22" s="64"/>
      <c r="BK22" s="64"/>
      <c r="BL22" s="60"/>
      <c r="BM22" s="61"/>
      <c r="BN22" s="60"/>
      <c r="BO22" s="62"/>
      <c r="BP22" s="61"/>
      <c r="BQ22" s="64"/>
      <c r="BR22" s="64"/>
      <c r="BS22" s="64"/>
      <c r="BT22" s="64"/>
    </row>
    <row r="23" spans="1:72" s="63" customFormat="1" x14ac:dyDescent="0.25">
      <c r="A23" s="55" t="s">
        <v>309</v>
      </c>
      <c r="B23" s="56">
        <v>312</v>
      </c>
      <c r="C23" s="55" t="s">
        <v>310</v>
      </c>
      <c r="D23" s="57">
        <f>D24</f>
        <v>579802.06999999995</v>
      </c>
      <c r="E23" s="58">
        <f t="shared" si="1"/>
        <v>0.972236737156988</v>
      </c>
      <c r="F23" s="58">
        <f t="shared" si="2"/>
        <v>0.22246852274949647</v>
      </c>
      <c r="G23" s="57">
        <f t="shared" ref="G23:AK25" si="26">G24</f>
        <v>708789.78</v>
      </c>
      <c r="H23" s="58">
        <f t="shared" si="4"/>
        <v>0.95541678986976175</v>
      </c>
      <c r="I23" s="58">
        <f t="shared" si="5"/>
        <v>-2.5041867844087795E-2</v>
      </c>
      <c r="J23" s="57">
        <f t="shared" si="26"/>
        <v>691040.36</v>
      </c>
      <c r="K23" s="58">
        <f t="shared" si="6"/>
        <v>0.96979262581882353</v>
      </c>
      <c r="L23" s="58">
        <f t="shared" si="7"/>
        <v>6.1355171787651486E-3</v>
      </c>
      <c r="M23" s="57">
        <f t="shared" si="26"/>
        <v>695280.25</v>
      </c>
      <c r="N23" s="58">
        <f t="shared" si="8"/>
        <v>0.9602214248154477</v>
      </c>
      <c r="O23" s="58">
        <f t="shared" si="9"/>
        <v>0.32236573669394475</v>
      </c>
      <c r="P23" s="57">
        <f t="shared" si="26"/>
        <v>919414.78</v>
      </c>
      <c r="Q23" s="58">
        <f t="shared" si="10"/>
        <v>0.96235729911993562</v>
      </c>
      <c r="R23" s="58">
        <f t="shared" si="11"/>
        <v>-0.31940628581150277</v>
      </c>
      <c r="S23" s="57">
        <f t="shared" si="26"/>
        <v>625747.92000000004</v>
      </c>
      <c r="T23" s="58">
        <f t="shared" si="12"/>
        <v>0.9407466409557963</v>
      </c>
      <c r="U23" s="58">
        <f t="shared" si="13"/>
        <v>6.5374568084860751E-2</v>
      </c>
      <c r="V23" s="57">
        <f t="shared" si="26"/>
        <v>666655.92000000004</v>
      </c>
      <c r="W23" s="58">
        <f t="shared" si="14"/>
        <v>0.93850014522585345</v>
      </c>
      <c r="X23" s="58">
        <f t="shared" si="15"/>
        <v>-0.23300747108043385</v>
      </c>
      <c r="Y23" s="57">
        <f t="shared" si="26"/>
        <v>511320.11</v>
      </c>
      <c r="Z23" s="58">
        <f t="shared" si="16"/>
        <v>0.93907011655912387</v>
      </c>
      <c r="AA23" s="58">
        <f t="shared" si="17"/>
        <v>-0.24244634149046085</v>
      </c>
      <c r="AB23" s="57">
        <f t="shared" si="26"/>
        <v>387352.42</v>
      </c>
      <c r="AC23" s="58">
        <f t="shared" si="18"/>
        <v>0.93322834469623395</v>
      </c>
      <c r="AD23" s="58">
        <f t="shared" si="19"/>
        <v>-8.5126355993851766E-2</v>
      </c>
      <c r="AE23" s="57">
        <f t="shared" si="26"/>
        <v>354378.52</v>
      </c>
      <c r="AF23" s="58">
        <f t="shared" si="20"/>
        <v>0.99971789545950485</v>
      </c>
      <c r="AG23" s="58">
        <f t="shared" si="21"/>
        <v>-0.14440951443671024</v>
      </c>
      <c r="AH23" s="57">
        <f t="shared" si="26"/>
        <v>303202.89</v>
      </c>
      <c r="AI23" s="58">
        <f t="shared" si="22"/>
        <v>0.92692126982479073</v>
      </c>
      <c r="AJ23" s="58">
        <f t="shared" si="23"/>
        <v>-0.40939339331495195</v>
      </c>
      <c r="AK23" s="57">
        <f t="shared" si="26"/>
        <v>179073.62999999989</v>
      </c>
      <c r="AL23" s="58">
        <f t="shared" si="24"/>
        <v>0.8991565212130006</v>
      </c>
      <c r="AM23" s="57">
        <f>SUM(D23:AK23)</f>
        <v>6622068.3057224043</v>
      </c>
      <c r="AN23" s="58">
        <f t="shared" si="25"/>
        <v>0.95335478062036361</v>
      </c>
      <c r="AO23" s="64"/>
      <c r="AP23" s="64"/>
      <c r="AQ23" s="64"/>
      <c r="AR23" s="64"/>
      <c r="AS23" s="64"/>
      <c r="AT23" s="60"/>
      <c r="AU23" s="61"/>
      <c r="AV23" s="65"/>
      <c r="AW23" s="62"/>
      <c r="AX23" s="61"/>
      <c r="AY23" s="64"/>
      <c r="AZ23" s="64"/>
      <c r="BA23" s="64"/>
      <c r="BB23" s="64"/>
      <c r="BC23" s="60"/>
      <c r="BD23" s="61"/>
      <c r="BE23" s="65"/>
      <c r="BF23" s="62"/>
      <c r="BG23" s="61"/>
      <c r="BH23" s="64"/>
      <c r="BI23" s="64"/>
      <c r="BJ23" s="64"/>
      <c r="BK23" s="64"/>
      <c r="BL23" s="60"/>
      <c r="BM23" s="61"/>
      <c r="BN23" s="65"/>
      <c r="BO23" s="62"/>
      <c r="BP23" s="61"/>
      <c r="BQ23" s="64"/>
      <c r="BR23" s="64"/>
      <c r="BS23" s="64"/>
      <c r="BT23" s="64"/>
    </row>
    <row r="24" spans="1:72" s="63" customFormat="1" x14ac:dyDescent="0.25">
      <c r="A24" s="55" t="s">
        <v>311</v>
      </c>
      <c r="B24" s="56">
        <v>3120</v>
      </c>
      <c r="C24" s="55" t="s">
        <v>310</v>
      </c>
      <c r="D24" s="57">
        <f>D25</f>
        <v>579802.06999999995</v>
      </c>
      <c r="E24" s="58">
        <f t="shared" si="1"/>
        <v>0.972236737156988</v>
      </c>
      <c r="F24" s="58">
        <f t="shared" si="2"/>
        <v>0.22246852274949647</v>
      </c>
      <c r="G24" s="57">
        <f t="shared" si="26"/>
        <v>708789.78</v>
      </c>
      <c r="H24" s="58">
        <f t="shared" si="4"/>
        <v>0.95541678986976175</v>
      </c>
      <c r="I24" s="58">
        <f t="shared" si="5"/>
        <v>-2.5041867844087795E-2</v>
      </c>
      <c r="J24" s="57">
        <f t="shared" si="26"/>
        <v>691040.36</v>
      </c>
      <c r="K24" s="58">
        <f t="shared" si="6"/>
        <v>0.96979262581882353</v>
      </c>
      <c r="L24" s="58">
        <f t="shared" si="7"/>
        <v>6.1355171787651486E-3</v>
      </c>
      <c r="M24" s="57">
        <f t="shared" si="26"/>
        <v>695280.25</v>
      </c>
      <c r="N24" s="58">
        <f t="shared" si="8"/>
        <v>0.9602214248154477</v>
      </c>
      <c r="O24" s="58">
        <f t="shared" si="9"/>
        <v>0.32236573669394475</v>
      </c>
      <c r="P24" s="57">
        <f t="shared" si="26"/>
        <v>919414.78</v>
      </c>
      <c r="Q24" s="58">
        <f t="shared" si="10"/>
        <v>0.96235729911993562</v>
      </c>
      <c r="R24" s="58">
        <f t="shared" si="11"/>
        <v>-0.31940628581150277</v>
      </c>
      <c r="S24" s="57">
        <f t="shared" si="26"/>
        <v>625747.92000000004</v>
      </c>
      <c r="T24" s="58">
        <f t="shared" si="12"/>
        <v>0.9407466409557963</v>
      </c>
      <c r="U24" s="58">
        <f t="shared" si="13"/>
        <v>6.5374568084860751E-2</v>
      </c>
      <c r="V24" s="57">
        <f t="shared" si="26"/>
        <v>666655.92000000004</v>
      </c>
      <c r="W24" s="58">
        <f t="shared" si="14"/>
        <v>0.93850014522585345</v>
      </c>
      <c r="X24" s="58">
        <f t="shared" si="15"/>
        <v>-0.23300747108043385</v>
      </c>
      <c r="Y24" s="57">
        <f t="shared" si="26"/>
        <v>511320.11</v>
      </c>
      <c r="Z24" s="58">
        <f t="shared" si="16"/>
        <v>0.93907011655912387</v>
      </c>
      <c r="AA24" s="58">
        <f t="shared" si="17"/>
        <v>-0.24244634149046085</v>
      </c>
      <c r="AB24" s="57">
        <f t="shared" si="26"/>
        <v>387352.42</v>
      </c>
      <c r="AC24" s="58">
        <f t="shared" si="18"/>
        <v>0.93322834469623395</v>
      </c>
      <c r="AD24" s="58">
        <f t="shared" si="19"/>
        <v>-8.5126355993851766E-2</v>
      </c>
      <c r="AE24" s="57">
        <f t="shared" si="26"/>
        <v>354378.52</v>
      </c>
      <c r="AF24" s="58">
        <f t="shared" si="20"/>
        <v>0.99971789545950485</v>
      </c>
      <c r="AG24" s="58">
        <f t="shared" si="21"/>
        <v>-0.14440951443671024</v>
      </c>
      <c r="AH24" s="57">
        <f t="shared" si="26"/>
        <v>303202.89</v>
      </c>
      <c r="AI24" s="58">
        <f t="shared" si="22"/>
        <v>0.92692126982479073</v>
      </c>
      <c r="AJ24" s="58">
        <f t="shared" si="23"/>
        <v>-0.40939339331495195</v>
      </c>
      <c r="AK24" s="57">
        <f t="shared" si="26"/>
        <v>179073.62999999989</v>
      </c>
      <c r="AL24" s="58">
        <f t="shared" si="24"/>
        <v>0.8991565212130006</v>
      </c>
      <c r="AM24" s="57">
        <f>SUM(D24:AK24)</f>
        <v>6622068.3057224043</v>
      </c>
      <c r="AN24" s="58">
        <f t="shared" si="25"/>
        <v>0.95335478062036361</v>
      </c>
      <c r="AO24" s="64"/>
      <c r="AP24" s="64"/>
      <c r="AQ24" s="64"/>
      <c r="AR24" s="64"/>
      <c r="AS24" s="64"/>
      <c r="AT24" s="60"/>
      <c r="AU24" s="61"/>
      <c r="AV24" s="65"/>
      <c r="AW24" s="62"/>
      <c r="AX24" s="61"/>
      <c r="AY24" s="64"/>
      <c r="AZ24" s="64"/>
      <c r="BA24" s="64"/>
      <c r="BB24" s="64"/>
      <c r="BC24" s="60"/>
      <c r="BD24" s="61"/>
      <c r="BE24" s="65"/>
      <c r="BF24" s="62"/>
      <c r="BG24" s="61"/>
      <c r="BH24" s="64"/>
      <c r="BI24" s="64"/>
      <c r="BJ24" s="64"/>
      <c r="BK24" s="64"/>
      <c r="BL24" s="60"/>
      <c r="BM24" s="61"/>
      <c r="BN24" s="65"/>
      <c r="BO24" s="62"/>
      <c r="BP24" s="61"/>
      <c r="BQ24" s="64"/>
      <c r="BR24" s="64"/>
      <c r="BS24" s="64"/>
      <c r="BT24" s="64"/>
    </row>
    <row r="25" spans="1:72" s="63" customFormat="1" x14ac:dyDescent="0.25">
      <c r="A25" s="55" t="s">
        <v>312</v>
      </c>
      <c r="B25" s="56">
        <v>312000</v>
      </c>
      <c r="C25" s="55" t="s">
        <v>310</v>
      </c>
      <c r="D25" s="57">
        <f>D26</f>
        <v>579802.06999999995</v>
      </c>
      <c r="E25" s="58">
        <f t="shared" si="1"/>
        <v>0.972236737156988</v>
      </c>
      <c r="F25" s="58">
        <f t="shared" si="2"/>
        <v>0.22246852274949647</v>
      </c>
      <c r="G25" s="57">
        <f t="shared" si="26"/>
        <v>708789.78</v>
      </c>
      <c r="H25" s="58">
        <f t="shared" si="4"/>
        <v>0.95541678986976175</v>
      </c>
      <c r="I25" s="58">
        <f t="shared" si="5"/>
        <v>-2.5041867844087795E-2</v>
      </c>
      <c r="J25" s="57">
        <f t="shared" si="26"/>
        <v>691040.36</v>
      </c>
      <c r="K25" s="58">
        <f t="shared" si="6"/>
        <v>0.96979262581882353</v>
      </c>
      <c r="L25" s="58">
        <f t="shared" si="7"/>
        <v>6.1355171787651486E-3</v>
      </c>
      <c r="M25" s="57">
        <f t="shared" si="26"/>
        <v>695280.25</v>
      </c>
      <c r="N25" s="58">
        <f t="shared" si="8"/>
        <v>0.9602214248154477</v>
      </c>
      <c r="O25" s="58">
        <f t="shared" si="9"/>
        <v>0.32236573669394475</v>
      </c>
      <c r="P25" s="57">
        <f t="shared" si="26"/>
        <v>919414.78</v>
      </c>
      <c r="Q25" s="58">
        <f t="shared" si="10"/>
        <v>0.96235729911993562</v>
      </c>
      <c r="R25" s="58">
        <f t="shared" si="11"/>
        <v>-0.31940628581150277</v>
      </c>
      <c r="S25" s="57">
        <f t="shared" si="26"/>
        <v>625747.92000000004</v>
      </c>
      <c r="T25" s="58">
        <f t="shared" si="12"/>
        <v>0.9407466409557963</v>
      </c>
      <c r="U25" s="58">
        <f t="shared" si="13"/>
        <v>6.5374568084860751E-2</v>
      </c>
      <c r="V25" s="57">
        <f t="shared" si="26"/>
        <v>666655.92000000004</v>
      </c>
      <c r="W25" s="58">
        <f t="shared" si="14"/>
        <v>0.93850014522585345</v>
      </c>
      <c r="X25" s="58">
        <f t="shared" si="15"/>
        <v>-0.23300747108043385</v>
      </c>
      <c r="Y25" s="57">
        <f t="shared" si="26"/>
        <v>511320.11</v>
      </c>
      <c r="Z25" s="58">
        <f t="shared" si="16"/>
        <v>0.93907011655912387</v>
      </c>
      <c r="AA25" s="58">
        <f t="shared" si="17"/>
        <v>-0.24244634149046085</v>
      </c>
      <c r="AB25" s="57">
        <f t="shared" si="26"/>
        <v>387352.42</v>
      </c>
      <c r="AC25" s="58">
        <f t="shared" si="18"/>
        <v>0.93322834469623395</v>
      </c>
      <c r="AD25" s="58">
        <f t="shared" si="19"/>
        <v>-8.5126355993851766E-2</v>
      </c>
      <c r="AE25" s="57">
        <f t="shared" si="26"/>
        <v>354378.52</v>
      </c>
      <c r="AF25" s="58">
        <f t="shared" si="20"/>
        <v>0.99971789545950485</v>
      </c>
      <c r="AG25" s="58">
        <f t="shared" si="21"/>
        <v>-0.14440951443671024</v>
      </c>
      <c r="AH25" s="57">
        <f t="shared" si="26"/>
        <v>303202.89</v>
      </c>
      <c r="AI25" s="58">
        <f t="shared" si="22"/>
        <v>0.92692126982479073</v>
      </c>
      <c r="AJ25" s="58">
        <f t="shared" si="23"/>
        <v>-0.40939339331495195</v>
      </c>
      <c r="AK25" s="57">
        <f>AK26</f>
        <v>179073.62999999989</v>
      </c>
      <c r="AL25" s="58">
        <f t="shared" si="24"/>
        <v>0.8991565212130006</v>
      </c>
      <c r="AM25" s="57">
        <f>SUM(D25:AK25)</f>
        <v>6622068.3057224043</v>
      </c>
      <c r="AN25" s="58">
        <f t="shared" si="25"/>
        <v>0.95335478062036361</v>
      </c>
      <c r="AO25" s="64"/>
      <c r="AP25" s="64"/>
      <c r="AQ25" s="64"/>
      <c r="AR25" s="64"/>
      <c r="AS25" s="64"/>
      <c r="AT25" s="60"/>
      <c r="AU25" s="61"/>
      <c r="AV25" s="65"/>
      <c r="AW25" s="62"/>
      <c r="AX25" s="61"/>
      <c r="AY25" s="64"/>
      <c r="AZ25" s="64"/>
      <c r="BA25" s="64"/>
      <c r="BB25" s="64"/>
      <c r="BC25" s="60"/>
      <c r="BD25" s="61"/>
      <c r="BE25" s="65"/>
      <c r="BF25" s="62"/>
      <c r="BG25" s="61"/>
      <c r="BH25" s="64"/>
      <c r="BI25" s="64"/>
      <c r="BJ25" s="64"/>
      <c r="BK25" s="64"/>
      <c r="BL25" s="60"/>
      <c r="BM25" s="61"/>
      <c r="BN25" s="65"/>
      <c r="BO25" s="62"/>
      <c r="BP25" s="61"/>
      <c r="BQ25" s="64"/>
      <c r="BR25" s="64"/>
      <c r="BS25" s="64"/>
      <c r="BT25" s="64"/>
    </row>
    <row r="26" spans="1:72" s="74" customFormat="1" x14ac:dyDescent="0.25">
      <c r="A26" s="66" t="s">
        <v>313</v>
      </c>
      <c r="B26" s="67">
        <v>312000001</v>
      </c>
      <c r="C26" s="66" t="s">
        <v>310</v>
      </c>
      <c r="D26" s="68">
        <v>579802.06999999995</v>
      </c>
      <c r="E26" s="58">
        <f t="shared" si="1"/>
        <v>0.972236737156988</v>
      </c>
      <c r="F26" s="58">
        <f t="shared" si="2"/>
        <v>0.22246852274949647</v>
      </c>
      <c r="G26" s="68">
        <v>708789.78</v>
      </c>
      <c r="H26" s="58">
        <f t="shared" si="4"/>
        <v>0.95541678986976175</v>
      </c>
      <c r="I26" s="58">
        <f t="shared" si="5"/>
        <v>-2.5041867844087795E-2</v>
      </c>
      <c r="J26" s="68">
        <v>691040.36</v>
      </c>
      <c r="K26" s="58">
        <f t="shared" si="6"/>
        <v>0.96979262581882353</v>
      </c>
      <c r="L26" s="58">
        <f t="shared" si="7"/>
        <v>6.1355171787651486E-3</v>
      </c>
      <c r="M26" s="68">
        <v>695280.25</v>
      </c>
      <c r="N26" s="58">
        <f t="shared" si="8"/>
        <v>0.9602214248154477</v>
      </c>
      <c r="O26" s="58">
        <f t="shared" si="9"/>
        <v>0.32236573669394475</v>
      </c>
      <c r="P26" s="68">
        <v>919414.78</v>
      </c>
      <c r="Q26" s="58">
        <f t="shared" si="10"/>
        <v>0.96235729911993562</v>
      </c>
      <c r="R26" s="58">
        <f t="shared" si="11"/>
        <v>-0.31940628581150277</v>
      </c>
      <c r="S26" s="68">
        <v>625747.92000000004</v>
      </c>
      <c r="T26" s="58">
        <f t="shared" si="12"/>
        <v>0.9407466409557963</v>
      </c>
      <c r="U26" s="58">
        <f t="shared" si="13"/>
        <v>6.5374568084860751E-2</v>
      </c>
      <c r="V26" s="68">
        <v>666655.92000000004</v>
      </c>
      <c r="W26" s="58">
        <f t="shared" si="14"/>
        <v>0.93850014522585345</v>
      </c>
      <c r="X26" s="58">
        <f t="shared" si="15"/>
        <v>-0.23300747108043385</v>
      </c>
      <c r="Y26" s="68">
        <v>511320.11</v>
      </c>
      <c r="Z26" s="58">
        <f t="shared" si="16"/>
        <v>0.93907011655912387</v>
      </c>
      <c r="AA26" s="58">
        <f t="shared" si="17"/>
        <v>-0.24244634149046085</v>
      </c>
      <c r="AB26" s="68">
        <v>387352.42</v>
      </c>
      <c r="AC26" s="58">
        <f t="shared" si="18"/>
        <v>0.93322834469623395</v>
      </c>
      <c r="AD26" s="58">
        <f t="shared" si="19"/>
        <v>-8.5126355993851766E-2</v>
      </c>
      <c r="AE26" s="68">
        <v>354378.52</v>
      </c>
      <c r="AF26" s="58">
        <f t="shared" si="20"/>
        <v>0.99971789545950485</v>
      </c>
      <c r="AG26" s="58">
        <f t="shared" si="21"/>
        <v>-0.14440951443671024</v>
      </c>
      <c r="AH26" s="68">
        <v>303202.89</v>
      </c>
      <c r="AI26" s="58">
        <f t="shared" si="22"/>
        <v>0.92692126982479073</v>
      </c>
      <c r="AJ26" s="58">
        <f t="shared" si="23"/>
        <v>-0.40939339331495195</v>
      </c>
      <c r="AK26" s="68">
        <v>179073.62999999989</v>
      </c>
      <c r="AL26" s="58">
        <f t="shared" si="24"/>
        <v>0.8991565212130006</v>
      </c>
      <c r="AM26" s="68">
        <f>SUM(D26:AK26)</f>
        <v>6622068.3057224043</v>
      </c>
      <c r="AN26" s="58">
        <f t="shared" si="25"/>
        <v>0.95335478062036361</v>
      </c>
      <c r="AO26" s="64"/>
      <c r="AP26" s="64"/>
      <c r="AQ26" s="64"/>
      <c r="AR26" s="64"/>
      <c r="AS26" s="64"/>
      <c r="AT26" s="60"/>
      <c r="AU26" s="61"/>
      <c r="AV26" s="65"/>
      <c r="AW26" s="62"/>
      <c r="AX26" s="61"/>
      <c r="AY26" s="64"/>
      <c r="AZ26" s="64"/>
      <c r="BA26" s="64"/>
      <c r="BB26" s="64"/>
      <c r="BC26" s="60"/>
      <c r="BD26" s="61"/>
      <c r="BE26" s="65"/>
      <c r="BF26" s="62"/>
      <c r="BG26" s="61"/>
      <c r="BH26" s="64"/>
      <c r="BI26" s="64"/>
      <c r="BJ26" s="64"/>
      <c r="BK26" s="64"/>
      <c r="BL26" s="69"/>
      <c r="BM26" s="70"/>
      <c r="BN26" s="71"/>
      <c r="BO26" s="72"/>
      <c r="BP26" s="70"/>
      <c r="BQ26" s="73"/>
      <c r="BR26" s="73"/>
      <c r="BS26" s="73"/>
      <c r="BT26" s="73"/>
    </row>
    <row r="27" spans="1:72" s="63" customFormat="1" x14ac:dyDescent="0.25">
      <c r="A27" s="55" t="s">
        <v>314</v>
      </c>
      <c r="B27" s="56">
        <v>313</v>
      </c>
      <c r="C27" s="55" t="s">
        <v>315</v>
      </c>
      <c r="D27" s="57">
        <f>D28</f>
        <v>16556.87</v>
      </c>
      <c r="E27" s="58">
        <f t="shared" si="1"/>
        <v>2.7763262843011963E-2</v>
      </c>
      <c r="F27" s="58">
        <f t="shared" si="2"/>
        <v>0.99764206640506314</v>
      </c>
      <c r="G27" s="57">
        <f t="shared" ref="G27:AK29" si="27">G28</f>
        <v>33074.699999999997</v>
      </c>
      <c r="H27" s="58">
        <f t="shared" si="4"/>
        <v>4.4583210130238339E-2</v>
      </c>
      <c r="I27" s="58">
        <f t="shared" si="5"/>
        <v>-0.3492089119478029</v>
      </c>
      <c r="J27" s="57">
        <f t="shared" si="27"/>
        <v>21524.720000000001</v>
      </c>
      <c r="K27" s="58">
        <f t="shared" si="6"/>
        <v>3.0207374181176548E-2</v>
      </c>
      <c r="L27" s="58">
        <f t="shared" si="7"/>
        <v>0.33813587354446417</v>
      </c>
      <c r="M27" s="57">
        <f t="shared" si="27"/>
        <v>28803</v>
      </c>
      <c r="N27" s="58">
        <f t="shared" si="8"/>
        <v>3.9778575184552328E-2</v>
      </c>
      <c r="O27" s="58">
        <f t="shared" si="9"/>
        <v>0.24858521681769252</v>
      </c>
      <c r="P27" s="57">
        <f t="shared" si="27"/>
        <v>35963</v>
      </c>
      <c r="Q27" s="58">
        <f t="shared" si="10"/>
        <v>3.7642700880064425E-2</v>
      </c>
      <c r="R27" s="58">
        <f t="shared" si="11"/>
        <v>9.5932486166337538E-2</v>
      </c>
      <c r="S27" s="57">
        <f t="shared" si="27"/>
        <v>39413.019999999997</v>
      </c>
      <c r="T27" s="58">
        <f t="shared" si="12"/>
        <v>5.9253359044203639E-2</v>
      </c>
      <c r="U27" s="58">
        <f t="shared" si="13"/>
        <v>0.10841341262354431</v>
      </c>
      <c r="V27" s="57">
        <f t="shared" si="27"/>
        <v>43685.919999999998</v>
      </c>
      <c r="W27" s="58">
        <f t="shared" si="14"/>
        <v>6.1499854774146476E-2</v>
      </c>
      <c r="X27" s="58">
        <f t="shared" si="15"/>
        <v>-0.24057705549064778</v>
      </c>
      <c r="Y27" s="57">
        <f t="shared" si="27"/>
        <v>33176.089999999997</v>
      </c>
      <c r="Z27" s="58">
        <f t="shared" si="16"/>
        <v>6.0929883440876173E-2</v>
      </c>
      <c r="AA27" s="58">
        <f t="shared" si="17"/>
        <v>-0.16461765084432778</v>
      </c>
      <c r="AB27" s="57">
        <f t="shared" si="27"/>
        <v>27714.720000000001</v>
      </c>
      <c r="AC27" s="58">
        <f t="shared" si="18"/>
        <v>6.6771655303766039E-2</v>
      </c>
      <c r="AD27" s="58">
        <f t="shared" si="19"/>
        <v>-0.9963918091180427</v>
      </c>
      <c r="AE27" s="57">
        <f t="shared" si="27"/>
        <v>100</v>
      </c>
      <c r="AF27" s="58">
        <f t="shared" si="20"/>
        <v>2.8210454049514764E-4</v>
      </c>
      <c r="AG27" s="58">
        <f t="shared" si="21"/>
        <v>2.2088000000000001</v>
      </c>
      <c r="AH27" s="57">
        <f t="shared" si="27"/>
        <v>320.88</v>
      </c>
      <c r="AI27" s="58">
        <f t="shared" si="22"/>
        <v>9.8096194617860945E-4</v>
      </c>
      <c r="AJ27" s="58">
        <f t="shared" si="23"/>
        <v>-1</v>
      </c>
      <c r="AK27" s="57">
        <f t="shared" si="27"/>
        <v>0</v>
      </c>
      <c r="AL27" s="58">
        <f t="shared" si="24"/>
        <v>0</v>
      </c>
      <c r="AM27" s="57">
        <f>SUM(D27:AK27)</f>
        <v>280334.5964065704</v>
      </c>
      <c r="AN27" s="58">
        <f t="shared" si="25"/>
        <v>4.0358739191278817E-2</v>
      </c>
      <c r="AO27" s="64"/>
      <c r="AP27" s="64"/>
      <c r="AQ27" s="64"/>
      <c r="AR27" s="64"/>
      <c r="AS27" s="64"/>
      <c r="AT27" s="60"/>
      <c r="AU27" s="61"/>
      <c r="AV27" s="65"/>
      <c r="AW27" s="62"/>
      <c r="AX27" s="61"/>
      <c r="AY27" s="64"/>
      <c r="AZ27" s="64"/>
      <c r="BA27" s="64"/>
      <c r="BB27" s="64"/>
      <c r="BC27" s="60"/>
      <c r="BD27" s="61"/>
      <c r="BE27" s="65"/>
      <c r="BF27" s="62"/>
      <c r="BG27" s="61"/>
      <c r="BH27" s="64"/>
      <c r="BI27" s="64"/>
      <c r="BJ27" s="64"/>
      <c r="BK27" s="64"/>
      <c r="BL27" s="60"/>
      <c r="BM27" s="61"/>
      <c r="BN27" s="65"/>
      <c r="BO27" s="62"/>
      <c r="BP27" s="61"/>
      <c r="BQ27" s="64"/>
      <c r="BR27" s="64"/>
      <c r="BS27" s="64"/>
      <c r="BT27" s="64"/>
    </row>
    <row r="28" spans="1:72" s="63" customFormat="1" x14ac:dyDescent="0.25">
      <c r="A28" s="55" t="s">
        <v>316</v>
      </c>
      <c r="B28" s="56">
        <v>3130</v>
      </c>
      <c r="C28" s="55" t="s">
        <v>315</v>
      </c>
      <c r="D28" s="57">
        <f>D29</f>
        <v>16556.87</v>
      </c>
      <c r="E28" s="58">
        <f t="shared" si="1"/>
        <v>2.7763262843011963E-2</v>
      </c>
      <c r="F28" s="58">
        <f t="shared" si="2"/>
        <v>0.99764206640506314</v>
      </c>
      <c r="G28" s="57">
        <f t="shared" si="27"/>
        <v>33074.699999999997</v>
      </c>
      <c r="H28" s="58">
        <f t="shared" si="4"/>
        <v>4.4583210130238339E-2</v>
      </c>
      <c r="I28" s="58">
        <f t="shared" si="5"/>
        <v>-0.3492089119478029</v>
      </c>
      <c r="J28" s="57">
        <f t="shared" si="27"/>
        <v>21524.720000000001</v>
      </c>
      <c r="K28" s="58">
        <f t="shared" si="6"/>
        <v>3.0207374181176548E-2</v>
      </c>
      <c r="L28" s="58">
        <f t="shared" si="7"/>
        <v>0.33813587354446417</v>
      </c>
      <c r="M28" s="57">
        <f t="shared" si="27"/>
        <v>28803</v>
      </c>
      <c r="N28" s="58">
        <f t="shared" si="8"/>
        <v>3.9778575184552328E-2</v>
      </c>
      <c r="O28" s="58">
        <f t="shared" si="9"/>
        <v>0.24858521681769252</v>
      </c>
      <c r="P28" s="57">
        <f t="shared" si="27"/>
        <v>35963</v>
      </c>
      <c r="Q28" s="58">
        <f t="shared" si="10"/>
        <v>3.7642700880064425E-2</v>
      </c>
      <c r="R28" s="58">
        <f t="shared" si="11"/>
        <v>9.5932486166337538E-2</v>
      </c>
      <c r="S28" s="57">
        <f t="shared" si="27"/>
        <v>39413.019999999997</v>
      </c>
      <c r="T28" s="58">
        <f t="shared" si="12"/>
        <v>5.9253359044203639E-2</v>
      </c>
      <c r="U28" s="58">
        <f t="shared" si="13"/>
        <v>0.10841341262354431</v>
      </c>
      <c r="V28" s="57">
        <f t="shared" si="27"/>
        <v>43685.919999999998</v>
      </c>
      <c r="W28" s="58">
        <f t="shared" si="14"/>
        <v>6.1499854774146476E-2</v>
      </c>
      <c r="X28" s="58">
        <f t="shared" si="15"/>
        <v>-0.24057705549064778</v>
      </c>
      <c r="Y28" s="57">
        <f t="shared" si="27"/>
        <v>33176.089999999997</v>
      </c>
      <c r="Z28" s="58">
        <f t="shared" si="16"/>
        <v>6.0929883440876173E-2</v>
      </c>
      <c r="AA28" s="58">
        <f t="shared" si="17"/>
        <v>-0.16461765084432778</v>
      </c>
      <c r="AB28" s="57">
        <f t="shared" si="27"/>
        <v>27714.720000000001</v>
      </c>
      <c r="AC28" s="58">
        <f t="shared" si="18"/>
        <v>6.6771655303766039E-2</v>
      </c>
      <c r="AD28" s="58">
        <f t="shared" si="19"/>
        <v>-0.9963918091180427</v>
      </c>
      <c r="AE28" s="57">
        <f t="shared" si="27"/>
        <v>100</v>
      </c>
      <c r="AF28" s="58">
        <f t="shared" si="20"/>
        <v>2.8210454049514764E-4</v>
      </c>
      <c r="AG28" s="58">
        <f t="shared" si="21"/>
        <v>2.2088000000000001</v>
      </c>
      <c r="AH28" s="57">
        <f t="shared" si="27"/>
        <v>320.88</v>
      </c>
      <c r="AI28" s="58">
        <f t="shared" si="22"/>
        <v>9.8096194617860945E-4</v>
      </c>
      <c r="AJ28" s="58">
        <f t="shared" si="23"/>
        <v>-1</v>
      </c>
      <c r="AK28" s="57">
        <f t="shared" si="27"/>
        <v>0</v>
      </c>
      <c r="AL28" s="58">
        <f t="shared" si="24"/>
        <v>0</v>
      </c>
      <c r="AM28" s="57">
        <f>SUM(D28:AK28)</f>
        <v>280334.5964065704</v>
      </c>
      <c r="AN28" s="58">
        <f t="shared" si="25"/>
        <v>4.0358739191278817E-2</v>
      </c>
      <c r="AO28" s="64"/>
      <c r="AP28" s="64"/>
      <c r="AQ28" s="64"/>
      <c r="AR28" s="64"/>
      <c r="AS28" s="64"/>
      <c r="AT28" s="60"/>
      <c r="AU28" s="61"/>
      <c r="AV28" s="65"/>
      <c r="AW28" s="62"/>
      <c r="AX28" s="61"/>
      <c r="AY28" s="64"/>
      <c r="AZ28" s="64"/>
      <c r="BA28" s="64"/>
      <c r="BB28" s="64"/>
      <c r="BC28" s="60"/>
      <c r="BD28" s="61"/>
      <c r="BE28" s="65"/>
      <c r="BF28" s="62"/>
      <c r="BG28" s="61"/>
      <c r="BH28" s="64"/>
      <c r="BI28" s="64"/>
      <c r="BJ28" s="64"/>
      <c r="BK28" s="64"/>
      <c r="BL28" s="60"/>
      <c r="BM28" s="61"/>
      <c r="BN28" s="65"/>
      <c r="BO28" s="62"/>
      <c r="BP28" s="61"/>
      <c r="BQ28" s="64"/>
      <c r="BR28" s="64"/>
      <c r="BS28" s="64"/>
      <c r="BT28" s="64"/>
    </row>
    <row r="29" spans="1:72" s="63" customFormat="1" x14ac:dyDescent="0.25">
      <c r="A29" s="55" t="s">
        <v>317</v>
      </c>
      <c r="B29" s="56">
        <v>313000</v>
      </c>
      <c r="C29" s="55" t="s">
        <v>315</v>
      </c>
      <c r="D29" s="57">
        <f>D30</f>
        <v>16556.87</v>
      </c>
      <c r="E29" s="58">
        <f t="shared" si="1"/>
        <v>2.7763262843011963E-2</v>
      </c>
      <c r="F29" s="58">
        <f t="shared" si="2"/>
        <v>0.99764206640506314</v>
      </c>
      <c r="G29" s="57">
        <f t="shared" si="27"/>
        <v>33074.699999999997</v>
      </c>
      <c r="H29" s="58">
        <f t="shared" si="4"/>
        <v>4.4583210130238339E-2</v>
      </c>
      <c r="I29" s="58">
        <f t="shared" si="5"/>
        <v>-0.3492089119478029</v>
      </c>
      <c r="J29" s="57">
        <f t="shared" si="27"/>
        <v>21524.720000000001</v>
      </c>
      <c r="K29" s="58">
        <f t="shared" si="6"/>
        <v>3.0207374181176548E-2</v>
      </c>
      <c r="L29" s="58">
        <f t="shared" si="7"/>
        <v>0.33813587354446417</v>
      </c>
      <c r="M29" s="57">
        <f t="shared" si="27"/>
        <v>28803</v>
      </c>
      <c r="N29" s="58">
        <f t="shared" si="8"/>
        <v>3.9778575184552328E-2</v>
      </c>
      <c r="O29" s="58">
        <f t="shared" si="9"/>
        <v>0.24858521681769252</v>
      </c>
      <c r="P29" s="57">
        <f t="shared" si="27"/>
        <v>35963</v>
      </c>
      <c r="Q29" s="58">
        <f t="shared" si="10"/>
        <v>3.7642700880064425E-2</v>
      </c>
      <c r="R29" s="58">
        <f t="shared" si="11"/>
        <v>9.5932486166337538E-2</v>
      </c>
      <c r="S29" s="57">
        <f t="shared" si="27"/>
        <v>39413.019999999997</v>
      </c>
      <c r="T29" s="58">
        <f t="shared" si="12"/>
        <v>5.9253359044203639E-2</v>
      </c>
      <c r="U29" s="58">
        <f t="shared" si="13"/>
        <v>0.10841341262354431</v>
      </c>
      <c r="V29" s="57">
        <f t="shared" si="27"/>
        <v>43685.919999999998</v>
      </c>
      <c r="W29" s="58">
        <f t="shared" si="14"/>
        <v>6.1499854774146476E-2</v>
      </c>
      <c r="X29" s="58">
        <f t="shared" si="15"/>
        <v>-0.24057705549064778</v>
      </c>
      <c r="Y29" s="57">
        <f t="shared" si="27"/>
        <v>33176.089999999997</v>
      </c>
      <c r="Z29" s="58">
        <f t="shared" si="16"/>
        <v>6.0929883440876173E-2</v>
      </c>
      <c r="AA29" s="58">
        <f t="shared" si="17"/>
        <v>-0.16461765084432778</v>
      </c>
      <c r="AB29" s="57">
        <f t="shared" si="27"/>
        <v>27714.720000000001</v>
      </c>
      <c r="AC29" s="58">
        <f t="shared" si="18"/>
        <v>6.6771655303766039E-2</v>
      </c>
      <c r="AD29" s="58">
        <f t="shared" si="19"/>
        <v>-0.9963918091180427</v>
      </c>
      <c r="AE29" s="57">
        <f t="shared" si="27"/>
        <v>100</v>
      </c>
      <c r="AF29" s="58">
        <f t="shared" si="20"/>
        <v>2.8210454049514764E-4</v>
      </c>
      <c r="AG29" s="58">
        <f t="shared" si="21"/>
        <v>2.2088000000000001</v>
      </c>
      <c r="AH29" s="57">
        <f t="shared" si="27"/>
        <v>320.88</v>
      </c>
      <c r="AI29" s="58">
        <f t="shared" si="22"/>
        <v>9.8096194617860945E-4</v>
      </c>
      <c r="AJ29" s="58">
        <f t="shared" si="23"/>
        <v>-1</v>
      </c>
      <c r="AK29" s="57">
        <f t="shared" si="27"/>
        <v>0</v>
      </c>
      <c r="AL29" s="58">
        <f t="shared" si="24"/>
        <v>0</v>
      </c>
      <c r="AM29" s="57">
        <f>SUM(D29:AK29)</f>
        <v>280334.5964065704</v>
      </c>
      <c r="AN29" s="58">
        <f t="shared" si="25"/>
        <v>4.0358739191278817E-2</v>
      </c>
      <c r="AO29" s="64"/>
      <c r="AP29" s="64"/>
      <c r="AQ29" s="64"/>
      <c r="AR29" s="64"/>
      <c r="AS29" s="64"/>
      <c r="AT29" s="60"/>
      <c r="AU29" s="61"/>
      <c r="AV29" s="65"/>
      <c r="AW29" s="62"/>
      <c r="AX29" s="61"/>
      <c r="AY29" s="64"/>
      <c r="AZ29" s="64"/>
      <c r="BA29" s="64"/>
      <c r="BB29" s="64"/>
      <c r="BC29" s="60"/>
      <c r="BD29" s="61"/>
      <c r="BE29" s="65"/>
      <c r="BF29" s="62"/>
      <c r="BG29" s="61"/>
      <c r="BH29" s="64"/>
      <c r="BI29" s="64"/>
      <c r="BJ29" s="64"/>
      <c r="BK29" s="64"/>
      <c r="BL29" s="60"/>
      <c r="BM29" s="61"/>
      <c r="BN29" s="65"/>
      <c r="BO29" s="62"/>
      <c r="BP29" s="61"/>
      <c r="BQ29" s="64"/>
      <c r="BR29" s="64"/>
      <c r="BS29" s="64"/>
      <c r="BT29" s="64"/>
    </row>
    <row r="30" spans="1:72" s="74" customFormat="1" x14ac:dyDescent="0.25">
      <c r="A30" s="66" t="s">
        <v>318</v>
      </c>
      <c r="B30" s="67">
        <v>313000001</v>
      </c>
      <c r="C30" s="66" t="s">
        <v>315</v>
      </c>
      <c r="D30" s="68">
        <v>16556.87</v>
      </c>
      <c r="E30" s="58">
        <f t="shared" si="1"/>
        <v>2.7763262843011963E-2</v>
      </c>
      <c r="F30" s="58">
        <f t="shared" si="2"/>
        <v>0.99764206640506314</v>
      </c>
      <c r="G30" s="68">
        <v>33074.699999999997</v>
      </c>
      <c r="H30" s="58">
        <f t="shared" si="4"/>
        <v>4.4583210130238339E-2</v>
      </c>
      <c r="I30" s="58">
        <f t="shared" si="5"/>
        <v>-0.3492089119478029</v>
      </c>
      <c r="J30" s="68">
        <v>21524.720000000001</v>
      </c>
      <c r="K30" s="58">
        <f t="shared" si="6"/>
        <v>3.0207374181176548E-2</v>
      </c>
      <c r="L30" s="58">
        <f t="shared" si="7"/>
        <v>0.33813587354446417</v>
      </c>
      <c r="M30" s="68">
        <v>28803</v>
      </c>
      <c r="N30" s="58">
        <f t="shared" si="8"/>
        <v>3.9778575184552328E-2</v>
      </c>
      <c r="O30" s="58">
        <f t="shared" si="9"/>
        <v>0.24858521681769252</v>
      </c>
      <c r="P30" s="68">
        <v>35963</v>
      </c>
      <c r="Q30" s="58">
        <f t="shared" si="10"/>
        <v>3.7642700880064425E-2</v>
      </c>
      <c r="R30" s="58">
        <f t="shared" si="11"/>
        <v>9.5932486166337538E-2</v>
      </c>
      <c r="S30" s="68">
        <v>39413.019999999997</v>
      </c>
      <c r="T30" s="58">
        <f t="shared" si="12"/>
        <v>5.9253359044203639E-2</v>
      </c>
      <c r="U30" s="58">
        <f t="shared" si="13"/>
        <v>0.10841341262354431</v>
      </c>
      <c r="V30" s="68">
        <v>43685.919999999998</v>
      </c>
      <c r="W30" s="58">
        <f t="shared" si="14"/>
        <v>6.1499854774146476E-2</v>
      </c>
      <c r="X30" s="58">
        <f t="shared" si="15"/>
        <v>-0.24057705549064778</v>
      </c>
      <c r="Y30" s="68">
        <v>33176.089999999997</v>
      </c>
      <c r="Z30" s="58">
        <f t="shared" si="16"/>
        <v>6.0929883440876173E-2</v>
      </c>
      <c r="AA30" s="58">
        <f t="shared" si="17"/>
        <v>-0.16461765084432778</v>
      </c>
      <c r="AB30" s="68">
        <v>27714.720000000001</v>
      </c>
      <c r="AC30" s="58">
        <f t="shared" si="18"/>
        <v>6.6771655303766039E-2</v>
      </c>
      <c r="AD30" s="58">
        <f t="shared" si="19"/>
        <v>-0.9963918091180427</v>
      </c>
      <c r="AE30" s="68">
        <v>100</v>
      </c>
      <c r="AF30" s="58">
        <f t="shared" si="20"/>
        <v>2.8210454049514764E-4</v>
      </c>
      <c r="AG30" s="58">
        <f t="shared" si="21"/>
        <v>2.2088000000000001</v>
      </c>
      <c r="AH30" s="68">
        <v>320.88</v>
      </c>
      <c r="AI30" s="58">
        <f t="shared" si="22"/>
        <v>9.8096194617860945E-4</v>
      </c>
      <c r="AJ30" s="58">
        <f t="shared" si="23"/>
        <v>-1</v>
      </c>
      <c r="AK30" s="68">
        <v>0</v>
      </c>
      <c r="AL30" s="58">
        <f t="shared" si="24"/>
        <v>0</v>
      </c>
      <c r="AM30" s="68">
        <f>SUM(D30:AK30)</f>
        <v>280334.5964065704</v>
      </c>
      <c r="AN30" s="58">
        <f t="shared" si="25"/>
        <v>4.0358739191278817E-2</v>
      </c>
      <c r="AO30" s="73"/>
      <c r="AP30" s="73"/>
      <c r="AQ30" s="73"/>
      <c r="AR30" s="73"/>
      <c r="AS30" s="73"/>
      <c r="AT30" s="69"/>
      <c r="AU30" s="70"/>
      <c r="AV30" s="71"/>
      <c r="AW30" s="72"/>
      <c r="AX30" s="70"/>
      <c r="AY30" s="73"/>
      <c r="AZ30" s="73"/>
      <c r="BA30" s="73"/>
      <c r="BB30" s="73"/>
      <c r="BC30" s="69"/>
      <c r="BD30" s="70"/>
      <c r="BE30" s="71"/>
      <c r="BF30" s="72"/>
      <c r="BG30" s="70"/>
      <c r="BH30" s="73"/>
      <c r="BI30" s="73"/>
      <c r="BJ30" s="73"/>
      <c r="BK30" s="73"/>
      <c r="BL30" s="69"/>
      <c r="BM30" s="70"/>
      <c r="BN30" s="71"/>
      <c r="BO30" s="72"/>
      <c r="BP30" s="70"/>
      <c r="BQ30" s="73"/>
      <c r="BR30" s="73"/>
      <c r="BS30" s="73"/>
      <c r="BT30" s="73"/>
    </row>
    <row r="31" spans="1:72" s="63" customFormat="1" x14ac:dyDescent="0.25">
      <c r="A31" s="55" t="s">
        <v>319</v>
      </c>
      <c r="B31" s="56">
        <v>314</v>
      </c>
      <c r="C31" s="55" t="s">
        <v>320</v>
      </c>
      <c r="D31" s="57">
        <f>D32</f>
        <v>0</v>
      </c>
      <c r="E31" s="58">
        <f t="shared" si="1"/>
        <v>0</v>
      </c>
      <c r="F31" s="58">
        <f t="shared" si="2"/>
        <v>0</v>
      </c>
      <c r="G31" s="57">
        <f t="shared" ref="G31:AK33" si="28">G32</f>
        <v>0</v>
      </c>
      <c r="H31" s="58">
        <f t="shared" si="4"/>
        <v>0</v>
      </c>
      <c r="I31" s="58">
        <f t="shared" si="5"/>
        <v>0</v>
      </c>
      <c r="J31" s="57">
        <f t="shared" si="28"/>
        <v>0</v>
      </c>
      <c r="K31" s="58">
        <f t="shared" si="6"/>
        <v>0</v>
      </c>
      <c r="L31" s="58">
        <f t="shared" si="7"/>
        <v>0</v>
      </c>
      <c r="M31" s="57">
        <f t="shared" si="28"/>
        <v>0</v>
      </c>
      <c r="N31" s="58">
        <f t="shared" si="8"/>
        <v>0</v>
      </c>
      <c r="O31" s="58">
        <f t="shared" si="9"/>
        <v>0</v>
      </c>
      <c r="P31" s="57">
        <f t="shared" si="28"/>
        <v>0</v>
      </c>
      <c r="Q31" s="58">
        <f t="shared" si="10"/>
        <v>0</v>
      </c>
      <c r="R31" s="58">
        <f t="shared" si="11"/>
        <v>0</v>
      </c>
      <c r="S31" s="57">
        <f t="shared" si="28"/>
        <v>0</v>
      </c>
      <c r="T31" s="58">
        <f t="shared" si="12"/>
        <v>0</v>
      </c>
      <c r="U31" s="58">
        <f t="shared" si="13"/>
        <v>0</v>
      </c>
      <c r="V31" s="57">
        <f t="shared" si="28"/>
        <v>0</v>
      </c>
      <c r="W31" s="58">
        <f t="shared" si="14"/>
        <v>0</v>
      </c>
      <c r="X31" s="58">
        <f t="shared" si="15"/>
        <v>0</v>
      </c>
      <c r="Y31" s="57">
        <f t="shared" si="28"/>
        <v>0</v>
      </c>
      <c r="Z31" s="58">
        <f t="shared" si="16"/>
        <v>0</v>
      </c>
      <c r="AA31" s="58">
        <f t="shared" si="17"/>
        <v>0</v>
      </c>
      <c r="AB31" s="57">
        <f t="shared" si="28"/>
        <v>0</v>
      </c>
      <c r="AC31" s="58">
        <f t="shared" si="18"/>
        <v>0</v>
      </c>
      <c r="AD31" s="58">
        <f t="shared" si="19"/>
        <v>0</v>
      </c>
      <c r="AE31" s="57">
        <f t="shared" si="28"/>
        <v>0</v>
      </c>
      <c r="AF31" s="58">
        <f t="shared" si="20"/>
        <v>0</v>
      </c>
      <c r="AG31" s="58">
        <f t="shared" si="21"/>
        <v>0</v>
      </c>
      <c r="AH31" s="57">
        <f t="shared" si="28"/>
        <v>23583.72</v>
      </c>
      <c r="AI31" s="58">
        <f t="shared" si="22"/>
        <v>7.2097768229030773E-2</v>
      </c>
      <c r="AJ31" s="58">
        <f t="shared" si="23"/>
        <v>-0.14840746073986633</v>
      </c>
      <c r="AK31" s="57">
        <f t="shared" si="28"/>
        <v>20083.72</v>
      </c>
      <c r="AL31" s="58">
        <f t="shared" si="24"/>
        <v>0.10084347878699938</v>
      </c>
      <c r="AM31" s="57">
        <f>SUM(D31:AK31)</f>
        <v>43667.363690307495</v>
      </c>
      <c r="AN31" s="58">
        <f t="shared" si="25"/>
        <v>6.2866294953901483E-3</v>
      </c>
      <c r="AO31" s="64"/>
      <c r="AP31" s="64"/>
      <c r="AQ31" s="64"/>
      <c r="AR31" s="64"/>
      <c r="AS31" s="64"/>
      <c r="AT31" s="60"/>
      <c r="AU31" s="61"/>
      <c r="AV31" s="65"/>
      <c r="AW31" s="62"/>
      <c r="AX31" s="61"/>
      <c r="AY31" s="64"/>
      <c r="AZ31" s="64"/>
      <c r="BA31" s="64"/>
      <c r="BB31" s="64"/>
      <c r="BC31" s="60"/>
      <c r="BD31" s="61"/>
      <c r="BE31" s="65"/>
      <c r="BF31" s="62"/>
      <c r="BG31" s="61"/>
      <c r="BH31" s="64"/>
      <c r="BI31" s="64"/>
      <c r="BJ31" s="64"/>
      <c r="BK31" s="64"/>
      <c r="BL31" s="60"/>
      <c r="BM31" s="61"/>
      <c r="BN31" s="65"/>
      <c r="BO31" s="62"/>
      <c r="BP31" s="61"/>
      <c r="BQ31" s="64"/>
      <c r="BR31" s="64"/>
      <c r="BS31" s="64"/>
      <c r="BT31" s="64"/>
    </row>
    <row r="32" spans="1:72" s="63" customFormat="1" x14ac:dyDescent="0.25">
      <c r="A32" s="55" t="s">
        <v>321</v>
      </c>
      <c r="B32" s="56">
        <v>3140</v>
      </c>
      <c r="C32" s="55" t="s">
        <v>320</v>
      </c>
      <c r="D32" s="57">
        <f>D33</f>
        <v>0</v>
      </c>
      <c r="E32" s="58">
        <f t="shared" si="1"/>
        <v>0</v>
      </c>
      <c r="F32" s="58">
        <f t="shared" si="2"/>
        <v>0</v>
      </c>
      <c r="G32" s="57">
        <f t="shared" si="28"/>
        <v>0</v>
      </c>
      <c r="H32" s="58">
        <f t="shared" si="4"/>
        <v>0</v>
      </c>
      <c r="I32" s="58">
        <f t="shared" si="5"/>
        <v>0</v>
      </c>
      <c r="J32" s="57">
        <f t="shared" si="28"/>
        <v>0</v>
      </c>
      <c r="K32" s="58">
        <f t="shared" si="6"/>
        <v>0</v>
      </c>
      <c r="L32" s="58">
        <f t="shared" si="7"/>
        <v>0</v>
      </c>
      <c r="M32" s="57">
        <f t="shared" si="28"/>
        <v>0</v>
      </c>
      <c r="N32" s="58">
        <f t="shared" si="8"/>
        <v>0</v>
      </c>
      <c r="O32" s="58">
        <f t="shared" si="9"/>
        <v>0</v>
      </c>
      <c r="P32" s="57">
        <f t="shared" si="28"/>
        <v>0</v>
      </c>
      <c r="Q32" s="58">
        <f t="shared" si="10"/>
        <v>0</v>
      </c>
      <c r="R32" s="58">
        <f t="shared" si="11"/>
        <v>0</v>
      </c>
      <c r="S32" s="57">
        <f t="shared" si="28"/>
        <v>0</v>
      </c>
      <c r="T32" s="58">
        <f t="shared" si="12"/>
        <v>0</v>
      </c>
      <c r="U32" s="58">
        <f t="shared" si="13"/>
        <v>0</v>
      </c>
      <c r="V32" s="57">
        <f t="shared" si="28"/>
        <v>0</v>
      </c>
      <c r="W32" s="58">
        <f t="shared" si="14"/>
        <v>0</v>
      </c>
      <c r="X32" s="58">
        <f t="shared" si="15"/>
        <v>0</v>
      </c>
      <c r="Y32" s="57">
        <f t="shared" si="28"/>
        <v>0</v>
      </c>
      <c r="Z32" s="58">
        <f t="shared" si="16"/>
        <v>0</v>
      </c>
      <c r="AA32" s="58">
        <f t="shared" si="17"/>
        <v>0</v>
      </c>
      <c r="AB32" s="57">
        <f t="shared" si="28"/>
        <v>0</v>
      </c>
      <c r="AC32" s="58">
        <f t="shared" si="18"/>
        <v>0</v>
      </c>
      <c r="AD32" s="58">
        <f t="shared" si="19"/>
        <v>0</v>
      </c>
      <c r="AE32" s="57">
        <f t="shared" si="28"/>
        <v>0</v>
      </c>
      <c r="AF32" s="58">
        <f t="shared" si="20"/>
        <v>0</v>
      </c>
      <c r="AG32" s="58">
        <f t="shared" si="21"/>
        <v>0</v>
      </c>
      <c r="AH32" s="57">
        <f t="shared" si="28"/>
        <v>23583.72</v>
      </c>
      <c r="AI32" s="58">
        <f t="shared" si="22"/>
        <v>7.2097768229030773E-2</v>
      </c>
      <c r="AJ32" s="58">
        <f t="shared" si="23"/>
        <v>-0.14840746073986633</v>
      </c>
      <c r="AK32" s="57">
        <f t="shared" si="28"/>
        <v>20083.72</v>
      </c>
      <c r="AL32" s="58">
        <f t="shared" si="24"/>
        <v>0.10084347878699938</v>
      </c>
      <c r="AM32" s="57">
        <f>SUM(D32:AK32)</f>
        <v>43667.363690307495</v>
      </c>
      <c r="AN32" s="58">
        <f t="shared" si="25"/>
        <v>6.2866294953901483E-3</v>
      </c>
      <c r="AO32" s="64"/>
      <c r="AP32" s="64"/>
      <c r="AQ32" s="64"/>
      <c r="AR32" s="64"/>
      <c r="AS32" s="64"/>
      <c r="AT32" s="60"/>
      <c r="AU32" s="61"/>
      <c r="AV32" s="65"/>
      <c r="AW32" s="62"/>
      <c r="AX32" s="61"/>
      <c r="AY32" s="64"/>
      <c r="AZ32" s="64"/>
      <c r="BA32" s="64"/>
      <c r="BB32" s="64"/>
      <c r="BC32" s="60"/>
      <c r="BD32" s="61"/>
      <c r="BE32" s="65"/>
      <c r="BF32" s="62"/>
      <c r="BG32" s="61"/>
      <c r="BH32" s="64"/>
      <c r="BI32" s="64"/>
      <c r="BJ32" s="64"/>
      <c r="BK32" s="64"/>
      <c r="BL32" s="60"/>
      <c r="BM32" s="61"/>
      <c r="BN32" s="65"/>
      <c r="BO32" s="62"/>
      <c r="BP32" s="61"/>
      <c r="BQ32" s="64"/>
      <c r="BR32" s="64"/>
      <c r="BS32" s="64"/>
      <c r="BT32" s="64"/>
    </row>
    <row r="33" spans="1:72" s="63" customFormat="1" x14ac:dyDescent="0.25">
      <c r="A33" s="55" t="s">
        <v>322</v>
      </c>
      <c r="B33" s="56">
        <v>314000</v>
      </c>
      <c r="C33" s="55" t="s">
        <v>320</v>
      </c>
      <c r="D33" s="57">
        <f>D34</f>
        <v>0</v>
      </c>
      <c r="E33" s="58">
        <f t="shared" si="1"/>
        <v>0</v>
      </c>
      <c r="F33" s="58">
        <f t="shared" si="2"/>
        <v>0</v>
      </c>
      <c r="G33" s="57">
        <f t="shared" si="28"/>
        <v>0</v>
      </c>
      <c r="H33" s="58">
        <f t="shared" si="4"/>
        <v>0</v>
      </c>
      <c r="I33" s="58">
        <f t="shared" si="5"/>
        <v>0</v>
      </c>
      <c r="J33" s="57">
        <f t="shared" si="28"/>
        <v>0</v>
      </c>
      <c r="K33" s="58">
        <f t="shared" si="6"/>
        <v>0</v>
      </c>
      <c r="L33" s="58">
        <f t="shared" si="7"/>
        <v>0</v>
      </c>
      <c r="M33" s="57">
        <f t="shared" si="28"/>
        <v>0</v>
      </c>
      <c r="N33" s="58">
        <f t="shared" si="8"/>
        <v>0</v>
      </c>
      <c r="O33" s="58">
        <f t="shared" si="9"/>
        <v>0</v>
      </c>
      <c r="P33" s="57">
        <f t="shared" si="28"/>
        <v>0</v>
      </c>
      <c r="Q33" s="58">
        <f t="shared" si="10"/>
        <v>0</v>
      </c>
      <c r="R33" s="58">
        <f t="shared" si="11"/>
        <v>0</v>
      </c>
      <c r="S33" s="57">
        <f t="shared" si="28"/>
        <v>0</v>
      </c>
      <c r="T33" s="58">
        <f t="shared" si="12"/>
        <v>0</v>
      </c>
      <c r="U33" s="58">
        <f t="shared" si="13"/>
        <v>0</v>
      </c>
      <c r="V33" s="57">
        <f t="shared" si="28"/>
        <v>0</v>
      </c>
      <c r="W33" s="58">
        <f t="shared" si="14"/>
        <v>0</v>
      </c>
      <c r="X33" s="58">
        <f t="shared" si="15"/>
        <v>0</v>
      </c>
      <c r="Y33" s="57">
        <f t="shared" si="28"/>
        <v>0</v>
      </c>
      <c r="Z33" s="58">
        <f t="shared" si="16"/>
        <v>0</v>
      </c>
      <c r="AA33" s="58">
        <f t="shared" si="17"/>
        <v>0</v>
      </c>
      <c r="AB33" s="57">
        <f t="shared" si="28"/>
        <v>0</v>
      </c>
      <c r="AC33" s="58">
        <f t="shared" si="18"/>
        <v>0</v>
      </c>
      <c r="AD33" s="58">
        <f t="shared" si="19"/>
        <v>0</v>
      </c>
      <c r="AE33" s="57">
        <f t="shared" si="28"/>
        <v>0</v>
      </c>
      <c r="AF33" s="58">
        <f t="shared" si="20"/>
        <v>0</v>
      </c>
      <c r="AG33" s="58">
        <f t="shared" si="21"/>
        <v>0</v>
      </c>
      <c r="AH33" s="57">
        <f t="shared" si="28"/>
        <v>23583.72</v>
      </c>
      <c r="AI33" s="58">
        <f t="shared" si="22"/>
        <v>7.2097768229030773E-2</v>
      </c>
      <c r="AJ33" s="58">
        <f t="shared" si="23"/>
        <v>-0.14840746073986633</v>
      </c>
      <c r="AK33" s="57">
        <f t="shared" si="28"/>
        <v>20083.72</v>
      </c>
      <c r="AL33" s="58">
        <f t="shared" si="24"/>
        <v>0.10084347878699938</v>
      </c>
      <c r="AM33" s="57">
        <f>SUM(D33:AK33)</f>
        <v>43667.363690307495</v>
      </c>
      <c r="AN33" s="58">
        <f t="shared" si="25"/>
        <v>6.2866294953901483E-3</v>
      </c>
      <c r="AO33" s="64"/>
      <c r="AP33" s="64"/>
      <c r="AQ33" s="64"/>
      <c r="AR33" s="64"/>
      <c r="AS33" s="64"/>
      <c r="AT33" s="60"/>
      <c r="AU33" s="61"/>
      <c r="AV33" s="65"/>
      <c r="AW33" s="62"/>
      <c r="AX33" s="61"/>
      <c r="AY33" s="64"/>
      <c r="AZ33" s="64"/>
      <c r="BA33" s="64"/>
      <c r="BB33" s="64"/>
      <c r="BC33" s="60"/>
      <c r="BD33" s="61"/>
      <c r="BE33" s="65"/>
      <c r="BF33" s="62"/>
      <c r="BG33" s="61"/>
      <c r="BH33" s="64"/>
      <c r="BI33" s="64"/>
      <c r="BJ33" s="64"/>
      <c r="BK33" s="64"/>
      <c r="BL33" s="60"/>
      <c r="BM33" s="61"/>
      <c r="BN33" s="65"/>
      <c r="BO33" s="62"/>
      <c r="BP33" s="61"/>
      <c r="BQ33" s="64"/>
      <c r="BR33" s="64"/>
      <c r="BS33" s="64"/>
      <c r="BT33" s="64"/>
    </row>
    <row r="34" spans="1:72" s="74" customFormat="1" x14ac:dyDescent="0.25">
      <c r="A34" s="66" t="s">
        <v>323</v>
      </c>
      <c r="B34" s="67">
        <v>314000001</v>
      </c>
      <c r="C34" s="66" t="s">
        <v>324</v>
      </c>
      <c r="D34" s="68">
        <v>0</v>
      </c>
      <c r="E34" s="58">
        <f t="shared" si="1"/>
        <v>0</v>
      </c>
      <c r="F34" s="58">
        <f t="shared" si="2"/>
        <v>0</v>
      </c>
      <c r="G34" s="68">
        <v>0</v>
      </c>
      <c r="H34" s="58">
        <f t="shared" si="4"/>
        <v>0</v>
      </c>
      <c r="I34" s="58">
        <f t="shared" si="5"/>
        <v>0</v>
      </c>
      <c r="J34" s="68">
        <v>0</v>
      </c>
      <c r="K34" s="58">
        <f t="shared" si="6"/>
        <v>0</v>
      </c>
      <c r="L34" s="58">
        <f t="shared" si="7"/>
        <v>0</v>
      </c>
      <c r="M34" s="68">
        <v>0</v>
      </c>
      <c r="N34" s="58">
        <f t="shared" si="8"/>
        <v>0</v>
      </c>
      <c r="O34" s="58">
        <f t="shared" si="9"/>
        <v>0</v>
      </c>
      <c r="P34" s="68">
        <v>0</v>
      </c>
      <c r="Q34" s="58">
        <f t="shared" si="10"/>
        <v>0</v>
      </c>
      <c r="R34" s="58">
        <f t="shared" si="11"/>
        <v>0</v>
      </c>
      <c r="S34" s="68">
        <v>0</v>
      </c>
      <c r="T34" s="58">
        <f t="shared" si="12"/>
        <v>0</v>
      </c>
      <c r="U34" s="58">
        <f t="shared" si="13"/>
        <v>0</v>
      </c>
      <c r="V34" s="68">
        <v>0</v>
      </c>
      <c r="W34" s="58">
        <f t="shared" si="14"/>
        <v>0</v>
      </c>
      <c r="X34" s="58">
        <f t="shared" si="15"/>
        <v>0</v>
      </c>
      <c r="Y34" s="68">
        <v>0</v>
      </c>
      <c r="Z34" s="58">
        <f t="shared" si="16"/>
        <v>0</v>
      </c>
      <c r="AA34" s="58">
        <f t="shared" si="17"/>
        <v>0</v>
      </c>
      <c r="AB34" s="68">
        <v>0</v>
      </c>
      <c r="AC34" s="58">
        <f t="shared" si="18"/>
        <v>0</v>
      </c>
      <c r="AD34" s="58">
        <f t="shared" si="19"/>
        <v>0</v>
      </c>
      <c r="AE34" s="68">
        <v>0</v>
      </c>
      <c r="AF34" s="58">
        <f t="shared" si="20"/>
        <v>0</v>
      </c>
      <c r="AG34" s="58">
        <f t="shared" si="21"/>
        <v>0</v>
      </c>
      <c r="AH34" s="68">
        <v>23583.72</v>
      </c>
      <c r="AI34" s="58">
        <f t="shared" si="22"/>
        <v>7.2097768229030773E-2</v>
      </c>
      <c r="AJ34" s="58">
        <f t="shared" si="23"/>
        <v>-0.14840746073986633</v>
      </c>
      <c r="AK34" s="68">
        <v>20083.72</v>
      </c>
      <c r="AL34" s="58">
        <f t="shared" si="24"/>
        <v>0.10084347878699938</v>
      </c>
      <c r="AM34" s="68">
        <f>SUM(D34:AK34)</f>
        <v>43667.363690307495</v>
      </c>
      <c r="AN34" s="58">
        <f t="shared" si="25"/>
        <v>6.2866294953901483E-3</v>
      </c>
      <c r="AO34" s="64"/>
      <c r="AP34" s="64"/>
      <c r="AQ34" s="64"/>
      <c r="AR34" s="64"/>
      <c r="AS34" s="64"/>
      <c r="AT34" s="60"/>
      <c r="AU34" s="61"/>
      <c r="AV34" s="65"/>
      <c r="AW34" s="62"/>
      <c r="AX34" s="61"/>
      <c r="AY34" s="64"/>
      <c r="AZ34" s="64"/>
      <c r="BA34" s="64"/>
      <c r="BB34" s="64"/>
      <c r="BC34" s="60"/>
      <c r="BD34" s="61"/>
      <c r="BE34" s="65"/>
      <c r="BF34" s="62"/>
      <c r="BG34" s="61"/>
      <c r="BH34" s="64"/>
      <c r="BI34" s="64"/>
      <c r="BJ34" s="64"/>
      <c r="BK34" s="64"/>
      <c r="BL34" s="60"/>
      <c r="BM34" s="61"/>
      <c r="BN34" s="65"/>
      <c r="BO34" s="62"/>
      <c r="BP34" s="61"/>
      <c r="BQ34" s="64"/>
      <c r="BR34" s="64"/>
      <c r="BS34" s="64"/>
      <c r="BT34" s="64"/>
    </row>
    <row r="35" spans="1:72" s="63" customFormat="1" x14ac:dyDescent="0.25">
      <c r="A35" s="55" t="s">
        <v>325</v>
      </c>
      <c r="B35" s="56">
        <v>32</v>
      </c>
      <c r="C35" s="55" t="s">
        <v>326</v>
      </c>
      <c r="D35" s="57">
        <f>D36+D42+D46+D50+D54</f>
        <v>-135991.44999999998</v>
      </c>
      <c r="E35" s="58">
        <f t="shared" si="1"/>
        <v>-0.22803623938294612</v>
      </c>
      <c r="F35" s="58">
        <f t="shared" si="2"/>
        <v>0.10166778867347892</v>
      </c>
      <c r="G35" s="57">
        <f t="shared" ref="G35:AK35" si="29">G36+G42+G46+G50+G54</f>
        <v>-149817.39999999997</v>
      </c>
      <c r="H35" s="58">
        <f t="shared" si="4"/>
        <v>-0.2019471265156137</v>
      </c>
      <c r="I35" s="58">
        <f t="shared" si="5"/>
        <v>6.5784348146477267E-2</v>
      </c>
      <c r="J35" s="57">
        <f t="shared" si="29"/>
        <v>-159673.04</v>
      </c>
      <c r="K35" s="58">
        <f t="shared" si="6"/>
        <v>-0.22408204454812747</v>
      </c>
      <c r="L35" s="58">
        <f t="shared" si="7"/>
        <v>0.42228938586000475</v>
      </c>
      <c r="M35" s="57">
        <f t="shared" si="29"/>
        <v>-227101.27</v>
      </c>
      <c r="N35" s="58">
        <f t="shared" si="8"/>
        <v>-0.31363972305670651</v>
      </c>
      <c r="O35" s="58">
        <f t="shared" si="9"/>
        <v>-0.10280312391031543</v>
      </c>
      <c r="P35" s="57">
        <f t="shared" si="29"/>
        <v>-203754.55</v>
      </c>
      <c r="Q35" s="58">
        <f t="shared" si="10"/>
        <v>-0.21327118367772796</v>
      </c>
      <c r="R35" s="58">
        <f t="shared" si="11"/>
        <v>-0.31564566288212947</v>
      </c>
      <c r="S35" s="57">
        <f t="shared" si="29"/>
        <v>-139440.31</v>
      </c>
      <c r="T35" s="58">
        <f t="shared" si="12"/>
        <v>-0.20963394212534486</v>
      </c>
      <c r="U35" s="58">
        <f t="shared" si="13"/>
        <v>0.14615185522751628</v>
      </c>
      <c r="V35" s="57">
        <f t="shared" si="29"/>
        <v>-159819.76999999999</v>
      </c>
      <c r="W35" s="58">
        <f t="shared" si="14"/>
        <v>-0.22498994287032278</v>
      </c>
      <c r="X35" s="58">
        <f t="shared" si="15"/>
        <v>-0.37441819619687855</v>
      </c>
      <c r="Y35" s="57">
        <f t="shared" si="29"/>
        <v>-99980.34</v>
      </c>
      <c r="Z35" s="58">
        <f t="shared" si="16"/>
        <v>-0.18361990405075371</v>
      </c>
      <c r="AA35" s="58">
        <f t="shared" si="17"/>
        <v>-0.12479443458583961</v>
      </c>
      <c r="AB35" s="57">
        <f t="shared" si="29"/>
        <v>-87503.349999999991</v>
      </c>
      <c r="AC35" s="58">
        <f t="shared" si="18"/>
        <v>-0.21081733909362227</v>
      </c>
      <c r="AD35" s="58">
        <f t="shared" si="19"/>
        <v>-0.16989006706600374</v>
      </c>
      <c r="AE35" s="57">
        <f t="shared" si="29"/>
        <v>-72637.399999999994</v>
      </c>
      <c r="AF35" s="58">
        <f t="shared" si="20"/>
        <v>-0.20491340349762233</v>
      </c>
      <c r="AG35" s="58">
        <f t="shared" si="21"/>
        <v>1.0778331823551035E-2</v>
      </c>
      <c r="AH35" s="57">
        <f t="shared" si="29"/>
        <v>-73420.31</v>
      </c>
      <c r="AI35" s="58">
        <f t="shared" si="22"/>
        <v>-0.224453160641476</v>
      </c>
      <c r="AJ35" s="58">
        <f t="shared" si="23"/>
        <v>-0.10076843859689599</v>
      </c>
      <c r="AK35" s="57">
        <f t="shared" si="29"/>
        <v>-66021.859999999928</v>
      </c>
      <c r="AL35" s="58">
        <f t="shared" si="24"/>
        <v>-0.33150601772919736</v>
      </c>
      <c r="AM35" s="57">
        <f>SUM(D35:AK35)</f>
        <v>-1575163.9310522231</v>
      </c>
      <c r="AN35" s="58">
        <f t="shared" si="25"/>
        <v>-0.22677054880749703</v>
      </c>
      <c r="AO35" s="64"/>
      <c r="AP35" s="64"/>
      <c r="AQ35" s="64"/>
      <c r="AR35" s="64"/>
      <c r="AS35" s="64"/>
      <c r="AT35" s="60"/>
      <c r="AU35" s="61"/>
      <c r="AV35" s="65"/>
      <c r="AW35" s="62"/>
      <c r="AX35" s="61"/>
      <c r="AY35" s="64"/>
      <c r="AZ35" s="64"/>
      <c r="BA35" s="64"/>
      <c r="BB35" s="64"/>
      <c r="BC35" s="60"/>
      <c r="BD35" s="61"/>
      <c r="BE35" s="65"/>
      <c r="BF35" s="62"/>
      <c r="BG35" s="61"/>
      <c r="BH35" s="64"/>
      <c r="BI35" s="64"/>
      <c r="BJ35" s="64"/>
      <c r="BK35" s="64"/>
      <c r="BL35" s="60"/>
      <c r="BM35" s="61"/>
      <c r="BN35" s="65"/>
      <c r="BO35" s="62"/>
      <c r="BP35" s="61"/>
      <c r="BQ35" s="64"/>
      <c r="BR35" s="64"/>
      <c r="BS35" s="64"/>
      <c r="BT35" s="64"/>
    </row>
    <row r="36" spans="1:72" s="63" customFormat="1" x14ac:dyDescent="0.25">
      <c r="A36" s="55" t="s">
        <v>327</v>
      </c>
      <c r="B36" s="56">
        <v>321</v>
      </c>
      <c r="C36" s="55" t="s">
        <v>157</v>
      </c>
      <c r="D36" s="57">
        <f>D37</f>
        <v>-107005.53</v>
      </c>
      <c r="E36" s="58">
        <f t="shared" si="1"/>
        <v>-0.17943141759558431</v>
      </c>
      <c r="F36" s="58">
        <f t="shared" si="2"/>
        <v>0.13158273221954042</v>
      </c>
      <c r="G36" s="57">
        <f t="shared" ref="G36:AK37" si="30">G37</f>
        <v>-121085.60999999999</v>
      </c>
      <c r="H36" s="58">
        <f t="shared" si="4"/>
        <v>-0.16321796401412828</v>
      </c>
      <c r="I36" s="58">
        <f t="shared" si="5"/>
        <v>9.2202037880471766E-2</v>
      </c>
      <c r="J36" s="57">
        <f t="shared" si="30"/>
        <v>-132249.95000000001</v>
      </c>
      <c r="K36" s="58">
        <f t="shared" si="6"/>
        <v>-0.1855970124160449</v>
      </c>
      <c r="L36" s="58">
        <f t="shared" si="7"/>
        <v>0.25520516264845461</v>
      </c>
      <c r="M36" s="57">
        <f t="shared" si="30"/>
        <v>-166000.82</v>
      </c>
      <c r="N36" s="58">
        <f t="shared" si="8"/>
        <v>-0.22925653921700304</v>
      </c>
      <c r="O36" s="58">
        <f t="shared" si="9"/>
        <v>-4.8560964939811768E-2</v>
      </c>
      <c r="P36" s="57">
        <f t="shared" si="30"/>
        <v>-157939.66</v>
      </c>
      <c r="Q36" s="58">
        <f t="shared" si="10"/>
        <v>-0.16531644686147087</v>
      </c>
      <c r="R36" s="58">
        <f t="shared" si="11"/>
        <v>-0.30588612132000281</v>
      </c>
      <c r="S36" s="57">
        <f t="shared" si="30"/>
        <v>-109628.11</v>
      </c>
      <c r="T36" s="58">
        <f t="shared" si="12"/>
        <v>-0.16481441318547657</v>
      </c>
      <c r="U36" s="58">
        <f t="shared" si="13"/>
        <v>1.9898181223775513E-2</v>
      </c>
      <c r="V36" s="57">
        <f t="shared" si="30"/>
        <v>-111809.51</v>
      </c>
      <c r="W36" s="58">
        <f t="shared" si="14"/>
        <v>-0.15740239938562536</v>
      </c>
      <c r="X36" s="58">
        <f t="shared" si="15"/>
        <v>-0.31056982541109424</v>
      </c>
      <c r="Y36" s="57">
        <f t="shared" si="30"/>
        <v>-77084.850000000006</v>
      </c>
      <c r="Z36" s="58">
        <f t="shared" si="16"/>
        <v>-0.14157096045849357</v>
      </c>
      <c r="AA36" s="58">
        <f t="shared" si="17"/>
        <v>-0.10742201612897995</v>
      </c>
      <c r="AB36" s="57">
        <f t="shared" si="30"/>
        <v>-68804.240000000005</v>
      </c>
      <c r="AC36" s="58">
        <f t="shared" si="18"/>
        <v>-0.16576653116890921</v>
      </c>
      <c r="AD36" s="58">
        <f t="shared" si="19"/>
        <v>-0.17710754453504618</v>
      </c>
      <c r="AE36" s="57">
        <f t="shared" si="30"/>
        <v>-56618.49</v>
      </c>
      <c r="AF36" s="58">
        <f t="shared" si="20"/>
        <v>-0.15972333104979111</v>
      </c>
      <c r="AG36" s="58">
        <f t="shared" si="21"/>
        <v>8.1279631441954825E-2</v>
      </c>
      <c r="AH36" s="57">
        <f t="shared" si="30"/>
        <v>-61220.42</v>
      </c>
      <c r="AI36" s="58">
        <f t="shared" si="22"/>
        <v>-0.18715688839775574</v>
      </c>
      <c r="AJ36" s="58">
        <f t="shared" si="23"/>
        <v>-0.28509033423815233</v>
      </c>
      <c r="AK36" s="57">
        <f t="shared" si="30"/>
        <v>-43767.069999999934</v>
      </c>
      <c r="AL36" s="58">
        <f t="shared" si="24"/>
        <v>-0.21976125912500824</v>
      </c>
      <c r="AM36" s="57">
        <f>SUM(D36:AK36)</f>
        <v>-1213216.8137229648</v>
      </c>
      <c r="AN36" s="58">
        <f t="shared" si="25"/>
        <v>-0.17466235561060359</v>
      </c>
      <c r="AO36" s="64"/>
      <c r="AP36" s="64"/>
      <c r="AQ36" s="64"/>
      <c r="AR36" s="64"/>
      <c r="AS36" s="64"/>
      <c r="AT36" s="60"/>
      <c r="AU36" s="61"/>
      <c r="AV36" s="65"/>
      <c r="AW36" s="62"/>
      <c r="AX36" s="61"/>
      <c r="AY36" s="64"/>
      <c r="AZ36" s="64"/>
      <c r="BA36" s="64"/>
      <c r="BB36" s="64"/>
      <c r="BC36" s="60"/>
      <c r="BD36" s="61"/>
      <c r="BE36" s="65"/>
      <c r="BF36" s="62"/>
      <c r="BG36" s="61"/>
      <c r="BH36" s="64"/>
      <c r="BI36" s="64"/>
      <c r="BJ36" s="64"/>
      <c r="BK36" s="64"/>
      <c r="BL36" s="60"/>
      <c r="BM36" s="61"/>
      <c r="BN36" s="65"/>
      <c r="BO36" s="62"/>
      <c r="BP36" s="61"/>
      <c r="BQ36" s="64"/>
      <c r="BR36" s="64"/>
      <c r="BS36" s="64"/>
      <c r="BT36" s="64"/>
    </row>
    <row r="37" spans="1:72" s="63" customFormat="1" x14ac:dyDescent="0.25">
      <c r="A37" s="55" t="s">
        <v>328</v>
      </c>
      <c r="B37" s="56">
        <v>3210</v>
      </c>
      <c r="C37" s="55" t="s">
        <v>157</v>
      </c>
      <c r="D37" s="57">
        <f>D38</f>
        <v>-107005.53</v>
      </c>
      <c r="E37" s="58">
        <f t="shared" si="1"/>
        <v>-0.17943141759558431</v>
      </c>
      <c r="F37" s="58">
        <f t="shared" si="2"/>
        <v>0.13158273221954042</v>
      </c>
      <c r="G37" s="57">
        <f t="shared" si="30"/>
        <v>-121085.60999999999</v>
      </c>
      <c r="H37" s="58">
        <f t="shared" si="4"/>
        <v>-0.16321796401412828</v>
      </c>
      <c r="I37" s="58">
        <f t="shared" si="5"/>
        <v>9.2202037880471766E-2</v>
      </c>
      <c r="J37" s="57">
        <f t="shared" si="30"/>
        <v>-132249.95000000001</v>
      </c>
      <c r="K37" s="58">
        <f t="shared" si="6"/>
        <v>-0.1855970124160449</v>
      </c>
      <c r="L37" s="58">
        <f t="shared" si="7"/>
        <v>0.25520516264845461</v>
      </c>
      <c r="M37" s="57">
        <f t="shared" si="30"/>
        <v>-166000.82</v>
      </c>
      <c r="N37" s="58">
        <f t="shared" si="8"/>
        <v>-0.22925653921700304</v>
      </c>
      <c r="O37" s="58">
        <f t="shared" si="9"/>
        <v>-4.8560964939811768E-2</v>
      </c>
      <c r="P37" s="57">
        <f t="shared" si="30"/>
        <v>-157939.66</v>
      </c>
      <c r="Q37" s="58">
        <f t="shared" si="10"/>
        <v>-0.16531644686147087</v>
      </c>
      <c r="R37" s="58">
        <f t="shared" si="11"/>
        <v>-0.30588612132000281</v>
      </c>
      <c r="S37" s="57">
        <f t="shared" si="30"/>
        <v>-109628.11</v>
      </c>
      <c r="T37" s="58">
        <f t="shared" si="12"/>
        <v>-0.16481441318547657</v>
      </c>
      <c r="U37" s="58">
        <f t="shared" si="13"/>
        <v>1.9898181223775513E-2</v>
      </c>
      <c r="V37" s="57">
        <f t="shared" si="30"/>
        <v>-111809.51</v>
      </c>
      <c r="W37" s="58">
        <f t="shared" si="14"/>
        <v>-0.15740239938562536</v>
      </c>
      <c r="X37" s="58">
        <f t="shared" si="15"/>
        <v>-0.31056982541109424</v>
      </c>
      <c r="Y37" s="57">
        <f t="shared" si="30"/>
        <v>-77084.850000000006</v>
      </c>
      <c r="Z37" s="58">
        <f t="shared" si="16"/>
        <v>-0.14157096045849357</v>
      </c>
      <c r="AA37" s="58">
        <f t="shared" si="17"/>
        <v>-0.10742201612897995</v>
      </c>
      <c r="AB37" s="57">
        <f t="shared" si="30"/>
        <v>-68804.240000000005</v>
      </c>
      <c r="AC37" s="58">
        <f t="shared" si="18"/>
        <v>-0.16576653116890921</v>
      </c>
      <c r="AD37" s="58">
        <f t="shared" si="19"/>
        <v>-0.17710754453504618</v>
      </c>
      <c r="AE37" s="57">
        <f t="shared" si="30"/>
        <v>-56618.49</v>
      </c>
      <c r="AF37" s="58">
        <f t="shared" si="20"/>
        <v>-0.15972333104979111</v>
      </c>
      <c r="AG37" s="58">
        <f t="shared" si="21"/>
        <v>8.1279631441954825E-2</v>
      </c>
      <c r="AH37" s="57">
        <f t="shared" si="30"/>
        <v>-61220.42</v>
      </c>
      <c r="AI37" s="58">
        <f t="shared" si="22"/>
        <v>-0.18715688839775574</v>
      </c>
      <c r="AJ37" s="58">
        <f t="shared" si="23"/>
        <v>-0.28509033423815233</v>
      </c>
      <c r="AK37" s="57">
        <f t="shared" si="30"/>
        <v>-43767.069999999934</v>
      </c>
      <c r="AL37" s="58">
        <f t="shared" si="24"/>
        <v>-0.21976125912500824</v>
      </c>
      <c r="AM37" s="57">
        <f>SUM(D37:AK37)</f>
        <v>-1213216.8137229648</v>
      </c>
      <c r="AN37" s="58">
        <f t="shared" si="25"/>
        <v>-0.17466235561060359</v>
      </c>
      <c r="AO37" s="64"/>
      <c r="AP37" s="64"/>
      <c r="AQ37" s="64"/>
      <c r="AR37" s="64"/>
      <c r="AS37" s="64"/>
      <c r="AT37" s="60"/>
      <c r="AU37" s="61"/>
      <c r="AV37" s="65"/>
      <c r="AW37" s="62"/>
      <c r="AX37" s="61"/>
      <c r="AY37" s="64"/>
      <c r="AZ37" s="64"/>
      <c r="BA37" s="64"/>
      <c r="BB37" s="64"/>
      <c r="BC37" s="60"/>
      <c r="BD37" s="61"/>
      <c r="BE37" s="65"/>
      <c r="BF37" s="62"/>
      <c r="BG37" s="61"/>
      <c r="BH37" s="64"/>
      <c r="BI37" s="64"/>
      <c r="BJ37" s="64"/>
      <c r="BK37" s="64"/>
      <c r="BL37" s="60"/>
      <c r="BM37" s="61"/>
      <c r="BN37" s="65"/>
      <c r="BO37" s="62"/>
      <c r="BP37" s="61"/>
      <c r="BQ37" s="64"/>
      <c r="BR37" s="64"/>
      <c r="BS37" s="64"/>
      <c r="BT37" s="64"/>
    </row>
    <row r="38" spans="1:72" s="63" customFormat="1" x14ac:dyDescent="0.25">
      <c r="A38" s="55" t="s">
        <v>329</v>
      </c>
      <c r="B38" s="56">
        <v>321000</v>
      </c>
      <c r="C38" s="55" t="s">
        <v>157</v>
      </c>
      <c r="D38" s="57">
        <f>SUM(D39:D41)</f>
        <v>-107005.53</v>
      </c>
      <c r="E38" s="58">
        <f t="shared" si="1"/>
        <v>-0.17943141759558431</v>
      </c>
      <c r="F38" s="58">
        <f t="shared" si="2"/>
        <v>0.13158273221954042</v>
      </c>
      <c r="G38" s="57">
        <f t="shared" ref="G38:AK38" si="31">SUM(G39:G41)</f>
        <v>-121085.60999999999</v>
      </c>
      <c r="H38" s="58">
        <f t="shared" si="4"/>
        <v>-0.16321796401412828</v>
      </c>
      <c r="I38" s="58">
        <f t="shared" si="5"/>
        <v>9.2202037880471766E-2</v>
      </c>
      <c r="J38" s="57">
        <f t="shared" si="31"/>
        <v>-132249.95000000001</v>
      </c>
      <c r="K38" s="58">
        <f t="shared" si="6"/>
        <v>-0.1855970124160449</v>
      </c>
      <c r="L38" s="58">
        <f t="shared" si="7"/>
        <v>0.25520516264845461</v>
      </c>
      <c r="M38" s="57">
        <f t="shared" si="31"/>
        <v>-166000.82</v>
      </c>
      <c r="N38" s="58">
        <f t="shared" si="8"/>
        <v>-0.22925653921700304</v>
      </c>
      <c r="O38" s="58">
        <f t="shared" si="9"/>
        <v>-4.8560964939811768E-2</v>
      </c>
      <c r="P38" s="57">
        <f t="shared" si="31"/>
        <v>-157939.66</v>
      </c>
      <c r="Q38" s="58">
        <f t="shared" si="10"/>
        <v>-0.16531644686147087</v>
      </c>
      <c r="R38" s="58">
        <f t="shared" si="11"/>
        <v>-0.30588612132000281</v>
      </c>
      <c r="S38" s="57">
        <f t="shared" si="31"/>
        <v>-109628.11</v>
      </c>
      <c r="T38" s="58">
        <f t="shared" si="12"/>
        <v>-0.16481441318547657</v>
      </c>
      <c r="U38" s="58">
        <f t="shared" si="13"/>
        <v>1.9898181223775513E-2</v>
      </c>
      <c r="V38" s="57">
        <f t="shared" si="31"/>
        <v>-111809.51</v>
      </c>
      <c r="W38" s="58">
        <f t="shared" si="14"/>
        <v>-0.15740239938562536</v>
      </c>
      <c r="X38" s="58">
        <f t="shared" si="15"/>
        <v>-0.31056982541109424</v>
      </c>
      <c r="Y38" s="57">
        <f t="shared" si="31"/>
        <v>-77084.850000000006</v>
      </c>
      <c r="Z38" s="58">
        <f t="shared" si="16"/>
        <v>-0.14157096045849357</v>
      </c>
      <c r="AA38" s="58">
        <f t="shared" si="17"/>
        <v>-0.10742201612897995</v>
      </c>
      <c r="AB38" s="57">
        <f t="shared" si="31"/>
        <v>-68804.240000000005</v>
      </c>
      <c r="AC38" s="58">
        <f t="shared" si="18"/>
        <v>-0.16576653116890921</v>
      </c>
      <c r="AD38" s="58">
        <f t="shared" si="19"/>
        <v>-0.17710754453504618</v>
      </c>
      <c r="AE38" s="57">
        <f t="shared" si="31"/>
        <v>-56618.49</v>
      </c>
      <c r="AF38" s="58">
        <f t="shared" si="20"/>
        <v>-0.15972333104979111</v>
      </c>
      <c r="AG38" s="58">
        <f t="shared" si="21"/>
        <v>8.1279631441954825E-2</v>
      </c>
      <c r="AH38" s="57">
        <f t="shared" si="31"/>
        <v>-61220.42</v>
      </c>
      <c r="AI38" s="58">
        <f t="shared" si="22"/>
        <v>-0.18715688839775574</v>
      </c>
      <c r="AJ38" s="58">
        <f t="shared" si="23"/>
        <v>-0.28509033423815233</v>
      </c>
      <c r="AK38" s="57">
        <f t="shared" si="31"/>
        <v>-43767.069999999934</v>
      </c>
      <c r="AL38" s="58">
        <f t="shared" si="24"/>
        <v>-0.21976125912500824</v>
      </c>
      <c r="AM38" s="57">
        <f>SUM(D38:AK38)</f>
        <v>-1213216.8137229648</v>
      </c>
      <c r="AN38" s="58">
        <f t="shared" si="25"/>
        <v>-0.17466235561060359</v>
      </c>
      <c r="AO38" s="64"/>
      <c r="AP38" s="64"/>
      <c r="AQ38" s="64"/>
      <c r="AR38" s="64"/>
      <c r="AS38" s="64"/>
      <c r="AT38" s="60"/>
      <c r="AU38" s="61"/>
      <c r="AV38" s="65"/>
      <c r="AW38" s="62"/>
      <c r="AX38" s="61"/>
      <c r="AY38" s="64"/>
      <c r="AZ38" s="64"/>
      <c r="BA38" s="64"/>
      <c r="BB38" s="64"/>
      <c r="BC38" s="60"/>
      <c r="BD38" s="61"/>
      <c r="BE38" s="65"/>
      <c r="BF38" s="62"/>
      <c r="BG38" s="61"/>
      <c r="BH38" s="64"/>
      <c r="BI38" s="64"/>
      <c r="BJ38" s="64"/>
      <c r="BK38" s="64"/>
      <c r="BL38" s="60"/>
      <c r="BM38" s="61"/>
      <c r="BN38" s="65"/>
      <c r="BO38" s="62"/>
      <c r="BP38" s="61"/>
      <c r="BQ38" s="64"/>
      <c r="BR38" s="64"/>
      <c r="BS38" s="64"/>
      <c r="BT38" s="64"/>
    </row>
    <row r="39" spans="1:72" s="74" customFormat="1" x14ac:dyDescent="0.25">
      <c r="A39" s="66" t="s">
        <v>330</v>
      </c>
      <c r="B39" s="67">
        <v>321000001</v>
      </c>
      <c r="C39" s="66" t="s">
        <v>157</v>
      </c>
      <c r="D39" s="68">
        <v>-93916.05</v>
      </c>
      <c r="E39" s="58">
        <f t="shared" si="1"/>
        <v>-0.15748242157650896</v>
      </c>
      <c r="F39" s="58">
        <f t="shared" si="2"/>
        <v>0.1396926297475245</v>
      </c>
      <c r="G39" s="68">
        <v>-107035.43</v>
      </c>
      <c r="H39" s="58">
        <f t="shared" si="4"/>
        <v>-0.14427895240381369</v>
      </c>
      <c r="I39" s="58">
        <f t="shared" si="5"/>
        <v>6.1547470776732727E-2</v>
      </c>
      <c r="J39" s="68">
        <v>-113623.19</v>
      </c>
      <c r="K39" s="58">
        <f t="shared" si="6"/>
        <v>-0.15945657903976995</v>
      </c>
      <c r="L39" s="58">
        <f t="shared" si="7"/>
        <v>0.29776747158744632</v>
      </c>
      <c r="M39" s="68">
        <v>-147456.48000000001</v>
      </c>
      <c r="N39" s="58">
        <f t="shared" si="8"/>
        <v>-0.20364575482170041</v>
      </c>
      <c r="O39" s="58">
        <f t="shared" si="9"/>
        <v>-4.8675649927354847E-2</v>
      </c>
      <c r="P39" s="68">
        <v>-140278.94</v>
      </c>
      <c r="Q39" s="58">
        <f t="shared" si="10"/>
        <v>-0.14683085888809347</v>
      </c>
      <c r="R39" s="58">
        <f t="shared" si="11"/>
        <v>-0.29924384943313653</v>
      </c>
      <c r="S39" s="68">
        <v>-98301.33</v>
      </c>
      <c r="T39" s="58">
        <f t="shared" si="12"/>
        <v>-0.14778578249047516</v>
      </c>
      <c r="U39" s="58">
        <f t="shared" si="13"/>
        <v>4.1222534832438207E-2</v>
      </c>
      <c r="V39" s="68">
        <v>-102353.56</v>
      </c>
      <c r="W39" s="58">
        <f t="shared" si="14"/>
        <v>-0.14409056912654897</v>
      </c>
      <c r="X39" s="58">
        <f t="shared" si="15"/>
        <v>-0.4481617444473841</v>
      </c>
      <c r="Y39" s="68">
        <v>-56482.61</v>
      </c>
      <c r="Z39" s="58">
        <f t="shared" si="16"/>
        <v>-0.10373370833441997</v>
      </c>
      <c r="AA39" s="58">
        <f t="shared" si="17"/>
        <v>0.15910295221839088</v>
      </c>
      <c r="AB39" s="68">
        <v>-65469.16</v>
      </c>
      <c r="AC39" s="58">
        <f t="shared" si="18"/>
        <v>-0.15773149375303475</v>
      </c>
      <c r="AD39" s="58">
        <f t="shared" si="19"/>
        <v>-0.17044697075691828</v>
      </c>
      <c r="AE39" s="68">
        <v>-54310.14</v>
      </c>
      <c r="AF39" s="58">
        <f t="shared" si="20"/>
        <v>-0.15321137088927136</v>
      </c>
      <c r="AG39" s="58">
        <f t="shared" si="21"/>
        <v>-0.21782249134323717</v>
      </c>
      <c r="AH39" s="68">
        <v>-42480.17</v>
      </c>
      <c r="AI39" s="58">
        <f t="shared" si="22"/>
        <v>-0.129866087749932</v>
      </c>
      <c r="AJ39" s="58">
        <f t="shared" si="23"/>
        <v>-0.40513232409380751</v>
      </c>
      <c r="AK39" s="68">
        <v>-25270.079999999958</v>
      </c>
      <c r="AL39" s="58">
        <f t="shared" si="24"/>
        <v>-0.12688499821874499</v>
      </c>
      <c r="AM39" s="68">
        <f>SUM(D39:AK39)</f>
        <v>-1046979.6782635498</v>
      </c>
      <c r="AN39" s="58">
        <f t="shared" si="25"/>
        <v>-0.15072980757724722</v>
      </c>
      <c r="AO39" s="64"/>
      <c r="AP39" s="64"/>
      <c r="AQ39" s="64"/>
      <c r="AR39" s="64"/>
      <c r="AS39" s="64"/>
      <c r="AT39" s="60"/>
      <c r="AU39" s="61"/>
      <c r="AV39" s="65"/>
      <c r="AW39" s="62"/>
      <c r="AX39" s="61"/>
      <c r="AY39" s="64"/>
      <c r="AZ39" s="64"/>
      <c r="BA39" s="64"/>
      <c r="BB39" s="64"/>
      <c r="BC39" s="60"/>
      <c r="BD39" s="61"/>
      <c r="BE39" s="65"/>
      <c r="BF39" s="62"/>
      <c r="BG39" s="61"/>
      <c r="BH39" s="64"/>
      <c r="BI39" s="64"/>
      <c r="BJ39" s="64"/>
      <c r="BK39" s="64"/>
      <c r="BL39" s="60"/>
      <c r="BM39" s="61"/>
      <c r="BN39" s="65"/>
      <c r="BO39" s="62"/>
      <c r="BP39" s="61"/>
      <c r="BQ39" s="64"/>
      <c r="BR39" s="64"/>
      <c r="BS39" s="64"/>
      <c r="BT39" s="64"/>
    </row>
    <row r="40" spans="1:72" s="74" customFormat="1" x14ac:dyDescent="0.25">
      <c r="A40" s="66" t="s">
        <v>331</v>
      </c>
      <c r="B40" s="67">
        <v>321000003</v>
      </c>
      <c r="C40" s="66" t="s">
        <v>332</v>
      </c>
      <c r="D40" s="68">
        <v>-13089.48</v>
      </c>
      <c r="E40" s="58">
        <f t="shared" si="1"/>
        <v>-2.1948996019075358E-2</v>
      </c>
      <c r="F40" s="58">
        <f t="shared" si="2"/>
        <v>7.3394817823168035E-2</v>
      </c>
      <c r="G40" s="68">
        <v>-14050.18</v>
      </c>
      <c r="H40" s="58">
        <f t="shared" si="4"/>
        <v>-1.8939011610314596E-2</v>
      </c>
      <c r="I40" s="58">
        <f t="shared" si="5"/>
        <v>0.32573105824978743</v>
      </c>
      <c r="J40" s="68">
        <v>-18626.759999999998</v>
      </c>
      <c r="K40" s="58">
        <f t="shared" si="6"/>
        <v>-2.6140433376274908E-2</v>
      </c>
      <c r="L40" s="58">
        <f t="shared" si="7"/>
        <v>-4.4248167689924234E-3</v>
      </c>
      <c r="M40" s="68">
        <v>-18544.34</v>
      </c>
      <c r="N40" s="58">
        <f t="shared" si="8"/>
        <v>-2.5610784395302611E-2</v>
      </c>
      <c r="O40" s="58">
        <f t="shared" si="9"/>
        <v>-4.7649040084467797E-2</v>
      </c>
      <c r="P40" s="68">
        <v>-17660.72</v>
      </c>
      <c r="Q40" s="58">
        <f t="shared" si="10"/>
        <v>-1.8485587973377401E-2</v>
      </c>
      <c r="R40" s="58">
        <f t="shared" si="11"/>
        <v>-0.35864562713184966</v>
      </c>
      <c r="S40" s="68">
        <v>-11326.78</v>
      </c>
      <c r="T40" s="58">
        <f t="shared" si="12"/>
        <v>-1.7028630695001424E-2</v>
      </c>
      <c r="U40" s="58">
        <f t="shared" si="13"/>
        <v>-0.1651687416900478</v>
      </c>
      <c r="V40" s="68">
        <v>-9455.9500000000007</v>
      </c>
      <c r="W40" s="58">
        <f t="shared" si="14"/>
        <v>-1.3311830259076391E-2</v>
      </c>
      <c r="X40" s="58">
        <f t="shared" si="15"/>
        <v>1.1787594054537092</v>
      </c>
      <c r="Y40" s="68">
        <v>-20602.240000000002</v>
      </c>
      <c r="Z40" s="58">
        <f t="shared" si="16"/>
        <v>-3.78372521240736E-2</v>
      </c>
      <c r="AA40" s="58">
        <f t="shared" si="17"/>
        <v>-0.83812051505079066</v>
      </c>
      <c r="AB40" s="68">
        <v>-3335.08</v>
      </c>
      <c r="AC40" s="58">
        <f t="shared" si="18"/>
        <v>-8.035037415874453E-3</v>
      </c>
      <c r="AD40" s="58">
        <f t="shared" si="19"/>
        <v>-0.3078576825743311</v>
      </c>
      <c r="AE40" s="68">
        <v>-2308.35</v>
      </c>
      <c r="AF40" s="58">
        <f t="shared" si="20"/>
        <v>-6.5119601605197397E-3</v>
      </c>
      <c r="AG40" s="58">
        <f t="shared" si="21"/>
        <v>3.4686031147789551</v>
      </c>
      <c r="AH40" s="68">
        <v>-10315.1</v>
      </c>
      <c r="AI40" s="58">
        <f t="shared" si="22"/>
        <v>-3.1534282507563495E-2</v>
      </c>
      <c r="AJ40" s="58">
        <f t="shared" si="23"/>
        <v>-0.1423369623173818</v>
      </c>
      <c r="AK40" s="68">
        <v>-8846.8799999999756</v>
      </c>
      <c r="AL40" s="58">
        <f t="shared" si="24"/>
        <v>-4.4421559134021314E-2</v>
      </c>
      <c r="AM40" s="68">
        <f>SUM(D40:AK40)</f>
        <v>-148158.90309879585</v>
      </c>
      <c r="AN40" s="58">
        <f t="shared" si="25"/>
        <v>-2.1329891514203798E-2</v>
      </c>
      <c r="AO40" s="64"/>
      <c r="AP40" s="64"/>
      <c r="AQ40" s="64"/>
      <c r="AR40" s="64"/>
      <c r="AS40" s="64"/>
      <c r="AT40" s="60"/>
      <c r="AU40" s="61"/>
      <c r="AV40" s="65"/>
      <c r="AW40" s="62"/>
      <c r="AX40" s="61"/>
      <c r="AY40" s="64"/>
      <c r="AZ40" s="64"/>
      <c r="BA40" s="64"/>
      <c r="BB40" s="64"/>
      <c r="BC40" s="60"/>
      <c r="BD40" s="61"/>
      <c r="BE40" s="65"/>
      <c r="BF40" s="62"/>
      <c r="BG40" s="61"/>
      <c r="BH40" s="64"/>
      <c r="BI40" s="64"/>
      <c r="BJ40" s="64"/>
      <c r="BK40" s="64"/>
      <c r="BL40" s="60"/>
      <c r="BM40" s="61"/>
      <c r="BN40" s="65"/>
      <c r="BO40" s="62"/>
      <c r="BP40" s="61"/>
      <c r="BQ40" s="64"/>
      <c r="BR40" s="64"/>
      <c r="BS40" s="64"/>
      <c r="BT40" s="64"/>
    </row>
    <row r="41" spans="1:72" s="74" customFormat="1" x14ac:dyDescent="0.25">
      <c r="A41" s="66" t="s">
        <v>333</v>
      </c>
      <c r="B41" s="67">
        <v>321000006</v>
      </c>
      <c r="C41" s="66" t="s">
        <v>334</v>
      </c>
      <c r="D41" s="68">
        <v>0</v>
      </c>
      <c r="E41" s="58">
        <f t="shared" si="1"/>
        <v>0</v>
      </c>
      <c r="F41" s="58">
        <f t="shared" si="2"/>
        <v>0</v>
      </c>
      <c r="G41" s="68">
        <v>0</v>
      </c>
      <c r="H41" s="58">
        <f t="shared" si="4"/>
        <v>0</v>
      </c>
      <c r="I41" s="58">
        <f t="shared" si="5"/>
        <v>0</v>
      </c>
      <c r="J41" s="68">
        <v>0</v>
      </c>
      <c r="K41" s="58">
        <f t="shared" si="6"/>
        <v>0</v>
      </c>
      <c r="L41" s="58">
        <f t="shared" si="7"/>
        <v>0</v>
      </c>
      <c r="M41" s="68">
        <v>0</v>
      </c>
      <c r="N41" s="58">
        <f t="shared" si="8"/>
        <v>0</v>
      </c>
      <c r="O41" s="58">
        <f t="shared" si="9"/>
        <v>0</v>
      </c>
      <c r="P41" s="68">
        <v>0</v>
      </c>
      <c r="Q41" s="58">
        <f t="shared" si="10"/>
        <v>0</v>
      </c>
      <c r="R41" s="58">
        <f t="shared" si="11"/>
        <v>0</v>
      </c>
      <c r="S41" s="68">
        <v>0</v>
      </c>
      <c r="T41" s="58">
        <f t="shared" si="12"/>
        <v>0</v>
      </c>
      <c r="U41" s="58">
        <f t="shared" si="13"/>
        <v>0</v>
      </c>
      <c r="V41" s="68">
        <v>0</v>
      </c>
      <c r="W41" s="58">
        <f t="shared" si="14"/>
        <v>0</v>
      </c>
      <c r="X41" s="58">
        <f t="shared" si="15"/>
        <v>0</v>
      </c>
      <c r="Y41" s="68">
        <v>0</v>
      </c>
      <c r="Z41" s="58">
        <f t="shared" si="16"/>
        <v>0</v>
      </c>
      <c r="AA41" s="58">
        <f t="shared" si="17"/>
        <v>0</v>
      </c>
      <c r="AB41" s="68">
        <v>0</v>
      </c>
      <c r="AC41" s="58">
        <f t="shared" si="18"/>
        <v>0</v>
      </c>
      <c r="AD41" s="58">
        <f t="shared" si="19"/>
        <v>0</v>
      </c>
      <c r="AE41" s="68">
        <v>0</v>
      </c>
      <c r="AF41" s="58">
        <f t="shared" si="20"/>
        <v>0</v>
      </c>
      <c r="AG41" s="58">
        <f t="shared" si="21"/>
        <v>0</v>
      </c>
      <c r="AH41" s="68">
        <v>-8425.15</v>
      </c>
      <c r="AI41" s="58">
        <f t="shared" si="22"/>
        <v>-2.5756518140260254E-2</v>
      </c>
      <c r="AJ41" s="58">
        <f t="shared" si="23"/>
        <v>0.14539325709334538</v>
      </c>
      <c r="AK41" s="68">
        <v>-9650.1099999999988</v>
      </c>
      <c r="AL41" s="58">
        <f t="shared" si="24"/>
        <v>-4.8454701772241919E-2</v>
      </c>
      <c r="AM41" s="68">
        <f>SUM(D41:AK41)</f>
        <v>-18075.140363261045</v>
      </c>
      <c r="AN41" s="58">
        <f t="shared" si="25"/>
        <v>-2.6022113756827467E-3</v>
      </c>
      <c r="AO41" s="73"/>
      <c r="AP41" s="73"/>
      <c r="AQ41" s="73"/>
      <c r="AR41" s="73"/>
      <c r="AS41" s="73"/>
      <c r="AT41" s="69"/>
      <c r="AU41" s="70"/>
      <c r="AV41" s="71"/>
      <c r="AW41" s="72"/>
      <c r="AX41" s="70"/>
      <c r="AY41" s="73"/>
      <c r="AZ41" s="73"/>
      <c r="BA41" s="73"/>
      <c r="BB41" s="73"/>
      <c r="BC41" s="69"/>
      <c r="BD41" s="70"/>
      <c r="BE41" s="71"/>
      <c r="BF41" s="72"/>
      <c r="BG41" s="70"/>
      <c r="BH41" s="73"/>
      <c r="BI41" s="73"/>
      <c r="BJ41" s="73"/>
      <c r="BK41" s="73"/>
      <c r="BL41" s="69"/>
      <c r="BM41" s="70"/>
      <c r="BN41" s="71"/>
      <c r="BO41" s="72"/>
      <c r="BP41" s="70"/>
      <c r="BQ41" s="73"/>
      <c r="BR41" s="73"/>
      <c r="BS41" s="73"/>
      <c r="BT41" s="73"/>
    </row>
    <row r="42" spans="1:72" s="63" customFormat="1" x14ac:dyDescent="0.25">
      <c r="A42" s="55" t="s">
        <v>335</v>
      </c>
      <c r="B42" s="56">
        <v>322</v>
      </c>
      <c r="C42" s="55" t="s">
        <v>160</v>
      </c>
      <c r="D42" s="57">
        <f>D43</f>
        <v>-3833.22</v>
      </c>
      <c r="E42" s="58">
        <f t="shared" si="1"/>
        <v>-6.427706105990463E-3</v>
      </c>
      <c r="F42" s="58">
        <f t="shared" si="2"/>
        <v>0.25798154032380083</v>
      </c>
      <c r="G42" s="57">
        <f t="shared" ref="G42:AK44" si="32">G43</f>
        <v>-4822.12</v>
      </c>
      <c r="H42" s="58">
        <f t="shared" si="4"/>
        <v>-6.500001186200477E-3</v>
      </c>
      <c r="I42" s="58">
        <f t="shared" si="5"/>
        <v>-3.9967897937006835E-2</v>
      </c>
      <c r="J42" s="57">
        <f t="shared" si="32"/>
        <v>-4629.3900000000003</v>
      </c>
      <c r="K42" s="58">
        <f t="shared" si="6"/>
        <v>-6.4967960540530563E-3</v>
      </c>
      <c r="L42" s="58">
        <f t="shared" si="7"/>
        <v>-3.1760123904013393E-2</v>
      </c>
      <c r="M42" s="57">
        <f t="shared" si="32"/>
        <v>-4482.3599999999997</v>
      </c>
      <c r="N42" s="58">
        <f t="shared" si="8"/>
        <v>-6.1903931626646515E-3</v>
      </c>
      <c r="O42" s="58">
        <f t="shared" si="9"/>
        <v>0.37165689502851196</v>
      </c>
      <c r="P42" s="57">
        <f t="shared" si="32"/>
        <v>-6148.26</v>
      </c>
      <c r="Q42" s="58">
        <f t="shared" si="10"/>
        <v>-6.4354228544021615E-3</v>
      </c>
      <c r="R42" s="58">
        <f t="shared" si="11"/>
        <v>-0.30069483073259751</v>
      </c>
      <c r="S42" s="57">
        <f t="shared" si="32"/>
        <v>-4299.51</v>
      </c>
      <c r="T42" s="58">
        <f t="shared" si="12"/>
        <v>-6.4638642190865863E-3</v>
      </c>
      <c r="U42" s="58">
        <f t="shared" si="13"/>
        <v>4.2672304518421633E-2</v>
      </c>
      <c r="V42" s="57">
        <f t="shared" si="32"/>
        <v>-4482.9799999999996</v>
      </c>
      <c r="W42" s="58">
        <f t="shared" si="14"/>
        <v>-6.3110178051739131E-3</v>
      </c>
      <c r="X42" s="58">
        <f t="shared" si="15"/>
        <v>-0.21282272060102869</v>
      </c>
      <c r="Y42" s="57">
        <f t="shared" si="32"/>
        <v>-3528.9</v>
      </c>
      <c r="Z42" s="58">
        <f t="shared" si="16"/>
        <v>-6.481036965914547E-3</v>
      </c>
      <c r="AA42" s="58">
        <f t="shared" si="17"/>
        <v>-0.24076907818300319</v>
      </c>
      <c r="AB42" s="57">
        <f t="shared" si="32"/>
        <v>-2679.25</v>
      </c>
      <c r="AC42" s="58">
        <f t="shared" si="18"/>
        <v>-6.4549797895347722E-3</v>
      </c>
      <c r="AD42" s="58">
        <f t="shared" si="19"/>
        <v>-0.14776150041989355</v>
      </c>
      <c r="AE42" s="57">
        <f t="shared" si="32"/>
        <v>-2283.36</v>
      </c>
      <c r="AF42" s="58">
        <f t="shared" si="20"/>
        <v>-6.441462235850003E-3</v>
      </c>
      <c r="AG42" s="58">
        <f t="shared" si="21"/>
        <v>-0.27467854390021729</v>
      </c>
      <c r="AH42" s="57">
        <f t="shared" si="32"/>
        <v>-1656.17</v>
      </c>
      <c r="AI42" s="58">
        <f t="shared" si="22"/>
        <v>-5.0630757491979166E-3</v>
      </c>
      <c r="AJ42" s="58">
        <f t="shared" si="23"/>
        <v>-0.44672950240615095</v>
      </c>
      <c r="AK42" s="57">
        <f t="shared" si="32"/>
        <v>-916.31000000000495</v>
      </c>
      <c r="AL42" s="58">
        <f t="shared" si="24"/>
        <v>-4.600934888920773E-3</v>
      </c>
      <c r="AM42" s="57">
        <f>SUM(D42:AK42)</f>
        <v>-43762.922139214352</v>
      </c>
      <c r="AN42" s="58">
        <f t="shared" si="25"/>
        <v>-6.3003866932757838E-3</v>
      </c>
      <c r="AO42" s="64"/>
      <c r="AP42" s="64"/>
      <c r="AQ42" s="64"/>
      <c r="AR42" s="64"/>
      <c r="AS42" s="64"/>
      <c r="AT42" s="60"/>
      <c r="AU42" s="61"/>
      <c r="AV42" s="65"/>
      <c r="AW42" s="62"/>
      <c r="AX42" s="61"/>
      <c r="AY42" s="64"/>
      <c r="AZ42" s="64"/>
      <c r="BA42" s="64"/>
      <c r="BB42" s="64"/>
      <c r="BC42" s="60"/>
      <c r="BD42" s="61"/>
      <c r="BE42" s="65"/>
      <c r="BF42" s="62"/>
      <c r="BG42" s="61"/>
      <c r="BH42" s="64"/>
      <c r="BI42" s="64"/>
      <c r="BJ42" s="64"/>
      <c r="BK42" s="64"/>
      <c r="BL42" s="60"/>
      <c r="BM42" s="61"/>
      <c r="BN42" s="65"/>
      <c r="BO42" s="62"/>
      <c r="BP42" s="61"/>
      <c r="BQ42" s="64"/>
      <c r="BR42" s="64"/>
      <c r="BS42" s="64"/>
      <c r="BT42" s="64"/>
    </row>
    <row r="43" spans="1:72" s="63" customFormat="1" x14ac:dyDescent="0.25">
      <c r="A43" s="55" t="s">
        <v>336</v>
      </c>
      <c r="B43" s="56">
        <v>3220</v>
      </c>
      <c r="C43" s="55" t="s">
        <v>160</v>
      </c>
      <c r="D43" s="57">
        <f>D44</f>
        <v>-3833.22</v>
      </c>
      <c r="E43" s="58">
        <f t="shared" si="1"/>
        <v>-6.427706105990463E-3</v>
      </c>
      <c r="F43" s="58">
        <f t="shared" si="2"/>
        <v>0.25798154032380083</v>
      </c>
      <c r="G43" s="57">
        <f t="shared" si="32"/>
        <v>-4822.12</v>
      </c>
      <c r="H43" s="58">
        <f t="shared" si="4"/>
        <v>-6.500001186200477E-3</v>
      </c>
      <c r="I43" s="58">
        <f t="shared" si="5"/>
        <v>-3.9967897937006835E-2</v>
      </c>
      <c r="J43" s="57">
        <f t="shared" si="32"/>
        <v>-4629.3900000000003</v>
      </c>
      <c r="K43" s="58">
        <f t="shared" si="6"/>
        <v>-6.4967960540530563E-3</v>
      </c>
      <c r="L43" s="58">
        <f t="shared" si="7"/>
        <v>-3.1760123904013393E-2</v>
      </c>
      <c r="M43" s="57">
        <f t="shared" si="32"/>
        <v>-4482.3599999999997</v>
      </c>
      <c r="N43" s="58">
        <f t="shared" si="8"/>
        <v>-6.1903931626646515E-3</v>
      </c>
      <c r="O43" s="58">
        <f t="shared" si="9"/>
        <v>0.37165689502851196</v>
      </c>
      <c r="P43" s="57">
        <f t="shared" si="32"/>
        <v>-6148.26</v>
      </c>
      <c r="Q43" s="58">
        <f t="shared" si="10"/>
        <v>-6.4354228544021615E-3</v>
      </c>
      <c r="R43" s="58">
        <f t="shared" si="11"/>
        <v>-0.30069483073259751</v>
      </c>
      <c r="S43" s="57">
        <f t="shared" si="32"/>
        <v>-4299.51</v>
      </c>
      <c r="T43" s="58">
        <f t="shared" si="12"/>
        <v>-6.4638642190865863E-3</v>
      </c>
      <c r="U43" s="58">
        <f t="shared" si="13"/>
        <v>4.2672304518421633E-2</v>
      </c>
      <c r="V43" s="57">
        <f t="shared" si="32"/>
        <v>-4482.9799999999996</v>
      </c>
      <c r="W43" s="58">
        <f t="shared" si="14"/>
        <v>-6.3110178051739131E-3</v>
      </c>
      <c r="X43" s="58">
        <f t="shared" si="15"/>
        <v>-0.21282272060102869</v>
      </c>
      <c r="Y43" s="57">
        <f t="shared" si="32"/>
        <v>-3528.9</v>
      </c>
      <c r="Z43" s="58">
        <f t="shared" si="16"/>
        <v>-6.481036965914547E-3</v>
      </c>
      <c r="AA43" s="58">
        <f t="shared" si="17"/>
        <v>-0.24076907818300319</v>
      </c>
      <c r="AB43" s="57">
        <f t="shared" si="32"/>
        <v>-2679.25</v>
      </c>
      <c r="AC43" s="58">
        <f t="shared" si="18"/>
        <v>-6.4549797895347722E-3</v>
      </c>
      <c r="AD43" s="58">
        <f t="shared" si="19"/>
        <v>-0.14776150041989355</v>
      </c>
      <c r="AE43" s="57">
        <f t="shared" si="32"/>
        <v>-2283.36</v>
      </c>
      <c r="AF43" s="58">
        <f t="shared" si="20"/>
        <v>-6.441462235850003E-3</v>
      </c>
      <c r="AG43" s="58">
        <f t="shared" si="21"/>
        <v>-0.27467854390021729</v>
      </c>
      <c r="AH43" s="57">
        <f t="shared" si="32"/>
        <v>-1656.17</v>
      </c>
      <c r="AI43" s="58">
        <f t="shared" si="22"/>
        <v>-5.0630757491979166E-3</v>
      </c>
      <c r="AJ43" s="58">
        <f t="shared" si="23"/>
        <v>-0.44672950240615095</v>
      </c>
      <c r="AK43" s="57">
        <f t="shared" si="32"/>
        <v>-916.31000000000495</v>
      </c>
      <c r="AL43" s="58">
        <f t="shared" si="24"/>
        <v>-4.600934888920773E-3</v>
      </c>
      <c r="AM43" s="57">
        <f>SUM(D43:AK43)</f>
        <v>-43762.922139214352</v>
      </c>
      <c r="AN43" s="58">
        <f t="shared" si="25"/>
        <v>-6.3003866932757838E-3</v>
      </c>
      <c r="AO43" s="64"/>
      <c r="AP43" s="64"/>
      <c r="AQ43" s="64"/>
      <c r="AR43" s="64"/>
      <c r="AS43" s="64"/>
      <c r="AT43" s="60"/>
      <c r="AU43" s="61"/>
      <c r="AV43" s="65"/>
      <c r="AW43" s="62"/>
      <c r="AX43" s="61"/>
      <c r="AY43" s="64"/>
      <c r="AZ43" s="64"/>
      <c r="BA43" s="64"/>
      <c r="BB43" s="64"/>
      <c r="BC43" s="60"/>
      <c r="BD43" s="61"/>
      <c r="BE43" s="65"/>
      <c r="BF43" s="62"/>
      <c r="BG43" s="61"/>
      <c r="BH43" s="64"/>
      <c r="BI43" s="64"/>
      <c r="BJ43" s="64"/>
      <c r="BK43" s="64"/>
      <c r="BL43" s="60"/>
      <c r="BM43" s="61"/>
      <c r="BN43" s="65"/>
      <c r="BO43" s="62"/>
      <c r="BP43" s="61"/>
      <c r="BQ43" s="64"/>
      <c r="BR43" s="64"/>
      <c r="BS43" s="64"/>
      <c r="BT43" s="64"/>
    </row>
    <row r="44" spans="1:72" s="63" customFormat="1" x14ac:dyDescent="0.25">
      <c r="A44" s="55" t="s">
        <v>337</v>
      </c>
      <c r="B44" s="56">
        <v>322000</v>
      </c>
      <c r="C44" s="55" t="s">
        <v>160</v>
      </c>
      <c r="D44" s="57">
        <f>D45</f>
        <v>-3833.22</v>
      </c>
      <c r="E44" s="58">
        <f t="shared" si="1"/>
        <v>-6.427706105990463E-3</v>
      </c>
      <c r="F44" s="58">
        <f t="shared" si="2"/>
        <v>0.25798154032380083</v>
      </c>
      <c r="G44" s="57">
        <f t="shared" si="32"/>
        <v>-4822.12</v>
      </c>
      <c r="H44" s="58">
        <f t="shared" si="4"/>
        <v>-6.500001186200477E-3</v>
      </c>
      <c r="I44" s="58">
        <f t="shared" si="5"/>
        <v>-3.9967897937006835E-2</v>
      </c>
      <c r="J44" s="57">
        <f t="shared" si="32"/>
        <v>-4629.3900000000003</v>
      </c>
      <c r="K44" s="58">
        <f t="shared" si="6"/>
        <v>-6.4967960540530563E-3</v>
      </c>
      <c r="L44" s="58">
        <f t="shared" si="7"/>
        <v>-3.1760123904013393E-2</v>
      </c>
      <c r="M44" s="57">
        <f t="shared" si="32"/>
        <v>-4482.3599999999997</v>
      </c>
      <c r="N44" s="58">
        <f t="shared" si="8"/>
        <v>-6.1903931626646515E-3</v>
      </c>
      <c r="O44" s="58">
        <f t="shared" si="9"/>
        <v>0.37165689502851196</v>
      </c>
      <c r="P44" s="57">
        <f t="shared" si="32"/>
        <v>-6148.26</v>
      </c>
      <c r="Q44" s="58">
        <f t="shared" si="10"/>
        <v>-6.4354228544021615E-3</v>
      </c>
      <c r="R44" s="58">
        <f t="shared" si="11"/>
        <v>-0.30069483073259751</v>
      </c>
      <c r="S44" s="57">
        <f t="shared" si="32"/>
        <v>-4299.51</v>
      </c>
      <c r="T44" s="58">
        <f t="shared" si="12"/>
        <v>-6.4638642190865863E-3</v>
      </c>
      <c r="U44" s="58">
        <f t="shared" si="13"/>
        <v>4.2672304518421633E-2</v>
      </c>
      <c r="V44" s="57">
        <f t="shared" si="32"/>
        <v>-4482.9799999999996</v>
      </c>
      <c r="W44" s="58">
        <f t="shared" si="14"/>
        <v>-6.3110178051739131E-3</v>
      </c>
      <c r="X44" s="58">
        <f t="shared" si="15"/>
        <v>-0.21282272060102869</v>
      </c>
      <c r="Y44" s="57">
        <f t="shared" si="32"/>
        <v>-3528.9</v>
      </c>
      <c r="Z44" s="58">
        <f t="shared" si="16"/>
        <v>-6.481036965914547E-3</v>
      </c>
      <c r="AA44" s="58">
        <f t="shared" si="17"/>
        <v>-0.24076907818300319</v>
      </c>
      <c r="AB44" s="57">
        <f t="shared" si="32"/>
        <v>-2679.25</v>
      </c>
      <c r="AC44" s="58">
        <f t="shared" si="18"/>
        <v>-6.4549797895347722E-3</v>
      </c>
      <c r="AD44" s="58">
        <f t="shared" si="19"/>
        <v>-0.14776150041989355</v>
      </c>
      <c r="AE44" s="57">
        <f t="shared" si="32"/>
        <v>-2283.36</v>
      </c>
      <c r="AF44" s="58">
        <f t="shared" si="20"/>
        <v>-6.441462235850003E-3</v>
      </c>
      <c r="AG44" s="58">
        <f t="shared" si="21"/>
        <v>-0.27467854390021729</v>
      </c>
      <c r="AH44" s="57">
        <f t="shared" si="32"/>
        <v>-1656.17</v>
      </c>
      <c r="AI44" s="58">
        <f t="shared" si="22"/>
        <v>-5.0630757491979166E-3</v>
      </c>
      <c r="AJ44" s="58">
        <f t="shared" si="23"/>
        <v>-0.44672950240615095</v>
      </c>
      <c r="AK44" s="57">
        <f t="shared" si="32"/>
        <v>-916.31000000000495</v>
      </c>
      <c r="AL44" s="58">
        <f t="shared" si="24"/>
        <v>-4.600934888920773E-3</v>
      </c>
      <c r="AM44" s="57">
        <f>SUM(D44:AK44)</f>
        <v>-43762.922139214352</v>
      </c>
      <c r="AN44" s="58">
        <f t="shared" si="25"/>
        <v>-6.3003866932757838E-3</v>
      </c>
      <c r="AO44" s="64"/>
      <c r="AP44" s="64"/>
      <c r="AQ44" s="64"/>
      <c r="AR44" s="64"/>
      <c r="AS44" s="64"/>
      <c r="AT44" s="60"/>
      <c r="AU44" s="61"/>
      <c r="AV44" s="65"/>
      <c r="AW44" s="62"/>
      <c r="AX44" s="61"/>
      <c r="AY44" s="64"/>
      <c r="AZ44" s="64"/>
      <c r="BA44" s="64"/>
      <c r="BB44" s="64"/>
      <c r="BC44" s="60"/>
      <c r="BD44" s="61"/>
      <c r="BE44" s="65"/>
      <c r="BF44" s="62"/>
      <c r="BG44" s="61"/>
      <c r="BH44" s="64"/>
      <c r="BI44" s="64"/>
      <c r="BJ44" s="64"/>
      <c r="BK44" s="64"/>
      <c r="BL44" s="60"/>
      <c r="BM44" s="61"/>
      <c r="BN44" s="65"/>
      <c r="BO44" s="62"/>
      <c r="BP44" s="61"/>
      <c r="BQ44" s="64"/>
      <c r="BR44" s="64"/>
      <c r="BS44" s="64"/>
      <c r="BT44" s="64"/>
    </row>
    <row r="45" spans="1:72" s="74" customFormat="1" x14ac:dyDescent="0.25">
      <c r="A45" s="66" t="s">
        <v>338</v>
      </c>
      <c r="B45" s="67">
        <v>322000001</v>
      </c>
      <c r="C45" s="66" t="s">
        <v>160</v>
      </c>
      <c r="D45" s="68">
        <v>-3833.22</v>
      </c>
      <c r="E45" s="58">
        <f t="shared" si="1"/>
        <v>-6.427706105990463E-3</v>
      </c>
      <c r="F45" s="58">
        <f t="shared" si="2"/>
        <v>0.25798154032380083</v>
      </c>
      <c r="G45" s="68">
        <v>-4822.12</v>
      </c>
      <c r="H45" s="58">
        <f t="shared" si="4"/>
        <v>-6.500001186200477E-3</v>
      </c>
      <c r="I45" s="58">
        <f t="shared" si="5"/>
        <v>-3.9967897937006835E-2</v>
      </c>
      <c r="J45" s="68">
        <v>-4629.3900000000003</v>
      </c>
      <c r="K45" s="58">
        <f t="shared" si="6"/>
        <v>-6.4967960540530563E-3</v>
      </c>
      <c r="L45" s="58">
        <f t="shared" si="7"/>
        <v>-3.1760123904013393E-2</v>
      </c>
      <c r="M45" s="68">
        <v>-4482.3599999999997</v>
      </c>
      <c r="N45" s="58">
        <f t="shared" si="8"/>
        <v>-6.1903931626646515E-3</v>
      </c>
      <c r="O45" s="58">
        <f t="shared" si="9"/>
        <v>0.37165689502851196</v>
      </c>
      <c r="P45" s="68">
        <v>-6148.26</v>
      </c>
      <c r="Q45" s="58">
        <f t="shared" si="10"/>
        <v>-6.4354228544021615E-3</v>
      </c>
      <c r="R45" s="58">
        <f t="shared" si="11"/>
        <v>-0.30069483073259751</v>
      </c>
      <c r="S45" s="68">
        <v>-4299.51</v>
      </c>
      <c r="T45" s="58">
        <f t="shared" si="12"/>
        <v>-6.4638642190865863E-3</v>
      </c>
      <c r="U45" s="58">
        <f t="shared" si="13"/>
        <v>4.2672304518421633E-2</v>
      </c>
      <c r="V45" s="68">
        <v>-4482.9799999999996</v>
      </c>
      <c r="W45" s="58">
        <f t="shared" si="14"/>
        <v>-6.3110178051739131E-3</v>
      </c>
      <c r="X45" s="58">
        <f t="shared" si="15"/>
        <v>-0.21282272060102869</v>
      </c>
      <c r="Y45" s="68">
        <v>-3528.9</v>
      </c>
      <c r="Z45" s="58">
        <f t="shared" si="16"/>
        <v>-6.481036965914547E-3</v>
      </c>
      <c r="AA45" s="58">
        <f t="shared" si="17"/>
        <v>-0.24076907818300319</v>
      </c>
      <c r="AB45" s="68">
        <v>-2679.25</v>
      </c>
      <c r="AC45" s="58">
        <f t="shared" si="18"/>
        <v>-6.4549797895347722E-3</v>
      </c>
      <c r="AD45" s="58">
        <f t="shared" si="19"/>
        <v>-0.14776150041989355</v>
      </c>
      <c r="AE45" s="68">
        <v>-2283.36</v>
      </c>
      <c r="AF45" s="58">
        <f t="shared" si="20"/>
        <v>-6.441462235850003E-3</v>
      </c>
      <c r="AG45" s="58">
        <f t="shared" si="21"/>
        <v>-0.27467854390021729</v>
      </c>
      <c r="AH45" s="68">
        <v>-1656.17</v>
      </c>
      <c r="AI45" s="58">
        <f t="shared" si="22"/>
        <v>-5.0630757491979166E-3</v>
      </c>
      <c r="AJ45" s="58">
        <f t="shared" si="23"/>
        <v>-0.44672950240615095</v>
      </c>
      <c r="AK45" s="68">
        <v>-916.31000000000495</v>
      </c>
      <c r="AL45" s="58">
        <f t="shared" si="24"/>
        <v>-4.600934888920773E-3</v>
      </c>
      <c r="AM45" s="68">
        <f>SUM(D45:AK45)</f>
        <v>-43762.922139214352</v>
      </c>
      <c r="AN45" s="58">
        <f t="shared" si="25"/>
        <v>-6.3003866932757838E-3</v>
      </c>
      <c r="AO45" s="73"/>
      <c r="AP45" s="73"/>
      <c r="AQ45" s="73"/>
      <c r="AR45" s="73"/>
      <c r="AS45" s="73"/>
      <c r="AT45" s="69"/>
      <c r="AU45" s="70"/>
      <c r="AV45" s="71"/>
      <c r="AW45" s="72"/>
      <c r="AX45" s="70"/>
      <c r="AY45" s="73"/>
      <c r="AZ45" s="73"/>
      <c r="BA45" s="73"/>
      <c r="BB45" s="73"/>
      <c r="BC45" s="69"/>
      <c r="BD45" s="70"/>
      <c r="BE45" s="71"/>
      <c r="BF45" s="72"/>
      <c r="BG45" s="70"/>
      <c r="BH45" s="73"/>
      <c r="BI45" s="73"/>
      <c r="BJ45" s="73"/>
      <c r="BK45" s="73"/>
      <c r="BL45" s="69"/>
      <c r="BM45" s="70"/>
      <c r="BN45" s="71"/>
      <c r="BO45" s="72"/>
      <c r="BP45" s="70"/>
      <c r="BQ45" s="73"/>
      <c r="BR45" s="73"/>
      <c r="BS45" s="73"/>
      <c r="BT45" s="73"/>
    </row>
    <row r="46" spans="1:72" s="63" customFormat="1" x14ac:dyDescent="0.25">
      <c r="A46" s="55" t="s">
        <v>339</v>
      </c>
      <c r="B46" s="56">
        <v>323</v>
      </c>
      <c r="C46" s="55" t="s">
        <v>163</v>
      </c>
      <c r="D46" s="57">
        <f>D47</f>
        <v>-17691.78</v>
      </c>
      <c r="E46" s="58">
        <f t="shared" si="1"/>
        <v>-2.9666328134529182E-2</v>
      </c>
      <c r="F46" s="58">
        <f t="shared" si="2"/>
        <v>0.25798139022755207</v>
      </c>
      <c r="G46" s="57">
        <f t="shared" ref="G46:AK48" si="33">G47</f>
        <v>-22255.93</v>
      </c>
      <c r="H46" s="58">
        <f t="shared" si="4"/>
        <v>-2.9999994068997615E-2</v>
      </c>
      <c r="I46" s="58">
        <f t="shared" si="5"/>
        <v>-3.9967325562221045E-2</v>
      </c>
      <c r="J46" s="57">
        <f t="shared" si="33"/>
        <v>-21366.42</v>
      </c>
      <c r="K46" s="58">
        <f t="shared" si="6"/>
        <v>-2.9985219034309119E-2</v>
      </c>
      <c r="L46" s="58">
        <f t="shared" si="7"/>
        <v>-3.1761521115844293E-2</v>
      </c>
      <c r="M46" s="57">
        <f t="shared" si="33"/>
        <v>-20687.79</v>
      </c>
      <c r="N46" s="58">
        <f t="shared" si="8"/>
        <v>-2.857101030855223E-2</v>
      </c>
      <c r="O46" s="58">
        <f t="shared" si="9"/>
        <v>0.37165835500070332</v>
      </c>
      <c r="P46" s="57">
        <f t="shared" si="33"/>
        <v>-28376.58</v>
      </c>
      <c r="Q46" s="58">
        <f t="shared" si="10"/>
        <v>-2.9701946804749847E-2</v>
      </c>
      <c r="R46" s="58">
        <f t="shared" si="11"/>
        <v>-0.30069515071936082</v>
      </c>
      <c r="S46" s="57">
        <f t="shared" si="33"/>
        <v>-19843.88</v>
      </c>
      <c r="T46" s="58">
        <f t="shared" si="12"/>
        <v>-2.9833200969377426E-2</v>
      </c>
      <c r="U46" s="58">
        <f t="shared" si="13"/>
        <v>4.2673610201230616E-2</v>
      </c>
      <c r="V46" s="57">
        <f t="shared" si="33"/>
        <v>-20690.689999999999</v>
      </c>
      <c r="W46" s="58">
        <f t="shared" si="14"/>
        <v>-2.912779289475613E-2</v>
      </c>
      <c r="X46" s="58">
        <f t="shared" si="15"/>
        <v>-0.21282228867186159</v>
      </c>
      <c r="Y46" s="57">
        <f t="shared" si="33"/>
        <v>-16287.25</v>
      </c>
      <c r="Z46" s="58">
        <f t="shared" si="16"/>
        <v>-2.9912513622684607E-2</v>
      </c>
      <c r="AA46" s="58">
        <f t="shared" si="17"/>
        <v>-0.24077054137438791</v>
      </c>
      <c r="AB46" s="57">
        <f t="shared" si="33"/>
        <v>-12365.76</v>
      </c>
      <c r="AC46" s="58">
        <f t="shared" si="18"/>
        <v>-2.979219217401792E-2</v>
      </c>
      <c r="AD46" s="58">
        <f t="shared" si="19"/>
        <v>-0.14775962011231014</v>
      </c>
      <c r="AE46" s="57">
        <f t="shared" si="33"/>
        <v>-10538.6</v>
      </c>
      <c r="AF46" s="58">
        <f t="shared" si="20"/>
        <v>-2.9729869104621626E-2</v>
      </c>
      <c r="AG46" s="58">
        <f t="shared" si="21"/>
        <v>-0.27465887309509807</v>
      </c>
      <c r="AH46" s="57">
        <f t="shared" si="33"/>
        <v>-7644.08</v>
      </c>
      <c r="AI46" s="58">
        <f t="shared" si="22"/>
        <v>-2.3368709777938746E-2</v>
      </c>
      <c r="AJ46" s="58">
        <f t="shared" si="23"/>
        <v>-0.44672740212033624</v>
      </c>
      <c r="AK46" s="57">
        <f t="shared" si="33"/>
        <v>-4229.2599999999802</v>
      </c>
      <c r="AL46" s="58">
        <f t="shared" si="24"/>
        <v>-2.1235771614755782E-2</v>
      </c>
      <c r="AM46" s="57">
        <f>SUM(D46:AK46)</f>
        <v>-201979.36253814423</v>
      </c>
      <c r="AN46" s="58">
        <f t="shared" si="25"/>
        <v>-2.9078224804174251E-2</v>
      </c>
      <c r="AO46" s="64"/>
      <c r="AP46" s="64"/>
      <c r="AQ46" s="64"/>
      <c r="AR46" s="64"/>
      <c r="AS46" s="64"/>
      <c r="AT46" s="60"/>
      <c r="AU46" s="61"/>
      <c r="AV46" s="65"/>
      <c r="AW46" s="62"/>
      <c r="AX46" s="61"/>
      <c r="AY46" s="64"/>
      <c r="AZ46" s="64"/>
      <c r="BA46" s="64"/>
      <c r="BB46" s="64"/>
      <c r="BC46" s="60"/>
      <c r="BD46" s="61"/>
      <c r="BE46" s="65"/>
      <c r="BF46" s="62"/>
      <c r="BG46" s="61"/>
      <c r="BH46" s="64"/>
      <c r="BI46" s="64"/>
      <c r="BJ46" s="64"/>
      <c r="BK46" s="64"/>
      <c r="BL46" s="60"/>
      <c r="BM46" s="61"/>
      <c r="BN46" s="65"/>
      <c r="BO46" s="62"/>
      <c r="BP46" s="61"/>
      <c r="BQ46" s="64"/>
      <c r="BR46" s="64"/>
      <c r="BS46" s="64"/>
      <c r="BT46" s="64"/>
    </row>
    <row r="47" spans="1:72" s="63" customFormat="1" x14ac:dyDescent="0.25">
      <c r="A47" s="55" t="s">
        <v>340</v>
      </c>
      <c r="B47" s="56">
        <v>3230</v>
      </c>
      <c r="C47" s="55" t="s">
        <v>163</v>
      </c>
      <c r="D47" s="57">
        <f>D48</f>
        <v>-17691.78</v>
      </c>
      <c r="E47" s="58">
        <f t="shared" si="1"/>
        <v>-2.9666328134529182E-2</v>
      </c>
      <c r="F47" s="58">
        <f t="shared" si="2"/>
        <v>0.25798139022755207</v>
      </c>
      <c r="G47" s="57">
        <f t="shared" si="33"/>
        <v>-22255.93</v>
      </c>
      <c r="H47" s="58">
        <f t="shared" si="4"/>
        <v>-2.9999994068997615E-2</v>
      </c>
      <c r="I47" s="58">
        <f t="shared" si="5"/>
        <v>-3.9967325562221045E-2</v>
      </c>
      <c r="J47" s="57">
        <f t="shared" si="33"/>
        <v>-21366.42</v>
      </c>
      <c r="K47" s="58">
        <f t="shared" si="6"/>
        <v>-2.9985219034309119E-2</v>
      </c>
      <c r="L47" s="58">
        <f t="shared" si="7"/>
        <v>-3.1761521115844293E-2</v>
      </c>
      <c r="M47" s="57">
        <f t="shared" si="33"/>
        <v>-20687.79</v>
      </c>
      <c r="N47" s="58">
        <f t="shared" si="8"/>
        <v>-2.857101030855223E-2</v>
      </c>
      <c r="O47" s="58">
        <f t="shared" si="9"/>
        <v>0.37165835500070332</v>
      </c>
      <c r="P47" s="57">
        <f t="shared" si="33"/>
        <v>-28376.58</v>
      </c>
      <c r="Q47" s="58">
        <f t="shared" si="10"/>
        <v>-2.9701946804749847E-2</v>
      </c>
      <c r="R47" s="58">
        <f t="shared" si="11"/>
        <v>-0.30069515071936082</v>
      </c>
      <c r="S47" s="57">
        <f t="shared" si="33"/>
        <v>-19843.88</v>
      </c>
      <c r="T47" s="58">
        <f t="shared" si="12"/>
        <v>-2.9833200969377426E-2</v>
      </c>
      <c r="U47" s="58">
        <f t="shared" si="13"/>
        <v>4.2673610201230616E-2</v>
      </c>
      <c r="V47" s="57">
        <f t="shared" si="33"/>
        <v>-20690.689999999999</v>
      </c>
      <c r="W47" s="58">
        <f t="shared" si="14"/>
        <v>-2.912779289475613E-2</v>
      </c>
      <c r="X47" s="58">
        <f t="shared" si="15"/>
        <v>-0.21282228867186159</v>
      </c>
      <c r="Y47" s="57">
        <f t="shared" si="33"/>
        <v>-16287.25</v>
      </c>
      <c r="Z47" s="58">
        <f t="shared" si="16"/>
        <v>-2.9912513622684607E-2</v>
      </c>
      <c r="AA47" s="58">
        <f t="shared" si="17"/>
        <v>-0.24077054137438791</v>
      </c>
      <c r="AB47" s="57">
        <f t="shared" si="33"/>
        <v>-12365.76</v>
      </c>
      <c r="AC47" s="58">
        <f t="shared" si="18"/>
        <v>-2.979219217401792E-2</v>
      </c>
      <c r="AD47" s="58">
        <f t="shared" si="19"/>
        <v>-0.14775962011231014</v>
      </c>
      <c r="AE47" s="57">
        <f t="shared" si="33"/>
        <v>-10538.6</v>
      </c>
      <c r="AF47" s="58">
        <f t="shared" si="20"/>
        <v>-2.9729869104621626E-2</v>
      </c>
      <c r="AG47" s="58">
        <f t="shared" si="21"/>
        <v>-0.27465887309509807</v>
      </c>
      <c r="AH47" s="57">
        <f t="shared" si="33"/>
        <v>-7644.08</v>
      </c>
      <c r="AI47" s="58">
        <f t="shared" si="22"/>
        <v>-2.3368709777938746E-2</v>
      </c>
      <c r="AJ47" s="58">
        <f t="shared" si="23"/>
        <v>-0.44672740212033624</v>
      </c>
      <c r="AK47" s="57">
        <f t="shared" si="33"/>
        <v>-4229.2599999999802</v>
      </c>
      <c r="AL47" s="58">
        <f t="shared" si="24"/>
        <v>-2.1235771614755782E-2</v>
      </c>
      <c r="AM47" s="57">
        <f>SUM(D47:AK47)</f>
        <v>-201979.36253814423</v>
      </c>
      <c r="AN47" s="58">
        <f t="shared" si="25"/>
        <v>-2.9078224804174251E-2</v>
      </c>
      <c r="AO47" s="64"/>
      <c r="AP47" s="64"/>
      <c r="AQ47" s="64"/>
      <c r="AR47" s="64"/>
      <c r="AS47" s="64"/>
      <c r="AT47" s="60"/>
      <c r="AU47" s="61"/>
      <c r="AV47" s="65"/>
      <c r="AW47" s="62"/>
      <c r="AX47" s="61"/>
      <c r="AY47" s="64"/>
      <c r="AZ47" s="64"/>
      <c r="BA47" s="64"/>
      <c r="BB47" s="64"/>
      <c r="BC47" s="60"/>
      <c r="BD47" s="61"/>
      <c r="BE47" s="65"/>
      <c r="BF47" s="62"/>
      <c r="BG47" s="61"/>
      <c r="BH47" s="64"/>
      <c r="BI47" s="64"/>
      <c r="BJ47" s="64"/>
      <c r="BK47" s="64"/>
      <c r="BL47" s="60"/>
      <c r="BM47" s="61"/>
      <c r="BN47" s="65"/>
      <c r="BO47" s="62"/>
      <c r="BP47" s="61"/>
      <c r="BQ47" s="64"/>
      <c r="BR47" s="64"/>
      <c r="BS47" s="64"/>
      <c r="BT47" s="64"/>
    </row>
    <row r="48" spans="1:72" s="63" customFormat="1" x14ac:dyDescent="0.25">
      <c r="A48" s="55" t="s">
        <v>341</v>
      </c>
      <c r="B48" s="56">
        <v>323000</v>
      </c>
      <c r="C48" s="55" t="s">
        <v>163</v>
      </c>
      <c r="D48" s="57">
        <f>D49</f>
        <v>-17691.78</v>
      </c>
      <c r="E48" s="58">
        <f t="shared" si="1"/>
        <v>-2.9666328134529182E-2</v>
      </c>
      <c r="F48" s="58">
        <f t="shared" si="2"/>
        <v>0.25798139022755207</v>
      </c>
      <c r="G48" s="57">
        <f t="shared" si="33"/>
        <v>-22255.93</v>
      </c>
      <c r="H48" s="58">
        <f t="shared" si="4"/>
        <v>-2.9999994068997615E-2</v>
      </c>
      <c r="I48" s="58">
        <f t="shared" si="5"/>
        <v>-3.9967325562221045E-2</v>
      </c>
      <c r="J48" s="57">
        <f t="shared" si="33"/>
        <v>-21366.42</v>
      </c>
      <c r="K48" s="58">
        <f t="shared" si="6"/>
        <v>-2.9985219034309119E-2</v>
      </c>
      <c r="L48" s="58">
        <f t="shared" si="7"/>
        <v>-3.1761521115844293E-2</v>
      </c>
      <c r="M48" s="57">
        <f t="shared" si="33"/>
        <v>-20687.79</v>
      </c>
      <c r="N48" s="58">
        <f t="shared" si="8"/>
        <v>-2.857101030855223E-2</v>
      </c>
      <c r="O48" s="58">
        <f t="shared" si="9"/>
        <v>0.37165835500070332</v>
      </c>
      <c r="P48" s="57">
        <f t="shared" si="33"/>
        <v>-28376.58</v>
      </c>
      <c r="Q48" s="58">
        <f t="shared" si="10"/>
        <v>-2.9701946804749847E-2</v>
      </c>
      <c r="R48" s="58">
        <f t="shared" si="11"/>
        <v>-0.30069515071936082</v>
      </c>
      <c r="S48" s="57">
        <f t="shared" si="33"/>
        <v>-19843.88</v>
      </c>
      <c r="T48" s="58">
        <f t="shared" si="12"/>
        <v>-2.9833200969377426E-2</v>
      </c>
      <c r="U48" s="58">
        <f t="shared" si="13"/>
        <v>4.2673610201230616E-2</v>
      </c>
      <c r="V48" s="57">
        <f t="shared" si="33"/>
        <v>-20690.689999999999</v>
      </c>
      <c r="W48" s="58">
        <f t="shared" si="14"/>
        <v>-2.912779289475613E-2</v>
      </c>
      <c r="X48" s="58">
        <f t="shared" si="15"/>
        <v>-0.21282228867186159</v>
      </c>
      <c r="Y48" s="57">
        <f t="shared" si="33"/>
        <v>-16287.25</v>
      </c>
      <c r="Z48" s="58">
        <f t="shared" si="16"/>
        <v>-2.9912513622684607E-2</v>
      </c>
      <c r="AA48" s="58">
        <f t="shared" si="17"/>
        <v>-0.24077054137438791</v>
      </c>
      <c r="AB48" s="57">
        <f t="shared" si="33"/>
        <v>-12365.76</v>
      </c>
      <c r="AC48" s="58">
        <f t="shared" si="18"/>
        <v>-2.979219217401792E-2</v>
      </c>
      <c r="AD48" s="58">
        <f t="shared" si="19"/>
        <v>-0.14775962011231014</v>
      </c>
      <c r="AE48" s="57">
        <f t="shared" si="33"/>
        <v>-10538.6</v>
      </c>
      <c r="AF48" s="58">
        <f t="shared" si="20"/>
        <v>-2.9729869104621626E-2</v>
      </c>
      <c r="AG48" s="58">
        <f t="shared" si="21"/>
        <v>-0.27465887309509807</v>
      </c>
      <c r="AH48" s="57">
        <f t="shared" si="33"/>
        <v>-7644.08</v>
      </c>
      <c r="AI48" s="58">
        <f t="shared" si="22"/>
        <v>-2.3368709777938746E-2</v>
      </c>
      <c r="AJ48" s="58">
        <f t="shared" si="23"/>
        <v>-0.44672740212033624</v>
      </c>
      <c r="AK48" s="57">
        <f t="shared" si="33"/>
        <v>-4229.2599999999802</v>
      </c>
      <c r="AL48" s="58">
        <f t="shared" si="24"/>
        <v>-2.1235771614755782E-2</v>
      </c>
      <c r="AM48" s="57">
        <f>SUM(D48:AK48)</f>
        <v>-201979.36253814423</v>
      </c>
      <c r="AN48" s="58">
        <f t="shared" si="25"/>
        <v>-2.9078224804174251E-2</v>
      </c>
      <c r="AO48" s="64"/>
      <c r="AP48" s="64"/>
      <c r="AQ48" s="64"/>
      <c r="AR48" s="64"/>
      <c r="AS48" s="64"/>
      <c r="AT48" s="60"/>
      <c r="AU48" s="61"/>
      <c r="AV48" s="65"/>
      <c r="AW48" s="62"/>
      <c r="AX48" s="61"/>
      <c r="AY48" s="64"/>
      <c r="AZ48" s="64"/>
      <c r="BA48" s="64"/>
      <c r="BB48" s="64"/>
      <c r="BC48" s="60"/>
      <c r="BD48" s="61"/>
      <c r="BE48" s="65"/>
      <c r="BF48" s="62"/>
      <c r="BG48" s="61"/>
      <c r="BH48" s="64"/>
      <c r="BI48" s="64"/>
      <c r="BJ48" s="64"/>
      <c r="BK48" s="64"/>
      <c r="BL48" s="60"/>
      <c r="BM48" s="61"/>
      <c r="BN48" s="65"/>
      <c r="BO48" s="62"/>
      <c r="BP48" s="61"/>
      <c r="BQ48" s="64"/>
      <c r="BR48" s="64"/>
      <c r="BS48" s="64"/>
      <c r="BT48" s="64"/>
    </row>
    <row r="49" spans="1:72" s="74" customFormat="1" x14ac:dyDescent="0.25">
      <c r="A49" s="66" t="s">
        <v>342</v>
      </c>
      <c r="B49" s="67">
        <v>323000001</v>
      </c>
      <c r="C49" s="66" t="s">
        <v>163</v>
      </c>
      <c r="D49" s="68">
        <v>-17691.78</v>
      </c>
      <c r="E49" s="58">
        <f t="shared" si="1"/>
        <v>-2.9666328134529182E-2</v>
      </c>
      <c r="F49" s="58">
        <f t="shared" si="2"/>
        <v>0.25798139022755207</v>
      </c>
      <c r="G49" s="68">
        <v>-22255.93</v>
      </c>
      <c r="H49" s="58">
        <f t="shared" si="4"/>
        <v>-2.9999994068997615E-2</v>
      </c>
      <c r="I49" s="58">
        <f t="shared" si="5"/>
        <v>-3.9967325562221045E-2</v>
      </c>
      <c r="J49" s="68">
        <v>-21366.42</v>
      </c>
      <c r="K49" s="58">
        <f t="shared" si="6"/>
        <v>-2.9985219034309119E-2</v>
      </c>
      <c r="L49" s="58">
        <f t="shared" si="7"/>
        <v>-3.1761521115844293E-2</v>
      </c>
      <c r="M49" s="68">
        <v>-20687.79</v>
      </c>
      <c r="N49" s="58">
        <f t="shared" si="8"/>
        <v>-2.857101030855223E-2</v>
      </c>
      <c r="O49" s="58">
        <f t="shared" si="9"/>
        <v>0.37165835500070332</v>
      </c>
      <c r="P49" s="68">
        <v>-28376.58</v>
      </c>
      <c r="Q49" s="58">
        <f t="shared" si="10"/>
        <v>-2.9701946804749847E-2</v>
      </c>
      <c r="R49" s="58">
        <f t="shared" si="11"/>
        <v>-0.30069515071936082</v>
      </c>
      <c r="S49" s="68">
        <v>-19843.88</v>
      </c>
      <c r="T49" s="58">
        <f t="shared" si="12"/>
        <v>-2.9833200969377426E-2</v>
      </c>
      <c r="U49" s="58">
        <f t="shared" si="13"/>
        <v>4.2673610201230616E-2</v>
      </c>
      <c r="V49" s="68">
        <v>-20690.689999999999</v>
      </c>
      <c r="W49" s="58">
        <f t="shared" si="14"/>
        <v>-2.912779289475613E-2</v>
      </c>
      <c r="X49" s="58">
        <f t="shared" si="15"/>
        <v>-0.21282228867186159</v>
      </c>
      <c r="Y49" s="68">
        <v>-16287.25</v>
      </c>
      <c r="Z49" s="58">
        <f t="shared" si="16"/>
        <v>-2.9912513622684607E-2</v>
      </c>
      <c r="AA49" s="58">
        <f t="shared" si="17"/>
        <v>-0.24077054137438791</v>
      </c>
      <c r="AB49" s="68">
        <v>-12365.76</v>
      </c>
      <c r="AC49" s="58">
        <f t="shared" si="18"/>
        <v>-2.979219217401792E-2</v>
      </c>
      <c r="AD49" s="58">
        <f t="shared" si="19"/>
        <v>-0.14775962011231014</v>
      </c>
      <c r="AE49" s="68">
        <v>-10538.6</v>
      </c>
      <c r="AF49" s="58">
        <f t="shared" si="20"/>
        <v>-2.9729869104621626E-2</v>
      </c>
      <c r="AG49" s="58">
        <f t="shared" si="21"/>
        <v>-0.27465887309509807</v>
      </c>
      <c r="AH49" s="68">
        <v>-7644.08</v>
      </c>
      <c r="AI49" s="58">
        <f t="shared" si="22"/>
        <v>-2.3368709777938746E-2</v>
      </c>
      <c r="AJ49" s="58">
        <f t="shared" si="23"/>
        <v>-0.44672740212033624</v>
      </c>
      <c r="AK49" s="68">
        <v>-4229.2599999999802</v>
      </c>
      <c r="AL49" s="58">
        <f t="shared" si="24"/>
        <v>-2.1235771614755782E-2</v>
      </c>
      <c r="AM49" s="68">
        <f>SUM(D49:AK49)</f>
        <v>-201979.36253814423</v>
      </c>
      <c r="AN49" s="58">
        <f t="shared" si="25"/>
        <v>-2.9078224804174251E-2</v>
      </c>
      <c r="AO49" s="73"/>
      <c r="AP49" s="73"/>
      <c r="AQ49" s="73"/>
      <c r="AR49" s="73"/>
      <c r="AS49" s="73"/>
      <c r="AT49" s="69"/>
      <c r="AU49" s="70"/>
      <c r="AV49" s="71"/>
      <c r="AW49" s="72"/>
      <c r="AX49" s="70"/>
      <c r="AY49" s="73"/>
      <c r="AZ49" s="73"/>
      <c r="BA49" s="73"/>
      <c r="BB49" s="73"/>
      <c r="BC49" s="69"/>
      <c r="BD49" s="70"/>
      <c r="BE49" s="71"/>
      <c r="BF49" s="72"/>
      <c r="BG49" s="70"/>
      <c r="BH49" s="73"/>
      <c r="BI49" s="73"/>
      <c r="BJ49" s="73"/>
      <c r="BK49" s="73"/>
      <c r="BL49" s="69"/>
      <c r="BM49" s="70"/>
      <c r="BN49" s="71"/>
      <c r="BO49" s="72"/>
      <c r="BP49" s="70"/>
      <c r="BQ49" s="73"/>
      <c r="BR49" s="73"/>
      <c r="BS49" s="73"/>
      <c r="BT49" s="73"/>
    </row>
    <row r="50" spans="1:72" s="63" customFormat="1" x14ac:dyDescent="0.25">
      <c r="A50" s="55" t="s">
        <v>343</v>
      </c>
      <c r="B50" s="56">
        <v>325</v>
      </c>
      <c r="C50" s="55" t="s">
        <v>344</v>
      </c>
      <c r="D50" s="57">
        <f>D51</f>
        <v>-827.84</v>
      </c>
      <c r="E50" s="58">
        <f t="shared" si="1"/>
        <v>-1.3881572732019412E-3</v>
      </c>
      <c r="F50" s="58">
        <f t="shared" si="2"/>
        <v>0.99765655199072278</v>
      </c>
      <c r="G50" s="57">
        <f t="shared" ref="G50:AK52" si="34">G51</f>
        <v>-1653.74</v>
      </c>
      <c r="H50" s="58">
        <f t="shared" si="4"/>
        <v>-2.2291672462873544E-3</v>
      </c>
      <c r="I50" s="58">
        <f t="shared" si="5"/>
        <v>-0.34920846082213652</v>
      </c>
      <c r="J50" s="57">
        <f t="shared" si="34"/>
        <v>-1076.24</v>
      </c>
      <c r="K50" s="58">
        <f t="shared" si="6"/>
        <v>-1.5103743225811741E-3</v>
      </c>
      <c r="L50" s="58">
        <f t="shared" si="7"/>
        <v>0.33813090017096559</v>
      </c>
      <c r="M50" s="57">
        <f t="shared" si="34"/>
        <v>-1440.15</v>
      </c>
      <c r="N50" s="58">
        <f t="shared" si="8"/>
        <v>-1.9889287592276166E-3</v>
      </c>
      <c r="O50" s="58">
        <f t="shared" si="9"/>
        <v>0.24859216053883282</v>
      </c>
      <c r="P50" s="57">
        <f t="shared" si="34"/>
        <v>-1798.16</v>
      </c>
      <c r="Q50" s="58">
        <f t="shared" si="10"/>
        <v>-1.8821455110668369E-3</v>
      </c>
      <c r="R50" s="58">
        <f t="shared" si="11"/>
        <v>9.5914712817546821E-2</v>
      </c>
      <c r="S50" s="57">
        <f t="shared" si="34"/>
        <v>-1970.63</v>
      </c>
      <c r="T50" s="58">
        <f t="shared" si="12"/>
        <v>-2.9626363809035446E-3</v>
      </c>
      <c r="U50" s="58">
        <f t="shared" si="13"/>
        <v>0.10842217970902701</v>
      </c>
      <c r="V50" s="57">
        <f t="shared" si="34"/>
        <v>-2184.29</v>
      </c>
      <c r="W50" s="58">
        <f t="shared" si="14"/>
        <v>-3.0749842920698572E-3</v>
      </c>
      <c r="X50" s="58">
        <f t="shared" si="15"/>
        <v>-0.31724725196745851</v>
      </c>
      <c r="Y50" s="57">
        <f t="shared" si="34"/>
        <v>-1491.33</v>
      </c>
      <c r="Z50" s="58">
        <f t="shared" si="16"/>
        <v>-2.7389171861989122E-3</v>
      </c>
      <c r="AA50" s="58">
        <f t="shared" si="17"/>
        <v>-7.0809277624670486E-2</v>
      </c>
      <c r="AB50" s="57">
        <f t="shared" si="34"/>
        <v>-1385.73</v>
      </c>
      <c r="AC50" s="58">
        <f t="shared" si="18"/>
        <v>-3.3385683096956312E-3</v>
      </c>
      <c r="AD50" s="58">
        <f t="shared" si="19"/>
        <v>-0.9963917934951253</v>
      </c>
      <c r="AE50" s="57">
        <f t="shared" si="34"/>
        <v>-5</v>
      </c>
      <c r="AF50" s="58">
        <f t="shared" si="20"/>
        <v>-1.4105227024757381E-5</v>
      </c>
      <c r="AG50" s="58">
        <f t="shared" si="21"/>
        <v>2.2079999999999997</v>
      </c>
      <c r="AH50" s="57">
        <f t="shared" si="34"/>
        <v>-16.04</v>
      </c>
      <c r="AI50" s="58">
        <f t="shared" si="22"/>
        <v>-4.903586891269289E-5</v>
      </c>
      <c r="AJ50" s="58">
        <f t="shared" si="23"/>
        <v>-1</v>
      </c>
      <c r="AK50" s="57">
        <f t="shared" si="34"/>
        <v>0</v>
      </c>
      <c r="AL50" s="58">
        <f t="shared" si="24"/>
        <v>0</v>
      </c>
      <c r="AM50" s="57">
        <f>SUM(D50:AK50)</f>
        <v>-13847.908117299059</v>
      </c>
      <c r="AN50" s="58">
        <f t="shared" si="25"/>
        <v>-1.9936323208581564E-3</v>
      </c>
      <c r="AO50" s="64"/>
      <c r="AP50" s="64"/>
      <c r="AQ50" s="64"/>
      <c r="AR50" s="64"/>
      <c r="AS50" s="64"/>
      <c r="AT50" s="60"/>
      <c r="AU50" s="61"/>
      <c r="AV50" s="65"/>
      <c r="AW50" s="62"/>
      <c r="AX50" s="61"/>
      <c r="AY50" s="64"/>
      <c r="AZ50" s="64"/>
      <c r="BA50" s="64"/>
      <c r="BB50" s="64"/>
      <c r="BC50" s="60"/>
      <c r="BD50" s="61"/>
      <c r="BE50" s="65"/>
      <c r="BF50" s="62"/>
      <c r="BG50" s="61"/>
      <c r="BH50" s="64"/>
      <c r="BI50" s="64"/>
      <c r="BJ50" s="64"/>
      <c r="BK50" s="64"/>
      <c r="BL50" s="60"/>
      <c r="BM50" s="61"/>
      <c r="BN50" s="65"/>
      <c r="BO50" s="62"/>
      <c r="BP50" s="61"/>
      <c r="BQ50" s="64"/>
      <c r="BR50" s="64"/>
      <c r="BS50" s="64"/>
      <c r="BT50" s="64"/>
    </row>
    <row r="51" spans="1:72" s="63" customFormat="1" x14ac:dyDescent="0.25">
      <c r="A51" s="55" t="s">
        <v>345</v>
      </c>
      <c r="B51" s="56">
        <v>3250</v>
      </c>
      <c r="C51" s="55" t="s">
        <v>344</v>
      </c>
      <c r="D51" s="57">
        <f>D52</f>
        <v>-827.84</v>
      </c>
      <c r="E51" s="58">
        <f t="shared" si="1"/>
        <v>-1.3881572732019412E-3</v>
      </c>
      <c r="F51" s="58">
        <f t="shared" si="2"/>
        <v>0.99765655199072278</v>
      </c>
      <c r="G51" s="57">
        <f t="shared" si="34"/>
        <v>-1653.74</v>
      </c>
      <c r="H51" s="58">
        <f t="shared" si="4"/>
        <v>-2.2291672462873544E-3</v>
      </c>
      <c r="I51" s="58">
        <f t="shared" si="5"/>
        <v>-0.34920846082213652</v>
      </c>
      <c r="J51" s="57">
        <f t="shared" si="34"/>
        <v>-1076.24</v>
      </c>
      <c r="K51" s="58">
        <f t="shared" si="6"/>
        <v>-1.5103743225811741E-3</v>
      </c>
      <c r="L51" s="58">
        <f t="shared" si="7"/>
        <v>0.33813090017096559</v>
      </c>
      <c r="M51" s="57">
        <f t="shared" si="34"/>
        <v>-1440.15</v>
      </c>
      <c r="N51" s="58">
        <f t="shared" si="8"/>
        <v>-1.9889287592276166E-3</v>
      </c>
      <c r="O51" s="58">
        <f t="shared" si="9"/>
        <v>0.24859216053883282</v>
      </c>
      <c r="P51" s="57">
        <f t="shared" si="34"/>
        <v>-1798.16</v>
      </c>
      <c r="Q51" s="58">
        <f t="shared" si="10"/>
        <v>-1.8821455110668369E-3</v>
      </c>
      <c r="R51" s="58">
        <f t="shared" si="11"/>
        <v>9.5914712817546821E-2</v>
      </c>
      <c r="S51" s="57">
        <f t="shared" si="34"/>
        <v>-1970.63</v>
      </c>
      <c r="T51" s="58">
        <f t="shared" si="12"/>
        <v>-2.9626363809035446E-3</v>
      </c>
      <c r="U51" s="58">
        <f t="shared" si="13"/>
        <v>0.10842217970902701</v>
      </c>
      <c r="V51" s="57">
        <f t="shared" si="34"/>
        <v>-2184.29</v>
      </c>
      <c r="W51" s="58">
        <f t="shared" si="14"/>
        <v>-3.0749842920698572E-3</v>
      </c>
      <c r="X51" s="58">
        <f t="shared" si="15"/>
        <v>-0.31724725196745851</v>
      </c>
      <c r="Y51" s="57">
        <f t="shared" si="34"/>
        <v>-1491.33</v>
      </c>
      <c r="Z51" s="58">
        <f t="shared" si="16"/>
        <v>-2.7389171861989122E-3</v>
      </c>
      <c r="AA51" s="58">
        <f t="shared" si="17"/>
        <v>-7.0809277624670486E-2</v>
      </c>
      <c r="AB51" s="57">
        <f t="shared" si="34"/>
        <v>-1385.73</v>
      </c>
      <c r="AC51" s="58">
        <f t="shared" si="18"/>
        <v>-3.3385683096956312E-3</v>
      </c>
      <c r="AD51" s="58">
        <f t="shared" si="19"/>
        <v>-0.9963917934951253</v>
      </c>
      <c r="AE51" s="57">
        <f t="shared" si="34"/>
        <v>-5</v>
      </c>
      <c r="AF51" s="58">
        <f t="shared" si="20"/>
        <v>-1.4105227024757381E-5</v>
      </c>
      <c r="AG51" s="58">
        <f t="shared" si="21"/>
        <v>2.2079999999999997</v>
      </c>
      <c r="AH51" s="57">
        <f t="shared" si="34"/>
        <v>-16.04</v>
      </c>
      <c r="AI51" s="58">
        <f t="shared" si="22"/>
        <v>-4.903586891269289E-5</v>
      </c>
      <c r="AJ51" s="58">
        <f t="shared" si="23"/>
        <v>-1</v>
      </c>
      <c r="AK51" s="57">
        <f t="shared" si="34"/>
        <v>0</v>
      </c>
      <c r="AL51" s="58">
        <f t="shared" si="24"/>
        <v>0</v>
      </c>
      <c r="AM51" s="57">
        <f>SUM(D51:AK51)</f>
        <v>-13847.908117299059</v>
      </c>
      <c r="AN51" s="58">
        <f t="shared" si="25"/>
        <v>-1.9936323208581564E-3</v>
      </c>
      <c r="AO51" s="64"/>
      <c r="AP51" s="64"/>
      <c r="AQ51" s="64"/>
      <c r="AR51" s="64"/>
      <c r="AS51" s="64"/>
      <c r="AT51" s="60"/>
      <c r="AU51" s="61"/>
      <c r="AV51" s="65"/>
      <c r="AW51" s="62"/>
      <c r="AX51" s="61"/>
      <c r="AY51" s="64"/>
      <c r="AZ51" s="64"/>
      <c r="BA51" s="64"/>
      <c r="BB51" s="64"/>
      <c r="BC51" s="60"/>
      <c r="BD51" s="61"/>
      <c r="BE51" s="65"/>
      <c r="BF51" s="62"/>
      <c r="BG51" s="61"/>
      <c r="BH51" s="64"/>
      <c r="BI51" s="64"/>
      <c r="BJ51" s="64"/>
      <c r="BK51" s="64"/>
      <c r="BL51" s="60"/>
      <c r="BM51" s="61"/>
      <c r="BN51" s="65"/>
      <c r="BO51" s="62"/>
      <c r="BP51" s="61"/>
      <c r="BQ51" s="64"/>
      <c r="BR51" s="64"/>
      <c r="BS51" s="64"/>
      <c r="BT51" s="64"/>
    </row>
    <row r="52" spans="1:72" s="63" customFormat="1" x14ac:dyDescent="0.25">
      <c r="A52" s="55" t="s">
        <v>346</v>
      </c>
      <c r="B52" s="56">
        <v>325000</v>
      </c>
      <c r="C52" s="55" t="s">
        <v>344</v>
      </c>
      <c r="D52" s="57">
        <f>D53</f>
        <v>-827.84</v>
      </c>
      <c r="E52" s="58">
        <f t="shared" si="1"/>
        <v>-1.3881572732019412E-3</v>
      </c>
      <c r="F52" s="58">
        <f t="shared" si="2"/>
        <v>0.99765655199072278</v>
      </c>
      <c r="G52" s="57">
        <f t="shared" si="34"/>
        <v>-1653.74</v>
      </c>
      <c r="H52" s="58">
        <f t="shared" si="4"/>
        <v>-2.2291672462873544E-3</v>
      </c>
      <c r="I52" s="58">
        <f t="shared" si="5"/>
        <v>-0.34920846082213652</v>
      </c>
      <c r="J52" s="57">
        <f t="shared" si="34"/>
        <v>-1076.24</v>
      </c>
      <c r="K52" s="58">
        <f t="shared" si="6"/>
        <v>-1.5103743225811741E-3</v>
      </c>
      <c r="L52" s="58">
        <f t="shared" si="7"/>
        <v>0.33813090017096559</v>
      </c>
      <c r="M52" s="57">
        <f t="shared" si="34"/>
        <v>-1440.15</v>
      </c>
      <c r="N52" s="58">
        <f t="shared" si="8"/>
        <v>-1.9889287592276166E-3</v>
      </c>
      <c r="O52" s="58">
        <f t="shared" si="9"/>
        <v>0.24859216053883282</v>
      </c>
      <c r="P52" s="57">
        <f t="shared" si="34"/>
        <v>-1798.16</v>
      </c>
      <c r="Q52" s="58">
        <f t="shared" si="10"/>
        <v>-1.8821455110668369E-3</v>
      </c>
      <c r="R52" s="58">
        <f t="shared" si="11"/>
        <v>9.5914712817546821E-2</v>
      </c>
      <c r="S52" s="57">
        <f t="shared" si="34"/>
        <v>-1970.63</v>
      </c>
      <c r="T52" s="58">
        <f t="shared" si="12"/>
        <v>-2.9626363809035446E-3</v>
      </c>
      <c r="U52" s="58">
        <f t="shared" si="13"/>
        <v>0.10842217970902701</v>
      </c>
      <c r="V52" s="57">
        <f t="shared" si="34"/>
        <v>-2184.29</v>
      </c>
      <c r="W52" s="58">
        <f t="shared" si="14"/>
        <v>-3.0749842920698572E-3</v>
      </c>
      <c r="X52" s="58">
        <f t="shared" si="15"/>
        <v>-0.31724725196745851</v>
      </c>
      <c r="Y52" s="57">
        <f t="shared" si="34"/>
        <v>-1491.33</v>
      </c>
      <c r="Z52" s="58">
        <f t="shared" si="16"/>
        <v>-2.7389171861989122E-3</v>
      </c>
      <c r="AA52" s="58">
        <f t="shared" si="17"/>
        <v>-7.0809277624670486E-2</v>
      </c>
      <c r="AB52" s="57">
        <f t="shared" si="34"/>
        <v>-1385.73</v>
      </c>
      <c r="AC52" s="58">
        <f t="shared" si="18"/>
        <v>-3.3385683096956312E-3</v>
      </c>
      <c r="AD52" s="58">
        <f t="shared" si="19"/>
        <v>-0.9963917934951253</v>
      </c>
      <c r="AE52" s="57">
        <f t="shared" si="34"/>
        <v>-5</v>
      </c>
      <c r="AF52" s="58">
        <f t="shared" si="20"/>
        <v>-1.4105227024757381E-5</v>
      </c>
      <c r="AG52" s="58">
        <f t="shared" si="21"/>
        <v>2.2079999999999997</v>
      </c>
      <c r="AH52" s="57">
        <f t="shared" si="34"/>
        <v>-16.04</v>
      </c>
      <c r="AI52" s="58">
        <f t="shared" si="22"/>
        <v>-4.903586891269289E-5</v>
      </c>
      <c r="AJ52" s="58">
        <f t="shared" si="23"/>
        <v>-1</v>
      </c>
      <c r="AK52" s="57">
        <f t="shared" si="34"/>
        <v>0</v>
      </c>
      <c r="AL52" s="58">
        <f t="shared" si="24"/>
        <v>0</v>
      </c>
      <c r="AM52" s="57">
        <f>SUM(D52:AK52)</f>
        <v>-13847.908117299059</v>
      </c>
      <c r="AN52" s="58">
        <f t="shared" si="25"/>
        <v>-1.9936323208581564E-3</v>
      </c>
      <c r="AO52" s="64"/>
      <c r="AP52" s="64"/>
      <c r="AQ52" s="64"/>
      <c r="AR52" s="64"/>
      <c r="AS52" s="64"/>
      <c r="AT52" s="60"/>
      <c r="AU52" s="61"/>
      <c r="AV52" s="65"/>
      <c r="AW52" s="62"/>
      <c r="AX52" s="61"/>
      <c r="AY52" s="64"/>
      <c r="AZ52" s="64"/>
      <c r="BA52" s="64"/>
      <c r="BB52" s="64"/>
      <c r="BC52" s="60"/>
      <c r="BD52" s="61"/>
      <c r="BE52" s="65"/>
      <c r="BF52" s="62"/>
      <c r="BG52" s="61"/>
      <c r="BH52" s="64"/>
      <c r="BI52" s="64"/>
      <c r="BJ52" s="64"/>
      <c r="BK52" s="64"/>
      <c r="BL52" s="60"/>
      <c r="BM52" s="61"/>
      <c r="BN52" s="65"/>
      <c r="BO52" s="62"/>
      <c r="BP52" s="61"/>
      <c r="BQ52" s="64"/>
      <c r="BR52" s="64"/>
      <c r="BS52" s="64"/>
      <c r="BT52" s="64"/>
    </row>
    <row r="53" spans="1:72" s="74" customFormat="1" x14ac:dyDescent="0.25">
      <c r="A53" s="66" t="s">
        <v>347</v>
      </c>
      <c r="B53" s="67">
        <v>325000001</v>
      </c>
      <c r="C53" s="66" t="s">
        <v>344</v>
      </c>
      <c r="D53" s="68">
        <v>-827.84</v>
      </c>
      <c r="E53" s="58">
        <f t="shared" si="1"/>
        <v>-1.3881572732019412E-3</v>
      </c>
      <c r="F53" s="58">
        <f t="shared" si="2"/>
        <v>0.99765655199072278</v>
      </c>
      <c r="G53" s="68">
        <v>-1653.74</v>
      </c>
      <c r="H53" s="58">
        <f t="shared" si="4"/>
        <v>-2.2291672462873544E-3</v>
      </c>
      <c r="I53" s="58">
        <f t="shared" si="5"/>
        <v>-0.34920846082213652</v>
      </c>
      <c r="J53" s="68">
        <v>-1076.24</v>
      </c>
      <c r="K53" s="58">
        <f t="shared" si="6"/>
        <v>-1.5103743225811741E-3</v>
      </c>
      <c r="L53" s="58">
        <f t="shared" si="7"/>
        <v>0.33813090017096559</v>
      </c>
      <c r="M53" s="68">
        <v>-1440.15</v>
      </c>
      <c r="N53" s="58">
        <f t="shared" si="8"/>
        <v>-1.9889287592276166E-3</v>
      </c>
      <c r="O53" s="58">
        <f t="shared" si="9"/>
        <v>0.24859216053883282</v>
      </c>
      <c r="P53" s="68">
        <v>-1798.16</v>
      </c>
      <c r="Q53" s="58">
        <f t="shared" si="10"/>
        <v>-1.8821455110668369E-3</v>
      </c>
      <c r="R53" s="58">
        <f t="shared" si="11"/>
        <v>9.5914712817546821E-2</v>
      </c>
      <c r="S53" s="68">
        <v>-1970.63</v>
      </c>
      <c r="T53" s="58">
        <f t="shared" si="12"/>
        <v>-2.9626363809035446E-3</v>
      </c>
      <c r="U53" s="58">
        <f t="shared" si="13"/>
        <v>0.10842217970902701</v>
      </c>
      <c r="V53" s="68">
        <v>-2184.29</v>
      </c>
      <c r="W53" s="58">
        <f t="shared" si="14"/>
        <v>-3.0749842920698572E-3</v>
      </c>
      <c r="X53" s="58">
        <f t="shared" si="15"/>
        <v>-0.31724725196745851</v>
      </c>
      <c r="Y53" s="68">
        <v>-1491.33</v>
      </c>
      <c r="Z53" s="58">
        <f t="shared" si="16"/>
        <v>-2.7389171861989122E-3</v>
      </c>
      <c r="AA53" s="58">
        <f t="shared" si="17"/>
        <v>-7.0809277624670486E-2</v>
      </c>
      <c r="AB53" s="68">
        <v>-1385.73</v>
      </c>
      <c r="AC53" s="58">
        <f t="shared" si="18"/>
        <v>-3.3385683096956312E-3</v>
      </c>
      <c r="AD53" s="58">
        <f t="shared" si="19"/>
        <v>-0.9963917934951253</v>
      </c>
      <c r="AE53" s="68">
        <v>-5</v>
      </c>
      <c r="AF53" s="58">
        <f t="shared" si="20"/>
        <v>-1.4105227024757381E-5</v>
      </c>
      <c r="AG53" s="58">
        <f t="shared" si="21"/>
        <v>2.2079999999999997</v>
      </c>
      <c r="AH53" s="68">
        <v>-16.04</v>
      </c>
      <c r="AI53" s="58">
        <f t="shared" si="22"/>
        <v>-4.903586891269289E-5</v>
      </c>
      <c r="AJ53" s="58">
        <f t="shared" si="23"/>
        <v>-1</v>
      </c>
      <c r="AK53" s="68">
        <v>0</v>
      </c>
      <c r="AL53" s="58">
        <f t="shared" si="24"/>
        <v>0</v>
      </c>
      <c r="AM53" s="68">
        <f>SUM(D53:AK53)</f>
        <v>-13847.908117299059</v>
      </c>
      <c r="AN53" s="58">
        <f t="shared" si="25"/>
        <v>-1.9936323208581564E-3</v>
      </c>
      <c r="AO53" s="73"/>
      <c r="AP53" s="73"/>
      <c r="AQ53" s="73"/>
      <c r="AR53" s="73"/>
      <c r="AS53" s="73"/>
      <c r="AT53" s="69"/>
      <c r="AU53" s="70"/>
      <c r="AV53" s="71"/>
      <c r="AW53" s="72"/>
      <c r="AX53" s="70"/>
      <c r="AY53" s="73"/>
      <c r="AZ53" s="73"/>
      <c r="BA53" s="73"/>
      <c r="BB53" s="73"/>
      <c r="BC53" s="69"/>
      <c r="BD53" s="70"/>
      <c r="BE53" s="71"/>
      <c r="BF53" s="72"/>
      <c r="BG53" s="70"/>
      <c r="BH53" s="73"/>
      <c r="BI53" s="73"/>
      <c r="BJ53" s="73"/>
      <c r="BK53" s="73"/>
      <c r="BL53" s="69"/>
      <c r="BM53" s="70"/>
      <c r="BN53" s="71"/>
      <c r="BO53" s="72"/>
      <c r="BP53" s="70"/>
      <c r="BQ53" s="73"/>
      <c r="BR53" s="73"/>
      <c r="BS53" s="73"/>
      <c r="BT53" s="73"/>
    </row>
    <row r="54" spans="1:72" s="63" customFormat="1" x14ac:dyDescent="0.25">
      <c r="A54" s="55" t="s">
        <v>348</v>
      </c>
      <c r="B54" s="56">
        <v>326</v>
      </c>
      <c r="C54" s="55" t="s">
        <v>349</v>
      </c>
      <c r="D54" s="57">
        <f>D55</f>
        <v>-6633.08</v>
      </c>
      <c r="E54" s="58">
        <f t="shared" si="1"/>
        <v>-1.1122630273640235E-2</v>
      </c>
      <c r="F54" s="58">
        <f t="shared" si="2"/>
        <v>-1</v>
      </c>
      <c r="G54" s="57">
        <f t="shared" ref="G54:AK56" si="35">G55</f>
        <v>0</v>
      </c>
      <c r="H54" s="58">
        <f t="shared" si="4"/>
        <v>0</v>
      </c>
      <c r="I54" s="58">
        <f t="shared" si="5"/>
        <v>0</v>
      </c>
      <c r="J54" s="57">
        <f t="shared" si="35"/>
        <v>-351.04</v>
      </c>
      <c r="K54" s="58">
        <f t="shared" si="6"/>
        <v>-4.9264272113923974E-4</v>
      </c>
      <c r="L54" s="58">
        <f t="shared" si="7"/>
        <v>97.251338878760251</v>
      </c>
      <c r="M54" s="57">
        <f t="shared" si="35"/>
        <v>-34490.15</v>
      </c>
      <c r="N54" s="58">
        <f t="shared" si="8"/>
        <v>-4.7632851609259022E-2</v>
      </c>
      <c r="O54" s="58">
        <f t="shared" si="9"/>
        <v>-0.72479418036743826</v>
      </c>
      <c r="P54" s="57">
        <f t="shared" si="35"/>
        <v>-9491.89</v>
      </c>
      <c r="Q54" s="58">
        <f t="shared" si="10"/>
        <v>-9.9352216460382812E-3</v>
      </c>
      <c r="R54" s="58">
        <f t="shared" si="11"/>
        <v>-0.6103852868080013</v>
      </c>
      <c r="S54" s="57">
        <f t="shared" si="35"/>
        <v>-3698.18</v>
      </c>
      <c r="T54" s="58">
        <f t="shared" si="12"/>
        <v>-5.5598273705007384E-3</v>
      </c>
      <c r="U54" s="58">
        <f t="shared" si="13"/>
        <v>4.5844496482053332</v>
      </c>
      <c r="V54" s="57">
        <f t="shared" si="35"/>
        <v>-20652.3</v>
      </c>
      <c r="W54" s="58">
        <f t="shared" si="14"/>
        <v>-2.9073748492697539E-2</v>
      </c>
      <c r="X54" s="58">
        <f t="shared" si="15"/>
        <v>-0.92310735366036711</v>
      </c>
      <c r="Y54" s="57">
        <f t="shared" si="35"/>
        <v>-1588.01</v>
      </c>
      <c r="Z54" s="58">
        <f t="shared" si="16"/>
        <v>-2.9164758174620871E-3</v>
      </c>
      <c r="AA54" s="58">
        <f t="shared" si="17"/>
        <v>0.42843558919654146</v>
      </c>
      <c r="AB54" s="57">
        <f t="shared" si="35"/>
        <v>-2268.37</v>
      </c>
      <c r="AC54" s="58">
        <f t="shared" si="18"/>
        <v>-5.4650676514647724E-3</v>
      </c>
      <c r="AD54" s="58">
        <f t="shared" si="19"/>
        <v>0.40715579909803079</v>
      </c>
      <c r="AE54" s="57">
        <f t="shared" si="35"/>
        <v>-3191.95</v>
      </c>
      <c r="AF54" s="58">
        <f t="shared" si="20"/>
        <v>-9.0046358803348645E-3</v>
      </c>
      <c r="AG54" s="58">
        <f t="shared" si="21"/>
        <v>-9.6602390388320636E-2</v>
      </c>
      <c r="AH54" s="57">
        <f t="shared" si="35"/>
        <v>-2883.6</v>
      </c>
      <c r="AI54" s="58">
        <f t="shared" si="22"/>
        <v>-8.8154508476708995E-3</v>
      </c>
      <c r="AJ54" s="58">
        <f t="shared" si="23"/>
        <v>4.9332847829102517</v>
      </c>
      <c r="AK54" s="57">
        <f t="shared" si="35"/>
        <v>-17109.22</v>
      </c>
      <c r="AL54" s="58">
        <f t="shared" si="24"/>
        <v>-8.5908052100512541E-2</v>
      </c>
      <c r="AM54" s="57">
        <f>SUM(D54:AK54)</f>
        <v>-102253.67024306535</v>
      </c>
      <c r="AN54" s="58">
        <f t="shared" si="25"/>
        <v>-1.4721084238585183E-2</v>
      </c>
      <c r="AO54" s="64"/>
      <c r="AP54" s="64"/>
      <c r="AQ54" s="64"/>
      <c r="AR54" s="64"/>
      <c r="AS54" s="64"/>
      <c r="AT54" s="60"/>
      <c r="AU54" s="61"/>
      <c r="AV54" s="65"/>
      <c r="AW54" s="62"/>
      <c r="AX54" s="61"/>
      <c r="AY54" s="64"/>
      <c r="AZ54" s="64"/>
      <c r="BA54" s="64"/>
      <c r="BB54" s="64"/>
      <c r="BC54" s="60"/>
      <c r="BD54" s="61"/>
      <c r="BE54" s="65"/>
      <c r="BF54" s="62"/>
      <c r="BG54" s="61"/>
      <c r="BH54" s="64"/>
      <c r="BI54" s="64"/>
      <c r="BJ54" s="64"/>
      <c r="BK54" s="64"/>
      <c r="BL54" s="60"/>
      <c r="BM54" s="61"/>
      <c r="BN54" s="65"/>
      <c r="BO54" s="62"/>
      <c r="BP54" s="61"/>
      <c r="BQ54" s="64"/>
      <c r="BR54" s="64"/>
      <c r="BS54" s="64"/>
      <c r="BT54" s="64"/>
    </row>
    <row r="55" spans="1:72" s="63" customFormat="1" x14ac:dyDescent="0.25">
      <c r="A55" s="55" t="s">
        <v>350</v>
      </c>
      <c r="B55" s="56">
        <v>3260</v>
      </c>
      <c r="C55" s="55" t="s">
        <v>349</v>
      </c>
      <c r="D55" s="57">
        <f>D56</f>
        <v>-6633.08</v>
      </c>
      <c r="E55" s="58">
        <f t="shared" si="1"/>
        <v>-1.1122630273640235E-2</v>
      </c>
      <c r="F55" s="58">
        <f t="shared" si="2"/>
        <v>-1</v>
      </c>
      <c r="G55" s="57">
        <f t="shared" si="35"/>
        <v>0</v>
      </c>
      <c r="H55" s="58">
        <f t="shared" si="4"/>
        <v>0</v>
      </c>
      <c r="I55" s="58">
        <f t="shared" si="5"/>
        <v>0</v>
      </c>
      <c r="J55" s="57">
        <f t="shared" si="35"/>
        <v>-351.04</v>
      </c>
      <c r="K55" s="58">
        <f t="shared" si="6"/>
        <v>-4.9264272113923974E-4</v>
      </c>
      <c r="L55" s="58">
        <f t="shared" si="7"/>
        <v>97.251338878760251</v>
      </c>
      <c r="M55" s="57">
        <f t="shared" si="35"/>
        <v>-34490.15</v>
      </c>
      <c r="N55" s="58">
        <f t="shared" si="8"/>
        <v>-4.7632851609259022E-2</v>
      </c>
      <c r="O55" s="58">
        <f t="shared" si="9"/>
        <v>-0.72479418036743826</v>
      </c>
      <c r="P55" s="57">
        <f t="shared" si="35"/>
        <v>-9491.89</v>
      </c>
      <c r="Q55" s="58">
        <f t="shared" si="10"/>
        <v>-9.9352216460382812E-3</v>
      </c>
      <c r="R55" s="58">
        <f t="shared" si="11"/>
        <v>-0.6103852868080013</v>
      </c>
      <c r="S55" s="57">
        <f t="shared" si="35"/>
        <v>-3698.18</v>
      </c>
      <c r="T55" s="58">
        <f t="shared" si="12"/>
        <v>-5.5598273705007384E-3</v>
      </c>
      <c r="U55" s="58">
        <f t="shared" si="13"/>
        <v>4.5844496482053332</v>
      </c>
      <c r="V55" s="57">
        <f t="shared" si="35"/>
        <v>-20652.3</v>
      </c>
      <c r="W55" s="58">
        <f t="shared" si="14"/>
        <v>-2.9073748492697539E-2</v>
      </c>
      <c r="X55" s="58">
        <f t="shared" si="15"/>
        <v>-0.92310735366036711</v>
      </c>
      <c r="Y55" s="57">
        <f t="shared" si="35"/>
        <v>-1588.01</v>
      </c>
      <c r="Z55" s="58">
        <f t="shared" si="16"/>
        <v>-2.9164758174620871E-3</v>
      </c>
      <c r="AA55" s="58">
        <f t="shared" si="17"/>
        <v>0.42843558919654146</v>
      </c>
      <c r="AB55" s="57">
        <f t="shared" si="35"/>
        <v>-2268.37</v>
      </c>
      <c r="AC55" s="58">
        <f t="shared" si="18"/>
        <v>-5.4650676514647724E-3</v>
      </c>
      <c r="AD55" s="58">
        <f t="shared" si="19"/>
        <v>0.40715579909803079</v>
      </c>
      <c r="AE55" s="57">
        <f t="shared" si="35"/>
        <v>-3191.95</v>
      </c>
      <c r="AF55" s="58">
        <f t="shared" si="20"/>
        <v>-9.0046358803348645E-3</v>
      </c>
      <c r="AG55" s="58">
        <f t="shared" si="21"/>
        <v>-9.6602390388320636E-2</v>
      </c>
      <c r="AH55" s="57">
        <f t="shared" si="35"/>
        <v>-2883.6</v>
      </c>
      <c r="AI55" s="58">
        <f t="shared" si="22"/>
        <v>-8.8154508476708995E-3</v>
      </c>
      <c r="AJ55" s="58">
        <f t="shared" si="23"/>
        <v>4.9332847829102517</v>
      </c>
      <c r="AK55" s="57">
        <f t="shared" si="35"/>
        <v>-17109.22</v>
      </c>
      <c r="AL55" s="58">
        <f t="shared" si="24"/>
        <v>-8.5908052100512541E-2</v>
      </c>
      <c r="AM55" s="57">
        <f>SUM(D55:AK55)</f>
        <v>-102253.67024306535</v>
      </c>
      <c r="AN55" s="58">
        <f t="shared" si="25"/>
        <v>-1.4721084238585183E-2</v>
      </c>
      <c r="AO55" s="64"/>
      <c r="AP55" s="64"/>
      <c r="AQ55" s="64"/>
      <c r="AR55" s="64"/>
      <c r="AS55" s="64"/>
      <c r="AT55" s="60"/>
      <c r="AU55" s="61"/>
      <c r="AV55" s="65"/>
      <c r="AW55" s="62"/>
      <c r="AX55" s="61"/>
      <c r="AY55" s="64"/>
      <c r="AZ55" s="64"/>
      <c r="BA55" s="64"/>
      <c r="BB55" s="64"/>
      <c r="BC55" s="60"/>
      <c r="BD55" s="61"/>
      <c r="BE55" s="65"/>
      <c r="BF55" s="62"/>
      <c r="BG55" s="61"/>
      <c r="BH55" s="64"/>
      <c r="BI55" s="64"/>
      <c r="BJ55" s="64"/>
      <c r="BK55" s="64"/>
      <c r="BL55" s="60"/>
      <c r="BM55" s="61"/>
      <c r="BN55" s="65"/>
      <c r="BO55" s="62"/>
      <c r="BP55" s="61"/>
      <c r="BQ55" s="64"/>
      <c r="BR55" s="64"/>
      <c r="BS55" s="64"/>
      <c r="BT55" s="64"/>
    </row>
    <row r="56" spans="1:72" s="63" customFormat="1" x14ac:dyDescent="0.25">
      <c r="A56" s="55" t="s">
        <v>351</v>
      </c>
      <c r="B56" s="56">
        <v>326000</v>
      </c>
      <c r="C56" s="55" t="s">
        <v>349</v>
      </c>
      <c r="D56" s="57">
        <f>D57</f>
        <v>-6633.08</v>
      </c>
      <c r="E56" s="58">
        <f t="shared" si="1"/>
        <v>-1.1122630273640235E-2</v>
      </c>
      <c r="F56" s="58">
        <f t="shared" si="2"/>
        <v>-1</v>
      </c>
      <c r="G56" s="57">
        <f t="shared" si="35"/>
        <v>0</v>
      </c>
      <c r="H56" s="58">
        <f t="shared" si="4"/>
        <v>0</v>
      </c>
      <c r="I56" s="58">
        <f t="shared" si="5"/>
        <v>0</v>
      </c>
      <c r="J56" s="57">
        <f t="shared" si="35"/>
        <v>-351.04</v>
      </c>
      <c r="K56" s="58">
        <f t="shared" si="6"/>
        <v>-4.9264272113923974E-4</v>
      </c>
      <c r="L56" s="58">
        <f t="shared" si="7"/>
        <v>97.251338878760251</v>
      </c>
      <c r="M56" s="57">
        <f t="shared" si="35"/>
        <v>-34490.15</v>
      </c>
      <c r="N56" s="58">
        <f t="shared" si="8"/>
        <v>-4.7632851609259022E-2</v>
      </c>
      <c r="O56" s="58">
        <f t="shared" si="9"/>
        <v>-0.72479418036743826</v>
      </c>
      <c r="P56" s="57">
        <f t="shared" si="35"/>
        <v>-9491.89</v>
      </c>
      <c r="Q56" s="58">
        <f t="shared" si="10"/>
        <v>-9.9352216460382812E-3</v>
      </c>
      <c r="R56" s="58">
        <f t="shared" si="11"/>
        <v>-0.6103852868080013</v>
      </c>
      <c r="S56" s="57">
        <f t="shared" si="35"/>
        <v>-3698.18</v>
      </c>
      <c r="T56" s="58">
        <f t="shared" si="12"/>
        <v>-5.5598273705007384E-3</v>
      </c>
      <c r="U56" s="58">
        <f t="shared" si="13"/>
        <v>4.5844496482053332</v>
      </c>
      <c r="V56" s="57">
        <f t="shared" si="35"/>
        <v>-20652.3</v>
      </c>
      <c r="W56" s="58">
        <f t="shared" si="14"/>
        <v>-2.9073748492697539E-2</v>
      </c>
      <c r="X56" s="58">
        <f t="shared" si="15"/>
        <v>-0.92310735366036711</v>
      </c>
      <c r="Y56" s="57">
        <f t="shared" si="35"/>
        <v>-1588.01</v>
      </c>
      <c r="Z56" s="58">
        <f t="shared" si="16"/>
        <v>-2.9164758174620871E-3</v>
      </c>
      <c r="AA56" s="58">
        <f t="shared" si="17"/>
        <v>0.42843558919654146</v>
      </c>
      <c r="AB56" s="57">
        <f t="shared" si="35"/>
        <v>-2268.37</v>
      </c>
      <c r="AC56" s="58">
        <f t="shared" si="18"/>
        <v>-5.4650676514647724E-3</v>
      </c>
      <c r="AD56" s="58">
        <f t="shared" si="19"/>
        <v>0.40715579909803079</v>
      </c>
      <c r="AE56" s="57">
        <f t="shared" si="35"/>
        <v>-3191.95</v>
      </c>
      <c r="AF56" s="58">
        <f t="shared" si="20"/>
        <v>-9.0046358803348645E-3</v>
      </c>
      <c r="AG56" s="58">
        <f t="shared" si="21"/>
        <v>-9.6602390388320636E-2</v>
      </c>
      <c r="AH56" s="57">
        <f t="shared" si="35"/>
        <v>-2883.6</v>
      </c>
      <c r="AI56" s="58">
        <f t="shared" si="22"/>
        <v>-8.8154508476708995E-3</v>
      </c>
      <c r="AJ56" s="58">
        <f t="shared" si="23"/>
        <v>4.9332847829102517</v>
      </c>
      <c r="AK56" s="57">
        <f t="shared" si="35"/>
        <v>-17109.22</v>
      </c>
      <c r="AL56" s="58">
        <f t="shared" si="24"/>
        <v>-8.5908052100512541E-2</v>
      </c>
      <c r="AM56" s="57">
        <f>SUM(D56:AK56)</f>
        <v>-102253.67024306535</v>
      </c>
      <c r="AN56" s="58">
        <f t="shared" si="25"/>
        <v>-1.4721084238585183E-2</v>
      </c>
      <c r="AO56" s="64"/>
      <c r="AP56" s="64"/>
      <c r="AQ56" s="64"/>
      <c r="AR56" s="64"/>
      <c r="AS56" s="64"/>
      <c r="AT56" s="60"/>
      <c r="AU56" s="61"/>
      <c r="AV56" s="65"/>
      <c r="AW56" s="62"/>
      <c r="AX56" s="61"/>
      <c r="AY56" s="64"/>
      <c r="AZ56" s="64"/>
      <c r="BA56" s="64"/>
      <c r="BB56" s="64"/>
      <c r="BC56" s="60"/>
      <c r="BD56" s="61"/>
      <c r="BE56" s="65"/>
      <c r="BF56" s="62"/>
      <c r="BG56" s="61"/>
      <c r="BH56" s="64"/>
      <c r="BI56" s="64"/>
      <c r="BJ56" s="64"/>
      <c r="BK56" s="64"/>
      <c r="BL56" s="60"/>
      <c r="BM56" s="61"/>
      <c r="BN56" s="65"/>
      <c r="BO56" s="62"/>
      <c r="BP56" s="61"/>
      <c r="BQ56" s="64"/>
      <c r="BR56" s="64"/>
      <c r="BS56" s="64"/>
      <c r="BT56" s="64"/>
    </row>
    <row r="57" spans="1:72" s="74" customFormat="1" x14ac:dyDescent="0.25">
      <c r="A57" s="66" t="s">
        <v>352</v>
      </c>
      <c r="B57" s="67">
        <v>326000001</v>
      </c>
      <c r="C57" s="66" t="s">
        <v>349</v>
      </c>
      <c r="D57" s="68">
        <v>-6633.08</v>
      </c>
      <c r="E57" s="58">
        <f t="shared" si="1"/>
        <v>-1.1122630273640235E-2</v>
      </c>
      <c r="F57" s="58">
        <f t="shared" si="2"/>
        <v>-1</v>
      </c>
      <c r="G57" s="68">
        <v>0</v>
      </c>
      <c r="H57" s="58">
        <f t="shared" si="4"/>
        <v>0</v>
      </c>
      <c r="I57" s="58">
        <f t="shared" si="5"/>
        <v>0</v>
      </c>
      <c r="J57" s="68">
        <v>-351.04</v>
      </c>
      <c r="K57" s="58">
        <f t="shared" si="6"/>
        <v>-4.9264272113923974E-4</v>
      </c>
      <c r="L57" s="58">
        <f t="shared" si="7"/>
        <v>97.251338878760251</v>
      </c>
      <c r="M57" s="68">
        <v>-34490.15</v>
      </c>
      <c r="N57" s="58">
        <f t="shared" si="8"/>
        <v>-4.7632851609259022E-2</v>
      </c>
      <c r="O57" s="58">
        <f t="shared" si="9"/>
        <v>-0.72479418036743826</v>
      </c>
      <c r="P57" s="68">
        <v>-9491.89</v>
      </c>
      <c r="Q57" s="58">
        <f t="shared" si="10"/>
        <v>-9.9352216460382812E-3</v>
      </c>
      <c r="R57" s="58">
        <f t="shared" si="11"/>
        <v>-0.6103852868080013</v>
      </c>
      <c r="S57" s="68">
        <v>-3698.18</v>
      </c>
      <c r="T57" s="58">
        <f t="shared" si="12"/>
        <v>-5.5598273705007384E-3</v>
      </c>
      <c r="U57" s="58">
        <f t="shared" si="13"/>
        <v>4.5844496482053332</v>
      </c>
      <c r="V57" s="68">
        <v>-20652.3</v>
      </c>
      <c r="W57" s="58">
        <f t="shared" si="14"/>
        <v>-2.9073748492697539E-2</v>
      </c>
      <c r="X57" s="58">
        <f t="shared" si="15"/>
        <v>-0.92310735366036711</v>
      </c>
      <c r="Y57" s="68">
        <v>-1588.01</v>
      </c>
      <c r="Z57" s="58">
        <f t="shared" si="16"/>
        <v>-2.9164758174620871E-3</v>
      </c>
      <c r="AA57" s="58">
        <f t="shared" si="17"/>
        <v>0.42843558919654146</v>
      </c>
      <c r="AB57" s="68">
        <v>-2268.37</v>
      </c>
      <c r="AC57" s="58">
        <f t="shared" si="18"/>
        <v>-5.4650676514647724E-3</v>
      </c>
      <c r="AD57" s="58">
        <f t="shared" si="19"/>
        <v>0.40715579909803079</v>
      </c>
      <c r="AE57" s="68">
        <v>-3191.95</v>
      </c>
      <c r="AF57" s="58">
        <f t="shared" si="20"/>
        <v>-9.0046358803348645E-3</v>
      </c>
      <c r="AG57" s="58">
        <f t="shared" si="21"/>
        <v>-9.6602390388320636E-2</v>
      </c>
      <c r="AH57" s="68">
        <v>-2883.6</v>
      </c>
      <c r="AI57" s="58">
        <f t="shared" si="22"/>
        <v>-8.8154508476708995E-3</v>
      </c>
      <c r="AJ57" s="58">
        <f t="shared" si="23"/>
        <v>4.9332847829102517</v>
      </c>
      <c r="AK57" s="68">
        <v>-17109.22</v>
      </c>
      <c r="AL57" s="58">
        <f t="shared" si="24"/>
        <v>-8.5908052100512541E-2</v>
      </c>
      <c r="AM57" s="68">
        <f>SUM(D57:AK57)</f>
        <v>-102253.67024306535</v>
      </c>
      <c r="AN57" s="58">
        <f t="shared" si="25"/>
        <v>-1.4721084238585183E-2</v>
      </c>
      <c r="AO57" s="73"/>
      <c r="AP57" s="73"/>
      <c r="AQ57" s="73"/>
      <c r="AR57" s="73"/>
      <c r="AS57" s="73"/>
      <c r="AT57" s="60"/>
      <c r="AU57" s="61"/>
      <c r="AV57" s="65"/>
      <c r="AW57" s="62"/>
      <c r="AX57" s="61"/>
      <c r="AY57" s="64"/>
      <c r="AZ57" s="64"/>
      <c r="BA57" s="64"/>
      <c r="BB57" s="64"/>
      <c r="BC57" s="60"/>
      <c r="BD57" s="61"/>
      <c r="BE57" s="65"/>
      <c r="BF57" s="62"/>
      <c r="BG57" s="61"/>
      <c r="BH57" s="64"/>
      <c r="BI57" s="64"/>
      <c r="BJ57" s="64"/>
      <c r="BK57" s="64"/>
      <c r="BL57" s="60"/>
      <c r="BM57" s="61"/>
      <c r="BN57" s="65"/>
      <c r="BO57" s="62"/>
      <c r="BP57" s="61"/>
      <c r="BQ57" s="64"/>
      <c r="BR57" s="64"/>
      <c r="BS57" s="64"/>
      <c r="BT57" s="64"/>
    </row>
    <row r="58" spans="1:72" s="63" customFormat="1" x14ac:dyDescent="0.25">
      <c r="A58" s="55" t="s">
        <v>7</v>
      </c>
      <c r="B58" s="56" t="s">
        <v>7</v>
      </c>
      <c r="C58" s="55" t="s">
        <v>8</v>
      </c>
      <c r="D58" s="57">
        <f>D59+D67</f>
        <v>-283701.42</v>
      </c>
      <c r="E58" s="58">
        <f t="shared" si="1"/>
        <v>-0.47572259082759788</v>
      </c>
      <c r="F58" s="58">
        <f t="shared" si="2"/>
        <v>0.75892746677122735</v>
      </c>
      <c r="G58" s="57">
        <f t="shared" ref="G58:AK58" si="36">G59+G67</f>
        <v>-499010.22</v>
      </c>
      <c r="H58" s="58">
        <f t="shared" si="4"/>
        <v>-0.6726433647288248</v>
      </c>
      <c r="I58" s="58">
        <f t="shared" si="5"/>
        <v>-0.49462445879364958</v>
      </c>
      <c r="J58" s="57">
        <f t="shared" si="36"/>
        <v>-252187.56</v>
      </c>
      <c r="K58" s="58">
        <f t="shared" si="6"/>
        <v>-0.35391512589979851</v>
      </c>
      <c r="L58" s="58">
        <f t="shared" si="7"/>
        <v>0.79730891563406203</v>
      </c>
      <c r="M58" s="57">
        <f t="shared" si="36"/>
        <v>-453258.94999999995</v>
      </c>
      <c r="N58" s="58">
        <f t="shared" si="8"/>
        <v>-0.62597629485283623</v>
      </c>
      <c r="O58" s="58">
        <f t="shared" si="9"/>
        <v>0.18303038472820021</v>
      </c>
      <c r="P58" s="57">
        <f t="shared" si="36"/>
        <v>-536219.11</v>
      </c>
      <c r="Q58" s="58">
        <f t="shared" si="10"/>
        <v>-0.56126395361633796</v>
      </c>
      <c r="R58" s="58">
        <f t="shared" si="11"/>
        <v>-1.7809305602704089</v>
      </c>
      <c r="S58" s="57">
        <f t="shared" si="36"/>
        <v>418749.89</v>
      </c>
      <c r="T58" s="58">
        <f t="shared" si="12"/>
        <v>0.62954672293294911</v>
      </c>
      <c r="U58" s="58">
        <f t="shared" si="13"/>
        <v>-2.1164649141758582</v>
      </c>
      <c r="V58" s="57">
        <f t="shared" si="36"/>
        <v>-467519.56</v>
      </c>
      <c r="W58" s="58">
        <f t="shared" si="14"/>
        <v>-0.65816137199520719</v>
      </c>
      <c r="X58" s="58">
        <f t="shared" si="15"/>
        <v>-0.69696236880441975</v>
      </c>
      <c r="Y58" s="57">
        <f t="shared" si="36"/>
        <v>-141676.01999999999</v>
      </c>
      <c r="Z58" s="58">
        <f t="shared" si="16"/>
        <v>-0.2601965266240609</v>
      </c>
      <c r="AA58" s="58">
        <f t="shared" si="17"/>
        <v>0.39910564963640294</v>
      </c>
      <c r="AB58" s="57">
        <f t="shared" si="36"/>
        <v>-198219.72</v>
      </c>
      <c r="AC58" s="58">
        <f t="shared" si="18"/>
        <v>-0.47756061826527629</v>
      </c>
      <c r="AD58" s="58">
        <f t="shared" si="19"/>
        <v>-0.26659930707197055</v>
      </c>
      <c r="AE58" s="57">
        <f t="shared" si="36"/>
        <v>-145374.47999999998</v>
      </c>
      <c r="AF58" s="58">
        <f t="shared" si="20"/>
        <v>-0.41010800880121023</v>
      </c>
      <c r="AG58" s="58">
        <f t="shared" si="21"/>
        <v>2.9881998546099853E-2</v>
      </c>
      <c r="AH58" s="57">
        <f t="shared" si="36"/>
        <v>-149718.56</v>
      </c>
      <c r="AI58" s="58">
        <f t="shared" si="22"/>
        <v>-0.45770446894994671</v>
      </c>
      <c r="AJ58" s="58">
        <f t="shared" si="23"/>
        <v>16.703920809818097</v>
      </c>
      <c r="AK58" s="57">
        <f t="shared" si="36"/>
        <v>-2650605.5299999993</v>
      </c>
      <c r="AL58" s="58">
        <f t="shared" si="24"/>
        <v>-13.309102224949271</v>
      </c>
      <c r="AM58" s="57">
        <f>SUM(D58:AK58)</f>
        <v>-5358732.0471119862</v>
      </c>
      <c r="AN58" s="58">
        <f t="shared" si="25"/>
        <v>-0.77147691315159894</v>
      </c>
      <c r="AO58" s="64"/>
      <c r="AP58" s="64"/>
      <c r="AQ58" s="64"/>
      <c r="AR58" s="64"/>
      <c r="AS58" s="64"/>
      <c r="AT58" s="60"/>
      <c r="AU58" s="61"/>
      <c r="AV58" s="65"/>
      <c r="AW58" s="62"/>
      <c r="AX58" s="61"/>
      <c r="AY58" s="64"/>
      <c r="AZ58" s="64"/>
      <c r="BA58" s="64"/>
      <c r="BB58" s="64"/>
      <c r="BC58" s="60"/>
      <c r="BD58" s="61"/>
      <c r="BE58" s="65"/>
      <c r="BF58" s="62"/>
      <c r="BG58" s="61"/>
      <c r="BH58" s="64"/>
      <c r="BI58" s="64"/>
      <c r="BJ58" s="64"/>
      <c r="BK58" s="64"/>
      <c r="BL58" s="60"/>
      <c r="BM58" s="61"/>
      <c r="BN58" s="65"/>
      <c r="BO58" s="62"/>
      <c r="BP58" s="61"/>
      <c r="BQ58" s="64"/>
      <c r="BR58" s="64"/>
      <c r="BS58" s="64"/>
      <c r="BT58" s="64"/>
    </row>
    <row r="59" spans="1:72" s="63" customFormat="1" x14ac:dyDescent="0.25">
      <c r="A59" s="55" t="s">
        <v>353</v>
      </c>
      <c r="B59" s="56">
        <v>42</v>
      </c>
      <c r="C59" s="55" t="s">
        <v>354</v>
      </c>
      <c r="D59" s="57">
        <f>D60</f>
        <v>-264126.17</v>
      </c>
      <c r="E59" s="58">
        <f t="shared" si="1"/>
        <v>-0.44289798019964288</v>
      </c>
      <c r="F59" s="58">
        <f t="shared" si="2"/>
        <v>0.8485828193397118</v>
      </c>
      <c r="G59" s="57">
        <f t="shared" ref="G59:AK61" si="37">G60</f>
        <v>-488259.1</v>
      </c>
      <c r="H59" s="58">
        <f t="shared" si="4"/>
        <v>-0.65815133782924884</v>
      </c>
      <c r="I59" s="58">
        <f t="shared" si="5"/>
        <v>-0.5256352825784506</v>
      </c>
      <c r="J59" s="57">
        <f t="shared" si="37"/>
        <v>-231612.89</v>
      </c>
      <c r="K59" s="58">
        <f t="shared" si="6"/>
        <v>-0.32504103344497326</v>
      </c>
      <c r="L59" s="58">
        <f t="shared" si="7"/>
        <v>0.64621256614862821</v>
      </c>
      <c r="M59" s="57">
        <f t="shared" si="37"/>
        <v>-381284.05</v>
      </c>
      <c r="N59" s="58">
        <f t="shared" si="8"/>
        <v>-0.52657487933880531</v>
      </c>
      <c r="O59" s="58">
        <f t="shared" si="9"/>
        <v>0.36617763056178187</v>
      </c>
      <c r="P59" s="57">
        <f t="shared" si="37"/>
        <v>-520901.74</v>
      </c>
      <c r="Q59" s="58">
        <f t="shared" si="10"/>
        <v>-0.54523116499527546</v>
      </c>
      <c r="R59" s="58">
        <f t="shared" si="11"/>
        <v>-1.8903354210335332</v>
      </c>
      <c r="S59" s="57">
        <f t="shared" si="37"/>
        <v>463777.27</v>
      </c>
      <c r="T59" s="58">
        <f t="shared" si="12"/>
        <v>0.69724068584063281</v>
      </c>
      <c r="U59" s="58">
        <f t="shared" si="13"/>
        <v>-1.9694240944581005</v>
      </c>
      <c r="V59" s="57">
        <f t="shared" si="37"/>
        <v>-449596.86</v>
      </c>
      <c r="W59" s="58">
        <f t="shared" si="14"/>
        <v>-0.63293028044075217</v>
      </c>
      <c r="X59" s="58">
        <f t="shared" si="15"/>
        <v>-0.6864724099719024</v>
      </c>
      <c r="Y59" s="57">
        <f t="shared" si="37"/>
        <v>-140961.01999999999</v>
      </c>
      <c r="Z59" s="58">
        <f t="shared" si="16"/>
        <v>-0.25888338614668016</v>
      </c>
      <c r="AA59" s="58">
        <f t="shared" si="17"/>
        <v>0.3911201834379463</v>
      </c>
      <c r="AB59" s="57">
        <f t="shared" si="37"/>
        <v>-196093.72</v>
      </c>
      <c r="AC59" s="58">
        <f t="shared" si="18"/>
        <v>-0.47243855536239271</v>
      </c>
      <c r="AD59" s="58">
        <f t="shared" si="19"/>
        <v>-0.26289592547889862</v>
      </c>
      <c r="AE59" s="57">
        <f t="shared" si="37"/>
        <v>-144541.47999999998</v>
      </c>
      <c r="AF59" s="58">
        <f t="shared" si="20"/>
        <v>-0.40775807797888564</v>
      </c>
      <c r="AG59" s="58">
        <f t="shared" si="21"/>
        <v>0.14569976729171441</v>
      </c>
      <c r="AH59" s="57">
        <f t="shared" si="37"/>
        <v>-165601.13999999998</v>
      </c>
      <c r="AI59" s="58">
        <f t="shared" si="22"/>
        <v>-0.50625908932870967</v>
      </c>
      <c r="AJ59" s="58">
        <f t="shared" si="23"/>
        <v>15.027785074426419</v>
      </c>
      <c r="AK59" s="57">
        <f t="shared" si="37"/>
        <v>-2654219.4799999995</v>
      </c>
      <c r="AL59" s="58">
        <f t="shared" si="24"/>
        <v>-13.327248429445365</v>
      </c>
      <c r="AM59" s="57">
        <f>SUM(D59:AK59)</f>
        <v>-5173412.3681101911</v>
      </c>
      <c r="AN59" s="58">
        <f t="shared" si="25"/>
        <v>-0.74479712161777867</v>
      </c>
      <c r="AO59" s="64"/>
      <c r="AP59" s="64"/>
      <c r="AQ59" s="64"/>
      <c r="AR59" s="64"/>
      <c r="AS59" s="64"/>
      <c r="AT59" s="60"/>
      <c r="AU59" s="61"/>
      <c r="AV59" s="65"/>
      <c r="AW59" s="62"/>
      <c r="AX59" s="61"/>
      <c r="AY59" s="64"/>
      <c r="AZ59" s="64"/>
      <c r="BA59" s="64"/>
      <c r="BB59" s="64"/>
      <c r="BC59" s="60"/>
      <c r="BD59" s="61"/>
      <c r="BE59" s="65"/>
      <c r="BF59" s="62"/>
      <c r="BG59" s="61"/>
      <c r="BH59" s="64"/>
      <c r="BI59" s="64"/>
      <c r="BJ59" s="64"/>
      <c r="BK59" s="64"/>
      <c r="BL59" s="60"/>
      <c r="BM59" s="61"/>
      <c r="BN59" s="65"/>
      <c r="BO59" s="62"/>
      <c r="BP59" s="61"/>
      <c r="BQ59" s="64"/>
      <c r="BR59" s="64"/>
      <c r="BS59" s="64"/>
      <c r="BT59" s="64"/>
    </row>
    <row r="60" spans="1:72" s="63" customFormat="1" x14ac:dyDescent="0.25">
      <c r="A60" s="55" t="s">
        <v>355</v>
      </c>
      <c r="B60" s="56">
        <v>420</v>
      </c>
      <c r="C60" s="55" t="s">
        <v>354</v>
      </c>
      <c r="D60" s="57">
        <f>D61</f>
        <v>-264126.17</v>
      </c>
      <c r="E60" s="58">
        <f t="shared" si="1"/>
        <v>-0.44289798019964288</v>
      </c>
      <c r="F60" s="58">
        <f t="shared" si="2"/>
        <v>0.8485828193397118</v>
      </c>
      <c r="G60" s="57">
        <f t="shared" si="37"/>
        <v>-488259.1</v>
      </c>
      <c r="H60" s="58">
        <f t="shared" si="4"/>
        <v>-0.65815133782924884</v>
      </c>
      <c r="I60" s="58">
        <f t="shared" si="5"/>
        <v>-0.5256352825784506</v>
      </c>
      <c r="J60" s="57">
        <f t="shared" si="37"/>
        <v>-231612.89</v>
      </c>
      <c r="K60" s="58">
        <f t="shared" si="6"/>
        <v>-0.32504103344497326</v>
      </c>
      <c r="L60" s="58">
        <f t="shared" si="7"/>
        <v>0.64621256614862821</v>
      </c>
      <c r="M60" s="57">
        <f t="shared" si="37"/>
        <v>-381284.05</v>
      </c>
      <c r="N60" s="58">
        <f t="shared" si="8"/>
        <v>-0.52657487933880531</v>
      </c>
      <c r="O60" s="58">
        <f t="shared" si="9"/>
        <v>0.36617763056178187</v>
      </c>
      <c r="P60" s="57">
        <f t="shared" si="37"/>
        <v>-520901.74</v>
      </c>
      <c r="Q60" s="58">
        <f t="shared" si="10"/>
        <v>-0.54523116499527546</v>
      </c>
      <c r="R60" s="58">
        <f t="shared" si="11"/>
        <v>-1.8903354210335332</v>
      </c>
      <c r="S60" s="57">
        <f t="shared" si="37"/>
        <v>463777.27</v>
      </c>
      <c r="T60" s="58">
        <f t="shared" si="12"/>
        <v>0.69724068584063281</v>
      </c>
      <c r="U60" s="58">
        <f t="shared" si="13"/>
        <v>-1.9694240944581005</v>
      </c>
      <c r="V60" s="57">
        <f t="shared" si="37"/>
        <v>-449596.86</v>
      </c>
      <c r="W60" s="58">
        <f t="shared" si="14"/>
        <v>-0.63293028044075217</v>
      </c>
      <c r="X60" s="58">
        <f t="shared" si="15"/>
        <v>-0.6864724099719024</v>
      </c>
      <c r="Y60" s="57">
        <f t="shared" si="37"/>
        <v>-140961.01999999999</v>
      </c>
      <c r="Z60" s="58">
        <f t="shared" si="16"/>
        <v>-0.25888338614668016</v>
      </c>
      <c r="AA60" s="58">
        <f t="shared" si="17"/>
        <v>0.3911201834379463</v>
      </c>
      <c r="AB60" s="57">
        <f t="shared" si="37"/>
        <v>-196093.72</v>
      </c>
      <c r="AC60" s="58">
        <f t="shared" si="18"/>
        <v>-0.47243855536239271</v>
      </c>
      <c r="AD60" s="58">
        <f t="shared" si="19"/>
        <v>-0.26289592547889862</v>
      </c>
      <c r="AE60" s="57">
        <f t="shared" si="37"/>
        <v>-144541.47999999998</v>
      </c>
      <c r="AF60" s="58">
        <f t="shared" si="20"/>
        <v>-0.40775807797888564</v>
      </c>
      <c r="AG60" s="58">
        <f t="shared" si="21"/>
        <v>0.14569976729171441</v>
      </c>
      <c r="AH60" s="57">
        <f t="shared" si="37"/>
        <v>-165601.13999999998</v>
      </c>
      <c r="AI60" s="58">
        <f t="shared" si="22"/>
        <v>-0.50625908932870967</v>
      </c>
      <c r="AJ60" s="58">
        <f t="shared" si="23"/>
        <v>15.027785074426419</v>
      </c>
      <c r="AK60" s="57">
        <f t="shared" si="37"/>
        <v>-2654219.4799999995</v>
      </c>
      <c r="AL60" s="58">
        <f t="shared" si="24"/>
        <v>-13.327248429445365</v>
      </c>
      <c r="AM60" s="57">
        <f>SUM(D60:AK60)</f>
        <v>-5173412.3681101911</v>
      </c>
      <c r="AN60" s="58">
        <f t="shared" si="25"/>
        <v>-0.74479712161777867</v>
      </c>
      <c r="AO60" s="64"/>
      <c r="AP60" s="64"/>
      <c r="AQ60" s="64"/>
      <c r="AR60" s="64"/>
      <c r="AS60" s="64"/>
      <c r="AT60" s="60"/>
      <c r="AU60" s="61"/>
      <c r="AV60" s="65"/>
      <c r="AW60" s="62"/>
      <c r="AX60" s="61"/>
      <c r="AY60" s="64"/>
      <c r="AZ60" s="64"/>
      <c r="BA60" s="64"/>
      <c r="BB60" s="64"/>
      <c r="BC60" s="60"/>
      <c r="BD60" s="61"/>
      <c r="BE60" s="65"/>
      <c r="BF60" s="62"/>
      <c r="BG60" s="61"/>
      <c r="BH60" s="64"/>
      <c r="BI60" s="64"/>
      <c r="BJ60" s="64"/>
      <c r="BK60" s="64"/>
      <c r="BL60" s="60"/>
      <c r="BM60" s="61"/>
      <c r="BN60" s="65"/>
      <c r="BO60" s="62"/>
      <c r="BP60" s="61"/>
      <c r="BQ60" s="64"/>
      <c r="BR60" s="64"/>
      <c r="BS60" s="64"/>
      <c r="BT60" s="64"/>
    </row>
    <row r="61" spans="1:72" s="63" customFormat="1" x14ac:dyDescent="0.25">
      <c r="A61" s="55" t="s">
        <v>356</v>
      </c>
      <c r="B61" s="56">
        <v>4200</v>
      </c>
      <c r="C61" s="55" t="s">
        <v>354</v>
      </c>
      <c r="D61" s="57">
        <f>D62</f>
        <v>-264126.17</v>
      </c>
      <c r="E61" s="58">
        <f t="shared" si="1"/>
        <v>-0.44289798019964288</v>
      </c>
      <c r="F61" s="58">
        <f t="shared" si="2"/>
        <v>0.8485828193397118</v>
      </c>
      <c r="G61" s="57">
        <f t="shared" si="37"/>
        <v>-488259.1</v>
      </c>
      <c r="H61" s="58">
        <f t="shared" si="4"/>
        <v>-0.65815133782924884</v>
      </c>
      <c r="I61" s="58">
        <f t="shared" si="5"/>
        <v>-0.5256352825784506</v>
      </c>
      <c r="J61" s="57">
        <f t="shared" si="37"/>
        <v>-231612.89</v>
      </c>
      <c r="K61" s="58">
        <f t="shared" si="6"/>
        <v>-0.32504103344497326</v>
      </c>
      <c r="L61" s="58">
        <f t="shared" si="7"/>
        <v>0.64621256614862821</v>
      </c>
      <c r="M61" s="57">
        <f t="shared" si="37"/>
        <v>-381284.05</v>
      </c>
      <c r="N61" s="58">
        <f t="shared" si="8"/>
        <v>-0.52657487933880531</v>
      </c>
      <c r="O61" s="58">
        <f t="shared" si="9"/>
        <v>0.36617763056178187</v>
      </c>
      <c r="P61" s="57">
        <f t="shared" si="37"/>
        <v>-520901.74</v>
      </c>
      <c r="Q61" s="58">
        <f t="shared" si="10"/>
        <v>-0.54523116499527546</v>
      </c>
      <c r="R61" s="58">
        <f t="shared" si="11"/>
        <v>-1.8903354210335332</v>
      </c>
      <c r="S61" s="57">
        <f t="shared" si="37"/>
        <v>463777.27</v>
      </c>
      <c r="T61" s="58">
        <f t="shared" si="12"/>
        <v>0.69724068584063281</v>
      </c>
      <c r="U61" s="58">
        <f t="shared" si="13"/>
        <v>-1.9694240944581005</v>
      </c>
      <c r="V61" s="57">
        <f t="shared" si="37"/>
        <v>-449596.86</v>
      </c>
      <c r="W61" s="58">
        <f t="shared" si="14"/>
        <v>-0.63293028044075217</v>
      </c>
      <c r="X61" s="58">
        <f t="shared" si="15"/>
        <v>-0.6864724099719024</v>
      </c>
      <c r="Y61" s="57">
        <f t="shared" si="37"/>
        <v>-140961.01999999999</v>
      </c>
      <c r="Z61" s="58">
        <f t="shared" si="16"/>
        <v>-0.25888338614668016</v>
      </c>
      <c r="AA61" s="58">
        <f t="shared" si="17"/>
        <v>0.3911201834379463</v>
      </c>
      <c r="AB61" s="57">
        <f t="shared" si="37"/>
        <v>-196093.72</v>
      </c>
      <c r="AC61" s="58">
        <f t="shared" si="18"/>
        <v>-0.47243855536239271</v>
      </c>
      <c r="AD61" s="58">
        <f t="shared" si="19"/>
        <v>-0.26289592547889862</v>
      </c>
      <c r="AE61" s="57">
        <f t="shared" si="37"/>
        <v>-144541.47999999998</v>
      </c>
      <c r="AF61" s="58">
        <f t="shared" si="20"/>
        <v>-0.40775807797888564</v>
      </c>
      <c r="AG61" s="58">
        <f t="shared" si="21"/>
        <v>0.14569976729171441</v>
      </c>
      <c r="AH61" s="57">
        <f t="shared" si="37"/>
        <v>-165601.13999999998</v>
      </c>
      <c r="AI61" s="58">
        <f t="shared" si="22"/>
        <v>-0.50625908932870967</v>
      </c>
      <c r="AJ61" s="58">
        <f t="shared" si="23"/>
        <v>15.027785074426419</v>
      </c>
      <c r="AK61" s="57">
        <f t="shared" si="37"/>
        <v>-2654219.4799999995</v>
      </c>
      <c r="AL61" s="58">
        <f t="shared" si="24"/>
        <v>-13.327248429445365</v>
      </c>
      <c r="AM61" s="57">
        <f>SUM(D61:AK61)</f>
        <v>-5173412.3681101911</v>
      </c>
      <c r="AN61" s="58">
        <f t="shared" si="25"/>
        <v>-0.74479712161777867</v>
      </c>
      <c r="AO61" s="64"/>
      <c r="AP61" s="64"/>
      <c r="AQ61" s="64"/>
      <c r="AR61" s="64"/>
      <c r="AS61" s="64"/>
      <c r="AT61" s="60"/>
      <c r="AU61" s="61"/>
      <c r="AV61" s="65"/>
      <c r="AW61" s="62"/>
      <c r="AX61" s="61"/>
      <c r="AY61" s="64"/>
      <c r="AZ61" s="64"/>
      <c r="BA61" s="64"/>
      <c r="BB61" s="64"/>
      <c r="BC61" s="60"/>
      <c r="BD61" s="61"/>
      <c r="BE61" s="65"/>
      <c r="BF61" s="62"/>
      <c r="BG61" s="61"/>
      <c r="BH61" s="64"/>
      <c r="BI61" s="64"/>
      <c r="BJ61" s="64"/>
      <c r="BK61" s="64"/>
      <c r="BL61" s="60"/>
      <c r="BM61" s="61"/>
      <c r="BN61" s="65"/>
      <c r="BO61" s="62"/>
      <c r="BP61" s="61"/>
      <c r="BQ61" s="64"/>
      <c r="BR61" s="64"/>
      <c r="BS61" s="64"/>
      <c r="BT61" s="64"/>
    </row>
    <row r="62" spans="1:72" s="63" customFormat="1" x14ac:dyDescent="0.25">
      <c r="A62" s="55" t="s">
        <v>357</v>
      </c>
      <c r="B62" s="56">
        <v>420000</v>
      </c>
      <c r="C62" s="55" t="s">
        <v>354</v>
      </c>
      <c r="D62" s="57">
        <f>SUM(D63:D66)</f>
        <v>-264126.17</v>
      </c>
      <c r="E62" s="58">
        <f t="shared" si="1"/>
        <v>-0.44289798019964288</v>
      </c>
      <c r="F62" s="58">
        <f t="shared" si="2"/>
        <v>0.8485828193397118</v>
      </c>
      <c r="G62" s="57">
        <f t="shared" ref="G62:AK62" si="38">SUM(G63:G66)</f>
        <v>-488259.1</v>
      </c>
      <c r="H62" s="58">
        <f t="shared" si="4"/>
        <v>-0.65815133782924884</v>
      </c>
      <c r="I62" s="58">
        <f t="shared" si="5"/>
        <v>-0.5256352825784506</v>
      </c>
      <c r="J62" s="57">
        <f t="shared" si="38"/>
        <v>-231612.89</v>
      </c>
      <c r="K62" s="58">
        <f t="shared" si="6"/>
        <v>-0.32504103344497326</v>
      </c>
      <c r="L62" s="58">
        <f t="shared" si="7"/>
        <v>0.64621256614862821</v>
      </c>
      <c r="M62" s="57">
        <f t="shared" si="38"/>
        <v>-381284.05</v>
      </c>
      <c r="N62" s="58">
        <f t="shared" si="8"/>
        <v>-0.52657487933880531</v>
      </c>
      <c r="O62" s="58">
        <f t="shared" si="9"/>
        <v>0.36617763056178187</v>
      </c>
      <c r="P62" s="57">
        <f t="shared" si="38"/>
        <v>-520901.74</v>
      </c>
      <c r="Q62" s="58">
        <f t="shared" si="10"/>
        <v>-0.54523116499527546</v>
      </c>
      <c r="R62" s="58">
        <f t="shared" si="11"/>
        <v>-1.8903354210335332</v>
      </c>
      <c r="S62" s="57">
        <f t="shared" si="38"/>
        <v>463777.27</v>
      </c>
      <c r="T62" s="58">
        <f t="shared" si="12"/>
        <v>0.69724068584063281</v>
      </c>
      <c r="U62" s="58">
        <f t="shared" si="13"/>
        <v>-1.9694240944581005</v>
      </c>
      <c r="V62" s="57">
        <f t="shared" si="38"/>
        <v>-449596.86</v>
      </c>
      <c r="W62" s="58">
        <f t="shared" si="14"/>
        <v>-0.63293028044075217</v>
      </c>
      <c r="X62" s="58">
        <f t="shared" si="15"/>
        <v>-0.6864724099719024</v>
      </c>
      <c r="Y62" s="57">
        <f t="shared" si="38"/>
        <v>-140961.01999999999</v>
      </c>
      <c r="Z62" s="58">
        <f t="shared" si="16"/>
        <v>-0.25888338614668016</v>
      </c>
      <c r="AA62" s="58">
        <f t="shared" si="17"/>
        <v>0.3911201834379463</v>
      </c>
      <c r="AB62" s="57">
        <f t="shared" si="38"/>
        <v>-196093.72</v>
      </c>
      <c r="AC62" s="58">
        <f t="shared" si="18"/>
        <v>-0.47243855536239271</v>
      </c>
      <c r="AD62" s="58">
        <f t="shared" si="19"/>
        <v>-0.26289592547889862</v>
      </c>
      <c r="AE62" s="57">
        <f t="shared" si="38"/>
        <v>-144541.47999999998</v>
      </c>
      <c r="AF62" s="58">
        <f t="shared" si="20"/>
        <v>-0.40775807797888564</v>
      </c>
      <c r="AG62" s="58">
        <f t="shared" si="21"/>
        <v>0.14569976729171441</v>
      </c>
      <c r="AH62" s="57">
        <f t="shared" si="38"/>
        <v>-165601.13999999998</v>
      </c>
      <c r="AI62" s="58">
        <f t="shared" si="22"/>
        <v>-0.50625908932870967</v>
      </c>
      <c r="AJ62" s="58">
        <f t="shared" si="23"/>
        <v>15.027785074426419</v>
      </c>
      <c r="AK62" s="57">
        <f t="shared" si="38"/>
        <v>-2654219.4799999995</v>
      </c>
      <c r="AL62" s="58">
        <f t="shared" si="24"/>
        <v>-13.327248429445365</v>
      </c>
      <c r="AM62" s="57">
        <f>SUM(D62:AK62)</f>
        <v>-5173412.3681101911</v>
      </c>
      <c r="AN62" s="58">
        <f t="shared" si="25"/>
        <v>-0.74479712161777867</v>
      </c>
      <c r="AO62" s="64"/>
      <c r="AP62" s="64"/>
      <c r="AQ62" s="64"/>
      <c r="AR62" s="64"/>
      <c r="AS62" s="64"/>
      <c r="AT62" s="60"/>
      <c r="AU62" s="61"/>
      <c r="AV62" s="65"/>
      <c r="AW62" s="62"/>
      <c r="AX62" s="61"/>
      <c r="AY62" s="64"/>
      <c r="AZ62" s="64"/>
      <c r="BA62" s="64"/>
      <c r="BB62" s="64"/>
      <c r="BC62" s="60"/>
      <c r="BD62" s="61"/>
      <c r="BE62" s="65"/>
      <c r="BF62" s="62"/>
      <c r="BG62" s="61"/>
      <c r="BH62" s="64"/>
      <c r="BI62" s="64"/>
      <c r="BJ62" s="64"/>
      <c r="BK62" s="64"/>
      <c r="BL62" s="60"/>
      <c r="BM62" s="61"/>
      <c r="BN62" s="65"/>
      <c r="BO62" s="62"/>
      <c r="BP62" s="61"/>
      <c r="BQ62" s="64"/>
      <c r="BR62" s="64"/>
      <c r="BS62" s="64"/>
      <c r="BT62" s="64"/>
    </row>
    <row r="63" spans="1:72" s="74" customFormat="1" x14ac:dyDescent="0.25">
      <c r="A63" s="66" t="s">
        <v>358</v>
      </c>
      <c r="B63" s="67">
        <v>420000001</v>
      </c>
      <c r="C63" s="66" t="s">
        <v>354</v>
      </c>
      <c r="D63" s="68">
        <v>-264126.17</v>
      </c>
      <c r="E63" s="58">
        <f t="shared" si="1"/>
        <v>-0.44289798019964288</v>
      </c>
      <c r="F63" s="58">
        <f t="shared" si="2"/>
        <v>0.8485828193397118</v>
      </c>
      <c r="G63" s="68">
        <v>-488259.1</v>
      </c>
      <c r="H63" s="58">
        <f t="shared" si="4"/>
        <v>-0.65815133782924884</v>
      </c>
      <c r="I63" s="58">
        <f t="shared" si="5"/>
        <v>-0.5256352825784506</v>
      </c>
      <c r="J63" s="68">
        <v>-231612.89</v>
      </c>
      <c r="K63" s="58">
        <f t="shared" si="6"/>
        <v>-0.32504103344497326</v>
      </c>
      <c r="L63" s="58">
        <f t="shared" si="7"/>
        <v>0.64621256614862821</v>
      </c>
      <c r="M63" s="68">
        <v>-381284.05</v>
      </c>
      <c r="N63" s="58">
        <f t="shared" si="8"/>
        <v>-0.52657487933880531</v>
      </c>
      <c r="O63" s="58">
        <f t="shared" si="9"/>
        <v>0.36617763056178187</v>
      </c>
      <c r="P63" s="68">
        <v>-520901.74</v>
      </c>
      <c r="Q63" s="58">
        <f t="shared" si="10"/>
        <v>-0.54523116499527546</v>
      </c>
      <c r="R63" s="58">
        <f t="shared" si="11"/>
        <v>-1.8903354210335332</v>
      </c>
      <c r="S63" s="68">
        <v>463777.27</v>
      </c>
      <c r="T63" s="58">
        <f t="shared" si="12"/>
        <v>0.69724068584063281</v>
      </c>
      <c r="U63" s="58">
        <f t="shared" si="13"/>
        <v>-1.9694240944581005</v>
      </c>
      <c r="V63" s="68">
        <v>-449596.86</v>
      </c>
      <c r="W63" s="58">
        <f t="shared" si="14"/>
        <v>-0.63293028044075217</v>
      </c>
      <c r="X63" s="58">
        <f t="shared" si="15"/>
        <v>-0.6864724099719024</v>
      </c>
      <c r="Y63" s="68">
        <v>-140961.01999999999</v>
      </c>
      <c r="Z63" s="58">
        <f t="shared" si="16"/>
        <v>-0.25888338614668016</v>
      </c>
      <c r="AA63" s="58">
        <f t="shared" si="17"/>
        <v>0.3911201834379463</v>
      </c>
      <c r="AB63" s="68">
        <v>-196093.72</v>
      </c>
      <c r="AC63" s="58">
        <f t="shared" si="18"/>
        <v>-0.47243855536239271</v>
      </c>
      <c r="AD63" s="58">
        <f t="shared" si="19"/>
        <v>-0.26289592547889862</v>
      </c>
      <c r="AE63" s="68">
        <v>-144541.47999999998</v>
      </c>
      <c r="AF63" s="58">
        <f t="shared" si="20"/>
        <v>-0.40775807797888564</v>
      </c>
      <c r="AG63" s="58">
        <f t="shared" si="21"/>
        <v>-7.259770690046885E-2</v>
      </c>
      <c r="AH63" s="68">
        <v>-134048.1</v>
      </c>
      <c r="AI63" s="58">
        <f t="shared" si="22"/>
        <v>-0.4097983204236626</v>
      </c>
      <c r="AJ63" s="58">
        <f t="shared" si="23"/>
        <v>18.654404724871142</v>
      </c>
      <c r="AK63" s="68">
        <v>-2634635.6099999994</v>
      </c>
      <c r="AL63" s="58">
        <f t="shared" si="24"/>
        <v>-13.228914775176516</v>
      </c>
      <c r="AM63" s="68">
        <f>SUM(D63:AK63)</f>
        <v>-5122271.9533272451</v>
      </c>
      <c r="AN63" s="58">
        <f t="shared" si="25"/>
        <v>-0.73743462448465502</v>
      </c>
      <c r="AO63" s="64"/>
      <c r="AP63" s="64"/>
      <c r="AQ63" s="64"/>
      <c r="AR63" s="64"/>
      <c r="AS63" s="64"/>
      <c r="AT63" s="60"/>
      <c r="AU63" s="61"/>
      <c r="AV63" s="65"/>
      <c r="AW63" s="62"/>
      <c r="AX63" s="61"/>
      <c r="AY63" s="64"/>
      <c r="AZ63" s="64"/>
      <c r="BA63" s="64"/>
      <c r="BB63" s="64"/>
      <c r="BC63" s="69"/>
      <c r="BD63" s="70"/>
      <c r="BE63" s="71"/>
      <c r="BF63" s="72"/>
      <c r="BG63" s="70"/>
      <c r="BH63" s="73"/>
      <c r="BI63" s="73"/>
      <c r="BJ63" s="73"/>
      <c r="BK63" s="73"/>
      <c r="BL63" s="69"/>
      <c r="BM63" s="70"/>
      <c r="BN63" s="71"/>
      <c r="BO63" s="72"/>
      <c r="BP63" s="70"/>
      <c r="BQ63" s="73"/>
      <c r="BR63" s="73"/>
      <c r="BS63" s="73"/>
      <c r="BT63" s="73"/>
    </row>
    <row r="64" spans="1:72" s="74" customFormat="1" x14ac:dyDescent="0.25">
      <c r="A64" s="66" t="s">
        <v>359</v>
      </c>
      <c r="B64" s="67">
        <v>420000002</v>
      </c>
      <c r="C64" s="66" t="s">
        <v>360</v>
      </c>
      <c r="D64" s="68">
        <v>0</v>
      </c>
      <c r="E64" s="58">
        <f t="shared" si="1"/>
        <v>0</v>
      </c>
      <c r="F64" s="58">
        <f t="shared" si="2"/>
        <v>0</v>
      </c>
      <c r="G64" s="68">
        <v>0</v>
      </c>
      <c r="H64" s="58">
        <f t="shared" si="4"/>
        <v>0</v>
      </c>
      <c r="I64" s="58">
        <f t="shared" si="5"/>
        <v>0</v>
      </c>
      <c r="J64" s="68">
        <v>0</v>
      </c>
      <c r="K64" s="58">
        <f t="shared" si="6"/>
        <v>0</v>
      </c>
      <c r="L64" s="58">
        <f t="shared" si="7"/>
        <v>0</v>
      </c>
      <c r="M64" s="68">
        <v>0</v>
      </c>
      <c r="N64" s="58">
        <f t="shared" si="8"/>
        <v>0</v>
      </c>
      <c r="O64" s="58">
        <f t="shared" si="9"/>
        <v>0</v>
      </c>
      <c r="P64" s="68">
        <v>0</v>
      </c>
      <c r="Q64" s="58">
        <f t="shared" si="10"/>
        <v>0</v>
      </c>
      <c r="R64" s="58">
        <f t="shared" si="11"/>
        <v>0</v>
      </c>
      <c r="S64" s="68">
        <v>0</v>
      </c>
      <c r="T64" s="58">
        <f t="shared" si="12"/>
        <v>0</v>
      </c>
      <c r="U64" s="58">
        <f t="shared" si="13"/>
        <v>0</v>
      </c>
      <c r="V64" s="68">
        <v>0</v>
      </c>
      <c r="W64" s="58">
        <f t="shared" si="14"/>
        <v>0</v>
      </c>
      <c r="X64" s="58">
        <f t="shared" si="15"/>
        <v>0</v>
      </c>
      <c r="Y64" s="68">
        <v>0</v>
      </c>
      <c r="Z64" s="58">
        <f t="shared" si="16"/>
        <v>0</v>
      </c>
      <c r="AA64" s="58">
        <f t="shared" si="17"/>
        <v>0</v>
      </c>
      <c r="AB64" s="68">
        <v>0</v>
      </c>
      <c r="AC64" s="58">
        <f t="shared" si="18"/>
        <v>0</v>
      </c>
      <c r="AD64" s="58">
        <f t="shared" si="19"/>
        <v>0</v>
      </c>
      <c r="AE64" s="68">
        <v>0</v>
      </c>
      <c r="AF64" s="58">
        <f t="shared" si="20"/>
        <v>0</v>
      </c>
      <c r="AG64" s="58">
        <f t="shared" si="21"/>
        <v>0</v>
      </c>
      <c r="AH64" s="68">
        <v>-16616.3</v>
      </c>
      <c r="AI64" s="58">
        <f t="shared" si="22"/>
        <v>-5.0797675100622122E-2</v>
      </c>
      <c r="AJ64" s="58">
        <f t="shared" si="23"/>
        <v>-0.1862219627714955</v>
      </c>
      <c r="AK64" s="68">
        <v>-13521.98</v>
      </c>
      <c r="AL64" s="58">
        <f t="shared" si="24"/>
        <v>-6.7895962664697065E-2</v>
      </c>
      <c r="AM64" s="68">
        <f>SUM(D64:AK64)</f>
        <v>-30138.517019637871</v>
      </c>
      <c r="AN64" s="58">
        <f t="shared" si="25"/>
        <v>-4.3389312756938548E-3</v>
      </c>
      <c r="AO64" s="73"/>
      <c r="AP64" s="73"/>
      <c r="AQ64" s="73"/>
      <c r="AR64" s="73"/>
      <c r="AS64" s="73"/>
      <c r="AT64" s="60"/>
      <c r="AU64" s="61"/>
      <c r="AV64" s="65"/>
      <c r="AW64" s="62"/>
      <c r="AX64" s="61"/>
      <c r="AY64" s="64"/>
      <c r="AZ64" s="64"/>
      <c r="BA64" s="64"/>
      <c r="BB64" s="64"/>
      <c r="BC64" s="60"/>
      <c r="BD64" s="61"/>
      <c r="BE64" s="65"/>
      <c r="BF64" s="62"/>
      <c r="BG64" s="61"/>
      <c r="BH64" s="64"/>
      <c r="BI64" s="64"/>
      <c r="BJ64" s="64"/>
      <c r="BK64" s="64"/>
      <c r="BL64" s="60"/>
      <c r="BM64" s="61"/>
      <c r="BN64" s="65"/>
      <c r="BO64" s="62"/>
      <c r="BP64" s="61"/>
      <c r="BQ64" s="64"/>
      <c r="BR64" s="64"/>
      <c r="BS64" s="64"/>
      <c r="BT64" s="64"/>
    </row>
    <row r="65" spans="1:72" s="74" customFormat="1" x14ac:dyDescent="0.25">
      <c r="A65" s="66" t="s">
        <v>361</v>
      </c>
      <c r="B65" s="67">
        <v>420000005</v>
      </c>
      <c r="C65" s="66" t="s">
        <v>362</v>
      </c>
      <c r="D65" s="68">
        <v>0</v>
      </c>
      <c r="E65" s="58">
        <f t="shared" si="1"/>
        <v>0</v>
      </c>
      <c r="F65" s="58">
        <f t="shared" si="2"/>
        <v>0</v>
      </c>
      <c r="G65" s="68">
        <v>0</v>
      </c>
      <c r="H65" s="58">
        <f t="shared" si="4"/>
        <v>0</v>
      </c>
      <c r="I65" s="58">
        <f t="shared" si="5"/>
        <v>0</v>
      </c>
      <c r="J65" s="68">
        <v>0</v>
      </c>
      <c r="K65" s="58">
        <f t="shared" si="6"/>
        <v>0</v>
      </c>
      <c r="L65" s="58">
        <f t="shared" si="7"/>
        <v>0</v>
      </c>
      <c r="M65" s="68">
        <v>0</v>
      </c>
      <c r="N65" s="58">
        <f t="shared" si="8"/>
        <v>0</v>
      </c>
      <c r="O65" s="58">
        <f t="shared" si="9"/>
        <v>0</v>
      </c>
      <c r="P65" s="68">
        <v>0</v>
      </c>
      <c r="Q65" s="58">
        <f t="shared" si="10"/>
        <v>0</v>
      </c>
      <c r="R65" s="58">
        <f t="shared" si="11"/>
        <v>0</v>
      </c>
      <c r="S65" s="68">
        <v>0</v>
      </c>
      <c r="T65" s="58">
        <f t="shared" si="12"/>
        <v>0</v>
      </c>
      <c r="U65" s="58">
        <f t="shared" si="13"/>
        <v>0</v>
      </c>
      <c r="V65" s="68">
        <v>0</v>
      </c>
      <c r="W65" s="58">
        <f t="shared" si="14"/>
        <v>0</v>
      </c>
      <c r="X65" s="58">
        <f t="shared" si="15"/>
        <v>0</v>
      </c>
      <c r="Y65" s="68">
        <v>0</v>
      </c>
      <c r="Z65" s="58">
        <f t="shared" si="16"/>
        <v>0</v>
      </c>
      <c r="AA65" s="58">
        <f t="shared" si="17"/>
        <v>0</v>
      </c>
      <c r="AB65" s="68">
        <v>0</v>
      </c>
      <c r="AC65" s="58">
        <f t="shared" si="18"/>
        <v>0</v>
      </c>
      <c r="AD65" s="58">
        <f t="shared" si="19"/>
        <v>0</v>
      </c>
      <c r="AE65" s="68">
        <v>0</v>
      </c>
      <c r="AF65" s="58">
        <f t="shared" si="20"/>
        <v>0</v>
      </c>
      <c r="AG65" s="58">
        <f t="shared" si="21"/>
        <v>0</v>
      </c>
      <c r="AH65" s="68">
        <v>0</v>
      </c>
      <c r="AI65" s="58">
        <f t="shared" si="22"/>
        <v>0</v>
      </c>
      <c r="AJ65" s="58">
        <f t="shared" si="23"/>
        <v>0</v>
      </c>
      <c r="AK65" s="68">
        <v>-6061.89</v>
      </c>
      <c r="AL65" s="58">
        <f t="shared" si="24"/>
        <v>-3.0437691604151208E-2</v>
      </c>
      <c r="AM65" s="68">
        <f>SUM(D65:AK65)</f>
        <v>-6061.89</v>
      </c>
      <c r="AN65" s="58">
        <f t="shared" si="25"/>
        <v>-8.7270797344400522E-4</v>
      </c>
      <c r="AO65" s="73"/>
      <c r="AP65" s="73"/>
      <c r="AQ65" s="73"/>
      <c r="AR65" s="73"/>
      <c r="AS65" s="73"/>
      <c r="AT65" s="69"/>
      <c r="AU65" s="70"/>
      <c r="AV65" s="71"/>
      <c r="AW65" s="72"/>
      <c r="AX65" s="70"/>
      <c r="AY65" s="73"/>
      <c r="AZ65" s="73"/>
      <c r="BA65" s="73"/>
      <c r="BB65" s="73"/>
      <c r="BC65" s="60"/>
      <c r="BD65" s="61"/>
      <c r="BE65" s="65"/>
      <c r="BF65" s="62"/>
      <c r="BG65" s="61"/>
      <c r="BH65" s="64"/>
      <c r="BI65" s="64"/>
      <c r="BJ65" s="64"/>
      <c r="BK65" s="64"/>
      <c r="BL65" s="60"/>
      <c r="BM65" s="61"/>
      <c r="BN65" s="65"/>
      <c r="BO65" s="62"/>
      <c r="BP65" s="61"/>
      <c r="BQ65" s="64"/>
      <c r="BR65" s="64"/>
      <c r="BS65" s="64"/>
      <c r="BT65" s="64"/>
    </row>
    <row r="66" spans="1:72" s="74" customFormat="1" x14ac:dyDescent="0.25">
      <c r="A66" s="66" t="s">
        <v>363</v>
      </c>
      <c r="B66" s="67">
        <v>420000099</v>
      </c>
      <c r="C66" s="66" t="s">
        <v>364</v>
      </c>
      <c r="D66" s="68">
        <v>0</v>
      </c>
      <c r="E66" s="58">
        <f t="shared" si="1"/>
        <v>0</v>
      </c>
      <c r="F66" s="58">
        <f t="shared" si="2"/>
        <v>0</v>
      </c>
      <c r="G66" s="68">
        <v>0</v>
      </c>
      <c r="H66" s="58">
        <f t="shared" si="4"/>
        <v>0</v>
      </c>
      <c r="I66" s="58">
        <f t="shared" si="5"/>
        <v>0</v>
      </c>
      <c r="J66" s="68">
        <v>0</v>
      </c>
      <c r="K66" s="58">
        <f t="shared" si="6"/>
        <v>0</v>
      </c>
      <c r="L66" s="58">
        <f t="shared" si="7"/>
        <v>0</v>
      </c>
      <c r="M66" s="68">
        <v>0</v>
      </c>
      <c r="N66" s="58">
        <f t="shared" si="8"/>
        <v>0</v>
      </c>
      <c r="O66" s="58">
        <f t="shared" si="9"/>
        <v>0</v>
      </c>
      <c r="P66" s="68">
        <v>0</v>
      </c>
      <c r="Q66" s="58">
        <f t="shared" si="10"/>
        <v>0</v>
      </c>
      <c r="R66" s="58">
        <f t="shared" si="11"/>
        <v>0</v>
      </c>
      <c r="S66" s="68">
        <v>0</v>
      </c>
      <c r="T66" s="58">
        <f t="shared" si="12"/>
        <v>0</v>
      </c>
      <c r="U66" s="58">
        <f t="shared" si="13"/>
        <v>0</v>
      </c>
      <c r="V66" s="68">
        <v>0</v>
      </c>
      <c r="W66" s="58">
        <f t="shared" si="14"/>
        <v>0</v>
      </c>
      <c r="X66" s="58">
        <f t="shared" si="15"/>
        <v>0</v>
      </c>
      <c r="Y66" s="68">
        <v>0</v>
      </c>
      <c r="Z66" s="58">
        <f t="shared" si="16"/>
        <v>0</v>
      </c>
      <c r="AA66" s="58">
        <f t="shared" si="17"/>
        <v>0</v>
      </c>
      <c r="AB66" s="68">
        <v>0</v>
      </c>
      <c r="AC66" s="58">
        <f t="shared" si="18"/>
        <v>0</v>
      </c>
      <c r="AD66" s="58">
        <f t="shared" si="19"/>
        <v>0</v>
      </c>
      <c r="AE66" s="68">
        <v>0</v>
      </c>
      <c r="AF66" s="58">
        <f t="shared" si="20"/>
        <v>0</v>
      </c>
      <c r="AG66" s="58">
        <f t="shared" si="21"/>
        <v>0</v>
      </c>
      <c r="AH66" s="68">
        <v>-14936.74</v>
      </c>
      <c r="AI66" s="58">
        <f t="shared" si="22"/>
        <v>-4.5663093804424959E-2</v>
      </c>
      <c r="AJ66" s="58">
        <f t="shared" si="23"/>
        <v>-1</v>
      </c>
      <c r="AK66" s="68">
        <v>0</v>
      </c>
      <c r="AL66" s="58">
        <f t="shared" si="24"/>
        <v>0</v>
      </c>
      <c r="AM66" s="68">
        <f>SUM(D66:AK66)</f>
        <v>-14937.785663093804</v>
      </c>
      <c r="AN66" s="58">
        <f t="shared" si="25"/>
        <v>-2.1505379764033177E-3</v>
      </c>
      <c r="AO66" s="73"/>
      <c r="AP66" s="73"/>
      <c r="AQ66" s="73"/>
      <c r="AR66" s="73"/>
      <c r="AS66" s="73"/>
      <c r="AT66" s="69"/>
      <c r="AU66" s="70"/>
      <c r="AV66" s="71"/>
      <c r="AW66" s="72"/>
      <c r="AX66" s="70"/>
      <c r="AY66" s="73"/>
      <c r="AZ66" s="73"/>
      <c r="BA66" s="73"/>
      <c r="BB66" s="73"/>
      <c r="BC66" s="69"/>
      <c r="BD66" s="70"/>
      <c r="BE66" s="71"/>
      <c r="BF66" s="72"/>
      <c r="BG66" s="70"/>
      <c r="BH66" s="73"/>
      <c r="BI66" s="73"/>
      <c r="BJ66" s="73"/>
      <c r="BK66" s="73"/>
      <c r="BL66" s="69"/>
      <c r="BM66" s="70"/>
      <c r="BN66" s="71"/>
      <c r="BO66" s="72"/>
      <c r="BP66" s="70"/>
      <c r="BQ66" s="73"/>
      <c r="BR66" s="73"/>
      <c r="BS66" s="73"/>
      <c r="BT66" s="73"/>
    </row>
    <row r="67" spans="1:72" s="63" customFormat="1" x14ac:dyDescent="0.25">
      <c r="A67" s="55" t="s">
        <v>365</v>
      </c>
      <c r="B67" s="56">
        <v>43</v>
      </c>
      <c r="C67" s="55" t="s">
        <v>366</v>
      </c>
      <c r="D67" s="57">
        <f>D68</f>
        <v>-19575.25</v>
      </c>
      <c r="E67" s="58">
        <f t="shared" si="1"/>
        <v>-3.2824610627955039E-2</v>
      </c>
      <c r="F67" s="58">
        <f t="shared" si="2"/>
        <v>-0.45077993895352542</v>
      </c>
      <c r="G67" s="57">
        <f t="shared" ref="G67:AK67" si="39">G68</f>
        <v>-10751.12</v>
      </c>
      <c r="H67" s="58">
        <f t="shared" si="4"/>
        <v>-1.4492026899576054E-2</v>
      </c>
      <c r="I67" s="58">
        <f t="shared" si="5"/>
        <v>0.91372340742173819</v>
      </c>
      <c r="J67" s="57">
        <f t="shared" si="39"/>
        <v>-20574.669999999998</v>
      </c>
      <c r="K67" s="58">
        <f t="shared" si="6"/>
        <v>-2.8874092454825317E-2</v>
      </c>
      <c r="L67" s="58">
        <f t="shared" si="7"/>
        <v>2.4982286471666373</v>
      </c>
      <c r="M67" s="57">
        <f t="shared" si="39"/>
        <v>-71974.899999999994</v>
      </c>
      <c r="N67" s="58">
        <f t="shared" si="8"/>
        <v>-9.9401415514031005E-2</v>
      </c>
      <c r="O67" s="58">
        <f t="shared" si="9"/>
        <v>-0.78718456017306027</v>
      </c>
      <c r="P67" s="57">
        <f t="shared" si="39"/>
        <v>-15317.37</v>
      </c>
      <c r="Q67" s="58">
        <f t="shared" si="10"/>
        <v>-1.6032788621062551E-2</v>
      </c>
      <c r="R67" s="58">
        <f t="shared" si="11"/>
        <v>1.9396286699348515</v>
      </c>
      <c r="S67" s="57">
        <f t="shared" si="39"/>
        <v>-45027.38</v>
      </c>
      <c r="T67" s="58">
        <f t="shared" si="12"/>
        <v>-6.7693962907683661E-2</v>
      </c>
      <c r="U67" s="58">
        <f t="shared" si="13"/>
        <v>-0.60195996302694044</v>
      </c>
      <c r="V67" s="57">
        <f t="shared" si="39"/>
        <v>-17922.7</v>
      </c>
      <c r="W67" s="58">
        <f t="shared" si="14"/>
        <v>-2.5231091554454962E-2</v>
      </c>
      <c r="X67" s="58">
        <f t="shared" si="15"/>
        <v>-0.96010645717442122</v>
      </c>
      <c r="Y67" s="57">
        <f t="shared" si="39"/>
        <v>-715</v>
      </c>
      <c r="Z67" s="58">
        <f t="shared" si="16"/>
        <v>-1.3131404773807421E-3</v>
      </c>
      <c r="AA67" s="58">
        <f t="shared" si="17"/>
        <v>1.9734265734265732</v>
      </c>
      <c r="AB67" s="57">
        <f t="shared" si="39"/>
        <v>-2126</v>
      </c>
      <c r="AC67" s="58">
        <f t="shared" si="18"/>
        <v>-5.1220629028836152E-3</v>
      </c>
      <c r="AD67" s="58">
        <f t="shared" si="19"/>
        <v>-0.60818438381937912</v>
      </c>
      <c r="AE67" s="57">
        <f t="shared" si="39"/>
        <v>-833</v>
      </c>
      <c r="AF67" s="58">
        <f t="shared" si="20"/>
        <v>-2.3499308223245796E-3</v>
      </c>
      <c r="AG67" s="58">
        <f t="shared" si="21"/>
        <v>-20.066722689075629</v>
      </c>
      <c r="AH67" s="57">
        <f t="shared" si="39"/>
        <v>15882.58</v>
      </c>
      <c r="AI67" s="58">
        <f t="shared" si="22"/>
        <v>4.8554620378762958E-2</v>
      </c>
      <c r="AJ67" s="58">
        <f t="shared" si="23"/>
        <v>-0.77245825300423443</v>
      </c>
      <c r="AK67" s="57">
        <f t="shared" si="39"/>
        <v>3613.9500000000062</v>
      </c>
      <c r="AL67" s="58">
        <f t="shared" si="24"/>
        <v>1.8146204496093207E-2</v>
      </c>
      <c r="AM67" s="57">
        <f>SUM(D67:AK67)</f>
        <v>-185338.02716944972</v>
      </c>
      <c r="AN67" s="58">
        <f t="shared" si="25"/>
        <v>-2.6682433051929418E-2</v>
      </c>
      <c r="AO67" s="64"/>
      <c r="AP67" s="64"/>
      <c r="AQ67" s="64"/>
      <c r="AR67" s="64"/>
      <c r="AS67" s="64"/>
      <c r="AT67" s="60"/>
      <c r="AU67" s="61"/>
      <c r="AV67" s="65"/>
      <c r="AW67" s="62"/>
      <c r="AX67" s="61"/>
      <c r="AY67" s="64"/>
      <c r="AZ67" s="64"/>
      <c r="BA67" s="64"/>
      <c r="BB67" s="64"/>
      <c r="BC67" s="60"/>
      <c r="BD67" s="61"/>
      <c r="BE67" s="65"/>
      <c r="BF67" s="62"/>
      <c r="BG67" s="61"/>
      <c r="BH67" s="64"/>
      <c r="BI67" s="64"/>
      <c r="BJ67" s="64"/>
      <c r="BK67" s="64"/>
      <c r="BL67" s="60"/>
      <c r="BM67" s="61"/>
      <c r="BN67" s="65"/>
      <c r="BO67" s="62"/>
      <c r="BP67" s="61"/>
      <c r="BQ67" s="64"/>
      <c r="BR67" s="64"/>
      <c r="BS67" s="64"/>
      <c r="BT67" s="64"/>
    </row>
    <row r="68" spans="1:72" s="63" customFormat="1" x14ac:dyDescent="0.25">
      <c r="A68" s="55" t="s">
        <v>367</v>
      </c>
      <c r="B68" s="56">
        <v>430</v>
      </c>
      <c r="C68" s="55" t="s">
        <v>366</v>
      </c>
      <c r="D68" s="57">
        <f>D69</f>
        <v>-19575.25</v>
      </c>
      <c r="E68" s="58">
        <f t="shared" si="1"/>
        <v>-3.2824610627955039E-2</v>
      </c>
      <c r="F68" s="58">
        <f t="shared" si="2"/>
        <v>-0.45077993895352542</v>
      </c>
      <c r="G68" s="57">
        <f t="shared" ref="G68:AK69" si="40">G69</f>
        <v>-10751.12</v>
      </c>
      <c r="H68" s="58">
        <f t="shared" si="4"/>
        <v>-1.4492026899576054E-2</v>
      </c>
      <c r="I68" s="58">
        <f t="shared" si="5"/>
        <v>0.91372340742173819</v>
      </c>
      <c r="J68" s="57">
        <f t="shared" si="40"/>
        <v>-20574.669999999998</v>
      </c>
      <c r="K68" s="58">
        <f t="shared" si="6"/>
        <v>-2.8874092454825317E-2</v>
      </c>
      <c r="L68" s="58">
        <f t="shared" si="7"/>
        <v>2.4982286471666373</v>
      </c>
      <c r="M68" s="57">
        <f t="shared" si="40"/>
        <v>-71974.899999999994</v>
      </c>
      <c r="N68" s="58">
        <f t="shared" si="8"/>
        <v>-9.9401415514031005E-2</v>
      </c>
      <c r="O68" s="58">
        <f t="shared" si="9"/>
        <v>-0.78718456017306027</v>
      </c>
      <c r="P68" s="57">
        <f t="shared" si="40"/>
        <v>-15317.37</v>
      </c>
      <c r="Q68" s="58">
        <f t="shared" si="10"/>
        <v>-1.6032788621062551E-2</v>
      </c>
      <c r="R68" s="58">
        <f t="shared" si="11"/>
        <v>1.9396286699348515</v>
      </c>
      <c r="S68" s="57">
        <f t="shared" si="40"/>
        <v>-45027.38</v>
      </c>
      <c r="T68" s="58">
        <f t="shared" si="12"/>
        <v>-6.7693962907683661E-2</v>
      </c>
      <c r="U68" s="58">
        <f t="shared" si="13"/>
        <v>-0.60195996302694044</v>
      </c>
      <c r="V68" s="57">
        <f t="shared" si="40"/>
        <v>-17922.7</v>
      </c>
      <c r="W68" s="58">
        <f t="shared" si="14"/>
        <v>-2.5231091554454962E-2</v>
      </c>
      <c r="X68" s="58">
        <f t="shared" si="15"/>
        <v>-0.96010645717442122</v>
      </c>
      <c r="Y68" s="57">
        <f t="shared" si="40"/>
        <v>-715</v>
      </c>
      <c r="Z68" s="58">
        <f t="shared" si="16"/>
        <v>-1.3131404773807421E-3</v>
      </c>
      <c r="AA68" s="58">
        <f t="shared" si="17"/>
        <v>1.9734265734265732</v>
      </c>
      <c r="AB68" s="57">
        <f t="shared" si="40"/>
        <v>-2126</v>
      </c>
      <c r="AC68" s="58">
        <f t="shared" si="18"/>
        <v>-5.1220629028836152E-3</v>
      </c>
      <c r="AD68" s="58">
        <f t="shared" si="19"/>
        <v>-0.60818438381937912</v>
      </c>
      <c r="AE68" s="57">
        <f t="shared" si="40"/>
        <v>-833</v>
      </c>
      <c r="AF68" s="58">
        <f t="shared" si="20"/>
        <v>-2.3499308223245796E-3</v>
      </c>
      <c r="AG68" s="58">
        <f t="shared" si="21"/>
        <v>-20.066722689075629</v>
      </c>
      <c r="AH68" s="57">
        <f t="shared" si="40"/>
        <v>15882.58</v>
      </c>
      <c r="AI68" s="58">
        <f t="shared" si="22"/>
        <v>4.8554620378762958E-2</v>
      </c>
      <c r="AJ68" s="58">
        <f t="shared" si="23"/>
        <v>-0.77245825300423443</v>
      </c>
      <c r="AK68" s="57">
        <f t="shared" si="40"/>
        <v>3613.9500000000062</v>
      </c>
      <c r="AL68" s="58">
        <f t="shared" si="24"/>
        <v>1.8146204496093207E-2</v>
      </c>
      <c r="AM68" s="57">
        <f>SUM(D68:AK68)</f>
        <v>-185338.02716944972</v>
      </c>
      <c r="AN68" s="58">
        <f t="shared" si="25"/>
        <v>-2.6682433051929418E-2</v>
      </c>
      <c r="AO68" s="64"/>
      <c r="AP68" s="64"/>
      <c r="AQ68" s="64"/>
      <c r="AR68" s="64"/>
      <c r="AS68" s="64"/>
      <c r="AT68" s="60"/>
      <c r="AU68" s="61"/>
      <c r="AV68" s="65"/>
      <c r="AW68" s="62"/>
      <c r="AX68" s="61"/>
      <c r="AY68" s="64"/>
      <c r="AZ68" s="64"/>
      <c r="BA68" s="64"/>
      <c r="BB68" s="64"/>
      <c r="BC68" s="60"/>
      <c r="BD68" s="61"/>
      <c r="BE68" s="65"/>
      <c r="BF68" s="62"/>
      <c r="BG68" s="61"/>
      <c r="BH68" s="64"/>
      <c r="BI68" s="64"/>
      <c r="BJ68" s="64"/>
      <c r="BK68" s="64"/>
      <c r="BL68" s="60"/>
      <c r="BM68" s="61"/>
      <c r="BN68" s="65"/>
      <c r="BO68" s="62"/>
      <c r="BP68" s="61"/>
      <c r="BQ68" s="64"/>
      <c r="BR68" s="64"/>
      <c r="BS68" s="64"/>
      <c r="BT68" s="64"/>
    </row>
    <row r="69" spans="1:72" s="63" customFormat="1" x14ac:dyDescent="0.25">
      <c r="A69" s="55" t="s">
        <v>368</v>
      </c>
      <c r="B69" s="56">
        <v>4300</v>
      </c>
      <c r="C69" s="55" t="s">
        <v>366</v>
      </c>
      <c r="D69" s="57">
        <f>D70</f>
        <v>-19575.25</v>
      </c>
      <c r="E69" s="58">
        <f t="shared" si="1"/>
        <v>-3.2824610627955039E-2</v>
      </c>
      <c r="F69" s="58">
        <f t="shared" si="2"/>
        <v>-0.45077993895352542</v>
      </c>
      <c r="G69" s="57">
        <f t="shared" si="40"/>
        <v>-10751.12</v>
      </c>
      <c r="H69" s="58">
        <f t="shared" si="4"/>
        <v>-1.4492026899576054E-2</v>
      </c>
      <c r="I69" s="58">
        <f t="shared" si="5"/>
        <v>0.91372340742173819</v>
      </c>
      <c r="J69" s="57">
        <f t="shared" si="40"/>
        <v>-20574.669999999998</v>
      </c>
      <c r="K69" s="58">
        <f t="shared" si="6"/>
        <v>-2.8874092454825317E-2</v>
      </c>
      <c r="L69" s="58">
        <f t="shared" si="7"/>
        <v>2.4982286471666373</v>
      </c>
      <c r="M69" s="57">
        <f t="shared" si="40"/>
        <v>-71974.899999999994</v>
      </c>
      <c r="N69" s="58">
        <f t="shared" si="8"/>
        <v>-9.9401415514031005E-2</v>
      </c>
      <c r="O69" s="58">
        <f t="shared" si="9"/>
        <v>-0.78718456017306027</v>
      </c>
      <c r="P69" s="57">
        <f t="shared" si="40"/>
        <v>-15317.37</v>
      </c>
      <c r="Q69" s="58">
        <f t="shared" si="10"/>
        <v>-1.6032788621062551E-2</v>
      </c>
      <c r="R69" s="58">
        <f t="shared" si="11"/>
        <v>1.9396286699348515</v>
      </c>
      <c r="S69" s="57">
        <f t="shared" si="40"/>
        <v>-45027.38</v>
      </c>
      <c r="T69" s="58">
        <f t="shared" si="12"/>
        <v>-6.7693962907683661E-2</v>
      </c>
      <c r="U69" s="58">
        <f t="shared" si="13"/>
        <v>-0.60195996302694044</v>
      </c>
      <c r="V69" s="57">
        <f t="shared" si="40"/>
        <v>-17922.7</v>
      </c>
      <c r="W69" s="58">
        <f t="shared" si="14"/>
        <v>-2.5231091554454962E-2</v>
      </c>
      <c r="X69" s="58">
        <f t="shared" si="15"/>
        <v>-0.96010645717442122</v>
      </c>
      <c r="Y69" s="57">
        <f t="shared" si="40"/>
        <v>-715</v>
      </c>
      <c r="Z69" s="58">
        <f t="shared" si="16"/>
        <v>-1.3131404773807421E-3</v>
      </c>
      <c r="AA69" s="58">
        <f t="shared" si="17"/>
        <v>1.9734265734265732</v>
      </c>
      <c r="AB69" s="57">
        <f t="shared" si="40"/>
        <v>-2126</v>
      </c>
      <c r="AC69" s="58">
        <f t="shared" si="18"/>
        <v>-5.1220629028836152E-3</v>
      </c>
      <c r="AD69" s="58">
        <f t="shared" si="19"/>
        <v>-0.60818438381937912</v>
      </c>
      <c r="AE69" s="57">
        <f t="shared" si="40"/>
        <v>-833</v>
      </c>
      <c r="AF69" s="58">
        <f t="shared" si="20"/>
        <v>-2.3499308223245796E-3</v>
      </c>
      <c r="AG69" s="58">
        <f t="shared" si="21"/>
        <v>-20.066722689075629</v>
      </c>
      <c r="AH69" s="57">
        <f t="shared" si="40"/>
        <v>15882.58</v>
      </c>
      <c r="AI69" s="58">
        <f t="shared" si="22"/>
        <v>4.8554620378762958E-2</v>
      </c>
      <c r="AJ69" s="58">
        <f t="shared" si="23"/>
        <v>-0.77245825300423443</v>
      </c>
      <c r="AK69" s="57">
        <f t="shared" si="40"/>
        <v>3613.9500000000062</v>
      </c>
      <c r="AL69" s="58">
        <f t="shared" si="24"/>
        <v>1.8146204496093207E-2</v>
      </c>
      <c r="AM69" s="57">
        <f>SUM(D69:AK69)</f>
        <v>-185338.02716944972</v>
      </c>
      <c r="AN69" s="58">
        <f t="shared" si="25"/>
        <v>-2.6682433051929418E-2</v>
      </c>
      <c r="AO69" s="64"/>
      <c r="AP69" s="64"/>
      <c r="AQ69" s="64"/>
      <c r="AR69" s="64"/>
      <c r="AS69" s="64"/>
      <c r="AT69" s="60"/>
      <c r="AU69" s="61"/>
      <c r="AV69" s="65"/>
      <c r="AW69" s="62"/>
      <c r="AX69" s="61"/>
      <c r="AY69" s="64"/>
      <c r="AZ69" s="64"/>
      <c r="BA69" s="64"/>
      <c r="BB69" s="64"/>
      <c r="BC69" s="60"/>
      <c r="BD69" s="61"/>
      <c r="BE69" s="65"/>
      <c r="BF69" s="62"/>
      <c r="BG69" s="61"/>
      <c r="BH69" s="64"/>
      <c r="BI69" s="64"/>
      <c r="BJ69" s="64"/>
      <c r="BK69" s="64"/>
      <c r="BL69" s="60"/>
      <c r="BM69" s="61"/>
      <c r="BN69" s="65"/>
      <c r="BO69" s="62"/>
      <c r="BP69" s="61"/>
      <c r="BQ69" s="64"/>
      <c r="BR69" s="64"/>
      <c r="BS69" s="64"/>
      <c r="BT69" s="64"/>
    </row>
    <row r="70" spans="1:72" s="63" customFormat="1" x14ac:dyDescent="0.25">
      <c r="A70" s="55" t="s">
        <v>369</v>
      </c>
      <c r="B70" s="56">
        <v>430000</v>
      </c>
      <c r="C70" s="55" t="s">
        <v>366</v>
      </c>
      <c r="D70" s="57">
        <f>SUM(D71:D72)</f>
        <v>-19575.25</v>
      </c>
      <c r="E70" s="58">
        <f t="shared" si="1"/>
        <v>-3.2824610627955039E-2</v>
      </c>
      <c r="F70" s="58">
        <f t="shared" si="2"/>
        <v>-0.45077993895352542</v>
      </c>
      <c r="G70" s="57">
        <f t="shared" ref="G70:AK70" si="41">SUM(G71:G72)</f>
        <v>-10751.12</v>
      </c>
      <c r="H70" s="58">
        <f t="shared" si="4"/>
        <v>-1.4492026899576054E-2</v>
      </c>
      <c r="I70" s="58">
        <f t="shared" si="5"/>
        <v>0.91372340742173819</v>
      </c>
      <c r="J70" s="57">
        <f t="shared" si="41"/>
        <v>-20574.669999999998</v>
      </c>
      <c r="K70" s="58">
        <f t="shared" si="6"/>
        <v>-2.8874092454825317E-2</v>
      </c>
      <c r="L70" s="58">
        <f t="shared" si="7"/>
        <v>2.4982286471666373</v>
      </c>
      <c r="M70" s="57">
        <f t="shared" si="41"/>
        <v>-71974.899999999994</v>
      </c>
      <c r="N70" s="58">
        <f t="shared" si="8"/>
        <v>-9.9401415514031005E-2</v>
      </c>
      <c r="O70" s="58">
        <f t="shared" si="9"/>
        <v>-0.78718456017306027</v>
      </c>
      <c r="P70" s="57">
        <f t="shared" si="41"/>
        <v>-15317.37</v>
      </c>
      <c r="Q70" s="58">
        <f t="shared" si="10"/>
        <v>-1.6032788621062551E-2</v>
      </c>
      <c r="R70" s="58">
        <f t="shared" si="11"/>
        <v>1.9396286699348515</v>
      </c>
      <c r="S70" s="57">
        <f t="shared" si="41"/>
        <v>-45027.38</v>
      </c>
      <c r="T70" s="58">
        <f t="shared" si="12"/>
        <v>-6.7693962907683661E-2</v>
      </c>
      <c r="U70" s="58">
        <f t="shared" si="13"/>
        <v>-0.60195996302694044</v>
      </c>
      <c r="V70" s="57">
        <f t="shared" si="41"/>
        <v>-17922.7</v>
      </c>
      <c r="W70" s="58">
        <f t="shared" si="14"/>
        <v>-2.5231091554454962E-2</v>
      </c>
      <c r="X70" s="58">
        <f t="shared" si="15"/>
        <v>-0.96010645717442122</v>
      </c>
      <c r="Y70" s="57">
        <f t="shared" si="41"/>
        <v>-715</v>
      </c>
      <c r="Z70" s="58">
        <f t="shared" si="16"/>
        <v>-1.3131404773807421E-3</v>
      </c>
      <c r="AA70" s="58">
        <f t="shared" si="17"/>
        <v>1.9734265734265732</v>
      </c>
      <c r="AB70" s="57">
        <f t="shared" si="41"/>
        <v>-2126</v>
      </c>
      <c r="AC70" s="58">
        <f t="shared" si="18"/>
        <v>-5.1220629028836152E-3</v>
      </c>
      <c r="AD70" s="58">
        <f t="shared" si="19"/>
        <v>-0.60818438381937912</v>
      </c>
      <c r="AE70" s="57">
        <f t="shared" si="41"/>
        <v>-833</v>
      </c>
      <c r="AF70" s="58">
        <f t="shared" si="20"/>
        <v>-2.3499308223245796E-3</v>
      </c>
      <c r="AG70" s="58">
        <f t="shared" si="21"/>
        <v>-20.066722689075629</v>
      </c>
      <c r="AH70" s="57">
        <f t="shared" si="41"/>
        <v>15882.58</v>
      </c>
      <c r="AI70" s="58">
        <f t="shared" si="22"/>
        <v>4.8554620378762958E-2</v>
      </c>
      <c r="AJ70" s="58">
        <f t="shared" si="23"/>
        <v>-0.77245825300423443</v>
      </c>
      <c r="AK70" s="57">
        <f t="shared" si="41"/>
        <v>3613.9500000000062</v>
      </c>
      <c r="AL70" s="58">
        <f t="shared" si="24"/>
        <v>1.8146204496093207E-2</v>
      </c>
      <c r="AM70" s="57">
        <f>SUM(D70:AK70)</f>
        <v>-185338.02716944972</v>
      </c>
      <c r="AN70" s="58">
        <f t="shared" si="25"/>
        <v>-2.6682433051929418E-2</v>
      </c>
      <c r="AO70" s="75"/>
      <c r="AP70" s="75"/>
      <c r="AQ70" s="75"/>
      <c r="AR70" s="75"/>
      <c r="AS70" s="75"/>
      <c r="AT70" s="60"/>
      <c r="AU70" s="61"/>
      <c r="AV70" s="65"/>
      <c r="AW70" s="62"/>
      <c r="AX70" s="61"/>
      <c r="AY70" s="64"/>
      <c r="AZ70" s="64"/>
      <c r="BA70" s="64"/>
      <c r="BB70" s="64"/>
      <c r="BC70" s="60"/>
      <c r="BD70" s="61"/>
      <c r="BE70" s="65"/>
      <c r="BF70" s="62"/>
      <c r="BG70" s="61"/>
      <c r="BH70" s="64"/>
      <c r="BI70" s="64"/>
      <c r="BJ70" s="64"/>
      <c r="BK70" s="64"/>
      <c r="BL70" s="60"/>
      <c r="BM70" s="61"/>
      <c r="BN70" s="65"/>
      <c r="BO70" s="62"/>
      <c r="BP70" s="61"/>
      <c r="BQ70" s="64"/>
      <c r="BR70" s="64"/>
      <c r="BS70" s="64"/>
      <c r="BT70" s="64"/>
    </row>
    <row r="71" spans="1:72" s="74" customFormat="1" x14ac:dyDescent="0.25">
      <c r="A71" s="66" t="s">
        <v>370</v>
      </c>
      <c r="B71" s="67">
        <v>430000001</v>
      </c>
      <c r="C71" s="66" t="s">
        <v>366</v>
      </c>
      <c r="D71" s="68">
        <v>-19575.25</v>
      </c>
      <c r="E71" s="58">
        <f t="shared" si="1"/>
        <v>-3.2824610627955039E-2</v>
      </c>
      <c r="F71" s="58">
        <f t="shared" si="2"/>
        <v>-0.45077993895352542</v>
      </c>
      <c r="G71" s="68">
        <v>-10751.12</v>
      </c>
      <c r="H71" s="58">
        <f t="shared" si="4"/>
        <v>-1.4492026899576054E-2</v>
      </c>
      <c r="I71" s="58">
        <f t="shared" si="5"/>
        <v>0.91372340742173819</v>
      </c>
      <c r="J71" s="68">
        <v>-20574.669999999998</v>
      </c>
      <c r="K71" s="58">
        <f t="shared" si="6"/>
        <v>-2.8874092454825317E-2</v>
      </c>
      <c r="L71" s="58">
        <f t="shared" si="7"/>
        <v>2.4982286471666373</v>
      </c>
      <c r="M71" s="68">
        <v>-71974.899999999994</v>
      </c>
      <c r="N71" s="58">
        <f t="shared" si="8"/>
        <v>-9.9401415514031005E-2</v>
      </c>
      <c r="O71" s="58">
        <f t="shared" si="9"/>
        <v>-0.78718456017306027</v>
      </c>
      <c r="P71" s="68">
        <v>-15317.37</v>
      </c>
      <c r="Q71" s="58">
        <f t="shared" si="10"/>
        <v>-1.6032788621062551E-2</v>
      </c>
      <c r="R71" s="58">
        <f t="shared" si="11"/>
        <v>1.9396286699348515</v>
      </c>
      <c r="S71" s="68">
        <v>-45027.38</v>
      </c>
      <c r="T71" s="58">
        <f t="shared" si="12"/>
        <v>-6.7693962907683661E-2</v>
      </c>
      <c r="U71" s="58">
        <f t="shared" si="13"/>
        <v>-0.60195996302694044</v>
      </c>
      <c r="V71" s="68">
        <v>-17922.7</v>
      </c>
      <c r="W71" s="58">
        <f t="shared" si="14"/>
        <v>-2.5231091554454962E-2</v>
      </c>
      <c r="X71" s="58">
        <f t="shared" si="15"/>
        <v>-0.96010645717442122</v>
      </c>
      <c r="Y71" s="68">
        <v>-715</v>
      </c>
      <c r="Z71" s="58">
        <f t="shared" si="16"/>
        <v>-1.3131404773807421E-3</v>
      </c>
      <c r="AA71" s="58">
        <f t="shared" si="17"/>
        <v>1.9734265734265732</v>
      </c>
      <c r="AB71" s="68">
        <v>-2126</v>
      </c>
      <c r="AC71" s="58">
        <f t="shared" si="18"/>
        <v>-5.1220629028836152E-3</v>
      </c>
      <c r="AD71" s="58">
        <f t="shared" si="19"/>
        <v>-0.60818438381937912</v>
      </c>
      <c r="AE71" s="68">
        <v>-833</v>
      </c>
      <c r="AF71" s="58">
        <f t="shared" si="20"/>
        <v>-2.3499308223245796E-3</v>
      </c>
      <c r="AG71" s="58">
        <f t="shared" si="21"/>
        <v>-1</v>
      </c>
      <c r="AH71" s="68">
        <v>0</v>
      </c>
      <c r="AI71" s="58">
        <f t="shared" si="22"/>
        <v>0</v>
      </c>
      <c r="AJ71" s="58">
        <f t="shared" si="23"/>
        <v>0</v>
      </c>
      <c r="AK71" s="68">
        <v>-1245.1499999999942</v>
      </c>
      <c r="AL71" s="58">
        <f t="shared" si="24"/>
        <v>-6.252091625039171E-3</v>
      </c>
      <c r="AM71" s="68">
        <f>SUM(D71:AK71)</f>
        <v>-206059.91654312803</v>
      </c>
      <c r="AN71" s="58">
        <f t="shared" si="25"/>
        <v>-2.9665687132955906E-2</v>
      </c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69"/>
      <c r="BD71" s="70"/>
      <c r="BE71" s="71"/>
      <c r="BF71" s="72"/>
      <c r="BG71" s="70"/>
      <c r="BH71" s="73"/>
      <c r="BI71" s="73"/>
      <c r="BJ71" s="73"/>
      <c r="BK71" s="73"/>
      <c r="BL71" s="69"/>
      <c r="BM71" s="70"/>
      <c r="BN71" s="71"/>
      <c r="BO71" s="72"/>
      <c r="BP71" s="70"/>
      <c r="BQ71" s="73"/>
      <c r="BR71" s="73"/>
      <c r="BS71" s="73"/>
      <c r="BT71" s="73"/>
    </row>
    <row r="72" spans="1:72" s="74" customFormat="1" x14ac:dyDescent="0.25">
      <c r="A72" s="66" t="s">
        <v>371</v>
      </c>
      <c r="B72" s="67">
        <v>430000099</v>
      </c>
      <c r="C72" s="66" t="s">
        <v>372</v>
      </c>
      <c r="D72" s="68">
        <v>0</v>
      </c>
      <c r="E72" s="58">
        <f t="shared" si="1"/>
        <v>0</v>
      </c>
      <c r="F72" s="58">
        <f t="shared" si="2"/>
        <v>0</v>
      </c>
      <c r="G72" s="68">
        <v>0</v>
      </c>
      <c r="H72" s="58">
        <f t="shared" si="4"/>
        <v>0</v>
      </c>
      <c r="I72" s="58">
        <f t="shared" si="5"/>
        <v>0</v>
      </c>
      <c r="J72" s="68">
        <v>0</v>
      </c>
      <c r="K72" s="58">
        <f t="shared" si="6"/>
        <v>0</v>
      </c>
      <c r="L72" s="58">
        <f t="shared" si="7"/>
        <v>0</v>
      </c>
      <c r="M72" s="68">
        <v>0</v>
      </c>
      <c r="N72" s="58">
        <f t="shared" si="8"/>
        <v>0</v>
      </c>
      <c r="O72" s="58">
        <f t="shared" si="9"/>
        <v>0</v>
      </c>
      <c r="P72" s="68">
        <v>0</v>
      </c>
      <c r="Q72" s="58">
        <f t="shared" si="10"/>
        <v>0</v>
      </c>
      <c r="R72" s="58">
        <f t="shared" si="11"/>
        <v>0</v>
      </c>
      <c r="S72" s="68">
        <v>0</v>
      </c>
      <c r="T72" s="58">
        <f t="shared" si="12"/>
        <v>0</v>
      </c>
      <c r="U72" s="58">
        <f t="shared" si="13"/>
        <v>0</v>
      </c>
      <c r="V72" s="68">
        <v>0</v>
      </c>
      <c r="W72" s="58">
        <f t="shared" si="14"/>
        <v>0</v>
      </c>
      <c r="X72" s="58">
        <f t="shared" si="15"/>
        <v>0</v>
      </c>
      <c r="Y72" s="68">
        <v>0</v>
      </c>
      <c r="Z72" s="58">
        <f t="shared" si="16"/>
        <v>0</v>
      </c>
      <c r="AA72" s="58">
        <f t="shared" si="17"/>
        <v>0</v>
      </c>
      <c r="AB72" s="68">
        <v>0</v>
      </c>
      <c r="AC72" s="58">
        <f t="shared" si="18"/>
        <v>0</v>
      </c>
      <c r="AD72" s="58">
        <f t="shared" si="19"/>
        <v>0</v>
      </c>
      <c r="AE72" s="68">
        <v>0</v>
      </c>
      <c r="AF72" s="58">
        <f t="shared" si="20"/>
        <v>0</v>
      </c>
      <c r="AG72" s="58">
        <f t="shared" si="21"/>
        <v>0</v>
      </c>
      <c r="AH72" s="68">
        <v>15882.58</v>
      </c>
      <c r="AI72" s="58">
        <f t="shared" si="22"/>
        <v>4.8554620378762958E-2</v>
      </c>
      <c r="AJ72" s="58">
        <f t="shared" si="23"/>
        <v>-0.69406104046068084</v>
      </c>
      <c r="AK72" s="68">
        <v>4859.1000000000004</v>
      </c>
      <c r="AL72" s="58">
        <f t="shared" si="24"/>
        <v>2.4398296121132375E-2</v>
      </c>
      <c r="AM72" s="68">
        <f>SUM(D72:AK72)</f>
        <v>20741.034493579918</v>
      </c>
      <c r="AN72" s="58">
        <f t="shared" si="25"/>
        <v>2.986010333414882E-3</v>
      </c>
      <c r="AO72" s="76"/>
      <c r="AP72" s="76"/>
      <c r="AQ72" s="76"/>
      <c r="AR72" s="76"/>
      <c r="AS72" s="76"/>
      <c r="AT72" s="62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</row>
    <row r="73" spans="1:72" s="63" customFormat="1" x14ac:dyDescent="0.25">
      <c r="A73" s="55" t="s">
        <v>9</v>
      </c>
      <c r="B73" s="56" t="s">
        <v>9</v>
      </c>
      <c r="C73" s="55" t="s">
        <v>10</v>
      </c>
      <c r="D73" s="57">
        <f>D74+D154+D180+D190</f>
        <v>-518389.74999999994</v>
      </c>
      <c r="E73" s="58">
        <f t="shared" si="1"/>
        <v>-0.86925795058928768</v>
      </c>
      <c r="F73" s="58">
        <f t="shared" si="2"/>
        <v>-0.26229828039616898</v>
      </c>
      <c r="G73" s="57">
        <f t="shared" ref="G73:AK73" si="42">G74+G155+G180+G190</f>
        <v>-382417.01</v>
      </c>
      <c r="H73" s="58">
        <f t="shared" si="4"/>
        <v>-0.51548095414946948</v>
      </c>
      <c r="I73" s="58">
        <f t="shared" si="5"/>
        <v>6.4241833803365456E-2</v>
      </c>
      <c r="J73" s="57">
        <f t="shared" si="42"/>
        <v>-406984.17999999993</v>
      </c>
      <c r="K73" s="58">
        <f t="shared" si="6"/>
        <v>-0.57115369728755161</v>
      </c>
      <c r="L73" s="58">
        <f t="shared" si="7"/>
        <v>3.9732109488875178E-2</v>
      </c>
      <c r="M73" s="57">
        <f t="shared" si="42"/>
        <v>-423154.52</v>
      </c>
      <c r="N73" s="58">
        <f t="shared" si="8"/>
        <v>-0.58440037108992648</v>
      </c>
      <c r="O73" s="58">
        <f t="shared" si="9"/>
        <v>-8.6239230057143068E-2</v>
      </c>
      <c r="P73" s="57">
        <f t="shared" si="42"/>
        <v>-386662.00000000006</v>
      </c>
      <c r="Q73" s="58">
        <f t="shared" si="10"/>
        <v>-0.40472157516579466</v>
      </c>
      <c r="R73" s="58">
        <f t="shared" si="11"/>
        <v>8.9488933487128275E-2</v>
      </c>
      <c r="S73" s="57">
        <f t="shared" si="42"/>
        <v>-421263.97000000003</v>
      </c>
      <c r="T73" s="58">
        <f t="shared" si="12"/>
        <v>-0.6333263796277635</v>
      </c>
      <c r="U73" s="58">
        <f t="shared" si="13"/>
        <v>-6.6902374774657325E-2</v>
      </c>
      <c r="V73" s="57">
        <f t="shared" si="42"/>
        <v>-393080.41000000003</v>
      </c>
      <c r="W73" s="58">
        <f t="shared" si="14"/>
        <v>-0.55336795309706099</v>
      </c>
      <c r="X73" s="58">
        <f t="shared" si="15"/>
        <v>-0.24232896775496915</v>
      </c>
      <c r="Y73" s="57">
        <f t="shared" si="42"/>
        <v>-297825.63999999996</v>
      </c>
      <c r="Z73" s="58">
        <f t="shared" si="16"/>
        <v>-0.54697468963052442</v>
      </c>
      <c r="AA73" s="58">
        <f t="shared" si="17"/>
        <v>5.2269173332423646E-2</v>
      </c>
      <c r="AB73" s="57">
        <f t="shared" si="42"/>
        <v>-313392.74</v>
      </c>
      <c r="AC73" s="58">
        <f t="shared" si="18"/>
        <v>-0.75504107600519754</v>
      </c>
      <c r="AD73" s="58">
        <f t="shared" si="19"/>
        <v>0.26944076624110669</v>
      </c>
      <c r="AE73" s="57">
        <f t="shared" si="42"/>
        <v>-397833.5199999999</v>
      </c>
      <c r="AF73" s="58">
        <f t="shared" si="20"/>
        <v>-1.1223064235316709</v>
      </c>
      <c r="AG73" s="58">
        <f t="shared" si="21"/>
        <v>-0.22928125815039402</v>
      </c>
      <c r="AH73" s="57">
        <f t="shared" si="42"/>
        <v>-306617.75</v>
      </c>
      <c r="AI73" s="58">
        <f t="shared" si="22"/>
        <v>-0.93736083511875568</v>
      </c>
      <c r="AJ73" s="58">
        <f t="shared" si="23"/>
        <v>6.049147383020065</v>
      </c>
      <c r="AK73" s="57">
        <f t="shared" si="42"/>
        <v>-2161393.7100000004</v>
      </c>
      <c r="AL73" s="58">
        <f t="shared" si="24"/>
        <v>-10.852693661569615</v>
      </c>
      <c r="AM73" s="57">
        <f>SUM(D73:AK73)</f>
        <v>-6409017.0161218196</v>
      </c>
      <c r="AN73" s="58">
        <f t="shared" si="25"/>
        <v>-0.9226825712620681</v>
      </c>
      <c r="AO73" s="59"/>
      <c r="AP73" s="59"/>
      <c r="AQ73" s="59"/>
      <c r="AR73" s="59"/>
      <c r="AS73" s="59"/>
      <c r="AT73" s="75"/>
      <c r="AU73" s="75"/>
      <c r="AV73" s="75"/>
      <c r="AW73" s="75"/>
      <c r="AX73" s="75"/>
      <c r="AY73" s="75"/>
      <c r="AZ73" s="75"/>
      <c r="BA73" s="75"/>
      <c r="BB73" s="75"/>
      <c r="BC73" s="62"/>
      <c r="BD73" s="75"/>
      <c r="BE73" s="75"/>
      <c r="BF73" s="75"/>
      <c r="BG73" s="75"/>
      <c r="BH73" s="75"/>
      <c r="BI73" s="75"/>
      <c r="BJ73" s="75"/>
      <c r="BK73" s="75"/>
      <c r="BL73" s="62"/>
      <c r="BM73" s="75"/>
      <c r="BN73" s="75"/>
      <c r="BO73" s="75"/>
      <c r="BP73" s="75"/>
      <c r="BQ73" s="75"/>
      <c r="BR73" s="75"/>
      <c r="BS73" s="75"/>
      <c r="BT73" s="75"/>
    </row>
    <row r="74" spans="1:72" s="63" customFormat="1" x14ac:dyDescent="0.25">
      <c r="A74" s="55" t="s">
        <v>373</v>
      </c>
      <c r="B74" s="56">
        <v>51</v>
      </c>
      <c r="C74" s="55" t="s">
        <v>374</v>
      </c>
      <c r="D74" s="57">
        <f>D75+D83</f>
        <v>-293266.08</v>
      </c>
      <c r="E74" s="58">
        <f t="shared" si="1"/>
        <v>-0.49176101895948782</v>
      </c>
      <c r="F74" s="58">
        <f t="shared" si="2"/>
        <v>7.3724312065002406E-2</v>
      </c>
      <c r="G74" s="57">
        <f t="shared" ref="G74:AK74" si="43">G75+G83</f>
        <v>-314886.92</v>
      </c>
      <c r="H74" s="58">
        <f t="shared" si="4"/>
        <v>-0.42445342577932832</v>
      </c>
      <c r="I74" s="58">
        <f t="shared" si="5"/>
        <v>-7.9325905312294553E-2</v>
      </c>
      <c r="J74" s="57">
        <f t="shared" si="43"/>
        <v>-289908.22999999992</v>
      </c>
      <c r="K74" s="58">
        <f t="shared" si="6"/>
        <v>-0.40685158189340398</v>
      </c>
      <c r="L74" s="58">
        <f t="shared" si="7"/>
        <v>0.30381645253741185</v>
      </c>
      <c r="M74" s="57">
        <f t="shared" si="43"/>
        <v>-377987.12</v>
      </c>
      <c r="N74" s="58">
        <f t="shared" si="8"/>
        <v>-0.5220216321811062</v>
      </c>
      <c r="O74" s="58">
        <f t="shared" si="9"/>
        <v>-0.10497376206892972</v>
      </c>
      <c r="P74" s="57">
        <f t="shared" si="43"/>
        <v>-338308.39</v>
      </c>
      <c r="Q74" s="58">
        <f t="shared" si="10"/>
        <v>-0.35410954397536859</v>
      </c>
      <c r="R74" s="58">
        <f t="shared" si="11"/>
        <v>-9.2616709860491531E-2</v>
      </c>
      <c r="S74" s="57">
        <f t="shared" si="43"/>
        <v>-306975.38</v>
      </c>
      <c r="T74" s="58">
        <f t="shared" si="12"/>
        <v>-0.46150542153001345</v>
      </c>
      <c r="U74" s="58">
        <f t="shared" si="13"/>
        <v>8.9349022061639083E-2</v>
      </c>
      <c r="V74" s="57">
        <f t="shared" si="43"/>
        <v>-334403.33</v>
      </c>
      <c r="W74" s="58">
        <f t="shared" si="14"/>
        <v>-0.47076394936837729</v>
      </c>
      <c r="X74" s="58">
        <f t="shared" si="15"/>
        <v>-0.27364545083926051</v>
      </c>
      <c r="Y74" s="57">
        <f t="shared" si="43"/>
        <v>-242895.38</v>
      </c>
      <c r="Z74" s="58">
        <f t="shared" si="16"/>
        <v>-0.44609196538010737</v>
      </c>
      <c r="AA74" s="58">
        <f t="shared" si="17"/>
        <v>-0.14456491514988901</v>
      </c>
      <c r="AB74" s="57">
        <f t="shared" si="43"/>
        <v>-207781.22999999995</v>
      </c>
      <c r="AC74" s="58">
        <f t="shared" si="18"/>
        <v>-0.50059667455245904</v>
      </c>
      <c r="AD74" s="58">
        <f t="shared" si="19"/>
        <v>0.55730972427105185</v>
      </c>
      <c r="AE74" s="57">
        <f t="shared" si="43"/>
        <v>-323579.72999999992</v>
      </c>
      <c r="AF74" s="58">
        <f t="shared" si="20"/>
        <v>-0.91283311045193916</v>
      </c>
      <c r="AG74" s="58">
        <f t="shared" si="21"/>
        <v>-0.29952954716910096</v>
      </c>
      <c r="AH74" s="57">
        <f t="shared" si="43"/>
        <v>-226658.04</v>
      </c>
      <c r="AI74" s="58">
        <f t="shared" si="22"/>
        <v>-0.69291608088827317</v>
      </c>
      <c r="AJ74" s="58">
        <f t="shared" si="23"/>
        <v>0.47990541169419787</v>
      </c>
      <c r="AK74" s="57">
        <f t="shared" si="43"/>
        <v>-335432.45999999996</v>
      </c>
      <c r="AL74" s="58">
        <f t="shared" si="24"/>
        <v>-1.6842585021341172</v>
      </c>
      <c r="AM74" s="57">
        <f>SUM(D74:AK74)</f>
        <v>-3592087.4644557722</v>
      </c>
      <c r="AN74" s="58">
        <f t="shared" si="25"/>
        <v>-0.51713960027958472</v>
      </c>
      <c r="AO74" s="64"/>
      <c r="AP74" s="64"/>
      <c r="AQ74" s="64"/>
      <c r="AR74" s="64"/>
      <c r="AS74" s="64"/>
      <c r="AT74" s="60"/>
      <c r="AU74" s="61"/>
      <c r="AV74" s="60"/>
      <c r="AW74" s="62"/>
      <c r="AX74" s="61"/>
      <c r="AY74" s="59"/>
      <c r="AZ74" s="59"/>
      <c r="BA74" s="59"/>
      <c r="BB74" s="59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</row>
    <row r="75" spans="1:72" s="63" customFormat="1" x14ac:dyDescent="0.25">
      <c r="A75" s="55" t="s">
        <v>375</v>
      </c>
      <c r="B75" s="56">
        <v>511</v>
      </c>
      <c r="C75" s="55" t="s">
        <v>376</v>
      </c>
      <c r="D75" s="57">
        <f>D76</f>
        <v>-6379.71</v>
      </c>
      <c r="E75" s="58">
        <f t="shared" si="1"/>
        <v>-1.0697768696147995E-2</v>
      </c>
      <c r="F75" s="58">
        <f t="shared" si="2"/>
        <v>1.9781463420751098</v>
      </c>
      <c r="G75" s="57">
        <f t="shared" ref="G75:AK76" si="44">G76</f>
        <v>-18999.71</v>
      </c>
      <c r="H75" s="58">
        <f t="shared" si="4"/>
        <v>-2.5610755754204594E-2</v>
      </c>
      <c r="I75" s="58">
        <f t="shared" si="5"/>
        <v>-0.40499197093008266</v>
      </c>
      <c r="J75" s="57">
        <f t="shared" si="44"/>
        <v>-11304.98</v>
      </c>
      <c r="K75" s="58">
        <f t="shared" si="6"/>
        <v>-1.5865189464518807E-2</v>
      </c>
      <c r="L75" s="58">
        <f t="shared" si="7"/>
        <v>5.0124812250884165E-2</v>
      </c>
      <c r="M75" s="57">
        <f t="shared" si="44"/>
        <v>-11871.640000000001</v>
      </c>
      <c r="N75" s="58">
        <f t="shared" si="8"/>
        <v>-1.6395407572264657E-2</v>
      </c>
      <c r="O75" s="58">
        <f t="shared" si="9"/>
        <v>0.28492103871074237</v>
      </c>
      <c r="P75" s="57">
        <f t="shared" si="44"/>
        <v>-15254.119999999999</v>
      </c>
      <c r="Q75" s="58">
        <f t="shared" si="10"/>
        <v>-1.5966584443695142E-2</v>
      </c>
      <c r="R75" s="58">
        <f t="shared" si="11"/>
        <v>-0.35818060956646458</v>
      </c>
      <c r="S75" s="57">
        <f t="shared" si="44"/>
        <v>-9790.3900000000012</v>
      </c>
      <c r="T75" s="58">
        <f t="shared" si="12"/>
        <v>-1.471882879953835E-2</v>
      </c>
      <c r="U75" s="58">
        <f t="shared" si="13"/>
        <v>0.7090759407950038</v>
      </c>
      <c r="V75" s="57">
        <f t="shared" si="44"/>
        <v>-16732.52</v>
      </c>
      <c r="W75" s="58">
        <f t="shared" si="14"/>
        <v>-2.3555588391076611E-2</v>
      </c>
      <c r="X75" s="58">
        <f t="shared" si="15"/>
        <v>3.88232017651855E-2</v>
      </c>
      <c r="Y75" s="57">
        <f t="shared" si="44"/>
        <v>-17382.13</v>
      </c>
      <c r="Z75" s="58">
        <f t="shared" si="16"/>
        <v>-3.1923326553977789E-2</v>
      </c>
      <c r="AA75" s="58">
        <f t="shared" si="17"/>
        <v>-0.30343404404408447</v>
      </c>
      <c r="AB75" s="57">
        <f t="shared" si="44"/>
        <v>-12107.8</v>
      </c>
      <c r="AC75" s="58">
        <f t="shared" si="18"/>
        <v>-2.917070235914122E-2</v>
      </c>
      <c r="AD75" s="58">
        <f t="shared" si="19"/>
        <v>0.82839078940848077</v>
      </c>
      <c r="AE75" s="57">
        <f t="shared" si="44"/>
        <v>-22137.79</v>
      </c>
      <c r="AF75" s="58">
        <f t="shared" si="20"/>
        <v>-6.2451710755280741E-2</v>
      </c>
      <c r="AG75" s="58">
        <f t="shared" si="21"/>
        <v>-0.70030567640220642</v>
      </c>
      <c r="AH75" s="57">
        <f t="shared" si="44"/>
        <v>-6634.57</v>
      </c>
      <c r="AI75" s="58">
        <f t="shared" si="22"/>
        <v>-2.0282537706489082E-2</v>
      </c>
      <c r="AJ75" s="58">
        <f t="shared" si="23"/>
        <v>10.739524942837292</v>
      </c>
      <c r="AK75" s="57">
        <f t="shared" si="44"/>
        <v>-77886.700000000012</v>
      </c>
      <c r="AL75" s="58">
        <f t="shared" si="24"/>
        <v>-0.39108122296264763</v>
      </c>
      <c r="AM75" s="57">
        <f>SUM(D75:AK75)</f>
        <v>-226469.4645436336</v>
      </c>
      <c r="AN75" s="58">
        <f t="shared" si="25"/>
        <v>-3.2603974577041721E-2</v>
      </c>
      <c r="AO75" s="64"/>
      <c r="AP75" s="64"/>
      <c r="AQ75" s="64"/>
      <c r="AR75" s="64"/>
      <c r="AS75" s="64"/>
      <c r="AT75" s="60"/>
      <c r="AU75" s="61"/>
      <c r="AV75" s="60"/>
      <c r="AW75" s="62"/>
      <c r="AX75" s="61"/>
      <c r="AY75" s="64"/>
      <c r="AZ75" s="64"/>
      <c r="BA75" s="64"/>
      <c r="BB75" s="64"/>
      <c r="BC75" s="60"/>
      <c r="BD75" s="61"/>
      <c r="BE75" s="60"/>
      <c r="BF75" s="62"/>
      <c r="BG75" s="61"/>
      <c r="BH75" s="59"/>
      <c r="BI75" s="59"/>
      <c r="BJ75" s="59"/>
      <c r="BK75" s="59"/>
      <c r="BL75" s="60"/>
      <c r="BM75" s="61"/>
      <c r="BN75" s="60"/>
      <c r="BO75" s="62"/>
      <c r="BP75" s="61"/>
      <c r="BQ75" s="59"/>
      <c r="BR75" s="59"/>
      <c r="BS75" s="59"/>
      <c r="BT75" s="59"/>
    </row>
    <row r="76" spans="1:72" s="63" customFormat="1" x14ac:dyDescent="0.25">
      <c r="A76" s="55" t="s">
        <v>377</v>
      </c>
      <c r="B76" s="56">
        <v>5110</v>
      </c>
      <c r="C76" s="55" t="s">
        <v>376</v>
      </c>
      <c r="D76" s="57">
        <f>D77+D81</f>
        <v>-6379.71</v>
      </c>
      <c r="E76" s="58">
        <f t="shared" si="1"/>
        <v>-1.0697768696147995E-2</v>
      </c>
      <c r="F76" s="58">
        <f t="shared" si="2"/>
        <v>1.9781463420751098</v>
      </c>
      <c r="G76" s="57">
        <f t="shared" si="44"/>
        <v>-18999.71</v>
      </c>
      <c r="H76" s="58">
        <f t="shared" si="4"/>
        <v>-2.5610755754204594E-2</v>
      </c>
      <c r="I76" s="58">
        <f t="shared" si="5"/>
        <v>-0.40499197093008266</v>
      </c>
      <c r="J76" s="57">
        <f t="shared" si="44"/>
        <v>-11304.98</v>
      </c>
      <c r="K76" s="58">
        <f t="shared" si="6"/>
        <v>-1.5865189464518807E-2</v>
      </c>
      <c r="L76" s="58">
        <f t="shared" si="7"/>
        <v>5.0124812250884165E-2</v>
      </c>
      <c r="M76" s="57">
        <f t="shared" si="44"/>
        <v>-11871.640000000001</v>
      </c>
      <c r="N76" s="58">
        <f t="shared" si="8"/>
        <v>-1.6395407572264657E-2</v>
      </c>
      <c r="O76" s="58">
        <f t="shared" si="9"/>
        <v>0.28492103871074237</v>
      </c>
      <c r="P76" s="57">
        <f t="shared" si="44"/>
        <v>-15254.119999999999</v>
      </c>
      <c r="Q76" s="58">
        <f t="shared" si="10"/>
        <v>-1.5966584443695142E-2</v>
      </c>
      <c r="R76" s="58">
        <f t="shared" si="11"/>
        <v>-0.35818060956646458</v>
      </c>
      <c r="S76" s="57">
        <f t="shared" si="44"/>
        <v>-9790.3900000000012</v>
      </c>
      <c r="T76" s="58">
        <f t="shared" si="12"/>
        <v>-1.471882879953835E-2</v>
      </c>
      <c r="U76" s="58">
        <f t="shared" si="13"/>
        <v>0.7090759407950038</v>
      </c>
      <c r="V76" s="57">
        <f t="shared" si="44"/>
        <v>-16732.52</v>
      </c>
      <c r="W76" s="58">
        <f t="shared" si="14"/>
        <v>-2.3555588391076611E-2</v>
      </c>
      <c r="X76" s="58">
        <f t="shared" si="15"/>
        <v>3.88232017651855E-2</v>
      </c>
      <c r="Y76" s="57">
        <f t="shared" si="44"/>
        <v>-17382.13</v>
      </c>
      <c r="Z76" s="58">
        <f t="shared" si="16"/>
        <v>-3.1923326553977789E-2</v>
      </c>
      <c r="AA76" s="58">
        <f t="shared" si="17"/>
        <v>-0.30343404404408447</v>
      </c>
      <c r="AB76" s="57">
        <f t="shared" si="44"/>
        <v>-12107.8</v>
      </c>
      <c r="AC76" s="58">
        <f t="shared" si="18"/>
        <v>-2.917070235914122E-2</v>
      </c>
      <c r="AD76" s="58">
        <f t="shared" si="19"/>
        <v>0.82839078940848077</v>
      </c>
      <c r="AE76" s="57">
        <f t="shared" si="44"/>
        <v>-22137.79</v>
      </c>
      <c r="AF76" s="58">
        <f t="shared" si="20"/>
        <v>-6.2451710755280741E-2</v>
      </c>
      <c r="AG76" s="58">
        <f t="shared" si="21"/>
        <v>-0.70030567640220642</v>
      </c>
      <c r="AH76" s="57">
        <f t="shared" si="44"/>
        <v>-6634.57</v>
      </c>
      <c r="AI76" s="58">
        <f t="shared" si="22"/>
        <v>-2.0282537706489082E-2</v>
      </c>
      <c r="AJ76" s="58">
        <f t="shared" si="23"/>
        <v>10.739524942837292</v>
      </c>
      <c r="AK76" s="57">
        <f t="shared" si="44"/>
        <v>-77886.700000000012</v>
      </c>
      <c r="AL76" s="58">
        <f t="shared" si="24"/>
        <v>-0.39108122296264763</v>
      </c>
      <c r="AM76" s="57">
        <f>SUM(D76:AK76)</f>
        <v>-226469.4645436336</v>
      </c>
      <c r="AN76" s="58">
        <f t="shared" si="25"/>
        <v>-3.2603974577041721E-2</v>
      </c>
      <c r="AO76" s="64"/>
      <c r="AP76" s="64"/>
      <c r="AQ76" s="64"/>
      <c r="AR76" s="64"/>
      <c r="AS76" s="64"/>
      <c r="AT76" s="60"/>
      <c r="AU76" s="61"/>
      <c r="AV76" s="65"/>
      <c r="AW76" s="62"/>
      <c r="AX76" s="61"/>
      <c r="AY76" s="64"/>
      <c r="AZ76" s="64"/>
      <c r="BA76" s="64"/>
      <c r="BB76" s="64"/>
      <c r="BC76" s="60"/>
      <c r="BD76" s="61"/>
      <c r="BE76" s="60"/>
      <c r="BF76" s="62"/>
      <c r="BG76" s="61"/>
      <c r="BH76" s="64"/>
      <c r="BI76" s="64"/>
      <c r="BJ76" s="64"/>
      <c r="BK76" s="64"/>
      <c r="BL76" s="60"/>
      <c r="BM76" s="61"/>
      <c r="BN76" s="60"/>
      <c r="BO76" s="62"/>
      <c r="BP76" s="61"/>
      <c r="BQ76" s="64"/>
      <c r="BR76" s="64"/>
      <c r="BS76" s="64"/>
      <c r="BT76" s="64"/>
    </row>
    <row r="77" spans="1:72" s="63" customFormat="1" x14ac:dyDescent="0.25">
      <c r="A77" s="55" t="s">
        <v>378</v>
      </c>
      <c r="B77" s="56">
        <v>511000</v>
      </c>
      <c r="C77" s="55" t="s">
        <v>376</v>
      </c>
      <c r="D77" s="57">
        <f>SUM(D78:D80)</f>
        <v>-6379.71</v>
      </c>
      <c r="E77" s="58">
        <f t="shared" si="1"/>
        <v>-1.0697768696147995E-2</v>
      </c>
      <c r="F77" s="58">
        <f t="shared" si="2"/>
        <v>1.9781463420751098</v>
      </c>
      <c r="G77" s="57">
        <f t="shared" ref="G77:AK77" si="45">SUM(G78:G80)</f>
        <v>-18999.71</v>
      </c>
      <c r="H77" s="58">
        <f t="shared" si="4"/>
        <v>-2.5610755754204594E-2</v>
      </c>
      <c r="I77" s="58">
        <f t="shared" si="5"/>
        <v>-0.40499197093008266</v>
      </c>
      <c r="J77" s="57">
        <f t="shared" si="45"/>
        <v>-11304.98</v>
      </c>
      <c r="K77" s="58">
        <f t="shared" si="6"/>
        <v>-1.5865189464518807E-2</v>
      </c>
      <c r="L77" s="58">
        <f t="shared" si="7"/>
        <v>5.0124812250884165E-2</v>
      </c>
      <c r="M77" s="57">
        <f t="shared" si="45"/>
        <v>-11871.640000000001</v>
      </c>
      <c r="N77" s="58">
        <f t="shared" si="8"/>
        <v>-1.6395407572264657E-2</v>
      </c>
      <c r="O77" s="58">
        <f t="shared" si="9"/>
        <v>0.28492103871074237</v>
      </c>
      <c r="P77" s="57">
        <f t="shared" si="45"/>
        <v>-15254.119999999999</v>
      </c>
      <c r="Q77" s="58">
        <f t="shared" si="10"/>
        <v>-1.5966584443695142E-2</v>
      </c>
      <c r="R77" s="58">
        <f t="shared" si="11"/>
        <v>-0.35818060956646458</v>
      </c>
      <c r="S77" s="57">
        <f t="shared" si="45"/>
        <v>-9790.3900000000012</v>
      </c>
      <c r="T77" s="58">
        <f t="shared" si="12"/>
        <v>-1.471882879953835E-2</v>
      </c>
      <c r="U77" s="58">
        <f t="shared" si="13"/>
        <v>0.7090759407950038</v>
      </c>
      <c r="V77" s="57">
        <f t="shared" si="45"/>
        <v>-16732.52</v>
      </c>
      <c r="W77" s="58">
        <f t="shared" si="14"/>
        <v>-2.3555588391076611E-2</v>
      </c>
      <c r="X77" s="58">
        <f t="shared" si="15"/>
        <v>3.88232017651855E-2</v>
      </c>
      <c r="Y77" s="57">
        <f t="shared" si="45"/>
        <v>-17382.13</v>
      </c>
      <c r="Z77" s="58">
        <f t="shared" si="16"/>
        <v>-3.1923326553977789E-2</v>
      </c>
      <c r="AA77" s="58">
        <f t="shared" si="17"/>
        <v>-0.30343404404408447</v>
      </c>
      <c r="AB77" s="57">
        <f t="shared" si="45"/>
        <v>-12107.8</v>
      </c>
      <c r="AC77" s="58">
        <f t="shared" si="18"/>
        <v>-2.917070235914122E-2</v>
      </c>
      <c r="AD77" s="58">
        <f t="shared" si="19"/>
        <v>0.82839078940848077</v>
      </c>
      <c r="AE77" s="57">
        <f t="shared" si="45"/>
        <v>-22137.79</v>
      </c>
      <c r="AF77" s="58">
        <f t="shared" si="20"/>
        <v>-6.2451710755280741E-2</v>
      </c>
      <c r="AG77" s="58">
        <f t="shared" si="21"/>
        <v>-0.70030567640220642</v>
      </c>
      <c r="AH77" s="57">
        <f t="shared" si="45"/>
        <v>-6634.57</v>
      </c>
      <c r="AI77" s="58">
        <f t="shared" si="22"/>
        <v>-2.0282537706489082E-2</v>
      </c>
      <c r="AJ77" s="58">
        <f t="shared" si="23"/>
        <v>10.739524942837292</v>
      </c>
      <c r="AK77" s="57">
        <f t="shared" si="45"/>
        <v>-77886.700000000012</v>
      </c>
      <c r="AL77" s="58">
        <f t="shared" si="24"/>
        <v>-0.39108122296264763</v>
      </c>
      <c r="AM77" s="57">
        <f>SUM(D77:AK77)</f>
        <v>-226469.4645436336</v>
      </c>
      <c r="AN77" s="58">
        <f t="shared" si="25"/>
        <v>-3.2603974577041721E-2</v>
      </c>
      <c r="AO77" s="64"/>
      <c r="AP77" s="64"/>
      <c r="AQ77" s="64"/>
      <c r="AR77" s="64"/>
      <c r="AS77" s="64"/>
      <c r="AT77" s="60"/>
      <c r="AU77" s="61"/>
      <c r="AV77" s="65"/>
      <c r="AW77" s="62"/>
      <c r="AX77" s="61"/>
      <c r="AY77" s="64"/>
      <c r="AZ77" s="64"/>
      <c r="BA77" s="64"/>
      <c r="BB77" s="64"/>
      <c r="BC77" s="60"/>
      <c r="BD77" s="61"/>
      <c r="BE77" s="65"/>
      <c r="BF77" s="62"/>
      <c r="BG77" s="61"/>
      <c r="BH77" s="64"/>
      <c r="BI77" s="64"/>
      <c r="BJ77" s="64"/>
      <c r="BK77" s="64"/>
      <c r="BL77" s="60"/>
      <c r="BM77" s="61"/>
      <c r="BN77" s="65"/>
      <c r="BO77" s="62"/>
      <c r="BP77" s="61"/>
      <c r="BQ77" s="64"/>
      <c r="BR77" s="64"/>
      <c r="BS77" s="64"/>
      <c r="BT77" s="64"/>
    </row>
    <row r="78" spans="1:72" s="74" customFormat="1" x14ac:dyDescent="0.25">
      <c r="A78" s="66" t="s">
        <v>379</v>
      </c>
      <c r="B78" s="67">
        <v>511000003</v>
      </c>
      <c r="C78" s="66" t="s">
        <v>380</v>
      </c>
      <c r="D78" s="68">
        <v>-6094.18</v>
      </c>
      <c r="E78" s="58">
        <f t="shared" si="1"/>
        <v>-1.0218979864710338E-2</v>
      </c>
      <c r="F78" s="58">
        <f t="shared" si="2"/>
        <v>2.1173529498636401</v>
      </c>
      <c r="G78" s="68">
        <v>-18997.71</v>
      </c>
      <c r="H78" s="58">
        <f t="shared" si="4"/>
        <v>-2.5608059844029734E-2</v>
      </c>
      <c r="I78" s="58">
        <f t="shared" si="5"/>
        <v>-0.40503460680260939</v>
      </c>
      <c r="J78" s="68">
        <v>-11302.98</v>
      </c>
      <c r="K78" s="58">
        <f t="shared" si="6"/>
        <v>-1.5862382703345498E-2</v>
      </c>
      <c r="L78" s="58">
        <f t="shared" si="7"/>
        <v>5.0213306579326877E-2</v>
      </c>
      <c r="M78" s="68">
        <v>-11870.54</v>
      </c>
      <c r="N78" s="58">
        <f t="shared" si="8"/>
        <v>-1.6393888409930765E-2</v>
      </c>
      <c r="O78" s="58">
        <f t="shared" si="9"/>
        <v>0.28497102911914696</v>
      </c>
      <c r="P78" s="68">
        <v>-15253.3</v>
      </c>
      <c r="Q78" s="58">
        <f t="shared" si="10"/>
        <v>-1.5965726144478679E-2</v>
      </c>
      <c r="R78" s="58">
        <f t="shared" si="11"/>
        <v>-0.35821822163072903</v>
      </c>
      <c r="S78" s="68">
        <v>-9789.2900000000009</v>
      </c>
      <c r="T78" s="58">
        <f t="shared" si="12"/>
        <v>-1.4717175064428769E-2</v>
      </c>
      <c r="U78" s="58">
        <f t="shared" si="13"/>
        <v>0.70918013461650409</v>
      </c>
      <c r="V78" s="68">
        <v>-16731.66</v>
      </c>
      <c r="W78" s="58">
        <f t="shared" si="14"/>
        <v>-2.3554377706373031E-2</v>
      </c>
      <c r="X78" s="58">
        <f t="shared" si="15"/>
        <v>3.8643505784841325E-2</v>
      </c>
      <c r="Y78" s="68">
        <v>-17378.23</v>
      </c>
      <c r="Z78" s="58">
        <f t="shared" si="16"/>
        <v>-3.1916163969555711E-2</v>
      </c>
      <c r="AA78" s="58">
        <f t="shared" si="17"/>
        <v>-0.476154936377295</v>
      </c>
      <c r="AB78" s="68">
        <v>-9103.5</v>
      </c>
      <c r="AC78" s="58">
        <f t="shared" si="18"/>
        <v>-2.1932596254186733E-2</v>
      </c>
      <c r="AD78" s="58">
        <f t="shared" si="19"/>
        <v>-0.60531663645850498</v>
      </c>
      <c r="AE78" s="68">
        <v>-3593</v>
      </c>
      <c r="AF78" s="58">
        <f t="shared" si="20"/>
        <v>-1.0136016139990654E-2</v>
      </c>
      <c r="AG78" s="58">
        <f t="shared" si="21"/>
        <v>0.58351516838296691</v>
      </c>
      <c r="AH78" s="68">
        <v>-5689.57</v>
      </c>
      <c r="AI78" s="58">
        <f t="shared" si="22"/>
        <v>-1.7393579095360979E-2</v>
      </c>
      <c r="AJ78" s="58">
        <f t="shared" si="23"/>
        <v>2.4346602643082025</v>
      </c>
      <c r="AK78" s="68">
        <v>-19541.74000000002</v>
      </c>
      <c r="AL78" s="58">
        <f t="shared" si="24"/>
        <v>-9.8122112992566082E-2</v>
      </c>
      <c r="AM78" s="68">
        <f>SUM(D78:AK78)</f>
        <v>-145341.52988698782</v>
      </c>
      <c r="AN78" s="58">
        <f t="shared" si="25"/>
        <v>-2.0924284671104958E-2</v>
      </c>
      <c r="AO78" s="73"/>
      <c r="AP78" s="73"/>
      <c r="AQ78" s="73"/>
      <c r="AR78" s="73"/>
      <c r="AS78" s="73"/>
      <c r="AT78" s="60"/>
      <c r="AU78" s="61"/>
      <c r="AV78" s="65"/>
      <c r="AW78" s="62"/>
      <c r="AX78" s="61"/>
      <c r="AY78" s="64"/>
      <c r="AZ78" s="64"/>
      <c r="BA78" s="64"/>
      <c r="BB78" s="64"/>
      <c r="BC78" s="60"/>
      <c r="BD78" s="61"/>
      <c r="BE78" s="65"/>
      <c r="BF78" s="62"/>
      <c r="BG78" s="61"/>
      <c r="BH78" s="64"/>
      <c r="BI78" s="64"/>
      <c r="BJ78" s="64"/>
      <c r="BK78" s="64"/>
      <c r="BL78" s="60"/>
      <c r="BM78" s="61"/>
      <c r="BN78" s="65"/>
      <c r="BO78" s="62"/>
      <c r="BP78" s="61"/>
      <c r="BQ78" s="64"/>
      <c r="BR78" s="64"/>
      <c r="BS78" s="64"/>
      <c r="BT78" s="64"/>
    </row>
    <row r="79" spans="1:72" s="74" customFormat="1" x14ac:dyDescent="0.25">
      <c r="A79" s="66" t="s">
        <v>670</v>
      </c>
      <c r="B79" s="67">
        <v>511000004</v>
      </c>
      <c r="C79" s="66" t="s">
        <v>671</v>
      </c>
      <c r="D79" s="68">
        <v>0</v>
      </c>
      <c r="E79" s="58">
        <f t="shared" si="1"/>
        <v>0</v>
      </c>
      <c r="F79" s="58">
        <f t="shared" si="2"/>
        <v>0</v>
      </c>
      <c r="G79" s="68">
        <v>0</v>
      </c>
      <c r="H79" s="58">
        <f t="shared" si="4"/>
        <v>0</v>
      </c>
      <c r="I79" s="58">
        <f t="shared" si="5"/>
        <v>0</v>
      </c>
      <c r="J79" s="68">
        <v>0</v>
      </c>
      <c r="K79" s="58">
        <f t="shared" si="6"/>
        <v>0</v>
      </c>
      <c r="L79" s="58">
        <f t="shared" si="7"/>
        <v>0</v>
      </c>
      <c r="M79" s="68">
        <v>0</v>
      </c>
      <c r="N79" s="58">
        <f t="shared" si="8"/>
        <v>0</v>
      </c>
      <c r="O79" s="58">
        <f t="shared" si="9"/>
        <v>0</v>
      </c>
      <c r="P79" s="68">
        <v>0</v>
      </c>
      <c r="Q79" s="58">
        <f t="shared" si="10"/>
        <v>0</v>
      </c>
      <c r="R79" s="58">
        <f t="shared" si="11"/>
        <v>0</v>
      </c>
      <c r="S79" s="68">
        <v>0</v>
      </c>
      <c r="T79" s="58">
        <f t="shared" si="12"/>
        <v>0</v>
      </c>
      <c r="U79" s="58">
        <f t="shared" si="13"/>
        <v>0</v>
      </c>
      <c r="V79" s="68">
        <v>0</v>
      </c>
      <c r="W79" s="58">
        <f t="shared" si="14"/>
        <v>0</v>
      </c>
      <c r="X79" s="58">
        <f t="shared" si="15"/>
        <v>0</v>
      </c>
      <c r="Y79" s="68">
        <v>0</v>
      </c>
      <c r="Z79" s="58">
        <f t="shared" si="16"/>
        <v>0</v>
      </c>
      <c r="AA79" s="58">
        <f t="shared" si="17"/>
        <v>0</v>
      </c>
      <c r="AB79" s="68">
        <v>0</v>
      </c>
      <c r="AC79" s="58">
        <f t="shared" si="18"/>
        <v>0</v>
      </c>
      <c r="AD79" s="58">
        <f t="shared" si="19"/>
        <v>0</v>
      </c>
      <c r="AE79" s="68">
        <v>0</v>
      </c>
      <c r="AF79" s="58">
        <f t="shared" si="20"/>
        <v>0</v>
      </c>
      <c r="AG79" s="58">
        <f t="shared" si="21"/>
        <v>0</v>
      </c>
      <c r="AH79" s="68">
        <v>0</v>
      </c>
      <c r="AI79" s="58">
        <f t="shared" si="22"/>
        <v>0</v>
      </c>
      <c r="AJ79" s="58">
        <f t="shared" si="23"/>
        <v>0</v>
      </c>
      <c r="AK79" s="68">
        <v>-58344.959999999999</v>
      </c>
      <c r="AL79" s="58">
        <f t="shared" si="24"/>
        <v>-0.29295910997008162</v>
      </c>
      <c r="AM79" s="68">
        <f>SUM(D79:AK79)</f>
        <v>-58344.959999999999</v>
      </c>
      <c r="AN79" s="58">
        <f t="shared" si="25"/>
        <v>-8.3997089690297146E-3</v>
      </c>
      <c r="AO79" s="73"/>
      <c r="AP79" s="73"/>
      <c r="AQ79" s="73"/>
      <c r="AR79" s="73"/>
      <c r="AS79" s="73"/>
      <c r="AT79" s="69"/>
      <c r="AU79" s="70"/>
      <c r="AV79" s="71"/>
      <c r="AW79" s="72"/>
      <c r="AX79" s="70"/>
      <c r="AY79" s="73"/>
      <c r="AZ79" s="73"/>
      <c r="BA79" s="73"/>
      <c r="BB79" s="73"/>
      <c r="BC79" s="60"/>
      <c r="BD79" s="61"/>
      <c r="BE79" s="65"/>
      <c r="BF79" s="62"/>
      <c r="BG79" s="61"/>
      <c r="BH79" s="64"/>
      <c r="BI79" s="64"/>
      <c r="BJ79" s="64"/>
      <c r="BK79" s="64"/>
      <c r="BL79" s="60"/>
      <c r="BM79" s="61"/>
      <c r="BN79" s="65"/>
      <c r="BO79" s="62"/>
      <c r="BP79" s="61"/>
      <c r="BQ79" s="64"/>
      <c r="BR79" s="64"/>
      <c r="BS79" s="64"/>
      <c r="BT79" s="64"/>
    </row>
    <row r="80" spans="1:72" s="74" customFormat="1" x14ac:dyDescent="0.25">
      <c r="A80" s="66" t="s">
        <v>381</v>
      </c>
      <c r="B80" s="67">
        <v>511000099</v>
      </c>
      <c r="C80" s="66" t="s">
        <v>382</v>
      </c>
      <c r="D80" s="68">
        <v>-285.52999999999997</v>
      </c>
      <c r="E80" s="58">
        <f t="shared" si="1"/>
        <v>-4.7878883143765734E-4</v>
      </c>
      <c r="F80" s="58">
        <f t="shared" si="2"/>
        <v>-0.99299548208594546</v>
      </c>
      <c r="G80" s="68">
        <v>-2</v>
      </c>
      <c r="H80" s="58">
        <f t="shared" si="4"/>
        <v>-2.6959101748610473E-6</v>
      </c>
      <c r="I80" s="58">
        <f t="shared" si="5"/>
        <v>0</v>
      </c>
      <c r="J80" s="68">
        <v>-2</v>
      </c>
      <c r="K80" s="58">
        <f t="shared" si="6"/>
        <v>-2.8067611733092509E-6</v>
      </c>
      <c r="L80" s="58">
        <f t="shared" si="7"/>
        <v>-0.44999999999999996</v>
      </c>
      <c r="M80" s="68">
        <v>-1.1000000000000001</v>
      </c>
      <c r="N80" s="58">
        <f t="shared" si="8"/>
        <v>-1.5191623338890937E-6</v>
      </c>
      <c r="O80" s="58">
        <f t="shared" si="9"/>
        <v>-0.25454545454545463</v>
      </c>
      <c r="P80" s="68">
        <v>-0.82</v>
      </c>
      <c r="Q80" s="58">
        <f t="shared" si="10"/>
        <v>-8.5829921646283205E-7</v>
      </c>
      <c r="R80" s="58">
        <f t="shared" si="11"/>
        <v>0.34146341463414642</v>
      </c>
      <c r="S80" s="68">
        <v>-1.1000000000000001</v>
      </c>
      <c r="T80" s="58">
        <f t="shared" si="12"/>
        <v>-1.6537351095811488E-6</v>
      </c>
      <c r="U80" s="58">
        <f t="shared" si="13"/>
        <v>-0.21818181818181825</v>
      </c>
      <c r="V80" s="68">
        <v>-0.86</v>
      </c>
      <c r="W80" s="58">
        <f t="shared" si="14"/>
        <v>-1.2106847035787725E-6</v>
      </c>
      <c r="X80" s="58">
        <f t="shared" si="15"/>
        <v>3.5348837209302326</v>
      </c>
      <c r="Y80" s="68">
        <v>-3.9</v>
      </c>
      <c r="Z80" s="58">
        <f t="shared" si="16"/>
        <v>-7.1625844220767753E-6</v>
      </c>
      <c r="AA80" s="58">
        <f t="shared" si="17"/>
        <v>769.33333333333337</v>
      </c>
      <c r="AB80" s="68">
        <v>-3004.3</v>
      </c>
      <c r="AC80" s="58">
        <f t="shared" si="18"/>
        <v>-7.2381061049544906E-3</v>
      </c>
      <c r="AD80" s="58">
        <f t="shared" si="19"/>
        <v>5.1727490596811236</v>
      </c>
      <c r="AE80" s="68">
        <v>-18544.79</v>
      </c>
      <c r="AF80" s="58">
        <f t="shared" si="20"/>
        <v>-5.2315694615290086E-2</v>
      </c>
      <c r="AG80" s="58">
        <f t="shared" si="21"/>
        <v>-0.94904229166251008</v>
      </c>
      <c r="AH80" s="68">
        <v>-945</v>
      </c>
      <c r="AI80" s="58">
        <f t="shared" si="22"/>
        <v>-2.8889586111281035E-3</v>
      </c>
      <c r="AJ80" s="58">
        <f t="shared" si="23"/>
        <v>-1</v>
      </c>
      <c r="AK80" s="68">
        <v>0</v>
      </c>
      <c r="AL80" s="58">
        <f t="shared" si="24"/>
        <v>0</v>
      </c>
      <c r="AM80" s="68">
        <f>SUM(D80:AK80)</f>
        <v>-22016.945274973197</v>
      </c>
      <c r="AN80" s="58">
        <f t="shared" si="25"/>
        <v>-3.1696985086086061E-3</v>
      </c>
      <c r="AO80" s="73"/>
      <c r="AP80" s="73"/>
      <c r="AQ80" s="73"/>
      <c r="AR80" s="73"/>
      <c r="AS80" s="73"/>
      <c r="AT80" s="69"/>
      <c r="AU80" s="70"/>
      <c r="AV80" s="71"/>
      <c r="AW80" s="72"/>
      <c r="AX80" s="70"/>
      <c r="AY80" s="73"/>
      <c r="AZ80" s="73"/>
      <c r="BA80" s="73"/>
      <c r="BB80" s="73"/>
      <c r="BC80" s="69"/>
      <c r="BD80" s="70"/>
      <c r="BE80" s="71"/>
      <c r="BF80" s="72"/>
      <c r="BG80" s="70"/>
      <c r="BH80" s="73"/>
      <c r="BI80" s="73"/>
      <c r="BJ80" s="73"/>
      <c r="BK80" s="73"/>
      <c r="BL80" s="69"/>
      <c r="BM80" s="70"/>
      <c r="BN80" s="71"/>
      <c r="BO80" s="72"/>
      <c r="BP80" s="70"/>
      <c r="BQ80" s="73"/>
      <c r="BR80" s="73"/>
      <c r="BS80" s="73"/>
      <c r="BT80" s="73"/>
    </row>
    <row r="81" spans="1:72" s="63" customFormat="1" x14ac:dyDescent="0.25">
      <c r="A81" s="55" t="s">
        <v>672</v>
      </c>
      <c r="B81" s="56">
        <v>511001</v>
      </c>
      <c r="C81" s="55" t="s">
        <v>673</v>
      </c>
      <c r="D81" s="57">
        <f>D82</f>
        <v>0</v>
      </c>
      <c r="E81" s="58">
        <f t="shared" si="1"/>
        <v>0</v>
      </c>
      <c r="F81" s="58">
        <f t="shared" si="2"/>
        <v>0</v>
      </c>
      <c r="G81" s="57">
        <f t="shared" ref="G81:AK81" si="46">G82</f>
        <v>0</v>
      </c>
      <c r="H81" s="58">
        <f t="shared" si="4"/>
        <v>0</v>
      </c>
      <c r="I81" s="58">
        <f t="shared" si="5"/>
        <v>0</v>
      </c>
      <c r="J81" s="57">
        <f t="shared" si="46"/>
        <v>0</v>
      </c>
      <c r="K81" s="58">
        <f t="shared" si="6"/>
        <v>0</v>
      </c>
      <c r="L81" s="58">
        <f t="shared" si="7"/>
        <v>0</v>
      </c>
      <c r="M81" s="57">
        <f t="shared" si="46"/>
        <v>0</v>
      </c>
      <c r="N81" s="58">
        <f t="shared" si="8"/>
        <v>0</v>
      </c>
      <c r="O81" s="58">
        <f t="shared" si="9"/>
        <v>0</v>
      </c>
      <c r="P81" s="57">
        <f t="shared" si="46"/>
        <v>0</v>
      </c>
      <c r="Q81" s="58">
        <f t="shared" si="10"/>
        <v>0</v>
      </c>
      <c r="R81" s="58">
        <f t="shared" si="11"/>
        <v>0</v>
      </c>
      <c r="S81" s="57">
        <f t="shared" si="46"/>
        <v>0</v>
      </c>
      <c r="T81" s="58">
        <f t="shared" si="12"/>
        <v>0</v>
      </c>
      <c r="U81" s="58">
        <f t="shared" si="13"/>
        <v>0</v>
      </c>
      <c r="V81" s="57">
        <f t="shared" si="46"/>
        <v>0</v>
      </c>
      <c r="W81" s="58">
        <f t="shared" si="14"/>
        <v>0</v>
      </c>
      <c r="X81" s="58">
        <f t="shared" si="15"/>
        <v>0</v>
      </c>
      <c r="Y81" s="57">
        <f t="shared" si="46"/>
        <v>0</v>
      </c>
      <c r="Z81" s="58">
        <f t="shared" si="16"/>
        <v>0</v>
      </c>
      <c r="AA81" s="58">
        <f t="shared" si="17"/>
        <v>0</v>
      </c>
      <c r="AB81" s="57">
        <f t="shared" si="46"/>
        <v>0</v>
      </c>
      <c r="AC81" s="58">
        <f t="shared" si="18"/>
        <v>0</v>
      </c>
      <c r="AD81" s="58">
        <f t="shared" si="19"/>
        <v>0</v>
      </c>
      <c r="AE81" s="57">
        <f t="shared" si="46"/>
        <v>0</v>
      </c>
      <c r="AF81" s="58">
        <f t="shared" si="20"/>
        <v>0</v>
      </c>
      <c r="AG81" s="58">
        <f t="shared" si="21"/>
        <v>0</v>
      </c>
      <c r="AH81" s="57">
        <f t="shared" si="46"/>
        <v>0</v>
      </c>
      <c r="AI81" s="58">
        <f t="shared" si="22"/>
        <v>0</v>
      </c>
      <c r="AJ81" s="58">
        <f t="shared" si="23"/>
        <v>0</v>
      </c>
      <c r="AK81" s="57">
        <f t="shared" si="46"/>
        <v>-156</v>
      </c>
      <c r="AL81" s="58">
        <f t="shared" si="24"/>
        <v>-7.8330023973506417E-4</v>
      </c>
      <c r="AM81" s="57">
        <f>SUM(D81:AK81)</f>
        <v>-156</v>
      </c>
      <c r="AN81" s="58">
        <f t="shared" si="25"/>
        <v>-2.2458745351246029E-5</v>
      </c>
      <c r="AO81" s="64"/>
      <c r="AP81" s="64"/>
      <c r="AQ81" s="64"/>
      <c r="AR81" s="64"/>
      <c r="AS81" s="64"/>
      <c r="AT81" s="60"/>
      <c r="AU81" s="61"/>
      <c r="AV81" s="65"/>
      <c r="AW81" s="62"/>
      <c r="AX81" s="61"/>
      <c r="AY81" s="64"/>
      <c r="AZ81" s="64"/>
      <c r="BA81" s="64"/>
      <c r="BB81" s="64"/>
      <c r="BC81" s="60"/>
      <c r="BD81" s="61"/>
      <c r="BE81" s="65"/>
      <c r="BF81" s="62"/>
      <c r="BG81" s="61"/>
      <c r="BH81" s="64"/>
      <c r="BI81" s="64"/>
      <c r="BJ81" s="64"/>
      <c r="BK81" s="64"/>
      <c r="BL81" s="60"/>
      <c r="BM81" s="61"/>
      <c r="BN81" s="65"/>
      <c r="BO81" s="62"/>
      <c r="BP81" s="61"/>
      <c r="BQ81" s="64"/>
      <c r="BR81" s="64"/>
      <c r="BS81" s="64"/>
      <c r="BT81" s="64"/>
    </row>
    <row r="82" spans="1:72" s="74" customFormat="1" x14ac:dyDescent="0.25">
      <c r="A82" s="66" t="s">
        <v>674</v>
      </c>
      <c r="B82" s="67">
        <v>511001003</v>
      </c>
      <c r="C82" s="66" t="s">
        <v>675</v>
      </c>
      <c r="D82" s="68">
        <v>0</v>
      </c>
      <c r="E82" s="58">
        <f t="shared" si="1"/>
        <v>0</v>
      </c>
      <c r="F82" s="58">
        <f t="shared" si="2"/>
        <v>0</v>
      </c>
      <c r="G82" s="68">
        <v>0</v>
      </c>
      <c r="H82" s="58">
        <f t="shared" si="4"/>
        <v>0</v>
      </c>
      <c r="I82" s="58">
        <f t="shared" si="5"/>
        <v>0</v>
      </c>
      <c r="J82" s="68">
        <v>0</v>
      </c>
      <c r="K82" s="58">
        <f t="shared" si="6"/>
        <v>0</v>
      </c>
      <c r="L82" s="58">
        <f t="shared" si="7"/>
        <v>0</v>
      </c>
      <c r="M82" s="68">
        <v>0</v>
      </c>
      <c r="N82" s="58">
        <f t="shared" si="8"/>
        <v>0</v>
      </c>
      <c r="O82" s="58">
        <f t="shared" si="9"/>
        <v>0</v>
      </c>
      <c r="P82" s="68">
        <v>0</v>
      </c>
      <c r="Q82" s="58">
        <f t="shared" si="10"/>
        <v>0</v>
      </c>
      <c r="R82" s="58">
        <f t="shared" si="11"/>
        <v>0</v>
      </c>
      <c r="S82" s="68">
        <v>0</v>
      </c>
      <c r="T82" s="58">
        <f t="shared" si="12"/>
        <v>0</v>
      </c>
      <c r="U82" s="58">
        <f t="shared" si="13"/>
        <v>0</v>
      </c>
      <c r="V82" s="68">
        <v>0</v>
      </c>
      <c r="W82" s="58">
        <f t="shared" si="14"/>
        <v>0</v>
      </c>
      <c r="X82" s="58">
        <f t="shared" si="15"/>
        <v>0</v>
      </c>
      <c r="Y82" s="68">
        <v>0</v>
      </c>
      <c r="Z82" s="58">
        <f t="shared" si="16"/>
        <v>0</v>
      </c>
      <c r="AA82" s="58">
        <f t="shared" si="17"/>
        <v>0</v>
      </c>
      <c r="AB82" s="68">
        <v>0</v>
      </c>
      <c r="AC82" s="58">
        <f t="shared" si="18"/>
        <v>0</v>
      </c>
      <c r="AD82" s="58">
        <f t="shared" si="19"/>
        <v>0</v>
      </c>
      <c r="AE82" s="68">
        <v>0</v>
      </c>
      <c r="AF82" s="58">
        <f t="shared" si="20"/>
        <v>0</v>
      </c>
      <c r="AG82" s="58">
        <f t="shared" si="21"/>
        <v>0</v>
      </c>
      <c r="AH82" s="68">
        <v>0</v>
      </c>
      <c r="AI82" s="58">
        <f t="shared" si="22"/>
        <v>0</v>
      </c>
      <c r="AJ82" s="58">
        <f t="shared" si="23"/>
        <v>0</v>
      </c>
      <c r="AK82" s="68">
        <v>-156</v>
      </c>
      <c r="AL82" s="58">
        <f t="shared" si="24"/>
        <v>-7.8330023973506417E-4</v>
      </c>
      <c r="AM82" s="68">
        <f>SUM(D82:AK82)</f>
        <v>-156</v>
      </c>
      <c r="AN82" s="58">
        <f t="shared" si="25"/>
        <v>-2.2458745351246029E-5</v>
      </c>
      <c r="AO82" s="73"/>
      <c r="AP82" s="73"/>
      <c r="AQ82" s="73"/>
      <c r="AR82" s="73"/>
      <c r="AS82" s="73"/>
      <c r="AT82" s="69"/>
      <c r="AU82" s="70"/>
      <c r="AV82" s="71"/>
      <c r="AW82" s="72"/>
      <c r="AX82" s="70"/>
      <c r="AY82" s="73"/>
      <c r="AZ82" s="73"/>
      <c r="BA82" s="73"/>
      <c r="BB82" s="73"/>
      <c r="BC82" s="69"/>
      <c r="BD82" s="70"/>
      <c r="BE82" s="71"/>
      <c r="BF82" s="72"/>
      <c r="BG82" s="70"/>
      <c r="BH82" s="73"/>
      <c r="BI82" s="73"/>
      <c r="BJ82" s="73"/>
      <c r="BK82" s="73"/>
      <c r="BL82" s="69"/>
      <c r="BM82" s="70"/>
      <c r="BN82" s="71"/>
      <c r="BO82" s="72"/>
      <c r="BP82" s="70"/>
      <c r="BQ82" s="73"/>
      <c r="BR82" s="73"/>
      <c r="BS82" s="73"/>
      <c r="BT82" s="73"/>
    </row>
    <row r="83" spans="1:72" s="63" customFormat="1" x14ac:dyDescent="0.25">
      <c r="A83" s="55" t="s">
        <v>383</v>
      </c>
      <c r="B83" s="56">
        <v>512</v>
      </c>
      <c r="C83" s="55" t="s">
        <v>384</v>
      </c>
      <c r="D83" s="57">
        <f>D84+D107+D146</f>
        <v>-286886.37</v>
      </c>
      <c r="E83" s="58">
        <f t="shared" si="1"/>
        <v>-0.48106325026333974</v>
      </c>
      <c r="F83" s="58">
        <f t="shared" si="2"/>
        <v>3.1374233638217008E-2</v>
      </c>
      <c r="G83" s="57">
        <f t="shared" ref="G83:AK83" si="47">G84+G107+G146</f>
        <v>-295887.20999999996</v>
      </c>
      <c r="H83" s="58">
        <f t="shared" si="4"/>
        <v>-0.39884267002512369</v>
      </c>
      <c r="I83" s="58">
        <f t="shared" si="5"/>
        <v>-5.8414015259395713E-2</v>
      </c>
      <c r="J83" s="57">
        <f t="shared" si="47"/>
        <v>-278603.24999999994</v>
      </c>
      <c r="K83" s="58">
        <f t="shared" si="6"/>
        <v>-0.39098639242888517</v>
      </c>
      <c r="L83" s="58">
        <f t="shared" si="7"/>
        <v>0.31411058557285343</v>
      </c>
      <c r="M83" s="57">
        <f t="shared" si="47"/>
        <v>-366115.48</v>
      </c>
      <c r="N83" s="58">
        <f t="shared" si="8"/>
        <v>-0.50562622460884155</v>
      </c>
      <c r="O83" s="58">
        <f t="shared" si="9"/>
        <v>-0.11761646898951106</v>
      </c>
      <c r="P83" s="57">
        <f t="shared" si="47"/>
        <v>-323054.27</v>
      </c>
      <c r="Q83" s="58">
        <f t="shared" si="10"/>
        <v>-0.33814295953167345</v>
      </c>
      <c r="R83" s="58">
        <f t="shared" si="11"/>
        <v>-8.0077195698419423E-2</v>
      </c>
      <c r="S83" s="57">
        <f t="shared" si="47"/>
        <v>-297184.99</v>
      </c>
      <c r="T83" s="58">
        <f t="shared" si="12"/>
        <v>-0.44678659273047505</v>
      </c>
      <c r="U83" s="58">
        <f t="shared" si="13"/>
        <v>6.8932889241815287E-2</v>
      </c>
      <c r="V83" s="57">
        <f t="shared" si="47"/>
        <v>-317670.81</v>
      </c>
      <c r="W83" s="58">
        <f t="shared" si="14"/>
        <v>-0.44720836097730066</v>
      </c>
      <c r="X83" s="58">
        <f t="shared" si="15"/>
        <v>-0.29010396013407713</v>
      </c>
      <c r="Y83" s="57">
        <f t="shared" si="47"/>
        <v>-225513.25</v>
      </c>
      <c r="Z83" s="58">
        <f t="shared" si="16"/>
        <v>-0.41416863882612959</v>
      </c>
      <c r="AA83" s="58">
        <f t="shared" si="17"/>
        <v>-0.13231958654314124</v>
      </c>
      <c r="AB83" s="57">
        <f t="shared" si="47"/>
        <v>-195673.42999999996</v>
      </c>
      <c r="AC83" s="58">
        <f t="shared" si="18"/>
        <v>-0.47142597219331783</v>
      </c>
      <c r="AD83" s="58">
        <f t="shared" si="19"/>
        <v>0.5405358816472936</v>
      </c>
      <c r="AE83" s="57">
        <f t="shared" si="47"/>
        <v>-301441.93999999994</v>
      </c>
      <c r="AF83" s="58">
        <f t="shared" si="20"/>
        <v>-0.85038139969665838</v>
      </c>
      <c r="AG83" s="58">
        <f t="shared" si="21"/>
        <v>-0.27009668926626451</v>
      </c>
      <c r="AH83" s="57">
        <f t="shared" si="47"/>
        <v>-220023.47</v>
      </c>
      <c r="AI83" s="58">
        <f t="shared" si="22"/>
        <v>-0.67263354318178414</v>
      </c>
      <c r="AJ83" s="58">
        <f t="shared" si="23"/>
        <v>0.17053767036762002</v>
      </c>
      <c r="AK83" s="57">
        <f t="shared" si="47"/>
        <v>-257545.75999999992</v>
      </c>
      <c r="AL83" s="58">
        <f t="shared" si="24"/>
        <v>-1.2931772791714695</v>
      </c>
      <c r="AM83" s="57">
        <f>SUM(D83:AK83)</f>
        <v>-3365605.4704026598</v>
      </c>
      <c r="AN83" s="58">
        <f t="shared" si="25"/>
        <v>-0.4845338218752176</v>
      </c>
      <c r="AO83" s="64"/>
      <c r="AP83" s="64"/>
      <c r="AQ83" s="64"/>
      <c r="AR83" s="64"/>
      <c r="AS83" s="64"/>
      <c r="AT83" s="60"/>
      <c r="AU83" s="61"/>
      <c r="AV83" s="65"/>
      <c r="AW83" s="62"/>
      <c r="AX83" s="61"/>
      <c r="AY83" s="64"/>
      <c r="AZ83" s="64"/>
      <c r="BA83" s="64"/>
      <c r="BB83" s="64"/>
      <c r="BC83" s="60"/>
      <c r="BD83" s="61"/>
      <c r="BE83" s="65"/>
      <c r="BF83" s="62"/>
      <c r="BG83" s="61"/>
      <c r="BH83" s="64"/>
      <c r="BI83" s="64"/>
      <c r="BJ83" s="64"/>
      <c r="BK83" s="64"/>
      <c r="BL83" s="60"/>
      <c r="BM83" s="61"/>
      <c r="BN83" s="65"/>
      <c r="BO83" s="62"/>
      <c r="BP83" s="61"/>
      <c r="BQ83" s="64"/>
      <c r="BR83" s="64"/>
      <c r="BS83" s="64"/>
      <c r="BT83" s="64"/>
    </row>
    <row r="84" spans="1:72" s="63" customFormat="1" x14ac:dyDescent="0.25">
      <c r="A84" s="55" t="s">
        <v>385</v>
      </c>
      <c r="B84" s="56">
        <v>5121</v>
      </c>
      <c r="C84" s="55" t="s">
        <v>386</v>
      </c>
      <c r="D84" s="57">
        <f>D85+D93+D96+D104</f>
        <v>-168367.87</v>
      </c>
      <c r="E84" s="58">
        <f t="shared" si="1"/>
        <v>-0.28232639557646272</v>
      </c>
      <c r="F84" s="58">
        <f t="shared" si="2"/>
        <v>6.0650526730545273E-2</v>
      </c>
      <c r="G84" s="57">
        <f t="shared" ref="G84:AK84" si="48">G85+G93+G96+G104</f>
        <v>-178579.46999999997</v>
      </c>
      <c r="H84" s="58">
        <f t="shared" si="4"/>
        <v>-0.24071710509714656</v>
      </c>
      <c r="I84" s="58">
        <f t="shared" si="5"/>
        <v>4.3055789111704934E-2</v>
      </c>
      <c r="J84" s="57">
        <f t="shared" si="48"/>
        <v>-186268.35</v>
      </c>
      <c r="K84" s="58">
        <f t="shared" si="6"/>
        <v>-0.2614053862981891</v>
      </c>
      <c r="L84" s="58">
        <f t="shared" si="7"/>
        <v>9.542318917840853E-2</v>
      </c>
      <c r="M84" s="57">
        <f t="shared" si="48"/>
        <v>-204042.67</v>
      </c>
      <c r="N84" s="58">
        <f t="shared" si="8"/>
        <v>-0.28179448979105648</v>
      </c>
      <c r="O84" s="58">
        <f t="shared" si="9"/>
        <v>-2.5547107377099643E-3</v>
      </c>
      <c r="P84" s="57">
        <f t="shared" si="48"/>
        <v>-203521.4</v>
      </c>
      <c r="Q84" s="58">
        <f t="shared" si="10"/>
        <v>-0.21302714408953491</v>
      </c>
      <c r="R84" s="58">
        <f t="shared" si="11"/>
        <v>2.3370711875999373E-2</v>
      </c>
      <c r="S84" s="57">
        <f t="shared" si="48"/>
        <v>-208277.84</v>
      </c>
      <c r="T84" s="58">
        <f t="shared" si="12"/>
        <v>-0.31312397868702269</v>
      </c>
      <c r="U84" s="58">
        <f t="shared" si="13"/>
        <v>-8.4409123889512272E-2</v>
      </c>
      <c r="V84" s="57">
        <f t="shared" si="48"/>
        <v>-190697.28999999998</v>
      </c>
      <c r="W84" s="58">
        <f t="shared" si="14"/>
        <v>-0.26845847908944792</v>
      </c>
      <c r="X84" s="58">
        <f t="shared" si="15"/>
        <v>-0.24206830626696374</v>
      </c>
      <c r="Y84" s="57">
        <f t="shared" si="48"/>
        <v>-144535.51999999999</v>
      </c>
      <c r="Z84" s="58">
        <f t="shared" si="16"/>
        <v>-0.26544817025352979</v>
      </c>
      <c r="AA84" s="58">
        <f t="shared" si="17"/>
        <v>3.6012531729224806E-2</v>
      </c>
      <c r="AB84" s="57">
        <f t="shared" si="48"/>
        <v>-149740.60999999999</v>
      </c>
      <c r="AC84" s="58">
        <f t="shared" si="18"/>
        <v>-0.36076238171973812</v>
      </c>
      <c r="AD84" s="58">
        <f t="shared" si="19"/>
        <v>0.55369562071371292</v>
      </c>
      <c r="AE84" s="57">
        <f t="shared" si="48"/>
        <v>-232651.33</v>
      </c>
      <c r="AF84" s="58">
        <f t="shared" si="20"/>
        <v>-0.6563199654523495</v>
      </c>
      <c r="AG84" s="58">
        <f t="shared" si="21"/>
        <v>-0.50325686941054659</v>
      </c>
      <c r="AH84" s="57">
        <f t="shared" si="48"/>
        <v>-115567.95</v>
      </c>
      <c r="AI84" s="58">
        <f t="shared" si="22"/>
        <v>-0.35330267124118742</v>
      </c>
      <c r="AJ84" s="58">
        <f t="shared" si="23"/>
        <v>-0.10413501321084329</v>
      </c>
      <c r="AK84" s="57">
        <f t="shared" si="48"/>
        <v>-103533.27999999993</v>
      </c>
      <c r="AL84" s="58">
        <f t="shared" si="24"/>
        <v>-0.51985668618306069</v>
      </c>
      <c r="AM84" s="57">
        <f>SUM(D84:AK84)</f>
        <v>-2085787.2009018217</v>
      </c>
      <c r="AN84" s="58">
        <f t="shared" si="25"/>
        <v>-0.3002831000124504</v>
      </c>
      <c r="AO84" s="64"/>
      <c r="AP84" s="64"/>
      <c r="AQ84" s="64"/>
      <c r="AR84" s="64"/>
      <c r="AS84" s="64"/>
      <c r="AT84" s="60"/>
      <c r="AU84" s="61"/>
      <c r="AV84" s="65"/>
      <c r="AW84" s="62"/>
      <c r="AX84" s="61"/>
      <c r="AY84" s="64"/>
      <c r="AZ84" s="64"/>
      <c r="BA84" s="64"/>
      <c r="BB84" s="64"/>
      <c r="BC84" s="60"/>
      <c r="BD84" s="61"/>
      <c r="BE84" s="65"/>
      <c r="BF84" s="62"/>
      <c r="BG84" s="61"/>
      <c r="BH84" s="64"/>
      <c r="BI84" s="64"/>
      <c r="BJ84" s="64"/>
      <c r="BK84" s="64"/>
      <c r="BL84" s="60"/>
      <c r="BM84" s="61"/>
      <c r="BN84" s="65"/>
      <c r="BO84" s="62"/>
      <c r="BP84" s="61"/>
      <c r="BQ84" s="64"/>
      <c r="BR84" s="64"/>
      <c r="BS84" s="64"/>
      <c r="BT84" s="64"/>
    </row>
    <row r="85" spans="1:72" s="63" customFormat="1" x14ac:dyDescent="0.25">
      <c r="A85" s="55" t="s">
        <v>387</v>
      </c>
      <c r="B85" s="56">
        <v>512101</v>
      </c>
      <c r="C85" s="55" t="s">
        <v>388</v>
      </c>
      <c r="D85" s="57">
        <f>SUM(D86:D92)</f>
        <v>-106008.58</v>
      </c>
      <c r="E85" s="58">
        <f t="shared" si="1"/>
        <v>-0.1777596894917011</v>
      </c>
      <c r="F85" s="58">
        <f t="shared" si="2"/>
        <v>0.15157320284829767</v>
      </c>
      <c r="G85" s="57">
        <f t="shared" ref="G85:AK85" si="49">SUM(G86:G92)</f>
        <v>-122076.63999999998</v>
      </c>
      <c r="H85" s="58">
        <f t="shared" si="4"/>
        <v>-0.16455382794442455</v>
      </c>
      <c r="I85" s="58">
        <f t="shared" si="5"/>
        <v>5.6825531895373427E-2</v>
      </c>
      <c r="J85" s="57">
        <f t="shared" si="49"/>
        <v>-129013.71</v>
      </c>
      <c r="K85" s="58">
        <f t="shared" si="6"/>
        <v>-0.1810553360262897</v>
      </c>
      <c r="L85" s="58">
        <f t="shared" si="7"/>
        <v>9.2697977602535175E-2</v>
      </c>
      <c r="M85" s="57">
        <f t="shared" si="49"/>
        <v>-140973.01999999999</v>
      </c>
      <c r="N85" s="58">
        <f t="shared" si="8"/>
        <v>-0.19469172916235805</v>
      </c>
      <c r="O85" s="58">
        <f t="shared" si="9"/>
        <v>-4.5679946418115902E-2</v>
      </c>
      <c r="P85" s="57">
        <f t="shared" si="49"/>
        <v>-134533.38</v>
      </c>
      <c r="Q85" s="58">
        <f t="shared" si="10"/>
        <v>-0.14081694468548347</v>
      </c>
      <c r="R85" s="58">
        <f t="shared" si="11"/>
        <v>9.3025909257613115E-2</v>
      </c>
      <c r="S85" s="57">
        <f t="shared" si="49"/>
        <v>-147048.47</v>
      </c>
      <c r="T85" s="58">
        <f t="shared" si="12"/>
        <v>-0.22107201604471843</v>
      </c>
      <c r="U85" s="58">
        <f t="shared" si="13"/>
        <v>-0.2128571619956332</v>
      </c>
      <c r="V85" s="57">
        <f t="shared" si="49"/>
        <v>-115748.15</v>
      </c>
      <c r="W85" s="58">
        <f t="shared" si="14"/>
        <v>-0.16294711008435034</v>
      </c>
      <c r="X85" s="58">
        <f t="shared" si="15"/>
        <v>-0.20710007028190092</v>
      </c>
      <c r="Y85" s="57">
        <f t="shared" si="49"/>
        <v>-91776.699999999983</v>
      </c>
      <c r="Z85" s="58">
        <f t="shared" si="16"/>
        <v>-0.16855342608451626</v>
      </c>
      <c r="AA85" s="58">
        <f t="shared" si="17"/>
        <v>2.5784649044910291E-2</v>
      </c>
      <c r="AB85" s="57">
        <f t="shared" si="49"/>
        <v>-94143.13</v>
      </c>
      <c r="AC85" s="58">
        <f t="shared" si="18"/>
        <v>-0.22681422094748335</v>
      </c>
      <c r="AD85" s="58">
        <f t="shared" si="19"/>
        <v>-8.3318772171692368E-2</v>
      </c>
      <c r="AE85" s="57">
        <f t="shared" si="49"/>
        <v>-86299.239999999991</v>
      </c>
      <c r="AF85" s="58">
        <f t="shared" si="20"/>
        <v>-0.24345407445280459</v>
      </c>
      <c r="AG85" s="58">
        <f t="shared" si="21"/>
        <v>-3.6496265784031756E-3</v>
      </c>
      <c r="AH85" s="57">
        <f t="shared" si="49"/>
        <v>-85984.28</v>
      </c>
      <c r="AI85" s="58">
        <f t="shared" si="22"/>
        <v>-0.26286246151074072</v>
      </c>
      <c r="AJ85" s="58">
        <f t="shared" si="23"/>
        <v>-0.29357028982507183</v>
      </c>
      <c r="AK85" s="57">
        <f t="shared" si="49"/>
        <v>-60741.849999999868</v>
      </c>
      <c r="AL85" s="58">
        <f t="shared" si="24"/>
        <v>-0.30499426709584104</v>
      </c>
      <c r="AM85" s="57">
        <f>SUM(D85:AK85)</f>
        <v>-1314349.7208494332</v>
      </c>
      <c r="AN85" s="58">
        <f t="shared" si="25"/>
        <v>-0.1892220877117867</v>
      </c>
      <c r="AO85" s="64"/>
      <c r="AP85" s="64"/>
      <c r="AQ85" s="64"/>
      <c r="AR85" s="64"/>
      <c r="AS85" s="64"/>
      <c r="AT85" s="60"/>
      <c r="AU85" s="61"/>
      <c r="AV85" s="65"/>
      <c r="AW85" s="62"/>
      <c r="AX85" s="61"/>
      <c r="AY85" s="64"/>
      <c r="AZ85" s="64"/>
      <c r="BA85" s="64"/>
      <c r="BB85" s="64"/>
      <c r="BC85" s="60"/>
      <c r="BD85" s="61"/>
      <c r="BE85" s="65"/>
      <c r="BF85" s="62"/>
      <c r="BG85" s="61"/>
      <c r="BH85" s="64"/>
      <c r="BI85" s="64"/>
      <c r="BJ85" s="64"/>
      <c r="BK85" s="64"/>
      <c r="BL85" s="60"/>
      <c r="BM85" s="61"/>
      <c r="BN85" s="65"/>
      <c r="BO85" s="62"/>
      <c r="BP85" s="61"/>
      <c r="BQ85" s="64"/>
      <c r="BR85" s="64"/>
      <c r="BS85" s="64"/>
      <c r="BT85" s="64"/>
    </row>
    <row r="86" spans="1:72" s="74" customFormat="1" x14ac:dyDescent="0.25">
      <c r="A86" s="66" t="s">
        <v>389</v>
      </c>
      <c r="B86" s="67">
        <v>512101001</v>
      </c>
      <c r="C86" s="66" t="s">
        <v>390</v>
      </c>
      <c r="D86" s="68">
        <v>-72817.66</v>
      </c>
      <c r="E86" s="58">
        <f t="shared" ref="E86:E149" si="50">D86/D$22</f>
        <v>-0.12210374510357808</v>
      </c>
      <c r="F86" s="58">
        <f t="shared" ref="F86:F149" si="51">IF(D86=0,0,G86/D86-1)</f>
        <v>0.1543221795372165</v>
      </c>
      <c r="G86" s="68">
        <v>-84055.039999999994</v>
      </c>
      <c r="H86" s="58">
        <f t="shared" ref="H86:H149" si="52">G86/G$22</f>
        <v>-0.11330241879217616</v>
      </c>
      <c r="I86" s="58">
        <f t="shared" ref="I86:I149" si="53">IF(G86=0,0,J86/G86-1)</f>
        <v>2.5218356924225027E-2</v>
      </c>
      <c r="J86" s="68">
        <v>-86174.77</v>
      </c>
      <c r="K86" s="58">
        <f t="shared" ref="K86:K149" si="54">J86/J$22</f>
        <v>-0.12093599927742742</v>
      </c>
      <c r="L86" s="58">
        <f t="shared" ref="L86:L149" si="55">IF(J86=0,0,M86/J86-1)</f>
        <v>-1.2842970164005152E-2</v>
      </c>
      <c r="M86" s="68">
        <v>-85068.03</v>
      </c>
      <c r="N86" s="58">
        <f t="shared" ref="N86:N149" si="56">M86/M$22</f>
        <v>-0.11748376999467948</v>
      </c>
      <c r="O86" s="58">
        <f t="shared" ref="O86:O149" si="57">IF(M86=0,0,P86/M86-1)</f>
        <v>6.4399281375153494E-2</v>
      </c>
      <c r="P86" s="68">
        <v>-90546.349999999991</v>
      </c>
      <c r="Q86" s="58">
        <f t="shared" ref="Q86:Q149" si="58">P86/P$22</f>
        <v>-9.4775440559230914E-2</v>
      </c>
      <c r="R86" s="58">
        <f t="shared" ref="R86:R149" si="59">IF(P86=0,0,S86/P86-1)</f>
        <v>-0.12805949660035965</v>
      </c>
      <c r="S86" s="68">
        <v>-78951.030000000013</v>
      </c>
      <c r="T86" s="58">
        <f t="shared" ref="T86:T149" si="60">S86/S$22</f>
        <v>-0.11869462749872235</v>
      </c>
      <c r="U86" s="58">
        <f t="shared" ref="U86:U149" si="61">IF(S86=0,0,V86/S86-1)</f>
        <v>-5.2835156172123532E-2</v>
      </c>
      <c r="V86" s="68">
        <v>-74779.64</v>
      </c>
      <c r="W86" s="58">
        <f t="shared" ref="W86:W149" si="62">V86/V$22</f>
        <v>-0.10527275149665968</v>
      </c>
      <c r="X86" s="58">
        <f t="shared" ref="X86:X149" si="63">IF(V86=0,0,Y86/V86-1)</f>
        <v>-0.16320057170641633</v>
      </c>
      <c r="Y86" s="68">
        <v>-62575.56</v>
      </c>
      <c r="Z86" s="58">
        <f t="shared" ref="Z86:Z149" si="64">Y86/Y$22</f>
        <v>-0.11492377724582835</v>
      </c>
      <c r="AA86" s="58">
        <f t="shared" ref="AA86:AA149" si="65">IF(Y86=0,0,AB86/Y86-1)</f>
        <v>-3.7169303798479825E-2</v>
      </c>
      <c r="AB86" s="68">
        <v>-60249.67</v>
      </c>
      <c r="AC86" s="58">
        <f t="shared" ref="AC86:AC149" si="66">AB86/AB$22</f>
        <v>-0.14515644384665091</v>
      </c>
      <c r="AD86" s="58">
        <f t="shared" ref="AD86:AD149" si="67">IF(AB86=0,0,AE86/AB86-1)</f>
        <v>0.49248419119971931</v>
      </c>
      <c r="AE86" s="68">
        <v>-89921.68</v>
      </c>
      <c r="AF86" s="58">
        <f t="shared" ref="AF86:AF149" si="68">AE86/AE$22</f>
        <v>-0.25367314216951703</v>
      </c>
      <c r="AG86" s="58">
        <f t="shared" ref="AG86:AG149" si="69">IF(AE86=0,0,AH86/AE86-1)</f>
        <v>-0.57660900018771888</v>
      </c>
      <c r="AH86" s="68">
        <v>-38072.03</v>
      </c>
      <c r="AI86" s="58">
        <f t="shared" ref="AI86:AI149" si="70">AH86/AH$22</f>
        <v>-0.11638996710225132</v>
      </c>
      <c r="AJ86" s="58">
        <f t="shared" ref="AJ86:AJ149" si="71">IF(AH86=0,0,AK86/AH86-1)</f>
        <v>-4.7237827875218352E-2</v>
      </c>
      <c r="AK86" s="68">
        <v>-36273.589999999851</v>
      </c>
      <c r="AL86" s="58">
        <f t="shared" ref="AL86:AL149" si="72">AK86/AK$22</f>
        <v>-0.18213533168622634</v>
      </c>
      <c r="AM86" s="68">
        <f>SUM(D86:AK86)</f>
        <v>-859486.75424240052</v>
      </c>
      <c r="AN86" s="58">
        <f t="shared" ref="AN86:AN149" si="73">AM86/AM$22</f>
        <v>-0.12373714196345546</v>
      </c>
      <c r="AO86" s="73"/>
      <c r="AP86" s="73"/>
      <c r="AQ86" s="73"/>
      <c r="AR86" s="73"/>
      <c r="AS86" s="73"/>
      <c r="AT86" s="60"/>
      <c r="AU86" s="61"/>
      <c r="AV86" s="65"/>
      <c r="AW86" s="62"/>
      <c r="AX86" s="61"/>
      <c r="AY86" s="64"/>
      <c r="AZ86" s="64"/>
      <c r="BA86" s="64"/>
      <c r="BB86" s="64"/>
      <c r="BC86" s="69"/>
      <c r="BD86" s="70"/>
      <c r="BE86" s="71"/>
      <c r="BF86" s="72"/>
      <c r="BG86" s="70"/>
      <c r="BH86" s="73"/>
      <c r="BI86" s="73"/>
      <c r="BJ86" s="73"/>
      <c r="BK86" s="73"/>
      <c r="BL86" s="69"/>
      <c r="BM86" s="70"/>
      <c r="BN86" s="71"/>
      <c r="BO86" s="72"/>
      <c r="BP86" s="70"/>
      <c r="BQ86" s="73"/>
      <c r="BR86" s="73"/>
      <c r="BS86" s="73"/>
      <c r="BT86" s="73"/>
    </row>
    <row r="87" spans="1:72" s="74" customFormat="1" x14ac:dyDescent="0.25">
      <c r="A87" s="66" t="s">
        <v>391</v>
      </c>
      <c r="B87" s="67">
        <v>512101004</v>
      </c>
      <c r="C87" s="66" t="s">
        <v>392</v>
      </c>
      <c r="D87" s="68">
        <v>-7765.77</v>
      </c>
      <c r="E87" s="58">
        <f t="shared" si="50"/>
        <v>-1.3021972974866448E-2</v>
      </c>
      <c r="F87" s="58">
        <f t="shared" si="51"/>
        <v>0.86391046863350307</v>
      </c>
      <c r="G87" s="68">
        <v>-14474.7</v>
      </c>
      <c r="H87" s="58">
        <f t="shared" si="52"/>
        <v>-1.9511245504030602E-2</v>
      </c>
      <c r="I87" s="58">
        <f t="shared" si="53"/>
        <v>2.8943605048809218E-2</v>
      </c>
      <c r="J87" s="68">
        <v>-14893.65</v>
      </c>
      <c r="K87" s="58">
        <f t="shared" si="54"/>
        <v>-2.0901459274428661E-2</v>
      </c>
      <c r="L87" s="58">
        <f t="shared" si="55"/>
        <v>0.33488835846149212</v>
      </c>
      <c r="M87" s="68">
        <v>-19881.36</v>
      </c>
      <c r="N87" s="58">
        <f t="shared" si="56"/>
        <v>-2.7457284780444791E-2</v>
      </c>
      <c r="O87" s="58">
        <f t="shared" si="57"/>
        <v>-0.28662174016264486</v>
      </c>
      <c r="P87" s="68">
        <v>-14182.93</v>
      </c>
      <c r="Q87" s="58">
        <f t="shared" si="58"/>
        <v>-1.4845363056277068E-2</v>
      </c>
      <c r="R87" s="58">
        <f t="shared" si="59"/>
        <v>0.7286294157836215</v>
      </c>
      <c r="S87" s="68">
        <v>-24517.03</v>
      </c>
      <c r="T87" s="58">
        <f t="shared" si="60"/>
        <v>-3.6858793903322098E-2</v>
      </c>
      <c r="U87" s="58">
        <f t="shared" si="61"/>
        <v>-0.435113062226542</v>
      </c>
      <c r="V87" s="68">
        <v>-13849.350000000002</v>
      </c>
      <c r="W87" s="58">
        <f t="shared" si="62"/>
        <v>-1.9496739766870556E-2</v>
      </c>
      <c r="X87" s="58">
        <f t="shared" si="63"/>
        <v>-0.33325318516753499</v>
      </c>
      <c r="Y87" s="68">
        <v>-9234.01</v>
      </c>
      <c r="Z87" s="58">
        <f t="shared" si="64"/>
        <v>-1.6958814404949018E-2</v>
      </c>
      <c r="AA87" s="58">
        <f t="shared" si="65"/>
        <v>0.30697930801461126</v>
      </c>
      <c r="AB87" s="68">
        <v>-12068.660000000002</v>
      </c>
      <c r="AC87" s="58">
        <f t="shared" si="66"/>
        <v>-2.9076404361954553E-2</v>
      </c>
      <c r="AD87" s="58">
        <f t="shared" si="67"/>
        <v>-3.0089496265534033</v>
      </c>
      <c r="AE87" s="68">
        <v>24245.33</v>
      </c>
      <c r="AF87" s="58">
        <f t="shared" si="68"/>
        <v>6.8397176788032185E-2</v>
      </c>
      <c r="AG87" s="58">
        <f t="shared" si="69"/>
        <v>-2.319895419035336</v>
      </c>
      <c r="AH87" s="68">
        <v>-32001.3</v>
      </c>
      <c r="AI87" s="58">
        <f t="shared" si="70"/>
        <v>-9.7831144129411407E-2</v>
      </c>
      <c r="AJ87" s="58">
        <f t="shared" si="71"/>
        <v>-0.76395896416708087</v>
      </c>
      <c r="AK87" s="68">
        <v>-7553.6199999999953</v>
      </c>
      <c r="AL87" s="58">
        <f t="shared" si="72"/>
        <v>-3.7927899723510079E-2</v>
      </c>
      <c r="AM87" s="68">
        <f>SUM(D87:AK87)</f>
        <v>-146182.16200288673</v>
      </c>
      <c r="AN87" s="58">
        <f t="shared" si="73"/>
        <v>-2.1045307380239915E-2</v>
      </c>
      <c r="AO87" s="73"/>
      <c r="AP87" s="73"/>
      <c r="AQ87" s="73"/>
      <c r="AR87" s="73"/>
      <c r="AS87" s="73"/>
      <c r="AT87" s="69"/>
      <c r="AU87" s="70"/>
      <c r="AV87" s="71"/>
      <c r="AW87" s="72"/>
      <c r="AX87" s="70"/>
      <c r="AY87" s="73"/>
      <c r="AZ87" s="73"/>
      <c r="BA87" s="73"/>
      <c r="BB87" s="73"/>
      <c r="BC87" s="60"/>
      <c r="BD87" s="61"/>
      <c r="BE87" s="65"/>
      <c r="BF87" s="62"/>
      <c r="BG87" s="61"/>
      <c r="BH87" s="64"/>
      <c r="BI87" s="64"/>
      <c r="BJ87" s="64"/>
      <c r="BK87" s="64"/>
      <c r="BL87" s="60"/>
      <c r="BM87" s="61"/>
      <c r="BN87" s="65"/>
      <c r="BO87" s="62"/>
      <c r="BP87" s="61"/>
      <c r="BQ87" s="64"/>
      <c r="BR87" s="64"/>
      <c r="BS87" s="64"/>
      <c r="BT87" s="64"/>
    </row>
    <row r="88" spans="1:72" s="74" customFormat="1" x14ac:dyDescent="0.25">
      <c r="A88" s="66" t="s">
        <v>393</v>
      </c>
      <c r="B88" s="67">
        <v>512101005</v>
      </c>
      <c r="C88" s="66" t="s">
        <v>394</v>
      </c>
      <c r="D88" s="68">
        <v>-8258.32</v>
      </c>
      <c r="E88" s="58">
        <f t="shared" si="50"/>
        <v>-1.3847901735152995E-2</v>
      </c>
      <c r="F88" s="58">
        <f t="shared" si="51"/>
        <v>1.9783684817251013E-2</v>
      </c>
      <c r="G88" s="68">
        <v>-8421.7000000000007</v>
      </c>
      <c r="H88" s="58">
        <f t="shared" si="52"/>
        <v>-1.1352073359813643E-2</v>
      </c>
      <c r="I88" s="58">
        <f t="shared" si="53"/>
        <v>3.5482147309925605E-2</v>
      </c>
      <c r="J88" s="68">
        <v>-8720.52</v>
      </c>
      <c r="K88" s="58">
        <f t="shared" si="54"/>
        <v>-1.2238208473533393E-2</v>
      </c>
      <c r="L88" s="58">
        <f t="shared" si="55"/>
        <v>7.0362776531674776E-2</v>
      </c>
      <c r="M88" s="68">
        <v>-9334.1200000000008</v>
      </c>
      <c r="N88" s="58">
        <f t="shared" si="56"/>
        <v>-1.2890948658182607E-2</v>
      </c>
      <c r="O88" s="58">
        <f t="shared" si="57"/>
        <v>-0.16558818613859694</v>
      </c>
      <c r="P88" s="68">
        <v>-7788.5</v>
      </c>
      <c r="Q88" s="58">
        <f t="shared" si="58"/>
        <v>-8.1522724968545943E-3</v>
      </c>
      <c r="R88" s="58">
        <f t="shared" si="59"/>
        <v>0.24642485716119933</v>
      </c>
      <c r="S88" s="68">
        <v>-9707.7800000000007</v>
      </c>
      <c r="T88" s="58">
        <f t="shared" si="60"/>
        <v>-1.4594633292808804E-2</v>
      </c>
      <c r="U88" s="58">
        <f t="shared" si="61"/>
        <v>-2.7731365976567335E-2</v>
      </c>
      <c r="V88" s="68">
        <v>-9438.57</v>
      </c>
      <c r="W88" s="58">
        <f t="shared" si="62"/>
        <v>-1.3287363165880809E-2</v>
      </c>
      <c r="X88" s="58">
        <f t="shared" si="63"/>
        <v>-0.21847801096988206</v>
      </c>
      <c r="Y88" s="68">
        <v>-7376.45</v>
      </c>
      <c r="Z88" s="58">
        <f t="shared" si="64"/>
        <v>-1.354729381031493E-2</v>
      </c>
      <c r="AA88" s="58">
        <f t="shared" si="65"/>
        <v>-0.13186153230890196</v>
      </c>
      <c r="AB88" s="68">
        <v>-6403.78</v>
      </c>
      <c r="AC88" s="58">
        <f t="shared" si="66"/>
        <v>-1.5428299142158061E-2</v>
      </c>
      <c r="AD88" s="58">
        <f t="shared" si="67"/>
        <v>0.77682087766912655</v>
      </c>
      <c r="AE88" s="68">
        <v>-11378.369999999999</v>
      </c>
      <c r="AF88" s="58">
        <f t="shared" si="68"/>
        <v>-3.2098898404337724E-2</v>
      </c>
      <c r="AG88" s="58">
        <f t="shared" si="69"/>
        <v>-0.60014923051368518</v>
      </c>
      <c r="AH88" s="68">
        <v>-4549.6499999999996</v>
      </c>
      <c r="AI88" s="58">
        <f t="shared" si="70"/>
        <v>-1.3908730735575634E-2</v>
      </c>
      <c r="AJ88" s="58">
        <f t="shared" si="71"/>
        <v>0.33009132570637578</v>
      </c>
      <c r="AK88" s="68">
        <v>-6051.4500000000116</v>
      </c>
      <c r="AL88" s="58">
        <f t="shared" si="72"/>
        <v>-3.0385270741953612E-2</v>
      </c>
      <c r="AM88" s="68">
        <f>SUM(D88:AK88)</f>
        <v>-97429.03618927997</v>
      </c>
      <c r="AN88" s="58">
        <f t="shared" si="73"/>
        <v>-1.4026499446104953E-2</v>
      </c>
      <c r="AO88" s="73"/>
      <c r="AP88" s="73"/>
      <c r="AQ88" s="73"/>
      <c r="AR88" s="73"/>
      <c r="AS88" s="73"/>
      <c r="AT88" s="69"/>
      <c r="AU88" s="70"/>
      <c r="AV88" s="71"/>
      <c r="AW88" s="72"/>
      <c r="AX88" s="70"/>
      <c r="AY88" s="73"/>
      <c r="AZ88" s="73"/>
      <c r="BA88" s="73"/>
      <c r="BB88" s="73"/>
      <c r="BC88" s="69"/>
      <c r="BD88" s="70"/>
      <c r="BE88" s="71"/>
      <c r="BF88" s="72"/>
      <c r="BG88" s="70"/>
      <c r="BH88" s="73"/>
      <c r="BI88" s="73"/>
      <c r="BJ88" s="73"/>
      <c r="BK88" s="73"/>
      <c r="BL88" s="69"/>
      <c r="BM88" s="70"/>
      <c r="BN88" s="71"/>
      <c r="BO88" s="72"/>
      <c r="BP88" s="70"/>
      <c r="BQ88" s="73"/>
      <c r="BR88" s="73"/>
      <c r="BS88" s="73"/>
      <c r="BT88" s="73"/>
    </row>
    <row r="89" spans="1:72" s="74" customFormat="1" x14ac:dyDescent="0.25">
      <c r="A89" s="66" t="s">
        <v>395</v>
      </c>
      <c r="B89" s="67">
        <v>512101006</v>
      </c>
      <c r="C89" s="66" t="s">
        <v>396</v>
      </c>
      <c r="D89" s="68">
        <v>0</v>
      </c>
      <c r="E89" s="58">
        <f t="shared" si="50"/>
        <v>0</v>
      </c>
      <c r="F89" s="58">
        <f t="shared" si="51"/>
        <v>0</v>
      </c>
      <c r="G89" s="68">
        <v>0</v>
      </c>
      <c r="H89" s="58">
        <f t="shared" si="52"/>
        <v>0</v>
      </c>
      <c r="I89" s="58">
        <f t="shared" si="53"/>
        <v>0</v>
      </c>
      <c r="J89" s="68">
        <v>0</v>
      </c>
      <c r="K89" s="58">
        <f t="shared" si="54"/>
        <v>0</v>
      </c>
      <c r="L89" s="58">
        <f t="shared" si="55"/>
        <v>0</v>
      </c>
      <c r="M89" s="68">
        <v>0</v>
      </c>
      <c r="N89" s="58">
        <f t="shared" si="56"/>
        <v>0</v>
      </c>
      <c r="O89" s="58">
        <f t="shared" si="57"/>
        <v>0</v>
      </c>
      <c r="P89" s="68">
        <v>0</v>
      </c>
      <c r="Q89" s="58">
        <f t="shared" si="58"/>
        <v>0</v>
      </c>
      <c r="R89" s="58">
        <f t="shared" si="59"/>
        <v>0</v>
      </c>
      <c r="S89" s="68">
        <v>0</v>
      </c>
      <c r="T89" s="58">
        <f t="shared" si="60"/>
        <v>0</v>
      </c>
      <c r="U89" s="58">
        <f t="shared" si="61"/>
        <v>0</v>
      </c>
      <c r="V89" s="68">
        <v>0</v>
      </c>
      <c r="W89" s="58">
        <f t="shared" si="62"/>
        <v>0</v>
      </c>
      <c r="X89" s="58">
        <f t="shared" si="63"/>
        <v>0</v>
      </c>
      <c r="Y89" s="68">
        <v>0</v>
      </c>
      <c r="Z89" s="58">
        <f t="shared" si="64"/>
        <v>0</v>
      </c>
      <c r="AA89" s="58">
        <f t="shared" si="65"/>
        <v>0</v>
      </c>
      <c r="AB89" s="68">
        <v>0</v>
      </c>
      <c r="AC89" s="58">
        <f t="shared" si="66"/>
        <v>0</v>
      </c>
      <c r="AD89" s="58">
        <f t="shared" si="67"/>
        <v>0</v>
      </c>
      <c r="AE89" s="68">
        <v>0</v>
      </c>
      <c r="AF89" s="58">
        <f t="shared" si="68"/>
        <v>0</v>
      </c>
      <c r="AG89" s="58">
        <f t="shared" si="69"/>
        <v>0</v>
      </c>
      <c r="AH89" s="68">
        <v>-1366.03</v>
      </c>
      <c r="AI89" s="58">
        <f t="shared" si="70"/>
        <v>-4.1760890281051042E-3</v>
      </c>
      <c r="AJ89" s="58">
        <f t="shared" si="71"/>
        <v>-1</v>
      </c>
      <c r="AK89" s="68">
        <v>0</v>
      </c>
      <c r="AL89" s="58">
        <f t="shared" si="72"/>
        <v>0</v>
      </c>
      <c r="AM89" s="68">
        <f>SUM(D89:AK89)</f>
        <v>-1367.0341760890281</v>
      </c>
      <c r="AN89" s="58">
        <f t="shared" si="73"/>
        <v>-1.9680687466175581E-4</v>
      </c>
      <c r="AO89" s="64"/>
      <c r="AP89" s="64"/>
      <c r="AQ89" s="64"/>
      <c r="AR89" s="64"/>
      <c r="AS89" s="64"/>
      <c r="AT89" s="69"/>
      <c r="AU89" s="70"/>
      <c r="AV89" s="71"/>
      <c r="AW89" s="72"/>
      <c r="AX89" s="70"/>
      <c r="AY89" s="73"/>
      <c r="AZ89" s="73"/>
      <c r="BA89" s="73"/>
      <c r="BB89" s="73"/>
      <c r="BC89" s="69"/>
      <c r="BD89" s="70"/>
      <c r="BE89" s="71"/>
      <c r="BF89" s="72"/>
      <c r="BG89" s="70"/>
      <c r="BH89" s="73"/>
      <c r="BI89" s="73"/>
      <c r="BJ89" s="73"/>
      <c r="BK89" s="73"/>
      <c r="BL89" s="69"/>
      <c r="BM89" s="70"/>
      <c r="BN89" s="71"/>
      <c r="BO89" s="72"/>
      <c r="BP89" s="70"/>
      <c r="BQ89" s="73"/>
      <c r="BR89" s="73"/>
      <c r="BS89" s="73"/>
      <c r="BT89" s="73"/>
    </row>
    <row r="90" spans="1:72" s="74" customFormat="1" x14ac:dyDescent="0.25">
      <c r="A90" s="66" t="s">
        <v>676</v>
      </c>
      <c r="B90" s="67">
        <v>512101011</v>
      </c>
      <c r="C90" s="66" t="s">
        <v>677</v>
      </c>
      <c r="D90" s="68">
        <v>-17166.830000000002</v>
      </c>
      <c r="E90" s="58">
        <f t="shared" si="50"/>
        <v>-2.8786069678103599E-2</v>
      </c>
      <c r="F90" s="58">
        <f t="shared" si="51"/>
        <v>-0.11892877135732116</v>
      </c>
      <c r="G90" s="68">
        <v>-15125.2</v>
      </c>
      <c r="H90" s="58">
        <f t="shared" si="52"/>
        <v>-2.0388090288404159E-2</v>
      </c>
      <c r="I90" s="58">
        <f t="shared" si="53"/>
        <v>0.27104236638193213</v>
      </c>
      <c r="J90" s="68">
        <v>-19224.77</v>
      </c>
      <c r="K90" s="58">
        <f t="shared" si="54"/>
        <v>-2.6979669000900243E-2</v>
      </c>
      <c r="L90" s="58">
        <f t="shared" si="55"/>
        <v>0.38828761020287872</v>
      </c>
      <c r="M90" s="68">
        <v>-26689.51</v>
      </c>
      <c r="N90" s="58">
        <f t="shared" si="56"/>
        <v>-3.6859725729051183E-2</v>
      </c>
      <c r="O90" s="58">
        <f t="shared" si="57"/>
        <v>-0.17512161144959204</v>
      </c>
      <c r="P90" s="68">
        <v>-22015.599999999999</v>
      </c>
      <c r="Q90" s="58">
        <f t="shared" si="58"/>
        <v>-2.3043868573120883E-2</v>
      </c>
      <c r="R90" s="58">
        <f t="shared" si="59"/>
        <v>0.53857401115572601</v>
      </c>
      <c r="S90" s="68">
        <v>-33872.629999999997</v>
      </c>
      <c r="T90" s="58">
        <f t="shared" si="60"/>
        <v>-5.0923961349865182E-2</v>
      </c>
      <c r="U90" s="58">
        <f t="shared" si="61"/>
        <v>-0.47802724500577598</v>
      </c>
      <c r="V90" s="68">
        <v>-17680.59</v>
      </c>
      <c r="W90" s="58">
        <f t="shared" si="62"/>
        <v>-2.4890255654939315E-2</v>
      </c>
      <c r="X90" s="58">
        <f t="shared" si="63"/>
        <v>-0.28788123020781542</v>
      </c>
      <c r="Y90" s="68">
        <v>-12590.68</v>
      </c>
      <c r="Z90" s="58">
        <f t="shared" si="64"/>
        <v>-2.3123540623424005E-2</v>
      </c>
      <c r="AA90" s="58">
        <f t="shared" si="65"/>
        <v>0.22479643672939043</v>
      </c>
      <c r="AB90" s="68">
        <v>-15421.02</v>
      </c>
      <c r="AC90" s="58">
        <f t="shared" si="66"/>
        <v>-3.71530735967198E-2</v>
      </c>
      <c r="AD90" s="58">
        <f t="shared" si="67"/>
        <v>-0.40052473831173296</v>
      </c>
      <c r="AE90" s="68">
        <v>-9244.52</v>
      </c>
      <c r="AF90" s="58">
        <f t="shared" si="68"/>
        <v>-2.607921066698202E-2</v>
      </c>
      <c r="AG90" s="58">
        <f t="shared" si="69"/>
        <v>-5.1829624469415525E-2</v>
      </c>
      <c r="AH90" s="68">
        <v>-8765.3799999999992</v>
      </c>
      <c r="AI90" s="58">
        <f t="shared" si="70"/>
        <v>-2.6796634953238151E-2</v>
      </c>
      <c r="AJ90" s="58">
        <f t="shared" si="71"/>
        <v>9.2851650470374469E-2</v>
      </c>
      <c r="AK90" s="68">
        <v>-9579.2600000000093</v>
      </c>
      <c r="AL90" s="58">
        <f t="shared" si="72"/>
        <v>-4.8098952913362296E-2</v>
      </c>
      <c r="AM90" s="68">
        <f>SUM(D90:AK90)</f>
        <v>-207376.31178524593</v>
      </c>
      <c r="AN90" s="58">
        <f t="shared" si="73"/>
        <v>-2.9855203706829737E-2</v>
      </c>
      <c r="AO90" s="73"/>
      <c r="AP90" s="73"/>
      <c r="AQ90" s="73"/>
      <c r="AR90" s="73"/>
      <c r="AS90" s="73"/>
      <c r="AT90" s="60"/>
      <c r="AU90" s="61"/>
      <c r="AV90" s="65"/>
      <c r="AW90" s="62"/>
      <c r="AX90" s="61"/>
      <c r="AY90" s="64"/>
      <c r="AZ90" s="64"/>
      <c r="BA90" s="64"/>
      <c r="BB90" s="64"/>
      <c r="BC90" s="69"/>
      <c r="BD90" s="70"/>
      <c r="BE90" s="71"/>
      <c r="BF90" s="72"/>
      <c r="BG90" s="70"/>
      <c r="BH90" s="73"/>
      <c r="BI90" s="73"/>
      <c r="BJ90" s="73"/>
      <c r="BK90" s="73"/>
      <c r="BL90" s="69"/>
      <c r="BM90" s="70"/>
      <c r="BN90" s="71"/>
      <c r="BO90" s="72"/>
      <c r="BP90" s="70"/>
      <c r="BQ90" s="73"/>
      <c r="BR90" s="73"/>
      <c r="BS90" s="73"/>
      <c r="BT90" s="73"/>
    </row>
    <row r="91" spans="1:72" s="74" customFormat="1" x14ac:dyDescent="0.25">
      <c r="A91" s="66" t="s">
        <v>397</v>
      </c>
      <c r="B91" s="67">
        <v>512101013</v>
      </c>
      <c r="C91" s="66" t="s">
        <v>398</v>
      </c>
      <c r="D91" s="68">
        <v>0</v>
      </c>
      <c r="E91" s="58">
        <f t="shared" si="50"/>
        <v>0</v>
      </c>
      <c r="F91" s="58">
        <f t="shared" si="51"/>
        <v>0</v>
      </c>
      <c r="G91" s="68">
        <v>0</v>
      </c>
      <c r="H91" s="58">
        <f t="shared" si="52"/>
        <v>0</v>
      </c>
      <c r="I91" s="58">
        <f t="shared" si="53"/>
        <v>0</v>
      </c>
      <c r="J91" s="68">
        <v>0</v>
      </c>
      <c r="K91" s="58">
        <f t="shared" si="54"/>
        <v>0</v>
      </c>
      <c r="L91" s="58">
        <f t="shared" si="55"/>
        <v>0</v>
      </c>
      <c r="M91" s="68">
        <v>0</v>
      </c>
      <c r="N91" s="58">
        <f t="shared" si="56"/>
        <v>0</v>
      </c>
      <c r="O91" s="58">
        <f t="shared" si="57"/>
        <v>0</v>
      </c>
      <c r="P91" s="68">
        <v>0</v>
      </c>
      <c r="Q91" s="58">
        <f t="shared" si="58"/>
        <v>0</v>
      </c>
      <c r="R91" s="58">
        <f t="shared" si="59"/>
        <v>0</v>
      </c>
      <c r="S91" s="68">
        <v>0</v>
      </c>
      <c r="T91" s="58">
        <f t="shared" si="60"/>
        <v>0</v>
      </c>
      <c r="U91" s="58">
        <f t="shared" si="61"/>
        <v>0</v>
      </c>
      <c r="V91" s="68">
        <v>0</v>
      </c>
      <c r="W91" s="58">
        <f t="shared" si="62"/>
        <v>0</v>
      </c>
      <c r="X91" s="58">
        <f t="shared" si="63"/>
        <v>0</v>
      </c>
      <c r="Y91" s="68">
        <v>0</v>
      </c>
      <c r="Z91" s="58">
        <f t="shared" si="64"/>
        <v>0</v>
      </c>
      <c r="AA91" s="58">
        <f t="shared" si="65"/>
        <v>0</v>
      </c>
      <c r="AB91" s="68">
        <v>0</v>
      </c>
      <c r="AC91" s="58">
        <f t="shared" si="66"/>
        <v>0</v>
      </c>
      <c r="AD91" s="58">
        <f t="shared" si="67"/>
        <v>0</v>
      </c>
      <c r="AE91" s="68">
        <v>0</v>
      </c>
      <c r="AF91" s="58">
        <f t="shared" si="68"/>
        <v>0</v>
      </c>
      <c r="AG91" s="58">
        <f t="shared" si="69"/>
        <v>0</v>
      </c>
      <c r="AH91" s="68">
        <v>-199.6</v>
      </c>
      <c r="AI91" s="58">
        <f t="shared" si="70"/>
        <v>-6.1019697225520573E-4</v>
      </c>
      <c r="AJ91" s="58">
        <f t="shared" si="71"/>
        <v>0</v>
      </c>
      <c r="AK91" s="68">
        <v>-199.6</v>
      </c>
      <c r="AL91" s="58">
        <f t="shared" si="72"/>
        <v>-1.0022226144302487E-3</v>
      </c>
      <c r="AM91" s="68">
        <f>SUM(D91:AK91)</f>
        <v>-399.20061019697221</v>
      </c>
      <c r="AN91" s="58">
        <f t="shared" si="73"/>
        <v>-5.7471441336383515E-5</v>
      </c>
      <c r="AO91" s="73"/>
      <c r="AP91" s="73"/>
      <c r="AQ91" s="73"/>
      <c r="AR91" s="73"/>
      <c r="AS91" s="73"/>
      <c r="AT91" s="69"/>
      <c r="AU91" s="70"/>
      <c r="AV91" s="71"/>
      <c r="AW91" s="72"/>
      <c r="AX91" s="70"/>
      <c r="AY91" s="73"/>
      <c r="AZ91" s="73"/>
      <c r="BA91" s="73"/>
      <c r="BB91" s="73"/>
      <c r="BC91" s="60"/>
      <c r="BD91" s="61"/>
      <c r="BE91" s="65"/>
      <c r="BF91" s="62"/>
      <c r="BG91" s="61"/>
      <c r="BH91" s="64"/>
      <c r="BI91" s="64"/>
      <c r="BJ91" s="64"/>
      <c r="BK91" s="64"/>
      <c r="BL91" s="60"/>
      <c r="BM91" s="61"/>
      <c r="BN91" s="65"/>
      <c r="BO91" s="62"/>
      <c r="BP91" s="61"/>
      <c r="BQ91" s="64"/>
      <c r="BR91" s="64"/>
      <c r="BS91" s="64"/>
      <c r="BT91" s="64"/>
    </row>
    <row r="92" spans="1:72" s="74" customFormat="1" x14ac:dyDescent="0.25">
      <c r="A92" s="66" t="s">
        <v>399</v>
      </c>
      <c r="B92" s="67">
        <v>512101015</v>
      </c>
      <c r="C92" s="66" t="s">
        <v>400</v>
      </c>
      <c r="D92" s="68">
        <v>0</v>
      </c>
      <c r="E92" s="58">
        <f t="shared" si="50"/>
        <v>0</v>
      </c>
      <c r="F92" s="58">
        <f t="shared" si="51"/>
        <v>0</v>
      </c>
      <c r="G92" s="68">
        <v>0</v>
      </c>
      <c r="H92" s="58">
        <f t="shared" si="52"/>
        <v>0</v>
      </c>
      <c r="I92" s="58">
        <f t="shared" si="53"/>
        <v>0</v>
      </c>
      <c r="J92" s="68">
        <v>0</v>
      </c>
      <c r="K92" s="58">
        <f t="shared" si="54"/>
        <v>0</v>
      </c>
      <c r="L92" s="58">
        <f t="shared" si="55"/>
        <v>0</v>
      </c>
      <c r="M92" s="68">
        <v>0</v>
      </c>
      <c r="N92" s="58">
        <f t="shared" si="56"/>
        <v>0</v>
      </c>
      <c r="O92" s="58">
        <f t="shared" si="57"/>
        <v>0</v>
      </c>
      <c r="P92" s="68">
        <v>0</v>
      </c>
      <c r="Q92" s="58">
        <f t="shared" si="58"/>
        <v>0</v>
      </c>
      <c r="R92" s="58">
        <f t="shared" si="59"/>
        <v>0</v>
      </c>
      <c r="S92" s="68">
        <v>0</v>
      </c>
      <c r="T92" s="58">
        <f t="shared" si="60"/>
        <v>0</v>
      </c>
      <c r="U92" s="58">
        <f t="shared" si="61"/>
        <v>0</v>
      </c>
      <c r="V92" s="68">
        <v>0</v>
      </c>
      <c r="W92" s="58">
        <f t="shared" si="62"/>
        <v>0</v>
      </c>
      <c r="X92" s="58">
        <f t="shared" si="63"/>
        <v>0</v>
      </c>
      <c r="Y92" s="68">
        <v>0</v>
      </c>
      <c r="Z92" s="58">
        <f t="shared" si="64"/>
        <v>0</v>
      </c>
      <c r="AA92" s="58">
        <f t="shared" si="65"/>
        <v>0</v>
      </c>
      <c r="AB92" s="68">
        <v>0</v>
      </c>
      <c r="AC92" s="58">
        <f t="shared" si="66"/>
        <v>0</v>
      </c>
      <c r="AD92" s="58">
        <f t="shared" si="67"/>
        <v>0</v>
      </c>
      <c r="AE92" s="68">
        <v>0</v>
      </c>
      <c r="AF92" s="58">
        <f t="shared" si="68"/>
        <v>0</v>
      </c>
      <c r="AG92" s="58">
        <f t="shared" si="69"/>
        <v>0</v>
      </c>
      <c r="AH92" s="68">
        <v>-1030.29</v>
      </c>
      <c r="AI92" s="58">
        <f t="shared" si="70"/>
        <v>-3.1496985899038877E-3</v>
      </c>
      <c r="AJ92" s="58">
        <f t="shared" si="71"/>
        <v>5.2451251589358261E-2</v>
      </c>
      <c r="AK92" s="68">
        <v>-1084.33</v>
      </c>
      <c r="AL92" s="58">
        <f t="shared" si="72"/>
        <v>-5.4445894163584752E-3</v>
      </c>
      <c r="AM92" s="68">
        <f>SUM(D92:AK92)</f>
        <v>-2114.5706984470003</v>
      </c>
      <c r="AN92" s="58">
        <f t="shared" si="73"/>
        <v>-3.0442695412581818E-4</v>
      </c>
      <c r="AO92" s="73"/>
      <c r="AP92" s="73"/>
      <c r="AQ92" s="73"/>
      <c r="AR92" s="73"/>
      <c r="AS92" s="73"/>
      <c r="AT92" s="69"/>
      <c r="AU92" s="70"/>
      <c r="AV92" s="71"/>
      <c r="AW92" s="72"/>
      <c r="AX92" s="70"/>
      <c r="AY92" s="73"/>
      <c r="AZ92" s="73"/>
      <c r="BA92" s="73"/>
      <c r="BB92" s="73"/>
      <c r="BC92" s="69"/>
      <c r="BD92" s="70"/>
      <c r="BE92" s="71"/>
      <c r="BF92" s="72"/>
      <c r="BG92" s="70"/>
      <c r="BH92" s="73"/>
      <c r="BI92" s="73"/>
      <c r="BJ92" s="73"/>
      <c r="BK92" s="73"/>
      <c r="BL92" s="69"/>
      <c r="BM92" s="70"/>
      <c r="BN92" s="71"/>
      <c r="BO92" s="72"/>
      <c r="BP92" s="70"/>
      <c r="BQ92" s="73"/>
      <c r="BR92" s="73"/>
      <c r="BS92" s="73"/>
      <c r="BT92" s="73"/>
    </row>
    <row r="93" spans="1:72" s="63" customFormat="1" x14ac:dyDescent="0.25">
      <c r="A93" s="55" t="s">
        <v>401</v>
      </c>
      <c r="B93" s="56">
        <v>512102</v>
      </c>
      <c r="C93" s="55" t="s">
        <v>402</v>
      </c>
      <c r="D93" s="57">
        <f>SUM(D94:D95)</f>
        <v>-46438.59</v>
      </c>
      <c r="E93" s="58">
        <f t="shared" si="50"/>
        <v>-7.7870200118069832E-2</v>
      </c>
      <c r="F93" s="58">
        <f t="shared" si="51"/>
        <v>-0.28149885687743748</v>
      </c>
      <c r="G93" s="57">
        <f t="shared" ref="G93:AK93" si="74">SUM(G94:G95)</f>
        <v>-33366.18</v>
      </c>
      <c r="H93" s="58">
        <f t="shared" si="52"/>
        <v>-4.4976112079122596E-2</v>
      </c>
      <c r="I93" s="58">
        <f t="shared" si="53"/>
        <v>0.12739756244196965</v>
      </c>
      <c r="J93" s="57">
        <f t="shared" si="74"/>
        <v>-37616.949999999997</v>
      </c>
      <c r="K93" s="58">
        <f t="shared" si="54"/>
        <v>-5.2790897359157707E-2</v>
      </c>
      <c r="L93" s="58">
        <f t="shared" si="55"/>
        <v>6.5836278592496411E-2</v>
      </c>
      <c r="M93" s="57">
        <f t="shared" si="74"/>
        <v>-40093.51</v>
      </c>
      <c r="N93" s="58">
        <f t="shared" si="56"/>
        <v>-5.5371409295823376E-2</v>
      </c>
      <c r="O93" s="58">
        <f t="shared" si="57"/>
        <v>0.20914033218842643</v>
      </c>
      <c r="P93" s="57">
        <f t="shared" si="74"/>
        <v>-48478.68</v>
      </c>
      <c r="Q93" s="58">
        <f t="shared" si="58"/>
        <v>-5.0742942755063865E-2</v>
      </c>
      <c r="R93" s="58">
        <f t="shared" si="59"/>
        <v>-0.15054947865742219</v>
      </c>
      <c r="S93" s="57">
        <f t="shared" si="74"/>
        <v>-41180.239999999998</v>
      </c>
      <c r="T93" s="58">
        <f t="shared" si="60"/>
        <v>-6.1910189735434544E-2</v>
      </c>
      <c r="U93" s="58">
        <f t="shared" si="61"/>
        <v>-0.14438089724586356</v>
      </c>
      <c r="V93" s="57">
        <f t="shared" si="74"/>
        <v>-35234.6</v>
      </c>
      <c r="W93" s="58">
        <f t="shared" si="62"/>
        <v>-4.9602315414786768E-2</v>
      </c>
      <c r="X93" s="58">
        <f t="shared" si="63"/>
        <v>0.26983504850345996</v>
      </c>
      <c r="Y93" s="57">
        <f t="shared" si="74"/>
        <v>-44742.130000000005</v>
      </c>
      <c r="Z93" s="58">
        <f t="shared" si="64"/>
        <v>-8.2171611115008716E-2</v>
      </c>
      <c r="AA93" s="58">
        <f t="shared" si="65"/>
        <v>-0.10616906258150882</v>
      </c>
      <c r="AB93" s="57">
        <f t="shared" si="74"/>
        <v>-39991.9</v>
      </c>
      <c r="AC93" s="58">
        <f t="shared" si="66"/>
        <v>-9.6350436220993069E-2</v>
      </c>
      <c r="AD93" s="58">
        <f t="shared" si="67"/>
        <v>2.5083289366096633</v>
      </c>
      <c r="AE93" s="57">
        <f t="shared" si="74"/>
        <v>-140304.74</v>
      </c>
      <c r="AF93" s="58">
        <f t="shared" si="68"/>
        <v>-0.39580604206991155</v>
      </c>
      <c r="AG93" s="58">
        <f t="shared" si="69"/>
        <v>-0.79239076313458834</v>
      </c>
      <c r="AH93" s="57">
        <f t="shared" si="74"/>
        <v>-29128.559999999998</v>
      </c>
      <c r="AI93" s="58">
        <f t="shared" si="70"/>
        <v>-8.9048893377525529E-2</v>
      </c>
      <c r="AJ93" s="58">
        <f t="shared" si="71"/>
        <v>-0.29785887115600373</v>
      </c>
      <c r="AK93" s="57">
        <f t="shared" si="74"/>
        <v>-20452.360000000073</v>
      </c>
      <c r="AL93" s="58">
        <f t="shared" si="72"/>
        <v>-0.1026944775073583</v>
      </c>
      <c r="AM93" s="57">
        <f>SUM(D93:AK93)</f>
        <v>-557028.08895082108</v>
      </c>
      <c r="AN93" s="58">
        <f t="shared" si="73"/>
        <v>-8.0193282072036617E-2</v>
      </c>
      <c r="AO93" s="64"/>
      <c r="AP93" s="64"/>
      <c r="AQ93" s="64"/>
      <c r="AR93" s="64"/>
      <c r="AS93" s="64"/>
      <c r="AT93" s="60"/>
      <c r="AU93" s="61"/>
      <c r="AV93" s="65"/>
      <c r="AW93" s="62"/>
      <c r="AX93" s="61"/>
      <c r="AY93" s="64"/>
      <c r="AZ93" s="64"/>
      <c r="BA93" s="64"/>
      <c r="BB93" s="64"/>
      <c r="BC93" s="60"/>
      <c r="BD93" s="61"/>
      <c r="BE93" s="65"/>
      <c r="BF93" s="62"/>
      <c r="BG93" s="61"/>
      <c r="BH93" s="64"/>
      <c r="BI93" s="64"/>
      <c r="BJ93" s="64"/>
      <c r="BK93" s="64"/>
      <c r="BL93" s="60"/>
      <c r="BM93" s="61"/>
      <c r="BN93" s="65"/>
      <c r="BO93" s="62"/>
      <c r="BP93" s="61"/>
      <c r="BQ93" s="64"/>
      <c r="BR93" s="64"/>
      <c r="BS93" s="64"/>
      <c r="BT93" s="64"/>
    </row>
    <row r="94" spans="1:72" s="74" customFormat="1" x14ac:dyDescent="0.25">
      <c r="A94" s="66" t="s">
        <v>403</v>
      </c>
      <c r="B94" s="67">
        <v>512102001</v>
      </c>
      <c r="C94" s="66" t="s">
        <v>404</v>
      </c>
      <c r="D94" s="68">
        <v>-21245.399999999998</v>
      </c>
      <c r="E94" s="58">
        <f t="shared" si="50"/>
        <v>-3.562518908494941E-2</v>
      </c>
      <c r="F94" s="58">
        <f t="shared" si="51"/>
        <v>-0.5974690991932371</v>
      </c>
      <c r="G94" s="68">
        <v>-8551.93</v>
      </c>
      <c r="H94" s="58">
        <f t="shared" si="52"/>
        <v>-1.1527617550849719E-2</v>
      </c>
      <c r="I94" s="58">
        <f t="shared" si="53"/>
        <v>2.3188917589362701E-2</v>
      </c>
      <c r="J94" s="68">
        <v>-8750.24</v>
      </c>
      <c r="K94" s="58">
        <f t="shared" si="54"/>
        <v>-1.2279916944568769E-2</v>
      </c>
      <c r="L94" s="58">
        <f t="shared" si="55"/>
        <v>6.6426749437729748E-2</v>
      </c>
      <c r="M94" s="68">
        <v>-9331.49</v>
      </c>
      <c r="N94" s="58">
        <f t="shared" si="56"/>
        <v>-1.2887316479147943E-2</v>
      </c>
      <c r="O94" s="58">
        <f t="shared" si="57"/>
        <v>1.1204319996056364</v>
      </c>
      <c r="P94" s="68">
        <v>-19786.79</v>
      </c>
      <c r="Q94" s="58">
        <f t="shared" si="58"/>
        <v>-2.0710958967456831E-2</v>
      </c>
      <c r="R94" s="58">
        <f t="shared" si="59"/>
        <v>-0.47111380875826758</v>
      </c>
      <c r="S94" s="68">
        <v>-10464.959999999999</v>
      </c>
      <c r="T94" s="58">
        <f t="shared" si="60"/>
        <v>-1.5732974338511216E-2</v>
      </c>
      <c r="U94" s="58">
        <f t="shared" si="61"/>
        <v>2.7970484359233216E-2</v>
      </c>
      <c r="V94" s="68">
        <v>-10757.67</v>
      </c>
      <c r="W94" s="58">
        <f t="shared" si="62"/>
        <v>-1.5144356412963087E-2</v>
      </c>
      <c r="X94" s="58">
        <f t="shared" si="63"/>
        <v>1.0363117663955115</v>
      </c>
      <c r="Y94" s="68">
        <v>-21905.97</v>
      </c>
      <c r="Z94" s="58">
        <f t="shared" si="64"/>
        <v>-4.0231630633969534E-2</v>
      </c>
      <c r="AA94" s="58">
        <f t="shared" si="65"/>
        <v>-0.20230603803438052</v>
      </c>
      <c r="AB94" s="68">
        <v>-17474.260000000002</v>
      </c>
      <c r="AC94" s="58">
        <f t="shared" si="66"/>
        <v>-4.2099839558486854E-2</v>
      </c>
      <c r="AD94" s="58">
        <f t="shared" si="67"/>
        <v>5.7519391379091296</v>
      </c>
      <c r="AE94" s="68">
        <v>-117985.14</v>
      </c>
      <c r="AF94" s="58">
        <f t="shared" si="68"/>
        <v>-0.3328414370495566</v>
      </c>
      <c r="AG94" s="58">
        <f t="shared" si="69"/>
        <v>-0.94478338543311469</v>
      </c>
      <c r="AH94" s="68">
        <v>-6514.74</v>
      </c>
      <c r="AI94" s="58">
        <f t="shared" si="70"/>
        <v>-1.99162055262018E-2</v>
      </c>
      <c r="AJ94" s="58">
        <f t="shared" si="71"/>
        <v>-0.288083638026991</v>
      </c>
      <c r="AK94" s="68">
        <v>-4637.9500000000407</v>
      </c>
      <c r="AL94" s="58">
        <f t="shared" si="72"/>
        <v>-2.3287867608200466E-2</v>
      </c>
      <c r="AM94" s="68">
        <f>SUM(D94:AK94)</f>
        <v>-257401.57648435672</v>
      </c>
      <c r="AN94" s="58">
        <f t="shared" si="73"/>
        <v>-3.7057156790201579E-2</v>
      </c>
      <c r="AO94" s="73"/>
      <c r="AP94" s="73"/>
      <c r="AQ94" s="73"/>
      <c r="AR94" s="73"/>
      <c r="AS94" s="73"/>
      <c r="AT94" s="60"/>
      <c r="AU94" s="61"/>
      <c r="AV94" s="65"/>
      <c r="AW94" s="62"/>
      <c r="AX94" s="61"/>
      <c r="AY94" s="64"/>
      <c r="AZ94" s="64"/>
      <c r="BA94" s="64"/>
      <c r="BB94" s="64"/>
      <c r="BC94" s="69"/>
      <c r="BD94" s="70"/>
      <c r="BE94" s="71"/>
      <c r="BF94" s="72"/>
      <c r="BG94" s="70"/>
      <c r="BH94" s="73"/>
      <c r="BI94" s="73"/>
      <c r="BJ94" s="73"/>
      <c r="BK94" s="73"/>
      <c r="BL94" s="69"/>
      <c r="BM94" s="70"/>
      <c r="BN94" s="71"/>
      <c r="BO94" s="72"/>
      <c r="BP94" s="70"/>
      <c r="BQ94" s="73"/>
      <c r="BR94" s="73"/>
      <c r="BS94" s="73"/>
      <c r="BT94" s="73"/>
    </row>
    <row r="95" spans="1:72" s="74" customFormat="1" x14ac:dyDescent="0.25">
      <c r="A95" s="66" t="s">
        <v>405</v>
      </c>
      <c r="B95" s="67">
        <v>512102002</v>
      </c>
      <c r="C95" s="66" t="s">
        <v>406</v>
      </c>
      <c r="D95" s="68">
        <v>-25193.19</v>
      </c>
      <c r="E95" s="58">
        <f t="shared" si="50"/>
        <v>-4.2245011033120422E-2</v>
      </c>
      <c r="F95" s="58">
        <f t="shared" si="51"/>
        <v>-1.5041366337490314E-2</v>
      </c>
      <c r="G95" s="68">
        <v>-24814.25</v>
      </c>
      <c r="H95" s="58">
        <f t="shared" si="52"/>
        <v>-3.3448494528272872E-2</v>
      </c>
      <c r="I95" s="58">
        <f t="shared" si="53"/>
        <v>0.16331180672395895</v>
      </c>
      <c r="J95" s="68">
        <v>-28866.71</v>
      </c>
      <c r="K95" s="58">
        <f t="shared" si="54"/>
        <v>-4.0510980414588942E-2</v>
      </c>
      <c r="L95" s="58">
        <f t="shared" si="55"/>
        <v>6.5657291738476564E-2</v>
      </c>
      <c r="M95" s="68">
        <v>-30762.02</v>
      </c>
      <c r="N95" s="58">
        <f t="shared" si="56"/>
        <v>-4.248409281667543E-2</v>
      </c>
      <c r="O95" s="58">
        <f t="shared" si="57"/>
        <v>-6.7294995582214745E-2</v>
      </c>
      <c r="P95" s="68">
        <v>-28691.89</v>
      </c>
      <c r="Q95" s="58">
        <f t="shared" si="58"/>
        <v>-3.0031983787607033E-2</v>
      </c>
      <c r="R95" s="58">
        <f t="shared" si="59"/>
        <v>7.0521321530230274E-2</v>
      </c>
      <c r="S95" s="68">
        <v>-30715.279999999999</v>
      </c>
      <c r="T95" s="58">
        <f t="shared" si="60"/>
        <v>-4.6177215396923328E-2</v>
      </c>
      <c r="U95" s="58">
        <f t="shared" si="61"/>
        <v>-0.20310249491458321</v>
      </c>
      <c r="V95" s="68">
        <v>-24476.93</v>
      </c>
      <c r="W95" s="58">
        <f t="shared" si="62"/>
        <v>-3.4457959001823683E-2</v>
      </c>
      <c r="X95" s="58">
        <f t="shared" si="63"/>
        <v>-6.7033324849153919E-2</v>
      </c>
      <c r="Y95" s="68">
        <v>-22836.16</v>
      </c>
      <c r="Z95" s="58">
        <f t="shared" si="64"/>
        <v>-4.1939980481039175E-2</v>
      </c>
      <c r="AA95" s="58">
        <f t="shared" si="65"/>
        <v>-1.3948054313860148E-2</v>
      </c>
      <c r="AB95" s="68">
        <v>-22517.64</v>
      </c>
      <c r="AC95" s="58">
        <f t="shared" si="66"/>
        <v>-5.4250596662506215E-2</v>
      </c>
      <c r="AD95" s="58">
        <f t="shared" si="67"/>
        <v>-8.794882589827191E-3</v>
      </c>
      <c r="AE95" s="68">
        <v>-22319.600000000002</v>
      </c>
      <c r="AF95" s="58">
        <f t="shared" si="68"/>
        <v>-6.2964605020354975E-2</v>
      </c>
      <c r="AG95" s="58">
        <f t="shared" si="69"/>
        <v>1.3182135880571266E-2</v>
      </c>
      <c r="AH95" s="68">
        <v>-22613.82</v>
      </c>
      <c r="AI95" s="58">
        <f t="shared" si="70"/>
        <v>-6.9132687851323732E-2</v>
      </c>
      <c r="AJ95" s="58">
        <f t="shared" si="71"/>
        <v>-0.30067498547348337</v>
      </c>
      <c r="AK95" s="68">
        <v>-15814.410000000033</v>
      </c>
      <c r="AL95" s="58">
        <f t="shared" si="72"/>
        <v>-7.9406609899157835E-2</v>
      </c>
      <c r="AM95" s="68">
        <f>SUM(D95:AK95)</f>
        <v>-299622.76086115523</v>
      </c>
      <c r="AN95" s="58">
        <f t="shared" si="73"/>
        <v>-4.3135585177038277E-2</v>
      </c>
      <c r="AO95" s="73"/>
      <c r="AP95" s="73"/>
      <c r="AQ95" s="73"/>
      <c r="AR95" s="73"/>
      <c r="AS95" s="73"/>
      <c r="AT95" s="69"/>
      <c r="AU95" s="70"/>
      <c r="AV95" s="71"/>
      <c r="AW95" s="72"/>
      <c r="AX95" s="70"/>
      <c r="AY95" s="73"/>
      <c r="AZ95" s="73"/>
      <c r="BA95" s="73"/>
      <c r="BB95" s="73"/>
      <c r="BC95" s="60"/>
      <c r="BD95" s="61"/>
      <c r="BE95" s="65"/>
      <c r="BF95" s="62"/>
      <c r="BG95" s="61"/>
      <c r="BH95" s="64"/>
      <c r="BI95" s="64"/>
      <c r="BJ95" s="64"/>
      <c r="BK95" s="64"/>
      <c r="BL95" s="60"/>
      <c r="BM95" s="61"/>
      <c r="BN95" s="65"/>
      <c r="BO95" s="62"/>
      <c r="BP95" s="61"/>
      <c r="BQ95" s="64"/>
      <c r="BR95" s="64"/>
      <c r="BS95" s="64"/>
      <c r="BT95" s="64"/>
    </row>
    <row r="96" spans="1:72" s="63" customFormat="1" x14ac:dyDescent="0.25">
      <c r="A96" s="55" t="s">
        <v>407</v>
      </c>
      <c r="B96" s="56">
        <v>512103</v>
      </c>
      <c r="C96" s="55" t="s">
        <v>408</v>
      </c>
      <c r="D96" s="57">
        <f>SUM(D97:D103)</f>
        <v>-15920.7</v>
      </c>
      <c r="E96" s="58">
        <f t="shared" si="50"/>
        <v>-2.6696505966691809E-2</v>
      </c>
      <c r="F96" s="58">
        <f t="shared" si="51"/>
        <v>0.45324326191687558</v>
      </c>
      <c r="G96" s="57">
        <f t="shared" ref="G96:AK96" si="75">SUM(G97:G103)</f>
        <v>-23136.65</v>
      </c>
      <c r="H96" s="58">
        <f t="shared" si="52"/>
        <v>-3.1187165073599428E-2</v>
      </c>
      <c r="I96" s="58">
        <f t="shared" si="53"/>
        <v>-0.15123019106050373</v>
      </c>
      <c r="J96" s="57">
        <f t="shared" si="75"/>
        <v>-19637.689999999999</v>
      </c>
      <c r="K96" s="58">
        <f t="shared" si="54"/>
        <v>-2.7559152912741667E-2</v>
      </c>
      <c r="L96" s="58">
        <f t="shared" si="55"/>
        <v>0.14611290839197499</v>
      </c>
      <c r="M96" s="57">
        <f t="shared" si="75"/>
        <v>-22507.010000000002</v>
      </c>
      <c r="N96" s="58">
        <f t="shared" si="56"/>
        <v>-3.1083456218604699E-2</v>
      </c>
      <c r="O96" s="58">
        <f t="shared" si="57"/>
        <v>-9.0979210477091454E-2</v>
      </c>
      <c r="P96" s="57">
        <f t="shared" si="75"/>
        <v>-20459.34</v>
      </c>
      <c r="Q96" s="58">
        <f t="shared" si="58"/>
        <v>-2.1414921330910584E-2</v>
      </c>
      <c r="R96" s="58">
        <f t="shared" si="59"/>
        <v>-2.0050011388441757E-2</v>
      </c>
      <c r="S96" s="57">
        <f t="shared" si="75"/>
        <v>-20049.129999999997</v>
      </c>
      <c r="T96" s="58">
        <f t="shared" si="60"/>
        <v>-3.0141772906869719E-2</v>
      </c>
      <c r="U96" s="58">
        <f t="shared" si="61"/>
        <v>0.98086101491685662</v>
      </c>
      <c r="V96" s="57">
        <f t="shared" si="75"/>
        <v>-39714.539999999994</v>
      </c>
      <c r="W96" s="58">
        <f t="shared" si="62"/>
        <v>-5.5909053590310814E-2</v>
      </c>
      <c r="X96" s="58">
        <f t="shared" si="63"/>
        <v>-0.79814219175143408</v>
      </c>
      <c r="Y96" s="57">
        <f t="shared" si="75"/>
        <v>-8016.6899999999987</v>
      </c>
      <c r="Z96" s="58">
        <f t="shared" si="64"/>
        <v>-1.4723133054004783E-2</v>
      </c>
      <c r="AA96" s="58">
        <f t="shared" si="65"/>
        <v>0.9466363299566285</v>
      </c>
      <c r="AB96" s="57">
        <f t="shared" si="75"/>
        <v>-15605.580000000002</v>
      </c>
      <c r="AC96" s="58">
        <f t="shared" si="66"/>
        <v>-3.7597724551261757E-2</v>
      </c>
      <c r="AD96" s="58">
        <f t="shared" si="67"/>
        <v>-0.61248796904696912</v>
      </c>
      <c r="AE96" s="57">
        <f t="shared" si="75"/>
        <v>-6047.35</v>
      </c>
      <c r="AF96" s="58">
        <f t="shared" si="68"/>
        <v>-1.705984892963331E-2</v>
      </c>
      <c r="AG96" s="58">
        <f t="shared" si="69"/>
        <v>-0.92474224246984216</v>
      </c>
      <c r="AH96" s="57">
        <f t="shared" si="75"/>
        <v>-455.11</v>
      </c>
      <c r="AI96" s="58">
        <f t="shared" si="70"/>
        <v>-1.3913163529211759E-3</v>
      </c>
      <c r="AJ96" s="58">
        <f t="shared" si="71"/>
        <v>6.5089978247017122</v>
      </c>
      <c r="AK96" s="57">
        <f t="shared" si="75"/>
        <v>-3417.4199999999964</v>
      </c>
      <c r="AL96" s="58">
        <f t="shared" si="72"/>
        <v>-1.7159396828688462E-2</v>
      </c>
      <c r="AM96" s="57">
        <f>SUM(D96:AK96)</f>
        <v>-194961.06654452719</v>
      </c>
      <c r="AN96" s="58">
        <f t="shared" si="73"/>
        <v>-2.8067826582890178E-2</v>
      </c>
      <c r="AO96" s="64"/>
      <c r="AP96" s="64"/>
      <c r="AQ96" s="64"/>
      <c r="AR96" s="64"/>
      <c r="AS96" s="64"/>
      <c r="AT96" s="60"/>
      <c r="AU96" s="61"/>
      <c r="AV96" s="65"/>
      <c r="AW96" s="62"/>
      <c r="AX96" s="61"/>
      <c r="AY96" s="64"/>
      <c r="AZ96" s="64"/>
      <c r="BA96" s="64"/>
      <c r="BB96" s="64"/>
      <c r="BC96" s="60"/>
      <c r="BD96" s="61"/>
      <c r="BE96" s="65"/>
      <c r="BF96" s="62"/>
      <c r="BG96" s="61"/>
      <c r="BH96" s="64"/>
      <c r="BI96" s="64"/>
      <c r="BJ96" s="64"/>
      <c r="BK96" s="64"/>
      <c r="BL96" s="60"/>
      <c r="BM96" s="61"/>
      <c r="BN96" s="65"/>
      <c r="BO96" s="62"/>
      <c r="BP96" s="61"/>
      <c r="BQ96" s="64"/>
      <c r="BR96" s="64"/>
      <c r="BS96" s="64"/>
      <c r="BT96" s="64"/>
    </row>
    <row r="97" spans="1:72" s="74" customFormat="1" x14ac:dyDescent="0.25">
      <c r="A97" s="66" t="s">
        <v>409</v>
      </c>
      <c r="B97" s="67">
        <v>512103001</v>
      </c>
      <c r="C97" s="66" t="s">
        <v>410</v>
      </c>
      <c r="D97" s="68">
        <v>-5897.7499999999991</v>
      </c>
      <c r="E97" s="58">
        <f t="shared" si="50"/>
        <v>-9.8895976976550396E-3</v>
      </c>
      <c r="F97" s="58">
        <f t="shared" si="51"/>
        <v>-1.4295282099105466E-2</v>
      </c>
      <c r="G97" s="68">
        <v>-5813.44</v>
      </c>
      <c r="H97" s="58">
        <f t="shared" si="52"/>
        <v>-7.8362560234721025E-3</v>
      </c>
      <c r="I97" s="58">
        <f t="shared" si="53"/>
        <v>-5.8108452138492805E-2</v>
      </c>
      <c r="J97" s="68">
        <v>-5475.63</v>
      </c>
      <c r="K97" s="58">
        <f t="shared" si="54"/>
        <v>-7.6843928417036668E-3</v>
      </c>
      <c r="L97" s="58">
        <f t="shared" si="55"/>
        <v>-1.6531431086468706E-2</v>
      </c>
      <c r="M97" s="68">
        <v>-5385.11</v>
      </c>
      <c r="N97" s="58">
        <f t="shared" si="56"/>
        <v>-7.4371420689540871E-3</v>
      </c>
      <c r="O97" s="58">
        <f t="shared" si="57"/>
        <v>0.39570779426975489</v>
      </c>
      <c r="P97" s="68">
        <v>-7516.0399999999991</v>
      </c>
      <c r="Q97" s="58">
        <f t="shared" si="58"/>
        <v>-7.8670868815893941E-3</v>
      </c>
      <c r="R97" s="58">
        <f t="shared" si="59"/>
        <v>-0.24526213271882535</v>
      </c>
      <c r="S97" s="68">
        <v>-5672.6399999999994</v>
      </c>
      <c r="T97" s="58">
        <f t="shared" si="60"/>
        <v>-8.5282217563767328E-3</v>
      </c>
      <c r="U97" s="58">
        <f t="shared" si="61"/>
        <v>0.31117962712246872</v>
      </c>
      <c r="V97" s="68">
        <v>-7437.85</v>
      </c>
      <c r="W97" s="58">
        <f t="shared" si="62"/>
        <v>-1.0470803747108574E-2</v>
      </c>
      <c r="X97" s="58">
        <f t="shared" si="63"/>
        <v>-0.28332649892105932</v>
      </c>
      <c r="Y97" s="68">
        <v>-5330.5099999999993</v>
      </c>
      <c r="Z97" s="58">
        <f t="shared" si="64"/>
        <v>-9.7898020224934535E-3</v>
      </c>
      <c r="AA97" s="58">
        <f t="shared" si="65"/>
        <v>0.27830170096294737</v>
      </c>
      <c r="AB97" s="68">
        <v>-6814</v>
      </c>
      <c r="AC97" s="58">
        <f t="shared" si="66"/>
        <v>-1.6416621176034315E-2</v>
      </c>
      <c r="AD97" s="58">
        <f t="shared" si="67"/>
        <v>-1.6471206339888464</v>
      </c>
      <c r="AE97" s="68">
        <v>4409.4799999999996</v>
      </c>
      <c r="AF97" s="58">
        <f t="shared" si="68"/>
        <v>1.2439343292225433E-2</v>
      </c>
      <c r="AG97" s="58">
        <f t="shared" si="69"/>
        <v>-1</v>
      </c>
      <c r="AH97" s="68">
        <v>0</v>
      </c>
      <c r="AI97" s="58">
        <f t="shared" si="70"/>
        <v>0</v>
      </c>
      <c r="AJ97" s="58">
        <f t="shared" si="71"/>
        <v>0</v>
      </c>
      <c r="AK97" s="68">
        <v>0</v>
      </c>
      <c r="AL97" s="58">
        <f t="shared" si="72"/>
        <v>0</v>
      </c>
      <c r="AM97" s="68">
        <f>SUM(D97:AK97)</f>
        <v>-50935.842935889523</v>
      </c>
      <c r="AN97" s="58">
        <f t="shared" si="73"/>
        <v>-7.3330456778731203E-3</v>
      </c>
      <c r="AO97" s="73"/>
      <c r="AP97" s="73"/>
      <c r="AQ97" s="73"/>
      <c r="AR97" s="73"/>
      <c r="AS97" s="73"/>
      <c r="AT97" s="69"/>
      <c r="AU97" s="70"/>
      <c r="AV97" s="71"/>
      <c r="AW97" s="72"/>
      <c r="AX97" s="70"/>
      <c r="AY97" s="73"/>
      <c r="AZ97" s="73"/>
      <c r="BA97" s="73"/>
      <c r="BB97" s="73"/>
      <c r="BC97" s="69"/>
      <c r="BD97" s="70"/>
      <c r="BE97" s="71"/>
      <c r="BF97" s="72"/>
      <c r="BG97" s="70"/>
      <c r="BH97" s="73"/>
      <c r="BI97" s="73"/>
      <c r="BJ97" s="73"/>
      <c r="BK97" s="73"/>
      <c r="BL97" s="69"/>
      <c r="BM97" s="70"/>
      <c r="BN97" s="71"/>
      <c r="BO97" s="72"/>
      <c r="BP97" s="70"/>
      <c r="BQ97" s="73"/>
      <c r="BR97" s="73"/>
      <c r="BS97" s="73"/>
      <c r="BT97" s="73"/>
    </row>
    <row r="98" spans="1:72" s="74" customFormat="1" x14ac:dyDescent="0.25">
      <c r="A98" s="66" t="s">
        <v>411</v>
      </c>
      <c r="B98" s="67">
        <v>512103002</v>
      </c>
      <c r="C98" s="66" t="s">
        <v>412</v>
      </c>
      <c r="D98" s="68">
        <v>-8439.93</v>
      </c>
      <c r="E98" s="58">
        <f t="shared" si="50"/>
        <v>-1.4152433096752102E-2</v>
      </c>
      <c r="F98" s="58">
        <f t="shared" si="51"/>
        <v>0.15933425988130234</v>
      </c>
      <c r="G98" s="68">
        <v>-9784.7000000000007</v>
      </c>
      <c r="H98" s="58">
        <f t="shared" si="52"/>
        <v>-1.3189336143981446E-2</v>
      </c>
      <c r="I98" s="58">
        <f t="shared" si="53"/>
        <v>0.12687358835733331</v>
      </c>
      <c r="J98" s="68">
        <v>-11026.12</v>
      </c>
      <c r="K98" s="58">
        <f t="shared" si="54"/>
        <v>-1.5473842754124299E-2</v>
      </c>
      <c r="L98" s="58">
        <f t="shared" si="55"/>
        <v>7.3867325949654061E-2</v>
      </c>
      <c r="M98" s="68">
        <v>-11840.59</v>
      </c>
      <c r="N98" s="58">
        <f t="shared" si="56"/>
        <v>-1.6352525762748964E-2</v>
      </c>
      <c r="O98" s="58">
        <f t="shared" si="57"/>
        <v>-0.19720385555111697</v>
      </c>
      <c r="P98" s="68">
        <v>-9505.58</v>
      </c>
      <c r="Q98" s="58">
        <f t="shared" si="58"/>
        <v>-9.9495510561277648E-3</v>
      </c>
      <c r="R98" s="58">
        <f t="shared" si="59"/>
        <v>0.17098798810803761</v>
      </c>
      <c r="S98" s="68">
        <v>-11130.92</v>
      </c>
      <c r="T98" s="58">
        <f t="shared" si="60"/>
        <v>-1.6734175641762727E-2</v>
      </c>
      <c r="U98" s="58">
        <f t="shared" si="61"/>
        <v>1.584088287401221</v>
      </c>
      <c r="V98" s="68">
        <v>-28763.279999999999</v>
      </c>
      <c r="W98" s="58">
        <f t="shared" si="62"/>
        <v>-4.0492166419480509E-2</v>
      </c>
      <c r="X98" s="58">
        <f t="shared" si="63"/>
        <v>-1.0128090398591538</v>
      </c>
      <c r="Y98" s="68">
        <v>368.43000000000006</v>
      </c>
      <c r="Z98" s="58">
        <f t="shared" si="64"/>
        <v>6.766438406732684E-4</v>
      </c>
      <c r="AA98" s="58">
        <f t="shared" si="65"/>
        <v>-17.403115924327551</v>
      </c>
      <c r="AB98" s="68">
        <v>-6043.4000000000005</v>
      </c>
      <c r="AC98" s="58">
        <f t="shared" si="66"/>
        <v>-1.4560054067397386E-2</v>
      </c>
      <c r="AD98" s="58">
        <f t="shared" si="67"/>
        <v>0.36400701591819162</v>
      </c>
      <c r="AE98" s="68">
        <v>-8243.24</v>
      </c>
      <c r="AF98" s="58">
        <f t="shared" si="68"/>
        <v>-2.3254554323912206E-2</v>
      </c>
      <c r="AG98" s="58">
        <f t="shared" si="69"/>
        <v>-1.0312983729698517</v>
      </c>
      <c r="AH98" s="68">
        <v>258</v>
      </c>
      <c r="AI98" s="58">
        <f t="shared" si="70"/>
        <v>7.8873155732386315E-4</v>
      </c>
      <c r="AJ98" s="58">
        <f t="shared" si="71"/>
        <v>-1.0810077519379619</v>
      </c>
      <c r="AK98" s="68">
        <v>-20.899999999994179</v>
      </c>
      <c r="AL98" s="58">
        <f t="shared" si="72"/>
        <v>-1.0494214750293771E-4</v>
      </c>
      <c r="AM98" s="68">
        <f>SUM(D98:AK98)</f>
        <v>-104190.63896974291</v>
      </c>
      <c r="AN98" s="58">
        <f t="shared" si="73"/>
        <v>-1.4999942491058122E-2</v>
      </c>
      <c r="AO98" s="73"/>
      <c r="AP98" s="73"/>
      <c r="AQ98" s="73"/>
      <c r="AR98" s="73"/>
      <c r="AS98" s="73"/>
      <c r="AT98" s="69"/>
      <c r="AU98" s="70"/>
      <c r="AV98" s="71"/>
      <c r="AW98" s="72"/>
      <c r="AX98" s="70"/>
      <c r="AY98" s="73"/>
      <c r="AZ98" s="73"/>
      <c r="BA98" s="73"/>
      <c r="BB98" s="73"/>
      <c r="BC98" s="69"/>
      <c r="BD98" s="70"/>
      <c r="BE98" s="71"/>
      <c r="BF98" s="72"/>
      <c r="BG98" s="70"/>
      <c r="BH98" s="73"/>
      <c r="BI98" s="73"/>
      <c r="BJ98" s="73"/>
      <c r="BK98" s="73"/>
      <c r="BL98" s="69"/>
      <c r="BM98" s="70"/>
      <c r="BN98" s="71"/>
      <c r="BO98" s="72"/>
      <c r="BP98" s="70"/>
      <c r="BQ98" s="73"/>
      <c r="BR98" s="73"/>
      <c r="BS98" s="73"/>
      <c r="BT98" s="73"/>
    </row>
    <row r="99" spans="1:72" s="74" customFormat="1" x14ac:dyDescent="0.25">
      <c r="A99" s="66" t="s">
        <v>678</v>
      </c>
      <c r="B99" s="67">
        <v>512103003</v>
      </c>
      <c r="C99" s="66" t="s">
        <v>679</v>
      </c>
      <c r="D99" s="68">
        <v>-2077.29</v>
      </c>
      <c r="E99" s="58">
        <f t="shared" si="50"/>
        <v>-3.4832881016255077E-3</v>
      </c>
      <c r="F99" s="58">
        <f t="shared" si="51"/>
        <v>0.18972314891035924</v>
      </c>
      <c r="G99" s="68">
        <v>-2471.4</v>
      </c>
      <c r="H99" s="58">
        <f t="shared" si="52"/>
        <v>-3.3313362030757965E-3</v>
      </c>
      <c r="I99" s="58">
        <f t="shared" si="53"/>
        <v>-0.33630330986485391</v>
      </c>
      <c r="J99" s="68">
        <v>-1640.26</v>
      </c>
      <c r="K99" s="58">
        <f t="shared" si="54"/>
        <v>-2.3019090410661158E-3</v>
      </c>
      <c r="L99" s="58">
        <f t="shared" si="55"/>
        <v>0.61890188140904501</v>
      </c>
      <c r="M99" s="68">
        <v>-2655.42</v>
      </c>
      <c r="N99" s="58">
        <f t="shared" si="56"/>
        <v>-3.6672854951416154E-3</v>
      </c>
      <c r="O99" s="58">
        <f t="shared" si="57"/>
        <v>-0.16457660181816813</v>
      </c>
      <c r="P99" s="68">
        <v>-2218.4</v>
      </c>
      <c r="Q99" s="58">
        <f t="shared" si="58"/>
        <v>-2.322013392440423E-3</v>
      </c>
      <c r="R99" s="58">
        <f t="shared" si="59"/>
        <v>-0.19699783627839884</v>
      </c>
      <c r="S99" s="68">
        <v>-1781.38</v>
      </c>
      <c r="T99" s="58">
        <f t="shared" si="60"/>
        <v>-2.678118772277879E-3</v>
      </c>
      <c r="U99" s="58">
        <f t="shared" si="61"/>
        <v>0.49065331372306864</v>
      </c>
      <c r="V99" s="68">
        <v>-2655.42</v>
      </c>
      <c r="W99" s="58">
        <f t="shared" si="62"/>
        <v>-3.7382283436943539E-3</v>
      </c>
      <c r="X99" s="58">
        <f t="shared" si="63"/>
        <v>-0.3455121976937735</v>
      </c>
      <c r="Y99" s="68">
        <v>-1737.94</v>
      </c>
      <c r="Z99" s="58">
        <f t="shared" si="64"/>
        <v>-3.1918312744882338E-3</v>
      </c>
      <c r="AA99" s="58">
        <f t="shared" si="65"/>
        <v>-0.2413374454814321</v>
      </c>
      <c r="AB99" s="68">
        <v>-1318.51</v>
      </c>
      <c r="AC99" s="58">
        <f t="shared" si="66"/>
        <v>-3.1766186068114184E-3</v>
      </c>
      <c r="AD99" s="58">
        <f t="shared" si="67"/>
        <v>0</v>
      </c>
      <c r="AE99" s="68">
        <v>-1318.51</v>
      </c>
      <c r="AF99" s="58">
        <f t="shared" si="68"/>
        <v>-3.7195765768825708E-3</v>
      </c>
      <c r="AG99" s="58">
        <f t="shared" si="69"/>
        <v>-1</v>
      </c>
      <c r="AH99" s="68">
        <v>0</v>
      </c>
      <c r="AI99" s="58">
        <f t="shared" si="70"/>
        <v>0</v>
      </c>
      <c r="AJ99" s="58">
        <f t="shared" si="71"/>
        <v>0</v>
      </c>
      <c r="AK99" s="68">
        <v>-615.71000000000276</v>
      </c>
      <c r="AL99" s="58">
        <f t="shared" si="72"/>
        <v>-3.0915755808158881E-3</v>
      </c>
      <c r="AM99" s="68">
        <f>SUM(D99:AK99)</f>
        <v>-20491.257059252894</v>
      </c>
      <c r="AN99" s="58">
        <f t="shared" si="73"/>
        <v>-2.9500507962864314E-3</v>
      </c>
      <c r="AO99" s="73"/>
      <c r="AP99" s="73"/>
      <c r="AQ99" s="73"/>
      <c r="AR99" s="73"/>
      <c r="AS99" s="73"/>
      <c r="AT99" s="69"/>
      <c r="AU99" s="70"/>
      <c r="AV99" s="71"/>
      <c r="AW99" s="72"/>
      <c r="AX99" s="70"/>
      <c r="AY99" s="73"/>
      <c r="AZ99" s="73"/>
      <c r="BA99" s="73"/>
      <c r="BB99" s="73"/>
      <c r="BC99" s="69"/>
      <c r="BD99" s="70"/>
      <c r="BE99" s="71"/>
      <c r="BF99" s="72"/>
      <c r="BG99" s="70"/>
      <c r="BH99" s="73"/>
      <c r="BI99" s="73"/>
      <c r="BJ99" s="73"/>
      <c r="BK99" s="73"/>
      <c r="BL99" s="69"/>
      <c r="BM99" s="70"/>
      <c r="BN99" s="71"/>
      <c r="BO99" s="72"/>
      <c r="BP99" s="70"/>
      <c r="BQ99" s="73"/>
      <c r="BR99" s="73"/>
      <c r="BS99" s="73"/>
      <c r="BT99" s="73"/>
    </row>
    <row r="100" spans="1:72" s="74" customFormat="1" x14ac:dyDescent="0.25">
      <c r="A100" s="66" t="s">
        <v>413</v>
      </c>
      <c r="B100" s="67">
        <v>512103004</v>
      </c>
      <c r="C100" s="66" t="s">
        <v>414</v>
      </c>
      <c r="D100" s="68">
        <v>1544.27</v>
      </c>
      <c r="E100" s="58">
        <f t="shared" si="50"/>
        <v>2.5894975264393622E-3</v>
      </c>
      <c r="F100" s="58">
        <f t="shared" si="51"/>
        <v>-1.9602919178641041</v>
      </c>
      <c r="G100" s="68">
        <v>-1482.95</v>
      </c>
      <c r="H100" s="58">
        <f t="shared" si="52"/>
        <v>-1.9989499969050952E-3</v>
      </c>
      <c r="I100" s="58">
        <f t="shared" si="53"/>
        <v>8.5842408712364371E-3</v>
      </c>
      <c r="J100" s="68">
        <v>-1495.68</v>
      </c>
      <c r="K100" s="58">
        <f t="shared" si="54"/>
        <v>-2.0990082758475903E-3</v>
      </c>
      <c r="L100" s="58">
        <f t="shared" si="55"/>
        <v>-0.19776289045785189</v>
      </c>
      <c r="M100" s="68">
        <v>-1199.8900000000001</v>
      </c>
      <c r="N100" s="58">
        <f t="shared" si="56"/>
        <v>-1.6571160843728951E-3</v>
      </c>
      <c r="O100" s="58">
        <f t="shared" si="57"/>
        <v>1.6193151038845333E-2</v>
      </c>
      <c r="P100" s="68">
        <v>-1219.3200000000002</v>
      </c>
      <c r="Q100" s="58">
        <f t="shared" si="58"/>
        <v>-1.2762700007530007E-3</v>
      </c>
      <c r="R100" s="58">
        <f t="shared" si="59"/>
        <v>0.20082505002788431</v>
      </c>
      <c r="S100" s="68">
        <v>-1464.19</v>
      </c>
      <c r="T100" s="58">
        <f t="shared" si="60"/>
        <v>-2.2012567364523838E-3</v>
      </c>
      <c r="U100" s="58">
        <f t="shared" si="61"/>
        <v>-0.41401730649710766</v>
      </c>
      <c r="V100" s="68">
        <v>-857.99</v>
      </c>
      <c r="W100" s="58">
        <f t="shared" si="62"/>
        <v>-1.207855080027385E-3</v>
      </c>
      <c r="X100" s="58">
        <f t="shared" si="63"/>
        <v>0.53459830534155417</v>
      </c>
      <c r="Y100" s="68">
        <v>-1316.67</v>
      </c>
      <c r="Z100" s="58">
        <f t="shared" si="64"/>
        <v>-2.4181435976963661E-3</v>
      </c>
      <c r="AA100" s="58">
        <f t="shared" si="65"/>
        <v>-1.4622646524945506</v>
      </c>
      <c r="AB100" s="68">
        <v>608.65</v>
      </c>
      <c r="AC100" s="58">
        <f t="shared" si="66"/>
        <v>1.4663892689746531E-3</v>
      </c>
      <c r="AD100" s="58">
        <f t="shared" si="67"/>
        <v>-2.4705988663435474</v>
      </c>
      <c r="AE100" s="68">
        <v>-895.08</v>
      </c>
      <c r="AF100" s="58">
        <f t="shared" si="68"/>
        <v>-2.5250613210639674E-3</v>
      </c>
      <c r="AG100" s="58">
        <f t="shared" si="69"/>
        <v>-1.3205188363051348</v>
      </c>
      <c r="AH100" s="68">
        <v>286.89</v>
      </c>
      <c r="AI100" s="58">
        <f t="shared" si="70"/>
        <v>8.7705114914977944E-4</v>
      </c>
      <c r="AJ100" s="58">
        <f t="shared" si="71"/>
        <v>1.1102230246251565E-15</v>
      </c>
      <c r="AK100" s="68">
        <v>286.89000000000033</v>
      </c>
      <c r="AL100" s="58">
        <f t="shared" si="72"/>
        <v>1.4405192678050823E-3</v>
      </c>
      <c r="AM100" s="68">
        <f>SUM(D100:AK100)</f>
        <v>-7212.1457044458302</v>
      </c>
      <c r="AN100" s="58">
        <f t="shared" si="73"/>
        <v>-1.038306050078409E-3</v>
      </c>
      <c r="AO100" s="73"/>
      <c r="AP100" s="73"/>
      <c r="AQ100" s="73"/>
      <c r="AR100" s="73"/>
      <c r="AS100" s="73"/>
      <c r="AT100" s="69"/>
      <c r="AU100" s="70"/>
      <c r="AV100" s="71"/>
      <c r="AW100" s="72"/>
      <c r="AX100" s="70"/>
      <c r="AY100" s="73"/>
      <c r="AZ100" s="73"/>
      <c r="BA100" s="73"/>
      <c r="BB100" s="73"/>
      <c r="BC100" s="69"/>
      <c r="BD100" s="70"/>
      <c r="BE100" s="71"/>
      <c r="BF100" s="72"/>
      <c r="BG100" s="70"/>
      <c r="BH100" s="73"/>
      <c r="BI100" s="73"/>
      <c r="BJ100" s="73"/>
      <c r="BK100" s="73"/>
      <c r="BL100" s="69"/>
      <c r="BM100" s="70"/>
      <c r="BN100" s="71"/>
      <c r="BO100" s="72"/>
      <c r="BP100" s="70"/>
      <c r="BQ100" s="73"/>
      <c r="BR100" s="73"/>
      <c r="BS100" s="73"/>
      <c r="BT100" s="73"/>
    </row>
    <row r="101" spans="1:72" s="74" customFormat="1" x14ac:dyDescent="0.25">
      <c r="A101" s="66" t="s">
        <v>680</v>
      </c>
      <c r="B101" s="67">
        <v>512103007</v>
      </c>
      <c r="C101" s="66" t="s">
        <v>681</v>
      </c>
      <c r="D101" s="68">
        <v>0</v>
      </c>
      <c r="E101" s="58">
        <f t="shared" si="50"/>
        <v>0</v>
      </c>
      <c r="F101" s="58">
        <f t="shared" si="51"/>
        <v>0</v>
      </c>
      <c r="G101" s="68">
        <v>0</v>
      </c>
      <c r="H101" s="58">
        <f t="shared" si="52"/>
        <v>0</v>
      </c>
      <c r="I101" s="58">
        <f t="shared" si="53"/>
        <v>0</v>
      </c>
      <c r="J101" s="68">
        <v>0</v>
      </c>
      <c r="K101" s="58">
        <f t="shared" si="54"/>
        <v>0</v>
      </c>
      <c r="L101" s="58">
        <f t="shared" si="55"/>
        <v>0</v>
      </c>
      <c r="M101" s="68">
        <v>0</v>
      </c>
      <c r="N101" s="58">
        <f t="shared" si="56"/>
        <v>0</v>
      </c>
      <c r="O101" s="58">
        <f t="shared" si="57"/>
        <v>0</v>
      </c>
      <c r="P101" s="68">
        <v>0</v>
      </c>
      <c r="Q101" s="58">
        <f t="shared" si="58"/>
        <v>0</v>
      </c>
      <c r="R101" s="58">
        <f t="shared" si="59"/>
        <v>0</v>
      </c>
      <c r="S101" s="68">
        <v>0</v>
      </c>
      <c r="T101" s="58">
        <f t="shared" si="60"/>
        <v>0</v>
      </c>
      <c r="U101" s="58">
        <f t="shared" si="61"/>
        <v>0</v>
      </c>
      <c r="V101" s="68">
        <v>0</v>
      </c>
      <c r="W101" s="58">
        <f t="shared" si="62"/>
        <v>0</v>
      </c>
      <c r="X101" s="58">
        <f t="shared" si="63"/>
        <v>0</v>
      </c>
      <c r="Y101" s="68">
        <v>0</v>
      </c>
      <c r="Z101" s="58">
        <f t="shared" si="64"/>
        <v>0</v>
      </c>
      <c r="AA101" s="58">
        <f t="shared" si="65"/>
        <v>0</v>
      </c>
      <c r="AB101" s="68">
        <v>0</v>
      </c>
      <c r="AC101" s="58">
        <f t="shared" si="66"/>
        <v>0</v>
      </c>
      <c r="AD101" s="58">
        <f t="shared" si="67"/>
        <v>0</v>
      </c>
      <c r="AE101" s="68">
        <v>0</v>
      </c>
      <c r="AF101" s="58">
        <f t="shared" si="68"/>
        <v>0</v>
      </c>
      <c r="AG101" s="58">
        <f t="shared" si="69"/>
        <v>0</v>
      </c>
      <c r="AH101" s="68">
        <v>-1000</v>
      </c>
      <c r="AI101" s="58">
        <f t="shared" si="70"/>
        <v>-3.0570990593948187E-3</v>
      </c>
      <c r="AJ101" s="58">
        <f t="shared" si="71"/>
        <v>2.0576999999999996</v>
      </c>
      <c r="AK101" s="68">
        <v>-3057.7</v>
      </c>
      <c r="AL101" s="58">
        <f t="shared" si="72"/>
        <v>-1.5353186814345549E-2</v>
      </c>
      <c r="AM101" s="68">
        <f>SUM(D101:AK101)</f>
        <v>-4055.6453570990593</v>
      </c>
      <c r="AN101" s="58">
        <f t="shared" si="73"/>
        <v>-5.8387632250032722E-4</v>
      </c>
      <c r="AO101" s="73"/>
      <c r="AP101" s="73"/>
      <c r="AQ101" s="73"/>
      <c r="AR101" s="73"/>
      <c r="AS101" s="73"/>
      <c r="AT101" s="69"/>
      <c r="AU101" s="70"/>
      <c r="AV101" s="71"/>
      <c r="AW101" s="72"/>
      <c r="AX101" s="70"/>
      <c r="AY101" s="73"/>
      <c r="AZ101" s="73"/>
      <c r="BA101" s="73"/>
      <c r="BB101" s="73"/>
      <c r="BC101" s="69"/>
      <c r="BD101" s="70"/>
      <c r="BE101" s="71"/>
      <c r="BF101" s="72"/>
      <c r="BG101" s="70"/>
      <c r="BH101" s="73"/>
      <c r="BI101" s="73"/>
      <c r="BJ101" s="73"/>
      <c r="BK101" s="73"/>
      <c r="BL101" s="69"/>
      <c r="BM101" s="70"/>
      <c r="BN101" s="71"/>
      <c r="BO101" s="72"/>
      <c r="BP101" s="70"/>
      <c r="BQ101" s="73"/>
      <c r="BR101" s="73"/>
      <c r="BS101" s="73"/>
      <c r="BT101" s="73"/>
    </row>
    <row r="102" spans="1:72" s="74" customFormat="1" x14ac:dyDescent="0.25">
      <c r="A102" s="66" t="s">
        <v>682</v>
      </c>
      <c r="B102" s="67">
        <v>512103012</v>
      </c>
      <c r="C102" s="66" t="s">
        <v>683</v>
      </c>
      <c r="D102" s="68">
        <v>0</v>
      </c>
      <c r="E102" s="58">
        <f t="shared" si="50"/>
        <v>0</v>
      </c>
      <c r="F102" s="58">
        <f t="shared" si="51"/>
        <v>0</v>
      </c>
      <c r="G102" s="68">
        <v>0</v>
      </c>
      <c r="H102" s="58">
        <f t="shared" si="52"/>
        <v>0</v>
      </c>
      <c r="I102" s="58">
        <f t="shared" si="53"/>
        <v>0</v>
      </c>
      <c r="J102" s="68">
        <v>0</v>
      </c>
      <c r="K102" s="58">
        <f t="shared" si="54"/>
        <v>0</v>
      </c>
      <c r="L102" s="58">
        <f t="shared" si="55"/>
        <v>0</v>
      </c>
      <c r="M102" s="68">
        <v>0</v>
      </c>
      <c r="N102" s="58">
        <f t="shared" si="56"/>
        <v>0</v>
      </c>
      <c r="O102" s="58">
        <f t="shared" si="57"/>
        <v>0</v>
      </c>
      <c r="P102" s="68">
        <v>0</v>
      </c>
      <c r="Q102" s="58">
        <f t="shared" si="58"/>
        <v>0</v>
      </c>
      <c r="R102" s="58">
        <f t="shared" si="59"/>
        <v>0</v>
      </c>
      <c r="S102" s="68">
        <v>0</v>
      </c>
      <c r="T102" s="58">
        <f t="shared" si="60"/>
        <v>0</v>
      </c>
      <c r="U102" s="58">
        <f t="shared" si="61"/>
        <v>0</v>
      </c>
      <c r="V102" s="68">
        <v>0</v>
      </c>
      <c r="W102" s="58">
        <f t="shared" si="62"/>
        <v>0</v>
      </c>
      <c r="X102" s="58">
        <f t="shared" si="63"/>
        <v>0</v>
      </c>
      <c r="Y102" s="68">
        <v>0</v>
      </c>
      <c r="Z102" s="58">
        <f t="shared" si="64"/>
        <v>0</v>
      </c>
      <c r="AA102" s="58">
        <f t="shared" si="65"/>
        <v>0</v>
      </c>
      <c r="AB102" s="68">
        <v>-2038.32</v>
      </c>
      <c r="AC102" s="58">
        <f t="shared" si="66"/>
        <v>-4.9108199699932882E-3</v>
      </c>
      <c r="AD102" s="58">
        <f t="shared" si="67"/>
        <v>-1</v>
      </c>
      <c r="AE102" s="68">
        <v>0</v>
      </c>
      <c r="AF102" s="58">
        <f t="shared" si="68"/>
        <v>0</v>
      </c>
      <c r="AG102" s="58">
        <f t="shared" si="69"/>
        <v>0</v>
      </c>
      <c r="AH102" s="68">
        <v>0</v>
      </c>
      <c r="AI102" s="58">
        <f t="shared" si="70"/>
        <v>0</v>
      </c>
      <c r="AJ102" s="58">
        <f t="shared" si="71"/>
        <v>0</v>
      </c>
      <c r="AK102" s="68">
        <v>-10.000000000000227</v>
      </c>
      <c r="AL102" s="58">
        <f t="shared" si="72"/>
        <v>-5.0211553829171926E-5</v>
      </c>
      <c r="AM102" s="68">
        <f>SUM(D102:AK102)</f>
        <v>-2049.3249108199702</v>
      </c>
      <c r="AN102" s="58">
        <f t="shared" si="73"/>
        <v>-2.9503375842353008E-4</v>
      </c>
      <c r="AO102" s="73"/>
      <c r="AP102" s="73"/>
      <c r="AQ102" s="73"/>
      <c r="AR102" s="73"/>
      <c r="AS102" s="73"/>
      <c r="AT102" s="69"/>
      <c r="AU102" s="70"/>
      <c r="AV102" s="71"/>
      <c r="AW102" s="72"/>
      <c r="AX102" s="70"/>
      <c r="AY102" s="73"/>
      <c r="AZ102" s="73"/>
      <c r="BA102" s="73"/>
      <c r="BB102" s="73"/>
      <c r="BC102" s="69"/>
      <c r="BD102" s="70"/>
      <c r="BE102" s="71"/>
      <c r="BF102" s="72"/>
      <c r="BG102" s="70"/>
      <c r="BH102" s="73"/>
      <c r="BI102" s="73"/>
      <c r="BJ102" s="73"/>
      <c r="BK102" s="73"/>
      <c r="BL102" s="69"/>
      <c r="BM102" s="70"/>
      <c r="BN102" s="71"/>
      <c r="BO102" s="72"/>
      <c r="BP102" s="70"/>
      <c r="BQ102" s="73"/>
      <c r="BR102" s="73"/>
      <c r="BS102" s="73"/>
      <c r="BT102" s="73"/>
    </row>
    <row r="103" spans="1:72" s="74" customFormat="1" x14ac:dyDescent="0.25">
      <c r="A103" s="66" t="s">
        <v>684</v>
      </c>
      <c r="B103" s="67">
        <v>512103099</v>
      </c>
      <c r="C103" s="66" t="s">
        <v>408</v>
      </c>
      <c r="D103" s="68">
        <v>-1050</v>
      </c>
      <c r="E103" s="58">
        <f t="shared" si="50"/>
        <v>-1.7606845970985195E-3</v>
      </c>
      <c r="F103" s="58">
        <f t="shared" si="51"/>
        <v>2.4134857142857142</v>
      </c>
      <c r="G103" s="68">
        <v>-3584.16</v>
      </c>
      <c r="H103" s="58">
        <f t="shared" si="52"/>
        <v>-4.8312867061649856E-3</v>
      </c>
      <c r="I103" s="58">
        <f t="shared" si="53"/>
        <v>-1</v>
      </c>
      <c r="J103" s="68">
        <v>0</v>
      </c>
      <c r="K103" s="58">
        <f t="shared" si="54"/>
        <v>0</v>
      </c>
      <c r="L103" s="58">
        <f t="shared" si="55"/>
        <v>0</v>
      </c>
      <c r="M103" s="68">
        <v>-1426</v>
      </c>
      <c r="N103" s="58">
        <f t="shared" si="56"/>
        <v>-1.9693868073871342E-3</v>
      </c>
      <c r="O103" s="58">
        <f t="shared" si="57"/>
        <v>-1</v>
      </c>
      <c r="P103" s="68">
        <v>0</v>
      </c>
      <c r="Q103" s="58">
        <f t="shared" si="58"/>
        <v>0</v>
      </c>
      <c r="R103" s="58">
        <f t="shared" si="59"/>
        <v>0</v>
      </c>
      <c r="S103" s="68">
        <v>0</v>
      </c>
      <c r="T103" s="58">
        <f t="shared" si="60"/>
        <v>0</v>
      </c>
      <c r="U103" s="58">
        <f t="shared" si="61"/>
        <v>0</v>
      </c>
      <c r="V103" s="68">
        <v>0</v>
      </c>
      <c r="W103" s="58">
        <f t="shared" si="62"/>
        <v>0</v>
      </c>
      <c r="X103" s="58">
        <f t="shared" si="63"/>
        <v>0</v>
      </c>
      <c r="Y103" s="68">
        <v>0</v>
      </c>
      <c r="Z103" s="58">
        <f t="shared" si="64"/>
        <v>0</v>
      </c>
      <c r="AA103" s="58">
        <f t="shared" si="65"/>
        <v>0</v>
      </c>
      <c r="AB103" s="68">
        <v>0</v>
      </c>
      <c r="AC103" s="58">
        <f t="shared" si="66"/>
        <v>0</v>
      </c>
      <c r="AD103" s="58">
        <f t="shared" si="67"/>
        <v>0</v>
      </c>
      <c r="AE103" s="68">
        <v>0</v>
      </c>
      <c r="AF103" s="58">
        <f t="shared" si="68"/>
        <v>0</v>
      </c>
      <c r="AG103" s="58">
        <f t="shared" si="69"/>
        <v>0</v>
      </c>
      <c r="AH103" s="68">
        <v>0</v>
      </c>
      <c r="AI103" s="58">
        <f t="shared" si="70"/>
        <v>0</v>
      </c>
      <c r="AJ103" s="58">
        <f t="shared" si="71"/>
        <v>0</v>
      </c>
      <c r="AK103" s="68">
        <v>0</v>
      </c>
      <c r="AL103" s="58">
        <f t="shared" si="72"/>
        <v>0</v>
      </c>
      <c r="AM103" s="68">
        <f>SUM(D103:AK103)</f>
        <v>-6059.755075643825</v>
      </c>
      <c r="AN103" s="58">
        <f t="shared" si="73"/>
        <v>-8.7240061624875185E-4</v>
      </c>
      <c r="AO103" s="73"/>
      <c r="AP103" s="73"/>
      <c r="AQ103" s="73"/>
      <c r="AR103" s="73"/>
      <c r="AS103" s="73"/>
      <c r="AT103" s="69"/>
      <c r="AU103" s="70"/>
      <c r="AV103" s="71"/>
      <c r="AW103" s="72"/>
      <c r="AX103" s="70"/>
      <c r="AY103" s="73"/>
      <c r="AZ103" s="73"/>
      <c r="BA103" s="73"/>
      <c r="BB103" s="73"/>
      <c r="BC103" s="69"/>
      <c r="BD103" s="70"/>
      <c r="BE103" s="71"/>
      <c r="BF103" s="72"/>
      <c r="BG103" s="70"/>
      <c r="BH103" s="73"/>
      <c r="BI103" s="73"/>
      <c r="BJ103" s="73"/>
      <c r="BK103" s="73"/>
      <c r="BL103" s="69"/>
      <c r="BM103" s="70"/>
      <c r="BN103" s="71"/>
      <c r="BO103" s="72"/>
      <c r="BP103" s="70"/>
      <c r="BQ103" s="73"/>
      <c r="BR103" s="73"/>
      <c r="BS103" s="73"/>
      <c r="BT103" s="73"/>
    </row>
    <row r="104" spans="1:72" s="63" customFormat="1" x14ac:dyDescent="0.25">
      <c r="A104" s="55" t="s">
        <v>415</v>
      </c>
      <c r="B104" s="56">
        <v>512104</v>
      </c>
      <c r="C104" s="55" t="s">
        <v>416</v>
      </c>
      <c r="D104" s="57">
        <f>SUM(D105:D106)</f>
        <v>0</v>
      </c>
      <c r="E104" s="58">
        <f t="shared" si="50"/>
        <v>0</v>
      </c>
      <c r="F104" s="58">
        <f t="shared" si="51"/>
        <v>0</v>
      </c>
      <c r="G104" s="57">
        <f t="shared" ref="G104:AK104" si="76">SUM(G105:G106)</f>
        <v>0</v>
      </c>
      <c r="H104" s="58">
        <f t="shared" si="52"/>
        <v>0</v>
      </c>
      <c r="I104" s="58">
        <f t="shared" si="53"/>
        <v>0</v>
      </c>
      <c r="J104" s="57">
        <f t="shared" si="76"/>
        <v>0</v>
      </c>
      <c r="K104" s="58">
        <f t="shared" si="54"/>
        <v>0</v>
      </c>
      <c r="L104" s="58">
        <f t="shared" si="55"/>
        <v>0</v>
      </c>
      <c r="M104" s="57">
        <f t="shared" si="76"/>
        <v>-469.13</v>
      </c>
      <c r="N104" s="58">
        <f t="shared" si="56"/>
        <v>-6.4789511427035501E-4</v>
      </c>
      <c r="O104" s="58">
        <f t="shared" si="57"/>
        <v>-0.89341973440197808</v>
      </c>
      <c r="P104" s="57">
        <f t="shared" si="76"/>
        <v>-50</v>
      </c>
      <c r="Q104" s="58">
        <f t="shared" si="58"/>
        <v>-5.2335318077001959E-5</v>
      </c>
      <c r="R104" s="58">
        <f t="shared" si="59"/>
        <v>-1</v>
      </c>
      <c r="S104" s="57">
        <f t="shared" si="76"/>
        <v>0</v>
      </c>
      <c r="T104" s="58">
        <f t="shared" si="60"/>
        <v>0</v>
      </c>
      <c r="U104" s="58">
        <f t="shared" si="61"/>
        <v>0</v>
      </c>
      <c r="V104" s="57">
        <f t="shared" si="76"/>
        <v>0</v>
      </c>
      <c r="W104" s="58">
        <f t="shared" si="62"/>
        <v>0</v>
      </c>
      <c r="X104" s="58">
        <f t="shared" si="63"/>
        <v>0</v>
      </c>
      <c r="Y104" s="57">
        <f t="shared" si="76"/>
        <v>0</v>
      </c>
      <c r="Z104" s="58">
        <f t="shared" si="64"/>
        <v>0</v>
      </c>
      <c r="AA104" s="58">
        <f t="shared" si="65"/>
        <v>0</v>
      </c>
      <c r="AB104" s="57">
        <f t="shared" si="76"/>
        <v>0</v>
      </c>
      <c r="AC104" s="58">
        <f t="shared" si="66"/>
        <v>0</v>
      </c>
      <c r="AD104" s="58">
        <f t="shared" si="67"/>
        <v>0</v>
      </c>
      <c r="AE104" s="57">
        <f t="shared" si="76"/>
        <v>0</v>
      </c>
      <c r="AF104" s="58">
        <f t="shared" si="68"/>
        <v>0</v>
      </c>
      <c r="AG104" s="58">
        <f t="shared" si="69"/>
        <v>0</v>
      </c>
      <c r="AH104" s="57">
        <f t="shared" si="76"/>
        <v>0</v>
      </c>
      <c r="AI104" s="58">
        <f t="shared" si="70"/>
        <v>0</v>
      </c>
      <c r="AJ104" s="58">
        <f t="shared" si="71"/>
        <v>0</v>
      </c>
      <c r="AK104" s="57">
        <f t="shared" si="76"/>
        <v>-18921.649999999998</v>
      </c>
      <c r="AL104" s="58">
        <f t="shared" si="72"/>
        <v>-9.5008544751172916E-2</v>
      </c>
      <c r="AM104" s="57">
        <f>SUM(D104:AK104)</f>
        <v>-19442.674119964831</v>
      </c>
      <c r="AN104" s="58">
        <f t="shared" si="73"/>
        <v>-2.7990901731253311E-3</v>
      </c>
      <c r="AO104" s="64"/>
      <c r="AP104" s="64"/>
      <c r="AQ104" s="64"/>
      <c r="AR104" s="64"/>
      <c r="AS104" s="64"/>
      <c r="AT104" s="60"/>
      <c r="AU104" s="61"/>
      <c r="AV104" s="65"/>
      <c r="AW104" s="62"/>
      <c r="AX104" s="61"/>
      <c r="AY104" s="64"/>
      <c r="AZ104" s="64"/>
      <c r="BA104" s="64"/>
      <c r="BB104" s="64"/>
      <c r="BC104" s="60"/>
      <c r="BD104" s="61"/>
      <c r="BE104" s="65"/>
      <c r="BF104" s="62"/>
      <c r="BG104" s="61"/>
      <c r="BH104" s="64"/>
      <c r="BI104" s="64"/>
      <c r="BJ104" s="64"/>
      <c r="BK104" s="64"/>
      <c r="BL104" s="60"/>
      <c r="BM104" s="61"/>
      <c r="BN104" s="65"/>
      <c r="BO104" s="62"/>
      <c r="BP104" s="61"/>
      <c r="BQ104" s="64"/>
      <c r="BR104" s="64"/>
      <c r="BS104" s="64"/>
      <c r="BT104" s="64"/>
    </row>
    <row r="105" spans="1:72" s="74" customFormat="1" x14ac:dyDescent="0.25">
      <c r="A105" s="66" t="s">
        <v>417</v>
      </c>
      <c r="B105" s="67">
        <v>512104006</v>
      </c>
      <c r="C105" s="66" t="s">
        <v>418</v>
      </c>
      <c r="D105" s="68">
        <v>0</v>
      </c>
      <c r="E105" s="58">
        <f t="shared" si="50"/>
        <v>0</v>
      </c>
      <c r="F105" s="58">
        <f t="shared" si="51"/>
        <v>0</v>
      </c>
      <c r="G105" s="68">
        <v>0</v>
      </c>
      <c r="H105" s="58">
        <f t="shared" si="52"/>
        <v>0</v>
      </c>
      <c r="I105" s="58">
        <f t="shared" si="53"/>
        <v>0</v>
      </c>
      <c r="J105" s="68">
        <v>0</v>
      </c>
      <c r="K105" s="58">
        <f t="shared" si="54"/>
        <v>0</v>
      </c>
      <c r="L105" s="58">
        <f t="shared" si="55"/>
        <v>0</v>
      </c>
      <c r="M105" s="68">
        <v>0</v>
      </c>
      <c r="N105" s="58">
        <f t="shared" si="56"/>
        <v>0</v>
      </c>
      <c r="O105" s="58">
        <f t="shared" si="57"/>
        <v>0</v>
      </c>
      <c r="P105" s="68">
        <v>-50</v>
      </c>
      <c r="Q105" s="58">
        <f t="shared" si="58"/>
        <v>-5.2335318077001959E-5</v>
      </c>
      <c r="R105" s="58">
        <f t="shared" si="59"/>
        <v>-1</v>
      </c>
      <c r="S105" s="68">
        <v>0</v>
      </c>
      <c r="T105" s="58">
        <f t="shared" si="60"/>
        <v>0</v>
      </c>
      <c r="U105" s="58">
        <f t="shared" si="61"/>
        <v>0</v>
      </c>
      <c r="V105" s="68">
        <v>0</v>
      </c>
      <c r="W105" s="58">
        <f t="shared" si="62"/>
        <v>0</v>
      </c>
      <c r="X105" s="58">
        <f t="shared" si="63"/>
        <v>0</v>
      </c>
      <c r="Y105" s="68">
        <v>0</v>
      </c>
      <c r="Z105" s="58">
        <f t="shared" si="64"/>
        <v>0</v>
      </c>
      <c r="AA105" s="58">
        <f t="shared" si="65"/>
        <v>0</v>
      </c>
      <c r="AB105" s="68">
        <v>0</v>
      </c>
      <c r="AC105" s="58">
        <f t="shared" si="66"/>
        <v>0</v>
      </c>
      <c r="AD105" s="58">
        <f t="shared" si="67"/>
        <v>0</v>
      </c>
      <c r="AE105" s="68">
        <v>0</v>
      </c>
      <c r="AF105" s="58">
        <f t="shared" si="68"/>
        <v>0</v>
      </c>
      <c r="AG105" s="58">
        <f t="shared" si="69"/>
        <v>0</v>
      </c>
      <c r="AH105" s="68">
        <v>0</v>
      </c>
      <c r="AI105" s="58">
        <f t="shared" si="70"/>
        <v>0</v>
      </c>
      <c r="AJ105" s="58">
        <f t="shared" si="71"/>
        <v>0</v>
      </c>
      <c r="AK105" s="68">
        <v>0</v>
      </c>
      <c r="AL105" s="58">
        <f t="shared" si="72"/>
        <v>0</v>
      </c>
      <c r="AM105" s="68">
        <f>SUM(D105:AK105)</f>
        <v>-51.000052335318074</v>
      </c>
      <c r="AN105" s="58">
        <f t="shared" si="73"/>
        <v>-7.3422896685841607E-6</v>
      </c>
      <c r="AO105" s="64"/>
      <c r="AP105" s="64"/>
      <c r="AQ105" s="64"/>
      <c r="AR105" s="64"/>
      <c r="AS105" s="64"/>
      <c r="AT105" s="69"/>
      <c r="AU105" s="70"/>
      <c r="AV105" s="71"/>
      <c r="AW105" s="72"/>
      <c r="AX105" s="70"/>
      <c r="AY105" s="73"/>
      <c r="AZ105" s="73"/>
      <c r="BA105" s="73"/>
      <c r="BB105" s="73"/>
      <c r="BC105" s="69"/>
      <c r="BD105" s="70"/>
      <c r="BE105" s="71"/>
      <c r="BF105" s="72"/>
      <c r="BG105" s="70"/>
      <c r="BH105" s="73"/>
      <c r="BI105" s="73"/>
      <c r="BJ105" s="73"/>
      <c r="BK105" s="73"/>
      <c r="BL105" s="69"/>
      <c r="BM105" s="70"/>
      <c r="BN105" s="71"/>
      <c r="BO105" s="72"/>
      <c r="BP105" s="70"/>
      <c r="BQ105" s="73"/>
      <c r="BR105" s="73"/>
      <c r="BS105" s="73"/>
      <c r="BT105" s="73"/>
    </row>
    <row r="106" spans="1:72" s="74" customFormat="1" x14ac:dyDescent="0.25">
      <c r="A106" s="66" t="s">
        <v>419</v>
      </c>
      <c r="B106" s="67">
        <v>512104007</v>
      </c>
      <c r="C106" s="66" t="s">
        <v>420</v>
      </c>
      <c r="D106" s="68">
        <v>0</v>
      </c>
      <c r="E106" s="58">
        <f t="shared" si="50"/>
        <v>0</v>
      </c>
      <c r="F106" s="58">
        <f t="shared" si="51"/>
        <v>0</v>
      </c>
      <c r="G106" s="68">
        <v>0</v>
      </c>
      <c r="H106" s="58">
        <f t="shared" si="52"/>
        <v>0</v>
      </c>
      <c r="I106" s="58">
        <f t="shared" si="53"/>
        <v>0</v>
      </c>
      <c r="J106" s="68">
        <v>0</v>
      </c>
      <c r="K106" s="58">
        <f t="shared" si="54"/>
        <v>0</v>
      </c>
      <c r="L106" s="58">
        <f t="shared" si="55"/>
        <v>0</v>
      </c>
      <c r="M106" s="68">
        <v>-469.13</v>
      </c>
      <c r="N106" s="58">
        <f t="shared" si="56"/>
        <v>-6.4789511427035501E-4</v>
      </c>
      <c r="O106" s="58">
        <f t="shared" si="57"/>
        <v>-1</v>
      </c>
      <c r="P106" s="68">
        <v>0</v>
      </c>
      <c r="Q106" s="58">
        <f t="shared" si="58"/>
        <v>0</v>
      </c>
      <c r="R106" s="58">
        <f t="shared" si="59"/>
        <v>0</v>
      </c>
      <c r="S106" s="68">
        <v>0</v>
      </c>
      <c r="T106" s="58">
        <f t="shared" si="60"/>
        <v>0</v>
      </c>
      <c r="U106" s="58">
        <f t="shared" si="61"/>
        <v>0</v>
      </c>
      <c r="V106" s="68">
        <v>0</v>
      </c>
      <c r="W106" s="58">
        <f t="shared" si="62"/>
        <v>0</v>
      </c>
      <c r="X106" s="58">
        <f t="shared" si="63"/>
        <v>0</v>
      </c>
      <c r="Y106" s="68">
        <v>0</v>
      </c>
      <c r="Z106" s="58">
        <f t="shared" si="64"/>
        <v>0</v>
      </c>
      <c r="AA106" s="58">
        <f t="shared" si="65"/>
        <v>0</v>
      </c>
      <c r="AB106" s="68">
        <v>0</v>
      </c>
      <c r="AC106" s="58">
        <f t="shared" si="66"/>
        <v>0</v>
      </c>
      <c r="AD106" s="58">
        <f t="shared" si="67"/>
        <v>0</v>
      </c>
      <c r="AE106" s="68">
        <v>0</v>
      </c>
      <c r="AF106" s="58">
        <f t="shared" si="68"/>
        <v>0</v>
      </c>
      <c r="AG106" s="58">
        <f t="shared" si="69"/>
        <v>0</v>
      </c>
      <c r="AH106" s="68">
        <v>0</v>
      </c>
      <c r="AI106" s="58">
        <f t="shared" si="70"/>
        <v>0</v>
      </c>
      <c r="AJ106" s="58">
        <f t="shared" si="71"/>
        <v>0</v>
      </c>
      <c r="AK106" s="68">
        <v>-18921.649999999998</v>
      </c>
      <c r="AL106" s="58">
        <f t="shared" si="72"/>
        <v>-9.5008544751172916E-2</v>
      </c>
      <c r="AM106" s="68">
        <f>SUM(D106:AK106)</f>
        <v>-19391.780647895113</v>
      </c>
      <c r="AN106" s="58">
        <f t="shared" si="73"/>
        <v>-2.7917632274249817E-3</v>
      </c>
      <c r="AO106" s="73"/>
      <c r="AP106" s="73"/>
      <c r="AQ106" s="73"/>
      <c r="AR106" s="73"/>
      <c r="AS106" s="73"/>
      <c r="AT106" s="69"/>
      <c r="AU106" s="70"/>
      <c r="AV106" s="71"/>
      <c r="AW106" s="72"/>
      <c r="AX106" s="70"/>
      <c r="AY106" s="73"/>
      <c r="AZ106" s="73"/>
      <c r="BA106" s="73"/>
      <c r="BB106" s="73"/>
      <c r="BC106" s="69"/>
      <c r="BD106" s="70"/>
      <c r="BE106" s="71"/>
      <c r="BF106" s="72"/>
      <c r="BG106" s="70"/>
      <c r="BH106" s="73"/>
      <c r="BI106" s="73"/>
      <c r="BJ106" s="73"/>
      <c r="BK106" s="73"/>
      <c r="BL106" s="69"/>
      <c r="BM106" s="70"/>
      <c r="BN106" s="71"/>
      <c r="BO106" s="72"/>
      <c r="BP106" s="70"/>
      <c r="BQ106" s="73"/>
      <c r="BR106" s="73"/>
      <c r="BS106" s="73"/>
      <c r="BT106" s="73"/>
    </row>
    <row r="107" spans="1:72" s="63" customFormat="1" x14ac:dyDescent="0.25">
      <c r="A107" s="55" t="s">
        <v>421</v>
      </c>
      <c r="B107" s="56">
        <v>5122</v>
      </c>
      <c r="C107" s="55" t="s">
        <v>422</v>
      </c>
      <c r="D107" s="57">
        <f>D108+D117+D123+D128+D132+D137+D110</f>
        <v>-109037.07</v>
      </c>
      <c r="E107" s="58">
        <f t="shared" si="50"/>
        <v>-0.18283799015405053</v>
      </c>
      <c r="F107" s="58">
        <f t="shared" si="51"/>
        <v>-2.1347602242063224E-2</v>
      </c>
      <c r="G107" s="57">
        <f t="shared" ref="G107:AK107" si="77">G108+G117+G123+G128+G132+G137</f>
        <v>-106709.39</v>
      </c>
      <c r="H107" s="58">
        <f t="shared" si="52"/>
        <v>-0.14383946512710785</v>
      </c>
      <c r="I107" s="58">
        <f t="shared" si="53"/>
        <v>-0.24824928715270522</v>
      </c>
      <c r="J107" s="57">
        <f t="shared" si="77"/>
        <v>-80218.859999999986</v>
      </c>
      <c r="K107" s="58">
        <f t="shared" si="54"/>
        <v>-0.11257759080756524</v>
      </c>
      <c r="L107" s="58">
        <f t="shared" si="55"/>
        <v>0.8460238652107499</v>
      </c>
      <c r="M107" s="57">
        <f t="shared" si="77"/>
        <v>-148085.93</v>
      </c>
      <c r="N107" s="58">
        <f t="shared" si="56"/>
        <v>-0.20451506094085176</v>
      </c>
      <c r="O107" s="58">
        <f t="shared" si="57"/>
        <v>-0.27906743064651729</v>
      </c>
      <c r="P107" s="57">
        <f t="shared" si="77"/>
        <v>-106759.96999999999</v>
      </c>
      <c r="Q107" s="58">
        <f t="shared" si="58"/>
        <v>-0.11174633975682371</v>
      </c>
      <c r="R107" s="58">
        <f t="shared" si="59"/>
        <v>-0.25781367304617997</v>
      </c>
      <c r="S107" s="57">
        <f t="shared" si="77"/>
        <v>-79235.790000000008</v>
      </c>
      <c r="T107" s="58">
        <f t="shared" si="60"/>
        <v>-0.11912273441672627</v>
      </c>
      <c r="U107" s="58">
        <f t="shared" si="61"/>
        <v>0.4262699974342401</v>
      </c>
      <c r="V107" s="57">
        <f t="shared" si="77"/>
        <v>-113011.63</v>
      </c>
      <c r="W107" s="58">
        <f t="shared" si="62"/>
        <v>-0.1590947113575627</v>
      </c>
      <c r="X107" s="58">
        <f t="shared" si="63"/>
        <v>-0.37944802672078981</v>
      </c>
      <c r="Y107" s="57">
        <f t="shared" si="77"/>
        <v>-70129.59</v>
      </c>
      <c r="Z107" s="58">
        <f t="shared" si="64"/>
        <v>-0.12879720740016184</v>
      </c>
      <c r="AA107" s="58">
        <f t="shared" si="65"/>
        <v>-0.45324191970892747</v>
      </c>
      <c r="AB107" s="57">
        <f t="shared" si="77"/>
        <v>-38343.919999999998</v>
      </c>
      <c r="AC107" s="58">
        <f t="shared" si="66"/>
        <v>-9.2380042419161382E-2</v>
      </c>
      <c r="AD107" s="58">
        <f t="shared" si="67"/>
        <v>0.75974470007239736</v>
      </c>
      <c r="AE107" s="57">
        <f t="shared" si="77"/>
        <v>-67475.509999999995</v>
      </c>
      <c r="AF107" s="58">
        <f t="shared" si="68"/>
        <v>-0.19035147743225736</v>
      </c>
      <c r="AG107" s="58">
        <f t="shared" si="69"/>
        <v>0.44270951045794282</v>
      </c>
      <c r="AH107" s="57">
        <f t="shared" si="77"/>
        <v>-97347.560000000012</v>
      </c>
      <c r="AI107" s="58">
        <f t="shared" si="70"/>
        <v>-0.29760113411038069</v>
      </c>
      <c r="AJ107" s="58">
        <f t="shared" si="71"/>
        <v>2.3222872766405001E-2</v>
      </c>
      <c r="AK107" s="57">
        <f t="shared" si="77"/>
        <v>-99608.249999999985</v>
      </c>
      <c r="AL107" s="58">
        <f t="shared" si="72"/>
        <v>-0.50014850067045002</v>
      </c>
      <c r="AM107" s="57">
        <f>SUM(D107:AK107)</f>
        <v>-1115964.3540607477</v>
      </c>
      <c r="AN107" s="58">
        <f t="shared" si="73"/>
        <v>-0.16066127723665447</v>
      </c>
      <c r="AO107" s="64"/>
      <c r="AP107" s="64"/>
      <c r="AQ107" s="64"/>
      <c r="AR107" s="64"/>
      <c r="AS107" s="64"/>
      <c r="AT107" s="60"/>
      <c r="AU107" s="61"/>
      <c r="AV107" s="65"/>
      <c r="AW107" s="62"/>
      <c r="AX107" s="61"/>
      <c r="AY107" s="64"/>
      <c r="AZ107" s="64"/>
      <c r="BA107" s="64"/>
      <c r="BB107" s="64"/>
      <c r="BC107" s="60"/>
      <c r="BD107" s="61"/>
      <c r="BE107" s="65"/>
      <c r="BF107" s="62"/>
      <c r="BG107" s="61"/>
      <c r="BH107" s="64"/>
      <c r="BI107" s="64"/>
      <c r="BJ107" s="64"/>
      <c r="BK107" s="64"/>
      <c r="BL107" s="60"/>
      <c r="BM107" s="61"/>
      <c r="BN107" s="65"/>
      <c r="BO107" s="62"/>
      <c r="BP107" s="61"/>
      <c r="BQ107" s="64"/>
      <c r="BR107" s="64"/>
      <c r="BS107" s="64"/>
      <c r="BT107" s="64"/>
    </row>
    <row r="108" spans="1:72" s="63" customFormat="1" x14ac:dyDescent="0.25">
      <c r="A108" s="55" t="s">
        <v>423</v>
      </c>
      <c r="B108" s="56">
        <v>512201</v>
      </c>
      <c r="C108" s="55" t="s">
        <v>424</v>
      </c>
      <c r="D108" s="57">
        <f>D109</f>
        <v>-13400.41</v>
      </c>
      <c r="E108" s="58">
        <f t="shared" si="50"/>
        <v>-2.2470376649338066E-2</v>
      </c>
      <c r="F108" s="58">
        <f t="shared" si="51"/>
        <v>-0.10689896801665022</v>
      </c>
      <c r="G108" s="57">
        <f t="shared" ref="G108:AK108" si="78">G109</f>
        <v>-11967.92</v>
      </c>
      <c r="H108" s="58">
        <f t="shared" si="52"/>
        <v>-1.6132218649961515E-2</v>
      </c>
      <c r="I108" s="58">
        <f t="shared" si="53"/>
        <v>0</v>
      </c>
      <c r="J108" s="57">
        <f t="shared" si="78"/>
        <v>-11967.92</v>
      </c>
      <c r="K108" s="58">
        <f t="shared" si="54"/>
        <v>-1.6795546590635625E-2</v>
      </c>
      <c r="L108" s="58">
        <f t="shared" si="55"/>
        <v>0</v>
      </c>
      <c r="M108" s="57">
        <f t="shared" si="78"/>
        <v>-11967.92</v>
      </c>
      <c r="N108" s="58">
        <f t="shared" si="56"/>
        <v>-1.6528375708179964E-2</v>
      </c>
      <c r="O108" s="58">
        <f t="shared" si="57"/>
        <v>2.2802625686000333E-3</v>
      </c>
      <c r="P108" s="57">
        <f t="shared" si="78"/>
        <v>-11995.21</v>
      </c>
      <c r="Q108" s="58">
        <f t="shared" si="58"/>
        <v>-1.2555462615008691E-2</v>
      </c>
      <c r="R108" s="58">
        <f t="shared" si="59"/>
        <v>0</v>
      </c>
      <c r="S108" s="57">
        <f t="shared" si="78"/>
        <v>-11995.21</v>
      </c>
      <c r="T108" s="58">
        <f t="shared" si="60"/>
        <v>-1.8033545385271719E-2</v>
      </c>
      <c r="U108" s="58">
        <f t="shared" si="61"/>
        <v>0</v>
      </c>
      <c r="V108" s="57">
        <f t="shared" si="78"/>
        <v>-11995.21</v>
      </c>
      <c r="W108" s="58">
        <f t="shared" si="62"/>
        <v>-1.6886531701412938E-2</v>
      </c>
      <c r="X108" s="58">
        <f t="shared" si="63"/>
        <v>9.7680657529131132E-3</v>
      </c>
      <c r="Y108" s="57">
        <f t="shared" si="78"/>
        <v>-12112.38</v>
      </c>
      <c r="Z108" s="58">
        <f t="shared" si="64"/>
        <v>-2.2245113923660072E-2</v>
      </c>
      <c r="AA108" s="58">
        <f t="shared" si="65"/>
        <v>-2.7843413102957459E-2</v>
      </c>
      <c r="AB108" s="57">
        <f t="shared" si="78"/>
        <v>-11775.13</v>
      </c>
      <c r="AC108" s="58">
        <f t="shared" si="66"/>
        <v>-2.8369217568030076E-2</v>
      </c>
      <c r="AD108" s="58">
        <f t="shared" si="67"/>
        <v>2.5441757330916914E-2</v>
      </c>
      <c r="AE108" s="57">
        <f t="shared" si="78"/>
        <v>-12074.71</v>
      </c>
      <c r="AF108" s="58">
        <f t="shared" si="68"/>
        <v>-3.4063305161621635E-2</v>
      </c>
      <c r="AG108" s="58">
        <f t="shared" si="69"/>
        <v>-3.8112716578698747E-3</v>
      </c>
      <c r="AH108" s="57">
        <f t="shared" si="78"/>
        <v>-12028.69</v>
      </c>
      <c r="AI108" s="58">
        <f t="shared" si="70"/>
        <v>-3.6772896884751861E-2</v>
      </c>
      <c r="AJ108" s="58">
        <f t="shared" si="71"/>
        <v>0.46176931985112368</v>
      </c>
      <c r="AK108" s="57">
        <f t="shared" si="78"/>
        <v>-17583.170000000013</v>
      </c>
      <c r="AL108" s="58">
        <f t="shared" si="72"/>
        <v>-8.8287828694246145E-2</v>
      </c>
      <c r="AM108" s="57">
        <f>SUM(D108:AK108)</f>
        <v>-150863.76014683815</v>
      </c>
      <c r="AN108" s="58">
        <f t="shared" si="73"/>
        <v>-2.1719299819674982E-2</v>
      </c>
      <c r="AO108" s="64"/>
      <c r="AP108" s="64"/>
      <c r="AQ108" s="64"/>
      <c r="AR108" s="64"/>
      <c r="AS108" s="64"/>
      <c r="AT108" s="60"/>
      <c r="AU108" s="61"/>
      <c r="AV108" s="65"/>
      <c r="AW108" s="62"/>
      <c r="AX108" s="61"/>
      <c r="AY108" s="64"/>
      <c r="AZ108" s="64"/>
      <c r="BA108" s="64"/>
      <c r="BB108" s="64"/>
      <c r="BC108" s="60"/>
      <c r="BD108" s="61"/>
      <c r="BE108" s="65"/>
      <c r="BF108" s="62"/>
      <c r="BG108" s="61"/>
      <c r="BH108" s="64"/>
      <c r="BI108" s="64"/>
      <c r="BJ108" s="64"/>
      <c r="BK108" s="64"/>
      <c r="BL108" s="60"/>
      <c r="BM108" s="61"/>
      <c r="BN108" s="65"/>
      <c r="BO108" s="62"/>
      <c r="BP108" s="61"/>
      <c r="BQ108" s="64"/>
      <c r="BR108" s="64"/>
      <c r="BS108" s="64"/>
      <c r="BT108" s="64"/>
    </row>
    <row r="109" spans="1:72" s="74" customFormat="1" x14ac:dyDescent="0.25">
      <c r="A109" s="66" t="s">
        <v>425</v>
      </c>
      <c r="B109" s="67">
        <v>512201001</v>
      </c>
      <c r="C109" s="66" t="s">
        <v>426</v>
      </c>
      <c r="D109" s="68">
        <v>-13400.41</v>
      </c>
      <c r="E109" s="58">
        <f t="shared" si="50"/>
        <v>-2.2470376649338066E-2</v>
      </c>
      <c r="F109" s="58">
        <f t="shared" si="51"/>
        <v>-0.10689896801665022</v>
      </c>
      <c r="G109" s="68">
        <v>-11967.92</v>
      </c>
      <c r="H109" s="58">
        <f t="shared" si="52"/>
        <v>-1.6132218649961515E-2</v>
      </c>
      <c r="I109" s="58">
        <f t="shared" si="53"/>
        <v>0</v>
      </c>
      <c r="J109" s="68">
        <v>-11967.92</v>
      </c>
      <c r="K109" s="58">
        <f t="shared" si="54"/>
        <v>-1.6795546590635625E-2</v>
      </c>
      <c r="L109" s="58">
        <f t="shared" si="55"/>
        <v>0</v>
      </c>
      <c r="M109" s="68">
        <v>-11967.92</v>
      </c>
      <c r="N109" s="58">
        <f t="shared" si="56"/>
        <v>-1.6528375708179964E-2</v>
      </c>
      <c r="O109" s="58">
        <f t="shared" si="57"/>
        <v>2.2802625686000333E-3</v>
      </c>
      <c r="P109" s="68">
        <v>-11995.21</v>
      </c>
      <c r="Q109" s="58">
        <f t="shared" si="58"/>
        <v>-1.2555462615008691E-2</v>
      </c>
      <c r="R109" s="58">
        <f t="shared" si="59"/>
        <v>0</v>
      </c>
      <c r="S109" s="68">
        <v>-11995.21</v>
      </c>
      <c r="T109" s="58">
        <f t="shared" si="60"/>
        <v>-1.8033545385271719E-2</v>
      </c>
      <c r="U109" s="58">
        <f t="shared" si="61"/>
        <v>0</v>
      </c>
      <c r="V109" s="68">
        <v>-11995.21</v>
      </c>
      <c r="W109" s="58">
        <f t="shared" si="62"/>
        <v>-1.6886531701412938E-2</v>
      </c>
      <c r="X109" s="58">
        <f t="shared" si="63"/>
        <v>9.7680657529131132E-3</v>
      </c>
      <c r="Y109" s="68">
        <v>-12112.38</v>
      </c>
      <c r="Z109" s="58">
        <f t="shared" si="64"/>
        <v>-2.2245113923660072E-2</v>
      </c>
      <c r="AA109" s="58">
        <f t="shared" si="65"/>
        <v>-2.7843413102957459E-2</v>
      </c>
      <c r="AB109" s="68">
        <v>-11775.13</v>
      </c>
      <c r="AC109" s="58">
        <f t="shared" si="66"/>
        <v>-2.8369217568030076E-2</v>
      </c>
      <c r="AD109" s="58">
        <f t="shared" si="67"/>
        <v>2.5441757330916914E-2</v>
      </c>
      <c r="AE109" s="68">
        <v>-12074.71</v>
      </c>
      <c r="AF109" s="58">
        <f t="shared" si="68"/>
        <v>-3.4063305161621635E-2</v>
      </c>
      <c r="AG109" s="58">
        <f t="shared" si="69"/>
        <v>-3.8112716578698747E-3</v>
      </c>
      <c r="AH109" s="68">
        <v>-12028.69</v>
      </c>
      <c r="AI109" s="58">
        <f t="shared" si="70"/>
        <v>-3.6772896884751861E-2</v>
      </c>
      <c r="AJ109" s="58">
        <f t="shared" si="71"/>
        <v>0.46176931985112368</v>
      </c>
      <c r="AK109" s="68">
        <v>-17583.170000000013</v>
      </c>
      <c r="AL109" s="58">
        <f t="shared" si="72"/>
        <v>-8.8287828694246145E-2</v>
      </c>
      <c r="AM109" s="68">
        <f>SUM(D109:AK109)</f>
        <v>-150863.76014683815</v>
      </c>
      <c r="AN109" s="58">
        <f t="shared" si="73"/>
        <v>-2.1719299819674982E-2</v>
      </c>
      <c r="AO109" s="73"/>
      <c r="AP109" s="73"/>
      <c r="AQ109" s="73"/>
      <c r="AR109" s="73"/>
      <c r="AS109" s="73"/>
      <c r="AT109" s="60"/>
      <c r="AU109" s="61"/>
      <c r="AV109" s="65"/>
      <c r="AW109" s="62"/>
      <c r="AX109" s="61"/>
      <c r="AY109" s="64"/>
      <c r="AZ109" s="64"/>
      <c r="BA109" s="64"/>
      <c r="BB109" s="64"/>
      <c r="BC109" s="69"/>
      <c r="BD109" s="70"/>
      <c r="BE109" s="71"/>
      <c r="BF109" s="72"/>
      <c r="BG109" s="70"/>
      <c r="BH109" s="73"/>
      <c r="BI109" s="73"/>
      <c r="BJ109" s="73"/>
      <c r="BK109" s="73"/>
      <c r="BL109" s="69"/>
      <c r="BM109" s="70"/>
      <c r="BN109" s="71"/>
      <c r="BO109" s="72"/>
      <c r="BP109" s="70"/>
      <c r="BQ109" s="73"/>
      <c r="BR109" s="73"/>
      <c r="BS109" s="73"/>
      <c r="BT109" s="73"/>
    </row>
    <row r="110" spans="1:72" s="63" customFormat="1" x14ac:dyDescent="0.25">
      <c r="A110" s="55" t="s">
        <v>427</v>
      </c>
      <c r="B110" s="56">
        <v>512202</v>
      </c>
      <c r="C110" s="55" t="s">
        <v>428</v>
      </c>
      <c r="D110" s="57">
        <f>SUM(D111:D116)</f>
        <v>-11474.57</v>
      </c>
      <c r="E110" s="58">
        <f t="shared" si="50"/>
        <v>-1.9241046340313102E-2</v>
      </c>
      <c r="F110" s="58">
        <f t="shared" si="51"/>
        <v>-0.20555890111786335</v>
      </c>
      <c r="G110" s="57">
        <f t="shared" ref="G110:AK110" si="79">SUM(G111:G116)</f>
        <v>-9115.869999999999</v>
      </c>
      <c r="H110" s="58">
        <f t="shared" si="52"/>
        <v>-1.2287783342855288E-2</v>
      </c>
      <c r="I110" s="58">
        <f t="shared" si="53"/>
        <v>-0.2130054509333722</v>
      </c>
      <c r="J110" s="57">
        <f t="shared" si="79"/>
        <v>-7174.1399999999994</v>
      </c>
      <c r="K110" s="58">
        <f t="shared" si="54"/>
        <v>-1.0068048801942413E-2</v>
      </c>
      <c r="L110" s="58">
        <f t="shared" si="55"/>
        <v>-0.27639549827575149</v>
      </c>
      <c r="M110" s="57">
        <f t="shared" si="79"/>
        <v>-5191.24</v>
      </c>
      <c r="N110" s="58">
        <f t="shared" si="56"/>
        <v>-7.1693966128894707E-3</v>
      </c>
      <c r="O110" s="58">
        <f t="shared" si="57"/>
        <v>0.91873232599533083</v>
      </c>
      <c r="P110" s="57">
        <f t="shared" si="79"/>
        <v>-9960.6</v>
      </c>
      <c r="Q110" s="58">
        <f t="shared" si="58"/>
        <v>-1.0425823384755714E-2</v>
      </c>
      <c r="R110" s="58">
        <f t="shared" si="59"/>
        <v>-0.42635283015079417</v>
      </c>
      <c r="S110" s="57">
        <f t="shared" si="79"/>
        <v>-5713.87</v>
      </c>
      <c r="T110" s="58">
        <f t="shared" si="60"/>
        <v>-8.5902067550749431E-3</v>
      </c>
      <c r="U110" s="58">
        <f t="shared" si="61"/>
        <v>0.93549205704715011</v>
      </c>
      <c r="V110" s="57">
        <f t="shared" si="79"/>
        <v>-11059.15</v>
      </c>
      <c r="W110" s="58">
        <f t="shared" si="62"/>
        <v>-1.5568771790213003E-2</v>
      </c>
      <c r="X110" s="58">
        <f t="shared" si="63"/>
        <v>-0.29733569035594953</v>
      </c>
      <c r="Y110" s="57">
        <f t="shared" si="79"/>
        <v>-7770.8700000000008</v>
      </c>
      <c r="Z110" s="58">
        <f t="shared" si="64"/>
        <v>-1.4271669848200963E-2</v>
      </c>
      <c r="AA110" s="58">
        <f t="shared" si="65"/>
        <v>6.867570812534507E-2</v>
      </c>
      <c r="AB110" s="57">
        <f t="shared" si="79"/>
        <v>-8304.5400000000009</v>
      </c>
      <c r="AC110" s="58">
        <f t="shared" si="66"/>
        <v>-2.000770285019431E-2</v>
      </c>
      <c r="AD110" s="58">
        <f t="shared" si="67"/>
        <v>-0.94766236299662598</v>
      </c>
      <c r="AE110" s="57">
        <f t="shared" si="79"/>
        <v>-434.64</v>
      </c>
      <c r="AF110" s="58">
        <f t="shared" si="68"/>
        <v>-1.2261391748081096E-3</v>
      </c>
      <c r="AG110" s="58">
        <f t="shared" si="69"/>
        <v>16.203386710841158</v>
      </c>
      <c r="AH110" s="57">
        <f t="shared" si="79"/>
        <v>-7477.2800000000007</v>
      </c>
      <c r="AI110" s="58">
        <f t="shared" si="70"/>
        <v>-2.2858785654831692E-2</v>
      </c>
      <c r="AJ110" s="58">
        <f t="shared" si="71"/>
        <v>0.72547905120578582</v>
      </c>
      <c r="AK110" s="57">
        <f t="shared" si="79"/>
        <v>-12901.89</v>
      </c>
      <c r="AL110" s="58">
        <f t="shared" si="72"/>
        <v>-6.4782394423304024E-2</v>
      </c>
      <c r="AM110" s="57">
        <f>SUM(D110:AK110)</f>
        <v>-96562.316260255175</v>
      </c>
      <c r="AN110" s="58">
        <f t="shared" si="73"/>
        <v>-1.3901720970612531E-2</v>
      </c>
      <c r="AO110" s="64"/>
      <c r="AP110" s="64"/>
      <c r="AQ110" s="64"/>
      <c r="AR110" s="64"/>
      <c r="AS110" s="64"/>
      <c r="AT110" s="60"/>
      <c r="AU110" s="61"/>
      <c r="AV110" s="65"/>
      <c r="AW110" s="62"/>
      <c r="AX110" s="61"/>
      <c r="AY110" s="64"/>
      <c r="AZ110" s="64"/>
      <c r="BA110" s="64"/>
      <c r="BB110" s="64"/>
      <c r="BC110" s="60"/>
      <c r="BD110" s="61"/>
      <c r="BE110" s="65"/>
      <c r="BF110" s="62"/>
      <c r="BG110" s="61"/>
      <c r="BH110" s="64"/>
      <c r="BI110" s="64"/>
      <c r="BJ110" s="64"/>
      <c r="BK110" s="64"/>
      <c r="BL110" s="60"/>
      <c r="BM110" s="61"/>
      <c r="BN110" s="65"/>
      <c r="BO110" s="62"/>
      <c r="BP110" s="61"/>
      <c r="BQ110" s="64"/>
      <c r="BR110" s="64"/>
      <c r="BS110" s="64"/>
      <c r="BT110" s="64"/>
    </row>
    <row r="111" spans="1:72" s="74" customFormat="1" x14ac:dyDescent="0.25">
      <c r="A111" s="66" t="s">
        <v>429</v>
      </c>
      <c r="B111" s="67">
        <v>512202002</v>
      </c>
      <c r="C111" s="66" t="s">
        <v>430</v>
      </c>
      <c r="D111" s="68">
        <v>0</v>
      </c>
      <c r="E111" s="58">
        <f t="shared" si="50"/>
        <v>0</v>
      </c>
      <c r="F111" s="58">
        <f t="shared" si="51"/>
        <v>0</v>
      </c>
      <c r="G111" s="68">
        <v>0</v>
      </c>
      <c r="H111" s="58">
        <f t="shared" si="52"/>
        <v>0</v>
      </c>
      <c r="I111" s="58">
        <f t="shared" si="53"/>
        <v>0</v>
      </c>
      <c r="J111" s="68">
        <v>0</v>
      </c>
      <c r="K111" s="58">
        <f t="shared" si="54"/>
        <v>0</v>
      </c>
      <c r="L111" s="58">
        <f t="shared" si="55"/>
        <v>0</v>
      </c>
      <c r="M111" s="68">
        <v>0</v>
      </c>
      <c r="N111" s="58">
        <f t="shared" si="56"/>
        <v>0</v>
      </c>
      <c r="O111" s="58">
        <f t="shared" si="57"/>
        <v>0</v>
      </c>
      <c r="P111" s="68">
        <v>0</v>
      </c>
      <c r="Q111" s="58">
        <f t="shared" si="58"/>
        <v>0</v>
      </c>
      <c r="R111" s="58">
        <f t="shared" si="59"/>
        <v>0</v>
      </c>
      <c r="S111" s="68">
        <v>0</v>
      </c>
      <c r="T111" s="58">
        <f t="shared" si="60"/>
        <v>0</v>
      </c>
      <c r="U111" s="58">
        <f t="shared" si="61"/>
        <v>0</v>
      </c>
      <c r="V111" s="68">
        <v>0</v>
      </c>
      <c r="W111" s="58">
        <f t="shared" si="62"/>
        <v>0</v>
      </c>
      <c r="X111" s="58">
        <f t="shared" si="63"/>
        <v>0</v>
      </c>
      <c r="Y111" s="68">
        <v>0</v>
      </c>
      <c r="Z111" s="58">
        <f t="shared" si="64"/>
        <v>0</v>
      </c>
      <c r="AA111" s="58">
        <f t="shared" si="65"/>
        <v>0</v>
      </c>
      <c r="AB111" s="68">
        <v>0</v>
      </c>
      <c r="AC111" s="58">
        <f t="shared" si="66"/>
        <v>0</v>
      </c>
      <c r="AD111" s="58">
        <f t="shared" si="67"/>
        <v>0</v>
      </c>
      <c r="AE111" s="68">
        <v>0</v>
      </c>
      <c r="AF111" s="58">
        <f t="shared" si="68"/>
        <v>0</v>
      </c>
      <c r="AG111" s="58">
        <f t="shared" si="69"/>
        <v>0</v>
      </c>
      <c r="AH111" s="68">
        <v>0</v>
      </c>
      <c r="AI111" s="58">
        <f t="shared" si="70"/>
        <v>0</v>
      </c>
      <c r="AJ111" s="58">
        <f t="shared" si="71"/>
        <v>0</v>
      </c>
      <c r="AK111" s="68">
        <v>-1024.97</v>
      </c>
      <c r="AL111" s="58">
        <f t="shared" si="72"/>
        <v>-5.1465336328285179E-3</v>
      </c>
      <c r="AM111" s="68">
        <f>SUM(D111:AK111)</f>
        <v>-1024.97</v>
      </c>
      <c r="AN111" s="58">
        <f t="shared" si="73"/>
        <v>-1.4756115527350414E-4</v>
      </c>
      <c r="AO111" s="64"/>
      <c r="AP111" s="64"/>
      <c r="AQ111" s="64"/>
      <c r="AR111" s="64"/>
      <c r="AS111" s="64"/>
      <c r="AT111" s="69"/>
      <c r="AU111" s="70"/>
      <c r="AV111" s="71"/>
      <c r="AW111" s="72"/>
      <c r="AX111" s="70"/>
      <c r="AY111" s="73"/>
      <c r="AZ111" s="73"/>
      <c r="BA111" s="73"/>
      <c r="BB111" s="73"/>
      <c r="BC111" s="69"/>
      <c r="BD111" s="70"/>
      <c r="BE111" s="71"/>
      <c r="BF111" s="72"/>
      <c r="BG111" s="70"/>
      <c r="BH111" s="73"/>
      <c r="BI111" s="73"/>
      <c r="BJ111" s="73"/>
      <c r="BK111" s="73"/>
      <c r="BL111" s="69"/>
      <c r="BM111" s="70"/>
      <c r="BN111" s="71"/>
      <c r="BO111" s="72"/>
      <c r="BP111" s="70"/>
      <c r="BQ111" s="73"/>
      <c r="BR111" s="73"/>
      <c r="BS111" s="73"/>
      <c r="BT111" s="73"/>
    </row>
    <row r="112" spans="1:72" s="74" customFormat="1" x14ac:dyDescent="0.25">
      <c r="A112" s="66" t="s">
        <v>431</v>
      </c>
      <c r="B112" s="67">
        <v>512202003</v>
      </c>
      <c r="C112" s="66" t="s">
        <v>432</v>
      </c>
      <c r="D112" s="68">
        <v>-8205.9</v>
      </c>
      <c r="E112" s="58">
        <f t="shared" si="50"/>
        <v>-1.3760001652695943E-2</v>
      </c>
      <c r="F112" s="58">
        <f t="shared" si="51"/>
        <v>-0.40920069705943285</v>
      </c>
      <c r="G112" s="68">
        <v>-4848.04</v>
      </c>
      <c r="H112" s="58">
        <f t="shared" si="52"/>
        <v>-6.5349401820666763E-3</v>
      </c>
      <c r="I112" s="58">
        <f t="shared" si="53"/>
        <v>-8.9137053324642612E-2</v>
      </c>
      <c r="J112" s="68">
        <v>-4415.8999999999996</v>
      </c>
      <c r="K112" s="58">
        <f t="shared" si="54"/>
        <v>-6.1971883326081599E-3</v>
      </c>
      <c r="L112" s="58">
        <f t="shared" si="55"/>
        <v>-0.46556760796213681</v>
      </c>
      <c r="M112" s="68">
        <v>-2360</v>
      </c>
      <c r="N112" s="58">
        <f t="shared" si="56"/>
        <v>-3.2592937345256915E-3</v>
      </c>
      <c r="O112" s="58">
        <f t="shared" si="57"/>
        <v>1.7422881355932205</v>
      </c>
      <c r="P112" s="68">
        <v>-6471.8</v>
      </c>
      <c r="Q112" s="58">
        <f t="shared" si="58"/>
        <v>-6.7740742306148256E-3</v>
      </c>
      <c r="R112" s="58">
        <f t="shared" si="59"/>
        <v>-0.68232949102259033</v>
      </c>
      <c r="S112" s="68">
        <v>-2055.9</v>
      </c>
      <c r="T112" s="58">
        <f t="shared" si="60"/>
        <v>-3.0908309198071672E-3</v>
      </c>
      <c r="U112" s="58">
        <f t="shared" si="61"/>
        <v>0.7052872221411548</v>
      </c>
      <c r="V112" s="68">
        <v>-3505.9</v>
      </c>
      <c r="W112" s="58">
        <f t="shared" si="62"/>
        <v>-4.9355110491590918E-3</v>
      </c>
      <c r="X112" s="58">
        <f t="shared" si="63"/>
        <v>-0.41358852220542508</v>
      </c>
      <c r="Y112" s="68">
        <v>-2055.9</v>
      </c>
      <c r="Z112" s="58">
        <f t="shared" si="64"/>
        <v>-3.7757839264993959E-3</v>
      </c>
      <c r="AA112" s="58">
        <f t="shared" si="65"/>
        <v>0</v>
      </c>
      <c r="AB112" s="68">
        <v>-2055.9</v>
      </c>
      <c r="AC112" s="58">
        <f t="shared" si="66"/>
        <v>-4.9531745635176035E-3</v>
      </c>
      <c r="AD112" s="58">
        <f t="shared" si="67"/>
        <v>-1</v>
      </c>
      <c r="AE112" s="68">
        <v>0</v>
      </c>
      <c r="AF112" s="58">
        <f t="shared" si="68"/>
        <v>0</v>
      </c>
      <c r="AG112" s="58">
        <f t="shared" si="69"/>
        <v>0</v>
      </c>
      <c r="AH112" s="68">
        <v>0</v>
      </c>
      <c r="AI112" s="58">
        <f t="shared" si="70"/>
        <v>0</v>
      </c>
      <c r="AJ112" s="58">
        <f t="shared" si="71"/>
        <v>0</v>
      </c>
      <c r="AK112" s="68">
        <v>0</v>
      </c>
      <c r="AL112" s="58">
        <f t="shared" si="72"/>
        <v>0</v>
      </c>
      <c r="AM112" s="68">
        <f>SUM(D112:AK112)</f>
        <v>-35975.905528812429</v>
      </c>
      <c r="AN112" s="58">
        <f t="shared" si="73"/>
        <v>-5.1793185964877086E-3</v>
      </c>
      <c r="AO112" s="73"/>
      <c r="AP112" s="73"/>
      <c r="AQ112" s="73"/>
      <c r="AR112" s="73"/>
      <c r="AS112" s="73"/>
      <c r="AT112" s="69"/>
      <c r="AU112" s="70"/>
      <c r="AV112" s="71"/>
      <c r="AW112" s="72"/>
      <c r="AX112" s="70"/>
      <c r="AY112" s="73"/>
      <c r="AZ112" s="73"/>
      <c r="BA112" s="73"/>
      <c r="BB112" s="73"/>
      <c r="BC112" s="69"/>
      <c r="BD112" s="70"/>
      <c r="BE112" s="71"/>
      <c r="BF112" s="72"/>
      <c r="BG112" s="70"/>
      <c r="BH112" s="73"/>
      <c r="BI112" s="73"/>
      <c r="BJ112" s="73"/>
      <c r="BK112" s="73"/>
      <c r="BL112" s="69"/>
      <c r="BM112" s="70"/>
      <c r="BN112" s="71"/>
      <c r="BO112" s="72"/>
      <c r="BP112" s="70"/>
      <c r="BQ112" s="73"/>
      <c r="BR112" s="73"/>
      <c r="BS112" s="73"/>
      <c r="BT112" s="73"/>
    </row>
    <row r="113" spans="1:72" s="74" customFormat="1" x14ac:dyDescent="0.25">
      <c r="A113" s="66" t="s">
        <v>433</v>
      </c>
      <c r="B113" s="67">
        <v>512202004</v>
      </c>
      <c r="C113" s="66" t="s">
        <v>434</v>
      </c>
      <c r="D113" s="68">
        <v>0</v>
      </c>
      <c r="E113" s="58">
        <f t="shared" si="50"/>
        <v>0</v>
      </c>
      <c r="F113" s="58">
        <f t="shared" si="51"/>
        <v>0</v>
      </c>
      <c r="G113" s="68">
        <v>0</v>
      </c>
      <c r="H113" s="58">
        <f t="shared" si="52"/>
        <v>0</v>
      </c>
      <c r="I113" s="58">
        <f t="shared" si="53"/>
        <v>0</v>
      </c>
      <c r="J113" s="68">
        <v>0</v>
      </c>
      <c r="K113" s="58">
        <f t="shared" si="54"/>
        <v>0</v>
      </c>
      <c r="L113" s="58">
        <f t="shared" si="55"/>
        <v>0</v>
      </c>
      <c r="M113" s="68">
        <v>0</v>
      </c>
      <c r="N113" s="58">
        <f t="shared" si="56"/>
        <v>0</v>
      </c>
      <c r="O113" s="58">
        <f t="shared" si="57"/>
        <v>0</v>
      </c>
      <c r="P113" s="68">
        <v>0</v>
      </c>
      <c r="Q113" s="58">
        <f t="shared" si="58"/>
        <v>0</v>
      </c>
      <c r="R113" s="58">
        <f t="shared" si="59"/>
        <v>0</v>
      </c>
      <c r="S113" s="68">
        <v>0</v>
      </c>
      <c r="T113" s="58">
        <f t="shared" si="60"/>
        <v>0</v>
      </c>
      <c r="U113" s="58">
        <f t="shared" si="61"/>
        <v>0</v>
      </c>
      <c r="V113" s="68">
        <v>0</v>
      </c>
      <c r="W113" s="58">
        <f t="shared" si="62"/>
        <v>0</v>
      </c>
      <c r="X113" s="58">
        <f t="shared" si="63"/>
        <v>0</v>
      </c>
      <c r="Y113" s="68">
        <v>0</v>
      </c>
      <c r="Z113" s="58">
        <f t="shared" si="64"/>
        <v>0</v>
      </c>
      <c r="AA113" s="58">
        <f t="shared" si="65"/>
        <v>0</v>
      </c>
      <c r="AB113" s="68">
        <v>0</v>
      </c>
      <c r="AC113" s="58">
        <f t="shared" si="66"/>
        <v>0</v>
      </c>
      <c r="AD113" s="58">
        <f t="shared" si="67"/>
        <v>0</v>
      </c>
      <c r="AE113" s="68">
        <v>0</v>
      </c>
      <c r="AF113" s="58">
        <f t="shared" si="68"/>
        <v>0</v>
      </c>
      <c r="AG113" s="58">
        <f t="shared" si="69"/>
        <v>0</v>
      </c>
      <c r="AH113" s="68">
        <v>-3815.25</v>
      </c>
      <c r="AI113" s="58">
        <f t="shared" si="70"/>
        <v>-1.1663597186356081E-2</v>
      </c>
      <c r="AJ113" s="58">
        <f t="shared" si="71"/>
        <v>0.43040954065919679</v>
      </c>
      <c r="AK113" s="68">
        <v>-5457.3700000000008</v>
      </c>
      <c r="AL113" s="58">
        <f t="shared" si="72"/>
        <v>-2.740230275207018E-2</v>
      </c>
      <c r="AM113" s="68">
        <f>SUM(D113:AK113)</f>
        <v>-9272.2012540565283</v>
      </c>
      <c r="AN113" s="58">
        <f t="shared" si="73"/>
        <v>-1.334884659040767E-3</v>
      </c>
      <c r="AO113" s="64"/>
      <c r="AP113" s="64"/>
      <c r="AQ113" s="64"/>
      <c r="AR113" s="64"/>
      <c r="AS113" s="64"/>
      <c r="AT113" s="60"/>
      <c r="AU113" s="61"/>
      <c r="AV113" s="65"/>
      <c r="AW113" s="62"/>
      <c r="AX113" s="61"/>
      <c r="AY113" s="64"/>
      <c r="AZ113" s="64"/>
      <c r="BA113" s="64"/>
      <c r="BB113" s="64"/>
      <c r="BC113" s="69"/>
      <c r="BD113" s="70"/>
      <c r="BE113" s="71"/>
      <c r="BF113" s="72"/>
      <c r="BG113" s="70"/>
      <c r="BH113" s="73"/>
      <c r="BI113" s="73"/>
      <c r="BJ113" s="73"/>
      <c r="BK113" s="73"/>
      <c r="BL113" s="69"/>
      <c r="BM113" s="70"/>
      <c r="BN113" s="71"/>
      <c r="BO113" s="72"/>
      <c r="BP113" s="70"/>
      <c r="BQ113" s="73"/>
      <c r="BR113" s="73"/>
      <c r="BS113" s="73"/>
      <c r="BT113" s="73"/>
    </row>
    <row r="114" spans="1:72" s="74" customFormat="1" x14ac:dyDescent="0.25">
      <c r="A114" s="66" t="s">
        <v>685</v>
      </c>
      <c r="B114" s="67">
        <v>512202005</v>
      </c>
      <c r="C114" s="66" t="s">
        <v>686</v>
      </c>
      <c r="D114" s="68">
        <v>-460</v>
      </c>
      <c r="E114" s="58">
        <f t="shared" si="50"/>
        <v>-7.7134753777649426E-4</v>
      </c>
      <c r="F114" s="58">
        <f t="shared" si="51"/>
        <v>-9.7826086956521729E-2</v>
      </c>
      <c r="G114" s="68">
        <v>-415</v>
      </c>
      <c r="H114" s="58">
        <f t="shared" si="52"/>
        <v>-5.5940136128366732E-4</v>
      </c>
      <c r="I114" s="58">
        <f t="shared" si="53"/>
        <v>0.10843373493975905</v>
      </c>
      <c r="J114" s="68">
        <v>-460</v>
      </c>
      <c r="K114" s="58">
        <f t="shared" si="54"/>
        <v>-6.4555506986112765E-4</v>
      </c>
      <c r="L114" s="58">
        <f t="shared" si="55"/>
        <v>0</v>
      </c>
      <c r="M114" s="68">
        <v>-460</v>
      </c>
      <c r="N114" s="58">
        <f t="shared" si="56"/>
        <v>-6.3528606689907546E-4</v>
      </c>
      <c r="O114" s="58">
        <f t="shared" si="57"/>
        <v>0</v>
      </c>
      <c r="P114" s="68">
        <v>-460</v>
      </c>
      <c r="Q114" s="58">
        <f t="shared" si="58"/>
        <v>-4.81484926308418E-4</v>
      </c>
      <c r="R114" s="58">
        <f t="shared" si="59"/>
        <v>0</v>
      </c>
      <c r="S114" s="68">
        <v>-460</v>
      </c>
      <c r="T114" s="58">
        <f t="shared" si="60"/>
        <v>-6.9156195491575307E-4</v>
      </c>
      <c r="U114" s="58">
        <f t="shared" si="61"/>
        <v>0</v>
      </c>
      <c r="V114" s="68">
        <v>-460</v>
      </c>
      <c r="W114" s="58">
        <f t="shared" si="62"/>
        <v>-6.4757553912352952E-4</v>
      </c>
      <c r="X114" s="58">
        <f t="shared" si="63"/>
        <v>0</v>
      </c>
      <c r="Y114" s="68">
        <v>-460</v>
      </c>
      <c r="Z114" s="58">
        <f t="shared" si="64"/>
        <v>-8.4481764978341456E-4</v>
      </c>
      <c r="AA114" s="58">
        <f t="shared" si="65"/>
        <v>0</v>
      </c>
      <c r="AB114" s="68">
        <v>-460</v>
      </c>
      <c r="AC114" s="58">
        <f t="shared" si="66"/>
        <v>-1.1082544380651284E-3</v>
      </c>
      <c r="AD114" s="58">
        <f t="shared" si="67"/>
        <v>-1</v>
      </c>
      <c r="AE114" s="68">
        <v>0</v>
      </c>
      <c r="AF114" s="58">
        <f t="shared" si="68"/>
        <v>0</v>
      </c>
      <c r="AG114" s="58">
        <f t="shared" si="69"/>
        <v>0</v>
      </c>
      <c r="AH114" s="68">
        <v>0</v>
      </c>
      <c r="AI114" s="58">
        <f t="shared" si="70"/>
        <v>0</v>
      </c>
      <c r="AJ114" s="58">
        <f t="shared" si="71"/>
        <v>0</v>
      </c>
      <c r="AK114" s="68">
        <v>0</v>
      </c>
      <c r="AL114" s="58">
        <f t="shared" si="72"/>
        <v>0</v>
      </c>
      <c r="AM114" s="68">
        <f>SUM(D114:AK114)</f>
        <v>-4095.9957776365604</v>
      </c>
      <c r="AN114" s="58">
        <f t="shared" si="73"/>
        <v>-5.8968542390845169E-4</v>
      </c>
      <c r="AO114" s="64"/>
      <c r="AP114" s="64"/>
      <c r="AQ114" s="64"/>
      <c r="AR114" s="64"/>
      <c r="AS114" s="64"/>
      <c r="AT114" s="69"/>
      <c r="AU114" s="70"/>
      <c r="AV114" s="71"/>
      <c r="AW114" s="72"/>
      <c r="AX114" s="70"/>
      <c r="AY114" s="73"/>
      <c r="AZ114" s="73"/>
      <c r="BA114" s="73"/>
      <c r="BB114" s="73"/>
      <c r="BC114" s="60"/>
      <c r="BD114" s="61"/>
      <c r="BE114" s="65"/>
      <c r="BF114" s="62"/>
      <c r="BG114" s="61"/>
      <c r="BH114" s="64"/>
      <c r="BI114" s="64"/>
      <c r="BJ114" s="64"/>
      <c r="BK114" s="64"/>
      <c r="BL114" s="60"/>
      <c r="BM114" s="61"/>
      <c r="BN114" s="65"/>
      <c r="BO114" s="62"/>
      <c r="BP114" s="61"/>
      <c r="BQ114" s="64"/>
      <c r="BR114" s="64"/>
      <c r="BS114" s="64"/>
      <c r="BT114" s="64"/>
    </row>
    <row r="115" spans="1:72" s="74" customFormat="1" x14ac:dyDescent="0.25">
      <c r="A115" s="66" t="s">
        <v>435</v>
      </c>
      <c r="B115" s="67">
        <v>512202006</v>
      </c>
      <c r="C115" s="66" t="s">
        <v>436</v>
      </c>
      <c r="D115" s="68">
        <v>0</v>
      </c>
      <c r="E115" s="58">
        <f t="shared" si="50"/>
        <v>0</v>
      </c>
      <c r="F115" s="58">
        <f t="shared" si="51"/>
        <v>0</v>
      </c>
      <c r="G115" s="68">
        <v>0</v>
      </c>
      <c r="H115" s="58">
        <f t="shared" si="52"/>
        <v>0</v>
      </c>
      <c r="I115" s="58">
        <f t="shared" si="53"/>
        <v>0</v>
      </c>
      <c r="J115" s="68">
        <v>0</v>
      </c>
      <c r="K115" s="58">
        <f t="shared" si="54"/>
        <v>0</v>
      </c>
      <c r="L115" s="58">
        <f t="shared" si="55"/>
        <v>0</v>
      </c>
      <c r="M115" s="68">
        <v>0</v>
      </c>
      <c r="N115" s="58">
        <f t="shared" si="56"/>
        <v>0</v>
      </c>
      <c r="O115" s="58">
        <f t="shared" si="57"/>
        <v>0</v>
      </c>
      <c r="P115" s="68">
        <v>0</v>
      </c>
      <c r="Q115" s="58">
        <f t="shared" si="58"/>
        <v>0</v>
      </c>
      <c r="R115" s="58">
        <f t="shared" si="59"/>
        <v>0</v>
      </c>
      <c r="S115" s="68">
        <v>0</v>
      </c>
      <c r="T115" s="58">
        <f t="shared" si="60"/>
        <v>0</v>
      </c>
      <c r="U115" s="58">
        <f t="shared" si="61"/>
        <v>0</v>
      </c>
      <c r="V115" s="68">
        <v>0</v>
      </c>
      <c r="W115" s="58">
        <f t="shared" si="62"/>
        <v>0</v>
      </c>
      <c r="X115" s="58">
        <f t="shared" si="63"/>
        <v>0</v>
      </c>
      <c r="Y115" s="68">
        <v>0</v>
      </c>
      <c r="Z115" s="58">
        <f t="shared" si="64"/>
        <v>0</v>
      </c>
      <c r="AA115" s="58">
        <f t="shared" si="65"/>
        <v>0</v>
      </c>
      <c r="AB115" s="68">
        <v>0</v>
      </c>
      <c r="AC115" s="58">
        <f t="shared" si="66"/>
        <v>0</v>
      </c>
      <c r="AD115" s="58">
        <f t="shared" si="67"/>
        <v>0</v>
      </c>
      <c r="AE115" s="68">
        <v>0</v>
      </c>
      <c r="AF115" s="58">
        <f t="shared" si="68"/>
        <v>0</v>
      </c>
      <c r="AG115" s="58">
        <f t="shared" si="69"/>
        <v>0</v>
      </c>
      <c r="AH115" s="68">
        <v>-3662.03</v>
      </c>
      <c r="AI115" s="58">
        <f t="shared" si="70"/>
        <v>-1.1195188468475607E-2</v>
      </c>
      <c r="AJ115" s="58">
        <f t="shared" si="71"/>
        <v>0.75300311575819934</v>
      </c>
      <c r="AK115" s="68">
        <v>-6419.5499999999993</v>
      </c>
      <c r="AL115" s="58">
        <f t="shared" si="72"/>
        <v>-3.2233558038405323E-2</v>
      </c>
      <c r="AM115" s="68">
        <f>SUM(D115:AK115)</f>
        <v>-10080.83819207271</v>
      </c>
      <c r="AN115" s="58">
        <f t="shared" si="73"/>
        <v>-1.4513011402748487E-3</v>
      </c>
      <c r="AO115" s="73"/>
      <c r="AP115" s="73"/>
      <c r="AQ115" s="73"/>
      <c r="AR115" s="73"/>
      <c r="AS115" s="73"/>
      <c r="AT115" s="60"/>
      <c r="AU115" s="61"/>
      <c r="AV115" s="65"/>
      <c r="AW115" s="62"/>
      <c r="AX115" s="61"/>
      <c r="AY115" s="64"/>
      <c r="AZ115" s="64"/>
      <c r="BA115" s="64"/>
      <c r="BB115" s="64"/>
      <c r="BC115" s="69"/>
      <c r="BD115" s="70"/>
      <c r="BE115" s="71"/>
      <c r="BF115" s="72"/>
      <c r="BG115" s="70"/>
      <c r="BH115" s="73"/>
      <c r="BI115" s="73"/>
      <c r="BJ115" s="73"/>
      <c r="BK115" s="73"/>
      <c r="BL115" s="69"/>
      <c r="BM115" s="70"/>
      <c r="BN115" s="71"/>
      <c r="BO115" s="72"/>
      <c r="BP115" s="70"/>
      <c r="BQ115" s="73"/>
      <c r="BR115" s="73"/>
      <c r="BS115" s="73"/>
      <c r="BT115" s="73"/>
    </row>
    <row r="116" spans="1:72" s="74" customFormat="1" x14ac:dyDescent="0.25">
      <c r="A116" s="66" t="s">
        <v>687</v>
      </c>
      <c r="B116" s="67">
        <v>512202099</v>
      </c>
      <c r="C116" s="66" t="s">
        <v>688</v>
      </c>
      <c r="D116" s="68">
        <v>-2808.67</v>
      </c>
      <c r="E116" s="58">
        <f t="shared" si="50"/>
        <v>-4.7096971498406656E-3</v>
      </c>
      <c r="F116" s="58">
        <f t="shared" si="51"/>
        <v>0.37176314768199892</v>
      </c>
      <c r="G116" s="68">
        <v>-3852.83</v>
      </c>
      <c r="H116" s="58">
        <f t="shared" si="52"/>
        <v>-5.1934417995049449E-3</v>
      </c>
      <c r="I116" s="58">
        <f t="shared" si="53"/>
        <v>-0.40349301682140148</v>
      </c>
      <c r="J116" s="68">
        <v>-2298.2399999999998</v>
      </c>
      <c r="K116" s="58">
        <f t="shared" si="54"/>
        <v>-3.2253053994731259E-3</v>
      </c>
      <c r="L116" s="58">
        <f t="shared" si="55"/>
        <v>3.1763436368699605E-2</v>
      </c>
      <c r="M116" s="68">
        <v>-2371.2399999999998</v>
      </c>
      <c r="N116" s="58">
        <f t="shared" si="56"/>
        <v>-3.2748168114647034E-3</v>
      </c>
      <c r="O116" s="58">
        <f t="shared" si="57"/>
        <v>0.27730638821882247</v>
      </c>
      <c r="P116" s="68">
        <v>-3028.8</v>
      </c>
      <c r="Q116" s="58">
        <f t="shared" si="58"/>
        <v>-3.1702642278324707E-3</v>
      </c>
      <c r="R116" s="58">
        <f t="shared" si="59"/>
        <v>5.5853803486529241E-2</v>
      </c>
      <c r="S116" s="68">
        <v>-3197.97</v>
      </c>
      <c r="T116" s="58">
        <f t="shared" si="60"/>
        <v>-4.8078138803520232E-3</v>
      </c>
      <c r="U116" s="58">
        <f t="shared" si="61"/>
        <v>1.218047699009059</v>
      </c>
      <c r="V116" s="68">
        <v>-7093.25</v>
      </c>
      <c r="W116" s="58">
        <f t="shared" si="62"/>
        <v>-9.9856852019303815E-3</v>
      </c>
      <c r="X116" s="58">
        <f t="shared" si="63"/>
        <v>-0.259159059669404</v>
      </c>
      <c r="Y116" s="68">
        <v>-5254.97</v>
      </c>
      <c r="Z116" s="58">
        <f t="shared" si="64"/>
        <v>-9.6510682719181517E-3</v>
      </c>
      <c r="AA116" s="58">
        <f t="shared" si="65"/>
        <v>0.10155528956397464</v>
      </c>
      <c r="AB116" s="68">
        <v>-5788.64</v>
      </c>
      <c r="AC116" s="58">
        <f t="shared" si="66"/>
        <v>-1.3946273848611577E-2</v>
      </c>
      <c r="AD116" s="58">
        <f t="shared" si="67"/>
        <v>-0.92491500594267395</v>
      </c>
      <c r="AE116" s="68">
        <v>-434.64</v>
      </c>
      <c r="AF116" s="58">
        <f t="shared" si="68"/>
        <v>-1.2261391748081096E-3</v>
      </c>
      <c r="AG116" s="58">
        <f t="shared" si="69"/>
        <v>-1</v>
      </c>
      <c r="AH116" s="68">
        <v>0</v>
      </c>
      <c r="AI116" s="58">
        <f t="shared" si="70"/>
        <v>0</v>
      </c>
      <c r="AJ116" s="58">
        <f t="shared" si="71"/>
        <v>0</v>
      </c>
      <c r="AK116" s="68">
        <v>0</v>
      </c>
      <c r="AL116" s="58">
        <f t="shared" si="72"/>
        <v>0</v>
      </c>
      <c r="AM116" s="68">
        <f>SUM(D116:AK116)</f>
        <v>-36129.840467823873</v>
      </c>
      <c r="AN116" s="58">
        <f t="shared" si="73"/>
        <v>-5.2014800426153857E-3</v>
      </c>
      <c r="AO116" s="73"/>
      <c r="AP116" s="73"/>
      <c r="AQ116" s="73"/>
      <c r="AR116" s="73"/>
      <c r="AS116" s="73"/>
      <c r="AT116" s="60"/>
      <c r="AU116" s="61"/>
      <c r="AV116" s="65"/>
      <c r="AW116" s="62"/>
      <c r="AX116" s="61"/>
      <c r="AY116" s="64"/>
      <c r="AZ116" s="64"/>
      <c r="BA116" s="64"/>
      <c r="BB116" s="64"/>
      <c r="BC116" s="60"/>
      <c r="BD116" s="61"/>
      <c r="BE116" s="65"/>
      <c r="BF116" s="62"/>
      <c r="BG116" s="61"/>
      <c r="BH116" s="64"/>
      <c r="BI116" s="64"/>
      <c r="BJ116" s="64"/>
      <c r="BK116" s="64"/>
      <c r="BL116" s="60"/>
      <c r="BM116" s="61"/>
      <c r="BN116" s="65"/>
      <c r="BO116" s="62"/>
      <c r="BP116" s="61"/>
      <c r="BQ116" s="64"/>
      <c r="BR116" s="64"/>
      <c r="BS116" s="64"/>
      <c r="BT116" s="64"/>
    </row>
    <row r="117" spans="1:72" s="63" customFormat="1" x14ac:dyDescent="0.25">
      <c r="A117" s="55" t="s">
        <v>437</v>
      </c>
      <c r="B117" s="56">
        <v>512203</v>
      </c>
      <c r="C117" s="55" t="s">
        <v>438</v>
      </c>
      <c r="D117" s="57">
        <f>SUM(D118:D122)</f>
        <v>-11122.92</v>
      </c>
      <c r="E117" s="58">
        <f t="shared" si="50"/>
        <v>-1.8651384684532441E-2</v>
      </c>
      <c r="F117" s="58">
        <f t="shared" si="51"/>
        <v>0.13845824657553951</v>
      </c>
      <c r="G117" s="57">
        <f t="shared" ref="G117:AK117" si="80">SUM(G118:G122)</f>
        <v>-12662.98</v>
      </c>
      <c r="H117" s="58">
        <f t="shared" si="52"/>
        <v>-1.7069128313030972E-2</v>
      </c>
      <c r="I117" s="58">
        <f t="shared" si="53"/>
        <v>-0.20810030498350296</v>
      </c>
      <c r="J117" s="57">
        <f t="shared" si="80"/>
        <v>-10027.810000000001</v>
      </c>
      <c r="K117" s="58">
        <f t="shared" si="54"/>
        <v>-1.407283388066112E-2</v>
      </c>
      <c r="L117" s="58">
        <f t="shared" si="55"/>
        <v>0.24854479691976583</v>
      </c>
      <c r="M117" s="57">
        <f t="shared" si="80"/>
        <v>-12520.169999999998</v>
      </c>
      <c r="N117" s="58">
        <f t="shared" si="56"/>
        <v>-1.7291064252625644E-2</v>
      </c>
      <c r="O117" s="58">
        <f t="shared" si="57"/>
        <v>-0.17376281631958668</v>
      </c>
      <c r="P117" s="57">
        <f t="shared" si="80"/>
        <v>-10344.629999999999</v>
      </c>
      <c r="Q117" s="58">
        <f t="shared" si="58"/>
        <v>-1.0827790028777933E-2</v>
      </c>
      <c r="R117" s="58">
        <f t="shared" si="59"/>
        <v>0.35463520686578454</v>
      </c>
      <c r="S117" s="57">
        <f t="shared" si="80"/>
        <v>-14013.2</v>
      </c>
      <c r="T117" s="58">
        <f t="shared" si="60"/>
        <v>-2.1067382579620503E-2</v>
      </c>
      <c r="U117" s="58">
        <f t="shared" si="61"/>
        <v>1.000498101789741</v>
      </c>
      <c r="V117" s="57">
        <f t="shared" si="80"/>
        <v>-28033.379999999997</v>
      </c>
      <c r="W117" s="58">
        <f t="shared" si="62"/>
        <v>-3.9464632971640802E-2</v>
      </c>
      <c r="X117" s="58">
        <f t="shared" si="63"/>
        <v>-0.55180609687451176</v>
      </c>
      <c r="Y117" s="57">
        <f t="shared" si="80"/>
        <v>-12564.39</v>
      </c>
      <c r="Z117" s="58">
        <f t="shared" si="64"/>
        <v>-2.3075257458178771E-2</v>
      </c>
      <c r="AA117" s="58">
        <f t="shared" si="65"/>
        <v>-4.9705556736140855E-2</v>
      </c>
      <c r="AB117" s="57">
        <f t="shared" si="80"/>
        <v>-11939.869999999999</v>
      </c>
      <c r="AC117" s="58">
        <f t="shared" si="66"/>
        <v>-2.8766117211784095E-2</v>
      </c>
      <c r="AD117" s="58">
        <f t="shared" si="67"/>
        <v>2.1951821921009191</v>
      </c>
      <c r="AE117" s="57">
        <f t="shared" si="80"/>
        <v>-38150.06</v>
      </c>
      <c r="AF117" s="58">
        <f t="shared" si="68"/>
        <v>-0.10762305146162311</v>
      </c>
      <c r="AG117" s="58">
        <f t="shared" si="69"/>
        <v>-0.73768350560916551</v>
      </c>
      <c r="AH117" s="57">
        <f t="shared" si="80"/>
        <v>-10007.39</v>
      </c>
      <c r="AI117" s="58">
        <f t="shared" si="70"/>
        <v>-3.0593582555997111E-2</v>
      </c>
      <c r="AJ117" s="58">
        <f t="shared" si="71"/>
        <v>0.77643621363812199</v>
      </c>
      <c r="AK117" s="57">
        <f t="shared" si="80"/>
        <v>-17777.490000000005</v>
      </c>
      <c r="AL117" s="58">
        <f t="shared" si="72"/>
        <v>-8.9263539608254561E-2</v>
      </c>
      <c r="AM117" s="57">
        <f>SUM(D117:AK117)</f>
        <v>-189161.62580574804</v>
      </c>
      <c r="AN117" s="58">
        <f t="shared" si="73"/>
        <v>-2.7232902462814006E-2</v>
      </c>
      <c r="AO117" s="64"/>
      <c r="AP117" s="64"/>
      <c r="AQ117" s="64"/>
      <c r="AR117" s="64"/>
      <c r="AS117" s="64"/>
      <c r="AT117" s="60"/>
      <c r="AU117" s="61"/>
      <c r="AV117" s="65"/>
      <c r="AW117" s="62"/>
      <c r="AX117" s="61"/>
      <c r="AY117" s="64"/>
      <c r="AZ117" s="64"/>
      <c r="BA117" s="64"/>
      <c r="BB117" s="64"/>
      <c r="BC117" s="60"/>
      <c r="BD117" s="61"/>
      <c r="BE117" s="65"/>
      <c r="BF117" s="62"/>
      <c r="BG117" s="61"/>
      <c r="BH117" s="64"/>
      <c r="BI117" s="64"/>
      <c r="BJ117" s="64"/>
      <c r="BK117" s="64"/>
      <c r="BL117" s="60"/>
      <c r="BM117" s="61"/>
      <c r="BN117" s="65"/>
      <c r="BO117" s="62"/>
      <c r="BP117" s="61"/>
      <c r="BQ117" s="64"/>
      <c r="BR117" s="64"/>
      <c r="BS117" s="64"/>
      <c r="BT117" s="64"/>
    </row>
    <row r="118" spans="1:72" s="74" customFormat="1" x14ac:dyDescent="0.25">
      <c r="A118" s="66" t="s">
        <v>439</v>
      </c>
      <c r="B118" s="67">
        <v>512203001</v>
      </c>
      <c r="C118" s="66" t="s">
        <v>440</v>
      </c>
      <c r="D118" s="68">
        <v>0</v>
      </c>
      <c r="E118" s="58">
        <f t="shared" si="50"/>
        <v>0</v>
      </c>
      <c r="F118" s="58">
        <f t="shared" si="51"/>
        <v>0</v>
      </c>
      <c r="G118" s="68">
        <v>0</v>
      </c>
      <c r="H118" s="58">
        <f t="shared" si="52"/>
        <v>0</v>
      </c>
      <c r="I118" s="58">
        <f t="shared" si="53"/>
        <v>0</v>
      </c>
      <c r="J118" s="68">
        <v>0</v>
      </c>
      <c r="K118" s="58">
        <f t="shared" si="54"/>
        <v>0</v>
      </c>
      <c r="L118" s="58">
        <f t="shared" si="55"/>
        <v>0</v>
      </c>
      <c r="M118" s="68">
        <v>0</v>
      </c>
      <c r="N118" s="58">
        <f t="shared" si="56"/>
        <v>0</v>
      </c>
      <c r="O118" s="58">
        <f t="shared" si="57"/>
        <v>0</v>
      </c>
      <c r="P118" s="68">
        <v>0</v>
      </c>
      <c r="Q118" s="58">
        <f t="shared" si="58"/>
        <v>0</v>
      </c>
      <c r="R118" s="58">
        <f t="shared" si="59"/>
        <v>0</v>
      </c>
      <c r="S118" s="68">
        <v>0</v>
      </c>
      <c r="T118" s="58">
        <f t="shared" si="60"/>
        <v>0</v>
      </c>
      <c r="U118" s="58">
        <f t="shared" si="61"/>
        <v>0</v>
      </c>
      <c r="V118" s="68">
        <v>0</v>
      </c>
      <c r="W118" s="58">
        <f t="shared" si="62"/>
        <v>0</v>
      </c>
      <c r="X118" s="58">
        <f t="shared" si="63"/>
        <v>0</v>
      </c>
      <c r="Y118" s="68">
        <v>0</v>
      </c>
      <c r="Z118" s="58">
        <f t="shared" si="64"/>
        <v>0</v>
      </c>
      <c r="AA118" s="58">
        <f t="shared" si="65"/>
        <v>0</v>
      </c>
      <c r="AB118" s="68">
        <v>0</v>
      </c>
      <c r="AC118" s="58">
        <f t="shared" si="66"/>
        <v>0</v>
      </c>
      <c r="AD118" s="58">
        <f t="shared" si="67"/>
        <v>0</v>
      </c>
      <c r="AE118" s="68">
        <v>0</v>
      </c>
      <c r="AF118" s="58">
        <f t="shared" si="68"/>
        <v>0</v>
      </c>
      <c r="AG118" s="58">
        <f t="shared" si="69"/>
        <v>0</v>
      </c>
      <c r="AH118" s="68">
        <v>-1030</v>
      </c>
      <c r="AI118" s="58">
        <f t="shared" si="70"/>
        <v>-3.1488120311766632E-3</v>
      </c>
      <c r="AJ118" s="58">
        <f t="shared" si="71"/>
        <v>-1</v>
      </c>
      <c r="AK118" s="68">
        <v>0</v>
      </c>
      <c r="AL118" s="58">
        <f t="shared" si="72"/>
        <v>0</v>
      </c>
      <c r="AM118" s="68">
        <f>SUM(D118:AK118)</f>
        <v>-1031.0031488120312</v>
      </c>
      <c r="AN118" s="58">
        <f t="shared" si="73"/>
        <v>-1.4842972548398861E-4</v>
      </c>
      <c r="AO118" s="73"/>
      <c r="AP118" s="73"/>
      <c r="AQ118" s="73"/>
      <c r="AR118" s="73"/>
      <c r="AS118" s="73"/>
      <c r="AT118" s="69"/>
      <c r="AU118" s="70"/>
      <c r="AV118" s="71"/>
      <c r="AW118" s="72"/>
      <c r="AX118" s="70"/>
      <c r="AY118" s="73"/>
      <c r="AZ118" s="73"/>
      <c r="BA118" s="73"/>
      <c r="BB118" s="73"/>
      <c r="BC118" s="69"/>
      <c r="BD118" s="70"/>
      <c r="BE118" s="71"/>
      <c r="BF118" s="72"/>
      <c r="BG118" s="70"/>
      <c r="BH118" s="73"/>
      <c r="BI118" s="73"/>
      <c r="BJ118" s="73"/>
      <c r="BK118" s="73"/>
      <c r="BL118" s="69"/>
      <c r="BM118" s="70"/>
      <c r="BN118" s="71"/>
      <c r="BO118" s="72"/>
      <c r="BP118" s="70"/>
      <c r="BQ118" s="73"/>
      <c r="BR118" s="73"/>
      <c r="BS118" s="73"/>
      <c r="BT118" s="73"/>
    </row>
    <row r="119" spans="1:72" s="74" customFormat="1" x14ac:dyDescent="0.25">
      <c r="A119" s="66" t="s">
        <v>441</v>
      </c>
      <c r="B119" s="67">
        <v>512203002</v>
      </c>
      <c r="C119" s="66" t="s">
        <v>442</v>
      </c>
      <c r="D119" s="68">
        <v>-5912.52</v>
      </c>
      <c r="E119" s="58">
        <f t="shared" si="50"/>
        <v>-9.91436466098756E-3</v>
      </c>
      <c r="F119" s="58">
        <f t="shared" si="51"/>
        <v>0.11936196410329258</v>
      </c>
      <c r="G119" s="68">
        <v>-6618.25</v>
      </c>
      <c r="H119" s="58">
        <f t="shared" si="52"/>
        <v>-8.9211037573870642E-3</v>
      </c>
      <c r="I119" s="58">
        <f t="shared" si="53"/>
        <v>-0.27486722320855217</v>
      </c>
      <c r="J119" s="68">
        <v>-4799.1099999999997</v>
      </c>
      <c r="K119" s="58">
        <f t="shared" si="54"/>
        <v>-6.7349778072200786E-3</v>
      </c>
      <c r="L119" s="58">
        <f t="shared" si="55"/>
        <v>0.49413745465305037</v>
      </c>
      <c r="M119" s="68">
        <v>-7170.53</v>
      </c>
      <c r="N119" s="58">
        <f t="shared" si="56"/>
        <v>-9.9029082636561475E-3</v>
      </c>
      <c r="O119" s="58">
        <f t="shared" si="57"/>
        <v>-0.28822137275766224</v>
      </c>
      <c r="P119" s="68">
        <v>-5103.83</v>
      </c>
      <c r="Q119" s="58">
        <f t="shared" si="58"/>
        <v>-5.3422113292188982E-3</v>
      </c>
      <c r="R119" s="58">
        <f t="shared" si="59"/>
        <v>0.72678165221020308</v>
      </c>
      <c r="S119" s="68">
        <v>-8813.2000000000007</v>
      </c>
      <c r="T119" s="58">
        <f t="shared" si="60"/>
        <v>-1.3249725697964164E-2</v>
      </c>
      <c r="U119" s="58">
        <f t="shared" si="61"/>
        <v>1.5908160486542906</v>
      </c>
      <c r="V119" s="68">
        <v>-22833.379999999997</v>
      </c>
      <c r="W119" s="58">
        <f t="shared" si="62"/>
        <v>-3.2144213833722637E-2</v>
      </c>
      <c r="X119" s="58">
        <f t="shared" si="63"/>
        <v>-0.6846546590999667</v>
      </c>
      <c r="Y119" s="68">
        <v>-7200.4</v>
      </c>
      <c r="Z119" s="58">
        <f t="shared" si="64"/>
        <v>-1.3223967403261951E-2</v>
      </c>
      <c r="AA119" s="58">
        <f t="shared" si="65"/>
        <v>-8.8402033220376652E-2</v>
      </c>
      <c r="AB119" s="68">
        <v>-6563.87</v>
      </c>
      <c r="AC119" s="58">
        <f t="shared" si="66"/>
        <v>-1.581399577909251E-2</v>
      </c>
      <c r="AD119" s="58">
        <f t="shared" si="67"/>
        <v>4.8121291250436098</v>
      </c>
      <c r="AE119" s="68">
        <v>-38150.06</v>
      </c>
      <c r="AF119" s="58">
        <f t="shared" si="68"/>
        <v>-0.10762305146162311</v>
      </c>
      <c r="AG119" s="58">
        <f t="shared" si="69"/>
        <v>-0.99250328833034596</v>
      </c>
      <c r="AH119" s="68">
        <v>-286</v>
      </c>
      <c r="AI119" s="58">
        <f t="shared" si="70"/>
        <v>-8.7433033098691809E-4</v>
      </c>
      <c r="AJ119" s="58">
        <f t="shared" si="71"/>
        <v>-0.32937062937061923</v>
      </c>
      <c r="AK119" s="68">
        <v>-191.80000000000291</v>
      </c>
      <c r="AL119" s="58">
        <f t="shared" si="72"/>
        <v>-9.6305760244351024E-4</v>
      </c>
      <c r="AM119" s="68">
        <f>SUM(D119:AK119)</f>
        <v>-113638.08853781162</v>
      </c>
      <c r="AN119" s="58">
        <f t="shared" si="73"/>
        <v>-1.6360057004314497E-2</v>
      </c>
      <c r="AO119" s="64"/>
      <c r="AP119" s="64"/>
      <c r="AQ119" s="73"/>
      <c r="AR119" s="73"/>
      <c r="AS119" s="73"/>
      <c r="AT119" s="69"/>
      <c r="AU119" s="70"/>
      <c r="AV119" s="71"/>
      <c r="AW119" s="72"/>
      <c r="AX119" s="70"/>
      <c r="AY119" s="73"/>
      <c r="AZ119" s="73"/>
      <c r="BA119" s="73"/>
      <c r="BB119" s="73"/>
      <c r="BC119" s="69"/>
      <c r="BD119" s="70"/>
      <c r="BE119" s="71"/>
      <c r="BF119" s="72"/>
      <c r="BG119" s="70"/>
      <c r="BH119" s="73"/>
      <c r="BI119" s="73"/>
      <c r="BJ119" s="73"/>
      <c r="BK119" s="73"/>
      <c r="BL119" s="69"/>
      <c r="BM119" s="70"/>
      <c r="BN119" s="71"/>
      <c r="BO119" s="72"/>
      <c r="BP119" s="70"/>
      <c r="BQ119" s="73"/>
      <c r="BR119" s="73"/>
      <c r="BS119" s="73"/>
      <c r="BT119" s="73"/>
    </row>
    <row r="120" spans="1:72" s="74" customFormat="1" x14ac:dyDescent="0.25">
      <c r="A120" s="66" t="s">
        <v>443</v>
      </c>
      <c r="B120" s="67">
        <v>512203003</v>
      </c>
      <c r="C120" s="66" t="s">
        <v>444</v>
      </c>
      <c r="D120" s="68">
        <v>-5200</v>
      </c>
      <c r="E120" s="58">
        <f t="shared" si="50"/>
        <v>-8.7195808618212387E-3</v>
      </c>
      <c r="F120" s="58">
        <f t="shared" si="51"/>
        <v>0.11538461538461542</v>
      </c>
      <c r="G120" s="68">
        <v>-5800</v>
      </c>
      <c r="H120" s="58">
        <f t="shared" si="52"/>
        <v>-7.818139507097038E-3</v>
      </c>
      <c r="I120" s="58">
        <f t="shared" si="53"/>
        <v>-0.10344827586206895</v>
      </c>
      <c r="J120" s="68">
        <v>-5200</v>
      </c>
      <c r="K120" s="58">
        <f t="shared" si="54"/>
        <v>-7.2975790506040515E-3</v>
      </c>
      <c r="L120" s="58">
        <f t="shared" si="55"/>
        <v>0</v>
      </c>
      <c r="M120" s="68">
        <v>-5200</v>
      </c>
      <c r="N120" s="58">
        <f t="shared" si="56"/>
        <v>-7.1814946692938964E-3</v>
      </c>
      <c r="O120" s="58">
        <f t="shared" si="57"/>
        <v>0</v>
      </c>
      <c r="P120" s="68">
        <v>-5200</v>
      </c>
      <c r="Q120" s="58">
        <f t="shared" si="58"/>
        <v>-5.4428730800082032E-3</v>
      </c>
      <c r="R120" s="58">
        <f t="shared" si="59"/>
        <v>0</v>
      </c>
      <c r="S120" s="68">
        <v>-5200</v>
      </c>
      <c r="T120" s="58">
        <f t="shared" si="60"/>
        <v>-7.8176568816563392E-3</v>
      </c>
      <c r="U120" s="58">
        <f t="shared" si="61"/>
        <v>0</v>
      </c>
      <c r="V120" s="68">
        <v>-5200</v>
      </c>
      <c r="W120" s="58">
        <f t="shared" si="62"/>
        <v>-7.3204191379181594E-3</v>
      </c>
      <c r="X120" s="58">
        <f t="shared" si="63"/>
        <v>0</v>
      </c>
      <c r="Y120" s="68">
        <v>-5200</v>
      </c>
      <c r="Z120" s="58">
        <f t="shared" si="64"/>
        <v>-9.550112562769034E-3</v>
      </c>
      <c r="AA120" s="58">
        <f t="shared" si="65"/>
        <v>3.3269230769230829E-2</v>
      </c>
      <c r="AB120" s="68">
        <v>-5373</v>
      </c>
      <c r="AC120" s="58">
        <f t="shared" si="66"/>
        <v>-1.294489368635638E-2</v>
      </c>
      <c r="AD120" s="58">
        <f t="shared" si="67"/>
        <v>-1</v>
      </c>
      <c r="AE120" s="68">
        <v>0</v>
      </c>
      <c r="AF120" s="58">
        <f t="shared" si="68"/>
        <v>0</v>
      </c>
      <c r="AG120" s="58">
        <f t="shared" si="69"/>
        <v>0</v>
      </c>
      <c r="AH120" s="68">
        <v>0</v>
      </c>
      <c r="AI120" s="58">
        <f t="shared" si="70"/>
        <v>0</v>
      </c>
      <c r="AJ120" s="58">
        <f t="shared" si="71"/>
        <v>0</v>
      </c>
      <c r="AK120" s="68">
        <v>0</v>
      </c>
      <c r="AL120" s="58">
        <f t="shared" si="72"/>
        <v>0</v>
      </c>
      <c r="AM120" s="68">
        <f>SUM(D120:AK120)</f>
        <v>-47574.028887179142</v>
      </c>
      <c r="AN120" s="58">
        <f t="shared" si="73"/>
        <v>-6.849057693012685E-3</v>
      </c>
      <c r="AO120" s="73"/>
      <c r="AP120" s="73"/>
      <c r="AQ120" s="64"/>
      <c r="AR120" s="64"/>
      <c r="AS120" s="64"/>
      <c r="AT120" s="69"/>
      <c r="AU120" s="70"/>
      <c r="AV120" s="71"/>
      <c r="AW120" s="72"/>
      <c r="AX120" s="70"/>
      <c r="AY120" s="73"/>
      <c r="AZ120" s="73"/>
      <c r="BA120" s="73"/>
      <c r="BB120" s="73"/>
      <c r="BC120" s="69"/>
      <c r="BD120" s="70"/>
      <c r="BE120" s="71"/>
      <c r="BF120" s="72"/>
      <c r="BG120" s="70"/>
      <c r="BH120" s="73"/>
      <c r="BI120" s="73"/>
      <c r="BJ120" s="73"/>
      <c r="BK120" s="73"/>
      <c r="BL120" s="69"/>
      <c r="BM120" s="70"/>
      <c r="BN120" s="71"/>
      <c r="BO120" s="72"/>
      <c r="BP120" s="70"/>
      <c r="BQ120" s="73"/>
      <c r="BR120" s="73"/>
      <c r="BS120" s="73"/>
      <c r="BT120" s="73"/>
    </row>
    <row r="121" spans="1:72" s="74" customFormat="1" x14ac:dyDescent="0.25">
      <c r="A121" s="66" t="s">
        <v>445</v>
      </c>
      <c r="B121" s="67">
        <v>512203004</v>
      </c>
      <c r="C121" s="66" t="s">
        <v>446</v>
      </c>
      <c r="D121" s="68">
        <v>-10.4</v>
      </c>
      <c r="E121" s="58">
        <f t="shared" si="50"/>
        <v>-1.7439161723642477E-5</v>
      </c>
      <c r="F121" s="58">
        <f t="shared" si="51"/>
        <v>22.531730769230766</v>
      </c>
      <c r="G121" s="68">
        <v>-244.73</v>
      </c>
      <c r="H121" s="58">
        <f t="shared" si="52"/>
        <v>-3.2988504854687207E-4</v>
      </c>
      <c r="I121" s="58">
        <f t="shared" si="53"/>
        <v>-0.88272790422097824</v>
      </c>
      <c r="J121" s="68">
        <v>-28.7</v>
      </c>
      <c r="K121" s="58">
        <f t="shared" si="54"/>
        <v>-4.0277022836987747E-5</v>
      </c>
      <c r="L121" s="58">
        <f t="shared" si="55"/>
        <v>4.2139372822299652</v>
      </c>
      <c r="M121" s="68">
        <v>-149.63999999999999</v>
      </c>
      <c r="N121" s="58">
        <f t="shared" si="56"/>
        <v>-2.0666131967560358E-4</v>
      </c>
      <c r="O121" s="58">
        <f t="shared" si="57"/>
        <v>-0.72734562951082604</v>
      </c>
      <c r="P121" s="68">
        <v>-40.799999999999997</v>
      </c>
      <c r="Q121" s="58">
        <f t="shared" si="58"/>
        <v>-4.2705619550833595E-5</v>
      </c>
      <c r="R121" s="58">
        <f t="shared" si="59"/>
        <v>-1</v>
      </c>
      <c r="S121" s="68">
        <v>0</v>
      </c>
      <c r="T121" s="58">
        <f t="shared" si="60"/>
        <v>0</v>
      </c>
      <c r="U121" s="58">
        <f t="shared" si="61"/>
        <v>0</v>
      </c>
      <c r="V121" s="68">
        <v>0</v>
      </c>
      <c r="W121" s="58">
        <f t="shared" si="62"/>
        <v>0</v>
      </c>
      <c r="X121" s="58">
        <f t="shared" si="63"/>
        <v>0</v>
      </c>
      <c r="Y121" s="68">
        <v>-163.99</v>
      </c>
      <c r="Z121" s="58">
        <f t="shared" si="64"/>
        <v>-3.0117749214778728E-4</v>
      </c>
      <c r="AA121" s="58">
        <f t="shared" si="65"/>
        <v>-0.98170620159765842</v>
      </c>
      <c r="AB121" s="68">
        <v>-3</v>
      </c>
      <c r="AC121" s="58">
        <f t="shared" si="66"/>
        <v>-7.2277463352073591E-6</v>
      </c>
      <c r="AD121" s="58">
        <f t="shared" si="67"/>
        <v>-1</v>
      </c>
      <c r="AE121" s="68">
        <v>0</v>
      </c>
      <c r="AF121" s="58">
        <f t="shared" si="68"/>
        <v>0</v>
      </c>
      <c r="AG121" s="58">
        <f t="shared" si="69"/>
        <v>0</v>
      </c>
      <c r="AH121" s="68">
        <v>0</v>
      </c>
      <c r="AI121" s="58">
        <f t="shared" si="70"/>
        <v>0</v>
      </c>
      <c r="AJ121" s="58">
        <f t="shared" si="71"/>
        <v>0</v>
      </c>
      <c r="AK121" s="68">
        <v>0</v>
      </c>
      <c r="AL121" s="58">
        <f t="shared" si="72"/>
        <v>0</v>
      </c>
      <c r="AM121" s="68">
        <f>SUM(D121:AK121)</f>
        <v>-619.10705705727946</v>
      </c>
      <c r="AN121" s="58">
        <f t="shared" si="73"/>
        <v>-8.9130562433389652E-5</v>
      </c>
      <c r="AO121" s="73"/>
      <c r="AP121" s="73"/>
      <c r="AQ121" s="73"/>
      <c r="AR121" s="73"/>
      <c r="AS121" s="73"/>
      <c r="AT121" s="69"/>
      <c r="AU121" s="70"/>
      <c r="AV121" s="71"/>
      <c r="AW121" s="72"/>
      <c r="AX121" s="70"/>
      <c r="AY121" s="73"/>
      <c r="AZ121" s="73"/>
      <c r="BA121" s="73"/>
      <c r="BB121" s="73"/>
      <c r="BC121" s="69"/>
      <c r="BD121" s="70"/>
      <c r="BE121" s="71"/>
      <c r="BF121" s="72"/>
      <c r="BG121" s="70"/>
      <c r="BH121" s="73"/>
      <c r="BI121" s="73"/>
      <c r="BJ121" s="73"/>
      <c r="BK121" s="73"/>
      <c r="BL121" s="69"/>
      <c r="BM121" s="70"/>
      <c r="BN121" s="71"/>
      <c r="BO121" s="72"/>
      <c r="BP121" s="70"/>
      <c r="BQ121" s="73"/>
      <c r="BR121" s="73"/>
      <c r="BS121" s="73"/>
      <c r="BT121" s="73"/>
    </row>
    <row r="122" spans="1:72" s="74" customFormat="1" x14ac:dyDescent="0.25">
      <c r="A122" s="66" t="s">
        <v>447</v>
      </c>
      <c r="B122" s="67">
        <v>512203099</v>
      </c>
      <c r="C122" s="66" t="s">
        <v>448</v>
      </c>
      <c r="D122" s="68">
        <v>0</v>
      </c>
      <c r="E122" s="58">
        <f t="shared" si="50"/>
        <v>0</v>
      </c>
      <c r="F122" s="58">
        <f t="shared" si="51"/>
        <v>0</v>
      </c>
      <c r="G122" s="68">
        <v>0</v>
      </c>
      <c r="H122" s="58">
        <f t="shared" si="52"/>
        <v>0</v>
      </c>
      <c r="I122" s="58">
        <f t="shared" si="53"/>
        <v>0</v>
      </c>
      <c r="J122" s="68">
        <v>0</v>
      </c>
      <c r="K122" s="58">
        <f t="shared" si="54"/>
        <v>0</v>
      </c>
      <c r="L122" s="58">
        <f t="shared" si="55"/>
        <v>0</v>
      </c>
      <c r="M122" s="68">
        <v>0</v>
      </c>
      <c r="N122" s="58">
        <f t="shared" si="56"/>
        <v>0</v>
      </c>
      <c r="O122" s="58">
        <f t="shared" si="57"/>
        <v>0</v>
      </c>
      <c r="P122" s="68">
        <v>0</v>
      </c>
      <c r="Q122" s="58">
        <f t="shared" si="58"/>
        <v>0</v>
      </c>
      <c r="R122" s="58">
        <f t="shared" si="59"/>
        <v>0</v>
      </c>
      <c r="S122" s="68">
        <v>0</v>
      </c>
      <c r="T122" s="58">
        <f t="shared" si="60"/>
        <v>0</v>
      </c>
      <c r="U122" s="58">
        <f t="shared" si="61"/>
        <v>0</v>
      </c>
      <c r="V122" s="68">
        <v>0</v>
      </c>
      <c r="W122" s="58">
        <f t="shared" si="62"/>
        <v>0</v>
      </c>
      <c r="X122" s="58">
        <f t="shared" si="63"/>
        <v>0</v>
      </c>
      <c r="Y122" s="68">
        <v>0</v>
      </c>
      <c r="Z122" s="58">
        <f t="shared" si="64"/>
        <v>0</v>
      </c>
      <c r="AA122" s="58">
        <f t="shared" si="65"/>
        <v>0</v>
      </c>
      <c r="AB122" s="68">
        <v>0</v>
      </c>
      <c r="AC122" s="58">
        <f t="shared" si="66"/>
        <v>0</v>
      </c>
      <c r="AD122" s="58">
        <f t="shared" si="67"/>
        <v>0</v>
      </c>
      <c r="AE122" s="68">
        <v>0</v>
      </c>
      <c r="AF122" s="58">
        <f t="shared" si="68"/>
        <v>0</v>
      </c>
      <c r="AG122" s="58">
        <f t="shared" si="69"/>
        <v>0</v>
      </c>
      <c r="AH122" s="68">
        <v>-8691.39</v>
      </c>
      <c r="AI122" s="58">
        <f t="shared" si="70"/>
        <v>-2.657044019383353E-2</v>
      </c>
      <c r="AJ122" s="58">
        <f t="shared" si="71"/>
        <v>1.0233460930875271</v>
      </c>
      <c r="AK122" s="68">
        <v>-17585.690000000002</v>
      </c>
      <c r="AL122" s="58">
        <f t="shared" si="72"/>
        <v>-8.8300482005811046E-2</v>
      </c>
      <c r="AM122" s="68">
        <f>SUM(D122:AK122)</f>
        <v>-26276.083224347109</v>
      </c>
      <c r="AN122" s="58">
        <f t="shared" si="73"/>
        <v>-3.7828709100240989E-3</v>
      </c>
      <c r="AO122" s="73"/>
      <c r="AP122" s="73"/>
      <c r="AQ122" s="73"/>
      <c r="AR122" s="73"/>
      <c r="AS122" s="73"/>
      <c r="AT122" s="60"/>
      <c r="AU122" s="61"/>
      <c r="AV122" s="65"/>
      <c r="AW122" s="62"/>
      <c r="AX122" s="61"/>
      <c r="AY122" s="64"/>
      <c r="AZ122" s="64"/>
      <c r="BA122" s="64"/>
      <c r="BB122" s="64"/>
      <c r="BC122" s="69"/>
      <c r="BD122" s="70"/>
      <c r="BE122" s="71"/>
      <c r="BF122" s="72"/>
      <c r="BG122" s="70"/>
      <c r="BH122" s="73"/>
      <c r="BI122" s="73"/>
      <c r="BJ122" s="73"/>
      <c r="BK122" s="73"/>
      <c r="BL122" s="69"/>
      <c r="BM122" s="70"/>
      <c r="BN122" s="71"/>
      <c r="BO122" s="72"/>
      <c r="BP122" s="70"/>
      <c r="BQ122" s="73"/>
      <c r="BR122" s="73"/>
      <c r="BS122" s="73"/>
      <c r="BT122" s="73"/>
    </row>
    <row r="123" spans="1:72" s="63" customFormat="1" x14ac:dyDescent="0.25">
      <c r="A123" s="55" t="s">
        <v>449</v>
      </c>
      <c r="B123" s="56">
        <v>512204</v>
      </c>
      <c r="C123" s="55" t="s">
        <v>450</v>
      </c>
      <c r="D123" s="57">
        <f>SUM(D124:D127)</f>
        <v>-8635.7899999999991</v>
      </c>
      <c r="E123" s="58">
        <f t="shared" si="50"/>
        <v>-1.4480859463597544E-2</v>
      </c>
      <c r="F123" s="58">
        <f t="shared" si="51"/>
        <v>-0.11534324016679409</v>
      </c>
      <c r="G123" s="57">
        <f t="shared" ref="G123:AK123" si="81">SUM(G124:G127)</f>
        <v>-7639.71</v>
      </c>
      <c r="H123" s="58">
        <f t="shared" si="52"/>
        <v>-1.0297985960993846E-2</v>
      </c>
      <c r="I123" s="58">
        <f t="shared" si="53"/>
        <v>0.11089164379276162</v>
      </c>
      <c r="J123" s="57">
        <f t="shared" si="81"/>
        <v>-8486.89</v>
      </c>
      <c r="K123" s="58">
        <f t="shared" si="54"/>
        <v>-1.1910336667073272E-2</v>
      </c>
      <c r="L123" s="58">
        <f t="shared" si="55"/>
        <v>-6.0467379687965672E-2</v>
      </c>
      <c r="M123" s="57">
        <f t="shared" si="81"/>
        <v>-7973.71</v>
      </c>
      <c r="N123" s="58">
        <f t="shared" si="56"/>
        <v>-1.1012145357595277E-2</v>
      </c>
      <c r="O123" s="58">
        <f t="shared" si="57"/>
        <v>-2.1069238785960342E-2</v>
      </c>
      <c r="P123" s="57">
        <f t="shared" si="81"/>
        <v>-7805.71</v>
      </c>
      <c r="Q123" s="58">
        <f t="shared" si="58"/>
        <v>-8.1702863133366992E-3</v>
      </c>
      <c r="R123" s="58">
        <f t="shared" si="59"/>
        <v>5.2461595421813279E-3</v>
      </c>
      <c r="S123" s="57">
        <f t="shared" si="81"/>
        <v>-7846.66</v>
      </c>
      <c r="T123" s="58">
        <f t="shared" si="60"/>
        <v>-1.1796633759041834E-2</v>
      </c>
      <c r="U123" s="58">
        <f t="shared" si="61"/>
        <v>-2.3704353189764826E-2</v>
      </c>
      <c r="V123" s="57">
        <f t="shared" si="81"/>
        <v>-7660.66</v>
      </c>
      <c r="W123" s="58">
        <f t="shared" si="62"/>
        <v>-1.0784469629439256E-2</v>
      </c>
      <c r="X123" s="58">
        <f t="shared" si="63"/>
        <v>2.0885928888633609E-2</v>
      </c>
      <c r="Y123" s="57">
        <f t="shared" si="81"/>
        <v>-7820.66</v>
      </c>
      <c r="Z123" s="58">
        <f t="shared" si="64"/>
        <v>-1.4363112175989476E-2</v>
      </c>
      <c r="AA123" s="58">
        <f t="shared" si="65"/>
        <v>8.8227847777553325E-2</v>
      </c>
      <c r="AB123" s="57">
        <f t="shared" si="81"/>
        <v>-8510.66</v>
      </c>
      <c r="AC123" s="58">
        <f t="shared" si="66"/>
        <v>-2.0504297208398622E-2</v>
      </c>
      <c r="AD123" s="58">
        <f t="shared" si="67"/>
        <v>-0.32782416404838166</v>
      </c>
      <c r="AE123" s="57">
        <f t="shared" si="81"/>
        <v>-5720.66</v>
      </c>
      <c r="AF123" s="58">
        <f t="shared" si="68"/>
        <v>-1.613824160628971E-2</v>
      </c>
      <c r="AG123" s="58">
        <f t="shared" si="69"/>
        <v>-3.3959368324633976E-2</v>
      </c>
      <c r="AH123" s="57">
        <f t="shared" si="81"/>
        <v>-5526.3899999999994</v>
      </c>
      <c r="AI123" s="58">
        <f t="shared" si="70"/>
        <v>-1.689472167084893E-2</v>
      </c>
      <c r="AJ123" s="58">
        <f t="shared" si="71"/>
        <v>-0.71124368710858321</v>
      </c>
      <c r="AK123" s="57">
        <f t="shared" si="81"/>
        <v>-1595.779999999997</v>
      </c>
      <c r="AL123" s="58">
        <f t="shared" si="72"/>
        <v>-8.0126593369513992E-3</v>
      </c>
      <c r="AM123" s="57">
        <f>SUM(D123:AK123)</f>
        <v>-85224.49471294113</v>
      </c>
      <c r="AN123" s="58">
        <f t="shared" si="73"/>
        <v>-1.2269456566965119E-2</v>
      </c>
      <c r="AO123" s="64"/>
      <c r="AP123" s="64"/>
      <c r="AQ123" s="64"/>
      <c r="AR123" s="64"/>
      <c r="AS123" s="64"/>
      <c r="AT123" s="60"/>
      <c r="AU123" s="61"/>
      <c r="AV123" s="65"/>
      <c r="AW123" s="62"/>
      <c r="AX123" s="61"/>
      <c r="AY123" s="64"/>
      <c r="AZ123" s="64"/>
      <c r="BA123" s="64"/>
      <c r="BB123" s="64"/>
      <c r="BC123" s="60"/>
      <c r="BD123" s="61"/>
      <c r="BE123" s="65"/>
      <c r="BF123" s="62"/>
      <c r="BG123" s="61"/>
      <c r="BH123" s="64"/>
      <c r="BI123" s="64"/>
      <c r="BJ123" s="64"/>
      <c r="BK123" s="64"/>
      <c r="BL123" s="60"/>
      <c r="BM123" s="61"/>
      <c r="BN123" s="65"/>
      <c r="BO123" s="62"/>
      <c r="BP123" s="61"/>
      <c r="BQ123" s="64"/>
      <c r="BR123" s="64"/>
      <c r="BS123" s="64"/>
      <c r="BT123" s="64"/>
    </row>
    <row r="124" spans="1:72" s="74" customFormat="1" x14ac:dyDescent="0.25">
      <c r="A124" s="66" t="s">
        <v>689</v>
      </c>
      <c r="B124" s="67">
        <v>512204002</v>
      </c>
      <c r="C124" s="66" t="s">
        <v>690</v>
      </c>
      <c r="D124" s="68">
        <v>0</v>
      </c>
      <c r="E124" s="58">
        <f t="shared" si="50"/>
        <v>0</v>
      </c>
      <c r="F124" s="58">
        <f t="shared" si="51"/>
        <v>0</v>
      </c>
      <c r="G124" s="68">
        <v>0</v>
      </c>
      <c r="H124" s="58">
        <f t="shared" si="52"/>
        <v>0</v>
      </c>
      <c r="I124" s="58">
        <f t="shared" si="53"/>
        <v>0</v>
      </c>
      <c r="J124" s="68">
        <v>0</v>
      </c>
      <c r="K124" s="58">
        <f t="shared" si="54"/>
        <v>0</v>
      </c>
      <c r="L124" s="58">
        <f t="shared" si="55"/>
        <v>0</v>
      </c>
      <c r="M124" s="68">
        <v>0</v>
      </c>
      <c r="N124" s="58">
        <f t="shared" si="56"/>
        <v>0</v>
      </c>
      <c r="O124" s="58">
        <f t="shared" si="57"/>
        <v>0</v>
      </c>
      <c r="P124" s="68">
        <v>0</v>
      </c>
      <c r="Q124" s="58">
        <f t="shared" si="58"/>
        <v>0</v>
      </c>
      <c r="R124" s="58">
        <f t="shared" si="59"/>
        <v>0</v>
      </c>
      <c r="S124" s="68">
        <v>0</v>
      </c>
      <c r="T124" s="58">
        <f t="shared" si="60"/>
        <v>0</v>
      </c>
      <c r="U124" s="58">
        <f t="shared" si="61"/>
        <v>0</v>
      </c>
      <c r="V124" s="68">
        <v>0</v>
      </c>
      <c r="W124" s="58">
        <f t="shared" si="62"/>
        <v>0</v>
      </c>
      <c r="X124" s="58">
        <f t="shared" si="63"/>
        <v>0</v>
      </c>
      <c r="Y124" s="68">
        <v>0</v>
      </c>
      <c r="Z124" s="58">
        <f t="shared" si="64"/>
        <v>0</v>
      </c>
      <c r="AA124" s="58">
        <f t="shared" si="65"/>
        <v>0</v>
      </c>
      <c r="AB124" s="68">
        <v>0</v>
      </c>
      <c r="AC124" s="58">
        <f t="shared" si="66"/>
        <v>0</v>
      </c>
      <c r="AD124" s="58">
        <f t="shared" si="67"/>
        <v>0</v>
      </c>
      <c r="AE124" s="68">
        <v>0</v>
      </c>
      <c r="AF124" s="58">
        <f t="shared" si="68"/>
        <v>0</v>
      </c>
      <c r="AG124" s="58">
        <f t="shared" si="69"/>
        <v>0</v>
      </c>
      <c r="AH124" s="68">
        <v>0</v>
      </c>
      <c r="AI124" s="58">
        <f t="shared" si="70"/>
        <v>0</v>
      </c>
      <c r="AJ124" s="58">
        <f t="shared" si="71"/>
        <v>0</v>
      </c>
      <c r="AK124" s="68">
        <v>-750</v>
      </c>
      <c r="AL124" s="58">
        <f t="shared" si="72"/>
        <v>-3.7658665371878087E-3</v>
      </c>
      <c r="AM124" s="68">
        <f>SUM(D124:AK124)</f>
        <v>-750</v>
      </c>
      <c r="AN124" s="58">
        <f t="shared" si="73"/>
        <v>-1.0797473726560591E-4</v>
      </c>
      <c r="AO124" s="64"/>
      <c r="AP124" s="64"/>
      <c r="AQ124" s="64"/>
      <c r="AR124" s="64"/>
      <c r="AS124" s="64"/>
      <c r="AT124" s="60"/>
      <c r="AU124" s="61"/>
      <c r="AV124" s="65"/>
      <c r="AW124" s="62"/>
      <c r="AX124" s="61"/>
      <c r="AY124" s="64"/>
      <c r="AZ124" s="64"/>
      <c r="BA124" s="64"/>
      <c r="BB124" s="64"/>
      <c r="BC124" s="69"/>
      <c r="BD124" s="70"/>
      <c r="BE124" s="71"/>
      <c r="BF124" s="72"/>
      <c r="BG124" s="70"/>
      <c r="BH124" s="73"/>
      <c r="BI124" s="73"/>
      <c r="BJ124" s="73"/>
      <c r="BK124" s="73"/>
      <c r="BL124" s="69"/>
      <c r="BM124" s="70"/>
      <c r="BN124" s="71"/>
      <c r="BO124" s="72"/>
      <c r="BP124" s="70"/>
      <c r="BQ124" s="73"/>
      <c r="BR124" s="73"/>
      <c r="BS124" s="73"/>
      <c r="BT124" s="73"/>
    </row>
    <row r="125" spans="1:72" s="74" customFormat="1" x14ac:dyDescent="0.25">
      <c r="A125" s="66" t="s">
        <v>451</v>
      </c>
      <c r="B125" s="67">
        <v>512204005</v>
      </c>
      <c r="C125" s="66" t="s">
        <v>452</v>
      </c>
      <c r="D125" s="68">
        <v>-472.83</v>
      </c>
      <c r="E125" s="58">
        <f t="shared" si="50"/>
        <v>-7.9286142671056463E-4</v>
      </c>
      <c r="F125" s="58">
        <f t="shared" si="51"/>
        <v>0</v>
      </c>
      <c r="G125" s="68">
        <v>-472.83</v>
      </c>
      <c r="H125" s="58">
        <f t="shared" si="52"/>
        <v>-6.3735360398977454E-4</v>
      </c>
      <c r="I125" s="58">
        <f t="shared" si="53"/>
        <v>0.1526552883700274</v>
      </c>
      <c r="J125" s="68">
        <v>-545.01</v>
      </c>
      <c r="K125" s="58">
        <f t="shared" si="54"/>
        <v>-7.648564535326374E-4</v>
      </c>
      <c r="L125" s="58">
        <f t="shared" si="55"/>
        <v>-0.13243793691858863</v>
      </c>
      <c r="M125" s="68">
        <v>-472.83</v>
      </c>
      <c r="N125" s="58">
        <f t="shared" si="56"/>
        <v>-6.5300502393889103E-4</v>
      </c>
      <c r="O125" s="58">
        <f t="shared" si="57"/>
        <v>0</v>
      </c>
      <c r="P125" s="68">
        <v>-472.83</v>
      </c>
      <c r="Q125" s="58">
        <f t="shared" si="58"/>
        <v>-4.9491416892697673E-4</v>
      </c>
      <c r="R125" s="58">
        <f t="shared" si="59"/>
        <v>8.6606179810925665E-2</v>
      </c>
      <c r="S125" s="68">
        <v>-513.78</v>
      </c>
      <c r="T125" s="58">
        <f t="shared" si="60"/>
        <v>-7.7241456781872956E-4</v>
      </c>
      <c r="U125" s="58">
        <f t="shared" si="61"/>
        <v>0</v>
      </c>
      <c r="V125" s="68">
        <v>-513.78</v>
      </c>
      <c r="W125" s="58">
        <f t="shared" si="62"/>
        <v>-7.2328556628453689E-4</v>
      </c>
      <c r="X125" s="58">
        <f t="shared" si="63"/>
        <v>0</v>
      </c>
      <c r="Y125" s="68">
        <v>-513.78</v>
      </c>
      <c r="Z125" s="58">
        <f t="shared" si="64"/>
        <v>-9.4358785240374499E-4</v>
      </c>
      <c r="AA125" s="58">
        <f t="shared" si="65"/>
        <v>0</v>
      </c>
      <c r="AB125" s="68">
        <v>-513.78</v>
      </c>
      <c r="AC125" s="58">
        <f t="shared" si="66"/>
        <v>-1.2378238373676122E-3</v>
      </c>
      <c r="AD125" s="58">
        <f t="shared" si="67"/>
        <v>0</v>
      </c>
      <c r="AE125" s="68">
        <v>-513.78</v>
      </c>
      <c r="AF125" s="58">
        <f t="shared" si="68"/>
        <v>-1.4493967081559693E-3</v>
      </c>
      <c r="AG125" s="58">
        <f t="shared" si="69"/>
        <v>1</v>
      </c>
      <c r="AH125" s="68">
        <v>-1027.56</v>
      </c>
      <c r="AI125" s="58">
        <f t="shared" si="70"/>
        <v>-3.1413527094717396E-3</v>
      </c>
      <c r="AJ125" s="58">
        <f t="shared" si="71"/>
        <v>-0.49999999999999933</v>
      </c>
      <c r="AK125" s="68">
        <v>-513.78000000000065</v>
      </c>
      <c r="AL125" s="58">
        <f t="shared" si="72"/>
        <v>-2.5797692126351395E-3</v>
      </c>
      <c r="AM125" s="68">
        <f>SUM(D125:AK125)</f>
        <v>-6545.974787320657</v>
      </c>
      <c r="AN125" s="58">
        <f t="shared" si="73"/>
        <v>-9.4239987707763796E-4</v>
      </c>
      <c r="AO125" s="73"/>
      <c r="AP125" s="73"/>
      <c r="AQ125" s="64"/>
      <c r="AR125" s="64"/>
      <c r="AS125" s="64"/>
      <c r="AT125" s="69"/>
      <c r="AU125" s="70"/>
      <c r="AV125" s="71"/>
      <c r="AW125" s="72"/>
      <c r="AX125" s="70"/>
      <c r="AY125" s="73"/>
      <c r="AZ125" s="73"/>
      <c r="BA125" s="73"/>
      <c r="BB125" s="73"/>
      <c r="BC125" s="60"/>
      <c r="BD125" s="61"/>
      <c r="BE125" s="65"/>
      <c r="BF125" s="62"/>
      <c r="BG125" s="61"/>
      <c r="BH125" s="64"/>
      <c r="BI125" s="64"/>
      <c r="BJ125" s="64"/>
      <c r="BK125" s="64"/>
      <c r="BL125" s="60"/>
      <c r="BM125" s="61"/>
      <c r="BN125" s="65"/>
      <c r="BO125" s="62"/>
      <c r="BP125" s="61"/>
      <c r="BQ125" s="64"/>
      <c r="BR125" s="64"/>
      <c r="BS125" s="64"/>
      <c r="BT125" s="64"/>
    </row>
    <row r="126" spans="1:72" s="74" customFormat="1" x14ac:dyDescent="0.25">
      <c r="A126" s="66" t="s">
        <v>453</v>
      </c>
      <c r="B126" s="67">
        <v>512204018</v>
      </c>
      <c r="C126" s="66" t="s">
        <v>454</v>
      </c>
      <c r="D126" s="68">
        <v>-1196.06</v>
      </c>
      <c r="E126" s="58">
        <f t="shared" si="50"/>
        <v>-2.0056042087672906E-3</v>
      </c>
      <c r="F126" s="58">
        <f t="shared" si="51"/>
        <v>3.4128722639332532E-2</v>
      </c>
      <c r="G126" s="68">
        <v>-1236.8800000000001</v>
      </c>
      <c r="H126" s="58">
        <f t="shared" si="52"/>
        <v>-1.6672586885410664E-3</v>
      </c>
      <c r="I126" s="58">
        <f t="shared" si="53"/>
        <v>0</v>
      </c>
      <c r="J126" s="68">
        <v>-1236.8800000000001</v>
      </c>
      <c r="K126" s="58">
        <f t="shared" si="54"/>
        <v>-1.7358133800213732E-3</v>
      </c>
      <c r="L126" s="58">
        <f t="shared" si="55"/>
        <v>0</v>
      </c>
      <c r="M126" s="68">
        <v>-1236.8800000000001</v>
      </c>
      <c r="N126" s="58">
        <f t="shared" si="56"/>
        <v>-1.7082013704915837E-3</v>
      </c>
      <c r="O126" s="58">
        <f t="shared" si="57"/>
        <v>0.15037837138606824</v>
      </c>
      <c r="P126" s="68">
        <v>-1422.88</v>
      </c>
      <c r="Q126" s="58">
        <f t="shared" si="58"/>
        <v>-1.489337547708091E-3</v>
      </c>
      <c r="R126" s="58">
        <f t="shared" si="59"/>
        <v>0</v>
      </c>
      <c r="S126" s="68">
        <v>-1422.88</v>
      </c>
      <c r="T126" s="58">
        <f t="shared" si="60"/>
        <v>-2.139151466109841E-3</v>
      </c>
      <c r="U126" s="58">
        <f t="shared" si="61"/>
        <v>-0.13072079163386929</v>
      </c>
      <c r="V126" s="68">
        <v>-1236.8800000000001</v>
      </c>
      <c r="W126" s="58">
        <f t="shared" si="62"/>
        <v>-1.7412461583285028E-3</v>
      </c>
      <c r="X126" s="58">
        <f t="shared" si="63"/>
        <v>0.1293577388267253</v>
      </c>
      <c r="Y126" s="68">
        <v>-1396.88</v>
      </c>
      <c r="Z126" s="58">
        <f t="shared" si="64"/>
        <v>-2.5654540839770788E-3</v>
      </c>
      <c r="AA126" s="58">
        <f t="shared" si="65"/>
        <v>0.4939579634614284</v>
      </c>
      <c r="AB126" s="68">
        <v>-2086.88</v>
      </c>
      <c r="AC126" s="58">
        <f t="shared" si="66"/>
        <v>-5.0278130906725119E-3</v>
      </c>
      <c r="AD126" s="58">
        <f t="shared" si="67"/>
        <v>-0.40730660124204554</v>
      </c>
      <c r="AE126" s="68">
        <v>-1236.8800000000001</v>
      </c>
      <c r="AF126" s="58">
        <f t="shared" si="68"/>
        <v>-3.489294640476382E-3</v>
      </c>
      <c r="AG126" s="58">
        <f t="shared" si="69"/>
        <v>-1</v>
      </c>
      <c r="AH126" s="68">
        <v>0</v>
      </c>
      <c r="AI126" s="58">
        <f t="shared" si="70"/>
        <v>0</v>
      </c>
      <c r="AJ126" s="58">
        <f t="shared" si="71"/>
        <v>0</v>
      </c>
      <c r="AK126" s="68">
        <v>-331.99999999999636</v>
      </c>
      <c r="AL126" s="58">
        <f t="shared" si="72"/>
        <v>-1.6670235871284517E-3</v>
      </c>
      <c r="AM126" s="68">
        <f>SUM(D126:AK126)</f>
        <v>-14042.733773771199</v>
      </c>
      <c r="AN126" s="58">
        <f t="shared" si="73"/>
        <v>-2.0216806529517279E-3</v>
      </c>
      <c r="AO126" s="64"/>
      <c r="AP126" s="64"/>
      <c r="AQ126" s="73"/>
      <c r="AR126" s="73"/>
      <c r="AS126" s="73"/>
      <c r="AT126" s="69"/>
      <c r="AU126" s="70"/>
      <c r="AV126" s="71"/>
      <c r="AW126" s="72"/>
      <c r="AX126" s="70"/>
      <c r="AY126" s="73"/>
      <c r="AZ126" s="73"/>
      <c r="BA126" s="73"/>
      <c r="BB126" s="73"/>
      <c r="BC126" s="69"/>
      <c r="BD126" s="70"/>
      <c r="BE126" s="71"/>
      <c r="BF126" s="72"/>
      <c r="BG126" s="70"/>
      <c r="BH126" s="73"/>
      <c r="BI126" s="73"/>
      <c r="BJ126" s="73"/>
      <c r="BK126" s="73"/>
      <c r="BL126" s="69"/>
      <c r="BM126" s="70"/>
      <c r="BN126" s="71"/>
      <c r="BO126" s="72"/>
      <c r="BP126" s="70"/>
      <c r="BQ126" s="73"/>
      <c r="BR126" s="73"/>
      <c r="BS126" s="73"/>
      <c r="BT126" s="73"/>
    </row>
    <row r="127" spans="1:72" s="74" customFormat="1" x14ac:dyDescent="0.25">
      <c r="A127" s="66" t="s">
        <v>455</v>
      </c>
      <c r="B127" s="67">
        <v>512204099</v>
      </c>
      <c r="C127" s="66" t="s">
        <v>456</v>
      </c>
      <c r="D127" s="68">
        <v>-6966.9</v>
      </c>
      <c r="E127" s="58">
        <f t="shared" si="50"/>
        <v>-1.168239382811969E-2</v>
      </c>
      <c r="F127" s="58">
        <f t="shared" si="51"/>
        <v>-0.14883233575908938</v>
      </c>
      <c r="G127" s="68">
        <v>-5930</v>
      </c>
      <c r="H127" s="58">
        <f t="shared" si="52"/>
        <v>-7.9933736684630052E-3</v>
      </c>
      <c r="I127" s="58">
        <f t="shared" si="53"/>
        <v>0.13069139966273191</v>
      </c>
      <c r="J127" s="68">
        <v>-6705</v>
      </c>
      <c r="K127" s="58">
        <f t="shared" si="54"/>
        <v>-9.4096668335192628E-3</v>
      </c>
      <c r="L127" s="58">
        <f t="shared" si="55"/>
        <v>-6.5771812080536951E-2</v>
      </c>
      <c r="M127" s="68">
        <v>-6264</v>
      </c>
      <c r="N127" s="58">
        <f t="shared" si="56"/>
        <v>-8.6509389631648018E-3</v>
      </c>
      <c r="O127" s="58">
        <f t="shared" si="57"/>
        <v>-5.6513409961685857E-2</v>
      </c>
      <c r="P127" s="68">
        <v>-5910</v>
      </c>
      <c r="Q127" s="58">
        <f t="shared" si="58"/>
        <v>-6.1860345967016317E-3</v>
      </c>
      <c r="R127" s="58">
        <f t="shared" si="59"/>
        <v>0</v>
      </c>
      <c r="S127" s="68">
        <v>-5910</v>
      </c>
      <c r="T127" s="58">
        <f t="shared" si="60"/>
        <v>-8.8850677251132628E-3</v>
      </c>
      <c r="U127" s="58">
        <f t="shared" si="61"/>
        <v>0</v>
      </c>
      <c r="V127" s="68">
        <v>-5910</v>
      </c>
      <c r="W127" s="58">
        <f t="shared" si="62"/>
        <v>-8.3199379048262169E-3</v>
      </c>
      <c r="X127" s="58">
        <f t="shared" si="63"/>
        <v>0</v>
      </c>
      <c r="Y127" s="68">
        <v>-5910</v>
      </c>
      <c r="Z127" s="58">
        <f t="shared" si="64"/>
        <v>-1.0854070239608653E-2</v>
      </c>
      <c r="AA127" s="58">
        <f t="shared" si="65"/>
        <v>0</v>
      </c>
      <c r="AB127" s="68">
        <v>-5910</v>
      </c>
      <c r="AC127" s="58">
        <f t="shared" si="66"/>
        <v>-1.4238660280358497E-2</v>
      </c>
      <c r="AD127" s="58">
        <f t="shared" si="67"/>
        <v>-0.32825719120135366</v>
      </c>
      <c r="AE127" s="68">
        <v>-3970</v>
      </c>
      <c r="AF127" s="58">
        <f t="shared" si="68"/>
        <v>-1.119955025765736E-2</v>
      </c>
      <c r="AG127" s="58">
        <f t="shared" si="69"/>
        <v>0.13320654911838781</v>
      </c>
      <c r="AH127" s="68">
        <v>-4498.83</v>
      </c>
      <c r="AI127" s="58">
        <f t="shared" si="70"/>
        <v>-1.3753368961377192E-2</v>
      </c>
      <c r="AJ127" s="58">
        <f t="shared" si="71"/>
        <v>-1</v>
      </c>
      <c r="AK127" s="68">
        <v>0</v>
      </c>
      <c r="AL127" s="58">
        <f t="shared" si="72"/>
        <v>0</v>
      </c>
      <c r="AM127" s="68">
        <f>SUM(D127:AK127)</f>
        <v>-63886.176649863497</v>
      </c>
      <c r="AN127" s="58">
        <f t="shared" si="73"/>
        <v>-9.1974575182307977E-3</v>
      </c>
      <c r="AO127" s="73"/>
      <c r="AP127" s="73"/>
      <c r="AQ127" s="64"/>
      <c r="AR127" s="64"/>
      <c r="AS127" s="64"/>
      <c r="AT127" s="69"/>
      <c r="AU127" s="70"/>
      <c r="AV127" s="71"/>
      <c r="AW127" s="72"/>
      <c r="AX127" s="70"/>
      <c r="AY127" s="73"/>
      <c r="AZ127" s="73"/>
      <c r="BA127" s="73"/>
      <c r="BB127" s="73"/>
      <c r="BC127" s="69"/>
      <c r="BD127" s="70"/>
      <c r="BE127" s="71"/>
      <c r="BF127" s="72"/>
      <c r="BG127" s="70"/>
      <c r="BH127" s="73"/>
      <c r="BI127" s="73"/>
      <c r="BJ127" s="73"/>
      <c r="BK127" s="73"/>
      <c r="BL127" s="69"/>
      <c r="BM127" s="70"/>
      <c r="BN127" s="71"/>
      <c r="BO127" s="72"/>
      <c r="BP127" s="70"/>
      <c r="BQ127" s="73"/>
      <c r="BR127" s="73"/>
      <c r="BS127" s="73"/>
      <c r="BT127" s="73"/>
    </row>
    <row r="128" spans="1:72" s="63" customFormat="1" x14ac:dyDescent="0.25">
      <c r="A128" s="55" t="s">
        <v>457</v>
      </c>
      <c r="B128" s="56">
        <v>512205</v>
      </c>
      <c r="C128" s="55" t="s">
        <v>458</v>
      </c>
      <c r="D128" s="57">
        <f>SUM(D129:D131)</f>
        <v>-232</v>
      </c>
      <c r="E128" s="58">
        <f t="shared" si="50"/>
        <v>-3.890274538351014E-4</v>
      </c>
      <c r="F128" s="58">
        <f t="shared" si="51"/>
        <v>14.503103448275862</v>
      </c>
      <c r="G128" s="57">
        <f t="shared" ref="G128:AE128" si="82">SUM(G129:G131)</f>
        <v>-3596.72</v>
      </c>
      <c r="H128" s="58">
        <f t="shared" si="52"/>
        <v>-4.8482170220631128E-3</v>
      </c>
      <c r="I128" s="58">
        <f t="shared" si="53"/>
        <v>-1</v>
      </c>
      <c r="J128" s="57">
        <f t="shared" si="82"/>
        <v>0</v>
      </c>
      <c r="K128" s="58">
        <f t="shared" si="54"/>
        <v>0</v>
      </c>
      <c r="L128" s="58">
        <f t="shared" si="55"/>
        <v>0</v>
      </c>
      <c r="M128" s="57">
        <f t="shared" si="82"/>
        <v>-249</v>
      </c>
      <c r="N128" s="58">
        <f t="shared" si="56"/>
        <v>-3.4388311012580389E-4</v>
      </c>
      <c r="O128" s="58">
        <f t="shared" si="57"/>
        <v>0</v>
      </c>
      <c r="P128" s="57">
        <f t="shared" si="82"/>
        <v>-249</v>
      </c>
      <c r="Q128" s="58">
        <f t="shared" si="58"/>
        <v>-2.6062988402346973E-4</v>
      </c>
      <c r="R128" s="58">
        <f t="shared" si="59"/>
        <v>-1</v>
      </c>
      <c r="S128" s="57">
        <f t="shared" si="82"/>
        <v>0</v>
      </c>
      <c r="T128" s="58">
        <f t="shared" si="60"/>
        <v>0</v>
      </c>
      <c r="U128" s="58">
        <f t="shared" si="61"/>
        <v>0</v>
      </c>
      <c r="V128" s="57">
        <f t="shared" si="82"/>
        <v>0</v>
      </c>
      <c r="W128" s="58">
        <f t="shared" si="62"/>
        <v>0</v>
      </c>
      <c r="X128" s="58">
        <f t="shared" si="63"/>
        <v>0</v>
      </c>
      <c r="Y128" s="57">
        <f t="shared" si="82"/>
        <v>0</v>
      </c>
      <c r="Z128" s="58">
        <f t="shared" si="64"/>
        <v>0</v>
      </c>
      <c r="AA128" s="58">
        <f t="shared" si="65"/>
        <v>0</v>
      </c>
      <c r="AB128" s="57">
        <f t="shared" si="82"/>
        <v>0</v>
      </c>
      <c r="AC128" s="58">
        <f t="shared" si="66"/>
        <v>0</v>
      </c>
      <c r="AD128" s="58">
        <f t="shared" si="67"/>
        <v>0</v>
      </c>
      <c r="AE128" s="57">
        <f t="shared" si="82"/>
        <v>-210</v>
      </c>
      <c r="AF128" s="58">
        <f t="shared" si="68"/>
        <v>-5.9241953503981004E-4</v>
      </c>
      <c r="AG128" s="58">
        <f t="shared" si="69"/>
        <v>-0.60071428571428576</v>
      </c>
      <c r="AH128" s="57">
        <f t="shared" ref="AH128" si="83">SUM(AH129:AH131)</f>
        <v>-83.85</v>
      </c>
      <c r="AI128" s="58">
        <f t="shared" si="70"/>
        <v>-2.563377561302555E-4</v>
      </c>
      <c r="AJ128" s="58">
        <f t="shared" si="71"/>
        <v>-7.7519379844958047E-3</v>
      </c>
      <c r="AK128" s="57">
        <f t="shared" ref="AK128" si="84">SUM(AK129:AK131)</f>
        <v>-83.200000000000017</v>
      </c>
      <c r="AL128" s="58">
        <f t="shared" si="72"/>
        <v>-4.1776012785870099E-4</v>
      </c>
      <c r="AM128" s="57">
        <f>SUM(D128:AK128)</f>
        <v>-4691.8820532901846</v>
      </c>
      <c r="AN128" s="58">
        <f t="shared" si="73"/>
        <v>-6.7547297598029234E-4</v>
      </c>
      <c r="AO128" s="64"/>
      <c r="AP128" s="64"/>
      <c r="AQ128" s="64"/>
      <c r="AR128" s="64"/>
      <c r="AS128" s="64"/>
      <c r="AT128" s="60"/>
      <c r="AU128" s="61"/>
      <c r="AV128" s="65"/>
      <c r="AW128" s="62"/>
      <c r="AX128" s="61"/>
      <c r="AY128" s="64"/>
      <c r="AZ128" s="64"/>
      <c r="BA128" s="64"/>
      <c r="BB128" s="64"/>
      <c r="BC128" s="60"/>
      <c r="BD128" s="61"/>
      <c r="BE128" s="65"/>
      <c r="BF128" s="62"/>
      <c r="BG128" s="61"/>
      <c r="BH128" s="64"/>
      <c r="BI128" s="64"/>
      <c r="BJ128" s="64"/>
      <c r="BK128" s="64"/>
      <c r="BL128" s="60"/>
      <c r="BM128" s="61"/>
      <c r="BN128" s="65"/>
      <c r="BO128" s="62"/>
      <c r="BP128" s="61"/>
      <c r="BQ128" s="64"/>
      <c r="BR128" s="64"/>
      <c r="BS128" s="64"/>
      <c r="BT128" s="64"/>
    </row>
    <row r="129" spans="1:72" s="74" customFormat="1" x14ac:dyDescent="0.25">
      <c r="A129" s="66" t="s">
        <v>459</v>
      </c>
      <c r="B129" s="67">
        <v>512205002</v>
      </c>
      <c r="C129" s="66" t="s">
        <v>460</v>
      </c>
      <c r="D129" s="68">
        <v>0</v>
      </c>
      <c r="E129" s="58">
        <f t="shared" si="50"/>
        <v>0</v>
      </c>
      <c r="F129" s="58">
        <f t="shared" si="51"/>
        <v>0</v>
      </c>
      <c r="G129" s="68">
        <v>0</v>
      </c>
      <c r="H129" s="58">
        <f t="shared" si="52"/>
        <v>0</v>
      </c>
      <c r="I129" s="58">
        <f t="shared" si="53"/>
        <v>0</v>
      </c>
      <c r="J129" s="68">
        <v>0</v>
      </c>
      <c r="K129" s="58">
        <f t="shared" si="54"/>
        <v>0</v>
      </c>
      <c r="L129" s="58">
        <f t="shared" si="55"/>
        <v>0</v>
      </c>
      <c r="M129" s="68">
        <v>0</v>
      </c>
      <c r="N129" s="58">
        <f t="shared" si="56"/>
        <v>0</v>
      </c>
      <c r="O129" s="58">
        <f t="shared" si="57"/>
        <v>0</v>
      </c>
      <c r="P129" s="68">
        <v>0</v>
      </c>
      <c r="Q129" s="58">
        <f t="shared" si="58"/>
        <v>0</v>
      </c>
      <c r="R129" s="58">
        <f t="shared" si="59"/>
        <v>0</v>
      </c>
      <c r="S129" s="68">
        <v>0</v>
      </c>
      <c r="T129" s="58">
        <f t="shared" si="60"/>
        <v>0</v>
      </c>
      <c r="U129" s="58">
        <f t="shared" si="61"/>
        <v>0</v>
      </c>
      <c r="V129" s="68">
        <v>0</v>
      </c>
      <c r="W129" s="58">
        <f t="shared" si="62"/>
        <v>0</v>
      </c>
      <c r="X129" s="58">
        <f t="shared" si="63"/>
        <v>0</v>
      </c>
      <c r="Y129" s="68">
        <v>0</v>
      </c>
      <c r="Z129" s="58">
        <f t="shared" si="64"/>
        <v>0</v>
      </c>
      <c r="AA129" s="58">
        <f t="shared" si="65"/>
        <v>0</v>
      </c>
      <c r="AB129" s="68">
        <v>0</v>
      </c>
      <c r="AC129" s="58">
        <f t="shared" si="66"/>
        <v>0</v>
      </c>
      <c r="AD129" s="58">
        <f t="shared" si="67"/>
        <v>0</v>
      </c>
      <c r="AE129" s="68">
        <v>0</v>
      </c>
      <c r="AF129" s="58">
        <f t="shared" si="68"/>
        <v>0</v>
      </c>
      <c r="AG129" s="58">
        <f t="shared" si="69"/>
        <v>0</v>
      </c>
      <c r="AH129" s="68">
        <v>-83.85</v>
      </c>
      <c r="AI129" s="58">
        <f t="shared" si="70"/>
        <v>-2.563377561302555E-4</v>
      </c>
      <c r="AJ129" s="58">
        <f t="shared" si="71"/>
        <v>-7.7519379844958047E-3</v>
      </c>
      <c r="AK129" s="68">
        <v>-83.200000000000017</v>
      </c>
      <c r="AL129" s="58">
        <f t="shared" si="72"/>
        <v>-4.1776012785870099E-4</v>
      </c>
      <c r="AM129" s="68">
        <f>SUM(D129:AK129)</f>
        <v>-167.05800827574063</v>
      </c>
      <c r="AN129" s="58">
        <f t="shared" si="73"/>
        <v>-2.4050726068918017E-5</v>
      </c>
      <c r="AO129" s="73"/>
      <c r="AP129" s="73"/>
      <c r="AQ129" s="73"/>
      <c r="AR129" s="73"/>
      <c r="AS129" s="73"/>
      <c r="AT129" s="60"/>
      <c r="AU129" s="61"/>
      <c r="AV129" s="65"/>
      <c r="AW129" s="62"/>
      <c r="AX129" s="61"/>
      <c r="AY129" s="64"/>
      <c r="AZ129" s="64"/>
      <c r="BA129" s="64"/>
      <c r="BB129" s="64"/>
      <c r="BC129" s="60"/>
      <c r="BD129" s="61"/>
      <c r="BE129" s="65"/>
      <c r="BF129" s="62"/>
      <c r="BG129" s="61"/>
      <c r="BH129" s="64"/>
      <c r="BI129" s="64"/>
      <c r="BJ129" s="64"/>
      <c r="BK129" s="64"/>
      <c r="BL129" s="60"/>
      <c r="BM129" s="61"/>
      <c r="BN129" s="65"/>
      <c r="BO129" s="62"/>
      <c r="BP129" s="61"/>
      <c r="BQ129" s="64"/>
      <c r="BR129" s="64"/>
      <c r="BS129" s="64"/>
      <c r="BT129" s="64"/>
    </row>
    <row r="130" spans="1:72" s="74" customFormat="1" x14ac:dyDescent="0.25">
      <c r="A130" s="66" t="s">
        <v>691</v>
      </c>
      <c r="B130" s="67">
        <v>512205006</v>
      </c>
      <c r="C130" s="66" t="s">
        <v>692</v>
      </c>
      <c r="D130" s="68">
        <v>0</v>
      </c>
      <c r="E130" s="58">
        <f t="shared" si="50"/>
        <v>0</v>
      </c>
      <c r="F130" s="58">
        <f t="shared" si="51"/>
        <v>0</v>
      </c>
      <c r="G130" s="68">
        <v>-3364.72</v>
      </c>
      <c r="H130" s="58">
        <f t="shared" si="52"/>
        <v>-4.5354914417792313E-3</v>
      </c>
      <c r="I130" s="58">
        <f t="shared" si="53"/>
        <v>-1</v>
      </c>
      <c r="J130" s="68">
        <v>0</v>
      </c>
      <c r="K130" s="58">
        <f t="shared" si="54"/>
        <v>0</v>
      </c>
      <c r="L130" s="58">
        <f t="shared" si="55"/>
        <v>0</v>
      </c>
      <c r="M130" s="68">
        <v>0</v>
      </c>
      <c r="N130" s="58">
        <f t="shared" si="56"/>
        <v>0</v>
      </c>
      <c r="O130" s="58">
        <f t="shared" si="57"/>
        <v>0</v>
      </c>
      <c r="P130" s="68">
        <v>0</v>
      </c>
      <c r="Q130" s="58">
        <f t="shared" si="58"/>
        <v>0</v>
      </c>
      <c r="R130" s="58">
        <f t="shared" si="59"/>
        <v>0</v>
      </c>
      <c r="S130" s="68">
        <v>0</v>
      </c>
      <c r="T130" s="58">
        <f t="shared" si="60"/>
        <v>0</v>
      </c>
      <c r="U130" s="58">
        <f t="shared" si="61"/>
        <v>0</v>
      </c>
      <c r="V130" s="68">
        <v>0</v>
      </c>
      <c r="W130" s="58">
        <f t="shared" si="62"/>
        <v>0</v>
      </c>
      <c r="X130" s="58">
        <f t="shared" si="63"/>
        <v>0</v>
      </c>
      <c r="Y130" s="68">
        <v>0</v>
      </c>
      <c r="Z130" s="58">
        <f t="shared" si="64"/>
        <v>0</v>
      </c>
      <c r="AA130" s="58">
        <f t="shared" si="65"/>
        <v>0</v>
      </c>
      <c r="AB130" s="68">
        <v>0</v>
      </c>
      <c r="AC130" s="58">
        <f t="shared" si="66"/>
        <v>0</v>
      </c>
      <c r="AD130" s="58">
        <f t="shared" si="67"/>
        <v>0</v>
      </c>
      <c r="AE130" s="68">
        <v>0</v>
      </c>
      <c r="AF130" s="58">
        <f t="shared" si="68"/>
        <v>0</v>
      </c>
      <c r="AG130" s="58">
        <f t="shared" si="69"/>
        <v>0</v>
      </c>
      <c r="AH130" s="68">
        <v>0</v>
      </c>
      <c r="AI130" s="58">
        <f t="shared" si="70"/>
        <v>0</v>
      </c>
      <c r="AJ130" s="58">
        <f t="shared" si="71"/>
        <v>0</v>
      </c>
      <c r="AK130" s="68">
        <v>0</v>
      </c>
      <c r="AL130" s="58">
        <f t="shared" si="72"/>
        <v>0</v>
      </c>
      <c r="AM130" s="68">
        <f>SUM(D130:AK130)</f>
        <v>-3365.7245354914417</v>
      </c>
      <c r="AN130" s="58">
        <f t="shared" si="73"/>
        <v>-4.8455096323745588E-4</v>
      </c>
      <c r="AO130" s="73"/>
      <c r="AP130" s="73"/>
      <c r="AQ130" s="73"/>
      <c r="AR130" s="73"/>
      <c r="AS130" s="73"/>
      <c r="AT130" s="69"/>
      <c r="AU130" s="70"/>
      <c r="AV130" s="71"/>
      <c r="AW130" s="72"/>
      <c r="AX130" s="70"/>
      <c r="AY130" s="73"/>
      <c r="AZ130" s="73"/>
      <c r="BA130" s="73"/>
      <c r="BB130" s="73"/>
      <c r="BC130" s="60"/>
      <c r="BD130" s="61"/>
      <c r="BE130" s="65"/>
      <c r="BF130" s="62"/>
      <c r="BG130" s="61"/>
      <c r="BH130" s="64"/>
      <c r="BI130" s="64"/>
      <c r="BJ130" s="64"/>
      <c r="BK130" s="64"/>
      <c r="BL130" s="60"/>
      <c r="BM130" s="61"/>
      <c r="BN130" s="65"/>
      <c r="BO130" s="62"/>
      <c r="BP130" s="61"/>
      <c r="BQ130" s="64"/>
      <c r="BR130" s="64"/>
      <c r="BS130" s="64"/>
      <c r="BT130" s="64"/>
    </row>
    <row r="131" spans="1:72" s="74" customFormat="1" x14ac:dyDescent="0.25">
      <c r="A131" s="66" t="s">
        <v>693</v>
      </c>
      <c r="B131" s="67">
        <v>512205099</v>
      </c>
      <c r="C131" s="66" t="s">
        <v>694</v>
      </c>
      <c r="D131" s="68">
        <v>-232</v>
      </c>
      <c r="E131" s="58">
        <f t="shared" si="50"/>
        <v>-3.890274538351014E-4</v>
      </c>
      <c r="F131" s="58">
        <f t="shared" si="51"/>
        <v>0</v>
      </c>
      <c r="G131" s="68">
        <v>-232</v>
      </c>
      <c r="H131" s="58">
        <f t="shared" si="52"/>
        <v>-3.1272558028388152E-4</v>
      </c>
      <c r="I131" s="58">
        <f t="shared" si="53"/>
        <v>-1</v>
      </c>
      <c r="J131" s="68">
        <v>0</v>
      </c>
      <c r="K131" s="58">
        <f t="shared" si="54"/>
        <v>0</v>
      </c>
      <c r="L131" s="58">
        <f t="shared" si="55"/>
        <v>0</v>
      </c>
      <c r="M131" s="68">
        <v>-249</v>
      </c>
      <c r="N131" s="58">
        <f t="shared" si="56"/>
        <v>-3.4388311012580389E-4</v>
      </c>
      <c r="O131" s="58">
        <f t="shared" si="57"/>
        <v>0</v>
      </c>
      <c r="P131" s="68">
        <v>-249</v>
      </c>
      <c r="Q131" s="58">
        <f t="shared" si="58"/>
        <v>-2.6062988402346973E-4</v>
      </c>
      <c r="R131" s="58">
        <f t="shared" si="59"/>
        <v>-1</v>
      </c>
      <c r="S131" s="68">
        <v>0</v>
      </c>
      <c r="T131" s="58">
        <f t="shared" si="60"/>
        <v>0</v>
      </c>
      <c r="U131" s="58">
        <f t="shared" si="61"/>
        <v>0</v>
      </c>
      <c r="V131" s="68">
        <v>0</v>
      </c>
      <c r="W131" s="58">
        <f t="shared" si="62"/>
        <v>0</v>
      </c>
      <c r="X131" s="58">
        <f t="shared" si="63"/>
        <v>0</v>
      </c>
      <c r="Y131" s="68">
        <v>0</v>
      </c>
      <c r="Z131" s="58">
        <f t="shared" si="64"/>
        <v>0</v>
      </c>
      <c r="AA131" s="58">
        <f t="shared" si="65"/>
        <v>0</v>
      </c>
      <c r="AB131" s="68">
        <v>0</v>
      </c>
      <c r="AC131" s="58">
        <f t="shared" si="66"/>
        <v>0</v>
      </c>
      <c r="AD131" s="58">
        <f t="shared" si="67"/>
        <v>0</v>
      </c>
      <c r="AE131" s="68">
        <v>-210</v>
      </c>
      <c r="AF131" s="58">
        <f t="shared" si="68"/>
        <v>-5.9241953503981004E-4</v>
      </c>
      <c r="AG131" s="58">
        <f t="shared" si="69"/>
        <v>-1</v>
      </c>
      <c r="AH131" s="68">
        <v>0</v>
      </c>
      <c r="AI131" s="58">
        <f t="shared" si="70"/>
        <v>0</v>
      </c>
      <c r="AJ131" s="58">
        <f t="shared" si="71"/>
        <v>0</v>
      </c>
      <c r="AK131" s="68">
        <v>0</v>
      </c>
      <c r="AL131" s="58">
        <f t="shared" si="72"/>
        <v>0</v>
      </c>
      <c r="AM131" s="68">
        <f>SUM(D131:AK131)</f>
        <v>-1175.0018986855632</v>
      </c>
      <c r="AN131" s="58">
        <f t="shared" si="73"/>
        <v>-1.6916069506288237E-4</v>
      </c>
      <c r="AO131" s="73"/>
      <c r="AP131" s="73"/>
      <c r="AQ131" s="73"/>
      <c r="AR131" s="73"/>
      <c r="AS131" s="73"/>
      <c r="AT131" s="60"/>
      <c r="AU131" s="61"/>
      <c r="AV131" s="65"/>
      <c r="AW131" s="62"/>
      <c r="AX131" s="61"/>
      <c r="AY131" s="64"/>
      <c r="AZ131" s="64"/>
      <c r="BA131" s="64"/>
      <c r="BB131" s="64"/>
      <c r="BC131" s="69"/>
      <c r="BD131" s="70"/>
      <c r="BE131" s="71"/>
      <c r="BF131" s="72"/>
      <c r="BG131" s="70"/>
      <c r="BH131" s="73"/>
      <c r="BI131" s="73"/>
      <c r="BJ131" s="73"/>
      <c r="BK131" s="73"/>
      <c r="BL131" s="69"/>
      <c r="BM131" s="70"/>
      <c r="BN131" s="71"/>
      <c r="BO131" s="72"/>
      <c r="BP131" s="70"/>
      <c r="BQ131" s="73"/>
      <c r="BR131" s="73"/>
      <c r="BS131" s="73"/>
      <c r="BT131" s="73"/>
    </row>
    <row r="132" spans="1:72" s="63" customFormat="1" x14ac:dyDescent="0.25">
      <c r="A132" s="55" t="s">
        <v>461</v>
      </c>
      <c r="B132" s="56">
        <v>512206</v>
      </c>
      <c r="C132" s="55" t="s">
        <v>462</v>
      </c>
      <c r="D132" s="57">
        <f>SUM(D133:D136)</f>
        <v>-60917.380000000005</v>
      </c>
      <c r="E132" s="58">
        <f t="shared" si="50"/>
        <v>-0.10214885015390229</v>
      </c>
      <c r="F132" s="58">
        <f t="shared" si="51"/>
        <v>7.884268824430718E-2</v>
      </c>
      <c r="G132" s="57">
        <f t="shared" ref="G132:AK132" si="85">SUM(G133:G136)</f>
        <v>-65720.27</v>
      </c>
      <c r="H132" s="58">
        <f t="shared" si="52"/>
        <v>-8.8587972293807632E-2</v>
      </c>
      <c r="I132" s="58">
        <f t="shared" si="53"/>
        <v>-0.28982915012369859</v>
      </c>
      <c r="J132" s="57">
        <f t="shared" si="85"/>
        <v>-46672.619999999995</v>
      </c>
      <c r="K132" s="58">
        <f t="shared" si="54"/>
        <v>-6.5499448836308399E-2</v>
      </c>
      <c r="L132" s="58">
        <f t="shared" si="55"/>
        <v>1.3672740034735571</v>
      </c>
      <c r="M132" s="57">
        <f t="shared" si="85"/>
        <v>-110486.88</v>
      </c>
      <c r="N132" s="58">
        <f t="shared" si="56"/>
        <v>-0.15258864225902202</v>
      </c>
      <c r="O132" s="58">
        <f t="shared" si="57"/>
        <v>-0.34201916100807628</v>
      </c>
      <c r="P132" s="57">
        <f t="shared" si="85"/>
        <v>-72698.25</v>
      </c>
      <c r="Q132" s="58">
        <f t="shared" si="58"/>
        <v>-7.609372074782815E-2</v>
      </c>
      <c r="R132" s="58">
        <f t="shared" si="59"/>
        <v>-0.38992836828947042</v>
      </c>
      <c r="S132" s="57">
        <f t="shared" si="85"/>
        <v>-44351.140000000007</v>
      </c>
      <c r="T132" s="58">
        <f t="shared" si="60"/>
        <v>-6.6677306698135347E-2</v>
      </c>
      <c r="U132" s="58">
        <f t="shared" si="61"/>
        <v>0.44831406813894725</v>
      </c>
      <c r="V132" s="57">
        <f t="shared" si="85"/>
        <v>-64234.38</v>
      </c>
      <c r="W132" s="58">
        <f t="shared" si="62"/>
        <v>-9.0427420127751429E-2</v>
      </c>
      <c r="X132" s="58">
        <f t="shared" si="63"/>
        <v>-0.47965793395997591</v>
      </c>
      <c r="Y132" s="57">
        <f t="shared" si="85"/>
        <v>-33423.85</v>
      </c>
      <c r="Z132" s="58">
        <f t="shared" si="64"/>
        <v>-6.1384909573289952E-2</v>
      </c>
      <c r="AA132" s="58">
        <f t="shared" si="65"/>
        <v>-0.88512125323683533</v>
      </c>
      <c r="AB132" s="57">
        <f t="shared" si="85"/>
        <v>-3839.69</v>
      </c>
      <c r="AC132" s="58">
        <f t="shared" si="66"/>
        <v>-9.2507684419441145E-3</v>
      </c>
      <c r="AD132" s="58">
        <f t="shared" si="67"/>
        <v>1.9003539348228635</v>
      </c>
      <c r="AE132" s="57">
        <f t="shared" si="85"/>
        <v>-11136.460000000001</v>
      </c>
      <c r="AF132" s="58">
        <f t="shared" si="68"/>
        <v>-3.1416459310425922E-2</v>
      </c>
      <c r="AG132" s="58">
        <f t="shared" si="69"/>
        <v>5.204496761089251</v>
      </c>
      <c r="AH132" s="57">
        <f t="shared" si="85"/>
        <v>-69096.13</v>
      </c>
      <c r="AI132" s="58">
        <f t="shared" si="70"/>
        <v>-0.21123371403082211</v>
      </c>
      <c r="AJ132" s="58">
        <f t="shared" si="71"/>
        <v>-0.24616834546305311</v>
      </c>
      <c r="AK132" s="57">
        <f t="shared" si="85"/>
        <v>-52086.849999999977</v>
      </c>
      <c r="AL132" s="58">
        <f t="shared" si="72"/>
        <v>-0.26153616725669432</v>
      </c>
      <c r="AM132" s="57">
        <f>SUM(D132:AK132)</f>
        <v>-634658.48875196872</v>
      </c>
      <c r="AN132" s="58">
        <f t="shared" si="73"/>
        <v>-9.1369444768507099E-2</v>
      </c>
      <c r="AO132" s="64"/>
      <c r="AP132" s="64"/>
      <c r="AQ132" s="64"/>
      <c r="AR132" s="64"/>
      <c r="AS132" s="64"/>
      <c r="AT132" s="60"/>
      <c r="AU132" s="61"/>
      <c r="AV132" s="65"/>
      <c r="AW132" s="62"/>
      <c r="AX132" s="61"/>
      <c r="AY132" s="64"/>
      <c r="AZ132" s="64"/>
      <c r="BA132" s="64"/>
      <c r="BB132" s="64"/>
      <c r="BC132" s="60"/>
      <c r="BD132" s="61"/>
      <c r="BE132" s="65"/>
      <c r="BF132" s="62"/>
      <c r="BG132" s="61"/>
      <c r="BH132" s="64"/>
      <c r="BI132" s="64"/>
      <c r="BJ132" s="64"/>
      <c r="BK132" s="64"/>
      <c r="BL132" s="60"/>
      <c r="BM132" s="61"/>
      <c r="BN132" s="65"/>
      <c r="BO132" s="62"/>
      <c r="BP132" s="61"/>
      <c r="BQ132" s="64"/>
      <c r="BR132" s="64"/>
      <c r="BS132" s="64"/>
      <c r="BT132" s="64"/>
    </row>
    <row r="133" spans="1:72" s="74" customFormat="1" x14ac:dyDescent="0.25">
      <c r="A133" s="66" t="s">
        <v>463</v>
      </c>
      <c r="B133" s="67">
        <v>512206002</v>
      </c>
      <c r="C133" s="66" t="s">
        <v>464</v>
      </c>
      <c r="D133" s="68">
        <v>-150</v>
      </c>
      <c r="E133" s="58">
        <f t="shared" si="50"/>
        <v>-2.5152637101407419E-4</v>
      </c>
      <c r="F133" s="58">
        <f t="shared" si="51"/>
        <v>-1</v>
      </c>
      <c r="G133" s="68">
        <v>0</v>
      </c>
      <c r="H133" s="58">
        <f t="shared" si="52"/>
        <v>0</v>
      </c>
      <c r="I133" s="58">
        <f t="shared" si="53"/>
        <v>0</v>
      </c>
      <c r="J133" s="68">
        <v>0</v>
      </c>
      <c r="K133" s="58">
        <f t="shared" si="54"/>
        <v>0</v>
      </c>
      <c r="L133" s="58">
        <f t="shared" si="55"/>
        <v>0</v>
      </c>
      <c r="M133" s="68">
        <v>0</v>
      </c>
      <c r="N133" s="58">
        <f t="shared" si="56"/>
        <v>0</v>
      </c>
      <c r="O133" s="58">
        <f t="shared" si="57"/>
        <v>0</v>
      </c>
      <c r="P133" s="68">
        <v>0</v>
      </c>
      <c r="Q133" s="58">
        <f t="shared" si="58"/>
        <v>0</v>
      </c>
      <c r="R133" s="58">
        <f t="shared" si="59"/>
        <v>0</v>
      </c>
      <c r="S133" s="68">
        <v>0</v>
      </c>
      <c r="T133" s="58">
        <f t="shared" si="60"/>
        <v>0</v>
      </c>
      <c r="U133" s="58">
        <f t="shared" si="61"/>
        <v>0</v>
      </c>
      <c r="V133" s="68">
        <v>0</v>
      </c>
      <c r="W133" s="58">
        <f t="shared" si="62"/>
        <v>0</v>
      </c>
      <c r="X133" s="58">
        <f t="shared" si="63"/>
        <v>0</v>
      </c>
      <c r="Y133" s="68">
        <v>0</v>
      </c>
      <c r="Z133" s="58">
        <f t="shared" si="64"/>
        <v>0</v>
      </c>
      <c r="AA133" s="58">
        <f t="shared" si="65"/>
        <v>0</v>
      </c>
      <c r="AB133" s="68">
        <v>0</v>
      </c>
      <c r="AC133" s="58">
        <f t="shared" si="66"/>
        <v>0</v>
      </c>
      <c r="AD133" s="58">
        <f t="shared" si="67"/>
        <v>0</v>
      </c>
      <c r="AE133" s="68">
        <v>0</v>
      </c>
      <c r="AF133" s="58">
        <f t="shared" si="68"/>
        <v>0</v>
      </c>
      <c r="AG133" s="58">
        <f t="shared" si="69"/>
        <v>0</v>
      </c>
      <c r="AH133" s="68">
        <v>0</v>
      </c>
      <c r="AI133" s="58">
        <f t="shared" si="70"/>
        <v>0</v>
      </c>
      <c r="AJ133" s="58">
        <f t="shared" si="71"/>
        <v>0</v>
      </c>
      <c r="AK133" s="68">
        <v>-2069.5</v>
      </c>
      <c r="AL133" s="58">
        <f t="shared" si="72"/>
        <v>-1.0391281064946894E-2</v>
      </c>
      <c r="AM133" s="68">
        <f>SUM(D133:AK133)</f>
        <v>-2220.5002515263709</v>
      </c>
      <c r="AN133" s="58">
        <f t="shared" si="73"/>
        <v>-3.1967724167569566E-4</v>
      </c>
      <c r="AO133" s="73"/>
      <c r="AP133" s="73"/>
      <c r="AQ133" s="73"/>
      <c r="AR133" s="73"/>
      <c r="AS133" s="73"/>
      <c r="AT133" s="69"/>
      <c r="AU133" s="70"/>
      <c r="AV133" s="71"/>
      <c r="AW133" s="72"/>
      <c r="AX133" s="70"/>
      <c r="AY133" s="73"/>
      <c r="AZ133" s="73"/>
      <c r="BA133" s="73"/>
      <c r="BB133" s="73"/>
      <c r="BC133" s="69"/>
      <c r="BD133" s="70"/>
      <c r="BE133" s="71"/>
      <c r="BF133" s="72"/>
      <c r="BG133" s="70"/>
      <c r="BH133" s="73"/>
      <c r="BI133" s="73"/>
      <c r="BJ133" s="73"/>
      <c r="BK133" s="73"/>
      <c r="BL133" s="69"/>
      <c r="BM133" s="70"/>
      <c r="BN133" s="71"/>
      <c r="BO133" s="72"/>
      <c r="BP133" s="70"/>
      <c r="BQ133" s="73"/>
      <c r="BR133" s="73"/>
      <c r="BS133" s="73"/>
      <c r="BT133" s="73"/>
    </row>
    <row r="134" spans="1:72" s="74" customFormat="1" x14ac:dyDescent="0.25">
      <c r="A134" s="66" t="s">
        <v>695</v>
      </c>
      <c r="B134" s="67">
        <v>512206004</v>
      </c>
      <c r="C134" s="66" t="s">
        <v>696</v>
      </c>
      <c r="D134" s="68">
        <v>-57963.41</v>
      </c>
      <c r="E134" s="58">
        <f t="shared" si="50"/>
        <v>-9.7195507792672664E-2</v>
      </c>
      <c r="F134" s="58">
        <f t="shared" si="51"/>
        <v>7.2354956342285393E-2</v>
      </c>
      <c r="G134" s="68">
        <v>-62157.35</v>
      </c>
      <c r="H134" s="58">
        <f t="shared" si="52"/>
        <v>-8.3785316153699663E-2</v>
      </c>
      <c r="I134" s="58">
        <f t="shared" si="53"/>
        <v>-0.25589089624959882</v>
      </c>
      <c r="J134" s="68">
        <v>-46251.85</v>
      </c>
      <c r="K134" s="58">
        <f t="shared" si="54"/>
        <v>-6.4908948386861731E-2</v>
      </c>
      <c r="L134" s="58">
        <f t="shared" si="55"/>
        <v>1.370993808896293</v>
      </c>
      <c r="M134" s="68">
        <v>-109662.85</v>
      </c>
      <c r="N134" s="58">
        <f t="shared" si="56"/>
        <v>-0.15145061013357236</v>
      </c>
      <c r="O134" s="58">
        <f t="shared" si="57"/>
        <v>-0.35847654880390223</v>
      </c>
      <c r="P134" s="68">
        <v>-70351.289999999994</v>
      </c>
      <c r="Q134" s="58">
        <f t="shared" si="58"/>
        <v>-7.3637142785548129E-2</v>
      </c>
      <c r="R134" s="58">
        <f t="shared" si="59"/>
        <v>-0.43770881813254592</v>
      </c>
      <c r="S134" s="68">
        <v>-39557.910000000003</v>
      </c>
      <c r="T134" s="58">
        <f t="shared" si="60"/>
        <v>-5.947118602604657E-2</v>
      </c>
      <c r="U134" s="58">
        <f t="shared" si="61"/>
        <v>0.57902300702944087</v>
      </c>
      <c r="V134" s="68">
        <v>-62462.85</v>
      </c>
      <c r="W134" s="58">
        <f t="shared" si="62"/>
        <v>-8.7933508182482939E-2</v>
      </c>
      <c r="X134" s="58">
        <f t="shared" si="63"/>
        <v>-0.47211422469515874</v>
      </c>
      <c r="Y134" s="68">
        <v>-32973.25</v>
      </c>
      <c r="Z134" s="58">
        <f t="shared" si="64"/>
        <v>-6.0557355588523855E-2</v>
      </c>
      <c r="AA134" s="58">
        <f t="shared" si="65"/>
        <v>-0.90901715784764925</v>
      </c>
      <c r="AB134" s="68">
        <v>-3000</v>
      </c>
      <c r="AC134" s="58">
        <f t="shared" si="66"/>
        <v>-7.2277463352073594E-3</v>
      </c>
      <c r="AD134" s="58">
        <f t="shared" si="67"/>
        <v>2.4946999999999999</v>
      </c>
      <c r="AE134" s="68">
        <v>-10484.1</v>
      </c>
      <c r="AF134" s="58">
        <f t="shared" si="68"/>
        <v>-2.9576122130051771E-2</v>
      </c>
      <c r="AG134" s="58">
        <f t="shared" si="69"/>
        <v>5.5905638061445426</v>
      </c>
      <c r="AH134" s="68">
        <v>-69096.13</v>
      </c>
      <c r="AI134" s="58">
        <f t="shared" si="70"/>
        <v>-0.21123371403082211</v>
      </c>
      <c r="AJ134" s="58">
        <f t="shared" si="71"/>
        <v>-0.27611937166379685</v>
      </c>
      <c r="AK134" s="68">
        <v>-50017.349999999977</v>
      </c>
      <c r="AL134" s="58">
        <f t="shared" si="72"/>
        <v>-0.25114488619174741</v>
      </c>
      <c r="AM134" s="68">
        <f>SUM(D134:AK134)</f>
        <v>-613971.86866859638</v>
      </c>
      <c r="AN134" s="58">
        <f t="shared" si="73"/>
        <v>-8.8391268277286397E-2</v>
      </c>
      <c r="AO134" s="73"/>
      <c r="AP134" s="73"/>
      <c r="AQ134" s="73"/>
      <c r="AR134" s="73"/>
      <c r="AS134" s="73"/>
      <c r="AT134" s="69"/>
      <c r="AU134" s="70"/>
      <c r="AV134" s="71"/>
      <c r="AW134" s="72"/>
      <c r="AX134" s="70"/>
      <c r="AY134" s="73"/>
      <c r="AZ134" s="73"/>
      <c r="BA134" s="73"/>
      <c r="BB134" s="73"/>
      <c r="BC134" s="60"/>
      <c r="BD134" s="61"/>
      <c r="BE134" s="65"/>
      <c r="BF134" s="62"/>
      <c r="BG134" s="61"/>
      <c r="BH134" s="64"/>
      <c r="BI134" s="64"/>
      <c r="BJ134" s="64"/>
      <c r="BK134" s="64"/>
      <c r="BL134" s="60"/>
      <c r="BM134" s="61"/>
      <c r="BN134" s="65"/>
      <c r="BO134" s="62"/>
      <c r="BP134" s="61"/>
      <c r="BQ134" s="64"/>
      <c r="BR134" s="64"/>
      <c r="BS134" s="64"/>
      <c r="BT134" s="64"/>
    </row>
    <row r="135" spans="1:72" s="74" customFormat="1" x14ac:dyDescent="0.25">
      <c r="A135" s="66" t="s">
        <v>465</v>
      </c>
      <c r="B135" s="67">
        <v>512206007</v>
      </c>
      <c r="C135" s="66" t="s">
        <v>466</v>
      </c>
      <c r="D135" s="68">
        <v>-679.91</v>
      </c>
      <c r="E135" s="58">
        <f t="shared" si="50"/>
        <v>-1.1401019661078612E-3</v>
      </c>
      <c r="F135" s="58">
        <f t="shared" si="51"/>
        <v>-1</v>
      </c>
      <c r="G135" s="68">
        <v>0</v>
      </c>
      <c r="H135" s="58">
        <f t="shared" si="52"/>
        <v>0</v>
      </c>
      <c r="I135" s="58">
        <f t="shared" si="53"/>
        <v>0</v>
      </c>
      <c r="J135" s="68">
        <v>0</v>
      </c>
      <c r="K135" s="58">
        <f t="shared" si="54"/>
        <v>0</v>
      </c>
      <c r="L135" s="58">
        <f t="shared" si="55"/>
        <v>0</v>
      </c>
      <c r="M135" s="68">
        <v>0</v>
      </c>
      <c r="N135" s="58">
        <f t="shared" si="56"/>
        <v>0</v>
      </c>
      <c r="O135" s="58">
        <f t="shared" si="57"/>
        <v>0</v>
      </c>
      <c r="P135" s="68">
        <v>-899.19</v>
      </c>
      <c r="Q135" s="58">
        <f t="shared" si="58"/>
        <v>-9.4118789323318784E-4</v>
      </c>
      <c r="R135" s="58">
        <f t="shared" si="59"/>
        <v>0.56237280218863628</v>
      </c>
      <c r="S135" s="68">
        <v>-1404.87</v>
      </c>
      <c r="T135" s="58">
        <f t="shared" si="60"/>
        <v>-2.1120753121793346E-3</v>
      </c>
      <c r="U135" s="58">
        <f t="shared" si="61"/>
        <v>-4.9356879996013792E-2</v>
      </c>
      <c r="V135" s="68">
        <v>-1335.53</v>
      </c>
      <c r="W135" s="58">
        <f t="shared" si="62"/>
        <v>-1.8801229560122769E-3</v>
      </c>
      <c r="X135" s="58">
        <f t="shared" si="63"/>
        <v>-1</v>
      </c>
      <c r="Y135" s="68">
        <v>0</v>
      </c>
      <c r="Z135" s="58">
        <f t="shared" si="64"/>
        <v>0</v>
      </c>
      <c r="AA135" s="58">
        <f t="shared" si="65"/>
        <v>0</v>
      </c>
      <c r="AB135" s="68">
        <v>-839.69</v>
      </c>
      <c r="AC135" s="58">
        <f t="shared" si="66"/>
        <v>-2.0230221067367559E-3</v>
      </c>
      <c r="AD135" s="58">
        <f t="shared" si="67"/>
        <v>-1</v>
      </c>
      <c r="AE135" s="68">
        <v>0</v>
      </c>
      <c r="AF135" s="58">
        <f t="shared" si="68"/>
        <v>0</v>
      </c>
      <c r="AG135" s="58">
        <f t="shared" si="69"/>
        <v>0</v>
      </c>
      <c r="AH135" s="68">
        <v>0</v>
      </c>
      <c r="AI135" s="58">
        <f t="shared" si="70"/>
        <v>0</v>
      </c>
      <c r="AJ135" s="58">
        <f t="shared" si="71"/>
        <v>0</v>
      </c>
      <c r="AK135" s="68">
        <v>0</v>
      </c>
      <c r="AL135" s="58">
        <f t="shared" si="72"/>
        <v>0</v>
      </c>
      <c r="AM135" s="68">
        <f>SUM(D135:AK135)</f>
        <v>-5161.6850805880422</v>
      </c>
      <c r="AN135" s="58">
        <f t="shared" si="73"/>
        <v>-7.4310878723238901E-4</v>
      </c>
      <c r="AO135" s="64"/>
      <c r="AP135" s="64"/>
      <c r="AQ135" s="73"/>
      <c r="AR135" s="73"/>
      <c r="AS135" s="73"/>
      <c r="AT135" s="69"/>
      <c r="AU135" s="70"/>
      <c r="AV135" s="71"/>
      <c r="AW135" s="72"/>
      <c r="AX135" s="70"/>
      <c r="AY135" s="73"/>
      <c r="AZ135" s="73"/>
      <c r="BA135" s="73"/>
      <c r="BB135" s="73"/>
      <c r="BC135" s="69"/>
      <c r="BD135" s="70"/>
      <c r="BE135" s="71"/>
      <c r="BF135" s="72"/>
      <c r="BG135" s="70"/>
      <c r="BH135" s="73"/>
      <c r="BI135" s="73"/>
      <c r="BJ135" s="73"/>
      <c r="BK135" s="73"/>
      <c r="BL135" s="69"/>
      <c r="BM135" s="70"/>
      <c r="BN135" s="71"/>
      <c r="BO135" s="72"/>
      <c r="BP135" s="70"/>
      <c r="BQ135" s="73"/>
      <c r="BR135" s="73"/>
      <c r="BS135" s="73"/>
      <c r="BT135" s="73"/>
    </row>
    <row r="136" spans="1:72" s="74" customFormat="1" x14ac:dyDescent="0.25">
      <c r="A136" s="66" t="s">
        <v>697</v>
      </c>
      <c r="B136" s="67">
        <v>512206099</v>
      </c>
      <c r="C136" s="66" t="s">
        <v>698</v>
      </c>
      <c r="D136" s="68">
        <v>-2124.06</v>
      </c>
      <c r="E136" s="58">
        <f t="shared" si="50"/>
        <v>-3.561714024107696E-3</v>
      </c>
      <c r="F136" s="58">
        <f t="shared" si="51"/>
        <v>0.67741024264851291</v>
      </c>
      <c r="G136" s="68">
        <v>-3562.92</v>
      </c>
      <c r="H136" s="58">
        <f t="shared" si="52"/>
        <v>-4.8026561401079615E-3</v>
      </c>
      <c r="I136" s="58">
        <f t="shared" si="53"/>
        <v>-0.88190304581635293</v>
      </c>
      <c r="J136" s="68">
        <v>-420.77</v>
      </c>
      <c r="K136" s="58">
        <f t="shared" si="54"/>
        <v>-5.9050044944666672E-4</v>
      </c>
      <c r="L136" s="58">
        <f t="shared" si="55"/>
        <v>0.95838581647931176</v>
      </c>
      <c r="M136" s="68">
        <v>-824.03</v>
      </c>
      <c r="N136" s="58">
        <f t="shared" si="56"/>
        <v>-1.1380321254496634E-3</v>
      </c>
      <c r="O136" s="58">
        <f t="shared" si="57"/>
        <v>0.75693846097836248</v>
      </c>
      <c r="P136" s="68">
        <v>-1447.77</v>
      </c>
      <c r="Q136" s="58">
        <f t="shared" si="58"/>
        <v>-1.5153900690468224E-3</v>
      </c>
      <c r="R136" s="58">
        <f t="shared" si="59"/>
        <v>1.340399372828557</v>
      </c>
      <c r="S136" s="68">
        <v>-3388.36</v>
      </c>
      <c r="T136" s="58">
        <f t="shared" si="60"/>
        <v>-5.0940453599094375E-3</v>
      </c>
      <c r="U136" s="58">
        <f t="shared" si="61"/>
        <v>-0.87132418042947024</v>
      </c>
      <c r="V136" s="68">
        <v>-436</v>
      </c>
      <c r="W136" s="58">
        <f t="shared" si="62"/>
        <v>-6.1378898925621491E-4</v>
      </c>
      <c r="X136" s="58">
        <f t="shared" si="63"/>
        <v>3.3486238532110191E-2</v>
      </c>
      <c r="Y136" s="68">
        <v>-450.6</v>
      </c>
      <c r="Z136" s="58">
        <f t="shared" si="64"/>
        <v>-8.2755398476610132E-4</v>
      </c>
      <c r="AA136" s="58">
        <f t="shared" si="65"/>
        <v>-1</v>
      </c>
      <c r="AB136" s="68">
        <v>0</v>
      </c>
      <c r="AC136" s="58">
        <f t="shared" si="66"/>
        <v>0</v>
      </c>
      <c r="AD136" s="58">
        <f t="shared" si="67"/>
        <v>0</v>
      </c>
      <c r="AE136" s="68">
        <v>-652.36</v>
      </c>
      <c r="AF136" s="58">
        <f t="shared" si="68"/>
        <v>-1.8403371803741451E-3</v>
      </c>
      <c r="AG136" s="58">
        <f t="shared" si="69"/>
        <v>-1</v>
      </c>
      <c r="AH136" s="68">
        <v>0</v>
      </c>
      <c r="AI136" s="58">
        <f t="shared" si="70"/>
        <v>0</v>
      </c>
      <c r="AJ136" s="58">
        <f t="shared" si="71"/>
        <v>0</v>
      </c>
      <c r="AK136" s="68">
        <v>0</v>
      </c>
      <c r="AL136" s="58">
        <f t="shared" si="72"/>
        <v>0</v>
      </c>
      <c r="AM136" s="68">
        <f>SUM(D136:AK136)</f>
        <v>-13306.876591113101</v>
      </c>
      <c r="AN136" s="58">
        <f t="shared" si="73"/>
        <v>-1.915742005001705E-3</v>
      </c>
      <c r="AO136" s="73"/>
      <c r="AP136" s="73"/>
      <c r="AQ136" s="64"/>
      <c r="AR136" s="64"/>
      <c r="AS136" s="64"/>
      <c r="AT136" s="69"/>
      <c r="AU136" s="70"/>
      <c r="AV136" s="71"/>
      <c r="AW136" s="72"/>
      <c r="AX136" s="70"/>
      <c r="AY136" s="73"/>
      <c r="AZ136" s="73"/>
      <c r="BA136" s="73"/>
      <c r="BB136" s="73"/>
      <c r="BC136" s="69"/>
      <c r="BD136" s="70"/>
      <c r="BE136" s="71"/>
      <c r="BF136" s="72"/>
      <c r="BG136" s="70"/>
      <c r="BH136" s="73"/>
      <c r="BI136" s="73"/>
      <c r="BJ136" s="73"/>
      <c r="BK136" s="73"/>
      <c r="BL136" s="69"/>
      <c r="BM136" s="70"/>
      <c r="BN136" s="71"/>
      <c r="BO136" s="72"/>
      <c r="BP136" s="70"/>
      <c r="BQ136" s="73"/>
      <c r="BR136" s="73"/>
      <c r="BS136" s="73"/>
      <c r="BT136" s="73"/>
    </row>
    <row r="137" spans="1:72" s="63" customFormat="1" x14ac:dyDescent="0.25">
      <c r="A137" s="55" t="s">
        <v>467</v>
      </c>
      <c r="B137" s="56">
        <v>512207</v>
      </c>
      <c r="C137" s="55" t="s">
        <v>468</v>
      </c>
      <c r="D137" s="57">
        <f>SUM(D138:D145)</f>
        <v>-3254</v>
      </c>
      <c r="E137" s="58">
        <f t="shared" si="50"/>
        <v>-5.4564454085319833E-3</v>
      </c>
      <c r="F137" s="58">
        <f t="shared" si="51"/>
        <v>0.57399815611555005</v>
      </c>
      <c r="G137" s="57">
        <f t="shared" ref="G137:AK137" si="86">SUM(G138:G145)</f>
        <v>-5121.79</v>
      </c>
      <c r="H137" s="58">
        <f t="shared" si="52"/>
        <v>-6.9039428872507821E-3</v>
      </c>
      <c r="I137" s="58">
        <f t="shared" si="53"/>
        <v>-0.40184583905236249</v>
      </c>
      <c r="J137" s="57">
        <f t="shared" si="86"/>
        <v>-3063.6200000000003</v>
      </c>
      <c r="K137" s="58">
        <f t="shared" si="54"/>
        <v>-4.2994248328868442E-3</v>
      </c>
      <c r="L137" s="58">
        <f t="shared" si="55"/>
        <v>0.59557973900157313</v>
      </c>
      <c r="M137" s="57">
        <f t="shared" si="86"/>
        <v>-4888.25</v>
      </c>
      <c r="N137" s="58">
        <f t="shared" si="56"/>
        <v>-6.750950253303056E-3</v>
      </c>
      <c r="O137" s="58">
        <f t="shared" si="57"/>
        <v>-0.24979900782488618</v>
      </c>
      <c r="P137" s="57">
        <f t="shared" si="86"/>
        <v>-3667.17</v>
      </c>
      <c r="Q137" s="58">
        <f t="shared" si="58"/>
        <v>-3.8384501678487854E-3</v>
      </c>
      <c r="R137" s="58">
        <f t="shared" si="59"/>
        <v>-0.71924399468800193</v>
      </c>
      <c r="S137" s="57">
        <f t="shared" si="86"/>
        <v>-1029.58</v>
      </c>
      <c r="T137" s="58">
        <f t="shared" si="60"/>
        <v>-1.5478659946568719E-3</v>
      </c>
      <c r="U137" s="58">
        <f t="shared" si="61"/>
        <v>5.6741583946852137E-2</v>
      </c>
      <c r="V137" s="57">
        <f t="shared" si="86"/>
        <v>-1088</v>
      </c>
      <c r="W137" s="58">
        <f t="shared" si="62"/>
        <v>-1.5316569273182612E-3</v>
      </c>
      <c r="X137" s="58">
        <f t="shared" si="63"/>
        <v>2.8679319852941179</v>
      </c>
      <c r="Y137" s="57">
        <f t="shared" si="86"/>
        <v>-4208.3100000000004</v>
      </c>
      <c r="Z137" s="58">
        <f t="shared" si="64"/>
        <v>-7.7288142690435683E-3</v>
      </c>
      <c r="AA137" s="58">
        <f t="shared" si="65"/>
        <v>-0.45855462168899164</v>
      </c>
      <c r="AB137" s="57">
        <f t="shared" si="86"/>
        <v>-2278.5699999999997</v>
      </c>
      <c r="AC137" s="58">
        <f t="shared" si="66"/>
        <v>-5.4896419890044764E-3</v>
      </c>
      <c r="AD137" s="58">
        <f t="shared" si="67"/>
        <v>-0.91941436953878963</v>
      </c>
      <c r="AE137" s="57">
        <f t="shared" si="86"/>
        <v>-183.62</v>
      </c>
      <c r="AF137" s="58">
        <f t="shared" si="68"/>
        <v>-5.180003572571901E-4</v>
      </c>
      <c r="AG137" s="58">
        <f t="shared" si="69"/>
        <v>2.2954471190502126</v>
      </c>
      <c r="AH137" s="57">
        <f t="shared" si="86"/>
        <v>-605.11</v>
      </c>
      <c r="AI137" s="58">
        <f t="shared" si="70"/>
        <v>-1.8498812118303988E-3</v>
      </c>
      <c r="AJ137" s="58">
        <f t="shared" si="71"/>
        <v>16.322073672555405</v>
      </c>
      <c r="AK137" s="57">
        <f t="shared" si="86"/>
        <v>-10481.76</v>
      </c>
      <c r="AL137" s="58">
        <f t="shared" si="72"/>
        <v>-5.2630545646444912E-2</v>
      </c>
      <c r="AM137" s="57">
        <f>SUM(D137:AK137)</f>
        <v>-39849.86300065113</v>
      </c>
      <c r="AN137" s="58">
        <f t="shared" si="73"/>
        <v>-5.7370379834209275E-3</v>
      </c>
      <c r="AO137" s="64"/>
      <c r="AP137" s="64"/>
      <c r="AQ137" s="64"/>
      <c r="AR137" s="64"/>
      <c r="AS137" s="64"/>
      <c r="AT137" s="60"/>
      <c r="AU137" s="61"/>
      <c r="AV137" s="65"/>
      <c r="AW137" s="62"/>
      <c r="AX137" s="61"/>
      <c r="AY137" s="64"/>
      <c r="AZ137" s="64"/>
      <c r="BA137" s="64"/>
      <c r="BB137" s="64"/>
      <c r="BC137" s="60"/>
      <c r="BD137" s="61"/>
      <c r="BE137" s="65"/>
      <c r="BF137" s="62"/>
      <c r="BG137" s="61"/>
      <c r="BH137" s="64"/>
      <c r="BI137" s="64"/>
      <c r="BJ137" s="64"/>
      <c r="BK137" s="64"/>
      <c r="BL137" s="60"/>
      <c r="BM137" s="61"/>
      <c r="BN137" s="65"/>
      <c r="BO137" s="62"/>
      <c r="BP137" s="61"/>
      <c r="BQ137" s="64"/>
      <c r="BR137" s="64"/>
      <c r="BS137" s="64"/>
      <c r="BT137" s="64"/>
    </row>
    <row r="138" spans="1:72" s="74" customFormat="1" x14ac:dyDescent="0.25">
      <c r="A138" s="66" t="s">
        <v>469</v>
      </c>
      <c r="B138" s="67">
        <v>512207001</v>
      </c>
      <c r="C138" s="66" t="s">
        <v>470</v>
      </c>
      <c r="D138" s="68">
        <v>-663.06</v>
      </c>
      <c r="E138" s="58">
        <f t="shared" si="50"/>
        <v>-1.1118471704306134E-3</v>
      </c>
      <c r="F138" s="58">
        <f t="shared" si="51"/>
        <v>0.46674509094199634</v>
      </c>
      <c r="G138" s="68">
        <v>-972.54</v>
      </c>
      <c r="H138" s="58">
        <f t="shared" si="52"/>
        <v>-1.3109402407296814E-3</v>
      </c>
      <c r="I138" s="58">
        <f t="shared" si="53"/>
        <v>-0.7778806013120283</v>
      </c>
      <c r="J138" s="68">
        <v>-216.02</v>
      </c>
      <c r="K138" s="58">
        <f t="shared" si="54"/>
        <v>-3.0315827432913221E-4</v>
      </c>
      <c r="L138" s="58">
        <f t="shared" si="55"/>
        <v>-0.38005740209239891</v>
      </c>
      <c r="M138" s="68">
        <v>-133.91999999999999</v>
      </c>
      <c r="N138" s="58">
        <f t="shared" si="56"/>
        <v>-1.8495110886766126E-4</v>
      </c>
      <c r="O138" s="58">
        <f t="shared" si="57"/>
        <v>7.1964605734767044</v>
      </c>
      <c r="P138" s="68">
        <v>-1097.67</v>
      </c>
      <c r="Q138" s="58">
        <f t="shared" si="58"/>
        <v>-1.1489381718716549E-3</v>
      </c>
      <c r="R138" s="58">
        <f t="shared" si="59"/>
        <v>-1</v>
      </c>
      <c r="S138" s="68">
        <v>0</v>
      </c>
      <c r="T138" s="58">
        <f t="shared" si="60"/>
        <v>0</v>
      </c>
      <c r="U138" s="58">
        <f t="shared" si="61"/>
        <v>0</v>
      </c>
      <c r="V138" s="68">
        <v>0</v>
      </c>
      <c r="W138" s="58">
        <f t="shared" si="62"/>
        <v>0</v>
      </c>
      <c r="X138" s="58">
        <f t="shared" si="63"/>
        <v>0</v>
      </c>
      <c r="Y138" s="68">
        <v>0</v>
      </c>
      <c r="Z138" s="58">
        <f t="shared" si="64"/>
        <v>0</v>
      </c>
      <c r="AA138" s="58">
        <f t="shared" si="65"/>
        <v>0</v>
      </c>
      <c r="AB138" s="68">
        <v>0</v>
      </c>
      <c r="AC138" s="58">
        <f t="shared" si="66"/>
        <v>0</v>
      </c>
      <c r="AD138" s="58">
        <f t="shared" si="67"/>
        <v>0</v>
      </c>
      <c r="AE138" s="68">
        <v>0</v>
      </c>
      <c r="AF138" s="58">
        <f t="shared" si="68"/>
        <v>0</v>
      </c>
      <c r="AG138" s="58">
        <f t="shared" si="69"/>
        <v>0</v>
      </c>
      <c r="AH138" s="68">
        <v>0</v>
      </c>
      <c r="AI138" s="58">
        <f t="shared" si="70"/>
        <v>0</v>
      </c>
      <c r="AJ138" s="58">
        <f t="shared" si="71"/>
        <v>0</v>
      </c>
      <c r="AK138" s="68">
        <v>0</v>
      </c>
      <c r="AL138" s="58">
        <f t="shared" si="72"/>
        <v>0</v>
      </c>
      <c r="AM138" s="68">
        <f>SUM(D138:AK138)</f>
        <v>-3077.7087921739517</v>
      </c>
      <c r="AN138" s="58">
        <f t="shared" si="73"/>
        <v>-4.4308639762003703E-4</v>
      </c>
      <c r="AO138" s="64"/>
      <c r="AP138" s="64"/>
      <c r="AQ138" s="73"/>
      <c r="AR138" s="73"/>
      <c r="AS138" s="73"/>
      <c r="AT138" s="69"/>
      <c r="AU138" s="70"/>
      <c r="AV138" s="71"/>
      <c r="AW138" s="72"/>
      <c r="AX138" s="70"/>
      <c r="AY138" s="73"/>
      <c r="AZ138" s="73"/>
      <c r="BA138" s="73"/>
      <c r="BB138" s="73"/>
      <c r="BC138" s="69"/>
      <c r="BD138" s="70"/>
      <c r="BE138" s="71"/>
      <c r="BF138" s="72"/>
      <c r="BG138" s="70"/>
      <c r="BH138" s="73"/>
      <c r="BI138" s="73"/>
      <c r="BJ138" s="73"/>
      <c r="BK138" s="73"/>
      <c r="BL138" s="69"/>
      <c r="BM138" s="70"/>
      <c r="BN138" s="71"/>
      <c r="BO138" s="72"/>
      <c r="BP138" s="70"/>
      <c r="BQ138" s="73"/>
      <c r="BR138" s="73"/>
      <c r="BS138" s="73"/>
      <c r="BT138" s="73"/>
    </row>
    <row r="139" spans="1:72" s="74" customFormat="1" x14ac:dyDescent="0.25">
      <c r="A139" s="66" t="s">
        <v>471</v>
      </c>
      <c r="B139" s="67">
        <v>512207002</v>
      </c>
      <c r="C139" s="66" t="s">
        <v>472</v>
      </c>
      <c r="D139" s="68">
        <v>-839.35</v>
      </c>
      <c r="E139" s="58">
        <f t="shared" si="50"/>
        <v>-1.407457730071088E-3</v>
      </c>
      <c r="F139" s="58">
        <f t="shared" si="51"/>
        <v>-0.29242866503842269</v>
      </c>
      <c r="G139" s="68">
        <v>-593.9</v>
      </c>
      <c r="H139" s="58">
        <f t="shared" si="52"/>
        <v>-8.0055052642498804E-4</v>
      </c>
      <c r="I139" s="58">
        <f t="shared" si="53"/>
        <v>-0.1636975921872369</v>
      </c>
      <c r="J139" s="68">
        <v>-496.68</v>
      </c>
      <c r="K139" s="58">
        <f t="shared" si="54"/>
        <v>-6.9703106977961934E-4</v>
      </c>
      <c r="L139" s="58">
        <f t="shared" si="55"/>
        <v>1.136989611017154</v>
      </c>
      <c r="M139" s="68">
        <v>-1061.4000000000001</v>
      </c>
      <c r="N139" s="58">
        <f t="shared" si="56"/>
        <v>-1.4658535465362581E-3</v>
      </c>
      <c r="O139" s="58">
        <f t="shared" si="57"/>
        <v>-0.69804032410024497</v>
      </c>
      <c r="P139" s="68">
        <v>-320.5</v>
      </c>
      <c r="Q139" s="58">
        <f t="shared" si="58"/>
        <v>-3.3546938887358256E-4</v>
      </c>
      <c r="R139" s="58">
        <f t="shared" si="59"/>
        <v>0.19313572542901714</v>
      </c>
      <c r="S139" s="68">
        <v>-382.4</v>
      </c>
      <c r="T139" s="58">
        <f t="shared" si="60"/>
        <v>-5.7489845991257386E-4</v>
      </c>
      <c r="U139" s="58">
        <f t="shared" si="61"/>
        <v>-0.63770920502092054</v>
      </c>
      <c r="V139" s="68">
        <v>-138.54</v>
      </c>
      <c r="W139" s="58">
        <f t="shared" si="62"/>
        <v>-1.9503285910907342E-4</v>
      </c>
      <c r="X139" s="58">
        <f t="shared" si="63"/>
        <v>0.80525480005774508</v>
      </c>
      <c r="Y139" s="68">
        <v>-250.1</v>
      </c>
      <c r="Z139" s="58">
        <f t="shared" si="64"/>
        <v>-4.5932368306702604E-4</v>
      </c>
      <c r="AA139" s="58">
        <f t="shared" si="65"/>
        <v>-0.12195121951219512</v>
      </c>
      <c r="AB139" s="68">
        <v>-219.6</v>
      </c>
      <c r="AC139" s="58">
        <f t="shared" si="66"/>
        <v>-5.2907103173717863E-4</v>
      </c>
      <c r="AD139" s="58">
        <f t="shared" si="67"/>
        <v>-1</v>
      </c>
      <c r="AE139" s="68">
        <v>0</v>
      </c>
      <c r="AF139" s="58">
        <f t="shared" si="68"/>
        <v>0</v>
      </c>
      <c r="AG139" s="58">
        <f t="shared" si="69"/>
        <v>0</v>
      </c>
      <c r="AH139" s="68">
        <v>0</v>
      </c>
      <c r="AI139" s="58">
        <f t="shared" si="70"/>
        <v>0</v>
      </c>
      <c r="AJ139" s="58">
        <f t="shared" si="71"/>
        <v>0</v>
      </c>
      <c r="AK139" s="68">
        <v>-100</v>
      </c>
      <c r="AL139" s="58">
        <f t="shared" si="72"/>
        <v>-5.0211553829170778E-4</v>
      </c>
      <c r="AM139" s="68">
        <f>SUM(D139:AK139)</f>
        <v>-4403.2549115576512</v>
      </c>
      <c r="AN139" s="58">
        <f t="shared" si="73"/>
        <v>-6.339203895852349E-4</v>
      </c>
      <c r="AO139" s="64"/>
      <c r="AP139" s="64"/>
      <c r="AQ139" s="64"/>
      <c r="AR139" s="64"/>
      <c r="AS139" s="64"/>
      <c r="AT139" s="69"/>
      <c r="AU139" s="70"/>
      <c r="AV139" s="71"/>
      <c r="AW139" s="72"/>
      <c r="AX139" s="70"/>
      <c r="AY139" s="73"/>
      <c r="AZ139" s="73"/>
      <c r="BA139" s="73"/>
      <c r="BB139" s="73"/>
      <c r="BC139" s="69"/>
      <c r="BD139" s="70"/>
      <c r="BE139" s="71"/>
      <c r="BF139" s="72"/>
      <c r="BG139" s="70"/>
      <c r="BH139" s="73"/>
      <c r="BI139" s="73"/>
      <c r="BJ139" s="73"/>
      <c r="BK139" s="73"/>
      <c r="BL139" s="69"/>
      <c r="BM139" s="70"/>
      <c r="BN139" s="71"/>
      <c r="BO139" s="72"/>
      <c r="BP139" s="70"/>
      <c r="BQ139" s="73"/>
      <c r="BR139" s="73"/>
      <c r="BS139" s="73"/>
      <c r="BT139" s="73"/>
    </row>
    <row r="140" spans="1:72" s="74" customFormat="1" x14ac:dyDescent="0.25">
      <c r="A140" s="66" t="s">
        <v>473</v>
      </c>
      <c r="B140" s="67">
        <v>512207004</v>
      </c>
      <c r="C140" s="66" t="s">
        <v>474</v>
      </c>
      <c r="D140" s="68">
        <v>-240</v>
      </c>
      <c r="E140" s="58">
        <f t="shared" si="50"/>
        <v>-4.0244219362251871E-4</v>
      </c>
      <c r="F140" s="58">
        <f t="shared" si="51"/>
        <v>0</v>
      </c>
      <c r="G140" s="68">
        <v>-240</v>
      </c>
      <c r="H140" s="58">
        <f t="shared" si="52"/>
        <v>-3.235092209833257E-4</v>
      </c>
      <c r="I140" s="58">
        <f t="shared" si="53"/>
        <v>0</v>
      </c>
      <c r="J140" s="68">
        <v>-240</v>
      </c>
      <c r="K140" s="58">
        <f t="shared" si="54"/>
        <v>-3.3681134079711011E-4</v>
      </c>
      <c r="L140" s="58">
        <f t="shared" si="55"/>
        <v>0.67333333333333334</v>
      </c>
      <c r="M140" s="68">
        <v>-401.6</v>
      </c>
      <c r="N140" s="58">
        <f t="shared" si="56"/>
        <v>-5.546323575362364E-4</v>
      </c>
      <c r="O140" s="58">
        <f t="shared" si="57"/>
        <v>-1</v>
      </c>
      <c r="P140" s="68">
        <v>0</v>
      </c>
      <c r="Q140" s="58">
        <f t="shared" si="58"/>
        <v>0</v>
      </c>
      <c r="R140" s="58">
        <f t="shared" si="59"/>
        <v>0</v>
      </c>
      <c r="S140" s="68">
        <v>-100</v>
      </c>
      <c r="T140" s="58">
        <f t="shared" si="60"/>
        <v>-1.5033955541646807E-4</v>
      </c>
      <c r="U140" s="58">
        <f t="shared" si="61"/>
        <v>2.4000000000000021E-2</v>
      </c>
      <c r="V140" s="68">
        <v>-102.4</v>
      </c>
      <c r="W140" s="58">
        <f t="shared" si="62"/>
        <v>-1.4415594610054223E-4</v>
      </c>
      <c r="X140" s="58">
        <f t="shared" si="63"/>
        <v>1.5390625</v>
      </c>
      <c r="Y140" s="68">
        <v>-260</v>
      </c>
      <c r="Z140" s="58">
        <f t="shared" si="64"/>
        <v>-4.7750562813845171E-4</v>
      </c>
      <c r="AA140" s="58">
        <f t="shared" si="65"/>
        <v>4.6984615384615385</v>
      </c>
      <c r="AB140" s="68">
        <v>-1481.6</v>
      </c>
      <c r="AC140" s="58">
        <f t="shared" si="66"/>
        <v>-3.5695429900810742E-3</v>
      </c>
      <c r="AD140" s="58">
        <f t="shared" si="67"/>
        <v>-0.93250539956803458</v>
      </c>
      <c r="AE140" s="68">
        <v>-100</v>
      </c>
      <c r="AF140" s="58">
        <f t="shared" si="68"/>
        <v>-2.8210454049514764E-4</v>
      </c>
      <c r="AG140" s="58">
        <f t="shared" si="69"/>
        <v>-0.96219999999999994</v>
      </c>
      <c r="AH140" s="68">
        <v>-3.78</v>
      </c>
      <c r="AI140" s="58">
        <f t="shared" si="70"/>
        <v>-1.1555834444512413E-5</v>
      </c>
      <c r="AJ140" s="58">
        <f t="shared" si="71"/>
        <v>-1</v>
      </c>
      <c r="AK140" s="68">
        <v>0</v>
      </c>
      <c r="AL140" s="58">
        <f t="shared" si="72"/>
        <v>0</v>
      </c>
      <c r="AM140" s="68">
        <f>SUM(D140:AK140)</f>
        <v>-3166.346100627381</v>
      </c>
      <c r="AN140" s="58">
        <f t="shared" si="73"/>
        <v>-4.5584718440962299E-4</v>
      </c>
      <c r="AO140" s="73"/>
      <c r="AP140" s="73"/>
      <c r="AQ140" s="64"/>
      <c r="AR140" s="64"/>
      <c r="AS140" s="64"/>
      <c r="AT140" s="60"/>
      <c r="AU140" s="61"/>
      <c r="AV140" s="65"/>
      <c r="AW140" s="62"/>
      <c r="AX140" s="61"/>
      <c r="AY140" s="64"/>
      <c r="AZ140" s="64"/>
      <c r="BA140" s="64"/>
      <c r="BB140" s="64"/>
      <c r="BC140" s="69"/>
      <c r="BD140" s="70"/>
      <c r="BE140" s="71"/>
      <c r="BF140" s="72"/>
      <c r="BG140" s="70"/>
      <c r="BH140" s="73"/>
      <c r="BI140" s="73"/>
      <c r="BJ140" s="73"/>
      <c r="BK140" s="73"/>
      <c r="BL140" s="69"/>
      <c r="BM140" s="70"/>
      <c r="BN140" s="71"/>
      <c r="BO140" s="72"/>
      <c r="BP140" s="70"/>
      <c r="BQ140" s="73"/>
      <c r="BR140" s="73"/>
      <c r="BS140" s="73"/>
      <c r="BT140" s="73"/>
    </row>
    <row r="141" spans="1:72" s="74" customFormat="1" x14ac:dyDescent="0.25">
      <c r="A141" s="66" t="s">
        <v>699</v>
      </c>
      <c r="B141" s="67">
        <v>512207005</v>
      </c>
      <c r="C141" s="66" t="s">
        <v>700</v>
      </c>
      <c r="D141" s="68">
        <v>-75.569999999999993</v>
      </c>
      <c r="E141" s="58">
        <f t="shared" si="50"/>
        <v>-1.2671898571689057E-4</v>
      </c>
      <c r="F141" s="58">
        <f t="shared" si="51"/>
        <v>0</v>
      </c>
      <c r="G141" s="68">
        <v>-75.569999999999993</v>
      </c>
      <c r="H141" s="58">
        <f t="shared" si="52"/>
        <v>-1.0186496595712467E-4</v>
      </c>
      <c r="I141" s="58">
        <f t="shared" si="53"/>
        <v>0</v>
      </c>
      <c r="J141" s="68">
        <v>-75.569999999999993</v>
      </c>
      <c r="K141" s="58">
        <f t="shared" si="54"/>
        <v>-1.0605347093349004E-4</v>
      </c>
      <c r="L141" s="58">
        <f t="shared" si="55"/>
        <v>-1</v>
      </c>
      <c r="M141" s="68">
        <v>0</v>
      </c>
      <c r="N141" s="58">
        <f t="shared" si="56"/>
        <v>0</v>
      </c>
      <c r="O141" s="58">
        <f t="shared" si="57"/>
        <v>0</v>
      </c>
      <c r="P141" s="68">
        <v>0</v>
      </c>
      <c r="Q141" s="58">
        <f t="shared" si="58"/>
        <v>0</v>
      </c>
      <c r="R141" s="58">
        <f t="shared" si="59"/>
        <v>0</v>
      </c>
      <c r="S141" s="68">
        <v>0</v>
      </c>
      <c r="T141" s="58">
        <f t="shared" si="60"/>
        <v>0</v>
      </c>
      <c r="U141" s="58">
        <f t="shared" si="61"/>
        <v>0</v>
      </c>
      <c r="V141" s="68">
        <v>0</v>
      </c>
      <c r="W141" s="58">
        <f t="shared" si="62"/>
        <v>0</v>
      </c>
      <c r="X141" s="58">
        <f t="shared" si="63"/>
        <v>0</v>
      </c>
      <c r="Y141" s="68">
        <v>0</v>
      </c>
      <c r="Z141" s="58">
        <f t="shared" si="64"/>
        <v>0</v>
      </c>
      <c r="AA141" s="58">
        <f t="shared" si="65"/>
        <v>0</v>
      </c>
      <c r="AB141" s="68">
        <v>0</v>
      </c>
      <c r="AC141" s="58">
        <f t="shared" si="66"/>
        <v>0</v>
      </c>
      <c r="AD141" s="58">
        <f t="shared" si="67"/>
        <v>0</v>
      </c>
      <c r="AE141" s="68">
        <v>0</v>
      </c>
      <c r="AF141" s="58">
        <f t="shared" si="68"/>
        <v>0</v>
      </c>
      <c r="AG141" s="58">
        <f t="shared" si="69"/>
        <v>0</v>
      </c>
      <c r="AH141" s="68">
        <v>0</v>
      </c>
      <c r="AI141" s="58">
        <f t="shared" si="70"/>
        <v>0</v>
      </c>
      <c r="AJ141" s="58">
        <f t="shared" si="71"/>
        <v>0</v>
      </c>
      <c r="AK141" s="68">
        <v>0</v>
      </c>
      <c r="AL141" s="58">
        <f t="shared" si="72"/>
        <v>0</v>
      </c>
      <c r="AM141" s="68">
        <f>SUM(D141:AK141)</f>
        <v>-227.71033463742259</v>
      </c>
      <c r="AN141" s="58">
        <f t="shared" si="73"/>
        <v>-3.2782618073518539E-5</v>
      </c>
      <c r="AO141" s="73"/>
      <c r="AP141" s="73"/>
      <c r="AQ141" s="73"/>
      <c r="AR141" s="73"/>
      <c r="AS141" s="73"/>
      <c r="AT141" s="69"/>
      <c r="AU141" s="70"/>
      <c r="AV141" s="71"/>
      <c r="AW141" s="72"/>
      <c r="AX141" s="70"/>
      <c r="AY141" s="73"/>
      <c r="AZ141" s="73"/>
      <c r="BA141" s="73"/>
      <c r="BB141" s="73"/>
      <c r="BC141" s="69"/>
      <c r="BD141" s="70"/>
      <c r="BE141" s="71"/>
      <c r="BF141" s="72"/>
      <c r="BG141" s="70"/>
      <c r="BH141" s="73"/>
      <c r="BI141" s="73"/>
      <c r="BJ141" s="73"/>
      <c r="BK141" s="73"/>
      <c r="BL141" s="69"/>
      <c r="BM141" s="70"/>
      <c r="BN141" s="71"/>
      <c r="BO141" s="72"/>
      <c r="BP141" s="70"/>
      <c r="BQ141" s="73"/>
      <c r="BR141" s="73"/>
      <c r="BS141" s="73"/>
      <c r="BT141" s="73"/>
    </row>
    <row r="142" spans="1:72" s="74" customFormat="1" x14ac:dyDescent="0.25">
      <c r="A142" s="66" t="s">
        <v>475</v>
      </c>
      <c r="B142" s="67">
        <v>512207011</v>
      </c>
      <c r="C142" s="66" t="s">
        <v>476</v>
      </c>
      <c r="D142" s="68">
        <v>0</v>
      </c>
      <c r="E142" s="58">
        <f t="shared" si="50"/>
        <v>0</v>
      </c>
      <c r="F142" s="58">
        <f t="shared" si="51"/>
        <v>0</v>
      </c>
      <c r="G142" s="68">
        <v>0</v>
      </c>
      <c r="H142" s="58">
        <f t="shared" si="52"/>
        <v>0</v>
      </c>
      <c r="I142" s="58">
        <f t="shared" si="53"/>
        <v>0</v>
      </c>
      <c r="J142" s="68">
        <v>0</v>
      </c>
      <c r="K142" s="58">
        <f t="shared" si="54"/>
        <v>0</v>
      </c>
      <c r="L142" s="58">
        <f t="shared" si="55"/>
        <v>0</v>
      </c>
      <c r="M142" s="68">
        <v>0</v>
      </c>
      <c r="N142" s="58">
        <f t="shared" si="56"/>
        <v>0</v>
      </c>
      <c r="O142" s="58">
        <f t="shared" si="57"/>
        <v>0</v>
      </c>
      <c r="P142" s="68">
        <v>0</v>
      </c>
      <c r="Q142" s="58">
        <f t="shared" si="58"/>
        <v>0</v>
      </c>
      <c r="R142" s="58">
        <f t="shared" si="59"/>
        <v>0</v>
      </c>
      <c r="S142" s="68">
        <v>0</v>
      </c>
      <c r="T142" s="58">
        <f t="shared" si="60"/>
        <v>0</v>
      </c>
      <c r="U142" s="58">
        <f t="shared" si="61"/>
        <v>0</v>
      </c>
      <c r="V142" s="68">
        <v>0</v>
      </c>
      <c r="W142" s="58">
        <f t="shared" si="62"/>
        <v>0</v>
      </c>
      <c r="X142" s="58">
        <f t="shared" si="63"/>
        <v>0</v>
      </c>
      <c r="Y142" s="68">
        <v>0</v>
      </c>
      <c r="Z142" s="58">
        <f t="shared" si="64"/>
        <v>0</v>
      </c>
      <c r="AA142" s="58">
        <f t="shared" si="65"/>
        <v>0</v>
      </c>
      <c r="AB142" s="68">
        <v>0</v>
      </c>
      <c r="AC142" s="58">
        <f t="shared" si="66"/>
        <v>0</v>
      </c>
      <c r="AD142" s="58">
        <f t="shared" si="67"/>
        <v>0</v>
      </c>
      <c r="AE142" s="68">
        <v>0</v>
      </c>
      <c r="AF142" s="58">
        <f t="shared" si="68"/>
        <v>0</v>
      </c>
      <c r="AG142" s="58">
        <f t="shared" si="69"/>
        <v>0</v>
      </c>
      <c r="AH142" s="68">
        <v>-601.33000000000004</v>
      </c>
      <c r="AI142" s="58">
        <f t="shared" si="70"/>
        <v>-1.8383253773858865E-3</v>
      </c>
      <c r="AJ142" s="58">
        <f t="shared" si="71"/>
        <v>-7.3062877288676757</v>
      </c>
      <c r="AK142" s="68">
        <v>3792.16</v>
      </c>
      <c r="AL142" s="58">
        <f t="shared" si="72"/>
        <v>1.9041024596882828E-2</v>
      </c>
      <c r="AM142" s="68">
        <f>SUM(D142:AK142)</f>
        <v>3183.5218739457546</v>
      </c>
      <c r="AN142" s="58">
        <f t="shared" si="73"/>
        <v>4.58319917224803E-4</v>
      </c>
      <c r="AO142" s="73"/>
      <c r="AP142" s="73"/>
      <c r="AQ142" s="73"/>
      <c r="AR142" s="73"/>
      <c r="AS142" s="73"/>
      <c r="AT142" s="60"/>
      <c r="AU142" s="61"/>
      <c r="AV142" s="65"/>
      <c r="AW142" s="62"/>
      <c r="AX142" s="61"/>
      <c r="AY142" s="64"/>
      <c r="AZ142" s="64"/>
      <c r="BA142" s="64"/>
      <c r="BB142" s="64"/>
      <c r="BC142" s="69"/>
      <c r="BD142" s="70"/>
      <c r="BE142" s="71"/>
      <c r="BF142" s="72"/>
      <c r="BG142" s="70"/>
      <c r="BH142" s="73"/>
      <c r="BI142" s="73"/>
      <c r="BJ142" s="73"/>
      <c r="BK142" s="73"/>
      <c r="BL142" s="69"/>
      <c r="BM142" s="70"/>
      <c r="BN142" s="71"/>
      <c r="BO142" s="72"/>
      <c r="BP142" s="70"/>
      <c r="BQ142" s="73"/>
      <c r="BR142" s="73"/>
      <c r="BS142" s="73"/>
      <c r="BT142" s="73"/>
    </row>
    <row r="143" spans="1:72" s="74" customFormat="1" x14ac:dyDescent="0.25">
      <c r="A143" s="66" t="s">
        <v>477</v>
      </c>
      <c r="B143" s="67">
        <v>512207012</v>
      </c>
      <c r="C143" s="66" t="s">
        <v>478</v>
      </c>
      <c r="D143" s="68">
        <v>-109.66999999999999</v>
      </c>
      <c r="E143" s="58">
        <f t="shared" si="50"/>
        <v>-1.8389931406075677E-4</v>
      </c>
      <c r="F143" s="58">
        <f t="shared" si="51"/>
        <v>10.779155648764478</v>
      </c>
      <c r="G143" s="68">
        <v>-1291.8200000000002</v>
      </c>
      <c r="H143" s="58">
        <f t="shared" si="52"/>
        <v>-1.7413153410444993E-3</v>
      </c>
      <c r="I143" s="58">
        <f t="shared" si="53"/>
        <v>0.53532999953553895</v>
      </c>
      <c r="J143" s="68">
        <v>-1983.3700000000001</v>
      </c>
      <c r="K143" s="58">
        <f t="shared" si="54"/>
        <v>-2.7834229541531847E-3</v>
      </c>
      <c r="L143" s="58">
        <f t="shared" si="55"/>
        <v>-0.21707497844577672</v>
      </c>
      <c r="M143" s="68">
        <v>-1552.83</v>
      </c>
      <c r="N143" s="58">
        <f t="shared" si="56"/>
        <v>-2.1445462244845462E-3</v>
      </c>
      <c r="O143" s="58">
        <f t="shared" si="57"/>
        <v>-0.53785024761242384</v>
      </c>
      <c r="P143" s="68">
        <v>-717.64</v>
      </c>
      <c r="Q143" s="58">
        <f t="shared" si="58"/>
        <v>-7.5115835329559366E-4</v>
      </c>
      <c r="R143" s="58">
        <f t="shared" si="59"/>
        <v>-0.92062872749568025</v>
      </c>
      <c r="S143" s="68">
        <v>-56.96</v>
      </c>
      <c r="T143" s="58">
        <f t="shared" si="60"/>
        <v>-8.5633410765220217E-5</v>
      </c>
      <c r="U143" s="58">
        <f t="shared" si="61"/>
        <v>8.4234550561797743</v>
      </c>
      <c r="V143" s="68">
        <v>-536.76</v>
      </c>
      <c r="W143" s="58">
        <f t="shared" si="62"/>
        <v>-7.5563618778249069E-4</v>
      </c>
      <c r="X143" s="58">
        <f t="shared" si="63"/>
        <v>5.2565392354124754</v>
      </c>
      <c r="Y143" s="68">
        <v>-3358.26</v>
      </c>
      <c r="Z143" s="58">
        <f t="shared" si="64"/>
        <v>-6.1676463490470653E-3</v>
      </c>
      <c r="AA143" s="58">
        <f t="shared" si="65"/>
        <v>-0.82807465770964728</v>
      </c>
      <c r="AB143" s="68">
        <v>-577.37</v>
      </c>
      <c r="AC143" s="58">
        <f t="shared" si="66"/>
        <v>-1.3910279671862243E-3</v>
      </c>
      <c r="AD143" s="58">
        <f t="shared" si="67"/>
        <v>-0.85517086097303285</v>
      </c>
      <c r="AE143" s="68">
        <v>-83.62</v>
      </c>
      <c r="AF143" s="58">
        <f t="shared" si="68"/>
        <v>-2.3589581676204246E-4</v>
      </c>
      <c r="AG143" s="58">
        <f t="shared" si="69"/>
        <v>-1</v>
      </c>
      <c r="AH143" s="68">
        <v>0</v>
      </c>
      <c r="AI143" s="58">
        <f t="shared" si="70"/>
        <v>0</v>
      </c>
      <c r="AJ143" s="58">
        <f t="shared" si="71"/>
        <v>0</v>
      </c>
      <c r="AK143" s="68">
        <v>0</v>
      </c>
      <c r="AL143" s="58">
        <f t="shared" si="72"/>
        <v>0</v>
      </c>
      <c r="AM143" s="68">
        <f>SUM(D143:AK143)</f>
        <v>-10247.680559714267</v>
      </c>
      <c r="AN143" s="58">
        <f t="shared" si="73"/>
        <v>-1.4753208213560071E-3</v>
      </c>
      <c r="AO143" s="64"/>
      <c r="AP143" s="64"/>
      <c r="AQ143" s="73"/>
      <c r="AR143" s="73"/>
      <c r="AS143" s="73"/>
      <c r="AT143" s="69"/>
      <c r="AU143" s="70"/>
      <c r="AV143" s="71"/>
      <c r="AW143" s="72"/>
      <c r="AX143" s="70"/>
      <c r="AY143" s="73"/>
      <c r="AZ143" s="73"/>
      <c r="BA143" s="73"/>
      <c r="BB143" s="73"/>
      <c r="BC143" s="60"/>
      <c r="BD143" s="61"/>
      <c r="BE143" s="65"/>
      <c r="BF143" s="62"/>
      <c r="BG143" s="61"/>
      <c r="BH143" s="64"/>
      <c r="BI143" s="64"/>
      <c r="BJ143" s="64"/>
      <c r="BK143" s="64"/>
      <c r="BL143" s="60"/>
      <c r="BM143" s="61"/>
      <c r="BN143" s="65"/>
      <c r="BO143" s="62"/>
      <c r="BP143" s="61"/>
      <c r="BQ143" s="64"/>
      <c r="BR143" s="64"/>
      <c r="BS143" s="64"/>
      <c r="BT143" s="64"/>
    </row>
    <row r="144" spans="1:72" s="74" customFormat="1" x14ac:dyDescent="0.25">
      <c r="A144" s="66" t="s">
        <v>479</v>
      </c>
      <c r="B144" s="67">
        <v>512207013</v>
      </c>
      <c r="C144" s="66" t="s">
        <v>480</v>
      </c>
      <c r="D144" s="68">
        <v>-1309.3499999999999</v>
      </c>
      <c r="E144" s="58">
        <f t="shared" si="50"/>
        <v>-2.1955736925818536E-3</v>
      </c>
      <c r="F144" s="58">
        <f t="shared" si="51"/>
        <v>0.4877305533279872</v>
      </c>
      <c r="G144" s="68">
        <v>-1947.96</v>
      </c>
      <c r="H144" s="58">
        <f t="shared" si="52"/>
        <v>-2.6257625921111629E-3</v>
      </c>
      <c r="I144" s="58">
        <f t="shared" si="53"/>
        <v>-0.97331567383313822</v>
      </c>
      <c r="J144" s="68">
        <v>-51.98</v>
      </c>
      <c r="K144" s="58">
        <f t="shared" si="54"/>
        <v>-7.2947722894307421E-5</v>
      </c>
      <c r="L144" s="58">
        <f t="shared" si="55"/>
        <v>32.445555983070413</v>
      </c>
      <c r="M144" s="68">
        <v>-1738.5</v>
      </c>
      <c r="N144" s="58">
        <f t="shared" si="56"/>
        <v>-2.4009670158783537E-3</v>
      </c>
      <c r="O144" s="58">
        <f t="shared" si="57"/>
        <v>-0.11914869140063278</v>
      </c>
      <c r="P144" s="68">
        <v>-1531.36</v>
      </c>
      <c r="Q144" s="58">
        <f t="shared" si="58"/>
        <v>-1.6028842538079542E-3</v>
      </c>
      <c r="R144" s="58">
        <f t="shared" si="59"/>
        <v>-0.67987932295475906</v>
      </c>
      <c r="S144" s="68">
        <v>-490.22</v>
      </c>
      <c r="T144" s="58">
        <f t="shared" si="60"/>
        <v>-7.3699456856260979E-4</v>
      </c>
      <c r="U144" s="58">
        <f t="shared" si="61"/>
        <v>-0.38802986414262985</v>
      </c>
      <c r="V144" s="68">
        <v>-300</v>
      </c>
      <c r="W144" s="58">
        <f t="shared" si="62"/>
        <v>-4.2233187334143229E-4</v>
      </c>
      <c r="X144" s="58">
        <f t="shared" si="63"/>
        <v>0.12316666666666665</v>
      </c>
      <c r="Y144" s="68">
        <v>-336.95</v>
      </c>
      <c r="Z144" s="58">
        <f t="shared" si="64"/>
        <v>-6.1882892846635109E-4</v>
      </c>
      <c r="AA144" s="58">
        <f t="shared" si="65"/>
        <v>-1</v>
      </c>
      <c r="AB144" s="68">
        <v>0</v>
      </c>
      <c r="AC144" s="58">
        <f t="shared" si="66"/>
        <v>0</v>
      </c>
      <c r="AD144" s="58">
        <f t="shared" si="67"/>
        <v>0</v>
      </c>
      <c r="AE144" s="68">
        <v>0</v>
      </c>
      <c r="AF144" s="58">
        <f t="shared" si="68"/>
        <v>0</v>
      </c>
      <c r="AG144" s="58">
        <f t="shared" si="69"/>
        <v>0</v>
      </c>
      <c r="AH144" s="68">
        <v>0</v>
      </c>
      <c r="AI144" s="58">
        <f t="shared" si="70"/>
        <v>0</v>
      </c>
      <c r="AJ144" s="58">
        <f t="shared" si="71"/>
        <v>0</v>
      </c>
      <c r="AK144" s="68">
        <v>0</v>
      </c>
      <c r="AL144" s="58">
        <f t="shared" si="72"/>
        <v>0</v>
      </c>
      <c r="AM144" s="68">
        <f>SUM(D144:AK144)</f>
        <v>-7676.4345966399133</v>
      </c>
      <c r="AN144" s="58">
        <f t="shared" si="73"/>
        <v>-1.1051480116117361E-3</v>
      </c>
      <c r="AO144" s="73"/>
      <c r="AP144" s="73"/>
      <c r="AQ144" s="64"/>
      <c r="AR144" s="64"/>
      <c r="AS144" s="64"/>
      <c r="AT144" s="69"/>
      <c r="AU144" s="70"/>
      <c r="AV144" s="71"/>
      <c r="AW144" s="72"/>
      <c r="AX144" s="70"/>
      <c r="AY144" s="73"/>
      <c r="AZ144" s="73"/>
      <c r="BA144" s="73"/>
      <c r="BB144" s="73"/>
      <c r="BC144" s="69"/>
      <c r="BD144" s="70"/>
      <c r="BE144" s="71"/>
      <c r="BF144" s="72"/>
      <c r="BG144" s="70"/>
      <c r="BH144" s="73"/>
      <c r="BI144" s="73"/>
      <c r="BJ144" s="73"/>
      <c r="BK144" s="73"/>
      <c r="BL144" s="69"/>
      <c r="BM144" s="70"/>
      <c r="BN144" s="71"/>
      <c r="BO144" s="72"/>
      <c r="BP144" s="70"/>
      <c r="BQ144" s="73"/>
      <c r="BR144" s="73"/>
      <c r="BS144" s="73"/>
      <c r="BT144" s="73"/>
    </row>
    <row r="145" spans="1:72" s="74" customFormat="1" x14ac:dyDescent="0.25">
      <c r="A145" s="66" t="s">
        <v>481</v>
      </c>
      <c r="B145" s="67">
        <v>512207099</v>
      </c>
      <c r="C145" s="66" t="s">
        <v>482</v>
      </c>
      <c r="D145" s="68">
        <v>-17</v>
      </c>
      <c r="E145" s="58">
        <f t="shared" si="50"/>
        <v>-2.8506322048261744E-5</v>
      </c>
      <c r="F145" s="58">
        <f t="shared" si="51"/>
        <v>-1</v>
      </c>
      <c r="G145" s="68">
        <v>0</v>
      </c>
      <c r="H145" s="58">
        <f t="shared" si="52"/>
        <v>0</v>
      </c>
      <c r="I145" s="58">
        <f t="shared" si="53"/>
        <v>0</v>
      </c>
      <c r="J145" s="68">
        <v>0</v>
      </c>
      <c r="K145" s="58">
        <f t="shared" si="54"/>
        <v>0</v>
      </c>
      <c r="L145" s="58">
        <f t="shared" si="55"/>
        <v>0</v>
      </c>
      <c r="M145" s="68">
        <v>0</v>
      </c>
      <c r="N145" s="58">
        <f t="shared" si="56"/>
        <v>0</v>
      </c>
      <c r="O145" s="58">
        <f t="shared" si="57"/>
        <v>0</v>
      </c>
      <c r="P145" s="68">
        <v>0</v>
      </c>
      <c r="Q145" s="58">
        <f t="shared" si="58"/>
        <v>0</v>
      </c>
      <c r="R145" s="58">
        <f t="shared" si="59"/>
        <v>0</v>
      </c>
      <c r="S145" s="68">
        <v>0</v>
      </c>
      <c r="T145" s="58">
        <f t="shared" si="60"/>
        <v>0</v>
      </c>
      <c r="U145" s="58">
        <f t="shared" si="61"/>
        <v>0</v>
      </c>
      <c r="V145" s="68">
        <v>-10.3</v>
      </c>
      <c r="W145" s="58">
        <f t="shared" si="62"/>
        <v>-1.4500060984722509E-5</v>
      </c>
      <c r="X145" s="58">
        <f t="shared" si="63"/>
        <v>-0.70873786407766992</v>
      </c>
      <c r="Y145" s="68">
        <v>-3</v>
      </c>
      <c r="Z145" s="58">
        <f t="shared" si="64"/>
        <v>-5.5096803246744425E-6</v>
      </c>
      <c r="AA145" s="58">
        <f t="shared" si="65"/>
        <v>-1</v>
      </c>
      <c r="AB145" s="68">
        <v>0</v>
      </c>
      <c r="AC145" s="58">
        <f t="shared" si="66"/>
        <v>0</v>
      </c>
      <c r="AD145" s="58">
        <f t="shared" si="67"/>
        <v>0</v>
      </c>
      <c r="AE145" s="68">
        <v>0</v>
      </c>
      <c r="AF145" s="58">
        <f t="shared" si="68"/>
        <v>0</v>
      </c>
      <c r="AG145" s="58">
        <f t="shared" si="69"/>
        <v>0</v>
      </c>
      <c r="AH145" s="68">
        <v>0</v>
      </c>
      <c r="AI145" s="58">
        <f t="shared" si="70"/>
        <v>0</v>
      </c>
      <c r="AJ145" s="58">
        <f t="shared" si="71"/>
        <v>0</v>
      </c>
      <c r="AK145" s="68">
        <v>-14173.92</v>
      </c>
      <c r="AL145" s="58">
        <f t="shared" si="72"/>
        <v>-7.1169454705036037E-2</v>
      </c>
      <c r="AM145" s="68">
        <f>SUM(D145:AK145)</f>
        <v>-14206.928786380142</v>
      </c>
      <c r="AN145" s="58">
        <f t="shared" si="73"/>
        <v>-2.0453192040807591E-3</v>
      </c>
      <c r="AO145" s="73"/>
      <c r="AP145" s="73"/>
      <c r="AQ145" s="73"/>
      <c r="AR145" s="73"/>
      <c r="AS145" s="73"/>
      <c r="AT145" s="60"/>
      <c r="AU145" s="61"/>
      <c r="AV145" s="65"/>
      <c r="AW145" s="62"/>
      <c r="AX145" s="61"/>
      <c r="AY145" s="64"/>
      <c r="AZ145" s="64"/>
      <c r="BA145" s="64"/>
      <c r="BB145" s="64"/>
      <c r="BC145" s="60"/>
      <c r="BD145" s="61"/>
      <c r="BE145" s="65"/>
      <c r="BF145" s="62"/>
      <c r="BG145" s="61"/>
      <c r="BH145" s="64"/>
      <c r="BI145" s="64"/>
      <c r="BJ145" s="64"/>
      <c r="BK145" s="64"/>
      <c r="BL145" s="60"/>
      <c r="BM145" s="61"/>
      <c r="BN145" s="65"/>
      <c r="BO145" s="62"/>
      <c r="BP145" s="61"/>
      <c r="BQ145" s="64"/>
      <c r="BR145" s="64"/>
      <c r="BS145" s="64"/>
      <c r="BT145" s="64"/>
    </row>
    <row r="146" spans="1:72" s="63" customFormat="1" x14ac:dyDescent="0.25">
      <c r="A146" s="55" t="s">
        <v>483</v>
      </c>
      <c r="B146" s="56">
        <v>5123</v>
      </c>
      <c r="C146" s="55" t="s">
        <v>484</v>
      </c>
      <c r="D146" s="57">
        <f>D147</f>
        <v>-9481.43</v>
      </c>
      <c r="E146" s="58">
        <f t="shared" si="50"/>
        <v>-1.589886453282649E-2</v>
      </c>
      <c r="F146" s="58">
        <f t="shared" si="51"/>
        <v>0.11780079587150882</v>
      </c>
      <c r="G146" s="57">
        <f t="shared" ref="G146:AK146" si="87">G147</f>
        <v>-10598.35</v>
      </c>
      <c r="H146" s="58">
        <f t="shared" si="52"/>
        <v>-1.4286099800869291E-2</v>
      </c>
      <c r="I146" s="58">
        <f t="shared" si="53"/>
        <v>0.14320059254506612</v>
      </c>
      <c r="J146" s="57">
        <f t="shared" si="87"/>
        <v>-12116.04</v>
      </c>
      <c r="K146" s="58">
        <f t="shared" si="54"/>
        <v>-1.7003415323130908E-2</v>
      </c>
      <c r="L146" s="58">
        <f t="shared" si="55"/>
        <v>0.15441018682671892</v>
      </c>
      <c r="M146" s="57">
        <f t="shared" si="87"/>
        <v>-13986.88</v>
      </c>
      <c r="N146" s="58">
        <f t="shared" si="56"/>
        <v>-1.9316673876933348E-2</v>
      </c>
      <c r="O146" s="58">
        <f t="shared" si="57"/>
        <v>-8.6794195703401966E-2</v>
      </c>
      <c r="P146" s="57">
        <f t="shared" si="87"/>
        <v>-12772.9</v>
      </c>
      <c r="Q146" s="58">
        <f t="shared" si="58"/>
        <v>-1.3369475685314765E-2</v>
      </c>
      <c r="R146" s="58">
        <f t="shared" si="59"/>
        <v>-0.24282191201684811</v>
      </c>
      <c r="S146" s="57">
        <f t="shared" si="87"/>
        <v>-9671.36</v>
      </c>
      <c r="T146" s="58">
        <f t="shared" si="60"/>
        <v>-1.4539879626726126E-2</v>
      </c>
      <c r="U146" s="58">
        <f t="shared" si="61"/>
        <v>0.44363253978757888</v>
      </c>
      <c r="V146" s="57">
        <f t="shared" si="87"/>
        <v>-13961.89</v>
      </c>
      <c r="W146" s="58">
        <f t="shared" si="62"/>
        <v>-1.9655170530290034E-2</v>
      </c>
      <c r="X146" s="58">
        <f t="shared" si="63"/>
        <v>-0.22301780059862952</v>
      </c>
      <c r="Y146" s="57">
        <f t="shared" si="87"/>
        <v>-10848.14</v>
      </c>
      <c r="Z146" s="58">
        <f t="shared" si="64"/>
        <v>-1.9923261172437937E-2</v>
      </c>
      <c r="AA146" s="58">
        <f t="shared" si="65"/>
        <v>-0.30044228780233295</v>
      </c>
      <c r="AB146" s="57">
        <f t="shared" si="87"/>
        <v>-7588.9</v>
      </c>
      <c r="AC146" s="58">
        <f t="shared" si="66"/>
        <v>-1.8283548054418376E-2</v>
      </c>
      <c r="AD146" s="58">
        <f t="shared" si="67"/>
        <v>-0.82670742795398544</v>
      </c>
      <c r="AE146" s="57">
        <f t="shared" si="87"/>
        <v>-1315.1</v>
      </c>
      <c r="AF146" s="58">
        <f t="shared" si="68"/>
        <v>-3.7099568120516862E-3</v>
      </c>
      <c r="AG146" s="58">
        <f t="shared" si="69"/>
        <v>4.4048817580412143</v>
      </c>
      <c r="AH146" s="57">
        <f t="shared" si="87"/>
        <v>-7107.96</v>
      </c>
      <c r="AI146" s="58">
        <f t="shared" si="70"/>
        <v>-2.1729737830215996E-2</v>
      </c>
      <c r="AJ146" s="58">
        <f t="shared" si="71"/>
        <v>6.6539865165251353</v>
      </c>
      <c r="AK146" s="57">
        <f t="shared" si="87"/>
        <v>-54404.23</v>
      </c>
      <c r="AL146" s="58">
        <f t="shared" si="72"/>
        <v>-0.2731720923179588</v>
      </c>
      <c r="AM146" s="57">
        <f>SUM(D146:AK146)</f>
        <v>-163843.11958731775</v>
      </c>
      <c r="AN146" s="58">
        <f t="shared" si="73"/>
        <v>-2.3587890386957178E-2</v>
      </c>
      <c r="AO146" s="64"/>
      <c r="AP146" s="64"/>
      <c r="AQ146" s="64"/>
      <c r="AR146" s="64"/>
      <c r="AS146" s="64"/>
      <c r="AT146" s="60"/>
      <c r="AU146" s="61"/>
      <c r="AV146" s="65"/>
      <c r="AW146" s="62"/>
      <c r="AX146" s="61"/>
      <c r="AY146" s="64"/>
      <c r="AZ146" s="64"/>
      <c r="BA146" s="64"/>
      <c r="BB146" s="64"/>
      <c r="BC146" s="60"/>
      <c r="BD146" s="61"/>
      <c r="BE146" s="65"/>
      <c r="BF146" s="62"/>
      <c r="BG146" s="61"/>
      <c r="BH146" s="64"/>
      <c r="BI146" s="64"/>
      <c r="BJ146" s="64"/>
      <c r="BK146" s="64"/>
      <c r="BL146" s="60"/>
      <c r="BM146" s="61"/>
      <c r="BN146" s="65"/>
      <c r="BO146" s="62"/>
      <c r="BP146" s="61"/>
      <c r="BQ146" s="64"/>
      <c r="BR146" s="64"/>
      <c r="BS146" s="64"/>
      <c r="BT146" s="64"/>
    </row>
    <row r="147" spans="1:72" s="63" customFormat="1" x14ac:dyDescent="0.25">
      <c r="A147" s="55" t="s">
        <v>485</v>
      </c>
      <c r="B147" s="56">
        <v>512301</v>
      </c>
      <c r="C147" s="55" t="s">
        <v>486</v>
      </c>
      <c r="D147" s="57">
        <f>SUM(D148:D153)</f>
        <v>-9481.43</v>
      </c>
      <c r="E147" s="58">
        <f t="shared" si="50"/>
        <v>-1.589886453282649E-2</v>
      </c>
      <c r="F147" s="58">
        <f t="shared" si="51"/>
        <v>0.11780079587150882</v>
      </c>
      <c r="G147" s="57">
        <f t="shared" ref="G147:AK147" si="88">SUM(G148:G153)</f>
        <v>-10598.35</v>
      </c>
      <c r="H147" s="58">
        <f t="shared" si="52"/>
        <v>-1.4286099800869291E-2</v>
      </c>
      <c r="I147" s="58">
        <f t="shared" si="53"/>
        <v>0.14320059254506612</v>
      </c>
      <c r="J147" s="57">
        <f t="shared" si="88"/>
        <v>-12116.04</v>
      </c>
      <c r="K147" s="58">
        <f t="shared" si="54"/>
        <v>-1.7003415323130908E-2</v>
      </c>
      <c r="L147" s="58">
        <f t="shared" si="55"/>
        <v>0.15441018682671892</v>
      </c>
      <c r="M147" s="57">
        <f t="shared" si="88"/>
        <v>-13986.88</v>
      </c>
      <c r="N147" s="58">
        <f t="shared" si="56"/>
        <v>-1.9316673876933348E-2</v>
      </c>
      <c r="O147" s="58">
        <f t="shared" si="57"/>
        <v>-8.6794195703401966E-2</v>
      </c>
      <c r="P147" s="57">
        <f t="shared" si="88"/>
        <v>-12772.9</v>
      </c>
      <c r="Q147" s="58">
        <f t="shared" si="58"/>
        <v>-1.3369475685314765E-2</v>
      </c>
      <c r="R147" s="58">
        <f t="shared" si="59"/>
        <v>-0.24282191201684811</v>
      </c>
      <c r="S147" s="57">
        <f t="shared" si="88"/>
        <v>-9671.36</v>
      </c>
      <c r="T147" s="58">
        <f t="shared" si="60"/>
        <v>-1.4539879626726126E-2</v>
      </c>
      <c r="U147" s="58">
        <f t="shared" si="61"/>
        <v>0.44363253978757888</v>
      </c>
      <c r="V147" s="57">
        <f t="shared" si="88"/>
        <v>-13961.89</v>
      </c>
      <c r="W147" s="58">
        <f t="shared" si="62"/>
        <v>-1.9655170530290034E-2</v>
      </c>
      <c r="X147" s="58">
        <f t="shared" si="63"/>
        <v>-0.22301780059862952</v>
      </c>
      <c r="Y147" s="57">
        <f t="shared" si="88"/>
        <v>-10848.14</v>
      </c>
      <c r="Z147" s="58">
        <f t="shared" si="64"/>
        <v>-1.9923261172437937E-2</v>
      </c>
      <c r="AA147" s="58">
        <f t="shared" si="65"/>
        <v>-0.30044228780233295</v>
      </c>
      <c r="AB147" s="57">
        <f t="shared" si="88"/>
        <v>-7588.9</v>
      </c>
      <c r="AC147" s="58">
        <f t="shared" si="66"/>
        <v>-1.8283548054418376E-2</v>
      </c>
      <c r="AD147" s="58">
        <f t="shared" si="67"/>
        <v>-0.82670742795398544</v>
      </c>
      <c r="AE147" s="57">
        <f t="shared" si="88"/>
        <v>-1315.1</v>
      </c>
      <c r="AF147" s="58">
        <f t="shared" si="68"/>
        <v>-3.7099568120516862E-3</v>
      </c>
      <c r="AG147" s="58">
        <f t="shared" si="69"/>
        <v>4.4048817580412143</v>
      </c>
      <c r="AH147" s="57">
        <f t="shared" si="88"/>
        <v>-7107.96</v>
      </c>
      <c r="AI147" s="58">
        <f t="shared" si="70"/>
        <v>-2.1729737830215996E-2</v>
      </c>
      <c r="AJ147" s="58">
        <f t="shared" si="71"/>
        <v>6.6539865165251353</v>
      </c>
      <c r="AK147" s="57">
        <f t="shared" si="88"/>
        <v>-54404.23</v>
      </c>
      <c r="AL147" s="58">
        <f t="shared" si="72"/>
        <v>-0.2731720923179588</v>
      </c>
      <c r="AM147" s="57">
        <f>SUM(D147:AK147)</f>
        <v>-163843.11958731775</v>
      </c>
      <c r="AN147" s="58">
        <f t="shared" si="73"/>
        <v>-2.3587890386957178E-2</v>
      </c>
      <c r="AO147" s="64"/>
      <c r="AP147" s="64"/>
      <c r="AQ147" s="64"/>
      <c r="AR147" s="64"/>
      <c r="AS147" s="64"/>
      <c r="AT147" s="60"/>
      <c r="AU147" s="61"/>
      <c r="AV147" s="65"/>
      <c r="AW147" s="62"/>
      <c r="AX147" s="61"/>
      <c r="AY147" s="64"/>
      <c r="AZ147" s="64"/>
      <c r="BA147" s="64"/>
      <c r="BB147" s="64"/>
      <c r="BC147" s="60"/>
      <c r="BD147" s="61"/>
      <c r="BE147" s="65"/>
      <c r="BF147" s="62"/>
      <c r="BG147" s="61"/>
      <c r="BH147" s="64"/>
      <c r="BI147" s="64"/>
      <c r="BJ147" s="64"/>
      <c r="BK147" s="64"/>
      <c r="BL147" s="60"/>
      <c r="BM147" s="61"/>
      <c r="BN147" s="65"/>
      <c r="BO147" s="62"/>
      <c r="BP147" s="61"/>
      <c r="BQ147" s="64"/>
      <c r="BR147" s="64"/>
      <c r="BS147" s="64"/>
      <c r="BT147" s="64"/>
    </row>
    <row r="148" spans="1:72" s="74" customFormat="1" x14ac:dyDescent="0.25">
      <c r="A148" s="66" t="s">
        <v>487</v>
      </c>
      <c r="B148" s="67">
        <v>512301001</v>
      </c>
      <c r="C148" s="66" t="s">
        <v>488</v>
      </c>
      <c r="D148" s="68">
        <v>0</v>
      </c>
      <c r="E148" s="58">
        <f t="shared" si="50"/>
        <v>0</v>
      </c>
      <c r="F148" s="58">
        <f t="shared" si="51"/>
        <v>0</v>
      </c>
      <c r="G148" s="68">
        <v>0</v>
      </c>
      <c r="H148" s="58">
        <f t="shared" si="52"/>
        <v>0</v>
      </c>
      <c r="I148" s="58">
        <f t="shared" si="53"/>
        <v>0</v>
      </c>
      <c r="J148" s="68">
        <v>0</v>
      </c>
      <c r="K148" s="58">
        <f t="shared" si="54"/>
        <v>0</v>
      </c>
      <c r="L148" s="58">
        <f t="shared" si="55"/>
        <v>0</v>
      </c>
      <c r="M148" s="68">
        <v>0</v>
      </c>
      <c r="N148" s="58">
        <f t="shared" si="56"/>
        <v>0</v>
      </c>
      <c r="O148" s="58">
        <f t="shared" si="57"/>
        <v>0</v>
      </c>
      <c r="P148" s="68">
        <v>0</v>
      </c>
      <c r="Q148" s="58">
        <f t="shared" si="58"/>
        <v>0</v>
      </c>
      <c r="R148" s="58">
        <f t="shared" si="59"/>
        <v>0</v>
      </c>
      <c r="S148" s="68">
        <v>0</v>
      </c>
      <c r="T148" s="58">
        <f t="shared" si="60"/>
        <v>0</v>
      </c>
      <c r="U148" s="58">
        <f t="shared" si="61"/>
        <v>0</v>
      </c>
      <c r="V148" s="68">
        <v>0</v>
      </c>
      <c r="W148" s="58">
        <f t="shared" si="62"/>
        <v>0</v>
      </c>
      <c r="X148" s="58">
        <f t="shared" si="63"/>
        <v>0</v>
      </c>
      <c r="Y148" s="68">
        <v>0</v>
      </c>
      <c r="Z148" s="58">
        <f t="shared" si="64"/>
        <v>0</v>
      </c>
      <c r="AA148" s="58">
        <f t="shared" si="65"/>
        <v>0</v>
      </c>
      <c r="AB148" s="68">
        <v>0</v>
      </c>
      <c r="AC148" s="58">
        <f t="shared" si="66"/>
        <v>0</v>
      </c>
      <c r="AD148" s="58">
        <f t="shared" si="67"/>
        <v>0</v>
      </c>
      <c r="AE148" s="68">
        <v>0</v>
      </c>
      <c r="AF148" s="58">
        <f t="shared" si="68"/>
        <v>0</v>
      </c>
      <c r="AG148" s="58">
        <f t="shared" si="69"/>
        <v>0</v>
      </c>
      <c r="AH148" s="68">
        <v>-1208.97</v>
      </c>
      <c r="AI148" s="58">
        <f t="shared" si="70"/>
        <v>-3.6959410498365541E-3</v>
      </c>
      <c r="AJ148" s="58">
        <f t="shared" si="71"/>
        <v>3.7687618385898736</v>
      </c>
      <c r="AK148" s="68">
        <v>-5765.29</v>
      </c>
      <c r="AL148" s="58">
        <f t="shared" si="72"/>
        <v>-2.8948416917578001E-2</v>
      </c>
      <c r="AM148" s="68">
        <f>SUM(D148:AK148)</f>
        <v>-6970.4949341024603</v>
      </c>
      <c r="AN148" s="58">
        <f t="shared" si="73"/>
        <v>-1.0035164788279336E-3</v>
      </c>
      <c r="AO148" s="64"/>
      <c r="AP148" s="64"/>
      <c r="AQ148" s="73"/>
      <c r="AR148" s="73"/>
      <c r="AS148" s="73"/>
      <c r="AT148" s="69"/>
      <c r="AU148" s="70"/>
      <c r="AV148" s="71"/>
      <c r="AW148" s="72"/>
      <c r="AX148" s="70"/>
      <c r="AY148" s="73"/>
      <c r="AZ148" s="73"/>
      <c r="BA148" s="73"/>
      <c r="BB148" s="73"/>
      <c r="BC148" s="60"/>
      <c r="BD148" s="61"/>
      <c r="BE148" s="65"/>
      <c r="BF148" s="62"/>
      <c r="BG148" s="61"/>
      <c r="BH148" s="64"/>
      <c r="BI148" s="64"/>
      <c r="BJ148" s="64"/>
      <c r="BK148" s="64"/>
      <c r="BL148" s="60"/>
      <c r="BM148" s="61"/>
      <c r="BN148" s="65"/>
      <c r="BO148" s="62"/>
      <c r="BP148" s="61"/>
      <c r="BQ148" s="64"/>
      <c r="BR148" s="64"/>
      <c r="BS148" s="64"/>
      <c r="BT148" s="64"/>
    </row>
    <row r="149" spans="1:72" s="74" customFormat="1" x14ac:dyDescent="0.25">
      <c r="A149" s="66" t="s">
        <v>489</v>
      </c>
      <c r="B149" s="67">
        <v>512301002</v>
      </c>
      <c r="C149" s="66" t="s">
        <v>490</v>
      </c>
      <c r="D149" s="68">
        <v>0</v>
      </c>
      <c r="E149" s="58">
        <f t="shared" si="50"/>
        <v>0</v>
      </c>
      <c r="F149" s="58">
        <f t="shared" si="51"/>
        <v>0</v>
      </c>
      <c r="G149" s="68">
        <v>0</v>
      </c>
      <c r="H149" s="58">
        <f t="shared" si="52"/>
        <v>0</v>
      </c>
      <c r="I149" s="58">
        <f t="shared" si="53"/>
        <v>0</v>
      </c>
      <c r="J149" s="68">
        <v>0</v>
      </c>
      <c r="K149" s="58">
        <f t="shared" si="54"/>
        <v>0</v>
      </c>
      <c r="L149" s="58">
        <f t="shared" si="55"/>
        <v>0</v>
      </c>
      <c r="M149" s="68">
        <v>0</v>
      </c>
      <c r="N149" s="58">
        <f t="shared" si="56"/>
        <v>0</v>
      </c>
      <c r="O149" s="58">
        <f t="shared" si="57"/>
        <v>0</v>
      </c>
      <c r="P149" s="68">
        <v>0</v>
      </c>
      <c r="Q149" s="58">
        <f t="shared" si="58"/>
        <v>0</v>
      </c>
      <c r="R149" s="58">
        <f t="shared" si="59"/>
        <v>0</v>
      </c>
      <c r="S149" s="68">
        <v>0</v>
      </c>
      <c r="T149" s="58">
        <f t="shared" si="60"/>
        <v>0</v>
      </c>
      <c r="U149" s="58">
        <f t="shared" si="61"/>
        <v>0</v>
      </c>
      <c r="V149" s="68">
        <v>0</v>
      </c>
      <c r="W149" s="58">
        <f t="shared" si="62"/>
        <v>0</v>
      </c>
      <c r="X149" s="58">
        <f t="shared" si="63"/>
        <v>0</v>
      </c>
      <c r="Y149" s="68">
        <v>0</v>
      </c>
      <c r="Z149" s="58">
        <f t="shared" si="64"/>
        <v>0</v>
      </c>
      <c r="AA149" s="58">
        <f t="shared" si="65"/>
        <v>0</v>
      </c>
      <c r="AB149" s="68">
        <v>0</v>
      </c>
      <c r="AC149" s="58">
        <f t="shared" si="66"/>
        <v>0</v>
      </c>
      <c r="AD149" s="58">
        <f t="shared" si="67"/>
        <v>0</v>
      </c>
      <c r="AE149" s="68">
        <v>0</v>
      </c>
      <c r="AF149" s="58">
        <f t="shared" si="68"/>
        <v>0</v>
      </c>
      <c r="AG149" s="58">
        <f t="shared" si="69"/>
        <v>0</v>
      </c>
      <c r="AH149" s="68">
        <v>-5315.79</v>
      </c>
      <c r="AI149" s="58">
        <f t="shared" si="70"/>
        <v>-1.6250896608940382E-2</v>
      </c>
      <c r="AJ149" s="58">
        <f t="shared" si="71"/>
        <v>7.7931577432517098</v>
      </c>
      <c r="AK149" s="68">
        <v>-46742.58</v>
      </c>
      <c r="AL149" s="58">
        <f t="shared" si="72"/>
        <v>-0.23470175717843217</v>
      </c>
      <c r="AM149" s="68">
        <f>SUM(D149:AK149)</f>
        <v>-52050.593093153358</v>
      </c>
      <c r="AN149" s="58">
        <f t="shared" si="73"/>
        <v>-7.4935321516695942E-3</v>
      </c>
      <c r="AO149" s="64"/>
      <c r="AP149" s="64"/>
      <c r="AQ149" s="64"/>
      <c r="AR149" s="64"/>
      <c r="AS149" s="64"/>
      <c r="AT149" s="69"/>
      <c r="AU149" s="70"/>
      <c r="AV149" s="71"/>
      <c r="AW149" s="72"/>
      <c r="AX149" s="70"/>
      <c r="AY149" s="73"/>
      <c r="AZ149" s="73"/>
      <c r="BA149" s="73"/>
      <c r="BB149" s="73"/>
      <c r="BC149" s="60"/>
      <c r="BD149" s="61"/>
      <c r="BE149" s="65"/>
      <c r="BF149" s="62"/>
      <c r="BG149" s="61"/>
      <c r="BH149" s="64"/>
      <c r="BI149" s="64"/>
      <c r="BJ149" s="64"/>
      <c r="BK149" s="64"/>
      <c r="BL149" s="60"/>
      <c r="BM149" s="61"/>
      <c r="BN149" s="65"/>
      <c r="BO149" s="62"/>
      <c r="BP149" s="61"/>
      <c r="BQ149" s="64"/>
      <c r="BR149" s="64"/>
      <c r="BS149" s="64"/>
      <c r="BT149" s="64"/>
    </row>
    <row r="150" spans="1:72" s="74" customFormat="1" x14ac:dyDescent="0.25">
      <c r="A150" s="66" t="s">
        <v>491</v>
      </c>
      <c r="B150" s="67">
        <v>512301005</v>
      </c>
      <c r="C150" s="66" t="s">
        <v>492</v>
      </c>
      <c r="D150" s="68">
        <v>-9481.43</v>
      </c>
      <c r="E150" s="58">
        <f t="shared" ref="E150:E198" si="89">D150/D$22</f>
        <v>-1.589886453282649E-2</v>
      </c>
      <c r="F150" s="58">
        <f t="shared" ref="F150:F198" si="90">IF(D150=0,0,G150/D150-1)</f>
        <v>0.11780079587150882</v>
      </c>
      <c r="G150" s="68">
        <v>-10598.35</v>
      </c>
      <c r="H150" s="58">
        <f t="shared" ref="H150:H198" si="91">G150/G$22</f>
        <v>-1.4286099800869291E-2</v>
      </c>
      <c r="I150" s="58">
        <f t="shared" ref="I150:I198" si="92">IF(G150=0,0,J150/G150-1)</f>
        <v>0.14320059254506612</v>
      </c>
      <c r="J150" s="68">
        <v>-12116.04</v>
      </c>
      <c r="K150" s="58">
        <f t="shared" ref="K150:K198" si="93">J150/J$22</f>
        <v>-1.7003415323130908E-2</v>
      </c>
      <c r="L150" s="58">
        <f t="shared" ref="L150:L198" si="94">IF(J150=0,0,M150/J150-1)</f>
        <v>0.15441018682671892</v>
      </c>
      <c r="M150" s="68">
        <v>-13986.88</v>
      </c>
      <c r="N150" s="58">
        <f t="shared" ref="N150:N198" si="95">M150/M$22</f>
        <v>-1.9316673876933348E-2</v>
      </c>
      <c r="O150" s="58">
        <f t="shared" ref="O150:O198" si="96">IF(M150=0,0,P150/M150-1)</f>
        <v>-0.10157948019858598</v>
      </c>
      <c r="P150" s="68">
        <v>-12566.1</v>
      </c>
      <c r="Q150" s="58">
        <f t="shared" ref="Q150:Q198" si="97">P150/P$22</f>
        <v>-1.3153016809748286E-2</v>
      </c>
      <c r="R150" s="58">
        <f t="shared" ref="R150:R198" si="98">IF(P150=0,0,S150/P150-1)</f>
        <v>-0.23036105076356228</v>
      </c>
      <c r="S150" s="68">
        <v>-9671.36</v>
      </c>
      <c r="T150" s="58">
        <f t="shared" ref="T150:T198" si="99">S150/S$22</f>
        <v>-1.4539879626726126E-2</v>
      </c>
      <c r="U150" s="58">
        <f t="shared" ref="U150:U198" si="100">IF(S150=0,0,V150/S150-1)</f>
        <v>0.44363253978757888</v>
      </c>
      <c r="V150" s="68">
        <v>-13961.89</v>
      </c>
      <c r="W150" s="58">
        <f t="shared" ref="W150:W198" si="101">V150/V$22</f>
        <v>-1.9655170530290034E-2</v>
      </c>
      <c r="X150" s="58">
        <f t="shared" ref="X150:X198" si="102">IF(V150=0,0,Y150/V150-1)</f>
        <v>-0.22301780059862952</v>
      </c>
      <c r="Y150" s="68">
        <v>-10848.14</v>
      </c>
      <c r="Z150" s="58">
        <f t="shared" ref="Z150:Z198" si="103">Y150/Y$22</f>
        <v>-1.9923261172437937E-2</v>
      </c>
      <c r="AA150" s="58">
        <f t="shared" ref="AA150:AA198" si="104">IF(Y150=0,0,AB150/Y150-1)</f>
        <v>-0.30044228780233295</v>
      </c>
      <c r="AB150" s="68">
        <v>-7588.9</v>
      </c>
      <c r="AC150" s="58">
        <f t="shared" ref="AC150:AC198" si="105">AB150/AB$22</f>
        <v>-1.8283548054418376E-2</v>
      </c>
      <c r="AD150" s="58">
        <f t="shared" ref="AD150:AD198" si="106">IF(AB150=0,0,AE150/AB150-1)</f>
        <v>-0.82670742795398544</v>
      </c>
      <c r="AE150" s="68">
        <v>-1315.1</v>
      </c>
      <c r="AF150" s="58">
        <f t="shared" ref="AF150:AF198" si="107">AE150/AE$22</f>
        <v>-3.7099568120516862E-3</v>
      </c>
      <c r="AG150" s="58">
        <f t="shared" ref="AG150:AG198" si="108">IF(AE150=0,0,AH150/AE150-1)</f>
        <v>-1</v>
      </c>
      <c r="AH150" s="68">
        <v>0</v>
      </c>
      <c r="AI150" s="58">
        <f t="shared" ref="AI150:AI198" si="109">AH150/AH$22</f>
        <v>0</v>
      </c>
      <c r="AJ150" s="58">
        <f t="shared" ref="AJ150:AJ198" si="110">IF(AH150=0,0,AK150/AH150-1)</f>
        <v>0</v>
      </c>
      <c r="AK150" s="68">
        <v>0</v>
      </c>
      <c r="AL150" s="58">
        <f t="shared" ref="AL150:AL198" si="111">AK150/AK$22</f>
        <v>0</v>
      </c>
      <c r="AM150" s="68">
        <f>SUM(D150:AK150)</f>
        <v>-102136.16883381884</v>
      </c>
      <c r="AN150" s="58">
        <f t="shared" ref="AN150:AN198" si="112">AM150/AM$22</f>
        <v>-1.4704167993529542E-2</v>
      </c>
      <c r="AO150" s="73"/>
      <c r="AP150" s="73"/>
      <c r="AQ150" s="64"/>
      <c r="AR150" s="64"/>
      <c r="AS150" s="64"/>
      <c r="AT150" s="60"/>
      <c r="AU150" s="61"/>
      <c r="AV150" s="65"/>
      <c r="AW150" s="62"/>
      <c r="AX150" s="61"/>
      <c r="AY150" s="64"/>
      <c r="AZ150" s="64"/>
      <c r="BA150" s="64"/>
      <c r="BB150" s="64"/>
      <c r="BC150" s="69"/>
      <c r="BD150" s="70"/>
      <c r="BE150" s="71"/>
      <c r="BF150" s="72"/>
      <c r="BG150" s="70"/>
      <c r="BH150" s="73"/>
      <c r="BI150" s="73"/>
      <c r="BJ150" s="73"/>
      <c r="BK150" s="73"/>
      <c r="BL150" s="69"/>
      <c r="BM150" s="70"/>
      <c r="BN150" s="71"/>
      <c r="BO150" s="72"/>
      <c r="BP150" s="70"/>
      <c r="BQ150" s="73"/>
      <c r="BR150" s="73"/>
      <c r="BS150" s="73"/>
      <c r="BT150" s="73"/>
    </row>
    <row r="151" spans="1:72" s="74" customFormat="1" x14ac:dyDescent="0.25">
      <c r="A151" s="66" t="s">
        <v>493</v>
      </c>
      <c r="B151" s="67">
        <v>512301007</v>
      </c>
      <c r="C151" s="66" t="s">
        <v>147</v>
      </c>
      <c r="D151" s="68">
        <v>0</v>
      </c>
      <c r="E151" s="58">
        <f t="shared" si="89"/>
        <v>0</v>
      </c>
      <c r="F151" s="58">
        <f t="shared" si="90"/>
        <v>0</v>
      </c>
      <c r="G151" s="68">
        <v>0</v>
      </c>
      <c r="H151" s="58">
        <f t="shared" si="91"/>
        <v>0</v>
      </c>
      <c r="I151" s="58">
        <f t="shared" si="92"/>
        <v>0</v>
      </c>
      <c r="J151" s="68">
        <v>0</v>
      </c>
      <c r="K151" s="58">
        <f t="shared" si="93"/>
        <v>0</v>
      </c>
      <c r="L151" s="58">
        <f t="shared" si="94"/>
        <v>0</v>
      </c>
      <c r="M151" s="68">
        <v>0</v>
      </c>
      <c r="N151" s="58">
        <f t="shared" si="95"/>
        <v>0</v>
      </c>
      <c r="O151" s="58">
        <f t="shared" si="96"/>
        <v>0</v>
      </c>
      <c r="P151" s="68">
        <v>0</v>
      </c>
      <c r="Q151" s="58">
        <f t="shared" si="97"/>
        <v>0</v>
      </c>
      <c r="R151" s="58">
        <f t="shared" si="98"/>
        <v>0</v>
      </c>
      <c r="S151" s="68">
        <v>0</v>
      </c>
      <c r="T151" s="58">
        <f t="shared" si="99"/>
        <v>0</v>
      </c>
      <c r="U151" s="58">
        <f t="shared" si="100"/>
        <v>0</v>
      </c>
      <c r="V151" s="68">
        <v>0</v>
      </c>
      <c r="W151" s="58">
        <f t="shared" si="101"/>
        <v>0</v>
      </c>
      <c r="X151" s="58">
        <f t="shared" si="102"/>
        <v>0</v>
      </c>
      <c r="Y151" s="68">
        <v>0</v>
      </c>
      <c r="Z151" s="58">
        <f t="shared" si="103"/>
        <v>0</v>
      </c>
      <c r="AA151" s="58">
        <f t="shared" si="104"/>
        <v>0</v>
      </c>
      <c r="AB151" s="68">
        <v>0</v>
      </c>
      <c r="AC151" s="58">
        <f t="shared" si="105"/>
        <v>0</v>
      </c>
      <c r="AD151" s="58">
        <f t="shared" si="106"/>
        <v>0</v>
      </c>
      <c r="AE151" s="68">
        <v>0</v>
      </c>
      <c r="AF151" s="58">
        <f t="shared" si="107"/>
        <v>0</v>
      </c>
      <c r="AG151" s="58">
        <f t="shared" si="108"/>
        <v>0</v>
      </c>
      <c r="AH151" s="68">
        <v>-120</v>
      </c>
      <c r="AI151" s="58">
        <f t="shared" si="109"/>
        <v>-3.6685188712737825E-4</v>
      </c>
      <c r="AJ151" s="58">
        <f t="shared" si="110"/>
        <v>-1</v>
      </c>
      <c r="AK151" s="68">
        <v>0</v>
      </c>
      <c r="AL151" s="58">
        <f t="shared" si="111"/>
        <v>0</v>
      </c>
      <c r="AM151" s="68">
        <f>SUM(D151:AK151)</f>
        <v>-121.00036685188712</v>
      </c>
      <c r="AN151" s="58">
        <f t="shared" si="112"/>
        <v>-1.7419977093165923E-5</v>
      </c>
      <c r="AO151" s="73"/>
      <c r="AP151" s="73"/>
      <c r="AQ151" s="73"/>
      <c r="AR151" s="73"/>
      <c r="AS151" s="73"/>
      <c r="AT151" s="69"/>
      <c r="AU151" s="70"/>
      <c r="AV151" s="71"/>
      <c r="AW151" s="72"/>
      <c r="AX151" s="70"/>
      <c r="AY151" s="73"/>
      <c r="AZ151" s="73"/>
      <c r="BA151" s="73"/>
      <c r="BB151" s="73"/>
      <c r="BC151" s="69"/>
      <c r="BD151" s="70"/>
      <c r="BE151" s="71"/>
      <c r="BF151" s="72"/>
      <c r="BG151" s="70"/>
      <c r="BH151" s="73"/>
      <c r="BI151" s="73"/>
      <c r="BJ151" s="73"/>
      <c r="BK151" s="73"/>
      <c r="BL151" s="69"/>
      <c r="BM151" s="70"/>
      <c r="BN151" s="71"/>
      <c r="BO151" s="72"/>
      <c r="BP151" s="70"/>
      <c r="BQ151" s="73"/>
      <c r="BR151" s="73"/>
      <c r="BS151" s="73"/>
      <c r="BT151" s="73"/>
    </row>
    <row r="152" spans="1:72" s="74" customFormat="1" x14ac:dyDescent="0.25">
      <c r="A152" s="66" t="s">
        <v>494</v>
      </c>
      <c r="B152" s="67">
        <v>512301026</v>
      </c>
      <c r="C152" s="66" t="s">
        <v>495</v>
      </c>
      <c r="D152" s="68">
        <v>0</v>
      </c>
      <c r="E152" s="58">
        <f t="shared" si="89"/>
        <v>0</v>
      </c>
      <c r="F152" s="58">
        <f t="shared" si="90"/>
        <v>0</v>
      </c>
      <c r="G152" s="68">
        <v>0</v>
      </c>
      <c r="H152" s="58">
        <f t="shared" si="91"/>
        <v>0</v>
      </c>
      <c r="I152" s="58">
        <f t="shared" si="92"/>
        <v>0</v>
      </c>
      <c r="J152" s="68">
        <v>0</v>
      </c>
      <c r="K152" s="58">
        <f t="shared" si="93"/>
        <v>0</v>
      </c>
      <c r="L152" s="58">
        <f t="shared" si="94"/>
        <v>0</v>
      </c>
      <c r="M152" s="68">
        <v>0</v>
      </c>
      <c r="N152" s="58">
        <f t="shared" si="95"/>
        <v>0</v>
      </c>
      <c r="O152" s="58">
        <f t="shared" si="96"/>
        <v>0</v>
      </c>
      <c r="P152" s="68">
        <v>0</v>
      </c>
      <c r="Q152" s="58">
        <f t="shared" si="97"/>
        <v>0</v>
      </c>
      <c r="R152" s="58">
        <f t="shared" si="98"/>
        <v>0</v>
      </c>
      <c r="S152" s="68">
        <v>0</v>
      </c>
      <c r="T152" s="58">
        <f t="shared" si="99"/>
        <v>0</v>
      </c>
      <c r="U152" s="58">
        <f t="shared" si="100"/>
        <v>0</v>
      </c>
      <c r="V152" s="68">
        <v>0</v>
      </c>
      <c r="W152" s="58">
        <f t="shared" si="101"/>
        <v>0</v>
      </c>
      <c r="X152" s="58">
        <f t="shared" si="102"/>
        <v>0</v>
      </c>
      <c r="Y152" s="68">
        <v>0</v>
      </c>
      <c r="Z152" s="58">
        <f t="shared" si="103"/>
        <v>0</v>
      </c>
      <c r="AA152" s="58">
        <f t="shared" si="104"/>
        <v>0</v>
      </c>
      <c r="AB152" s="68">
        <v>0</v>
      </c>
      <c r="AC152" s="58">
        <f t="shared" si="105"/>
        <v>0</v>
      </c>
      <c r="AD152" s="58">
        <f t="shared" si="106"/>
        <v>0</v>
      </c>
      <c r="AE152" s="68">
        <v>0</v>
      </c>
      <c r="AF152" s="58">
        <f t="shared" si="107"/>
        <v>0</v>
      </c>
      <c r="AG152" s="58">
        <f t="shared" si="108"/>
        <v>0</v>
      </c>
      <c r="AH152" s="68">
        <v>-463.2</v>
      </c>
      <c r="AI152" s="58">
        <f t="shared" si="109"/>
        <v>-1.4160482843116799E-3</v>
      </c>
      <c r="AJ152" s="58">
        <f t="shared" si="110"/>
        <v>3.0940414507772021</v>
      </c>
      <c r="AK152" s="68">
        <v>-1896.36</v>
      </c>
      <c r="AL152" s="58">
        <f t="shared" si="111"/>
        <v>-9.5219182219486304E-3</v>
      </c>
      <c r="AM152" s="68">
        <f>SUM(D152:AK152)</f>
        <v>-2356.4673745975069</v>
      </c>
      <c r="AN152" s="58">
        <f t="shared" si="112"/>
        <v>-3.3925192752951727E-4</v>
      </c>
      <c r="AO152" s="76"/>
      <c r="AP152" s="76"/>
      <c r="AQ152" s="73"/>
      <c r="AR152" s="73"/>
      <c r="AS152" s="73"/>
      <c r="AT152" s="69"/>
      <c r="AU152" s="70"/>
      <c r="AV152" s="71"/>
      <c r="AW152" s="72"/>
      <c r="AX152" s="70"/>
      <c r="AY152" s="73"/>
      <c r="AZ152" s="73"/>
      <c r="BA152" s="73"/>
      <c r="BB152" s="73"/>
      <c r="BC152" s="69"/>
      <c r="BD152" s="70"/>
      <c r="BE152" s="71"/>
      <c r="BF152" s="72"/>
      <c r="BG152" s="70"/>
      <c r="BH152" s="73"/>
      <c r="BI152" s="73"/>
      <c r="BJ152" s="73"/>
      <c r="BK152" s="73"/>
      <c r="BL152" s="69"/>
      <c r="BM152" s="70"/>
      <c r="BN152" s="71"/>
      <c r="BO152" s="72"/>
      <c r="BP152" s="70"/>
      <c r="BQ152" s="73"/>
      <c r="BR152" s="73"/>
      <c r="BS152" s="73"/>
      <c r="BT152" s="73"/>
    </row>
    <row r="153" spans="1:72" s="74" customFormat="1" x14ac:dyDescent="0.25">
      <c r="A153" s="66" t="s">
        <v>701</v>
      </c>
      <c r="B153" s="67">
        <v>512301030</v>
      </c>
      <c r="C153" s="66" t="s">
        <v>702</v>
      </c>
      <c r="D153" s="68">
        <v>0</v>
      </c>
      <c r="E153" s="58">
        <f t="shared" si="89"/>
        <v>0</v>
      </c>
      <c r="F153" s="58">
        <f t="shared" si="90"/>
        <v>0</v>
      </c>
      <c r="G153" s="68">
        <v>0</v>
      </c>
      <c r="H153" s="58">
        <f t="shared" si="91"/>
        <v>0</v>
      </c>
      <c r="I153" s="58">
        <f t="shared" si="92"/>
        <v>0</v>
      </c>
      <c r="J153" s="68">
        <v>0</v>
      </c>
      <c r="K153" s="58">
        <f t="shared" si="93"/>
        <v>0</v>
      </c>
      <c r="L153" s="58">
        <f t="shared" si="94"/>
        <v>0</v>
      </c>
      <c r="M153" s="68">
        <v>0</v>
      </c>
      <c r="N153" s="58">
        <f t="shared" si="95"/>
        <v>0</v>
      </c>
      <c r="O153" s="58">
        <f t="shared" si="96"/>
        <v>0</v>
      </c>
      <c r="P153" s="68">
        <v>-206.8</v>
      </c>
      <c r="Q153" s="58">
        <f t="shared" si="97"/>
        <v>-2.164588755664801E-4</v>
      </c>
      <c r="R153" s="58">
        <f t="shared" si="98"/>
        <v>-1</v>
      </c>
      <c r="S153" s="68">
        <v>0</v>
      </c>
      <c r="T153" s="58">
        <f t="shared" si="99"/>
        <v>0</v>
      </c>
      <c r="U153" s="58">
        <f t="shared" si="100"/>
        <v>0</v>
      </c>
      <c r="V153" s="68">
        <v>0</v>
      </c>
      <c r="W153" s="58">
        <f t="shared" si="101"/>
        <v>0</v>
      </c>
      <c r="X153" s="58">
        <f t="shared" si="102"/>
        <v>0</v>
      </c>
      <c r="Y153" s="68">
        <v>0</v>
      </c>
      <c r="Z153" s="58">
        <f t="shared" si="103"/>
        <v>0</v>
      </c>
      <c r="AA153" s="58">
        <f t="shared" si="104"/>
        <v>0</v>
      </c>
      <c r="AB153" s="68">
        <v>0</v>
      </c>
      <c r="AC153" s="58">
        <f t="shared" si="105"/>
        <v>0</v>
      </c>
      <c r="AD153" s="58">
        <f t="shared" si="106"/>
        <v>0</v>
      </c>
      <c r="AE153" s="68">
        <v>0</v>
      </c>
      <c r="AF153" s="58">
        <f t="shared" si="107"/>
        <v>0</v>
      </c>
      <c r="AG153" s="58">
        <f t="shared" si="108"/>
        <v>0</v>
      </c>
      <c r="AH153" s="68">
        <v>0</v>
      </c>
      <c r="AI153" s="58">
        <f t="shared" si="109"/>
        <v>0</v>
      </c>
      <c r="AJ153" s="58">
        <f t="shared" si="110"/>
        <v>0</v>
      </c>
      <c r="AK153" s="68">
        <v>0</v>
      </c>
      <c r="AL153" s="58">
        <f t="shared" si="111"/>
        <v>0</v>
      </c>
      <c r="AM153" s="68">
        <f>SUM(D153:AK153)</f>
        <v>-207.80021645887558</v>
      </c>
      <c r="AN153" s="58">
        <f t="shared" si="112"/>
        <v>-2.9916231701177504E-5</v>
      </c>
      <c r="AO153" s="76"/>
      <c r="AP153" s="76"/>
      <c r="AQ153" s="76"/>
      <c r="AR153" s="76"/>
      <c r="AS153" s="76"/>
      <c r="AT153" s="60"/>
      <c r="AU153" s="61"/>
      <c r="AV153" s="65"/>
      <c r="AW153" s="62"/>
      <c r="AX153" s="61"/>
      <c r="AY153" s="64"/>
      <c r="AZ153" s="64"/>
      <c r="BA153" s="64"/>
      <c r="BB153" s="64"/>
      <c r="BC153" s="60"/>
      <c r="BD153" s="61"/>
      <c r="BE153" s="65"/>
      <c r="BF153" s="62"/>
      <c r="BG153" s="61"/>
      <c r="BH153" s="64"/>
      <c r="BI153" s="64"/>
      <c r="BJ153" s="64"/>
      <c r="BK153" s="64"/>
      <c r="BL153" s="69"/>
      <c r="BM153" s="70"/>
      <c r="BN153" s="71"/>
      <c r="BO153" s="72"/>
      <c r="BP153" s="70"/>
      <c r="BQ153" s="73"/>
      <c r="BR153" s="73"/>
      <c r="BS153" s="73"/>
      <c r="BT153" s="73"/>
    </row>
    <row r="154" spans="1:72" s="63" customFormat="1" x14ac:dyDescent="0.25">
      <c r="A154" s="55" t="s">
        <v>496</v>
      </c>
      <c r="B154" s="56">
        <v>52</v>
      </c>
      <c r="C154" s="55" t="s">
        <v>497</v>
      </c>
      <c r="D154" s="57">
        <f>D155+D168</f>
        <v>-218626.62999999998</v>
      </c>
      <c r="E154" s="58">
        <f t="shared" si="89"/>
        <v>-0.3666024190062448</v>
      </c>
      <c r="F154" s="58">
        <f t="shared" si="90"/>
        <v>-0.80459054782118722</v>
      </c>
      <c r="G154" s="57">
        <f t="shared" ref="G154:AK154" si="113">G155+G168</f>
        <v>-42721.71</v>
      </c>
      <c r="H154" s="58">
        <f t="shared" si="91"/>
        <v>-5.7586946338231478E-2</v>
      </c>
      <c r="I154" s="58">
        <f t="shared" si="92"/>
        <v>1.2089104111235245</v>
      </c>
      <c r="J154" s="57">
        <f t="shared" si="113"/>
        <v>-94368.43</v>
      </c>
      <c r="K154" s="58">
        <f t="shared" si="93"/>
        <v>-0.13243482265507595</v>
      </c>
      <c r="L154" s="58">
        <f t="shared" si="94"/>
        <v>-0.79354981321613582</v>
      </c>
      <c r="M154" s="57">
        <f t="shared" si="113"/>
        <v>-19482.380000000005</v>
      </c>
      <c r="N154" s="58">
        <f t="shared" si="95"/>
        <v>-2.6906270791376551E-2</v>
      </c>
      <c r="O154" s="58">
        <f t="shared" si="96"/>
        <v>-0.10363774857076002</v>
      </c>
      <c r="P154" s="57">
        <f t="shared" si="113"/>
        <v>-17463.27</v>
      </c>
      <c r="Q154" s="58">
        <f t="shared" si="97"/>
        <v>-1.827891580229132E-2</v>
      </c>
      <c r="R154" s="58">
        <f t="shared" si="98"/>
        <v>4.0541347639932273</v>
      </c>
      <c r="S154" s="57">
        <f t="shared" si="113"/>
        <v>-88261.72</v>
      </c>
      <c r="T154" s="58">
        <f t="shared" si="99"/>
        <v>-0.13269227745092788</v>
      </c>
      <c r="U154" s="58">
        <f t="shared" si="100"/>
        <v>-0.59438995750366064</v>
      </c>
      <c r="V154" s="57">
        <f t="shared" si="113"/>
        <v>-35799.840000000004</v>
      </c>
      <c r="W154" s="58">
        <f t="shared" si="101"/>
        <v>-5.0398044975078479E-2</v>
      </c>
      <c r="X154" s="58">
        <f t="shared" si="102"/>
        <v>2.1310430437677885E-2</v>
      </c>
      <c r="Y154" s="57">
        <f t="shared" si="113"/>
        <v>-36562.75</v>
      </c>
      <c r="Z154" s="58">
        <f t="shared" si="103"/>
        <v>-6.7149688096996826E-2</v>
      </c>
      <c r="AA154" s="58">
        <f t="shared" si="104"/>
        <v>-0.36680829532789527</v>
      </c>
      <c r="AB154" s="57">
        <f t="shared" si="113"/>
        <v>-23151.229999999996</v>
      </c>
      <c r="AC154" s="58">
        <f t="shared" si="105"/>
        <v>-5.5777072596014214E-2</v>
      </c>
      <c r="AD154" s="58">
        <f t="shared" si="106"/>
        <v>1.7277069080130953</v>
      </c>
      <c r="AE154" s="57">
        <f t="shared" si="113"/>
        <v>-63149.770000000004</v>
      </c>
      <c r="AF154" s="58">
        <f t="shared" si="107"/>
        <v>-0.17814836848224258</v>
      </c>
      <c r="AG154" s="58">
        <f t="shared" si="108"/>
        <v>0.49000843550182371</v>
      </c>
      <c r="AH154" s="57">
        <f t="shared" si="113"/>
        <v>-94093.69</v>
      </c>
      <c r="AI154" s="58">
        <f t="shared" si="109"/>
        <v>-0.28765373119398768</v>
      </c>
      <c r="AJ154" s="58">
        <f t="shared" si="110"/>
        <v>-0.77970860745284809</v>
      </c>
      <c r="AK154" s="57">
        <f t="shared" si="113"/>
        <v>-20728.030000000028</v>
      </c>
      <c r="AL154" s="58">
        <f t="shared" si="111"/>
        <v>-0.10407865941176682</v>
      </c>
      <c r="AM154" s="57">
        <f>SUM(D154:AK154)</f>
        <v>-754406.76424257841</v>
      </c>
      <c r="AN154" s="58">
        <f t="shared" si="112"/>
        <v>-0.10860916288065108</v>
      </c>
      <c r="AO154" s="96"/>
      <c r="AP154" s="75"/>
      <c r="AQ154" s="75"/>
      <c r="AR154" s="75"/>
      <c r="AS154" s="75"/>
      <c r="AT154" s="60"/>
      <c r="AU154" s="61"/>
      <c r="AV154" s="65"/>
      <c r="AW154" s="62"/>
      <c r="AX154" s="61"/>
      <c r="AY154" s="64"/>
      <c r="AZ154" s="64"/>
      <c r="BA154" s="64"/>
      <c r="BB154" s="64"/>
      <c r="BC154" s="60"/>
      <c r="BD154" s="61"/>
      <c r="BE154" s="65"/>
      <c r="BF154" s="62"/>
      <c r="BG154" s="61"/>
      <c r="BH154" s="64"/>
      <c r="BI154" s="64"/>
      <c r="BJ154" s="64"/>
      <c r="BK154" s="64"/>
      <c r="BL154" s="60"/>
      <c r="BM154" s="61"/>
      <c r="BN154" s="65"/>
      <c r="BO154" s="62"/>
      <c r="BP154" s="61"/>
      <c r="BQ154" s="64"/>
      <c r="BR154" s="64"/>
      <c r="BS154" s="64"/>
      <c r="BT154" s="64"/>
    </row>
    <row r="155" spans="1:72" s="63" customFormat="1" x14ac:dyDescent="0.25">
      <c r="A155" s="55" t="s">
        <v>498</v>
      </c>
      <c r="B155" s="56">
        <v>521</v>
      </c>
      <c r="C155" s="55" t="s">
        <v>499</v>
      </c>
      <c r="D155" s="57">
        <f>D156+D161+D164</f>
        <v>-220433.63999999998</v>
      </c>
      <c r="E155" s="58">
        <f t="shared" si="89"/>
        <v>-0.36963249012415245</v>
      </c>
      <c r="F155" s="58">
        <f t="shared" si="90"/>
        <v>-0.79993598073324923</v>
      </c>
      <c r="G155" s="57">
        <f t="shared" ref="G155:AK155" si="114">G156+G161+G164</f>
        <v>-44100.84</v>
      </c>
      <c r="H155" s="58">
        <f t="shared" si="91"/>
        <v>-5.9445951637959536E-2</v>
      </c>
      <c r="I155" s="58">
        <f t="shared" si="92"/>
        <v>1.1843252872280892</v>
      </c>
      <c r="J155" s="57">
        <f t="shared" si="114"/>
        <v>-96330.579999999987</v>
      </c>
      <c r="K155" s="58">
        <f t="shared" si="93"/>
        <v>-0.13518846587318031</v>
      </c>
      <c r="L155" s="58">
        <f t="shared" si="94"/>
        <v>-0.74636247388939214</v>
      </c>
      <c r="M155" s="57">
        <f t="shared" si="114"/>
        <v>-24433.050000000003</v>
      </c>
      <c r="N155" s="58">
        <f t="shared" si="95"/>
        <v>-3.3743426601844477E-2</v>
      </c>
      <c r="O155" s="58">
        <f t="shared" si="96"/>
        <v>-0.22843116188932633</v>
      </c>
      <c r="P155" s="57">
        <f t="shared" si="114"/>
        <v>-18851.78</v>
      </c>
      <c r="Q155" s="58">
        <f t="shared" si="97"/>
        <v>-1.9732278052353277E-2</v>
      </c>
      <c r="R155" s="58">
        <f t="shared" si="98"/>
        <v>3.9220917069900034</v>
      </c>
      <c r="S155" s="57">
        <f t="shared" si="114"/>
        <v>-92790.19</v>
      </c>
      <c r="T155" s="58">
        <f t="shared" si="99"/>
        <v>-0.13950035911609601</v>
      </c>
      <c r="U155" s="58">
        <f t="shared" si="100"/>
        <v>-0.5985957136201574</v>
      </c>
      <c r="V155" s="57">
        <f t="shared" si="114"/>
        <v>-37246.380000000005</v>
      </c>
      <c r="W155" s="58">
        <f t="shared" si="101"/>
        <v>-5.24344448019562E-2</v>
      </c>
      <c r="X155" s="58">
        <f t="shared" si="102"/>
        <v>1.6188687330151108E-2</v>
      </c>
      <c r="Y155" s="57">
        <f t="shared" si="114"/>
        <v>-37849.35</v>
      </c>
      <c r="Z155" s="58">
        <f t="shared" si="103"/>
        <v>-6.9512606332238866E-2</v>
      </c>
      <c r="AA155" s="58">
        <f t="shared" si="104"/>
        <v>-0.35476012137592861</v>
      </c>
      <c r="AB155" s="57">
        <f t="shared" si="114"/>
        <v>-24421.909999999996</v>
      </c>
      <c r="AC155" s="58">
        <f t="shared" si="105"/>
        <v>-5.8838456833754646E-2</v>
      </c>
      <c r="AD155" s="58">
        <f t="shared" si="106"/>
        <v>1.6930403887329049</v>
      </c>
      <c r="AE155" s="57">
        <f t="shared" si="114"/>
        <v>-65769.19</v>
      </c>
      <c r="AF155" s="58">
        <f t="shared" si="107"/>
        <v>-0.18553787123688059</v>
      </c>
      <c r="AG155" s="58">
        <f t="shared" si="108"/>
        <v>0.43711911306798812</v>
      </c>
      <c r="AH155" s="57">
        <f t="shared" si="114"/>
        <v>-94518.16</v>
      </c>
      <c r="AI155" s="58">
        <f t="shared" si="109"/>
        <v>-0.28895137803172899</v>
      </c>
      <c r="AJ155" s="58">
        <f t="shared" si="110"/>
        <v>-0.77213987238007986</v>
      </c>
      <c r="AK155" s="57">
        <f t="shared" si="114"/>
        <v>-21536.920000000027</v>
      </c>
      <c r="AL155" s="58">
        <f t="shared" si="111"/>
        <v>-0.10814022178945462</v>
      </c>
      <c r="AM155" s="57">
        <f>SUM(D155:AK155)</f>
        <v>-778279.64997786935</v>
      </c>
      <c r="AN155" s="58">
        <f t="shared" si="112"/>
        <v>-0.11204605430070423</v>
      </c>
      <c r="AO155" s="59"/>
      <c r="AP155" s="59"/>
      <c r="AQ155" s="75"/>
      <c r="AR155" s="75"/>
      <c r="AS155" s="75"/>
      <c r="AT155" s="60"/>
      <c r="AU155" s="61"/>
      <c r="AV155" s="65"/>
      <c r="AW155" s="62"/>
      <c r="AX155" s="61"/>
      <c r="AY155" s="64"/>
      <c r="AZ155" s="64"/>
      <c r="BA155" s="64"/>
      <c r="BB155" s="64"/>
      <c r="BC155" s="60"/>
      <c r="BD155" s="61"/>
      <c r="BE155" s="65"/>
      <c r="BF155" s="62"/>
      <c r="BG155" s="61"/>
      <c r="BH155" s="64"/>
      <c r="BI155" s="64"/>
      <c r="BJ155" s="64"/>
      <c r="BK155" s="64"/>
      <c r="BL155" s="60"/>
      <c r="BM155" s="61"/>
      <c r="BN155" s="65"/>
      <c r="BO155" s="62"/>
      <c r="BP155" s="61"/>
      <c r="BQ155" s="64"/>
      <c r="BR155" s="64"/>
      <c r="BS155" s="64"/>
      <c r="BT155" s="64"/>
    </row>
    <row r="156" spans="1:72" s="63" customFormat="1" x14ac:dyDescent="0.25">
      <c r="A156" s="55" t="s">
        <v>500</v>
      </c>
      <c r="B156" s="56">
        <v>5211</v>
      </c>
      <c r="C156" s="55" t="s">
        <v>501</v>
      </c>
      <c r="D156" s="57">
        <f>D157</f>
        <v>-6175.98</v>
      </c>
      <c r="E156" s="58">
        <f t="shared" si="89"/>
        <v>-1.0356145579036679E-2</v>
      </c>
      <c r="F156" s="58">
        <f t="shared" si="90"/>
        <v>0.18151613185275872</v>
      </c>
      <c r="G156" s="57">
        <f t="shared" ref="G156:AK156" si="115">G157</f>
        <v>-7297.02</v>
      </c>
      <c r="H156" s="58">
        <f t="shared" si="91"/>
        <v>-9.8360552320822803E-3</v>
      </c>
      <c r="I156" s="58">
        <f t="shared" si="92"/>
        <v>8.666215797681792</v>
      </c>
      <c r="J156" s="57">
        <f t="shared" si="115"/>
        <v>-70534.569999999992</v>
      </c>
      <c r="K156" s="58">
        <f t="shared" si="93"/>
        <v>-9.8986846226031724E-2</v>
      </c>
      <c r="L156" s="58">
        <f t="shared" si="94"/>
        <v>-0.85559152058345289</v>
      </c>
      <c r="M156" s="57">
        <f t="shared" si="115"/>
        <v>-10185.790000000001</v>
      </c>
      <c r="N156" s="58">
        <f t="shared" si="95"/>
        <v>-1.4067153189912902E-2</v>
      </c>
      <c r="O156" s="58">
        <f t="shared" si="96"/>
        <v>-0.18467590633618025</v>
      </c>
      <c r="P156" s="57">
        <f t="shared" si="115"/>
        <v>-8304.7199999999993</v>
      </c>
      <c r="Q156" s="58">
        <f t="shared" si="97"/>
        <v>-8.692603254808794E-3</v>
      </c>
      <c r="R156" s="58">
        <f t="shared" si="98"/>
        <v>9.1858569584525434</v>
      </c>
      <c r="S156" s="57">
        <f t="shared" si="115"/>
        <v>-84590.69</v>
      </c>
      <c r="T156" s="58">
        <f t="shared" si="99"/>
        <v>-0.12717326726972272</v>
      </c>
      <c r="U156" s="58">
        <f t="shared" si="100"/>
        <v>-0.893070147554063</v>
      </c>
      <c r="V156" s="57">
        <f t="shared" si="115"/>
        <v>-9045.27</v>
      </c>
      <c r="W156" s="58">
        <f t="shared" si="101"/>
        <v>-1.2733686079930192E-2</v>
      </c>
      <c r="X156" s="58">
        <f t="shared" si="102"/>
        <v>-0.46088397582382845</v>
      </c>
      <c r="Y156" s="57">
        <f t="shared" si="115"/>
        <v>-4876.45</v>
      </c>
      <c r="Z156" s="58">
        <f t="shared" si="103"/>
        <v>-8.9558935397528946E-3</v>
      </c>
      <c r="AA156" s="58">
        <f t="shared" si="104"/>
        <v>-2.9822924463492773E-2</v>
      </c>
      <c r="AB156" s="57">
        <f t="shared" si="115"/>
        <v>-4731.0200000000004</v>
      </c>
      <c r="AC156" s="58">
        <f t="shared" si="105"/>
        <v>-1.1398204155597575E-2</v>
      </c>
      <c r="AD156" s="58">
        <f t="shared" si="106"/>
        <v>-0.84092859467937142</v>
      </c>
      <c r="AE156" s="57">
        <f t="shared" si="115"/>
        <v>-752.57</v>
      </c>
      <c r="AF156" s="58">
        <f t="shared" si="107"/>
        <v>-2.1230341404043325E-3</v>
      </c>
      <c r="AG156" s="58">
        <f t="shared" si="108"/>
        <v>-0.97004929773974513</v>
      </c>
      <c r="AH156" s="57">
        <f t="shared" si="115"/>
        <v>-22.54</v>
      </c>
      <c r="AI156" s="58">
        <f t="shared" si="109"/>
        <v>-6.8907012798759214E-5</v>
      </c>
      <c r="AJ156" s="58">
        <f t="shared" si="110"/>
        <v>1.4853593611357554</v>
      </c>
      <c r="AK156" s="57">
        <f t="shared" si="115"/>
        <v>-56.019999999999925</v>
      </c>
      <c r="AL156" s="58">
        <f t="shared" si="111"/>
        <v>-2.8128512455101435E-4</v>
      </c>
      <c r="AM156" s="57">
        <f>SUM(D156:AK156)</f>
        <v>-206557.66046591368</v>
      </c>
      <c r="AN156" s="58">
        <f t="shared" si="112"/>
        <v>-2.9737345492007017E-2</v>
      </c>
      <c r="AO156" s="64"/>
      <c r="AP156" s="64"/>
      <c r="AQ156" s="64"/>
      <c r="AR156" s="64"/>
      <c r="AS156" s="64"/>
      <c r="AT156" s="60"/>
      <c r="AU156" s="61"/>
      <c r="AV156" s="65"/>
      <c r="AW156" s="62"/>
      <c r="AX156" s="61"/>
      <c r="AY156" s="64"/>
      <c r="AZ156" s="64"/>
      <c r="BA156" s="64"/>
      <c r="BB156" s="64"/>
      <c r="BC156" s="60"/>
      <c r="BD156" s="61"/>
      <c r="BE156" s="65"/>
      <c r="BF156" s="62"/>
      <c r="BG156" s="61"/>
      <c r="BH156" s="64"/>
      <c r="BI156" s="64"/>
      <c r="BJ156" s="64"/>
      <c r="BK156" s="64"/>
      <c r="BL156" s="60"/>
      <c r="BM156" s="61"/>
      <c r="BN156" s="65"/>
      <c r="BO156" s="62"/>
      <c r="BP156" s="61"/>
      <c r="BQ156" s="64"/>
      <c r="BR156" s="64"/>
      <c r="BS156" s="64"/>
      <c r="BT156" s="64"/>
    </row>
    <row r="157" spans="1:72" s="63" customFormat="1" x14ac:dyDescent="0.25">
      <c r="A157" s="55" t="s">
        <v>502</v>
      </c>
      <c r="B157" s="56">
        <v>521100</v>
      </c>
      <c r="C157" s="55" t="s">
        <v>501</v>
      </c>
      <c r="D157" s="57">
        <f>SUM(D158:D160)</f>
        <v>-6175.98</v>
      </c>
      <c r="E157" s="58">
        <f t="shared" si="89"/>
        <v>-1.0356145579036679E-2</v>
      </c>
      <c r="F157" s="58">
        <f t="shared" si="90"/>
        <v>0.18151613185275872</v>
      </c>
      <c r="G157" s="57">
        <f t="shared" ref="G157:AK157" si="116">SUM(G158:G160)</f>
        <v>-7297.02</v>
      </c>
      <c r="H157" s="58">
        <f t="shared" si="91"/>
        <v>-9.8360552320822803E-3</v>
      </c>
      <c r="I157" s="58">
        <f t="shared" si="92"/>
        <v>8.666215797681792</v>
      </c>
      <c r="J157" s="57">
        <f t="shared" si="116"/>
        <v>-70534.569999999992</v>
      </c>
      <c r="K157" s="58">
        <f t="shared" si="93"/>
        <v>-9.8986846226031724E-2</v>
      </c>
      <c r="L157" s="58">
        <f t="shared" si="94"/>
        <v>-0.85559152058345289</v>
      </c>
      <c r="M157" s="57">
        <f t="shared" si="116"/>
        <v>-10185.790000000001</v>
      </c>
      <c r="N157" s="58">
        <f t="shared" si="95"/>
        <v>-1.4067153189912902E-2</v>
      </c>
      <c r="O157" s="58">
        <f t="shared" si="96"/>
        <v>-0.18467590633618025</v>
      </c>
      <c r="P157" s="57">
        <f t="shared" si="116"/>
        <v>-8304.7199999999993</v>
      </c>
      <c r="Q157" s="58">
        <f t="shared" si="97"/>
        <v>-8.692603254808794E-3</v>
      </c>
      <c r="R157" s="58">
        <f t="shared" si="98"/>
        <v>9.1858569584525434</v>
      </c>
      <c r="S157" s="57">
        <f t="shared" si="116"/>
        <v>-84590.69</v>
      </c>
      <c r="T157" s="58">
        <f t="shared" si="99"/>
        <v>-0.12717326726972272</v>
      </c>
      <c r="U157" s="58">
        <f t="shared" si="100"/>
        <v>-0.893070147554063</v>
      </c>
      <c r="V157" s="57">
        <f t="shared" si="116"/>
        <v>-9045.27</v>
      </c>
      <c r="W157" s="58">
        <f t="shared" si="101"/>
        <v>-1.2733686079930192E-2</v>
      </c>
      <c r="X157" s="58">
        <f t="shared" si="102"/>
        <v>-0.46088397582382845</v>
      </c>
      <c r="Y157" s="57">
        <f t="shared" si="116"/>
        <v>-4876.45</v>
      </c>
      <c r="Z157" s="58">
        <f t="shared" si="103"/>
        <v>-8.9558935397528946E-3</v>
      </c>
      <c r="AA157" s="58">
        <f t="shared" si="104"/>
        <v>-2.9822924463492773E-2</v>
      </c>
      <c r="AB157" s="57">
        <f t="shared" si="116"/>
        <v>-4731.0200000000004</v>
      </c>
      <c r="AC157" s="58">
        <f t="shared" si="105"/>
        <v>-1.1398204155597575E-2</v>
      </c>
      <c r="AD157" s="58">
        <f t="shared" si="106"/>
        <v>-0.84092859467937142</v>
      </c>
      <c r="AE157" s="57">
        <f t="shared" si="116"/>
        <v>-752.57</v>
      </c>
      <c r="AF157" s="58">
        <f t="shared" si="107"/>
        <v>-2.1230341404043325E-3</v>
      </c>
      <c r="AG157" s="58">
        <f t="shared" si="108"/>
        <v>-0.97004929773974513</v>
      </c>
      <c r="AH157" s="57">
        <f t="shared" si="116"/>
        <v>-22.54</v>
      </c>
      <c r="AI157" s="58">
        <f t="shared" si="109"/>
        <v>-6.8907012798759214E-5</v>
      </c>
      <c r="AJ157" s="58">
        <f t="shared" si="110"/>
        <v>1.4853593611357554</v>
      </c>
      <c r="AK157" s="57">
        <f t="shared" si="116"/>
        <v>-56.019999999999925</v>
      </c>
      <c r="AL157" s="58">
        <f t="shared" si="111"/>
        <v>-2.8128512455101435E-4</v>
      </c>
      <c r="AM157" s="57">
        <f>SUM(D157:AK157)</f>
        <v>-206557.66046591368</v>
      </c>
      <c r="AN157" s="58">
        <f t="shared" si="112"/>
        <v>-2.9737345492007017E-2</v>
      </c>
      <c r="AO157" s="64"/>
      <c r="AP157" s="64"/>
      <c r="AQ157" s="64"/>
      <c r="AR157" s="64"/>
      <c r="AS157" s="64"/>
      <c r="AT157" s="60"/>
      <c r="AU157" s="61"/>
      <c r="AV157" s="65"/>
      <c r="AW157" s="62"/>
      <c r="AX157" s="61"/>
      <c r="AY157" s="64"/>
      <c r="AZ157" s="64"/>
      <c r="BA157" s="64"/>
      <c r="BB157" s="64"/>
      <c r="BC157" s="60"/>
      <c r="BD157" s="61"/>
      <c r="BE157" s="65"/>
      <c r="BF157" s="62"/>
      <c r="BG157" s="61"/>
      <c r="BH157" s="64"/>
      <c r="BI157" s="64"/>
      <c r="BJ157" s="64"/>
      <c r="BK157" s="64"/>
      <c r="BL157" s="60"/>
      <c r="BM157" s="61"/>
      <c r="BN157" s="65"/>
      <c r="BO157" s="62"/>
      <c r="BP157" s="61"/>
      <c r="BQ157" s="64"/>
      <c r="BR157" s="64"/>
      <c r="BS157" s="64"/>
      <c r="BT157" s="64"/>
    </row>
    <row r="158" spans="1:72" s="74" customFormat="1" x14ac:dyDescent="0.25">
      <c r="A158" s="66" t="s">
        <v>503</v>
      </c>
      <c r="B158" s="67">
        <v>521100001</v>
      </c>
      <c r="C158" s="66" t="s">
        <v>504</v>
      </c>
      <c r="D158" s="68">
        <v>-0.23</v>
      </c>
      <c r="E158" s="58">
        <f t="shared" si="89"/>
        <v>-3.8567376888824713E-7</v>
      </c>
      <c r="F158" s="58">
        <f t="shared" si="90"/>
        <v>-0.95652173913043481</v>
      </c>
      <c r="G158" s="68">
        <v>-0.01</v>
      </c>
      <c r="H158" s="58">
        <f t="shared" si="91"/>
        <v>-1.3479550874305237E-8</v>
      </c>
      <c r="I158" s="58">
        <f t="shared" si="92"/>
        <v>-1</v>
      </c>
      <c r="J158" s="68">
        <v>0</v>
      </c>
      <c r="K158" s="58">
        <f t="shared" si="93"/>
        <v>0</v>
      </c>
      <c r="L158" s="58">
        <f t="shared" si="94"/>
        <v>0</v>
      </c>
      <c r="M158" s="68">
        <v>-425.11</v>
      </c>
      <c r="N158" s="58">
        <f t="shared" si="95"/>
        <v>-5.8710099978144775E-4</v>
      </c>
      <c r="O158" s="58">
        <f t="shared" si="96"/>
        <v>-1</v>
      </c>
      <c r="P158" s="68">
        <v>0</v>
      </c>
      <c r="Q158" s="58">
        <f t="shared" si="97"/>
        <v>0</v>
      </c>
      <c r="R158" s="58">
        <f t="shared" si="98"/>
        <v>0</v>
      </c>
      <c r="S158" s="68">
        <v>-1.31</v>
      </c>
      <c r="T158" s="58">
        <f t="shared" si="99"/>
        <v>-1.9694481759557319E-6</v>
      </c>
      <c r="U158" s="58">
        <f t="shared" si="100"/>
        <v>-1</v>
      </c>
      <c r="V158" s="68">
        <v>0</v>
      </c>
      <c r="W158" s="58">
        <f t="shared" si="101"/>
        <v>0</v>
      </c>
      <c r="X158" s="58">
        <f t="shared" si="102"/>
        <v>0</v>
      </c>
      <c r="Y158" s="68">
        <v>-0.05</v>
      </c>
      <c r="Z158" s="58">
        <f t="shared" si="103"/>
        <v>-9.1828005411240715E-8</v>
      </c>
      <c r="AA158" s="58">
        <f t="shared" si="104"/>
        <v>609.20000000000005</v>
      </c>
      <c r="AB158" s="68">
        <v>-30.51</v>
      </c>
      <c r="AC158" s="58">
        <f t="shared" si="105"/>
        <v>-7.3506180229058847E-5</v>
      </c>
      <c r="AD158" s="58">
        <f t="shared" si="106"/>
        <v>-1</v>
      </c>
      <c r="AE158" s="68">
        <v>0</v>
      </c>
      <c r="AF158" s="58">
        <f t="shared" si="107"/>
        <v>0</v>
      </c>
      <c r="AG158" s="58">
        <f t="shared" si="108"/>
        <v>0</v>
      </c>
      <c r="AH158" s="68">
        <v>-22.54</v>
      </c>
      <c r="AI158" s="58">
        <f t="shared" si="109"/>
        <v>-6.8907012798759214E-5</v>
      </c>
      <c r="AJ158" s="58">
        <f t="shared" si="110"/>
        <v>1.4853593611357554</v>
      </c>
      <c r="AK158" s="68">
        <v>-56.019999999999925</v>
      </c>
      <c r="AL158" s="58">
        <f t="shared" si="111"/>
        <v>-2.8128512455101435E-4</v>
      </c>
      <c r="AM158" s="68">
        <f>SUM(D158:AK158)</f>
        <v>69.94810564738313</v>
      </c>
      <c r="AN158" s="58">
        <f t="shared" si="112"/>
        <v>1.0070171106004052E-5</v>
      </c>
      <c r="AO158" s="64"/>
      <c r="AP158" s="64"/>
      <c r="AQ158" s="64"/>
      <c r="AR158" s="64"/>
      <c r="AS158" s="64"/>
      <c r="AT158" s="76"/>
      <c r="AU158" s="76"/>
      <c r="AV158" s="76"/>
      <c r="AW158" s="76"/>
      <c r="AX158" s="76"/>
      <c r="AY158" s="76"/>
      <c r="AZ158" s="76"/>
      <c r="BA158" s="76"/>
      <c r="BB158" s="76"/>
      <c r="BC158" s="60"/>
      <c r="BD158" s="61"/>
      <c r="BE158" s="65"/>
      <c r="BF158" s="62"/>
      <c r="BG158" s="61"/>
      <c r="BH158" s="64"/>
      <c r="BI158" s="64"/>
      <c r="BJ158" s="64"/>
      <c r="BK158" s="64"/>
      <c r="BL158" s="60"/>
      <c r="BM158" s="61"/>
      <c r="BN158" s="65"/>
      <c r="BO158" s="62"/>
      <c r="BP158" s="61"/>
      <c r="BQ158" s="64"/>
      <c r="BR158" s="64"/>
      <c r="BS158" s="64"/>
      <c r="BT158" s="64"/>
    </row>
    <row r="159" spans="1:72" s="74" customFormat="1" x14ac:dyDescent="0.25">
      <c r="A159" s="66" t="s">
        <v>703</v>
      </c>
      <c r="B159" s="67">
        <v>521100005</v>
      </c>
      <c r="C159" s="66" t="s">
        <v>704</v>
      </c>
      <c r="D159" s="68">
        <v>-584.04</v>
      </c>
      <c r="E159" s="58">
        <f t="shared" si="89"/>
        <v>-9.7934307818039914E-4</v>
      </c>
      <c r="F159" s="58">
        <f t="shared" si="90"/>
        <v>1.2057393329224029</v>
      </c>
      <c r="G159" s="68">
        <v>-1288.24</v>
      </c>
      <c r="H159" s="58">
        <f t="shared" si="91"/>
        <v>-1.7364896618314979E-3</v>
      </c>
      <c r="I159" s="58">
        <f t="shared" si="92"/>
        <v>0.15623641557473755</v>
      </c>
      <c r="J159" s="68">
        <v>-1489.51</v>
      </c>
      <c r="K159" s="58">
        <f t="shared" si="93"/>
        <v>-2.090349417627931E-3</v>
      </c>
      <c r="L159" s="58">
        <f t="shared" si="94"/>
        <v>1.1655376600358509</v>
      </c>
      <c r="M159" s="68">
        <v>-3225.59</v>
      </c>
      <c r="N159" s="58">
        <f t="shared" si="95"/>
        <v>-4.4547225750630193E-3</v>
      </c>
      <c r="O159" s="58">
        <f t="shared" si="96"/>
        <v>-0.5023205057059329</v>
      </c>
      <c r="P159" s="68">
        <v>-1605.31</v>
      </c>
      <c r="Q159" s="58">
        <f t="shared" si="97"/>
        <v>-1.6802881892438403E-3</v>
      </c>
      <c r="R159" s="58">
        <f t="shared" si="98"/>
        <v>0.16972422771925677</v>
      </c>
      <c r="S159" s="68">
        <v>-1877.77</v>
      </c>
      <c r="T159" s="58">
        <f t="shared" si="99"/>
        <v>-2.8230310697438124E-3</v>
      </c>
      <c r="U159" s="58">
        <f t="shared" si="100"/>
        <v>-0.16941904493095528</v>
      </c>
      <c r="V159" s="68">
        <v>-1559.64</v>
      </c>
      <c r="W159" s="58">
        <f t="shared" si="101"/>
        <v>-2.1956189431274384E-3</v>
      </c>
      <c r="X159" s="58">
        <f t="shared" si="102"/>
        <v>0.11842476468928709</v>
      </c>
      <c r="Y159" s="68">
        <v>-1744.34</v>
      </c>
      <c r="Z159" s="58">
        <f t="shared" si="103"/>
        <v>-3.2035852591808722E-3</v>
      </c>
      <c r="AA159" s="58">
        <f t="shared" si="104"/>
        <v>-0.12678720891569295</v>
      </c>
      <c r="AB159" s="68">
        <v>-1523.18</v>
      </c>
      <c r="AC159" s="58">
        <f t="shared" si="105"/>
        <v>-3.6697195542870487E-3</v>
      </c>
      <c r="AD159" s="58">
        <f t="shared" si="106"/>
        <v>-0.50592182145248754</v>
      </c>
      <c r="AE159" s="68">
        <v>-752.57</v>
      </c>
      <c r="AF159" s="58">
        <f t="shared" si="107"/>
        <v>-2.1230341404043325E-3</v>
      </c>
      <c r="AG159" s="58">
        <f t="shared" si="108"/>
        <v>-1</v>
      </c>
      <c r="AH159" s="68">
        <v>0</v>
      </c>
      <c r="AI159" s="58">
        <f t="shared" si="109"/>
        <v>0</v>
      </c>
      <c r="AJ159" s="58">
        <f t="shared" si="110"/>
        <v>0</v>
      </c>
      <c r="AK159" s="68">
        <v>0</v>
      </c>
      <c r="AL159" s="58">
        <f t="shared" si="111"/>
        <v>0</v>
      </c>
      <c r="AM159" s="68">
        <f>SUM(D159:AK159)</f>
        <v>-15649.703742361951</v>
      </c>
      <c r="AN159" s="58">
        <f t="shared" si="112"/>
        <v>-2.2530301998214684E-3</v>
      </c>
      <c r="AO159" s="73"/>
      <c r="AP159" s="73"/>
      <c r="AQ159" s="64"/>
      <c r="AR159" s="64"/>
      <c r="AS159" s="64"/>
      <c r="AT159" s="62"/>
      <c r="AU159" s="76"/>
      <c r="AV159" s="76"/>
      <c r="AW159" s="76"/>
      <c r="AX159" s="76"/>
      <c r="AY159" s="76"/>
      <c r="AZ159" s="76"/>
      <c r="BA159" s="76"/>
      <c r="BB159" s="76"/>
      <c r="BC159" s="69"/>
      <c r="BD159" s="70"/>
      <c r="BE159" s="71"/>
      <c r="BF159" s="72"/>
      <c r="BG159" s="70"/>
      <c r="BH159" s="73"/>
      <c r="BI159" s="73"/>
      <c r="BJ159" s="73"/>
      <c r="BK159" s="73"/>
      <c r="BL159" s="60"/>
      <c r="BM159" s="61"/>
      <c r="BN159" s="65"/>
      <c r="BO159" s="62"/>
      <c r="BP159" s="61"/>
      <c r="BQ159" s="64"/>
      <c r="BR159" s="64"/>
      <c r="BS159" s="64"/>
      <c r="BT159" s="64"/>
    </row>
    <row r="160" spans="1:72" s="74" customFormat="1" x14ac:dyDescent="0.25">
      <c r="A160" s="66" t="s">
        <v>505</v>
      </c>
      <c r="B160" s="67">
        <v>521100009</v>
      </c>
      <c r="C160" s="66" t="s">
        <v>506</v>
      </c>
      <c r="D160" s="68">
        <v>-5591.71</v>
      </c>
      <c r="E160" s="58">
        <f t="shared" si="89"/>
        <v>-9.3764168270873919E-3</v>
      </c>
      <c r="F160" s="58">
        <f t="shared" si="90"/>
        <v>7.4585413048960048E-2</v>
      </c>
      <c r="G160" s="68">
        <v>-6008.77</v>
      </c>
      <c r="H160" s="58">
        <f t="shared" si="91"/>
        <v>-8.0995520906999088E-3</v>
      </c>
      <c r="I160" s="58">
        <f t="shared" si="92"/>
        <v>10.490714405776888</v>
      </c>
      <c r="J160" s="68">
        <v>-69045.06</v>
      </c>
      <c r="K160" s="58">
        <f t="shared" si="93"/>
        <v>-9.6896496808403801E-2</v>
      </c>
      <c r="L160" s="58">
        <f t="shared" si="94"/>
        <v>-0.90535036105407107</v>
      </c>
      <c r="M160" s="68">
        <v>-6535.09</v>
      </c>
      <c r="N160" s="58">
        <f t="shared" si="95"/>
        <v>-9.025329615068434E-3</v>
      </c>
      <c r="O160" s="58">
        <f t="shared" si="96"/>
        <v>2.5144259681197934E-2</v>
      </c>
      <c r="P160" s="68">
        <v>-6699.41</v>
      </c>
      <c r="Q160" s="58">
        <f t="shared" si="97"/>
        <v>-7.0123150655649535E-3</v>
      </c>
      <c r="R160" s="58">
        <f t="shared" si="98"/>
        <v>11.346103612109127</v>
      </c>
      <c r="S160" s="68">
        <v>-82711.61</v>
      </c>
      <c r="T160" s="58">
        <f t="shared" si="99"/>
        <v>-0.12434826675180294</v>
      </c>
      <c r="U160" s="58">
        <f t="shared" si="100"/>
        <v>-0.90949722777733377</v>
      </c>
      <c r="V160" s="68">
        <v>-7485.63</v>
      </c>
      <c r="W160" s="58">
        <f t="shared" si="101"/>
        <v>-1.0538067136802753E-2</v>
      </c>
      <c r="X160" s="58">
        <f t="shared" si="102"/>
        <v>-0.58159032706665981</v>
      </c>
      <c r="Y160" s="68">
        <v>-3132.06</v>
      </c>
      <c r="Z160" s="58">
        <f t="shared" si="103"/>
        <v>-5.7522164525666119E-3</v>
      </c>
      <c r="AA160" s="58">
        <f t="shared" si="104"/>
        <v>1.4453746096818154E-2</v>
      </c>
      <c r="AB160" s="68">
        <v>-3177.33</v>
      </c>
      <c r="AC160" s="58">
        <f t="shared" si="105"/>
        <v>-7.6549784210814664E-3</v>
      </c>
      <c r="AD160" s="58">
        <f t="shared" si="106"/>
        <v>-1</v>
      </c>
      <c r="AE160" s="68">
        <v>0</v>
      </c>
      <c r="AF160" s="58">
        <f t="shared" si="107"/>
        <v>0</v>
      </c>
      <c r="AG160" s="58">
        <f t="shared" si="108"/>
        <v>0</v>
      </c>
      <c r="AH160" s="68">
        <v>0</v>
      </c>
      <c r="AI160" s="58">
        <f t="shared" si="109"/>
        <v>0</v>
      </c>
      <c r="AJ160" s="58">
        <f t="shared" si="110"/>
        <v>0</v>
      </c>
      <c r="AK160" s="68">
        <v>0</v>
      </c>
      <c r="AL160" s="58">
        <f t="shared" si="111"/>
        <v>0</v>
      </c>
      <c r="AM160" s="68">
        <f>SUM(D160:AK160)</f>
        <v>-190368.39414011835</v>
      </c>
      <c r="AN160" s="58">
        <f t="shared" si="112"/>
        <v>-2.7406636454606122E-2</v>
      </c>
      <c r="AO160" s="64"/>
      <c r="AP160" s="64"/>
      <c r="AQ160" s="73"/>
      <c r="AR160" s="73"/>
      <c r="AS160" s="73"/>
      <c r="AT160" s="76"/>
      <c r="AU160" s="76"/>
      <c r="AV160" s="76"/>
      <c r="AW160" s="76"/>
      <c r="AX160" s="76"/>
      <c r="AY160" s="76"/>
      <c r="AZ160" s="76"/>
      <c r="BA160" s="76"/>
      <c r="BB160" s="76"/>
      <c r="BC160" s="69"/>
      <c r="BD160" s="70"/>
      <c r="BE160" s="71"/>
      <c r="BF160" s="72"/>
      <c r="BG160" s="70"/>
      <c r="BH160" s="73"/>
      <c r="BI160" s="73"/>
      <c r="BJ160" s="73"/>
      <c r="BK160" s="73"/>
      <c r="BL160" s="69"/>
      <c r="BM160" s="70"/>
      <c r="BN160" s="71"/>
      <c r="BO160" s="72"/>
      <c r="BP160" s="70"/>
      <c r="BQ160" s="73"/>
      <c r="BR160" s="73"/>
      <c r="BS160" s="73"/>
      <c r="BT160" s="73"/>
    </row>
    <row r="161" spans="1:72" s="63" customFormat="1" x14ac:dyDescent="0.25">
      <c r="A161" s="55" t="s">
        <v>507</v>
      </c>
      <c r="B161" s="56">
        <v>5214</v>
      </c>
      <c r="C161" s="55" t="s">
        <v>508</v>
      </c>
      <c r="D161" s="57">
        <f>D162</f>
        <v>0</v>
      </c>
      <c r="E161" s="58">
        <f t="shared" si="89"/>
        <v>0</v>
      </c>
      <c r="F161" s="58">
        <f t="shared" si="90"/>
        <v>0</v>
      </c>
      <c r="G161" s="57">
        <f t="shared" ref="G161:AK161" si="117">G162</f>
        <v>-1263.46</v>
      </c>
      <c r="H161" s="58">
        <f t="shared" si="91"/>
        <v>-1.7030873347649695E-3</v>
      </c>
      <c r="I161" s="58">
        <f t="shared" si="92"/>
        <v>-0.62146803222895852</v>
      </c>
      <c r="J161" s="57">
        <f t="shared" si="117"/>
        <v>-478.26</v>
      </c>
      <c r="K161" s="58">
        <f t="shared" si="93"/>
        <v>-6.7118079937344109E-4</v>
      </c>
      <c r="L161" s="58">
        <f t="shared" si="94"/>
        <v>-0.98789361435202605</v>
      </c>
      <c r="M161" s="57">
        <f t="shared" si="117"/>
        <v>-5.79</v>
      </c>
      <c r="N161" s="58">
        <f t="shared" si="95"/>
        <v>-7.9963181029253189E-6</v>
      </c>
      <c r="O161" s="58">
        <f t="shared" si="96"/>
        <v>2.5509499136442146</v>
      </c>
      <c r="P161" s="57">
        <f t="shared" si="117"/>
        <v>-20.560000000000002</v>
      </c>
      <c r="Q161" s="58">
        <f t="shared" si="97"/>
        <v>-2.1520282793263206E-5</v>
      </c>
      <c r="R161" s="58">
        <f t="shared" si="98"/>
        <v>4.248540856031128</v>
      </c>
      <c r="S161" s="57">
        <f t="shared" si="117"/>
        <v>-107.91</v>
      </c>
      <c r="T161" s="58">
        <f t="shared" si="99"/>
        <v>-1.6223141424991067E-4</v>
      </c>
      <c r="U161" s="58">
        <f t="shared" si="100"/>
        <v>57.385413770734871</v>
      </c>
      <c r="V161" s="57">
        <f t="shared" si="117"/>
        <v>-6300.37</v>
      </c>
      <c r="W161" s="58">
        <f t="shared" si="101"/>
        <v>-8.8694902161471998E-3</v>
      </c>
      <c r="X161" s="58">
        <f t="shared" si="102"/>
        <v>-0.98083445892860266</v>
      </c>
      <c r="Y161" s="57">
        <f t="shared" si="117"/>
        <v>-120.75</v>
      </c>
      <c r="Z161" s="58">
        <f t="shared" si="103"/>
        <v>-2.2176463306814633E-4</v>
      </c>
      <c r="AA161" s="58">
        <f t="shared" si="104"/>
        <v>0.49399585921325051</v>
      </c>
      <c r="AB161" s="57">
        <f t="shared" si="117"/>
        <v>-180.4</v>
      </c>
      <c r="AC161" s="58">
        <f t="shared" si="105"/>
        <v>-4.3462847962380253E-4</v>
      </c>
      <c r="AD161" s="58">
        <f t="shared" si="106"/>
        <v>-0.1966740576496675</v>
      </c>
      <c r="AE161" s="57">
        <f t="shared" si="117"/>
        <v>-144.91999999999999</v>
      </c>
      <c r="AF161" s="58">
        <f t="shared" si="107"/>
        <v>-4.088259000855679E-4</v>
      </c>
      <c r="AG161" s="58">
        <f t="shared" si="108"/>
        <v>0.2816036433894562</v>
      </c>
      <c r="AH161" s="57">
        <f t="shared" si="117"/>
        <v>-185.73</v>
      </c>
      <c r="AI161" s="58">
        <f t="shared" si="109"/>
        <v>-5.6779500830139967E-4</v>
      </c>
      <c r="AJ161" s="58">
        <f t="shared" si="110"/>
        <v>-0.87955634523232218</v>
      </c>
      <c r="AK161" s="57">
        <f t="shared" si="117"/>
        <v>-22.3700000000008</v>
      </c>
      <c r="AL161" s="58">
        <f t="shared" si="111"/>
        <v>-1.1232324591585906E-4</v>
      </c>
      <c r="AM161" s="57">
        <f>SUM(D161:AK161)</f>
        <v>-8769.2389909857666</v>
      </c>
      <c r="AN161" s="58">
        <f t="shared" si="112"/>
        <v>-1.2624750347613269E-3</v>
      </c>
      <c r="AO161" s="64"/>
      <c r="AP161" s="64"/>
      <c r="AQ161" s="64"/>
      <c r="AR161" s="64"/>
      <c r="AS161" s="64"/>
      <c r="AT161" s="60"/>
      <c r="AU161" s="61"/>
      <c r="AV161" s="60"/>
      <c r="AW161" s="62"/>
      <c r="AX161" s="61"/>
      <c r="AY161" s="59"/>
      <c r="AZ161" s="59"/>
      <c r="BA161" s="59"/>
      <c r="BB161" s="59"/>
      <c r="BC161" s="75"/>
      <c r="BD161" s="75"/>
      <c r="BE161" s="75"/>
      <c r="BF161" s="75"/>
      <c r="BG161" s="75"/>
      <c r="BH161" s="75"/>
      <c r="BI161" s="75"/>
      <c r="BJ161" s="75"/>
      <c r="BK161" s="75"/>
      <c r="BL161" s="60"/>
      <c r="BM161" s="61"/>
      <c r="BN161" s="65"/>
      <c r="BO161" s="62"/>
      <c r="BP161" s="61"/>
      <c r="BQ161" s="64"/>
      <c r="BR161" s="64"/>
      <c r="BS161" s="64"/>
      <c r="BT161" s="64"/>
    </row>
    <row r="162" spans="1:72" s="74" customFormat="1" x14ac:dyDescent="0.25">
      <c r="A162" s="66" t="s">
        <v>509</v>
      </c>
      <c r="B162" s="67">
        <v>521400</v>
      </c>
      <c r="C162" s="66" t="s">
        <v>508</v>
      </c>
      <c r="D162" s="68">
        <v>0</v>
      </c>
      <c r="E162" s="58">
        <f t="shared" si="89"/>
        <v>0</v>
      </c>
      <c r="F162" s="58">
        <f t="shared" si="90"/>
        <v>0</v>
      </c>
      <c r="G162" s="68">
        <v>-1263.46</v>
      </c>
      <c r="H162" s="58">
        <f t="shared" si="91"/>
        <v>-1.7030873347649695E-3</v>
      </c>
      <c r="I162" s="58">
        <f t="shared" si="92"/>
        <v>-0.62146803222895852</v>
      </c>
      <c r="J162" s="68">
        <v>-478.26</v>
      </c>
      <c r="K162" s="58">
        <f t="shared" si="93"/>
        <v>-6.7118079937344109E-4</v>
      </c>
      <c r="L162" s="58">
        <f t="shared" si="94"/>
        <v>-0.98789361435202605</v>
      </c>
      <c r="M162" s="68">
        <v>-5.79</v>
      </c>
      <c r="N162" s="58">
        <f t="shared" si="95"/>
        <v>-7.9963181029253189E-6</v>
      </c>
      <c r="O162" s="58">
        <f t="shared" si="96"/>
        <v>2.5509499136442146</v>
      </c>
      <c r="P162" s="68">
        <v>-20.560000000000002</v>
      </c>
      <c r="Q162" s="58">
        <f t="shared" si="97"/>
        <v>-2.1520282793263206E-5</v>
      </c>
      <c r="R162" s="58">
        <f t="shared" si="98"/>
        <v>4.248540856031128</v>
      </c>
      <c r="S162" s="68">
        <v>-107.91</v>
      </c>
      <c r="T162" s="58">
        <f t="shared" si="99"/>
        <v>-1.6223141424991067E-4</v>
      </c>
      <c r="U162" s="58">
        <f t="shared" si="100"/>
        <v>57.385413770734871</v>
      </c>
      <c r="V162" s="68">
        <v>-6300.37</v>
      </c>
      <c r="W162" s="58">
        <f t="shared" si="101"/>
        <v>-8.8694902161471998E-3</v>
      </c>
      <c r="X162" s="58">
        <f t="shared" si="102"/>
        <v>-0.98083445892860266</v>
      </c>
      <c r="Y162" s="68">
        <v>-120.75</v>
      </c>
      <c r="Z162" s="58">
        <f t="shared" si="103"/>
        <v>-2.2176463306814633E-4</v>
      </c>
      <c r="AA162" s="58">
        <f t="shared" si="104"/>
        <v>0.49399585921325051</v>
      </c>
      <c r="AB162" s="68">
        <v>-180.4</v>
      </c>
      <c r="AC162" s="58">
        <f t="shared" si="105"/>
        <v>-4.3462847962380253E-4</v>
      </c>
      <c r="AD162" s="58">
        <f t="shared" si="106"/>
        <v>-0.1966740576496675</v>
      </c>
      <c r="AE162" s="68">
        <v>-144.91999999999999</v>
      </c>
      <c r="AF162" s="58">
        <f t="shared" si="107"/>
        <v>-4.088259000855679E-4</v>
      </c>
      <c r="AG162" s="58">
        <f t="shared" si="108"/>
        <v>0.2816036433894562</v>
      </c>
      <c r="AH162" s="68">
        <v>-185.73</v>
      </c>
      <c r="AI162" s="58">
        <f t="shared" si="109"/>
        <v>-5.6779500830139967E-4</v>
      </c>
      <c r="AJ162" s="58">
        <f t="shared" si="110"/>
        <v>-0.87955634523232218</v>
      </c>
      <c r="AK162" s="68">
        <v>-22.3700000000008</v>
      </c>
      <c r="AL162" s="58">
        <f t="shared" si="111"/>
        <v>-1.1232324591585906E-4</v>
      </c>
      <c r="AM162" s="68">
        <f>SUM(D162:AK162)</f>
        <v>-8769.2389909857666</v>
      </c>
      <c r="AN162" s="58">
        <f t="shared" si="112"/>
        <v>-1.2624750347613269E-3</v>
      </c>
      <c r="AO162" s="64"/>
      <c r="AP162" s="64"/>
      <c r="AQ162" s="73"/>
      <c r="AR162" s="73"/>
      <c r="AS162" s="73"/>
      <c r="AT162" s="69"/>
      <c r="AU162" s="70"/>
      <c r="AV162" s="69"/>
      <c r="AW162" s="72"/>
      <c r="AX162" s="70"/>
      <c r="AY162" s="73"/>
      <c r="AZ162" s="73"/>
      <c r="BA162" s="73"/>
      <c r="BB162" s="73"/>
      <c r="BC162" s="62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</row>
    <row r="163" spans="1:72" s="74" customFormat="1" x14ac:dyDescent="0.25">
      <c r="A163" s="66" t="s">
        <v>510</v>
      </c>
      <c r="B163" s="67">
        <v>521400001</v>
      </c>
      <c r="C163" s="66" t="s">
        <v>271</v>
      </c>
      <c r="D163" s="68">
        <v>0</v>
      </c>
      <c r="E163" s="58">
        <f t="shared" si="89"/>
        <v>0</v>
      </c>
      <c r="F163" s="58">
        <f t="shared" si="90"/>
        <v>0</v>
      </c>
      <c r="G163" s="68">
        <v>-1263.46</v>
      </c>
      <c r="H163" s="58">
        <f t="shared" si="91"/>
        <v>-1.7030873347649695E-3</v>
      </c>
      <c r="I163" s="58">
        <f t="shared" si="92"/>
        <v>-0.62146803222895852</v>
      </c>
      <c r="J163" s="68">
        <v>-478.26</v>
      </c>
      <c r="K163" s="58">
        <f t="shared" si="93"/>
        <v>-6.7118079937344109E-4</v>
      </c>
      <c r="L163" s="58">
        <f t="shared" si="94"/>
        <v>-0.98789361435202605</v>
      </c>
      <c r="M163" s="68">
        <v>-5.79</v>
      </c>
      <c r="N163" s="58">
        <f t="shared" si="95"/>
        <v>-7.9963181029253189E-6</v>
      </c>
      <c r="O163" s="58">
        <f t="shared" si="96"/>
        <v>2.5509499136442146</v>
      </c>
      <c r="P163" s="68">
        <v>-20.560000000000002</v>
      </c>
      <c r="Q163" s="58">
        <f t="shared" si="97"/>
        <v>-2.1520282793263206E-5</v>
      </c>
      <c r="R163" s="58">
        <f t="shared" si="98"/>
        <v>4.248540856031128</v>
      </c>
      <c r="S163" s="68">
        <v>-107.91</v>
      </c>
      <c r="T163" s="58">
        <f t="shared" si="99"/>
        <v>-1.6223141424991067E-4</v>
      </c>
      <c r="U163" s="58">
        <f t="shared" si="100"/>
        <v>57.385413770734871</v>
      </c>
      <c r="V163" s="68">
        <v>-6300.37</v>
      </c>
      <c r="W163" s="58">
        <f t="shared" si="101"/>
        <v>-8.8694902161471998E-3</v>
      </c>
      <c r="X163" s="58">
        <f t="shared" si="102"/>
        <v>-0.98083445892860266</v>
      </c>
      <c r="Y163" s="68">
        <v>-120.75</v>
      </c>
      <c r="Z163" s="58">
        <f t="shared" si="103"/>
        <v>-2.2176463306814633E-4</v>
      </c>
      <c r="AA163" s="58">
        <f t="shared" si="104"/>
        <v>0.49399585921325051</v>
      </c>
      <c r="AB163" s="68">
        <v>-180.4</v>
      </c>
      <c r="AC163" s="58">
        <f t="shared" si="105"/>
        <v>-4.3462847962380253E-4</v>
      </c>
      <c r="AD163" s="58">
        <f t="shared" si="106"/>
        <v>-0.1966740576496675</v>
      </c>
      <c r="AE163" s="68">
        <v>-144.91999999999999</v>
      </c>
      <c r="AF163" s="58">
        <f t="shared" si="107"/>
        <v>-4.088259000855679E-4</v>
      </c>
      <c r="AG163" s="58">
        <f t="shared" si="108"/>
        <v>0.2816036433894562</v>
      </c>
      <c r="AH163" s="68">
        <v>-185.73</v>
      </c>
      <c r="AI163" s="58">
        <f t="shared" si="109"/>
        <v>-5.6779500830139967E-4</v>
      </c>
      <c r="AJ163" s="58">
        <f t="shared" si="110"/>
        <v>-0.87955634523232218</v>
      </c>
      <c r="AK163" s="68">
        <v>-22.3700000000008</v>
      </c>
      <c r="AL163" s="58">
        <f t="shared" si="111"/>
        <v>-1.1232324591585906E-4</v>
      </c>
      <c r="AM163" s="68">
        <f>SUM(D163:AK163)</f>
        <v>-8769.2389909857666</v>
      </c>
      <c r="AN163" s="58">
        <f t="shared" si="112"/>
        <v>-1.2624750347613269E-3</v>
      </c>
      <c r="AO163" s="64"/>
      <c r="AP163" s="64"/>
      <c r="AQ163" s="64"/>
      <c r="AR163" s="64"/>
      <c r="AS163" s="64"/>
      <c r="AT163" s="60"/>
      <c r="AU163" s="61"/>
      <c r="AV163" s="65"/>
      <c r="AW163" s="62"/>
      <c r="AX163" s="61"/>
      <c r="AY163" s="64"/>
      <c r="AZ163" s="64"/>
      <c r="BA163" s="64"/>
      <c r="BB163" s="64"/>
      <c r="BC163" s="76"/>
      <c r="BD163" s="76"/>
      <c r="BE163" s="76"/>
      <c r="BF163" s="76"/>
      <c r="BG163" s="76"/>
      <c r="BH163" s="76"/>
      <c r="BI163" s="76"/>
      <c r="BJ163" s="76"/>
      <c r="BK163" s="76"/>
      <c r="BL163" s="62"/>
      <c r="BM163" s="76"/>
      <c r="BN163" s="76"/>
      <c r="BO163" s="76"/>
      <c r="BP163" s="76"/>
      <c r="BQ163" s="76"/>
      <c r="BR163" s="76"/>
      <c r="BS163" s="76"/>
      <c r="BT163" s="76"/>
    </row>
    <row r="164" spans="1:72" s="63" customFormat="1" x14ac:dyDescent="0.25">
      <c r="A164" s="55" t="s">
        <v>511</v>
      </c>
      <c r="B164" s="56">
        <v>5219</v>
      </c>
      <c r="C164" s="55" t="s">
        <v>512</v>
      </c>
      <c r="D164" s="57">
        <f>D165</f>
        <v>-214257.65999999997</v>
      </c>
      <c r="E164" s="58">
        <f t="shared" si="89"/>
        <v>-0.3592763445451157</v>
      </c>
      <c r="F164" s="58">
        <f t="shared" si="90"/>
        <v>-0.83412327008518616</v>
      </c>
      <c r="G164" s="57">
        <f t="shared" ref="G164:AK164" si="118">G165</f>
        <v>-35540.36</v>
      </c>
      <c r="H164" s="58">
        <f t="shared" si="91"/>
        <v>-4.7906809071112291E-2</v>
      </c>
      <c r="I164" s="58">
        <f t="shared" si="92"/>
        <v>-0.28763383375970308</v>
      </c>
      <c r="J164" s="57">
        <f t="shared" si="118"/>
        <v>-25317.75</v>
      </c>
      <c r="K164" s="58">
        <f t="shared" si="93"/>
        <v>-3.5530438847775139E-2</v>
      </c>
      <c r="L164" s="58">
        <f t="shared" si="94"/>
        <v>-0.4374906932883057</v>
      </c>
      <c r="M164" s="57">
        <f t="shared" si="118"/>
        <v>-14241.47</v>
      </c>
      <c r="N164" s="58">
        <f t="shared" si="95"/>
        <v>-1.9668277093828644E-2</v>
      </c>
      <c r="O164" s="58">
        <f t="shared" si="96"/>
        <v>-0.26085579648730084</v>
      </c>
      <c r="P164" s="57">
        <f t="shared" si="118"/>
        <v>-10526.5</v>
      </c>
      <c r="Q164" s="58">
        <f t="shared" si="97"/>
        <v>-1.1018154514751221E-2</v>
      </c>
      <c r="R164" s="58">
        <f t="shared" si="98"/>
        <v>-0.23131240203296455</v>
      </c>
      <c r="S164" s="57">
        <f t="shared" si="118"/>
        <v>-8091.5899999999992</v>
      </c>
      <c r="T164" s="58">
        <f t="shared" si="99"/>
        <v>-1.2164860432123387E-2</v>
      </c>
      <c r="U164" s="58">
        <f t="shared" si="100"/>
        <v>1.7066052531084748</v>
      </c>
      <c r="V164" s="57">
        <f t="shared" si="118"/>
        <v>-21900.74</v>
      </c>
      <c r="W164" s="58">
        <f t="shared" si="101"/>
        <v>-3.0831268505878803E-2</v>
      </c>
      <c r="X164" s="58">
        <f t="shared" si="102"/>
        <v>0.50004748697989188</v>
      </c>
      <c r="Y164" s="57">
        <f t="shared" si="118"/>
        <v>-32852.15</v>
      </c>
      <c r="Z164" s="58">
        <f t="shared" si="103"/>
        <v>-6.0334948159417832E-2</v>
      </c>
      <c r="AA164" s="58">
        <f t="shared" si="104"/>
        <v>-0.40611223314151446</v>
      </c>
      <c r="AB164" s="57">
        <f t="shared" si="118"/>
        <v>-19510.489999999998</v>
      </c>
      <c r="AC164" s="58">
        <f t="shared" si="105"/>
        <v>-4.7005624198533269E-2</v>
      </c>
      <c r="AD164" s="58">
        <f t="shared" si="106"/>
        <v>2.324965185395139</v>
      </c>
      <c r="AE164" s="57">
        <f t="shared" si="118"/>
        <v>-64871.7</v>
      </c>
      <c r="AF164" s="58">
        <f t="shared" si="107"/>
        <v>-0.18300601119639068</v>
      </c>
      <c r="AG164" s="58">
        <f t="shared" si="108"/>
        <v>0.45379094427924671</v>
      </c>
      <c r="AH164" s="57">
        <f t="shared" si="118"/>
        <v>-94309.89</v>
      </c>
      <c r="AI164" s="58">
        <f t="shared" si="109"/>
        <v>-0.28831467601062882</v>
      </c>
      <c r="AJ164" s="58">
        <f t="shared" si="110"/>
        <v>-0.77246787160922326</v>
      </c>
      <c r="AK164" s="57">
        <f t="shared" si="118"/>
        <v>-21458.530000000028</v>
      </c>
      <c r="AL164" s="58">
        <f t="shared" si="111"/>
        <v>-0.10774661341898775</v>
      </c>
      <c r="AM164" s="57">
        <f>SUM(D164:AK164)</f>
        <v>-562878.16964464344</v>
      </c>
      <c r="AN164" s="58">
        <f t="shared" si="112"/>
        <v>-8.10354966399007E-2</v>
      </c>
      <c r="AO164" s="64"/>
      <c r="AP164" s="64"/>
      <c r="AQ164" s="64"/>
      <c r="AR164" s="64"/>
      <c r="AS164" s="64"/>
      <c r="AT164" s="60"/>
      <c r="AU164" s="61"/>
      <c r="AV164" s="65"/>
      <c r="AW164" s="62"/>
      <c r="AX164" s="61"/>
      <c r="AY164" s="64"/>
      <c r="AZ164" s="64"/>
      <c r="BA164" s="64"/>
      <c r="BB164" s="64"/>
      <c r="BC164" s="60"/>
      <c r="BD164" s="61"/>
      <c r="BE164" s="60"/>
      <c r="BF164" s="62"/>
      <c r="BG164" s="61"/>
      <c r="BH164" s="59"/>
      <c r="BI164" s="59"/>
      <c r="BJ164" s="59"/>
      <c r="BK164" s="59"/>
      <c r="BL164" s="75"/>
      <c r="BM164" s="75"/>
      <c r="BN164" s="75"/>
      <c r="BO164" s="75"/>
      <c r="BP164" s="75"/>
      <c r="BQ164" s="75"/>
      <c r="BR164" s="75"/>
      <c r="BS164" s="75"/>
      <c r="BT164" s="75"/>
    </row>
    <row r="165" spans="1:72" s="74" customFormat="1" x14ac:dyDescent="0.25">
      <c r="A165" s="66" t="s">
        <v>513</v>
      </c>
      <c r="B165" s="67">
        <v>521900</v>
      </c>
      <c r="C165" s="66" t="s">
        <v>512</v>
      </c>
      <c r="D165" s="68">
        <v>-214257.65999999997</v>
      </c>
      <c r="E165" s="58">
        <f t="shared" si="89"/>
        <v>-0.3592763445451157</v>
      </c>
      <c r="F165" s="58">
        <f t="shared" si="90"/>
        <v>-0.83412327008518616</v>
      </c>
      <c r="G165" s="68">
        <v>-35540.36</v>
      </c>
      <c r="H165" s="58">
        <f t="shared" si="91"/>
        <v>-4.7906809071112291E-2</v>
      </c>
      <c r="I165" s="58">
        <f t="shared" si="92"/>
        <v>-0.28763383375970308</v>
      </c>
      <c r="J165" s="68">
        <v>-25317.75</v>
      </c>
      <c r="K165" s="58">
        <f t="shared" si="93"/>
        <v>-3.5530438847775139E-2</v>
      </c>
      <c r="L165" s="58">
        <f t="shared" si="94"/>
        <v>-0.4374906932883057</v>
      </c>
      <c r="M165" s="68">
        <v>-14241.47</v>
      </c>
      <c r="N165" s="58">
        <f t="shared" si="95"/>
        <v>-1.9668277093828644E-2</v>
      </c>
      <c r="O165" s="58">
        <f t="shared" si="96"/>
        <v>-0.26085579648730084</v>
      </c>
      <c r="P165" s="68">
        <v>-10526.5</v>
      </c>
      <c r="Q165" s="58">
        <f t="shared" si="97"/>
        <v>-1.1018154514751221E-2</v>
      </c>
      <c r="R165" s="58">
        <f t="shared" si="98"/>
        <v>-0.23131240203296455</v>
      </c>
      <c r="S165" s="68">
        <v>-8091.5899999999992</v>
      </c>
      <c r="T165" s="58">
        <f t="shared" si="99"/>
        <v>-1.2164860432123387E-2</v>
      </c>
      <c r="U165" s="58">
        <f t="shared" si="100"/>
        <v>1.7066052531084748</v>
      </c>
      <c r="V165" s="68">
        <v>-21900.74</v>
      </c>
      <c r="W165" s="58">
        <f t="shared" si="101"/>
        <v>-3.0831268505878803E-2</v>
      </c>
      <c r="X165" s="58">
        <f t="shared" si="102"/>
        <v>0.50004748697989188</v>
      </c>
      <c r="Y165" s="68">
        <v>-32852.15</v>
      </c>
      <c r="Z165" s="58">
        <f t="shared" si="103"/>
        <v>-6.0334948159417832E-2</v>
      </c>
      <c r="AA165" s="58">
        <f t="shared" si="104"/>
        <v>-0.40611223314151446</v>
      </c>
      <c r="AB165" s="68">
        <v>-19510.489999999998</v>
      </c>
      <c r="AC165" s="58">
        <f t="shared" si="105"/>
        <v>-4.7005624198533269E-2</v>
      </c>
      <c r="AD165" s="58">
        <f t="shared" si="106"/>
        <v>2.324965185395139</v>
      </c>
      <c r="AE165" s="68">
        <v>-64871.7</v>
      </c>
      <c r="AF165" s="58">
        <f t="shared" si="107"/>
        <v>-0.18300601119639068</v>
      </c>
      <c r="AG165" s="58">
        <f t="shared" si="108"/>
        <v>0.45379094427924671</v>
      </c>
      <c r="AH165" s="68">
        <v>-94309.89</v>
      </c>
      <c r="AI165" s="58">
        <f t="shared" si="109"/>
        <v>-0.28831467601062882</v>
      </c>
      <c r="AJ165" s="58">
        <f t="shared" si="110"/>
        <v>-0.77246787160922326</v>
      </c>
      <c r="AK165" s="68">
        <v>-21458.530000000028</v>
      </c>
      <c r="AL165" s="58">
        <f t="shared" si="111"/>
        <v>-0.10774661341898775</v>
      </c>
      <c r="AM165" s="68">
        <f>SUM(D165:AK165)</f>
        <v>-562878.16964464344</v>
      </c>
      <c r="AN165" s="58">
        <f t="shared" si="112"/>
        <v>-8.10354966399007E-2</v>
      </c>
      <c r="AO165" s="73"/>
      <c r="AP165" s="73"/>
      <c r="AQ165" s="73"/>
      <c r="AR165" s="73"/>
      <c r="AS165" s="73"/>
      <c r="AT165" s="60"/>
      <c r="AU165" s="61"/>
      <c r="AV165" s="65"/>
      <c r="AW165" s="62"/>
      <c r="AX165" s="61"/>
      <c r="AY165" s="64"/>
      <c r="AZ165" s="64"/>
      <c r="BA165" s="64"/>
      <c r="BB165" s="64"/>
      <c r="BC165" s="69"/>
      <c r="BD165" s="70"/>
      <c r="BE165" s="69"/>
      <c r="BF165" s="72"/>
      <c r="BG165" s="70"/>
      <c r="BH165" s="73"/>
      <c r="BI165" s="73"/>
      <c r="BJ165" s="73"/>
      <c r="BK165" s="73"/>
      <c r="BL165" s="69"/>
      <c r="BM165" s="70"/>
      <c r="BN165" s="69"/>
      <c r="BO165" s="72"/>
      <c r="BP165" s="70"/>
      <c r="BQ165" s="77"/>
      <c r="BR165" s="77"/>
      <c r="BS165" s="77"/>
      <c r="BT165" s="77"/>
    </row>
    <row r="166" spans="1:72" s="74" customFormat="1" x14ac:dyDescent="0.25">
      <c r="A166" s="66" t="s">
        <v>514</v>
      </c>
      <c r="B166" s="67">
        <v>521900001</v>
      </c>
      <c r="C166" s="66" t="s">
        <v>515</v>
      </c>
      <c r="D166" s="68">
        <v>0</v>
      </c>
      <c r="E166" s="58">
        <f t="shared" si="89"/>
        <v>0</v>
      </c>
      <c r="F166" s="58">
        <f t="shared" si="90"/>
        <v>0</v>
      </c>
      <c r="G166" s="68">
        <v>-10961.42</v>
      </c>
      <c r="H166" s="58">
        <f t="shared" si="91"/>
        <v>-1.4775501854462691E-2</v>
      </c>
      <c r="I166" s="58">
        <f t="shared" si="92"/>
        <v>-1</v>
      </c>
      <c r="J166" s="68">
        <v>0</v>
      </c>
      <c r="K166" s="58">
        <f t="shared" si="93"/>
        <v>0</v>
      </c>
      <c r="L166" s="58">
        <f t="shared" si="94"/>
        <v>0</v>
      </c>
      <c r="M166" s="68">
        <v>0</v>
      </c>
      <c r="N166" s="58">
        <f t="shared" si="95"/>
        <v>0</v>
      </c>
      <c r="O166" s="58">
        <f t="shared" si="96"/>
        <v>0</v>
      </c>
      <c r="P166" s="68">
        <v>0</v>
      </c>
      <c r="Q166" s="58">
        <f t="shared" si="97"/>
        <v>0</v>
      </c>
      <c r="R166" s="58">
        <f t="shared" si="98"/>
        <v>0</v>
      </c>
      <c r="S166" s="68">
        <v>-504.99</v>
      </c>
      <c r="T166" s="58">
        <f t="shared" si="99"/>
        <v>-7.5919972089762209E-4</v>
      </c>
      <c r="U166" s="58">
        <f t="shared" si="100"/>
        <v>15.237945305847639</v>
      </c>
      <c r="V166" s="68">
        <v>-8200</v>
      </c>
      <c r="W166" s="58">
        <f t="shared" si="101"/>
        <v>-1.1543737871332482E-2</v>
      </c>
      <c r="X166" s="58">
        <f t="shared" si="102"/>
        <v>-1</v>
      </c>
      <c r="Y166" s="68">
        <v>0</v>
      </c>
      <c r="Z166" s="58">
        <f t="shared" si="103"/>
        <v>0</v>
      </c>
      <c r="AA166" s="58">
        <f t="shared" si="104"/>
        <v>0</v>
      </c>
      <c r="AB166" s="68">
        <v>0</v>
      </c>
      <c r="AC166" s="58">
        <f t="shared" si="105"/>
        <v>0</v>
      </c>
      <c r="AD166" s="58">
        <f t="shared" si="106"/>
        <v>0</v>
      </c>
      <c r="AE166" s="68">
        <v>0</v>
      </c>
      <c r="AF166" s="58">
        <f t="shared" si="107"/>
        <v>0</v>
      </c>
      <c r="AG166" s="58">
        <f t="shared" si="108"/>
        <v>0</v>
      </c>
      <c r="AH166" s="68">
        <v>-1572.77</v>
      </c>
      <c r="AI166" s="58">
        <f t="shared" si="109"/>
        <v>-4.8081136876443886E-3</v>
      </c>
      <c r="AJ166" s="58">
        <f t="shared" si="110"/>
        <v>-9.6008952358039856E-4</v>
      </c>
      <c r="AK166" s="68">
        <v>-1571.2599999999984</v>
      </c>
      <c r="AL166" s="58">
        <f t="shared" si="111"/>
        <v>-7.8895406069622795E-3</v>
      </c>
      <c r="AM166" s="68">
        <f>SUM(D166:AK166)</f>
        <v>-22797.234901336808</v>
      </c>
      <c r="AN166" s="58">
        <f t="shared" si="112"/>
        <v>-3.2820339318055244E-3</v>
      </c>
      <c r="AO166" s="73"/>
      <c r="AP166" s="73"/>
      <c r="AQ166" s="73"/>
      <c r="AR166" s="73"/>
      <c r="AS166" s="73"/>
      <c r="AT166" s="69"/>
      <c r="AU166" s="70"/>
      <c r="AV166" s="71"/>
      <c r="AW166" s="72"/>
      <c r="AX166" s="70"/>
      <c r="AY166" s="73"/>
      <c r="AZ166" s="73"/>
      <c r="BA166" s="73"/>
      <c r="BB166" s="73"/>
      <c r="BC166" s="60"/>
      <c r="BD166" s="61"/>
      <c r="BE166" s="65"/>
      <c r="BF166" s="62"/>
      <c r="BG166" s="61"/>
      <c r="BH166" s="64"/>
      <c r="BI166" s="64"/>
      <c r="BJ166" s="64"/>
      <c r="BK166" s="64"/>
      <c r="BL166" s="69"/>
      <c r="BM166" s="70"/>
      <c r="BN166" s="69"/>
      <c r="BO166" s="72"/>
      <c r="BP166" s="70"/>
      <c r="BQ166" s="73"/>
      <c r="BR166" s="73"/>
      <c r="BS166" s="73"/>
      <c r="BT166" s="73"/>
    </row>
    <row r="167" spans="1:72" s="74" customFormat="1" x14ac:dyDescent="0.25">
      <c r="A167" s="66" t="s">
        <v>516</v>
      </c>
      <c r="B167" s="67">
        <v>521900003</v>
      </c>
      <c r="C167" s="66" t="s">
        <v>517</v>
      </c>
      <c r="D167" s="68">
        <v>-214257.65999999997</v>
      </c>
      <c r="E167" s="58">
        <f t="shared" si="89"/>
        <v>-0.3592763445451157</v>
      </c>
      <c r="F167" s="58">
        <f t="shared" si="90"/>
        <v>-0.88528326128456736</v>
      </c>
      <c r="G167" s="68">
        <v>-24578.94</v>
      </c>
      <c r="H167" s="58">
        <f t="shared" si="91"/>
        <v>-3.3131307216649593E-2</v>
      </c>
      <c r="I167" s="58">
        <f t="shared" si="92"/>
        <v>3.0058659974758983E-2</v>
      </c>
      <c r="J167" s="68">
        <v>-25317.75</v>
      </c>
      <c r="K167" s="58">
        <f t="shared" si="93"/>
        <v>-3.5530438847775139E-2</v>
      </c>
      <c r="L167" s="58">
        <f t="shared" si="94"/>
        <v>-0.4374906932883057</v>
      </c>
      <c r="M167" s="68">
        <v>-14241.47</v>
      </c>
      <c r="N167" s="58">
        <f t="shared" si="95"/>
        <v>-1.9668277093828644E-2</v>
      </c>
      <c r="O167" s="58">
        <f t="shared" si="96"/>
        <v>-0.26085579648730084</v>
      </c>
      <c r="P167" s="68">
        <v>-10526.5</v>
      </c>
      <c r="Q167" s="58">
        <f t="shared" si="97"/>
        <v>-1.1018154514751221E-2</v>
      </c>
      <c r="R167" s="58">
        <f t="shared" si="98"/>
        <v>-0.2792856125017813</v>
      </c>
      <c r="S167" s="68">
        <v>-7586.5999999999995</v>
      </c>
      <c r="T167" s="58">
        <f t="shared" si="99"/>
        <v>-1.1405660711225766E-2</v>
      </c>
      <c r="U167" s="58">
        <f t="shared" si="100"/>
        <v>0.80591305723248929</v>
      </c>
      <c r="V167" s="68">
        <v>-13700.740000000002</v>
      </c>
      <c r="W167" s="58">
        <f t="shared" si="101"/>
        <v>-1.9287530634546319E-2</v>
      </c>
      <c r="X167" s="58">
        <f t="shared" si="102"/>
        <v>1.3978376350474497</v>
      </c>
      <c r="Y167" s="68">
        <v>-32852.15</v>
      </c>
      <c r="Z167" s="58">
        <f t="shared" si="103"/>
        <v>-6.0334948159417832E-2</v>
      </c>
      <c r="AA167" s="58">
        <f t="shared" si="104"/>
        <v>-0.40611223314151446</v>
      </c>
      <c r="AB167" s="68">
        <v>-19510.489999999998</v>
      </c>
      <c r="AC167" s="58">
        <f t="shared" si="105"/>
        <v>-4.7005624198533269E-2</v>
      </c>
      <c r="AD167" s="58">
        <f t="shared" si="106"/>
        <v>2.324965185395139</v>
      </c>
      <c r="AE167" s="68">
        <v>-64871.7</v>
      </c>
      <c r="AF167" s="58">
        <f t="shared" si="107"/>
        <v>-0.18300601119639068</v>
      </c>
      <c r="AG167" s="58">
        <f t="shared" si="108"/>
        <v>0.42954662819072098</v>
      </c>
      <c r="AH167" s="68">
        <v>-92737.12</v>
      </c>
      <c r="AI167" s="58">
        <f t="shared" si="109"/>
        <v>-0.28350656232298438</v>
      </c>
      <c r="AJ167" s="58">
        <f t="shared" si="110"/>
        <v>-0.7855522146902979</v>
      </c>
      <c r="AK167" s="68">
        <v>-19887.270000000077</v>
      </c>
      <c r="AL167" s="58">
        <f t="shared" si="111"/>
        <v>-9.9857072812025702E-2</v>
      </c>
      <c r="AM167" s="68">
        <f>SUM(D167:AK167)</f>
        <v>-540067.5194295051</v>
      </c>
      <c r="AN167" s="58">
        <f t="shared" si="112"/>
        <v>-7.7751531354784437E-2</v>
      </c>
      <c r="AO167" s="64"/>
      <c r="AP167" s="64"/>
      <c r="AQ167" s="73"/>
      <c r="AR167" s="73"/>
      <c r="AS167" s="73"/>
      <c r="AT167" s="60"/>
      <c r="AU167" s="61"/>
      <c r="AV167" s="65"/>
      <c r="AW167" s="62"/>
      <c r="AX167" s="61"/>
      <c r="AY167" s="64"/>
      <c r="AZ167" s="64"/>
      <c r="BA167" s="64"/>
      <c r="BB167" s="64"/>
      <c r="BC167" s="60"/>
      <c r="BD167" s="61"/>
      <c r="BE167" s="65"/>
      <c r="BF167" s="62"/>
      <c r="BG167" s="61"/>
      <c r="BH167" s="64"/>
      <c r="BI167" s="64"/>
      <c r="BJ167" s="64"/>
      <c r="BK167" s="64"/>
      <c r="BL167" s="60"/>
      <c r="BM167" s="61"/>
      <c r="BN167" s="65"/>
      <c r="BO167" s="62"/>
      <c r="BP167" s="61"/>
      <c r="BQ167" s="64"/>
      <c r="BR167" s="64"/>
      <c r="BS167" s="64"/>
      <c r="BT167" s="64"/>
    </row>
    <row r="168" spans="1:72" s="63" customFormat="1" x14ac:dyDescent="0.25">
      <c r="A168" s="55" t="s">
        <v>518</v>
      </c>
      <c r="B168" s="56">
        <v>522</v>
      </c>
      <c r="C168" s="55" t="s">
        <v>519</v>
      </c>
      <c r="D168" s="57">
        <f>D169+D174+D177</f>
        <v>1807.01</v>
      </c>
      <c r="E168" s="58">
        <f t="shared" si="89"/>
        <v>3.0300711179076147E-3</v>
      </c>
      <c r="F168" s="58">
        <f t="shared" si="90"/>
        <v>-0.23678894970144049</v>
      </c>
      <c r="G168" s="57">
        <f t="shared" ref="G168:AK168" si="119">G169+G174+G177</f>
        <v>1379.13</v>
      </c>
      <c r="H168" s="58">
        <f t="shared" si="91"/>
        <v>1.8590052997280583E-3</v>
      </c>
      <c r="I168" s="58">
        <f t="shared" si="92"/>
        <v>0.42274477387918452</v>
      </c>
      <c r="J168" s="57">
        <f t="shared" si="119"/>
        <v>1962.1499999999999</v>
      </c>
      <c r="K168" s="58">
        <f t="shared" si="93"/>
        <v>2.7536432181043732E-3</v>
      </c>
      <c r="L168" s="58">
        <f t="shared" si="94"/>
        <v>1.5230843717350866</v>
      </c>
      <c r="M168" s="57">
        <f t="shared" si="119"/>
        <v>4950.67</v>
      </c>
      <c r="N168" s="58">
        <f t="shared" si="95"/>
        <v>6.8371558104679264E-3</v>
      </c>
      <c r="O168" s="58">
        <f t="shared" si="96"/>
        <v>-0.71953089177828455</v>
      </c>
      <c r="P168" s="57">
        <f t="shared" si="119"/>
        <v>1388.51</v>
      </c>
      <c r="Q168" s="58">
        <f t="shared" si="97"/>
        <v>1.4533622500619598E-3</v>
      </c>
      <c r="R168" s="58">
        <f t="shared" si="98"/>
        <v>2.2613881066755015</v>
      </c>
      <c r="S168" s="57">
        <f t="shared" si="119"/>
        <v>4528.47</v>
      </c>
      <c r="T168" s="58">
        <f t="shared" si="99"/>
        <v>6.8080816651681321E-3</v>
      </c>
      <c r="U168" s="58">
        <f t="shared" si="100"/>
        <v>-0.68056760892751855</v>
      </c>
      <c r="V168" s="57">
        <f t="shared" si="119"/>
        <v>1446.54</v>
      </c>
      <c r="W168" s="58">
        <f t="shared" si="101"/>
        <v>2.0363998268777181E-3</v>
      </c>
      <c r="X168" s="58">
        <f t="shared" si="102"/>
        <v>-0.11056728469312982</v>
      </c>
      <c r="Y168" s="57">
        <f t="shared" si="119"/>
        <v>1286.5999999999999</v>
      </c>
      <c r="Z168" s="58">
        <f t="shared" si="103"/>
        <v>2.3629182352420458E-3</v>
      </c>
      <c r="AA168" s="58">
        <f t="shared" si="104"/>
        <v>-1.2373698119073628E-2</v>
      </c>
      <c r="AB168" s="57">
        <f t="shared" si="119"/>
        <v>1270.6799999999998</v>
      </c>
      <c r="AC168" s="58">
        <f t="shared" si="105"/>
        <v>3.0613842377404288E-3</v>
      </c>
      <c r="AD168" s="58">
        <f t="shared" si="106"/>
        <v>1.0614316743790728</v>
      </c>
      <c r="AE168" s="57">
        <f t="shared" si="119"/>
        <v>2619.42</v>
      </c>
      <c r="AF168" s="58">
        <f t="shared" si="107"/>
        <v>7.3895027546379962E-3</v>
      </c>
      <c r="AG168" s="58">
        <f t="shared" si="108"/>
        <v>-0.83795267654671646</v>
      </c>
      <c r="AH168" s="57">
        <f t="shared" si="119"/>
        <v>424.47</v>
      </c>
      <c r="AI168" s="58">
        <f t="shared" si="109"/>
        <v>1.2976468377413188E-3</v>
      </c>
      <c r="AJ168" s="58">
        <f t="shared" si="110"/>
        <v>0.90564704219379455</v>
      </c>
      <c r="AK168" s="57">
        <f t="shared" si="119"/>
        <v>808.89</v>
      </c>
      <c r="AL168" s="58">
        <f t="shared" si="111"/>
        <v>4.0615623776877954E-3</v>
      </c>
      <c r="AM168" s="57">
        <f>SUM(D168:AK168)</f>
        <v>23876.155404030356</v>
      </c>
      <c r="AN168" s="58">
        <f t="shared" si="112"/>
        <v>3.4373621422172729E-3</v>
      </c>
      <c r="AO168" s="64"/>
      <c r="AP168" s="64"/>
      <c r="AQ168" s="64"/>
      <c r="AR168" s="64"/>
      <c r="AS168" s="64"/>
      <c r="AT168" s="60"/>
      <c r="AU168" s="61"/>
      <c r="AV168" s="65"/>
      <c r="AW168" s="62"/>
      <c r="AX168" s="61"/>
      <c r="AY168" s="64"/>
      <c r="AZ168" s="64"/>
      <c r="BA168" s="64"/>
      <c r="BB168" s="64"/>
      <c r="BC168" s="60"/>
      <c r="BD168" s="61"/>
      <c r="BE168" s="65"/>
      <c r="BF168" s="62"/>
      <c r="BG168" s="61"/>
      <c r="BH168" s="64"/>
      <c r="BI168" s="64"/>
      <c r="BJ168" s="64"/>
      <c r="BK168" s="64"/>
      <c r="BL168" s="60"/>
      <c r="BM168" s="61"/>
      <c r="BN168" s="65"/>
      <c r="BO168" s="62"/>
      <c r="BP168" s="61"/>
      <c r="BQ168" s="64"/>
      <c r="BR168" s="64"/>
      <c r="BS168" s="64"/>
      <c r="BT168" s="64"/>
    </row>
    <row r="169" spans="1:72" s="63" customFormat="1" x14ac:dyDescent="0.25">
      <c r="A169" s="55" t="s">
        <v>520</v>
      </c>
      <c r="B169" s="56">
        <v>5221</v>
      </c>
      <c r="C169" s="55" t="s">
        <v>521</v>
      </c>
      <c r="D169" s="57">
        <f>D170</f>
        <v>1406</v>
      </c>
      <c r="E169" s="58">
        <f t="shared" si="89"/>
        <v>2.3576405176385889E-3</v>
      </c>
      <c r="F169" s="58">
        <f t="shared" si="90"/>
        <v>-0.49660028449502136</v>
      </c>
      <c r="G169" s="57">
        <f t="shared" ref="G169:AK169" si="120">G170</f>
        <v>707.78</v>
      </c>
      <c r="H169" s="58">
        <f t="shared" si="91"/>
        <v>9.5405565178157607E-4</v>
      </c>
      <c r="I169" s="58">
        <f t="shared" si="92"/>
        <v>-0.93636440701913026</v>
      </c>
      <c r="J169" s="57">
        <f t="shared" si="120"/>
        <v>45.04</v>
      </c>
      <c r="K169" s="58">
        <f t="shared" si="93"/>
        <v>6.3208261622924329E-5</v>
      </c>
      <c r="L169" s="58">
        <f t="shared" si="94"/>
        <v>62.494893428063946</v>
      </c>
      <c r="M169" s="57">
        <f t="shared" si="120"/>
        <v>2859.81</v>
      </c>
      <c r="N169" s="58">
        <f t="shared" si="95"/>
        <v>3.9495596673448808E-3</v>
      </c>
      <c r="O169" s="58">
        <f t="shared" si="96"/>
        <v>-0.94213601602903685</v>
      </c>
      <c r="P169" s="57">
        <f t="shared" si="120"/>
        <v>165.48</v>
      </c>
      <c r="Q169" s="58">
        <f t="shared" si="97"/>
        <v>1.7320896870764567E-4</v>
      </c>
      <c r="R169" s="58">
        <f t="shared" si="98"/>
        <v>0.239424703891709</v>
      </c>
      <c r="S169" s="57">
        <f t="shared" si="120"/>
        <v>205.1</v>
      </c>
      <c r="T169" s="58">
        <f t="shared" si="99"/>
        <v>3.0834642815917601E-4</v>
      </c>
      <c r="U169" s="58">
        <f t="shared" si="100"/>
        <v>-0.60736226231106771</v>
      </c>
      <c r="V169" s="57">
        <f t="shared" si="120"/>
        <v>80.53</v>
      </c>
      <c r="W169" s="58">
        <f t="shared" si="101"/>
        <v>1.1336795253395181E-4</v>
      </c>
      <c r="X169" s="58">
        <f t="shared" si="102"/>
        <v>-1</v>
      </c>
      <c r="Y169" s="57">
        <f t="shared" si="120"/>
        <v>0</v>
      </c>
      <c r="Z169" s="58">
        <f t="shared" si="103"/>
        <v>0</v>
      </c>
      <c r="AA169" s="58">
        <f t="shared" si="104"/>
        <v>0</v>
      </c>
      <c r="AB169" s="57">
        <f t="shared" si="120"/>
        <v>77.81</v>
      </c>
      <c r="AC169" s="58">
        <f t="shared" si="105"/>
        <v>1.8746364744749489E-4</v>
      </c>
      <c r="AD169" s="58">
        <f t="shared" si="106"/>
        <v>-1</v>
      </c>
      <c r="AE169" s="57">
        <f t="shared" si="120"/>
        <v>0</v>
      </c>
      <c r="AF169" s="58">
        <f t="shared" si="107"/>
        <v>0</v>
      </c>
      <c r="AG169" s="58">
        <f t="shared" si="108"/>
        <v>0</v>
      </c>
      <c r="AH169" s="57">
        <f t="shared" si="120"/>
        <v>423.72</v>
      </c>
      <c r="AI169" s="58">
        <f t="shared" si="109"/>
        <v>1.2953540134467726E-3</v>
      </c>
      <c r="AJ169" s="58">
        <f t="shared" si="110"/>
        <v>0.90512602662135366</v>
      </c>
      <c r="AK169" s="57">
        <f t="shared" si="120"/>
        <v>807.24</v>
      </c>
      <c r="AL169" s="58">
        <f t="shared" si="111"/>
        <v>4.0532774713059822E-3</v>
      </c>
      <c r="AM169" s="57">
        <f>SUM(D169:AK169)</f>
        <v>6837.1763833938312</v>
      </c>
      <c r="AN169" s="58">
        <f t="shared" si="112"/>
        <v>9.8432309818073942E-4</v>
      </c>
      <c r="AO169" s="64"/>
      <c r="AP169" s="64"/>
      <c r="AQ169" s="64"/>
      <c r="AR169" s="64"/>
      <c r="AS169" s="64"/>
      <c r="AT169" s="60"/>
      <c r="AU169" s="61"/>
      <c r="AV169" s="65"/>
      <c r="AW169" s="62"/>
      <c r="AX169" s="61"/>
      <c r="AY169" s="64"/>
      <c r="AZ169" s="64"/>
      <c r="BA169" s="64"/>
      <c r="BB169" s="64"/>
      <c r="BC169" s="60"/>
      <c r="BD169" s="61"/>
      <c r="BE169" s="65"/>
      <c r="BF169" s="62"/>
      <c r="BG169" s="61"/>
      <c r="BH169" s="64"/>
      <c r="BI169" s="64"/>
      <c r="BJ169" s="64"/>
      <c r="BK169" s="64"/>
      <c r="BL169" s="60"/>
      <c r="BM169" s="61"/>
      <c r="BN169" s="65"/>
      <c r="BO169" s="62"/>
      <c r="BP169" s="61"/>
      <c r="BQ169" s="64"/>
      <c r="BR169" s="64"/>
      <c r="BS169" s="64"/>
      <c r="BT169" s="64"/>
    </row>
    <row r="170" spans="1:72" s="63" customFormat="1" x14ac:dyDescent="0.25">
      <c r="A170" s="55" t="s">
        <v>522</v>
      </c>
      <c r="B170" s="56">
        <v>522100</v>
      </c>
      <c r="C170" s="55" t="s">
        <v>521</v>
      </c>
      <c r="D170" s="57">
        <f>SUM(D171:D173)</f>
        <v>1406</v>
      </c>
      <c r="E170" s="58">
        <f t="shared" si="89"/>
        <v>2.3576405176385889E-3</v>
      </c>
      <c r="F170" s="58">
        <f t="shared" si="90"/>
        <v>-0.49660028449502136</v>
      </c>
      <c r="G170" s="57">
        <f t="shared" ref="G170:AK170" si="121">SUM(G171:G173)</f>
        <v>707.78</v>
      </c>
      <c r="H170" s="58">
        <f t="shared" si="91"/>
        <v>9.5405565178157607E-4</v>
      </c>
      <c r="I170" s="58">
        <f t="shared" si="92"/>
        <v>-0.93636440701913026</v>
      </c>
      <c r="J170" s="57">
        <f t="shared" si="121"/>
        <v>45.04</v>
      </c>
      <c r="K170" s="58">
        <f t="shared" si="93"/>
        <v>6.3208261622924329E-5</v>
      </c>
      <c r="L170" s="58">
        <f t="shared" si="94"/>
        <v>62.494893428063946</v>
      </c>
      <c r="M170" s="57">
        <f t="shared" si="121"/>
        <v>2859.81</v>
      </c>
      <c r="N170" s="58">
        <f t="shared" si="95"/>
        <v>3.9495596673448808E-3</v>
      </c>
      <c r="O170" s="58">
        <f t="shared" si="96"/>
        <v>-0.94213601602903685</v>
      </c>
      <c r="P170" s="57">
        <f t="shared" si="121"/>
        <v>165.48</v>
      </c>
      <c r="Q170" s="58">
        <f t="shared" si="97"/>
        <v>1.7320896870764567E-4</v>
      </c>
      <c r="R170" s="58">
        <f t="shared" si="98"/>
        <v>0.239424703891709</v>
      </c>
      <c r="S170" s="57">
        <f t="shared" si="121"/>
        <v>205.1</v>
      </c>
      <c r="T170" s="58">
        <f t="shared" si="99"/>
        <v>3.0834642815917601E-4</v>
      </c>
      <c r="U170" s="58">
        <f t="shared" si="100"/>
        <v>-0.60736226231106771</v>
      </c>
      <c r="V170" s="57">
        <f t="shared" si="121"/>
        <v>80.53</v>
      </c>
      <c r="W170" s="58">
        <f t="shared" si="101"/>
        <v>1.1336795253395181E-4</v>
      </c>
      <c r="X170" s="58">
        <f t="shared" si="102"/>
        <v>-1</v>
      </c>
      <c r="Y170" s="57">
        <f t="shared" si="121"/>
        <v>0</v>
      </c>
      <c r="Z170" s="58">
        <f t="shared" si="103"/>
        <v>0</v>
      </c>
      <c r="AA170" s="58">
        <f t="shared" si="104"/>
        <v>0</v>
      </c>
      <c r="AB170" s="57">
        <f t="shared" si="121"/>
        <v>77.81</v>
      </c>
      <c r="AC170" s="58">
        <f t="shared" si="105"/>
        <v>1.8746364744749489E-4</v>
      </c>
      <c r="AD170" s="58">
        <f t="shared" si="106"/>
        <v>-1</v>
      </c>
      <c r="AE170" s="57">
        <f t="shared" si="121"/>
        <v>0</v>
      </c>
      <c r="AF170" s="58">
        <f t="shared" si="107"/>
        <v>0</v>
      </c>
      <c r="AG170" s="58">
        <f t="shared" si="108"/>
        <v>0</v>
      </c>
      <c r="AH170" s="57">
        <f t="shared" si="121"/>
        <v>423.72</v>
      </c>
      <c r="AI170" s="58">
        <f t="shared" si="109"/>
        <v>1.2953540134467726E-3</v>
      </c>
      <c r="AJ170" s="58">
        <f t="shared" si="110"/>
        <v>0.90512602662135366</v>
      </c>
      <c r="AK170" s="57">
        <f t="shared" si="121"/>
        <v>807.24</v>
      </c>
      <c r="AL170" s="58">
        <f t="shared" si="111"/>
        <v>4.0532774713059822E-3</v>
      </c>
      <c r="AM170" s="57">
        <f>SUM(D170:AK170)</f>
        <v>6837.1763833938312</v>
      </c>
      <c r="AN170" s="58">
        <f t="shared" si="112"/>
        <v>9.8432309818073942E-4</v>
      </c>
      <c r="AO170" s="64"/>
      <c r="AP170" s="64"/>
      <c r="AQ170" s="64"/>
      <c r="AR170" s="64"/>
      <c r="AS170" s="64"/>
      <c r="AT170" s="60"/>
      <c r="AU170" s="61"/>
      <c r="AV170" s="65"/>
      <c r="AW170" s="62"/>
      <c r="AX170" s="61"/>
      <c r="AY170" s="64"/>
      <c r="AZ170" s="64"/>
      <c r="BA170" s="64"/>
      <c r="BB170" s="64"/>
      <c r="BC170" s="60"/>
      <c r="BD170" s="61"/>
      <c r="BE170" s="65"/>
      <c r="BF170" s="62"/>
      <c r="BG170" s="61"/>
      <c r="BH170" s="64"/>
      <c r="BI170" s="64"/>
      <c r="BJ170" s="64"/>
      <c r="BK170" s="64"/>
      <c r="BL170" s="60"/>
      <c r="BM170" s="61"/>
      <c r="BN170" s="65"/>
      <c r="BO170" s="62"/>
      <c r="BP170" s="61"/>
      <c r="BQ170" s="64"/>
      <c r="BR170" s="64"/>
      <c r="BS170" s="64"/>
      <c r="BT170" s="64"/>
    </row>
    <row r="171" spans="1:72" s="74" customFormat="1" x14ac:dyDescent="0.25">
      <c r="A171" s="66" t="s">
        <v>523</v>
      </c>
      <c r="B171" s="67">
        <v>522100001</v>
      </c>
      <c r="C171" s="66" t="s">
        <v>524</v>
      </c>
      <c r="D171" s="68">
        <v>1406</v>
      </c>
      <c r="E171" s="58">
        <f t="shared" si="89"/>
        <v>2.3576405176385889E-3</v>
      </c>
      <c r="F171" s="58">
        <f t="shared" si="90"/>
        <v>-0.49688477951635845</v>
      </c>
      <c r="G171" s="68">
        <v>707.38</v>
      </c>
      <c r="H171" s="58">
        <f t="shared" si="91"/>
        <v>9.5351646974660388E-4</v>
      </c>
      <c r="I171" s="58">
        <f t="shared" si="92"/>
        <v>-0.93638496988888575</v>
      </c>
      <c r="J171" s="68">
        <v>45</v>
      </c>
      <c r="K171" s="58">
        <f t="shared" si="93"/>
        <v>6.3152126399458142E-5</v>
      </c>
      <c r="L171" s="58">
        <f t="shared" si="94"/>
        <v>61.577777777777776</v>
      </c>
      <c r="M171" s="68">
        <v>2816</v>
      </c>
      <c r="N171" s="58">
        <f t="shared" si="95"/>
        <v>3.8890555747560793E-3</v>
      </c>
      <c r="O171" s="58">
        <f t="shared" si="96"/>
        <v>-0.96164772727272729</v>
      </c>
      <c r="P171" s="68">
        <v>108</v>
      </c>
      <c r="Q171" s="58">
        <f t="shared" si="97"/>
        <v>1.1304428704632422E-4</v>
      </c>
      <c r="R171" s="58">
        <f t="shared" si="98"/>
        <v>-0.99990740740740736</v>
      </c>
      <c r="S171" s="68">
        <v>0.01</v>
      </c>
      <c r="T171" s="58">
        <f t="shared" si="99"/>
        <v>1.5033955541646808E-8</v>
      </c>
      <c r="U171" s="58">
        <f t="shared" si="100"/>
        <v>1225</v>
      </c>
      <c r="V171" s="68">
        <v>12.26</v>
      </c>
      <c r="W171" s="58">
        <f t="shared" si="101"/>
        <v>1.7259295890553201E-5</v>
      </c>
      <c r="X171" s="58">
        <f t="shared" si="102"/>
        <v>-1</v>
      </c>
      <c r="Y171" s="68">
        <v>0</v>
      </c>
      <c r="Z171" s="58">
        <f t="shared" si="103"/>
        <v>0</v>
      </c>
      <c r="AA171" s="58">
        <f t="shared" si="104"/>
        <v>0</v>
      </c>
      <c r="AB171" s="68">
        <v>77.81</v>
      </c>
      <c r="AC171" s="58">
        <f t="shared" si="105"/>
        <v>1.8746364744749489E-4</v>
      </c>
      <c r="AD171" s="58">
        <f t="shared" si="106"/>
        <v>-1</v>
      </c>
      <c r="AE171" s="68">
        <v>0</v>
      </c>
      <c r="AF171" s="58">
        <f t="shared" si="107"/>
        <v>0</v>
      </c>
      <c r="AG171" s="58">
        <f t="shared" si="108"/>
        <v>0</v>
      </c>
      <c r="AH171" s="68">
        <v>0</v>
      </c>
      <c r="AI171" s="58">
        <f t="shared" si="109"/>
        <v>0</v>
      </c>
      <c r="AJ171" s="58">
        <f t="shared" si="110"/>
        <v>0</v>
      </c>
      <c r="AK171" s="68">
        <v>0</v>
      </c>
      <c r="AL171" s="58">
        <f t="shared" si="111"/>
        <v>0</v>
      </c>
      <c r="AM171" s="68">
        <f>SUM(D171:AK171)</f>
        <v>6453.6505340406466</v>
      </c>
      <c r="AN171" s="58">
        <f t="shared" si="112"/>
        <v>9.2910829442276817E-4</v>
      </c>
      <c r="AO171" s="64"/>
      <c r="AP171" s="64"/>
      <c r="AQ171" s="73"/>
      <c r="AR171" s="73"/>
      <c r="AS171" s="73"/>
      <c r="AT171" s="69"/>
      <c r="AU171" s="70"/>
      <c r="AV171" s="71"/>
      <c r="AW171" s="72"/>
      <c r="AX171" s="70"/>
      <c r="AY171" s="73"/>
      <c r="AZ171" s="73"/>
      <c r="BA171" s="73"/>
      <c r="BB171" s="73"/>
      <c r="BC171" s="69"/>
      <c r="BD171" s="70"/>
      <c r="BE171" s="71"/>
      <c r="BF171" s="72"/>
      <c r="BG171" s="70"/>
      <c r="BH171" s="73"/>
      <c r="BI171" s="73"/>
      <c r="BJ171" s="73"/>
      <c r="BK171" s="73"/>
      <c r="BL171" s="60"/>
      <c r="BM171" s="61"/>
      <c r="BN171" s="65"/>
      <c r="BO171" s="62"/>
      <c r="BP171" s="61"/>
      <c r="BQ171" s="64"/>
      <c r="BR171" s="64"/>
      <c r="BS171" s="64"/>
      <c r="BT171" s="64"/>
    </row>
    <row r="172" spans="1:72" s="74" customFormat="1" x14ac:dyDescent="0.25">
      <c r="A172" s="66" t="s">
        <v>525</v>
      </c>
      <c r="B172" s="67">
        <v>522100002</v>
      </c>
      <c r="C172" s="66" t="s">
        <v>526</v>
      </c>
      <c r="D172" s="68">
        <v>0</v>
      </c>
      <c r="E172" s="58">
        <f t="shared" si="89"/>
        <v>0</v>
      </c>
      <c r="F172" s="58">
        <f t="shared" si="90"/>
        <v>0</v>
      </c>
      <c r="G172" s="68">
        <v>0</v>
      </c>
      <c r="H172" s="58">
        <f t="shared" si="91"/>
        <v>0</v>
      </c>
      <c r="I172" s="58">
        <f t="shared" si="92"/>
        <v>0</v>
      </c>
      <c r="J172" s="68">
        <v>0</v>
      </c>
      <c r="K172" s="58">
        <f t="shared" si="93"/>
        <v>0</v>
      </c>
      <c r="L172" s="58">
        <f t="shared" si="94"/>
        <v>0</v>
      </c>
      <c r="M172" s="68">
        <v>0</v>
      </c>
      <c r="N172" s="58">
        <f t="shared" si="95"/>
        <v>0</v>
      </c>
      <c r="O172" s="58">
        <f t="shared" si="96"/>
        <v>0</v>
      </c>
      <c r="P172" s="68">
        <v>0</v>
      </c>
      <c r="Q172" s="58">
        <f t="shared" si="97"/>
        <v>0</v>
      </c>
      <c r="R172" s="58">
        <f t="shared" si="98"/>
        <v>0</v>
      </c>
      <c r="S172" s="68">
        <v>0</v>
      </c>
      <c r="T172" s="58">
        <f t="shared" si="99"/>
        <v>0</v>
      </c>
      <c r="U172" s="58">
        <f t="shared" si="100"/>
        <v>0</v>
      </c>
      <c r="V172" s="68">
        <v>0</v>
      </c>
      <c r="W172" s="58">
        <f t="shared" si="101"/>
        <v>0</v>
      </c>
      <c r="X172" s="58">
        <f t="shared" si="102"/>
        <v>0</v>
      </c>
      <c r="Y172" s="68">
        <v>0</v>
      </c>
      <c r="Z172" s="58">
        <f t="shared" si="103"/>
        <v>0</v>
      </c>
      <c r="AA172" s="58">
        <f t="shared" si="104"/>
        <v>0</v>
      </c>
      <c r="AB172" s="68">
        <v>0</v>
      </c>
      <c r="AC172" s="58">
        <f t="shared" si="105"/>
        <v>0</v>
      </c>
      <c r="AD172" s="58">
        <f t="shared" si="106"/>
        <v>0</v>
      </c>
      <c r="AE172" s="68">
        <v>0</v>
      </c>
      <c r="AF172" s="58">
        <f t="shared" si="107"/>
        <v>0</v>
      </c>
      <c r="AG172" s="58">
        <f t="shared" si="108"/>
        <v>0</v>
      </c>
      <c r="AH172" s="68">
        <v>423.72</v>
      </c>
      <c r="AI172" s="58">
        <f t="shared" si="109"/>
        <v>1.2953540134467726E-3</v>
      </c>
      <c r="AJ172" s="58">
        <f t="shared" si="110"/>
        <v>0.90512602662135366</v>
      </c>
      <c r="AK172" s="68">
        <v>807.24</v>
      </c>
      <c r="AL172" s="58">
        <f t="shared" si="111"/>
        <v>4.0532774713059822E-3</v>
      </c>
      <c r="AM172" s="68">
        <f>SUM(D172:AK172)</f>
        <v>1231.8664213806348</v>
      </c>
      <c r="AN172" s="58">
        <f t="shared" si="112"/>
        <v>1.7734727092652832E-4</v>
      </c>
      <c r="AO172" s="73"/>
      <c r="AP172" s="73"/>
      <c r="AQ172" s="64"/>
      <c r="AR172" s="64"/>
      <c r="AS172" s="64"/>
      <c r="AT172" s="69"/>
      <c r="AU172" s="70"/>
      <c r="AV172" s="71"/>
      <c r="AW172" s="72"/>
      <c r="AX172" s="70"/>
      <c r="AY172" s="73"/>
      <c r="AZ172" s="73"/>
      <c r="BA172" s="73"/>
      <c r="BB172" s="73"/>
      <c r="BC172" s="60"/>
      <c r="BD172" s="61"/>
      <c r="BE172" s="65"/>
      <c r="BF172" s="62"/>
      <c r="BG172" s="61"/>
      <c r="BH172" s="64"/>
      <c r="BI172" s="64"/>
      <c r="BJ172" s="64"/>
      <c r="BK172" s="64"/>
      <c r="BL172" s="69"/>
      <c r="BM172" s="70"/>
      <c r="BN172" s="71"/>
      <c r="BO172" s="72"/>
      <c r="BP172" s="70"/>
      <c r="BQ172" s="73"/>
      <c r="BR172" s="73"/>
      <c r="BS172" s="73"/>
      <c r="BT172" s="73"/>
    </row>
    <row r="173" spans="1:72" s="74" customFormat="1" x14ac:dyDescent="0.25">
      <c r="A173" s="66" t="s">
        <v>705</v>
      </c>
      <c r="B173" s="67">
        <v>522100005</v>
      </c>
      <c r="C173" s="66" t="s">
        <v>706</v>
      </c>
      <c r="D173" s="68">
        <v>0</v>
      </c>
      <c r="E173" s="58">
        <f t="shared" si="89"/>
        <v>0</v>
      </c>
      <c r="F173" s="58">
        <f t="shared" si="90"/>
        <v>0</v>
      </c>
      <c r="G173" s="68">
        <v>0.4</v>
      </c>
      <c r="H173" s="58">
        <f t="shared" si="91"/>
        <v>5.391820349722095E-7</v>
      </c>
      <c r="I173" s="58">
        <f t="shared" si="92"/>
        <v>-0.9</v>
      </c>
      <c r="J173" s="68">
        <v>0.04</v>
      </c>
      <c r="K173" s="58">
        <f t="shared" si="93"/>
        <v>5.6135223466185018E-8</v>
      </c>
      <c r="L173" s="58">
        <f t="shared" si="94"/>
        <v>1094.25</v>
      </c>
      <c r="M173" s="68">
        <v>43.81</v>
      </c>
      <c r="N173" s="58">
        <f t="shared" si="95"/>
        <v>6.0504092588801083E-5</v>
      </c>
      <c r="O173" s="58">
        <f t="shared" si="96"/>
        <v>0.31202921707372733</v>
      </c>
      <c r="P173" s="68">
        <v>57.48</v>
      </c>
      <c r="Q173" s="58">
        <f t="shared" si="97"/>
        <v>6.0164681661321446E-5</v>
      </c>
      <c r="R173" s="58">
        <f t="shared" si="98"/>
        <v>2.5680236604036191</v>
      </c>
      <c r="S173" s="68">
        <v>205.09</v>
      </c>
      <c r="T173" s="58">
        <f t="shared" si="99"/>
        <v>3.0833139420363437E-4</v>
      </c>
      <c r="U173" s="58">
        <f t="shared" si="100"/>
        <v>-0.66712175142620311</v>
      </c>
      <c r="V173" s="68">
        <v>68.27</v>
      </c>
      <c r="W173" s="58">
        <f t="shared" si="101"/>
        <v>9.61086566433986E-5</v>
      </c>
      <c r="X173" s="58">
        <f t="shared" si="102"/>
        <v>-1</v>
      </c>
      <c r="Y173" s="68">
        <v>0</v>
      </c>
      <c r="Z173" s="58">
        <f t="shared" si="103"/>
        <v>0</v>
      </c>
      <c r="AA173" s="58">
        <f t="shared" si="104"/>
        <v>0</v>
      </c>
      <c r="AB173" s="68">
        <v>0</v>
      </c>
      <c r="AC173" s="58">
        <f t="shared" si="105"/>
        <v>0</v>
      </c>
      <c r="AD173" s="58">
        <f t="shared" si="106"/>
        <v>0</v>
      </c>
      <c r="AE173" s="68">
        <v>0</v>
      </c>
      <c r="AF173" s="58">
        <f t="shared" si="107"/>
        <v>0</v>
      </c>
      <c r="AG173" s="58">
        <f t="shared" si="108"/>
        <v>0</v>
      </c>
      <c r="AH173" s="68">
        <v>0</v>
      </c>
      <c r="AI173" s="58">
        <f t="shared" si="109"/>
        <v>0</v>
      </c>
      <c r="AJ173" s="58">
        <f t="shared" si="110"/>
        <v>0</v>
      </c>
      <c r="AK173" s="68">
        <v>0</v>
      </c>
      <c r="AL173" s="58">
        <f t="shared" si="111"/>
        <v>0</v>
      </c>
      <c r="AM173" s="68">
        <f>SUM(D173:AK173)</f>
        <v>1469.6534568301934</v>
      </c>
      <c r="AN173" s="58">
        <f t="shared" si="112"/>
        <v>2.1158059449697284E-4</v>
      </c>
      <c r="AO173" s="64"/>
      <c r="AP173" s="64"/>
      <c r="AQ173" s="73"/>
      <c r="AR173" s="73"/>
      <c r="AS173" s="73"/>
      <c r="AT173" s="69"/>
      <c r="AU173" s="70"/>
      <c r="AV173" s="71"/>
      <c r="AW173" s="72"/>
      <c r="AX173" s="70"/>
      <c r="AY173" s="73"/>
      <c r="AZ173" s="73"/>
      <c r="BA173" s="73"/>
      <c r="BB173" s="73"/>
      <c r="BC173" s="60"/>
      <c r="BD173" s="61"/>
      <c r="BE173" s="65"/>
      <c r="BF173" s="62"/>
      <c r="BG173" s="61"/>
      <c r="BH173" s="64"/>
      <c r="BI173" s="64"/>
      <c r="BJ173" s="64"/>
      <c r="BK173" s="64"/>
      <c r="BL173" s="60"/>
      <c r="BM173" s="61"/>
      <c r="BN173" s="65"/>
      <c r="BO173" s="62"/>
      <c r="BP173" s="61"/>
      <c r="BQ173" s="64"/>
      <c r="BR173" s="64"/>
      <c r="BS173" s="64"/>
      <c r="BT173" s="64"/>
    </row>
    <row r="174" spans="1:72" s="63" customFormat="1" x14ac:dyDescent="0.25">
      <c r="A174" s="55" t="s">
        <v>707</v>
      </c>
      <c r="B174" s="56">
        <v>5223</v>
      </c>
      <c r="C174" s="55" t="s">
        <v>708</v>
      </c>
      <c r="D174" s="57">
        <f>D175</f>
        <v>401.00999999999993</v>
      </c>
      <c r="E174" s="58">
        <f t="shared" si="89"/>
        <v>6.724306002690259E-4</v>
      </c>
      <c r="F174" s="58">
        <f t="shared" si="90"/>
        <v>0.67414777686342009</v>
      </c>
      <c r="G174" s="57">
        <f t="shared" ref="G174:AK174" si="122">G175</f>
        <v>671.35</v>
      </c>
      <c r="H174" s="58">
        <f t="shared" si="91"/>
        <v>9.0494964794648211E-4</v>
      </c>
      <c r="I174" s="58">
        <f t="shared" si="92"/>
        <v>1.8556043792358676</v>
      </c>
      <c r="J174" s="57">
        <f t="shared" si="122"/>
        <v>1917.11</v>
      </c>
      <c r="K174" s="58">
        <f t="shared" si="93"/>
        <v>2.6904349564814485E-3</v>
      </c>
      <c r="L174" s="58">
        <f t="shared" si="94"/>
        <v>9.0631210520001559E-2</v>
      </c>
      <c r="M174" s="57">
        <f t="shared" si="122"/>
        <v>2090.86</v>
      </c>
      <c r="N174" s="58">
        <f t="shared" si="95"/>
        <v>2.8875961431230456E-3</v>
      </c>
      <c r="O174" s="58">
        <f t="shared" si="96"/>
        <v>-0.41505887529533303</v>
      </c>
      <c r="P174" s="57">
        <f t="shared" si="122"/>
        <v>1223.03</v>
      </c>
      <c r="Q174" s="58">
        <f t="shared" si="97"/>
        <v>1.280153281354314E-3</v>
      </c>
      <c r="R174" s="58">
        <f t="shared" si="98"/>
        <v>2.5349664358192356</v>
      </c>
      <c r="S174" s="57">
        <f t="shared" si="122"/>
        <v>4323.37</v>
      </c>
      <c r="T174" s="58">
        <f t="shared" si="99"/>
        <v>6.4997352370089554E-3</v>
      </c>
      <c r="U174" s="58">
        <f t="shared" si="100"/>
        <v>-0.68404045917883505</v>
      </c>
      <c r="V174" s="57">
        <f t="shared" si="122"/>
        <v>1366.01</v>
      </c>
      <c r="W174" s="58">
        <f t="shared" si="101"/>
        <v>1.9230318743437664E-3</v>
      </c>
      <c r="X174" s="58">
        <f t="shared" si="102"/>
        <v>-5.8132810155123393E-2</v>
      </c>
      <c r="Y174" s="57">
        <f t="shared" si="122"/>
        <v>1286.5999999999999</v>
      </c>
      <c r="Z174" s="58">
        <f t="shared" si="103"/>
        <v>2.3629182352420458E-3</v>
      </c>
      <c r="AA174" s="58">
        <f t="shared" si="104"/>
        <v>-7.2850924918389626E-2</v>
      </c>
      <c r="AB174" s="57">
        <f t="shared" si="122"/>
        <v>1192.8699999999999</v>
      </c>
      <c r="AC174" s="58">
        <f t="shared" si="105"/>
        <v>2.8739205902929338E-3</v>
      </c>
      <c r="AD174" s="58">
        <f t="shared" si="106"/>
        <v>1.1958972897298117</v>
      </c>
      <c r="AE174" s="57">
        <f t="shared" si="122"/>
        <v>2619.42</v>
      </c>
      <c r="AF174" s="58">
        <f t="shared" si="107"/>
        <v>7.3895027546379962E-3</v>
      </c>
      <c r="AG174" s="58">
        <f t="shared" si="108"/>
        <v>-1</v>
      </c>
      <c r="AH174" s="57">
        <f t="shared" si="122"/>
        <v>0</v>
      </c>
      <c r="AI174" s="58">
        <f t="shared" si="109"/>
        <v>0</v>
      </c>
      <c r="AJ174" s="58">
        <f t="shared" si="110"/>
        <v>0</v>
      </c>
      <c r="AK174" s="57">
        <f t="shared" si="122"/>
        <v>0</v>
      </c>
      <c r="AL174" s="58">
        <f t="shared" si="111"/>
        <v>0</v>
      </c>
      <c r="AM174" s="57">
        <f>SUM(D174:AK174)</f>
        <v>17095.780648695945</v>
      </c>
      <c r="AN174" s="58">
        <f t="shared" si="112"/>
        <v>2.461216565191166E-3</v>
      </c>
      <c r="AO174" s="64"/>
      <c r="AP174" s="64"/>
      <c r="AQ174" s="64"/>
      <c r="AR174" s="64"/>
      <c r="AS174" s="64"/>
      <c r="AT174" s="60"/>
      <c r="AU174" s="61"/>
      <c r="AV174" s="65"/>
      <c r="AW174" s="62"/>
      <c r="AX174" s="61"/>
      <c r="AY174" s="64"/>
      <c r="AZ174" s="64"/>
      <c r="BA174" s="64"/>
      <c r="BB174" s="64"/>
      <c r="BC174" s="60"/>
      <c r="BD174" s="61"/>
      <c r="BE174" s="65"/>
      <c r="BF174" s="62"/>
      <c r="BG174" s="61"/>
      <c r="BH174" s="64"/>
      <c r="BI174" s="64"/>
      <c r="BJ174" s="64"/>
      <c r="BK174" s="64"/>
      <c r="BL174" s="60"/>
      <c r="BM174" s="61"/>
      <c r="BN174" s="65"/>
      <c r="BO174" s="62"/>
      <c r="BP174" s="61"/>
      <c r="BQ174" s="64"/>
      <c r="BR174" s="64"/>
      <c r="BS174" s="64"/>
      <c r="BT174" s="64"/>
    </row>
    <row r="175" spans="1:72" s="74" customFormat="1" x14ac:dyDescent="0.25">
      <c r="A175" s="66" t="s">
        <v>709</v>
      </c>
      <c r="B175" s="67">
        <v>522300</v>
      </c>
      <c r="C175" s="66" t="s">
        <v>708</v>
      </c>
      <c r="D175" s="68">
        <v>401.00999999999993</v>
      </c>
      <c r="E175" s="58">
        <f t="shared" si="89"/>
        <v>6.724306002690259E-4</v>
      </c>
      <c r="F175" s="58">
        <f t="shared" si="90"/>
        <v>0.67414777686342009</v>
      </c>
      <c r="G175" s="68">
        <v>671.35</v>
      </c>
      <c r="H175" s="58">
        <f t="shared" si="91"/>
        <v>9.0494964794648211E-4</v>
      </c>
      <c r="I175" s="58">
        <f t="shared" si="92"/>
        <v>1.8556043792358676</v>
      </c>
      <c r="J175" s="68">
        <v>1917.11</v>
      </c>
      <c r="K175" s="58">
        <f t="shared" si="93"/>
        <v>2.6904349564814485E-3</v>
      </c>
      <c r="L175" s="58">
        <f t="shared" si="94"/>
        <v>9.0631210520001559E-2</v>
      </c>
      <c r="M175" s="68">
        <v>2090.86</v>
      </c>
      <c r="N175" s="58">
        <f t="shared" si="95"/>
        <v>2.8875961431230456E-3</v>
      </c>
      <c r="O175" s="58">
        <f t="shared" si="96"/>
        <v>-0.41505887529533303</v>
      </c>
      <c r="P175" s="68">
        <v>1223.03</v>
      </c>
      <c r="Q175" s="58">
        <f t="shared" si="97"/>
        <v>1.280153281354314E-3</v>
      </c>
      <c r="R175" s="58">
        <f t="shared" si="98"/>
        <v>2.5349664358192356</v>
      </c>
      <c r="S175" s="68">
        <v>4323.37</v>
      </c>
      <c r="T175" s="58">
        <f t="shared" si="99"/>
        <v>6.4997352370089554E-3</v>
      </c>
      <c r="U175" s="58">
        <f t="shared" si="100"/>
        <v>-0.68404045917883505</v>
      </c>
      <c r="V175" s="68">
        <v>1366.01</v>
      </c>
      <c r="W175" s="58">
        <f t="shared" si="101"/>
        <v>1.9230318743437664E-3</v>
      </c>
      <c r="X175" s="58">
        <f t="shared" si="102"/>
        <v>-5.8132810155123393E-2</v>
      </c>
      <c r="Y175" s="68">
        <v>1286.5999999999999</v>
      </c>
      <c r="Z175" s="58">
        <f t="shared" si="103"/>
        <v>2.3629182352420458E-3</v>
      </c>
      <c r="AA175" s="58">
        <f t="shared" si="104"/>
        <v>-7.2850924918389626E-2</v>
      </c>
      <c r="AB175" s="68">
        <v>1192.8699999999999</v>
      </c>
      <c r="AC175" s="58">
        <f t="shared" si="105"/>
        <v>2.8739205902929338E-3</v>
      </c>
      <c r="AD175" s="58">
        <f t="shared" si="106"/>
        <v>1.1958972897298117</v>
      </c>
      <c r="AE175" s="68">
        <v>2619.42</v>
      </c>
      <c r="AF175" s="58">
        <f t="shared" si="107"/>
        <v>7.3895027546379962E-3</v>
      </c>
      <c r="AG175" s="58">
        <f t="shared" si="108"/>
        <v>-1</v>
      </c>
      <c r="AH175" s="68">
        <v>0</v>
      </c>
      <c r="AI175" s="58">
        <f t="shared" si="109"/>
        <v>0</v>
      </c>
      <c r="AJ175" s="58">
        <f t="shared" si="110"/>
        <v>0</v>
      </c>
      <c r="AK175" s="68">
        <v>0</v>
      </c>
      <c r="AL175" s="58">
        <f t="shared" si="111"/>
        <v>0</v>
      </c>
      <c r="AM175" s="68">
        <f>SUM(D175:AK175)</f>
        <v>17095.780648695945</v>
      </c>
      <c r="AN175" s="58">
        <f t="shared" si="112"/>
        <v>2.461216565191166E-3</v>
      </c>
      <c r="AO175" s="73"/>
      <c r="AP175" s="73"/>
      <c r="AQ175" s="73"/>
      <c r="AR175" s="73"/>
      <c r="AS175" s="73"/>
      <c r="AT175" s="60"/>
      <c r="AU175" s="61"/>
      <c r="AV175" s="65"/>
      <c r="AW175" s="62"/>
      <c r="AX175" s="61"/>
      <c r="AY175" s="64"/>
      <c r="AZ175" s="64"/>
      <c r="BA175" s="64"/>
      <c r="BB175" s="64"/>
      <c r="BC175" s="69"/>
      <c r="BD175" s="70"/>
      <c r="BE175" s="71"/>
      <c r="BF175" s="72"/>
      <c r="BG175" s="70"/>
      <c r="BH175" s="73"/>
      <c r="BI175" s="73"/>
      <c r="BJ175" s="73"/>
      <c r="BK175" s="73"/>
      <c r="BL175" s="69"/>
      <c r="BM175" s="70"/>
      <c r="BN175" s="71"/>
      <c r="BO175" s="72"/>
      <c r="BP175" s="70"/>
      <c r="BQ175" s="73"/>
      <c r="BR175" s="73"/>
      <c r="BS175" s="73"/>
      <c r="BT175" s="73"/>
    </row>
    <row r="176" spans="1:72" s="74" customFormat="1" x14ac:dyDescent="0.25">
      <c r="A176" s="66" t="s">
        <v>710</v>
      </c>
      <c r="B176" s="67">
        <v>522300002</v>
      </c>
      <c r="C176" s="66" t="s">
        <v>711</v>
      </c>
      <c r="D176" s="68">
        <v>401.00999999999993</v>
      </c>
      <c r="E176" s="58">
        <f t="shared" si="89"/>
        <v>6.724306002690259E-4</v>
      </c>
      <c r="F176" s="58">
        <f t="shared" si="90"/>
        <v>0.67414777686342009</v>
      </c>
      <c r="G176" s="68">
        <v>671.35</v>
      </c>
      <c r="H176" s="58">
        <f t="shared" si="91"/>
        <v>9.0494964794648211E-4</v>
      </c>
      <c r="I176" s="58">
        <f t="shared" si="92"/>
        <v>1.8556043792358676</v>
      </c>
      <c r="J176" s="68">
        <v>1917.11</v>
      </c>
      <c r="K176" s="58">
        <f t="shared" si="93"/>
        <v>2.6904349564814485E-3</v>
      </c>
      <c r="L176" s="58">
        <f t="shared" si="94"/>
        <v>9.0631210520001559E-2</v>
      </c>
      <c r="M176" s="68">
        <v>2090.86</v>
      </c>
      <c r="N176" s="58">
        <f t="shared" si="95"/>
        <v>2.8875961431230456E-3</v>
      </c>
      <c r="O176" s="58">
        <f t="shared" si="96"/>
        <v>-0.41505887529533303</v>
      </c>
      <c r="P176" s="68">
        <v>1223.03</v>
      </c>
      <c r="Q176" s="58">
        <f t="shared" si="97"/>
        <v>1.280153281354314E-3</v>
      </c>
      <c r="R176" s="58">
        <f t="shared" si="98"/>
        <v>2.5349664358192356</v>
      </c>
      <c r="S176" s="68">
        <v>4323.37</v>
      </c>
      <c r="T176" s="58">
        <f t="shared" si="99"/>
        <v>6.4997352370089554E-3</v>
      </c>
      <c r="U176" s="58">
        <f t="shared" si="100"/>
        <v>-0.68404045917883505</v>
      </c>
      <c r="V176" s="68">
        <v>1366.01</v>
      </c>
      <c r="W176" s="58">
        <f t="shared" si="101"/>
        <v>1.9230318743437664E-3</v>
      </c>
      <c r="X176" s="58">
        <f t="shared" si="102"/>
        <v>-5.8132810155123393E-2</v>
      </c>
      <c r="Y176" s="68">
        <v>1286.5999999999999</v>
      </c>
      <c r="Z176" s="58">
        <f t="shared" si="103"/>
        <v>2.3629182352420458E-3</v>
      </c>
      <c r="AA176" s="58">
        <f t="shared" si="104"/>
        <v>-7.2850924918389626E-2</v>
      </c>
      <c r="AB176" s="68">
        <v>1192.8699999999999</v>
      </c>
      <c r="AC176" s="58">
        <f t="shared" si="105"/>
        <v>2.8739205902929338E-3</v>
      </c>
      <c r="AD176" s="58">
        <f t="shared" si="106"/>
        <v>1.1958972897298117</v>
      </c>
      <c r="AE176" s="68">
        <v>2619.42</v>
      </c>
      <c r="AF176" s="58">
        <f t="shared" si="107"/>
        <v>7.3895027546379962E-3</v>
      </c>
      <c r="AG176" s="58">
        <f t="shared" si="108"/>
        <v>-1</v>
      </c>
      <c r="AH176" s="68">
        <v>0</v>
      </c>
      <c r="AI176" s="58">
        <f t="shared" si="109"/>
        <v>0</v>
      </c>
      <c r="AJ176" s="58">
        <f t="shared" si="110"/>
        <v>0</v>
      </c>
      <c r="AK176" s="68">
        <v>0</v>
      </c>
      <c r="AL176" s="58">
        <f t="shared" si="111"/>
        <v>0</v>
      </c>
      <c r="AM176" s="68">
        <f>SUM(D176:AK176)</f>
        <v>17095.780648695945</v>
      </c>
      <c r="AN176" s="58">
        <f t="shared" si="112"/>
        <v>2.461216565191166E-3</v>
      </c>
      <c r="AO176" s="76"/>
      <c r="AP176" s="76"/>
      <c r="AQ176" s="73"/>
      <c r="AR176" s="73"/>
      <c r="AS176" s="73"/>
      <c r="AT176" s="69"/>
      <c r="AU176" s="70"/>
      <c r="AV176" s="71"/>
      <c r="AW176" s="72"/>
      <c r="AX176" s="70"/>
      <c r="AY176" s="73"/>
      <c r="AZ176" s="73"/>
      <c r="BA176" s="73"/>
      <c r="BB176" s="73"/>
      <c r="BC176" s="69"/>
      <c r="BD176" s="70"/>
      <c r="BE176" s="71"/>
      <c r="BF176" s="72"/>
      <c r="BG176" s="70"/>
      <c r="BH176" s="73"/>
      <c r="BI176" s="73"/>
      <c r="BJ176" s="73"/>
      <c r="BK176" s="73"/>
      <c r="BL176" s="69"/>
      <c r="BM176" s="70"/>
      <c r="BN176" s="71"/>
      <c r="BO176" s="72"/>
      <c r="BP176" s="70"/>
      <c r="BQ176" s="73"/>
      <c r="BR176" s="73"/>
      <c r="BS176" s="73"/>
      <c r="BT176" s="73"/>
    </row>
    <row r="177" spans="1:72" s="63" customFormat="1" x14ac:dyDescent="0.25">
      <c r="A177" s="55" t="s">
        <v>527</v>
      </c>
      <c r="B177" s="56">
        <v>5224</v>
      </c>
      <c r="C177" s="55" t="s">
        <v>528</v>
      </c>
      <c r="D177" s="57">
        <f>D178</f>
        <v>0</v>
      </c>
      <c r="E177" s="58">
        <f t="shared" si="89"/>
        <v>0</v>
      </c>
      <c r="F177" s="58">
        <f t="shared" si="90"/>
        <v>0</v>
      </c>
      <c r="G177" s="57">
        <f t="shared" ref="G177:AK177" si="123">G178</f>
        <v>0</v>
      </c>
      <c r="H177" s="58">
        <f t="shared" si="91"/>
        <v>0</v>
      </c>
      <c r="I177" s="58">
        <f t="shared" si="92"/>
        <v>0</v>
      </c>
      <c r="J177" s="57">
        <f t="shared" si="123"/>
        <v>0</v>
      </c>
      <c r="K177" s="58">
        <f t="shared" si="93"/>
        <v>0</v>
      </c>
      <c r="L177" s="58">
        <f t="shared" si="94"/>
        <v>0</v>
      </c>
      <c r="M177" s="57">
        <f t="shared" si="123"/>
        <v>0</v>
      </c>
      <c r="N177" s="58">
        <f t="shared" si="95"/>
        <v>0</v>
      </c>
      <c r="O177" s="58">
        <f t="shared" si="96"/>
        <v>0</v>
      </c>
      <c r="P177" s="57">
        <f t="shared" si="123"/>
        <v>0</v>
      </c>
      <c r="Q177" s="58">
        <f t="shared" si="97"/>
        <v>0</v>
      </c>
      <c r="R177" s="58">
        <f t="shared" si="98"/>
        <v>0</v>
      </c>
      <c r="S177" s="57">
        <f t="shared" si="123"/>
        <v>0</v>
      </c>
      <c r="T177" s="58">
        <f t="shared" si="99"/>
        <v>0</v>
      </c>
      <c r="U177" s="58">
        <f t="shared" si="100"/>
        <v>0</v>
      </c>
      <c r="V177" s="57">
        <f t="shared" si="123"/>
        <v>0</v>
      </c>
      <c r="W177" s="58">
        <f t="shared" si="101"/>
        <v>0</v>
      </c>
      <c r="X177" s="58">
        <f t="shared" si="102"/>
        <v>0</v>
      </c>
      <c r="Y177" s="57">
        <f t="shared" si="123"/>
        <v>0</v>
      </c>
      <c r="Z177" s="58">
        <f t="shared" si="103"/>
        <v>0</v>
      </c>
      <c r="AA177" s="58">
        <f t="shared" si="104"/>
        <v>0</v>
      </c>
      <c r="AB177" s="57">
        <f t="shared" si="123"/>
        <v>0</v>
      </c>
      <c r="AC177" s="58">
        <f t="shared" si="105"/>
        <v>0</v>
      </c>
      <c r="AD177" s="58">
        <f t="shared" si="106"/>
        <v>0</v>
      </c>
      <c r="AE177" s="57">
        <f t="shared" si="123"/>
        <v>0</v>
      </c>
      <c r="AF177" s="58">
        <f t="shared" si="107"/>
        <v>0</v>
      </c>
      <c r="AG177" s="58">
        <f t="shared" si="108"/>
        <v>0</v>
      </c>
      <c r="AH177" s="57">
        <f t="shared" si="123"/>
        <v>0.75</v>
      </c>
      <c r="AI177" s="58">
        <f t="shared" si="109"/>
        <v>2.292824294546114E-6</v>
      </c>
      <c r="AJ177" s="58">
        <f t="shared" si="110"/>
        <v>1.1999999999999997</v>
      </c>
      <c r="AK177" s="57">
        <f t="shared" si="123"/>
        <v>1.65</v>
      </c>
      <c r="AL177" s="58">
        <f t="shared" si="111"/>
        <v>8.2849063818131781E-6</v>
      </c>
      <c r="AM177" s="57">
        <f>SUM(D177:AK177)</f>
        <v>3.6000022928242941</v>
      </c>
      <c r="AN177" s="58">
        <f t="shared" si="112"/>
        <v>5.1827906896437609E-7</v>
      </c>
      <c r="AO177" s="75"/>
      <c r="AP177" s="75"/>
      <c r="AQ177" s="75"/>
      <c r="AR177" s="75"/>
      <c r="AS177" s="75"/>
      <c r="AT177" s="60"/>
      <c r="AU177" s="61"/>
      <c r="AV177" s="65"/>
      <c r="AW177" s="62"/>
      <c r="AX177" s="61"/>
      <c r="AY177" s="64"/>
      <c r="AZ177" s="64"/>
      <c r="BA177" s="64"/>
      <c r="BB177" s="64"/>
      <c r="BC177" s="60"/>
      <c r="BD177" s="61"/>
      <c r="BE177" s="65"/>
      <c r="BF177" s="62"/>
      <c r="BG177" s="61"/>
      <c r="BH177" s="64"/>
      <c r="BI177" s="64"/>
      <c r="BJ177" s="64"/>
      <c r="BK177" s="64"/>
      <c r="BL177" s="60"/>
      <c r="BM177" s="61"/>
      <c r="BN177" s="65"/>
      <c r="BO177" s="62"/>
      <c r="BP177" s="61"/>
      <c r="BQ177" s="64"/>
      <c r="BR177" s="64"/>
      <c r="BS177" s="64"/>
      <c r="BT177" s="64"/>
    </row>
    <row r="178" spans="1:72" s="74" customFormat="1" x14ac:dyDescent="0.25">
      <c r="A178" s="66" t="s">
        <v>529</v>
      </c>
      <c r="B178" s="67">
        <v>522400</v>
      </c>
      <c r="C178" s="66" t="s">
        <v>528</v>
      </c>
      <c r="D178" s="68">
        <v>0</v>
      </c>
      <c r="E178" s="58">
        <f t="shared" si="89"/>
        <v>0</v>
      </c>
      <c r="F178" s="58">
        <f t="shared" si="90"/>
        <v>0</v>
      </c>
      <c r="G178" s="68">
        <v>0</v>
      </c>
      <c r="H178" s="58">
        <f t="shared" si="91"/>
        <v>0</v>
      </c>
      <c r="I178" s="58">
        <f t="shared" si="92"/>
        <v>0</v>
      </c>
      <c r="J178" s="68">
        <v>0</v>
      </c>
      <c r="K178" s="58">
        <f t="shared" si="93"/>
        <v>0</v>
      </c>
      <c r="L178" s="58">
        <f t="shared" si="94"/>
        <v>0</v>
      </c>
      <c r="M178" s="68">
        <v>0</v>
      </c>
      <c r="N178" s="58">
        <f t="shared" si="95"/>
        <v>0</v>
      </c>
      <c r="O178" s="58">
        <f t="shared" si="96"/>
        <v>0</v>
      </c>
      <c r="P178" s="68">
        <v>0</v>
      </c>
      <c r="Q178" s="58">
        <f t="shared" si="97"/>
        <v>0</v>
      </c>
      <c r="R178" s="58">
        <f t="shared" si="98"/>
        <v>0</v>
      </c>
      <c r="S178" s="68">
        <v>0</v>
      </c>
      <c r="T178" s="58">
        <f t="shared" si="99"/>
        <v>0</v>
      </c>
      <c r="U178" s="58">
        <f t="shared" si="100"/>
        <v>0</v>
      </c>
      <c r="V178" s="68">
        <v>0</v>
      </c>
      <c r="W178" s="58">
        <f t="shared" si="101"/>
        <v>0</v>
      </c>
      <c r="X178" s="58">
        <f t="shared" si="102"/>
        <v>0</v>
      </c>
      <c r="Y178" s="68">
        <v>0</v>
      </c>
      <c r="Z178" s="58">
        <f t="shared" si="103"/>
        <v>0</v>
      </c>
      <c r="AA178" s="58">
        <f t="shared" si="104"/>
        <v>0</v>
      </c>
      <c r="AB178" s="68">
        <v>0</v>
      </c>
      <c r="AC178" s="58">
        <f t="shared" si="105"/>
        <v>0</v>
      </c>
      <c r="AD178" s="58">
        <f t="shared" si="106"/>
        <v>0</v>
      </c>
      <c r="AE178" s="68">
        <v>0</v>
      </c>
      <c r="AF178" s="58">
        <f t="shared" si="107"/>
        <v>0</v>
      </c>
      <c r="AG178" s="58">
        <f t="shared" si="108"/>
        <v>0</v>
      </c>
      <c r="AH178" s="68">
        <v>0.75</v>
      </c>
      <c r="AI178" s="58">
        <f t="shared" si="109"/>
        <v>2.292824294546114E-6</v>
      </c>
      <c r="AJ178" s="58">
        <f t="shared" si="110"/>
        <v>1.1999999999999997</v>
      </c>
      <c r="AK178" s="68">
        <v>1.65</v>
      </c>
      <c r="AL178" s="58">
        <f t="shared" si="111"/>
        <v>8.2849063818131781E-6</v>
      </c>
      <c r="AM178" s="68">
        <f>SUM(D178:AK178)</f>
        <v>3.6000022928242941</v>
      </c>
      <c r="AN178" s="58">
        <f t="shared" si="112"/>
        <v>5.1827906896437609E-7</v>
      </c>
      <c r="AO178" s="76"/>
      <c r="AP178" s="76"/>
      <c r="AQ178" s="76"/>
      <c r="AR178" s="76"/>
      <c r="AS178" s="76"/>
      <c r="AT178" s="60"/>
      <c r="AU178" s="61"/>
      <c r="AV178" s="65"/>
      <c r="AW178" s="62"/>
      <c r="AX178" s="61"/>
      <c r="AY178" s="64"/>
      <c r="AZ178" s="64"/>
      <c r="BA178" s="64"/>
      <c r="BB178" s="64"/>
      <c r="BC178" s="60"/>
      <c r="BD178" s="61"/>
      <c r="BE178" s="65"/>
      <c r="BF178" s="62"/>
      <c r="BG178" s="61"/>
      <c r="BH178" s="64"/>
      <c r="BI178" s="64"/>
      <c r="BJ178" s="64"/>
      <c r="BK178" s="64"/>
      <c r="BL178" s="60"/>
      <c r="BM178" s="61"/>
      <c r="BN178" s="65"/>
      <c r="BO178" s="62"/>
      <c r="BP178" s="61"/>
      <c r="BQ178" s="64"/>
      <c r="BR178" s="64"/>
      <c r="BS178" s="64"/>
      <c r="BT178" s="64"/>
    </row>
    <row r="179" spans="1:72" s="74" customFormat="1" x14ac:dyDescent="0.25">
      <c r="A179" s="66" t="s">
        <v>530</v>
      </c>
      <c r="B179" s="67">
        <v>522400001</v>
      </c>
      <c r="C179" s="66" t="s">
        <v>528</v>
      </c>
      <c r="D179" s="68">
        <v>0</v>
      </c>
      <c r="E179" s="58">
        <f t="shared" si="89"/>
        <v>0</v>
      </c>
      <c r="F179" s="58">
        <f t="shared" si="90"/>
        <v>0</v>
      </c>
      <c r="G179" s="68">
        <v>0</v>
      </c>
      <c r="H179" s="58">
        <f t="shared" si="91"/>
        <v>0</v>
      </c>
      <c r="I179" s="58">
        <f t="shared" si="92"/>
        <v>0</v>
      </c>
      <c r="J179" s="68">
        <v>0</v>
      </c>
      <c r="K179" s="58">
        <f t="shared" si="93"/>
        <v>0</v>
      </c>
      <c r="L179" s="58">
        <f t="shared" si="94"/>
        <v>0</v>
      </c>
      <c r="M179" s="68">
        <v>0</v>
      </c>
      <c r="N179" s="58">
        <f t="shared" si="95"/>
        <v>0</v>
      </c>
      <c r="O179" s="58">
        <f t="shared" si="96"/>
        <v>0</v>
      </c>
      <c r="P179" s="68">
        <v>0</v>
      </c>
      <c r="Q179" s="58">
        <f t="shared" si="97"/>
        <v>0</v>
      </c>
      <c r="R179" s="58">
        <f t="shared" si="98"/>
        <v>0</v>
      </c>
      <c r="S179" s="68">
        <v>0</v>
      </c>
      <c r="T179" s="58">
        <f t="shared" si="99"/>
        <v>0</v>
      </c>
      <c r="U179" s="58">
        <f t="shared" si="100"/>
        <v>0</v>
      </c>
      <c r="V179" s="68">
        <v>0</v>
      </c>
      <c r="W179" s="58">
        <f t="shared" si="101"/>
        <v>0</v>
      </c>
      <c r="X179" s="58">
        <f t="shared" si="102"/>
        <v>0</v>
      </c>
      <c r="Y179" s="68">
        <v>0</v>
      </c>
      <c r="Z179" s="58">
        <f t="shared" si="103"/>
        <v>0</v>
      </c>
      <c r="AA179" s="58">
        <f t="shared" si="104"/>
        <v>0</v>
      </c>
      <c r="AB179" s="68">
        <v>0</v>
      </c>
      <c r="AC179" s="58">
        <f t="shared" si="105"/>
        <v>0</v>
      </c>
      <c r="AD179" s="58">
        <f t="shared" si="106"/>
        <v>0</v>
      </c>
      <c r="AE179" s="68">
        <v>0</v>
      </c>
      <c r="AF179" s="58">
        <f t="shared" si="107"/>
        <v>0</v>
      </c>
      <c r="AG179" s="58">
        <f t="shared" si="108"/>
        <v>0</v>
      </c>
      <c r="AH179" s="68">
        <v>0.75</v>
      </c>
      <c r="AI179" s="58">
        <f t="shared" si="109"/>
        <v>2.292824294546114E-6</v>
      </c>
      <c r="AJ179" s="58">
        <f t="shared" si="110"/>
        <v>1.1999999999999997</v>
      </c>
      <c r="AK179" s="68">
        <v>1.65</v>
      </c>
      <c r="AL179" s="58">
        <f t="shared" si="111"/>
        <v>8.2849063818131781E-6</v>
      </c>
      <c r="AM179" s="68">
        <f>SUM(D179:AK179)</f>
        <v>3.6000022928242941</v>
      </c>
      <c r="AN179" s="58">
        <f t="shared" si="112"/>
        <v>5.1827906896437609E-7</v>
      </c>
      <c r="AO179" s="76"/>
      <c r="AP179" s="76"/>
      <c r="AQ179" s="76"/>
      <c r="AR179" s="76"/>
      <c r="AS179" s="76"/>
      <c r="AT179" s="69"/>
      <c r="AU179" s="70"/>
      <c r="AV179" s="71"/>
      <c r="AW179" s="72"/>
      <c r="AX179" s="70"/>
      <c r="AY179" s="73"/>
      <c r="AZ179" s="73"/>
      <c r="BA179" s="73"/>
      <c r="BB179" s="73"/>
      <c r="BC179" s="69"/>
      <c r="BD179" s="70"/>
      <c r="BE179" s="71"/>
      <c r="BF179" s="72"/>
      <c r="BG179" s="70"/>
      <c r="BH179" s="73"/>
      <c r="BI179" s="73"/>
      <c r="BJ179" s="73"/>
      <c r="BK179" s="73"/>
      <c r="BL179" s="60"/>
      <c r="BM179" s="61"/>
      <c r="BN179" s="65"/>
      <c r="BO179" s="62"/>
      <c r="BP179" s="61"/>
      <c r="BQ179" s="64"/>
      <c r="BR179" s="64"/>
      <c r="BS179" s="64"/>
      <c r="BT179" s="64"/>
    </row>
    <row r="180" spans="1:72" s="63" customFormat="1" x14ac:dyDescent="0.25">
      <c r="A180" s="55" t="s">
        <v>531</v>
      </c>
      <c r="B180" s="56">
        <v>53</v>
      </c>
      <c r="C180" s="55" t="s">
        <v>532</v>
      </c>
      <c r="D180" s="57">
        <f>D181</f>
        <v>10957.96</v>
      </c>
      <c r="E180" s="58">
        <f t="shared" si="89"/>
        <v>1.8374772750115894E-2</v>
      </c>
      <c r="F180" s="58">
        <f t="shared" si="90"/>
        <v>-1</v>
      </c>
      <c r="G180" s="57">
        <f t="shared" ref="G180:AK182" si="124">G181</f>
        <v>0</v>
      </c>
      <c r="H180" s="58">
        <f t="shared" si="91"/>
        <v>0</v>
      </c>
      <c r="I180" s="58">
        <f t="shared" si="92"/>
        <v>0</v>
      </c>
      <c r="J180" s="57">
        <f t="shared" si="124"/>
        <v>869.76</v>
      </c>
      <c r="K180" s="58">
        <f t="shared" si="93"/>
        <v>1.2206042990487269E-3</v>
      </c>
      <c r="L180" s="58">
        <f t="shared" si="94"/>
        <v>-0.13412895511405454</v>
      </c>
      <c r="M180" s="57">
        <f t="shared" si="124"/>
        <v>753.09999999999991</v>
      </c>
      <c r="N180" s="58">
        <f t="shared" si="95"/>
        <v>1.0400737760471602E-3</v>
      </c>
      <c r="O180" s="58">
        <f t="shared" si="96"/>
        <v>-0.3824990041163191</v>
      </c>
      <c r="P180" s="57">
        <f t="shared" si="124"/>
        <v>465.04</v>
      </c>
      <c r="Q180" s="58">
        <f t="shared" si="97"/>
        <v>4.8676032637057979E-4</v>
      </c>
      <c r="R180" s="58">
        <f t="shared" si="98"/>
        <v>-1</v>
      </c>
      <c r="S180" s="57">
        <f t="shared" si="124"/>
        <v>0</v>
      </c>
      <c r="T180" s="58">
        <f t="shared" si="99"/>
        <v>0</v>
      </c>
      <c r="U180" s="58">
        <f t="shared" si="100"/>
        <v>0</v>
      </c>
      <c r="V180" s="57">
        <f t="shared" si="124"/>
        <v>1219.2399999999998</v>
      </c>
      <c r="W180" s="58">
        <f t="shared" si="101"/>
        <v>1.7164130441760261E-3</v>
      </c>
      <c r="X180" s="58">
        <f t="shared" si="102"/>
        <v>-0.81267018798595847</v>
      </c>
      <c r="Y180" s="57">
        <f t="shared" si="124"/>
        <v>228.39999999999998</v>
      </c>
      <c r="Z180" s="58">
        <f t="shared" si="103"/>
        <v>4.1947032871854752E-4</v>
      </c>
      <c r="AA180" s="58">
        <f t="shared" si="104"/>
        <v>-300.17837127845894</v>
      </c>
      <c r="AB180" s="57">
        <f t="shared" si="124"/>
        <v>-68332.340000000011</v>
      </c>
      <c r="AC180" s="58">
        <f t="shared" si="105"/>
        <v>-0.1646296066703811</v>
      </c>
      <c r="AD180" s="58">
        <f t="shared" si="106"/>
        <v>-1.0050170973217074</v>
      </c>
      <c r="AE180" s="57">
        <f t="shared" si="124"/>
        <v>342.83</v>
      </c>
      <c r="AF180" s="58">
        <f t="shared" si="107"/>
        <v>9.6713899617951451E-4</v>
      </c>
      <c r="AG180" s="58">
        <f t="shared" si="108"/>
        <v>41.465507686025148</v>
      </c>
      <c r="AH180" s="57">
        <f t="shared" si="124"/>
        <v>14558.45</v>
      </c>
      <c r="AI180" s="58">
        <f t="shared" si="109"/>
        <v>4.4506623801246502E-2</v>
      </c>
      <c r="AJ180" s="58">
        <f t="shared" si="110"/>
        <v>-122.0604940773228</v>
      </c>
      <c r="AK180" s="57">
        <f t="shared" si="124"/>
        <v>-1762453.1500000001</v>
      </c>
      <c r="AL180" s="58">
        <f t="shared" si="111"/>
        <v>-8.849551121261662</v>
      </c>
      <c r="AM180" s="57">
        <f>SUM(D180:AK180)</f>
        <v>-1801775.9135706639</v>
      </c>
      <c r="AN180" s="58">
        <f t="shared" si="112"/>
        <v>-0.25939504117238599</v>
      </c>
      <c r="AO180" s="75"/>
      <c r="AP180" s="75"/>
      <c r="AQ180" s="75"/>
      <c r="AR180" s="75"/>
      <c r="AS180" s="75"/>
      <c r="AT180" s="60"/>
      <c r="AU180" s="61"/>
      <c r="AV180" s="65"/>
      <c r="AW180" s="62"/>
      <c r="AX180" s="61"/>
      <c r="AY180" s="64"/>
      <c r="AZ180" s="64"/>
      <c r="BA180" s="64"/>
      <c r="BB180" s="64"/>
      <c r="BC180" s="60"/>
      <c r="BD180" s="61"/>
      <c r="BE180" s="65"/>
      <c r="BF180" s="62"/>
      <c r="BG180" s="61"/>
      <c r="BH180" s="64"/>
      <c r="BI180" s="64"/>
      <c r="BJ180" s="64"/>
      <c r="BK180" s="64"/>
      <c r="BL180" s="60"/>
      <c r="BM180" s="61"/>
      <c r="BN180" s="65"/>
      <c r="BO180" s="62"/>
      <c r="BP180" s="61"/>
      <c r="BQ180" s="64"/>
      <c r="BR180" s="64"/>
      <c r="BS180" s="64"/>
      <c r="BT180" s="64"/>
    </row>
    <row r="181" spans="1:72" s="63" customFormat="1" x14ac:dyDescent="0.25">
      <c r="A181" s="55" t="s">
        <v>533</v>
      </c>
      <c r="B181" s="56">
        <v>539</v>
      </c>
      <c r="C181" s="55" t="s">
        <v>532</v>
      </c>
      <c r="D181" s="57">
        <f>D182</f>
        <v>10957.96</v>
      </c>
      <c r="E181" s="58">
        <f t="shared" si="89"/>
        <v>1.8374772750115894E-2</v>
      </c>
      <c r="F181" s="58">
        <f t="shared" si="90"/>
        <v>-1</v>
      </c>
      <c r="G181" s="57">
        <f t="shared" si="124"/>
        <v>0</v>
      </c>
      <c r="H181" s="58">
        <f t="shared" si="91"/>
        <v>0</v>
      </c>
      <c r="I181" s="58">
        <f t="shared" si="92"/>
        <v>0</v>
      </c>
      <c r="J181" s="57">
        <f t="shared" si="124"/>
        <v>869.76</v>
      </c>
      <c r="K181" s="58">
        <f t="shared" si="93"/>
        <v>1.2206042990487269E-3</v>
      </c>
      <c r="L181" s="58">
        <f t="shared" si="94"/>
        <v>-0.13412895511405454</v>
      </c>
      <c r="M181" s="57">
        <f t="shared" si="124"/>
        <v>753.09999999999991</v>
      </c>
      <c r="N181" s="58">
        <f t="shared" si="95"/>
        <v>1.0400737760471602E-3</v>
      </c>
      <c r="O181" s="58">
        <f t="shared" si="96"/>
        <v>-0.3824990041163191</v>
      </c>
      <c r="P181" s="57">
        <f t="shared" si="124"/>
        <v>465.04</v>
      </c>
      <c r="Q181" s="58">
        <f t="shared" si="97"/>
        <v>4.8676032637057979E-4</v>
      </c>
      <c r="R181" s="58">
        <f t="shared" si="98"/>
        <v>-1</v>
      </c>
      <c r="S181" s="57">
        <f t="shared" si="124"/>
        <v>0</v>
      </c>
      <c r="T181" s="58">
        <f t="shared" si="99"/>
        <v>0</v>
      </c>
      <c r="U181" s="58">
        <f t="shared" si="100"/>
        <v>0</v>
      </c>
      <c r="V181" s="57">
        <f t="shared" si="124"/>
        <v>1219.2399999999998</v>
      </c>
      <c r="W181" s="58">
        <f t="shared" si="101"/>
        <v>1.7164130441760261E-3</v>
      </c>
      <c r="X181" s="58">
        <f t="shared" si="102"/>
        <v>-0.81267018798595847</v>
      </c>
      <c r="Y181" s="57">
        <f t="shared" si="124"/>
        <v>228.39999999999998</v>
      </c>
      <c r="Z181" s="58">
        <f t="shared" si="103"/>
        <v>4.1947032871854752E-4</v>
      </c>
      <c r="AA181" s="58">
        <f t="shared" si="104"/>
        <v>-300.17837127845894</v>
      </c>
      <c r="AB181" s="57">
        <f t="shared" si="124"/>
        <v>-68332.340000000011</v>
      </c>
      <c r="AC181" s="58">
        <f t="shared" si="105"/>
        <v>-0.1646296066703811</v>
      </c>
      <c r="AD181" s="58">
        <f t="shared" si="106"/>
        <v>-1.0050170973217074</v>
      </c>
      <c r="AE181" s="57">
        <f t="shared" si="124"/>
        <v>342.83</v>
      </c>
      <c r="AF181" s="58">
        <f t="shared" si="107"/>
        <v>9.6713899617951451E-4</v>
      </c>
      <c r="AG181" s="58">
        <f t="shared" si="108"/>
        <v>41.465507686025148</v>
      </c>
      <c r="AH181" s="57">
        <f t="shared" si="124"/>
        <v>14558.45</v>
      </c>
      <c r="AI181" s="58">
        <f t="shared" si="109"/>
        <v>4.4506623801246502E-2</v>
      </c>
      <c r="AJ181" s="58">
        <f t="shared" si="110"/>
        <v>-122.0604940773228</v>
      </c>
      <c r="AK181" s="57">
        <f t="shared" si="124"/>
        <v>-1762453.1500000001</v>
      </c>
      <c r="AL181" s="58">
        <f t="shared" si="111"/>
        <v>-8.849551121261662</v>
      </c>
      <c r="AM181" s="57">
        <f>SUM(D181:AK181)</f>
        <v>-1801775.9135706639</v>
      </c>
      <c r="AN181" s="58">
        <f t="shared" si="112"/>
        <v>-0.25939504117238599</v>
      </c>
      <c r="AO181" s="75"/>
      <c r="AP181" s="75"/>
      <c r="AQ181" s="75"/>
      <c r="AR181" s="75"/>
      <c r="AS181" s="75"/>
      <c r="AT181" s="60"/>
      <c r="AU181" s="61"/>
      <c r="AV181" s="65"/>
      <c r="AW181" s="62"/>
      <c r="AX181" s="61"/>
      <c r="AY181" s="64"/>
      <c r="AZ181" s="64"/>
      <c r="BA181" s="64"/>
      <c r="BB181" s="64"/>
      <c r="BC181" s="60"/>
      <c r="BD181" s="61"/>
      <c r="BE181" s="65"/>
      <c r="BF181" s="62"/>
      <c r="BG181" s="61"/>
      <c r="BH181" s="64"/>
      <c r="BI181" s="64"/>
      <c r="BJ181" s="64"/>
      <c r="BK181" s="64"/>
      <c r="BL181" s="60"/>
      <c r="BM181" s="61"/>
      <c r="BN181" s="65"/>
      <c r="BO181" s="62"/>
      <c r="BP181" s="61"/>
      <c r="BQ181" s="64"/>
      <c r="BR181" s="64"/>
      <c r="BS181" s="64"/>
      <c r="BT181" s="64"/>
    </row>
    <row r="182" spans="1:72" s="63" customFormat="1" x14ac:dyDescent="0.25">
      <c r="A182" s="55" t="s">
        <v>534</v>
      </c>
      <c r="B182" s="56">
        <v>5390</v>
      </c>
      <c r="C182" s="55" t="s">
        <v>532</v>
      </c>
      <c r="D182" s="57">
        <f>D183</f>
        <v>10957.96</v>
      </c>
      <c r="E182" s="58">
        <f t="shared" si="89"/>
        <v>1.8374772750115894E-2</v>
      </c>
      <c r="F182" s="58">
        <f t="shared" si="90"/>
        <v>-1</v>
      </c>
      <c r="G182" s="57">
        <f t="shared" si="124"/>
        <v>0</v>
      </c>
      <c r="H182" s="58">
        <f t="shared" si="91"/>
        <v>0</v>
      </c>
      <c r="I182" s="58">
        <f t="shared" si="92"/>
        <v>0</v>
      </c>
      <c r="J182" s="57">
        <f t="shared" si="124"/>
        <v>869.76</v>
      </c>
      <c r="K182" s="58">
        <f t="shared" si="93"/>
        <v>1.2206042990487269E-3</v>
      </c>
      <c r="L182" s="58">
        <f t="shared" si="94"/>
        <v>-0.13412895511405454</v>
      </c>
      <c r="M182" s="57">
        <f t="shared" si="124"/>
        <v>753.09999999999991</v>
      </c>
      <c r="N182" s="58">
        <f t="shared" si="95"/>
        <v>1.0400737760471602E-3</v>
      </c>
      <c r="O182" s="58">
        <f t="shared" si="96"/>
        <v>-0.3824990041163191</v>
      </c>
      <c r="P182" s="57">
        <f t="shared" si="124"/>
        <v>465.04</v>
      </c>
      <c r="Q182" s="58">
        <f t="shared" si="97"/>
        <v>4.8676032637057979E-4</v>
      </c>
      <c r="R182" s="58">
        <f t="shared" si="98"/>
        <v>-1</v>
      </c>
      <c r="S182" s="57">
        <f t="shared" si="124"/>
        <v>0</v>
      </c>
      <c r="T182" s="58">
        <f t="shared" si="99"/>
        <v>0</v>
      </c>
      <c r="U182" s="58">
        <f t="shared" si="100"/>
        <v>0</v>
      </c>
      <c r="V182" s="57">
        <f t="shared" si="124"/>
        <v>1219.2399999999998</v>
      </c>
      <c r="W182" s="58">
        <f t="shared" si="101"/>
        <v>1.7164130441760261E-3</v>
      </c>
      <c r="X182" s="58">
        <f t="shared" si="102"/>
        <v>-0.81267018798595847</v>
      </c>
      <c r="Y182" s="57">
        <f t="shared" si="124"/>
        <v>228.39999999999998</v>
      </c>
      <c r="Z182" s="58">
        <f t="shared" si="103"/>
        <v>4.1947032871854752E-4</v>
      </c>
      <c r="AA182" s="58">
        <f t="shared" si="104"/>
        <v>-300.17837127845894</v>
      </c>
      <c r="AB182" s="57">
        <f t="shared" si="124"/>
        <v>-68332.340000000011</v>
      </c>
      <c r="AC182" s="58">
        <f t="shared" si="105"/>
        <v>-0.1646296066703811</v>
      </c>
      <c r="AD182" s="58">
        <f t="shared" si="106"/>
        <v>-1.0050170973217074</v>
      </c>
      <c r="AE182" s="57">
        <f t="shared" si="124"/>
        <v>342.83</v>
      </c>
      <c r="AF182" s="58">
        <f t="shared" si="107"/>
        <v>9.6713899617951451E-4</v>
      </c>
      <c r="AG182" s="58">
        <f t="shared" si="108"/>
        <v>41.465507686025148</v>
      </c>
      <c r="AH182" s="57">
        <f t="shared" si="124"/>
        <v>14558.45</v>
      </c>
      <c r="AI182" s="58">
        <f t="shared" si="109"/>
        <v>4.4506623801246502E-2</v>
      </c>
      <c r="AJ182" s="58">
        <f t="shared" si="110"/>
        <v>-122.0604940773228</v>
      </c>
      <c r="AK182" s="57">
        <f t="shared" si="124"/>
        <v>-1762453.1500000001</v>
      </c>
      <c r="AL182" s="58">
        <f t="shared" si="111"/>
        <v>-8.849551121261662</v>
      </c>
      <c r="AM182" s="57">
        <f>SUM(D182:AK182)</f>
        <v>-1801775.9135706639</v>
      </c>
      <c r="AN182" s="58">
        <f t="shared" si="112"/>
        <v>-0.25939504117238599</v>
      </c>
      <c r="AO182" s="75"/>
      <c r="AP182" s="75"/>
      <c r="AQ182" s="75"/>
      <c r="AR182" s="75"/>
      <c r="AS182" s="75"/>
      <c r="AT182" s="60"/>
      <c r="AU182" s="61"/>
      <c r="AV182" s="65"/>
      <c r="AW182" s="62"/>
      <c r="AX182" s="61"/>
      <c r="AY182" s="64"/>
      <c r="AZ182" s="64"/>
      <c r="BA182" s="64"/>
      <c r="BB182" s="64"/>
      <c r="BC182" s="60"/>
      <c r="BD182" s="61"/>
      <c r="BE182" s="65"/>
      <c r="BF182" s="62"/>
      <c r="BG182" s="61"/>
      <c r="BH182" s="64"/>
      <c r="BI182" s="64"/>
      <c r="BJ182" s="64"/>
      <c r="BK182" s="64"/>
      <c r="BL182" s="60"/>
      <c r="BM182" s="61"/>
      <c r="BN182" s="65"/>
      <c r="BO182" s="62"/>
      <c r="BP182" s="61"/>
      <c r="BQ182" s="64"/>
      <c r="BR182" s="64"/>
      <c r="BS182" s="64"/>
      <c r="BT182" s="64"/>
    </row>
    <row r="183" spans="1:72" s="63" customFormat="1" x14ac:dyDescent="0.25">
      <c r="A183" s="55" t="s">
        <v>535</v>
      </c>
      <c r="B183" s="56">
        <v>539000</v>
      </c>
      <c r="C183" s="55" t="s">
        <v>532</v>
      </c>
      <c r="D183" s="57">
        <f>SUM(D184:D189)</f>
        <v>10957.96</v>
      </c>
      <c r="E183" s="58">
        <f t="shared" si="89"/>
        <v>1.8374772750115894E-2</v>
      </c>
      <c r="F183" s="58">
        <f t="shared" si="90"/>
        <v>-1</v>
      </c>
      <c r="G183" s="57">
        <f t="shared" ref="G183:AK183" si="125">SUM(G184:G189)</f>
        <v>0</v>
      </c>
      <c r="H183" s="58">
        <f t="shared" si="91"/>
        <v>0</v>
      </c>
      <c r="I183" s="58">
        <f t="shared" si="92"/>
        <v>0</v>
      </c>
      <c r="J183" s="57">
        <f t="shared" si="125"/>
        <v>869.76</v>
      </c>
      <c r="K183" s="58">
        <f t="shared" si="93"/>
        <v>1.2206042990487269E-3</v>
      </c>
      <c r="L183" s="58">
        <f t="shared" si="94"/>
        <v>-0.13412895511405454</v>
      </c>
      <c r="M183" s="57">
        <f t="shared" si="125"/>
        <v>753.09999999999991</v>
      </c>
      <c r="N183" s="58">
        <f t="shared" si="95"/>
        <v>1.0400737760471602E-3</v>
      </c>
      <c r="O183" s="58">
        <f t="shared" si="96"/>
        <v>-0.3824990041163191</v>
      </c>
      <c r="P183" s="57">
        <f t="shared" si="125"/>
        <v>465.04</v>
      </c>
      <c r="Q183" s="58">
        <f t="shared" si="97"/>
        <v>4.8676032637057979E-4</v>
      </c>
      <c r="R183" s="58">
        <f t="shared" si="98"/>
        <v>-1</v>
      </c>
      <c r="S183" s="57">
        <f t="shared" si="125"/>
        <v>0</v>
      </c>
      <c r="T183" s="58">
        <f t="shared" si="99"/>
        <v>0</v>
      </c>
      <c r="U183" s="58">
        <f t="shared" si="100"/>
        <v>0</v>
      </c>
      <c r="V183" s="57">
        <f t="shared" si="125"/>
        <v>1219.2399999999998</v>
      </c>
      <c r="W183" s="58">
        <f t="shared" si="101"/>
        <v>1.7164130441760261E-3</v>
      </c>
      <c r="X183" s="58">
        <f t="shared" si="102"/>
        <v>-0.81267018798595847</v>
      </c>
      <c r="Y183" s="57">
        <f t="shared" si="125"/>
        <v>228.39999999999998</v>
      </c>
      <c r="Z183" s="58">
        <f t="shared" si="103"/>
        <v>4.1947032871854752E-4</v>
      </c>
      <c r="AA183" s="58">
        <f t="shared" si="104"/>
        <v>-300.17837127845894</v>
      </c>
      <c r="AB183" s="57">
        <f t="shared" si="125"/>
        <v>-68332.340000000011</v>
      </c>
      <c r="AC183" s="58">
        <f t="shared" si="105"/>
        <v>-0.1646296066703811</v>
      </c>
      <c r="AD183" s="58">
        <f t="shared" si="106"/>
        <v>-1.0050170973217074</v>
      </c>
      <c r="AE183" s="57">
        <f t="shared" si="125"/>
        <v>342.83</v>
      </c>
      <c r="AF183" s="58">
        <f t="shared" si="107"/>
        <v>9.6713899617951451E-4</v>
      </c>
      <c r="AG183" s="58">
        <f t="shared" si="108"/>
        <v>41.465507686025148</v>
      </c>
      <c r="AH183" s="57">
        <f t="shared" si="125"/>
        <v>14558.45</v>
      </c>
      <c r="AI183" s="58">
        <f t="shared" si="109"/>
        <v>4.4506623801246502E-2</v>
      </c>
      <c r="AJ183" s="58">
        <f t="shared" si="110"/>
        <v>-122.0604940773228</v>
      </c>
      <c r="AK183" s="57">
        <f t="shared" si="125"/>
        <v>-1762453.1500000001</v>
      </c>
      <c r="AL183" s="58">
        <f t="shared" si="111"/>
        <v>-8.849551121261662</v>
      </c>
      <c r="AM183" s="57">
        <f>SUM(D183:AK183)</f>
        <v>-1801775.9135706639</v>
      </c>
      <c r="AN183" s="58">
        <f t="shared" si="112"/>
        <v>-0.25939504117238599</v>
      </c>
      <c r="AO183" s="75"/>
      <c r="AP183" s="75"/>
      <c r="AQ183" s="75"/>
      <c r="AR183" s="75"/>
      <c r="AS183" s="75"/>
      <c r="AT183" s="75"/>
      <c r="AU183" s="75"/>
      <c r="AV183" s="75"/>
      <c r="AW183" s="75"/>
      <c r="AX183" s="75"/>
      <c r="AY183" s="75"/>
      <c r="AZ183" s="75"/>
      <c r="BA183" s="75"/>
      <c r="BB183" s="75"/>
      <c r="BC183" s="60"/>
      <c r="BD183" s="61"/>
      <c r="BE183" s="65"/>
      <c r="BF183" s="62"/>
      <c r="BG183" s="61"/>
      <c r="BH183" s="64"/>
      <c r="BI183" s="64"/>
      <c r="BJ183" s="64"/>
      <c r="BK183" s="64"/>
      <c r="BL183" s="60"/>
      <c r="BM183" s="61"/>
      <c r="BN183" s="65"/>
      <c r="BO183" s="62"/>
      <c r="BP183" s="61"/>
      <c r="BQ183" s="64"/>
      <c r="BR183" s="64"/>
      <c r="BS183" s="64"/>
      <c r="BT183" s="64"/>
    </row>
    <row r="184" spans="1:72" s="74" customFormat="1" x14ac:dyDescent="0.25">
      <c r="A184" s="66" t="s">
        <v>712</v>
      </c>
      <c r="B184" s="67">
        <v>539000003</v>
      </c>
      <c r="C184" s="66" t="s">
        <v>713</v>
      </c>
      <c r="D184" s="68">
        <v>0</v>
      </c>
      <c r="E184" s="58">
        <f t="shared" si="89"/>
        <v>0</v>
      </c>
      <c r="F184" s="58">
        <f t="shared" si="90"/>
        <v>0</v>
      </c>
      <c r="G184" s="68">
        <v>0</v>
      </c>
      <c r="H184" s="58">
        <f t="shared" si="91"/>
        <v>0</v>
      </c>
      <c r="I184" s="58">
        <f t="shared" si="92"/>
        <v>0</v>
      </c>
      <c r="J184" s="68">
        <v>0</v>
      </c>
      <c r="K184" s="58">
        <f t="shared" si="93"/>
        <v>0</v>
      </c>
      <c r="L184" s="58">
        <f t="shared" si="94"/>
        <v>0</v>
      </c>
      <c r="M184" s="68">
        <v>-238.93</v>
      </c>
      <c r="N184" s="58">
        <f t="shared" si="95"/>
        <v>-3.2997586948738285E-4</v>
      </c>
      <c r="O184" s="58">
        <f t="shared" si="96"/>
        <v>0.52530029715816351</v>
      </c>
      <c r="P184" s="68">
        <v>-364.44</v>
      </c>
      <c r="Q184" s="58">
        <f t="shared" si="97"/>
        <v>-3.8146166639965186E-4</v>
      </c>
      <c r="R184" s="58">
        <f t="shared" si="98"/>
        <v>-1</v>
      </c>
      <c r="S184" s="68">
        <v>0</v>
      </c>
      <c r="T184" s="58">
        <f t="shared" si="99"/>
        <v>0</v>
      </c>
      <c r="U184" s="58">
        <f t="shared" si="100"/>
        <v>0</v>
      </c>
      <c r="V184" s="68">
        <v>-496.61</v>
      </c>
      <c r="W184" s="58">
        <f t="shared" si="101"/>
        <v>-6.9911410540029562E-4</v>
      </c>
      <c r="X184" s="58">
        <f t="shared" si="102"/>
        <v>-0.70864461045891147</v>
      </c>
      <c r="Y184" s="68">
        <v>-144.69</v>
      </c>
      <c r="Z184" s="58">
        <f t="shared" si="103"/>
        <v>-2.6573188205904837E-4</v>
      </c>
      <c r="AA184" s="58">
        <f t="shared" si="104"/>
        <v>2.2226829773999586</v>
      </c>
      <c r="AB184" s="68">
        <v>-466.29</v>
      </c>
      <c r="AC184" s="58">
        <f t="shared" si="105"/>
        <v>-1.1234086128812798E-3</v>
      </c>
      <c r="AD184" s="58">
        <f t="shared" si="106"/>
        <v>-1</v>
      </c>
      <c r="AE184" s="68">
        <v>0</v>
      </c>
      <c r="AF184" s="58">
        <f t="shared" si="107"/>
        <v>0</v>
      </c>
      <c r="AG184" s="58">
        <f t="shared" si="108"/>
        <v>0</v>
      </c>
      <c r="AH184" s="68">
        <v>0</v>
      </c>
      <c r="AI184" s="58">
        <f t="shared" si="109"/>
        <v>0</v>
      </c>
      <c r="AJ184" s="58">
        <f t="shared" si="110"/>
        <v>0</v>
      </c>
      <c r="AK184" s="68">
        <v>0</v>
      </c>
      <c r="AL184" s="58">
        <f t="shared" si="111"/>
        <v>0</v>
      </c>
      <c r="AM184" s="68">
        <f>SUM(D184:AK184)</f>
        <v>-1710.9234610280369</v>
      </c>
      <c r="AN184" s="58">
        <f t="shared" si="112"/>
        <v>-2.4631534824808455E-4</v>
      </c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69"/>
      <c r="BD184" s="70"/>
      <c r="BE184" s="71"/>
      <c r="BF184" s="72"/>
      <c r="BG184" s="70"/>
      <c r="BH184" s="73"/>
      <c r="BI184" s="73"/>
      <c r="BJ184" s="73"/>
      <c r="BK184" s="73"/>
      <c r="BL184" s="60"/>
      <c r="BM184" s="61"/>
      <c r="BN184" s="65"/>
      <c r="BO184" s="62"/>
      <c r="BP184" s="61"/>
      <c r="BQ184" s="64"/>
      <c r="BR184" s="64"/>
      <c r="BS184" s="64"/>
      <c r="BT184" s="64"/>
    </row>
    <row r="185" spans="1:72" s="74" customFormat="1" x14ac:dyDescent="0.25">
      <c r="A185" s="66" t="s">
        <v>536</v>
      </c>
      <c r="B185" s="67">
        <v>539000006</v>
      </c>
      <c r="C185" s="66" t="s">
        <v>537</v>
      </c>
      <c r="D185" s="68">
        <v>0</v>
      </c>
      <c r="E185" s="58">
        <f t="shared" si="89"/>
        <v>0</v>
      </c>
      <c r="F185" s="58">
        <f t="shared" si="90"/>
        <v>0</v>
      </c>
      <c r="G185" s="68">
        <v>0</v>
      </c>
      <c r="H185" s="58">
        <f t="shared" si="91"/>
        <v>0</v>
      </c>
      <c r="I185" s="58">
        <f t="shared" si="92"/>
        <v>0</v>
      </c>
      <c r="J185" s="68">
        <v>0</v>
      </c>
      <c r="K185" s="58">
        <f t="shared" si="93"/>
        <v>0</v>
      </c>
      <c r="L185" s="58">
        <f t="shared" si="94"/>
        <v>0</v>
      </c>
      <c r="M185" s="68">
        <v>0</v>
      </c>
      <c r="N185" s="58">
        <f t="shared" si="95"/>
        <v>0</v>
      </c>
      <c r="O185" s="58">
        <f t="shared" si="96"/>
        <v>0</v>
      </c>
      <c r="P185" s="68">
        <v>0</v>
      </c>
      <c r="Q185" s="58">
        <f t="shared" si="97"/>
        <v>0</v>
      </c>
      <c r="R185" s="58">
        <f t="shared" si="98"/>
        <v>0</v>
      </c>
      <c r="S185" s="68">
        <v>0</v>
      </c>
      <c r="T185" s="58">
        <f t="shared" si="99"/>
        <v>0</v>
      </c>
      <c r="U185" s="58">
        <f t="shared" si="100"/>
        <v>0</v>
      </c>
      <c r="V185" s="68">
        <v>0</v>
      </c>
      <c r="W185" s="58">
        <f t="shared" si="101"/>
        <v>0</v>
      </c>
      <c r="X185" s="58">
        <f t="shared" si="102"/>
        <v>0</v>
      </c>
      <c r="Y185" s="68">
        <v>0</v>
      </c>
      <c r="Z185" s="58">
        <f t="shared" si="103"/>
        <v>0</v>
      </c>
      <c r="AA185" s="58">
        <f t="shared" si="104"/>
        <v>0</v>
      </c>
      <c r="AB185" s="68">
        <v>0</v>
      </c>
      <c r="AC185" s="58">
        <f t="shared" si="105"/>
        <v>0</v>
      </c>
      <c r="AD185" s="58">
        <f t="shared" si="106"/>
        <v>0</v>
      </c>
      <c r="AE185" s="68">
        <v>0</v>
      </c>
      <c r="AF185" s="58">
        <f t="shared" si="107"/>
        <v>0</v>
      </c>
      <c r="AG185" s="58">
        <f t="shared" si="108"/>
        <v>0</v>
      </c>
      <c r="AH185" s="68">
        <v>0</v>
      </c>
      <c r="AI185" s="58">
        <f t="shared" si="109"/>
        <v>0</v>
      </c>
      <c r="AJ185" s="58">
        <f t="shared" si="110"/>
        <v>0</v>
      </c>
      <c r="AK185" s="68">
        <v>-1773371.37</v>
      </c>
      <c r="AL185" s="58">
        <f t="shared" si="111"/>
        <v>-8.9043732003865337</v>
      </c>
      <c r="AM185" s="68">
        <f>SUM(D185:AK185)</f>
        <v>-1773371.37</v>
      </c>
      <c r="AN185" s="58">
        <f t="shared" si="112"/>
        <v>-0.25530574366679681</v>
      </c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69"/>
      <c r="BD185" s="70"/>
      <c r="BE185" s="71"/>
      <c r="BF185" s="72"/>
      <c r="BG185" s="70"/>
      <c r="BH185" s="73"/>
      <c r="BI185" s="73"/>
      <c r="BJ185" s="73"/>
      <c r="BK185" s="73"/>
      <c r="BL185" s="69"/>
      <c r="BM185" s="70"/>
      <c r="BN185" s="71"/>
      <c r="BO185" s="72"/>
      <c r="BP185" s="70"/>
      <c r="BQ185" s="73"/>
      <c r="BR185" s="73"/>
      <c r="BS185" s="73"/>
      <c r="BT185" s="73"/>
    </row>
    <row r="186" spans="1:72" s="74" customFormat="1" x14ac:dyDescent="0.25">
      <c r="A186" s="66" t="s">
        <v>714</v>
      </c>
      <c r="B186" s="67">
        <v>539000009</v>
      </c>
      <c r="C186" s="66" t="s">
        <v>715</v>
      </c>
      <c r="D186" s="68">
        <v>763.29</v>
      </c>
      <c r="E186" s="58">
        <f t="shared" si="89"/>
        <v>1.2799170915422178E-3</v>
      </c>
      <c r="F186" s="58">
        <f t="shared" si="90"/>
        <v>-1</v>
      </c>
      <c r="G186" s="68">
        <v>0</v>
      </c>
      <c r="H186" s="58">
        <f t="shared" si="91"/>
        <v>0</v>
      </c>
      <c r="I186" s="58">
        <f t="shared" si="92"/>
        <v>0</v>
      </c>
      <c r="J186" s="68">
        <v>0</v>
      </c>
      <c r="K186" s="58">
        <f t="shared" si="93"/>
        <v>0</v>
      </c>
      <c r="L186" s="58">
        <f t="shared" si="94"/>
        <v>0</v>
      </c>
      <c r="M186" s="68">
        <v>0</v>
      </c>
      <c r="N186" s="58">
        <f t="shared" si="95"/>
        <v>0</v>
      </c>
      <c r="O186" s="58">
        <f t="shared" si="96"/>
        <v>0</v>
      </c>
      <c r="P186" s="68">
        <v>0</v>
      </c>
      <c r="Q186" s="58">
        <f t="shared" si="97"/>
        <v>0</v>
      </c>
      <c r="R186" s="58">
        <f t="shared" si="98"/>
        <v>0</v>
      </c>
      <c r="S186" s="68">
        <v>0</v>
      </c>
      <c r="T186" s="58">
        <f t="shared" si="99"/>
        <v>0</v>
      </c>
      <c r="U186" s="58">
        <f t="shared" si="100"/>
        <v>0</v>
      </c>
      <c r="V186" s="68">
        <v>0</v>
      </c>
      <c r="W186" s="58">
        <f t="shared" si="101"/>
        <v>0</v>
      </c>
      <c r="X186" s="58">
        <f t="shared" si="102"/>
        <v>0</v>
      </c>
      <c r="Y186" s="68">
        <v>0</v>
      </c>
      <c r="Z186" s="58">
        <f t="shared" si="103"/>
        <v>0</v>
      </c>
      <c r="AA186" s="58">
        <f t="shared" si="104"/>
        <v>0</v>
      </c>
      <c r="AB186" s="68">
        <v>0</v>
      </c>
      <c r="AC186" s="58">
        <f t="shared" si="105"/>
        <v>0</v>
      </c>
      <c r="AD186" s="58">
        <f t="shared" si="106"/>
        <v>0</v>
      </c>
      <c r="AE186" s="68">
        <v>0</v>
      </c>
      <c r="AF186" s="58">
        <f t="shared" si="107"/>
        <v>0</v>
      </c>
      <c r="AG186" s="58">
        <f t="shared" si="108"/>
        <v>0</v>
      </c>
      <c r="AH186" s="68">
        <v>0</v>
      </c>
      <c r="AI186" s="58">
        <f t="shared" si="109"/>
        <v>0</v>
      </c>
      <c r="AJ186" s="58">
        <f t="shared" si="110"/>
        <v>0</v>
      </c>
      <c r="AK186" s="68">
        <v>0</v>
      </c>
      <c r="AL186" s="58">
        <f t="shared" si="111"/>
        <v>0</v>
      </c>
      <c r="AM186" s="68">
        <f>SUM(D186:AK186)</f>
        <v>762.29127991709152</v>
      </c>
      <c r="AN186" s="58">
        <f t="shared" si="112"/>
        <v>1.0974426755854722E-4</v>
      </c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69"/>
      <c r="BM186" s="70"/>
      <c r="BN186" s="71"/>
      <c r="BO186" s="72"/>
      <c r="BP186" s="70"/>
      <c r="BQ186" s="73"/>
      <c r="BR186" s="73"/>
      <c r="BS186" s="73"/>
      <c r="BT186" s="73"/>
    </row>
    <row r="187" spans="1:72" s="74" customFormat="1" x14ac:dyDescent="0.25">
      <c r="A187" s="66" t="s">
        <v>538</v>
      </c>
      <c r="B187" s="67">
        <v>539000027</v>
      </c>
      <c r="C187" s="66" t="s">
        <v>539</v>
      </c>
      <c r="D187" s="68">
        <v>4181.49</v>
      </c>
      <c r="E187" s="58">
        <f t="shared" si="89"/>
        <v>7.0117000342109406E-3</v>
      </c>
      <c r="F187" s="58">
        <f t="shared" si="90"/>
        <v>-1</v>
      </c>
      <c r="G187" s="68">
        <v>0</v>
      </c>
      <c r="H187" s="58">
        <f t="shared" si="91"/>
        <v>0</v>
      </c>
      <c r="I187" s="58">
        <f t="shared" si="92"/>
        <v>0</v>
      </c>
      <c r="J187" s="68">
        <v>0</v>
      </c>
      <c r="K187" s="58">
        <f t="shared" si="93"/>
        <v>0</v>
      </c>
      <c r="L187" s="58">
        <f t="shared" si="94"/>
        <v>0</v>
      </c>
      <c r="M187" s="68">
        <v>0</v>
      </c>
      <c r="N187" s="58">
        <f t="shared" si="95"/>
        <v>0</v>
      </c>
      <c r="O187" s="58">
        <f t="shared" si="96"/>
        <v>0</v>
      </c>
      <c r="P187" s="68">
        <v>0</v>
      </c>
      <c r="Q187" s="58">
        <f t="shared" si="97"/>
        <v>0</v>
      </c>
      <c r="R187" s="58">
        <f t="shared" si="98"/>
        <v>0</v>
      </c>
      <c r="S187" s="68">
        <v>0</v>
      </c>
      <c r="T187" s="58">
        <f t="shared" si="99"/>
        <v>0</v>
      </c>
      <c r="U187" s="58">
        <f t="shared" si="100"/>
        <v>0</v>
      </c>
      <c r="V187" s="68">
        <v>0</v>
      </c>
      <c r="W187" s="58">
        <f t="shared" si="101"/>
        <v>0</v>
      </c>
      <c r="X187" s="58">
        <f t="shared" si="102"/>
        <v>0</v>
      </c>
      <c r="Y187" s="68">
        <v>0</v>
      </c>
      <c r="Z187" s="58">
        <f t="shared" si="103"/>
        <v>0</v>
      </c>
      <c r="AA187" s="58">
        <f t="shared" si="104"/>
        <v>0</v>
      </c>
      <c r="AB187" s="68">
        <v>0</v>
      </c>
      <c r="AC187" s="58">
        <f t="shared" si="105"/>
        <v>0</v>
      </c>
      <c r="AD187" s="58">
        <f t="shared" si="106"/>
        <v>0</v>
      </c>
      <c r="AE187" s="68">
        <v>0</v>
      </c>
      <c r="AF187" s="58">
        <f t="shared" si="107"/>
        <v>0</v>
      </c>
      <c r="AG187" s="58">
        <f t="shared" si="108"/>
        <v>0</v>
      </c>
      <c r="AH187" s="68">
        <v>14558.45</v>
      </c>
      <c r="AI187" s="58">
        <f t="shared" si="109"/>
        <v>4.4506623801246502E-2</v>
      </c>
      <c r="AJ187" s="58">
        <f t="shared" si="110"/>
        <v>-0.25004241522964343</v>
      </c>
      <c r="AK187" s="68">
        <v>10918.219999999998</v>
      </c>
      <c r="AL187" s="58">
        <f t="shared" si="111"/>
        <v>5.4822079124872886E-2</v>
      </c>
      <c r="AM187" s="68">
        <f>SUM(D187:AK187)</f>
        <v>29656.961475908603</v>
      </c>
      <c r="AN187" s="58">
        <f t="shared" si="112"/>
        <v>4.2696034979432373E-3</v>
      </c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</row>
    <row r="188" spans="1:72" s="74" customFormat="1" x14ac:dyDescent="0.25">
      <c r="A188" s="66" t="s">
        <v>540</v>
      </c>
      <c r="B188" s="67">
        <v>539000098</v>
      </c>
      <c r="C188" s="66" t="s">
        <v>541</v>
      </c>
      <c r="D188" s="68">
        <v>6013.18</v>
      </c>
      <c r="E188" s="58">
        <f t="shared" si="89"/>
        <v>1.0083155624362738E-2</v>
      </c>
      <c r="F188" s="58">
        <f t="shared" si="90"/>
        <v>-1</v>
      </c>
      <c r="G188" s="68">
        <v>0</v>
      </c>
      <c r="H188" s="58">
        <f t="shared" si="91"/>
        <v>0</v>
      </c>
      <c r="I188" s="58">
        <f t="shared" si="92"/>
        <v>0</v>
      </c>
      <c r="J188" s="68">
        <v>869.76</v>
      </c>
      <c r="K188" s="58">
        <f t="shared" si="93"/>
        <v>1.2206042990487269E-3</v>
      </c>
      <c r="L188" s="58">
        <f t="shared" si="94"/>
        <v>0.1405790103016924</v>
      </c>
      <c r="M188" s="68">
        <v>992.03</v>
      </c>
      <c r="N188" s="58">
        <f t="shared" si="95"/>
        <v>1.3700496455345431E-3</v>
      </c>
      <c r="O188" s="58">
        <f t="shared" si="96"/>
        <v>-0.16385593177625668</v>
      </c>
      <c r="P188" s="68">
        <v>829.48</v>
      </c>
      <c r="Q188" s="58">
        <f t="shared" si="97"/>
        <v>8.6822199277023166E-4</v>
      </c>
      <c r="R188" s="58">
        <f t="shared" si="98"/>
        <v>-1</v>
      </c>
      <c r="S188" s="68">
        <v>0</v>
      </c>
      <c r="T188" s="58">
        <f t="shared" si="99"/>
        <v>0</v>
      </c>
      <c r="U188" s="58">
        <f t="shared" si="100"/>
        <v>0</v>
      </c>
      <c r="V188" s="68">
        <v>1715.85</v>
      </c>
      <c r="W188" s="58">
        <f t="shared" si="101"/>
        <v>2.415527149576322E-3</v>
      </c>
      <c r="X188" s="58">
        <f t="shared" si="102"/>
        <v>-0.78256257831395515</v>
      </c>
      <c r="Y188" s="68">
        <v>373.09</v>
      </c>
      <c r="Z188" s="58">
        <f t="shared" si="103"/>
        <v>6.8520221077759589E-4</v>
      </c>
      <c r="AA188" s="58">
        <f t="shared" si="104"/>
        <v>1.0766303036800773</v>
      </c>
      <c r="AB188" s="68">
        <v>774.77</v>
      </c>
      <c r="AC188" s="58">
        <f t="shared" si="105"/>
        <v>1.8666136760428684E-3</v>
      </c>
      <c r="AD188" s="58">
        <f t="shared" si="106"/>
        <v>-0.55750738928972465</v>
      </c>
      <c r="AE188" s="68">
        <v>342.83</v>
      </c>
      <c r="AF188" s="58">
        <f t="shared" si="107"/>
        <v>9.6713899617951451E-4</v>
      </c>
      <c r="AG188" s="58">
        <f t="shared" si="108"/>
        <v>-1</v>
      </c>
      <c r="AH188" s="68">
        <v>0</v>
      </c>
      <c r="AI188" s="58">
        <f t="shared" si="109"/>
        <v>0</v>
      </c>
      <c r="AJ188" s="58">
        <f t="shared" si="110"/>
        <v>0</v>
      </c>
      <c r="AK188" s="68">
        <v>0</v>
      </c>
      <c r="AL188" s="58">
        <f t="shared" si="111"/>
        <v>0</v>
      </c>
      <c r="AM188" s="68">
        <f>SUM(D188:AK188)</f>
        <v>11907.722759928198</v>
      </c>
      <c r="AN188" s="58">
        <f t="shared" si="112"/>
        <v>1.7143109819132306E-3</v>
      </c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</row>
    <row r="189" spans="1:72" s="74" customFormat="1" x14ac:dyDescent="0.25">
      <c r="A189" s="66" t="s">
        <v>542</v>
      </c>
      <c r="B189" s="67">
        <v>539000099</v>
      </c>
      <c r="C189" s="66" t="s">
        <v>543</v>
      </c>
      <c r="D189" s="68">
        <v>0</v>
      </c>
      <c r="E189" s="58">
        <f t="shared" si="89"/>
        <v>0</v>
      </c>
      <c r="F189" s="58">
        <f t="shared" si="90"/>
        <v>0</v>
      </c>
      <c r="G189" s="68">
        <v>0</v>
      </c>
      <c r="H189" s="58">
        <f t="shared" si="91"/>
        <v>0</v>
      </c>
      <c r="I189" s="58">
        <f t="shared" si="92"/>
        <v>0</v>
      </c>
      <c r="J189" s="68">
        <v>0</v>
      </c>
      <c r="K189" s="58">
        <f t="shared" si="93"/>
        <v>0</v>
      </c>
      <c r="L189" s="58">
        <f t="shared" si="94"/>
        <v>0</v>
      </c>
      <c r="M189" s="68">
        <v>0</v>
      </c>
      <c r="N189" s="58">
        <f t="shared" si="95"/>
        <v>0</v>
      </c>
      <c r="O189" s="58">
        <f t="shared" si="96"/>
        <v>0</v>
      </c>
      <c r="P189" s="68">
        <v>0</v>
      </c>
      <c r="Q189" s="58">
        <f t="shared" si="97"/>
        <v>0</v>
      </c>
      <c r="R189" s="58">
        <f t="shared" si="98"/>
        <v>0</v>
      </c>
      <c r="S189" s="68">
        <v>0</v>
      </c>
      <c r="T189" s="58">
        <f t="shared" si="99"/>
        <v>0</v>
      </c>
      <c r="U189" s="58">
        <f t="shared" si="100"/>
        <v>0</v>
      </c>
      <c r="V189" s="68">
        <v>0</v>
      </c>
      <c r="W189" s="58">
        <f t="shared" si="101"/>
        <v>0</v>
      </c>
      <c r="X189" s="58">
        <f t="shared" si="102"/>
        <v>0</v>
      </c>
      <c r="Y189" s="68">
        <v>0</v>
      </c>
      <c r="Z189" s="58">
        <f t="shared" si="103"/>
        <v>0</v>
      </c>
      <c r="AA189" s="58">
        <f t="shared" si="104"/>
        <v>0</v>
      </c>
      <c r="AB189" s="68">
        <v>-68640.820000000007</v>
      </c>
      <c r="AC189" s="58">
        <f t="shared" si="105"/>
        <v>-0.16537281173354268</v>
      </c>
      <c r="AD189" s="58">
        <f t="shared" si="106"/>
        <v>-1</v>
      </c>
      <c r="AE189" s="68">
        <v>0</v>
      </c>
      <c r="AF189" s="58">
        <f t="shared" si="107"/>
        <v>0</v>
      </c>
      <c r="AG189" s="58">
        <f t="shared" si="108"/>
        <v>0</v>
      </c>
      <c r="AH189" s="68">
        <v>0</v>
      </c>
      <c r="AI189" s="58">
        <f t="shared" si="109"/>
        <v>0</v>
      </c>
      <c r="AJ189" s="58">
        <f t="shared" si="110"/>
        <v>0</v>
      </c>
      <c r="AK189" s="68">
        <v>0</v>
      </c>
      <c r="AL189" s="58">
        <f t="shared" si="111"/>
        <v>0</v>
      </c>
      <c r="AM189" s="68">
        <f>SUM(D189:AK189)</f>
        <v>-68641.985372811745</v>
      </c>
      <c r="AN189" s="58">
        <f t="shared" si="112"/>
        <v>-9.8821337813585503E-3</v>
      </c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</row>
    <row r="190" spans="1:72" s="63" customFormat="1" x14ac:dyDescent="0.25">
      <c r="A190" s="55" t="s">
        <v>544</v>
      </c>
      <c r="B190" s="56">
        <v>57</v>
      </c>
      <c r="C190" s="55" t="s">
        <v>545</v>
      </c>
      <c r="D190" s="57">
        <f>D191+D195</f>
        <v>-17455</v>
      </c>
      <c r="E190" s="58">
        <f t="shared" si="89"/>
        <v>-2.92692853736711E-2</v>
      </c>
      <c r="F190" s="58">
        <f t="shared" si="90"/>
        <v>0.34226582641077052</v>
      </c>
      <c r="G190" s="57">
        <f t="shared" ref="G190:AK190" si="126">G191+G195</f>
        <v>-23429.25</v>
      </c>
      <c r="H190" s="58">
        <f t="shared" si="91"/>
        <v>-3.15815767321816E-2</v>
      </c>
      <c r="I190" s="58">
        <f t="shared" si="92"/>
        <v>-7.7429708590757262E-2</v>
      </c>
      <c r="J190" s="57">
        <f t="shared" si="126"/>
        <v>-21615.13</v>
      </c>
      <c r="K190" s="58">
        <f t="shared" si="93"/>
        <v>-3.0334253820015995E-2</v>
      </c>
      <c r="L190" s="58">
        <f t="shared" si="94"/>
        <v>-5.9069734949547259E-3</v>
      </c>
      <c r="M190" s="57">
        <f t="shared" si="126"/>
        <v>-21487.45</v>
      </c>
      <c r="N190" s="58">
        <f t="shared" si="95"/>
        <v>-2.9675386083022913E-2</v>
      </c>
      <c r="O190" s="58">
        <f t="shared" si="96"/>
        <v>0.39462197701448987</v>
      </c>
      <c r="P190" s="57">
        <f t="shared" si="126"/>
        <v>-29966.870000000003</v>
      </c>
      <c r="Q190" s="58">
        <f t="shared" si="97"/>
        <v>-3.1366513464443357E-2</v>
      </c>
      <c r="R190" s="58">
        <f t="shared" si="98"/>
        <v>-0.28259441176205591</v>
      </c>
      <c r="S190" s="57">
        <f t="shared" si="126"/>
        <v>-21498.400000000001</v>
      </c>
      <c r="T190" s="58">
        <f t="shared" si="99"/>
        <v>-3.2320598981653972E-2</v>
      </c>
      <c r="U190" s="58">
        <f t="shared" si="100"/>
        <v>5.3563986157109333E-2</v>
      </c>
      <c r="V190" s="57">
        <f t="shared" si="126"/>
        <v>-22649.940000000002</v>
      </c>
      <c r="W190" s="58">
        <f t="shared" si="101"/>
        <v>-3.1885971970903475E-2</v>
      </c>
      <c r="X190" s="58">
        <f t="shared" si="102"/>
        <v>-0.23579002858285736</v>
      </c>
      <c r="Y190" s="57">
        <f t="shared" si="126"/>
        <v>-17309.309999999998</v>
      </c>
      <c r="Z190" s="58">
        <f t="shared" si="103"/>
        <v>-3.1789588246896858E-2</v>
      </c>
      <c r="AA190" s="58">
        <f t="shared" si="104"/>
        <v>-0.25720551541338144</v>
      </c>
      <c r="AB190" s="57">
        <f t="shared" si="126"/>
        <v>-12857.26</v>
      </c>
      <c r="AC190" s="58">
        <f t="shared" si="105"/>
        <v>-3.0976337948602724E-2</v>
      </c>
      <c r="AD190" s="58">
        <f t="shared" si="106"/>
        <v>-0.31342836654154926</v>
      </c>
      <c r="AE190" s="57">
        <f t="shared" si="126"/>
        <v>-8827.43</v>
      </c>
      <c r="AF190" s="58">
        <f t="shared" si="107"/>
        <v>-2.4902580839030811E-2</v>
      </c>
      <c r="AG190" s="58">
        <f t="shared" si="108"/>
        <v>-1</v>
      </c>
      <c r="AH190" s="57">
        <f t="shared" si="126"/>
        <v>0</v>
      </c>
      <c r="AI190" s="58">
        <f t="shared" si="109"/>
        <v>0</v>
      </c>
      <c r="AJ190" s="58">
        <f t="shared" si="110"/>
        <v>0</v>
      </c>
      <c r="AK190" s="57">
        <f t="shared" si="126"/>
        <v>-41971.180000000008</v>
      </c>
      <c r="AL190" s="58">
        <f t="shared" si="111"/>
        <v>-0.21074381638438164</v>
      </c>
      <c r="AM190" s="57">
        <f>SUM(D190:AK190)</f>
        <v>-239068.90600530826</v>
      </c>
      <c r="AN190" s="58">
        <f t="shared" si="112"/>
        <v>-3.4417869752398661E-2</v>
      </c>
      <c r="AO190" s="75"/>
      <c r="AP190" s="75"/>
      <c r="AQ190" s="75"/>
      <c r="AR190" s="75"/>
      <c r="AS190" s="75"/>
      <c r="AT190" s="75"/>
      <c r="AU190" s="75"/>
      <c r="AV190" s="75"/>
      <c r="AW190" s="75"/>
      <c r="AX190" s="75"/>
      <c r="AY190" s="75"/>
      <c r="AZ190" s="75"/>
      <c r="BA190" s="75"/>
      <c r="BB190" s="75"/>
      <c r="BC190" s="75"/>
      <c r="BD190" s="75"/>
      <c r="BE190" s="75"/>
      <c r="BF190" s="75"/>
      <c r="BG190" s="75"/>
      <c r="BH190" s="75"/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  <c r="BS190" s="75"/>
      <c r="BT190" s="75"/>
    </row>
    <row r="191" spans="1:72" s="63" customFormat="1" x14ac:dyDescent="0.25">
      <c r="A191" s="55" t="s">
        <v>546</v>
      </c>
      <c r="B191" s="56">
        <v>571</v>
      </c>
      <c r="C191" s="55" t="s">
        <v>547</v>
      </c>
      <c r="D191" s="57">
        <f>D192</f>
        <v>-10787.93</v>
      </c>
      <c r="E191" s="58">
        <f t="shared" si="89"/>
        <v>-1.8089659224359077E-2</v>
      </c>
      <c r="F191" s="58">
        <f t="shared" si="90"/>
        <v>0.37392159570927874</v>
      </c>
      <c r="G191" s="57">
        <f t="shared" ref="G191:AK193" si="127">G192</f>
        <v>-14821.77</v>
      </c>
      <c r="H191" s="58">
        <f t="shared" si="91"/>
        <v>-1.9979080276225115E-2</v>
      </c>
      <c r="I191" s="58">
        <f t="shared" si="92"/>
        <v>-8.6764266346057162E-2</v>
      </c>
      <c r="J191" s="57">
        <f t="shared" si="127"/>
        <v>-13535.77</v>
      </c>
      <c r="K191" s="58">
        <f t="shared" si="93"/>
        <v>-1.8995836843422081E-2</v>
      </c>
      <c r="L191" s="58">
        <f t="shared" si="94"/>
        <v>-1.0882277107249205E-3</v>
      </c>
      <c r="M191" s="57">
        <f t="shared" si="127"/>
        <v>-13521.04</v>
      </c>
      <c r="N191" s="58">
        <f t="shared" si="95"/>
        <v>-1.8673322439097993E-2</v>
      </c>
      <c r="O191" s="58">
        <f t="shared" si="96"/>
        <v>0.41234919799068703</v>
      </c>
      <c r="P191" s="57">
        <f t="shared" si="127"/>
        <v>-19096.43</v>
      </c>
      <c r="Q191" s="58">
        <f t="shared" si="97"/>
        <v>-1.9988354763704051E-2</v>
      </c>
      <c r="R191" s="58">
        <f t="shared" si="98"/>
        <v>-0.28616867131709967</v>
      </c>
      <c r="S191" s="57">
        <f t="shared" si="127"/>
        <v>-13631.63</v>
      </c>
      <c r="T191" s="58">
        <f t="shared" si="99"/>
        <v>-2.0493731938017883E-2</v>
      </c>
      <c r="U191" s="58">
        <f t="shared" si="100"/>
        <v>5.7463414133159585E-2</v>
      </c>
      <c r="V191" s="57">
        <f t="shared" si="127"/>
        <v>-14414.95</v>
      </c>
      <c r="W191" s="58">
        <f t="shared" si="101"/>
        <v>-2.0292976125410266E-2</v>
      </c>
      <c r="X191" s="58">
        <f t="shared" si="102"/>
        <v>-0.2473973201433235</v>
      </c>
      <c r="Y191" s="57">
        <f t="shared" si="127"/>
        <v>-10848.73</v>
      </c>
      <c r="Z191" s="58">
        <f t="shared" si="103"/>
        <v>-1.9924344742901789E-2</v>
      </c>
      <c r="AA191" s="58">
        <f t="shared" si="104"/>
        <v>-0.2711847377527139</v>
      </c>
      <c r="AB191" s="57">
        <f t="shared" si="127"/>
        <v>-7906.72</v>
      </c>
      <c r="AC191" s="58">
        <f t="shared" si="105"/>
        <v>-1.9049255501170245E-2</v>
      </c>
      <c r="AD191" s="58">
        <f t="shared" si="106"/>
        <v>-0.36361348321427855</v>
      </c>
      <c r="AE191" s="57">
        <f t="shared" si="127"/>
        <v>-5031.7299999999996</v>
      </c>
      <c r="AF191" s="58">
        <f t="shared" si="107"/>
        <v>-1.4194738795456491E-2</v>
      </c>
      <c r="AG191" s="58">
        <f t="shared" si="108"/>
        <v>-1</v>
      </c>
      <c r="AH191" s="57">
        <f t="shared" si="127"/>
        <v>0</v>
      </c>
      <c r="AI191" s="58">
        <f t="shared" si="109"/>
        <v>0</v>
      </c>
      <c r="AJ191" s="58">
        <f t="shared" si="110"/>
        <v>0</v>
      </c>
      <c r="AK191" s="57">
        <f t="shared" si="127"/>
        <v>-27119.62000000001</v>
      </c>
      <c r="AL191" s="58">
        <f t="shared" si="111"/>
        <v>-0.13617182594566571</v>
      </c>
      <c r="AM191" s="57">
        <f>SUM(D191:AK191)</f>
        <v>-150717.92216379929</v>
      </c>
      <c r="AN191" s="58">
        <f t="shared" si="112"/>
        <v>-2.1698304062472362E-2</v>
      </c>
      <c r="AO191" s="75"/>
      <c r="AP191" s="75"/>
      <c r="AQ191" s="75"/>
      <c r="AR191" s="75"/>
      <c r="AS191" s="75"/>
      <c r="AT191" s="75"/>
      <c r="AU191" s="75"/>
      <c r="AV191" s="75"/>
      <c r="AW191" s="75"/>
      <c r="AX191" s="75"/>
      <c r="AY191" s="75"/>
      <c r="AZ191" s="75"/>
      <c r="BA191" s="75"/>
      <c r="BB191" s="75"/>
      <c r="BC191" s="75"/>
      <c r="BD191" s="75"/>
      <c r="BE191" s="75"/>
      <c r="BF191" s="75"/>
      <c r="BG191" s="75"/>
      <c r="BH191" s="75"/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  <c r="BS191" s="75"/>
      <c r="BT191" s="75"/>
    </row>
    <row r="192" spans="1:72" s="63" customFormat="1" x14ac:dyDescent="0.25">
      <c r="A192" s="55" t="s">
        <v>548</v>
      </c>
      <c r="B192" s="56">
        <v>5710</v>
      </c>
      <c r="C192" s="55" t="s">
        <v>547</v>
      </c>
      <c r="D192" s="57">
        <f>D193</f>
        <v>-10787.93</v>
      </c>
      <c r="E192" s="58">
        <f t="shared" si="89"/>
        <v>-1.8089659224359077E-2</v>
      </c>
      <c r="F192" s="58">
        <f t="shared" si="90"/>
        <v>0.37392159570927874</v>
      </c>
      <c r="G192" s="57">
        <f t="shared" si="127"/>
        <v>-14821.77</v>
      </c>
      <c r="H192" s="58">
        <f t="shared" si="91"/>
        <v>-1.9979080276225115E-2</v>
      </c>
      <c r="I192" s="58">
        <f t="shared" si="92"/>
        <v>-8.6764266346057162E-2</v>
      </c>
      <c r="J192" s="57">
        <f t="shared" si="127"/>
        <v>-13535.77</v>
      </c>
      <c r="K192" s="58">
        <f t="shared" si="93"/>
        <v>-1.8995836843422081E-2</v>
      </c>
      <c r="L192" s="58">
        <f t="shared" si="94"/>
        <v>-1.0882277107249205E-3</v>
      </c>
      <c r="M192" s="57">
        <f t="shared" si="127"/>
        <v>-13521.04</v>
      </c>
      <c r="N192" s="58">
        <f t="shared" si="95"/>
        <v>-1.8673322439097993E-2</v>
      </c>
      <c r="O192" s="58">
        <f t="shared" si="96"/>
        <v>0.41234919799068703</v>
      </c>
      <c r="P192" s="57">
        <f t="shared" si="127"/>
        <v>-19096.43</v>
      </c>
      <c r="Q192" s="58">
        <f t="shared" si="97"/>
        <v>-1.9988354763704051E-2</v>
      </c>
      <c r="R192" s="58">
        <f t="shared" si="98"/>
        <v>-0.28616867131709967</v>
      </c>
      <c r="S192" s="57">
        <f t="shared" si="127"/>
        <v>-13631.63</v>
      </c>
      <c r="T192" s="58">
        <f t="shared" si="99"/>
        <v>-2.0493731938017883E-2</v>
      </c>
      <c r="U192" s="58">
        <f t="shared" si="100"/>
        <v>5.7463414133159585E-2</v>
      </c>
      <c r="V192" s="57">
        <f t="shared" si="127"/>
        <v>-14414.95</v>
      </c>
      <c r="W192" s="58">
        <f t="shared" si="101"/>
        <v>-2.0292976125410266E-2</v>
      </c>
      <c r="X192" s="58">
        <f t="shared" si="102"/>
        <v>-0.2473973201433235</v>
      </c>
      <c r="Y192" s="57">
        <f t="shared" si="127"/>
        <v>-10848.73</v>
      </c>
      <c r="Z192" s="58">
        <f t="shared" si="103"/>
        <v>-1.9924344742901789E-2</v>
      </c>
      <c r="AA192" s="58">
        <f t="shared" si="104"/>
        <v>-0.2711847377527139</v>
      </c>
      <c r="AB192" s="57">
        <f t="shared" si="127"/>
        <v>-7906.72</v>
      </c>
      <c r="AC192" s="58">
        <f t="shared" si="105"/>
        <v>-1.9049255501170245E-2</v>
      </c>
      <c r="AD192" s="58">
        <f t="shared" si="106"/>
        <v>-0.36361348321427855</v>
      </c>
      <c r="AE192" s="57">
        <f t="shared" si="127"/>
        <v>-5031.7299999999996</v>
      </c>
      <c r="AF192" s="58">
        <f t="shared" si="107"/>
        <v>-1.4194738795456491E-2</v>
      </c>
      <c r="AG192" s="58">
        <f t="shared" si="108"/>
        <v>-1</v>
      </c>
      <c r="AH192" s="57">
        <f t="shared" si="127"/>
        <v>0</v>
      </c>
      <c r="AI192" s="58">
        <f t="shared" si="109"/>
        <v>0</v>
      </c>
      <c r="AJ192" s="58">
        <f t="shared" si="110"/>
        <v>0</v>
      </c>
      <c r="AK192" s="57">
        <f t="shared" si="127"/>
        <v>-27119.62000000001</v>
      </c>
      <c r="AL192" s="58">
        <f t="shared" si="111"/>
        <v>-0.13617182594566571</v>
      </c>
      <c r="AM192" s="57">
        <f>SUM(D192:AK192)</f>
        <v>-150717.92216379929</v>
      </c>
      <c r="AN192" s="58">
        <f t="shared" si="112"/>
        <v>-2.1698304062472362E-2</v>
      </c>
      <c r="AO192" s="75"/>
      <c r="AP192" s="75"/>
      <c r="AQ192" s="75"/>
      <c r="AR192" s="75"/>
      <c r="AS192" s="75"/>
      <c r="AT192" s="75"/>
      <c r="AU192" s="75"/>
      <c r="AV192" s="75"/>
      <c r="AW192" s="75"/>
      <c r="AX192" s="75"/>
      <c r="AY192" s="75"/>
      <c r="AZ192" s="75"/>
      <c r="BA192" s="75"/>
      <c r="BB192" s="75"/>
      <c r="BC192" s="75"/>
      <c r="BD192" s="75"/>
      <c r="BE192" s="75"/>
      <c r="BF192" s="75"/>
      <c r="BG192" s="75"/>
      <c r="BH192" s="75"/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  <c r="BS192" s="75"/>
      <c r="BT192" s="75"/>
    </row>
    <row r="193" spans="1:72" s="63" customFormat="1" x14ac:dyDescent="0.25">
      <c r="A193" s="55" t="s">
        <v>549</v>
      </c>
      <c r="B193" s="56">
        <v>571000</v>
      </c>
      <c r="C193" s="55" t="s">
        <v>547</v>
      </c>
      <c r="D193" s="57">
        <f>D194</f>
        <v>-10787.93</v>
      </c>
      <c r="E193" s="58">
        <f t="shared" si="89"/>
        <v>-1.8089659224359077E-2</v>
      </c>
      <c r="F193" s="58">
        <f t="shared" si="90"/>
        <v>0.37392159570927874</v>
      </c>
      <c r="G193" s="57">
        <f t="shared" si="127"/>
        <v>-14821.77</v>
      </c>
      <c r="H193" s="58">
        <f t="shared" si="91"/>
        <v>-1.9979080276225115E-2</v>
      </c>
      <c r="I193" s="58">
        <f t="shared" si="92"/>
        <v>-8.6764266346057162E-2</v>
      </c>
      <c r="J193" s="57">
        <f t="shared" si="127"/>
        <v>-13535.77</v>
      </c>
      <c r="K193" s="58">
        <f t="shared" si="93"/>
        <v>-1.8995836843422081E-2</v>
      </c>
      <c r="L193" s="58">
        <f t="shared" si="94"/>
        <v>-1.0882277107249205E-3</v>
      </c>
      <c r="M193" s="57">
        <f t="shared" si="127"/>
        <v>-13521.04</v>
      </c>
      <c r="N193" s="58">
        <f t="shared" si="95"/>
        <v>-1.8673322439097993E-2</v>
      </c>
      <c r="O193" s="58">
        <f t="shared" si="96"/>
        <v>0.41234919799068703</v>
      </c>
      <c r="P193" s="57">
        <f t="shared" si="127"/>
        <v>-19096.43</v>
      </c>
      <c r="Q193" s="58">
        <f t="shared" si="97"/>
        <v>-1.9988354763704051E-2</v>
      </c>
      <c r="R193" s="58">
        <f t="shared" si="98"/>
        <v>-0.28616867131709967</v>
      </c>
      <c r="S193" s="57">
        <f t="shared" si="127"/>
        <v>-13631.63</v>
      </c>
      <c r="T193" s="58">
        <f t="shared" si="99"/>
        <v>-2.0493731938017883E-2</v>
      </c>
      <c r="U193" s="58">
        <f t="shared" si="100"/>
        <v>5.7463414133159585E-2</v>
      </c>
      <c r="V193" s="57">
        <f t="shared" si="127"/>
        <v>-14414.95</v>
      </c>
      <c r="W193" s="58">
        <f t="shared" si="101"/>
        <v>-2.0292976125410266E-2</v>
      </c>
      <c r="X193" s="58">
        <f t="shared" si="102"/>
        <v>-0.2473973201433235</v>
      </c>
      <c r="Y193" s="57">
        <f t="shared" si="127"/>
        <v>-10848.73</v>
      </c>
      <c r="Z193" s="58">
        <f t="shared" si="103"/>
        <v>-1.9924344742901789E-2</v>
      </c>
      <c r="AA193" s="58">
        <f t="shared" si="104"/>
        <v>-0.2711847377527139</v>
      </c>
      <c r="AB193" s="57">
        <f t="shared" si="127"/>
        <v>-7906.72</v>
      </c>
      <c r="AC193" s="58">
        <f t="shared" si="105"/>
        <v>-1.9049255501170245E-2</v>
      </c>
      <c r="AD193" s="58">
        <f t="shared" si="106"/>
        <v>-0.36361348321427855</v>
      </c>
      <c r="AE193" s="57">
        <f t="shared" si="127"/>
        <v>-5031.7299999999996</v>
      </c>
      <c r="AF193" s="58">
        <f t="shared" si="107"/>
        <v>-1.4194738795456491E-2</v>
      </c>
      <c r="AG193" s="58">
        <f t="shared" si="108"/>
        <v>-1</v>
      </c>
      <c r="AH193" s="57">
        <f t="shared" si="127"/>
        <v>0</v>
      </c>
      <c r="AI193" s="58">
        <f t="shared" si="109"/>
        <v>0</v>
      </c>
      <c r="AJ193" s="58">
        <f t="shared" si="110"/>
        <v>0</v>
      </c>
      <c r="AK193" s="57">
        <f t="shared" si="127"/>
        <v>-27119.62000000001</v>
      </c>
      <c r="AL193" s="58">
        <f t="shared" si="111"/>
        <v>-0.13617182594566571</v>
      </c>
      <c r="AM193" s="57">
        <f>SUM(D193:AK193)</f>
        <v>-150717.92216379929</v>
      </c>
      <c r="AN193" s="58">
        <f t="shared" si="112"/>
        <v>-2.1698304062472362E-2</v>
      </c>
      <c r="AO193" s="75"/>
      <c r="AP193" s="75"/>
      <c r="AQ193" s="75"/>
      <c r="AR193" s="75"/>
      <c r="AS193" s="75"/>
      <c r="AT193" s="75"/>
      <c r="AU193" s="75"/>
      <c r="AV193" s="75"/>
      <c r="AW193" s="75"/>
      <c r="AX193" s="75"/>
      <c r="AY193" s="75"/>
      <c r="AZ193" s="75"/>
      <c r="BA193" s="75"/>
      <c r="BB193" s="75"/>
      <c r="BC193" s="75"/>
      <c r="BD193" s="75"/>
      <c r="BE193" s="75"/>
      <c r="BF193" s="75"/>
      <c r="BG193" s="75"/>
      <c r="BH193" s="75"/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  <c r="BS193" s="75"/>
      <c r="BT193" s="75"/>
    </row>
    <row r="194" spans="1:72" s="74" customFormat="1" x14ac:dyDescent="0.25">
      <c r="A194" s="66" t="s">
        <v>550</v>
      </c>
      <c r="B194" s="67">
        <v>571000001</v>
      </c>
      <c r="C194" s="66" t="s">
        <v>551</v>
      </c>
      <c r="D194" s="68">
        <v>-10787.93</v>
      </c>
      <c r="E194" s="58">
        <f t="shared" si="89"/>
        <v>-1.8089659224359077E-2</v>
      </c>
      <c r="F194" s="58">
        <f t="shared" si="90"/>
        <v>0.37392159570927874</v>
      </c>
      <c r="G194" s="68">
        <v>-14821.77</v>
      </c>
      <c r="H194" s="58">
        <f t="shared" si="91"/>
        <v>-1.9979080276225115E-2</v>
      </c>
      <c r="I194" s="58">
        <f t="shared" si="92"/>
        <v>-8.6764266346057162E-2</v>
      </c>
      <c r="J194" s="68">
        <v>-13535.77</v>
      </c>
      <c r="K194" s="58">
        <f t="shared" si="93"/>
        <v>-1.8995836843422081E-2</v>
      </c>
      <c r="L194" s="58">
        <f t="shared" si="94"/>
        <v>-1.0882277107249205E-3</v>
      </c>
      <c r="M194" s="68">
        <v>-13521.04</v>
      </c>
      <c r="N194" s="58">
        <f t="shared" si="95"/>
        <v>-1.8673322439097993E-2</v>
      </c>
      <c r="O194" s="58">
        <f t="shared" si="96"/>
        <v>0.41234919799068703</v>
      </c>
      <c r="P194" s="68">
        <v>-19096.43</v>
      </c>
      <c r="Q194" s="58">
        <f t="shared" si="97"/>
        <v>-1.9988354763704051E-2</v>
      </c>
      <c r="R194" s="58">
        <f t="shared" si="98"/>
        <v>-0.28616867131709967</v>
      </c>
      <c r="S194" s="68">
        <v>-13631.63</v>
      </c>
      <c r="T194" s="58">
        <f t="shared" si="99"/>
        <v>-2.0493731938017883E-2</v>
      </c>
      <c r="U194" s="58">
        <f t="shared" si="100"/>
        <v>5.7463414133159585E-2</v>
      </c>
      <c r="V194" s="68">
        <v>-14414.95</v>
      </c>
      <c r="W194" s="58">
        <f t="shared" si="101"/>
        <v>-2.0292976125410266E-2</v>
      </c>
      <c r="X194" s="58">
        <f t="shared" si="102"/>
        <v>-0.2473973201433235</v>
      </c>
      <c r="Y194" s="68">
        <v>-10848.73</v>
      </c>
      <c r="Z194" s="58">
        <f t="shared" si="103"/>
        <v>-1.9924344742901789E-2</v>
      </c>
      <c r="AA194" s="58">
        <f t="shared" si="104"/>
        <v>-0.2711847377527139</v>
      </c>
      <c r="AB194" s="68">
        <v>-7906.72</v>
      </c>
      <c r="AC194" s="58">
        <f t="shared" si="105"/>
        <v>-1.9049255501170245E-2</v>
      </c>
      <c r="AD194" s="58">
        <f t="shared" si="106"/>
        <v>-0.36361348321427855</v>
      </c>
      <c r="AE194" s="68">
        <v>-5031.7299999999996</v>
      </c>
      <c r="AF194" s="58">
        <f t="shared" si="107"/>
        <v>-1.4194738795456491E-2</v>
      </c>
      <c r="AG194" s="58">
        <f t="shared" si="108"/>
        <v>-1</v>
      </c>
      <c r="AH194" s="68">
        <v>0</v>
      </c>
      <c r="AI194" s="58">
        <f t="shared" si="109"/>
        <v>0</v>
      </c>
      <c r="AJ194" s="58">
        <f t="shared" si="110"/>
        <v>0</v>
      </c>
      <c r="AK194" s="68">
        <v>-27119.62000000001</v>
      </c>
      <c r="AL194" s="58">
        <f t="shared" si="111"/>
        <v>-0.13617182594566571</v>
      </c>
      <c r="AM194" s="68">
        <f>SUM(D194:AK194)</f>
        <v>-150717.92216379929</v>
      </c>
      <c r="AN194" s="58">
        <f t="shared" si="112"/>
        <v>-2.1698304062472362E-2</v>
      </c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</row>
    <row r="195" spans="1:72" s="63" customFormat="1" x14ac:dyDescent="0.25">
      <c r="A195" s="55" t="s">
        <v>552</v>
      </c>
      <c r="B195" s="56">
        <v>572</v>
      </c>
      <c r="C195" s="55" t="s">
        <v>553</v>
      </c>
      <c r="D195" s="57">
        <f>D196</f>
        <v>-6667.07</v>
      </c>
      <c r="E195" s="58">
        <f t="shared" si="89"/>
        <v>-1.1179626149312024E-2</v>
      </c>
      <c r="F195" s="58">
        <f t="shared" si="90"/>
        <v>0.29104389184454349</v>
      </c>
      <c r="G195" s="57">
        <f t="shared" ref="G195:AK197" si="128">G196</f>
        <v>-8607.48</v>
      </c>
      <c r="H195" s="58">
        <f t="shared" si="91"/>
        <v>-1.1602496455956483E-2</v>
      </c>
      <c r="I195" s="58">
        <f t="shared" si="92"/>
        <v>-6.1355936929275434E-2</v>
      </c>
      <c r="J195" s="57">
        <f t="shared" si="128"/>
        <v>-8079.36</v>
      </c>
      <c r="K195" s="58">
        <f t="shared" si="93"/>
        <v>-1.1338416976593914E-2</v>
      </c>
      <c r="L195" s="58">
        <f t="shared" si="94"/>
        <v>-1.3980067728136869E-2</v>
      </c>
      <c r="M195" s="57">
        <f t="shared" si="128"/>
        <v>-7966.41</v>
      </c>
      <c r="N195" s="58">
        <f t="shared" si="95"/>
        <v>-1.1002063643924921E-2</v>
      </c>
      <c r="O195" s="58">
        <f t="shared" si="96"/>
        <v>0.36453433855400363</v>
      </c>
      <c r="P195" s="57">
        <f t="shared" si="128"/>
        <v>-10870.44</v>
      </c>
      <c r="Q195" s="58">
        <f t="shared" si="97"/>
        <v>-1.1378158700739303E-2</v>
      </c>
      <c r="R195" s="58">
        <f t="shared" si="98"/>
        <v>-0.27631540213643602</v>
      </c>
      <c r="S195" s="57">
        <f t="shared" si="128"/>
        <v>-7866.77</v>
      </c>
      <c r="T195" s="58">
        <f t="shared" si="99"/>
        <v>-1.1826867043636086E-2</v>
      </c>
      <c r="U195" s="58">
        <f t="shared" si="100"/>
        <v>4.6807012280770888E-2</v>
      </c>
      <c r="V195" s="57">
        <f t="shared" si="128"/>
        <v>-8234.99</v>
      </c>
      <c r="W195" s="58">
        <f t="shared" si="101"/>
        <v>-1.1592995845493205E-2</v>
      </c>
      <c r="X195" s="58">
        <f t="shared" si="102"/>
        <v>-0.21547202850276681</v>
      </c>
      <c r="Y195" s="57">
        <f t="shared" si="128"/>
        <v>-6460.58</v>
      </c>
      <c r="Z195" s="58">
        <f t="shared" si="103"/>
        <v>-1.1865243503995071E-2</v>
      </c>
      <c r="AA195" s="58">
        <f t="shared" si="104"/>
        <v>-0.23373133681496083</v>
      </c>
      <c r="AB195" s="57">
        <f t="shared" si="128"/>
        <v>-4950.54</v>
      </c>
      <c r="AC195" s="58">
        <f t="shared" si="105"/>
        <v>-1.192708244743248E-2</v>
      </c>
      <c r="AD195" s="58">
        <f t="shared" si="106"/>
        <v>-0.23327556185789833</v>
      </c>
      <c r="AE195" s="57">
        <f t="shared" si="128"/>
        <v>-3795.7</v>
      </c>
      <c r="AF195" s="58">
        <f t="shared" si="107"/>
        <v>-1.0707842043574318E-2</v>
      </c>
      <c r="AG195" s="58">
        <f t="shared" si="108"/>
        <v>-1</v>
      </c>
      <c r="AH195" s="57">
        <f t="shared" si="128"/>
        <v>0</v>
      </c>
      <c r="AI195" s="58">
        <f t="shared" si="109"/>
        <v>0</v>
      </c>
      <c r="AJ195" s="58">
        <f t="shared" si="110"/>
        <v>0</v>
      </c>
      <c r="AK195" s="57">
        <f t="shared" si="128"/>
        <v>-14851.559999999998</v>
      </c>
      <c r="AL195" s="58">
        <f t="shared" si="111"/>
        <v>-7.4571990438715943E-2</v>
      </c>
      <c r="AM195" s="57">
        <f>SUM(D195:AK195)</f>
        <v>-88352.346165884097</v>
      </c>
      <c r="AN195" s="58">
        <f t="shared" si="112"/>
        <v>-1.2719761818748267E-2</v>
      </c>
      <c r="AO195" s="75"/>
      <c r="AP195" s="75"/>
      <c r="AQ195" s="75"/>
      <c r="AR195" s="75"/>
      <c r="AS195" s="75"/>
      <c r="AT195" s="75"/>
      <c r="AU195" s="75"/>
      <c r="AV195" s="75"/>
      <c r="AW195" s="75"/>
      <c r="AX195" s="75"/>
      <c r="AY195" s="75"/>
      <c r="AZ195" s="75"/>
      <c r="BA195" s="75"/>
      <c r="BB195" s="75"/>
      <c r="BC195" s="75"/>
      <c r="BD195" s="75"/>
      <c r="BE195" s="75"/>
      <c r="BF195" s="75"/>
      <c r="BG195" s="75"/>
      <c r="BH195" s="75"/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  <c r="BS195" s="75"/>
      <c r="BT195" s="75"/>
    </row>
    <row r="196" spans="1:72" s="63" customFormat="1" x14ac:dyDescent="0.25">
      <c r="A196" s="55" t="s">
        <v>554</v>
      </c>
      <c r="B196" s="56">
        <v>5720</v>
      </c>
      <c r="C196" s="55" t="s">
        <v>553</v>
      </c>
      <c r="D196" s="57">
        <f>D197</f>
        <v>-6667.07</v>
      </c>
      <c r="E196" s="58">
        <f t="shared" si="89"/>
        <v>-1.1179626149312024E-2</v>
      </c>
      <c r="F196" s="58">
        <f t="shared" si="90"/>
        <v>0.29104389184454349</v>
      </c>
      <c r="G196" s="57">
        <f t="shared" si="128"/>
        <v>-8607.48</v>
      </c>
      <c r="H196" s="58">
        <f t="shared" si="91"/>
        <v>-1.1602496455956483E-2</v>
      </c>
      <c r="I196" s="58">
        <f t="shared" si="92"/>
        <v>-6.1355936929275434E-2</v>
      </c>
      <c r="J196" s="57">
        <f t="shared" si="128"/>
        <v>-8079.36</v>
      </c>
      <c r="K196" s="58">
        <f t="shared" si="93"/>
        <v>-1.1338416976593914E-2</v>
      </c>
      <c r="L196" s="58">
        <f t="shared" si="94"/>
        <v>-1.3980067728136869E-2</v>
      </c>
      <c r="M196" s="57">
        <f t="shared" si="128"/>
        <v>-7966.41</v>
      </c>
      <c r="N196" s="58">
        <f t="shared" si="95"/>
        <v>-1.1002063643924921E-2</v>
      </c>
      <c r="O196" s="58">
        <f t="shared" si="96"/>
        <v>0.36453433855400363</v>
      </c>
      <c r="P196" s="57">
        <f t="shared" si="128"/>
        <v>-10870.44</v>
      </c>
      <c r="Q196" s="58">
        <f t="shared" si="97"/>
        <v>-1.1378158700739303E-2</v>
      </c>
      <c r="R196" s="58">
        <f t="shared" si="98"/>
        <v>-0.27631540213643602</v>
      </c>
      <c r="S196" s="57">
        <f t="shared" si="128"/>
        <v>-7866.77</v>
      </c>
      <c r="T196" s="58">
        <f t="shared" si="99"/>
        <v>-1.1826867043636086E-2</v>
      </c>
      <c r="U196" s="58">
        <f t="shared" si="100"/>
        <v>4.6807012280770888E-2</v>
      </c>
      <c r="V196" s="57">
        <f t="shared" si="128"/>
        <v>-8234.99</v>
      </c>
      <c r="W196" s="58">
        <f t="shared" si="101"/>
        <v>-1.1592995845493205E-2</v>
      </c>
      <c r="X196" s="58">
        <f t="shared" si="102"/>
        <v>-0.21547202850276681</v>
      </c>
      <c r="Y196" s="57">
        <f t="shared" si="128"/>
        <v>-6460.58</v>
      </c>
      <c r="Z196" s="58">
        <f t="shared" si="103"/>
        <v>-1.1865243503995071E-2</v>
      </c>
      <c r="AA196" s="58">
        <f t="shared" si="104"/>
        <v>-0.23373133681496083</v>
      </c>
      <c r="AB196" s="57">
        <f t="shared" si="128"/>
        <v>-4950.54</v>
      </c>
      <c r="AC196" s="58">
        <f t="shared" si="105"/>
        <v>-1.192708244743248E-2</v>
      </c>
      <c r="AD196" s="58">
        <f t="shared" si="106"/>
        <v>-0.23327556185789833</v>
      </c>
      <c r="AE196" s="57">
        <f t="shared" si="128"/>
        <v>-3795.7</v>
      </c>
      <c r="AF196" s="58">
        <f t="shared" si="107"/>
        <v>-1.0707842043574318E-2</v>
      </c>
      <c r="AG196" s="58">
        <f t="shared" si="108"/>
        <v>-1</v>
      </c>
      <c r="AH196" s="57">
        <f t="shared" si="128"/>
        <v>0</v>
      </c>
      <c r="AI196" s="58">
        <f t="shared" si="109"/>
        <v>0</v>
      </c>
      <c r="AJ196" s="58">
        <f t="shared" si="110"/>
        <v>0</v>
      </c>
      <c r="AK196" s="57">
        <f t="shared" si="128"/>
        <v>-14851.559999999998</v>
      </c>
      <c r="AL196" s="58">
        <f t="shared" si="111"/>
        <v>-7.4571990438715943E-2</v>
      </c>
      <c r="AM196" s="57">
        <f>SUM(D196:AK196)</f>
        <v>-88352.346165884097</v>
      </c>
      <c r="AN196" s="58">
        <f t="shared" si="112"/>
        <v>-1.2719761818748267E-2</v>
      </c>
      <c r="AO196" s="75"/>
      <c r="AP196" s="75"/>
      <c r="AQ196" s="75"/>
      <c r="AR196" s="75"/>
      <c r="AS196" s="75"/>
      <c r="AT196" s="75"/>
      <c r="AU196" s="75"/>
      <c r="AV196" s="75"/>
      <c r="AW196" s="75"/>
      <c r="AX196" s="75"/>
      <c r="AY196" s="75"/>
      <c r="AZ196" s="75"/>
      <c r="BA196" s="75"/>
      <c r="BB196" s="75"/>
      <c r="BC196" s="75"/>
      <c r="BD196" s="75"/>
      <c r="BE196" s="75"/>
      <c r="BF196" s="75"/>
      <c r="BG196" s="75"/>
      <c r="BH196" s="75"/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  <c r="BS196" s="75"/>
      <c r="BT196" s="75"/>
    </row>
    <row r="197" spans="1:72" s="63" customFormat="1" x14ac:dyDescent="0.25">
      <c r="A197" s="55" t="s">
        <v>555</v>
      </c>
      <c r="B197" s="56">
        <v>572000</v>
      </c>
      <c r="C197" s="55" t="s">
        <v>553</v>
      </c>
      <c r="D197" s="57">
        <f>D198</f>
        <v>-6667.07</v>
      </c>
      <c r="E197" s="58">
        <f t="shared" si="89"/>
        <v>-1.1179626149312024E-2</v>
      </c>
      <c r="F197" s="58">
        <f t="shared" si="90"/>
        <v>0.29104389184454349</v>
      </c>
      <c r="G197" s="57">
        <f t="shared" si="128"/>
        <v>-8607.48</v>
      </c>
      <c r="H197" s="58">
        <f t="shared" si="91"/>
        <v>-1.1602496455956483E-2</v>
      </c>
      <c r="I197" s="58">
        <f t="shared" si="92"/>
        <v>-6.1355936929275434E-2</v>
      </c>
      <c r="J197" s="57">
        <f t="shared" si="128"/>
        <v>-8079.36</v>
      </c>
      <c r="K197" s="58">
        <f t="shared" si="93"/>
        <v>-1.1338416976593914E-2</v>
      </c>
      <c r="L197" s="58">
        <f t="shared" si="94"/>
        <v>-1.3980067728136869E-2</v>
      </c>
      <c r="M197" s="57">
        <f t="shared" si="128"/>
        <v>-7966.41</v>
      </c>
      <c r="N197" s="58">
        <f t="shared" si="95"/>
        <v>-1.1002063643924921E-2</v>
      </c>
      <c r="O197" s="58">
        <f t="shared" si="96"/>
        <v>0.36453433855400363</v>
      </c>
      <c r="P197" s="57">
        <f t="shared" si="128"/>
        <v>-10870.44</v>
      </c>
      <c r="Q197" s="58">
        <f t="shared" si="97"/>
        <v>-1.1378158700739303E-2</v>
      </c>
      <c r="R197" s="58">
        <f t="shared" si="98"/>
        <v>-0.27631540213643602</v>
      </c>
      <c r="S197" s="57">
        <f t="shared" si="128"/>
        <v>-7866.77</v>
      </c>
      <c r="T197" s="58">
        <f t="shared" si="99"/>
        <v>-1.1826867043636086E-2</v>
      </c>
      <c r="U197" s="58">
        <f t="shared" si="100"/>
        <v>4.6807012280770888E-2</v>
      </c>
      <c r="V197" s="57">
        <f t="shared" si="128"/>
        <v>-8234.99</v>
      </c>
      <c r="W197" s="58">
        <f t="shared" si="101"/>
        <v>-1.1592995845493205E-2</v>
      </c>
      <c r="X197" s="58">
        <f t="shared" si="102"/>
        <v>-0.21547202850276681</v>
      </c>
      <c r="Y197" s="57">
        <f t="shared" si="128"/>
        <v>-6460.58</v>
      </c>
      <c r="Z197" s="58">
        <f t="shared" si="103"/>
        <v>-1.1865243503995071E-2</v>
      </c>
      <c r="AA197" s="58">
        <f t="shared" si="104"/>
        <v>-0.23373133681496083</v>
      </c>
      <c r="AB197" s="57">
        <f t="shared" si="128"/>
        <v>-4950.54</v>
      </c>
      <c r="AC197" s="58">
        <f t="shared" si="105"/>
        <v>-1.192708244743248E-2</v>
      </c>
      <c r="AD197" s="58">
        <f t="shared" si="106"/>
        <v>-0.23327556185789833</v>
      </c>
      <c r="AE197" s="57">
        <f t="shared" si="128"/>
        <v>-3795.7</v>
      </c>
      <c r="AF197" s="58">
        <f t="shared" si="107"/>
        <v>-1.0707842043574318E-2</v>
      </c>
      <c r="AG197" s="58">
        <f t="shared" si="108"/>
        <v>-1</v>
      </c>
      <c r="AH197" s="57">
        <f t="shared" si="128"/>
        <v>0</v>
      </c>
      <c r="AI197" s="58">
        <f t="shared" si="109"/>
        <v>0</v>
      </c>
      <c r="AJ197" s="58">
        <f t="shared" si="110"/>
        <v>0</v>
      </c>
      <c r="AK197" s="57">
        <f t="shared" si="128"/>
        <v>-14851.559999999998</v>
      </c>
      <c r="AL197" s="58">
        <f t="shared" si="111"/>
        <v>-7.4571990438715943E-2</v>
      </c>
      <c r="AM197" s="57">
        <f>SUM(D197:AK197)</f>
        <v>-88352.346165884097</v>
      </c>
      <c r="AN197" s="58">
        <f t="shared" si="112"/>
        <v>-1.2719761818748267E-2</v>
      </c>
      <c r="AO197" s="75"/>
      <c r="AP197" s="75"/>
      <c r="AQ197" s="75"/>
      <c r="AR197" s="75"/>
      <c r="AS197" s="75"/>
      <c r="AT197" s="75"/>
      <c r="AU197" s="75"/>
      <c r="AV197" s="75"/>
      <c r="AW197" s="75"/>
      <c r="AX197" s="75"/>
      <c r="AY197" s="75"/>
      <c r="AZ197" s="75"/>
      <c r="BA197" s="75"/>
      <c r="BB197" s="75"/>
      <c r="BC197" s="75"/>
      <c r="BD197" s="75"/>
      <c r="BE197" s="75"/>
      <c r="BF197" s="75"/>
      <c r="BG197" s="75"/>
      <c r="BH197" s="75"/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  <c r="BS197" s="75"/>
      <c r="BT197" s="75"/>
    </row>
    <row r="198" spans="1:72" s="74" customFormat="1" x14ac:dyDescent="0.25">
      <c r="A198" s="66" t="s">
        <v>556</v>
      </c>
      <c r="B198" s="67">
        <v>572000001</v>
      </c>
      <c r="C198" s="66" t="s">
        <v>557</v>
      </c>
      <c r="D198" s="68">
        <v>-6667.07</v>
      </c>
      <c r="E198" s="58">
        <f t="shared" si="89"/>
        <v>-1.1179626149312024E-2</v>
      </c>
      <c r="F198" s="58">
        <f t="shared" si="90"/>
        <v>0.29104389184454349</v>
      </c>
      <c r="G198" s="68">
        <v>-8607.48</v>
      </c>
      <c r="H198" s="58">
        <f t="shared" si="91"/>
        <v>-1.1602496455956483E-2</v>
      </c>
      <c r="I198" s="58">
        <f t="shared" si="92"/>
        <v>-6.1355936929275434E-2</v>
      </c>
      <c r="J198" s="68">
        <v>-8079.36</v>
      </c>
      <c r="K198" s="58">
        <f t="shared" si="93"/>
        <v>-1.1338416976593914E-2</v>
      </c>
      <c r="L198" s="58">
        <f t="shared" si="94"/>
        <v>-1.3980067728136869E-2</v>
      </c>
      <c r="M198" s="68">
        <v>-7966.41</v>
      </c>
      <c r="N198" s="58">
        <f t="shared" si="95"/>
        <v>-1.1002063643924921E-2</v>
      </c>
      <c r="O198" s="58">
        <f t="shared" si="96"/>
        <v>0.36453433855400363</v>
      </c>
      <c r="P198" s="68">
        <v>-10870.44</v>
      </c>
      <c r="Q198" s="58">
        <f t="shared" si="97"/>
        <v>-1.1378158700739303E-2</v>
      </c>
      <c r="R198" s="58">
        <f t="shared" si="98"/>
        <v>-0.27631540213643602</v>
      </c>
      <c r="S198" s="68">
        <v>-7866.77</v>
      </c>
      <c r="T198" s="58">
        <f t="shared" si="99"/>
        <v>-1.1826867043636086E-2</v>
      </c>
      <c r="U198" s="58">
        <f t="shared" si="100"/>
        <v>4.6807012280770888E-2</v>
      </c>
      <c r="V198" s="68">
        <v>-8234.99</v>
      </c>
      <c r="W198" s="58">
        <f t="shared" si="101"/>
        <v>-1.1592995845493205E-2</v>
      </c>
      <c r="X198" s="58">
        <f t="shared" si="102"/>
        <v>-0.21547202850276681</v>
      </c>
      <c r="Y198" s="68">
        <v>-6460.58</v>
      </c>
      <c r="Z198" s="58">
        <f t="shared" si="103"/>
        <v>-1.1865243503995071E-2</v>
      </c>
      <c r="AA198" s="58">
        <f t="shared" si="104"/>
        <v>-0.23373133681496083</v>
      </c>
      <c r="AB198" s="68">
        <v>-4950.54</v>
      </c>
      <c r="AC198" s="58">
        <f t="shared" si="105"/>
        <v>-1.192708244743248E-2</v>
      </c>
      <c r="AD198" s="58">
        <f t="shared" si="106"/>
        <v>-0.23327556185789833</v>
      </c>
      <c r="AE198" s="68">
        <v>-3795.7</v>
      </c>
      <c r="AF198" s="58">
        <f t="shared" si="107"/>
        <v>-1.0707842043574318E-2</v>
      </c>
      <c r="AG198" s="58">
        <f t="shared" si="108"/>
        <v>-1</v>
      </c>
      <c r="AH198" s="68">
        <v>0</v>
      </c>
      <c r="AI198" s="58">
        <f t="shared" si="109"/>
        <v>0</v>
      </c>
      <c r="AJ198" s="58">
        <f t="shared" si="110"/>
        <v>0</v>
      </c>
      <c r="AK198" s="68">
        <v>-14851.559999999998</v>
      </c>
      <c r="AL198" s="58">
        <f t="shared" si="111"/>
        <v>-7.4571990438715943E-2</v>
      </c>
      <c r="AM198" s="68">
        <f>SUM(D198:AK198)</f>
        <v>-88352.346165884097</v>
      </c>
      <c r="AN198" s="58">
        <f t="shared" si="112"/>
        <v>-1.2719761818748267E-2</v>
      </c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</row>
    <row r="199" spans="1:72" s="30" customFormat="1" x14ac:dyDescent="0.25">
      <c r="S199" s="45"/>
      <c r="T199" s="45"/>
      <c r="U199" s="45"/>
      <c r="V199" s="45"/>
      <c r="W199" s="45"/>
      <c r="X199" s="45"/>
      <c r="AM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</row>
    <row r="200" spans="1:72" s="30" customFormat="1" x14ac:dyDescent="0.25"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</row>
    <row r="201" spans="1:72" s="30" customFormat="1" x14ac:dyDescent="0.25">
      <c r="S201" s="45"/>
      <c r="T201" s="45"/>
      <c r="U201" s="45"/>
      <c r="V201" s="45"/>
      <c r="W201" s="45"/>
      <c r="X201" s="45"/>
      <c r="AM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</row>
  </sheetData>
  <phoneticPr fontId="14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C484-5BC7-45BF-93C1-66A528BE0AA4}">
  <sheetPr>
    <tabColor theme="1"/>
  </sheetPr>
  <dimension ref="A1:E92"/>
  <sheetViews>
    <sheetView topLeftCell="A37" workbookViewId="0">
      <selection activeCell="C56" sqref="C56"/>
    </sheetView>
  </sheetViews>
  <sheetFormatPr defaultColWidth="9.109375" defaultRowHeight="14.4" x14ac:dyDescent="0.3"/>
  <cols>
    <col min="1" max="1" width="28.109375" style="4" customWidth="1"/>
    <col min="2" max="2" width="43.5546875" style="5" customWidth="1"/>
    <col min="3" max="3" width="10.88671875" style="3" customWidth="1"/>
    <col min="4" max="4" width="101.5546875" style="4" customWidth="1"/>
    <col min="5" max="16384" width="9.109375" style="5"/>
  </cols>
  <sheetData>
    <row r="1" spans="1:5" x14ac:dyDescent="0.3">
      <c r="A1" s="1" t="s">
        <v>11</v>
      </c>
      <c r="B1" s="2"/>
    </row>
    <row r="2" spans="1:5" x14ac:dyDescent="0.3">
      <c r="B2" s="6"/>
      <c r="E2" s="5" t="s">
        <v>12</v>
      </c>
    </row>
    <row r="3" spans="1:5" x14ac:dyDescent="0.3">
      <c r="A3" s="7" t="s">
        <v>13</v>
      </c>
      <c r="B3" s="2" t="s">
        <v>14</v>
      </c>
      <c r="C3" s="3" t="e">
        <f>#REF!/#REF!</f>
        <v>#REF!</v>
      </c>
      <c r="D3" s="4" t="s">
        <v>15</v>
      </c>
      <c r="E3" s="5" t="s">
        <v>16</v>
      </c>
    </row>
    <row r="4" spans="1:5" x14ac:dyDescent="0.3">
      <c r="E4" s="5" t="s">
        <v>17</v>
      </c>
    </row>
    <row r="5" spans="1:5" x14ac:dyDescent="0.3">
      <c r="A5" s="7" t="s">
        <v>18</v>
      </c>
      <c r="B5" s="2" t="s">
        <v>19</v>
      </c>
      <c r="C5" s="3" t="e">
        <f>(#REF!-#REF!)/#REF!</f>
        <v>#REF!</v>
      </c>
      <c r="D5" s="4" t="s">
        <v>20</v>
      </c>
      <c r="E5" s="5" t="s">
        <v>21</v>
      </c>
    </row>
    <row r="6" spans="1:5" x14ac:dyDescent="0.3">
      <c r="A6" s="7"/>
      <c r="B6" s="2"/>
      <c r="E6" s="5" t="s">
        <v>22</v>
      </c>
    </row>
    <row r="7" spans="1:5" x14ac:dyDescent="0.3">
      <c r="A7" s="7" t="s">
        <v>23</v>
      </c>
      <c r="B7" s="2" t="s">
        <v>24</v>
      </c>
      <c r="C7" s="3" t="e">
        <f>#REF!/#REF!</f>
        <v>#REF!</v>
      </c>
      <c r="D7" s="4" t="s">
        <v>25</v>
      </c>
    </row>
    <row r="9" spans="1:5" x14ac:dyDescent="0.3">
      <c r="A9" s="7" t="s">
        <v>26</v>
      </c>
      <c r="B9" s="2" t="s">
        <v>27</v>
      </c>
      <c r="C9" s="3" t="e">
        <f>(#REF!+#REF!)/(#REF!+#REF!+#REF!)</f>
        <v>#REF!</v>
      </c>
      <c r="D9" s="4" t="s">
        <v>28</v>
      </c>
    </row>
    <row r="10" spans="1:5" x14ac:dyDescent="0.3">
      <c r="D10" s="8"/>
    </row>
    <row r="11" spans="1:5" x14ac:dyDescent="0.3">
      <c r="A11" s="4" t="s">
        <v>29</v>
      </c>
      <c r="B11" s="5" t="s">
        <v>30</v>
      </c>
      <c r="C11" s="3" t="e">
        <f>(#REF!/#REF!)</f>
        <v>#REF!</v>
      </c>
      <c r="D11" s="8"/>
    </row>
    <row r="12" spans="1:5" x14ac:dyDescent="0.3">
      <c r="D12" s="8"/>
    </row>
    <row r="13" spans="1:5" ht="118.8" x14ac:dyDescent="0.3">
      <c r="A13" s="4" t="s">
        <v>31</v>
      </c>
      <c r="B13" s="5" t="s">
        <v>32</v>
      </c>
      <c r="C13" s="3" t="e">
        <f>(0.05*C56+1.656*C9+3.55*C5)-(1.06*C7+0.33*C11)</f>
        <v>#REF!</v>
      </c>
      <c r="D13" s="9" t="s">
        <v>33</v>
      </c>
    </row>
    <row r="14" spans="1:5" x14ac:dyDescent="0.3">
      <c r="D14" s="10"/>
    </row>
    <row r="15" spans="1:5" x14ac:dyDescent="0.3">
      <c r="A15" s="11" t="s">
        <v>34</v>
      </c>
    </row>
    <row r="17" spans="1:4" x14ac:dyDescent="0.3">
      <c r="A17" s="4" t="s">
        <v>35</v>
      </c>
      <c r="B17" s="5" t="s">
        <v>36</v>
      </c>
      <c r="C17" s="3" t="e">
        <f>(#REF!*365)/#REF!</f>
        <v>#REF!</v>
      </c>
      <c r="D17" s="4" t="s">
        <v>37</v>
      </c>
    </row>
    <row r="20" spans="1:4" x14ac:dyDescent="0.3">
      <c r="A20" s="4" t="s">
        <v>38</v>
      </c>
      <c r="B20" s="12" t="s">
        <v>39</v>
      </c>
      <c r="C20" s="3" t="e">
        <f>(#REF!*365)/#REF!</f>
        <v>#REF!</v>
      </c>
      <c r="D20" s="4" t="s">
        <v>40</v>
      </c>
    </row>
    <row r="23" spans="1:4" x14ac:dyDescent="0.3">
      <c r="A23" s="4" t="s">
        <v>41</v>
      </c>
      <c r="B23" s="5" t="s">
        <v>42</v>
      </c>
      <c r="C23" s="3" t="e">
        <v>#REF!</v>
      </c>
      <c r="D23" s="4" t="s">
        <v>43</v>
      </c>
    </row>
    <row r="25" spans="1:4" ht="27.6" x14ac:dyDescent="0.3">
      <c r="A25" s="11" t="s">
        <v>44</v>
      </c>
    </row>
    <row r="27" spans="1:4" ht="28.8" x14ac:dyDescent="0.3">
      <c r="A27" s="4" t="s">
        <v>45</v>
      </c>
      <c r="B27" s="13" t="s">
        <v>46</v>
      </c>
      <c r="C27" s="3" t="e">
        <f>((#REF!+#REF!)/SUM(#REF!))*100</f>
        <v>#REF!</v>
      </c>
      <c r="D27" s="4" t="s">
        <v>47</v>
      </c>
    </row>
    <row r="31" spans="1:4" x14ac:dyDescent="0.3">
      <c r="A31" s="9" t="s">
        <v>48</v>
      </c>
      <c r="B31" s="12" t="s">
        <v>49</v>
      </c>
      <c r="C31" s="3" t="e">
        <f>((#REF!+#REF!)/#REF!)*100</f>
        <v>#REF!</v>
      </c>
      <c r="D31" s="4" t="s">
        <v>50</v>
      </c>
    </row>
    <row r="32" spans="1:4" ht="28.8" x14ac:dyDescent="0.3">
      <c r="A32" s="4" t="s">
        <v>51</v>
      </c>
    </row>
    <row r="35" spans="1:4" ht="28.8" x14ac:dyDescent="0.3">
      <c r="A35" s="4" t="s">
        <v>52</v>
      </c>
      <c r="B35" s="13" t="s">
        <v>53</v>
      </c>
      <c r="C35" s="3" t="e">
        <f>((#REF!+#REF!)/(#REF!+#REF!))*100</f>
        <v>#REF!</v>
      </c>
      <c r="D35" s="4" t="s">
        <v>54</v>
      </c>
    </row>
    <row r="36" spans="1:4" x14ac:dyDescent="0.3">
      <c r="B36" s="13" t="s">
        <v>55</v>
      </c>
      <c r="C36" s="3" t="e">
        <f>(#REF!/(#REF!+#REF!))*100</f>
        <v>#REF!</v>
      </c>
      <c r="D36" s="4" t="s">
        <v>56</v>
      </c>
    </row>
    <row r="38" spans="1:4" x14ac:dyDescent="0.3">
      <c r="A38" s="54" t="s">
        <v>57</v>
      </c>
      <c r="B38" s="54"/>
    </row>
    <row r="39" spans="1:4" x14ac:dyDescent="0.3">
      <c r="A39" s="14"/>
    </row>
    <row r="40" spans="1:4" x14ac:dyDescent="0.3">
      <c r="A40" s="4" t="s">
        <v>58</v>
      </c>
      <c r="B40" s="12" t="s">
        <v>59</v>
      </c>
      <c r="C40" s="94">
        <f>'Rev Analitica P&amp;L'!AM9</f>
        <v>2.2665973937107627E-3</v>
      </c>
      <c r="D40" s="4" t="s">
        <v>60</v>
      </c>
    </row>
    <row r="41" spans="1:4" x14ac:dyDescent="0.3">
      <c r="D41" s="15" t="s">
        <v>61</v>
      </c>
    </row>
    <row r="43" spans="1:4" x14ac:dyDescent="0.3">
      <c r="A43" s="4" t="s">
        <v>62</v>
      </c>
      <c r="B43" s="12" t="s">
        <v>63</v>
      </c>
      <c r="C43" s="94">
        <f>'Rev Analitica P&amp;L'!AM14</f>
        <v>-0.63844911771280732</v>
      </c>
      <c r="D43" s="4" t="s">
        <v>64</v>
      </c>
    </row>
    <row r="44" spans="1:4" x14ac:dyDescent="0.3">
      <c r="C44" s="16"/>
      <c r="D44" s="17" t="s">
        <v>65</v>
      </c>
    </row>
    <row r="47" spans="1:4" x14ac:dyDescent="0.3">
      <c r="A47" s="4" t="s">
        <v>66</v>
      </c>
      <c r="B47" s="12" t="s">
        <v>67</v>
      </c>
      <c r="C47" s="94">
        <f>('Rev Analitica P&amp;L'!AM13+'Rev Analitica P&amp;L'!AM12+'Rev Analitica P&amp;L'!AM154+'Rev Analitica P&amp;L'!AM180+'Rev Analitica P&amp;L'!AM190)/'Rev Analitica P&amp;L'!AM4</f>
        <v>-1.1869814310964097</v>
      </c>
      <c r="D47" s="4" t="s">
        <v>68</v>
      </c>
    </row>
    <row r="48" spans="1:4" x14ac:dyDescent="0.3">
      <c r="B48" s="12"/>
      <c r="D48" s="15" t="s">
        <v>69</v>
      </c>
    </row>
    <row r="51" spans="1:4" x14ac:dyDescent="0.3">
      <c r="A51" s="9" t="s">
        <v>70</v>
      </c>
      <c r="B51" s="12" t="s">
        <v>71</v>
      </c>
      <c r="C51" s="94">
        <f>('Rev Analitica P&amp;L'!AM13+'Rev Analitica P&amp;L'!AM12+'Rev Analitica P&amp;L'!AM154+'Rev Analitica P&amp;L'!AM180+'Rev Analitica P&amp;L'!AM190)/'Rev analitica BS'!AN5</f>
        <v>-0.95444419735741282</v>
      </c>
      <c r="D51" s="4" t="s">
        <v>72</v>
      </c>
    </row>
    <row r="52" spans="1:4" x14ac:dyDescent="0.3">
      <c r="A52" s="9" t="s">
        <v>73</v>
      </c>
      <c r="B52" s="12" t="s">
        <v>74</v>
      </c>
      <c r="D52" s="15" t="s">
        <v>61</v>
      </c>
    </row>
    <row r="53" spans="1:4" x14ac:dyDescent="0.3">
      <c r="B53" s="12" t="s">
        <v>75</v>
      </c>
    </row>
    <row r="56" spans="1:4" x14ac:dyDescent="0.3">
      <c r="A56" s="18" t="s">
        <v>76</v>
      </c>
      <c r="B56" s="5" t="s">
        <v>77</v>
      </c>
      <c r="C56" s="3">
        <f>C51</f>
        <v>-0.95444419735741282</v>
      </c>
      <c r="D56" s="18" t="s">
        <v>78</v>
      </c>
    </row>
    <row r="57" spans="1:4" x14ac:dyDescent="0.3">
      <c r="B57" s="5" t="s">
        <v>79</v>
      </c>
      <c r="D57" s="15" t="s">
        <v>80</v>
      </c>
    </row>
    <row r="59" spans="1:4" x14ac:dyDescent="0.3">
      <c r="A59" s="19" t="s">
        <v>81</v>
      </c>
    </row>
    <row r="60" spans="1:4" x14ac:dyDescent="0.3">
      <c r="A60" s="5"/>
    </row>
    <row r="61" spans="1:4" ht="27.6" x14ac:dyDescent="0.3">
      <c r="A61" s="5" t="s">
        <v>82</v>
      </c>
      <c r="B61" s="20" t="s">
        <v>83</v>
      </c>
      <c r="C61" s="3" t="e">
        <f>C17+C20</f>
        <v>#REF!</v>
      </c>
      <c r="D61" s="21" t="s">
        <v>84</v>
      </c>
    </row>
    <row r="62" spans="1:4" x14ac:dyDescent="0.3">
      <c r="A62" s="5"/>
      <c r="D62" s="15" t="s">
        <v>85</v>
      </c>
    </row>
    <row r="63" spans="1:4" x14ac:dyDescent="0.3">
      <c r="A63" s="5"/>
    </row>
    <row r="64" spans="1:4" x14ac:dyDescent="0.3">
      <c r="A64" s="5"/>
    </row>
    <row r="65" spans="1:4" x14ac:dyDescent="0.3">
      <c r="A65" s="13" t="s">
        <v>86</v>
      </c>
      <c r="B65" s="20" t="s">
        <v>87</v>
      </c>
      <c r="C65" s="3" t="e">
        <f>C17</f>
        <v>#REF!</v>
      </c>
      <c r="D65" s="4" t="s">
        <v>88</v>
      </c>
    </row>
    <row r="66" spans="1:4" x14ac:dyDescent="0.3">
      <c r="A66" s="5"/>
      <c r="D66" s="18" t="s">
        <v>89</v>
      </c>
    </row>
    <row r="67" spans="1:4" x14ac:dyDescent="0.3">
      <c r="A67" s="5"/>
      <c r="D67" s="18" t="s">
        <v>90</v>
      </c>
    </row>
    <row r="68" spans="1:4" x14ac:dyDescent="0.3">
      <c r="A68" s="5"/>
      <c r="D68" s="18" t="s">
        <v>91</v>
      </c>
    </row>
    <row r="69" spans="1:4" x14ac:dyDescent="0.3">
      <c r="A69" s="5"/>
      <c r="D69" s="15" t="s">
        <v>92</v>
      </c>
    </row>
    <row r="70" spans="1:4" x14ac:dyDescent="0.3">
      <c r="A70" s="5"/>
    </row>
    <row r="71" spans="1:4" x14ac:dyDescent="0.3">
      <c r="A71" s="5"/>
    </row>
    <row r="72" spans="1:4" x14ac:dyDescent="0.3">
      <c r="A72" s="5" t="s">
        <v>93</v>
      </c>
      <c r="B72" s="22" t="s">
        <v>94</v>
      </c>
      <c r="C72" s="3" t="e">
        <f>C61-C65</f>
        <v>#REF!</v>
      </c>
      <c r="D72" s="4" t="s">
        <v>95</v>
      </c>
    </row>
    <row r="73" spans="1:4" x14ac:dyDescent="0.3">
      <c r="D73" s="15" t="s">
        <v>96</v>
      </c>
    </row>
    <row r="76" spans="1:4" ht="21" x14ac:dyDescent="0.3">
      <c r="A76" s="23" t="s">
        <v>97</v>
      </c>
      <c r="B76" s="24"/>
    </row>
    <row r="77" spans="1:4" x14ac:dyDescent="0.3">
      <c r="A77" s="5"/>
    </row>
    <row r="78" spans="1:4" x14ac:dyDescent="0.3">
      <c r="A78" s="5" t="s">
        <v>98</v>
      </c>
      <c r="C78" s="3" t="e">
        <f>#REF!+#REF!</f>
        <v>#REF!</v>
      </c>
    </row>
    <row r="79" spans="1:4" x14ac:dyDescent="0.3">
      <c r="A79" s="5"/>
    </row>
    <row r="80" spans="1:4" x14ac:dyDescent="0.3">
      <c r="A80" s="5" t="s">
        <v>99</v>
      </c>
      <c r="C80" s="3" t="e">
        <f>#REF!+#REF!+#REF!</f>
        <v>#REF!</v>
      </c>
    </row>
    <row r="81" spans="1:3" x14ac:dyDescent="0.3">
      <c r="A81" s="5"/>
    </row>
    <row r="82" spans="1:3" x14ac:dyDescent="0.3">
      <c r="A82" s="13" t="s">
        <v>100</v>
      </c>
      <c r="B82" s="22"/>
      <c r="C82" s="3" t="e">
        <f>C78-C80</f>
        <v>#REF!</v>
      </c>
    </row>
    <row r="83" spans="1:3" x14ac:dyDescent="0.3">
      <c r="A83" s="5"/>
      <c r="B83" s="22"/>
    </row>
    <row r="84" spans="1:3" x14ac:dyDescent="0.3">
      <c r="A84" s="5" t="s">
        <v>101</v>
      </c>
      <c r="B84" s="22"/>
      <c r="C84" s="3" t="e">
        <f>#REF!+#REF!</f>
        <v>#REF!</v>
      </c>
    </row>
    <row r="85" spans="1:3" x14ac:dyDescent="0.3">
      <c r="A85" s="5"/>
    </row>
    <row r="86" spans="1:3" x14ac:dyDescent="0.3">
      <c r="A86" s="5" t="s">
        <v>102</v>
      </c>
      <c r="C86" s="3" t="e">
        <f>#REF!+#REF!</f>
        <v>#REF!</v>
      </c>
    </row>
    <row r="87" spans="1:3" x14ac:dyDescent="0.3">
      <c r="A87" s="13"/>
      <c r="B87" s="22"/>
    </row>
    <row r="88" spans="1:3" x14ac:dyDescent="0.3">
      <c r="A88" s="5" t="s">
        <v>103</v>
      </c>
      <c r="B88" s="22"/>
      <c r="C88" s="3" t="e">
        <f>C84-C86</f>
        <v>#REF!</v>
      </c>
    </row>
    <row r="89" spans="1:3" x14ac:dyDescent="0.3">
      <c r="A89" s="5"/>
      <c r="B89" s="25"/>
    </row>
    <row r="90" spans="1:3" x14ac:dyDescent="0.3">
      <c r="A90" s="13" t="s">
        <v>104</v>
      </c>
      <c r="B90" s="22"/>
      <c r="C90" s="3" t="e">
        <f>C82+C88</f>
        <v>#REF!</v>
      </c>
    </row>
    <row r="91" spans="1:3" x14ac:dyDescent="0.3">
      <c r="A91" s="26"/>
    </row>
    <row r="92" spans="1:3" x14ac:dyDescent="0.3">
      <c r="A92" s="26"/>
    </row>
  </sheetData>
  <mergeCells count="1">
    <mergeCell ref="A38:B3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Rev analitica BS</vt:lpstr>
      <vt:lpstr>Rev Analitica P&amp;L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Quelem Cardoso</dc:creator>
  <cp:lastModifiedBy>Sergio Wuensche</cp:lastModifiedBy>
  <dcterms:created xsi:type="dcterms:W3CDTF">2020-05-25T23:26:19Z</dcterms:created>
  <dcterms:modified xsi:type="dcterms:W3CDTF">2020-07-06T12:09:36Z</dcterms:modified>
</cp:coreProperties>
</file>