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315" windowWidth="18795" windowHeight="11505"/>
  </bookViews>
  <sheets>
    <sheet name="Principal" sheetId="1" r:id="rId1"/>
    <sheet name="sobre" sheetId="4" r:id="rId2"/>
  </sheets>
  <calcPr calcId="145621"/>
</workbook>
</file>

<file path=xl/calcChain.xml><?xml version="1.0" encoding="utf-8"?>
<calcChain xmlns="http://schemas.openxmlformats.org/spreadsheetml/2006/main">
  <c r="H17" i="1"/>
  <c r="G17"/>
  <c r="D19"/>
  <c r="C19"/>
  <c r="H21" l="1"/>
  <c r="G21"/>
  <c r="D21"/>
  <c r="G10" l="1"/>
  <c r="G13"/>
  <c r="D12"/>
  <c r="D13" s="1"/>
  <c r="C12"/>
  <c r="C13" s="1"/>
  <c r="H13" l="1"/>
  <c r="H10"/>
  <c r="C21"/>
</calcChain>
</file>

<file path=xl/sharedStrings.xml><?xml version="1.0" encoding="utf-8"?>
<sst xmlns="http://schemas.openxmlformats.org/spreadsheetml/2006/main" count="33" uniqueCount="12">
  <si>
    <t>Cálculo de Juros Compostos</t>
  </si>
  <si>
    <t>Cálculo da Parcela</t>
  </si>
  <si>
    <t>Taxa:</t>
  </si>
  <si>
    <t>Período:</t>
  </si>
  <si>
    <t>Valor Presente:</t>
  </si>
  <si>
    <t>Parcela:</t>
  </si>
  <si>
    <t>Valor Futuro:</t>
  </si>
  <si>
    <t>Sem Entrada</t>
  </si>
  <si>
    <t>Com Entrada</t>
  </si>
  <si>
    <t>Cálculo da Taxa</t>
  </si>
  <si>
    <t>Cálculo do Valor Presente</t>
  </si>
  <si>
    <t>Cálculo do Período</t>
  </si>
</sst>
</file>

<file path=xl/styles.xml><?xml version="1.0" encoding="utf-8"?>
<styleSheet xmlns="http://schemas.openxmlformats.org/spreadsheetml/2006/main">
  <numFmts count="3">
    <numFmt numFmtId="164" formatCode="&quot;R$ &quot;#,##0.00_);[Red]\(&quot;R$ &quot;#,##0.00\)"/>
    <numFmt numFmtId="165" formatCode="_(&quot;R$ &quot;* #,##0.00_);_(&quot;R$ &quot;* \(#,##0.00\);_(&quot;R$ &quot;* &quot;-&quot;??_);_(@_)"/>
    <numFmt numFmtId="166" formatCode="0.0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i/>
      <u/>
      <sz val="22"/>
      <color rgb="FF0066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double">
        <color theme="4" tint="-0.24994659260841701"/>
      </left>
      <right style="thin">
        <color theme="4" tint="-0.24994659260841701"/>
      </right>
      <top style="dashed">
        <color theme="4" tint="-0.24994659260841701"/>
      </top>
      <bottom style="dashed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ashed">
        <color theme="4" tint="-0.24994659260841701"/>
      </top>
      <bottom style="dashed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dashed">
        <color theme="4" tint="-0.24994659260841701"/>
      </top>
      <bottom style="dashed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dashed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ashed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dashed">
        <color theme="4" tint="-0.24994659260841701"/>
      </top>
      <bottom style="double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/>
      <bottom style="dashed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dashed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/>
      <bottom style="dashed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/>
    <xf numFmtId="164" fontId="0" fillId="2" borderId="2" xfId="0" applyNumberFormat="1" applyFill="1" applyBorder="1"/>
    <xf numFmtId="166" fontId="0" fillId="0" borderId="2" xfId="2" applyNumberFormat="1" applyFont="1" applyBorder="1"/>
    <xf numFmtId="165" fontId="0" fillId="0" borderId="2" xfId="1" applyFont="1" applyBorder="1"/>
    <xf numFmtId="165" fontId="0" fillId="0" borderId="3" xfId="1" applyFont="1" applyBorder="1"/>
    <xf numFmtId="164" fontId="0" fillId="2" borderId="3" xfId="0" applyNumberFormat="1" applyFill="1" applyBorder="1"/>
    <xf numFmtId="165" fontId="0" fillId="2" borderId="5" xfId="1" applyFont="1" applyFill="1" applyBorder="1"/>
    <xf numFmtId="165" fontId="0" fillId="2" borderId="6" xfId="1" applyFont="1" applyFill="1" applyBorder="1"/>
    <xf numFmtId="164" fontId="0" fillId="0" borderId="2" xfId="0" applyNumberFormat="1" applyFill="1" applyBorder="1"/>
    <xf numFmtId="164" fontId="0" fillId="0" borderId="3" xfId="0" applyNumberFormat="1" applyFill="1" applyBorder="1"/>
    <xf numFmtId="164" fontId="0" fillId="2" borderId="2" xfId="1" applyNumberFormat="1" applyFont="1" applyFill="1" applyBorder="1"/>
    <xf numFmtId="164" fontId="0" fillId="2" borderId="3" xfId="1" applyNumberFormat="1" applyFont="1" applyFill="1" applyBorder="1"/>
    <xf numFmtId="166" fontId="0" fillId="2" borderId="3" xfId="2" applyNumberFormat="1" applyFont="1" applyFill="1" applyBorder="1"/>
    <xf numFmtId="166" fontId="0" fillId="2" borderId="2" xfId="2" applyNumberFormat="1" applyFont="1" applyFill="1" applyBorder="1"/>
    <xf numFmtId="166" fontId="0" fillId="0" borderId="3" xfId="2" applyNumberFormat="1" applyFont="1" applyBorder="1"/>
    <xf numFmtId="166" fontId="0" fillId="0" borderId="2" xfId="2" applyNumberFormat="1" applyFont="1" applyFill="1" applyBorder="1"/>
    <xf numFmtId="166" fontId="0" fillId="0" borderId="3" xfId="2" applyNumberFormat="1" applyFont="1" applyFill="1" applyBorder="1"/>
    <xf numFmtId="1" fontId="0" fillId="2" borderId="2" xfId="0" applyNumberFormat="1" applyFill="1" applyBorder="1"/>
    <xf numFmtId="1" fontId="0" fillId="2" borderId="3" xfId="0" applyNumberFormat="1" applyFill="1" applyBorder="1"/>
    <xf numFmtId="0" fontId="0" fillId="4" borderId="0" xfId="0" applyFill="1"/>
    <xf numFmtId="0" fontId="5" fillId="4" borderId="0" xfId="3" applyFill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Hy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showGridLines="0" showRowColHeaders="0" tabSelected="1" workbookViewId="0">
      <selection activeCell="G4" sqref="G4"/>
    </sheetView>
  </sheetViews>
  <sheetFormatPr defaultColWidth="0" defaultRowHeight="15" zeroHeight="1"/>
  <cols>
    <col min="1" max="1" width="2.7109375" customWidth="1"/>
    <col min="2" max="2" width="17.28515625" customWidth="1"/>
    <col min="3" max="3" width="14.140625" customWidth="1"/>
    <col min="4" max="4" width="14.85546875" customWidth="1"/>
    <col min="5" max="5" width="2.85546875" customWidth="1"/>
    <col min="6" max="6" width="17.28515625" customWidth="1"/>
    <col min="7" max="7" width="14.140625" customWidth="1"/>
    <col min="8" max="8" width="14.85546875" customWidth="1"/>
    <col min="9" max="9" width="4.42578125" customWidth="1"/>
    <col min="10" max="10" width="5.7109375" hidden="1" customWidth="1"/>
    <col min="11" max="16384" width="9.140625" hidden="1"/>
  </cols>
  <sheetData>
    <row r="1" spans="1:9"/>
    <row r="2" spans="1:9"/>
    <row r="3" spans="1:9"/>
    <row r="4" spans="1:9"/>
    <row r="5" spans="1:9" ht="28.5">
      <c r="A5" s="31" t="s">
        <v>0</v>
      </c>
      <c r="B5" s="31"/>
      <c r="C5" s="31"/>
      <c r="D5" s="31"/>
      <c r="E5" s="31"/>
      <c r="F5" s="31"/>
      <c r="G5" s="31"/>
      <c r="H5" s="31"/>
      <c r="I5" s="31"/>
    </row>
    <row r="6" spans="1:9" ht="15.75" thickBot="1"/>
    <row r="7" spans="1:9" ht="16.5" thickTop="1" thickBot="1">
      <c r="B7" s="28" t="s">
        <v>1</v>
      </c>
      <c r="C7" s="29"/>
      <c r="D7" s="30"/>
      <c r="F7" s="28" t="s">
        <v>9</v>
      </c>
      <c r="G7" s="29"/>
      <c r="H7" s="30"/>
    </row>
    <row r="8" spans="1:9">
      <c r="B8" s="3"/>
      <c r="C8" s="4" t="s">
        <v>7</v>
      </c>
      <c r="D8" s="5" t="s">
        <v>8</v>
      </c>
      <c r="F8" s="3"/>
      <c r="G8" s="4" t="s">
        <v>7</v>
      </c>
      <c r="H8" s="5" t="s">
        <v>8</v>
      </c>
    </row>
    <row r="9" spans="1:9">
      <c r="B9" s="6" t="s">
        <v>3</v>
      </c>
      <c r="C9" s="1">
        <v>60</v>
      </c>
      <c r="D9" s="2">
        <v>60</v>
      </c>
      <c r="F9" s="6" t="s">
        <v>3</v>
      </c>
      <c r="G9" s="1">
        <v>60</v>
      </c>
      <c r="H9" s="2">
        <v>60</v>
      </c>
    </row>
    <row r="10" spans="1:9">
      <c r="B10" s="6" t="s">
        <v>2</v>
      </c>
      <c r="C10" s="9">
        <v>1.5100000000000001E-2</v>
      </c>
      <c r="D10" s="21">
        <v>1.5100000000000001E-2</v>
      </c>
      <c r="F10" s="6" t="s">
        <v>2</v>
      </c>
      <c r="G10" s="20">
        <f>IF(OR(G9="",G12="",G11=""),"",RATE(G9,G12,G11,,0))</f>
        <v>1.5099798616743895E-2</v>
      </c>
      <c r="H10" s="19">
        <f>IF(OR(H9="",H12="",H11=""),"",RATE(H9,H12,H11,,1))</f>
        <v>1.5709040260130643E-2</v>
      </c>
    </row>
    <row r="11" spans="1:9">
      <c r="B11" s="6" t="s">
        <v>4</v>
      </c>
      <c r="C11" s="10">
        <v>29000</v>
      </c>
      <c r="D11" s="11">
        <v>29000</v>
      </c>
      <c r="F11" s="6" t="s">
        <v>4</v>
      </c>
      <c r="G11" s="10">
        <v>29000</v>
      </c>
      <c r="H11" s="11">
        <v>29000</v>
      </c>
    </row>
    <row r="12" spans="1:9">
      <c r="B12" s="6" t="s">
        <v>5</v>
      </c>
      <c r="C12" s="8">
        <f t="shared" ref="C12" si="0">IF(OR(C9="",C10="",C11=""),"",PMT(C10,C9,C11,,0))</f>
        <v>-738.30381767930805</v>
      </c>
      <c r="D12" s="12">
        <f>IF(OR(D9="",D10="",D11=""),"",PMT(D10,D9,D11,,1))</f>
        <v>-727.32126655433751</v>
      </c>
      <c r="F12" s="6" t="s">
        <v>5</v>
      </c>
      <c r="G12" s="15">
        <v>-738.3</v>
      </c>
      <c r="H12" s="16">
        <v>-738.3</v>
      </c>
    </row>
    <row r="13" spans="1:9" ht="15.75" thickBot="1">
      <c r="B13" s="7" t="s">
        <v>6</v>
      </c>
      <c r="C13" s="13">
        <f t="shared" ref="C13:D13" si="1">IF(OR(C9="",C12=""),"",C9*(-C12))</f>
        <v>44298.22906075848</v>
      </c>
      <c r="D13" s="14">
        <f t="shared" si="1"/>
        <v>43639.275993260249</v>
      </c>
      <c r="F13" s="7" t="s">
        <v>6</v>
      </c>
      <c r="G13" s="13">
        <f t="shared" ref="G13" si="2">IF(OR(G9="",G12=""),"",G9*(-G12))</f>
        <v>44298</v>
      </c>
      <c r="H13" s="14">
        <f t="shared" ref="H13" si="3">IF(OR(H9="",H12=""),"",H9*(-H12))</f>
        <v>44298</v>
      </c>
    </row>
    <row r="14" spans="1:9" ht="16.5" thickTop="1" thickBot="1"/>
    <row r="15" spans="1:9" ht="16.5" thickTop="1" thickBot="1">
      <c r="B15" s="28" t="s">
        <v>10</v>
      </c>
      <c r="C15" s="29"/>
      <c r="D15" s="30"/>
      <c r="F15" s="28" t="s">
        <v>11</v>
      </c>
      <c r="G15" s="29"/>
      <c r="H15" s="30"/>
    </row>
    <row r="16" spans="1:9">
      <c r="B16" s="3"/>
      <c r="C16" s="4" t="s">
        <v>7</v>
      </c>
      <c r="D16" s="5" t="s">
        <v>8</v>
      </c>
      <c r="F16" s="3"/>
      <c r="G16" s="4" t="s">
        <v>7</v>
      </c>
      <c r="H16" s="5" t="s">
        <v>8</v>
      </c>
    </row>
    <row r="17" spans="2:8">
      <c r="B17" s="6" t="s">
        <v>3</v>
      </c>
      <c r="C17" s="1">
        <v>60</v>
      </c>
      <c r="D17" s="2">
        <v>60</v>
      </c>
      <c r="F17" s="6" t="s">
        <v>3</v>
      </c>
      <c r="G17" s="24">
        <f>IF(OR(G18="",G19="",G20=""),"",NPER(G18,G20,G19,,0))</f>
        <v>60.000502943548405</v>
      </c>
      <c r="H17" s="25">
        <f>IF(OR(H18="",H19="",H20=""),"",NPER(H18,H20,H19,,1))</f>
        <v>59.999902026535793</v>
      </c>
    </row>
    <row r="18" spans="2:8">
      <c r="B18" s="6" t="s">
        <v>2</v>
      </c>
      <c r="C18" s="9">
        <v>1.5100000000000001E-2</v>
      </c>
      <c r="D18" s="21">
        <v>1.5100000000000001E-2</v>
      </c>
      <c r="F18" s="6" t="s">
        <v>2</v>
      </c>
      <c r="G18" s="22">
        <v>1.5100000000000001E-2</v>
      </c>
      <c r="H18" s="23">
        <v>1.5709000000000001E-2</v>
      </c>
    </row>
    <row r="19" spans="2:8">
      <c r="B19" s="6" t="s">
        <v>4</v>
      </c>
      <c r="C19" s="17">
        <f>IF(OR(C17="",C18="",C20=""),"",PV(C18,C17,C20,,0))</f>
        <v>28999.850044524534</v>
      </c>
      <c r="D19" s="18">
        <f>IF(OR(D17="",D18="",D20=""),"",PV(D18,D17,D20,,1))</f>
        <v>29437.747780196853</v>
      </c>
      <c r="F19" s="6" t="s">
        <v>4</v>
      </c>
      <c r="G19" s="10">
        <v>29000</v>
      </c>
      <c r="H19" s="11">
        <v>29000</v>
      </c>
    </row>
    <row r="20" spans="2:8">
      <c r="B20" s="6" t="s">
        <v>5</v>
      </c>
      <c r="C20" s="15">
        <v>-738.3</v>
      </c>
      <c r="D20" s="16">
        <v>-738.3</v>
      </c>
      <c r="F20" s="6" t="s">
        <v>5</v>
      </c>
      <c r="G20" s="15">
        <v>-738.3</v>
      </c>
      <c r="H20" s="16">
        <v>-738.3</v>
      </c>
    </row>
    <row r="21" spans="2:8" ht="15.75" thickBot="1">
      <c r="B21" s="7" t="s">
        <v>6</v>
      </c>
      <c r="C21" s="13">
        <f t="shared" ref="C21" si="4">IF(OR(C17="",C20=""),"",C17*(-C20))</f>
        <v>44298</v>
      </c>
      <c r="D21" s="14">
        <f t="shared" ref="D21" si="5">IF(OR(D17="",D20=""),"",D17*(-D20))</f>
        <v>44298</v>
      </c>
      <c r="F21" s="7" t="s">
        <v>6</v>
      </c>
      <c r="G21" s="13">
        <f t="shared" ref="G21" si="6">IF(OR(G17="",G20=""),"",G17*(-G20))</f>
        <v>44298.371323221785</v>
      </c>
      <c r="H21" s="14">
        <f t="shared" ref="H21" si="7">IF(OR(H17="",H20=""),"",H17*(-H20))</f>
        <v>44297.927666191375</v>
      </c>
    </row>
    <row r="22" spans="2:8" ht="15.75" thickTop="1"/>
    <row r="23" spans="2:8"/>
    <row r="24" spans="2:8"/>
  </sheetData>
  <mergeCells count="5">
    <mergeCell ref="B7:D7"/>
    <mergeCell ref="A5:I5"/>
    <mergeCell ref="F7:H7"/>
    <mergeCell ref="B15:D15"/>
    <mergeCell ref="F15:H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7:A16"/>
  <sheetViews>
    <sheetView showGridLines="0" showRowColHeaders="0" workbookViewId="0">
      <selection activeCell="A28" sqref="A1:A28"/>
    </sheetView>
  </sheetViews>
  <sheetFormatPr defaultRowHeight="15"/>
  <cols>
    <col min="1" max="1" width="86.5703125" style="26" bestFit="1" customWidth="1"/>
    <col min="2" max="16384" width="9.140625" style="26"/>
  </cols>
  <sheetData>
    <row r="7" spans="1:1">
      <c r="A7" s="27"/>
    </row>
    <row r="9" spans="1:1">
      <c r="A9" s="27"/>
    </row>
    <row r="16" spans="1:1">
      <c r="A16" s="2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Principal</vt:lpstr>
      <vt:lpstr>sobre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2011-03-21T17:41:37Z</dcterms:created>
  <dcterms:modified xsi:type="dcterms:W3CDTF">2017-08-21T04:04:35Z</dcterms:modified>
</cp:coreProperties>
</file>