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80BA5AE9-59FF-4D02-B4C2-71DC311B76CA}" xr6:coauthVersionLast="41" xr6:coauthVersionMax="41" xr10:uidLastSave="{00000000-0000-0000-0000-000000000000}"/>
  <bookViews>
    <workbookView xWindow="-108" yWindow="-108" windowWidth="19416" windowHeight="10416" xr2:uid="{00000000-000D-0000-FFFF-FFFF00000000}"/>
  </bookViews>
  <sheets>
    <sheet name="Simulador de Cálculo - DIF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H9" i="1" l="1"/>
  <c r="E16" i="1" l="1"/>
  <c r="E17" i="1" l="1"/>
  <c r="E19" i="1" s="1"/>
  <c r="E20" i="1"/>
  <c r="I6" i="1" s="1"/>
  <c r="E18" i="1" l="1"/>
</calcChain>
</file>

<file path=xl/sharedStrings.xml><?xml version="1.0" encoding="utf-8"?>
<sst xmlns="http://schemas.openxmlformats.org/spreadsheetml/2006/main" count="12" uniqueCount="12">
  <si>
    <t>Simulador de Cálculos - Diferencial de Alíquota - Base por Dentro</t>
  </si>
  <si>
    <t>Ano</t>
  </si>
  <si>
    <t>Valor De Mercadoria</t>
  </si>
  <si>
    <t>Alíquota Interestadual / Origem</t>
  </si>
  <si>
    <t>Alíquota Interna / Destino</t>
  </si>
  <si>
    <t xml:space="preserve">Percentual Fundo De Combate A Pobreza </t>
  </si>
  <si>
    <t>Base De Cálculo Por Dentro</t>
  </si>
  <si>
    <t>Diferença Entre As Alíquotas</t>
  </si>
  <si>
    <t>Valor Total Diferencial Alíquotas</t>
  </si>
  <si>
    <t>Valor Estado Origem</t>
  </si>
  <si>
    <t>Valor Estado Destino</t>
  </si>
  <si>
    <t>Valor Fundo De Combate A Pobreza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</si>
</sst>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rial"/>
      <family val="2"/>
    </font>
    <font>
      <sz val="14"/>
      <color rgb="FF000000"/>
      <name val="Arial"/>
      <family val="2"/>
    </font>
    <font>
      <b/>
      <sz val="14"/>
      <color rgb="FF0061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ECE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Protection="1"/>
    <xf numFmtId="9" fontId="0" fillId="0" borderId="0" xfId="2" applyFont="1" applyProtection="1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2" fillId="2" borderId="0" xfId="0" applyFont="1" applyFill="1" applyBorder="1" applyAlignment="1" applyProtection="1">
      <alignment horizontal="center" vertical="center"/>
    </xf>
    <xf numFmtId="9" fontId="0" fillId="0" borderId="0" xfId="2" applyFont="1" applyBorder="1" applyProtection="1"/>
    <xf numFmtId="0" fontId="0" fillId="0" borderId="0" xfId="0" applyBorder="1" applyProtection="1"/>
    <xf numFmtId="164" fontId="0" fillId="0" borderId="0" xfId="1" applyFont="1" applyBorder="1" applyProtection="1"/>
    <xf numFmtId="0" fontId="4" fillId="0" borderId="0" xfId="0" applyFont="1" applyBorder="1" applyAlignment="1" applyProtection="1">
      <alignment horizontal="left"/>
    </xf>
    <xf numFmtId="0" fontId="2" fillId="2" borderId="0" xfId="0" applyFont="1" applyFill="1" applyBorder="1" applyAlignment="1" applyProtection="1">
      <alignment vertical="center"/>
    </xf>
    <xf numFmtId="0" fontId="0" fillId="0" borderId="0" xfId="0" applyAlignment="1" applyProtection="1">
      <alignment horizontal="left"/>
    </xf>
    <xf numFmtId="0" fontId="3" fillId="2" borderId="0" xfId="0" applyFont="1" applyFill="1" applyBorder="1" applyAlignment="1" applyProtection="1">
      <alignment horizontal="left" vertical="center"/>
    </xf>
    <xf numFmtId="0" fontId="5" fillId="0" borderId="0" xfId="0" applyFont="1" applyAlignment="1" applyProtection="1">
      <alignment horizontal="left"/>
    </xf>
    <xf numFmtId="164" fontId="5" fillId="0" borderId="0" xfId="1" applyFont="1" applyProtection="1"/>
    <xf numFmtId="9" fontId="0" fillId="0" borderId="0" xfId="0" applyNumberFormat="1" applyAlignment="1" applyProtection="1">
      <alignment horizontal="right"/>
    </xf>
    <xf numFmtId="0" fontId="0" fillId="0" borderId="0" xfId="0" applyAlignment="1" applyProtection="1">
      <alignment horizontal="right"/>
    </xf>
    <xf numFmtId="164" fontId="0" fillId="0" borderId="0" xfId="0" applyNumberFormat="1" applyAlignment="1" applyProtection="1">
      <alignment horizontal="right"/>
    </xf>
    <xf numFmtId="0" fontId="6" fillId="4" borderId="0" xfId="0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9" fillId="0" borderId="0" xfId="0" applyFont="1" applyBorder="1" applyProtection="1"/>
    <xf numFmtId="0" fontId="7" fillId="0" borderId="1" xfId="0" applyFont="1" applyBorder="1" applyAlignment="1">
      <alignment vertical="center"/>
    </xf>
    <xf numFmtId="0" fontId="10" fillId="0" borderId="0" xfId="0" applyFont="1" applyAlignment="1" applyProtection="1">
      <alignment horizontal="center"/>
    </xf>
    <xf numFmtId="0" fontId="11" fillId="2" borderId="0" xfId="0" applyFont="1" applyFill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right" vertical="center"/>
    </xf>
    <xf numFmtId="164" fontId="10" fillId="0" borderId="2" xfId="1" applyFont="1" applyBorder="1" applyAlignment="1" applyProtection="1">
      <alignment horizontal="right" vertical="center"/>
      <protection locked="0"/>
    </xf>
    <xf numFmtId="9" fontId="10" fillId="0" borderId="2" xfId="2" applyFont="1" applyBorder="1" applyAlignment="1" applyProtection="1">
      <alignment horizontal="right" vertical="center"/>
      <protection locked="0"/>
    </xf>
    <xf numFmtId="164" fontId="12" fillId="3" borderId="1" xfId="1" applyFont="1" applyFill="1" applyBorder="1" applyAlignment="1" applyProtection="1">
      <alignment horizontal="center" vertical="center"/>
    </xf>
    <xf numFmtId="9" fontId="10" fillId="0" borderId="1" xfId="0" applyNumberFormat="1" applyFont="1" applyBorder="1" applyProtection="1"/>
    <xf numFmtId="164" fontId="10" fillId="0" borderId="1" xfId="0" applyNumberFormat="1" applyFont="1" applyBorder="1" applyProtection="1"/>
    <xf numFmtId="164" fontId="10" fillId="0" borderId="1" xfId="1" applyFont="1" applyBorder="1" applyAlignment="1" applyProtection="1">
      <alignment horizontal="right"/>
    </xf>
    <xf numFmtId="164" fontId="10" fillId="0" borderId="1" xfId="1" applyFont="1" applyBorder="1" applyProtection="1"/>
    <xf numFmtId="0" fontId="10" fillId="0" borderId="0" xfId="0" applyFont="1" applyProtection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6100"/>
      <color rgb="FFC6EECE"/>
      <color rgb="FF4983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9</xdr:row>
      <xdr:rowOff>133350</xdr:rowOff>
    </xdr:from>
    <xdr:to>
      <xdr:col>9</xdr:col>
      <xdr:colOff>505657</xdr:colOff>
      <xdr:row>19</xdr:row>
      <xdr:rowOff>9876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B0A09A4-10C7-4467-82DE-1BEB2A901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2114550"/>
          <a:ext cx="5963482" cy="2514951"/>
        </a:xfrm>
        <a:prstGeom prst="rect">
          <a:avLst/>
        </a:prstGeom>
      </xdr:spPr>
    </xdr:pic>
    <xdr:clientData/>
  </xdr:twoCellAnchor>
  <xdr:twoCellAnchor>
    <xdr:from>
      <xdr:col>7</xdr:col>
      <xdr:colOff>285750</xdr:colOff>
      <xdr:row>11</xdr:row>
      <xdr:rowOff>47626</xdr:rowOff>
    </xdr:from>
    <xdr:to>
      <xdr:col>7</xdr:col>
      <xdr:colOff>1304925</xdr:colOff>
      <xdr:row>11</xdr:row>
      <xdr:rowOff>257176</xdr:rowOff>
    </xdr:to>
    <xdr:sp macro="" textlink="$E$13">
      <xdr:nvSpPr>
        <xdr:cNvPr id="20" name="CaixaDeTexto 19">
          <a:extLst>
            <a:ext uri="{FF2B5EF4-FFF2-40B4-BE49-F238E27FC236}">
              <a16:creationId xmlns:a16="http://schemas.microsoft.com/office/drawing/2014/main" id="{29685DFE-6BBF-4E8E-907C-E4F3B5BF19D0}"/>
            </a:ext>
          </a:extLst>
        </xdr:cNvPr>
        <xdr:cNvSpPr txBox="1"/>
      </xdr:nvSpPr>
      <xdr:spPr>
        <a:xfrm>
          <a:off x="9601200" y="2562226"/>
          <a:ext cx="10191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91B34F9-A14B-4957-BAC3-761F2A0E2A77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</a:t>
          </a:fld>
          <a:endParaRPr lang="pt-BR" sz="1100"/>
        </a:p>
      </xdr:txBody>
    </xdr:sp>
    <xdr:clientData/>
  </xdr:twoCellAnchor>
  <xdr:twoCellAnchor>
    <xdr:from>
      <xdr:col>7</xdr:col>
      <xdr:colOff>285750</xdr:colOff>
      <xdr:row>12</xdr:row>
      <xdr:rowOff>28575</xdr:rowOff>
    </xdr:from>
    <xdr:to>
      <xdr:col>7</xdr:col>
      <xdr:colOff>1304925</xdr:colOff>
      <xdr:row>12</xdr:row>
      <xdr:rowOff>228600</xdr:rowOff>
    </xdr:to>
    <xdr:sp macro="" textlink="$E$14">
      <xdr:nvSpPr>
        <xdr:cNvPr id="21" name="CaixaDeTexto 20">
          <a:extLst>
            <a:ext uri="{FF2B5EF4-FFF2-40B4-BE49-F238E27FC236}">
              <a16:creationId xmlns:a16="http://schemas.microsoft.com/office/drawing/2014/main" id="{14CC5D4E-5E51-4D28-8A58-5CAEBF2A6A14}"/>
            </a:ext>
          </a:extLst>
        </xdr:cNvPr>
        <xdr:cNvSpPr txBox="1"/>
      </xdr:nvSpPr>
      <xdr:spPr>
        <a:xfrm>
          <a:off x="9601200" y="2809875"/>
          <a:ext cx="10191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8413EE4-29E9-4A6B-9DF1-4D3C9BD40714}" type="TxLink">
            <a:rPr lang="en-US" sz="1100" b="0" i="0" u="none" strike="noStrike">
              <a:solidFill>
                <a:schemeClr val="tx1"/>
              </a:solidFill>
              <a:latin typeface="Calibri"/>
              <a:cs typeface="Calibri"/>
            </a:rPr>
            <a:pPr algn="l"/>
            <a:t> R$1.204,82 </a:t>
          </a:fld>
          <a:endParaRPr lang="pt-BR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285750</xdr:colOff>
      <xdr:row>13</xdr:row>
      <xdr:rowOff>9526</xdr:rowOff>
    </xdr:from>
    <xdr:to>
      <xdr:col>7</xdr:col>
      <xdr:colOff>1304925</xdr:colOff>
      <xdr:row>13</xdr:row>
      <xdr:rowOff>200026</xdr:rowOff>
    </xdr:to>
    <xdr:sp macro="" textlink="$E$12">
      <xdr:nvSpPr>
        <xdr:cNvPr id="22" name="CaixaDeTexto 21">
          <a:extLst>
            <a:ext uri="{FF2B5EF4-FFF2-40B4-BE49-F238E27FC236}">
              <a16:creationId xmlns:a16="http://schemas.microsoft.com/office/drawing/2014/main" id="{6DEF9CE6-62EB-46AA-97D7-B5DBF042502A}"/>
            </a:ext>
          </a:extLst>
        </xdr:cNvPr>
        <xdr:cNvSpPr txBox="1"/>
      </xdr:nvSpPr>
      <xdr:spPr>
        <a:xfrm>
          <a:off x="9601200" y="3057526"/>
          <a:ext cx="101917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68FE9333-C63F-4A21-9D22-EEA11F16B540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17%</a:t>
          </a:fld>
          <a:endParaRPr lang="pt-BR" sz="1100"/>
        </a:p>
      </xdr:txBody>
    </xdr:sp>
    <xdr:clientData/>
  </xdr:twoCellAnchor>
  <xdr:twoCellAnchor>
    <xdr:from>
      <xdr:col>7</xdr:col>
      <xdr:colOff>295275</xdr:colOff>
      <xdr:row>13</xdr:row>
      <xdr:rowOff>238126</xdr:rowOff>
    </xdr:from>
    <xdr:to>
      <xdr:col>8</xdr:col>
      <xdr:colOff>276225</xdr:colOff>
      <xdr:row>14</xdr:row>
      <xdr:rowOff>152400</xdr:rowOff>
    </xdr:to>
    <xdr:sp macro="" textlink="$E$11">
      <xdr:nvSpPr>
        <xdr:cNvPr id="24" name="CaixaDeTexto 23">
          <a:extLst>
            <a:ext uri="{FF2B5EF4-FFF2-40B4-BE49-F238E27FC236}">
              <a16:creationId xmlns:a16="http://schemas.microsoft.com/office/drawing/2014/main" id="{D9E6BCEA-035D-4206-BAD7-2B33369F1D1A}"/>
            </a:ext>
          </a:extLst>
        </xdr:cNvPr>
        <xdr:cNvSpPr txBox="1"/>
      </xdr:nvSpPr>
      <xdr:spPr>
        <a:xfrm>
          <a:off x="9610725" y="3286126"/>
          <a:ext cx="1514475" cy="1809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333E26E8-579D-44C4-B739-E89148CB5640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7%</a:t>
          </a:fld>
          <a:endParaRPr lang="pt-BR" sz="1100"/>
        </a:p>
      </xdr:txBody>
    </xdr:sp>
    <xdr:clientData/>
  </xdr:twoCellAnchor>
  <xdr:twoCellAnchor>
    <xdr:from>
      <xdr:col>7</xdr:col>
      <xdr:colOff>295275</xdr:colOff>
      <xdr:row>14</xdr:row>
      <xdr:rowOff>200026</xdr:rowOff>
    </xdr:from>
    <xdr:to>
      <xdr:col>8</xdr:col>
      <xdr:colOff>276225</xdr:colOff>
      <xdr:row>15</xdr:row>
      <xdr:rowOff>142875</xdr:rowOff>
    </xdr:to>
    <xdr:sp macro="" textlink="$H$9">
      <xdr:nvSpPr>
        <xdr:cNvPr id="25" name="CaixaDeTexto 24">
          <a:extLst>
            <a:ext uri="{FF2B5EF4-FFF2-40B4-BE49-F238E27FC236}">
              <a16:creationId xmlns:a16="http://schemas.microsoft.com/office/drawing/2014/main" id="{79305BA1-8D9A-4EE8-AA88-2DA40713589D}"/>
            </a:ext>
          </a:extLst>
        </xdr:cNvPr>
        <xdr:cNvSpPr txBox="1"/>
      </xdr:nvSpPr>
      <xdr:spPr>
        <a:xfrm>
          <a:off x="9610725" y="3514726"/>
          <a:ext cx="1514475" cy="1809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CA5DC44-9509-489D-86B9-4CBDE3D6FF9B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0,00</a:t>
          </a:fld>
          <a:endParaRPr lang="en-US" sz="1100"/>
        </a:p>
      </xdr:txBody>
    </xdr:sp>
    <xdr:clientData/>
  </xdr:twoCellAnchor>
  <xdr:twoCellAnchor>
    <xdr:from>
      <xdr:col>7</xdr:col>
      <xdr:colOff>295275</xdr:colOff>
      <xdr:row>15</xdr:row>
      <xdr:rowOff>180975</xdr:rowOff>
    </xdr:from>
    <xdr:to>
      <xdr:col>7</xdr:col>
      <xdr:colOff>1314450</xdr:colOff>
      <xdr:row>16</xdr:row>
      <xdr:rowOff>123825</xdr:rowOff>
    </xdr:to>
    <xdr:sp macro="" textlink="$E$19">
      <xdr:nvSpPr>
        <xdr:cNvPr id="26" name="CaixaDeTexto 25">
          <a:extLst>
            <a:ext uri="{FF2B5EF4-FFF2-40B4-BE49-F238E27FC236}">
              <a16:creationId xmlns:a16="http://schemas.microsoft.com/office/drawing/2014/main" id="{79A16110-16A4-4DD0-960B-B9B33D129109}"/>
            </a:ext>
          </a:extLst>
        </xdr:cNvPr>
        <xdr:cNvSpPr txBox="1"/>
      </xdr:nvSpPr>
      <xdr:spPr>
        <a:xfrm>
          <a:off x="9610725" y="3733800"/>
          <a:ext cx="10191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EA5D296A-6A73-4A22-981E-5E8AB53B3E13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R$120,48 </a:t>
          </a:fld>
          <a:endParaRPr lang="pt-BR" sz="1100"/>
        </a:p>
      </xdr:txBody>
    </xdr:sp>
    <xdr:clientData/>
  </xdr:twoCellAnchor>
  <xdr:twoCellAnchor>
    <xdr:from>
      <xdr:col>7</xdr:col>
      <xdr:colOff>295275</xdr:colOff>
      <xdr:row>16</xdr:row>
      <xdr:rowOff>152400</xdr:rowOff>
    </xdr:from>
    <xdr:to>
      <xdr:col>7</xdr:col>
      <xdr:colOff>1314450</xdr:colOff>
      <xdr:row>17</xdr:row>
      <xdr:rowOff>95250</xdr:rowOff>
    </xdr:to>
    <xdr:sp macro="" textlink="$E$18">
      <xdr:nvSpPr>
        <xdr:cNvPr id="27" name="CaixaDeTexto 26">
          <a:extLst>
            <a:ext uri="{FF2B5EF4-FFF2-40B4-BE49-F238E27FC236}">
              <a16:creationId xmlns:a16="http://schemas.microsoft.com/office/drawing/2014/main" id="{FDF9BB31-B5B3-470D-A646-3DD1BE6A6C3E}"/>
            </a:ext>
          </a:extLst>
        </xdr:cNvPr>
        <xdr:cNvSpPr txBox="1"/>
      </xdr:nvSpPr>
      <xdr:spPr>
        <a:xfrm>
          <a:off x="9610725" y="3971925"/>
          <a:ext cx="10191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EEFA9C86-CC6A-4848-B3B7-E3F9C8D7C7A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R$                                  0,00</a:t>
          </a:fld>
          <a:endParaRPr lang="pt-BR" sz="1100"/>
        </a:p>
      </xdr:txBody>
    </xdr:sp>
    <xdr:clientData/>
  </xdr:twoCellAnchor>
  <xdr:twoCellAnchor>
    <xdr:from>
      <xdr:col>7</xdr:col>
      <xdr:colOff>295275</xdr:colOff>
      <xdr:row>17</xdr:row>
      <xdr:rowOff>123825</xdr:rowOff>
    </xdr:from>
    <xdr:to>
      <xdr:col>7</xdr:col>
      <xdr:colOff>1314450</xdr:colOff>
      <xdr:row>18</xdr:row>
      <xdr:rowOff>66675</xdr:rowOff>
    </xdr:to>
    <xdr:sp macro="" textlink="$I$6">
      <xdr:nvSpPr>
        <xdr:cNvPr id="28" name="CaixaDeTexto 27">
          <a:extLst>
            <a:ext uri="{FF2B5EF4-FFF2-40B4-BE49-F238E27FC236}">
              <a16:creationId xmlns:a16="http://schemas.microsoft.com/office/drawing/2014/main" id="{4DBF2BD1-CF00-442C-B2EA-3668E30450A3}"/>
            </a:ext>
          </a:extLst>
        </xdr:cNvPr>
        <xdr:cNvSpPr txBox="1"/>
      </xdr:nvSpPr>
      <xdr:spPr>
        <a:xfrm>
          <a:off x="9610725" y="4210050"/>
          <a:ext cx="10191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DCE5B658-DA1A-4D8E-802B-A82FF078EB0E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R$ 0,00</a:t>
          </a:fld>
          <a:endParaRPr lang="pt-BR" sz="1100"/>
        </a:p>
      </xdr:txBody>
    </xdr:sp>
    <xdr:clientData/>
  </xdr:twoCellAnchor>
  <xdr:twoCellAnchor editAs="oneCell">
    <xdr:from>
      <xdr:col>6</xdr:col>
      <xdr:colOff>2494755</xdr:colOff>
      <xdr:row>5</xdr:row>
      <xdr:rowOff>285750</xdr:rowOff>
    </xdr:from>
    <xdr:to>
      <xdr:col>7</xdr:col>
      <xdr:colOff>253401</xdr:colOff>
      <xdr:row>9</xdr:row>
      <xdr:rowOff>9525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387EF4CF-C65B-46A3-990F-2D1B16AE2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8380" y="1333500"/>
          <a:ext cx="930471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0"/>
  <sheetViews>
    <sheetView showGridLines="0" tabSelected="1" workbookViewId="0">
      <selection activeCell="H21" sqref="H21"/>
    </sheetView>
  </sheetViews>
  <sheetFormatPr defaultColWidth="9.109375" defaultRowHeight="18" customHeight="1" x14ac:dyDescent="0.35"/>
  <cols>
    <col min="1" max="1" width="5" style="1" customWidth="1"/>
    <col min="2" max="2" width="9.109375" style="2"/>
    <col min="3" max="3" width="9.109375" style="1" hidden="1" customWidth="1"/>
    <col min="4" max="4" width="50.5546875" style="1" customWidth="1"/>
    <col min="5" max="5" width="22.5546875" style="33" customWidth="1"/>
    <col min="6" max="6" width="10.109375" style="1" customWidth="1"/>
    <col min="7" max="7" width="47.5546875" style="1" customWidth="1"/>
    <col min="8" max="8" width="23" style="11" customWidth="1"/>
    <col min="9" max="9" width="10.6640625" style="1" customWidth="1"/>
    <col min="10" max="16384" width="9.109375" style="1"/>
  </cols>
  <sheetData>
    <row r="1" spans="2:15" ht="10.5" customHeight="1" x14ac:dyDescent="0.35">
      <c r="B1" s="4"/>
      <c r="C1" s="4"/>
      <c r="D1" s="4"/>
      <c r="E1" s="23"/>
      <c r="F1" s="4"/>
      <c r="G1" s="4"/>
      <c r="I1" s="3"/>
      <c r="J1" s="3"/>
      <c r="K1" s="3"/>
      <c r="L1" s="3"/>
      <c r="M1" s="3"/>
      <c r="N1" s="3"/>
      <c r="O1" s="3"/>
    </row>
    <row r="2" spans="2:15" ht="18" customHeight="1" x14ac:dyDescent="0.35">
      <c r="B2" s="4"/>
      <c r="C2" s="4"/>
      <c r="D2" s="4"/>
      <c r="E2" s="23"/>
      <c r="F2" s="4"/>
      <c r="G2" s="4"/>
      <c r="I2" s="3"/>
      <c r="J2" s="3"/>
      <c r="K2" s="3"/>
      <c r="L2" s="3"/>
      <c r="M2" s="3"/>
      <c r="N2" s="3"/>
      <c r="O2" s="3"/>
    </row>
    <row r="3" spans="2:15" ht="18" customHeight="1" x14ac:dyDescent="0.35">
      <c r="B3" s="4"/>
      <c r="C3" s="4"/>
      <c r="D3" s="4"/>
      <c r="E3" s="23"/>
      <c r="F3" s="4"/>
      <c r="G3" s="4"/>
      <c r="I3" s="3"/>
      <c r="J3" s="3"/>
      <c r="K3" s="3"/>
      <c r="L3" s="3"/>
      <c r="M3" s="3"/>
      <c r="N3" s="3"/>
      <c r="O3" s="3"/>
    </row>
    <row r="4" spans="2:15" ht="18" customHeight="1" x14ac:dyDescent="0.35">
      <c r="B4" s="4"/>
      <c r="C4" s="4"/>
      <c r="D4" s="4"/>
      <c r="E4" s="23"/>
      <c r="F4" s="4"/>
      <c r="G4" s="4"/>
      <c r="I4" s="3"/>
      <c r="J4" s="3"/>
      <c r="K4" s="3"/>
      <c r="L4" s="3"/>
      <c r="M4" s="3"/>
      <c r="N4" s="3"/>
      <c r="O4" s="3"/>
    </row>
    <row r="5" spans="2:15" ht="18" customHeight="1" x14ac:dyDescent="0.35">
      <c r="B5" s="4"/>
      <c r="C5" s="4"/>
      <c r="D5" s="4"/>
      <c r="E5" s="23"/>
      <c r="F5" s="4"/>
      <c r="G5" s="4"/>
      <c r="I5" s="3"/>
      <c r="J5" s="3"/>
      <c r="K5" s="3"/>
      <c r="L5" s="3"/>
      <c r="M5" s="3"/>
      <c r="N5" s="3"/>
      <c r="O5" s="3"/>
    </row>
    <row r="6" spans="2:15" ht="33" customHeight="1" x14ac:dyDescent="0.3">
      <c r="B6" s="18" t="s">
        <v>0</v>
      </c>
      <c r="C6" s="18"/>
      <c r="D6" s="18"/>
      <c r="E6" s="18"/>
      <c r="F6" s="18"/>
      <c r="G6" s="10"/>
      <c r="H6" s="12"/>
      <c r="I6" s="14" t="str">
        <f>IF(E20=0,"R$ 0,00",E20)</f>
        <v>R$ 0,00</v>
      </c>
    </row>
    <row r="7" spans="2:15" ht="9.75" customHeight="1" x14ac:dyDescent="0.3">
      <c r="B7" s="5"/>
      <c r="C7" s="5"/>
      <c r="D7" s="5"/>
      <c r="E7" s="24"/>
      <c r="F7" s="5"/>
      <c r="G7" s="5"/>
      <c r="H7" s="12"/>
    </row>
    <row r="8" spans="2:15" ht="9.75" customHeight="1" x14ac:dyDescent="0.3">
      <c r="B8" s="5"/>
      <c r="C8" s="5"/>
      <c r="D8" s="5"/>
      <c r="E8" s="24"/>
      <c r="F8" s="5"/>
      <c r="G8" s="5"/>
      <c r="H8" s="12"/>
    </row>
    <row r="9" spans="2:15" ht="21" customHeight="1" x14ac:dyDescent="0.3">
      <c r="D9" s="19" t="s">
        <v>1</v>
      </c>
      <c r="E9" s="25">
        <v>2022</v>
      </c>
      <c r="F9" s="7"/>
      <c r="G9" s="8"/>
      <c r="H9" s="13" t="str">
        <f>IF(E9&lt;2019,"80%","0,00")</f>
        <v>0,00</v>
      </c>
    </row>
    <row r="10" spans="2:15" ht="21" customHeight="1" x14ac:dyDescent="0.3">
      <c r="D10" s="19" t="s">
        <v>2</v>
      </c>
      <c r="E10" s="26">
        <v>1000</v>
      </c>
      <c r="F10" s="7"/>
      <c r="G10" s="8"/>
    </row>
    <row r="11" spans="2:15" ht="21" customHeight="1" x14ac:dyDescent="0.3">
      <c r="D11" s="19" t="s">
        <v>3</v>
      </c>
      <c r="E11" s="27">
        <v>7.0000000000000007E-2</v>
      </c>
    </row>
    <row r="12" spans="2:15" ht="21" customHeight="1" x14ac:dyDescent="0.3">
      <c r="D12" s="19" t="s">
        <v>4</v>
      </c>
      <c r="E12" s="27">
        <v>0.17</v>
      </c>
      <c r="J12" s="15"/>
      <c r="K12" s="16"/>
    </row>
    <row r="13" spans="2:15" ht="21" customHeight="1" x14ac:dyDescent="0.3">
      <c r="D13" s="19" t="s">
        <v>5</v>
      </c>
      <c r="E13" s="27"/>
      <c r="J13" s="17"/>
      <c r="K13" s="16"/>
    </row>
    <row r="14" spans="2:15" ht="21" customHeight="1" x14ac:dyDescent="0.3">
      <c r="D14" s="20" t="s">
        <v>6</v>
      </c>
      <c r="E14" s="28">
        <f>E10/(1-((E12+E13)/100%))</f>
        <v>1204.8192771084339</v>
      </c>
      <c r="J14" s="15"/>
      <c r="K14" s="16"/>
    </row>
    <row r="15" spans="2:15" x14ac:dyDescent="0.35">
      <c r="B15" s="6"/>
      <c r="C15" s="7"/>
      <c r="D15" s="21"/>
      <c r="E15" s="9"/>
      <c r="F15" s="7"/>
    </row>
    <row r="16" spans="2:15" ht="21" customHeight="1" x14ac:dyDescent="0.35">
      <c r="D16" s="22" t="s">
        <v>7</v>
      </c>
      <c r="E16" s="29">
        <f>E12-E11</f>
        <v>0.1</v>
      </c>
    </row>
    <row r="17" spans="4:8" ht="21" customHeight="1" x14ac:dyDescent="0.35">
      <c r="D17" s="22" t="s">
        <v>8</v>
      </c>
      <c r="E17" s="30">
        <f>E14*E16</f>
        <v>120.48192771084339</v>
      </c>
    </row>
    <row r="18" spans="4:8" ht="21" customHeight="1" x14ac:dyDescent="0.35">
      <c r="D18" s="22" t="s">
        <v>9</v>
      </c>
      <c r="E18" s="31" t="str">
        <f>IF(E9&lt;2019,E17*20%,"R$                                  0,00")</f>
        <v>R$                                  0,00</v>
      </c>
      <c r="H18" s="11">
        <v>12</v>
      </c>
    </row>
    <row r="19" spans="4:8" ht="21" customHeight="1" x14ac:dyDescent="0.35">
      <c r="D19" s="22" t="s">
        <v>10</v>
      </c>
      <c r="E19" s="32">
        <f>IF(E9&gt;2018,E17,E17*80%)</f>
        <v>120.48192771084339</v>
      </c>
    </row>
    <row r="20" spans="4:8" ht="21" customHeight="1" x14ac:dyDescent="0.35">
      <c r="D20" s="22" t="s">
        <v>11</v>
      </c>
      <c r="E20" s="30">
        <f>E14*E13</f>
        <v>0</v>
      </c>
    </row>
  </sheetData>
  <mergeCells count="4">
    <mergeCell ref="B6:F6"/>
    <mergeCell ref="J12:K12"/>
    <mergeCell ref="J13:K13"/>
    <mergeCell ref="J14:K14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 de Cálculo - DIFAL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milgoncalves120122</cp:lastModifiedBy>
  <dcterms:created xsi:type="dcterms:W3CDTF">2018-05-08T02:39:24Z</dcterms:created>
  <dcterms:modified xsi:type="dcterms:W3CDTF">2022-01-18T15:43:27Z</dcterms:modified>
</cp:coreProperties>
</file>