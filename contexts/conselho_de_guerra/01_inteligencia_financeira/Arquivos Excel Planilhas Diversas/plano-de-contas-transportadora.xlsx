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EMSA_Backup 02042018\Desktop\CONCILIAÇÕES FEMSA LOGISTICA\"/>
    </mc:Choice>
  </mc:AlternateContent>
  <bookViews>
    <workbookView xWindow="0" yWindow="0" windowWidth="21600" windowHeight="8850" tabRatio="844"/>
  </bookViews>
  <sheets>
    <sheet name="CONTROLE CONCILIAÇÃO " sheetId="8" r:id="rId1"/>
    <sheet name="STATUS CONCILIAÇÃO_012020" sheetId="6" r:id="rId2"/>
  </sheets>
  <definedNames>
    <definedName name="_xlnm._FilterDatabase" localSheetId="0" hidden="1">'CONTROLE CONCILIAÇÃO '!$A$4:$AI$532</definedName>
    <definedName name="_xlnm._FilterDatabase" localSheetId="1" hidden="1">'STATUS CONCILIAÇÃO_012020'!$B$13:$M$175</definedName>
    <definedName name="_xlnm.Print_Area" localSheetId="1">'STATUS CONCILIAÇÃO_012020'!$B$2:$O$22</definedName>
  </definedNames>
  <calcPr calcId="152511"/>
</workbook>
</file>

<file path=xl/calcChain.xml><?xml version="1.0" encoding="utf-8"?>
<calcChain xmlns="http://schemas.openxmlformats.org/spreadsheetml/2006/main">
  <c r="L131" i="6" l="1"/>
  <c r="L130" i="6"/>
  <c r="L129" i="6"/>
  <c r="L126" i="6"/>
  <c r="L125" i="6"/>
  <c r="L124" i="6"/>
  <c r="L123" i="6"/>
  <c r="L122" i="6"/>
  <c r="L121" i="6"/>
  <c r="L120" i="6"/>
  <c r="L117" i="6"/>
  <c r="L116" i="6"/>
  <c r="L115" i="6"/>
  <c r="L107" i="6"/>
  <c r="L106" i="6"/>
  <c r="L105" i="6"/>
  <c r="L5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4" i="6"/>
  <c r="L119" i="6" l="1"/>
  <c r="M119" i="6" s="1"/>
  <c r="L118" i="6"/>
  <c r="M118" i="6" s="1"/>
  <c r="L114" i="6"/>
  <c r="M114" i="6" s="1"/>
  <c r="L113" i="6"/>
  <c r="M113" i="6" s="1"/>
  <c r="L112" i="6"/>
  <c r="M112" i="6" s="1"/>
  <c r="L111" i="6"/>
  <c r="M111" i="6" s="1"/>
  <c r="L110" i="6"/>
  <c r="M110" i="6" s="1"/>
  <c r="L104" i="6"/>
  <c r="M104" i="6" s="1"/>
  <c r="L103" i="6"/>
  <c r="M103" i="6" s="1"/>
  <c r="L102" i="6"/>
  <c r="M102" i="6" s="1"/>
  <c r="L101" i="6"/>
  <c r="M101" i="6" s="1"/>
  <c r="L100" i="6"/>
  <c r="M100" i="6" s="1"/>
  <c r="L99" i="6"/>
  <c r="M99" i="6" s="1"/>
  <c r="L59" i="6" l="1"/>
  <c r="M59" i="6" s="1"/>
  <c r="L60" i="6"/>
  <c r="M60" i="6" s="1"/>
  <c r="L61" i="6"/>
  <c r="M61" i="6" s="1"/>
  <c r="L62" i="6"/>
  <c r="M62" i="6" s="1"/>
  <c r="L63" i="6"/>
  <c r="M63" i="6" s="1"/>
  <c r="L64" i="6"/>
  <c r="M64" i="6" s="1"/>
  <c r="L65" i="6"/>
  <c r="M65" i="6" s="1"/>
  <c r="L66" i="6"/>
  <c r="M66" i="6" s="1"/>
  <c r="L55" i="6" l="1"/>
  <c r="M55" i="6" s="1"/>
  <c r="L53" i="6"/>
  <c r="M53" i="6" s="1"/>
  <c r="L138" i="6" l="1"/>
  <c r="M138" i="6" s="1"/>
  <c r="L38" i="6" l="1"/>
  <c r="L175" i="6" l="1"/>
  <c r="M175" i="6" s="1"/>
  <c r="L174" i="6"/>
  <c r="M174" i="6" s="1"/>
  <c r="L173" i="6"/>
  <c r="M173" i="6" s="1"/>
  <c r="L172" i="6"/>
  <c r="M172" i="6" s="1"/>
  <c r="L171" i="6"/>
  <c r="M171" i="6" s="1"/>
  <c r="L170" i="6"/>
  <c r="M170" i="6" s="1"/>
  <c r="L169" i="6"/>
  <c r="M169" i="6" s="1"/>
  <c r="L168" i="6"/>
  <c r="M168" i="6" s="1"/>
  <c r="L167" i="6"/>
  <c r="M167" i="6" s="1"/>
  <c r="L166" i="6"/>
  <c r="M166" i="6" s="1"/>
  <c r="L165" i="6"/>
  <c r="M165" i="6" s="1"/>
  <c r="L164" i="6"/>
  <c r="M164" i="6" s="1"/>
  <c r="L163" i="6"/>
  <c r="M163" i="6" s="1"/>
  <c r="L162" i="6"/>
  <c r="M162" i="6" s="1"/>
  <c r="L161" i="6"/>
  <c r="M161" i="6" s="1"/>
  <c r="L160" i="6"/>
  <c r="M160" i="6" s="1"/>
  <c r="L159" i="6"/>
  <c r="M159" i="6" s="1"/>
  <c r="L158" i="6"/>
  <c r="M158" i="6" s="1"/>
  <c r="L157" i="6"/>
  <c r="M157" i="6" s="1"/>
  <c r="L156" i="6"/>
  <c r="M156" i="6" s="1"/>
  <c r="L155" i="6"/>
  <c r="M155" i="6" s="1"/>
  <c r="L154" i="6"/>
  <c r="M154" i="6" s="1"/>
  <c r="L153" i="6"/>
  <c r="M153" i="6" s="1"/>
  <c r="L152" i="6"/>
  <c r="M152" i="6" s="1"/>
  <c r="L151" i="6"/>
  <c r="M151" i="6" s="1"/>
  <c r="L150" i="6"/>
  <c r="M150" i="6" s="1"/>
  <c r="L149" i="6"/>
  <c r="M149" i="6" s="1"/>
  <c r="L148" i="6"/>
  <c r="M148" i="6" s="1"/>
  <c r="L147" i="6"/>
  <c r="M147" i="6" s="1"/>
  <c r="L146" i="6"/>
  <c r="M146" i="6" s="1"/>
  <c r="L145" i="6"/>
  <c r="M145" i="6" s="1"/>
  <c r="L144" i="6"/>
  <c r="M144" i="6" s="1"/>
  <c r="L143" i="6"/>
  <c r="M143" i="6" s="1"/>
  <c r="L142" i="6"/>
  <c r="M142" i="6" s="1"/>
  <c r="L141" i="6"/>
  <c r="M141" i="6" s="1"/>
  <c r="L140" i="6"/>
  <c r="M140" i="6" s="1"/>
  <c r="L139" i="6"/>
  <c r="M139" i="6" s="1"/>
  <c r="L137" i="6"/>
  <c r="M137" i="6" s="1"/>
  <c r="L136" i="6"/>
  <c r="M136" i="6" s="1"/>
  <c r="L135" i="6"/>
  <c r="M135" i="6" s="1"/>
  <c r="L134" i="6"/>
  <c r="M134" i="6" s="1"/>
  <c r="L133" i="6"/>
  <c r="M133" i="6" s="1"/>
  <c r="L132" i="6"/>
  <c r="M132" i="6" s="1"/>
  <c r="M131" i="6"/>
  <c r="M130" i="6"/>
  <c r="M129" i="6"/>
  <c r="L128" i="6"/>
  <c r="M128" i="6" s="1"/>
  <c r="L127" i="6"/>
  <c r="M127" i="6" s="1"/>
  <c r="M126" i="6"/>
  <c r="M125" i="6"/>
  <c r="M124" i="6"/>
  <c r="M123" i="6"/>
  <c r="M122" i="6"/>
  <c r="M121" i="6"/>
  <c r="M120" i="6"/>
  <c r="M117" i="6"/>
  <c r="M116" i="6"/>
  <c r="M115" i="6"/>
  <c r="L109" i="6"/>
  <c r="M109" i="6" s="1"/>
  <c r="L108" i="6"/>
  <c r="M108" i="6" s="1"/>
  <c r="M107" i="6"/>
  <c r="M106" i="6"/>
  <c r="M105" i="6"/>
  <c r="L98" i="6"/>
  <c r="M98" i="6" s="1"/>
  <c r="L97" i="6"/>
  <c r="M97" i="6" s="1"/>
  <c r="L96" i="6"/>
  <c r="M96" i="6" s="1"/>
  <c r="L95" i="6"/>
  <c r="M95" i="6" s="1"/>
  <c r="L94" i="6"/>
  <c r="M94" i="6" s="1"/>
  <c r="L93" i="6"/>
  <c r="M93" i="6" s="1"/>
  <c r="L92" i="6"/>
  <c r="M92" i="6" s="1"/>
  <c r="L91" i="6"/>
  <c r="M91" i="6" s="1"/>
  <c r="L90" i="6"/>
  <c r="M90" i="6" s="1"/>
  <c r="L89" i="6"/>
  <c r="M89" i="6" s="1"/>
  <c r="L88" i="6"/>
  <c r="M88" i="6" s="1"/>
  <c r="L87" i="6"/>
  <c r="M87" i="6" s="1"/>
  <c r="L86" i="6"/>
  <c r="M86" i="6" s="1"/>
  <c r="L85" i="6"/>
  <c r="M85" i="6" s="1"/>
  <c r="L84" i="6"/>
  <c r="M84" i="6" s="1"/>
  <c r="L83" i="6"/>
  <c r="M83" i="6" s="1"/>
  <c r="L82" i="6"/>
  <c r="M82" i="6" s="1"/>
  <c r="L81" i="6"/>
  <c r="M81" i="6" s="1"/>
  <c r="L80" i="6"/>
  <c r="M80" i="6" s="1"/>
  <c r="L79" i="6"/>
  <c r="M79" i="6" s="1"/>
  <c r="L78" i="6"/>
  <c r="M78" i="6" s="1"/>
  <c r="L77" i="6"/>
  <c r="M77" i="6" s="1"/>
  <c r="L76" i="6"/>
  <c r="M76" i="6" s="1"/>
  <c r="L75" i="6"/>
  <c r="M75" i="6" s="1"/>
  <c r="L74" i="6"/>
  <c r="M74" i="6" s="1"/>
  <c r="L73" i="6"/>
  <c r="M73" i="6" s="1"/>
  <c r="L72" i="6"/>
  <c r="M72" i="6" s="1"/>
  <c r="L71" i="6"/>
  <c r="M71" i="6" s="1"/>
  <c r="L70" i="6"/>
  <c r="M70" i="6" s="1"/>
  <c r="L69" i="6"/>
  <c r="M69" i="6" s="1"/>
  <c r="L68" i="6"/>
  <c r="M68" i="6" s="1"/>
  <c r="L67" i="6"/>
  <c r="M67" i="6" s="1"/>
  <c r="L58" i="6"/>
  <c r="M58" i="6" s="1"/>
  <c r="L57" i="6"/>
  <c r="M57" i="6" s="1"/>
  <c r="L56" i="6"/>
  <c r="M56" i="6" s="1"/>
  <c r="M54" i="6"/>
  <c r="L52" i="6"/>
  <c r="M52" i="6" s="1"/>
  <c r="L51" i="6"/>
  <c r="M51" i="6" s="1"/>
  <c r="L50" i="6"/>
  <c r="M50" i="6" s="1"/>
  <c r="L49" i="6"/>
  <c r="M49" i="6" s="1"/>
  <c r="L48" i="6"/>
  <c r="M48" i="6" s="1"/>
  <c r="L47" i="6"/>
  <c r="M47" i="6" s="1"/>
  <c r="L46" i="6"/>
  <c r="M46" i="6" s="1"/>
  <c r="L45" i="6"/>
  <c r="M45" i="6" s="1"/>
  <c r="L44" i="6"/>
  <c r="M44" i="6" s="1"/>
  <c r="L43" i="6"/>
  <c r="M43" i="6" s="1"/>
  <c r="L42" i="6"/>
  <c r="M42" i="6" s="1"/>
  <c r="L41" i="6"/>
  <c r="M41" i="6" s="1"/>
  <c r="L40" i="6"/>
  <c r="M40" i="6" s="1"/>
  <c r="L39" i="6"/>
  <c r="M39" i="6" s="1"/>
  <c r="M38" i="6"/>
  <c r="L37" i="6"/>
  <c r="M37" i="6" s="1"/>
  <c r="L36" i="6"/>
  <c r="M36" i="6" s="1"/>
  <c r="L35" i="6"/>
  <c r="M35" i="6" s="1"/>
  <c r="L34" i="6"/>
  <c r="M34" i="6" s="1"/>
  <c r="L33" i="6"/>
  <c r="M3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6" i="6"/>
  <c r="M26" i="6" s="1"/>
  <c r="L25" i="6"/>
  <c r="M25" i="6" s="1"/>
  <c r="L24" i="6"/>
  <c r="M24" i="6" s="1"/>
  <c r="L23" i="6"/>
  <c r="M23" i="6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L15" i="6"/>
  <c r="M15" i="6" s="1"/>
  <c r="L14" i="6" l="1"/>
  <c r="G5" i="6" s="1"/>
  <c r="G7" i="6" l="1"/>
  <c r="G8" i="6"/>
  <c r="G6" i="6"/>
  <c r="M14" i="6"/>
  <c r="M2" i="6"/>
  <c r="G9" i="6" l="1"/>
  <c r="H7" i="6" s="1"/>
  <c r="H8" i="6" l="1"/>
  <c r="H5" i="6"/>
  <c r="H6" i="6"/>
</calcChain>
</file>

<file path=xl/comments1.xml><?xml version="1.0" encoding="utf-8"?>
<comments xmlns="http://schemas.openxmlformats.org/spreadsheetml/2006/main">
  <authors>
    <author>Roberta</author>
  </authors>
  <commentList>
    <comment ref="P12" authorId="0" shapeId="0">
      <text>
        <r>
          <rPr>
            <b/>
            <sz val="12"/>
            <color indexed="81"/>
            <rFont val="Tahoma"/>
            <family val="2"/>
          </rPr>
          <t>Toda proposição futura deve virar uma nova ação do plano com responsável e prazo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<sst xmlns="http://schemas.openxmlformats.org/spreadsheetml/2006/main" count="2421" uniqueCount="437">
  <si>
    <t>Status</t>
  </si>
  <si>
    <r>
      <t>N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.</t>
    </r>
  </si>
  <si>
    <t>Quem</t>
  </si>
  <si>
    <t>Prazo Previsto</t>
  </si>
  <si>
    <t>Realizado</t>
  </si>
  <si>
    <t>RESULTADO 
DA AÇÃO</t>
  </si>
  <si>
    <t>PONTOS PROBLEMÁTICOS</t>
  </si>
  <si>
    <t>PROPOSIÇÕES FUTURAS</t>
  </si>
  <si>
    <t>Respons.</t>
  </si>
  <si>
    <t>Executor</t>
  </si>
  <si>
    <t>INÍCIO</t>
  </si>
  <si>
    <t>TÉRMINO</t>
  </si>
  <si>
    <t>Farol</t>
  </si>
  <si>
    <t>Em andamento</t>
  </si>
  <si>
    <t>A iniciar</t>
  </si>
  <si>
    <t>Atrasada</t>
  </si>
  <si>
    <t>Concluída</t>
  </si>
  <si>
    <t>Atividades</t>
  </si>
  <si>
    <t>Analitico</t>
  </si>
  <si>
    <t>Escopo:</t>
  </si>
  <si>
    <t>% de Evolução</t>
  </si>
  <si>
    <t>Alta</t>
  </si>
  <si>
    <t/>
  </si>
  <si>
    <t>CONTA</t>
  </si>
  <si>
    <t>DESCRIÇÃO</t>
  </si>
  <si>
    <t>Cod Conta</t>
  </si>
  <si>
    <t>Desc Moeda 1</t>
  </si>
  <si>
    <t>Classe Conta</t>
  </si>
  <si>
    <t>Cond Normal</t>
  </si>
  <si>
    <t>Backup Responsável</t>
  </si>
  <si>
    <t>Responsável</t>
  </si>
  <si>
    <t>Concilição</t>
  </si>
  <si>
    <t>CAIXA</t>
  </si>
  <si>
    <t>Analitica</t>
  </si>
  <si>
    <t>Devedora</t>
  </si>
  <si>
    <t>BANCO BRADESCO S.A.</t>
  </si>
  <si>
    <t>BANCO SANTANDER S.A.</t>
  </si>
  <si>
    <t>CAIXA ECONOMICA FEDERAL</t>
  </si>
  <si>
    <t>BANCO ITAU S.A.</t>
  </si>
  <si>
    <t>NOTAS FISCAIS A RECEBER</t>
  </si>
  <si>
    <t>CHEQUES A RECEBER</t>
  </si>
  <si>
    <t>CONTAS RECEBER</t>
  </si>
  <si>
    <t>PROVISAO DEVEDORES DUVIDOSO</t>
  </si>
  <si>
    <t>Credora</t>
  </si>
  <si>
    <t>OK</t>
  </si>
  <si>
    <t>ADIANTAMENTO DE SALARIO</t>
  </si>
  <si>
    <t>ADIANTAMENTO 13* SALARIO</t>
  </si>
  <si>
    <t>ADIANTAMENTO FERIAS</t>
  </si>
  <si>
    <t>INDENIZACOES A RECEBER</t>
  </si>
  <si>
    <t>VALORES A RECEBER</t>
  </si>
  <si>
    <t>ADIANTAMENTO A CARRETEIROS</t>
  </si>
  <si>
    <t>ADIANTAMENTO CAV</t>
  </si>
  <si>
    <t>CONTROLADA</t>
  </si>
  <si>
    <t>PEDAGIOS</t>
  </si>
  <si>
    <t>PREMIO DE SEGURO</t>
  </si>
  <si>
    <t>IPTU</t>
  </si>
  <si>
    <t>IPVA</t>
  </si>
  <si>
    <t>DPVAT</t>
  </si>
  <si>
    <t>ASSINATURAS JORNAIS/REVISTAS/ANUIDADES</t>
  </si>
  <si>
    <t>ADIANTAMENTOS A FORNECEDORES</t>
  </si>
  <si>
    <t>COMBUSTIVEIS</t>
  </si>
  <si>
    <t>PNEUS</t>
  </si>
  <si>
    <t>PECAS</t>
  </si>
  <si>
    <t>LUBRIFICANTES</t>
  </si>
  <si>
    <t>IRPJ</t>
  </si>
  <si>
    <t>CSLL</t>
  </si>
  <si>
    <t>IRRF</t>
  </si>
  <si>
    <t>ICMS - LOGISTICA</t>
  </si>
  <si>
    <t>ICMS - CREDITO</t>
  </si>
  <si>
    <t>INSS A RECUPERAR</t>
  </si>
  <si>
    <t>IMPOSTOS E CONTRIB.DIVERSAS A RECUPERAR</t>
  </si>
  <si>
    <t>DEPOSITOS JUDICIAIS TRIBUTARIOS</t>
  </si>
  <si>
    <t>DEPOSITOS JUDICIAIS TRABALHISTAS</t>
  </si>
  <si>
    <t>JUROS A APROPRIAR - LONGO PRAZO</t>
  </si>
  <si>
    <t>VEICULOS</t>
  </si>
  <si>
    <t>EQUIPAMENTOS DE INFORMATICA</t>
  </si>
  <si>
    <t>MOVEIS E UTENSILIOS</t>
  </si>
  <si>
    <t>EQUIPAMENTOS E INSTALACOES OPERACIONAIS</t>
  </si>
  <si>
    <t>INSTALACOES</t>
  </si>
  <si>
    <t>DEPRECIACAO ACUMULADA VEICULOS</t>
  </si>
  <si>
    <t>DEPRECIACAO ACUMULADA EQUIP. INFORMATICA</t>
  </si>
  <si>
    <t>DEPRECIACAO ACUMULADA MOVEIS/UTENSILIOS</t>
  </si>
  <si>
    <t>DEPRECIACAO ACUMULADA EQUIP.INSTAL.OPER.</t>
  </si>
  <si>
    <t>DEPRECIACAO ACUMULADA INSTALACOES</t>
  </si>
  <si>
    <t>BENFEITORIAS EM BENS DE TERCEIROS</t>
  </si>
  <si>
    <t>AMORTIZACAO ACUMULADA</t>
  </si>
  <si>
    <t>IMOBILIZADO EM ANDAMENTO</t>
  </si>
  <si>
    <t>FORNECEDORES</t>
  </si>
  <si>
    <t>ALUGUEL</t>
  </si>
  <si>
    <t>SEGUROS A PAGAR</t>
  </si>
  <si>
    <t>SEGURO DE VIDA A PAGAR</t>
  </si>
  <si>
    <t>CARRETEIROS AGREGADOS</t>
  </si>
  <si>
    <t>CONTAS A PAGAR DIVERSAS</t>
  </si>
  <si>
    <t>SALARIOS E ORDENADOS A PAGAR</t>
  </si>
  <si>
    <t>PENSAO ALIMENTICIA</t>
  </si>
  <si>
    <t>CONVENIO FARMACIA</t>
  </si>
  <si>
    <t>CONTRIBUICAO SINDICAL ASSISTENCIAL</t>
  </si>
  <si>
    <t>EMPRESTIMOS DECRETO 4840</t>
  </si>
  <si>
    <t>INSS FOLHA</t>
  </si>
  <si>
    <t>FGTS A RECOLHER</t>
  </si>
  <si>
    <t>INSS PJ</t>
  </si>
  <si>
    <t>INSS PF</t>
  </si>
  <si>
    <t>INSS S/RECEITA BRUTA</t>
  </si>
  <si>
    <t>ICMS A RECOLHER</t>
  </si>
  <si>
    <t>ISS PROPRIO</t>
  </si>
  <si>
    <t>PIS A RECOLHER</t>
  </si>
  <si>
    <t>COFINS A RECOLHER</t>
  </si>
  <si>
    <t>IRRF RETIDO A RECOLHER FOLHA PAGAMENTO</t>
  </si>
  <si>
    <t>IRRF RETIDO A RECOLHER PF</t>
  </si>
  <si>
    <t>IRRF RETIDO A RECOLHER PJ</t>
  </si>
  <si>
    <t>IPVA A RECOLHER</t>
  </si>
  <si>
    <t>IPTU A RECOLHER</t>
  </si>
  <si>
    <t>IMPOSTOS LEI 10833</t>
  </si>
  <si>
    <t>ISS TERCEIROS</t>
  </si>
  <si>
    <t>DEMAIS IMPOSTOS E TAXAS A RECOLHER</t>
  </si>
  <si>
    <t>PROVISAO PARA FERIAS E ENCARGOS</t>
  </si>
  <si>
    <t>PROVISAO PARA 13* E ENCARGOS</t>
  </si>
  <si>
    <t>ADIANTAMENTO A CLIENTES</t>
  </si>
  <si>
    <t>ACORDOS E CONDENACOES TRABALHISTAS</t>
  </si>
  <si>
    <t>PROVISOES</t>
  </si>
  <si>
    <t>ANTECIPACAO DE LUCROS (AJUSTES)</t>
  </si>
  <si>
    <t>Prioridade</t>
  </si>
  <si>
    <t>Planilha de Controle de Responsabilidades e Conciliação Contábil</t>
  </si>
  <si>
    <t>Data Limite da Conciliação</t>
  </si>
  <si>
    <t>ATIVO</t>
  </si>
  <si>
    <t>CIRCULANTE</t>
  </si>
  <si>
    <t>DISPONIVEL</t>
  </si>
  <si>
    <t>BANCOS CONTA CORRENTE</t>
  </si>
  <si>
    <t>BANCO DO BRASIL S.A.</t>
  </si>
  <si>
    <t>BANRISUL</t>
  </si>
  <si>
    <t>APLICACOES FINANCEIRAS</t>
  </si>
  <si>
    <t>BANCOS CONTA VINCULADA</t>
  </si>
  <si>
    <t>BANCO ITAU</t>
  </si>
  <si>
    <t>CONTAS A RECEBER-CLIENTES</t>
  </si>
  <si>
    <t>ABASTECIMENTOS A  AGREGADOS</t>
  </si>
  <si>
    <t>DESPESAS ANTECIPADAS</t>
  </si>
  <si>
    <t>NOTAS FISCAIS SERVICOS</t>
  </si>
  <si>
    <t>DEVEDORES DIVERSOS</t>
  </si>
  <si>
    <t>ESTOQUES</t>
  </si>
  <si>
    <t>MATERIAL DE LIMPEZA</t>
  </si>
  <si>
    <t>MATERIAL DE COPA/COZINHA</t>
  </si>
  <si>
    <t>MATERIAIS DE ESCRITORIO</t>
  </si>
  <si>
    <t>UNIFORMES</t>
  </si>
  <si>
    <t>MATERIAIS DE INFORMATICA</t>
  </si>
  <si>
    <t>PINTURA</t>
  </si>
  <si>
    <t>FORMULARIOS E IMPRESSOS</t>
  </si>
  <si>
    <t>MATERIAIS DIVERSOS</t>
  </si>
  <si>
    <t>IMPOSTOS A RECUPERAR</t>
  </si>
  <si>
    <t>JUROS A APROPRIAR - CURTO PRAZO</t>
  </si>
  <si>
    <t>BCO SANTANDER S.A.</t>
  </si>
  <si>
    <t>NAO CIRCULANTE</t>
  </si>
  <si>
    <t>REALIZAVEL DE LONGO PRAZO</t>
  </si>
  <si>
    <t>DEPOSITOS JUDICIAIS</t>
  </si>
  <si>
    <t>BLOQUEIO JUDICIAL</t>
  </si>
  <si>
    <t>TITULO DE CAPITALIZACAO</t>
  </si>
  <si>
    <t>SUL AMERICA CAPITALIZACAO</t>
  </si>
  <si>
    <t>IMPOSTO DIFERIDO CONTINGENCIAS</t>
  </si>
  <si>
    <t>PERMANENTE</t>
  </si>
  <si>
    <t>IMOBILIZADO</t>
  </si>
  <si>
    <t>BENS DO ATIVO IMOBILIZADO</t>
  </si>
  <si>
    <t>DIREITO DE USO DE SOFTWARE</t>
  </si>
  <si>
    <t>VEICULOS RTT LEASING</t>
  </si>
  <si>
    <t>EQUIPAMENTOS DE INFORMATICA RTT LEASING</t>
  </si>
  <si>
    <t>EQUIPAMENTOS E INSTAL.OPER.RTT LEASING</t>
  </si>
  <si>
    <t>DIREITO DE USO DE SOFTWARE RTT LEASING</t>
  </si>
  <si>
    <t>VEICULOS 8704</t>
  </si>
  <si>
    <t>DEPRECIACAO ACUMULADA</t>
  </si>
  <si>
    <t>DEPRECIACAO ACUMUL. DIREITO USO SOFTWARE</t>
  </si>
  <si>
    <t>DEPRECIACAO ACUMULADA VEIC.RTT LEASING</t>
  </si>
  <si>
    <t>DEPRECIACAO ACUMULADA EQ.INF.RTT LEASING</t>
  </si>
  <si>
    <t>DEPRECIACAO AC.EQ.INST.OPER.RTT LEASING</t>
  </si>
  <si>
    <t>DEPR..ACUM.DIREITO USO SOFTWARE RTT LEAS</t>
  </si>
  <si>
    <t>DEPRECIACAO ACUMULADA VEICULOS 8704</t>
  </si>
  <si>
    <t>INTANGIVEIS</t>
  </si>
  <si>
    <t>MARCAS E PATENTES</t>
  </si>
  <si>
    <t>MARCAS E PATENTES DIF IPC</t>
  </si>
  <si>
    <t>DIFERIDO</t>
  </si>
  <si>
    <t>PASSIVO</t>
  </si>
  <si>
    <t>CONTAS A PAGAR</t>
  </si>
  <si>
    <t>CARRETEIROS EVENTUAIS</t>
  </si>
  <si>
    <t>SUBCONTRATADOS A  PAGAR</t>
  </si>
  <si>
    <t>INDENIZACOES COM COBRANCA DE SEGUROS</t>
  </si>
  <si>
    <t>DPVAT SEGURO OBRIGATORIO</t>
  </si>
  <si>
    <t>ACORDO TRABALHISTA</t>
  </si>
  <si>
    <t>OBRIGACOES SOCIAIS</t>
  </si>
  <si>
    <t>CSLL DIFERIDA</t>
  </si>
  <si>
    <t>OBRIGACOES FISCAIS</t>
  </si>
  <si>
    <t>IRPJ DIFERIDO</t>
  </si>
  <si>
    <t>FINANCIAMENTOS FINAME - CURTO PRAZO</t>
  </si>
  <si>
    <t>FINANCIAMENTOS LEASING</t>
  </si>
  <si>
    <t>BANCO DO BRASIL</t>
  </si>
  <si>
    <t>EMPRESTIMOS MUTUOS</t>
  </si>
  <si>
    <t>EXIGIVEL DE LONGO PRAZO</t>
  </si>
  <si>
    <t>FINANCIAMENTOS FINAME - LONGO PRAZO</t>
  </si>
  <si>
    <t>RECEITA DE EXERCICIOS FUTUROS</t>
  </si>
  <si>
    <t>RECEITAS DE EXERCICIOS FUTUROS</t>
  </si>
  <si>
    <t>ACORDO BANCO BRADESCO S.A.</t>
  </si>
  <si>
    <t>ACORDO IPIRANGA</t>
  </si>
  <si>
    <t>DESPESAS A RECUPERAR</t>
  </si>
  <si>
    <t>CONTINGENCIAS DEMANDA TRABALHISTA</t>
  </si>
  <si>
    <t>CONTINGENCIA DEMANDA CIVEL</t>
  </si>
  <si>
    <t>CONTINGENCIA DEMANDA FISCAL</t>
  </si>
  <si>
    <t>IMPOSTO DIFERIDO</t>
  </si>
  <si>
    <t>IMPOSTO DIFERIDO PDD</t>
  </si>
  <si>
    <t>PATRIMONIO LIQUIDO</t>
  </si>
  <si>
    <t>CAPITAL SOCIAL</t>
  </si>
  <si>
    <t>RESERVA DE CAPITAL</t>
  </si>
  <si>
    <t>AJUSTE CONF.LEI 11638/7</t>
  </si>
  <si>
    <t>RESERVA DE LUCROS</t>
  </si>
  <si>
    <t>RESULTADO DO EXERCICIO 2013</t>
  </si>
  <si>
    <t>RESULTADO DO EXERCICIO 2014</t>
  </si>
  <si>
    <t>RESULTADO DO EXERCICIO 2015</t>
  </si>
  <si>
    <t>ANTECIPACAO</t>
  </si>
  <si>
    <t>ANTECIPACAO LUCROS</t>
  </si>
  <si>
    <t>DESPESAS</t>
  </si>
  <si>
    <t>DESPESAS OPERACIONAIS</t>
  </si>
  <si>
    <t>DESPESAS GERAIS OPERACIONAIS</t>
  </si>
  <si>
    <t>CARRETEIROS AGREGADOS TRANSFERENCIA PJ</t>
  </si>
  <si>
    <t>CARRETEIROS AGREGADOS TRANSFERENCIA PF</t>
  </si>
  <si>
    <t>AGREGADOS COLETA E ENTREGA PJ</t>
  </si>
  <si>
    <t>EVENTUAL COLETA E ENTREGA PJ</t>
  </si>
  <si>
    <t>GERENCIAMENTO DE RISCO</t>
  </si>
  <si>
    <t>CARGA/DESCARGA INTERNA PF</t>
  </si>
  <si>
    <t>CARGA/DESCARGA EXTERNA PF</t>
  </si>
  <si>
    <t>CARGA/DESCARGA INTERNA PJ</t>
  </si>
  <si>
    <t>CARGA/DESCARGA EXTERNA PJ</t>
  </si>
  <si>
    <t>LOCACAO DE VEICULOS</t>
  </si>
  <si>
    <t>SEGURO DA CARGA RCTRC</t>
  </si>
  <si>
    <t>SEGURO DA CARGA RCF DC</t>
  </si>
  <si>
    <t>SERVICOS SUBCONTRATACAO PJ</t>
  </si>
  <si>
    <t>ESCOLTAS</t>
  </si>
  <si>
    <t>MATERIAIS OPERACIONAIS</t>
  </si>
  <si>
    <t>MANUTENCAO EQUIPAMENTO OPERACIONAIS PJ</t>
  </si>
  <si>
    <t>MULTA POR ATRASO NA ENTREGA</t>
  </si>
  <si>
    <t>DESPESAS COM OFICINA</t>
  </si>
  <si>
    <t>MANUTENCAO DE EQUIPAMENTOS-GRIS</t>
  </si>
  <si>
    <t>LOCACAO DE EQUIPAMENTOS</t>
  </si>
  <si>
    <t>INDENIZACOES</t>
  </si>
  <si>
    <t>AVARIAS</t>
  </si>
  <si>
    <t>FALTAS E EXTRAVIOS</t>
  </si>
  <si>
    <t>DESPESAS COM VEICULOS FROTA PROPRIA</t>
  </si>
  <si>
    <t>CONSERVACAO PJ</t>
  </si>
  <si>
    <t>CONSERVACAO PF</t>
  </si>
  <si>
    <t>LAVAGEM PJ</t>
  </si>
  <si>
    <t>LAVAGEM PF</t>
  </si>
  <si>
    <t>PEDAGIO</t>
  </si>
  <si>
    <t>IPVA,TAXA LICENCIAMENTO E ESTACIONAMENTO</t>
  </si>
  <si>
    <t>MULTAS DE TRANSITO</t>
  </si>
  <si>
    <t>DESPESAS COM VEICULOS TERCEIROS</t>
  </si>
  <si>
    <t>DESPESAS COM VEICULOS DISTRIB.TERCEIROS</t>
  </si>
  <si>
    <t>DESPESAS COM VEICULOS TRANSF.TERCEIROS</t>
  </si>
  <si>
    <t>DESPESAS ADMINISTRATIVAS</t>
  </si>
  <si>
    <t>DESPESAS GERAIS ADMINISTRATIVAS</t>
  </si>
  <si>
    <t>IMPRESSOS E MATERIAIS</t>
  </si>
  <si>
    <t>XEROX</t>
  </si>
  <si>
    <t>ALUGUEL DE IMOVEIS</t>
  </si>
  <si>
    <t>CONDUCAO E QUILOMETRAGEM</t>
  </si>
  <si>
    <t>VIAGENS E ESTADIAS</t>
  </si>
  <si>
    <t>JORNAIS E REVISTAS</t>
  </si>
  <si>
    <t>MATERIAIS DE CONSERVACAO E LIMPEZA</t>
  </si>
  <si>
    <t>MANUTENCAO DE EQUIPAMENTOS INFORMATICA</t>
  </si>
  <si>
    <t>MANUTENCAO DE SOFTWARE</t>
  </si>
  <si>
    <t>MANUTENCAO DE EQUIPAMENTOS ESCRITORIO</t>
  </si>
  <si>
    <t>ENERGIA ELETRICA</t>
  </si>
  <si>
    <t>AGUA E ESGOTO</t>
  </si>
  <si>
    <t>TELEFONES</t>
  </si>
  <si>
    <t>PREMIO DE SEGURO DIVERSOS</t>
  </si>
  <si>
    <t>CORREIOS E MALOTES</t>
  </si>
  <si>
    <t>VIGILANCIA PREDIAL</t>
  </si>
  <si>
    <t>LOCACAO DE BENS MOVEIS</t>
  </si>
  <si>
    <t>BENS DO ATIVO CONS.DESPESA</t>
  </si>
  <si>
    <t>ASSOCIACAO DE CLASSE</t>
  </si>
  <si>
    <t>CONTRIBUICAO SINDICAL PATRONAL</t>
  </si>
  <si>
    <t>ACORDOS E CONDENACOES CIVEIS</t>
  </si>
  <si>
    <t>ANUNCIOS E PUBLICACOES</t>
  </si>
  <si>
    <t>EXPEDIENTE</t>
  </si>
  <si>
    <t>LINKS E INTERNET</t>
  </si>
  <si>
    <t>LOCACAO DE EQUIP. INFORMATICA</t>
  </si>
  <si>
    <t>DESPESAS LEGAIS</t>
  </si>
  <si>
    <t>CONDOMINIO</t>
  </si>
  <si>
    <t>ALUGUEIS DIRETORIA E GERENCIA</t>
  </si>
  <si>
    <t>SERVICOS PRESTADOS POR TERCEIROS</t>
  </si>
  <si>
    <t>SERVICOS PRESTADOS POR TERCEIROS PF</t>
  </si>
  <si>
    <t>SERVICOS PRESTADOS POR TERCEIROS PJ</t>
  </si>
  <si>
    <t>SERVICOS DE CONSERVACAO E LIMPEZA</t>
  </si>
  <si>
    <t>HONORARIOS PROFISSIONAIS PJ</t>
  </si>
  <si>
    <t>DESPESAS VEICULOS ADM.FROTA PROPRIA</t>
  </si>
  <si>
    <t>DESPESAS COM VEICULOS ADM.TERCEIROS</t>
  </si>
  <si>
    <t>DESPESAS TRIBUTARIAS</t>
  </si>
  <si>
    <t>IMPOSTOS E TAXAS FEDERAIS</t>
  </si>
  <si>
    <t>IMPOSTOS E TAXAS ESTADUAIS</t>
  </si>
  <si>
    <t>IMPOSTOS E TAXAS MUNICIPAIS</t>
  </si>
  <si>
    <t>DESPESAS COM PESSOAL</t>
  </si>
  <si>
    <t>DESPESA COM PESSOAL</t>
  </si>
  <si>
    <t>DESPESAS C/SALARIOS/ENCARGOS/BENEFICIOS</t>
  </si>
  <si>
    <t>SALARIOS E ORDENADOS</t>
  </si>
  <si>
    <t>HORAS EXTRAS</t>
  </si>
  <si>
    <t>AJUDA DE CUSTO</t>
  </si>
  <si>
    <t>INSS</t>
  </si>
  <si>
    <t>FGTS</t>
  </si>
  <si>
    <t>CONTRIBUICAO SOCIAL FGTS</t>
  </si>
  <si>
    <t>ACORDOS TRABALHISTAS</t>
  </si>
  <si>
    <t>SEGURO DE VIDA</t>
  </si>
  <si>
    <t>ASSISTENCIA MEDICA E ODONTOLOGICA</t>
  </si>
  <si>
    <t>PLR</t>
  </si>
  <si>
    <t>MATERIAL ESCOLAR</t>
  </si>
  <si>
    <t>SALARIOS TEMPORARIOS</t>
  </si>
  <si>
    <t>INDENIZACOES TRABALHISTAS</t>
  </si>
  <si>
    <t>REFEICOES</t>
  </si>
  <si>
    <t>TICKET REFEICAO</t>
  </si>
  <si>
    <t>CESTA BASICA</t>
  </si>
  <si>
    <t>TRANSPORTES DE FUNCIONARIOS</t>
  </si>
  <si>
    <t>13. SALARIO</t>
  </si>
  <si>
    <t>CURSOS TECNICOS E TREINAMENTOS</t>
  </si>
  <si>
    <t>FESTA DE CONFRATERNIZACAO</t>
  </si>
  <si>
    <t>ESTAGIARIOS</t>
  </si>
  <si>
    <t>FUNERAL</t>
  </si>
  <si>
    <t>LANCHES E REFEICOES</t>
  </si>
  <si>
    <t>EQUIP. PROT INDIVIDUAL</t>
  </si>
  <si>
    <t>RECUPERACAO INSS PAGO INDEVIDAMENTE</t>
  </si>
  <si>
    <t>SEGURANCA E MEDICINA DO TRABALHO</t>
  </si>
  <si>
    <t>PROVISAO DE FERIAS E 13. SALARIO</t>
  </si>
  <si>
    <t>PROVISAO DE FERIAS E ENCARGOS</t>
  </si>
  <si>
    <t>PROVISAO PARA 13. SALARIO E ENCARGOS</t>
  </si>
  <si>
    <t>DESPESAS FINANCEIRA</t>
  </si>
  <si>
    <t>DESPESAS FINANCEIRAS</t>
  </si>
  <si>
    <t>BANCARIAS</t>
  </si>
  <si>
    <t>COBRANCA BANCARIA</t>
  </si>
  <si>
    <t>JUROS SOBRE EMPRESTIMOS</t>
  </si>
  <si>
    <t>JUROS SOBRE PAGAMENTOS</t>
  </si>
  <si>
    <t>JUROS SOBRE PAGAMENTOS DE IMPOSTOS</t>
  </si>
  <si>
    <t>DESCONTOS CONCEDIDOS</t>
  </si>
  <si>
    <t>MULTAS POR PAGAMENTOS EM ATRASO</t>
  </si>
  <si>
    <t>DESCONTO INCONDICIONAL</t>
  </si>
  <si>
    <t>IOF</t>
  </si>
  <si>
    <t>DESPESAS COM VENDAS</t>
  </si>
  <si>
    <t>PROPAGANDA E PUBLICIDADE</t>
  </si>
  <si>
    <t>BRINDES</t>
  </si>
  <si>
    <t>DESPESAS COM REPRESENTACAO</t>
  </si>
  <si>
    <t>DESPESA DE DEPRECIACAO</t>
  </si>
  <si>
    <t>DEPRECIACAO S/VEICULOS</t>
  </si>
  <si>
    <t>DEPRECIACAO S/EQUIPAMENTOS INFORMATICA</t>
  </si>
  <si>
    <t>DEPRECIACAO S/MOVEIS E UTENSILIOS</t>
  </si>
  <si>
    <t>DEPRECIACAO S/EQUIPTOS E INSTALACOES OPE</t>
  </si>
  <si>
    <t>DEPRECIACAO S/INSTALACOES</t>
  </si>
  <si>
    <t>DEPRECIACAO S/DIREITO DE USO SOFTWARE</t>
  </si>
  <si>
    <t>AMORTIZACOES</t>
  </si>
  <si>
    <t>DEPRECIACAO RTT S/EQUIP INFORMATICA</t>
  </si>
  <si>
    <t>DEPRECIACAO RTT S/EQTOS E INSTAL OPE</t>
  </si>
  <si>
    <t>DEPRECIACAO RTT S/DIREITO USO SOFTWARE</t>
  </si>
  <si>
    <t>DEPRECIACAO VEICULOS 8704</t>
  </si>
  <si>
    <t>DESPESAS INDEDUTIVEIS</t>
  </si>
  <si>
    <t>DONATIVOS</t>
  </si>
  <si>
    <t>MULTAS E INFRACOES</t>
  </si>
  <si>
    <t>OUTRAS INDEDUTIVEIS</t>
  </si>
  <si>
    <t>RECEITAS</t>
  </si>
  <si>
    <t>RECEITAS DE SERVICOS LIQUIDA</t>
  </si>
  <si>
    <t>RECEITAS DE SERVICOS</t>
  </si>
  <si>
    <t>TRANSPORTES</t>
  </si>
  <si>
    <t>SERVICOS MUNICIPAIS</t>
  </si>
  <si>
    <t>SUBCONTRATACAO DE TERCEIROS</t>
  </si>
  <si>
    <t>LOGISTICA</t>
  </si>
  <si>
    <t>IMPOSTOS SOBRE RECEITAS DE SERVICOS</t>
  </si>
  <si>
    <t>IMPOSTOS SOBRE RECEITA DE SERVICOS</t>
  </si>
  <si>
    <t>ICMS</t>
  </si>
  <si>
    <t>ISS</t>
  </si>
  <si>
    <t>CREDITO PRESUMIDO DE ICMS</t>
  </si>
  <si>
    <t>PIS</t>
  </si>
  <si>
    <t>CREDITOS DE PIS</t>
  </si>
  <si>
    <t>COFINS</t>
  </si>
  <si>
    <t>CREDITOS DE COFINS</t>
  </si>
  <si>
    <t>RECEITAS FINANCEIRAS</t>
  </si>
  <si>
    <t>RENDIMENTOS SOBRE APLICACAO FINANCEIRA</t>
  </si>
  <si>
    <t>JUROS RECEBIDOS</t>
  </si>
  <si>
    <t>DESCONTOS OBTIDOS</t>
  </si>
  <si>
    <t>VARIACAO MONETARIA ATIVA</t>
  </si>
  <si>
    <t>OUTRAS RECEITAS</t>
  </si>
  <si>
    <t>RECUPERACAO DE DESPESAS</t>
  </si>
  <si>
    <t>CRACHAS</t>
  </si>
  <si>
    <t>MANUTENCAO DE VEICULOS</t>
  </si>
  <si>
    <t>AVARIAS DE MERCADORIAS</t>
  </si>
  <si>
    <t>COMUNICACAO/RASTREADOR</t>
  </si>
  <si>
    <t>SUBCONTRATACAO DE FRETES</t>
  </si>
  <si>
    <t>SERVICOS DE FRETES AGREGADOS</t>
  </si>
  <si>
    <t>DESPESAS DIVERSAS</t>
  </si>
  <si>
    <t>RECEITAS NAO OPERACIONAIS</t>
  </si>
  <si>
    <t>RESULTADO BAIXAS DE BENS DO IMOBILIZADO</t>
  </si>
  <si>
    <t>MUTUO PF</t>
  </si>
  <si>
    <t>IMPOSTO DIFERIDO CONTINGENCIA</t>
  </si>
  <si>
    <t>BENFEITORIA EM BENS DE TERCEIROS</t>
  </si>
  <si>
    <t>AMORTIZACAO BENF ACUMULADA</t>
  </si>
  <si>
    <t>PROVISOES GERAIS</t>
  </si>
  <si>
    <t>PROVISAO PARA 13 SALARIO E ENCARGOS</t>
  </si>
  <si>
    <t>ACORDO SANTANDER</t>
  </si>
  <si>
    <t>CONTINGENCIAS</t>
  </si>
  <si>
    <t>CONTINGENCIA FRETE AGREGADOS</t>
  </si>
  <si>
    <t>IMPOSTO DIFERIDO ATIVO FIXO</t>
  </si>
  <si>
    <t>ANTECIPACAO DE LUCROS</t>
  </si>
  <si>
    <t>DESPESA</t>
  </si>
  <si>
    <t>RECEITAS OPERACIONAIS</t>
  </si>
  <si>
    <t>IMPOSTOS SOBRE VENDAS</t>
  </si>
  <si>
    <t>DESPESAS ADMINISTRATIVAS GERAIS</t>
  </si>
  <si>
    <t>RECEITAS ADMINISTRATIVAS FINANCEIRAS</t>
  </si>
  <si>
    <t>RECEITA  ACORDO SANTANDER</t>
  </si>
  <si>
    <t>EMPRESAS INTERLIGADAS</t>
  </si>
  <si>
    <t>LOCACAO DE VEICULOS INTERCOMPANY</t>
  </si>
  <si>
    <t>DESPESAS DEPRECIACAO E AMORTIZACOES</t>
  </si>
  <si>
    <t>DESPESAS DEPRECIACAO E AMORTIZACAO</t>
  </si>
  <si>
    <t>DESPESAS DEPRECIACAO E AMORTIZACAOES</t>
  </si>
  <si>
    <t>DESPESAS DEPRECIACAO VEICULOS</t>
  </si>
  <si>
    <t>Sintetica</t>
  </si>
  <si>
    <t>JAN/2017</t>
  </si>
  <si>
    <t>FEV/2017</t>
  </si>
  <si>
    <t>MAR/2017</t>
  </si>
  <si>
    <t>ABR/2017</t>
  </si>
  <si>
    <t>MAI/2017</t>
  </si>
  <si>
    <t>JUN/2017</t>
  </si>
  <si>
    <t>JUL/2017</t>
  </si>
  <si>
    <t>AGO/2017</t>
  </si>
  <si>
    <t>SET/2017</t>
  </si>
  <si>
    <t>OUT/2017</t>
  </si>
  <si>
    <t>NOV/2017</t>
  </si>
  <si>
    <t>DEZ/2017</t>
  </si>
  <si>
    <t>CESTA DE NATAL</t>
  </si>
  <si>
    <t>Natureza Contábil</t>
  </si>
  <si>
    <t>VALORES EM TRANSITO</t>
  </si>
  <si>
    <t>TRANSPORTES AEREOS</t>
  </si>
  <si>
    <t>PAGAMENTO OFICIO 497/09</t>
  </si>
  <si>
    <t>PROVISAO P/CREDITOS LIQUIDACAO DUVIDOSA</t>
  </si>
  <si>
    <t>TITULOS INCOBRAVEIS</t>
  </si>
  <si>
    <t>PIS S/RECEITA FINANCEIRA</t>
  </si>
  <si>
    <t>DEPRECIACAO E AMORTIZACAO</t>
  </si>
  <si>
    <t>AMORTIZACAO BENFEITORIAS TERCEIROS</t>
  </si>
  <si>
    <t>DESPESAS RECEITAS OPERACIOANAIS</t>
  </si>
  <si>
    <t>CONCILIAÇÃO CONTAS 2020 - EMPRESA XXXXXXXXX             BASE JANEIRO</t>
  </si>
  <si>
    <t>CONCILIAÇÕES MENSAIS POR CONTA x RESPONSÁVEL 2020</t>
  </si>
  <si>
    <t xml:space="preserve">Balancetes Mensais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</si>
</sst>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indexed="8"/>
      <name val="Webdings"/>
      <family val="1"/>
      <charset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ourier New"/>
      <family val="3"/>
    </font>
    <font>
      <b/>
      <sz val="10"/>
      <color theme="0"/>
      <name val="Calibri"/>
      <family val="2"/>
      <scheme val="minor"/>
    </font>
    <font>
      <sz val="8"/>
      <name val="Courier New"/>
      <family val="3"/>
    </font>
    <font>
      <b/>
      <sz val="8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/>
      <right style="dashed">
        <color theme="0"/>
      </right>
      <top/>
      <bottom/>
      <diagonal/>
    </border>
    <border>
      <left/>
      <right/>
      <top/>
      <bottom style="thick">
        <color auto="1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6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164" fontId="4" fillId="2" borderId="1" xfId="2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9" fontId="12" fillId="3" borderId="4" xfId="4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4" borderId="7" xfId="0" applyFont="1" applyFill="1" applyBorder="1" applyAlignment="1"/>
    <xf numFmtId="0" fontId="0" fillId="3" borderId="0" xfId="0" applyFont="1" applyFill="1" applyAlignment="1">
      <alignment horizontal="center"/>
    </xf>
    <xf numFmtId="9" fontId="14" fillId="4" borderId="7" xfId="4" applyFont="1" applyFill="1" applyBorder="1" applyAlignment="1">
      <alignment horizontal="center"/>
    </xf>
    <xf numFmtId="0" fontId="0" fillId="3" borderId="0" xfId="0" quotePrefix="1" applyFill="1" applyAlignment="1">
      <alignment horizontal="center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left" vertical="top"/>
    </xf>
    <xf numFmtId="0" fontId="15" fillId="3" borderId="6" xfId="0" applyFont="1" applyFill="1" applyBorder="1" applyAlignment="1">
      <alignment horizontal="left" vertical="top"/>
    </xf>
    <xf numFmtId="0" fontId="15" fillId="3" borderId="0" xfId="0" applyFont="1" applyFill="1" applyAlignment="1">
      <alignment horizontal="left"/>
    </xf>
    <xf numFmtId="0" fontId="15" fillId="3" borderId="8" xfId="0" applyFont="1" applyFill="1" applyBorder="1" applyAlignment="1">
      <alignment horizontal="left"/>
    </xf>
    <xf numFmtId="0" fontId="10" fillId="3" borderId="2" xfId="1" applyFont="1" applyFill="1" applyBorder="1" applyAlignment="1">
      <alignment horizontal="left" vertical="center" indent="2"/>
    </xf>
    <xf numFmtId="0" fontId="10" fillId="3" borderId="3" xfId="1" applyFont="1" applyFill="1" applyBorder="1" applyAlignment="1">
      <alignment horizontal="left" vertical="center" indent="2"/>
    </xf>
    <xf numFmtId="0" fontId="10" fillId="3" borderId="4" xfId="1" applyFont="1" applyFill="1" applyBorder="1" applyAlignment="1">
      <alignment horizontal="left" vertical="center" indent="2"/>
    </xf>
    <xf numFmtId="0" fontId="4" fillId="0" borderId="2" xfId="3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3" applyFont="1" applyBorder="1" applyAlignment="1">
      <alignment horizontal="center" vertical="center" wrapText="1"/>
    </xf>
    <xf numFmtId="0" fontId="18" fillId="6" borderId="0" xfId="5" applyFont="1" applyFill="1"/>
    <xf numFmtId="0" fontId="16" fillId="6" borderId="0" xfId="5" applyFont="1" applyFill="1"/>
    <xf numFmtId="0" fontId="16" fillId="5" borderId="9" xfId="5" applyFont="1" applyFill="1" applyBorder="1" applyAlignment="1">
      <alignment horizontal="center" vertical="center"/>
    </xf>
    <xf numFmtId="0" fontId="16" fillId="5" borderId="0" xfId="5" applyFont="1" applyFill="1" applyAlignment="1">
      <alignment horizontal="center" vertical="center"/>
    </xf>
    <xf numFmtId="43" fontId="16" fillId="5" borderId="1" xfId="6" quotePrefix="1" applyFont="1" applyFill="1" applyBorder="1" applyAlignment="1">
      <alignment horizontal="center" vertical="center"/>
    </xf>
    <xf numFmtId="0" fontId="16" fillId="5" borderId="1" xfId="5" quotePrefix="1" applyFont="1" applyFill="1" applyBorder="1" applyAlignment="1">
      <alignment horizontal="center" vertical="center"/>
    </xf>
    <xf numFmtId="0" fontId="16" fillId="0" borderId="0" xfId="5" applyFont="1" applyFill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7" fillId="0" borderId="0" xfId="5"/>
    <xf numFmtId="43" fontId="0" fillId="0" borderId="0" xfId="6" applyFont="1"/>
    <xf numFmtId="0" fontId="6" fillId="0" borderId="1" xfId="3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164" fontId="6" fillId="0" borderId="1" xfId="3" applyNumberFormat="1" applyFont="1" applyFill="1" applyBorder="1" applyAlignment="1">
      <alignment horizontal="center" vertical="center"/>
    </xf>
    <xf numFmtId="43" fontId="21" fillId="0" borderId="0" xfId="6" applyFont="1"/>
    <xf numFmtId="0" fontId="21" fillId="0" borderId="0" xfId="5" applyNumberFormat="1" applyFont="1" applyAlignment="1">
      <alignment horizontal="left"/>
    </xf>
    <xf numFmtId="0" fontId="21" fillId="0" borderId="0" xfId="5" applyFont="1" applyAlignment="1">
      <alignment horizontal="left"/>
    </xf>
    <xf numFmtId="0" fontId="21" fillId="0" borderId="0" xfId="5" applyFont="1"/>
    <xf numFmtId="0" fontId="20" fillId="5" borderId="9" xfId="5" applyFont="1" applyFill="1" applyBorder="1" applyAlignment="1">
      <alignment horizontal="center" vertical="center"/>
    </xf>
    <xf numFmtId="0" fontId="20" fillId="5" borderId="9" xfId="5" applyFont="1" applyFill="1" applyBorder="1" applyAlignment="1">
      <alignment horizontal="center" vertical="center" wrapText="1"/>
    </xf>
    <xf numFmtId="0" fontId="20" fillId="5" borderId="0" xfId="5" applyFont="1" applyFill="1" applyBorder="1" applyAlignment="1">
      <alignment horizontal="center" vertical="center" wrapText="1"/>
    </xf>
    <xf numFmtId="0" fontId="20" fillId="5" borderId="0" xfId="5" applyFont="1" applyFill="1" applyBorder="1" applyAlignment="1">
      <alignment horizontal="center" vertical="center"/>
    </xf>
    <xf numFmtId="164" fontId="14" fillId="4" borderId="7" xfId="0" applyNumberFormat="1" applyFont="1" applyFill="1" applyBorder="1" applyAlignment="1">
      <alignment horizontal="center"/>
    </xf>
    <xf numFmtId="0" fontId="14" fillId="4" borderId="7" xfId="0" applyNumberFormat="1" applyFont="1" applyFill="1" applyBorder="1" applyAlignment="1">
      <alignment horizontal="center"/>
    </xf>
    <xf numFmtId="14" fontId="21" fillId="0" borderId="0" xfId="6" applyNumberFormat="1" applyFont="1"/>
    <xf numFmtId="0" fontId="14" fillId="6" borderId="0" xfId="5" applyFont="1" applyFill="1" applyAlignment="1">
      <alignment horizontal="center" vertical="center" wrapText="1"/>
    </xf>
    <xf numFmtId="0" fontId="14" fillId="6" borderId="0" xfId="5" applyFont="1" applyFill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top" wrapText="1"/>
    </xf>
    <xf numFmtId="0" fontId="15" fillId="3" borderId="8" xfId="0" applyFont="1" applyFill="1" applyBorder="1" applyAlignment="1">
      <alignment horizontal="center" vertical="top" wrapText="1"/>
    </xf>
  </cellXfs>
  <cellStyles count="9">
    <cellStyle name="Normal" xfId="0" builtinId="0"/>
    <cellStyle name="Normal 2" xfId="1"/>
    <cellStyle name="Normal 3" xfId="5"/>
    <cellStyle name="Normal 3 2 2" xfId="2"/>
    <cellStyle name="Normal 3 3" xfId="3"/>
    <cellStyle name="Normal 4" xfId="7"/>
    <cellStyle name="Porcentagem" xfId="4" builtinId="5"/>
    <cellStyle name="Porcentagem 2" xfId="8"/>
    <cellStyle name="Vírgula 2" xfId="6"/>
  </cellStyles>
  <dxfs count="3"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3"/>
      </font>
      <fill>
        <patternFill patternType="none">
          <bgColor indexed="65"/>
        </patternFill>
      </fill>
    </dxf>
    <dxf>
      <font>
        <condense val="0"/>
        <extend val="0"/>
        <color indexed="11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'STATUS CONCILIAÇÃO_012020'!$F$5:$F$8</c:f>
              <c:strCache>
                <c:ptCount val="4"/>
                <c:pt idx="0">
                  <c:v>Concluída</c:v>
                </c:pt>
                <c:pt idx="1">
                  <c:v>A iniciar</c:v>
                </c:pt>
                <c:pt idx="2">
                  <c:v>Em andamento</c:v>
                </c:pt>
                <c:pt idx="3">
                  <c:v>Atrasada</c:v>
                </c:pt>
              </c:strCache>
            </c:strRef>
          </c:cat>
          <c:val>
            <c:numRef>
              <c:f>'STATUS CONCILIAÇÃO_012020'!$G$5:$G$8</c:f>
              <c:numCache>
                <c:formatCode>dd/mm/yy;@</c:formatCode>
                <c:ptCount val="4"/>
                <c:pt idx="0">
                  <c:v>44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A4-4202-BCFE-E2552FB2CF32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'STATUS CONCILIAÇÃO_012020'!$F$5:$F$8</c:f>
              <c:strCache>
                <c:ptCount val="4"/>
                <c:pt idx="0">
                  <c:v>Concluída</c:v>
                </c:pt>
                <c:pt idx="1">
                  <c:v>A iniciar</c:v>
                </c:pt>
                <c:pt idx="2">
                  <c:v>Em andamento</c:v>
                </c:pt>
                <c:pt idx="3">
                  <c:v>Atrasada</c:v>
                </c:pt>
              </c:strCache>
            </c:strRef>
          </c:cat>
          <c:val>
            <c:numRef>
              <c:f>'STATUS CONCILIAÇÃO_012020'!$H$5:$H$8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7A4-4202-BCFE-E2552FB2CF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solidFill>
          <a:schemeClr val="tx1">
            <a:lumMod val="50000"/>
            <a:lumOff val="50000"/>
          </a:schemeClr>
        </a:solidFill>
      </c:spPr>
      <c:txPr>
        <a:bodyPr/>
        <a:lstStyle/>
        <a:p>
          <a:pPr>
            <a:defRPr sz="11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'STATUS CONCILIAÇÃO_012020'!$F$5:$F$8</c:f>
              <c:strCache>
                <c:ptCount val="4"/>
                <c:pt idx="0">
                  <c:v>Concluída</c:v>
                </c:pt>
                <c:pt idx="1">
                  <c:v>A iniciar</c:v>
                </c:pt>
                <c:pt idx="2">
                  <c:v>Em andamento</c:v>
                </c:pt>
                <c:pt idx="3">
                  <c:v>Atrasada</c:v>
                </c:pt>
              </c:strCache>
            </c:strRef>
          </c:cat>
          <c:val>
            <c:numRef>
              <c:f>'STATUS CONCILIAÇÃO_012020'!$G$5:$G$8</c:f>
              <c:numCache>
                <c:formatCode>dd/mm/yy;@</c:formatCode>
                <c:ptCount val="4"/>
                <c:pt idx="0">
                  <c:v>44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13-4A40-A69A-A988114EC2B7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'STATUS CONCILIAÇÃO_012020'!$F$5:$F$8</c:f>
              <c:strCache>
                <c:ptCount val="4"/>
                <c:pt idx="0">
                  <c:v>Concluída</c:v>
                </c:pt>
                <c:pt idx="1">
                  <c:v>A iniciar</c:v>
                </c:pt>
                <c:pt idx="2">
                  <c:v>Em andamento</c:v>
                </c:pt>
                <c:pt idx="3">
                  <c:v>Atrasada</c:v>
                </c:pt>
              </c:strCache>
            </c:strRef>
          </c:cat>
          <c:val>
            <c:numRef>
              <c:f>'STATUS CONCILIAÇÃO_012020'!$H$5:$H$8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13-4A40-A69A-A988114EC2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solidFill>
          <a:schemeClr val="tx1">
            <a:lumMod val="50000"/>
            <a:lumOff val="50000"/>
          </a:schemeClr>
        </a:solidFill>
      </c:spPr>
      <c:txPr>
        <a:bodyPr/>
        <a:lstStyle/>
        <a:p>
          <a:pPr>
            <a:defRPr sz="11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439615</xdr:colOff>
      <xdr:row>2</xdr:row>
      <xdr:rowOff>73268</xdr:rowOff>
    </xdr:from>
    <xdr:to>
      <xdr:col>12</xdr:col>
      <xdr:colOff>38771</xdr:colOff>
      <xdr:row>10</xdr:row>
      <xdr:rowOff>146538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439615</xdr:colOff>
      <xdr:row>2</xdr:row>
      <xdr:rowOff>73268</xdr:rowOff>
    </xdr:from>
    <xdr:to>
      <xdr:col>12</xdr:col>
      <xdr:colOff>38771</xdr:colOff>
      <xdr:row>10</xdr:row>
      <xdr:rowOff>146538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AI53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8" sqref="I8"/>
    </sheetView>
  </sheetViews>
  <sheetFormatPr defaultRowHeight="15" x14ac:dyDescent="0.25"/>
  <cols>
    <col min="1" max="1" width="9" style="46" bestFit="1" customWidth="1"/>
    <col min="2" max="2" width="39.5703125" style="46" customWidth="1"/>
    <col min="3" max="3" width="9.140625" style="46" customWidth="1"/>
    <col min="4" max="4" width="9.85546875" style="46" customWidth="1"/>
    <col min="5" max="5" width="9.28515625" style="46" customWidth="1"/>
    <col min="6" max="6" width="11.7109375" style="46" customWidth="1"/>
    <col min="7" max="7" width="10.5703125" style="46" bestFit="1" customWidth="1"/>
    <col min="8" max="8" width="5.5703125" style="46" customWidth="1"/>
    <col min="9" max="9" width="14.42578125" style="47" customWidth="1"/>
    <col min="10" max="10" width="38.28515625" style="47" bestFit="1" customWidth="1"/>
    <col min="11" max="11" width="14.5703125" style="47" bestFit="1" customWidth="1"/>
    <col min="12" max="12" width="13.140625" style="47" bestFit="1" customWidth="1"/>
    <col min="13" max="13" width="14.42578125" style="47" bestFit="1" customWidth="1"/>
    <col min="14" max="14" width="13.140625" style="47" bestFit="1" customWidth="1"/>
    <col min="15" max="15" width="15.28515625" style="47" bestFit="1" customWidth="1"/>
    <col min="16" max="16" width="13.140625" style="47" bestFit="1" customWidth="1"/>
    <col min="17" max="17" width="14.7109375" style="47" bestFit="1" customWidth="1"/>
    <col min="18" max="18" width="13.140625" style="47" bestFit="1" customWidth="1"/>
    <col min="19" max="19" width="14.7109375" style="47" bestFit="1" customWidth="1"/>
    <col min="20" max="20" width="13.140625" style="47" bestFit="1" customWidth="1"/>
    <col min="21" max="21" width="14.5703125" style="47" bestFit="1" customWidth="1"/>
    <col min="22" max="22" width="13.140625" style="47" bestFit="1" customWidth="1"/>
    <col min="23" max="23" width="14.140625" style="47" bestFit="1" customWidth="1"/>
    <col min="24" max="24" width="13.140625" style="47" bestFit="1" customWidth="1"/>
    <col min="25" max="25" width="15.140625" style="47" bestFit="1" customWidth="1"/>
    <col min="26" max="26" width="13.140625" style="47" bestFit="1" customWidth="1"/>
    <col min="27" max="27" width="14.140625" style="47" bestFit="1" customWidth="1"/>
    <col min="28" max="28" width="13.140625" style="47" bestFit="1" customWidth="1"/>
    <col min="29" max="29" width="14.85546875" style="47" bestFit="1" customWidth="1"/>
    <col min="30" max="30" width="13.140625" style="47" bestFit="1" customWidth="1"/>
    <col min="31" max="31" width="15.28515625" style="47" bestFit="1" customWidth="1"/>
    <col min="32" max="32" width="13.140625" style="46" bestFit="1" customWidth="1"/>
    <col min="33" max="33" width="13.28515625" style="46" bestFit="1" customWidth="1"/>
    <col min="34" max="34" width="13.140625" style="46" bestFit="1" customWidth="1"/>
    <col min="35" max="16384" width="9.140625" style="46"/>
  </cols>
  <sheetData>
    <row r="1" spans="1:35" s="39" customFormat="1" ht="12.75" x14ac:dyDescent="0.2">
      <c r="A1" s="62" t="s">
        <v>122</v>
      </c>
      <c r="B1" s="62"/>
      <c r="C1" s="62"/>
      <c r="D1" s="38"/>
      <c r="E1" s="38"/>
      <c r="F1" s="38"/>
      <c r="G1" s="38"/>
      <c r="H1" s="38"/>
      <c r="I1" s="38"/>
      <c r="J1" s="38"/>
      <c r="K1" s="63" t="s">
        <v>436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5" s="39" customFormat="1" ht="12.75" x14ac:dyDescent="0.2">
      <c r="A2" s="62"/>
      <c r="B2" s="62"/>
      <c r="C2" s="62"/>
      <c r="D2" s="38"/>
      <c r="E2" s="38"/>
      <c r="F2" s="38"/>
      <c r="G2" s="38"/>
      <c r="H2" s="38"/>
      <c r="I2" s="38"/>
      <c r="J2" s="38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</row>
    <row r="3" spans="1:35" s="39" customFormat="1" ht="12.75" x14ac:dyDescent="0.2">
      <c r="A3" s="62"/>
      <c r="B3" s="62"/>
      <c r="C3" s="62"/>
      <c r="D3" s="38"/>
      <c r="E3" s="38"/>
      <c r="F3" s="38"/>
      <c r="G3" s="38"/>
      <c r="H3" s="38"/>
      <c r="I3" s="38"/>
      <c r="J3" s="38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5" s="45" customFormat="1" ht="26.25" customHeight="1" thickBot="1" x14ac:dyDescent="0.3">
      <c r="A4" s="40" t="s">
        <v>25</v>
      </c>
      <c r="B4" s="40" t="s">
        <v>26</v>
      </c>
      <c r="C4" s="55" t="s">
        <v>27</v>
      </c>
      <c r="D4" s="56" t="s">
        <v>28</v>
      </c>
      <c r="E4" s="56" t="s">
        <v>424</v>
      </c>
      <c r="F4" s="57" t="s">
        <v>29</v>
      </c>
      <c r="G4" s="57" t="s">
        <v>30</v>
      </c>
      <c r="H4" s="58" t="s">
        <v>44</v>
      </c>
      <c r="I4" s="57" t="s">
        <v>123</v>
      </c>
      <c r="J4" s="41" t="s">
        <v>24</v>
      </c>
      <c r="K4" s="42" t="s">
        <v>411</v>
      </c>
      <c r="L4" s="43" t="s">
        <v>31</v>
      </c>
      <c r="M4" s="42" t="s">
        <v>412</v>
      </c>
      <c r="N4" s="43" t="s">
        <v>31</v>
      </c>
      <c r="O4" s="42" t="s">
        <v>413</v>
      </c>
      <c r="P4" s="43" t="s">
        <v>31</v>
      </c>
      <c r="Q4" s="42" t="s">
        <v>414</v>
      </c>
      <c r="R4" s="43" t="s">
        <v>31</v>
      </c>
      <c r="S4" s="42" t="s">
        <v>415</v>
      </c>
      <c r="T4" s="43" t="s">
        <v>31</v>
      </c>
      <c r="U4" s="42" t="s">
        <v>416</v>
      </c>
      <c r="V4" s="43" t="s">
        <v>31</v>
      </c>
      <c r="W4" s="42" t="s">
        <v>417</v>
      </c>
      <c r="X4" s="43" t="s">
        <v>31</v>
      </c>
      <c r="Y4" s="42" t="s">
        <v>418</v>
      </c>
      <c r="Z4" s="43" t="s">
        <v>31</v>
      </c>
      <c r="AA4" s="42" t="s">
        <v>419</v>
      </c>
      <c r="AB4" s="43" t="s">
        <v>31</v>
      </c>
      <c r="AC4" s="42" t="s">
        <v>420</v>
      </c>
      <c r="AD4" s="43" t="s">
        <v>31</v>
      </c>
      <c r="AE4" s="42" t="s">
        <v>421</v>
      </c>
      <c r="AF4" s="43" t="s">
        <v>31</v>
      </c>
      <c r="AG4" s="43" t="s">
        <v>422</v>
      </c>
      <c r="AH4" s="43" t="s">
        <v>31</v>
      </c>
      <c r="AI4" s="44"/>
    </row>
    <row r="5" spans="1:35" s="54" customFormat="1" ht="12.75" thickTop="1" x14ac:dyDescent="0.2">
      <c r="A5" s="52">
        <v>1</v>
      </c>
      <c r="B5" s="53" t="s">
        <v>124</v>
      </c>
      <c r="C5" s="54" t="s">
        <v>410</v>
      </c>
      <c r="D5" s="54" t="s">
        <v>34</v>
      </c>
      <c r="I5" s="51"/>
      <c r="J5" s="53" t="s">
        <v>124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</row>
    <row r="6" spans="1:35" s="54" customFormat="1" ht="12" x14ac:dyDescent="0.2">
      <c r="A6" s="53">
        <v>10</v>
      </c>
      <c r="B6" s="53" t="s">
        <v>125</v>
      </c>
      <c r="C6" s="54" t="s">
        <v>410</v>
      </c>
      <c r="D6" s="54" t="s">
        <v>34</v>
      </c>
      <c r="I6" s="51"/>
      <c r="J6" s="53" t="s">
        <v>125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</row>
    <row r="7" spans="1:35" s="54" customFormat="1" ht="12" x14ac:dyDescent="0.2">
      <c r="A7" s="53">
        <v>100</v>
      </c>
      <c r="B7" s="53" t="s">
        <v>126</v>
      </c>
      <c r="C7" s="54" t="s">
        <v>410</v>
      </c>
      <c r="D7" s="54" t="s">
        <v>34</v>
      </c>
      <c r="I7" s="51"/>
      <c r="J7" s="53" t="s">
        <v>126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</row>
    <row r="8" spans="1:35" s="54" customFormat="1" ht="12" x14ac:dyDescent="0.2">
      <c r="A8" s="53">
        <v>1000</v>
      </c>
      <c r="B8" s="53" t="s">
        <v>32</v>
      </c>
      <c r="C8" s="54" t="s">
        <v>410</v>
      </c>
      <c r="D8" s="54" t="s">
        <v>34</v>
      </c>
      <c r="I8" s="51"/>
      <c r="J8" s="53" t="s">
        <v>32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</row>
    <row r="9" spans="1:35" s="54" customFormat="1" ht="12" x14ac:dyDescent="0.2">
      <c r="A9" s="53">
        <v>100001</v>
      </c>
      <c r="B9" s="53" t="s">
        <v>32</v>
      </c>
      <c r="C9" s="54" t="s">
        <v>33</v>
      </c>
      <c r="D9" s="54" t="s">
        <v>34</v>
      </c>
      <c r="I9" s="51"/>
      <c r="J9" s="53" t="s">
        <v>32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5" s="54" customFormat="1" ht="12" x14ac:dyDescent="0.2">
      <c r="A10" s="53">
        <v>100002</v>
      </c>
      <c r="B10" s="53" t="s">
        <v>425</v>
      </c>
      <c r="C10" s="54" t="s">
        <v>33</v>
      </c>
      <c r="D10" s="54" t="s">
        <v>34</v>
      </c>
      <c r="I10" s="51"/>
      <c r="J10" s="53" t="s">
        <v>425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</row>
    <row r="11" spans="1:35" s="54" customFormat="1" ht="12" x14ac:dyDescent="0.2">
      <c r="A11" s="53">
        <v>1001</v>
      </c>
      <c r="B11" s="53" t="s">
        <v>127</v>
      </c>
      <c r="C11" s="54" t="s">
        <v>410</v>
      </c>
      <c r="D11" s="54" t="s">
        <v>34</v>
      </c>
      <c r="I11" s="51"/>
      <c r="J11" s="53" t="s">
        <v>127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</row>
    <row r="12" spans="1:35" s="54" customFormat="1" ht="12" x14ac:dyDescent="0.2">
      <c r="A12" s="53">
        <v>100101</v>
      </c>
      <c r="B12" s="53" t="s">
        <v>38</v>
      </c>
      <c r="C12" s="54" t="s">
        <v>33</v>
      </c>
      <c r="D12" s="54" t="s">
        <v>34</v>
      </c>
      <c r="I12" s="51"/>
      <c r="J12" s="53" t="s">
        <v>38</v>
      </c>
      <c r="K12" s="51"/>
      <c r="L12" s="61" t="s">
        <v>44</v>
      </c>
      <c r="M12" s="51"/>
      <c r="N12" s="61" t="s">
        <v>44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  <row r="13" spans="1:35" s="54" customFormat="1" ht="12" x14ac:dyDescent="0.2">
      <c r="A13" s="53">
        <v>100102</v>
      </c>
      <c r="B13" s="53" t="s">
        <v>35</v>
      </c>
      <c r="C13" s="54" t="s">
        <v>33</v>
      </c>
      <c r="D13" s="54" t="s">
        <v>34</v>
      </c>
      <c r="I13" s="51"/>
      <c r="J13" s="53" t="s">
        <v>35</v>
      </c>
      <c r="K13" s="51"/>
      <c r="L13" s="61" t="s">
        <v>44</v>
      </c>
      <c r="M13" s="51"/>
      <c r="N13" s="61" t="s">
        <v>44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1:35" s="54" customFormat="1" ht="12" x14ac:dyDescent="0.2">
      <c r="A14" s="53">
        <v>100103</v>
      </c>
      <c r="B14" s="53" t="s">
        <v>36</v>
      </c>
      <c r="C14" s="54" t="s">
        <v>33</v>
      </c>
      <c r="D14" s="54" t="s">
        <v>34</v>
      </c>
      <c r="I14" s="51"/>
      <c r="J14" s="53" t="s">
        <v>36</v>
      </c>
      <c r="K14" s="51"/>
      <c r="L14" s="61" t="s">
        <v>44</v>
      </c>
      <c r="M14" s="51"/>
      <c r="N14" s="61" t="s">
        <v>44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</row>
    <row r="15" spans="1:35" s="54" customFormat="1" ht="12" x14ac:dyDescent="0.2">
      <c r="A15" s="53">
        <v>100105</v>
      </c>
      <c r="B15" s="53" t="s">
        <v>37</v>
      </c>
      <c r="C15" s="54" t="s">
        <v>33</v>
      </c>
      <c r="D15" s="54" t="s">
        <v>34</v>
      </c>
      <c r="I15" s="51"/>
      <c r="J15" s="53" t="s">
        <v>37</v>
      </c>
      <c r="K15" s="51"/>
      <c r="L15" s="61" t="s">
        <v>44</v>
      </c>
      <c r="M15" s="51"/>
      <c r="N15" s="61" t="s">
        <v>44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5" s="54" customFormat="1" ht="12" x14ac:dyDescent="0.2">
      <c r="A16" s="53">
        <v>100106</v>
      </c>
      <c r="B16" s="53" t="s">
        <v>128</v>
      </c>
      <c r="C16" s="54" t="s">
        <v>33</v>
      </c>
      <c r="D16" s="54" t="s">
        <v>34</v>
      </c>
      <c r="I16" s="51"/>
      <c r="J16" s="53" t="s">
        <v>128</v>
      </c>
      <c r="K16" s="51"/>
      <c r="L16" s="61" t="s">
        <v>44</v>
      </c>
      <c r="M16" s="51"/>
      <c r="N16" s="61" t="s">
        <v>44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2" s="54" customFormat="1" ht="12" x14ac:dyDescent="0.2">
      <c r="A17" s="53">
        <v>100107</v>
      </c>
      <c r="B17" s="53" t="s">
        <v>129</v>
      </c>
      <c r="C17" s="54" t="s">
        <v>33</v>
      </c>
      <c r="D17" s="54" t="s">
        <v>34</v>
      </c>
      <c r="I17" s="51"/>
      <c r="J17" s="53" t="s">
        <v>129</v>
      </c>
      <c r="K17" s="51"/>
      <c r="L17" s="61" t="s">
        <v>44</v>
      </c>
      <c r="M17" s="51"/>
      <c r="N17" s="61" t="s">
        <v>44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2" s="54" customFormat="1" ht="12" x14ac:dyDescent="0.2">
      <c r="A18" s="53">
        <v>1002</v>
      </c>
      <c r="B18" s="53" t="s">
        <v>130</v>
      </c>
      <c r="C18" s="54" t="s">
        <v>410</v>
      </c>
      <c r="D18" s="54" t="s">
        <v>34</v>
      </c>
      <c r="I18" s="51"/>
      <c r="J18" s="53" t="s">
        <v>130</v>
      </c>
      <c r="K18" s="51"/>
      <c r="L18" s="51"/>
      <c r="M18" s="51"/>
      <c r="N18" s="61" t="s">
        <v>44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2" s="54" customFormat="1" ht="12" x14ac:dyDescent="0.2">
      <c r="A19" s="53">
        <v>100201</v>
      </c>
      <c r="B19" s="53" t="s">
        <v>38</v>
      </c>
      <c r="C19" s="54" t="s">
        <v>33</v>
      </c>
      <c r="D19" s="54" t="s">
        <v>34</v>
      </c>
      <c r="I19" s="51"/>
      <c r="J19" s="53" t="s">
        <v>38</v>
      </c>
      <c r="K19" s="51"/>
      <c r="L19" s="61" t="s">
        <v>44</v>
      </c>
      <c r="M19" s="51"/>
      <c r="N19" s="61" t="s">
        <v>44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2" s="54" customFormat="1" ht="12" x14ac:dyDescent="0.2">
      <c r="A20" s="53">
        <v>100202</v>
      </c>
      <c r="B20" s="53" t="s">
        <v>35</v>
      </c>
      <c r="C20" s="54" t="s">
        <v>33</v>
      </c>
      <c r="D20" s="54" t="s">
        <v>34</v>
      </c>
      <c r="I20" s="51"/>
      <c r="J20" s="53" t="s">
        <v>35</v>
      </c>
      <c r="K20" s="51"/>
      <c r="L20" s="61" t="s">
        <v>44</v>
      </c>
      <c r="M20" s="51"/>
      <c r="N20" s="61" t="s">
        <v>44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2" s="54" customFormat="1" ht="12" x14ac:dyDescent="0.2">
      <c r="A21" s="53">
        <v>100203</v>
      </c>
      <c r="B21" s="53" t="s">
        <v>36</v>
      </c>
      <c r="C21" s="54" t="s">
        <v>33</v>
      </c>
      <c r="D21" s="54" t="s">
        <v>34</v>
      </c>
      <c r="I21" s="51"/>
      <c r="J21" s="53" t="s">
        <v>36</v>
      </c>
      <c r="K21" s="51"/>
      <c r="L21" s="61" t="s">
        <v>44</v>
      </c>
      <c r="M21" s="51"/>
      <c r="N21" s="61" t="s">
        <v>44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2" s="54" customFormat="1" ht="12" x14ac:dyDescent="0.2">
      <c r="A22" s="53">
        <v>1003</v>
      </c>
      <c r="B22" s="53" t="s">
        <v>131</v>
      </c>
      <c r="C22" s="54" t="s">
        <v>410</v>
      </c>
      <c r="D22" s="54" t="s">
        <v>34</v>
      </c>
      <c r="I22" s="51"/>
      <c r="J22" s="53" t="s">
        <v>131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1:32" s="54" customFormat="1" ht="12" x14ac:dyDescent="0.2">
      <c r="A23" s="53">
        <v>100301</v>
      </c>
      <c r="B23" s="53" t="s">
        <v>132</v>
      </c>
      <c r="C23" s="54" t="s">
        <v>33</v>
      </c>
      <c r="D23" s="54" t="s">
        <v>34</v>
      </c>
      <c r="I23" s="51"/>
      <c r="J23" s="53" t="s">
        <v>132</v>
      </c>
      <c r="K23" s="51"/>
      <c r="L23" s="61" t="s">
        <v>44</v>
      </c>
      <c r="M23" s="51"/>
      <c r="N23" s="61" t="s">
        <v>44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1:32" s="54" customFormat="1" ht="12" x14ac:dyDescent="0.2">
      <c r="A24" s="53">
        <v>103</v>
      </c>
      <c r="B24" s="53" t="s">
        <v>133</v>
      </c>
      <c r="C24" s="54" t="s">
        <v>410</v>
      </c>
      <c r="D24" s="54" t="s">
        <v>34</v>
      </c>
      <c r="I24" s="51"/>
      <c r="J24" s="53" t="s">
        <v>133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</row>
    <row r="25" spans="1:32" s="54" customFormat="1" ht="12" x14ac:dyDescent="0.2">
      <c r="A25" s="53">
        <v>1030</v>
      </c>
      <c r="B25" s="53" t="s">
        <v>133</v>
      </c>
      <c r="C25" s="54" t="s">
        <v>410</v>
      </c>
      <c r="D25" s="54" t="s">
        <v>34</v>
      </c>
      <c r="I25" s="51"/>
      <c r="J25" s="53" t="s">
        <v>133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1:32" s="54" customFormat="1" ht="12" x14ac:dyDescent="0.2">
      <c r="A26" s="53">
        <v>103003</v>
      </c>
      <c r="B26" s="53" t="s">
        <v>40</v>
      </c>
      <c r="C26" s="54" t="s">
        <v>33</v>
      </c>
      <c r="D26" s="54" t="s">
        <v>34</v>
      </c>
      <c r="I26" s="51"/>
      <c r="J26" s="53" t="s">
        <v>40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</row>
    <row r="27" spans="1:32" s="54" customFormat="1" ht="12" x14ac:dyDescent="0.2">
      <c r="A27" s="53">
        <v>103005</v>
      </c>
      <c r="B27" s="53" t="s">
        <v>41</v>
      </c>
      <c r="C27" s="54" t="s">
        <v>33</v>
      </c>
      <c r="D27" s="54" t="s">
        <v>34</v>
      </c>
      <c r="I27" s="51"/>
      <c r="J27" s="53" t="s">
        <v>41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spans="1:32" s="54" customFormat="1" ht="12" x14ac:dyDescent="0.2">
      <c r="A28" s="53">
        <v>103006</v>
      </c>
      <c r="B28" s="53" t="s">
        <v>42</v>
      </c>
      <c r="C28" s="54" t="s">
        <v>33</v>
      </c>
      <c r="D28" s="54" t="s">
        <v>43</v>
      </c>
      <c r="I28" s="51"/>
      <c r="J28" s="53" t="s">
        <v>42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1:32" s="54" customFormat="1" ht="12" x14ac:dyDescent="0.2">
      <c r="A29" s="53">
        <v>104</v>
      </c>
      <c r="B29" s="53" t="s">
        <v>49</v>
      </c>
      <c r="C29" s="54" t="s">
        <v>410</v>
      </c>
      <c r="D29" s="54" t="s">
        <v>34</v>
      </c>
      <c r="I29" s="51"/>
      <c r="J29" s="53" t="s">
        <v>49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</row>
    <row r="30" spans="1:32" s="54" customFormat="1" ht="12" x14ac:dyDescent="0.2">
      <c r="A30" s="53">
        <v>1040</v>
      </c>
      <c r="B30" s="53" t="s">
        <v>49</v>
      </c>
      <c r="C30" s="54" t="s">
        <v>410</v>
      </c>
      <c r="D30" s="54" t="s">
        <v>34</v>
      </c>
      <c r="I30" s="51"/>
      <c r="J30" s="53" t="s">
        <v>49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</row>
    <row r="31" spans="1:32" s="54" customFormat="1" ht="12" x14ac:dyDescent="0.2">
      <c r="A31" s="53">
        <v>104001</v>
      </c>
      <c r="B31" s="53" t="s">
        <v>45</v>
      </c>
      <c r="C31" s="54" t="s">
        <v>33</v>
      </c>
      <c r="D31" s="54" t="s">
        <v>34</v>
      </c>
      <c r="I31" s="51"/>
      <c r="J31" s="53" t="s">
        <v>45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</row>
    <row r="32" spans="1:32" s="54" customFormat="1" ht="12" x14ac:dyDescent="0.2">
      <c r="A32" s="53">
        <v>104002</v>
      </c>
      <c r="B32" s="53" t="s">
        <v>46</v>
      </c>
      <c r="C32" s="54" t="s">
        <v>33</v>
      </c>
      <c r="D32" s="54" t="s">
        <v>34</v>
      </c>
      <c r="I32" s="51"/>
      <c r="J32" s="53" t="s">
        <v>46</v>
      </c>
      <c r="K32" s="51"/>
      <c r="M32" s="51"/>
      <c r="O32" s="51"/>
      <c r="Q32" s="51"/>
      <c r="S32" s="51"/>
      <c r="U32" s="51"/>
      <c r="W32" s="51"/>
      <c r="Y32" s="51"/>
      <c r="AA32" s="51"/>
      <c r="AC32" s="51"/>
      <c r="AE32" s="51"/>
    </row>
    <row r="33" spans="1:32" s="54" customFormat="1" ht="12" x14ac:dyDescent="0.2">
      <c r="A33" s="53">
        <v>104003</v>
      </c>
      <c r="B33" s="53" t="s">
        <v>47</v>
      </c>
      <c r="C33" s="54" t="s">
        <v>33</v>
      </c>
      <c r="D33" s="54" t="s">
        <v>34</v>
      </c>
      <c r="I33" s="51"/>
      <c r="J33" s="53" t="s">
        <v>47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</row>
    <row r="34" spans="1:32" s="54" customFormat="1" ht="12" x14ac:dyDescent="0.2">
      <c r="A34" s="53">
        <v>104004</v>
      </c>
      <c r="B34" s="53" t="s">
        <v>48</v>
      </c>
      <c r="C34" s="54" t="s">
        <v>33</v>
      </c>
      <c r="D34" s="54" t="s">
        <v>34</v>
      </c>
      <c r="I34" s="51"/>
      <c r="J34" s="53" t="s">
        <v>48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</row>
    <row r="35" spans="1:32" s="54" customFormat="1" ht="12" x14ac:dyDescent="0.2">
      <c r="A35" s="53">
        <v>104005</v>
      </c>
      <c r="B35" s="53" t="s">
        <v>49</v>
      </c>
      <c r="C35" s="54" t="s">
        <v>33</v>
      </c>
      <c r="D35" s="54" t="s">
        <v>34</v>
      </c>
      <c r="I35" s="51"/>
      <c r="J35" s="53" t="s">
        <v>49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1:32" s="54" customFormat="1" ht="12" x14ac:dyDescent="0.2">
      <c r="A36" s="53">
        <v>104006</v>
      </c>
      <c r="B36" s="53" t="s">
        <v>134</v>
      </c>
      <c r="C36" s="54" t="s">
        <v>33</v>
      </c>
      <c r="D36" s="54" t="s">
        <v>34</v>
      </c>
      <c r="I36" s="51"/>
      <c r="J36" s="53" t="s">
        <v>134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1:32" s="54" customFormat="1" ht="12" x14ac:dyDescent="0.2">
      <c r="A37" s="53">
        <v>104007</v>
      </c>
      <c r="B37" s="53" t="s">
        <v>50</v>
      </c>
      <c r="C37" s="54" t="s">
        <v>33</v>
      </c>
      <c r="D37" s="54" t="s">
        <v>34</v>
      </c>
      <c r="I37" s="51"/>
      <c r="J37" s="53" t="s">
        <v>50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1:32" s="54" customFormat="1" ht="12" x14ac:dyDescent="0.2">
      <c r="A38" s="53">
        <v>104008</v>
      </c>
      <c r="B38" s="53" t="s">
        <v>51</v>
      </c>
      <c r="C38" s="54" t="s">
        <v>33</v>
      </c>
      <c r="D38" s="54" t="s">
        <v>34</v>
      </c>
      <c r="I38" s="51"/>
      <c r="J38" s="53" t="s">
        <v>51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1:32" s="54" customFormat="1" ht="12" x14ac:dyDescent="0.2">
      <c r="A39" s="53">
        <v>105</v>
      </c>
      <c r="B39" s="53" t="s">
        <v>135</v>
      </c>
      <c r="C39" s="54" t="s">
        <v>410</v>
      </c>
      <c r="D39" s="54" t="s">
        <v>34</v>
      </c>
      <c r="I39" s="51"/>
      <c r="J39" s="53" t="s">
        <v>135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1:32" s="54" customFormat="1" ht="12" x14ac:dyDescent="0.2">
      <c r="A40" s="53">
        <v>1050</v>
      </c>
      <c r="B40" s="53" t="s">
        <v>135</v>
      </c>
      <c r="C40" s="54" t="s">
        <v>410</v>
      </c>
      <c r="D40" s="54" t="s">
        <v>34</v>
      </c>
      <c r="I40" s="51"/>
      <c r="J40" s="53" t="s">
        <v>135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1:32" s="54" customFormat="1" ht="12" x14ac:dyDescent="0.2">
      <c r="A41" s="53">
        <v>105001</v>
      </c>
      <c r="B41" s="53" t="s">
        <v>54</v>
      </c>
      <c r="C41" s="54" t="s">
        <v>33</v>
      </c>
      <c r="D41" s="54" t="s">
        <v>34</v>
      </c>
      <c r="I41" s="51"/>
      <c r="J41" s="53" t="s">
        <v>54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spans="1:32" s="54" customFormat="1" ht="12" x14ac:dyDescent="0.2">
      <c r="A42" s="53">
        <v>105002</v>
      </c>
      <c r="B42" s="53" t="s">
        <v>55</v>
      </c>
      <c r="C42" s="54" t="s">
        <v>33</v>
      </c>
      <c r="D42" s="54" t="s">
        <v>34</v>
      </c>
      <c r="I42" s="51"/>
      <c r="J42" s="53" t="s">
        <v>55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1:32" s="54" customFormat="1" ht="12" x14ac:dyDescent="0.2">
      <c r="A43" s="53">
        <v>105003</v>
      </c>
      <c r="B43" s="53" t="s">
        <v>56</v>
      </c>
      <c r="C43" s="54" t="s">
        <v>33</v>
      </c>
      <c r="D43" s="54" t="s">
        <v>34</v>
      </c>
      <c r="I43" s="51"/>
      <c r="J43" s="53" t="s">
        <v>56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1:32" s="54" customFormat="1" ht="12" x14ac:dyDescent="0.2">
      <c r="A44" s="53">
        <v>105004</v>
      </c>
      <c r="B44" s="53" t="s">
        <v>57</v>
      </c>
      <c r="C44" s="54" t="s">
        <v>33</v>
      </c>
      <c r="D44" s="54" t="s">
        <v>34</v>
      </c>
      <c r="I44" s="51"/>
      <c r="J44" s="53" t="s">
        <v>57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1:32" s="54" customFormat="1" ht="12" x14ac:dyDescent="0.2">
      <c r="A45" s="53">
        <v>105005</v>
      </c>
      <c r="B45" s="53" t="s">
        <v>58</v>
      </c>
      <c r="C45" s="54" t="s">
        <v>33</v>
      </c>
      <c r="D45" s="54" t="s">
        <v>34</v>
      </c>
      <c r="I45" s="51"/>
      <c r="J45" s="53" t="s">
        <v>58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1:32" s="54" customFormat="1" ht="12" x14ac:dyDescent="0.2">
      <c r="A46" s="53">
        <v>105006</v>
      </c>
      <c r="B46" s="53" t="s">
        <v>136</v>
      </c>
      <c r="C46" s="54" t="s">
        <v>33</v>
      </c>
      <c r="D46" s="54" t="s">
        <v>34</v>
      </c>
      <c r="I46" s="51"/>
      <c r="J46" s="53" t="s">
        <v>136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</row>
    <row r="47" spans="1:32" s="54" customFormat="1" ht="12" x14ac:dyDescent="0.2">
      <c r="A47" s="53">
        <v>106</v>
      </c>
      <c r="B47" s="53" t="s">
        <v>137</v>
      </c>
      <c r="C47" s="54" t="s">
        <v>410</v>
      </c>
      <c r="D47" s="54" t="s">
        <v>34</v>
      </c>
      <c r="I47" s="51"/>
      <c r="J47" s="53" t="s">
        <v>137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</row>
    <row r="48" spans="1:32" s="54" customFormat="1" ht="12" x14ac:dyDescent="0.2">
      <c r="A48" s="53">
        <v>1060</v>
      </c>
      <c r="B48" s="53" t="s">
        <v>137</v>
      </c>
      <c r="C48" s="54" t="s">
        <v>410</v>
      </c>
      <c r="D48" s="54" t="s">
        <v>34</v>
      </c>
      <c r="I48" s="51"/>
      <c r="J48" s="53" t="s">
        <v>137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</row>
    <row r="49" spans="1:34" s="54" customFormat="1" ht="12" x14ac:dyDescent="0.2">
      <c r="A49" s="53">
        <v>106001</v>
      </c>
      <c r="B49" s="53" t="s">
        <v>59</v>
      </c>
      <c r="C49" s="54" t="s">
        <v>33</v>
      </c>
      <c r="D49" s="54" t="s">
        <v>34</v>
      </c>
      <c r="I49" s="51"/>
      <c r="J49" s="53" t="s">
        <v>59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1:34" s="54" customFormat="1" ht="12" x14ac:dyDescent="0.2">
      <c r="A50" s="53">
        <v>106002</v>
      </c>
      <c r="B50" s="53" t="s">
        <v>39</v>
      </c>
      <c r="C50" s="54" t="s">
        <v>33</v>
      </c>
      <c r="D50" s="54" t="s">
        <v>34</v>
      </c>
      <c r="I50" s="51"/>
      <c r="J50" s="53" t="s">
        <v>39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</row>
    <row r="51" spans="1:34" s="54" customFormat="1" ht="12" x14ac:dyDescent="0.2">
      <c r="A51" s="53">
        <v>107</v>
      </c>
      <c r="B51" s="53" t="s">
        <v>138</v>
      </c>
      <c r="C51" s="54" t="s">
        <v>410</v>
      </c>
      <c r="D51" s="54" t="s">
        <v>34</v>
      </c>
      <c r="I51" s="51"/>
      <c r="J51" s="53" t="s">
        <v>138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1:34" s="54" customFormat="1" ht="12" x14ac:dyDescent="0.2">
      <c r="A52" s="53">
        <v>1070</v>
      </c>
      <c r="B52" s="53" t="s">
        <v>138</v>
      </c>
      <c r="C52" s="54" t="s">
        <v>410</v>
      </c>
      <c r="D52" s="54" t="s">
        <v>34</v>
      </c>
      <c r="I52" s="51"/>
      <c r="J52" s="53" t="s">
        <v>138</v>
      </c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1:34" s="54" customFormat="1" ht="12" x14ac:dyDescent="0.2">
      <c r="A53" s="53">
        <v>107001</v>
      </c>
      <c r="B53" s="53" t="s">
        <v>60</v>
      </c>
      <c r="C53" s="54" t="s">
        <v>33</v>
      </c>
      <c r="D53" s="54" t="s">
        <v>34</v>
      </c>
      <c r="I53" s="51"/>
      <c r="J53" s="53" t="s">
        <v>60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H53" s="51"/>
    </row>
    <row r="54" spans="1:34" s="54" customFormat="1" ht="12" x14ac:dyDescent="0.2">
      <c r="A54" s="53">
        <v>107002</v>
      </c>
      <c r="B54" s="53" t="s">
        <v>61</v>
      </c>
      <c r="C54" s="54" t="s">
        <v>33</v>
      </c>
      <c r="D54" s="54" t="s">
        <v>34</v>
      </c>
      <c r="I54" s="51"/>
      <c r="J54" s="53" t="s">
        <v>61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H54" s="51"/>
    </row>
    <row r="55" spans="1:34" s="54" customFormat="1" ht="12" x14ac:dyDescent="0.2">
      <c r="A55" s="53">
        <v>107003</v>
      </c>
      <c r="B55" s="53" t="s">
        <v>62</v>
      </c>
      <c r="C55" s="54" t="s">
        <v>33</v>
      </c>
      <c r="D55" s="54" t="s">
        <v>34</v>
      </c>
      <c r="I55" s="51"/>
      <c r="J55" s="53" t="s">
        <v>62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H55" s="51"/>
    </row>
    <row r="56" spans="1:34" s="54" customFormat="1" ht="12" x14ac:dyDescent="0.2">
      <c r="A56" s="53">
        <v>107004</v>
      </c>
      <c r="B56" s="53" t="s">
        <v>139</v>
      </c>
      <c r="C56" s="54" t="s">
        <v>33</v>
      </c>
      <c r="D56" s="54" t="s">
        <v>34</v>
      </c>
      <c r="I56" s="51"/>
      <c r="J56" s="53" t="s">
        <v>139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H56" s="51"/>
    </row>
    <row r="57" spans="1:34" s="54" customFormat="1" ht="12" x14ac:dyDescent="0.2">
      <c r="A57" s="53">
        <v>107005</v>
      </c>
      <c r="B57" s="53" t="s">
        <v>140</v>
      </c>
      <c r="C57" s="54" t="s">
        <v>33</v>
      </c>
      <c r="D57" s="54" t="s">
        <v>34</v>
      </c>
      <c r="I57" s="51"/>
      <c r="J57" s="53" t="s">
        <v>140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H57" s="51"/>
    </row>
    <row r="58" spans="1:34" s="54" customFormat="1" ht="12" x14ac:dyDescent="0.2">
      <c r="A58" s="53">
        <v>107006</v>
      </c>
      <c r="B58" s="53" t="s">
        <v>141</v>
      </c>
      <c r="C58" s="54" t="s">
        <v>33</v>
      </c>
      <c r="D58" s="54" t="s">
        <v>34</v>
      </c>
      <c r="I58" s="51"/>
      <c r="J58" s="53" t="s">
        <v>141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H58" s="51"/>
    </row>
    <row r="59" spans="1:34" s="54" customFormat="1" ht="12" x14ac:dyDescent="0.2">
      <c r="A59" s="53">
        <v>107007</v>
      </c>
      <c r="B59" s="53" t="s">
        <v>142</v>
      </c>
      <c r="C59" s="54" t="s">
        <v>33</v>
      </c>
      <c r="D59" s="54" t="s">
        <v>34</v>
      </c>
      <c r="I59" s="51"/>
      <c r="J59" s="53" t="s">
        <v>142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H59" s="51"/>
    </row>
    <row r="60" spans="1:34" s="54" customFormat="1" ht="12" x14ac:dyDescent="0.2">
      <c r="A60" s="53">
        <v>107008</v>
      </c>
      <c r="B60" s="53" t="s">
        <v>143</v>
      </c>
      <c r="C60" s="54" t="s">
        <v>33</v>
      </c>
      <c r="D60" s="54" t="s">
        <v>34</v>
      </c>
      <c r="I60" s="51"/>
      <c r="J60" s="53" t="s">
        <v>143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H60" s="51"/>
    </row>
    <row r="61" spans="1:34" s="54" customFormat="1" ht="12" x14ac:dyDescent="0.2">
      <c r="A61" s="53">
        <v>107009</v>
      </c>
      <c r="B61" s="53" t="s">
        <v>144</v>
      </c>
      <c r="C61" s="54" t="s">
        <v>33</v>
      </c>
      <c r="D61" s="54" t="s">
        <v>34</v>
      </c>
      <c r="I61" s="51"/>
      <c r="J61" s="53" t="s">
        <v>144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H61" s="51"/>
    </row>
    <row r="62" spans="1:34" s="54" customFormat="1" ht="12" x14ac:dyDescent="0.2">
      <c r="A62" s="53">
        <v>107010</v>
      </c>
      <c r="B62" s="53" t="s">
        <v>145</v>
      </c>
      <c r="C62" s="54" t="s">
        <v>33</v>
      </c>
      <c r="D62" s="54" t="s">
        <v>34</v>
      </c>
      <c r="I62" s="51"/>
      <c r="J62" s="53" t="s">
        <v>145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H62" s="51"/>
    </row>
    <row r="63" spans="1:34" s="54" customFormat="1" ht="12" x14ac:dyDescent="0.2">
      <c r="A63" s="53">
        <v>107011</v>
      </c>
      <c r="B63" s="53" t="s">
        <v>146</v>
      </c>
      <c r="C63" s="54" t="s">
        <v>33</v>
      </c>
      <c r="D63" s="54" t="s">
        <v>34</v>
      </c>
      <c r="I63" s="51"/>
      <c r="J63" s="53" t="s">
        <v>146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H63" s="51"/>
    </row>
    <row r="64" spans="1:34" s="54" customFormat="1" ht="12" x14ac:dyDescent="0.2">
      <c r="A64" s="53">
        <v>107012</v>
      </c>
      <c r="B64" s="53" t="s">
        <v>63</v>
      </c>
      <c r="C64" s="54" t="s">
        <v>33</v>
      </c>
      <c r="D64" s="54" t="s">
        <v>34</v>
      </c>
      <c r="I64" s="51"/>
      <c r="J64" s="53" t="s">
        <v>63</v>
      </c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H64" s="51"/>
    </row>
    <row r="65" spans="1:31" s="54" customFormat="1" ht="12" x14ac:dyDescent="0.2">
      <c r="A65" s="53">
        <v>108</v>
      </c>
      <c r="B65" s="53" t="s">
        <v>147</v>
      </c>
      <c r="C65" s="54" t="s">
        <v>410</v>
      </c>
      <c r="D65" s="54" t="s">
        <v>34</v>
      </c>
      <c r="I65" s="51"/>
      <c r="J65" s="53" t="s">
        <v>147</v>
      </c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</row>
    <row r="66" spans="1:31" s="54" customFormat="1" ht="12" x14ac:dyDescent="0.2">
      <c r="A66" s="53">
        <v>1080</v>
      </c>
      <c r="B66" s="53" t="s">
        <v>147</v>
      </c>
      <c r="C66" s="54" t="s">
        <v>410</v>
      </c>
      <c r="D66" s="54" t="s">
        <v>34</v>
      </c>
      <c r="I66" s="51"/>
      <c r="J66" s="53" t="s">
        <v>147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</row>
    <row r="67" spans="1:31" s="54" customFormat="1" ht="12" x14ac:dyDescent="0.2">
      <c r="A67" s="53">
        <v>108001</v>
      </c>
      <c r="B67" s="53" t="s">
        <v>64</v>
      </c>
      <c r="C67" s="54" t="s">
        <v>33</v>
      </c>
      <c r="D67" s="54" t="s">
        <v>34</v>
      </c>
      <c r="I67" s="51"/>
      <c r="J67" s="53" t="s">
        <v>64</v>
      </c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1:31" s="54" customFormat="1" ht="12" x14ac:dyDescent="0.2">
      <c r="A68" s="53">
        <v>108002</v>
      </c>
      <c r="B68" s="53" t="s">
        <v>65</v>
      </c>
      <c r="C68" s="54" t="s">
        <v>33</v>
      </c>
      <c r="D68" s="54" t="s">
        <v>34</v>
      </c>
      <c r="I68" s="51"/>
      <c r="J68" s="53" t="s">
        <v>65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</row>
    <row r="69" spans="1:31" s="54" customFormat="1" ht="12" x14ac:dyDescent="0.2">
      <c r="A69" s="53">
        <v>108003</v>
      </c>
      <c r="B69" s="53" t="s">
        <v>66</v>
      </c>
      <c r="C69" s="54" t="s">
        <v>33</v>
      </c>
      <c r="D69" s="54" t="s">
        <v>34</v>
      </c>
      <c r="I69" s="51"/>
      <c r="J69" s="53" t="s">
        <v>66</v>
      </c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</row>
    <row r="70" spans="1:31" s="54" customFormat="1" ht="12" x14ac:dyDescent="0.2">
      <c r="A70" s="53">
        <v>108004</v>
      </c>
      <c r="B70" s="53" t="s">
        <v>67</v>
      </c>
      <c r="C70" s="54" t="s">
        <v>33</v>
      </c>
      <c r="D70" s="54" t="s">
        <v>34</v>
      </c>
      <c r="I70" s="51"/>
      <c r="J70" s="53" t="s">
        <v>67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1:31" s="54" customFormat="1" ht="12" x14ac:dyDescent="0.2">
      <c r="A71" s="53">
        <v>108005</v>
      </c>
      <c r="B71" s="53" t="s">
        <v>68</v>
      </c>
      <c r="C71" s="54" t="s">
        <v>33</v>
      </c>
      <c r="D71" s="54" t="s">
        <v>34</v>
      </c>
      <c r="I71" s="51"/>
      <c r="J71" s="53" t="s">
        <v>68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1:31" s="54" customFormat="1" ht="12" x14ac:dyDescent="0.2">
      <c r="A72" s="53">
        <v>108011</v>
      </c>
      <c r="B72" s="53" t="s">
        <v>69</v>
      </c>
      <c r="C72" s="54" t="s">
        <v>33</v>
      </c>
      <c r="D72" s="54" t="s">
        <v>34</v>
      </c>
      <c r="I72" s="51"/>
      <c r="J72" s="53" t="s">
        <v>69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1:31" s="54" customFormat="1" ht="12" x14ac:dyDescent="0.2">
      <c r="A73" s="53">
        <v>108012</v>
      </c>
      <c r="B73" s="53" t="s">
        <v>70</v>
      </c>
      <c r="C73" s="54" t="s">
        <v>33</v>
      </c>
      <c r="D73" s="54" t="s">
        <v>34</v>
      </c>
      <c r="I73" s="51"/>
      <c r="J73" s="53" t="s">
        <v>70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s="54" customFormat="1" ht="12" x14ac:dyDescent="0.2">
      <c r="A74" s="53">
        <v>109</v>
      </c>
      <c r="B74" s="53" t="s">
        <v>148</v>
      </c>
      <c r="C74" s="54" t="s">
        <v>410</v>
      </c>
      <c r="D74" s="54" t="s">
        <v>34</v>
      </c>
      <c r="I74" s="51"/>
      <c r="J74" s="53" t="s">
        <v>148</v>
      </c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</row>
    <row r="75" spans="1:31" s="54" customFormat="1" ht="12" x14ac:dyDescent="0.2">
      <c r="A75" s="53">
        <v>1090</v>
      </c>
      <c r="B75" s="53" t="s">
        <v>148</v>
      </c>
      <c r="C75" s="54" t="s">
        <v>410</v>
      </c>
      <c r="D75" s="54" t="s">
        <v>34</v>
      </c>
      <c r="I75" s="51"/>
      <c r="J75" s="53" t="s">
        <v>148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</row>
    <row r="76" spans="1:31" s="54" customFormat="1" ht="12" x14ac:dyDescent="0.2">
      <c r="A76" s="53">
        <v>109003</v>
      </c>
      <c r="B76" s="53" t="s">
        <v>149</v>
      </c>
      <c r="C76" s="54" t="s">
        <v>33</v>
      </c>
      <c r="D76" s="54" t="s">
        <v>34</v>
      </c>
      <c r="I76" s="51"/>
      <c r="J76" s="53" t="s">
        <v>149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1:31" s="54" customFormat="1" ht="12" x14ac:dyDescent="0.2">
      <c r="A77" s="53">
        <v>11</v>
      </c>
      <c r="B77" s="53" t="s">
        <v>150</v>
      </c>
      <c r="C77" s="54" t="s">
        <v>410</v>
      </c>
      <c r="D77" s="54" t="s">
        <v>34</v>
      </c>
      <c r="I77" s="51"/>
      <c r="J77" s="53" t="s">
        <v>150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1:31" s="54" customFormat="1" ht="12" x14ac:dyDescent="0.2">
      <c r="A78" s="53">
        <v>110</v>
      </c>
      <c r="B78" s="53" t="s">
        <v>151</v>
      </c>
      <c r="C78" s="54" t="s">
        <v>410</v>
      </c>
      <c r="D78" s="54" t="s">
        <v>34</v>
      </c>
      <c r="I78" s="51"/>
      <c r="J78" s="53" t="s">
        <v>151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79" spans="1:31" s="54" customFormat="1" ht="12" x14ac:dyDescent="0.2">
      <c r="A79" s="53">
        <v>1101</v>
      </c>
      <c r="B79" s="53" t="s">
        <v>152</v>
      </c>
      <c r="C79" s="54" t="s">
        <v>410</v>
      </c>
      <c r="D79" s="54" t="s">
        <v>34</v>
      </c>
      <c r="I79" s="51"/>
      <c r="J79" s="53" t="s">
        <v>152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</row>
    <row r="80" spans="1:31" s="54" customFormat="1" ht="12" x14ac:dyDescent="0.2">
      <c r="A80" s="53">
        <v>110101</v>
      </c>
      <c r="B80" s="53" t="s">
        <v>71</v>
      </c>
      <c r="C80" s="54" t="s">
        <v>33</v>
      </c>
      <c r="D80" s="54" t="s">
        <v>34</v>
      </c>
      <c r="I80" s="51"/>
      <c r="J80" s="53" t="s">
        <v>71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</row>
    <row r="81" spans="1:34" s="54" customFormat="1" ht="12" x14ac:dyDescent="0.2">
      <c r="A81" s="53">
        <v>110102</v>
      </c>
      <c r="B81" s="53" t="s">
        <v>72</v>
      </c>
      <c r="C81" s="54" t="s">
        <v>33</v>
      </c>
      <c r="D81" s="54" t="s">
        <v>34</v>
      </c>
      <c r="I81" s="51"/>
      <c r="J81" s="53" t="s">
        <v>72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</row>
    <row r="82" spans="1:34" s="54" customFormat="1" ht="12" x14ac:dyDescent="0.2">
      <c r="A82" s="53">
        <v>110103</v>
      </c>
      <c r="B82" s="53" t="s">
        <v>153</v>
      </c>
      <c r="C82" s="54" t="s">
        <v>33</v>
      </c>
      <c r="D82" s="54" t="s">
        <v>34</v>
      </c>
      <c r="I82" s="51"/>
      <c r="J82" s="53" t="s">
        <v>153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1:34" s="54" customFormat="1" ht="12" x14ac:dyDescent="0.2">
      <c r="A83" s="53">
        <v>1102</v>
      </c>
      <c r="B83" s="53" t="s">
        <v>154</v>
      </c>
      <c r="C83" s="54" t="s">
        <v>410</v>
      </c>
      <c r="D83" s="54" t="s">
        <v>34</v>
      </c>
      <c r="I83" s="51"/>
      <c r="J83" s="53" t="s">
        <v>154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1:34" s="54" customFormat="1" ht="12" x14ac:dyDescent="0.2">
      <c r="A84" s="53">
        <v>110201</v>
      </c>
      <c r="B84" s="53" t="s">
        <v>155</v>
      </c>
      <c r="C84" s="54" t="s">
        <v>33</v>
      </c>
      <c r="D84" s="54" t="s">
        <v>34</v>
      </c>
      <c r="I84" s="51"/>
      <c r="J84" s="53" t="s">
        <v>155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</row>
    <row r="85" spans="1:34" s="54" customFormat="1" ht="12" x14ac:dyDescent="0.2">
      <c r="A85" s="53">
        <v>1105</v>
      </c>
      <c r="B85" s="53" t="s">
        <v>176</v>
      </c>
      <c r="C85" s="54" t="s">
        <v>410</v>
      </c>
      <c r="D85" s="54" t="s">
        <v>34</v>
      </c>
      <c r="I85" s="51"/>
      <c r="J85" s="53" t="s">
        <v>176</v>
      </c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1:34" s="54" customFormat="1" ht="12" x14ac:dyDescent="0.2">
      <c r="A86" s="53">
        <v>110501</v>
      </c>
      <c r="B86" s="53" t="s">
        <v>156</v>
      </c>
      <c r="C86" s="54" t="s">
        <v>33</v>
      </c>
      <c r="D86" s="54" t="s">
        <v>34</v>
      </c>
      <c r="I86" s="51"/>
      <c r="J86" s="53" t="s">
        <v>156</v>
      </c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1:34" s="54" customFormat="1" ht="12" x14ac:dyDescent="0.2">
      <c r="A87" s="53">
        <v>1106</v>
      </c>
      <c r="B87" s="53" t="s">
        <v>73</v>
      </c>
      <c r="C87" s="54" t="s">
        <v>410</v>
      </c>
      <c r="D87" s="54" t="s">
        <v>34</v>
      </c>
      <c r="I87" s="51"/>
      <c r="J87" s="53" t="s">
        <v>73</v>
      </c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</row>
    <row r="88" spans="1:34" s="54" customFormat="1" ht="12" x14ac:dyDescent="0.2">
      <c r="A88" s="53">
        <v>110601</v>
      </c>
      <c r="B88" s="53" t="s">
        <v>73</v>
      </c>
      <c r="C88" s="54" t="s">
        <v>33</v>
      </c>
      <c r="D88" s="54" t="s">
        <v>34</v>
      </c>
      <c r="I88" s="51"/>
      <c r="J88" s="53" t="s">
        <v>73</v>
      </c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</row>
    <row r="89" spans="1:34" s="54" customFormat="1" ht="12" x14ac:dyDescent="0.2">
      <c r="A89" s="53">
        <v>13</v>
      </c>
      <c r="B89" s="53" t="s">
        <v>157</v>
      </c>
      <c r="C89" s="54" t="s">
        <v>410</v>
      </c>
      <c r="D89" s="54" t="s">
        <v>34</v>
      </c>
      <c r="I89" s="51"/>
      <c r="J89" s="53" t="s">
        <v>157</v>
      </c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</row>
    <row r="90" spans="1:34" s="54" customFormat="1" ht="12" x14ac:dyDescent="0.2">
      <c r="A90" s="53">
        <v>131</v>
      </c>
      <c r="B90" s="53" t="s">
        <v>158</v>
      </c>
      <c r="C90" s="54" t="s">
        <v>410</v>
      </c>
      <c r="D90" s="54" t="s">
        <v>34</v>
      </c>
      <c r="I90" s="51"/>
      <c r="J90" s="53" t="s">
        <v>158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</row>
    <row r="91" spans="1:34" s="54" customFormat="1" ht="12" x14ac:dyDescent="0.2">
      <c r="A91" s="53">
        <v>1310</v>
      </c>
      <c r="B91" s="53" t="s">
        <v>159</v>
      </c>
      <c r="C91" s="54" t="s">
        <v>410</v>
      </c>
      <c r="D91" s="54" t="s">
        <v>34</v>
      </c>
      <c r="I91" s="51"/>
      <c r="J91" s="53" t="s">
        <v>159</v>
      </c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</row>
    <row r="92" spans="1:34" s="54" customFormat="1" ht="12" x14ac:dyDescent="0.2">
      <c r="A92" s="53">
        <v>131001</v>
      </c>
      <c r="B92" s="53" t="s">
        <v>74</v>
      </c>
      <c r="C92" s="54" t="s">
        <v>33</v>
      </c>
      <c r="D92" s="54" t="s">
        <v>34</v>
      </c>
      <c r="I92" s="51"/>
      <c r="J92" s="53" t="s">
        <v>74</v>
      </c>
      <c r="K92" s="51"/>
      <c r="L92" s="51" t="s">
        <v>44</v>
      </c>
      <c r="M92" s="51"/>
      <c r="N92" s="51" t="s">
        <v>44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H92" s="51"/>
    </row>
    <row r="93" spans="1:34" s="54" customFormat="1" ht="12" x14ac:dyDescent="0.2">
      <c r="A93" s="53">
        <v>131002</v>
      </c>
      <c r="B93" s="53" t="s">
        <v>75</v>
      </c>
      <c r="C93" s="54" t="s">
        <v>33</v>
      </c>
      <c r="D93" s="54" t="s">
        <v>34</v>
      </c>
      <c r="I93" s="51"/>
      <c r="J93" s="53" t="s">
        <v>75</v>
      </c>
      <c r="K93" s="51"/>
      <c r="L93" s="51" t="s">
        <v>44</v>
      </c>
      <c r="M93" s="51"/>
      <c r="N93" s="51" t="s">
        <v>44</v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H93" s="51"/>
    </row>
    <row r="94" spans="1:34" s="54" customFormat="1" ht="12" x14ac:dyDescent="0.2">
      <c r="A94" s="53">
        <v>131003</v>
      </c>
      <c r="B94" s="53" t="s">
        <v>76</v>
      </c>
      <c r="C94" s="54" t="s">
        <v>33</v>
      </c>
      <c r="D94" s="54" t="s">
        <v>34</v>
      </c>
      <c r="I94" s="51"/>
      <c r="J94" s="53" t="s">
        <v>76</v>
      </c>
      <c r="K94" s="51"/>
      <c r="L94" s="51" t="s">
        <v>44</v>
      </c>
      <c r="M94" s="51"/>
      <c r="N94" s="51" t="s">
        <v>44</v>
      </c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H94" s="51"/>
    </row>
    <row r="95" spans="1:34" s="54" customFormat="1" ht="12" x14ac:dyDescent="0.2">
      <c r="A95" s="53">
        <v>131004</v>
      </c>
      <c r="B95" s="53" t="s">
        <v>77</v>
      </c>
      <c r="C95" s="54" t="s">
        <v>33</v>
      </c>
      <c r="D95" s="54" t="s">
        <v>34</v>
      </c>
      <c r="I95" s="51"/>
      <c r="J95" s="53" t="s">
        <v>77</v>
      </c>
      <c r="K95" s="51"/>
      <c r="L95" s="51" t="s">
        <v>44</v>
      </c>
      <c r="M95" s="51"/>
      <c r="N95" s="51" t="s">
        <v>44</v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H95" s="51"/>
    </row>
    <row r="96" spans="1:34" s="54" customFormat="1" ht="12" x14ac:dyDescent="0.2">
      <c r="A96" s="53">
        <v>131005</v>
      </c>
      <c r="B96" s="53" t="s">
        <v>78</v>
      </c>
      <c r="C96" s="54" t="s">
        <v>33</v>
      </c>
      <c r="D96" s="54" t="s">
        <v>34</v>
      </c>
      <c r="I96" s="51"/>
      <c r="J96" s="53" t="s">
        <v>78</v>
      </c>
      <c r="K96" s="51"/>
      <c r="L96" s="51" t="s">
        <v>44</v>
      </c>
      <c r="M96" s="51"/>
      <c r="N96" s="51" t="s">
        <v>44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H96" s="51"/>
    </row>
    <row r="97" spans="1:34" s="54" customFormat="1" ht="12" x14ac:dyDescent="0.2">
      <c r="A97" s="53">
        <v>131006</v>
      </c>
      <c r="B97" s="53" t="s">
        <v>160</v>
      </c>
      <c r="C97" s="54" t="s">
        <v>33</v>
      </c>
      <c r="D97" s="54" t="s">
        <v>34</v>
      </c>
      <c r="I97" s="51"/>
      <c r="J97" s="53" t="s">
        <v>160</v>
      </c>
      <c r="K97" s="51"/>
      <c r="L97" s="51" t="s">
        <v>44</v>
      </c>
      <c r="M97" s="51"/>
      <c r="N97" s="51" t="s">
        <v>44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H97" s="51"/>
    </row>
    <row r="98" spans="1:34" s="54" customFormat="1" ht="12" x14ac:dyDescent="0.2">
      <c r="A98" s="53">
        <v>131007</v>
      </c>
      <c r="B98" s="53" t="s">
        <v>161</v>
      </c>
      <c r="C98" s="54" t="s">
        <v>33</v>
      </c>
      <c r="D98" s="54" t="s">
        <v>34</v>
      </c>
      <c r="I98" s="51"/>
      <c r="J98" s="53" t="s">
        <v>161</v>
      </c>
      <c r="K98" s="51"/>
      <c r="L98" s="51" t="s">
        <v>44</v>
      </c>
      <c r="M98" s="51"/>
      <c r="N98" s="51" t="s">
        <v>44</v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H98" s="51"/>
    </row>
    <row r="99" spans="1:34" s="54" customFormat="1" ht="12" x14ac:dyDescent="0.2">
      <c r="A99" s="53">
        <v>131008</v>
      </c>
      <c r="B99" s="53" t="s">
        <v>162</v>
      </c>
      <c r="C99" s="54" t="s">
        <v>33</v>
      </c>
      <c r="D99" s="54" t="s">
        <v>34</v>
      </c>
      <c r="I99" s="51"/>
      <c r="J99" s="53" t="s">
        <v>162</v>
      </c>
      <c r="K99" s="51"/>
      <c r="L99" s="51" t="s">
        <v>44</v>
      </c>
      <c r="M99" s="51"/>
      <c r="N99" s="51" t="s">
        <v>44</v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H99" s="51"/>
    </row>
    <row r="100" spans="1:34" s="54" customFormat="1" ht="12" x14ac:dyDescent="0.2">
      <c r="A100" s="53">
        <v>131010</v>
      </c>
      <c r="B100" s="53" t="s">
        <v>163</v>
      </c>
      <c r="C100" s="54" t="s">
        <v>33</v>
      </c>
      <c r="D100" s="54" t="s">
        <v>34</v>
      </c>
      <c r="I100" s="51"/>
      <c r="J100" s="53" t="s">
        <v>163</v>
      </c>
      <c r="K100" s="51"/>
      <c r="L100" s="51" t="s">
        <v>44</v>
      </c>
      <c r="M100" s="51"/>
      <c r="N100" s="51" t="s">
        <v>44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H100" s="51"/>
    </row>
    <row r="101" spans="1:34" s="54" customFormat="1" ht="12" x14ac:dyDescent="0.2">
      <c r="A101" s="53">
        <v>131012</v>
      </c>
      <c r="B101" s="53" t="s">
        <v>164</v>
      </c>
      <c r="C101" s="54" t="s">
        <v>33</v>
      </c>
      <c r="D101" s="54" t="s">
        <v>34</v>
      </c>
      <c r="I101" s="51"/>
      <c r="J101" s="53" t="s">
        <v>164</v>
      </c>
      <c r="K101" s="51"/>
      <c r="L101" s="51" t="s">
        <v>44</v>
      </c>
      <c r="M101" s="51"/>
      <c r="N101" s="51" t="s">
        <v>44</v>
      </c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H101" s="51"/>
    </row>
    <row r="102" spans="1:34" s="54" customFormat="1" ht="12" x14ac:dyDescent="0.2">
      <c r="A102" s="53">
        <v>131013</v>
      </c>
      <c r="B102" s="53" t="s">
        <v>165</v>
      </c>
      <c r="C102" s="54" t="s">
        <v>33</v>
      </c>
      <c r="D102" s="54" t="s">
        <v>34</v>
      </c>
      <c r="I102" s="51"/>
      <c r="J102" s="53" t="s">
        <v>165</v>
      </c>
      <c r="K102" s="51"/>
      <c r="L102" s="51" t="s">
        <v>44</v>
      </c>
      <c r="M102" s="51"/>
      <c r="N102" s="51" t="s">
        <v>44</v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H102" s="51"/>
    </row>
    <row r="103" spans="1:34" s="54" customFormat="1" ht="12" x14ac:dyDescent="0.2">
      <c r="A103" s="53">
        <v>1311</v>
      </c>
      <c r="B103" s="53" t="s">
        <v>166</v>
      </c>
      <c r="C103" s="54" t="s">
        <v>410</v>
      </c>
      <c r="D103" s="54" t="s">
        <v>43</v>
      </c>
      <c r="I103" s="51"/>
      <c r="J103" s="53" t="s">
        <v>166</v>
      </c>
      <c r="K103" s="51"/>
      <c r="L103" s="51" t="s">
        <v>44</v>
      </c>
      <c r="M103" s="51"/>
      <c r="N103" s="51" t="s">
        <v>44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H103" s="51"/>
    </row>
    <row r="104" spans="1:34" s="54" customFormat="1" ht="12" x14ac:dyDescent="0.2">
      <c r="A104" s="53">
        <v>131101</v>
      </c>
      <c r="B104" s="53" t="s">
        <v>79</v>
      </c>
      <c r="C104" s="54" t="s">
        <v>33</v>
      </c>
      <c r="D104" s="54" t="s">
        <v>43</v>
      </c>
      <c r="I104" s="51"/>
      <c r="J104" s="53" t="s">
        <v>79</v>
      </c>
      <c r="K104" s="51"/>
      <c r="L104" s="51" t="s">
        <v>44</v>
      </c>
      <c r="M104" s="51"/>
      <c r="N104" s="51" t="s">
        <v>44</v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H104" s="51"/>
    </row>
    <row r="105" spans="1:34" s="54" customFormat="1" ht="12" x14ac:dyDescent="0.2">
      <c r="A105" s="53">
        <v>131102</v>
      </c>
      <c r="B105" s="53" t="s">
        <v>80</v>
      </c>
      <c r="C105" s="54" t="s">
        <v>33</v>
      </c>
      <c r="D105" s="54" t="s">
        <v>43</v>
      </c>
      <c r="I105" s="51"/>
      <c r="J105" s="53" t="s">
        <v>80</v>
      </c>
      <c r="K105" s="51"/>
      <c r="L105" s="51" t="s">
        <v>44</v>
      </c>
      <c r="M105" s="51"/>
      <c r="N105" s="51" t="s">
        <v>44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H105" s="51"/>
    </row>
    <row r="106" spans="1:34" s="54" customFormat="1" ht="12" x14ac:dyDescent="0.2">
      <c r="A106" s="53">
        <v>131103</v>
      </c>
      <c r="B106" s="53" t="s">
        <v>81</v>
      </c>
      <c r="C106" s="54" t="s">
        <v>33</v>
      </c>
      <c r="D106" s="54" t="s">
        <v>43</v>
      </c>
      <c r="I106" s="51"/>
      <c r="J106" s="53" t="s">
        <v>81</v>
      </c>
      <c r="K106" s="51"/>
      <c r="L106" s="51" t="s">
        <v>44</v>
      </c>
      <c r="M106" s="51"/>
      <c r="N106" s="51" t="s">
        <v>44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H106" s="51"/>
    </row>
    <row r="107" spans="1:34" s="54" customFormat="1" ht="12" x14ac:dyDescent="0.2">
      <c r="A107" s="53">
        <v>131104</v>
      </c>
      <c r="B107" s="53" t="s">
        <v>82</v>
      </c>
      <c r="C107" s="54" t="s">
        <v>33</v>
      </c>
      <c r="D107" s="54" t="s">
        <v>43</v>
      </c>
      <c r="I107" s="51"/>
      <c r="J107" s="53" t="s">
        <v>82</v>
      </c>
      <c r="K107" s="51"/>
      <c r="L107" s="51" t="s">
        <v>44</v>
      </c>
      <c r="M107" s="51"/>
      <c r="N107" s="51" t="s">
        <v>44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H107" s="51"/>
    </row>
    <row r="108" spans="1:34" s="54" customFormat="1" ht="12" x14ac:dyDescent="0.2">
      <c r="A108" s="53">
        <v>131105</v>
      </c>
      <c r="B108" s="53" t="s">
        <v>83</v>
      </c>
      <c r="C108" s="54" t="s">
        <v>33</v>
      </c>
      <c r="D108" s="54" t="s">
        <v>43</v>
      </c>
      <c r="I108" s="51"/>
      <c r="J108" s="53" t="s">
        <v>83</v>
      </c>
      <c r="K108" s="51"/>
      <c r="L108" s="51" t="s">
        <v>44</v>
      </c>
      <c r="M108" s="51"/>
      <c r="N108" s="51" t="s">
        <v>44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H108" s="51"/>
    </row>
    <row r="109" spans="1:34" s="54" customFormat="1" ht="12" x14ac:dyDescent="0.2">
      <c r="A109" s="53">
        <v>131106</v>
      </c>
      <c r="B109" s="53" t="s">
        <v>167</v>
      </c>
      <c r="C109" s="54" t="s">
        <v>33</v>
      </c>
      <c r="D109" s="54" t="s">
        <v>43</v>
      </c>
      <c r="I109" s="51"/>
      <c r="J109" s="53" t="s">
        <v>167</v>
      </c>
      <c r="K109" s="51"/>
      <c r="L109" s="51" t="s">
        <v>44</v>
      </c>
      <c r="M109" s="51"/>
      <c r="N109" s="51" t="s">
        <v>44</v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H109" s="51"/>
    </row>
    <row r="110" spans="1:34" s="54" customFormat="1" ht="12" x14ac:dyDescent="0.2">
      <c r="A110" s="53">
        <v>131107</v>
      </c>
      <c r="B110" s="53" t="s">
        <v>168</v>
      </c>
      <c r="C110" s="54" t="s">
        <v>33</v>
      </c>
      <c r="D110" s="54" t="s">
        <v>43</v>
      </c>
      <c r="I110" s="51"/>
      <c r="J110" s="53" t="s">
        <v>168</v>
      </c>
      <c r="K110" s="51"/>
      <c r="L110" s="51" t="s">
        <v>44</v>
      </c>
      <c r="M110" s="51"/>
      <c r="N110" s="51" t="s">
        <v>44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H110" s="51"/>
    </row>
    <row r="111" spans="1:34" s="54" customFormat="1" ht="12" x14ac:dyDescent="0.2">
      <c r="A111" s="53">
        <v>131108</v>
      </c>
      <c r="B111" s="53" t="s">
        <v>169</v>
      </c>
      <c r="C111" s="54" t="s">
        <v>33</v>
      </c>
      <c r="D111" s="54" t="s">
        <v>43</v>
      </c>
      <c r="I111" s="51"/>
      <c r="J111" s="53" t="s">
        <v>169</v>
      </c>
      <c r="K111" s="51"/>
      <c r="L111" s="51" t="s">
        <v>44</v>
      </c>
      <c r="M111" s="51"/>
      <c r="N111" s="51" t="s">
        <v>44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H111" s="51"/>
    </row>
    <row r="112" spans="1:34" s="54" customFormat="1" ht="12" x14ac:dyDescent="0.2">
      <c r="A112" s="53">
        <v>131110</v>
      </c>
      <c r="B112" s="53" t="s">
        <v>170</v>
      </c>
      <c r="C112" s="54" t="s">
        <v>33</v>
      </c>
      <c r="D112" s="54" t="s">
        <v>43</v>
      </c>
      <c r="I112" s="51"/>
      <c r="J112" s="53" t="s">
        <v>170</v>
      </c>
      <c r="K112" s="51"/>
      <c r="L112" s="51" t="s">
        <v>44</v>
      </c>
      <c r="M112" s="51"/>
      <c r="N112" s="51" t="s">
        <v>44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H112" s="51"/>
    </row>
    <row r="113" spans="1:34" s="54" customFormat="1" ht="12" x14ac:dyDescent="0.2">
      <c r="A113" s="53">
        <v>131112</v>
      </c>
      <c r="B113" s="53" t="s">
        <v>171</v>
      </c>
      <c r="C113" s="54" t="s">
        <v>33</v>
      </c>
      <c r="D113" s="54" t="s">
        <v>43</v>
      </c>
      <c r="I113" s="51"/>
      <c r="J113" s="53" t="s">
        <v>171</v>
      </c>
      <c r="K113" s="51"/>
      <c r="L113" s="51" t="s">
        <v>44</v>
      </c>
      <c r="M113" s="51"/>
      <c r="N113" s="51" t="s">
        <v>44</v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H113" s="51"/>
    </row>
    <row r="114" spans="1:34" s="54" customFormat="1" ht="12" x14ac:dyDescent="0.2">
      <c r="A114" s="53">
        <v>131113</v>
      </c>
      <c r="B114" s="53" t="s">
        <v>172</v>
      </c>
      <c r="C114" s="54" t="s">
        <v>33</v>
      </c>
      <c r="D114" s="54" t="s">
        <v>43</v>
      </c>
      <c r="I114" s="51"/>
      <c r="J114" s="53" t="s">
        <v>172</v>
      </c>
      <c r="K114" s="51"/>
      <c r="L114" s="51" t="s">
        <v>44</v>
      </c>
      <c r="M114" s="51"/>
      <c r="N114" s="51" t="s">
        <v>44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H114" s="51"/>
    </row>
    <row r="115" spans="1:34" s="54" customFormat="1" ht="12" x14ac:dyDescent="0.2">
      <c r="A115" s="53">
        <v>1312</v>
      </c>
      <c r="B115" s="53" t="s">
        <v>173</v>
      </c>
      <c r="C115" s="54" t="s">
        <v>410</v>
      </c>
      <c r="D115" s="54" t="s">
        <v>34</v>
      </c>
      <c r="I115" s="51"/>
      <c r="J115" s="53" t="s">
        <v>173</v>
      </c>
      <c r="K115" s="51"/>
      <c r="L115" s="51" t="s">
        <v>44</v>
      </c>
      <c r="M115" s="51"/>
      <c r="N115" s="51" t="s">
        <v>44</v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</row>
    <row r="116" spans="1:34" s="54" customFormat="1" ht="12" x14ac:dyDescent="0.2">
      <c r="A116" s="53">
        <v>131201</v>
      </c>
      <c r="B116" s="53" t="s">
        <v>174</v>
      </c>
      <c r="C116" s="54" t="s">
        <v>33</v>
      </c>
      <c r="D116" s="54" t="s">
        <v>34</v>
      </c>
      <c r="I116" s="51"/>
      <c r="J116" s="53" t="s">
        <v>174</v>
      </c>
      <c r="K116" s="51"/>
      <c r="L116" s="51" t="s">
        <v>44</v>
      </c>
      <c r="M116" s="51"/>
      <c r="N116" s="51" t="s">
        <v>44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</row>
    <row r="117" spans="1:34" s="54" customFormat="1" ht="12" x14ac:dyDescent="0.2">
      <c r="A117" s="53">
        <v>131202</v>
      </c>
      <c r="B117" s="53" t="s">
        <v>175</v>
      </c>
      <c r="C117" s="54" t="s">
        <v>33</v>
      </c>
      <c r="D117" s="54" t="s">
        <v>34</v>
      </c>
      <c r="I117" s="51"/>
      <c r="J117" s="53" t="s">
        <v>175</v>
      </c>
      <c r="K117" s="51"/>
      <c r="L117" s="51" t="s">
        <v>44</v>
      </c>
      <c r="M117" s="51"/>
      <c r="N117" s="51" t="s">
        <v>44</v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1:34" s="54" customFormat="1" ht="12" x14ac:dyDescent="0.2">
      <c r="A118" s="53">
        <v>132</v>
      </c>
      <c r="B118" s="53" t="s">
        <v>176</v>
      </c>
      <c r="C118" s="54" t="s">
        <v>410</v>
      </c>
      <c r="D118" s="54" t="s">
        <v>34</v>
      </c>
      <c r="I118" s="51"/>
      <c r="J118" s="53" t="s">
        <v>176</v>
      </c>
      <c r="K118" s="51"/>
      <c r="L118" s="51" t="s">
        <v>44</v>
      </c>
      <c r="M118" s="51"/>
      <c r="N118" s="51" t="s">
        <v>44</v>
      </c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</row>
    <row r="119" spans="1:34" s="54" customFormat="1" ht="12" x14ac:dyDescent="0.2">
      <c r="A119" s="53">
        <v>1321</v>
      </c>
      <c r="B119" s="53" t="s">
        <v>84</v>
      </c>
      <c r="C119" s="54" t="s">
        <v>410</v>
      </c>
      <c r="D119" s="54" t="s">
        <v>34</v>
      </c>
      <c r="I119" s="51"/>
      <c r="J119" s="53" t="s">
        <v>84</v>
      </c>
      <c r="K119" s="51"/>
      <c r="L119" s="51" t="s">
        <v>44</v>
      </c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</row>
    <row r="120" spans="1:34" s="54" customFormat="1" ht="12" x14ac:dyDescent="0.2">
      <c r="A120" s="53">
        <v>132101</v>
      </c>
      <c r="B120" s="53" t="s">
        <v>84</v>
      </c>
      <c r="C120" s="54" t="s">
        <v>33</v>
      </c>
      <c r="D120" s="54" t="s">
        <v>34</v>
      </c>
      <c r="I120" s="51"/>
      <c r="J120" s="53" t="s">
        <v>84</v>
      </c>
      <c r="K120" s="51"/>
      <c r="L120" s="51" t="s">
        <v>44</v>
      </c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spans="1:34" s="54" customFormat="1" ht="12" x14ac:dyDescent="0.2">
      <c r="A121" s="53">
        <v>1322</v>
      </c>
      <c r="B121" s="53" t="s">
        <v>85</v>
      </c>
      <c r="C121" s="54" t="s">
        <v>410</v>
      </c>
      <c r="D121" s="54" t="s">
        <v>43</v>
      </c>
      <c r="I121" s="51"/>
      <c r="J121" s="53" t="s">
        <v>85</v>
      </c>
      <c r="K121" s="51"/>
      <c r="L121" s="51" t="s">
        <v>44</v>
      </c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spans="1:34" s="54" customFormat="1" ht="12" x14ac:dyDescent="0.2">
      <c r="A122" s="53">
        <v>132201</v>
      </c>
      <c r="B122" s="53" t="s">
        <v>85</v>
      </c>
      <c r="C122" s="54" t="s">
        <v>33</v>
      </c>
      <c r="D122" s="54" t="s">
        <v>43</v>
      </c>
      <c r="I122" s="51"/>
      <c r="J122" s="53" t="s">
        <v>85</v>
      </c>
      <c r="K122" s="51"/>
      <c r="L122" s="51" t="s">
        <v>44</v>
      </c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spans="1:34" s="54" customFormat="1" ht="12" x14ac:dyDescent="0.2">
      <c r="A123" s="53">
        <v>1323</v>
      </c>
      <c r="B123" s="53" t="s">
        <v>86</v>
      </c>
      <c r="C123" s="54" t="s">
        <v>410</v>
      </c>
      <c r="D123" s="54" t="s">
        <v>34</v>
      </c>
      <c r="I123" s="51"/>
      <c r="J123" s="53" t="s">
        <v>86</v>
      </c>
      <c r="K123" s="51"/>
      <c r="L123" s="51" t="s">
        <v>44</v>
      </c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</row>
    <row r="124" spans="1:34" s="54" customFormat="1" ht="12" x14ac:dyDescent="0.2">
      <c r="A124" s="53">
        <v>132301</v>
      </c>
      <c r="B124" s="53" t="s">
        <v>86</v>
      </c>
      <c r="C124" s="54" t="s">
        <v>33</v>
      </c>
      <c r="D124" s="54" t="s">
        <v>34</v>
      </c>
      <c r="I124" s="51"/>
      <c r="J124" s="53" t="s">
        <v>86</v>
      </c>
      <c r="K124" s="51"/>
      <c r="L124" s="51" t="s">
        <v>44</v>
      </c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</row>
    <row r="125" spans="1:34" s="54" customFormat="1" ht="12" x14ac:dyDescent="0.2">
      <c r="A125" s="52">
        <v>2</v>
      </c>
      <c r="B125" s="53" t="s">
        <v>177</v>
      </c>
      <c r="C125" s="54" t="s">
        <v>410</v>
      </c>
      <c r="D125" s="54" t="s">
        <v>43</v>
      </c>
      <c r="I125" s="51"/>
      <c r="J125" s="53" t="s">
        <v>177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</row>
    <row r="126" spans="1:34" s="54" customFormat="1" ht="12" x14ac:dyDescent="0.2">
      <c r="A126" s="53">
        <v>20</v>
      </c>
      <c r="B126" s="53" t="s">
        <v>125</v>
      </c>
      <c r="C126" s="54" t="s">
        <v>410</v>
      </c>
      <c r="D126" s="54" t="s">
        <v>34</v>
      </c>
      <c r="I126" s="51"/>
      <c r="J126" s="53" t="s">
        <v>125</v>
      </c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</row>
    <row r="127" spans="1:34" s="54" customFormat="1" ht="12" x14ac:dyDescent="0.2">
      <c r="A127" s="53">
        <v>200</v>
      </c>
      <c r="B127" s="53" t="s">
        <v>125</v>
      </c>
      <c r="C127" s="54" t="s">
        <v>410</v>
      </c>
      <c r="D127" s="54" t="s">
        <v>34</v>
      </c>
      <c r="I127" s="51"/>
      <c r="J127" s="53" t="s">
        <v>125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</row>
    <row r="128" spans="1:34" s="54" customFormat="1" ht="12" x14ac:dyDescent="0.2">
      <c r="A128" s="53">
        <v>2000</v>
      </c>
      <c r="B128" s="53" t="s">
        <v>178</v>
      </c>
      <c r="C128" s="54" t="s">
        <v>410</v>
      </c>
      <c r="D128" s="54" t="s">
        <v>43</v>
      </c>
      <c r="I128" s="51"/>
      <c r="J128" s="53" t="s">
        <v>178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</row>
    <row r="129" spans="1:32" s="54" customFormat="1" ht="12" x14ac:dyDescent="0.2">
      <c r="A129" s="53">
        <v>200001</v>
      </c>
      <c r="B129" s="53" t="s">
        <v>87</v>
      </c>
      <c r="C129" s="54" t="s">
        <v>33</v>
      </c>
      <c r="D129" s="54" t="s">
        <v>43</v>
      </c>
      <c r="I129" s="51"/>
      <c r="J129" s="53" t="s">
        <v>87</v>
      </c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</row>
    <row r="130" spans="1:32" s="54" customFormat="1" ht="12" x14ac:dyDescent="0.2">
      <c r="A130" s="53">
        <v>200002</v>
      </c>
      <c r="B130" s="53" t="s">
        <v>88</v>
      </c>
      <c r="C130" s="54" t="s">
        <v>33</v>
      </c>
      <c r="D130" s="54" t="s">
        <v>43</v>
      </c>
      <c r="I130" s="51"/>
      <c r="J130" s="53" t="s">
        <v>88</v>
      </c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</row>
    <row r="131" spans="1:32" s="54" customFormat="1" ht="12" x14ac:dyDescent="0.2">
      <c r="A131" s="53">
        <v>200003</v>
      </c>
      <c r="B131" s="53" t="s">
        <v>89</v>
      </c>
      <c r="C131" s="54" t="s">
        <v>33</v>
      </c>
      <c r="D131" s="54" t="s">
        <v>43</v>
      </c>
      <c r="I131" s="51"/>
      <c r="J131" s="53" t="s">
        <v>89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</row>
    <row r="132" spans="1:32" s="54" customFormat="1" ht="12" x14ac:dyDescent="0.2">
      <c r="A132" s="53">
        <v>200004</v>
      </c>
      <c r="B132" s="53" t="s">
        <v>90</v>
      </c>
      <c r="C132" s="54" t="s">
        <v>33</v>
      </c>
      <c r="D132" s="54" t="s">
        <v>43</v>
      </c>
      <c r="I132" s="51"/>
      <c r="J132" s="53" t="s">
        <v>90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</row>
    <row r="133" spans="1:32" s="54" customFormat="1" ht="12" x14ac:dyDescent="0.2">
      <c r="A133" s="53">
        <v>200006</v>
      </c>
      <c r="B133" s="53" t="s">
        <v>179</v>
      </c>
      <c r="C133" s="54" t="s">
        <v>33</v>
      </c>
      <c r="D133" s="54" t="s">
        <v>43</v>
      </c>
      <c r="I133" s="51"/>
      <c r="J133" s="53" t="s">
        <v>179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</row>
    <row r="134" spans="1:32" s="54" customFormat="1" ht="12" x14ac:dyDescent="0.2">
      <c r="A134" s="53">
        <v>200007</v>
      </c>
      <c r="B134" s="53" t="s">
        <v>91</v>
      </c>
      <c r="C134" s="54" t="s">
        <v>33</v>
      </c>
      <c r="D134" s="54" t="s">
        <v>43</v>
      </c>
      <c r="I134" s="51"/>
      <c r="J134" s="53" t="s">
        <v>91</v>
      </c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</row>
    <row r="135" spans="1:32" s="54" customFormat="1" ht="12" x14ac:dyDescent="0.2">
      <c r="A135" s="53">
        <v>200008</v>
      </c>
      <c r="B135" s="53" t="s">
        <v>180</v>
      </c>
      <c r="C135" s="54" t="s">
        <v>33</v>
      </c>
      <c r="D135" s="54" t="s">
        <v>43</v>
      </c>
      <c r="I135" s="51"/>
      <c r="J135" s="53" t="s">
        <v>180</v>
      </c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</row>
    <row r="136" spans="1:32" s="54" customFormat="1" ht="12" x14ac:dyDescent="0.2">
      <c r="A136" s="53">
        <v>200009</v>
      </c>
      <c r="B136" s="53" t="s">
        <v>181</v>
      </c>
      <c r="C136" s="54" t="s">
        <v>33</v>
      </c>
      <c r="D136" s="54" t="s">
        <v>43</v>
      </c>
      <c r="I136" s="51"/>
      <c r="J136" s="53" t="s">
        <v>181</v>
      </c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spans="1:32" s="54" customFormat="1" ht="12" x14ac:dyDescent="0.2">
      <c r="A137" s="53">
        <v>200010</v>
      </c>
      <c r="B137" s="53" t="s">
        <v>182</v>
      </c>
      <c r="C137" s="54" t="s">
        <v>33</v>
      </c>
      <c r="D137" s="54" t="s">
        <v>43</v>
      </c>
      <c r="I137" s="51"/>
      <c r="J137" s="53" t="s">
        <v>182</v>
      </c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</row>
    <row r="138" spans="1:32" s="54" customFormat="1" ht="12" x14ac:dyDescent="0.2">
      <c r="A138" s="53">
        <v>200011</v>
      </c>
      <c r="B138" s="53" t="s">
        <v>183</v>
      </c>
      <c r="C138" s="54" t="s">
        <v>33</v>
      </c>
      <c r="D138" s="54" t="s">
        <v>43</v>
      </c>
      <c r="I138" s="51"/>
      <c r="J138" s="53" t="s">
        <v>183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</row>
    <row r="139" spans="1:32" s="54" customFormat="1" ht="12" x14ac:dyDescent="0.2">
      <c r="A139" s="53">
        <v>200012</v>
      </c>
      <c r="B139" s="53" t="s">
        <v>92</v>
      </c>
      <c r="C139" s="54" t="s">
        <v>33</v>
      </c>
      <c r="D139" s="54" t="s">
        <v>43</v>
      </c>
      <c r="I139" s="51"/>
      <c r="J139" s="53" t="s">
        <v>92</v>
      </c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</row>
    <row r="140" spans="1:32" s="54" customFormat="1" ht="12" x14ac:dyDescent="0.2">
      <c r="A140" s="53">
        <v>200013</v>
      </c>
      <c r="B140" s="53" t="s">
        <v>52</v>
      </c>
      <c r="C140" s="54" t="s">
        <v>33</v>
      </c>
      <c r="D140" s="54" t="s">
        <v>43</v>
      </c>
      <c r="I140" s="51"/>
      <c r="J140" s="53" t="s">
        <v>52</v>
      </c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</row>
    <row r="141" spans="1:32" s="54" customFormat="1" ht="12" x14ac:dyDescent="0.2">
      <c r="A141" s="53">
        <v>200020</v>
      </c>
      <c r="B141" s="53" t="s">
        <v>426</v>
      </c>
      <c r="C141" s="54" t="s">
        <v>33</v>
      </c>
      <c r="D141" s="54" t="s">
        <v>43</v>
      </c>
      <c r="I141" s="51"/>
      <c r="J141" s="53" t="s">
        <v>426</v>
      </c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2" spans="1:32" s="54" customFormat="1" ht="12" x14ac:dyDescent="0.2">
      <c r="A142" s="53">
        <v>201</v>
      </c>
      <c r="B142" s="53" t="s">
        <v>184</v>
      </c>
      <c r="C142" s="54" t="s">
        <v>410</v>
      </c>
      <c r="D142" s="54" t="s">
        <v>43</v>
      </c>
      <c r="I142" s="51"/>
      <c r="J142" s="53" t="s">
        <v>184</v>
      </c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</row>
    <row r="143" spans="1:32" s="54" customFormat="1" ht="12" x14ac:dyDescent="0.2">
      <c r="A143" s="53">
        <v>2011</v>
      </c>
      <c r="B143" s="53" t="s">
        <v>184</v>
      </c>
      <c r="C143" s="54" t="s">
        <v>410</v>
      </c>
      <c r="D143" s="54" t="s">
        <v>43</v>
      </c>
      <c r="I143" s="51"/>
      <c r="J143" s="53" t="s">
        <v>184</v>
      </c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</row>
    <row r="144" spans="1:32" s="54" customFormat="1" ht="12" x14ac:dyDescent="0.2">
      <c r="A144" s="53">
        <v>201101</v>
      </c>
      <c r="B144" s="53" t="s">
        <v>93</v>
      </c>
      <c r="C144" s="54" t="s">
        <v>33</v>
      </c>
      <c r="D144" s="54" t="s">
        <v>43</v>
      </c>
      <c r="I144" s="51"/>
      <c r="J144" s="53" t="s">
        <v>93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</row>
    <row r="145" spans="1:34" s="54" customFormat="1" ht="12" x14ac:dyDescent="0.2">
      <c r="A145" s="53">
        <v>201103</v>
      </c>
      <c r="B145" s="53" t="s">
        <v>94</v>
      </c>
      <c r="C145" s="54" t="s">
        <v>33</v>
      </c>
      <c r="D145" s="54" t="s">
        <v>43</v>
      </c>
      <c r="I145" s="51"/>
      <c r="J145" s="53" t="s">
        <v>94</v>
      </c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</row>
    <row r="146" spans="1:34" s="54" customFormat="1" ht="12" x14ac:dyDescent="0.2">
      <c r="A146" s="53">
        <v>201104</v>
      </c>
      <c r="B146" s="53" t="s">
        <v>95</v>
      </c>
      <c r="C146" s="54" t="s">
        <v>33</v>
      </c>
      <c r="D146" s="54" t="s">
        <v>43</v>
      </c>
      <c r="I146" s="51"/>
      <c r="J146" s="53" t="s">
        <v>95</v>
      </c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</row>
    <row r="147" spans="1:34" s="54" customFormat="1" ht="12" x14ac:dyDescent="0.2">
      <c r="A147" s="53">
        <v>201105</v>
      </c>
      <c r="B147" s="53" t="s">
        <v>96</v>
      </c>
      <c r="C147" s="54" t="s">
        <v>33</v>
      </c>
      <c r="D147" s="54" t="s">
        <v>43</v>
      </c>
      <c r="I147" s="51"/>
      <c r="J147" s="53" t="s">
        <v>96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</row>
    <row r="148" spans="1:34" s="54" customFormat="1" ht="12" x14ac:dyDescent="0.2">
      <c r="A148" s="53">
        <v>201106</v>
      </c>
      <c r="B148" s="53" t="s">
        <v>97</v>
      </c>
      <c r="C148" s="54" t="s">
        <v>33</v>
      </c>
      <c r="D148" s="54" t="s">
        <v>43</v>
      </c>
      <c r="I148" s="51"/>
      <c r="J148" s="53" t="s">
        <v>97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</row>
    <row r="149" spans="1:34" s="54" customFormat="1" ht="12" x14ac:dyDescent="0.2">
      <c r="A149" s="53">
        <v>201107</v>
      </c>
      <c r="B149" s="53" t="s">
        <v>427</v>
      </c>
      <c r="C149" s="54" t="s">
        <v>33</v>
      </c>
      <c r="D149" s="54" t="s">
        <v>43</v>
      </c>
      <c r="I149" s="51"/>
      <c r="J149" s="53" t="s">
        <v>427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</row>
    <row r="150" spans="1:34" s="54" customFormat="1" ht="12" x14ac:dyDescent="0.2">
      <c r="A150" s="53">
        <v>201108</v>
      </c>
      <c r="B150" s="53" t="s">
        <v>98</v>
      </c>
      <c r="C150" s="54" t="s">
        <v>33</v>
      </c>
      <c r="D150" s="54" t="s">
        <v>43</v>
      </c>
      <c r="I150" s="51"/>
      <c r="J150" s="53" t="s">
        <v>98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</row>
    <row r="151" spans="1:34" s="54" customFormat="1" ht="12" x14ac:dyDescent="0.2">
      <c r="A151" s="53">
        <v>201109</v>
      </c>
      <c r="B151" s="53" t="s">
        <v>99</v>
      </c>
      <c r="C151" s="54" t="s">
        <v>33</v>
      </c>
      <c r="D151" s="54" t="s">
        <v>43</v>
      </c>
      <c r="I151" s="51"/>
      <c r="J151" s="53" t="s">
        <v>99</v>
      </c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</row>
    <row r="152" spans="1:34" s="54" customFormat="1" ht="12" x14ac:dyDescent="0.2">
      <c r="A152" s="53">
        <v>201111</v>
      </c>
      <c r="B152" s="53" t="s">
        <v>185</v>
      </c>
      <c r="C152" s="54" t="s">
        <v>33</v>
      </c>
      <c r="D152" s="54" t="s">
        <v>43</v>
      </c>
      <c r="I152" s="51"/>
      <c r="J152" s="53" t="s">
        <v>185</v>
      </c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</row>
    <row r="153" spans="1:34" s="54" customFormat="1" ht="12" x14ac:dyDescent="0.2">
      <c r="A153" s="53">
        <v>201112</v>
      </c>
      <c r="B153" s="53" t="s">
        <v>100</v>
      </c>
      <c r="C153" s="54" t="s">
        <v>33</v>
      </c>
      <c r="D153" s="54" t="s">
        <v>43</v>
      </c>
      <c r="I153" s="51"/>
      <c r="J153" s="53" t="s">
        <v>100</v>
      </c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</row>
    <row r="154" spans="1:34" s="54" customFormat="1" ht="12" x14ac:dyDescent="0.2">
      <c r="A154" s="53">
        <v>201113</v>
      </c>
      <c r="B154" s="53" t="s">
        <v>101</v>
      </c>
      <c r="C154" s="54" t="s">
        <v>33</v>
      </c>
      <c r="D154" s="54" t="s">
        <v>43</v>
      </c>
      <c r="I154" s="51"/>
      <c r="J154" s="53" t="s">
        <v>101</v>
      </c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</row>
    <row r="155" spans="1:34" s="54" customFormat="1" ht="12" x14ac:dyDescent="0.2">
      <c r="A155" s="53">
        <v>201114</v>
      </c>
      <c r="B155" s="53" t="s">
        <v>102</v>
      </c>
      <c r="C155" s="54" t="s">
        <v>33</v>
      </c>
      <c r="D155" s="54" t="s">
        <v>43</v>
      </c>
      <c r="I155" s="51"/>
      <c r="J155" s="53" t="s">
        <v>102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</row>
    <row r="156" spans="1:34" s="54" customFormat="1" ht="12" x14ac:dyDescent="0.2">
      <c r="A156" s="53">
        <v>202</v>
      </c>
      <c r="B156" s="53" t="s">
        <v>186</v>
      </c>
      <c r="C156" s="54" t="s">
        <v>410</v>
      </c>
      <c r="D156" s="54" t="s">
        <v>43</v>
      </c>
      <c r="I156" s="51"/>
      <c r="J156" s="53" t="s">
        <v>186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</row>
    <row r="157" spans="1:34" s="54" customFormat="1" ht="12" x14ac:dyDescent="0.2">
      <c r="A157" s="53">
        <v>2021</v>
      </c>
      <c r="B157" s="53" t="s">
        <v>186</v>
      </c>
      <c r="C157" s="54" t="s">
        <v>410</v>
      </c>
      <c r="D157" s="54" t="s">
        <v>43</v>
      </c>
      <c r="I157" s="51"/>
      <c r="J157" s="53" t="s">
        <v>186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</row>
    <row r="158" spans="1:34" s="54" customFormat="1" ht="12" x14ac:dyDescent="0.2">
      <c r="A158" s="53">
        <v>202101</v>
      </c>
      <c r="B158" s="53" t="s">
        <v>103</v>
      </c>
      <c r="C158" s="54" t="s">
        <v>33</v>
      </c>
      <c r="D158" s="54" t="s">
        <v>43</v>
      </c>
      <c r="I158" s="51"/>
      <c r="J158" s="53" t="s">
        <v>103</v>
      </c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</row>
    <row r="159" spans="1:34" s="54" customFormat="1" ht="12" x14ac:dyDescent="0.2">
      <c r="A159" s="53">
        <v>202102</v>
      </c>
      <c r="B159" s="53" t="s">
        <v>104</v>
      </c>
      <c r="C159" s="54" t="s">
        <v>33</v>
      </c>
      <c r="D159" s="54" t="s">
        <v>43</v>
      </c>
      <c r="I159" s="51"/>
      <c r="J159" s="53" t="s">
        <v>104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H159" s="51"/>
    </row>
    <row r="160" spans="1:34" s="54" customFormat="1" ht="12" x14ac:dyDescent="0.2">
      <c r="A160" s="53">
        <v>202103</v>
      </c>
      <c r="B160" s="53" t="s">
        <v>105</v>
      </c>
      <c r="C160" s="54" t="s">
        <v>33</v>
      </c>
      <c r="D160" s="54" t="s">
        <v>43</v>
      </c>
      <c r="I160" s="51"/>
      <c r="J160" s="53" t="s">
        <v>105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</row>
    <row r="161" spans="1:31" s="54" customFormat="1" ht="12" x14ac:dyDescent="0.2">
      <c r="A161" s="53">
        <v>202104</v>
      </c>
      <c r="B161" s="53" t="s">
        <v>106</v>
      </c>
      <c r="C161" s="54" t="s">
        <v>33</v>
      </c>
      <c r="D161" s="54" t="s">
        <v>43</v>
      </c>
      <c r="I161" s="51"/>
      <c r="J161" s="53" t="s">
        <v>106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</row>
    <row r="162" spans="1:31" s="54" customFormat="1" ht="12" x14ac:dyDescent="0.2">
      <c r="A162" s="53">
        <v>202105</v>
      </c>
      <c r="B162" s="53" t="s">
        <v>107</v>
      </c>
      <c r="C162" s="54" t="s">
        <v>33</v>
      </c>
      <c r="D162" s="54" t="s">
        <v>43</v>
      </c>
      <c r="I162" s="51"/>
      <c r="J162" s="53" t="s">
        <v>107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</row>
    <row r="163" spans="1:31" s="54" customFormat="1" ht="12" x14ac:dyDescent="0.2">
      <c r="A163" s="53">
        <v>202106</v>
      </c>
      <c r="B163" s="53" t="s">
        <v>108</v>
      </c>
      <c r="C163" s="54" t="s">
        <v>33</v>
      </c>
      <c r="D163" s="54" t="s">
        <v>43</v>
      </c>
      <c r="I163" s="51"/>
      <c r="J163" s="53" t="s">
        <v>108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</row>
    <row r="164" spans="1:31" s="54" customFormat="1" ht="12" x14ac:dyDescent="0.2">
      <c r="A164" s="53">
        <v>202107</v>
      </c>
      <c r="B164" s="53" t="s">
        <v>109</v>
      </c>
      <c r="C164" s="54" t="s">
        <v>33</v>
      </c>
      <c r="D164" s="54" t="s">
        <v>43</v>
      </c>
      <c r="I164" s="51"/>
      <c r="J164" s="53" t="s">
        <v>109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</row>
    <row r="165" spans="1:31" s="54" customFormat="1" ht="12" x14ac:dyDescent="0.2">
      <c r="A165" s="53">
        <v>202109</v>
      </c>
      <c r="B165" s="53" t="s">
        <v>187</v>
      </c>
      <c r="C165" s="54" t="s">
        <v>33</v>
      </c>
      <c r="D165" s="54" t="s">
        <v>43</v>
      </c>
      <c r="I165" s="51"/>
      <c r="J165" s="53" t="s">
        <v>187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</row>
    <row r="166" spans="1:31" s="54" customFormat="1" ht="12" x14ac:dyDescent="0.2">
      <c r="A166" s="53">
        <v>202110</v>
      </c>
      <c r="B166" s="53" t="s">
        <v>110</v>
      </c>
      <c r="C166" s="54" t="s">
        <v>33</v>
      </c>
      <c r="D166" s="54" t="s">
        <v>43</v>
      </c>
      <c r="I166" s="51"/>
      <c r="J166" s="53" t="s">
        <v>110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</row>
    <row r="167" spans="1:31" s="54" customFormat="1" ht="12" x14ac:dyDescent="0.2">
      <c r="A167" s="53">
        <v>202111</v>
      </c>
      <c r="B167" s="53" t="s">
        <v>111</v>
      </c>
      <c r="C167" s="54" t="s">
        <v>33</v>
      </c>
      <c r="D167" s="54" t="s">
        <v>43</v>
      </c>
      <c r="I167" s="51"/>
      <c r="J167" s="53" t="s">
        <v>111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</row>
    <row r="168" spans="1:31" s="54" customFormat="1" ht="12" x14ac:dyDescent="0.2">
      <c r="A168" s="53">
        <v>202112</v>
      </c>
      <c r="B168" s="53" t="s">
        <v>112</v>
      </c>
      <c r="C168" s="54" t="s">
        <v>33</v>
      </c>
      <c r="D168" s="54" t="s">
        <v>43</v>
      </c>
      <c r="I168" s="51"/>
      <c r="J168" s="53" t="s">
        <v>112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</row>
    <row r="169" spans="1:31" s="54" customFormat="1" ht="12" x14ac:dyDescent="0.2">
      <c r="A169" s="53">
        <v>202113</v>
      </c>
      <c r="B169" s="53" t="s">
        <v>113</v>
      </c>
      <c r="C169" s="54" t="s">
        <v>33</v>
      </c>
      <c r="D169" s="54" t="s">
        <v>43</v>
      </c>
      <c r="I169" s="51"/>
      <c r="J169" s="53" t="s">
        <v>113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</row>
    <row r="170" spans="1:31" s="54" customFormat="1" ht="12" x14ac:dyDescent="0.2">
      <c r="A170" s="53">
        <v>202114</v>
      </c>
      <c r="B170" s="53" t="s">
        <v>114</v>
      </c>
      <c r="C170" s="54" t="s">
        <v>33</v>
      </c>
      <c r="D170" s="54" t="s">
        <v>43</v>
      </c>
      <c r="I170" s="51"/>
      <c r="J170" s="53" t="s">
        <v>114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</row>
    <row r="171" spans="1:31" s="54" customFormat="1" ht="12" x14ac:dyDescent="0.2">
      <c r="A171" s="53">
        <v>203</v>
      </c>
      <c r="B171" s="53" t="s">
        <v>119</v>
      </c>
      <c r="C171" s="54" t="s">
        <v>410</v>
      </c>
      <c r="D171" s="54" t="s">
        <v>43</v>
      </c>
      <c r="I171" s="51"/>
      <c r="J171" s="53" t="s">
        <v>119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</row>
    <row r="172" spans="1:31" s="54" customFormat="1" ht="12" x14ac:dyDescent="0.2">
      <c r="A172" s="53">
        <v>2031</v>
      </c>
      <c r="B172" s="53" t="s">
        <v>119</v>
      </c>
      <c r="C172" s="54" t="s">
        <v>410</v>
      </c>
      <c r="D172" s="54" t="s">
        <v>43</v>
      </c>
      <c r="I172" s="51"/>
      <c r="J172" s="53" t="s">
        <v>119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</row>
    <row r="173" spans="1:31" s="54" customFormat="1" ht="12" x14ac:dyDescent="0.2">
      <c r="A173" s="53">
        <v>203101</v>
      </c>
      <c r="B173" s="53" t="s">
        <v>115</v>
      </c>
      <c r="C173" s="54" t="s">
        <v>33</v>
      </c>
      <c r="D173" s="54" t="s">
        <v>43</v>
      </c>
      <c r="I173" s="51"/>
      <c r="J173" s="53" t="s">
        <v>115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</row>
    <row r="174" spans="1:31" s="54" customFormat="1" ht="12" x14ac:dyDescent="0.2">
      <c r="A174" s="53">
        <v>203102</v>
      </c>
      <c r="B174" s="53" t="s">
        <v>116</v>
      </c>
      <c r="C174" s="54" t="s">
        <v>33</v>
      </c>
      <c r="D174" s="54" t="s">
        <v>43</v>
      </c>
      <c r="I174" s="51"/>
      <c r="J174" s="53" t="s">
        <v>116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</row>
    <row r="175" spans="1:31" s="54" customFormat="1" ht="12" x14ac:dyDescent="0.2">
      <c r="A175" s="53">
        <v>204</v>
      </c>
      <c r="B175" s="53" t="s">
        <v>117</v>
      </c>
      <c r="C175" s="54" t="s">
        <v>410</v>
      </c>
      <c r="D175" s="54" t="s">
        <v>43</v>
      </c>
      <c r="I175" s="51"/>
      <c r="J175" s="53" t="s">
        <v>117</v>
      </c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</row>
    <row r="176" spans="1:31" s="54" customFormat="1" ht="12" x14ac:dyDescent="0.2">
      <c r="A176" s="53">
        <v>2041</v>
      </c>
      <c r="B176" s="53" t="s">
        <v>117</v>
      </c>
      <c r="C176" s="54" t="s">
        <v>410</v>
      </c>
      <c r="D176" s="54" t="s">
        <v>43</v>
      </c>
      <c r="I176" s="51"/>
      <c r="J176" s="53" t="s">
        <v>117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</row>
    <row r="177" spans="1:31" s="54" customFormat="1" ht="12" x14ac:dyDescent="0.2">
      <c r="A177" s="53">
        <v>204101</v>
      </c>
      <c r="B177" s="53" t="s">
        <v>117</v>
      </c>
      <c r="C177" s="54" t="s">
        <v>33</v>
      </c>
      <c r="D177" s="54" t="s">
        <v>43</v>
      </c>
      <c r="I177" s="51"/>
      <c r="J177" s="53" t="s">
        <v>117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</row>
    <row r="178" spans="1:31" s="54" customFormat="1" ht="12" x14ac:dyDescent="0.2">
      <c r="A178" s="53">
        <v>205</v>
      </c>
      <c r="B178" s="53" t="s">
        <v>188</v>
      </c>
      <c r="C178" s="54" t="s">
        <v>410</v>
      </c>
      <c r="D178" s="54" t="s">
        <v>43</v>
      </c>
      <c r="I178" s="51"/>
      <c r="J178" s="53" t="s">
        <v>188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</row>
    <row r="179" spans="1:31" s="54" customFormat="1" ht="12" x14ac:dyDescent="0.2">
      <c r="A179" s="53">
        <v>2051</v>
      </c>
      <c r="B179" s="53" t="s">
        <v>188</v>
      </c>
      <c r="C179" s="54" t="s">
        <v>410</v>
      </c>
      <c r="D179" s="54" t="s">
        <v>43</v>
      </c>
      <c r="I179" s="51"/>
      <c r="J179" s="53" t="s">
        <v>188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</row>
    <row r="180" spans="1:31" s="54" customFormat="1" ht="12" x14ac:dyDescent="0.2">
      <c r="A180" s="53">
        <v>205104</v>
      </c>
      <c r="B180" s="53" t="s">
        <v>36</v>
      </c>
      <c r="C180" s="54" t="s">
        <v>33</v>
      </c>
      <c r="D180" s="54" t="s">
        <v>34</v>
      </c>
      <c r="I180" s="51"/>
      <c r="J180" s="53" t="s">
        <v>36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</row>
    <row r="181" spans="1:31" s="54" customFormat="1" ht="12" x14ac:dyDescent="0.2">
      <c r="A181" s="53">
        <v>205105</v>
      </c>
      <c r="B181" s="53" t="s">
        <v>35</v>
      </c>
      <c r="C181" s="54" t="s">
        <v>33</v>
      </c>
      <c r="D181" s="54" t="s">
        <v>43</v>
      </c>
      <c r="I181" s="51"/>
      <c r="J181" s="53" t="s">
        <v>35</v>
      </c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</row>
    <row r="182" spans="1:31" s="54" customFormat="1" ht="12" x14ac:dyDescent="0.2">
      <c r="A182" s="53">
        <v>206</v>
      </c>
      <c r="B182" s="53" t="s">
        <v>189</v>
      </c>
      <c r="C182" s="54" t="s">
        <v>410</v>
      </c>
      <c r="D182" s="54" t="s">
        <v>43</v>
      </c>
      <c r="I182" s="51"/>
      <c r="J182" s="53" t="s">
        <v>189</v>
      </c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</row>
    <row r="183" spans="1:31" s="54" customFormat="1" ht="12" x14ac:dyDescent="0.2">
      <c r="A183" s="53">
        <v>2061</v>
      </c>
      <c r="B183" s="53" t="s">
        <v>189</v>
      </c>
      <c r="C183" s="54" t="s">
        <v>410</v>
      </c>
      <c r="D183" s="54" t="s">
        <v>43</v>
      </c>
      <c r="I183" s="51"/>
      <c r="J183" s="53" t="s">
        <v>189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</row>
    <row r="184" spans="1:31" s="54" customFormat="1" ht="12" x14ac:dyDescent="0.2">
      <c r="A184" s="53">
        <v>206105</v>
      </c>
      <c r="B184" s="53" t="s">
        <v>190</v>
      </c>
      <c r="C184" s="54" t="s">
        <v>33</v>
      </c>
      <c r="D184" s="54" t="s">
        <v>43</v>
      </c>
      <c r="I184" s="51"/>
      <c r="J184" s="53" t="s">
        <v>190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</row>
    <row r="185" spans="1:31" s="54" customFormat="1" ht="12" x14ac:dyDescent="0.2">
      <c r="A185" s="53">
        <v>209</v>
      </c>
      <c r="B185" s="53" t="s">
        <v>191</v>
      </c>
      <c r="C185" s="54" t="s">
        <v>410</v>
      </c>
      <c r="D185" s="54" t="s">
        <v>43</v>
      </c>
      <c r="I185" s="51"/>
      <c r="J185" s="53" t="s">
        <v>191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</row>
    <row r="186" spans="1:31" s="54" customFormat="1" ht="12" x14ac:dyDescent="0.2">
      <c r="A186" s="53">
        <v>2090</v>
      </c>
      <c r="B186" s="53" t="s">
        <v>191</v>
      </c>
      <c r="C186" s="54" t="s">
        <v>410</v>
      </c>
      <c r="D186" s="54" t="s">
        <v>43</v>
      </c>
      <c r="I186" s="51"/>
      <c r="J186" s="53" t="s">
        <v>191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</row>
    <row r="187" spans="1:31" s="54" customFormat="1" ht="12" x14ac:dyDescent="0.2">
      <c r="A187" s="53">
        <v>21</v>
      </c>
      <c r="B187" s="53" t="s">
        <v>150</v>
      </c>
      <c r="C187" s="54" t="s">
        <v>410</v>
      </c>
      <c r="D187" s="54" t="s">
        <v>34</v>
      </c>
      <c r="I187" s="51"/>
      <c r="J187" s="53" t="s">
        <v>150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</row>
    <row r="188" spans="1:31" s="54" customFormat="1" ht="12" x14ac:dyDescent="0.2">
      <c r="A188" s="53">
        <v>210</v>
      </c>
      <c r="B188" s="53" t="s">
        <v>192</v>
      </c>
      <c r="C188" s="54" t="s">
        <v>410</v>
      </c>
      <c r="D188" s="54" t="s">
        <v>43</v>
      </c>
      <c r="I188" s="51"/>
      <c r="J188" s="53" t="s">
        <v>192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</row>
    <row r="189" spans="1:31" s="54" customFormat="1" ht="12" x14ac:dyDescent="0.2">
      <c r="A189" s="53">
        <v>2101</v>
      </c>
      <c r="B189" s="53" t="s">
        <v>193</v>
      </c>
      <c r="C189" s="54" t="s">
        <v>410</v>
      </c>
      <c r="D189" s="54" t="s">
        <v>43</v>
      </c>
      <c r="I189" s="51"/>
      <c r="J189" s="53" t="s">
        <v>193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</row>
    <row r="190" spans="1:31" s="54" customFormat="1" ht="12" x14ac:dyDescent="0.2">
      <c r="A190" s="53">
        <v>210104</v>
      </c>
      <c r="B190" s="53" t="s">
        <v>36</v>
      </c>
      <c r="C190" s="54" t="s">
        <v>33</v>
      </c>
      <c r="D190" s="54" t="s">
        <v>34</v>
      </c>
      <c r="I190" s="51"/>
      <c r="J190" s="53" t="s">
        <v>36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</row>
    <row r="191" spans="1:31" s="54" customFormat="1" ht="12" x14ac:dyDescent="0.2">
      <c r="A191" s="53">
        <v>210105</v>
      </c>
      <c r="B191" s="53" t="s">
        <v>35</v>
      </c>
      <c r="C191" s="54" t="s">
        <v>33</v>
      </c>
      <c r="D191" s="54" t="s">
        <v>43</v>
      </c>
      <c r="I191" s="51"/>
      <c r="J191" s="53" t="s">
        <v>35</v>
      </c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</row>
    <row r="192" spans="1:31" s="54" customFormat="1" ht="12" x14ac:dyDescent="0.2">
      <c r="A192" s="53">
        <v>2102</v>
      </c>
      <c r="B192" s="53" t="s">
        <v>189</v>
      </c>
      <c r="C192" s="54" t="s">
        <v>410</v>
      </c>
      <c r="D192" s="54" t="s">
        <v>43</v>
      </c>
      <c r="I192" s="51"/>
      <c r="J192" s="53" t="s">
        <v>189</v>
      </c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</row>
    <row r="193" spans="1:31" s="54" customFormat="1" ht="12" x14ac:dyDescent="0.2">
      <c r="A193" s="53">
        <v>210205</v>
      </c>
      <c r="B193" s="53" t="s">
        <v>190</v>
      </c>
      <c r="C193" s="54" t="s">
        <v>33</v>
      </c>
      <c r="D193" s="54" t="s">
        <v>43</v>
      </c>
      <c r="I193" s="51"/>
      <c r="J193" s="53" t="s">
        <v>190</v>
      </c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</row>
    <row r="194" spans="1:31" s="54" customFormat="1" ht="12" x14ac:dyDescent="0.2">
      <c r="A194" s="53">
        <v>211</v>
      </c>
      <c r="B194" s="53" t="s">
        <v>194</v>
      </c>
      <c r="C194" s="54" t="s">
        <v>410</v>
      </c>
      <c r="D194" s="54" t="s">
        <v>43</v>
      </c>
      <c r="I194" s="51"/>
      <c r="J194" s="53" t="s">
        <v>194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</row>
    <row r="195" spans="1:31" s="54" customFormat="1" ht="12" x14ac:dyDescent="0.2">
      <c r="A195" s="53">
        <v>2110</v>
      </c>
      <c r="B195" s="53" t="s">
        <v>195</v>
      </c>
      <c r="C195" s="54" t="s">
        <v>410</v>
      </c>
      <c r="D195" s="54" t="s">
        <v>43</v>
      </c>
      <c r="I195" s="51"/>
      <c r="J195" s="53" t="s">
        <v>195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</row>
    <row r="196" spans="1:31" s="54" customFormat="1" ht="12" x14ac:dyDescent="0.2">
      <c r="A196" s="53">
        <v>211001</v>
      </c>
      <c r="B196" s="53" t="s">
        <v>196</v>
      </c>
      <c r="C196" s="54" t="s">
        <v>33</v>
      </c>
      <c r="D196" s="54" t="s">
        <v>43</v>
      </c>
      <c r="I196" s="51"/>
      <c r="J196" s="53" t="s">
        <v>196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</row>
    <row r="197" spans="1:31" s="54" customFormat="1" ht="12" x14ac:dyDescent="0.2">
      <c r="A197" s="53">
        <v>211002</v>
      </c>
      <c r="B197" s="53" t="s">
        <v>197</v>
      </c>
      <c r="C197" s="54" t="s">
        <v>33</v>
      </c>
      <c r="D197" s="54" t="s">
        <v>43</v>
      </c>
      <c r="I197" s="51"/>
      <c r="J197" s="53" t="s">
        <v>197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</row>
    <row r="198" spans="1:31" s="54" customFormat="1" ht="12" x14ac:dyDescent="0.2">
      <c r="A198" s="53">
        <v>212</v>
      </c>
      <c r="B198" s="53" t="s">
        <v>198</v>
      </c>
      <c r="C198" s="54" t="s">
        <v>410</v>
      </c>
      <c r="D198" s="54" t="s">
        <v>34</v>
      </c>
      <c r="I198" s="51"/>
      <c r="J198" s="53" t="s">
        <v>198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</row>
    <row r="199" spans="1:31" s="54" customFormat="1" ht="12" x14ac:dyDescent="0.2">
      <c r="A199" s="53">
        <v>2120</v>
      </c>
      <c r="B199" s="53" t="s">
        <v>198</v>
      </c>
      <c r="C199" s="54" t="s">
        <v>410</v>
      </c>
      <c r="D199" s="54" t="s">
        <v>34</v>
      </c>
      <c r="I199" s="51"/>
      <c r="J199" s="53" t="s">
        <v>198</v>
      </c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</row>
    <row r="200" spans="1:31" s="54" customFormat="1" ht="12" x14ac:dyDescent="0.2">
      <c r="A200" s="53">
        <v>212001</v>
      </c>
      <c r="B200" s="53" t="s">
        <v>118</v>
      </c>
      <c r="C200" s="54" t="s">
        <v>33</v>
      </c>
      <c r="D200" s="54" t="s">
        <v>34</v>
      </c>
      <c r="I200" s="51"/>
      <c r="J200" s="53" t="s">
        <v>118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</row>
    <row r="201" spans="1:31" s="54" customFormat="1" ht="12" x14ac:dyDescent="0.2">
      <c r="A201" s="53">
        <v>212004</v>
      </c>
      <c r="B201" s="53" t="s">
        <v>199</v>
      </c>
      <c r="C201" s="54" t="s">
        <v>33</v>
      </c>
      <c r="D201" s="54" t="s">
        <v>43</v>
      </c>
      <c r="I201" s="51"/>
      <c r="J201" s="53" t="s">
        <v>199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</row>
    <row r="202" spans="1:31" s="54" customFormat="1" ht="12" x14ac:dyDescent="0.2">
      <c r="A202" s="53">
        <v>212005</v>
      </c>
      <c r="B202" s="53" t="s">
        <v>200</v>
      </c>
      <c r="C202" s="54" t="s">
        <v>33</v>
      </c>
      <c r="D202" s="54" t="s">
        <v>43</v>
      </c>
      <c r="I202" s="51"/>
      <c r="J202" s="53" t="s">
        <v>200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</row>
    <row r="203" spans="1:31" s="54" customFormat="1" ht="12" x14ac:dyDescent="0.2">
      <c r="A203" s="53">
        <v>212006</v>
      </c>
      <c r="B203" s="53" t="s">
        <v>201</v>
      </c>
      <c r="C203" s="54" t="s">
        <v>33</v>
      </c>
      <c r="D203" s="54" t="s">
        <v>43</v>
      </c>
      <c r="I203" s="51"/>
      <c r="J203" s="53" t="s">
        <v>201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</row>
    <row r="204" spans="1:31" s="54" customFormat="1" ht="12" x14ac:dyDescent="0.2">
      <c r="A204" s="53">
        <v>212007</v>
      </c>
      <c r="B204" s="53" t="s">
        <v>119</v>
      </c>
      <c r="C204" s="54" t="s">
        <v>33</v>
      </c>
      <c r="D204" s="54" t="s">
        <v>43</v>
      </c>
      <c r="I204" s="51"/>
      <c r="J204" s="53" t="s">
        <v>119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1:31" s="54" customFormat="1" ht="12" x14ac:dyDescent="0.2">
      <c r="A205" s="53">
        <v>213</v>
      </c>
      <c r="B205" s="53" t="s">
        <v>202</v>
      </c>
      <c r="C205" s="54" t="s">
        <v>410</v>
      </c>
      <c r="D205" s="54" t="s">
        <v>43</v>
      </c>
      <c r="I205" s="51"/>
      <c r="J205" s="53" t="s">
        <v>202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</row>
    <row r="206" spans="1:31" s="54" customFormat="1" ht="12" x14ac:dyDescent="0.2">
      <c r="A206" s="53">
        <v>2130</v>
      </c>
      <c r="B206" s="53" t="s">
        <v>202</v>
      </c>
      <c r="C206" s="54" t="s">
        <v>410</v>
      </c>
      <c r="D206" s="54" t="s">
        <v>43</v>
      </c>
      <c r="I206" s="51"/>
      <c r="J206" s="53" t="s">
        <v>202</v>
      </c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</row>
    <row r="207" spans="1:31" s="54" customFormat="1" ht="12" x14ac:dyDescent="0.2">
      <c r="A207" s="53">
        <v>213001</v>
      </c>
      <c r="B207" s="53" t="s">
        <v>203</v>
      </c>
      <c r="C207" s="54" t="s">
        <v>33</v>
      </c>
      <c r="D207" s="54" t="s">
        <v>43</v>
      </c>
      <c r="I207" s="51"/>
      <c r="J207" s="53" t="s">
        <v>203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</row>
    <row r="208" spans="1:31" s="54" customFormat="1" ht="12" x14ac:dyDescent="0.2">
      <c r="A208" s="53">
        <v>27</v>
      </c>
      <c r="B208" s="53" t="s">
        <v>204</v>
      </c>
      <c r="C208" s="54" t="s">
        <v>410</v>
      </c>
      <c r="D208" s="54" t="s">
        <v>43</v>
      </c>
      <c r="I208" s="51"/>
      <c r="J208" s="53" t="s">
        <v>204</v>
      </c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</row>
    <row r="209" spans="1:31" s="54" customFormat="1" ht="12" x14ac:dyDescent="0.2">
      <c r="A209" s="53">
        <v>270</v>
      </c>
      <c r="B209" s="53" t="s">
        <v>205</v>
      </c>
      <c r="C209" s="54" t="s">
        <v>410</v>
      </c>
      <c r="D209" s="54" t="s">
        <v>43</v>
      </c>
      <c r="I209" s="51"/>
      <c r="J209" s="53" t="s">
        <v>205</v>
      </c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</row>
    <row r="210" spans="1:31" s="54" customFormat="1" ht="12" x14ac:dyDescent="0.2">
      <c r="A210" s="53">
        <v>2700</v>
      </c>
      <c r="B210" s="53" t="s">
        <v>205</v>
      </c>
      <c r="C210" s="54" t="s">
        <v>410</v>
      </c>
      <c r="D210" s="54" t="s">
        <v>43</v>
      </c>
      <c r="I210" s="51"/>
      <c r="J210" s="53" t="s">
        <v>205</v>
      </c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</row>
    <row r="211" spans="1:31" s="54" customFormat="1" ht="12" x14ac:dyDescent="0.2">
      <c r="A211" s="53">
        <v>270001</v>
      </c>
      <c r="B211" s="53" t="s">
        <v>205</v>
      </c>
      <c r="C211" s="54" t="s">
        <v>33</v>
      </c>
      <c r="D211" s="54" t="s">
        <v>43</v>
      </c>
      <c r="I211" s="51"/>
      <c r="J211" s="53" t="s">
        <v>205</v>
      </c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</row>
    <row r="212" spans="1:31" s="54" customFormat="1" ht="12" x14ac:dyDescent="0.2">
      <c r="A212" s="53">
        <v>271</v>
      </c>
      <c r="B212" s="53" t="s">
        <v>206</v>
      </c>
      <c r="C212" s="54" t="s">
        <v>410</v>
      </c>
      <c r="D212" s="54" t="s">
        <v>43</v>
      </c>
      <c r="I212" s="51"/>
      <c r="J212" s="53" t="s">
        <v>206</v>
      </c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</row>
    <row r="213" spans="1:31" s="54" customFormat="1" ht="12" x14ac:dyDescent="0.2">
      <c r="A213" s="53">
        <v>2710</v>
      </c>
      <c r="B213" s="53" t="s">
        <v>206</v>
      </c>
      <c r="C213" s="54" t="s">
        <v>410</v>
      </c>
      <c r="D213" s="54" t="s">
        <v>43</v>
      </c>
      <c r="I213" s="51"/>
      <c r="J213" s="53" t="s">
        <v>206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</row>
    <row r="214" spans="1:31" s="54" customFormat="1" ht="12" x14ac:dyDescent="0.2">
      <c r="A214" s="53">
        <v>271001</v>
      </c>
      <c r="B214" s="53" t="s">
        <v>207</v>
      </c>
      <c r="C214" s="54" t="s">
        <v>33</v>
      </c>
      <c r="D214" s="54" t="s">
        <v>43</v>
      </c>
      <c r="I214" s="51"/>
      <c r="J214" s="53" t="s">
        <v>207</v>
      </c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</row>
    <row r="215" spans="1:31" s="54" customFormat="1" ht="12" x14ac:dyDescent="0.2">
      <c r="A215" s="53">
        <v>272</v>
      </c>
      <c r="B215" s="53" t="s">
        <v>208</v>
      </c>
      <c r="C215" s="54" t="s">
        <v>410</v>
      </c>
      <c r="D215" s="54" t="s">
        <v>43</v>
      </c>
      <c r="I215" s="51"/>
      <c r="J215" s="53" t="s">
        <v>208</v>
      </c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</row>
    <row r="216" spans="1:31" s="54" customFormat="1" ht="12" x14ac:dyDescent="0.2">
      <c r="A216" s="53">
        <v>2720</v>
      </c>
      <c r="B216" s="53" t="s">
        <v>208</v>
      </c>
      <c r="C216" s="54" t="s">
        <v>410</v>
      </c>
      <c r="D216" s="54" t="s">
        <v>43</v>
      </c>
      <c r="I216" s="51"/>
      <c r="J216" s="53" t="s">
        <v>208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</row>
    <row r="217" spans="1:31" s="54" customFormat="1" ht="12" x14ac:dyDescent="0.2">
      <c r="A217" s="53">
        <v>272008</v>
      </c>
      <c r="B217" s="53" t="s">
        <v>209</v>
      </c>
      <c r="C217" s="54" t="s">
        <v>33</v>
      </c>
      <c r="D217" s="54" t="s">
        <v>43</v>
      </c>
      <c r="I217" s="51"/>
      <c r="J217" s="53" t="s">
        <v>209</v>
      </c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</row>
    <row r="218" spans="1:31" s="54" customFormat="1" ht="12" x14ac:dyDescent="0.2">
      <c r="A218" s="53">
        <v>272009</v>
      </c>
      <c r="B218" s="53" t="s">
        <v>210</v>
      </c>
      <c r="C218" s="54" t="s">
        <v>33</v>
      </c>
      <c r="D218" s="54" t="s">
        <v>43</v>
      </c>
      <c r="I218" s="51"/>
      <c r="J218" s="53" t="s">
        <v>210</v>
      </c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</row>
    <row r="219" spans="1:31" s="54" customFormat="1" ht="12" x14ac:dyDescent="0.2">
      <c r="A219" s="53">
        <v>272010</v>
      </c>
      <c r="B219" s="53" t="s">
        <v>211</v>
      </c>
      <c r="C219" s="54" t="s">
        <v>33</v>
      </c>
      <c r="D219" s="54" t="s">
        <v>43</v>
      </c>
      <c r="I219" s="51"/>
      <c r="J219" s="53" t="s">
        <v>211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</row>
    <row r="220" spans="1:31" s="54" customFormat="1" ht="12" x14ac:dyDescent="0.2">
      <c r="A220" s="53">
        <v>273</v>
      </c>
      <c r="B220" s="53" t="s">
        <v>212</v>
      </c>
      <c r="C220" s="54" t="s">
        <v>410</v>
      </c>
      <c r="D220" s="54" t="s">
        <v>34</v>
      </c>
      <c r="I220" s="51"/>
      <c r="J220" s="53" t="s">
        <v>212</v>
      </c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</row>
    <row r="221" spans="1:31" s="54" customFormat="1" ht="12" x14ac:dyDescent="0.2">
      <c r="A221" s="53">
        <v>2730</v>
      </c>
      <c r="B221" s="53" t="s">
        <v>213</v>
      </c>
      <c r="C221" s="54" t="s">
        <v>410</v>
      </c>
      <c r="D221" s="54" t="s">
        <v>34</v>
      </c>
      <c r="I221" s="51"/>
      <c r="J221" s="53" t="s">
        <v>213</v>
      </c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</row>
    <row r="222" spans="1:31" s="54" customFormat="1" ht="12" x14ac:dyDescent="0.2">
      <c r="A222" s="53">
        <v>273001</v>
      </c>
      <c r="B222" s="53" t="s">
        <v>213</v>
      </c>
      <c r="C222" s="54" t="s">
        <v>33</v>
      </c>
      <c r="D222" s="54" t="s">
        <v>34</v>
      </c>
      <c r="I222" s="51"/>
      <c r="J222" s="53" t="s">
        <v>213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</row>
    <row r="223" spans="1:31" s="54" customFormat="1" ht="12" x14ac:dyDescent="0.2">
      <c r="A223" s="53">
        <v>273002</v>
      </c>
      <c r="B223" s="53" t="s">
        <v>120</v>
      </c>
      <c r="C223" s="54" t="s">
        <v>33</v>
      </c>
      <c r="D223" s="54" t="s">
        <v>43</v>
      </c>
      <c r="I223" s="51"/>
      <c r="J223" s="53" t="s">
        <v>120</v>
      </c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</row>
    <row r="224" spans="1:31" s="54" customFormat="1" ht="12" x14ac:dyDescent="0.2">
      <c r="A224" s="52">
        <v>3</v>
      </c>
      <c r="B224" s="53" t="s">
        <v>214</v>
      </c>
      <c r="C224" s="54" t="s">
        <v>410</v>
      </c>
      <c r="D224" s="54" t="s">
        <v>34</v>
      </c>
      <c r="I224" s="51"/>
      <c r="J224" s="53" t="s">
        <v>214</v>
      </c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</row>
    <row r="225" spans="1:31" s="54" customFormat="1" ht="12" x14ac:dyDescent="0.2">
      <c r="A225" s="53">
        <v>30</v>
      </c>
      <c r="B225" s="53" t="s">
        <v>215</v>
      </c>
      <c r="C225" s="54" t="s">
        <v>410</v>
      </c>
      <c r="D225" s="54" t="s">
        <v>34</v>
      </c>
      <c r="I225" s="51"/>
      <c r="J225" s="53" t="s">
        <v>215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</row>
    <row r="226" spans="1:31" s="54" customFormat="1" ht="12" x14ac:dyDescent="0.2">
      <c r="A226" s="53">
        <v>300</v>
      </c>
      <c r="B226" s="53" t="s">
        <v>216</v>
      </c>
      <c r="C226" s="54" t="s">
        <v>410</v>
      </c>
      <c r="D226" s="54" t="s">
        <v>34</v>
      </c>
      <c r="I226" s="51"/>
      <c r="J226" s="53" t="s">
        <v>216</v>
      </c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</row>
    <row r="227" spans="1:31" s="54" customFormat="1" ht="12" x14ac:dyDescent="0.2">
      <c r="A227" s="53">
        <v>3000</v>
      </c>
      <c r="B227" s="53" t="s">
        <v>216</v>
      </c>
      <c r="C227" s="54" t="s">
        <v>410</v>
      </c>
      <c r="D227" s="54" t="s">
        <v>34</v>
      </c>
      <c r="I227" s="51"/>
      <c r="J227" s="53" t="s">
        <v>216</v>
      </c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</row>
    <row r="228" spans="1:31" s="54" customFormat="1" ht="12" x14ac:dyDescent="0.2">
      <c r="A228" s="53">
        <v>300001</v>
      </c>
      <c r="B228" s="53" t="s">
        <v>217</v>
      </c>
      <c r="C228" s="54" t="s">
        <v>33</v>
      </c>
      <c r="D228" s="54" t="s">
        <v>34</v>
      </c>
      <c r="I228" s="51"/>
      <c r="J228" s="53" t="s">
        <v>217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</row>
    <row r="229" spans="1:31" s="54" customFormat="1" ht="12" x14ac:dyDescent="0.2">
      <c r="A229" s="53">
        <v>300002</v>
      </c>
      <c r="B229" s="53" t="s">
        <v>218</v>
      </c>
      <c r="C229" s="54" t="s">
        <v>33</v>
      </c>
      <c r="D229" s="54" t="s">
        <v>34</v>
      </c>
      <c r="I229" s="51"/>
      <c r="J229" s="53" t="s">
        <v>218</v>
      </c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</row>
    <row r="230" spans="1:31" s="54" customFormat="1" ht="12" x14ac:dyDescent="0.2">
      <c r="A230" s="53">
        <v>300005</v>
      </c>
      <c r="B230" s="53" t="s">
        <v>219</v>
      </c>
      <c r="C230" s="54" t="s">
        <v>33</v>
      </c>
      <c r="D230" s="54" t="s">
        <v>34</v>
      </c>
      <c r="I230" s="51"/>
      <c r="J230" s="53" t="s">
        <v>219</v>
      </c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</row>
    <row r="231" spans="1:31" s="54" customFormat="1" ht="12" x14ac:dyDescent="0.2">
      <c r="A231" s="53">
        <v>300008</v>
      </c>
      <c r="B231" s="53" t="s">
        <v>220</v>
      </c>
      <c r="C231" s="54" t="s">
        <v>33</v>
      </c>
      <c r="D231" s="54" t="s">
        <v>34</v>
      </c>
      <c r="I231" s="51"/>
      <c r="J231" s="53" t="s">
        <v>220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</row>
    <row r="232" spans="1:31" s="54" customFormat="1" ht="12" x14ac:dyDescent="0.2">
      <c r="A232" s="53">
        <v>300009</v>
      </c>
      <c r="B232" s="53" t="s">
        <v>221</v>
      </c>
      <c r="C232" s="54" t="s">
        <v>33</v>
      </c>
      <c r="D232" s="54" t="s">
        <v>34</v>
      </c>
      <c r="I232" s="51"/>
      <c r="J232" s="53" t="s">
        <v>221</v>
      </c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</row>
    <row r="233" spans="1:31" s="54" customFormat="1" ht="12" x14ac:dyDescent="0.2">
      <c r="A233" s="53">
        <v>300010</v>
      </c>
      <c r="B233" s="53" t="s">
        <v>222</v>
      </c>
      <c r="C233" s="54" t="s">
        <v>33</v>
      </c>
      <c r="D233" s="54" t="s">
        <v>34</v>
      </c>
      <c r="I233" s="51"/>
      <c r="J233" s="53" t="s">
        <v>222</v>
      </c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</row>
    <row r="234" spans="1:31" s="54" customFormat="1" ht="12" x14ac:dyDescent="0.2">
      <c r="A234" s="53">
        <v>300011</v>
      </c>
      <c r="B234" s="53" t="s">
        <v>223</v>
      </c>
      <c r="C234" s="54" t="s">
        <v>33</v>
      </c>
      <c r="D234" s="54" t="s">
        <v>34</v>
      </c>
      <c r="I234" s="51"/>
      <c r="J234" s="53" t="s">
        <v>223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</row>
    <row r="235" spans="1:31" s="54" customFormat="1" ht="12" x14ac:dyDescent="0.2">
      <c r="A235" s="53">
        <v>300012</v>
      </c>
      <c r="B235" s="53" t="s">
        <v>224</v>
      </c>
      <c r="C235" s="54" t="s">
        <v>33</v>
      </c>
      <c r="D235" s="54" t="s">
        <v>34</v>
      </c>
      <c r="I235" s="51"/>
      <c r="J235" s="53" t="s">
        <v>224</v>
      </c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</row>
    <row r="236" spans="1:31" s="54" customFormat="1" ht="12" x14ac:dyDescent="0.2">
      <c r="A236" s="53">
        <v>300013</v>
      </c>
      <c r="B236" s="53" t="s">
        <v>225</v>
      </c>
      <c r="C236" s="54" t="s">
        <v>33</v>
      </c>
      <c r="D236" s="54" t="s">
        <v>34</v>
      </c>
      <c r="I236" s="51"/>
      <c r="J236" s="53" t="s">
        <v>225</v>
      </c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</row>
    <row r="237" spans="1:31" s="54" customFormat="1" ht="12" x14ac:dyDescent="0.2">
      <c r="A237" s="53">
        <v>300014</v>
      </c>
      <c r="B237" s="53" t="s">
        <v>226</v>
      </c>
      <c r="C237" s="54" t="s">
        <v>33</v>
      </c>
      <c r="D237" s="54" t="s">
        <v>34</v>
      </c>
      <c r="I237" s="51"/>
      <c r="J237" s="53" t="s">
        <v>226</v>
      </c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</row>
    <row r="238" spans="1:31" s="54" customFormat="1" ht="12" x14ac:dyDescent="0.2">
      <c r="A238" s="53">
        <v>300015</v>
      </c>
      <c r="B238" s="53" t="s">
        <v>227</v>
      </c>
      <c r="C238" s="54" t="s">
        <v>33</v>
      </c>
      <c r="D238" s="54" t="s">
        <v>34</v>
      </c>
      <c r="I238" s="51"/>
      <c r="J238" s="53" t="s">
        <v>227</v>
      </c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</row>
    <row r="239" spans="1:31" s="54" customFormat="1" ht="12" x14ac:dyDescent="0.2">
      <c r="A239" s="53">
        <v>300016</v>
      </c>
      <c r="B239" s="53" t="s">
        <v>228</v>
      </c>
      <c r="C239" s="54" t="s">
        <v>33</v>
      </c>
      <c r="D239" s="54" t="s">
        <v>34</v>
      </c>
      <c r="I239" s="51"/>
      <c r="J239" s="53" t="s">
        <v>228</v>
      </c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</row>
    <row r="240" spans="1:31" s="54" customFormat="1" ht="12" x14ac:dyDescent="0.2">
      <c r="A240" s="53">
        <v>300017</v>
      </c>
      <c r="B240" s="53" t="s">
        <v>229</v>
      </c>
      <c r="C240" s="54" t="s">
        <v>33</v>
      </c>
      <c r="D240" s="54" t="s">
        <v>34</v>
      </c>
      <c r="I240" s="51"/>
      <c r="J240" s="53" t="s">
        <v>229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</row>
    <row r="241" spans="1:31" s="54" customFormat="1" ht="12" x14ac:dyDescent="0.2">
      <c r="A241" s="53">
        <v>300018</v>
      </c>
      <c r="B241" s="53" t="s">
        <v>230</v>
      </c>
      <c r="C241" s="54" t="s">
        <v>33</v>
      </c>
      <c r="D241" s="54" t="s">
        <v>34</v>
      </c>
      <c r="I241" s="51"/>
      <c r="J241" s="53" t="s">
        <v>230</v>
      </c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</row>
    <row r="242" spans="1:31" s="54" customFormat="1" ht="12" x14ac:dyDescent="0.2">
      <c r="A242" s="53">
        <v>300019</v>
      </c>
      <c r="B242" s="53" t="s">
        <v>231</v>
      </c>
      <c r="C242" s="54" t="s">
        <v>33</v>
      </c>
      <c r="D242" s="54" t="s">
        <v>34</v>
      </c>
      <c r="I242" s="51"/>
      <c r="J242" s="53" t="s">
        <v>231</v>
      </c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</row>
    <row r="243" spans="1:31" s="54" customFormat="1" ht="12" x14ac:dyDescent="0.2">
      <c r="A243" s="53">
        <v>300021</v>
      </c>
      <c r="B243" s="53" t="s">
        <v>232</v>
      </c>
      <c r="C243" s="54" t="s">
        <v>33</v>
      </c>
      <c r="D243" s="54" t="s">
        <v>34</v>
      </c>
      <c r="I243" s="51"/>
      <c r="J243" s="53" t="s">
        <v>232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</row>
    <row r="244" spans="1:31" s="54" customFormat="1" ht="12" x14ac:dyDescent="0.2">
      <c r="A244" s="53">
        <v>300023</v>
      </c>
      <c r="B244" s="53" t="s">
        <v>233</v>
      </c>
      <c r="C244" s="54" t="s">
        <v>33</v>
      </c>
      <c r="D244" s="54" t="s">
        <v>34</v>
      </c>
      <c r="I244" s="51"/>
      <c r="J244" s="53" t="s">
        <v>233</v>
      </c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</row>
    <row r="245" spans="1:31" s="54" customFormat="1" ht="12" x14ac:dyDescent="0.2">
      <c r="A245" s="53">
        <v>300024</v>
      </c>
      <c r="B245" s="53" t="s">
        <v>234</v>
      </c>
      <c r="C245" s="54" t="s">
        <v>33</v>
      </c>
      <c r="D245" s="54" t="s">
        <v>34</v>
      </c>
      <c r="I245" s="51"/>
      <c r="J245" s="53" t="s">
        <v>234</v>
      </c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</row>
    <row r="246" spans="1:31" s="54" customFormat="1" ht="12" x14ac:dyDescent="0.2">
      <c r="A246" s="53">
        <v>300025</v>
      </c>
      <c r="B246" s="53" t="s">
        <v>235</v>
      </c>
      <c r="C246" s="54" t="s">
        <v>33</v>
      </c>
      <c r="D246" s="54" t="s">
        <v>34</v>
      </c>
      <c r="I246" s="51"/>
      <c r="J246" s="53" t="s">
        <v>235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</row>
    <row r="247" spans="1:31" s="54" customFormat="1" ht="12" x14ac:dyDescent="0.2">
      <c r="A247" s="53">
        <v>300026</v>
      </c>
      <c r="B247" s="53" t="s">
        <v>428</v>
      </c>
      <c r="C247" s="54" t="s">
        <v>33</v>
      </c>
      <c r="D247" s="54" t="s">
        <v>34</v>
      </c>
      <c r="I247" s="51"/>
      <c r="J247" s="53" t="s">
        <v>428</v>
      </c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</row>
    <row r="248" spans="1:31" s="54" customFormat="1" ht="12" x14ac:dyDescent="0.2">
      <c r="A248" s="53">
        <v>300077</v>
      </c>
      <c r="B248" s="53" t="s">
        <v>236</v>
      </c>
      <c r="C248" s="54" t="s">
        <v>33</v>
      </c>
      <c r="D248" s="54" t="s">
        <v>34</v>
      </c>
      <c r="I248" s="51"/>
      <c r="J248" s="53" t="s">
        <v>236</v>
      </c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</row>
    <row r="249" spans="1:31" s="54" customFormat="1" ht="12" x14ac:dyDescent="0.2">
      <c r="A249" s="53">
        <v>300080</v>
      </c>
      <c r="B249" s="53" t="s">
        <v>426</v>
      </c>
      <c r="C249" s="54" t="s">
        <v>33</v>
      </c>
      <c r="D249" s="54" t="s">
        <v>34</v>
      </c>
      <c r="I249" s="51"/>
      <c r="J249" s="53" t="s">
        <v>426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</row>
    <row r="250" spans="1:31" s="54" customFormat="1" ht="12" x14ac:dyDescent="0.2">
      <c r="A250" s="53">
        <v>3001</v>
      </c>
      <c r="B250" s="53" t="s">
        <v>237</v>
      </c>
      <c r="C250" s="54" t="s">
        <v>410</v>
      </c>
      <c r="D250" s="54" t="s">
        <v>34</v>
      </c>
      <c r="I250" s="51"/>
      <c r="J250" s="53" t="s">
        <v>237</v>
      </c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</row>
    <row r="251" spans="1:31" s="54" customFormat="1" ht="12" x14ac:dyDescent="0.2">
      <c r="A251" s="53">
        <v>300101</v>
      </c>
      <c r="B251" s="53" t="s">
        <v>238</v>
      </c>
      <c r="C251" s="54" t="s">
        <v>33</v>
      </c>
      <c r="D251" s="54" t="s">
        <v>34</v>
      </c>
      <c r="I251" s="51"/>
      <c r="J251" s="53" t="s">
        <v>238</v>
      </c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</row>
    <row r="252" spans="1:31" s="54" customFormat="1" ht="12" x14ac:dyDescent="0.2">
      <c r="A252" s="53">
        <v>300102</v>
      </c>
      <c r="B252" s="53" t="s">
        <v>239</v>
      </c>
      <c r="C252" s="54" t="s">
        <v>33</v>
      </c>
      <c r="D252" s="54" t="s">
        <v>34</v>
      </c>
      <c r="I252" s="51"/>
      <c r="J252" s="53" t="s">
        <v>239</v>
      </c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</row>
    <row r="253" spans="1:31" s="54" customFormat="1" ht="12" x14ac:dyDescent="0.2">
      <c r="A253" s="53">
        <v>303</v>
      </c>
      <c r="B253" s="53" t="s">
        <v>240</v>
      </c>
      <c r="C253" s="54" t="s">
        <v>410</v>
      </c>
      <c r="D253" s="54" t="s">
        <v>34</v>
      </c>
      <c r="I253" s="51"/>
      <c r="J253" s="53" t="s">
        <v>240</v>
      </c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</row>
    <row r="254" spans="1:31" s="54" customFormat="1" ht="12" x14ac:dyDescent="0.2">
      <c r="A254" s="53">
        <v>3030</v>
      </c>
      <c r="B254" s="53" t="s">
        <v>240</v>
      </c>
      <c r="C254" s="54" t="s">
        <v>410</v>
      </c>
      <c r="D254" s="54" t="s">
        <v>34</v>
      </c>
      <c r="I254" s="51"/>
      <c r="J254" s="53" t="s">
        <v>240</v>
      </c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</row>
    <row r="255" spans="1:31" s="54" customFormat="1" ht="12" x14ac:dyDescent="0.2">
      <c r="A255" s="53">
        <v>303001</v>
      </c>
      <c r="B255" s="53" t="s">
        <v>60</v>
      </c>
      <c r="C255" s="54" t="s">
        <v>33</v>
      </c>
      <c r="D255" s="54" t="s">
        <v>34</v>
      </c>
      <c r="I255" s="51"/>
      <c r="J255" s="53" t="s">
        <v>60</v>
      </c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</row>
    <row r="256" spans="1:31" s="54" customFormat="1" ht="12" x14ac:dyDescent="0.2">
      <c r="A256" s="53">
        <v>303002</v>
      </c>
      <c r="B256" s="53" t="s">
        <v>61</v>
      </c>
      <c r="C256" s="54" t="s">
        <v>33</v>
      </c>
      <c r="D256" s="54" t="s">
        <v>34</v>
      </c>
      <c r="I256" s="51"/>
      <c r="J256" s="53" t="s">
        <v>61</v>
      </c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</row>
    <row r="257" spans="1:31" s="54" customFormat="1" ht="12" x14ac:dyDescent="0.2">
      <c r="A257" s="53">
        <v>303003</v>
      </c>
      <c r="B257" s="53" t="s">
        <v>241</v>
      </c>
      <c r="C257" s="54" t="s">
        <v>33</v>
      </c>
      <c r="D257" s="54" t="s">
        <v>34</v>
      </c>
      <c r="I257" s="51"/>
      <c r="J257" s="53" t="s">
        <v>241</v>
      </c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</row>
    <row r="258" spans="1:31" s="54" customFormat="1" ht="12" x14ac:dyDescent="0.2">
      <c r="A258" s="53">
        <v>303004</v>
      </c>
      <c r="B258" s="53" t="s">
        <v>242</v>
      </c>
      <c r="C258" s="54" t="s">
        <v>33</v>
      </c>
      <c r="D258" s="54" t="s">
        <v>34</v>
      </c>
      <c r="I258" s="51"/>
      <c r="J258" s="53" t="s">
        <v>242</v>
      </c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</row>
    <row r="259" spans="1:31" s="54" customFormat="1" ht="12" x14ac:dyDescent="0.2">
      <c r="A259" s="53">
        <v>303005</v>
      </c>
      <c r="B259" s="53" t="s">
        <v>243</v>
      </c>
      <c r="C259" s="54" t="s">
        <v>33</v>
      </c>
      <c r="D259" s="54" t="s">
        <v>34</v>
      </c>
      <c r="I259" s="51"/>
      <c r="J259" s="53" t="s">
        <v>243</v>
      </c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</row>
    <row r="260" spans="1:31" s="54" customFormat="1" ht="12" x14ac:dyDescent="0.2">
      <c r="A260" s="53">
        <v>303006</v>
      </c>
      <c r="B260" s="53" t="s">
        <v>244</v>
      </c>
      <c r="C260" s="54" t="s">
        <v>33</v>
      </c>
      <c r="D260" s="54" t="s">
        <v>34</v>
      </c>
      <c r="I260" s="51"/>
      <c r="J260" s="53" t="s">
        <v>244</v>
      </c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</row>
    <row r="261" spans="1:31" s="54" customFormat="1" ht="12" x14ac:dyDescent="0.2">
      <c r="A261" s="53">
        <v>303007</v>
      </c>
      <c r="B261" s="53" t="s">
        <v>245</v>
      </c>
      <c r="C261" s="54" t="s">
        <v>33</v>
      </c>
      <c r="D261" s="54" t="s">
        <v>34</v>
      </c>
      <c r="I261" s="51"/>
      <c r="J261" s="53" t="s">
        <v>245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</row>
    <row r="262" spans="1:31" s="54" customFormat="1" ht="12" x14ac:dyDescent="0.2">
      <c r="A262" s="53">
        <v>303008</v>
      </c>
      <c r="B262" s="53" t="s">
        <v>246</v>
      </c>
      <c r="C262" s="54" t="s">
        <v>33</v>
      </c>
      <c r="D262" s="54" t="s">
        <v>34</v>
      </c>
      <c r="I262" s="51"/>
      <c r="J262" s="53" t="s">
        <v>246</v>
      </c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</row>
    <row r="263" spans="1:31" s="54" customFormat="1" ht="12" x14ac:dyDescent="0.2">
      <c r="A263" s="53">
        <v>303009</v>
      </c>
      <c r="B263" s="53" t="s">
        <v>182</v>
      </c>
      <c r="C263" s="54" t="s">
        <v>33</v>
      </c>
      <c r="D263" s="54" t="s">
        <v>43</v>
      </c>
      <c r="I263" s="51"/>
      <c r="J263" s="53" t="s">
        <v>182</v>
      </c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</row>
    <row r="264" spans="1:31" s="54" customFormat="1" ht="12" x14ac:dyDescent="0.2">
      <c r="A264" s="53">
        <v>303010</v>
      </c>
      <c r="B264" s="53" t="s">
        <v>247</v>
      </c>
      <c r="C264" s="54" t="s">
        <v>33</v>
      </c>
      <c r="D264" s="54" t="s">
        <v>34</v>
      </c>
      <c r="I264" s="51"/>
      <c r="J264" s="53" t="s">
        <v>247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</row>
    <row r="265" spans="1:31" s="54" customFormat="1" ht="12" x14ac:dyDescent="0.2">
      <c r="A265" s="53">
        <v>305</v>
      </c>
      <c r="B265" s="53" t="s">
        <v>248</v>
      </c>
      <c r="C265" s="54" t="s">
        <v>410</v>
      </c>
      <c r="D265" s="54" t="s">
        <v>34</v>
      </c>
      <c r="I265" s="51"/>
      <c r="J265" s="53" t="s">
        <v>248</v>
      </c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</row>
    <row r="266" spans="1:31" s="54" customFormat="1" ht="12" x14ac:dyDescent="0.2">
      <c r="A266" s="53">
        <v>3050</v>
      </c>
      <c r="B266" s="53" t="s">
        <v>249</v>
      </c>
      <c r="C266" s="54" t="s">
        <v>410</v>
      </c>
      <c r="D266" s="54" t="s">
        <v>34</v>
      </c>
      <c r="I266" s="51"/>
      <c r="J266" s="53" t="s">
        <v>249</v>
      </c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</row>
    <row r="267" spans="1:31" s="54" customFormat="1" ht="12" x14ac:dyDescent="0.2">
      <c r="A267" s="53">
        <v>305002</v>
      </c>
      <c r="B267" s="53" t="s">
        <v>61</v>
      </c>
      <c r="C267" s="54" t="s">
        <v>33</v>
      </c>
      <c r="D267" s="54" t="s">
        <v>34</v>
      </c>
      <c r="I267" s="51"/>
      <c r="J267" s="53" t="s">
        <v>61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</row>
    <row r="268" spans="1:31" s="54" customFormat="1" ht="12" x14ac:dyDescent="0.2">
      <c r="A268" s="53">
        <v>305003</v>
      </c>
      <c r="B268" s="53" t="s">
        <v>241</v>
      </c>
      <c r="C268" s="54" t="s">
        <v>33</v>
      </c>
      <c r="D268" s="54" t="s">
        <v>34</v>
      </c>
      <c r="I268" s="51"/>
      <c r="J268" s="53" t="s">
        <v>241</v>
      </c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</row>
    <row r="269" spans="1:31" s="54" customFormat="1" ht="12" x14ac:dyDescent="0.2">
      <c r="A269" s="53">
        <v>305004</v>
      </c>
      <c r="B269" s="53" t="s">
        <v>242</v>
      </c>
      <c r="C269" s="54" t="s">
        <v>33</v>
      </c>
      <c r="D269" s="54" t="s">
        <v>34</v>
      </c>
      <c r="I269" s="51"/>
      <c r="J269" s="53" t="s">
        <v>242</v>
      </c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</row>
    <row r="270" spans="1:31" s="54" customFormat="1" ht="12" x14ac:dyDescent="0.2">
      <c r="A270" s="53">
        <v>305007</v>
      </c>
      <c r="B270" s="53" t="s">
        <v>245</v>
      </c>
      <c r="C270" s="54" t="s">
        <v>33</v>
      </c>
      <c r="D270" s="54" t="s">
        <v>34</v>
      </c>
      <c r="I270" s="51"/>
      <c r="J270" s="53" t="s">
        <v>245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</row>
    <row r="271" spans="1:31" s="54" customFormat="1" ht="12" x14ac:dyDescent="0.2">
      <c r="A271" s="53">
        <v>305008</v>
      </c>
      <c r="B271" s="53" t="s">
        <v>246</v>
      </c>
      <c r="C271" s="54" t="s">
        <v>33</v>
      </c>
      <c r="D271" s="54" t="s">
        <v>34</v>
      </c>
      <c r="I271" s="51"/>
      <c r="J271" s="53" t="s">
        <v>246</v>
      </c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</row>
    <row r="272" spans="1:31" s="54" customFormat="1" ht="12" x14ac:dyDescent="0.2">
      <c r="A272" s="53">
        <v>305010</v>
      </c>
      <c r="B272" s="53" t="s">
        <v>247</v>
      </c>
      <c r="C272" s="54" t="s">
        <v>33</v>
      </c>
      <c r="D272" s="54" t="s">
        <v>34</v>
      </c>
      <c r="I272" s="51"/>
      <c r="J272" s="53" t="s">
        <v>247</v>
      </c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</row>
    <row r="273" spans="1:31" s="54" customFormat="1" ht="12" x14ac:dyDescent="0.2">
      <c r="A273" s="53">
        <v>3051</v>
      </c>
      <c r="B273" s="53" t="s">
        <v>250</v>
      </c>
      <c r="C273" s="54" t="s">
        <v>410</v>
      </c>
      <c r="D273" s="54" t="s">
        <v>34</v>
      </c>
      <c r="I273" s="51"/>
      <c r="J273" s="53" t="s">
        <v>250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</row>
    <row r="274" spans="1:31" s="54" customFormat="1" ht="12" x14ac:dyDescent="0.2">
      <c r="A274" s="53">
        <v>305101</v>
      </c>
      <c r="B274" s="53" t="s">
        <v>60</v>
      </c>
      <c r="C274" s="54" t="s">
        <v>33</v>
      </c>
      <c r="D274" s="54" t="s">
        <v>34</v>
      </c>
      <c r="I274" s="51"/>
      <c r="J274" s="53" t="s">
        <v>60</v>
      </c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</row>
    <row r="275" spans="1:31" s="54" customFormat="1" ht="12" x14ac:dyDescent="0.2">
      <c r="A275" s="53">
        <v>305102</v>
      </c>
      <c r="B275" s="53" t="s">
        <v>61</v>
      </c>
      <c r="C275" s="54" t="s">
        <v>33</v>
      </c>
      <c r="D275" s="54" t="s">
        <v>34</v>
      </c>
      <c r="I275" s="51"/>
      <c r="J275" s="53" t="s">
        <v>61</v>
      </c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</row>
    <row r="276" spans="1:31" s="54" customFormat="1" ht="12" x14ac:dyDescent="0.2">
      <c r="A276" s="53">
        <v>305103</v>
      </c>
      <c r="B276" s="53" t="s">
        <v>241</v>
      </c>
      <c r="C276" s="54" t="s">
        <v>33</v>
      </c>
      <c r="D276" s="54" t="s">
        <v>34</v>
      </c>
      <c r="I276" s="51"/>
      <c r="J276" s="53" t="s">
        <v>241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</row>
    <row r="277" spans="1:31" s="54" customFormat="1" ht="12" x14ac:dyDescent="0.2">
      <c r="A277" s="53">
        <v>305107</v>
      </c>
      <c r="B277" s="53" t="s">
        <v>245</v>
      </c>
      <c r="C277" s="54" t="s">
        <v>33</v>
      </c>
      <c r="D277" s="54" t="s">
        <v>34</v>
      </c>
      <c r="I277" s="51"/>
      <c r="J277" s="53" t="s">
        <v>245</v>
      </c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</row>
    <row r="278" spans="1:31" s="54" customFormat="1" ht="12" x14ac:dyDescent="0.2">
      <c r="A278" s="53">
        <v>305110</v>
      </c>
      <c r="B278" s="53" t="s">
        <v>247</v>
      </c>
      <c r="C278" s="54" t="s">
        <v>33</v>
      </c>
      <c r="D278" s="54" t="s">
        <v>34</v>
      </c>
      <c r="I278" s="51"/>
      <c r="J278" s="53" t="s">
        <v>247</v>
      </c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</row>
    <row r="279" spans="1:31" s="54" customFormat="1" ht="12" x14ac:dyDescent="0.2">
      <c r="A279" s="53">
        <v>31</v>
      </c>
      <c r="B279" s="53" t="s">
        <v>251</v>
      </c>
      <c r="C279" s="54" t="s">
        <v>410</v>
      </c>
      <c r="D279" s="54" t="s">
        <v>34</v>
      </c>
      <c r="I279" s="51"/>
      <c r="J279" s="53" t="s">
        <v>251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</row>
    <row r="280" spans="1:31" s="54" customFormat="1" ht="12" x14ac:dyDescent="0.2">
      <c r="A280" s="53">
        <v>310</v>
      </c>
      <c r="B280" s="53" t="s">
        <v>251</v>
      </c>
      <c r="C280" s="54" t="s">
        <v>410</v>
      </c>
      <c r="D280" s="54" t="s">
        <v>34</v>
      </c>
      <c r="I280" s="51"/>
      <c r="J280" s="53" t="s">
        <v>251</v>
      </c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</row>
    <row r="281" spans="1:31" s="54" customFormat="1" ht="12" x14ac:dyDescent="0.2">
      <c r="A281" s="53">
        <v>3100</v>
      </c>
      <c r="B281" s="53" t="s">
        <v>252</v>
      </c>
      <c r="C281" s="54" t="s">
        <v>410</v>
      </c>
      <c r="D281" s="54" t="s">
        <v>34</v>
      </c>
      <c r="I281" s="51"/>
      <c r="J281" s="53" t="s">
        <v>252</v>
      </c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</row>
    <row r="282" spans="1:31" s="54" customFormat="1" ht="12" x14ac:dyDescent="0.2">
      <c r="A282" s="53">
        <v>310001</v>
      </c>
      <c r="B282" s="53" t="s">
        <v>253</v>
      </c>
      <c r="C282" s="54" t="s">
        <v>33</v>
      </c>
      <c r="D282" s="54" t="s">
        <v>34</v>
      </c>
      <c r="I282" s="51"/>
      <c r="J282" s="53" t="s">
        <v>253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</row>
    <row r="283" spans="1:31" s="54" customFormat="1" ht="12" x14ac:dyDescent="0.2">
      <c r="A283" s="53">
        <v>310002</v>
      </c>
      <c r="B283" s="53" t="s">
        <v>254</v>
      </c>
      <c r="C283" s="54" t="s">
        <v>33</v>
      </c>
      <c r="D283" s="54" t="s">
        <v>34</v>
      </c>
      <c r="I283" s="51"/>
      <c r="J283" s="53" t="s">
        <v>254</v>
      </c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</row>
    <row r="284" spans="1:31" s="54" customFormat="1" ht="12" x14ac:dyDescent="0.2">
      <c r="A284" s="53">
        <v>310003</v>
      </c>
      <c r="B284" s="53" t="s">
        <v>255</v>
      </c>
      <c r="C284" s="54" t="s">
        <v>33</v>
      </c>
      <c r="D284" s="54" t="s">
        <v>34</v>
      </c>
      <c r="I284" s="51"/>
      <c r="J284" s="53" t="s">
        <v>255</v>
      </c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</row>
    <row r="285" spans="1:31" s="54" customFormat="1" ht="12" x14ac:dyDescent="0.2">
      <c r="A285" s="53">
        <v>310004</v>
      </c>
      <c r="B285" s="53" t="s">
        <v>256</v>
      </c>
      <c r="C285" s="54" t="s">
        <v>33</v>
      </c>
      <c r="D285" s="54" t="s">
        <v>34</v>
      </c>
      <c r="I285" s="51"/>
      <c r="J285" s="53" t="s">
        <v>256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</row>
    <row r="286" spans="1:31" s="54" customFormat="1" ht="12" x14ac:dyDescent="0.2">
      <c r="A286" s="53">
        <v>310005</v>
      </c>
      <c r="B286" s="53" t="s">
        <v>257</v>
      </c>
      <c r="C286" s="54" t="s">
        <v>33</v>
      </c>
      <c r="D286" s="54" t="s">
        <v>34</v>
      </c>
      <c r="I286" s="51"/>
      <c r="J286" s="53" t="s">
        <v>257</v>
      </c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</row>
    <row r="287" spans="1:31" s="54" customFormat="1" ht="12" x14ac:dyDescent="0.2">
      <c r="A287" s="53">
        <v>310006</v>
      </c>
      <c r="B287" s="53" t="s">
        <v>258</v>
      </c>
      <c r="C287" s="54" t="s">
        <v>33</v>
      </c>
      <c r="D287" s="54" t="s">
        <v>34</v>
      </c>
      <c r="I287" s="51"/>
      <c r="J287" s="53" t="s">
        <v>258</v>
      </c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</row>
    <row r="288" spans="1:31" s="54" customFormat="1" ht="12" x14ac:dyDescent="0.2">
      <c r="A288" s="53">
        <v>310007</v>
      </c>
      <c r="B288" s="53" t="s">
        <v>259</v>
      </c>
      <c r="C288" s="54" t="s">
        <v>33</v>
      </c>
      <c r="D288" s="54" t="s">
        <v>34</v>
      </c>
      <c r="I288" s="51"/>
      <c r="J288" s="53" t="s">
        <v>259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</row>
    <row r="289" spans="1:31" s="54" customFormat="1" ht="12" x14ac:dyDescent="0.2">
      <c r="A289" s="53">
        <v>310008</v>
      </c>
      <c r="B289" s="53" t="s">
        <v>260</v>
      </c>
      <c r="C289" s="54" t="s">
        <v>33</v>
      </c>
      <c r="D289" s="54" t="s">
        <v>34</v>
      </c>
      <c r="I289" s="51"/>
      <c r="J289" s="53" t="s">
        <v>260</v>
      </c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</row>
    <row r="290" spans="1:31" s="54" customFormat="1" ht="12" x14ac:dyDescent="0.2">
      <c r="A290" s="53">
        <v>310009</v>
      </c>
      <c r="B290" s="53" t="s">
        <v>261</v>
      </c>
      <c r="C290" s="54" t="s">
        <v>33</v>
      </c>
      <c r="D290" s="54" t="s">
        <v>34</v>
      </c>
      <c r="I290" s="51"/>
      <c r="J290" s="53" t="s">
        <v>261</v>
      </c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</row>
    <row r="291" spans="1:31" s="54" customFormat="1" ht="12" x14ac:dyDescent="0.2">
      <c r="A291" s="53">
        <v>310010</v>
      </c>
      <c r="B291" s="53" t="s">
        <v>262</v>
      </c>
      <c r="C291" s="54" t="s">
        <v>33</v>
      </c>
      <c r="D291" s="54" t="s">
        <v>34</v>
      </c>
      <c r="I291" s="51"/>
      <c r="J291" s="53" t="s">
        <v>262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</row>
    <row r="292" spans="1:31" s="54" customFormat="1" ht="12" x14ac:dyDescent="0.2">
      <c r="A292" s="53">
        <v>310011</v>
      </c>
      <c r="B292" s="53" t="s">
        <v>263</v>
      </c>
      <c r="C292" s="54" t="s">
        <v>33</v>
      </c>
      <c r="D292" s="54" t="s">
        <v>34</v>
      </c>
      <c r="I292" s="51"/>
      <c r="J292" s="53" t="s">
        <v>263</v>
      </c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</row>
    <row r="293" spans="1:31" s="54" customFormat="1" ht="12" x14ac:dyDescent="0.2">
      <c r="A293" s="53">
        <v>310012</v>
      </c>
      <c r="B293" s="53" t="s">
        <v>264</v>
      </c>
      <c r="C293" s="54" t="s">
        <v>33</v>
      </c>
      <c r="D293" s="54" t="s">
        <v>34</v>
      </c>
      <c r="I293" s="51"/>
      <c r="J293" s="53" t="s">
        <v>264</v>
      </c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</row>
    <row r="294" spans="1:31" s="54" customFormat="1" ht="12" x14ac:dyDescent="0.2">
      <c r="A294" s="53">
        <v>310013</v>
      </c>
      <c r="B294" s="53" t="s">
        <v>265</v>
      </c>
      <c r="C294" s="54" t="s">
        <v>33</v>
      </c>
      <c r="D294" s="54" t="s">
        <v>34</v>
      </c>
      <c r="I294" s="51"/>
      <c r="J294" s="53" t="s">
        <v>265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</row>
    <row r="295" spans="1:31" s="54" customFormat="1" ht="12" x14ac:dyDescent="0.2">
      <c r="A295" s="53">
        <v>310014</v>
      </c>
      <c r="B295" s="53" t="s">
        <v>266</v>
      </c>
      <c r="C295" s="54" t="s">
        <v>33</v>
      </c>
      <c r="D295" s="54" t="s">
        <v>34</v>
      </c>
      <c r="I295" s="51"/>
      <c r="J295" s="53" t="s">
        <v>266</v>
      </c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</row>
    <row r="296" spans="1:31" s="54" customFormat="1" ht="12" x14ac:dyDescent="0.2">
      <c r="A296" s="53">
        <v>310015</v>
      </c>
      <c r="B296" s="53" t="s">
        <v>267</v>
      </c>
      <c r="C296" s="54" t="s">
        <v>33</v>
      </c>
      <c r="D296" s="54" t="s">
        <v>34</v>
      </c>
      <c r="I296" s="51"/>
      <c r="J296" s="53" t="s">
        <v>267</v>
      </c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</row>
    <row r="297" spans="1:31" s="54" customFormat="1" ht="12" x14ac:dyDescent="0.2">
      <c r="A297" s="53">
        <v>310016</v>
      </c>
      <c r="B297" s="53" t="s">
        <v>268</v>
      </c>
      <c r="C297" s="54" t="s">
        <v>33</v>
      </c>
      <c r="D297" s="54" t="s">
        <v>34</v>
      </c>
      <c r="I297" s="51"/>
      <c r="J297" s="53" t="s">
        <v>268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</row>
    <row r="298" spans="1:31" s="54" customFormat="1" ht="12" x14ac:dyDescent="0.2">
      <c r="A298" s="53">
        <v>310017</v>
      </c>
      <c r="B298" s="53" t="s">
        <v>269</v>
      </c>
      <c r="C298" s="54" t="s">
        <v>33</v>
      </c>
      <c r="D298" s="54" t="s">
        <v>34</v>
      </c>
      <c r="I298" s="51"/>
      <c r="J298" s="53" t="s">
        <v>269</v>
      </c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</row>
    <row r="299" spans="1:31" s="54" customFormat="1" ht="12" x14ac:dyDescent="0.2">
      <c r="A299" s="53">
        <v>310018</v>
      </c>
      <c r="B299" s="53" t="s">
        <v>270</v>
      </c>
      <c r="C299" s="54" t="s">
        <v>33</v>
      </c>
      <c r="D299" s="54" t="s">
        <v>34</v>
      </c>
      <c r="I299" s="51"/>
      <c r="J299" s="53" t="s">
        <v>270</v>
      </c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</row>
    <row r="300" spans="1:31" s="54" customFormat="1" ht="12" x14ac:dyDescent="0.2">
      <c r="A300" s="53">
        <v>310019</v>
      </c>
      <c r="B300" s="53" t="s">
        <v>271</v>
      </c>
      <c r="C300" s="54" t="s">
        <v>33</v>
      </c>
      <c r="D300" s="54" t="s">
        <v>34</v>
      </c>
      <c r="I300" s="51"/>
      <c r="J300" s="53" t="s">
        <v>271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</row>
    <row r="301" spans="1:31" s="54" customFormat="1" ht="12" x14ac:dyDescent="0.2">
      <c r="A301" s="53">
        <v>310020</v>
      </c>
      <c r="B301" s="53" t="s">
        <v>272</v>
      </c>
      <c r="C301" s="54" t="s">
        <v>33</v>
      </c>
      <c r="D301" s="54" t="s">
        <v>34</v>
      </c>
      <c r="I301" s="51"/>
      <c r="J301" s="53" t="s">
        <v>272</v>
      </c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</row>
    <row r="302" spans="1:31" s="54" customFormat="1" ht="12" x14ac:dyDescent="0.2">
      <c r="A302" s="53">
        <v>310021</v>
      </c>
      <c r="B302" s="53" t="s">
        <v>273</v>
      </c>
      <c r="C302" s="54" t="s">
        <v>33</v>
      </c>
      <c r="D302" s="54" t="s">
        <v>34</v>
      </c>
      <c r="I302" s="51"/>
      <c r="J302" s="53" t="s">
        <v>273</v>
      </c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</row>
    <row r="303" spans="1:31" s="54" customFormat="1" ht="12" x14ac:dyDescent="0.2">
      <c r="A303" s="53">
        <v>310022</v>
      </c>
      <c r="B303" s="53" t="s">
        <v>274</v>
      </c>
      <c r="C303" s="54" t="s">
        <v>33</v>
      </c>
      <c r="D303" s="54" t="s">
        <v>34</v>
      </c>
      <c r="I303" s="51"/>
      <c r="J303" s="53" t="s">
        <v>274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</row>
    <row r="304" spans="1:31" s="54" customFormat="1" ht="12" x14ac:dyDescent="0.2">
      <c r="A304" s="53">
        <v>310023</v>
      </c>
      <c r="B304" s="53" t="s">
        <v>275</v>
      </c>
      <c r="C304" s="54" t="s">
        <v>33</v>
      </c>
      <c r="D304" s="54" t="s">
        <v>34</v>
      </c>
      <c r="I304" s="51"/>
      <c r="J304" s="53" t="s">
        <v>275</v>
      </c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</row>
    <row r="305" spans="1:31" s="54" customFormat="1" ht="12" x14ac:dyDescent="0.2">
      <c r="A305" s="53">
        <v>310024</v>
      </c>
      <c r="B305" s="53" t="s">
        <v>276</v>
      </c>
      <c r="C305" s="54" t="s">
        <v>33</v>
      </c>
      <c r="D305" s="54" t="s">
        <v>34</v>
      </c>
      <c r="I305" s="51"/>
      <c r="J305" s="53" t="s">
        <v>276</v>
      </c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</row>
    <row r="306" spans="1:31" s="54" customFormat="1" ht="12" x14ac:dyDescent="0.2">
      <c r="A306" s="53">
        <v>310025</v>
      </c>
      <c r="B306" s="53" t="s">
        <v>277</v>
      </c>
      <c r="C306" s="54" t="s">
        <v>33</v>
      </c>
      <c r="D306" s="54" t="s">
        <v>34</v>
      </c>
      <c r="I306" s="51"/>
      <c r="J306" s="53" t="s">
        <v>277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</row>
    <row r="307" spans="1:31" s="54" customFormat="1" ht="12" x14ac:dyDescent="0.2">
      <c r="A307" s="53">
        <v>310028</v>
      </c>
      <c r="B307" s="53" t="s">
        <v>278</v>
      </c>
      <c r="C307" s="54" t="s">
        <v>33</v>
      </c>
      <c r="D307" s="54" t="s">
        <v>34</v>
      </c>
      <c r="I307" s="51"/>
      <c r="J307" s="53" t="s">
        <v>278</v>
      </c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</row>
    <row r="308" spans="1:31" s="54" customFormat="1" ht="12" x14ac:dyDescent="0.2">
      <c r="A308" s="53">
        <v>310029</v>
      </c>
      <c r="B308" s="53" t="s">
        <v>279</v>
      </c>
      <c r="C308" s="54" t="s">
        <v>33</v>
      </c>
      <c r="D308" s="54" t="s">
        <v>34</v>
      </c>
      <c r="I308" s="51"/>
      <c r="J308" s="53" t="s">
        <v>279</v>
      </c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</row>
    <row r="309" spans="1:31" s="54" customFormat="1" ht="12" x14ac:dyDescent="0.2">
      <c r="A309" s="53">
        <v>310030</v>
      </c>
      <c r="B309" s="53" t="s">
        <v>280</v>
      </c>
      <c r="C309" s="54" t="s">
        <v>33</v>
      </c>
      <c r="D309" s="54" t="s">
        <v>34</v>
      </c>
      <c r="I309" s="51"/>
      <c r="J309" s="53" t="s">
        <v>280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</row>
    <row r="310" spans="1:31" s="54" customFormat="1" ht="12" x14ac:dyDescent="0.2">
      <c r="A310" s="53">
        <v>3101</v>
      </c>
      <c r="B310" s="53" t="s">
        <v>281</v>
      </c>
      <c r="C310" s="54" t="s">
        <v>410</v>
      </c>
      <c r="D310" s="54" t="s">
        <v>34</v>
      </c>
      <c r="I310" s="51"/>
      <c r="J310" s="53" t="s">
        <v>281</v>
      </c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</row>
    <row r="311" spans="1:31" s="54" customFormat="1" ht="12" x14ac:dyDescent="0.2">
      <c r="A311" s="53">
        <v>310101</v>
      </c>
      <c r="B311" s="53" t="s">
        <v>282</v>
      </c>
      <c r="C311" s="54" t="s">
        <v>33</v>
      </c>
      <c r="D311" s="54" t="s">
        <v>34</v>
      </c>
      <c r="I311" s="51"/>
      <c r="J311" s="53" t="s">
        <v>282</v>
      </c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</row>
    <row r="312" spans="1:31" s="54" customFormat="1" ht="12" x14ac:dyDescent="0.2">
      <c r="A312" s="53">
        <v>310102</v>
      </c>
      <c r="B312" s="53" t="s">
        <v>283</v>
      </c>
      <c r="C312" s="54" t="s">
        <v>33</v>
      </c>
      <c r="D312" s="54" t="s">
        <v>34</v>
      </c>
      <c r="I312" s="51"/>
      <c r="J312" s="53" t="s">
        <v>283</v>
      </c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</row>
    <row r="313" spans="1:31" s="54" customFormat="1" ht="12" x14ac:dyDescent="0.2">
      <c r="A313" s="53">
        <v>310105</v>
      </c>
      <c r="B313" s="53" t="s">
        <v>284</v>
      </c>
      <c r="C313" s="54" t="s">
        <v>33</v>
      </c>
      <c r="D313" s="54" t="s">
        <v>34</v>
      </c>
      <c r="I313" s="51"/>
      <c r="J313" s="53" t="s">
        <v>284</v>
      </c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</row>
    <row r="314" spans="1:31" s="54" customFormat="1" ht="12" x14ac:dyDescent="0.2">
      <c r="A314" s="53">
        <v>310107</v>
      </c>
      <c r="B314" s="53" t="s">
        <v>285</v>
      </c>
      <c r="C314" s="54" t="s">
        <v>33</v>
      </c>
      <c r="D314" s="54" t="s">
        <v>34</v>
      </c>
      <c r="I314" s="51"/>
      <c r="J314" s="53" t="s">
        <v>285</v>
      </c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</row>
    <row r="315" spans="1:31" s="54" customFormat="1" ht="12" x14ac:dyDescent="0.2">
      <c r="A315" s="53">
        <v>3102</v>
      </c>
      <c r="B315" s="53" t="s">
        <v>286</v>
      </c>
      <c r="C315" s="54" t="s">
        <v>410</v>
      </c>
      <c r="D315" s="54" t="s">
        <v>34</v>
      </c>
      <c r="I315" s="51"/>
      <c r="J315" s="53" t="s">
        <v>286</v>
      </c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</row>
    <row r="316" spans="1:31" s="54" customFormat="1" ht="12" x14ac:dyDescent="0.2">
      <c r="A316" s="53">
        <v>310201</v>
      </c>
      <c r="B316" s="53" t="s">
        <v>60</v>
      </c>
      <c r="C316" s="54" t="s">
        <v>33</v>
      </c>
      <c r="D316" s="54" t="s">
        <v>34</v>
      </c>
      <c r="I316" s="51"/>
      <c r="J316" s="53" t="s">
        <v>60</v>
      </c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</row>
    <row r="317" spans="1:31" s="54" customFormat="1" ht="12" x14ac:dyDescent="0.2">
      <c r="A317" s="53">
        <v>310202</v>
      </c>
      <c r="B317" s="53" t="s">
        <v>61</v>
      </c>
      <c r="C317" s="54" t="s">
        <v>33</v>
      </c>
      <c r="D317" s="54" t="s">
        <v>34</v>
      </c>
      <c r="I317" s="51"/>
      <c r="J317" s="53" t="s">
        <v>61</v>
      </c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</row>
    <row r="318" spans="1:31" s="54" customFormat="1" ht="12" x14ac:dyDescent="0.2">
      <c r="A318" s="53">
        <v>310203</v>
      </c>
      <c r="B318" s="53" t="s">
        <v>241</v>
      </c>
      <c r="C318" s="54" t="s">
        <v>33</v>
      </c>
      <c r="D318" s="54" t="s">
        <v>34</v>
      </c>
      <c r="I318" s="51"/>
      <c r="J318" s="53" t="s">
        <v>241</v>
      </c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</row>
    <row r="319" spans="1:31" s="54" customFormat="1" ht="12" x14ac:dyDescent="0.2">
      <c r="A319" s="53">
        <v>310205</v>
      </c>
      <c r="B319" s="53" t="s">
        <v>243</v>
      </c>
      <c r="C319" s="54" t="s">
        <v>33</v>
      </c>
      <c r="D319" s="54" t="s">
        <v>34</v>
      </c>
      <c r="I319" s="51"/>
      <c r="J319" s="53" t="s">
        <v>243</v>
      </c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</row>
    <row r="320" spans="1:31" s="54" customFormat="1" ht="12" x14ac:dyDescent="0.2">
      <c r="A320" s="53">
        <v>310207</v>
      </c>
      <c r="B320" s="53" t="s">
        <v>245</v>
      </c>
      <c r="C320" s="54" t="s">
        <v>33</v>
      </c>
      <c r="D320" s="54" t="s">
        <v>34</v>
      </c>
      <c r="I320" s="51"/>
      <c r="J320" s="53" t="s">
        <v>245</v>
      </c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</row>
    <row r="321" spans="1:31" s="54" customFormat="1" ht="12" x14ac:dyDescent="0.2">
      <c r="A321" s="53">
        <v>310208</v>
      </c>
      <c r="B321" s="53" t="s">
        <v>246</v>
      </c>
      <c r="C321" s="54" t="s">
        <v>33</v>
      </c>
      <c r="D321" s="54" t="s">
        <v>34</v>
      </c>
      <c r="I321" s="51"/>
      <c r="J321" s="53" t="s">
        <v>246</v>
      </c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</row>
    <row r="322" spans="1:31" s="54" customFormat="1" ht="12" x14ac:dyDescent="0.2">
      <c r="A322" s="53">
        <v>310209</v>
      </c>
      <c r="B322" s="53" t="s">
        <v>182</v>
      </c>
      <c r="C322" s="54" t="s">
        <v>33</v>
      </c>
      <c r="D322" s="54" t="s">
        <v>43</v>
      </c>
      <c r="I322" s="51"/>
      <c r="J322" s="53" t="s">
        <v>182</v>
      </c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</row>
    <row r="323" spans="1:31" s="54" customFormat="1" ht="12" x14ac:dyDescent="0.2">
      <c r="A323" s="53">
        <v>310210</v>
      </c>
      <c r="B323" s="53" t="s">
        <v>247</v>
      </c>
      <c r="C323" s="54" t="s">
        <v>33</v>
      </c>
      <c r="D323" s="54" t="s">
        <v>34</v>
      </c>
      <c r="I323" s="51"/>
      <c r="J323" s="53" t="s">
        <v>247</v>
      </c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</row>
    <row r="324" spans="1:31" s="54" customFormat="1" ht="12" x14ac:dyDescent="0.2">
      <c r="A324" s="53">
        <v>3103</v>
      </c>
      <c r="B324" s="53" t="s">
        <v>287</v>
      </c>
      <c r="C324" s="54" t="s">
        <v>410</v>
      </c>
      <c r="D324" s="54" t="s">
        <v>34</v>
      </c>
      <c r="I324" s="51"/>
      <c r="J324" s="53" t="s">
        <v>287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</row>
    <row r="325" spans="1:31" s="54" customFormat="1" ht="12" x14ac:dyDescent="0.2">
      <c r="A325" s="53">
        <v>310301</v>
      </c>
      <c r="B325" s="53" t="s">
        <v>60</v>
      </c>
      <c r="C325" s="54" t="s">
        <v>33</v>
      </c>
      <c r="D325" s="54" t="s">
        <v>34</v>
      </c>
      <c r="I325" s="51"/>
      <c r="J325" s="53" t="s">
        <v>60</v>
      </c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</row>
    <row r="326" spans="1:31" s="54" customFormat="1" ht="12" x14ac:dyDescent="0.2">
      <c r="A326" s="53">
        <v>310303</v>
      </c>
      <c r="B326" s="53" t="s">
        <v>241</v>
      </c>
      <c r="C326" s="54" t="s">
        <v>33</v>
      </c>
      <c r="D326" s="54" t="s">
        <v>34</v>
      </c>
      <c r="I326" s="51"/>
      <c r="J326" s="53" t="s">
        <v>241</v>
      </c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</row>
    <row r="327" spans="1:31" s="54" customFormat="1" ht="12" x14ac:dyDescent="0.2">
      <c r="A327" s="53">
        <v>310307</v>
      </c>
      <c r="B327" s="53" t="s">
        <v>245</v>
      </c>
      <c r="C327" s="54" t="s">
        <v>33</v>
      </c>
      <c r="D327" s="54" t="s">
        <v>34</v>
      </c>
      <c r="I327" s="51"/>
      <c r="J327" s="53" t="s">
        <v>245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</row>
    <row r="328" spans="1:31" s="54" customFormat="1" ht="12" x14ac:dyDescent="0.2">
      <c r="A328" s="53">
        <v>310308</v>
      </c>
      <c r="B328" s="53" t="s">
        <v>246</v>
      </c>
      <c r="C328" s="54" t="s">
        <v>33</v>
      </c>
      <c r="D328" s="54" t="s">
        <v>34</v>
      </c>
      <c r="I328" s="51"/>
      <c r="J328" s="53" t="s">
        <v>246</v>
      </c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</row>
    <row r="329" spans="1:31" s="54" customFormat="1" ht="12" x14ac:dyDescent="0.2">
      <c r="A329" s="53">
        <v>310310</v>
      </c>
      <c r="B329" s="53" t="s">
        <v>247</v>
      </c>
      <c r="C329" s="54" t="s">
        <v>33</v>
      </c>
      <c r="D329" s="54" t="s">
        <v>34</v>
      </c>
      <c r="I329" s="51"/>
      <c r="J329" s="53" t="s">
        <v>247</v>
      </c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</row>
    <row r="330" spans="1:31" s="54" customFormat="1" ht="12" x14ac:dyDescent="0.2">
      <c r="A330" s="53">
        <v>32</v>
      </c>
      <c r="B330" s="53" t="s">
        <v>288</v>
      </c>
      <c r="C330" s="54" t="s">
        <v>410</v>
      </c>
      <c r="D330" s="54" t="s">
        <v>34</v>
      </c>
      <c r="I330" s="51"/>
      <c r="J330" s="53" t="s">
        <v>288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</row>
    <row r="331" spans="1:31" s="54" customFormat="1" ht="12" x14ac:dyDescent="0.2">
      <c r="A331" s="53">
        <v>320</v>
      </c>
      <c r="B331" s="53" t="s">
        <v>288</v>
      </c>
      <c r="C331" s="54" t="s">
        <v>410</v>
      </c>
      <c r="D331" s="54" t="s">
        <v>34</v>
      </c>
      <c r="I331" s="51"/>
      <c r="J331" s="53" t="s">
        <v>288</v>
      </c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</row>
    <row r="332" spans="1:31" s="54" customFormat="1" ht="12" x14ac:dyDescent="0.2">
      <c r="A332" s="53">
        <v>3200</v>
      </c>
      <c r="B332" s="53" t="s">
        <v>288</v>
      </c>
      <c r="C332" s="54" t="s">
        <v>410</v>
      </c>
      <c r="D332" s="54" t="s">
        <v>34</v>
      </c>
      <c r="I332" s="51"/>
      <c r="J332" s="53" t="s">
        <v>288</v>
      </c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</row>
    <row r="333" spans="1:31" s="54" customFormat="1" ht="12" x14ac:dyDescent="0.2">
      <c r="A333" s="53">
        <v>320001</v>
      </c>
      <c r="B333" s="53" t="s">
        <v>289</v>
      </c>
      <c r="C333" s="54" t="s">
        <v>33</v>
      </c>
      <c r="D333" s="54" t="s">
        <v>34</v>
      </c>
      <c r="I333" s="51"/>
      <c r="J333" s="53" t="s">
        <v>289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</row>
    <row r="334" spans="1:31" s="54" customFormat="1" ht="12" x14ac:dyDescent="0.2">
      <c r="A334" s="53">
        <v>320002</v>
      </c>
      <c r="B334" s="53" t="s">
        <v>290</v>
      </c>
      <c r="C334" s="54" t="s">
        <v>33</v>
      </c>
      <c r="D334" s="54" t="s">
        <v>34</v>
      </c>
      <c r="I334" s="51"/>
      <c r="J334" s="53" t="s">
        <v>290</v>
      </c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</row>
    <row r="335" spans="1:31" s="54" customFormat="1" ht="12" x14ac:dyDescent="0.2">
      <c r="A335" s="53">
        <v>320003</v>
      </c>
      <c r="B335" s="53" t="s">
        <v>291</v>
      </c>
      <c r="C335" s="54" t="s">
        <v>33</v>
      </c>
      <c r="D335" s="54" t="s">
        <v>34</v>
      </c>
      <c r="I335" s="51"/>
      <c r="J335" s="53" t="s">
        <v>291</v>
      </c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</row>
    <row r="336" spans="1:31" s="54" customFormat="1" ht="12" x14ac:dyDescent="0.2">
      <c r="A336" s="53">
        <v>34</v>
      </c>
      <c r="B336" s="53" t="s">
        <v>292</v>
      </c>
      <c r="C336" s="54" t="s">
        <v>410</v>
      </c>
      <c r="D336" s="54" t="s">
        <v>34</v>
      </c>
      <c r="I336" s="51"/>
      <c r="J336" s="53" t="s">
        <v>292</v>
      </c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</row>
    <row r="337" spans="1:31" s="54" customFormat="1" ht="12" x14ac:dyDescent="0.2">
      <c r="A337" s="53">
        <v>340</v>
      </c>
      <c r="B337" s="53" t="s">
        <v>293</v>
      </c>
      <c r="C337" s="54" t="s">
        <v>410</v>
      </c>
      <c r="D337" s="54" t="s">
        <v>34</v>
      </c>
      <c r="I337" s="51"/>
      <c r="J337" s="53" t="s">
        <v>293</v>
      </c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</row>
    <row r="338" spans="1:31" s="54" customFormat="1" ht="12" x14ac:dyDescent="0.2">
      <c r="A338" s="53">
        <v>3400</v>
      </c>
      <c r="B338" s="53" t="s">
        <v>294</v>
      </c>
      <c r="C338" s="54" t="s">
        <v>410</v>
      </c>
      <c r="D338" s="54" t="s">
        <v>34</v>
      </c>
      <c r="I338" s="51"/>
      <c r="J338" s="53" t="s">
        <v>294</v>
      </c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</row>
    <row r="339" spans="1:31" s="54" customFormat="1" ht="12" x14ac:dyDescent="0.2">
      <c r="A339" s="53">
        <v>340002</v>
      </c>
      <c r="B339" s="53" t="s">
        <v>295</v>
      </c>
      <c r="C339" s="54" t="s">
        <v>33</v>
      </c>
      <c r="D339" s="54" t="s">
        <v>34</v>
      </c>
      <c r="I339" s="51"/>
      <c r="J339" s="53" t="s">
        <v>295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</row>
    <row r="340" spans="1:31" s="54" customFormat="1" ht="12" x14ac:dyDescent="0.2">
      <c r="A340" s="53">
        <v>340003</v>
      </c>
      <c r="B340" s="53" t="s">
        <v>296</v>
      </c>
      <c r="C340" s="54" t="s">
        <v>33</v>
      </c>
      <c r="D340" s="54" t="s">
        <v>34</v>
      </c>
      <c r="I340" s="51"/>
      <c r="J340" s="53" t="s">
        <v>296</v>
      </c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</row>
    <row r="341" spans="1:31" s="54" customFormat="1" ht="12" x14ac:dyDescent="0.2">
      <c r="A341" s="53">
        <v>340004</v>
      </c>
      <c r="B341" s="53" t="s">
        <v>297</v>
      </c>
      <c r="C341" s="54" t="s">
        <v>33</v>
      </c>
      <c r="D341" s="54" t="s">
        <v>34</v>
      </c>
      <c r="I341" s="51"/>
      <c r="J341" s="53" t="s">
        <v>297</v>
      </c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</row>
    <row r="342" spans="1:31" s="54" customFormat="1" ht="12" x14ac:dyDescent="0.2">
      <c r="A342" s="53">
        <v>340005</v>
      </c>
      <c r="B342" s="53" t="s">
        <v>298</v>
      </c>
      <c r="C342" s="54" t="s">
        <v>33</v>
      </c>
      <c r="D342" s="54" t="s">
        <v>34</v>
      </c>
      <c r="I342" s="51"/>
      <c r="J342" s="53" t="s">
        <v>298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</row>
    <row r="343" spans="1:31" s="54" customFormat="1" ht="12" x14ac:dyDescent="0.2">
      <c r="A343" s="53">
        <v>340006</v>
      </c>
      <c r="B343" s="53" t="s">
        <v>299</v>
      </c>
      <c r="C343" s="54" t="s">
        <v>33</v>
      </c>
      <c r="D343" s="54" t="s">
        <v>34</v>
      </c>
      <c r="I343" s="51"/>
      <c r="J343" s="53" t="s">
        <v>299</v>
      </c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</row>
    <row r="344" spans="1:31" s="54" customFormat="1" ht="12" x14ac:dyDescent="0.2">
      <c r="A344" s="53">
        <v>340007</v>
      </c>
      <c r="B344" s="53" t="s">
        <v>300</v>
      </c>
      <c r="C344" s="54" t="s">
        <v>33</v>
      </c>
      <c r="D344" s="54" t="s">
        <v>34</v>
      </c>
      <c r="I344" s="51"/>
      <c r="J344" s="53" t="s">
        <v>300</v>
      </c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</row>
    <row r="345" spans="1:31" s="54" customFormat="1" ht="12" x14ac:dyDescent="0.2">
      <c r="A345" s="53">
        <v>340008</v>
      </c>
      <c r="B345" s="53" t="s">
        <v>301</v>
      </c>
      <c r="C345" s="54" t="s">
        <v>33</v>
      </c>
      <c r="D345" s="54" t="s">
        <v>34</v>
      </c>
      <c r="I345" s="51"/>
      <c r="J345" s="53" t="s">
        <v>301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</row>
    <row r="346" spans="1:31" s="54" customFormat="1" ht="12" x14ac:dyDescent="0.2">
      <c r="A346" s="53">
        <v>340009</v>
      </c>
      <c r="B346" s="53" t="s">
        <v>302</v>
      </c>
      <c r="C346" s="54" t="s">
        <v>33</v>
      </c>
      <c r="D346" s="54" t="s">
        <v>34</v>
      </c>
      <c r="I346" s="51"/>
      <c r="J346" s="53" t="s">
        <v>302</v>
      </c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</row>
    <row r="347" spans="1:31" s="54" customFormat="1" ht="12" x14ac:dyDescent="0.2">
      <c r="A347" s="53">
        <v>340010</v>
      </c>
      <c r="B347" s="53" t="s">
        <v>303</v>
      </c>
      <c r="C347" s="54" t="s">
        <v>33</v>
      </c>
      <c r="D347" s="54" t="s">
        <v>34</v>
      </c>
      <c r="I347" s="51"/>
      <c r="J347" s="53" t="s">
        <v>303</v>
      </c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</row>
    <row r="348" spans="1:31" s="54" customFormat="1" ht="12" x14ac:dyDescent="0.2">
      <c r="A348" s="53">
        <v>340011</v>
      </c>
      <c r="B348" s="53" t="s">
        <v>304</v>
      </c>
      <c r="C348" s="54" t="s">
        <v>33</v>
      </c>
      <c r="D348" s="54" t="s">
        <v>34</v>
      </c>
      <c r="I348" s="51"/>
      <c r="J348" s="53" t="s">
        <v>304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</row>
    <row r="349" spans="1:31" s="54" customFormat="1" ht="12" x14ac:dyDescent="0.2">
      <c r="A349" s="53">
        <v>340012</v>
      </c>
      <c r="B349" s="53" t="s">
        <v>305</v>
      </c>
      <c r="C349" s="54" t="s">
        <v>33</v>
      </c>
      <c r="D349" s="54" t="s">
        <v>34</v>
      </c>
      <c r="I349" s="51"/>
      <c r="J349" s="53" t="s">
        <v>305</v>
      </c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</row>
    <row r="350" spans="1:31" s="54" customFormat="1" ht="12" x14ac:dyDescent="0.2">
      <c r="A350" s="53">
        <v>340013</v>
      </c>
      <c r="B350" s="53" t="s">
        <v>142</v>
      </c>
      <c r="C350" s="54" t="s">
        <v>33</v>
      </c>
      <c r="D350" s="54" t="s">
        <v>34</v>
      </c>
      <c r="I350" s="51"/>
      <c r="J350" s="53" t="s">
        <v>142</v>
      </c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</row>
    <row r="351" spans="1:31" s="54" customFormat="1" ht="12" x14ac:dyDescent="0.2">
      <c r="A351" s="53">
        <v>340014</v>
      </c>
      <c r="B351" s="53" t="s">
        <v>306</v>
      </c>
      <c r="C351" s="54" t="s">
        <v>33</v>
      </c>
      <c r="D351" s="54" t="s">
        <v>34</v>
      </c>
      <c r="I351" s="51"/>
      <c r="J351" s="53" t="s">
        <v>306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</row>
    <row r="352" spans="1:31" s="54" customFormat="1" ht="12" x14ac:dyDescent="0.2">
      <c r="A352" s="53">
        <v>340015</v>
      </c>
      <c r="B352" s="53" t="s">
        <v>307</v>
      </c>
      <c r="C352" s="54" t="s">
        <v>33</v>
      </c>
      <c r="D352" s="54" t="s">
        <v>34</v>
      </c>
      <c r="I352" s="51"/>
      <c r="J352" s="53" t="s">
        <v>307</v>
      </c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</row>
    <row r="353" spans="1:31" s="54" customFormat="1" ht="12" x14ac:dyDescent="0.2">
      <c r="A353" s="53">
        <v>340016</v>
      </c>
      <c r="B353" s="53" t="s">
        <v>308</v>
      </c>
      <c r="C353" s="54" t="s">
        <v>33</v>
      </c>
      <c r="D353" s="54" t="s">
        <v>34</v>
      </c>
      <c r="I353" s="51"/>
      <c r="J353" s="53" t="s">
        <v>308</v>
      </c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</row>
    <row r="354" spans="1:31" s="54" customFormat="1" ht="12" x14ac:dyDescent="0.2">
      <c r="A354" s="53">
        <v>340017</v>
      </c>
      <c r="B354" s="53" t="s">
        <v>309</v>
      </c>
      <c r="C354" s="54" t="s">
        <v>33</v>
      </c>
      <c r="D354" s="54" t="s">
        <v>34</v>
      </c>
      <c r="I354" s="51"/>
      <c r="J354" s="53" t="s">
        <v>309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</row>
    <row r="355" spans="1:31" s="54" customFormat="1" ht="12" x14ac:dyDescent="0.2">
      <c r="A355" s="53">
        <v>340018</v>
      </c>
      <c r="B355" s="53" t="s">
        <v>310</v>
      </c>
      <c r="C355" s="54" t="s">
        <v>33</v>
      </c>
      <c r="D355" s="54" t="s">
        <v>34</v>
      </c>
      <c r="I355" s="51"/>
      <c r="J355" s="53" t="s">
        <v>310</v>
      </c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</row>
    <row r="356" spans="1:31" s="54" customFormat="1" ht="12" x14ac:dyDescent="0.2">
      <c r="A356" s="53">
        <v>340019</v>
      </c>
      <c r="B356" s="53" t="s">
        <v>311</v>
      </c>
      <c r="C356" s="54" t="s">
        <v>33</v>
      </c>
      <c r="D356" s="54" t="s">
        <v>34</v>
      </c>
      <c r="I356" s="51"/>
      <c r="J356" s="53" t="s">
        <v>311</v>
      </c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</row>
    <row r="357" spans="1:31" s="54" customFormat="1" ht="12" x14ac:dyDescent="0.2">
      <c r="A357" s="53">
        <v>340021</v>
      </c>
      <c r="B357" s="53" t="s">
        <v>312</v>
      </c>
      <c r="C357" s="54" t="s">
        <v>33</v>
      </c>
      <c r="D357" s="54" t="s">
        <v>34</v>
      </c>
      <c r="I357" s="51"/>
      <c r="J357" s="53" t="s">
        <v>312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</row>
    <row r="358" spans="1:31" s="54" customFormat="1" ht="12" x14ac:dyDescent="0.2">
      <c r="A358" s="53">
        <v>340022</v>
      </c>
      <c r="B358" s="53" t="s">
        <v>313</v>
      </c>
      <c r="C358" s="54" t="s">
        <v>33</v>
      </c>
      <c r="D358" s="54" t="s">
        <v>34</v>
      </c>
      <c r="I358" s="51"/>
      <c r="J358" s="53" t="s">
        <v>313</v>
      </c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</row>
    <row r="359" spans="1:31" s="54" customFormat="1" ht="12" x14ac:dyDescent="0.2">
      <c r="A359" s="53">
        <v>340023</v>
      </c>
      <c r="B359" s="53" t="s">
        <v>281</v>
      </c>
      <c r="C359" s="54" t="s">
        <v>33</v>
      </c>
      <c r="D359" s="54" t="s">
        <v>34</v>
      </c>
      <c r="I359" s="51"/>
      <c r="J359" s="53" t="s">
        <v>281</v>
      </c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</row>
    <row r="360" spans="1:31" s="54" customFormat="1" ht="12" x14ac:dyDescent="0.2">
      <c r="A360" s="53">
        <v>340024</v>
      </c>
      <c r="B360" s="53" t="s">
        <v>314</v>
      </c>
      <c r="C360" s="54" t="s">
        <v>33</v>
      </c>
      <c r="D360" s="54" t="s">
        <v>34</v>
      </c>
      <c r="I360" s="51"/>
      <c r="J360" s="53" t="s">
        <v>314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</row>
    <row r="361" spans="1:31" s="54" customFormat="1" ht="12" x14ac:dyDescent="0.2">
      <c r="A361" s="53">
        <v>340025</v>
      </c>
      <c r="B361" s="53" t="s">
        <v>423</v>
      </c>
      <c r="C361" s="54" t="s">
        <v>33</v>
      </c>
      <c r="D361" s="54" t="s">
        <v>34</v>
      </c>
      <c r="I361" s="51"/>
      <c r="J361" s="53" t="s">
        <v>423</v>
      </c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</row>
    <row r="362" spans="1:31" s="54" customFormat="1" ht="12" x14ac:dyDescent="0.2">
      <c r="A362" s="53">
        <v>340026</v>
      </c>
      <c r="B362" s="53" t="s">
        <v>315</v>
      </c>
      <c r="C362" s="54" t="s">
        <v>33</v>
      </c>
      <c r="D362" s="54" t="s">
        <v>34</v>
      </c>
      <c r="I362" s="51"/>
      <c r="J362" s="53" t="s">
        <v>315</v>
      </c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</row>
    <row r="363" spans="1:31" s="54" customFormat="1" ht="12" x14ac:dyDescent="0.2">
      <c r="A363" s="53">
        <v>340027</v>
      </c>
      <c r="B363" s="53" t="s">
        <v>316</v>
      </c>
      <c r="C363" s="54" t="s">
        <v>33</v>
      </c>
      <c r="D363" s="54" t="s">
        <v>34</v>
      </c>
      <c r="I363" s="51"/>
      <c r="J363" s="53" t="s">
        <v>316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</row>
    <row r="364" spans="1:31" s="54" customFormat="1" ht="12" x14ac:dyDescent="0.2">
      <c r="A364" s="53">
        <v>340029</v>
      </c>
      <c r="B364" s="53" t="s">
        <v>317</v>
      </c>
      <c r="C364" s="54" t="s">
        <v>33</v>
      </c>
      <c r="D364" s="54" t="s">
        <v>34</v>
      </c>
      <c r="I364" s="51"/>
      <c r="J364" s="53" t="s">
        <v>317</v>
      </c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</row>
    <row r="365" spans="1:31" s="54" customFormat="1" ht="12" x14ac:dyDescent="0.2">
      <c r="A365" s="53">
        <v>340030</v>
      </c>
      <c r="B365" s="53" t="s">
        <v>318</v>
      </c>
      <c r="C365" s="54" t="s">
        <v>33</v>
      </c>
      <c r="D365" s="54" t="s">
        <v>34</v>
      </c>
      <c r="I365" s="51"/>
      <c r="J365" s="53" t="s">
        <v>318</v>
      </c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</row>
    <row r="366" spans="1:31" s="54" customFormat="1" ht="12" x14ac:dyDescent="0.2">
      <c r="A366" s="53">
        <v>340036</v>
      </c>
      <c r="B366" s="53" t="s">
        <v>319</v>
      </c>
      <c r="C366" s="54" t="s">
        <v>33</v>
      </c>
      <c r="D366" s="54" t="s">
        <v>34</v>
      </c>
      <c r="I366" s="51"/>
      <c r="J366" s="53" t="s">
        <v>319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</row>
    <row r="367" spans="1:31" s="54" customFormat="1" ht="12" x14ac:dyDescent="0.2">
      <c r="A367" s="53">
        <v>340037</v>
      </c>
      <c r="B367" s="53" t="s">
        <v>320</v>
      </c>
      <c r="C367" s="54" t="s">
        <v>33</v>
      </c>
      <c r="D367" s="54" t="s">
        <v>34</v>
      </c>
      <c r="I367" s="51"/>
      <c r="J367" s="53" t="s">
        <v>320</v>
      </c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</row>
    <row r="368" spans="1:31" s="54" customFormat="1" ht="12" x14ac:dyDescent="0.2">
      <c r="A368" s="53">
        <v>3401</v>
      </c>
      <c r="B368" s="53" t="s">
        <v>321</v>
      </c>
      <c r="C368" s="54" t="s">
        <v>410</v>
      </c>
      <c r="D368" s="54" t="s">
        <v>34</v>
      </c>
      <c r="I368" s="51"/>
      <c r="J368" s="53" t="s">
        <v>321</v>
      </c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</row>
    <row r="369" spans="1:31" s="54" customFormat="1" ht="12" x14ac:dyDescent="0.2">
      <c r="A369" s="53">
        <v>340101</v>
      </c>
      <c r="B369" s="53" t="s">
        <v>322</v>
      </c>
      <c r="C369" s="54" t="s">
        <v>33</v>
      </c>
      <c r="D369" s="54" t="s">
        <v>34</v>
      </c>
      <c r="I369" s="51"/>
      <c r="J369" s="53" t="s">
        <v>322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</row>
    <row r="370" spans="1:31" s="54" customFormat="1" ht="12" x14ac:dyDescent="0.2">
      <c r="A370" s="53">
        <v>340102</v>
      </c>
      <c r="B370" s="53" t="s">
        <v>323</v>
      </c>
      <c r="C370" s="54" t="s">
        <v>33</v>
      </c>
      <c r="D370" s="54" t="s">
        <v>34</v>
      </c>
      <c r="I370" s="51"/>
      <c r="J370" s="53" t="s">
        <v>323</v>
      </c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</row>
    <row r="371" spans="1:31" s="54" customFormat="1" ht="12" x14ac:dyDescent="0.2">
      <c r="A371" s="53">
        <v>35</v>
      </c>
      <c r="B371" s="53" t="s">
        <v>324</v>
      </c>
      <c r="C371" s="54" t="s">
        <v>410</v>
      </c>
      <c r="D371" s="54" t="s">
        <v>34</v>
      </c>
      <c r="I371" s="51"/>
      <c r="J371" s="53" t="s">
        <v>324</v>
      </c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</row>
    <row r="372" spans="1:31" s="54" customFormat="1" ht="12" x14ac:dyDescent="0.2">
      <c r="A372" s="53">
        <v>350</v>
      </c>
      <c r="B372" s="53" t="s">
        <v>325</v>
      </c>
      <c r="C372" s="54" t="s">
        <v>410</v>
      </c>
      <c r="D372" s="54" t="s">
        <v>34</v>
      </c>
      <c r="I372" s="51"/>
      <c r="J372" s="53" t="s">
        <v>325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</row>
    <row r="373" spans="1:31" s="54" customFormat="1" ht="12" x14ac:dyDescent="0.2">
      <c r="A373" s="53">
        <v>3500</v>
      </c>
      <c r="B373" s="53" t="s">
        <v>325</v>
      </c>
      <c r="C373" s="54" t="s">
        <v>410</v>
      </c>
      <c r="D373" s="54" t="s">
        <v>34</v>
      </c>
      <c r="I373" s="51"/>
      <c r="J373" s="53" t="s">
        <v>325</v>
      </c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</row>
    <row r="374" spans="1:31" s="54" customFormat="1" ht="12" x14ac:dyDescent="0.2">
      <c r="A374" s="53">
        <v>350001</v>
      </c>
      <c r="B374" s="53" t="s">
        <v>326</v>
      </c>
      <c r="C374" s="54" t="s">
        <v>33</v>
      </c>
      <c r="D374" s="54" t="s">
        <v>34</v>
      </c>
      <c r="I374" s="51"/>
      <c r="J374" s="53" t="s">
        <v>326</v>
      </c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</row>
    <row r="375" spans="1:31" s="54" customFormat="1" ht="12" x14ac:dyDescent="0.2">
      <c r="A375" s="53">
        <v>350002</v>
      </c>
      <c r="B375" s="53" t="s">
        <v>327</v>
      </c>
      <c r="C375" s="54" t="s">
        <v>33</v>
      </c>
      <c r="D375" s="54" t="s">
        <v>34</v>
      </c>
      <c r="I375" s="51"/>
      <c r="J375" s="53" t="s">
        <v>327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</row>
    <row r="376" spans="1:31" s="54" customFormat="1" ht="12" x14ac:dyDescent="0.2">
      <c r="A376" s="53">
        <v>350003</v>
      </c>
      <c r="B376" s="53" t="s">
        <v>328</v>
      </c>
      <c r="C376" s="54" t="s">
        <v>33</v>
      </c>
      <c r="D376" s="54" t="s">
        <v>34</v>
      </c>
      <c r="I376" s="51"/>
      <c r="J376" s="53" t="s">
        <v>328</v>
      </c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</row>
    <row r="377" spans="1:31" s="54" customFormat="1" ht="12" x14ac:dyDescent="0.2">
      <c r="A377" s="53">
        <v>350004</v>
      </c>
      <c r="B377" s="53" t="s">
        <v>329</v>
      </c>
      <c r="C377" s="54" t="s">
        <v>33</v>
      </c>
      <c r="D377" s="54" t="s">
        <v>34</v>
      </c>
      <c r="I377" s="51"/>
      <c r="J377" s="53" t="s">
        <v>329</v>
      </c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</row>
    <row r="378" spans="1:31" s="54" customFormat="1" ht="12" x14ac:dyDescent="0.2">
      <c r="A378" s="53">
        <v>350005</v>
      </c>
      <c r="B378" s="53" t="s">
        <v>330</v>
      </c>
      <c r="C378" s="54" t="s">
        <v>33</v>
      </c>
      <c r="D378" s="54" t="s">
        <v>34</v>
      </c>
      <c r="I378" s="51"/>
      <c r="J378" s="53" t="s">
        <v>330</v>
      </c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</row>
    <row r="379" spans="1:31" s="54" customFormat="1" ht="12" x14ac:dyDescent="0.2">
      <c r="A379" s="53">
        <v>350008</v>
      </c>
      <c r="B379" s="53" t="s">
        <v>331</v>
      </c>
      <c r="C379" s="54" t="s">
        <v>33</v>
      </c>
      <c r="D379" s="54" t="s">
        <v>34</v>
      </c>
      <c r="I379" s="51"/>
      <c r="J379" s="53" t="s">
        <v>331</v>
      </c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</row>
    <row r="380" spans="1:31" s="54" customFormat="1" ht="12" x14ac:dyDescent="0.2">
      <c r="A380" s="53">
        <v>350009</v>
      </c>
      <c r="B380" s="53" t="s">
        <v>332</v>
      </c>
      <c r="C380" s="54" t="s">
        <v>33</v>
      </c>
      <c r="D380" s="54" t="s">
        <v>34</v>
      </c>
      <c r="I380" s="51"/>
      <c r="J380" s="53" t="s">
        <v>332</v>
      </c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</row>
    <row r="381" spans="1:31" s="54" customFormat="1" ht="12" x14ac:dyDescent="0.2">
      <c r="A381" s="53">
        <v>350010</v>
      </c>
      <c r="B381" s="53" t="s">
        <v>429</v>
      </c>
      <c r="C381" s="54" t="s">
        <v>33</v>
      </c>
      <c r="D381" s="54" t="s">
        <v>34</v>
      </c>
      <c r="I381" s="51"/>
      <c r="J381" s="53" t="s">
        <v>429</v>
      </c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</row>
    <row r="382" spans="1:31" s="54" customFormat="1" ht="12" x14ac:dyDescent="0.2">
      <c r="A382" s="53">
        <v>350011</v>
      </c>
      <c r="B382" s="53" t="s">
        <v>333</v>
      </c>
      <c r="C382" s="54" t="s">
        <v>33</v>
      </c>
      <c r="D382" s="54" t="s">
        <v>34</v>
      </c>
      <c r="I382" s="51"/>
      <c r="J382" s="53" t="s">
        <v>333</v>
      </c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</row>
    <row r="383" spans="1:31" s="54" customFormat="1" ht="12" x14ac:dyDescent="0.2">
      <c r="A383" s="53">
        <v>350012</v>
      </c>
      <c r="B383" s="53" t="s">
        <v>334</v>
      </c>
      <c r="C383" s="54" t="s">
        <v>33</v>
      </c>
      <c r="D383" s="54" t="s">
        <v>34</v>
      </c>
      <c r="I383" s="51"/>
      <c r="J383" s="53" t="s">
        <v>334</v>
      </c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</row>
    <row r="384" spans="1:31" s="54" customFormat="1" ht="12" x14ac:dyDescent="0.2">
      <c r="A384" s="53">
        <v>36</v>
      </c>
      <c r="B384" s="53" t="s">
        <v>335</v>
      </c>
      <c r="C384" s="54" t="s">
        <v>410</v>
      </c>
      <c r="D384" s="54" t="s">
        <v>34</v>
      </c>
      <c r="I384" s="51"/>
      <c r="J384" s="53" t="s">
        <v>335</v>
      </c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</row>
    <row r="385" spans="1:31" s="54" customFormat="1" ht="12" x14ac:dyDescent="0.2">
      <c r="A385" s="53">
        <v>360</v>
      </c>
      <c r="B385" s="53" t="s">
        <v>335</v>
      </c>
      <c r="C385" s="54" t="s">
        <v>410</v>
      </c>
      <c r="D385" s="54" t="s">
        <v>34</v>
      </c>
      <c r="I385" s="51"/>
      <c r="J385" s="53" t="s">
        <v>335</v>
      </c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</row>
    <row r="386" spans="1:31" s="54" customFormat="1" ht="12" x14ac:dyDescent="0.2">
      <c r="A386" s="53">
        <v>3600</v>
      </c>
      <c r="B386" s="53" t="s">
        <v>335</v>
      </c>
      <c r="C386" s="54" t="s">
        <v>410</v>
      </c>
      <c r="D386" s="54" t="s">
        <v>34</v>
      </c>
      <c r="I386" s="51"/>
      <c r="J386" s="53" t="s">
        <v>335</v>
      </c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</row>
    <row r="387" spans="1:31" s="54" customFormat="1" ht="12" x14ac:dyDescent="0.2">
      <c r="A387" s="53">
        <v>360001</v>
      </c>
      <c r="B387" s="53" t="s">
        <v>336</v>
      </c>
      <c r="C387" s="54" t="s">
        <v>33</v>
      </c>
      <c r="D387" s="54" t="s">
        <v>34</v>
      </c>
      <c r="I387" s="51"/>
      <c r="J387" s="53" t="s">
        <v>336</v>
      </c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</row>
    <row r="388" spans="1:31" s="54" customFormat="1" ht="12" x14ac:dyDescent="0.2">
      <c r="A388" s="53">
        <v>360002</v>
      </c>
      <c r="B388" s="53" t="s">
        <v>337</v>
      </c>
      <c r="C388" s="54" t="s">
        <v>33</v>
      </c>
      <c r="D388" s="54" t="s">
        <v>34</v>
      </c>
      <c r="I388" s="51"/>
      <c r="J388" s="53" t="s">
        <v>337</v>
      </c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</row>
    <row r="389" spans="1:31" s="54" customFormat="1" ht="12" x14ac:dyDescent="0.2">
      <c r="A389" s="53">
        <v>360004</v>
      </c>
      <c r="B389" s="53" t="s">
        <v>338</v>
      </c>
      <c r="C389" s="54" t="s">
        <v>33</v>
      </c>
      <c r="D389" s="54" t="s">
        <v>34</v>
      </c>
      <c r="I389" s="51"/>
      <c r="J389" s="53" t="s">
        <v>338</v>
      </c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</row>
    <row r="390" spans="1:31" s="54" customFormat="1" ht="12" x14ac:dyDescent="0.2">
      <c r="A390" s="53">
        <v>37</v>
      </c>
      <c r="B390" s="53" t="s">
        <v>339</v>
      </c>
      <c r="C390" s="54" t="s">
        <v>410</v>
      </c>
      <c r="D390" s="54" t="s">
        <v>34</v>
      </c>
      <c r="I390" s="51"/>
      <c r="J390" s="53" t="s">
        <v>339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</row>
    <row r="391" spans="1:31" s="54" customFormat="1" ht="12" x14ac:dyDescent="0.2">
      <c r="A391" s="53">
        <v>370</v>
      </c>
      <c r="B391" s="53" t="s">
        <v>339</v>
      </c>
      <c r="C391" s="54" t="s">
        <v>410</v>
      </c>
      <c r="D391" s="54" t="s">
        <v>34</v>
      </c>
      <c r="I391" s="51"/>
      <c r="J391" s="53" t="s">
        <v>339</v>
      </c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</row>
    <row r="392" spans="1:31" s="54" customFormat="1" ht="12" x14ac:dyDescent="0.2">
      <c r="A392" s="53">
        <v>3700</v>
      </c>
      <c r="B392" s="53" t="s">
        <v>339</v>
      </c>
      <c r="C392" s="54" t="s">
        <v>410</v>
      </c>
      <c r="D392" s="54" t="s">
        <v>34</v>
      </c>
      <c r="I392" s="51"/>
      <c r="J392" s="53" t="s">
        <v>339</v>
      </c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</row>
    <row r="393" spans="1:31" s="54" customFormat="1" ht="12" x14ac:dyDescent="0.2">
      <c r="A393" s="53">
        <v>370001</v>
      </c>
      <c r="B393" s="53" t="s">
        <v>340</v>
      </c>
      <c r="C393" s="54" t="s">
        <v>33</v>
      </c>
      <c r="D393" s="54" t="s">
        <v>34</v>
      </c>
      <c r="I393" s="51"/>
      <c r="J393" s="53" t="s">
        <v>340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</row>
    <row r="394" spans="1:31" s="54" customFormat="1" ht="12" x14ac:dyDescent="0.2">
      <c r="A394" s="53">
        <v>370002</v>
      </c>
      <c r="B394" s="53" t="s">
        <v>341</v>
      </c>
      <c r="C394" s="54" t="s">
        <v>33</v>
      </c>
      <c r="D394" s="54" t="s">
        <v>34</v>
      </c>
      <c r="I394" s="51"/>
      <c r="J394" s="53" t="s">
        <v>341</v>
      </c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</row>
    <row r="395" spans="1:31" s="54" customFormat="1" ht="12" x14ac:dyDescent="0.2">
      <c r="A395" s="53">
        <v>370003</v>
      </c>
      <c r="B395" s="53" t="s">
        <v>342</v>
      </c>
      <c r="C395" s="54" t="s">
        <v>33</v>
      </c>
      <c r="D395" s="54" t="s">
        <v>34</v>
      </c>
      <c r="I395" s="51"/>
      <c r="J395" s="53" t="s">
        <v>342</v>
      </c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</row>
    <row r="396" spans="1:31" s="54" customFormat="1" ht="12" x14ac:dyDescent="0.2">
      <c r="A396" s="53">
        <v>370004</v>
      </c>
      <c r="B396" s="53" t="s">
        <v>343</v>
      </c>
      <c r="C396" s="54" t="s">
        <v>33</v>
      </c>
      <c r="D396" s="54" t="s">
        <v>34</v>
      </c>
      <c r="I396" s="51"/>
      <c r="J396" s="53" t="s">
        <v>343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</row>
    <row r="397" spans="1:31" s="54" customFormat="1" ht="12" x14ac:dyDescent="0.2">
      <c r="A397" s="53">
        <v>370005</v>
      </c>
      <c r="B397" s="53" t="s">
        <v>344</v>
      </c>
      <c r="C397" s="54" t="s">
        <v>33</v>
      </c>
      <c r="D397" s="54" t="s">
        <v>34</v>
      </c>
      <c r="I397" s="51"/>
      <c r="J397" s="53" t="s">
        <v>344</v>
      </c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</row>
    <row r="398" spans="1:31" s="54" customFormat="1" ht="12" x14ac:dyDescent="0.2">
      <c r="A398" s="53">
        <v>370006</v>
      </c>
      <c r="B398" s="53" t="s">
        <v>345</v>
      </c>
      <c r="C398" s="54" t="s">
        <v>33</v>
      </c>
      <c r="D398" s="54" t="s">
        <v>34</v>
      </c>
      <c r="I398" s="51"/>
      <c r="J398" s="53" t="s">
        <v>345</v>
      </c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</row>
    <row r="399" spans="1:31" s="54" customFormat="1" ht="12" x14ac:dyDescent="0.2">
      <c r="A399" s="53">
        <v>370007</v>
      </c>
      <c r="B399" s="53" t="s">
        <v>346</v>
      </c>
      <c r="C399" s="54" t="s">
        <v>33</v>
      </c>
      <c r="D399" s="54" t="s">
        <v>34</v>
      </c>
      <c r="I399" s="51"/>
      <c r="J399" s="53" t="s">
        <v>346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</row>
    <row r="400" spans="1:31" s="54" customFormat="1" ht="12" x14ac:dyDescent="0.2">
      <c r="A400" s="53">
        <v>370009</v>
      </c>
      <c r="B400" s="53" t="s">
        <v>347</v>
      </c>
      <c r="C400" s="54" t="s">
        <v>33</v>
      </c>
      <c r="D400" s="54" t="s">
        <v>34</v>
      </c>
      <c r="I400" s="51"/>
      <c r="J400" s="53" t="s">
        <v>347</v>
      </c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</row>
    <row r="401" spans="1:31" s="54" customFormat="1" ht="12" x14ac:dyDescent="0.2">
      <c r="A401" s="53">
        <v>370011</v>
      </c>
      <c r="B401" s="53" t="s">
        <v>348</v>
      </c>
      <c r="C401" s="54" t="s">
        <v>33</v>
      </c>
      <c r="D401" s="54" t="s">
        <v>34</v>
      </c>
      <c r="I401" s="51"/>
      <c r="J401" s="53" t="s">
        <v>348</v>
      </c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</row>
    <row r="402" spans="1:31" s="54" customFormat="1" ht="12" x14ac:dyDescent="0.2">
      <c r="A402" s="53">
        <v>370013</v>
      </c>
      <c r="B402" s="53" t="s">
        <v>349</v>
      </c>
      <c r="C402" s="54" t="s">
        <v>33</v>
      </c>
      <c r="D402" s="54" t="s">
        <v>34</v>
      </c>
      <c r="I402" s="51"/>
      <c r="J402" s="53" t="s">
        <v>349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</row>
    <row r="403" spans="1:31" s="54" customFormat="1" ht="12" x14ac:dyDescent="0.2">
      <c r="A403" s="53">
        <v>370014</v>
      </c>
      <c r="B403" s="53" t="s">
        <v>350</v>
      </c>
      <c r="C403" s="54" t="s">
        <v>33</v>
      </c>
      <c r="D403" s="54" t="s">
        <v>34</v>
      </c>
      <c r="I403" s="51"/>
      <c r="J403" s="53" t="s">
        <v>350</v>
      </c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</row>
    <row r="404" spans="1:31" s="54" customFormat="1" ht="12" x14ac:dyDescent="0.2">
      <c r="A404" s="53">
        <v>38</v>
      </c>
      <c r="B404" s="53" t="s">
        <v>351</v>
      </c>
      <c r="C404" s="54" t="s">
        <v>410</v>
      </c>
      <c r="D404" s="54" t="s">
        <v>34</v>
      </c>
      <c r="I404" s="51"/>
      <c r="J404" s="53" t="s">
        <v>351</v>
      </c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</row>
    <row r="405" spans="1:31" s="54" customFormat="1" ht="12" x14ac:dyDescent="0.2">
      <c r="A405" s="53">
        <v>380</v>
      </c>
      <c r="B405" s="53" t="s">
        <v>351</v>
      </c>
      <c r="C405" s="54" t="s">
        <v>410</v>
      </c>
      <c r="D405" s="54" t="s">
        <v>34</v>
      </c>
      <c r="I405" s="51"/>
      <c r="J405" s="53" t="s">
        <v>351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</row>
    <row r="406" spans="1:31" s="54" customFormat="1" ht="12" x14ac:dyDescent="0.2">
      <c r="A406" s="53">
        <v>3800</v>
      </c>
      <c r="B406" s="53" t="s">
        <v>351</v>
      </c>
      <c r="C406" s="54" t="s">
        <v>410</v>
      </c>
      <c r="D406" s="54" t="s">
        <v>34</v>
      </c>
      <c r="I406" s="51"/>
      <c r="J406" s="53" t="s">
        <v>351</v>
      </c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</row>
    <row r="407" spans="1:31" s="54" customFormat="1" ht="12" x14ac:dyDescent="0.2">
      <c r="A407" s="53">
        <v>380001</v>
      </c>
      <c r="B407" s="53" t="s">
        <v>352</v>
      </c>
      <c r="C407" s="54" t="s">
        <v>33</v>
      </c>
      <c r="D407" s="54" t="s">
        <v>34</v>
      </c>
      <c r="I407" s="51"/>
      <c r="J407" s="53" t="s">
        <v>352</v>
      </c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</row>
    <row r="408" spans="1:31" s="54" customFormat="1" ht="12" x14ac:dyDescent="0.2">
      <c r="A408" s="53">
        <v>380002</v>
      </c>
      <c r="B408" s="53" t="s">
        <v>353</v>
      </c>
      <c r="C408" s="54" t="s">
        <v>33</v>
      </c>
      <c r="D408" s="54" t="s">
        <v>34</v>
      </c>
      <c r="I408" s="51"/>
      <c r="J408" s="53" t="s">
        <v>353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</row>
    <row r="409" spans="1:31" s="54" customFormat="1" ht="12" x14ac:dyDescent="0.2">
      <c r="A409" s="53">
        <v>380003</v>
      </c>
      <c r="B409" s="53" t="s">
        <v>354</v>
      </c>
      <c r="C409" s="54" t="s">
        <v>33</v>
      </c>
      <c r="D409" s="54" t="s">
        <v>34</v>
      </c>
      <c r="I409" s="51"/>
      <c r="J409" s="53" t="s">
        <v>354</v>
      </c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</row>
    <row r="410" spans="1:31" s="54" customFormat="1" ht="12" x14ac:dyDescent="0.2">
      <c r="A410" s="52">
        <v>4</v>
      </c>
      <c r="B410" s="53" t="s">
        <v>355</v>
      </c>
      <c r="C410" s="54" t="s">
        <v>410</v>
      </c>
      <c r="D410" s="54" t="s">
        <v>43</v>
      </c>
      <c r="I410" s="51"/>
      <c r="J410" s="53" t="s">
        <v>355</v>
      </c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</row>
    <row r="411" spans="1:31" s="54" customFormat="1" ht="12" x14ac:dyDescent="0.2">
      <c r="A411" s="53">
        <v>40</v>
      </c>
      <c r="B411" s="53" t="s">
        <v>356</v>
      </c>
      <c r="C411" s="54" t="s">
        <v>410</v>
      </c>
      <c r="D411" s="54" t="s">
        <v>43</v>
      </c>
      <c r="I411" s="51"/>
      <c r="J411" s="53" t="s">
        <v>356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</row>
    <row r="412" spans="1:31" s="54" customFormat="1" ht="12" x14ac:dyDescent="0.2">
      <c r="A412" s="53">
        <v>400</v>
      </c>
      <c r="B412" s="53" t="s">
        <v>357</v>
      </c>
      <c r="C412" s="54" t="s">
        <v>410</v>
      </c>
      <c r="D412" s="54" t="s">
        <v>43</v>
      </c>
      <c r="I412" s="51"/>
      <c r="J412" s="53" t="s">
        <v>357</v>
      </c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</row>
    <row r="413" spans="1:31" s="54" customFormat="1" ht="12" x14ac:dyDescent="0.2">
      <c r="A413" s="53">
        <v>4000</v>
      </c>
      <c r="B413" s="53" t="s">
        <v>357</v>
      </c>
      <c r="C413" s="54" t="s">
        <v>410</v>
      </c>
      <c r="D413" s="54" t="s">
        <v>43</v>
      </c>
      <c r="I413" s="51"/>
      <c r="J413" s="53" t="s">
        <v>357</v>
      </c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</row>
    <row r="414" spans="1:31" s="54" customFormat="1" ht="12" x14ac:dyDescent="0.2">
      <c r="A414" s="53">
        <v>400001</v>
      </c>
      <c r="B414" s="53" t="s">
        <v>358</v>
      </c>
      <c r="C414" s="54" t="s">
        <v>33</v>
      </c>
      <c r="D414" s="54" t="s">
        <v>43</v>
      </c>
      <c r="I414" s="51"/>
      <c r="J414" s="53" t="s">
        <v>358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</row>
    <row r="415" spans="1:31" s="54" customFormat="1" ht="12" x14ac:dyDescent="0.2">
      <c r="A415" s="53">
        <v>400002</v>
      </c>
      <c r="B415" s="53" t="s">
        <v>359</v>
      </c>
      <c r="C415" s="54" t="s">
        <v>33</v>
      </c>
      <c r="D415" s="54" t="s">
        <v>43</v>
      </c>
      <c r="I415" s="51"/>
      <c r="J415" s="53" t="s">
        <v>359</v>
      </c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</row>
    <row r="416" spans="1:31" s="54" customFormat="1" ht="12" x14ac:dyDescent="0.2">
      <c r="A416" s="53">
        <v>400003</v>
      </c>
      <c r="B416" s="53" t="s">
        <v>360</v>
      </c>
      <c r="C416" s="54" t="s">
        <v>33</v>
      </c>
      <c r="D416" s="54" t="s">
        <v>43</v>
      </c>
      <c r="I416" s="51"/>
      <c r="J416" s="53" t="s">
        <v>360</v>
      </c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</row>
    <row r="417" spans="1:31" s="54" customFormat="1" ht="12" x14ac:dyDescent="0.2">
      <c r="A417" s="53">
        <v>400004</v>
      </c>
      <c r="B417" s="53" t="s">
        <v>361</v>
      </c>
      <c r="C417" s="54" t="s">
        <v>33</v>
      </c>
      <c r="D417" s="54" t="s">
        <v>43</v>
      </c>
      <c r="I417" s="51"/>
      <c r="J417" s="53" t="s">
        <v>361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</row>
    <row r="418" spans="1:31" s="54" customFormat="1" ht="12" x14ac:dyDescent="0.2">
      <c r="A418" s="53">
        <v>401</v>
      </c>
      <c r="B418" s="53" t="s">
        <v>362</v>
      </c>
      <c r="C418" s="54" t="s">
        <v>410</v>
      </c>
      <c r="D418" s="54" t="s">
        <v>34</v>
      </c>
      <c r="I418" s="51"/>
      <c r="J418" s="53" t="s">
        <v>362</v>
      </c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</row>
    <row r="419" spans="1:31" s="54" customFormat="1" ht="12" x14ac:dyDescent="0.2">
      <c r="A419" s="53">
        <v>4010</v>
      </c>
      <c r="B419" s="53" t="s">
        <v>363</v>
      </c>
      <c r="C419" s="54" t="s">
        <v>410</v>
      </c>
      <c r="D419" s="54" t="s">
        <v>34</v>
      </c>
      <c r="I419" s="51"/>
      <c r="J419" s="53" t="s">
        <v>363</v>
      </c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</row>
    <row r="420" spans="1:31" s="54" customFormat="1" ht="12" x14ac:dyDescent="0.2">
      <c r="A420" s="53">
        <v>401001</v>
      </c>
      <c r="B420" s="53" t="s">
        <v>364</v>
      </c>
      <c r="C420" s="54" t="s">
        <v>33</v>
      </c>
      <c r="D420" s="54" t="s">
        <v>34</v>
      </c>
      <c r="I420" s="51"/>
      <c r="J420" s="53" t="s">
        <v>364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</row>
    <row r="421" spans="1:31" s="54" customFormat="1" ht="12" x14ac:dyDescent="0.2">
      <c r="A421" s="53">
        <v>401002</v>
      </c>
      <c r="B421" s="53" t="s">
        <v>365</v>
      </c>
      <c r="C421" s="54" t="s">
        <v>33</v>
      </c>
      <c r="D421" s="54" t="s">
        <v>34</v>
      </c>
      <c r="I421" s="51"/>
      <c r="J421" s="53" t="s">
        <v>365</v>
      </c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</row>
    <row r="422" spans="1:31" s="54" customFormat="1" ht="12" x14ac:dyDescent="0.2">
      <c r="A422" s="53">
        <v>401003</v>
      </c>
      <c r="B422" s="53" t="s">
        <v>366</v>
      </c>
      <c r="C422" s="54" t="s">
        <v>33</v>
      </c>
      <c r="D422" s="54" t="s">
        <v>43</v>
      </c>
      <c r="I422" s="51"/>
      <c r="J422" s="53" t="s">
        <v>366</v>
      </c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</row>
    <row r="423" spans="1:31" s="54" customFormat="1" ht="12" x14ac:dyDescent="0.2">
      <c r="A423" s="53">
        <v>401004</v>
      </c>
      <c r="B423" s="53" t="s">
        <v>367</v>
      </c>
      <c r="C423" s="54" t="s">
        <v>33</v>
      </c>
      <c r="D423" s="54" t="s">
        <v>34</v>
      </c>
      <c r="I423" s="51"/>
      <c r="J423" s="53" t="s">
        <v>367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</row>
    <row r="424" spans="1:31" s="54" customFormat="1" ht="12" x14ac:dyDescent="0.2">
      <c r="A424" s="53">
        <v>401005</v>
      </c>
      <c r="B424" s="53" t="s">
        <v>368</v>
      </c>
      <c r="C424" s="54" t="s">
        <v>33</v>
      </c>
      <c r="D424" s="54" t="s">
        <v>43</v>
      </c>
      <c r="I424" s="51"/>
      <c r="J424" s="53" t="s">
        <v>368</v>
      </c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</row>
    <row r="425" spans="1:31" s="54" customFormat="1" ht="12" x14ac:dyDescent="0.2">
      <c r="A425" s="53">
        <v>401006</v>
      </c>
      <c r="B425" s="53" t="s">
        <v>369</v>
      </c>
      <c r="C425" s="54" t="s">
        <v>33</v>
      </c>
      <c r="D425" s="54" t="s">
        <v>34</v>
      </c>
      <c r="I425" s="51"/>
      <c r="J425" s="53" t="s">
        <v>369</v>
      </c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</row>
    <row r="426" spans="1:31" s="54" customFormat="1" ht="12" x14ac:dyDescent="0.2">
      <c r="A426" s="53">
        <v>401007</v>
      </c>
      <c r="B426" s="53" t="s">
        <v>370</v>
      </c>
      <c r="C426" s="54" t="s">
        <v>33</v>
      </c>
      <c r="D426" s="54" t="s">
        <v>43</v>
      </c>
      <c r="I426" s="51"/>
      <c r="J426" s="53" t="s">
        <v>370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</row>
    <row r="427" spans="1:31" s="54" customFormat="1" ht="12" x14ac:dyDescent="0.2">
      <c r="A427" s="53">
        <v>401011</v>
      </c>
      <c r="B427" s="53" t="s">
        <v>430</v>
      </c>
      <c r="C427" s="54" t="s">
        <v>33</v>
      </c>
      <c r="D427" s="54" t="s">
        <v>34</v>
      </c>
      <c r="I427" s="51"/>
      <c r="J427" s="53" t="s">
        <v>430</v>
      </c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</row>
    <row r="428" spans="1:31" s="54" customFormat="1" ht="12" x14ac:dyDescent="0.2">
      <c r="A428" s="53">
        <v>401012</v>
      </c>
      <c r="B428" s="53" t="s">
        <v>106</v>
      </c>
      <c r="C428" s="54" t="s">
        <v>33</v>
      </c>
      <c r="D428" s="54" t="s">
        <v>43</v>
      </c>
      <c r="I428" s="51"/>
      <c r="J428" s="53" t="s">
        <v>106</v>
      </c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</row>
    <row r="429" spans="1:31" s="54" customFormat="1" ht="12" x14ac:dyDescent="0.2">
      <c r="A429" s="53">
        <v>41</v>
      </c>
      <c r="B429" s="53" t="s">
        <v>371</v>
      </c>
      <c r="C429" s="54" t="s">
        <v>410</v>
      </c>
      <c r="D429" s="54" t="s">
        <v>43</v>
      </c>
      <c r="I429" s="51"/>
      <c r="J429" s="53" t="s">
        <v>371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</row>
    <row r="430" spans="1:31" s="54" customFormat="1" ht="12" x14ac:dyDescent="0.2">
      <c r="A430" s="53">
        <v>410</v>
      </c>
      <c r="B430" s="53" t="s">
        <v>371</v>
      </c>
      <c r="C430" s="54" t="s">
        <v>410</v>
      </c>
      <c r="D430" s="54" t="s">
        <v>43</v>
      </c>
      <c r="I430" s="51"/>
      <c r="J430" s="53" t="s">
        <v>371</v>
      </c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</row>
    <row r="431" spans="1:31" s="54" customFormat="1" ht="12" x14ac:dyDescent="0.2">
      <c r="A431" s="53">
        <v>4100</v>
      </c>
      <c r="B431" s="53" t="s">
        <v>371</v>
      </c>
      <c r="C431" s="54" t="s">
        <v>410</v>
      </c>
      <c r="D431" s="54" t="s">
        <v>43</v>
      </c>
      <c r="I431" s="51"/>
      <c r="J431" s="53" t="s">
        <v>371</v>
      </c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</row>
    <row r="432" spans="1:31" s="54" customFormat="1" ht="12" x14ac:dyDescent="0.2">
      <c r="A432" s="53">
        <v>410001</v>
      </c>
      <c r="B432" s="53" t="s">
        <v>372</v>
      </c>
      <c r="C432" s="54" t="s">
        <v>33</v>
      </c>
      <c r="D432" s="54" t="s">
        <v>43</v>
      </c>
      <c r="I432" s="51"/>
      <c r="J432" s="53" t="s">
        <v>372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</row>
    <row r="433" spans="1:31" s="54" customFormat="1" ht="12" x14ac:dyDescent="0.2">
      <c r="A433" s="53">
        <v>410002</v>
      </c>
      <c r="B433" s="53" t="s">
        <v>373</v>
      </c>
      <c r="C433" s="54" t="s">
        <v>33</v>
      </c>
      <c r="D433" s="54" t="s">
        <v>43</v>
      </c>
      <c r="I433" s="51"/>
      <c r="J433" s="53" t="s">
        <v>373</v>
      </c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</row>
    <row r="434" spans="1:31" s="54" customFormat="1" ht="12" x14ac:dyDescent="0.2">
      <c r="A434" s="53">
        <v>410003</v>
      </c>
      <c r="B434" s="53" t="s">
        <v>374</v>
      </c>
      <c r="C434" s="54" t="s">
        <v>33</v>
      </c>
      <c r="D434" s="54" t="s">
        <v>43</v>
      </c>
      <c r="I434" s="51"/>
      <c r="J434" s="53" t="s">
        <v>374</v>
      </c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</row>
    <row r="435" spans="1:31" s="54" customFormat="1" ht="12" x14ac:dyDescent="0.2">
      <c r="A435" s="53">
        <v>410004</v>
      </c>
      <c r="B435" s="53" t="s">
        <v>375</v>
      </c>
      <c r="C435" s="54" t="s">
        <v>33</v>
      </c>
      <c r="D435" s="54" t="s">
        <v>43</v>
      </c>
      <c r="I435" s="51"/>
      <c r="J435" s="53" t="s">
        <v>375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</row>
    <row r="436" spans="1:31" s="54" customFormat="1" ht="12" x14ac:dyDescent="0.2">
      <c r="A436" s="53">
        <v>410005</v>
      </c>
      <c r="B436" s="53" t="s">
        <v>376</v>
      </c>
      <c r="C436" s="54" t="s">
        <v>33</v>
      </c>
      <c r="D436" s="54" t="s">
        <v>43</v>
      </c>
      <c r="I436" s="51"/>
      <c r="J436" s="53" t="s">
        <v>376</v>
      </c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</row>
    <row r="437" spans="1:31" s="54" customFormat="1" ht="12" x14ac:dyDescent="0.2">
      <c r="A437" s="53">
        <v>42</v>
      </c>
      <c r="B437" s="53" t="s">
        <v>377</v>
      </c>
      <c r="C437" s="54" t="s">
        <v>410</v>
      </c>
      <c r="D437" s="54" t="s">
        <v>43</v>
      </c>
      <c r="I437" s="51"/>
      <c r="J437" s="53" t="s">
        <v>377</v>
      </c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</row>
    <row r="438" spans="1:31" s="54" customFormat="1" ht="12" x14ac:dyDescent="0.2">
      <c r="A438" s="53">
        <v>420</v>
      </c>
      <c r="B438" s="53" t="s">
        <v>377</v>
      </c>
      <c r="C438" s="54" t="s">
        <v>410</v>
      </c>
      <c r="D438" s="54" t="s">
        <v>43</v>
      </c>
      <c r="I438" s="51"/>
      <c r="J438" s="53" t="s">
        <v>377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</row>
    <row r="439" spans="1:31" s="54" customFormat="1" ht="12" x14ac:dyDescent="0.2">
      <c r="A439" s="53">
        <v>4200</v>
      </c>
      <c r="B439" s="53" t="s">
        <v>377</v>
      </c>
      <c r="C439" s="54" t="s">
        <v>410</v>
      </c>
      <c r="D439" s="54" t="s">
        <v>43</v>
      </c>
      <c r="I439" s="51"/>
      <c r="J439" s="53" t="s">
        <v>377</v>
      </c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</row>
    <row r="440" spans="1:31" s="54" customFormat="1" ht="12" x14ac:dyDescent="0.2">
      <c r="A440" s="53">
        <v>420002</v>
      </c>
      <c r="B440" s="53" t="s">
        <v>53</v>
      </c>
      <c r="C440" s="54" t="s">
        <v>33</v>
      </c>
      <c r="D440" s="54" t="s">
        <v>34</v>
      </c>
      <c r="I440" s="51"/>
      <c r="J440" s="53" t="s">
        <v>53</v>
      </c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</row>
    <row r="441" spans="1:31" s="54" customFormat="1" ht="12" x14ac:dyDescent="0.2">
      <c r="A441" s="53">
        <v>420003</v>
      </c>
      <c r="B441" s="53" t="s">
        <v>378</v>
      </c>
      <c r="C441" s="54" t="s">
        <v>33</v>
      </c>
      <c r="D441" s="54" t="s">
        <v>43</v>
      </c>
      <c r="I441" s="51"/>
      <c r="J441" s="53" t="s">
        <v>378</v>
      </c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</row>
    <row r="442" spans="1:31" s="54" customFormat="1" ht="12" x14ac:dyDescent="0.2">
      <c r="A442" s="53">
        <v>420005</v>
      </c>
      <c r="B442" s="53" t="s">
        <v>379</v>
      </c>
      <c r="C442" s="54" t="s">
        <v>33</v>
      </c>
      <c r="D442" s="54" t="s">
        <v>43</v>
      </c>
      <c r="I442" s="51"/>
      <c r="J442" s="53" t="s">
        <v>379</v>
      </c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</row>
    <row r="443" spans="1:31" s="54" customFormat="1" ht="12" x14ac:dyDescent="0.2">
      <c r="A443" s="53">
        <v>420009</v>
      </c>
      <c r="B443" s="53" t="s">
        <v>380</v>
      </c>
      <c r="C443" s="54" t="s">
        <v>33</v>
      </c>
      <c r="D443" s="54" t="s">
        <v>43</v>
      </c>
      <c r="I443" s="51"/>
      <c r="J443" s="53" t="s">
        <v>380</v>
      </c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</row>
    <row r="444" spans="1:31" s="54" customFormat="1" ht="12" x14ac:dyDescent="0.2">
      <c r="A444" s="53">
        <v>420010</v>
      </c>
      <c r="B444" s="53" t="s">
        <v>60</v>
      </c>
      <c r="C444" s="54" t="s">
        <v>33</v>
      </c>
      <c r="D444" s="54" t="s">
        <v>34</v>
      </c>
      <c r="I444" s="51"/>
      <c r="J444" s="53" t="s">
        <v>60</v>
      </c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</row>
    <row r="445" spans="1:31" s="54" customFormat="1" ht="12" x14ac:dyDescent="0.2">
      <c r="A445" s="53">
        <v>420012</v>
      </c>
      <c r="B445" s="53" t="s">
        <v>381</v>
      </c>
      <c r="C445" s="54" t="s">
        <v>33</v>
      </c>
      <c r="D445" s="54" t="s">
        <v>43</v>
      </c>
      <c r="I445" s="51"/>
      <c r="J445" s="53" t="s">
        <v>381</v>
      </c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</row>
    <row r="446" spans="1:31" s="54" customFormat="1" ht="12" x14ac:dyDescent="0.2">
      <c r="A446" s="53">
        <v>420013</v>
      </c>
      <c r="B446" s="53" t="s">
        <v>382</v>
      </c>
      <c r="C446" s="54" t="s">
        <v>33</v>
      </c>
      <c r="D446" s="54" t="s">
        <v>43</v>
      </c>
      <c r="I446" s="51"/>
      <c r="J446" s="53" t="s">
        <v>382</v>
      </c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</row>
    <row r="447" spans="1:31" s="54" customFormat="1" ht="12" x14ac:dyDescent="0.2">
      <c r="A447" s="53">
        <v>420014</v>
      </c>
      <c r="B447" s="53" t="s">
        <v>383</v>
      </c>
      <c r="C447" s="54" t="s">
        <v>33</v>
      </c>
      <c r="D447" s="54" t="s">
        <v>43</v>
      </c>
      <c r="I447" s="51"/>
      <c r="J447" s="53" t="s">
        <v>383</v>
      </c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</row>
    <row r="448" spans="1:31" s="54" customFormat="1" ht="12" x14ac:dyDescent="0.2">
      <c r="A448" s="53">
        <v>420015</v>
      </c>
      <c r="B448" s="53" t="s">
        <v>384</v>
      </c>
      <c r="C448" s="54" t="s">
        <v>33</v>
      </c>
      <c r="D448" s="54" t="s">
        <v>43</v>
      </c>
      <c r="I448" s="51"/>
      <c r="J448" s="53" t="s">
        <v>384</v>
      </c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</row>
    <row r="449" spans="1:31" s="54" customFormat="1" ht="12" x14ac:dyDescent="0.2">
      <c r="A449" s="53">
        <v>43</v>
      </c>
      <c r="B449" s="53" t="s">
        <v>376</v>
      </c>
      <c r="C449" s="54" t="s">
        <v>410</v>
      </c>
      <c r="D449" s="54" t="s">
        <v>43</v>
      </c>
      <c r="I449" s="51"/>
      <c r="J449" s="53" t="s">
        <v>376</v>
      </c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</row>
    <row r="450" spans="1:31" s="54" customFormat="1" ht="12" x14ac:dyDescent="0.2">
      <c r="A450" s="53">
        <v>430</v>
      </c>
      <c r="B450" s="53" t="s">
        <v>376</v>
      </c>
      <c r="C450" s="54" t="s">
        <v>410</v>
      </c>
      <c r="D450" s="54" t="s">
        <v>43</v>
      </c>
      <c r="I450" s="51"/>
      <c r="J450" s="53" t="s">
        <v>376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</row>
    <row r="451" spans="1:31" s="54" customFormat="1" ht="12" x14ac:dyDescent="0.2">
      <c r="A451" s="53">
        <v>4300</v>
      </c>
      <c r="B451" s="53" t="s">
        <v>376</v>
      </c>
      <c r="C451" s="54" t="s">
        <v>410</v>
      </c>
      <c r="D451" s="54" t="s">
        <v>43</v>
      </c>
      <c r="I451" s="51"/>
      <c r="J451" s="53" t="s">
        <v>376</v>
      </c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</row>
    <row r="452" spans="1:31" s="54" customFormat="1" ht="12" x14ac:dyDescent="0.2">
      <c r="A452" s="53">
        <v>430002</v>
      </c>
      <c r="B452" s="53" t="s">
        <v>376</v>
      </c>
      <c r="C452" s="54" t="s">
        <v>33</v>
      </c>
      <c r="D452" s="54" t="s">
        <v>43</v>
      </c>
      <c r="I452" s="51"/>
      <c r="J452" s="53" t="s">
        <v>376</v>
      </c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</row>
    <row r="453" spans="1:31" s="54" customFormat="1" ht="12" x14ac:dyDescent="0.2">
      <c r="A453" s="53">
        <v>44</v>
      </c>
      <c r="B453" s="53" t="s">
        <v>385</v>
      </c>
      <c r="C453" s="54" t="s">
        <v>410</v>
      </c>
      <c r="D453" s="54" t="s">
        <v>43</v>
      </c>
      <c r="I453" s="51"/>
      <c r="J453" s="53" t="s">
        <v>385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</row>
    <row r="454" spans="1:31" s="54" customFormat="1" ht="12" x14ac:dyDescent="0.2">
      <c r="A454" s="53">
        <v>440</v>
      </c>
      <c r="B454" s="53" t="s">
        <v>385</v>
      </c>
      <c r="C454" s="54" t="s">
        <v>410</v>
      </c>
      <c r="D454" s="54" t="s">
        <v>43</v>
      </c>
      <c r="I454" s="51"/>
      <c r="J454" s="53" t="s">
        <v>385</v>
      </c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</row>
    <row r="455" spans="1:31" s="54" customFormat="1" ht="12" x14ac:dyDescent="0.2">
      <c r="A455" s="53">
        <v>4400</v>
      </c>
      <c r="B455" s="53" t="s">
        <v>385</v>
      </c>
      <c r="C455" s="54" t="s">
        <v>410</v>
      </c>
      <c r="D455" s="54" t="s">
        <v>43</v>
      </c>
      <c r="I455" s="51"/>
      <c r="J455" s="53" t="s">
        <v>385</v>
      </c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</row>
    <row r="456" spans="1:31" s="54" customFormat="1" ht="12" x14ac:dyDescent="0.2">
      <c r="A456" s="53">
        <v>440001</v>
      </c>
      <c r="B456" s="53" t="s">
        <v>386</v>
      </c>
      <c r="C456" s="54" t="s">
        <v>33</v>
      </c>
      <c r="D456" s="54" t="s">
        <v>43</v>
      </c>
      <c r="I456" s="51"/>
      <c r="J456" s="53" t="s">
        <v>386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</row>
    <row r="457" spans="1:31" s="54" customFormat="1" ht="12" x14ac:dyDescent="0.2">
      <c r="A457" s="52">
        <v>5</v>
      </c>
      <c r="B457" s="53" t="s">
        <v>124</v>
      </c>
      <c r="C457" s="54" t="s">
        <v>410</v>
      </c>
      <c r="D457" s="54" t="s">
        <v>34</v>
      </c>
      <c r="I457" s="51"/>
      <c r="J457" s="53" t="s">
        <v>124</v>
      </c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</row>
    <row r="458" spans="1:31" s="54" customFormat="1" ht="12" x14ac:dyDescent="0.2">
      <c r="A458" s="53">
        <v>50</v>
      </c>
      <c r="B458" s="53" t="s">
        <v>125</v>
      </c>
      <c r="C458" s="54" t="s">
        <v>410</v>
      </c>
      <c r="D458" s="54" t="s">
        <v>34</v>
      </c>
      <c r="I458" s="51"/>
      <c r="J458" s="53" t="s">
        <v>125</v>
      </c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</row>
    <row r="459" spans="1:31" s="54" customFormat="1" ht="12" x14ac:dyDescent="0.2">
      <c r="A459" s="53">
        <v>502</v>
      </c>
      <c r="B459" s="53" t="s">
        <v>147</v>
      </c>
      <c r="C459" s="54" t="s">
        <v>410</v>
      </c>
      <c r="D459" s="54" t="s">
        <v>34</v>
      </c>
      <c r="I459" s="51"/>
      <c r="J459" s="53" t="s">
        <v>147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</row>
    <row r="460" spans="1:31" s="54" customFormat="1" ht="12" x14ac:dyDescent="0.2">
      <c r="A460" s="53">
        <v>502001</v>
      </c>
      <c r="B460" s="53" t="s">
        <v>69</v>
      </c>
      <c r="C460" s="54" t="s">
        <v>33</v>
      </c>
      <c r="D460" s="54" t="s">
        <v>34</v>
      </c>
      <c r="I460" s="51"/>
      <c r="J460" s="53" t="s">
        <v>69</v>
      </c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</row>
    <row r="461" spans="1:31" s="54" customFormat="1" ht="12" x14ac:dyDescent="0.2">
      <c r="A461" s="53">
        <v>51</v>
      </c>
      <c r="B461" s="53" t="s">
        <v>150</v>
      </c>
      <c r="C461" s="54" t="s">
        <v>410</v>
      </c>
      <c r="D461" s="54" t="s">
        <v>34</v>
      </c>
      <c r="I461" s="51"/>
      <c r="J461" s="53" t="s">
        <v>150</v>
      </c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</row>
    <row r="462" spans="1:31" s="54" customFormat="1" ht="12" x14ac:dyDescent="0.2">
      <c r="A462" s="53">
        <v>510</v>
      </c>
      <c r="B462" s="53" t="s">
        <v>49</v>
      </c>
      <c r="C462" s="54" t="s">
        <v>410</v>
      </c>
      <c r="D462" s="54" t="s">
        <v>34</v>
      </c>
      <c r="I462" s="51"/>
      <c r="J462" s="53" t="s">
        <v>49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</row>
    <row r="463" spans="1:31" s="54" customFormat="1" ht="12" x14ac:dyDescent="0.2">
      <c r="A463" s="53">
        <v>5103</v>
      </c>
      <c r="B463" s="53" t="s">
        <v>49</v>
      </c>
      <c r="C463" s="54" t="s">
        <v>410</v>
      </c>
      <c r="D463" s="54" t="s">
        <v>34</v>
      </c>
      <c r="I463" s="51"/>
      <c r="J463" s="53" t="s">
        <v>49</v>
      </c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</row>
    <row r="464" spans="1:31" s="54" customFormat="1" ht="12" x14ac:dyDescent="0.2">
      <c r="A464" s="53">
        <v>510301</v>
      </c>
      <c r="B464" s="53" t="s">
        <v>49</v>
      </c>
      <c r="C464" s="54" t="s">
        <v>33</v>
      </c>
      <c r="D464" s="54" t="s">
        <v>34</v>
      </c>
      <c r="I464" s="51"/>
      <c r="J464" s="53" t="s">
        <v>49</v>
      </c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</row>
    <row r="465" spans="1:31" s="54" customFormat="1" ht="12" x14ac:dyDescent="0.2">
      <c r="A465" s="53">
        <v>510399</v>
      </c>
      <c r="B465" s="53" t="s">
        <v>387</v>
      </c>
      <c r="C465" s="54" t="s">
        <v>33</v>
      </c>
      <c r="D465" s="54" t="s">
        <v>34</v>
      </c>
      <c r="I465" s="51"/>
      <c r="J465" s="53" t="s">
        <v>387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</row>
    <row r="466" spans="1:31" s="54" customFormat="1" ht="12" x14ac:dyDescent="0.2">
      <c r="A466" s="53">
        <v>5104</v>
      </c>
      <c r="B466" s="53" t="s">
        <v>202</v>
      </c>
      <c r="C466" s="54" t="s">
        <v>410</v>
      </c>
      <c r="D466" s="54" t="s">
        <v>34</v>
      </c>
      <c r="I466" s="51"/>
      <c r="J466" s="53" t="s">
        <v>202</v>
      </c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</row>
    <row r="467" spans="1:31" s="54" customFormat="1" ht="12" x14ac:dyDescent="0.2">
      <c r="A467" s="53">
        <v>510401</v>
      </c>
      <c r="B467" s="53" t="s">
        <v>388</v>
      </c>
      <c r="C467" s="54" t="s">
        <v>33</v>
      </c>
      <c r="D467" s="54" t="s">
        <v>34</v>
      </c>
      <c r="I467" s="51"/>
      <c r="J467" s="53" t="s">
        <v>388</v>
      </c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</row>
    <row r="468" spans="1:31" s="54" customFormat="1" ht="12" x14ac:dyDescent="0.2">
      <c r="A468" s="53">
        <v>53</v>
      </c>
      <c r="B468" s="53" t="s">
        <v>157</v>
      </c>
      <c r="C468" s="54" t="s">
        <v>410</v>
      </c>
      <c r="D468" s="54" t="s">
        <v>34</v>
      </c>
      <c r="I468" s="51"/>
      <c r="J468" s="53" t="s">
        <v>157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</row>
    <row r="469" spans="1:31" s="54" customFormat="1" ht="12" x14ac:dyDescent="0.2">
      <c r="A469" s="53">
        <v>531</v>
      </c>
      <c r="B469" s="53" t="s">
        <v>158</v>
      </c>
      <c r="C469" s="54" t="s">
        <v>410</v>
      </c>
      <c r="D469" s="54" t="s">
        <v>34</v>
      </c>
      <c r="I469" s="51"/>
      <c r="J469" s="53" t="s">
        <v>158</v>
      </c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</row>
    <row r="470" spans="1:31" s="54" customFormat="1" ht="12" x14ac:dyDescent="0.2">
      <c r="A470" s="53">
        <v>5311</v>
      </c>
      <c r="B470" s="53" t="s">
        <v>431</v>
      </c>
      <c r="C470" s="54" t="s">
        <v>410</v>
      </c>
      <c r="D470" s="54" t="s">
        <v>43</v>
      </c>
      <c r="I470" s="51"/>
      <c r="J470" s="53" t="s">
        <v>431</v>
      </c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</row>
    <row r="471" spans="1:31" s="54" customFormat="1" ht="12" x14ac:dyDescent="0.2">
      <c r="A471" s="53">
        <v>531101</v>
      </c>
      <c r="B471" s="53" t="s">
        <v>79</v>
      </c>
      <c r="C471" s="54" t="s">
        <v>33</v>
      </c>
      <c r="D471" s="54" t="s">
        <v>43</v>
      </c>
      <c r="I471" s="51"/>
      <c r="J471" s="53" t="s">
        <v>79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</row>
    <row r="472" spans="1:31" s="54" customFormat="1" ht="12" x14ac:dyDescent="0.2">
      <c r="A472" s="53">
        <v>532</v>
      </c>
      <c r="B472" s="53" t="s">
        <v>176</v>
      </c>
      <c r="C472" s="54" t="s">
        <v>410</v>
      </c>
      <c r="D472" s="54" t="s">
        <v>34</v>
      </c>
      <c r="I472" s="51"/>
      <c r="J472" s="53" t="s">
        <v>176</v>
      </c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</row>
    <row r="473" spans="1:31" s="54" customFormat="1" ht="12" x14ac:dyDescent="0.2">
      <c r="A473" s="53">
        <v>5321</v>
      </c>
      <c r="B473" s="53" t="s">
        <v>84</v>
      </c>
      <c r="C473" s="54" t="s">
        <v>410</v>
      </c>
      <c r="D473" s="54" t="s">
        <v>34</v>
      </c>
      <c r="I473" s="51"/>
      <c r="J473" s="53" t="s">
        <v>84</v>
      </c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</row>
    <row r="474" spans="1:31" s="54" customFormat="1" ht="12" x14ac:dyDescent="0.2">
      <c r="A474" s="53">
        <v>532101</v>
      </c>
      <c r="B474" s="53" t="s">
        <v>389</v>
      </c>
      <c r="C474" s="54" t="s">
        <v>33</v>
      </c>
      <c r="D474" s="54" t="s">
        <v>34</v>
      </c>
      <c r="I474" s="51"/>
      <c r="J474" s="53" t="s">
        <v>389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</row>
    <row r="475" spans="1:31" s="54" customFormat="1" ht="12" x14ac:dyDescent="0.2">
      <c r="A475" s="53">
        <v>5322</v>
      </c>
      <c r="B475" s="53" t="s">
        <v>432</v>
      </c>
      <c r="C475" s="54" t="s">
        <v>410</v>
      </c>
      <c r="D475" s="54" t="s">
        <v>43</v>
      </c>
      <c r="I475" s="51"/>
      <c r="J475" s="53" t="s">
        <v>432</v>
      </c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</row>
    <row r="476" spans="1:31" s="54" customFormat="1" ht="12" x14ac:dyDescent="0.2">
      <c r="A476" s="53">
        <v>532201</v>
      </c>
      <c r="B476" s="53" t="s">
        <v>390</v>
      </c>
      <c r="C476" s="54" t="s">
        <v>33</v>
      </c>
      <c r="D476" s="54" t="s">
        <v>43</v>
      </c>
      <c r="I476" s="51"/>
      <c r="J476" s="53" t="s">
        <v>390</v>
      </c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</row>
    <row r="477" spans="1:31" s="54" customFormat="1" ht="12" x14ac:dyDescent="0.2">
      <c r="A477" s="52">
        <v>6</v>
      </c>
      <c r="B477" s="53" t="s">
        <v>177</v>
      </c>
      <c r="C477" s="54" t="s">
        <v>410</v>
      </c>
      <c r="D477" s="54" t="s">
        <v>43</v>
      </c>
      <c r="I477" s="51"/>
      <c r="J477" s="53" t="s">
        <v>177</v>
      </c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</row>
    <row r="478" spans="1:31" s="54" customFormat="1" ht="12" x14ac:dyDescent="0.2">
      <c r="A478" s="53">
        <v>60</v>
      </c>
      <c r="B478" s="53" t="s">
        <v>125</v>
      </c>
      <c r="C478" s="54" t="s">
        <v>410</v>
      </c>
      <c r="D478" s="54" t="s">
        <v>34</v>
      </c>
      <c r="I478" s="51"/>
      <c r="J478" s="53" t="s">
        <v>125</v>
      </c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</row>
    <row r="479" spans="1:31" s="54" customFormat="1" ht="12" x14ac:dyDescent="0.2">
      <c r="A479" s="53">
        <v>600</v>
      </c>
      <c r="B479" s="53" t="s">
        <v>125</v>
      </c>
      <c r="C479" s="54" t="s">
        <v>410</v>
      </c>
      <c r="D479" s="54" t="s">
        <v>34</v>
      </c>
      <c r="I479" s="51"/>
      <c r="J479" s="53" t="s">
        <v>125</v>
      </c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</row>
    <row r="480" spans="1:31" s="54" customFormat="1" ht="12" x14ac:dyDescent="0.2">
      <c r="A480" s="53">
        <v>6000</v>
      </c>
      <c r="B480" s="53" t="s">
        <v>178</v>
      </c>
      <c r="C480" s="54" t="s">
        <v>410</v>
      </c>
      <c r="D480" s="54" t="s">
        <v>43</v>
      </c>
      <c r="I480" s="51"/>
      <c r="J480" s="53" t="s">
        <v>178</v>
      </c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</row>
    <row r="481" spans="1:31" s="54" customFormat="1" ht="12" x14ac:dyDescent="0.2">
      <c r="A481" s="53">
        <v>600001</v>
      </c>
      <c r="B481" s="53" t="s">
        <v>87</v>
      </c>
      <c r="C481" s="54" t="s">
        <v>33</v>
      </c>
      <c r="D481" s="54" t="s">
        <v>43</v>
      </c>
      <c r="I481" s="51"/>
      <c r="J481" s="53" t="s">
        <v>87</v>
      </c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</row>
    <row r="482" spans="1:31" s="54" customFormat="1" ht="12" x14ac:dyDescent="0.2">
      <c r="A482" s="53">
        <v>601</v>
      </c>
      <c r="B482" s="53" t="s">
        <v>93</v>
      </c>
      <c r="C482" s="54" t="s">
        <v>410</v>
      </c>
      <c r="D482" s="54" t="s">
        <v>43</v>
      </c>
      <c r="I482" s="51"/>
      <c r="J482" s="53" t="s">
        <v>93</v>
      </c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</row>
    <row r="483" spans="1:31" s="54" customFormat="1" ht="12" x14ac:dyDescent="0.2">
      <c r="A483" s="53">
        <v>6011</v>
      </c>
      <c r="B483" s="53" t="s">
        <v>184</v>
      </c>
      <c r="C483" s="54" t="s">
        <v>410</v>
      </c>
      <c r="D483" s="54" t="s">
        <v>43</v>
      </c>
      <c r="I483" s="51"/>
      <c r="J483" s="53" t="s">
        <v>184</v>
      </c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</row>
    <row r="484" spans="1:31" s="54" customFormat="1" ht="12" x14ac:dyDescent="0.2">
      <c r="A484" s="53">
        <v>601101</v>
      </c>
      <c r="B484" s="53" t="s">
        <v>93</v>
      </c>
      <c r="C484" s="54" t="s">
        <v>33</v>
      </c>
      <c r="D484" s="54" t="s">
        <v>43</v>
      </c>
      <c r="I484" s="51"/>
      <c r="J484" s="53" t="s">
        <v>93</v>
      </c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</row>
    <row r="485" spans="1:31" s="54" customFormat="1" ht="12" x14ac:dyDescent="0.2">
      <c r="A485" s="53">
        <v>601108</v>
      </c>
      <c r="B485" s="53" t="s">
        <v>98</v>
      </c>
      <c r="C485" s="54" t="s">
        <v>33</v>
      </c>
      <c r="D485" s="54" t="s">
        <v>43</v>
      </c>
      <c r="I485" s="51"/>
      <c r="J485" s="53" t="s">
        <v>98</v>
      </c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</row>
    <row r="486" spans="1:31" s="54" customFormat="1" ht="12" x14ac:dyDescent="0.2">
      <c r="A486" s="53">
        <v>603</v>
      </c>
      <c r="B486" s="53" t="s">
        <v>119</v>
      </c>
      <c r="C486" s="54" t="s">
        <v>410</v>
      </c>
      <c r="D486" s="54" t="s">
        <v>43</v>
      </c>
      <c r="I486" s="51"/>
      <c r="J486" s="53" t="s">
        <v>119</v>
      </c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</row>
    <row r="487" spans="1:31" s="54" customFormat="1" ht="12" x14ac:dyDescent="0.2">
      <c r="A487" s="53">
        <v>6031</v>
      </c>
      <c r="B487" s="53" t="s">
        <v>391</v>
      </c>
      <c r="C487" s="54" t="s">
        <v>410</v>
      </c>
      <c r="D487" s="54" t="s">
        <v>43</v>
      </c>
      <c r="I487" s="51"/>
      <c r="J487" s="53" t="s">
        <v>391</v>
      </c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</row>
    <row r="488" spans="1:31" s="54" customFormat="1" ht="12" x14ac:dyDescent="0.2">
      <c r="A488" s="53">
        <v>603100</v>
      </c>
      <c r="B488" s="53" t="s">
        <v>392</v>
      </c>
      <c r="C488" s="54" t="s">
        <v>33</v>
      </c>
      <c r="D488" s="54" t="s">
        <v>43</v>
      </c>
      <c r="I488" s="51"/>
      <c r="J488" s="53" t="s">
        <v>392</v>
      </c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</row>
    <row r="489" spans="1:31" s="54" customFormat="1" ht="12" x14ac:dyDescent="0.2">
      <c r="A489" s="53">
        <v>603101</v>
      </c>
      <c r="B489" s="53" t="s">
        <v>115</v>
      </c>
      <c r="C489" s="54" t="s">
        <v>33</v>
      </c>
      <c r="D489" s="54" t="s">
        <v>43</v>
      </c>
      <c r="I489" s="51"/>
      <c r="J489" s="53" t="s">
        <v>115</v>
      </c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</row>
    <row r="490" spans="1:31" s="54" customFormat="1" ht="12" x14ac:dyDescent="0.2">
      <c r="A490" s="53">
        <v>603102</v>
      </c>
      <c r="B490" s="53" t="s">
        <v>393</v>
      </c>
      <c r="C490" s="54" t="s">
        <v>33</v>
      </c>
      <c r="D490" s="54" t="s">
        <v>43</v>
      </c>
      <c r="I490" s="51"/>
      <c r="J490" s="53" t="s">
        <v>393</v>
      </c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</row>
    <row r="491" spans="1:31" s="54" customFormat="1" ht="12" x14ac:dyDescent="0.2">
      <c r="A491" s="53">
        <v>61</v>
      </c>
      <c r="B491" s="53" t="s">
        <v>150</v>
      </c>
      <c r="C491" s="54" t="s">
        <v>410</v>
      </c>
      <c r="D491" s="54" t="s">
        <v>34</v>
      </c>
      <c r="I491" s="51"/>
      <c r="J491" s="53" t="s">
        <v>150</v>
      </c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</row>
    <row r="492" spans="1:31" s="54" customFormat="1" ht="12" x14ac:dyDescent="0.2">
      <c r="A492" s="53">
        <v>612</v>
      </c>
      <c r="B492" s="53" t="s">
        <v>394</v>
      </c>
      <c r="C492" s="54" t="s">
        <v>410</v>
      </c>
      <c r="D492" s="54" t="s">
        <v>43</v>
      </c>
      <c r="I492" s="51"/>
      <c r="J492" s="53" t="s">
        <v>394</v>
      </c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</row>
    <row r="493" spans="1:31" s="54" customFormat="1" ht="12" x14ac:dyDescent="0.2">
      <c r="A493" s="53">
        <v>6120</v>
      </c>
      <c r="B493" s="53" t="s">
        <v>394</v>
      </c>
      <c r="C493" s="54" t="s">
        <v>410</v>
      </c>
      <c r="D493" s="54" t="s">
        <v>43</v>
      </c>
      <c r="I493" s="51"/>
      <c r="J493" s="53" t="s">
        <v>394</v>
      </c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</row>
    <row r="494" spans="1:31" s="54" customFormat="1" ht="12" x14ac:dyDescent="0.2">
      <c r="A494" s="53">
        <v>612001</v>
      </c>
      <c r="B494" s="53" t="s">
        <v>395</v>
      </c>
      <c r="C494" s="54" t="s">
        <v>33</v>
      </c>
      <c r="D494" s="54" t="s">
        <v>43</v>
      </c>
      <c r="I494" s="51"/>
      <c r="J494" s="53" t="s">
        <v>395</v>
      </c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</row>
    <row r="495" spans="1:31" s="54" customFormat="1" ht="12" x14ac:dyDescent="0.2">
      <c r="A495" s="53">
        <v>613</v>
      </c>
      <c r="B495" s="53" t="s">
        <v>202</v>
      </c>
      <c r="C495" s="54" t="s">
        <v>410</v>
      </c>
      <c r="D495" s="54" t="s">
        <v>43</v>
      </c>
      <c r="I495" s="51"/>
      <c r="J495" s="53" t="s">
        <v>202</v>
      </c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</row>
    <row r="496" spans="1:31" s="54" customFormat="1" ht="12" x14ac:dyDescent="0.2">
      <c r="A496" s="53">
        <v>6130</v>
      </c>
      <c r="B496" s="53" t="s">
        <v>202</v>
      </c>
      <c r="C496" s="54" t="s">
        <v>410</v>
      </c>
      <c r="D496" s="54" t="s">
        <v>43</v>
      </c>
      <c r="I496" s="51"/>
      <c r="J496" s="53" t="s">
        <v>202</v>
      </c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</row>
    <row r="497" spans="1:31" s="54" customFormat="1" ht="12" x14ac:dyDescent="0.2">
      <c r="A497" s="53">
        <v>613001</v>
      </c>
      <c r="B497" s="53" t="s">
        <v>396</v>
      </c>
      <c r="C497" s="54" t="s">
        <v>33</v>
      </c>
      <c r="D497" s="54" t="s">
        <v>43</v>
      </c>
      <c r="I497" s="51"/>
      <c r="J497" s="53" t="s">
        <v>396</v>
      </c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</row>
    <row r="498" spans="1:31" s="54" customFormat="1" ht="12" x14ac:dyDescent="0.2">
      <c r="A498" s="53">
        <v>67</v>
      </c>
      <c r="B498" s="53" t="s">
        <v>204</v>
      </c>
      <c r="C498" s="54" t="s">
        <v>410</v>
      </c>
      <c r="D498" s="54" t="s">
        <v>43</v>
      </c>
      <c r="I498" s="51"/>
      <c r="J498" s="53" t="s">
        <v>204</v>
      </c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</row>
    <row r="499" spans="1:31" s="54" customFormat="1" ht="12" x14ac:dyDescent="0.2">
      <c r="A499" s="53">
        <v>673</v>
      </c>
      <c r="B499" s="53" t="s">
        <v>212</v>
      </c>
      <c r="C499" s="54" t="s">
        <v>410</v>
      </c>
      <c r="D499" s="54" t="s">
        <v>34</v>
      </c>
      <c r="I499" s="51"/>
      <c r="J499" s="53" t="s">
        <v>212</v>
      </c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</row>
    <row r="500" spans="1:31" s="54" customFormat="1" ht="12" x14ac:dyDescent="0.2">
      <c r="A500" s="53">
        <v>6730</v>
      </c>
      <c r="B500" s="53" t="s">
        <v>397</v>
      </c>
      <c r="C500" s="54" t="s">
        <v>410</v>
      </c>
      <c r="D500" s="54" t="s">
        <v>43</v>
      </c>
      <c r="I500" s="51"/>
      <c r="J500" s="53" t="s">
        <v>397</v>
      </c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</row>
    <row r="501" spans="1:31" s="54" customFormat="1" ht="12" x14ac:dyDescent="0.2">
      <c r="A501" s="53">
        <v>673001</v>
      </c>
      <c r="B501" s="53" t="s">
        <v>397</v>
      </c>
      <c r="C501" s="54" t="s">
        <v>33</v>
      </c>
      <c r="D501" s="54" t="s">
        <v>43</v>
      </c>
      <c r="I501" s="51"/>
      <c r="J501" s="53" t="s">
        <v>397</v>
      </c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</row>
    <row r="502" spans="1:31" s="54" customFormat="1" ht="12" x14ac:dyDescent="0.2">
      <c r="A502" s="52">
        <v>7</v>
      </c>
      <c r="B502" s="53" t="s">
        <v>398</v>
      </c>
      <c r="C502" s="54" t="s">
        <v>410</v>
      </c>
      <c r="D502" s="54" t="s">
        <v>34</v>
      </c>
      <c r="I502" s="51"/>
      <c r="J502" s="53" t="s">
        <v>398</v>
      </c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</row>
    <row r="503" spans="1:31" s="54" customFormat="1" ht="12" x14ac:dyDescent="0.2">
      <c r="A503" s="53">
        <v>70</v>
      </c>
      <c r="B503" s="53" t="s">
        <v>399</v>
      </c>
      <c r="C503" s="54" t="s">
        <v>410</v>
      </c>
      <c r="D503" s="54" t="s">
        <v>43</v>
      </c>
      <c r="I503" s="51"/>
      <c r="J503" s="53" t="s">
        <v>399</v>
      </c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</row>
    <row r="504" spans="1:31" s="54" customFormat="1" ht="12" x14ac:dyDescent="0.2">
      <c r="A504" s="53">
        <v>700</v>
      </c>
      <c r="B504" s="53" t="s">
        <v>355</v>
      </c>
      <c r="C504" s="54" t="s">
        <v>410</v>
      </c>
      <c r="D504" s="54" t="s">
        <v>43</v>
      </c>
      <c r="I504" s="51"/>
      <c r="J504" s="53" t="s">
        <v>355</v>
      </c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</row>
    <row r="505" spans="1:31" s="54" customFormat="1" ht="12" x14ac:dyDescent="0.2">
      <c r="A505" s="53">
        <v>7000</v>
      </c>
      <c r="B505" s="53" t="s">
        <v>355</v>
      </c>
      <c r="C505" s="54" t="s">
        <v>410</v>
      </c>
      <c r="D505" s="54" t="s">
        <v>43</v>
      </c>
      <c r="I505" s="51"/>
      <c r="J505" s="53" t="s">
        <v>355</v>
      </c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</row>
    <row r="506" spans="1:31" s="54" customFormat="1" ht="12" x14ac:dyDescent="0.2">
      <c r="A506" s="53">
        <v>71</v>
      </c>
      <c r="B506" s="53" t="s">
        <v>400</v>
      </c>
      <c r="C506" s="54" t="s">
        <v>410</v>
      </c>
      <c r="D506" s="54" t="s">
        <v>34</v>
      </c>
      <c r="I506" s="51"/>
      <c r="J506" s="53" t="s">
        <v>400</v>
      </c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</row>
    <row r="507" spans="1:31" s="54" customFormat="1" ht="12" x14ac:dyDescent="0.2">
      <c r="A507" s="53">
        <v>710</v>
      </c>
      <c r="B507" s="53" t="s">
        <v>251</v>
      </c>
      <c r="C507" s="54" t="s">
        <v>410</v>
      </c>
      <c r="D507" s="54" t="s">
        <v>34</v>
      </c>
      <c r="I507" s="51"/>
      <c r="J507" s="53" t="s">
        <v>251</v>
      </c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</row>
    <row r="508" spans="1:31" s="54" customFormat="1" ht="12" x14ac:dyDescent="0.2">
      <c r="A508" s="53">
        <v>7101</v>
      </c>
      <c r="B508" s="53" t="s">
        <v>251</v>
      </c>
      <c r="C508" s="54" t="s">
        <v>410</v>
      </c>
      <c r="D508" s="54" t="s">
        <v>34</v>
      </c>
      <c r="I508" s="51"/>
      <c r="J508" s="53" t="s">
        <v>251</v>
      </c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</row>
    <row r="509" spans="1:31" s="54" customFormat="1" ht="12" x14ac:dyDescent="0.2">
      <c r="A509" s="53">
        <v>710102</v>
      </c>
      <c r="B509" s="53" t="s">
        <v>283</v>
      </c>
      <c r="C509" s="54" t="s">
        <v>33</v>
      </c>
      <c r="D509" s="54" t="s">
        <v>34</v>
      </c>
      <c r="I509" s="51"/>
      <c r="J509" s="53" t="s">
        <v>283</v>
      </c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</row>
    <row r="510" spans="1:31" s="54" customFormat="1" ht="12" x14ac:dyDescent="0.2">
      <c r="A510" s="53">
        <v>74</v>
      </c>
      <c r="B510" s="53" t="s">
        <v>433</v>
      </c>
      <c r="C510" s="54" t="s">
        <v>410</v>
      </c>
      <c r="D510" s="54" t="s">
        <v>34</v>
      </c>
      <c r="I510" s="51"/>
      <c r="J510" s="53" t="s">
        <v>433</v>
      </c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</row>
    <row r="511" spans="1:31" s="54" customFormat="1" ht="12" x14ac:dyDescent="0.2">
      <c r="A511" s="53">
        <v>740</v>
      </c>
      <c r="B511" s="53" t="s">
        <v>251</v>
      </c>
      <c r="C511" s="54" t="s">
        <v>410</v>
      </c>
      <c r="D511" s="54" t="s">
        <v>34</v>
      </c>
      <c r="I511" s="51"/>
      <c r="J511" s="53" t="s">
        <v>251</v>
      </c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</row>
    <row r="512" spans="1:31" s="54" customFormat="1" ht="12" x14ac:dyDescent="0.2">
      <c r="A512" s="53">
        <v>7400</v>
      </c>
      <c r="B512" s="53" t="s">
        <v>401</v>
      </c>
      <c r="C512" s="54" t="s">
        <v>410</v>
      </c>
      <c r="D512" s="54" t="s">
        <v>34</v>
      </c>
      <c r="I512" s="51"/>
      <c r="J512" s="53" t="s">
        <v>401</v>
      </c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</row>
    <row r="513" spans="1:31" s="54" customFormat="1" ht="12" x14ac:dyDescent="0.2">
      <c r="A513" s="53">
        <v>740002</v>
      </c>
      <c r="B513" s="53" t="s">
        <v>295</v>
      </c>
      <c r="C513" s="54" t="s">
        <v>33</v>
      </c>
      <c r="D513" s="54" t="s">
        <v>34</v>
      </c>
      <c r="I513" s="51"/>
      <c r="J513" s="53" t="s">
        <v>295</v>
      </c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</row>
    <row r="514" spans="1:31" s="54" customFormat="1" ht="12" x14ac:dyDescent="0.2">
      <c r="A514" s="53">
        <v>740005</v>
      </c>
      <c r="B514" s="53" t="s">
        <v>298</v>
      </c>
      <c r="C514" s="54" t="s">
        <v>33</v>
      </c>
      <c r="D514" s="54" t="s">
        <v>34</v>
      </c>
      <c r="I514" s="51"/>
      <c r="J514" s="53" t="s">
        <v>298</v>
      </c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</row>
    <row r="515" spans="1:31" s="54" customFormat="1" ht="12" x14ac:dyDescent="0.2">
      <c r="A515" s="53">
        <v>740006</v>
      </c>
      <c r="B515" s="53" t="s">
        <v>299</v>
      </c>
      <c r="C515" s="54" t="s">
        <v>33</v>
      </c>
      <c r="D515" s="54" t="s">
        <v>34</v>
      </c>
      <c r="I515" s="51"/>
      <c r="J515" s="53" t="s">
        <v>299</v>
      </c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</row>
    <row r="516" spans="1:31" s="54" customFormat="1" ht="12" x14ac:dyDescent="0.2">
      <c r="A516" s="53">
        <v>740011</v>
      </c>
      <c r="B516" s="53" t="s">
        <v>304</v>
      </c>
      <c r="C516" s="54" t="s">
        <v>33</v>
      </c>
      <c r="D516" s="54" t="s">
        <v>34</v>
      </c>
      <c r="I516" s="51"/>
      <c r="J516" s="53" t="s">
        <v>304</v>
      </c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</row>
    <row r="517" spans="1:31" s="54" customFormat="1" ht="12" x14ac:dyDescent="0.2">
      <c r="A517" s="53">
        <v>740016</v>
      </c>
      <c r="B517" s="53" t="s">
        <v>308</v>
      </c>
      <c r="C517" s="54" t="s">
        <v>33</v>
      </c>
      <c r="D517" s="54" t="s">
        <v>34</v>
      </c>
      <c r="I517" s="51"/>
      <c r="J517" s="53" t="s">
        <v>308</v>
      </c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</row>
    <row r="518" spans="1:31" s="54" customFormat="1" ht="12" x14ac:dyDescent="0.2">
      <c r="A518" s="53">
        <v>740019</v>
      </c>
      <c r="B518" s="53" t="s">
        <v>311</v>
      </c>
      <c r="C518" s="54" t="s">
        <v>33</v>
      </c>
      <c r="D518" s="54" t="s">
        <v>34</v>
      </c>
      <c r="I518" s="51"/>
      <c r="J518" s="53" t="s">
        <v>311</v>
      </c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</row>
    <row r="519" spans="1:31" s="54" customFormat="1" ht="12" x14ac:dyDescent="0.2">
      <c r="A519" s="53">
        <v>740029</v>
      </c>
      <c r="B519" s="53" t="s">
        <v>317</v>
      </c>
      <c r="C519" s="54" t="s">
        <v>33</v>
      </c>
      <c r="D519" s="54" t="s">
        <v>34</v>
      </c>
      <c r="I519" s="51"/>
      <c r="J519" s="53" t="s">
        <v>317</v>
      </c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</row>
    <row r="520" spans="1:31" s="54" customFormat="1" ht="12" x14ac:dyDescent="0.2">
      <c r="A520" s="53">
        <v>740036</v>
      </c>
      <c r="B520" s="53" t="s">
        <v>319</v>
      </c>
      <c r="C520" s="54" t="s">
        <v>33</v>
      </c>
      <c r="D520" s="54" t="s">
        <v>34</v>
      </c>
      <c r="I520" s="51"/>
      <c r="J520" s="53" t="s">
        <v>319</v>
      </c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</row>
    <row r="521" spans="1:31" s="54" customFormat="1" ht="12" x14ac:dyDescent="0.2">
      <c r="A521" s="53">
        <v>740098</v>
      </c>
      <c r="B521" s="53" t="s">
        <v>322</v>
      </c>
      <c r="C521" s="54" t="s">
        <v>33</v>
      </c>
      <c r="D521" s="54" t="s">
        <v>34</v>
      </c>
      <c r="I521" s="51"/>
      <c r="J521" s="53" t="s">
        <v>322</v>
      </c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</row>
    <row r="522" spans="1:31" s="54" customFormat="1" ht="12" x14ac:dyDescent="0.2">
      <c r="A522" s="53">
        <v>740099</v>
      </c>
      <c r="B522" s="53" t="s">
        <v>392</v>
      </c>
      <c r="C522" s="54" t="s">
        <v>33</v>
      </c>
      <c r="D522" s="54" t="s">
        <v>34</v>
      </c>
      <c r="I522" s="51"/>
      <c r="J522" s="53" t="s">
        <v>392</v>
      </c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</row>
    <row r="523" spans="1:31" s="54" customFormat="1" ht="12" x14ac:dyDescent="0.2">
      <c r="A523" s="53">
        <v>7401</v>
      </c>
      <c r="B523" s="53" t="s">
        <v>402</v>
      </c>
      <c r="C523" s="54" t="s">
        <v>410</v>
      </c>
      <c r="D523" s="54" t="s">
        <v>43</v>
      </c>
      <c r="I523" s="51"/>
      <c r="J523" s="53" t="s">
        <v>402</v>
      </c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</row>
    <row r="524" spans="1:31" s="54" customFormat="1" ht="12" x14ac:dyDescent="0.2">
      <c r="A524" s="53">
        <v>740102</v>
      </c>
      <c r="B524" s="53" t="s">
        <v>403</v>
      </c>
      <c r="C524" s="54" t="s">
        <v>33</v>
      </c>
      <c r="D524" s="54" t="s">
        <v>34</v>
      </c>
      <c r="I524" s="51"/>
      <c r="J524" s="53" t="s">
        <v>403</v>
      </c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</row>
    <row r="525" spans="1:31" s="54" customFormat="1" ht="12" x14ac:dyDescent="0.2">
      <c r="A525" s="53">
        <v>740103</v>
      </c>
      <c r="B525" s="53" t="s">
        <v>386</v>
      </c>
      <c r="C525" s="54" t="s">
        <v>33</v>
      </c>
      <c r="D525" s="54" t="s">
        <v>43</v>
      </c>
      <c r="I525" s="51"/>
      <c r="J525" s="53" t="s">
        <v>386</v>
      </c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</row>
    <row r="526" spans="1:31" s="54" customFormat="1" ht="12" x14ac:dyDescent="0.2">
      <c r="A526" s="53">
        <v>740104</v>
      </c>
      <c r="B526" s="53" t="s">
        <v>404</v>
      </c>
      <c r="C526" s="54" t="s">
        <v>33</v>
      </c>
      <c r="D526" s="54" t="s">
        <v>34</v>
      </c>
      <c r="I526" s="51"/>
      <c r="J526" s="53" t="s">
        <v>404</v>
      </c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</row>
    <row r="527" spans="1:31" s="54" customFormat="1" ht="12" x14ac:dyDescent="0.2">
      <c r="A527" s="53">
        <v>740107</v>
      </c>
      <c r="B527" s="53" t="s">
        <v>405</v>
      </c>
      <c r="C527" s="54" t="s">
        <v>33</v>
      </c>
      <c r="D527" s="54" t="s">
        <v>43</v>
      </c>
      <c r="I527" s="51"/>
      <c r="J527" s="53" t="s">
        <v>405</v>
      </c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</row>
    <row r="528" spans="1:31" s="54" customFormat="1" ht="12" x14ac:dyDescent="0.2">
      <c r="A528" s="53">
        <v>77</v>
      </c>
      <c r="B528" s="53" t="s">
        <v>406</v>
      </c>
      <c r="C528" s="54" t="s">
        <v>410</v>
      </c>
      <c r="D528" s="54" t="s">
        <v>34</v>
      </c>
      <c r="I528" s="51"/>
      <c r="J528" s="53" t="s">
        <v>406</v>
      </c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</row>
    <row r="529" spans="1:31" s="54" customFormat="1" ht="12" x14ac:dyDescent="0.2">
      <c r="A529" s="53">
        <v>770</v>
      </c>
      <c r="B529" s="53" t="s">
        <v>407</v>
      </c>
      <c r="C529" s="54" t="s">
        <v>410</v>
      </c>
      <c r="D529" s="54" t="s">
        <v>34</v>
      </c>
      <c r="I529" s="51"/>
      <c r="J529" s="53" t="s">
        <v>407</v>
      </c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</row>
    <row r="530" spans="1:31" s="54" customFormat="1" ht="12" x14ac:dyDescent="0.2">
      <c r="A530" s="53">
        <v>7700</v>
      </c>
      <c r="B530" s="53" t="s">
        <v>408</v>
      </c>
      <c r="C530" s="54" t="s">
        <v>410</v>
      </c>
      <c r="D530" s="54" t="s">
        <v>34</v>
      </c>
      <c r="I530" s="51"/>
      <c r="J530" s="53" t="s">
        <v>408</v>
      </c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</row>
    <row r="531" spans="1:31" s="54" customFormat="1" ht="12" x14ac:dyDescent="0.2">
      <c r="A531" s="53">
        <v>770001</v>
      </c>
      <c r="B531" s="53" t="s">
        <v>409</v>
      </c>
      <c r="C531" s="54" t="s">
        <v>33</v>
      </c>
      <c r="D531" s="54" t="s">
        <v>34</v>
      </c>
      <c r="I531" s="51"/>
      <c r="J531" s="53" t="s">
        <v>409</v>
      </c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</row>
    <row r="532" spans="1:31" s="54" customFormat="1" ht="12" x14ac:dyDescent="0.2">
      <c r="A532" s="53">
        <v>770007</v>
      </c>
      <c r="B532" s="53" t="s">
        <v>346</v>
      </c>
      <c r="C532" s="54" t="s">
        <v>33</v>
      </c>
      <c r="D532" s="54" t="s">
        <v>34</v>
      </c>
      <c r="I532" s="51"/>
      <c r="J532" s="53" t="s">
        <v>346</v>
      </c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</row>
  </sheetData>
  <autoFilter ref="A4:AI532"/>
  <mergeCells count="2">
    <mergeCell ref="A1:C3"/>
    <mergeCell ref="K1:AH3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-0.249977111117893"/>
  </sheetPr>
  <dimension ref="B1:P1048458"/>
  <sheetViews>
    <sheetView showGridLines="0" zoomScale="75" zoomScaleNormal="75" zoomScaleSheetLayoutView="80" zoomScalePageLayoutView="70" workbookViewId="0">
      <selection activeCell="Q14" sqref="Q14"/>
    </sheetView>
  </sheetViews>
  <sheetFormatPr defaultRowHeight="15" x14ac:dyDescent="0.25"/>
  <cols>
    <col min="1" max="1" width="2.7109375" customWidth="1"/>
    <col min="2" max="2" width="7.28515625" style="1" customWidth="1"/>
    <col min="3" max="3" width="14.5703125" bestFit="1" customWidth="1"/>
    <col min="4" max="4" width="13.28515625" customWidth="1"/>
    <col min="5" max="5" width="54.7109375" bestFit="1" customWidth="1"/>
    <col min="6" max="6" width="23.42578125" style="1" bestFit="1" customWidth="1"/>
    <col min="7" max="7" width="13.42578125" style="1" bestFit="1" customWidth="1"/>
    <col min="8" max="8" width="13.42578125" bestFit="1" customWidth="1"/>
    <col min="9" max="9" width="16.5703125" bestFit="1" customWidth="1"/>
    <col min="10" max="10" width="13.42578125" bestFit="1" customWidth="1"/>
    <col min="11" max="11" width="14.7109375" customWidth="1"/>
    <col min="12" max="12" width="20.140625" bestFit="1" customWidth="1"/>
    <col min="13" max="13" width="13.42578125" customWidth="1"/>
    <col min="14" max="14" width="17.7109375" hidden="1" customWidth="1"/>
    <col min="15" max="15" width="33.140625" hidden="1" customWidth="1"/>
    <col min="16" max="16" width="22.85546875" hidden="1" customWidth="1"/>
  </cols>
  <sheetData>
    <row r="1" spans="2:16" x14ac:dyDescent="0.25">
      <c r="B1"/>
      <c r="F1"/>
      <c r="G1"/>
    </row>
    <row r="2" spans="2:16" ht="20.25" x14ac:dyDescent="0.25">
      <c r="B2" s="32" t="s">
        <v>435</v>
      </c>
      <c r="C2" s="33"/>
      <c r="D2" s="33"/>
      <c r="E2" s="33"/>
      <c r="F2" s="33"/>
      <c r="G2" s="33"/>
      <c r="H2" s="33"/>
      <c r="I2" s="33"/>
      <c r="J2" s="34"/>
      <c r="K2" s="23" t="s">
        <v>20</v>
      </c>
      <c r="L2" s="24"/>
      <c r="M2" s="17">
        <f ca="1">COUNTIF(L14:L33,"Concluída")/COUNTA(L14:L33)</f>
        <v>0.5</v>
      </c>
    </row>
    <row r="3" spans="2:16" x14ac:dyDescent="0.25">
      <c r="B3" s="26"/>
      <c r="C3" s="26"/>
      <c r="D3" s="16"/>
      <c r="E3" s="16"/>
      <c r="F3" s="15"/>
      <c r="G3" s="15"/>
      <c r="H3" s="16"/>
      <c r="I3" s="16"/>
      <c r="J3" s="16"/>
      <c r="K3" s="16"/>
      <c r="L3" s="16"/>
      <c r="M3" s="16"/>
    </row>
    <row r="4" spans="2:16" ht="18.75" x14ac:dyDescent="0.3">
      <c r="B4" s="27"/>
      <c r="C4" s="27"/>
      <c r="D4" s="30"/>
      <c r="E4" s="31"/>
      <c r="F4" s="25" t="s">
        <v>18</v>
      </c>
      <c r="G4" s="25"/>
      <c r="H4" s="25"/>
      <c r="I4" s="16"/>
      <c r="J4" s="16"/>
      <c r="K4" s="16"/>
      <c r="L4" s="16"/>
      <c r="M4" s="16"/>
    </row>
    <row r="5" spans="2:16" ht="18.75" x14ac:dyDescent="0.3">
      <c r="B5" s="27"/>
      <c r="C5" s="27"/>
      <c r="D5" s="30"/>
      <c r="E5" s="31"/>
      <c r="F5" s="19" t="s">
        <v>16</v>
      </c>
      <c r="G5" s="59">
        <f ca="1">COUNTIF($L$14:$L$175,F5)+G171</f>
        <v>44</v>
      </c>
      <c r="H5" s="21" t="e">
        <f ca="1">G5/$G$9</f>
        <v>#REF!</v>
      </c>
      <c r="I5" s="16"/>
      <c r="J5" s="16"/>
      <c r="K5" s="16"/>
      <c r="L5" s="16"/>
      <c r="M5" s="16"/>
    </row>
    <row r="6" spans="2:16" ht="18.75" x14ac:dyDescent="0.3">
      <c r="B6" s="27"/>
      <c r="C6" s="27"/>
      <c r="D6" s="30"/>
      <c r="E6" s="31"/>
      <c r="F6" s="19" t="s">
        <v>14</v>
      </c>
      <c r="G6" s="59">
        <f ca="1">COUNTIF($L$14:$L$175,F6)+G177</f>
        <v>0</v>
      </c>
      <c r="H6" s="21" t="e">
        <f ca="1">G6/$G$9</f>
        <v>#REF!</v>
      </c>
      <c r="I6" s="16"/>
      <c r="J6" s="16"/>
      <c r="K6" s="16"/>
      <c r="L6" s="16"/>
      <c r="M6" s="16"/>
    </row>
    <row r="7" spans="2:16" ht="18.75" x14ac:dyDescent="0.3">
      <c r="B7" s="27" t="s">
        <v>19</v>
      </c>
      <c r="C7" s="27"/>
      <c r="D7" s="70" t="s">
        <v>434</v>
      </c>
      <c r="E7" s="71"/>
      <c r="F7" s="19" t="s">
        <v>13</v>
      </c>
      <c r="G7" s="60">
        <f ca="1">COUNTIF($L$14:$L$175,F7)+G153</f>
        <v>0</v>
      </c>
      <c r="H7" s="21" t="e">
        <f ca="1">G7/$G$9</f>
        <v>#REF!</v>
      </c>
      <c r="I7" s="16"/>
      <c r="J7" s="16"/>
      <c r="K7" s="16"/>
      <c r="L7" s="16"/>
      <c r="M7" s="16"/>
    </row>
    <row r="8" spans="2:16" ht="18.75" x14ac:dyDescent="0.3">
      <c r="B8" s="15"/>
      <c r="C8" s="16"/>
      <c r="D8" s="70"/>
      <c r="E8" s="71"/>
      <c r="F8" s="19" t="s">
        <v>15</v>
      </c>
      <c r="G8" s="60" t="e">
        <f ca="1">COUNTIF($L$14:$L$175,F8)+#REF!</f>
        <v>#REF!</v>
      </c>
      <c r="H8" s="21" t="e">
        <f ca="1">G8/$G$9</f>
        <v>#REF!</v>
      </c>
      <c r="I8" s="16"/>
      <c r="J8" s="16"/>
      <c r="K8" s="16"/>
      <c r="L8" s="16"/>
      <c r="M8" s="16"/>
    </row>
    <row r="9" spans="2:16" ht="18.75" x14ac:dyDescent="0.25">
      <c r="B9" s="20"/>
      <c r="C9" s="16"/>
      <c r="D9" s="28"/>
      <c r="E9" s="28"/>
      <c r="F9" s="15"/>
      <c r="G9" s="18" t="e">
        <f ca="1">SUM(G5:G8)</f>
        <v>#REF!</v>
      </c>
      <c r="H9" s="16"/>
      <c r="I9" s="16"/>
      <c r="J9" s="16"/>
      <c r="K9" s="16"/>
      <c r="L9" s="16"/>
      <c r="M9" s="16"/>
    </row>
    <row r="10" spans="2:16" ht="18.75" x14ac:dyDescent="0.25">
      <c r="B10" s="15"/>
      <c r="C10" s="16"/>
      <c r="D10" s="28"/>
      <c r="E10" s="28"/>
      <c r="F10" s="15"/>
      <c r="G10" s="15"/>
      <c r="H10" s="16"/>
      <c r="I10" s="16"/>
      <c r="J10" s="16"/>
      <c r="K10" s="16"/>
      <c r="L10" s="16"/>
      <c r="M10" s="16"/>
    </row>
    <row r="11" spans="2:16" ht="18.75" x14ac:dyDescent="0.25">
      <c r="B11" s="15"/>
      <c r="C11" s="16"/>
      <c r="D11" s="29"/>
      <c r="E11" s="29"/>
      <c r="F11" s="15"/>
      <c r="G11" s="22" t="s">
        <v>22</v>
      </c>
      <c r="H11" s="16"/>
      <c r="I11" s="16"/>
      <c r="J11" s="16"/>
      <c r="K11" s="16"/>
      <c r="L11" s="16"/>
      <c r="M11" s="16"/>
    </row>
    <row r="12" spans="2:16" s="2" customFormat="1" x14ac:dyDescent="0.2">
      <c r="B12" s="65" t="s">
        <v>17</v>
      </c>
      <c r="C12" s="66"/>
      <c r="D12" s="66"/>
      <c r="E12" s="67"/>
      <c r="F12" s="35" t="s">
        <v>2</v>
      </c>
      <c r="G12" s="37"/>
      <c r="H12" s="68" t="s">
        <v>3</v>
      </c>
      <c r="I12" s="69"/>
      <c r="J12" s="68" t="s">
        <v>4</v>
      </c>
      <c r="K12" s="69"/>
      <c r="L12" s="68" t="s">
        <v>0</v>
      </c>
      <c r="M12" s="69"/>
      <c r="N12" s="69" t="s">
        <v>5</v>
      </c>
      <c r="O12" s="64" t="s">
        <v>6</v>
      </c>
      <c r="P12" s="64" t="s">
        <v>7</v>
      </c>
    </row>
    <row r="13" spans="2:16" s="2" customFormat="1" ht="17.25" x14ac:dyDescent="0.2">
      <c r="B13" s="7" t="s">
        <v>1</v>
      </c>
      <c r="C13" s="8" t="s">
        <v>23</v>
      </c>
      <c r="D13" s="8" t="s">
        <v>121</v>
      </c>
      <c r="E13" s="8" t="s">
        <v>24</v>
      </c>
      <c r="F13" s="8" t="s">
        <v>8</v>
      </c>
      <c r="G13" s="9" t="s">
        <v>9</v>
      </c>
      <c r="H13" s="8" t="s">
        <v>10</v>
      </c>
      <c r="I13" s="8" t="s">
        <v>11</v>
      </c>
      <c r="J13" s="8" t="s">
        <v>10</v>
      </c>
      <c r="K13" s="8" t="s">
        <v>11</v>
      </c>
      <c r="L13" s="8" t="s">
        <v>0</v>
      </c>
      <c r="M13" s="8" t="s">
        <v>12</v>
      </c>
      <c r="N13" s="69"/>
      <c r="O13" s="64"/>
      <c r="P13" s="64"/>
    </row>
    <row r="14" spans="2:16" ht="15.75" x14ac:dyDescent="0.25">
      <c r="B14" s="13">
        <v>1</v>
      </c>
      <c r="C14" s="12">
        <v>100001</v>
      </c>
      <c r="D14" s="10" t="s">
        <v>21</v>
      </c>
      <c r="E14" s="36" t="str">
        <f>VLOOKUP(C14,'CONTROLE CONCILIAÇÃO '!A:C,2,FALSE)</f>
        <v>CAIXA</v>
      </c>
      <c r="F14" s="10"/>
      <c r="G14" s="36"/>
      <c r="H14" s="5">
        <v>42767</v>
      </c>
      <c r="I14" s="5">
        <v>42793</v>
      </c>
      <c r="J14" s="50"/>
      <c r="K14" s="50"/>
      <c r="L14" s="11" t="str">
        <f ca="1">IF(H14="","",IF(K14&lt;&gt;"","Concluída",IF(TODAY()&gt;I14,"Atrasada",IF(J14&lt;&gt;"","Em andamento",IF(AND(J14="",TODAY()&gt;H14),"Atrasada","A iniciar")))))</f>
        <v>Atrasada</v>
      </c>
      <c r="M14" s="14" t="str">
        <f ca="1">IF(L14&lt;&gt;"","n","")</f>
        <v>n</v>
      </c>
      <c r="N14" s="3"/>
      <c r="O14" s="4"/>
      <c r="P14" s="4"/>
    </row>
    <row r="15" spans="2:16" ht="15.75" x14ac:dyDescent="0.25">
      <c r="B15" s="13">
        <v>2</v>
      </c>
      <c r="C15" s="12">
        <v>100002</v>
      </c>
      <c r="D15" s="10" t="s">
        <v>21</v>
      </c>
      <c r="E15" s="36" t="str">
        <f>VLOOKUP(C15,'CONTROLE CONCILIAÇÃO '!A:C,2,FALSE)</f>
        <v>VALORES EM TRANSITO</v>
      </c>
      <c r="F15" s="10"/>
      <c r="G15" s="36"/>
      <c r="H15" s="5">
        <v>42767</v>
      </c>
      <c r="I15" s="5">
        <v>42793</v>
      </c>
      <c r="J15" s="50"/>
      <c r="K15" s="50"/>
      <c r="L15" s="11" t="str">
        <f t="shared" ref="L15:L85" ca="1" si="0">IF(H15="","",IF(K15&lt;&gt;"","Concluída",IF(TODAY()&gt;I15,"Atrasada",IF(J15&lt;&gt;"","Em andamento",IF(AND(J15="",TODAY()&gt;H15),"Atrasada","A iniciar")))))</f>
        <v>Atrasada</v>
      </c>
      <c r="M15" s="14" t="str">
        <f t="shared" ref="M15:M85" ca="1" si="1">IF(L15&lt;&gt;"","n","")</f>
        <v>n</v>
      </c>
      <c r="N15" s="3"/>
      <c r="O15" s="4"/>
      <c r="P15" s="4"/>
    </row>
    <row r="16" spans="2:16" ht="15.75" x14ac:dyDescent="0.25">
      <c r="B16" s="13">
        <v>3</v>
      </c>
      <c r="C16" s="12">
        <v>100101</v>
      </c>
      <c r="D16" s="10" t="s">
        <v>21</v>
      </c>
      <c r="E16" s="36" t="str">
        <f>VLOOKUP(C16,'CONTROLE CONCILIAÇÃO '!A:C,2,FALSE)</f>
        <v>BANCO ITAU S.A.</v>
      </c>
      <c r="F16" s="10"/>
      <c r="G16" s="36"/>
      <c r="H16" s="5">
        <v>42767</v>
      </c>
      <c r="I16" s="5">
        <v>42793</v>
      </c>
      <c r="J16" s="50">
        <v>42767</v>
      </c>
      <c r="K16" s="50">
        <v>42767</v>
      </c>
      <c r="L16" s="11" t="str">
        <f t="shared" ca="1" si="0"/>
        <v>Concluída</v>
      </c>
      <c r="M16" s="14" t="str">
        <f t="shared" ca="1" si="1"/>
        <v>n</v>
      </c>
      <c r="N16" s="3"/>
      <c r="O16" s="4"/>
      <c r="P16" s="4"/>
    </row>
    <row r="17" spans="2:16" ht="15.75" x14ac:dyDescent="0.25">
      <c r="B17" s="13">
        <v>4</v>
      </c>
      <c r="C17" s="12">
        <v>100102</v>
      </c>
      <c r="D17" s="10" t="s">
        <v>21</v>
      </c>
      <c r="E17" s="36" t="str">
        <f>VLOOKUP(C17,'CONTROLE CONCILIAÇÃO '!A:C,2,FALSE)</f>
        <v>BANCO BRADESCO S.A.</v>
      </c>
      <c r="F17" s="10"/>
      <c r="G17" s="36"/>
      <c r="H17" s="5">
        <v>42767</v>
      </c>
      <c r="I17" s="5">
        <v>42793</v>
      </c>
      <c r="J17" s="50">
        <v>42767</v>
      </c>
      <c r="K17" s="50">
        <v>42767</v>
      </c>
      <c r="L17" s="11" t="str">
        <f t="shared" ca="1" si="0"/>
        <v>Concluída</v>
      </c>
      <c r="M17" s="14" t="str">
        <f t="shared" ca="1" si="1"/>
        <v>n</v>
      </c>
      <c r="N17" s="3"/>
      <c r="O17" s="4"/>
      <c r="P17" s="4"/>
    </row>
    <row r="18" spans="2:16" ht="15.75" x14ac:dyDescent="0.25">
      <c r="B18" s="13">
        <v>5</v>
      </c>
      <c r="C18" s="12">
        <v>100103</v>
      </c>
      <c r="D18" s="10" t="s">
        <v>21</v>
      </c>
      <c r="E18" s="36" t="str">
        <f>VLOOKUP(C18,'CONTROLE CONCILIAÇÃO '!A:C,2,FALSE)</f>
        <v>BANCO SANTANDER S.A.</v>
      </c>
      <c r="F18" s="10"/>
      <c r="G18" s="36"/>
      <c r="H18" s="5">
        <v>42767</v>
      </c>
      <c r="I18" s="5">
        <v>42793</v>
      </c>
      <c r="J18" s="50">
        <v>42767</v>
      </c>
      <c r="K18" s="50">
        <v>42767</v>
      </c>
      <c r="L18" s="11" t="str">
        <f t="shared" ca="1" si="0"/>
        <v>Concluída</v>
      </c>
      <c r="M18" s="14" t="str">
        <f t="shared" ca="1" si="1"/>
        <v>n</v>
      </c>
      <c r="N18" s="3"/>
      <c r="O18" s="4"/>
      <c r="P18" s="4"/>
    </row>
    <row r="19" spans="2:16" ht="15.75" x14ac:dyDescent="0.25">
      <c r="B19" s="13">
        <v>6</v>
      </c>
      <c r="C19" s="12">
        <v>100105</v>
      </c>
      <c r="D19" s="10" t="s">
        <v>21</v>
      </c>
      <c r="E19" s="36" t="str">
        <f>VLOOKUP(C19,'CONTROLE CONCILIAÇÃO '!A:C,2,FALSE)</f>
        <v>CAIXA ECONOMICA FEDERAL</v>
      </c>
      <c r="F19" s="10"/>
      <c r="G19" s="36"/>
      <c r="H19" s="5">
        <v>42767</v>
      </c>
      <c r="I19" s="5">
        <v>42793</v>
      </c>
      <c r="J19" s="50">
        <v>42767</v>
      </c>
      <c r="K19" s="50">
        <v>42767</v>
      </c>
      <c r="L19" s="11" t="str">
        <f t="shared" ca="1" si="0"/>
        <v>Concluída</v>
      </c>
      <c r="M19" s="14" t="str">
        <f t="shared" ca="1" si="1"/>
        <v>n</v>
      </c>
      <c r="N19" s="3"/>
      <c r="O19" s="4"/>
      <c r="P19" s="4"/>
    </row>
    <row r="20" spans="2:16" ht="15.75" x14ac:dyDescent="0.25">
      <c r="B20" s="13">
        <v>7</v>
      </c>
      <c r="C20" s="12">
        <v>100106</v>
      </c>
      <c r="D20" s="10" t="s">
        <v>21</v>
      </c>
      <c r="E20" s="36" t="str">
        <f>VLOOKUP(C20,'CONTROLE CONCILIAÇÃO '!A:C,2,FALSE)</f>
        <v>BANCO DO BRASIL S.A.</v>
      </c>
      <c r="F20" s="10"/>
      <c r="G20" s="36"/>
      <c r="H20" s="5">
        <v>42767</v>
      </c>
      <c r="I20" s="5">
        <v>42793</v>
      </c>
      <c r="J20" s="50">
        <v>42767</v>
      </c>
      <c r="K20" s="50">
        <v>42767</v>
      </c>
      <c r="L20" s="11" t="str">
        <f t="shared" ca="1" si="0"/>
        <v>Concluída</v>
      </c>
      <c r="M20" s="14" t="str">
        <f t="shared" ca="1" si="1"/>
        <v>n</v>
      </c>
      <c r="N20" s="3"/>
      <c r="O20" s="4"/>
      <c r="P20" s="4"/>
    </row>
    <row r="21" spans="2:16" ht="15.75" x14ac:dyDescent="0.25">
      <c r="B21" s="13">
        <v>8</v>
      </c>
      <c r="C21" s="12">
        <v>100107</v>
      </c>
      <c r="D21" s="10" t="s">
        <v>21</v>
      </c>
      <c r="E21" s="36" t="str">
        <f>VLOOKUP(C21,'CONTROLE CONCILIAÇÃO '!A:C,2,FALSE)</f>
        <v>BANRISUL</v>
      </c>
      <c r="F21" s="10"/>
      <c r="G21" s="36"/>
      <c r="H21" s="5">
        <v>42767</v>
      </c>
      <c r="I21" s="5">
        <v>42793</v>
      </c>
      <c r="J21" s="50">
        <v>42767</v>
      </c>
      <c r="K21" s="50">
        <v>42767</v>
      </c>
      <c r="L21" s="11" t="str">
        <f t="shared" ca="1" si="0"/>
        <v>Concluída</v>
      </c>
      <c r="M21" s="14" t="str">
        <f t="shared" ca="1" si="1"/>
        <v>n</v>
      </c>
      <c r="N21" s="3"/>
      <c r="O21" s="4"/>
      <c r="P21" s="4"/>
    </row>
    <row r="22" spans="2:16" ht="15.75" x14ac:dyDescent="0.25">
      <c r="B22" s="13">
        <v>9</v>
      </c>
      <c r="C22" s="12">
        <v>100201</v>
      </c>
      <c r="D22" s="10" t="s">
        <v>21</v>
      </c>
      <c r="E22" s="36" t="str">
        <f>VLOOKUP(C22,'CONTROLE CONCILIAÇÃO '!A:C,2,FALSE)</f>
        <v>BANCO ITAU S.A.</v>
      </c>
      <c r="F22" s="10"/>
      <c r="G22" s="36"/>
      <c r="H22" s="5">
        <v>42767</v>
      </c>
      <c r="I22" s="5">
        <v>42793</v>
      </c>
      <c r="J22" s="50">
        <v>42767</v>
      </c>
      <c r="K22" s="50">
        <v>42767</v>
      </c>
      <c r="L22" s="11" t="str">
        <f t="shared" ca="1" si="0"/>
        <v>Concluída</v>
      </c>
      <c r="M22" s="14" t="str">
        <f t="shared" ca="1" si="1"/>
        <v>n</v>
      </c>
      <c r="N22" s="3"/>
      <c r="O22" s="4"/>
      <c r="P22" s="4"/>
    </row>
    <row r="23" spans="2:16" ht="15.75" x14ac:dyDescent="0.25">
      <c r="B23" s="13">
        <v>10</v>
      </c>
      <c r="C23" s="12">
        <v>100202</v>
      </c>
      <c r="D23" s="10" t="s">
        <v>21</v>
      </c>
      <c r="E23" s="36" t="str">
        <f>VLOOKUP(C23,'CONTROLE CONCILIAÇÃO '!A:C,2,FALSE)</f>
        <v>BANCO BRADESCO S.A.</v>
      </c>
      <c r="F23" s="10"/>
      <c r="G23" s="36"/>
      <c r="H23" s="5">
        <v>42767</v>
      </c>
      <c r="I23" s="5">
        <v>42793</v>
      </c>
      <c r="J23" s="50">
        <v>42767</v>
      </c>
      <c r="K23" s="50">
        <v>42767</v>
      </c>
      <c r="L23" s="11" t="str">
        <f t="shared" ca="1" si="0"/>
        <v>Concluída</v>
      </c>
      <c r="M23" s="14" t="str">
        <f t="shared" ca="1" si="1"/>
        <v>n</v>
      </c>
    </row>
    <row r="24" spans="2:16" ht="15.75" x14ac:dyDescent="0.25">
      <c r="B24" s="13">
        <v>11</v>
      </c>
      <c r="C24" s="12">
        <v>100203</v>
      </c>
      <c r="D24" s="10" t="s">
        <v>21</v>
      </c>
      <c r="E24" s="36" t="str">
        <f>VLOOKUP(C24,'CONTROLE CONCILIAÇÃO '!A:C,2,FALSE)</f>
        <v>BANCO SANTANDER S.A.</v>
      </c>
      <c r="F24" s="10"/>
      <c r="G24" s="36"/>
      <c r="H24" s="5">
        <v>42767</v>
      </c>
      <c r="I24" s="5">
        <v>42793</v>
      </c>
      <c r="J24" s="50">
        <v>42767</v>
      </c>
      <c r="K24" s="50">
        <v>42767</v>
      </c>
      <c r="L24" s="11" t="str">
        <f t="shared" ca="1" si="0"/>
        <v>Concluída</v>
      </c>
      <c r="M24" s="14" t="str">
        <f t="shared" ca="1" si="1"/>
        <v>n</v>
      </c>
    </row>
    <row r="25" spans="2:16" ht="15.75" x14ac:dyDescent="0.25">
      <c r="B25" s="13">
        <v>12</v>
      </c>
      <c r="C25" s="12">
        <v>100301</v>
      </c>
      <c r="D25" s="10" t="s">
        <v>21</v>
      </c>
      <c r="E25" s="36" t="str">
        <f>VLOOKUP(C25,'CONTROLE CONCILIAÇÃO '!A:C,2,FALSE)</f>
        <v>BANCO ITAU</v>
      </c>
      <c r="F25" s="10"/>
      <c r="G25" s="36"/>
      <c r="H25" s="5">
        <v>42767</v>
      </c>
      <c r="I25" s="5">
        <v>42793</v>
      </c>
      <c r="J25" s="50">
        <v>42767</v>
      </c>
      <c r="K25" s="50">
        <v>42767</v>
      </c>
      <c r="L25" s="11" t="str">
        <f t="shared" ca="1" si="0"/>
        <v>Concluída</v>
      </c>
      <c r="M25" s="14" t="str">
        <f t="shared" ca="1" si="1"/>
        <v>n</v>
      </c>
    </row>
    <row r="26" spans="2:16" ht="15.75" x14ac:dyDescent="0.25">
      <c r="B26" s="13">
        <v>13</v>
      </c>
      <c r="C26" s="12">
        <v>103003</v>
      </c>
      <c r="D26" s="10" t="s">
        <v>21</v>
      </c>
      <c r="E26" s="36" t="str">
        <f>VLOOKUP(C26,'CONTROLE CONCILIAÇÃO '!A:C,2,FALSE)</f>
        <v>CHEQUES A RECEBER</v>
      </c>
      <c r="F26" s="10"/>
      <c r="G26" s="36"/>
      <c r="H26" s="5">
        <v>42767</v>
      </c>
      <c r="I26" s="5">
        <v>42793</v>
      </c>
      <c r="J26" s="50"/>
      <c r="K26" s="50"/>
      <c r="L26" s="11" t="str">
        <f t="shared" ca="1" si="0"/>
        <v>Atrasada</v>
      </c>
      <c r="M26" s="14" t="str">
        <f t="shared" ca="1" si="1"/>
        <v>n</v>
      </c>
    </row>
    <row r="27" spans="2:16" ht="15.75" x14ac:dyDescent="0.25">
      <c r="B27" s="13">
        <v>14</v>
      </c>
      <c r="C27" s="12">
        <v>103005</v>
      </c>
      <c r="D27" s="10" t="s">
        <v>21</v>
      </c>
      <c r="E27" s="36" t="str">
        <f>VLOOKUP(C27,'CONTROLE CONCILIAÇÃO '!A:C,2,FALSE)</f>
        <v>CONTAS RECEBER</v>
      </c>
      <c r="F27" s="10"/>
      <c r="G27" s="36"/>
      <c r="H27" s="5">
        <v>42767</v>
      </c>
      <c r="I27" s="5">
        <v>42793</v>
      </c>
      <c r="J27" s="50"/>
      <c r="K27" s="50"/>
      <c r="L27" s="11" t="str">
        <f t="shared" ca="1" si="0"/>
        <v>Atrasada</v>
      </c>
      <c r="M27" s="14" t="str">
        <f t="shared" ca="1" si="1"/>
        <v>n</v>
      </c>
    </row>
    <row r="28" spans="2:16" ht="15.75" x14ac:dyDescent="0.25">
      <c r="B28" s="13">
        <v>15</v>
      </c>
      <c r="C28" s="12">
        <v>103006</v>
      </c>
      <c r="D28" s="10" t="s">
        <v>21</v>
      </c>
      <c r="E28" s="36" t="str">
        <f>VLOOKUP(C28,'CONTROLE CONCILIAÇÃO '!A:C,2,FALSE)</f>
        <v>PROVISAO DEVEDORES DUVIDOSO</v>
      </c>
      <c r="F28" s="10"/>
      <c r="G28" s="36"/>
      <c r="H28" s="5">
        <v>42767</v>
      </c>
      <c r="I28" s="5">
        <v>42793</v>
      </c>
      <c r="J28" s="50"/>
      <c r="K28" s="50"/>
      <c r="L28" s="11" t="str">
        <f t="shared" ca="1" si="0"/>
        <v>Atrasada</v>
      </c>
      <c r="M28" s="14" t="str">
        <f t="shared" ca="1" si="1"/>
        <v>n</v>
      </c>
    </row>
    <row r="29" spans="2:16" ht="15.75" x14ac:dyDescent="0.25">
      <c r="B29" s="13">
        <v>16</v>
      </c>
      <c r="C29" s="12">
        <v>104001</v>
      </c>
      <c r="D29" s="10" t="s">
        <v>21</v>
      </c>
      <c r="E29" s="36" t="str">
        <f>VLOOKUP(C29,'CONTROLE CONCILIAÇÃO '!A:C,2,FALSE)</f>
        <v>ADIANTAMENTO DE SALARIO</v>
      </c>
      <c r="F29" s="10"/>
      <c r="G29" s="36"/>
      <c r="H29" s="5">
        <v>42767</v>
      </c>
      <c r="I29" s="5">
        <v>42793</v>
      </c>
      <c r="J29" s="50"/>
      <c r="K29" s="50"/>
      <c r="L29" s="11" t="str">
        <f t="shared" ca="1" si="0"/>
        <v>Atrasada</v>
      </c>
      <c r="M29" s="14" t="str">
        <f t="shared" ca="1" si="1"/>
        <v>n</v>
      </c>
    </row>
    <row r="30" spans="2:16" ht="15.75" x14ac:dyDescent="0.25">
      <c r="B30" s="13">
        <v>17</v>
      </c>
      <c r="C30" s="12">
        <v>104002</v>
      </c>
      <c r="D30" s="10" t="s">
        <v>21</v>
      </c>
      <c r="E30" s="36" t="str">
        <f>VLOOKUP(C30,'CONTROLE CONCILIAÇÃO '!A:C,2,FALSE)</f>
        <v>ADIANTAMENTO 13* SALARIO</v>
      </c>
      <c r="F30" s="10"/>
      <c r="G30" s="36"/>
      <c r="H30" s="5">
        <v>42767</v>
      </c>
      <c r="I30" s="5">
        <v>42793</v>
      </c>
      <c r="J30" s="50"/>
      <c r="K30" s="50"/>
      <c r="L30" s="11" t="str">
        <f t="shared" ca="1" si="0"/>
        <v>Atrasada</v>
      </c>
      <c r="M30" s="14" t="str">
        <f t="shared" ca="1" si="1"/>
        <v>n</v>
      </c>
    </row>
    <row r="31" spans="2:16" ht="15.75" x14ac:dyDescent="0.25">
      <c r="B31" s="13">
        <v>18</v>
      </c>
      <c r="C31" s="12">
        <v>104003</v>
      </c>
      <c r="D31" s="10" t="s">
        <v>21</v>
      </c>
      <c r="E31" s="36" t="str">
        <f>VLOOKUP(C31,'CONTROLE CONCILIAÇÃO '!A:C,2,FALSE)</f>
        <v>ADIANTAMENTO FERIAS</v>
      </c>
      <c r="F31" s="10"/>
      <c r="G31" s="36"/>
      <c r="H31" s="5">
        <v>42767</v>
      </c>
      <c r="I31" s="5">
        <v>42793</v>
      </c>
      <c r="J31" s="50"/>
      <c r="K31" s="50"/>
      <c r="L31" s="11" t="str">
        <f t="shared" ca="1" si="0"/>
        <v>Atrasada</v>
      </c>
      <c r="M31" s="14" t="str">
        <f t="shared" ca="1" si="1"/>
        <v>n</v>
      </c>
    </row>
    <row r="32" spans="2:16" ht="15.75" x14ac:dyDescent="0.25">
      <c r="B32" s="13">
        <v>19</v>
      </c>
      <c r="C32" s="12">
        <v>104004</v>
      </c>
      <c r="D32" s="10" t="s">
        <v>21</v>
      </c>
      <c r="E32" s="36" t="str">
        <f>VLOOKUP(C32,'CONTROLE CONCILIAÇÃO '!A:C,2,FALSE)</f>
        <v>INDENIZACOES A RECEBER</v>
      </c>
      <c r="F32" s="10"/>
      <c r="G32" s="36"/>
      <c r="H32" s="5">
        <v>42767</v>
      </c>
      <c r="I32" s="5">
        <v>42793</v>
      </c>
      <c r="J32" s="50"/>
      <c r="K32" s="50"/>
      <c r="L32" s="11" t="str">
        <f t="shared" ca="1" si="0"/>
        <v>Atrasada</v>
      </c>
      <c r="M32" s="14" t="str">
        <f t="shared" ca="1" si="1"/>
        <v>n</v>
      </c>
    </row>
    <row r="33" spans="2:13" ht="15.75" x14ac:dyDescent="0.25">
      <c r="B33" s="13">
        <v>20</v>
      </c>
      <c r="C33" s="12">
        <v>104005</v>
      </c>
      <c r="D33" s="10" t="s">
        <v>21</v>
      </c>
      <c r="E33" s="36" t="str">
        <f>VLOOKUP(C33,'CONTROLE CONCILIAÇÃO '!A:C,2,FALSE)</f>
        <v>VALORES A RECEBER</v>
      </c>
      <c r="F33" s="10"/>
      <c r="G33" s="36"/>
      <c r="H33" s="5">
        <v>42767</v>
      </c>
      <c r="I33" s="5">
        <v>42793</v>
      </c>
      <c r="J33" s="50"/>
      <c r="K33" s="50"/>
      <c r="L33" s="11" t="str">
        <f t="shared" ca="1" si="0"/>
        <v>Atrasada</v>
      </c>
      <c r="M33" s="14" t="str">
        <f t="shared" ca="1" si="1"/>
        <v>n</v>
      </c>
    </row>
    <row r="34" spans="2:13" ht="15.75" x14ac:dyDescent="0.25">
      <c r="B34" s="13">
        <v>21</v>
      </c>
      <c r="C34" s="12">
        <v>104006</v>
      </c>
      <c r="D34" s="10" t="s">
        <v>21</v>
      </c>
      <c r="E34" s="36" t="str">
        <f>VLOOKUP(C34,'CONTROLE CONCILIAÇÃO '!A:C,2,FALSE)</f>
        <v>ABASTECIMENTOS A  AGREGADOS</v>
      </c>
      <c r="F34" s="10"/>
      <c r="G34" s="36"/>
      <c r="H34" s="5">
        <v>42767</v>
      </c>
      <c r="I34" s="5">
        <v>42793</v>
      </c>
      <c r="J34" s="50"/>
      <c r="K34" s="50"/>
      <c r="L34" s="11" t="str">
        <f t="shared" ca="1" si="0"/>
        <v>Atrasada</v>
      </c>
      <c r="M34" s="14" t="str">
        <f t="shared" ca="1" si="1"/>
        <v>n</v>
      </c>
    </row>
    <row r="35" spans="2:13" ht="15.75" x14ac:dyDescent="0.25">
      <c r="B35" s="13">
        <v>22</v>
      </c>
      <c r="C35" s="12">
        <v>104007</v>
      </c>
      <c r="D35" s="10" t="s">
        <v>21</v>
      </c>
      <c r="E35" s="36" t="str">
        <f>VLOOKUP(C35,'CONTROLE CONCILIAÇÃO '!A:C,2,FALSE)</f>
        <v>ADIANTAMENTO A CARRETEIROS</v>
      </c>
      <c r="F35" s="10"/>
      <c r="G35" s="36"/>
      <c r="H35" s="5">
        <v>42767</v>
      </c>
      <c r="I35" s="5">
        <v>42793</v>
      </c>
      <c r="J35" s="50"/>
      <c r="K35" s="50"/>
      <c r="L35" s="11" t="str">
        <f t="shared" ca="1" si="0"/>
        <v>Atrasada</v>
      </c>
      <c r="M35" s="14" t="str">
        <f t="shared" ca="1" si="1"/>
        <v>n</v>
      </c>
    </row>
    <row r="36" spans="2:13" ht="15.75" x14ac:dyDescent="0.25">
      <c r="B36" s="13">
        <v>23</v>
      </c>
      <c r="C36" s="12">
        <v>104008</v>
      </c>
      <c r="D36" s="10" t="s">
        <v>21</v>
      </c>
      <c r="E36" s="36" t="str">
        <f>VLOOKUP(C36,'CONTROLE CONCILIAÇÃO '!A:C,2,FALSE)</f>
        <v>ADIANTAMENTO CAV</v>
      </c>
      <c r="F36" s="10"/>
      <c r="G36" s="36"/>
      <c r="H36" s="5">
        <v>42767</v>
      </c>
      <c r="I36" s="5">
        <v>42793</v>
      </c>
      <c r="J36" s="50"/>
      <c r="K36" s="50"/>
      <c r="L36" s="11" t="str">
        <f t="shared" ca="1" si="0"/>
        <v>Atrasada</v>
      </c>
      <c r="M36" s="14" t="str">
        <f t="shared" ca="1" si="1"/>
        <v>n</v>
      </c>
    </row>
    <row r="37" spans="2:13" ht="15.75" x14ac:dyDescent="0.25">
      <c r="B37" s="13">
        <v>24</v>
      </c>
      <c r="C37" s="12">
        <v>105001</v>
      </c>
      <c r="D37" s="10" t="s">
        <v>21</v>
      </c>
      <c r="E37" s="36" t="str">
        <f>VLOOKUP(C37,'CONTROLE CONCILIAÇÃO '!A:C,2,FALSE)</f>
        <v>PREMIO DE SEGURO</v>
      </c>
      <c r="F37" s="10"/>
      <c r="G37" s="36"/>
      <c r="H37" s="5">
        <v>42767</v>
      </c>
      <c r="I37" s="5">
        <v>42793</v>
      </c>
      <c r="J37" s="50"/>
      <c r="K37" s="50"/>
      <c r="L37" s="11" t="str">
        <f t="shared" ca="1" si="0"/>
        <v>Atrasada</v>
      </c>
      <c r="M37" s="14" t="str">
        <f t="shared" ca="1" si="1"/>
        <v>n</v>
      </c>
    </row>
    <row r="38" spans="2:13" ht="15.75" x14ac:dyDescent="0.25">
      <c r="B38" s="13">
        <v>25</v>
      </c>
      <c r="C38" s="12">
        <v>105002</v>
      </c>
      <c r="D38" s="10" t="s">
        <v>21</v>
      </c>
      <c r="E38" s="36" t="str">
        <f>VLOOKUP(C38,'CONTROLE CONCILIAÇÃO '!A:C,2,FALSE)</f>
        <v>IPTU</v>
      </c>
      <c r="F38" s="10"/>
      <c r="G38" s="36"/>
      <c r="H38" s="5">
        <v>42767</v>
      </c>
      <c r="I38" s="5">
        <v>42793</v>
      </c>
      <c r="J38" s="50"/>
      <c r="K38" s="50"/>
      <c r="L38" s="11" t="str">
        <f ca="1">IF(H38="","",IF(K38&lt;&gt;"","Concluída",IF(TODAY()&gt;I38,"Atrasada",IF(J38&lt;&gt;"","Em andamento",IF(AND(J38="",TODAY()&gt;H38),"Atrasada","A iniciar")))))</f>
        <v>Atrasada</v>
      </c>
      <c r="M38" s="14" t="str">
        <f t="shared" ca="1" si="1"/>
        <v>n</v>
      </c>
    </row>
    <row r="39" spans="2:13" ht="15.75" x14ac:dyDescent="0.25">
      <c r="B39" s="13">
        <v>26</v>
      </c>
      <c r="C39" s="12">
        <v>105003</v>
      </c>
      <c r="D39" s="10" t="s">
        <v>21</v>
      </c>
      <c r="E39" s="36" t="str">
        <f>VLOOKUP(C39,'CONTROLE CONCILIAÇÃO '!A:C,2,FALSE)</f>
        <v>IPVA</v>
      </c>
      <c r="F39" s="10"/>
      <c r="G39" s="36"/>
      <c r="H39" s="5">
        <v>42767</v>
      </c>
      <c r="I39" s="5">
        <v>42793</v>
      </c>
      <c r="J39" s="50"/>
      <c r="K39" s="50"/>
      <c r="L39" s="11" t="str">
        <f t="shared" ca="1" si="0"/>
        <v>Atrasada</v>
      </c>
      <c r="M39" s="14" t="str">
        <f t="shared" ca="1" si="1"/>
        <v>n</v>
      </c>
    </row>
    <row r="40" spans="2:13" ht="15.75" x14ac:dyDescent="0.25">
      <c r="B40" s="13">
        <v>27</v>
      </c>
      <c r="C40" s="12">
        <v>105004</v>
      </c>
      <c r="D40" s="10" t="s">
        <v>21</v>
      </c>
      <c r="E40" s="36" t="str">
        <f>VLOOKUP(C40,'CONTROLE CONCILIAÇÃO '!A:C,2,FALSE)</f>
        <v>DPVAT</v>
      </c>
      <c r="F40" s="10"/>
      <c r="G40" s="36"/>
      <c r="H40" s="5">
        <v>42767</v>
      </c>
      <c r="I40" s="5">
        <v>42793</v>
      </c>
      <c r="J40" s="50"/>
      <c r="K40" s="50"/>
      <c r="L40" s="11" t="str">
        <f t="shared" ca="1" si="0"/>
        <v>Atrasada</v>
      </c>
      <c r="M40" s="14" t="str">
        <f t="shared" ca="1" si="1"/>
        <v>n</v>
      </c>
    </row>
    <row r="41" spans="2:13" ht="15.75" x14ac:dyDescent="0.25">
      <c r="B41" s="13">
        <v>28</v>
      </c>
      <c r="C41" s="12">
        <v>105005</v>
      </c>
      <c r="D41" s="10" t="s">
        <v>21</v>
      </c>
      <c r="E41" s="36" t="str">
        <f>VLOOKUP(C41,'CONTROLE CONCILIAÇÃO '!A:C,2,FALSE)</f>
        <v>ASSINATURAS JORNAIS/REVISTAS/ANUIDADES</v>
      </c>
      <c r="F41" s="10"/>
      <c r="G41" s="36"/>
      <c r="H41" s="5">
        <v>42767</v>
      </c>
      <c r="I41" s="5">
        <v>42793</v>
      </c>
      <c r="J41" s="50"/>
      <c r="K41" s="50"/>
      <c r="L41" s="11" t="str">
        <f t="shared" ca="1" si="0"/>
        <v>Atrasada</v>
      </c>
      <c r="M41" s="14" t="str">
        <f t="shared" ca="1" si="1"/>
        <v>n</v>
      </c>
    </row>
    <row r="42" spans="2:13" ht="15.75" x14ac:dyDescent="0.25">
      <c r="B42" s="13">
        <v>29</v>
      </c>
      <c r="C42" s="12">
        <v>105006</v>
      </c>
      <c r="D42" s="10" t="s">
        <v>21</v>
      </c>
      <c r="E42" s="36" t="str">
        <f>VLOOKUP(C42,'CONTROLE CONCILIAÇÃO '!A:C,2,FALSE)</f>
        <v>NOTAS FISCAIS SERVICOS</v>
      </c>
      <c r="F42" s="10"/>
      <c r="G42" s="36"/>
      <c r="H42" s="5">
        <v>42767</v>
      </c>
      <c r="I42" s="5">
        <v>42793</v>
      </c>
      <c r="J42" s="50"/>
      <c r="K42" s="50"/>
      <c r="L42" s="11" t="str">
        <f t="shared" ca="1" si="0"/>
        <v>Atrasada</v>
      </c>
      <c r="M42" s="14" t="str">
        <f t="shared" ca="1" si="1"/>
        <v>n</v>
      </c>
    </row>
    <row r="43" spans="2:13" ht="15.75" x14ac:dyDescent="0.25">
      <c r="B43" s="13">
        <v>30</v>
      </c>
      <c r="C43" s="12">
        <v>106001</v>
      </c>
      <c r="D43" s="10" t="s">
        <v>21</v>
      </c>
      <c r="E43" s="36" t="str">
        <f>VLOOKUP(C43,'CONTROLE CONCILIAÇÃO '!A:C,2,FALSE)</f>
        <v>ADIANTAMENTOS A FORNECEDORES</v>
      </c>
      <c r="F43" s="10"/>
      <c r="G43" s="36"/>
      <c r="H43" s="5">
        <v>42767</v>
      </c>
      <c r="I43" s="5">
        <v>42793</v>
      </c>
      <c r="J43" s="50"/>
      <c r="K43" s="50"/>
      <c r="L43" s="11" t="str">
        <f t="shared" ca="1" si="0"/>
        <v>Atrasada</v>
      </c>
      <c r="M43" s="14" t="str">
        <f t="shared" ca="1" si="1"/>
        <v>n</v>
      </c>
    </row>
    <row r="44" spans="2:13" ht="15.75" x14ac:dyDescent="0.25">
      <c r="B44" s="13">
        <v>31</v>
      </c>
      <c r="C44" s="12">
        <v>106002</v>
      </c>
      <c r="D44" s="10" t="s">
        <v>21</v>
      </c>
      <c r="E44" s="36" t="str">
        <f>VLOOKUP(C44,'CONTROLE CONCILIAÇÃO '!A:C,2,FALSE)</f>
        <v>NOTAS FISCAIS A RECEBER</v>
      </c>
      <c r="F44" s="10"/>
      <c r="G44" s="36"/>
      <c r="H44" s="5">
        <v>42767</v>
      </c>
      <c r="I44" s="5">
        <v>42793</v>
      </c>
      <c r="J44" s="50"/>
      <c r="K44" s="50"/>
      <c r="L44" s="11" t="str">
        <f t="shared" ca="1" si="0"/>
        <v>Atrasada</v>
      </c>
      <c r="M44" s="14" t="str">
        <f t="shared" ca="1" si="1"/>
        <v>n</v>
      </c>
    </row>
    <row r="45" spans="2:13" ht="15.75" x14ac:dyDescent="0.25">
      <c r="B45" s="13">
        <v>35</v>
      </c>
      <c r="C45" s="12">
        <v>107001</v>
      </c>
      <c r="D45" s="10" t="s">
        <v>21</v>
      </c>
      <c r="E45" s="36" t="str">
        <f>VLOOKUP(C45,'CONTROLE CONCILIAÇÃO '!A:C,2,FALSE)</f>
        <v>COMBUSTIVEIS</v>
      </c>
      <c r="F45" s="10"/>
      <c r="G45" s="36"/>
      <c r="H45" s="5">
        <v>42767</v>
      </c>
      <c r="I45" s="5">
        <v>42793</v>
      </c>
      <c r="J45" s="50"/>
      <c r="K45" s="50"/>
      <c r="L45" s="11" t="str">
        <f t="shared" ca="1" si="0"/>
        <v>Atrasada</v>
      </c>
      <c r="M45" s="14" t="str">
        <f t="shared" ca="1" si="1"/>
        <v>n</v>
      </c>
    </row>
    <row r="46" spans="2:13" ht="15.75" x14ac:dyDescent="0.25">
      <c r="B46" s="13">
        <v>36</v>
      </c>
      <c r="C46" s="12">
        <v>107002</v>
      </c>
      <c r="D46" s="10" t="s">
        <v>21</v>
      </c>
      <c r="E46" s="36" t="str">
        <f>VLOOKUP(C46,'CONTROLE CONCILIAÇÃO '!A:C,2,FALSE)</f>
        <v>PNEUS</v>
      </c>
      <c r="F46" s="10"/>
      <c r="G46" s="36"/>
      <c r="H46" s="5">
        <v>42767</v>
      </c>
      <c r="I46" s="5">
        <v>42793</v>
      </c>
      <c r="J46" s="50"/>
      <c r="K46" s="50"/>
      <c r="L46" s="11" t="str">
        <f t="shared" ca="1" si="0"/>
        <v>Atrasada</v>
      </c>
      <c r="M46" s="14" t="str">
        <f t="shared" ca="1" si="1"/>
        <v>n</v>
      </c>
    </row>
    <row r="47" spans="2:13" ht="15.75" x14ac:dyDescent="0.25">
      <c r="B47" s="13">
        <v>37</v>
      </c>
      <c r="C47" s="12">
        <v>107003</v>
      </c>
      <c r="D47" s="10" t="s">
        <v>21</v>
      </c>
      <c r="E47" s="36" t="str">
        <f>VLOOKUP(C47,'CONTROLE CONCILIAÇÃO '!A:C,2,FALSE)</f>
        <v>PECAS</v>
      </c>
      <c r="F47" s="10"/>
      <c r="G47" s="36"/>
      <c r="H47" s="5">
        <v>42767</v>
      </c>
      <c r="I47" s="5">
        <v>42793</v>
      </c>
      <c r="J47" s="50"/>
      <c r="K47" s="50"/>
      <c r="L47" s="11" t="str">
        <f t="shared" ca="1" si="0"/>
        <v>Atrasada</v>
      </c>
      <c r="M47" s="14" t="str">
        <f t="shared" ca="1" si="1"/>
        <v>n</v>
      </c>
    </row>
    <row r="48" spans="2:13" ht="15.75" x14ac:dyDescent="0.25">
      <c r="B48" s="13">
        <v>38</v>
      </c>
      <c r="C48" s="12">
        <v>107004</v>
      </c>
      <c r="D48" s="10" t="s">
        <v>21</v>
      </c>
      <c r="E48" s="36" t="str">
        <f>VLOOKUP(C48,'CONTROLE CONCILIAÇÃO '!A:C,2,FALSE)</f>
        <v>MATERIAL DE LIMPEZA</v>
      </c>
      <c r="F48" s="10"/>
      <c r="G48" s="36"/>
      <c r="H48" s="5">
        <v>42767</v>
      </c>
      <c r="I48" s="5">
        <v>42793</v>
      </c>
      <c r="J48" s="50"/>
      <c r="K48" s="50"/>
      <c r="L48" s="11" t="str">
        <f t="shared" ca="1" si="0"/>
        <v>Atrasada</v>
      </c>
      <c r="M48" s="14" t="str">
        <f t="shared" ca="1" si="1"/>
        <v>n</v>
      </c>
    </row>
    <row r="49" spans="2:13" ht="15.75" x14ac:dyDescent="0.25">
      <c r="B49" s="13">
        <v>39</v>
      </c>
      <c r="C49" s="12">
        <v>107005</v>
      </c>
      <c r="D49" s="10" t="s">
        <v>21</v>
      </c>
      <c r="E49" s="36" t="str">
        <f>VLOOKUP(C49,'CONTROLE CONCILIAÇÃO '!A:C,2,FALSE)</f>
        <v>MATERIAL DE COPA/COZINHA</v>
      </c>
      <c r="F49" s="10"/>
      <c r="G49" s="36"/>
      <c r="H49" s="5">
        <v>42767</v>
      </c>
      <c r="I49" s="5">
        <v>42793</v>
      </c>
      <c r="J49" s="50"/>
      <c r="K49" s="50"/>
      <c r="L49" s="11" t="str">
        <f t="shared" ca="1" si="0"/>
        <v>Atrasada</v>
      </c>
      <c r="M49" s="14" t="str">
        <f t="shared" ca="1" si="1"/>
        <v>n</v>
      </c>
    </row>
    <row r="50" spans="2:13" ht="15.75" x14ac:dyDescent="0.25">
      <c r="B50" s="13">
        <v>40</v>
      </c>
      <c r="C50" s="12">
        <v>107006</v>
      </c>
      <c r="D50" s="10" t="s">
        <v>21</v>
      </c>
      <c r="E50" s="36" t="str">
        <f>VLOOKUP(C50,'CONTROLE CONCILIAÇÃO '!A:C,2,FALSE)</f>
        <v>MATERIAIS DE ESCRITORIO</v>
      </c>
      <c r="F50" s="10"/>
      <c r="G50" s="36"/>
      <c r="H50" s="5">
        <v>42767</v>
      </c>
      <c r="I50" s="5">
        <v>42793</v>
      </c>
      <c r="J50" s="50"/>
      <c r="K50" s="50"/>
      <c r="L50" s="11" t="str">
        <f t="shared" ca="1" si="0"/>
        <v>Atrasada</v>
      </c>
      <c r="M50" s="14" t="str">
        <f t="shared" ca="1" si="1"/>
        <v>n</v>
      </c>
    </row>
    <row r="51" spans="2:13" ht="15.75" x14ac:dyDescent="0.25">
      <c r="B51" s="13">
        <v>41</v>
      </c>
      <c r="C51" s="12">
        <v>107007</v>
      </c>
      <c r="D51" s="10" t="s">
        <v>21</v>
      </c>
      <c r="E51" s="36" t="str">
        <f>VLOOKUP(C51,'CONTROLE CONCILIAÇÃO '!A:C,2,FALSE)</f>
        <v>UNIFORMES</v>
      </c>
      <c r="F51" s="10"/>
      <c r="G51" s="36"/>
      <c r="H51" s="5">
        <v>42767</v>
      </c>
      <c r="I51" s="5">
        <v>42793</v>
      </c>
      <c r="J51" s="50"/>
      <c r="K51" s="50"/>
      <c r="L51" s="11" t="str">
        <f t="shared" ca="1" si="0"/>
        <v>Atrasada</v>
      </c>
      <c r="M51" s="14" t="str">
        <f t="shared" ca="1" si="1"/>
        <v>n</v>
      </c>
    </row>
    <row r="52" spans="2:13" ht="15.75" x14ac:dyDescent="0.25">
      <c r="B52" s="13">
        <v>42</v>
      </c>
      <c r="C52" s="12">
        <v>107008</v>
      </c>
      <c r="D52" s="10" t="s">
        <v>21</v>
      </c>
      <c r="E52" s="36" t="str">
        <f>VLOOKUP(C52,'CONTROLE CONCILIAÇÃO '!A:C,2,FALSE)</f>
        <v>MATERIAIS DE INFORMATICA</v>
      </c>
      <c r="F52" s="10"/>
      <c r="G52" s="36"/>
      <c r="H52" s="5">
        <v>42767</v>
      </c>
      <c r="I52" s="5">
        <v>42793</v>
      </c>
      <c r="J52" s="50"/>
      <c r="K52" s="50"/>
      <c r="L52" s="11" t="str">
        <f t="shared" ca="1" si="0"/>
        <v>Atrasada</v>
      </c>
      <c r="M52" s="14" t="str">
        <f t="shared" ca="1" si="1"/>
        <v>n</v>
      </c>
    </row>
    <row r="53" spans="2:13" ht="15.75" x14ac:dyDescent="0.25">
      <c r="B53" s="13">
        <v>43</v>
      </c>
      <c r="C53" s="12">
        <v>107009</v>
      </c>
      <c r="D53" s="10" t="s">
        <v>21</v>
      </c>
      <c r="E53" s="36" t="str">
        <f>VLOOKUP(C53,'CONTROLE CONCILIAÇÃO '!A:C,2,FALSE)</f>
        <v>PINTURA</v>
      </c>
      <c r="F53" s="10"/>
      <c r="G53" s="36"/>
      <c r="H53" s="5">
        <v>42767</v>
      </c>
      <c r="I53" s="5">
        <v>42793</v>
      </c>
      <c r="J53" s="50"/>
      <c r="K53" s="50"/>
      <c r="L53" s="11" t="str">
        <f t="shared" ca="1" si="0"/>
        <v>Atrasada</v>
      </c>
      <c r="M53" s="14" t="str">
        <f t="shared" ca="1" si="1"/>
        <v>n</v>
      </c>
    </row>
    <row r="54" spans="2:13" ht="15.75" x14ac:dyDescent="0.25">
      <c r="B54" s="13">
        <v>44</v>
      </c>
      <c r="C54" s="12">
        <v>107010</v>
      </c>
      <c r="D54" s="10" t="s">
        <v>21</v>
      </c>
      <c r="E54" s="36" t="str">
        <f>VLOOKUP(C54,'CONTROLE CONCILIAÇÃO '!A:C,2,FALSE)</f>
        <v>FORMULARIOS E IMPRESSOS</v>
      </c>
      <c r="F54" s="10"/>
      <c r="G54" s="36"/>
      <c r="H54" s="5">
        <v>42767</v>
      </c>
      <c r="I54" s="5">
        <v>42793</v>
      </c>
      <c r="J54" s="50"/>
      <c r="K54" s="50"/>
      <c r="L54" s="11" t="str">
        <f t="shared" ca="1" si="0"/>
        <v>Atrasada</v>
      </c>
      <c r="M54" s="14" t="str">
        <f t="shared" ca="1" si="1"/>
        <v>n</v>
      </c>
    </row>
    <row r="55" spans="2:13" ht="15.75" x14ac:dyDescent="0.25">
      <c r="B55" s="13">
        <v>45</v>
      </c>
      <c r="C55" s="12">
        <v>107011</v>
      </c>
      <c r="D55" s="10" t="s">
        <v>21</v>
      </c>
      <c r="E55" s="36" t="str">
        <f>VLOOKUP(C55,'CONTROLE CONCILIAÇÃO '!A:C,2,FALSE)</f>
        <v>MATERIAIS DIVERSOS</v>
      </c>
      <c r="F55" s="10"/>
      <c r="G55" s="36"/>
      <c r="H55" s="5">
        <v>42767</v>
      </c>
      <c r="I55" s="5">
        <v>42793</v>
      </c>
      <c r="J55" s="50"/>
      <c r="K55" s="50"/>
      <c r="L55" s="11" t="str">
        <f t="shared" ca="1" si="0"/>
        <v>Atrasada</v>
      </c>
      <c r="M55" s="14" t="str">
        <f t="shared" ca="1" si="1"/>
        <v>n</v>
      </c>
    </row>
    <row r="56" spans="2:13" ht="15.75" x14ac:dyDescent="0.25">
      <c r="B56" s="13">
        <v>46</v>
      </c>
      <c r="C56" s="12">
        <v>107012</v>
      </c>
      <c r="D56" s="10" t="s">
        <v>21</v>
      </c>
      <c r="E56" s="36" t="str">
        <f>VLOOKUP(C56,'CONTROLE CONCILIAÇÃO '!A:C,2,FALSE)</f>
        <v>LUBRIFICANTES</v>
      </c>
      <c r="F56" s="10"/>
      <c r="G56" s="36"/>
      <c r="H56" s="5">
        <v>42767</v>
      </c>
      <c r="I56" s="5">
        <v>42793</v>
      </c>
      <c r="J56" s="50"/>
      <c r="K56" s="50"/>
      <c r="L56" s="11" t="str">
        <f t="shared" ca="1" si="0"/>
        <v>Atrasada</v>
      </c>
      <c r="M56" s="14" t="str">
        <f t="shared" ca="1" si="1"/>
        <v>n</v>
      </c>
    </row>
    <row r="57" spans="2:13" ht="15.75" x14ac:dyDescent="0.25">
      <c r="B57" s="13">
        <v>47</v>
      </c>
      <c r="C57" s="12">
        <v>108001</v>
      </c>
      <c r="D57" s="10" t="s">
        <v>21</v>
      </c>
      <c r="E57" s="36" t="str">
        <f>VLOOKUP(C57,'CONTROLE CONCILIAÇÃO '!A:C,2,FALSE)</f>
        <v>IRPJ</v>
      </c>
      <c r="F57" s="10"/>
      <c r="G57" s="36"/>
      <c r="H57" s="5">
        <v>42767</v>
      </c>
      <c r="I57" s="5">
        <v>42793</v>
      </c>
      <c r="J57" s="50"/>
      <c r="K57" s="50"/>
      <c r="L57" s="11" t="str">
        <f t="shared" ca="1" si="0"/>
        <v>Atrasada</v>
      </c>
      <c r="M57" s="14" t="str">
        <f t="shared" ca="1" si="1"/>
        <v>n</v>
      </c>
    </row>
    <row r="58" spans="2:13" ht="15.75" x14ac:dyDescent="0.25">
      <c r="B58" s="13">
        <v>48</v>
      </c>
      <c r="C58" s="12">
        <v>108002</v>
      </c>
      <c r="D58" s="10" t="s">
        <v>21</v>
      </c>
      <c r="E58" s="36" t="str">
        <f>VLOOKUP(C58,'CONTROLE CONCILIAÇÃO '!A:C,2,FALSE)</f>
        <v>CSLL</v>
      </c>
      <c r="F58" s="10"/>
      <c r="G58" s="36"/>
      <c r="H58" s="5">
        <v>42767</v>
      </c>
      <c r="I58" s="5">
        <v>42793</v>
      </c>
      <c r="J58" s="50"/>
      <c r="K58" s="50"/>
      <c r="L58" s="11" t="str">
        <f t="shared" ca="1" si="0"/>
        <v>Atrasada</v>
      </c>
      <c r="M58" s="14" t="str">
        <f t="shared" ca="1" si="1"/>
        <v>n</v>
      </c>
    </row>
    <row r="59" spans="2:13" ht="15.75" x14ac:dyDescent="0.25">
      <c r="B59" s="13">
        <v>49</v>
      </c>
      <c r="C59" s="12">
        <v>108003</v>
      </c>
      <c r="D59" s="10" t="s">
        <v>21</v>
      </c>
      <c r="E59" s="36" t="str">
        <f>VLOOKUP(C59,'CONTROLE CONCILIAÇÃO '!A:C,2,FALSE)</f>
        <v>IRRF</v>
      </c>
      <c r="F59" s="10"/>
      <c r="G59" s="36"/>
      <c r="H59" s="5">
        <v>42767</v>
      </c>
      <c r="I59" s="5">
        <v>42793</v>
      </c>
      <c r="J59" s="50"/>
      <c r="K59" s="50"/>
      <c r="L59" s="11" t="str">
        <f t="shared" ca="1" si="0"/>
        <v>Atrasada</v>
      </c>
      <c r="M59" s="14" t="str">
        <f t="shared" ca="1" si="1"/>
        <v>n</v>
      </c>
    </row>
    <row r="60" spans="2:13" ht="15.75" x14ac:dyDescent="0.25">
      <c r="B60" s="13">
        <v>50</v>
      </c>
      <c r="C60" s="12">
        <v>108004</v>
      </c>
      <c r="D60" s="10" t="s">
        <v>21</v>
      </c>
      <c r="E60" s="36" t="str">
        <f>VLOOKUP(C60,'CONTROLE CONCILIAÇÃO '!A:C,2,FALSE)</f>
        <v>ICMS - LOGISTICA</v>
      </c>
      <c r="F60" s="10"/>
      <c r="G60" s="36"/>
      <c r="H60" s="5">
        <v>42767</v>
      </c>
      <c r="I60" s="5">
        <v>42793</v>
      </c>
      <c r="J60" s="50"/>
      <c r="K60" s="50"/>
      <c r="L60" s="11" t="str">
        <f t="shared" ca="1" si="0"/>
        <v>Atrasada</v>
      </c>
      <c r="M60" s="14" t="str">
        <f t="shared" ca="1" si="1"/>
        <v>n</v>
      </c>
    </row>
    <row r="61" spans="2:13" ht="15.75" x14ac:dyDescent="0.25">
      <c r="B61" s="13">
        <v>51</v>
      </c>
      <c r="C61" s="12">
        <v>108005</v>
      </c>
      <c r="D61" s="10" t="s">
        <v>21</v>
      </c>
      <c r="E61" s="36" t="str">
        <f>VLOOKUP(C61,'CONTROLE CONCILIAÇÃO '!A:C,2,FALSE)</f>
        <v>ICMS - CREDITO</v>
      </c>
      <c r="F61" s="10"/>
      <c r="G61" s="36"/>
      <c r="H61" s="5">
        <v>42767</v>
      </c>
      <c r="I61" s="5">
        <v>42793</v>
      </c>
      <c r="J61" s="50"/>
      <c r="K61" s="50"/>
      <c r="L61" s="11" t="str">
        <f t="shared" ca="1" si="0"/>
        <v>Atrasada</v>
      </c>
      <c r="M61" s="14" t="str">
        <f t="shared" ca="1" si="1"/>
        <v>n</v>
      </c>
    </row>
    <row r="62" spans="2:13" ht="15.75" x14ac:dyDescent="0.25">
      <c r="B62" s="13">
        <v>52</v>
      </c>
      <c r="C62" s="12">
        <v>108011</v>
      </c>
      <c r="D62" s="10" t="s">
        <v>21</v>
      </c>
      <c r="E62" s="36" t="str">
        <f>VLOOKUP(C62,'CONTROLE CONCILIAÇÃO '!A:C,2,FALSE)</f>
        <v>INSS A RECUPERAR</v>
      </c>
      <c r="F62" s="10"/>
      <c r="G62" s="36"/>
      <c r="H62" s="5">
        <v>42767</v>
      </c>
      <c r="I62" s="5">
        <v>42793</v>
      </c>
      <c r="J62" s="50"/>
      <c r="K62" s="50"/>
      <c r="L62" s="11" t="str">
        <f t="shared" ca="1" si="0"/>
        <v>Atrasada</v>
      </c>
      <c r="M62" s="14" t="str">
        <f t="shared" ca="1" si="1"/>
        <v>n</v>
      </c>
    </row>
    <row r="63" spans="2:13" ht="15.75" x14ac:dyDescent="0.25">
      <c r="B63" s="13">
        <v>53</v>
      </c>
      <c r="C63" s="12">
        <v>108012</v>
      </c>
      <c r="D63" s="10" t="s">
        <v>21</v>
      </c>
      <c r="E63" s="36" t="str">
        <f>VLOOKUP(C63,'CONTROLE CONCILIAÇÃO '!A:C,2,FALSE)</f>
        <v>IMPOSTOS E CONTRIB.DIVERSAS A RECUPERAR</v>
      </c>
      <c r="F63" s="10"/>
      <c r="G63" s="36"/>
      <c r="H63" s="5">
        <v>42767</v>
      </c>
      <c r="I63" s="5">
        <v>42793</v>
      </c>
      <c r="J63" s="50"/>
      <c r="K63" s="50"/>
      <c r="L63" s="11" t="str">
        <f t="shared" ca="1" si="0"/>
        <v>Atrasada</v>
      </c>
      <c r="M63" s="14" t="str">
        <f t="shared" ca="1" si="1"/>
        <v>n</v>
      </c>
    </row>
    <row r="64" spans="2:13" ht="15.75" x14ac:dyDescent="0.25">
      <c r="B64" s="13">
        <v>54</v>
      </c>
      <c r="C64" s="12">
        <v>109003</v>
      </c>
      <c r="D64" s="10" t="s">
        <v>21</v>
      </c>
      <c r="E64" s="36" t="str">
        <f>VLOOKUP(C64,'CONTROLE CONCILIAÇÃO '!A:C,2,FALSE)</f>
        <v>BCO SANTANDER S.A.</v>
      </c>
      <c r="F64" s="10"/>
      <c r="G64" s="36"/>
      <c r="H64" s="5">
        <v>42767</v>
      </c>
      <c r="I64" s="5">
        <v>42793</v>
      </c>
      <c r="J64" s="50"/>
      <c r="K64" s="50"/>
      <c r="L64" s="11" t="str">
        <f t="shared" ca="1" si="0"/>
        <v>Atrasada</v>
      </c>
      <c r="M64" s="14" t="str">
        <f t="shared" ca="1" si="1"/>
        <v>n</v>
      </c>
    </row>
    <row r="65" spans="2:13" ht="15.75" x14ac:dyDescent="0.25">
      <c r="B65" s="13">
        <v>55</v>
      </c>
      <c r="C65" s="12">
        <v>110101</v>
      </c>
      <c r="D65" s="10" t="s">
        <v>21</v>
      </c>
      <c r="E65" s="36" t="str">
        <f>VLOOKUP(C65,'CONTROLE CONCILIAÇÃO '!A:C,2,FALSE)</f>
        <v>DEPOSITOS JUDICIAIS TRIBUTARIOS</v>
      </c>
      <c r="F65" s="10"/>
      <c r="G65" s="36"/>
      <c r="H65" s="5">
        <v>42767</v>
      </c>
      <c r="I65" s="5">
        <v>42793</v>
      </c>
      <c r="J65" s="50"/>
      <c r="K65" s="50"/>
      <c r="L65" s="11" t="str">
        <f t="shared" ca="1" si="0"/>
        <v>Atrasada</v>
      </c>
      <c r="M65" s="14" t="str">
        <f t="shared" ca="1" si="1"/>
        <v>n</v>
      </c>
    </row>
    <row r="66" spans="2:13" ht="15.75" x14ac:dyDescent="0.25">
      <c r="B66" s="13">
        <v>56</v>
      </c>
      <c r="C66" s="12">
        <v>110102</v>
      </c>
      <c r="D66" s="10" t="s">
        <v>21</v>
      </c>
      <c r="E66" s="36" t="str">
        <f>VLOOKUP(C66,'CONTROLE CONCILIAÇÃO '!A:C,2,FALSE)</f>
        <v>DEPOSITOS JUDICIAIS TRABALHISTAS</v>
      </c>
      <c r="F66" s="10"/>
      <c r="G66" s="36"/>
      <c r="H66" s="5">
        <v>42767</v>
      </c>
      <c r="I66" s="5">
        <v>42793</v>
      </c>
      <c r="J66" s="50"/>
      <c r="K66" s="50"/>
      <c r="L66" s="11" t="str">
        <f t="shared" ca="1" si="0"/>
        <v>Atrasada</v>
      </c>
      <c r="M66" s="14" t="str">
        <f t="shared" ca="1" si="1"/>
        <v>n</v>
      </c>
    </row>
    <row r="67" spans="2:13" ht="15.75" x14ac:dyDescent="0.25">
      <c r="B67" s="13">
        <v>57</v>
      </c>
      <c r="C67" s="12">
        <v>110103</v>
      </c>
      <c r="D67" s="10" t="s">
        <v>21</v>
      </c>
      <c r="E67" s="36" t="str">
        <f>VLOOKUP(C67,'CONTROLE CONCILIAÇÃO '!A:C,2,FALSE)</f>
        <v>BLOQUEIO JUDICIAL</v>
      </c>
      <c r="F67" s="10"/>
      <c r="G67" s="36"/>
      <c r="H67" s="5">
        <v>42767</v>
      </c>
      <c r="I67" s="5">
        <v>42793</v>
      </c>
      <c r="J67" s="50"/>
      <c r="K67" s="50"/>
      <c r="L67" s="11" t="str">
        <f t="shared" ca="1" si="0"/>
        <v>Atrasada</v>
      </c>
      <c r="M67" s="14" t="str">
        <f t="shared" ca="1" si="1"/>
        <v>n</v>
      </c>
    </row>
    <row r="68" spans="2:13" ht="15.75" x14ac:dyDescent="0.25">
      <c r="B68" s="13">
        <v>58</v>
      </c>
      <c r="C68" s="12">
        <v>110201</v>
      </c>
      <c r="D68" s="10" t="s">
        <v>21</v>
      </c>
      <c r="E68" s="36" t="str">
        <f>VLOOKUP(C68,'CONTROLE CONCILIAÇÃO '!A:C,2,FALSE)</f>
        <v>SUL AMERICA CAPITALIZACAO</v>
      </c>
      <c r="F68" s="10"/>
      <c r="G68" s="36"/>
      <c r="H68" s="5">
        <v>42767</v>
      </c>
      <c r="I68" s="5">
        <v>42793</v>
      </c>
      <c r="J68" s="50"/>
      <c r="K68" s="50"/>
      <c r="L68" s="11" t="str">
        <f t="shared" ca="1" si="0"/>
        <v>Atrasada</v>
      </c>
      <c r="M68" s="14" t="str">
        <f t="shared" ca="1" si="1"/>
        <v>n</v>
      </c>
    </row>
    <row r="69" spans="2:13" ht="15.75" x14ac:dyDescent="0.25">
      <c r="B69" s="13">
        <v>59</v>
      </c>
      <c r="C69" s="12">
        <v>110501</v>
      </c>
      <c r="D69" s="10" t="s">
        <v>21</v>
      </c>
      <c r="E69" s="36" t="str">
        <f>VLOOKUP(C69,'CONTROLE CONCILIAÇÃO '!A:C,2,FALSE)</f>
        <v>IMPOSTO DIFERIDO CONTINGENCIAS</v>
      </c>
      <c r="F69" s="10"/>
      <c r="G69" s="36"/>
      <c r="H69" s="5">
        <v>42767</v>
      </c>
      <c r="I69" s="5">
        <v>42793</v>
      </c>
      <c r="J69" s="50"/>
      <c r="K69" s="50"/>
      <c r="L69" s="11" t="str">
        <f t="shared" ca="1" si="0"/>
        <v>Atrasada</v>
      </c>
      <c r="M69" s="14" t="str">
        <f t="shared" ca="1" si="1"/>
        <v>n</v>
      </c>
    </row>
    <row r="70" spans="2:13" ht="15.75" x14ac:dyDescent="0.25">
      <c r="B70" s="13">
        <v>60</v>
      </c>
      <c r="C70" s="12">
        <v>110601</v>
      </c>
      <c r="D70" s="10" t="s">
        <v>21</v>
      </c>
      <c r="E70" s="36" t="str">
        <f>VLOOKUP(C70,'CONTROLE CONCILIAÇÃO '!A:C,2,FALSE)</f>
        <v>JUROS A APROPRIAR - LONGO PRAZO</v>
      </c>
      <c r="F70" s="10"/>
      <c r="G70" s="36"/>
      <c r="H70" s="5">
        <v>42767</v>
      </c>
      <c r="I70" s="5">
        <v>42793</v>
      </c>
      <c r="J70" s="50"/>
      <c r="K70" s="50"/>
      <c r="L70" s="11" t="str">
        <f t="shared" ca="1" si="0"/>
        <v>Atrasada</v>
      </c>
      <c r="M70" s="14" t="str">
        <f t="shared" ca="1" si="1"/>
        <v>n</v>
      </c>
    </row>
    <row r="71" spans="2:13" ht="15.75" x14ac:dyDescent="0.25">
      <c r="B71" s="13">
        <v>61</v>
      </c>
      <c r="C71" s="12">
        <v>131001</v>
      </c>
      <c r="D71" s="10" t="s">
        <v>21</v>
      </c>
      <c r="E71" s="36" t="str">
        <f>VLOOKUP(C71,'CONTROLE CONCILIAÇÃO '!A:C,2,FALSE)</f>
        <v>VEICULOS</v>
      </c>
      <c r="F71" s="10"/>
      <c r="G71" s="36"/>
      <c r="H71" s="5">
        <v>42767</v>
      </c>
      <c r="I71" s="5">
        <v>42793</v>
      </c>
      <c r="J71" s="50">
        <v>42766</v>
      </c>
      <c r="K71" s="50">
        <v>42766</v>
      </c>
      <c r="L71" s="11" t="str">
        <f t="shared" ca="1" si="0"/>
        <v>Concluída</v>
      </c>
      <c r="M71" s="14" t="str">
        <f t="shared" ca="1" si="1"/>
        <v>n</v>
      </c>
    </row>
    <row r="72" spans="2:13" ht="15.75" x14ac:dyDescent="0.25">
      <c r="B72" s="13">
        <v>62</v>
      </c>
      <c r="C72" s="12">
        <v>131002</v>
      </c>
      <c r="D72" s="10" t="s">
        <v>21</v>
      </c>
      <c r="E72" s="36" t="str">
        <f>VLOOKUP(C72,'CONTROLE CONCILIAÇÃO '!A:C,2,FALSE)</f>
        <v>EQUIPAMENTOS DE INFORMATICA</v>
      </c>
      <c r="F72" s="10"/>
      <c r="G72" s="36"/>
      <c r="H72" s="5">
        <v>42767</v>
      </c>
      <c r="I72" s="5">
        <v>42793</v>
      </c>
      <c r="J72" s="50">
        <v>42766</v>
      </c>
      <c r="K72" s="50">
        <v>42766</v>
      </c>
      <c r="L72" s="11" t="str">
        <f t="shared" ca="1" si="0"/>
        <v>Concluída</v>
      </c>
      <c r="M72" s="14" t="str">
        <f t="shared" ca="1" si="1"/>
        <v>n</v>
      </c>
    </row>
    <row r="73" spans="2:13" ht="15.75" x14ac:dyDescent="0.25">
      <c r="B73" s="13">
        <v>63</v>
      </c>
      <c r="C73" s="12">
        <v>131003</v>
      </c>
      <c r="D73" s="10" t="s">
        <v>21</v>
      </c>
      <c r="E73" s="36" t="str">
        <f>VLOOKUP(C73,'CONTROLE CONCILIAÇÃO '!A:C,2,FALSE)</f>
        <v>MOVEIS E UTENSILIOS</v>
      </c>
      <c r="F73" s="10"/>
      <c r="G73" s="36"/>
      <c r="H73" s="5">
        <v>42767</v>
      </c>
      <c r="I73" s="5">
        <v>42793</v>
      </c>
      <c r="J73" s="50">
        <v>42766</v>
      </c>
      <c r="K73" s="50">
        <v>42766</v>
      </c>
      <c r="L73" s="11" t="str">
        <f t="shared" ca="1" si="0"/>
        <v>Concluída</v>
      </c>
      <c r="M73" s="14" t="str">
        <f t="shared" ca="1" si="1"/>
        <v>n</v>
      </c>
    </row>
    <row r="74" spans="2:13" ht="15.75" x14ac:dyDescent="0.25">
      <c r="B74" s="13">
        <v>64</v>
      </c>
      <c r="C74" s="12">
        <v>131004</v>
      </c>
      <c r="D74" s="10" t="s">
        <v>21</v>
      </c>
      <c r="E74" s="36" t="str">
        <f>VLOOKUP(C74,'CONTROLE CONCILIAÇÃO '!A:C,2,FALSE)</f>
        <v>EQUIPAMENTOS E INSTALACOES OPERACIONAIS</v>
      </c>
      <c r="F74" s="10"/>
      <c r="G74" s="36"/>
      <c r="H74" s="5">
        <v>42767</v>
      </c>
      <c r="I74" s="5">
        <v>42793</v>
      </c>
      <c r="J74" s="50">
        <v>42766</v>
      </c>
      <c r="K74" s="50">
        <v>42766</v>
      </c>
      <c r="L74" s="11" t="str">
        <f t="shared" ca="1" si="0"/>
        <v>Concluída</v>
      </c>
      <c r="M74" s="14" t="str">
        <f t="shared" ca="1" si="1"/>
        <v>n</v>
      </c>
    </row>
    <row r="75" spans="2:13" ht="15.75" x14ac:dyDescent="0.25">
      <c r="B75" s="13">
        <v>65</v>
      </c>
      <c r="C75" s="12">
        <v>131005</v>
      </c>
      <c r="D75" s="10" t="s">
        <v>21</v>
      </c>
      <c r="E75" s="36" t="str">
        <f>VLOOKUP(C75,'CONTROLE CONCILIAÇÃO '!A:C,2,FALSE)</f>
        <v>INSTALACOES</v>
      </c>
      <c r="F75" s="10"/>
      <c r="G75" s="36"/>
      <c r="H75" s="5">
        <v>42767</v>
      </c>
      <c r="I75" s="5">
        <v>42793</v>
      </c>
      <c r="J75" s="50">
        <v>42766</v>
      </c>
      <c r="K75" s="50">
        <v>42766</v>
      </c>
      <c r="L75" s="11" t="str">
        <f t="shared" ca="1" si="0"/>
        <v>Concluída</v>
      </c>
      <c r="M75" s="14" t="str">
        <f t="shared" ca="1" si="1"/>
        <v>n</v>
      </c>
    </row>
    <row r="76" spans="2:13" ht="15.75" x14ac:dyDescent="0.25">
      <c r="B76" s="13">
        <v>66</v>
      </c>
      <c r="C76" s="12">
        <v>131006</v>
      </c>
      <c r="D76" s="10" t="s">
        <v>21</v>
      </c>
      <c r="E76" s="36" t="str">
        <f>VLOOKUP(C76,'CONTROLE CONCILIAÇÃO '!A:C,2,FALSE)</f>
        <v>DIREITO DE USO DE SOFTWARE</v>
      </c>
      <c r="F76" s="10"/>
      <c r="G76" s="36"/>
      <c r="H76" s="5">
        <v>42767</v>
      </c>
      <c r="I76" s="5">
        <v>42793</v>
      </c>
      <c r="J76" s="50">
        <v>42766</v>
      </c>
      <c r="K76" s="50">
        <v>42766</v>
      </c>
      <c r="L76" s="11" t="str">
        <f t="shared" ca="1" si="0"/>
        <v>Concluída</v>
      </c>
      <c r="M76" s="14" t="str">
        <f t="shared" ca="1" si="1"/>
        <v>n</v>
      </c>
    </row>
    <row r="77" spans="2:13" ht="15.75" x14ac:dyDescent="0.25">
      <c r="B77" s="13">
        <v>67</v>
      </c>
      <c r="C77" s="12">
        <v>131007</v>
      </c>
      <c r="D77" s="10" t="s">
        <v>21</v>
      </c>
      <c r="E77" s="36" t="str">
        <f>VLOOKUP(C77,'CONTROLE CONCILIAÇÃO '!A:C,2,FALSE)</f>
        <v>VEICULOS RTT LEASING</v>
      </c>
      <c r="F77" s="10"/>
      <c r="G77" s="36"/>
      <c r="H77" s="5">
        <v>42767</v>
      </c>
      <c r="I77" s="5">
        <v>42793</v>
      </c>
      <c r="J77" s="50">
        <v>42766</v>
      </c>
      <c r="K77" s="50">
        <v>42766</v>
      </c>
      <c r="L77" s="11" t="str">
        <f t="shared" ca="1" si="0"/>
        <v>Concluída</v>
      </c>
      <c r="M77" s="14" t="str">
        <f t="shared" ca="1" si="1"/>
        <v>n</v>
      </c>
    </row>
    <row r="78" spans="2:13" ht="15.75" x14ac:dyDescent="0.25">
      <c r="B78" s="13">
        <v>68</v>
      </c>
      <c r="C78" s="12">
        <v>131008</v>
      </c>
      <c r="D78" s="10" t="s">
        <v>21</v>
      </c>
      <c r="E78" s="36" t="str">
        <f>VLOOKUP(C78,'CONTROLE CONCILIAÇÃO '!A:C,2,FALSE)</f>
        <v>EQUIPAMENTOS DE INFORMATICA RTT LEASING</v>
      </c>
      <c r="F78" s="10"/>
      <c r="G78" s="36"/>
      <c r="H78" s="5">
        <v>42767</v>
      </c>
      <c r="I78" s="5">
        <v>42793</v>
      </c>
      <c r="J78" s="50">
        <v>42766</v>
      </c>
      <c r="K78" s="50">
        <v>42766</v>
      </c>
      <c r="L78" s="11" t="str">
        <f t="shared" ca="1" si="0"/>
        <v>Concluída</v>
      </c>
      <c r="M78" s="14" t="str">
        <f t="shared" ca="1" si="1"/>
        <v>n</v>
      </c>
    </row>
    <row r="79" spans="2:13" ht="15.75" x14ac:dyDescent="0.25">
      <c r="B79" s="13">
        <v>69</v>
      </c>
      <c r="C79" s="12">
        <v>131010</v>
      </c>
      <c r="D79" s="10" t="s">
        <v>21</v>
      </c>
      <c r="E79" s="36" t="str">
        <f>VLOOKUP(C79,'CONTROLE CONCILIAÇÃO '!A:C,2,FALSE)</f>
        <v>EQUIPAMENTOS E INSTAL.OPER.RTT LEASING</v>
      </c>
      <c r="F79" s="10"/>
      <c r="G79" s="36"/>
      <c r="H79" s="5">
        <v>42767</v>
      </c>
      <c r="I79" s="5">
        <v>42793</v>
      </c>
      <c r="J79" s="50">
        <v>42766</v>
      </c>
      <c r="K79" s="50">
        <v>42766</v>
      </c>
      <c r="L79" s="11" t="str">
        <f t="shared" ca="1" si="0"/>
        <v>Concluída</v>
      </c>
      <c r="M79" s="14" t="str">
        <f t="shared" ca="1" si="1"/>
        <v>n</v>
      </c>
    </row>
    <row r="80" spans="2:13" ht="15.75" x14ac:dyDescent="0.25">
      <c r="B80" s="13">
        <v>70</v>
      </c>
      <c r="C80" s="12">
        <v>131012</v>
      </c>
      <c r="D80" s="10" t="s">
        <v>21</v>
      </c>
      <c r="E80" s="36" t="str">
        <f>VLOOKUP(C80,'CONTROLE CONCILIAÇÃO '!A:C,2,FALSE)</f>
        <v>DIREITO DE USO DE SOFTWARE RTT LEASING</v>
      </c>
      <c r="F80" s="10"/>
      <c r="G80" s="36"/>
      <c r="H80" s="5">
        <v>42767</v>
      </c>
      <c r="I80" s="5">
        <v>42793</v>
      </c>
      <c r="J80" s="50">
        <v>42766</v>
      </c>
      <c r="K80" s="50">
        <v>42766</v>
      </c>
      <c r="L80" s="11" t="str">
        <f t="shared" ca="1" si="0"/>
        <v>Concluída</v>
      </c>
      <c r="M80" s="14" t="str">
        <f t="shared" ca="1" si="1"/>
        <v>n</v>
      </c>
    </row>
    <row r="81" spans="2:13" ht="15.75" x14ac:dyDescent="0.25">
      <c r="B81" s="13">
        <v>71</v>
      </c>
      <c r="C81" s="12">
        <v>131013</v>
      </c>
      <c r="D81" s="10" t="s">
        <v>21</v>
      </c>
      <c r="E81" s="36" t="str">
        <f>VLOOKUP(C81,'CONTROLE CONCILIAÇÃO '!A:C,2,FALSE)</f>
        <v>VEICULOS 8704</v>
      </c>
      <c r="F81" s="10"/>
      <c r="G81" s="36"/>
      <c r="H81" s="5">
        <v>42767</v>
      </c>
      <c r="I81" s="5">
        <v>42793</v>
      </c>
      <c r="J81" s="50">
        <v>42766</v>
      </c>
      <c r="K81" s="50">
        <v>42766</v>
      </c>
      <c r="L81" s="11" t="str">
        <f t="shared" ca="1" si="0"/>
        <v>Concluída</v>
      </c>
      <c r="M81" s="14" t="str">
        <f t="shared" ca="1" si="1"/>
        <v>n</v>
      </c>
    </row>
    <row r="82" spans="2:13" ht="15.75" x14ac:dyDescent="0.25">
      <c r="B82" s="13">
        <v>72</v>
      </c>
      <c r="C82" s="12">
        <v>131101</v>
      </c>
      <c r="D82" s="10" t="s">
        <v>21</v>
      </c>
      <c r="E82" s="36" t="str">
        <f>VLOOKUP(C82,'CONTROLE CONCILIAÇÃO '!A:C,2,FALSE)</f>
        <v>DEPRECIACAO ACUMULADA VEICULOS</v>
      </c>
      <c r="F82" s="10"/>
      <c r="G82" s="36"/>
      <c r="H82" s="5">
        <v>42767</v>
      </c>
      <c r="I82" s="5">
        <v>42793</v>
      </c>
      <c r="J82" s="50">
        <v>42766</v>
      </c>
      <c r="K82" s="50">
        <v>42766</v>
      </c>
      <c r="L82" s="11" t="str">
        <f t="shared" ca="1" si="0"/>
        <v>Concluída</v>
      </c>
      <c r="M82" s="14" t="str">
        <f t="shared" ca="1" si="1"/>
        <v>n</v>
      </c>
    </row>
    <row r="83" spans="2:13" ht="15.75" x14ac:dyDescent="0.25">
      <c r="B83" s="13">
        <v>73</v>
      </c>
      <c r="C83" s="12">
        <v>131102</v>
      </c>
      <c r="D83" s="10" t="s">
        <v>21</v>
      </c>
      <c r="E83" s="36" t="str">
        <f>VLOOKUP(C83,'CONTROLE CONCILIAÇÃO '!A:C,2,FALSE)</f>
        <v>DEPRECIACAO ACUMULADA EQUIP. INFORMATICA</v>
      </c>
      <c r="F83" s="10"/>
      <c r="G83" s="36"/>
      <c r="H83" s="5">
        <v>42767</v>
      </c>
      <c r="I83" s="5">
        <v>42793</v>
      </c>
      <c r="J83" s="50">
        <v>42766</v>
      </c>
      <c r="K83" s="50">
        <v>42766</v>
      </c>
      <c r="L83" s="11" t="str">
        <f t="shared" ca="1" si="0"/>
        <v>Concluída</v>
      </c>
      <c r="M83" s="14" t="str">
        <f t="shared" ca="1" si="1"/>
        <v>n</v>
      </c>
    </row>
    <row r="84" spans="2:13" ht="15.75" x14ac:dyDescent="0.25">
      <c r="B84" s="13">
        <v>74</v>
      </c>
      <c r="C84" s="12">
        <v>131103</v>
      </c>
      <c r="D84" s="10" t="s">
        <v>21</v>
      </c>
      <c r="E84" s="36" t="str">
        <f>VLOOKUP(C84,'CONTROLE CONCILIAÇÃO '!A:C,2,FALSE)</f>
        <v>DEPRECIACAO ACUMULADA MOVEIS/UTENSILIOS</v>
      </c>
      <c r="F84" s="10"/>
      <c r="G84" s="36"/>
      <c r="H84" s="5">
        <v>42767</v>
      </c>
      <c r="I84" s="5">
        <v>42793</v>
      </c>
      <c r="J84" s="50">
        <v>42766</v>
      </c>
      <c r="K84" s="50">
        <v>42766</v>
      </c>
      <c r="L84" s="11" t="str">
        <f t="shared" ca="1" si="0"/>
        <v>Concluída</v>
      </c>
      <c r="M84" s="14" t="str">
        <f t="shared" ca="1" si="1"/>
        <v>n</v>
      </c>
    </row>
    <row r="85" spans="2:13" ht="15.75" x14ac:dyDescent="0.25">
      <c r="B85" s="13">
        <v>75</v>
      </c>
      <c r="C85" s="12">
        <v>131104</v>
      </c>
      <c r="D85" s="10" t="s">
        <v>21</v>
      </c>
      <c r="E85" s="36" t="str">
        <f>VLOOKUP(C85,'CONTROLE CONCILIAÇÃO '!A:C,2,FALSE)</f>
        <v>DEPRECIACAO ACUMULADA EQUIP.INSTAL.OPER.</v>
      </c>
      <c r="F85" s="10"/>
      <c r="G85" s="36"/>
      <c r="H85" s="5">
        <v>42767</v>
      </c>
      <c r="I85" s="5">
        <v>42793</v>
      </c>
      <c r="J85" s="50">
        <v>42766</v>
      </c>
      <c r="K85" s="50">
        <v>42766</v>
      </c>
      <c r="L85" s="11" t="str">
        <f t="shared" ca="1" si="0"/>
        <v>Concluída</v>
      </c>
      <c r="M85" s="14" t="str">
        <f t="shared" ca="1" si="1"/>
        <v>n</v>
      </c>
    </row>
    <row r="86" spans="2:13" ht="15.75" x14ac:dyDescent="0.25">
      <c r="B86" s="13">
        <v>76</v>
      </c>
      <c r="C86" s="12">
        <v>131105</v>
      </c>
      <c r="D86" s="10" t="s">
        <v>21</v>
      </c>
      <c r="E86" s="36" t="str">
        <f>VLOOKUP(C86,'CONTROLE CONCILIAÇÃO '!A:C,2,FALSE)</f>
        <v>DEPRECIACAO ACUMULADA INSTALACOES</v>
      </c>
      <c r="F86" s="10"/>
      <c r="G86" s="36"/>
      <c r="H86" s="5">
        <v>42767</v>
      </c>
      <c r="I86" s="5">
        <v>42793</v>
      </c>
      <c r="J86" s="50">
        <v>42766</v>
      </c>
      <c r="K86" s="50">
        <v>42766</v>
      </c>
      <c r="L86" s="11" t="str">
        <f t="shared" ref="L86:L93" ca="1" si="2">IF(H86="","",IF(K86&lt;&gt;"","Concluída",IF(TODAY()&gt;I86,"Atrasada",IF(J86&lt;&gt;"","Em andamento",IF(AND(J86="",TODAY()&gt;H86),"Atrasada","A iniciar")))))</f>
        <v>Concluída</v>
      </c>
      <c r="M86" s="14" t="str">
        <f t="shared" ref="M86:M93" ca="1" si="3">IF(L86&lt;&gt;"","n","")</f>
        <v>n</v>
      </c>
    </row>
    <row r="87" spans="2:13" ht="15.75" x14ac:dyDescent="0.25">
      <c r="B87" s="13">
        <v>77</v>
      </c>
      <c r="C87" s="12">
        <v>131106</v>
      </c>
      <c r="D87" s="10" t="s">
        <v>21</v>
      </c>
      <c r="E87" s="36" t="str">
        <f>VLOOKUP(C87,'CONTROLE CONCILIAÇÃO '!A:C,2,FALSE)</f>
        <v>DEPRECIACAO ACUMUL. DIREITO USO SOFTWARE</v>
      </c>
      <c r="F87" s="10"/>
      <c r="G87" s="36"/>
      <c r="H87" s="5">
        <v>42767</v>
      </c>
      <c r="I87" s="5">
        <v>42793</v>
      </c>
      <c r="J87" s="50">
        <v>42766</v>
      </c>
      <c r="K87" s="50">
        <v>42766</v>
      </c>
      <c r="L87" s="11" t="str">
        <f t="shared" ca="1" si="2"/>
        <v>Concluída</v>
      </c>
      <c r="M87" s="14" t="str">
        <f t="shared" ca="1" si="3"/>
        <v>n</v>
      </c>
    </row>
    <row r="88" spans="2:13" ht="15.75" x14ac:dyDescent="0.25">
      <c r="B88" s="13">
        <v>78</v>
      </c>
      <c r="C88" s="12">
        <v>131107</v>
      </c>
      <c r="D88" s="10" t="s">
        <v>21</v>
      </c>
      <c r="E88" s="36" t="str">
        <f>VLOOKUP(C88,'CONTROLE CONCILIAÇÃO '!A:C,2,FALSE)</f>
        <v>DEPRECIACAO ACUMULADA VEIC.RTT LEASING</v>
      </c>
      <c r="F88" s="10"/>
      <c r="G88" s="36"/>
      <c r="H88" s="5">
        <v>42767</v>
      </c>
      <c r="I88" s="5">
        <v>42793</v>
      </c>
      <c r="J88" s="50">
        <v>42766</v>
      </c>
      <c r="K88" s="50">
        <v>42766</v>
      </c>
      <c r="L88" s="11" t="str">
        <f t="shared" ca="1" si="2"/>
        <v>Concluída</v>
      </c>
      <c r="M88" s="14" t="str">
        <f t="shared" ca="1" si="3"/>
        <v>n</v>
      </c>
    </row>
    <row r="89" spans="2:13" ht="15.75" x14ac:dyDescent="0.25">
      <c r="B89" s="13">
        <v>79</v>
      </c>
      <c r="C89" s="12">
        <v>131108</v>
      </c>
      <c r="D89" s="10" t="s">
        <v>21</v>
      </c>
      <c r="E89" s="36" t="str">
        <f>VLOOKUP(C89,'CONTROLE CONCILIAÇÃO '!A:C,2,FALSE)</f>
        <v>DEPRECIACAO ACUMULADA EQ.INF.RTT LEASING</v>
      </c>
      <c r="F89" s="10"/>
      <c r="G89" s="36"/>
      <c r="H89" s="5">
        <v>42767</v>
      </c>
      <c r="I89" s="5">
        <v>42793</v>
      </c>
      <c r="J89" s="50">
        <v>42766</v>
      </c>
      <c r="K89" s="50">
        <v>42766</v>
      </c>
      <c r="L89" s="11" t="str">
        <f t="shared" ca="1" si="2"/>
        <v>Concluída</v>
      </c>
      <c r="M89" s="14" t="str">
        <f t="shared" ca="1" si="3"/>
        <v>n</v>
      </c>
    </row>
    <row r="90" spans="2:13" ht="15.75" x14ac:dyDescent="0.25">
      <c r="B90" s="13">
        <v>80</v>
      </c>
      <c r="C90" s="12">
        <v>131110</v>
      </c>
      <c r="D90" s="10" t="s">
        <v>21</v>
      </c>
      <c r="E90" s="36" t="str">
        <f>VLOOKUP(C90,'CONTROLE CONCILIAÇÃO '!A:C,2,FALSE)</f>
        <v>DEPRECIACAO AC.EQ.INST.OPER.RTT LEASING</v>
      </c>
      <c r="F90" s="10"/>
      <c r="G90" s="36"/>
      <c r="H90" s="5">
        <v>42767</v>
      </c>
      <c r="I90" s="5">
        <v>42793</v>
      </c>
      <c r="J90" s="50">
        <v>42766</v>
      </c>
      <c r="K90" s="50">
        <v>42766</v>
      </c>
      <c r="L90" s="11" t="str">
        <f t="shared" ca="1" si="2"/>
        <v>Concluída</v>
      </c>
      <c r="M90" s="14" t="str">
        <f t="shared" ca="1" si="3"/>
        <v>n</v>
      </c>
    </row>
    <row r="91" spans="2:13" ht="15.75" x14ac:dyDescent="0.25">
      <c r="B91" s="13">
        <v>81</v>
      </c>
      <c r="C91" s="12">
        <v>131112</v>
      </c>
      <c r="D91" s="10" t="s">
        <v>21</v>
      </c>
      <c r="E91" s="36" t="str">
        <f>VLOOKUP(C91,'CONTROLE CONCILIAÇÃO '!A:C,2,FALSE)</f>
        <v>DEPR..ACUM.DIREITO USO SOFTWARE RTT LEAS</v>
      </c>
      <c r="F91" s="10"/>
      <c r="G91" s="36"/>
      <c r="H91" s="5">
        <v>42767</v>
      </c>
      <c r="I91" s="5">
        <v>42793</v>
      </c>
      <c r="J91" s="50">
        <v>42766</v>
      </c>
      <c r="K91" s="50">
        <v>42766</v>
      </c>
      <c r="L91" s="11" t="str">
        <f t="shared" ca="1" si="2"/>
        <v>Concluída</v>
      </c>
      <c r="M91" s="14" t="str">
        <f t="shared" ca="1" si="3"/>
        <v>n</v>
      </c>
    </row>
    <row r="92" spans="2:13" ht="15.75" x14ac:dyDescent="0.25">
      <c r="B92" s="13">
        <v>82</v>
      </c>
      <c r="C92" s="12">
        <v>131113</v>
      </c>
      <c r="D92" s="10" t="s">
        <v>21</v>
      </c>
      <c r="E92" s="36" t="str">
        <f>VLOOKUP(C92,'CONTROLE CONCILIAÇÃO '!A:C,2,FALSE)</f>
        <v>DEPRECIACAO ACUMULADA VEICULOS 8704</v>
      </c>
      <c r="F92" s="10"/>
      <c r="G92" s="36"/>
      <c r="H92" s="5">
        <v>42767</v>
      </c>
      <c r="I92" s="5">
        <v>42793</v>
      </c>
      <c r="J92" s="50">
        <v>42766</v>
      </c>
      <c r="K92" s="50">
        <v>42766</v>
      </c>
      <c r="L92" s="11" t="str">
        <f t="shared" ca="1" si="2"/>
        <v>Concluída</v>
      </c>
      <c r="M92" s="14" t="str">
        <f t="shared" ca="1" si="3"/>
        <v>n</v>
      </c>
    </row>
    <row r="93" spans="2:13" ht="15.75" x14ac:dyDescent="0.25">
      <c r="B93" s="13">
        <v>83</v>
      </c>
      <c r="C93" s="12">
        <v>131201</v>
      </c>
      <c r="D93" s="10" t="s">
        <v>21</v>
      </c>
      <c r="E93" s="36" t="str">
        <f>VLOOKUP(C93,'CONTROLE CONCILIAÇÃO '!A:C,2,FALSE)</f>
        <v>MARCAS E PATENTES</v>
      </c>
      <c r="F93" s="10"/>
      <c r="G93" s="36"/>
      <c r="H93" s="5">
        <v>42767</v>
      </c>
      <c r="I93" s="5">
        <v>42793</v>
      </c>
      <c r="J93" s="50">
        <v>42766</v>
      </c>
      <c r="K93" s="50">
        <v>42766</v>
      </c>
      <c r="L93" s="11" t="str">
        <f t="shared" ca="1" si="2"/>
        <v>Concluída</v>
      </c>
      <c r="M93" s="14" t="str">
        <f t="shared" ca="1" si="3"/>
        <v>n</v>
      </c>
    </row>
    <row r="94" spans="2:13" ht="15.75" x14ac:dyDescent="0.25">
      <c r="B94" s="13">
        <v>84</v>
      </c>
      <c r="C94" s="12">
        <v>131202</v>
      </c>
      <c r="D94" s="10" t="s">
        <v>21</v>
      </c>
      <c r="E94" s="36" t="str">
        <f>VLOOKUP(C94,'CONTROLE CONCILIAÇÃO '!A:C,2,FALSE)</f>
        <v>MARCAS E PATENTES DIF IPC</v>
      </c>
      <c r="F94" s="10"/>
      <c r="G94" s="36"/>
      <c r="H94" s="5">
        <v>42767</v>
      </c>
      <c r="I94" s="5">
        <v>42793</v>
      </c>
      <c r="J94" s="50">
        <v>42766</v>
      </c>
      <c r="K94" s="50">
        <v>42766</v>
      </c>
      <c r="L94" s="11" t="str">
        <f t="shared" ref="L94:L164" ca="1" si="4">IF(H94="","",IF(K94&lt;&gt;"","Concluída",IF(TODAY()&gt;I94,"Atrasada",IF(J94&lt;&gt;"","Em andamento",IF(AND(J94="",TODAY()&gt;H94),"Atrasada","A iniciar")))))</f>
        <v>Concluída</v>
      </c>
      <c r="M94" s="14" t="str">
        <f t="shared" ref="M94:M164" ca="1" si="5">IF(L94&lt;&gt;"","n","")</f>
        <v>n</v>
      </c>
    </row>
    <row r="95" spans="2:13" ht="15.75" x14ac:dyDescent="0.25">
      <c r="B95" s="13">
        <v>85</v>
      </c>
      <c r="C95" s="12">
        <v>132101</v>
      </c>
      <c r="D95" s="10" t="s">
        <v>21</v>
      </c>
      <c r="E95" s="36" t="str">
        <f>VLOOKUP(C95,'CONTROLE CONCILIAÇÃO '!A:C,2,FALSE)</f>
        <v>BENFEITORIAS EM BENS DE TERCEIROS</v>
      </c>
      <c r="F95" s="10"/>
      <c r="G95" s="36"/>
      <c r="H95" s="5">
        <v>42767</v>
      </c>
      <c r="I95" s="5">
        <v>42793</v>
      </c>
      <c r="J95" s="50">
        <v>42766</v>
      </c>
      <c r="K95" s="50">
        <v>42766</v>
      </c>
      <c r="L95" s="11" t="str">
        <f t="shared" ca="1" si="4"/>
        <v>Concluída</v>
      </c>
      <c r="M95" s="14" t="str">
        <f t="shared" ca="1" si="5"/>
        <v>n</v>
      </c>
    </row>
    <row r="96" spans="2:13" ht="15.75" x14ac:dyDescent="0.25">
      <c r="B96" s="13">
        <v>86</v>
      </c>
      <c r="C96" s="12">
        <v>132201</v>
      </c>
      <c r="D96" s="10" t="s">
        <v>21</v>
      </c>
      <c r="E96" s="36" t="str">
        <f>VLOOKUP(C96,'CONTROLE CONCILIAÇÃO '!A:C,2,FALSE)</f>
        <v>AMORTIZACAO ACUMULADA</v>
      </c>
      <c r="F96" s="10"/>
      <c r="G96" s="36"/>
      <c r="H96" s="5">
        <v>42767</v>
      </c>
      <c r="I96" s="5">
        <v>42793</v>
      </c>
      <c r="J96" s="50">
        <v>42766</v>
      </c>
      <c r="K96" s="50">
        <v>42766</v>
      </c>
      <c r="L96" s="11" t="str">
        <f t="shared" ca="1" si="4"/>
        <v>Concluída</v>
      </c>
      <c r="M96" s="14" t="str">
        <f t="shared" ca="1" si="5"/>
        <v>n</v>
      </c>
    </row>
    <row r="97" spans="2:13" ht="15.75" x14ac:dyDescent="0.25">
      <c r="B97" s="13">
        <v>87</v>
      </c>
      <c r="C97" s="12">
        <v>132301</v>
      </c>
      <c r="D97" s="10" t="s">
        <v>21</v>
      </c>
      <c r="E97" s="36" t="str">
        <f>VLOOKUP(C97,'CONTROLE CONCILIAÇÃO '!A:C,2,FALSE)</f>
        <v>IMOBILIZADO EM ANDAMENTO</v>
      </c>
      <c r="F97" s="10"/>
      <c r="G97" s="36"/>
      <c r="H97" s="5">
        <v>42767</v>
      </c>
      <c r="I97" s="5">
        <v>42793</v>
      </c>
      <c r="J97" s="50">
        <v>42766</v>
      </c>
      <c r="K97" s="50">
        <v>42766</v>
      </c>
      <c r="L97" s="11" t="str">
        <f t="shared" ca="1" si="4"/>
        <v>Concluída</v>
      </c>
      <c r="M97" s="14" t="str">
        <f t="shared" ca="1" si="5"/>
        <v>n</v>
      </c>
    </row>
    <row r="98" spans="2:13" ht="15.75" x14ac:dyDescent="0.25">
      <c r="B98" s="13">
        <v>88</v>
      </c>
      <c r="C98" s="12">
        <v>200001</v>
      </c>
      <c r="D98" s="10" t="s">
        <v>21</v>
      </c>
      <c r="E98" s="36" t="str">
        <f>VLOOKUP(C98,'CONTROLE CONCILIAÇÃO '!A:C,2,FALSE)</f>
        <v>FORNECEDORES</v>
      </c>
      <c r="F98" s="10"/>
      <c r="G98" s="36"/>
      <c r="H98" s="5">
        <v>42767</v>
      </c>
      <c r="I98" s="5">
        <v>42793</v>
      </c>
      <c r="J98" s="50"/>
      <c r="K98" s="50"/>
      <c r="L98" s="11" t="str">
        <f t="shared" ca="1" si="4"/>
        <v>Atrasada</v>
      </c>
      <c r="M98" s="14" t="str">
        <f t="shared" ca="1" si="5"/>
        <v>n</v>
      </c>
    </row>
    <row r="99" spans="2:13" ht="15.75" x14ac:dyDescent="0.25">
      <c r="B99" s="13">
        <v>89</v>
      </c>
      <c r="C99" s="12">
        <v>200002</v>
      </c>
      <c r="D99" s="10" t="s">
        <v>21</v>
      </c>
      <c r="E99" s="36" t="str">
        <f>VLOOKUP(C99,'CONTROLE CONCILIAÇÃO '!A:C,2,FALSE)</f>
        <v>ALUGUEL</v>
      </c>
      <c r="F99" s="10"/>
      <c r="G99" s="36"/>
      <c r="H99" s="5">
        <v>42767</v>
      </c>
      <c r="I99" s="5">
        <v>42793</v>
      </c>
      <c r="J99" s="50"/>
      <c r="K99" s="50"/>
      <c r="L99" s="11" t="str">
        <f t="shared" ca="1" si="4"/>
        <v>Atrasada</v>
      </c>
      <c r="M99" s="14" t="str">
        <f t="shared" ca="1" si="5"/>
        <v>n</v>
      </c>
    </row>
    <row r="100" spans="2:13" ht="15.75" x14ac:dyDescent="0.25">
      <c r="B100" s="13">
        <v>90</v>
      </c>
      <c r="C100" s="12">
        <v>200003</v>
      </c>
      <c r="D100" s="10" t="s">
        <v>21</v>
      </c>
      <c r="E100" s="36" t="str">
        <f>VLOOKUP(C100,'CONTROLE CONCILIAÇÃO '!A:C,2,FALSE)</f>
        <v>SEGUROS A PAGAR</v>
      </c>
      <c r="F100" s="10"/>
      <c r="G100" s="36"/>
      <c r="H100" s="5">
        <v>42767</v>
      </c>
      <c r="I100" s="5">
        <v>42793</v>
      </c>
      <c r="J100" s="50"/>
      <c r="K100" s="50"/>
      <c r="L100" s="11" t="str">
        <f t="shared" ca="1" si="4"/>
        <v>Atrasada</v>
      </c>
      <c r="M100" s="14" t="str">
        <f t="shared" ca="1" si="5"/>
        <v>n</v>
      </c>
    </row>
    <row r="101" spans="2:13" ht="15.75" x14ac:dyDescent="0.25">
      <c r="B101" s="13">
        <v>91</v>
      </c>
      <c r="C101" s="12">
        <v>200004</v>
      </c>
      <c r="D101" s="10" t="s">
        <v>21</v>
      </c>
      <c r="E101" s="36" t="str">
        <f>VLOOKUP(C101,'CONTROLE CONCILIAÇÃO '!A:C,2,FALSE)</f>
        <v>SEGURO DE VIDA A PAGAR</v>
      </c>
      <c r="F101" s="10"/>
      <c r="G101" s="36"/>
      <c r="H101" s="5">
        <v>42767</v>
      </c>
      <c r="I101" s="5">
        <v>42793</v>
      </c>
      <c r="J101" s="50"/>
      <c r="K101" s="50"/>
      <c r="L101" s="11" t="str">
        <f t="shared" ca="1" si="4"/>
        <v>Atrasada</v>
      </c>
      <c r="M101" s="14" t="str">
        <f t="shared" ca="1" si="5"/>
        <v>n</v>
      </c>
    </row>
    <row r="102" spans="2:13" ht="15.75" x14ac:dyDescent="0.25">
      <c r="B102" s="13">
        <v>92</v>
      </c>
      <c r="C102" s="12">
        <v>200006</v>
      </c>
      <c r="D102" s="10" t="s">
        <v>21</v>
      </c>
      <c r="E102" s="36" t="str">
        <f>VLOOKUP(C102,'CONTROLE CONCILIAÇÃO '!A:C,2,FALSE)</f>
        <v>CARRETEIROS EVENTUAIS</v>
      </c>
      <c r="F102" s="10"/>
      <c r="G102" s="36"/>
      <c r="H102" s="5">
        <v>42767</v>
      </c>
      <c r="I102" s="5">
        <v>42793</v>
      </c>
      <c r="J102" s="50"/>
      <c r="K102" s="50"/>
      <c r="L102" s="11" t="str">
        <f t="shared" ca="1" si="4"/>
        <v>Atrasada</v>
      </c>
      <c r="M102" s="14" t="str">
        <f t="shared" ca="1" si="5"/>
        <v>n</v>
      </c>
    </row>
    <row r="103" spans="2:13" ht="15.75" x14ac:dyDescent="0.25">
      <c r="B103" s="13">
        <v>93</v>
      </c>
      <c r="C103" s="12">
        <v>200007</v>
      </c>
      <c r="D103" s="10" t="s">
        <v>21</v>
      </c>
      <c r="E103" s="36" t="str">
        <f>VLOOKUP(C103,'CONTROLE CONCILIAÇÃO '!A:C,2,FALSE)</f>
        <v>CARRETEIROS AGREGADOS</v>
      </c>
      <c r="F103" s="10"/>
      <c r="G103" s="36"/>
      <c r="H103" s="5">
        <v>42767</v>
      </c>
      <c r="I103" s="5">
        <v>42793</v>
      </c>
      <c r="J103" s="50">
        <v>42766</v>
      </c>
      <c r="K103" s="50">
        <v>42766</v>
      </c>
      <c r="L103" s="11" t="str">
        <f t="shared" ca="1" si="4"/>
        <v>Concluída</v>
      </c>
      <c r="M103" s="14" t="str">
        <f t="shared" ca="1" si="5"/>
        <v>n</v>
      </c>
    </row>
    <row r="104" spans="2:13" ht="15.75" x14ac:dyDescent="0.25">
      <c r="B104" s="13">
        <v>94</v>
      </c>
      <c r="C104" s="12">
        <v>200008</v>
      </c>
      <c r="D104" s="10" t="s">
        <v>21</v>
      </c>
      <c r="E104" s="36" t="str">
        <f>VLOOKUP(C104,'CONTROLE CONCILIAÇÃO '!A:C,2,FALSE)</f>
        <v>SUBCONTRATADOS A  PAGAR</v>
      </c>
      <c r="F104" s="10"/>
      <c r="G104" s="36"/>
      <c r="H104" s="5">
        <v>42767</v>
      </c>
      <c r="I104" s="5">
        <v>42793</v>
      </c>
      <c r="J104" s="50"/>
      <c r="K104" s="50"/>
      <c r="L104" s="11" t="str">
        <f t="shared" ca="1" si="4"/>
        <v>Atrasada</v>
      </c>
      <c r="M104" s="14" t="str">
        <f t="shared" ca="1" si="5"/>
        <v>n</v>
      </c>
    </row>
    <row r="105" spans="2:13" ht="15.75" x14ac:dyDescent="0.25">
      <c r="B105" s="13">
        <v>95</v>
      </c>
      <c r="C105" s="12">
        <v>200009</v>
      </c>
      <c r="D105" s="10" t="s">
        <v>21</v>
      </c>
      <c r="E105" s="36" t="str">
        <f>VLOOKUP(C105,'CONTROLE CONCILIAÇÃO '!A:C,2,FALSE)</f>
        <v>INDENIZACOES COM COBRANCA DE SEGUROS</v>
      </c>
      <c r="F105" s="10"/>
      <c r="G105" s="36"/>
      <c r="H105" s="5">
        <v>42767</v>
      </c>
      <c r="I105" s="5">
        <v>42793</v>
      </c>
      <c r="J105" s="50"/>
      <c r="K105" s="50"/>
      <c r="L105" s="11" t="str">
        <f t="shared" ca="1" si="4"/>
        <v>Atrasada</v>
      </c>
      <c r="M105" s="14" t="str">
        <f t="shared" ca="1" si="5"/>
        <v>n</v>
      </c>
    </row>
    <row r="106" spans="2:13" ht="15.75" x14ac:dyDescent="0.25">
      <c r="B106" s="13">
        <v>96</v>
      </c>
      <c r="C106" s="12">
        <v>200010</v>
      </c>
      <c r="D106" s="10" t="s">
        <v>21</v>
      </c>
      <c r="E106" s="36" t="str">
        <f>VLOOKUP(C106,'CONTROLE CONCILIAÇÃO '!A:C,2,FALSE)</f>
        <v>DPVAT SEGURO OBRIGATORIO</v>
      </c>
      <c r="F106" s="10"/>
      <c r="G106" s="36"/>
      <c r="H106" s="5">
        <v>42767</v>
      </c>
      <c r="I106" s="5">
        <v>42793</v>
      </c>
      <c r="J106" s="50"/>
      <c r="K106" s="50"/>
      <c r="L106" s="11" t="str">
        <f t="shared" ca="1" si="4"/>
        <v>Atrasada</v>
      </c>
      <c r="M106" s="14" t="str">
        <f t="shared" ca="1" si="5"/>
        <v>n</v>
      </c>
    </row>
    <row r="107" spans="2:13" ht="15.75" x14ac:dyDescent="0.25">
      <c r="B107" s="13">
        <v>97</v>
      </c>
      <c r="C107" s="12">
        <v>200011</v>
      </c>
      <c r="D107" s="10" t="s">
        <v>21</v>
      </c>
      <c r="E107" s="36" t="str">
        <f>VLOOKUP(C107,'CONTROLE CONCILIAÇÃO '!A:C,2,FALSE)</f>
        <v>ACORDO TRABALHISTA</v>
      </c>
      <c r="F107" s="10"/>
      <c r="G107" s="36"/>
      <c r="H107" s="5">
        <v>42767</v>
      </c>
      <c r="I107" s="5">
        <v>42793</v>
      </c>
      <c r="J107" s="50"/>
      <c r="K107" s="50"/>
      <c r="L107" s="11" t="str">
        <f t="shared" ca="1" si="4"/>
        <v>Atrasada</v>
      </c>
      <c r="M107" s="14" t="str">
        <f t="shared" ca="1" si="5"/>
        <v>n</v>
      </c>
    </row>
    <row r="108" spans="2:13" ht="15.75" x14ac:dyDescent="0.25">
      <c r="B108" s="13">
        <v>98</v>
      </c>
      <c r="C108" s="12">
        <v>200012</v>
      </c>
      <c r="D108" s="10" t="s">
        <v>21</v>
      </c>
      <c r="E108" s="36" t="str">
        <f>VLOOKUP(C108,'CONTROLE CONCILIAÇÃO '!A:C,2,FALSE)</f>
        <v>CONTAS A PAGAR DIVERSAS</v>
      </c>
      <c r="F108" s="10"/>
      <c r="G108" s="36"/>
      <c r="H108" s="5">
        <v>42767</v>
      </c>
      <c r="I108" s="5">
        <v>42793</v>
      </c>
      <c r="J108" s="50"/>
      <c r="K108" s="50"/>
      <c r="L108" s="11" t="str">
        <f t="shared" ca="1" si="4"/>
        <v>Atrasada</v>
      </c>
      <c r="M108" s="14" t="str">
        <f t="shared" ca="1" si="5"/>
        <v>n</v>
      </c>
    </row>
    <row r="109" spans="2:13" ht="15.75" x14ac:dyDescent="0.25">
      <c r="B109" s="13">
        <v>99</v>
      </c>
      <c r="C109" s="12">
        <v>200013</v>
      </c>
      <c r="D109" s="10" t="s">
        <v>21</v>
      </c>
      <c r="E109" s="36" t="str">
        <f>VLOOKUP(C109,'CONTROLE CONCILIAÇÃO '!A:C,2,FALSE)</f>
        <v>CONTROLADA</v>
      </c>
      <c r="F109" s="10"/>
      <c r="G109" s="36"/>
      <c r="H109" s="5">
        <v>42767</v>
      </c>
      <c r="I109" s="5">
        <v>42793</v>
      </c>
      <c r="J109" s="50"/>
      <c r="K109" s="50"/>
      <c r="L109" s="11" t="str">
        <f t="shared" ca="1" si="4"/>
        <v>Atrasada</v>
      </c>
      <c r="M109" s="14" t="str">
        <f t="shared" ca="1" si="5"/>
        <v>n</v>
      </c>
    </row>
    <row r="110" spans="2:13" ht="15.75" x14ac:dyDescent="0.25">
      <c r="B110" s="13">
        <v>104</v>
      </c>
      <c r="C110" s="12">
        <v>200020</v>
      </c>
      <c r="D110" s="10" t="s">
        <v>21</v>
      </c>
      <c r="E110" s="36" t="str">
        <f>VLOOKUP(C110,'CONTROLE CONCILIAÇÃO '!A:C,2,FALSE)</f>
        <v>TRANSPORTES AEREOS</v>
      </c>
      <c r="F110" s="10"/>
      <c r="G110" s="36"/>
      <c r="H110" s="5">
        <v>42767</v>
      </c>
      <c r="I110" s="5">
        <v>42793</v>
      </c>
      <c r="J110" s="50"/>
      <c r="K110" s="50"/>
      <c r="L110" s="11" t="str">
        <f t="shared" ca="1" si="4"/>
        <v>Atrasada</v>
      </c>
      <c r="M110" s="14" t="str">
        <f t="shared" ca="1" si="5"/>
        <v>n</v>
      </c>
    </row>
    <row r="111" spans="2:13" ht="15.75" x14ac:dyDescent="0.25">
      <c r="B111" s="13">
        <v>105</v>
      </c>
      <c r="C111" s="12">
        <v>201101</v>
      </c>
      <c r="D111" s="10" t="s">
        <v>21</v>
      </c>
      <c r="E111" s="36" t="str">
        <f>VLOOKUP(C111,'CONTROLE CONCILIAÇÃO '!A:C,2,FALSE)</f>
        <v>SALARIOS E ORDENADOS A PAGAR</v>
      </c>
      <c r="F111" s="10"/>
      <c r="G111" s="36"/>
      <c r="H111" s="5">
        <v>42767</v>
      </c>
      <c r="I111" s="5">
        <v>42793</v>
      </c>
      <c r="J111" s="50"/>
      <c r="K111" s="50"/>
      <c r="L111" s="11" t="str">
        <f t="shared" ca="1" si="4"/>
        <v>Atrasada</v>
      </c>
      <c r="M111" s="14" t="str">
        <f t="shared" ca="1" si="5"/>
        <v>n</v>
      </c>
    </row>
    <row r="112" spans="2:13" ht="15.75" x14ac:dyDescent="0.25">
      <c r="B112" s="13">
        <v>106</v>
      </c>
      <c r="C112" s="12">
        <v>201103</v>
      </c>
      <c r="D112" s="10" t="s">
        <v>21</v>
      </c>
      <c r="E112" s="36" t="str">
        <f>VLOOKUP(C112,'CONTROLE CONCILIAÇÃO '!A:C,2,FALSE)</f>
        <v>PENSAO ALIMENTICIA</v>
      </c>
      <c r="F112" s="10"/>
      <c r="G112" s="36"/>
      <c r="H112" s="5">
        <v>42767</v>
      </c>
      <c r="I112" s="5">
        <v>42793</v>
      </c>
      <c r="J112" s="50"/>
      <c r="K112" s="50"/>
      <c r="L112" s="11" t="str">
        <f t="shared" ca="1" si="4"/>
        <v>Atrasada</v>
      </c>
      <c r="M112" s="14" t="str">
        <f t="shared" ca="1" si="5"/>
        <v>n</v>
      </c>
    </row>
    <row r="113" spans="2:13" ht="15.75" x14ac:dyDescent="0.25">
      <c r="B113" s="13">
        <v>107</v>
      </c>
      <c r="C113" s="12">
        <v>201104</v>
      </c>
      <c r="D113" s="10" t="s">
        <v>21</v>
      </c>
      <c r="E113" s="36" t="str">
        <f>VLOOKUP(C113,'CONTROLE CONCILIAÇÃO '!A:C,2,FALSE)</f>
        <v>CONVENIO FARMACIA</v>
      </c>
      <c r="F113" s="10"/>
      <c r="G113" s="36"/>
      <c r="H113" s="5">
        <v>42767</v>
      </c>
      <c r="I113" s="5">
        <v>42793</v>
      </c>
      <c r="J113" s="50"/>
      <c r="K113" s="50"/>
      <c r="L113" s="11" t="str">
        <f t="shared" ca="1" si="4"/>
        <v>Atrasada</v>
      </c>
      <c r="M113" s="14" t="str">
        <f t="shared" ca="1" si="5"/>
        <v>n</v>
      </c>
    </row>
    <row r="114" spans="2:13" ht="15.75" x14ac:dyDescent="0.25">
      <c r="B114" s="13">
        <v>108</v>
      </c>
      <c r="C114" s="12">
        <v>201105</v>
      </c>
      <c r="D114" s="10" t="s">
        <v>21</v>
      </c>
      <c r="E114" s="36" t="str">
        <f>VLOOKUP(C114,'CONTROLE CONCILIAÇÃO '!A:C,2,FALSE)</f>
        <v>CONTRIBUICAO SINDICAL ASSISTENCIAL</v>
      </c>
      <c r="F114" s="10"/>
      <c r="G114" s="36"/>
      <c r="H114" s="5">
        <v>42767</v>
      </c>
      <c r="I114" s="5">
        <v>42793</v>
      </c>
      <c r="J114" s="50"/>
      <c r="K114" s="50"/>
      <c r="L114" s="11" t="str">
        <f t="shared" ca="1" si="4"/>
        <v>Atrasada</v>
      </c>
      <c r="M114" s="14" t="str">
        <f t="shared" ca="1" si="5"/>
        <v>n</v>
      </c>
    </row>
    <row r="115" spans="2:13" ht="15.75" x14ac:dyDescent="0.25">
      <c r="B115" s="13">
        <v>109</v>
      </c>
      <c r="C115" s="12">
        <v>201106</v>
      </c>
      <c r="D115" s="10" t="s">
        <v>21</v>
      </c>
      <c r="E115" s="36" t="str">
        <f>VLOOKUP(C115,'CONTROLE CONCILIAÇÃO '!A:C,2,FALSE)</f>
        <v>EMPRESTIMOS DECRETO 4840</v>
      </c>
      <c r="F115" s="10"/>
      <c r="G115" s="36"/>
      <c r="H115" s="5">
        <v>42767</v>
      </c>
      <c r="I115" s="5">
        <v>42793</v>
      </c>
      <c r="J115" s="50"/>
      <c r="K115" s="50"/>
      <c r="L115" s="11" t="str">
        <f t="shared" ca="1" si="4"/>
        <v>Atrasada</v>
      </c>
      <c r="M115" s="14" t="str">
        <f t="shared" ca="1" si="5"/>
        <v>n</v>
      </c>
    </row>
    <row r="116" spans="2:13" ht="15.75" x14ac:dyDescent="0.25">
      <c r="B116" s="13">
        <v>110</v>
      </c>
      <c r="C116" s="12">
        <v>201107</v>
      </c>
      <c r="D116" s="10" t="s">
        <v>21</v>
      </c>
      <c r="E116" s="36" t="str">
        <f>VLOOKUP(C116,'CONTROLE CONCILIAÇÃO '!A:C,2,FALSE)</f>
        <v>PAGAMENTO OFICIO 497/09</v>
      </c>
      <c r="F116" s="10"/>
      <c r="G116" s="36"/>
      <c r="H116" s="5">
        <v>42767</v>
      </c>
      <c r="I116" s="5">
        <v>42793</v>
      </c>
      <c r="J116" s="50"/>
      <c r="K116" s="50"/>
      <c r="L116" s="11" t="str">
        <f t="shared" ca="1" si="4"/>
        <v>Atrasada</v>
      </c>
      <c r="M116" s="14" t="str">
        <f t="shared" ca="1" si="5"/>
        <v>n</v>
      </c>
    </row>
    <row r="117" spans="2:13" ht="15.75" x14ac:dyDescent="0.25">
      <c r="B117" s="13">
        <v>111</v>
      </c>
      <c r="C117" s="12">
        <v>201108</v>
      </c>
      <c r="D117" s="10" t="s">
        <v>21</v>
      </c>
      <c r="E117" s="36" t="str">
        <f>VLOOKUP(C117,'CONTROLE CONCILIAÇÃO '!A:C,2,FALSE)</f>
        <v>INSS FOLHA</v>
      </c>
      <c r="F117" s="10"/>
      <c r="G117" s="36"/>
      <c r="H117" s="5">
        <v>42767</v>
      </c>
      <c r="I117" s="5">
        <v>42793</v>
      </c>
      <c r="J117" s="50"/>
      <c r="K117" s="50"/>
      <c r="L117" s="11" t="str">
        <f t="shared" ca="1" si="4"/>
        <v>Atrasada</v>
      </c>
      <c r="M117" s="14" t="str">
        <f t="shared" ca="1" si="5"/>
        <v>n</v>
      </c>
    </row>
    <row r="118" spans="2:13" ht="15.75" x14ac:dyDescent="0.25">
      <c r="B118" s="13">
        <v>112</v>
      </c>
      <c r="C118" s="12">
        <v>201109</v>
      </c>
      <c r="D118" s="10" t="s">
        <v>21</v>
      </c>
      <c r="E118" s="36" t="str">
        <f>VLOOKUP(C118,'CONTROLE CONCILIAÇÃO '!A:C,2,FALSE)</f>
        <v>FGTS A RECOLHER</v>
      </c>
      <c r="F118" s="10"/>
      <c r="G118" s="36"/>
      <c r="H118" s="5">
        <v>42767</v>
      </c>
      <c r="I118" s="5">
        <v>42793</v>
      </c>
      <c r="J118" s="50"/>
      <c r="K118" s="50"/>
      <c r="L118" s="11" t="str">
        <f t="shared" ca="1" si="4"/>
        <v>Atrasada</v>
      </c>
      <c r="M118" s="14" t="str">
        <f t="shared" ca="1" si="5"/>
        <v>n</v>
      </c>
    </row>
    <row r="119" spans="2:13" ht="15.75" x14ac:dyDescent="0.25">
      <c r="B119" s="13">
        <v>113</v>
      </c>
      <c r="C119" s="12">
        <v>201111</v>
      </c>
      <c r="D119" s="10" t="s">
        <v>21</v>
      </c>
      <c r="E119" s="36" t="str">
        <f>VLOOKUP(C119,'CONTROLE CONCILIAÇÃO '!A:C,2,FALSE)</f>
        <v>CSLL DIFERIDA</v>
      </c>
      <c r="F119" s="10"/>
      <c r="G119" s="36"/>
      <c r="H119" s="5">
        <v>42767</v>
      </c>
      <c r="I119" s="5">
        <v>42793</v>
      </c>
      <c r="J119" s="50"/>
      <c r="K119" s="50"/>
      <c r="L119" s="11" t="str">
        <f t="shared" ca="1" si="4"/>
        <v>Atrasada</v>
      </c>
      <c r="M119" s="14" t="str">
        <f t="shared" ca="1" si="5"/>
        <v>n</v>
      </c>
    </row>
    <row r="120" spans="2:13" ht="15.75" x14ac:dyDescent="0.25">
      <c r="B120" s="13">
        <v>114</v>
      </c>
      <c r="C120" s="12">
        <v>201112</v>
      </c>
      <c r="D120" s="10" t="s">
        <v>21</v>
      </c>
      <c r="E120" s="36" t="str">
        <f>VLOOKUP(C120,'CONTROLE CONCILIAÇÃO '!A:C,2,FALSE)</f>
        <v>INSS PJ</v>
      </c>
      <c r="F120" s="10"/>
      <c r="G120" s="36"/>
      <c r="H120" s="5">
        <v>42767</v>
      </c>
      <c r="I120" s="5">
        <v>42793</v>
      </c>
      <c r="J120" s="50"/>
      <c r="K120" s="50"/>
      <c r="L120" s="11" t="str">
        <f t="shared" ca="1" si="4"/>
        <v>Atrasada</v>
      </c>
      <c r="M120" s="14" t="str">
        <f t="shared" ca="1" si="5"/>
        <v>n</v>
      </c>
    </row>
    <row r="121" spans="2:13" ht="15.75" x14ac:dyDescent="0.25">
      <c r="B121" s="13">
        <v>115</v>
      </c>
      <c r="C121" s="12">
        <v>201113</v>
      </c>
      <c r="D121" s="10" t="s">
        <v>21</v>
      </c>
      <c r="E121" s="36" t="str">
        <f>VLOOKUP(C121,'CONTROLE CONCILIAÇÃO '!A:C,2,FALSE)</f>
        <v>INSS PF</v>
      </c>
      <c r="F121" s="10"/>
      <c r="G121" s="36"/>
      <c r="H121" s="5">
        <v>42767</v>
      </c>
      <c r="I121" s="5">
        <v>42793</v>
      </c>
      <c r="J121" s="50"/>
      <c r="K121" s="50"/>
      <c r="L121" s="11" t="str">
        <f t="shared" ca="1" si="4"/>
        <v>Atrasada</v>
      </c>
      <c r="M121" s="14" t="str">
        <f t="shared" ca="1" si="5"/>
        <v>n</v>
      </c>
    </row>
    <row r="122" spans="2:13" ht="15.75" x14ac:dyDescent="0.25">
      <c r="B122" s="13">
        <v>116</v>
      </c>
      <c r="C122" s="12">
        <v>201114</v>
      </c>
      <c r="D122" s="10" t="s">
        <v>21</v>
      </c>
      <c r="E122" s="36" t="str">
        <f>VLOOKUP(C122,'CONTROLE CONCILIAÇÃO '!A:C,2,FALSE)</f>
        <v>INSS S/RECEITA BRUTA</v>
      </c>
      <c r="F122" s="10"/>
      <c r="G122" s="36"/>
      <c r="H122" s="5">
        <v>42767</v>
      </c>
      <c r="I122" s="5">
        <v>42793</v>
      </c>
      <c r="J122" s="50"/>
      <c r="K122" s="50"/>
      <c r="L122" s="11" t="str">
        <f t="shared" ca="1" si="4"/>
        <v>Atrasada</v>
      </c>
      <c r="M122" s="14" t="str">
        <f t="shared" ca="1" si="5"/>
        <v>n</v>
      </c>
    </row>
    <row r="123" spans="2:13" ht="15.75" x14ac:dyDescent="0.25">
      <c r="B123" s="13">
        <v>117</v>
      </c>
      <c r="C123" s="12">
        <v>202101</v>
      </c>
      <c r="D123" s="10" t="s">
        <v>21</v>
      </c>
      <c r="E123" s="36" t="str">
        <f>VLOOKUP(C123,'CONTROLE CONCILIAÇÃO '!A:C,2,FALSE)</f>
        <v>ICMS A RECOLHER</v>
      </c>
      <c r="F123" s="10"/>
      <c r="G123" s="36"/>
      <c r="H123" s="5">
        <v>42767</v>
      </c>
      <c r="I123" s="5">
        <v>42793</v>
      </c>
      <c r="J123" s="50"/>
      <c r="K123" s="50"/>
      <c r="L123" s="11" t="str">
        <f t="shared" ca="1" si="4"/>
        <v>Atrasada</v>
      </c>
      <c r="M123" s="14" t="str">
        <f t="shared" ca="1" si="5"/>
        <v>n</v>
      </c>
    </row>
    <row r="124" spans="2:13" ht="15.75" x14ac:dyDescent="0.25">
      <c r="B124" s="13">
        <v>118</v>
      </c>
      <c r="C124" s="12">
        <v>202102</v>
      </c>
      <c r="D124" s="10" t="s">
        <v>21</v>
      </c>
      <c r="E124" s="36" t="str">
        <f>VLOOKUP(C124,'CONTROLE CONCILIAÇÃO '!A:C,2,FALSE)</f>
        <v>ISS PROPRIO</v>
      </c>
      <c r="F124" s="10"/>
      <c r="G124" s="36"/>
      <c r="H124" s="5">
        <v>42767</v>
      </c>
      <c r="I124" s="5">
        <v>42793</v>
      </c>
      <c r="J124" s="50"/>
      <c r="K124" s="50"/>
      <c r="L124" s="11" t="str">
        <f t="shared" ca="1" si="4"/>
        <v>Atrasada</v>
      </c>
      <c r="M124" s="14" t="str">
        <f t="shared" ca="1" si="5"/>
        <v>n</v>
      </c>
    </row>
    <row r="125" spans="2:13" ht="15.75" x14ac:dyDescent="0.25">
      <c r="B125" s="13">
        <v>119</v>
      </c>
      <c r="C125" s="12">
        <v>202103</v>
      </c>
      <c r="D125" s="10" t="s">
        <v>21</v>
      </c>
      <c r="E125" s="36" t="str">
        <f>VLOOKUP(C125,'CONTROLE CONCILIAÇÃO '!A:C,2,FALSE)</f>
        <v>PIS A RECOLHER</v>
      </c>
      <c r="F125" s="10"/>
      <c r="G125" s="36"/>
      <c r="H125" s="5">
        <v>42767</v>
      </c>
      <c r="I125" s="5">
        <v>42793</v>
      </c>
      <c r="J125" s="50"/>
      <c r="K125" s="50"/>
      <c r="L125" s="11" t="str">
        <f t="shared" ca="1" si="4"/>
        <v>Atrasada</v>
      </c>
      <c r="M125" s="14" t="str">
        <f t="shared" ca="1" si="5"/>
        <v>n</v>
      </c>
    </row>
    <row r="126" spans="2:13" ht="15.75" x14ac:dyDescent="0.25">
      <c r="B126" s="13">
        <v>120</v>
      </c>
      <c r="C126" s="12">
        <v>202104</v>
      </c>
      <c r="D126" s="10" t="s">
        <v>21</v>
      </c>
      <c r="E126" s="36" t="str">
        <f>VLOOKUP(C126,'CONTROLE CONCILIAÇÃO '!A:C,2,FALSE)</f>
        <v>COFINS A RECOLHER</v>
      </c>
      <c r="F126" s="10"/>
      <c r="G126" s="36"/>
      <c r="H126" s="5">
        <v>42767</v>
      </c>
      <c r="I126" s="5">
        <v>42793</v>
      </c>
      <c r="J126" s="50"/>
      <c r="K126" s="50"/>
      <c r="L126" s="11" t="str">
        <f t="shared" ca="1" si="4"/>
        <v>Atrasada</v>
      </c>
      <c r="M126" s="14" t="str">
        <f t="shared" ca="1" si="5"/>
        <v>n</v>
      </c>
    </row>
    <row r="127" spans="2:13" ht="15.75" x14ac:dyDescent="0.25">
      <c r="B127" s="13">
        <v>121</v>
      </c>
      <c r="C127" s="12">
        <v>202105</v>
      </c>
      <c r="D127" s="10" t="s">
        <v>21</v>
      </c>
      <c r="E127" s="36" t="str">
        <f>VLOOKUP(C127,'CONTROLE CONCILIAÇÃO '!A:C,2,FALSE)</f>
        <v>IRRF RETIDO A RECOLHER FOLHA PAGAMENTO</v>
      </c>
      <c r="F127" s="10"/>
      <c r="G127" s="36"/>
      <c r="H127" s="5">
        <v>42767</v>
      </c>
      <c r="I127" s="5">
        <v>42793</v>
      </c>
      <c r="J127" s="50"/>
      <c r="K127" s="50"/>
      <c r="L127" s="11" t="str">
        <f t="shared" ca="1" si="4"/>
        <v>Atrasada</v>
      </c>
      <c r="M127" s="14" t="str">
        <f t="shared" ca="1" si="5"/>
        <v>n</v>
      </c>
    </row>
    <row r="128" spans="2:13" ht="15.75" x14ac:dyDescent="0.25">
      <c r="B128" s="13">
        <v>122</v>
      </c>
      <c r="C128" s="12">
        <v>202106</v>
      </c>
      <c r="D128" s="10" t="s">
        <v>21</v>
      </c>
      <c r="E128" s="36" t="str">
        <f>VLOOKUP(C128,'CONTROLE CONCILIAÇÃO '!A:C,2,FALSE)</f>
        <v>IRRF RETIDO A RECOLHER PF</v>
      </c>
      <c r="F128" s="10"/>
      <c r="G128" s="36"/>
      <c r="H128" s="5">
        <v>42767</v>
      </c>
      <c r="I128" s="5">
        <v>42793</v>
      </c>
      <c r="J128" s="50"/>
      <c r="K128" s="50"/>
      <c r="L128" s="11" t="str">
        <f t="shared" ca="1" si="4"/>
        <v>Atrasada</v>
      </c>
      <c r="M128" s="14" t="str">
        <f t="shared" ca="1" si="5"/>
        <v>n</v>
      </c>
    </row>
    <row r="129" spans="2:13" ht="15.75" x14ac:dyDescent="0.25">
      <c r="B129" s="13">
        <v>123</v>
      </c>
      <c r="C129" s="12">
        <v>202107</v>
      </c>
      <c r="D129" s="10" t="s">
        <v>21</v>
      </c>
      <c r="E129" s="36" t="str">
        <f>VLOOKUP(C129,'CONTROLE CONCILIAÇÃO '!A:C,2,FALSE)</f>
        <v>IRRF RETIDO A RECOLHER PJ</v>
      </c>
      <c r="F129" s="10"/>
      <c r="G129" s="36"/>
      <c r="H129" s="5">
        <v>42767</v>
      </c>
      <c r="I129" s="5">
        <v>42793</v>
      </c>
      <c r="J129" s="50"/>
      <c r="K129" s="50"/>
      <c r="L129" s="11" t="str">
        <f t="shared" ca="1" si="4"/>
        <v>Atrasada</v>
      </c>
      <c r="M129" s="14" t="str">
        <f t="shared" ca="1" si="5"/>
        <v>n</v>
      </c>
    </row>
    <row r="130" spans="2:13" ht="15.75" x14ac:dyDescent="0.25">
      <c r="B130" s="13">
        <v>124</v>
      </c>
      <c r="C130" s="12">
        <v>202109</v>
      </c>
      <c r="D130" s="10" t="s">
        <v>21</v>
      </c>
      <c r="E130" s="36" t="str">
        <f>VLOOKUP(C130,'CONTROLE CONCILIAÇÃO '!A:C,2,FALSE)</f>
        <v>IRPJ DIFERIDO</v>
      </c>
      <c r="F130" s="10"/>
      <c r="G130" s="36"/>
      <c r="H130" s="5">
        <v>42767</v>
      </c>
      <c r="I130" s="5">
        <v>42793</v>
      </c>
      <c r="J130" s="50"/>
      <c r="K130" s="50"/>
      <c r="L130" s="11" t="str">
        <f t="shared" ca="1" si="4"/>
        <v>Atrasada</v>
      </c>
      <c r="M130" s="14" t="str">
        <f t="shared" ca="1" si="5"/>
        <v>n</v>
      </c>
    </row>
    <row r="131" spans="2:13" ht="15.75" x14ac:dyDescent="0.25">
      <c r="B131" s="13">
        <v>125</v>
      </c>
      <c r="C131" s="12">
        <v>202110</v>
      </c>
      <c r="D131" s="10" t="s">
        <v>21</v>
      </c>
      <c r="E131" s="36" t="str">
        <f>VLOOKUP(C131,'CONTROLE CONCILIAÇÃO '!A:C,2,FALSE)</f>
        <v>IPVA A RECOLHER</v>
      </c>
      <c r="F131" s="10"/>
      <c r="G131" s="36"/>
      <c r="H131" s="5">
        <v>42767</v>
      </c>
      <c r="I131" s="5">
        <v>42793</v>
      </c>
      <c r="J131" s="50"/>
      <c r="K131" s="50"/>
      <c r="L131" s="11" t="str">
        <f t="shared" ca="1" si="4"/>
        <v>Atrasada</v>
      </c>
      <c r="M131" s="14" t="str">
        <f t="shared" ca="1" si="5"/>
        <v>n</v>
      </c>
    </row>
    <row r="132" spans="2:13" ht="15.75" x14ac:dyDescent="0.25">
      <c r="B132" s="13">
        <v>126</v>
      </c>
      <c r="C132" s="12">
        <v>202111</v>
      </c>
      <c r="D132" s="10" t="s">
        <v>21</v>
      </c>
      <c r="E132" s="36" t="str">
        <f>VLOOKUP(C132,'CONTROLE CONCILIAÇÃO '!A:C,2,FALSE)</f>
        <v>IPTU A RECOLHER</v>
      </c>
      <c r="F132" s="10"/>
      <c r="G132" s="36"/>
      <c r="H132" s="5">
        <v>42767</v>
      </c>
      <c r="I132" s="5">
        <v>42793</v>
      </c>
      <c r="J132" s="50"/>
      <c r="K132" s="50"/>
      <c r="L132" s="11" t="str">
        <f t="shared" ca="1" si="4"/>
        <v>Atrasada</v>
      </c>
      <c r="M132" s="14" t="str">
        <f t="shared" ca="1" si="5"/>
        <v>n</v>
      </c>
    </row>
    <row r="133" spans="2:13" ht="15.75" x14ac:dyDescent="0.25">
      <c r="B133" s="13">
        <v>127</v>
      </c>
      <c r="C133" s="12">
        <v>202112</v>
      </c>
      <c r="D133" s="10" t="s">
        <v>21</v>
      </c>
      <c r="E133" s="36" t="str">
        <f>VLOOKUP(C133,'CONTROLE CONCILIAÇÃO '!A:C,2,FALSE)</f>
        <v>IMPOSTOS LEI 10833</v>
      </c>
      <c r="F133" s="10"/>
      <c r="G133" s="36"/>
      <c r="H133" s="5">
        <v>42767</v>
      </c>
      <c r="I133" s="5">
        <v>42793</v>
      </c>
      <c r="J133" s="50"/>
      <c r="K133" s="50"/>
      <c r="L133" s="11" t="str">
        <f t="shared" ca="1" si="4"/>
        <v>Atrasada</v>
      </c>
      <c r="M133" s="14" t="str">
        <f t="shared" ca="1" si="5"/>
        <v>n</v>
      </c>
    </row>
    <row r="134" spans="2:13" ht="15.75" x14ac:dyDescent="0.25">
      <c r="B134" s="13">
        <v>128</v>
      </c>
      <c r="C134" s="12">
        <v>202113</v>
      </c>
      <c r="D134" s="10" t="s">
        <v>21</v>
      </c>
      <c r="E134" s="36" t="str">
        <f>VLOOKUP(C134,'CONTROLE CONCILIAÇÃO '!A:C,2,FALSE)</f>
        <v>ISS TERCEIROS</v>
      </c>
      <c r="F134" s="10"/>
      <c r="G134" s="36"/>
      <c r="H134" s="5">
        <v>42767</v>
      </c>
      <c r="I134" s="5">
        <v>42793</v>
      </c>
      <c r="J134" s="50"/>
      <c r="K134" s="50"/>
      <c r="L134" s="11" t="str">
        <f t="shared" ca="1" si="4"/>
        <v>Atrasada</v>
      </c>
      <c r="M134" s="14" t="str">
        <f t="shared" ca="1" si="5"/>
        <v>n</v>
      </c>
    </row>
    <row r="135" spans="2:13" ht="15.75" x14ac:dyDescent="0.25">
      <c r="B135" s="13">
        <v>129</v>
      </c>
      <c r="C135" s="12">
        <v>202114</v>
      </c>
      <c r="D135" s="10" t="s">
        <v>21</v>
      </c>
      <c r="E135" s="36" t="str">
        <f>VLOOKUP(C135,'CONTROLE CONCILIAÇÃO '!A:C,2,FALSE)</f>
        <v>DEMAIS IMPOSTOS E TAXAS A RECOLHER</v>
      </c>
      <c r="F135" s="10"/>
      <c r="G135" s="36"/>
      <c r="H135" s="5">
        <v>42767</v>
      </c>
      <c r="I135" s="5">
        <v>42793</v>
      </c>
      <c r="J135" s="50"/>
      <c r="K135" s="50"/>
      <c r="L135" s="11" t="str">
        <f t="shared" ca="1" si="4"/>
        <v>Atrasada</v>
      </c>
      <c r="M135" s="14" t="str">
        <f t="shared" ca="1" si="5"/>
        <v>n</v>
      </c>
    </row>
    <row r="136" spans="2:13" ht="15.75" x14ac:dyDescent="0.25">
      <c r="B136" s="13">
        <v>130</v>
      </c>
      <c r="C136" s="12">
        <v>203101</v>
      </c>
      <c r="D136" s="10" t="s">
        <v>21</v>
      </c>
      <c r="E136" s="36" t="str">
        <f>VLOOKUP(C136,'CONTROLE CONCILIAÇÃO '!A:C,2,FALSE)</f>
        <v>PROVISAO PARA FERIAS E ENCARGOS</v>
      </c>
      <c r="F136" s="10"/>
      <c r="G136" s="36"/>
      <c r="H136" s="5">
        <v>42767</v>
      </c>
      <c r="I136" s="5">
        <v>42793</v>
      </c>
      <c r="J136" s="50"/>
      <c r="K136" s="50"/>
      <c r="L136" s="11" t="str">
        <f t="shared" ca="1" si="4"/>
        <v>Atrasada</v>
      </c>
      <c r="M136" s="14" t="str">
        <f t="shared" ca="1" si="5"/>
        <v>n</v>
      </c>
    </row>
    <row r="137" spans="2:13" ht="15.75" x14ac:dyDescent="0.25">
      <c r="B137" s="13">
        <v>131</v>
      </c>
      <c r="C137" s="12">
        <v>203102</v>
      </c>
      <c r="D137" s="10" t="s">
        <v>21</v>
      </c>
      <c r="E137" s="36" t="str">
        <f>VLOOKUP(C137,'CONTROLE CONCILIAÇÃO '!A:C,2,FALSE)</f>
        <v>PROVISAO PARA 13* E ENCARGOS</v>
      </c>
      <c r="F137" s="10"/>
      <c r="G137" s="36"/>
      <c r="H137" s="5">
        <v>42767</v>
      </c>
      <c r="I137" s="5">
        <v>42793</v>
      </c>
      <c r="J137" s="50"/>
      <c r="K137" s="50"/>
      <c r="L137" s="11" t="str">
        <f t="shared" ca="1" si="4"/>
        <v>Atrasada</v>
      </c>
      <c r="M137" s="14" t="str">
        <f t="shared" ca="1" si="5"/>
        <v>n</v>
      </c>
    </row>
    <row r="138" spans="2:13" ht="15.75" x14ac:dyDescent="0.25">
      <c r="B138" s="13">
        <v>132</v>
      </c>
      <c r="C138" s="12">
        <v>204101</v>
      </c>
      <c r="D138" s="10" t="s">
        <v>21</v>
      </c>
      <c r="E138" s="36" t="str">
        <f>VLOOKUP(C138,'CONTROLE CONCILIAÇÃO '!A:C,2,FALSE)</f>
        <v>ADIANTAMENTO A CLIENTES</v>
      </c>
      <c r="F138" s="10"/>
      <c r="G138" s="36"/>
      <c r="H138" s="5">
        <v>42767</v>
      </c>
      <c r="I138" s="5">
        <v>42793</v>
      </c>
      <c r="J138" s="50"/>
      <c r="K138" s="50"/>
      <c r="L138" s="11" t="str">
        <f t="shared" ca="1" si="4"/>
        <v>Atrasada</v>
      </c>
      <c r="M138" s="14" t="str">
        <f t="shared" ca="1" si="5"/>
        <v>n</v>
      </c>
    </row>
    <row r="139" spans="2:13" ht="15.75" x14ac:dyDescent="0.25">
      <c r="B139" s="13">
        <v>133</v>
      </c>
      <c r="C139" s="12">
        <v>205104</v>
      </c>
      <c r="D139" s="10" t="s">
        <v>21</v>
      </c>
      <c r="E139" s="36" t="str">
        <f>VLOOKUP(C139,'CONTROLE CONCILIAÇÃO '!A:C,2,FALSE)</f>
        <v>BANCO SANTANDER S.A.</v>
      </c>
      <c r="F139" s="10"/>
      <c r="G139" s="36"/>
      <c r="H139" s="5">
        <v>42767</v>
      </c>
      <c r="I139" s="5">
        <v>42793</v>
      </c>
      <c r="J139" s="50"/>
      <c r="K139" s="50"/>
      <c r="L139" s="11" t="str">
        <f t="shared" ca="1" si="4"/>
        <v>Atrasada</v>
      </c>
      <c r="M139" s="14" t="str">
        <f t="shared" ca="1" si="5"/>
        <v>n</v>
      </c>
    </row>
    <row r="140" spans="2:13" ht="15.75" x14ac:dyDescent="0.25">
      <c r="B140" s="13">
        <v>134</v>
      </c>
      <c r="C140" s="12">
        <v>205105</v>
      </c>
      <c r="D140" s="10" t="s">
        <v>21</v>
      </c>
      <c r="E140" s="36" t="str">
        <f>VLOOKUP(C140,'CONTROLE CONCILIAÇÃO '!A:C,2,FALSE)</f>
        <v>BANCO BRADESCO S.A.</v>
      </c>
      <c r="F140" s="10"/>
      <c r="G140" s="36"/>
      <c r="H140" s="5">
        <v>42767</v>
      </c>
      <c r="I140" s="5">
        <v>42793</v>
      </c>
      <c r="J140" s="50"/>
      <c r="K140" s="50"/>
      <c r="L140" s="11" t="str">
        <f t="shared" ca="1" si="4"/>
        <v>Atrasada</v>
      </c>
      <c r="M140" s="14" t="str">
        <f t="shared" ca="1" si="5"/>
        <v>n</v>
      </c>
    </row>
    <row r="141" spans="2:13" ht="15.75" x14ac:dyDescent="0.25">
      <c r="B141" s="13">
        <v>135</v>
      </c>
      <c r="C141" s="12">
        <v>206105</v>
      </c>
      <c r="D141" s="10" t="s">
        <v>21</v>
      </c>
      <c r="E141" s="36" t="str">
        <f>VLOOKUP(C141,'CONTROLE CONCILIAÇÃO '!A:C,2,FALSE)</f>
        <v>BANCO DO BRASIL</v>
      </c>
      <c r="F141" s="10"/>
      <c r="G141" s="36"/>
      <c r="H141" s="5">
        <v>42767</v>
      </c>
      <c r="I141" s="5">
        <v>42793</v>
      </c>
      <c r="J141" s="50"/>
      <c r="K141" s="50"/>
      <c r="L141" s="11" t="str">
        <f t="shared" ca="1" si="4"/>
        <v>Atrasada</v>
      </c>
      <c r="M141" s="14" t="str">
        <f t="shared" ca="1" si="5"/>
        <v>n</v>
      </c>
    </row>
    <row r="142" spans="2:13" ht="15.75" x14ac:dyDescent="0.25">
      <c r="B142" s="13">
        <v>137</v>
      </c>
      <c r="C142" s="12">
        <v>210104</v>
      </c>
      <c r="D142" s="10" t="s">
        <v>21</v>
      </c>
      <c r="E142" s="36" t="str">
        <f>VLOOKUP(C142,'CONTROLE CONCILIAÇÃO '!A:C,2,FALSE)</f>
        <v>BANCO SANTANDER S.A.</v>
      </c>
      <c r="F142" s="10"/>
      <c r="G142" s="36"/>
      <c r="H142" s="5">
        <v>42767</v>
      </c>
      <c r="I142" s="5">
        <v>42793</v>
      </c>
      <c r="J142" s="50"/>
      <c r="K142" s="50"/>
      <c r="L142" s="11" t="str">
        <f t="shared" ca="1" si="4"/>
        <v>Atrasada</v>
      </c>
      <c r="M142" s="14" t="str">
        <f t="shared" ca="1" si="5"/>
        <v>n</v>
      </c>
    </row>
    <row r="143" spans="2:13" ht="15.75" x14ac:dyDescent="0.25">
      <c r="B143" s="13">
        <v>138</v>
      </c>
      <c r="C143" s="12">
        <v>210105</v>
      </c>
      <c r="D143" s="10" t="s">
        <v>21</v>
      </c>
      <c r="E143" s="36" t="str">
        <f>VLOOKUP(C143,'CONTROLE CONCILIAÇÃO '!A:C,2,FALSE)</f>
        <v>BANCO BRADESCO S.A.</v>
      </c>
      <c r="F143" s="10"/>
      <c r="G143" s="36"/>
      <c r="H143" s="5">
        <v>42767</v>
      </c>
      <c r="I143" s="5">
        <v>42793</v>
      </c>
      <c r="J143" s="50"/>
      <c r="K143" s="50"/>
      <c r="L143" s="11" t="str">
        <f t="shared" ca="1" si="4"/>
        <v>Atrasada</v>
      </c>
      <c r="M143" s="14" t="str">
        <f t="shared" ca="1" si="5"/>
        <v>n</v>
      </c>
    </row>
    <row r="144" spans="2:13" ht="15.75" x14ac:dyDescent="0.25">
      <c r="B144" s="13">
        <v>139</v>
      </c>
      <c r="C144" s="12">
        <v>210205</v>
      </c>
      <c r="D144" s="10" t="s">
        <v>21</v>
      </c>
      <c r="E144" s="36" t="str">
        <f>VLOOKUP(C144,'CONTROLE CONCILIAÇÃO '!A:C,2,FALSE)</f>
        <v>BANCO DO BRASIL</v>
      </c>
      <c r="F144" s="10"/>
      <c r="G144" s="36"/>
      <c r="H144" s="5">
        <v>42767</v>
      </c>
      <c r="I144" s="5">
        <v>42793</v>
      </c>
      <c r="J144" s="50"/>
      <c r="K144" s="50"/>
      <c r="L144" s="11" t="str">
        <f t="shared" ca="1" si="4"/>
        <v>Atrasada</v>
      </c>
      <c r="M144" s="14" t="str">
        <f t="shared" ca="1" si="5"/>
        <v>n</v>
      </c>
    </row>
    <row r="145" spans="2:13" ht="15.75" x14ac:dyDescent="0.25">
      <c r="B145" s="13">
        <v>140</v>
      </c>
      <c r="C145" s="12">
        <v>211001</v>
      </c>
      <c r="D145" s="10" t="s">
        <v>21</v>
      </c>
      <c r="E145" s="36" t="str">
        <f>VLOOKUP(C145,'CONTROLE CONCILIAÇÃO '!A:C,2,FALSE)</f>
        <v>ACORDO BANCO BRADESCO S.A.</v>
      </c>
      <c r="F145" s="10"/>
      <c r="G145" s="36"/>
      <c r="H145" s="5">
        <v>42767</v>
      </c>
      <c r="I145" s="5">
        <v>42793</v>
      </c>
      <c r="J145" s="50"/>
      <c r="K145" s="50"/>
      <c r="L145" s="11" t="str">
        <f t="shared" ca="1" si="4"/>
        <v>Atrasada</v>
      </c>
      <c r="M145" s="14" t="str">
        <f t="shared" ca="1" si="5"/>
        <v>n</v>
      </c>
    </row>
    <row r="146" spans="2:13" ht="15.75" x14ac:dyDescent="0.25">
      <c r="B146" s="13">
        <v>141</v>
      </c>
      <c r="C146" s="12">
        <v>211002</v>
      </c>
      <c r="D146" s="10" t="s">
        <v>21</v>
      </c>
      <c r="E146" s="36" t="str">
        <f>VLOOKUP(C146,'CONTROLE CONCILIAÇÃO '!A:C,2,FALSE)</f>
        <v>ACORDO IPIRANGA</v>
      </c>
      <c r="F146" s="10"/>
      <c r="G146" s="36"/>
      <c r="H146" s="5">
        <v>42767</v>
      </c>
      <c r="I146" s="5">
        <v>42793</v>
      </c>
      <c r="J146" s="50"/>
      <c r="K146" s="50"/>
      <c r="L146" s="11" t="str">
        <f t="shared" ca="1" si="4"/>
        <v>Atrasada</v>
      </c>
      <c r="M146" s="14" t="str">
        <f t="shared" ca="1" si="5"/>
        <v>n</v>
      </c>
    </row>
    <row r="147" spans="2:13" ht="15.75" x14ac:dyDescent="0.25">
      <c r="B147" s="13">
        <v>142</v>
      </c>
      <c r="C147" s="12">
        <v>212001</v>
      </c>
      <c r="D147" s="10" t="s">
        <v>21</v>
      </c>
      <c r="E147" s="36" t="str">
        <f>VLOOKUP(C147,'CONTROLE CONCILIAÇÃO '!A:C,2,FALSE)</f>
        <v>ACORDOS E CONDENACOES TRABALHISTAS</v>
      </c>
      <c r="F147" s="10"/>
      <c r="G147" s="36"/>
      <c r="H147" s="5">
        <v>42767</v>
      </c>
      <c r="I147" s="5">
        <v>42793</v>
      </c>
      <c r="J147" s="50"/>
      <c r="K147" s="50"/>
      <c r="L147" s="11" t="str">
        <f t="shared" ca="1" si="4"/>
        <v>Atrasada</v>
      </c>
      <c r="M147" s="14" t="str">
        <f t="shared" ca="1" si="5"/>
        <v>n</v>
      </c>
    </row>
    <row r="148" spans="2:13" ht="15.75" x14ac:dyDescent="0.25">
      <c r="B148" s="13">
        <v>143</v>
      </c>
      <c r="C148" s="12">
        <v>212004</v>
      </c>
      <c r="D148" s="10" t="s">
        <v>21</v>
      </c>
      <c r="E148" s="36" t="str">
        <f>VLOOKUP(C148,'CONTROLE CONCILIAÇÃO '!A:C,2,FALSE)</f>
        <v>CONTINGENCIAS DEMANDA TRABALHISTA</v>
      </c>
      <c r="F148" s="10"/>
      <c r="G148" s="36"/>
      <c r="H148" s="5">
        <v>42767</v>
      </c>
      <c r="I148" s="5">
        <v>42793</v>
      </c>
      <c r="J148" s="50"/>
      <c r="K148" s="50"/>
      <c r="L148" s="11" t="str">
        <f t="shared" ca="1" si="4"/>
        <v>Atrasada</v>
      </c>
      <c r="M148" s="14" t="str">
        <f t="shared" ca="1" si="5"/>
        <v>n</v>
      </c>
    </row>
    <row r="149" spans="2:13" ht="15.75" x14ac:dyDescent="0.25">
      <c r="B149" s="13">
        <v>144</v>
      </c>
      <c r="C149" s="12">
        <v>212005</v>
      </c>
      <c r="D149" s="10" t="s">
        <v>21</v>
      </c>
      <c r="E149" s="36" t="str">
        <f>VLOOKUP(C149,'CONTROLE CONCILIAÇÃO '!A:C,2,FALSE)</f>
        <v>CONTINGENCIA DEMANDA CIVEL</v>
      </c>
      <c r="F149" s="10"/>
      <c r="G149" s="36"/>
      <c r="H149" s="5">
        <v>42767</v>
      </c>
      <c r="I149" s="5">
        <v>42793</v>
      </c>
      <c r="J149" s="50"/>
      <c r="K149" s="50"/>
      <c r="L149" s="11" t="str">
        <f t="shared" ca="1" si="4"/>
        <v>Atrasada</v>
      </c>
      <c r="M149" s="14" t="str">
        <f t="shared" ca="1" si="5"/>
        <v>n</v>
      </c>
    </row>
    <row r="150" spans="2:13" ht="15.75" x14ac:dyDescent="0.25">
      <c r="B150" s="13">
        <v>145</v>
      </c>
      <c r="C150" s="12">
        <v>212006</v>
      </c>
      <c r="D150" s="10" t="s">
        <v>21</v>
      </c>
      <c r="E150" s="36" t="str">
        <f>VLOOKUP(C150,'CONTROLE CONCILIAÇÃO '!A:C,2,FALSE)</f>
        <v>CONTINGENCIA DEMANDA FISCAL</v>
      </c>
      <c r="F150" s="10"/>
      <c r="G150" s="36"/>
      <c r="H150" s="5">
        <v>42767</v>
      </c>
      <c r="I150" s="5">
        <v>42793</v>
      </c>
      <c r="J150" s="50"/>
      <c r="K150" s="50"/>
      <c r="L150" s="11" t="str">
        <f t="shared" ca="1" si="4"/>
        <v>Atrasada</v>
      </c>
      <c r="M150" s="14" t="str">
        <f t="shared" ca="1" si="5"/>
        <v>n</v>
      </c>
    </row>
    <row r="151" spans="2:13" ht="15.75" x14ac:dyDescent="0.25">
      <c r="B151" s="13">
        <v>146</v>
      </c>
      <c r="C151" s="12">
        <v>212007</v>
      </c>
      <c r="D151" s="10" t="s">
        <v>21</v>
      </c>
      <c r="E151" s="36" t="str">
        <f>VLOOKUP(C151,'CONTROLE CONCILIAÇÃO '!A:C,2,FALSE)</f>
        <v>PROVISOES</v>
      </c>
      <c r="F151" s="10"/>
      <c r="G151" s="36"/>
      <c r="H151" s="5">
        <v>42767</v>
      </c>
      <c r="I151" s="5">
        <v>42793</v>
      </c>
      <c r="J151" s="50">
        <v>42766</v>
      </c>
      <c r="K151" s="50">
        <v>42766</v>
      </c>
      <c r="L151" s="11" t="str">
        <f t="shared" ca="1" si="4"/>
        <v>Concluída</v>
      </c>
      <c r="M151" s="14" t="str">
        <f t="shared" ca="1" si="5"/>
        <v>n</v>
      </c>
    </row>
    <row r="152" spans="2:13" ht="15.75" x14ac:dyDescent="0.25">
      <c r="B152" s="13">
        <v>147</v>
      </c>
      <c r="C152" s="12">
        <v>213001</v>
      </c>
      <c r="D152" s="10" t="s">
        <v>21</v>
      </c>
      <c r="E152" s="36" t="str">
        <f>VLOOKUP(C152,'CONTROLE CONCILIAÇÃO '!A:C,2,FALSE)</f>
        <v>IMPOSTO DIFERIDO PDD</v>
      </c>
      <c r="F152" s="10"/>
      <c r="G152" s="36"/>
      <c r="H152" s="5">
        <v>42767</v>
      </c>
      <c r="I152" s="5">
        <v>42793</v>
      </c>
      <c r="J152" s="50"/>
      <c r="K152" s="50">
        <v>42766</v>
      </c>
      <c r="L152" s="11" t="str">
        <f t="shared" ca="1" si="4"/>
        <v>Concluída</v>
      </c>
      <c r="M152" s="14" t="str">
        <f t="shared" ca="1" si="5"/>
        <v>n</v>
      </c>
    </row>
    <row r="153" spans="2:13" ht="15.75" x14ac:dyDescent="0.25">
      <c r="B153" s="13">
        <v>148</v>
      </c>
      <c r="C153" s="12">
        <v>270001</v>
      </c>
      <c r="D153" s="10" t="s">
        <v>21</v>
      </c>
      <c r="E153" s="36" t="str">
        <f>VLOOKUP(C153,'CONTROLE CONCILIAÇÃO '!A:C,2,FALSE)</f>
        <v>CAPITAL SOCIAL</v>
      </c>
      <c r="F153" s="10"/>
      <c r="G153" s="36"/>
      <c r="H153" s="5">
        <v>42767</v>
      </c>
      <c r="I153" s="5">
        <v>42793</v>
      </c>
      <c r="J153" s="50"/>
      <c r="K153" s="50">
        <v>42766</v>
      </c>
      <c r="L153" s="11" t="str">
        <f t="shared" ca="1" si="4"/>
        <v>Concluída</v>
      </c>
      <c r="M153" s="14" t="str">
        <f t="shared" ca="1" si="5"/>
        <v>n</v>
      </c>
    </row>
    <row r="154" spans="2:13" ht="15.75" x14ac:dyDescent="0.25">
      <c r="B154" s="13">
        <v>150</v>
      </c>
      <c r="C154" s="12">
        <v>271001</v>
      </c>
      <c r="D154" s="10" t="s">
        <v>21</v>
      </c>
      <c r="E154" s="36" t="str">
        <f>VLOOKUP(C154,'CONTROLE CONCILIAÇÃO '!A:C,2,FALSE)</f>
        <v>AJUSTE CONF.LEI 11638/7</v>
      </c>
      <c r="F154" s="10"/>
      <c r="G154" s="36"/>
      <c r="H154" s="5">
        <v>42767</v>
      </c>
      <c r="I154" s="5">
        <v>42793</v>
      </c>
      <c r="J154" s="50"/>
      <c r="K154" s="50"/>
      <c r="L154" s="11" t="str">
        <f t="shared" ca="1" si="4"/>
        <v>Atrasada</v>
      </c>
      <c r="M154" s="14" t="str">
        <f t="shared" ca="1" si="5"/>
        <v>n</v>
      </c>
    </row>
    <row r="155" spans="2:13" ht="15.75" x14ac:dyDescent="0.25">
      <c r="B155" s="13">
        <v>151</v>
      </c>
      <c r="C155" s="12">
        <v>272008</v>
      </c>
      <c r="D155" s="10" t="s">
        <v>21</v>
      </c>
      <c r="E155" s="36" t="str">
        <f>VLOOKUP(C155,'CONTROLE CONCILIAÇÃO '!A:C,2,FALSE)</f>
        <v>RESULTADO DO EXERCICIO 2013</v>
      </c>
      <c r="F155" s="10"/>
      <c r="G155" s="36"/>
      <c r="H155" s="5">
        <v>42767</v>
      </c>
      <c r="I155" s="5">
        <v>42793</v>
      </c>
      <c r="J155" s="50"/>
      <c r="K155" s="50"/>
      <c r="L155" s="11" t="str">
        <f t="shared" ca="1" si="4"/>
        <v>Atrasada</v>
      </c>
      <c r="M155" s="14" t="str">
        <f t="shared" ca="1" si="5"/>
        <v>n</v>
      </c>
    </row>
    <row r="156" spans="2:13" ht="15.75" x14ac:dyDescent="0.25">
      <c r="B156" s="13">
        <v>152</v>
      </c>
      <c r="C156" s="12">
        <v>272009</v>
      </c>
      <c r="D156" s="10" t="s">
        <v>21</v>
      </c>
      <c r="E156" s="36" t="str">
        <f>VLOOKUP(C156,'CONTROLE CONCILIAÇÃO '!A:C,2,FALSE)</f>
        <v>RESULTADO DO EXERCICIO 2014</v>
      </c>
      <c r="F156" s="10"/>
      <c r="G156" s="36"/>
      <c r="H156" s="5">
        <v>42767</v>
      </c>
      <c r="I156" s="5">
        <v>42793</v>
      </c>
      <c r="J156" s="50"/>
      <c r="K156" s="50"/>
      <c r="L156" s="11" t="str">
        <f t="shared" ca="1" si="4"/>
        <v>Atrasada</v>
      </c>
      <c r="M156" s="14" t="str">
        <f t="shared" ca="1" si="5"/>
        <v>n</v>
      </c>
    </row>
    <row r="157" spans="2:13" ht="15.75" x14ac:dyDescent="0.25">
      <c r="B157" s="13">
        <v>153</v>
      </c>
      <c r="C157" s="12">
        <v>272010</v>
      </c>
      <c r="D157" s="10" t="s">
        <v>21</v>
      </c>
      <c r="E157" s="36" t="str">
        <f>VLOOKUP(C157,'CONTROLE CONCILIAÇÃO '!A:C,2,FALSE)</f>
        <v>RESULTADO DO EXERCICIO 2015</v>
      </c>
      <c r="F157" s="10"/>
      <c r="G157" s="36"/>
      <c r="H157" s="5">
        <v>42767</v>
      </c>
      <c r="I157" s="5">
        <v>42793</v>
      </c>
      <c r="J157" s="50"/>
      <c r="K157" s="50"/>
      <c r="L157" s="11" t="str">
        <f t="shared" ca="1" si="4"/>
        <v>Atrasada</v>
      </c>
      <c r="M157" s="14" t="str">
        <f t="shared" ca="1" si="5"/>
        <v>n</v>
      </c>
    </row>
    <row r="158" spans="2:13" ht="15.75" x14ac:dyDescent="0.25">
      <c r="B158" s="13">
        <v>154</v>
      </c>
      <c r="C158" s="12">
        <v>273001</v>
      </c>
      <c r="D158" s="10" t="s">
        <v>21</v>
      </c>
      <c r="E158" s="36" t="str">
        <f>VLOOKUP(C158,'CONTROLE CONCILIAÇÃO '!A:C,2,FALSE)</f>
        <v>ANTECIPACAO LUCROS</v>
      </c>
      <c r="F158" s="10"/>
      <c r="G158" s="36"/>
      <c r="H158" s="5">
        <v>42767</v>
      </c>
      <c r="I158" s="5">
        <v>42793</v>
      </c>
      <c r="J158" s="50"/>
      <c r="K158" s="50"/>
      <c r="L158" s="11" t="str">
        <f t="shared" ca="1" si="4"/>
        <v>Atrasada</v>
      </c>
      <c r="M158" s="14" t="str">
        <f t="shared" ca="1" si="5"/>
        <v>n</v>
      </c>
    </row>
    <row r="159" spans="2:13" ht="15.75" x14ac:dyDescent="0.25">
      <c r="B159" s="13">
        <v>155</v>
      </c>
      <c r="C159" s="12">
        <v>273002</v>
      </c>
      <c r="D159" s="10" t="s">
        <v>21</v>
      </c>
      <c r="E159" s="36" t="str">
        <f>VLOOKUP(C159,'CONTROLE CONCILIAÇÃO '!A:C,2,FALSE)</f>
        <v>ANTECIPACAO DE LUCROS (AJUSTES)</v>
      </c>
      <c r="F159" s="10"/>
      <c r="G159" s="36"/>
      <c r="H159" s="5">
        <v>42767</v>
      </c>
      <c r="I159" s="5">
        <v>42793</v>
      </c>
      <c r="J159" s="50"/>
      <c r="K159" s="50"/>
      <c r="L159" s="11" t="str">
        <f t="shared" ca="1" si="4"/>
        <v>Atrasada</v>
      </c>
      <c r="M159" s="14" t="str">
        <f t="shared" ca="1" si="5"/>
        <v>n</v>
      </c>
    </row>
    <row r="160" spans="2:13" ht="15.75" x14ac:dyDescent="0.25">
      <c r="B160" s="13">
        <v>156</v>
      </c>
      <c r="C160" s="12">
        <v>502001</v>
      </c>
      <c r="D160" s="10" t="s">
        <v>21</v>
      </c>
      <c r="E160" s="36" t="str">
        <f>VLOOKUP(C160,'CONTROLE CONCILIAÇÃO '!A:C,2,FALSE)</f>
        <v>INSS A RECUPERAR</v>
      </c>
      <c r="F160" s="10"/>
      <c r="G160" s="36"/>
      <c r="H160" s="5">
        <v>42767</v>
      </c>
      <c r="I160" s="5">
        <v>42793</v>
      </c>
      <c r="J160" s="50"/>
      <c r="K160" s="50"/>
      <c r="L160" s="11" t="str">
        <f t="shared" ca="1" si="4"/>
        <v>Atrasada</v>
      </c>
      <c r="M160" s="14" t="str">
        <f t="shared" ca="1" si="5"/>
        <v>n</v>
      </c>
    </row>
    <row r="161" spans="2:13" ht="15.75" x14ac:dyDescent="0.25">
      <c r="B161" s="13">
        <v>157</v>
      </c>
      <c r="C161" s="12">
        <v>510301</v>
      </c>
      <c r="D161" s="10" t="s">
        <v>21</v>
      </c>
      <c r="E161" s="36" t="str">
        <f>VLOOKUP(C161,'CONTROLE CONCILIAÇÃO '!A:C,2,FALSE)</f>
        <v>VALORES A RECEBER</v>
      </c>
      <c r="F161" s="10"/>
      <c r="G161" s="36"/>
      <c r="H161" s="5">
        <v>42767</v>
      </c>
      <c r="I161" s="5">
        <v>42793</v>
      </c>
      <c r="J161" s="50"/>
      <c r="K161" s="50"/>
      <c r="L161" s="11" t="str">
        <f t="shared" ca="1" si="4"/>
        <v>Atrasada</v>
      </c>
      <c r="M161" s="14" t="str">
        <f t="shared" ca="1" si="5"/>
        <v>n</v>
      </c>
    </row>
    <row r="162" spans="2:13" ht="15.75" x14ac:dyDescent="0.25">
      <c r="B162" s="13">
        <v>160</v>
      </c>
      <c r="C162" s="12">
        <v>510399</v>
      </c>
      <c r="D162" s="10" t="s">
        <v>21</v>
      </c>
      <c r="E162" s="36" t="str">
        <f>VLOOKUP(C162,'CONTROLE CONCILIAÇÃO '!A:C,2,FALSE)</f>
        <v>MUTUO PF</v>
      </c>
      <c r="F162" s="10"/>
      <c r="G162" s="36"/>
      <c r="H162" s="5">
        <v>42767</v>
      </c>
      <c r="I162" s="5">
        <v>42793</v>
      </c>
      <c r="J162" s="50"/>
      <c r="K162" s="50"/>
      <c r="L162" s="11" t="str">
        <f t="shared" ca="1" si="4"/>
        <v>Atrasada</v>
      </c>
      <c r="M162" s="14" t="str">
        <f t="shared" ca="1" si="5"/>
        <v>n</v>
      </c>
    </row>
    <row r="163" spans="2:13" ht="15.75" x14ac:dyDescent="0.25">
      <c r="B163" s="13">
        <v>161</v>
      </c>
      <c r="C163" s="48">
        <v>510401</v>
      </c>
      <c r="D163" s="49" t="s">
        <v>21</v>
      </c>
      <c r="E163" s="36" t="str">
        <f>VLOOKUP(C163,'CONTROLE CONCILIAÇÃO '!A:C,2,FALSE)</f>
        <v>IMPOSTO DIFERIDO CONTINGENCIA</v>
      </c>
      <c r="F163" s="10"/>
      <c r="G163" s="36"/>
      <c r="H163" s="5">
        <v>42767</v>
      </c>
      <c r="I163" s="5">
        <v>42793</v>
      </c>
      <c r="J163" s="50"/>
      <c r="K163" s="50"/>
      <c r="L163" s="11" t="str">
        <f t="shared" ca="1" si="4"/>
        <v>Atrasada</v>
      </c>
      <c r="M163" s="14" t="str">
        <f t="shared" ca="1" si="5"/>
        <v>n</v>
      </c>
    </row>
    <row r="164" spans="2:13" ht="15.75" x14ac:dyDescent="0.25">
      <c r="B164" s="13">
        <v>162</v>
      </c>
      <c r="C164" s="12">
        <v>531101</v>
      </c>
      <c r="D164" s="10" t="s">
        <v>21</v>
      </c>
      <c r="E164" s="36" t="str">
        <f>VLOOKUP(C164,'CONTROLE CONCILIAÇÃO '!A:C,2,FALSE)</f>
        <v>DEPRECIACAO ACUMULADA VEICULOS</v>
      </c>
      <c r="F164" s="10"/>
      <c r="G164" s="36"/>
      <c r="H164" s="5">
        <v>42767</v>
      </c>
      <c r="I164" s="5">
        <v>42793</v>
      </c>
      <c r="J164" s="50">
        <v>42766</v>
      </c>
      <c r="K164" s="50">
        <v>42766</v>
      </c>
      <c r="L164" s="11" t="str">
        <f t="shared" ca="1" si="4"/>
        <v>Concluída</v>
      </c>
      <c r="M164" s="14" t="str">
        <f t="shared" ca="1" si="5"/>
        <v>n</v>
      </c>
    </row>
    <row r="165" spans="2:13" ht="15.75" x14ac:dyDescent="0.25">
      <c r="B165" s="13">
        <v>163</v>
      </c>
      <c r="C165" s="12">
        <v>532101</v>
      </c>
      <c r="D165" s="10" t="s">
        <v>21</v>
      </c>
      <c r="E165" s="36" t="str">
        <f>VLOOKUP(C165,'CONTROLE CONCILIAÇÃO '!A:C,2,FALSE)</f>
        <v>BENFEITORIA EM BENS DE TERCEIROS</v>
      </c>
      <c r="F165" s="10"/>
      <c r="G165" s="36"/>
      <c r="H165" s="5">
        <v>42767</v>
      </c>
      <c r="I165" s="5">
        <v>42793</v>
      </c>
      <c r="J165" s="50">
        <v>42766</v>
      </c>
      <c r="K165" s="50">
        <v>42766</v>
      </c>
      <c r="L165" s="11" t="str">
        <f t="shared" ref="L165:L175" ca="1" si="6">IF(H165="","",IF(K165&lt;&gt;"","Concluída",IF(TODAY()&gt;I165,"Atrasada",IF(J165&lt;&gt;"","Em andamento",IF(AND(J165="",TODAY()&gt;H165),"Atrasada","A iniciar")))))</f>
        <v>Concluída</v>
      </c>
      <c r="M165" s="14" t="str">
        <f t="shared" ref="M165:M175" ca="1" si="7">IF(L165&lt;&gt;"","n","")</f>
        <v>n</v>
      </c>
    </row>
    <row r="166" spans="2:13" ht="15.75" x14ac:dyDescent="0.25">
      <c r="B166" s="13">
        <v>164</v>
      </c>
      <c r="C166" s="12">
        <v>532201</v>
      </c>
      <c r="D166" s="10" t="s">
        <v>21</v>
      </c>
      <c r="E166" s="36" t="str">
        <f>VLOOKUP(C166,'CONTROLE CONCILIAÇÃO '!A:C,2,FALSE)</f>
        <v>AMORTIZACAO BENF ACUMULADA</v>
      </c>
      <c r="F166" s="10"/>
      <c r="G166" s="36"/>
      <c r="H166" s="5">
        <v>42767</v>
      </c>
      <c r="I166" s="5">
        <v>42793</v>
      </c>
      <c r="J166" s="50">
        <v>42766</v>
      </c>
      <c r="K166" s="50">
        <v>42766</v>
      </c>
      <c r="L166" s="11" t="str">
        <f t="shared" ca="1" si="6"/>
        <v>Concluída</v>
      </c>
      <c r="M166" s="14" t="str">
        <f t="shared" ca="1" si="7"/>
        <v>n</v>
      </c>
    </row>
    <row r="167" spans="2:13" ht="15.75" x14ac:dyDescent="0.25">
      <c r="B167" s="13">
        <v>165</v>
      </c>
      <c r="C167" s="12">
        <v>600001</v>
      </c>
      <c r="D167" s="10" t="s">
        <v>21</v>
      </c>
      <c r="E167" s="36" t="str">
        <f>VLOOKUP(C167,'CONTROLE CONCILIAÇÃO '!A:C,2,FALSE)</f>
        <v>FORNECEDORES</v>
      </c>
      <c r="F167" s="10"/>
      <c r="G167" s="36"/>
      <c r="H167" s="5">
        <v>42767</v>
      </c>
      <c r="I167" s="5">
        <v>42793</v>
      </c>
      <c r="J167" s="50"/>
      <c r="K167" s="50"/>
      <c r="L167" s="11" t="str">
        <f t="shared" ca="1" si="6"/>
        <v>Atrasada</v>
      </c>
      <c r="M167" s="14" t="str">
        <f t="shared" ca="1" si="7"/>
        <v>n</v>
      </c>
    </row>
    <row r="168" spans="2:13" ht="15.75" x14ac:dyDescent="0.25">
      <c r="B168" s="13">
        <v>169</v>
      </c>
      <c r="C168" s="12">
        <v>601101</v>
      </c>
      <c r="D168" s="10" t="s">
        <v>21</v>
      </c>
      <c r="E168" s="36" t="str">
        <f>VLOOKUP(C168,'CONTROLE CONCILIAÇÃO '!A:C,2,FALSE)</f>
        <v>SALARIOS E ORDENADOS A PAGAR</v>
      </c>
      <c r="F168" s="10"/>
      <c r="G168" s="36"/>
      <c r="H168" s="5">
        <v>42767</v>
      </c>
      <c r="I168" s="5">
        <v>42793</v>
      </c>
      <c r="J168" s="50"/>
      <c r="K168" s="50"/>
      <c r="L168" s="11" t="str">
        <f t="shared" ca="1" si="6"/>
        <v>Atrasada</v>
      </c>
      <c r="M168" s="14" t="str">
        <f t="shared" ca="1" si="7"/>
        <v>n</v>
      </c>
    </row>
    <row r="169" spans="2:13" ht="15.75" x14ac:dyDescent="0.25">
      <c r="B169" s="13">
        <v>170</v>
      </c>
      <c r="C169" s="12">
        <v>601108</v>
      </c>
      <c r="D169" s="10" t="s">
        <v>21</v>
      </c>
      <c r="E169" s="36" t="str">
        <f>VLOOKUP(C169,'CONTROLE CONCILIAÇÃO '!A:C,2,FALSE)</f>
        <v>INSS FOLHA</v>
      </c>
      <c r="F169" s="10"/>
      <c r="G169" s="36"/>
      <c r="H169" s="5">
        <v>42767</v>
      </c>
      <c r="I169" s="5">
        <v>42793</v>
      </c>
      <c r="J169" s="50"/>
      <c r="K169" s="50"/>
      <c r="L169" s="11" t="str">
        <f t="shared" ca="1" si="6"/>
        <v>Atrasada</v>
      </c>
      <c r="M169" s="14" t="str">
        <f t="shared" ca="1" si="7"/>
        <v>n</v>
      </c>
    </row>
    <row r="170" spans="2:13" ht="15.75" x14ac:dyDescent="0.25">
      <c r="B170" s="13">
        <v>171</v>
      </c>
      <c r="C170" s="12">
        <v>603100</v>
      </c>
      <c r="D170" s="10" t="s">
        <v>21</v>
      </c>
      <c r="E170" s="36" t="str">
        <f>VLOOKUP(C170,'CONTROLE CONCILIAÇÃO '!A:C,2,FALSE)</f>
        <v>PROVISAO PARA 13 SALARIO E ENCARGOS</v>
      </c>
      <c r="F170" s="10"/>
      <c r="G170" s="36"/>
      <c r="H170" s="5">
        <v>42767</v>
      </c>
      <c r="I170" s="5">
        <v>42793</v>
      </c>
      <c r="J170" s="50"/>
      <c r="K170" s="50"/>
      <c r="L170" s="11" t="str">
        <f t="shared" ca="1" si="6"/>
        <v>Atrasada</v>
      </c>
      <c r="M170" s="14" t="str">
        <f t="shared" ca="1" si="7"/>
        <v>n</v>
      </c>
    </row>
    <row r="171" spans="2:13" ht="15.75" x14ac:dyDescent="0.25">
      <c r="B171" s="13">
        <v>172</v>
      </c>
      <c r="C171" s="12">
        <v>603101</v>
      </c>
      <c r="D171" s="10" t="s">
        <v>21</v>
      </c>
      <c r="E171" s="36" t="str">
        <f>VLOOKUP(C171,'CONTROLE CONCILIAÇÃO '!A:C,2,FALSE)</f>
        <v>PROVISAO PARA FERIAS E ENCARGOS</v>
      </c>
      <c r="F171" s="10"/>
      <c r="G171" s="36"/>
      <c r="H171" s="5">
        <v>42767</v>
      </c>
      <c r="I171" s="5">
        <v>42793</v>
      </c>
      <c r="J171" s="50"/>
      <c r="K171" s="50"/>
      <c r="L171" s="11" t="str">
        <f t="shared" ca="1" si="6"/>
        <v>Atrasada</v>
      </c>
      <c r="M171" s="14" t="str">
        <f t="shared" ca="1" si="7"/>
        <v>n</v>
      </c>
    </row>
    <row r="172" spans="2:13" ht="15.75" x14ac:dyDescent="0.25">
      <c r="B172" s="13">
        <v>173</v>
      </c>
      <c r="C172" s="12">
        <v>603102</v>
      </c>
      <c r="D172" s="10" t="s">
        <v>21</v>
      </c>
      <c r="E172" s="36" t="str">
        <f>VLOOKUP(C172,'CONTROLE CONCILIAÇÃO '!A:C,2,FALSE)</f>
        <v>ACORDO SANTANDER</v>
      </c>
      <c r="F172" s="10"/>
      <c r="G172" s="36"/>
      <c r="H172" s="5">
        <v>42767</v>
      </c>
      <c r="I172" s="5">
        <v>42793</v>
      </c>
      <c r="J172" s="50"/>
      <c r="K172" s="50"/>
      <c r="L172" s="11" t="str">
        <f t="shared" ca="1" si="6"/>
        <v>Atrasada</v>
      </c>
      <c r="M172" s="14" t="str">
        <f t="shared" ca="1" si="7"/>
        <v>n</v>
      </c>
    </row>
    <row r="173" spans="2:13" ht="15.75" x14ac:dyDescent="0.25">
      <c r="B173" s="13">
        <v>174</v>
      </c>
      <c r="C173" s="12">
        <v>612001</v>
      </c>
      <c r="D173" s="10" t="s">
        <v>21</v>
      </c>
      <c r="E173" s="36" t="str">
        <f>VLOOKUP(C173,'CONTROLE CONCILIAÇÃO '!A:C,2,FALSE)</f>
        <v>CONTINGENCIA FRETE AGREGADOS</v>
      </c>
      <c r="F173" s="10"/>
      <c r="G173" s="36"/>
      <c r="H173" s="5">
        <v>42767</v>
      </c>
      <c r="I173" s="5">
        <v>42793</v>
      </c>
      <c r="J173" s="50"/>
      <c r="K173" s="50"/>
      <c r="L173" s="11" t="str">
        <f t="shared" ca="1" si="6"/>
        <v>Atrasada</v>
      </c>
      <c r="M173" s="14" t="str">
        <f t="shared" ca="1" si="7"/>
        <v>n</v>
      </c>
    </row>
    <row r="174" spans="2:13" ht="15.75" x14ac:dyDescent="0.25">
      <c r="B174" s="13">
        <v>175</v>
      </c>
      <c r="C174" s="12">
        <v>613001</v>
      </c>
      <c r="D174" s="10" t="s">
        <v>21</v>
      </c>
      <c r="E174" s="36" t="str">
        <f>VLOOKUP(C174,'CONTROLE CONCILIAÇÃO '!A:C,2,FALSE)</f>
        <v>IMPOSTO DIFERIDO ATIVO FIXO</v>
      </c>
      <c r="F174" s="10"/>
      <c r="G174" s="36"/>
      <c r="H174" s="5">
        <v>42767</v>
      </c>
      <c r="I174" s="5">
        <v>42793</v>
      </c>
      <c r="J174" s="50"/>
      <c r="K174" s="50"/>
      <c r="L174" s="11" t="str">
        <f t="shared" ca="1" si="6"/>
        <v>Atrasada</v>
      </c>
      <c r="M174" s="14" t="str">
        <f t="shared" ca="1" si="7"/>
        <v>n</v>
      </c>
    </row>
    <row r="175" spans="2:13" ht="15.75" x14ac:dyDescent="0.25">
      <c r="B175" s="13">
        <v>176</v>
      </c>
      <c r="C175" s="12">
        <v>673001</v>
      </c>
      <c r="D175" s="10" t="s">
        <v>21</v>
      </c>
      <c r="E175" s="36" t="str">
        <f>VLOOKUP(C175,'CONTROLE CONCILIAÇÃO '!A:C,2,FALSE)</f>
        <v>ANTECIPACAO DE LUCROS</v>
      </c>
      <c r="F175" s="10"/>
      <c r="G175" s="36"/>
      <c r="H175" s="5">
        <v>42767</v>
      </c>
      <c r="I175" s="5">
        <v>42793</v>
      </c>
      <c r="J175" s="50"/>
      <c r="K175" s="50"/>
      <c r="L175" s="11" t="str">
        <f t="shared" ca="1" si="6"/>
        <v>Atrasada</v>
      </c>
      <c r="M175" s="14" t="str">
        <f t="shared" ca="1" si="7"/>
        <v>n</v>
      </c>
    </row>
    <row r="1048458" spans="8:9" x14ac:dyDescent="0.25">
      <c r="H1048458" s="5"/>
      <c r="I1048458" s="6"/>
    </row>
  </sheetData>
  <autoFilter ref="B13:M175"/>
  <mergeCells count="8">
    <mergeCell ref="P12:P13"/>
    <mergeCell ref="B12:E12"/>
    <mergeCell ref="H12:I12"/>
    <mergeCell ref="J12:K12"/>
    <mergeCell ref="L12:M12"/>
    <mergeCell ref="N12:N13"/>
    <mergeCell ref="O12:O13"/>
    <mergeCell ref="D7:E8"/>
  </mergeCells>
  <conditionalFormatting sqref="M14:M175">
    <cfRule type="expression" dxfId="2" priority="17" stopIfTrue="1">
      <formula>L14="Concluída"</formula>
    </cfRule>
    <cfRule type="expression" dxfId="1" priority="18" stopIfTrue="1">
      <formula>L14="Em andamento"</formula>
    </cfRule>
    <cfRule type="expression" dxfId="0" priority="19" stopIfTrue="1">
      <formula>L14="Atrasada"</formula>
    </cfRule>
  </conditionalFormatting>
  <conditionalFormatting sqref="M2">
    <cfRule type="iconSet" priority="10">
      <iconSet iconSet="3Arrows">
        <cfvo type="percent" val="0"/>
        <cfvo type="percent" val="40"/>
        <cfvo type="percent" val="60"/>
      </iconSet>
    </cfRule>
  </conditionalFormatting>
  <pageMargins left="0.51181102362204722" right="0.51181102362204722" top="0.78740157480314965" bottom="0.78740157480314965" header="0.31496062992125984" footer="0.31496062992125984"/>
  <pageSetup paperSize="9" scale="50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CONTROLE CONCILIAÇÃO </vt:lpstr>
      <vt:lpstr>STATUS CONCILIAÇÃO_012020</vt:lpstr>
      <vt:lpstr>'STATUS CONCILIAÇÃO_012020'!Area_de_impressao</vt:lpstr>
    </vt:vector>
  </TitlesOfParts>
  <Company>Zatix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Anselmo</dc:creator>
  <cp:lastModifiedBy>Usuário do Windows</cp:lastModifiedBy>
  <cp:lastPrinted>2015-05-15T14:23:36Z</cp:lastPrinted>
  <dcterms:created xsi:type="dcterms:W3CDTF">2014-12-10T12:27:49Z</dcterms:created>
  <dcterms:modified xsi:type="dcterms:W3CDTF">2020-02-29T14:14:19Z</dcterms:modified>
</cp:coreProperties>
</file>