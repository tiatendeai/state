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E0B2BBC-EBE4-41DE-B9E2-D7DFDA41E4FC}" xr6:coauthVersionLast="47" xr6:coauthVersionMax="47" xr10:uidLastSave="{00000000-0000-0000-0000-000000000000}"/>
  <bookViews>
    <workbookView xWindow="-110" yWindow="-110" windowWidth="19420" windowHeight="10420" tabRatio="789" xr2:uid="{00000000-000D-0000-FFFF-FFFF00000000}"/>
  </bookViews>
  <sheets>
    <sheet name="salário líquido" sheetId="24" r:id="rId1"/>
    <sheet name="Tabelas" sheetId="25" r:id="rId2"/>
  </sheets>
  <definedNames>
    <definedName name="AliqMaxINSS" localSheetId="0">Tabelas!$D$12</definedName>
    <definedName name="AliqMaxINSS" localSheetId="1">Tabelas!$D$12</definedName>
    <definedName name="AliqMaxINSS">#REF!</definedName>
    <definedName name="DeducaoMaxINSS" localSheetId="0">Tabelas!$E$12</definedName>
    <definedName name="DeducaoMaxINSS" localSheetId="1">Tabelas!$E$12</definedName>
    <definedName name="DeducaoMaxINSS">#REF!</definedName>
    <definedName name="INSSMax" localSheetId="0">Tabelas!$C$12</definedName>
    <definedName name="INSSMax" localSheetId="1">Tabelas!$C$12</definedName>
    <definedName name="INSSMa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5" l="1"/>
  <c r="B11" i="25"/>
  <c r="B10" i="25"/>
  <c r="I9" i="24" l="1"/>
  <c r="J9" i="24" s="1" a="1"/>
  <c r="J9" i="24" s="1"/>
  <c r="K9" i="24" s="1"/>
  <c r="L9" i="24" s="1"/>
  <c r="I10" i="24"/>
  <c r="I11" i="24"/>
  <c r="J11" i="24" s="1" a="1"/>
  <c r="J11" i="24" s="1"/>
  <c r="K11" i="24" s="1"/>
  <c r="L11" i="24" s="1"/>
  <c r="I12" i="24"/>
  <c r="J12" i="24" s="1" a="1"/>
  <c r="J12" i="24" s="1"/>
  <c r="K12" i="24" s="1"/>
  <c r="L12" i="24" s="1"/>
  <c r="M12" i="24" l="1"/>
  <c r="J10" i="24" a="1"/>
  <c r="J10" i="24" s="1"/>
  <c r="K10" i="24" s="1"/>
  <c r="L10" i="24" s="1"/>
  <c r="M10" i="24" s="1"/>
  <c r="M9" i="24"/>
  <c r="M11" i="24"/>
</calcChain>
</file>

<file path=xl/sharedStrings.xml><?xml version="1.0" encoding="utf-8"?>
<sst xmlns="http://schemas.openxmlformats.org/spreadsheetml/2006/main" count="29" uniqueCount="26">
  <si>
    <t>INSS</t>
  </si>
  <si>
    <t>Salário Líquido</t>
  </si>
  <si>
    <t>IRRF</t>
  </si>
  <si>
    <t>Base IRRF</t>
  </si>
  <si>
    <t>Deduções IRRF</t>
  </si>
  <si>
    <t>Outros descontos</t>
  </si>
  <si>
    <t>Previdência privada</t>
  </si>
  <si>
    <t>Pensão alimentícia</t>
  </si>
  <si>
    <t>Salário Bruto</t>
  </si>
  <si>
    <t>Dependentes</t>
  </si>
  <si>
    <t>Cargo</t>
  </si>
  <si>
    <t>Funcionário</t>
  </si>
  <si>
    <t>Cálculo do salário líquido</t>
  </si>
  <si>
    <t>Calculadora INSS e-trabalhista</t>
  </si>
  <si>
    <t>Calculadora IRRF do governo</t>
  </si>
  <si>
    <t>Dúvida?</t>
  </si>
  <si>
    <t>Novo cálculo INSS</t>
  </si>
  <si>
    <t>Valor</t>
  </si>
  <si>
    <t>Parcela a deduzir do IRRF</t>
  </si>
  <si>
    <t>Alíquota</t>
  </si>
  <si>
    <t>Fim</t>
  </si>
  <si>
    <t>Início</t>
  </si>
  <si>
    <t>Parcela a deduzir do INSS</t>
  </si>
  <si>
    <t>Dedução por dependente</t>
  </si>
  <si>
    <t>Tabela IRRF</t>
  </si>
  <si>
    <t>Tabela INSS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</si>
</sst>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156FF"/>
      <name val="Calibri"/>
      <family val="2"/>
      <scheme val="minor"/>
    </font>
    <font>
      <b/>
      <sz val="11"/>
      <color rgb="FF0156FF"/>
      <name val="Calibri"/>
      <family val="2"/>
      <scheme val="minor"/>
    </font>
    <font>
      <sz val="11"/>
      <color rgb="FF0156FF"/>
      <name val="Calibri"/>
      <family val="2"/>
      <scheme val="minor"/>
    </font>
    <font>
      <sz val="17"/>
      <color theme="1"/>
      <name val="Calibri"/>
      <family val="2"/>
      <scheme val="minor"/>
    </font>
    <font>
      <sz val="11"/>
      <color rgb="FF00206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2D6494"/>
        <bgColor theme="4"/>
      </patternFill>
    </fill>
    <fill>
      <patternFill patternType="solid">
        <fgColor rgb="FF2D649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1"/>
      </left>
      <right/>
      <top style="thin">
        <color theme="4" tint="0.39997558519241921"/>
      </top>
      <bottom/>
      <diagonal/>
    </border>
    <border>
      <left/>
      <right/>
      <top/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13" fillId="34" borderId="10" xfId="0" applyFont="1" applyFill="1" applyBorder="1" applyAlignment="1">
      <alignment horizontal="left"/>
    </xf>
    <xf numFmtId="0" fontId="13" fillId="34" borderId="11" xfId="0" applyFont="1" applyFill="1" applyBorder="1" applyAlignment="1">
      <alignment horizontal="left"/>
    </xf>
    <xf numFmtId="0" fontId="19" fillId="0" borderId="0" xfId="43" applyFont="1" applyAlignment="1">
      <alignment horizontal="centerContinuous"/>
    </xf>
    <xf numFmtId="0" fontId="20" fillId="0" borderId="0" xfId="0" applyFont="1" applyAlignment="1">
      <alignment horizontal="centerContinuous"/>
    </xf>
    <xf numFmtId="0" fontId="21" fillId="0" borderId="0" xfId="0" applyFont="1"/>
    <xf numFmtId="0" fontId="21" fillId="0" borderId="0" xfId="0" applyFont="1" applyAlignment="1">
      <alignment horizontal="centerContinuous"/>
    </xf>
    <xf numFmtId="0" fontId="19" fillId="0" borderId="0" xfId="43" applyFont="1" applyAlignment="1">
      <alignment horizontal="center"/>
    </xf>
    <xf numFmtId="0" fontId="13" fillId="35" borderId="0" xfId="0" applyFont="1" applyFill="1" applyBorder="1" applyAlignment="1">
      <alignment horizontal="center"/>
    </xf>
    <xf numFmtId="164" fontId="0" fillId="0" borderId="10" xfId="42" applyNumberFormat="1" applyFont="1" applyBorder="1"/>
    <xf numFmtId="10" fontId="0" fillId="0" borderId="10" xfId="42" applyNumberFormat="1" applyFont="1" applyBorder="1"/>
    <xf numFmtId="44" fontId="0" fillId="0" borderId="0" xfId="44" applyFont="1"/>
    <xf numFmtId="44" fontId="0" fillId="0" borderId="0" xfId="44" applyNumberFormat="1" applyFont="1"/>
    <xf numFmtId="44" fontId="0" fillId="33" borderId="0" xfId="44" applyFont="1" applyFill="1"/>
    <xf numFmtId="0" fontId="13" fillId="34" borderId="12" xfId="0" applyFont="1" applyFill="1" applyBorder="1"/>
    <xf numFmtId="0" fontId="13" fillId="34" borderId="13" xfId="0" applyFont="1" applyFill="1" applyBorder="1"/>
    <xf numFmtId="0" fontId="0" fillId="0" borderId="14" xfId="0" applyBorder="1"/>
    <xf numFmtId="0" fontId="22" fillId="0" borderId="14" xfId="0" applyFont="1" applyBorder="1"/>
    <xf numFmtId="0" fontId="19" fillId="0" borderId="0" xfId="43" applyFont="1"/>
    <xf numFmtId="44" fontId="0" fillId="0" borderId="0" xfId="0" applyNumberFormat="1"/>
    <xf numFmtId="44" fontId="0" fillId="0" borderId="10" xfId="44" applyNumberFormat="1" applyFont="1" applyBorder="1"/>
    <xf numFmtId="0" fontId="23" fillId="0" borderId="0" xfId="0" applyFont="1"/>
  </cellXfs>
  <cellStyles count="45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3" builtinId="8"/>
    <cellStyle name="Moeda 2" xfId="44" xr:uid="{00000000-0005-0000-0000-00001F000000}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2D649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2D649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2D6494"/>
        </patternFill>
      </fill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2D6494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73895</xdr:rowOff>
    </xdr:from>
    <xdr:ext cx="2672203" cy="685947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73895"/>
          <a:ext cx="2672203" cy="68594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73895</xdr:rowOff>
    </xdr:from>
    <xdr:ext cx="2692854" cy="683387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73895"/>
          <a:ext cx="2692854" cy="683387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tbSalario" displayName="tbSalario" ref="B8:M13" totalsRowCount="1" headerRowDxfId="28">
  <autoFilter ref="B8:M12" xr:uid="{00000000-0009-0000-0100-00000D000000}"/>
  <tableColumns count="12">
    <tableColumn id="1" xr3:uid="{00000000-0010-0000-0B00-000001000000}" name="Funcionário"/>
    <tableColumn id="2" xr3:uid="{00000000-0010-0000-0B00-000002000000}" name="Cargo"/>
    <tableColumn id="3" xr3:uid="{00000000-0010-0000-0B00-000003000000}" name="Dependentes"/>
    <tableColumn id="4" xr3:uid="{00000000-0010-0000-0B00-000004000000}" name="Salário Bruto" totalsRowDxfId="8" dataCellStyle="Moeda 2" totalsRowCellStyle="Moeda 2"/>
    <tableColumn id="5" xr3:uid="{00000000-0010-0000-0B00-000005000000}" name="Pensão alimentícia" totalsRowDxfId="7" dataCellStyle="Moeda 2" totalsRowCellStyle="Moeda 2"/>
    <tableColumn id="6" xr3:uid="{00000000-0010-0000-0B00-000006000000}" name="Previdência privada" totalsRowDxfId="6" dataCellStyle="Moeda 2" totalsRowCellStyle="Moeda 2"/>
    <tableColumn id="7" xr3:uid="{00000000-0010-0000-0B00-000007000000}" name="Outros descontos" totalsRowDxfId="5" dataCellStyle="Moeda 2" totalsRowCellStyle="Moeda 2"/>
    <tableColumn id="8" xr3:uid="{00000000-0010-0000-0B00-000008000000}" name="INSS" dataDxfId="27" totalsRowDxfId="4" dataCellStyle="Moeda 2" totalsRowCellStyle="Moeda 2">
      <calculatedColumnFormula>IF(tbSalario[[#This Row],[Salário Bruto]]&lt;=INSSMax,(VLOOKUP(tbSalario[[#This Row],[Salário Bruto]],tbINSS[],3,1)*tbSalario[[#This Row],[Salário Bruto]])-VLOOKUP(tbSalario[[#This Row],[Salário Bruto]],tbINSS[],4,1),(INSSMax*AliqMaxINSS)-DeducaoMaxINSS)</calculatedColumnFormula>
    </tableColumn>
    <tableColumn id="9" xr3:uid="{00000000-0010-0000-0B00-000009000000}" name="Deduções IRRF" totalsRowDxfId="3" dataCellStyle="Moeda 2" totalsRowCellStyle="Moeda 2">
      <calculatedColumnFormula array="1">(tbSalario[[#This Row],[Dependentes]]*tbDeducaoDependente[])+tbSalario[[#This Row],[Pensão alimentícia]]+tbSalario[[#This Row],[Previdência privada]]+tbSalario[[#This Row],[INSS]]</calculatedColumnFormula>
    </tableColumn>
    <tableColumn id="10" xr3:uid="{00000000-0010-0000-0B00-00000A000000}" name="Base IRRF" totalsRowDxfId="2" dataCellStyle="Moeda 2" totalsRowCellStyle="Moeda 2">
      <calculatedColumnFormula>tbSalario[[#This Row],[Salário Bruto]]-tbSalario[[#This Row],[Deduções IRRF]]</calculatedColumnFormula>
    </tableColumn>
    <tableColumn id="11" xr3:uid="{00000000-0010-0000-0B00-00000B000000}" name="IRRF" totalsRowDxfId="1" dataCellStyle="Moeda 2" totalsRowCellStyle="Moeda 2">
      <calculatedColumnFormula>(VLOOKUP(tbSalario[[#This Row],[Base IRRF]],tbIRRF[],3,1)*tbSalario[[#This Row],[Base IRRF]])-VLOOKUP(tbSalario[[#This Row],[Base IRRF]],tbIRRF[],4,1)</calculatedColumnFormula>
    </tableColumn>
    <tableColumn id="12" xr3:uid="{00000000-0010-0000-0B00-00000C000000}" name="Salário Líquido" totalsRowDxfId="0" dataCellStyle="Moeda 2" totalsRowCellStyle="Moeda 2">
      <calculatedColumnFormula>tbSalario[[#This Row],[Salário Bruto]]-SUM(tbSalario[[#This Row],[Pensão alimentícia]:[INSS]],tbSalario[[#This Row],[IRRF]])</calculatedColumnFormula>
    </tableColumn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tbINSS" displayName="tbINSS" ref="B8:E13" totalsRowShown="0" headerRowDxfId="26" dataDxfId="25" tableBorderDxfId="24">
  <tableColumns count="4">
    <tableColumn id="1" xr3:uid="{00000000-0010-0000-0C00-000001000000}" name="Início" dataDxfId="23"/>
    <tableColumn id="2" xr3:uid="{00000000-0010-0000-0C00-000002000000}" name="Fim" dataDxfId="22"/>
    <tableColumn id="3" xr3:uid="{00000000-0010-0000-0C00-000003000000}" name="Alíquota" dataDxfId="21" dataCellStyle="Porcentagem"/>
    <tableColumn id="4" xr3:uid="{00000000-0010-0000-0C00-000004000000}" name="Parcela a deduzir do INSS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tbIRRF" displayName="tbIRRF" ref="G8:J13" totalsRowShown="0" headerRowDxfId="19" dataDxfId="18" tableBorderDxfId="17">
  <tableColumns count="4">
    <tableColumn id="1" xr3:uid="{00000000-0010-0000-0D00-000001000000}" name="Início" dataDxfId="16"/>
    <tableColumn id="2" xr3:uid="{00000000-0010-0000-0D00-000002000000}" name="Fim" dataDxfId="15"/>
    <tableColumn id="3" xr3:uid="{00000000-0010-0000-0D00-000003000000}" name="Alíquota" dataDxfId="14" dataCellStyle="Porcentagem"/>
    <tableColumn id="4" xr3:uid="{00000000-0010-0000-0D00-000004000000}" name="Parcela a deduzir do IRRF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tbDeducaoDependente" displayName="tbDeducaoDependente" ref="L8:L9" totalsRowShown="0" headerRowDxfId="12" dataDxfId="11" tableBorderDxfId="10">
  <tableColumns count="1">
    <tableColumn id="1" xr3:uid="{00000000-0010-0000-0E00-000001000000}" name="Valor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calculos.com.br/utilitarios/calcinss.php" TargetMode="External"/><Relationship Id="rId1" Type="http://schemas.openxmlformats.org/officeDocument/2006/relationships/hyperlink" Target="http://www26.receita.fazenda.gov.br/irpfsimulaliq/private/pages/simuladoraliquota.jsf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://idg.receita.fazenda.gov.br/acesso-rapido/tributos/irpf-imposto-de-renda-pessoa-fisica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://idg.receita.fazenda.gov.br/acesso-rapido/tributos/irpf-imposto-de-renda-pessoa-fisica" TargetMode="External"/><Relationship Id="rId1" Type="http://schemas.openxmlformats.org/officeDocument/2006/relationships/hyperlink" Target="http://www.previdencia.gov.br/servicos-ao-cidadao/todos-os-servicos/gps/tabela-contribuicao-mensal/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contabeis.com.br/noticias/42234/calculo-da-nova-tabela-progressiva-do-inss-aliquotas-e-parcela-a-deduzir/" TargetMode="Externa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M13"/>
  <sheetViews>
    <sheetView tabSelected="1" topLeftCell="D1" zoomScale="98" zoomScaleNormal="98" workbookViewId="0">
      <selection activeCell="D9" sqref="D9"/>
    </sheetView>
  </sheetViews>
  <sheetFormatPr defaultRowHeight="14.5" x14ac:dyDescent="0.35"/>
  <cols>
    <col min="1" max="1" width="4.453125" hidden="1" customWidth="1"/>
    <col min="2" max="2" width="20.54296875" hidden="1" customWidth="1"/>
    <col min="3" max="3" width="24" hidden="1" customWidth="1"/>
    <col min="4" max="4" width="15.453125" bestFit="1" customWidth="1"/>
    <col min="5" max="5" width="14.54296875" bestFit="1" customWidth="1"/>
    <col min="6" max="6" width="20.26953125" hidden="1" customWidth="1"/>
    <col min="7" max="7" width="21" hidden="1" customWidth="1"/>
    <col min="8" max="8" width="18.81640625" hidden="1" customWidth="1"/>
    <col min="9" max="9" width="12.1796875" bestFit="1" customWidth="1"/>
    <col min="10" max="10" width="16.453125" bestFit="1" customWidth="1"/>
    <col min="11" max="11" width="14.1796875" customWidth="1"/>
    <col min="12" max="12" width="15" customWidth="1"/>
    <col min="13" max="13" width="16.453125" bestFit="1" customWidth="1"/>
  </cols>
  <sheetData>
    <row r="3" spans="2:13" x14ac:dyDescent="0.35">
      <c r="K3" s="1" t="s">
        <v>15</v>
      </c>
      <c r="L3" s="19" t="s">
        <v>14</v>
      </c>
    </row>
    <row r="4" spans="2:13" x14ac:dyDescent="0.35">
      <c r="L4" s="19" t="s">
        <v>13</v>
      </c>
    </row>
    <row r="6" spans="2:13" ht="22" x14ac:dyDescent="0.5">
      <c r="B6" s="18" t="s">
        <v>12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2:13" ht="6" customHeight="1" x14ac:dyDescent="0.35"/>
    <row r="8" spans="2:13" x14ac:dyDescent="0.35">
      <c r="B8" s="16" t="s">
        <v>11</v>
      </c>
      <c r="C8" s="15" t="s">
        <v>10</v>
      </c>
      <c r="D8" s="2" t="s">
        <v>9</v>
      </c>
      <c r="E8" s="2" t="s">
        <v>8</v>
      </c>
      <c r="F8" s="2" t="s">
        <v>7</v>
      </c>
      <c r="G8" s="2" t="s">
        <v>6</v>
      </c>
      <c r="H8" s="2" t="s">
        <v>5</v>
      </c>
      <c r="I8" s="2" t="s">
        <v>0</v>
      </c>
      <c r="J8" s="2" t="s">
        <v>4</v>
      </c>
      <c r="K8" s="2" t="s">
        <v>3</v>
      </c>
      <c r="L8" s="2" t="s">
        <v>2</v>
      </c>
      <c r="M8" s="3" t="s">
        <v>1</v>
      </c>
    </row>
    <row r="9" spans="2:13" x14ac:dyDescent="0.35">
      <c r="D9">
        <v>0</v>
      </c>
      <c r="E9" s="14">
        <v>5000</v>
      </c>
      <c r="F9" s="12"/>
      <c r="G9" s="12"/>
      <c r="H9" s="12"/>
      <c r="I9" s="14">
        <f>IF(tbSalario[[#This Row],[Salário Bruto]]&lt;=INSSMax,(VLOOKUP(tbSalario[[#This Row],[Salário Bruto]],tbINSS[],3,1)*tbSalario[[#This Row],[Salário Bruto]])-VLOOKUP(tbSalario[[#This Row],[Salário Bruto]],tbINSS[],4,1),(INSSMax*AliqMaxINSS)-DeducaoMaxINSS)</f>
        <v>536.17000000000007</v>
      </c>
      <c r="J9" s="12">
        <f t="array" ref="J9">(tbSalario[[#This Row],[Dependentes]]*tbDeducaoDependente[])+tbSalario[[#This Row],[Pensão alimentícia]]+tbSalario[[#This Row],[Previdência privada]]+tbSalario[[#This Row],[INSS]]</f>
        <v>536.17000000000007</v>
      </c>
      <c r="K9" s="12">
        <f>tbSalario[[#This Row],[Salário Bruto]]-tbSalario[[#This Row],[Deduções IRRF]]</f>
        <v>4463.83</v>
      </c>
      <c r="L9" s="14">
        <f>(VLOOKUP(tbSalario[[#This Row],[Base IRRF]],tbIRRF[],3,1)*tbSalario[[#This Row],[Base IRRF]])-VLOOKUP(tbSalario[[#This Row],[Base IRRF]],tbIRRF[],4,1)</f>
        <v>368.23175000000003</v>
      </c>
      <c r="M9" s="12">
        <f>tbSalario[[#This Row],[Salário Bruto]]-SUM(tbSalario[[#This Row],[Pensão alimentícia]:[INSS]],tbSalario[[#This Row],[IRRF]])</f>
        <v>4095.59825</v>
      </c>
    </row>
    <row r="10" spans="2:13" x14ac:dyDescent="0.35">
      <c r="D10">
        <v>0</v>
      </c>
      <c r="E10" s="12">
        <v>0</v>
      </c>
      <c r="F10" s="12"/>
      <c r="G10" s="12"/>
      <c r="H10" s="12"/>
      <c r="I10" s="12">
        <f>IF(tbSalario[[#This Row],[Salário Bruto]]&lt;=INSSMax,(VLOOKUP(tbSalario[[#This Row],[Salário Bruto]],tbINSS[],3,1)*tbSalario[[#This Row],[Salário Bruto]])-VLOOKUP(tbSalario[[#This Row],[Salário Bruto]],tbINSS[],4,1),(INSSMax*AliqMaxINSS)-DeducaoMaxINSS)</f>
        <v>0</v>
      </c>
      <c r="J10" s="12">
        <f t="array" ref="J10">(tbSalario[[#This Row],[Dependentes]]*tbDeducaoDependente[])+tbSalario[[#This Row],[Pensão alimentícia]]+tbSalario[[#This Row],[Previdência privada]]+tbSalario[[#This Row],[INSS]]</f>
        <v>0</v>
      </c>
      <c r="K10" s="12">
        <f>tbSalario[[#This Row],[Salário Bruto]]-tbSalario[[#This Row],[Deduções IRRF]]</f>
        <v>0</v>
      </c>
      <c r="L10" s="12">
        <f>(VLOOKUP(tbSalario[[#This Row],[Base IRRF]],tbIRRF[],3,1)*tbSalario[[#This Row],[Base IRRF]])-VLOOKUP(tbSalario[[#This Row],[Base IRRF]],tbIRRF[],4,1)</f>
        <v>0</v>
      </c>
      <c r="M10" s="12">
        <f>tbSalario[[#This Row],[Salário Bruto]]-SUM(tbSalario[[#This Row],[Pensão alimentícia]:[INSS]],tbSalario[[#This Row],[IRRF]])</f>
        <v>0</v>
      </c>
    </row>
    <row r="11" spans="2:13" x14ac:dyDescent="0.35">
      <c r="D11">
        <v>0</v>
      </c>
      <c r="E11" s="12">
        <v>0</v>
      </c>
      <c r="F11" s="12"/>
      <c r="G11" s="12"/>
      <c r="H11" s="12"/>
      <c r="I11" s="12">
        <f>IF(tbSalario[[#This Row],[Salário Bruto]]&lt;=INSSMax,(VLOOKUP(tbSalario[[#This Row],[Salário Bruto]],tbINSS[],3,1)*tbSalario[[#This Row],[Salário Bruto]])-VLOOKUP(tbSalario[[#This Row],[Salário Bruto]],tbINSS[],4,1),(INSSMax*AliqMaxINSS)-DeducaoMaxINSS)</f>
        <v>0</v>
      </c>
      <c r="J11" s="12">
        <f t="array" ref="J11">(tbSalario[[#This Row],[Dependentes]]*tbDeducaoDependente[])+tbSalario[[#This Row],[Pensão alimentícia]]+tbSalario[[#This Row],[Previdência privada]]+tbSalario[[#This Row],[INSS]]</f>
        <v>0</v>
      </c>
      <c r="K11" s="12">
        <f>tbSalario[[#This Row],[Salário Bruto]]-tbSalario[[#This Row],[Deduções IRRF]]</f>
        <v>0</v>
      </c>
      <c r="L11" s="12">
        <f>(VLOOKUP(tbSalario[[#This Row],[Base IRRF]],tbIRRF[],3,1)*tbSalario[[#This Row],[Base IRRF]])-VLOOKUP(tbSalario[[#This Row],[Base IRRF]],tbIRRF[],4,1)</f>
        <v>0</v>
      </c>
      <c r="M11" s="12">
        <f>tbSalario[[#This Row],[Salário Bruto]]-SUM(tbSalario[[#This Row],[Pensão alimentícia]:[INSS]],tbSalario[[#This Row],[IRRF]])</f>
        <v>0</v>
      </c>
    </row>
    <row r="12" spans="2:13" x14ac:dyDescent="0.35">
      <c r="D12">
        <v>0</v>
      </c>
      <c r="E12" s="12">
        <v>0</v>
      </c>
      <c r="F12" s="12"/>
      <c r="G12" s="12"/>
      <c r="H12" s="12"/>
      <c r="I12" s="13">
        <f>IF(tbSalario[[#This Row],[Salário Bruto]]&lt;=INSSMax,(VLOOKUP(tbSalario[[#This Row],[Salário Bruto]],tbINSS[],3,1)*tbSalario[[#This Row],[Salário Bruto]])-VLOOKUP(tbSalario[[#This Row],[Salário Bruto]],tbINSS[],4,1),(INSSMax*AliqMaxINSS)-DeducaoMaxINSS)</f>
        <v>0</v>
      </c>
      <c r="J12" s="12">
        <f t="array" ref="J12">(tbSalario[[#This Row],[Dependentes]]*tbDeducaoDependente[])+tbSalario[[#This Row],[Pensão alimentícia]]+tbSalario[[#This Row],[Previdência privada]]+tbSalario[[#This Row],[INSS]]</f>
        <v>0</v>
      </c>
      <c r="K12" s="12">
        <f>tbSalario[[#This Row],[Salário Bruto]]-tbSalario[[#This Row],[Deduções IRRF]]</f>
        <v>0</v>
      </c>
      <c r="L12" s="12">
        <f>(VLOOKUP(tbSalario[[#This Row],[Base IRRF]],tbIRRF[],3,1)*tbSalario[[#This Row],[Base IRRF]])-VLOOKUP(tbSalario[[#This Row],[Base IRRF]],tbIRRF[],4,1)</f>
        <v>0</v>
      </c>
      <c r="M12" s="12">
        <f>tbSalario[[#This Row],[Salário Bruto]]-SUM(tbSalario[[#This Row],[Pensão alimentícia]:[INSS]],tbSalario[[#This Row],[IRRF]])</f>
        <v>0</v>
      </c>
    </row>
    <row r="13" spans="2:13" x14ac:dyDescent="0.35">
      <c r="E13" s="12"/>
      <c r="F13" s="12"/>
      <c r="G13" s="12"/>
      <c r="H13" s="12"/>
      <c r="I13" s="13"/>
      <c r="J13" s="12"/>
      <c r="K13" s="12"/>
      <c r="L13" s="12"/>
      <c r="M13" s="12"/>
    </row>
  </sheetData>
  <dataValidations count="1">
    <dataValidation errorStyle="information" allowBlank="1" showInputMessage="1" showErrorMessage="1" error="_x000a_" promptTitle="Deduções" prompt="https://www.metadados.com.br/blog/entenda-quais-sao-as-deducoes-cabiveis-ao-irrf/" sqref="J8" xr:uid="{00000000-0002-0000-0B00-000000000000}"/>
  </dataValidations>
  <hyperlinks>
    <hyperlink ref="L3" r:id="rId1" xr:uid="{00000000-0004-0000-0B00-000000000000}"/>
    <hyperlink ref="L4" r:id="rId2" xr:uid="{00000000-0004-0000-0B00-000001000000}"/>
  </hyperlinks>
  <pageMargins left="0.511811024" right="0.511811024" top="0.78740157499999996" bottom="0.78740157499999996" header="0.31496062000000002" footer="0.31496062000000002"/>
  <pageSetup paperSize="9" orientation="portrait" r:id="rId3"/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7:M20"/>
  <sheetViews>
    <sheetView showGridLines="0" showRowColHeaders="0" zoomScaleNormal="100" workbookViewId="0">
      <selection activeCell="F68" sqref="F68"/>
    </sheetView>
  </sheetViews>
  <sheetFormatPr defaultRowHeight="14.5" x14ac:dyDescent="0.35"/>
  <cols>
    <col min="1" max="1" width="4.453125" customWidth="1"/>
    <col min="2" max="3" width="12.1796875" bestFit="1" customWidth="1"/>
    <col min="4" max="4" width="13.7265625" customWidth="1"/>
    <col min="5" max="5" width="25.26953125" customWidth="1"/>
    <col min="7" max="8" width="12.1796875" bestFit="1" customWidth="1"/>
    <col min="9" max="9" width="10.7265625" customWidth="1"/>
    <col min="10" max="10" width="27.54296875" bestFit="1" customWidth="1"/>
    <col min="12" max="12" width="26" customWidth="1"/>
  </cols>
  <sheetData>
    <row r="7" spans="2:13" x14ac:dyDescent="0.35">
      <c r="B7" s="4" t="s">
        <v>25</v>
      </c>
      <c r="C7" s="5"/>
      <c r="D7" s="5"/>
      <c r="E7" s="5"/>
      <c r="F7" s="6"/>
      <c r="G7" s="4" t="s">
        <v>24</v>
      </c>
      <c r="H7" s="5"/>
      <c r="I7" s="5"/>
      <c r="J7" s="7"/>
      <c r="K7" s="6"/>
      <c r="L7" s="8" t="s">
        <v>23</v>
      </c>
      <c r="M7" s="22"/>
    </row>
    <row r="8" spans="2:13" x14ac:dyDescent="0.35">
      <c r="B8" s="9" t="s">
        <v>21</v>
      </c>
      <c r="C8" s="9" t="s">
        <v>20</v>
      </c>
      <c r="D8" s="9" t="s">
        <v>19</v>
      </c>
      <c r="E8" s="9" t="s">
        <v>22</v>
      </c>
      <c r="G8" s="9" t="s">
        <v>21</v>
      </c>
      <c r="H8" s="9" t="s">
        <v>20</v>
      </c>
      <c r="I8" s="9" t="s">
        <v>19</v>
      </c>
      <c r="J8" s="9" t="s">
        <v>18</v>
      </c>
      <c r="L8" s="9" t="s">
        <v>17</v>
      </c>
    </row>
    <row r="9" spans="2:13" x14ac:dyDescent="0.35">
      <c r="B9" s="21">
        <v>0</v>
      </c>
      <c r="C9" s="21">
        <v>1212</v>
      </c>
      <c r="D9" s="10">
        <v>7.4999999999999997E-2</v>
      </c>
      <c r="E9" s="21">
        <v>0</v>
      </c>
      <c r="G9" s="21">
        <v>0</v>
      </c>
      <c r="H9" s="21">
        <v>1903.98</v>
      </c>
      <c r="I9" s="11"/>
      <c r="J9" s="21">
        <v>0</v>
      </c>
      <c r="L9" s="21">
        <v>189.59</v>
      </c>
    </row>
    <row r="10" spans="2:13" x14ac:dyDescent="0.35">
      <c r="B10" s="21">
        <f>+C9+0.01</f>
        <v>1212.01</v>
      </c>
      <c r="C10" s="21">
        <v>2427.35</v>
      </c>
      <c r="D10" s="10">
        <v>0.09</v>
      </c>
      <c r="E10" s="21">
        <v>18.18</v>
      </c>
      <c r="G10" s="21">
        <v>1903.99</v>
      </c>
      <c r="H10" s="21">
        <v>2826.65</v>
      </c>
      <c r="I10" s="11">
        <v>7.4999999999999997E-2</v>
      </c>
      <c r="J10" s="21">
        <v>142.80000000000001</v>
      </c>
    </row>
    <row r="11" spans="2:13" x14ac:dyDescent="0.35">
      <c r="B11" s="21">
        <f>+C10+0.01</f>
        <v>2427.36</v>
      </c>
      <c r="C11" s="21">
        <v>3641.03</v>
      </c>
      <c r="D11" s="10">
        <v>0.12</v>
      </c>
      <c r="E11" s="21">
        <v>91</v>
      </c>
      <c r="G11" s="21">
        <v>2826.66</v>
      </c>
      <c r="H11" s="21">
        <v>3751.05</v>
      </c>
      <c r="I11" s="11">
        <v>0.15</v>
      </c>
      <c r="J11" s="21">
        <v>354.8</v>
      </c>
    </row>
    <row r="12" spans="2:13" x14ac:dyDescent="0.35">
      <c r="B12" s="21">
        <f>+C11+0.1</f>
        <v>3641.13</v>
      </c>
      <c r="C12" s="21">
        <v>7087.22</v>
      </c>
      <c r="D12" s="10">
        <v>0.14000000000000001</v>
      </c>
      <c r="E12" s="21">
        <v>163.83000000000001</v>
      </c>
      <c r="G12" s="21">
        <v>3751.06</v>
      </c>
      <c r="H12" s="21">
        <v>4664.68</v>
      </c>
      <c r="I12" s="11">
        <v>0.22500000000000001</v>
      </c>
      <c r="J12" s="21">
        <v>636.13</v>
      </c>
    </row>
    <row r="13" spans="2:13" x14ac:dyDescent="0.35">
      <c r="B13" s="21" t="s">
        <v>16</v>
      </c>
      <c r="C13" s="21"/>
      <c r="D13" s="10"/>
      <c r="E13" s="21"/>
      <c r="G13" s="21">
        <v>4664.6899999999996</v>
      </c>
      <c r="H13" s="21"/>
      <c r="I13" s="11">
        <v>0.27500000000000002</v>
      </c>
      <c r="J13" s="21">
        <v>869.36</v>
      </c>
    </row>
    <row r="17" spans="4:5" x14ac:dyDescent="0.35">
      <c r="E17" s="20"/>
    </row>
    <row r="18" spans="4:5" x14ac:dyDescent="0.35">
      <c r="D18" s="20"/>
      <c r="E18" s="20"/>
    </row>
    <row r="19" spans="4:5" x14ac:dyDescent="0.35">
      <c r="D19" s="20"/>
      <c r="E19" s="20"/>
    </row>
    <row r="20" spans="4:5" x14ac:dyDescent="0.35">
      <c r="D20" s="20"/>
      <c r="E20" s="20"/>
    </row>
  </sheetData>
  <hyperlinks>
    <hyperlink ref="B7" r:id="rId1" xr:uid="{00000000-0004-0000-0C00-000000000000}"/>
    <hyperlink ref="G7" r:id="rId2" display="Tabela IRPF" xr:uid="{00000000-0004-0000-0C00-000001000000}"/>
    <hyperlink ref="L7" r:id="rId3" xr:uid="{00000000-0004-0000-0C00-000002000000}"/>
    <hyperlink ref="B13" r:id="rId4" display="Cálculo com dedução" xr:uid="{00000000-0004-0000-0C00-000003000000}"/>
  </hyperlinks>
  <pageMargins left="0.511811024" right="0.511811024" top="0.78740157499999996" bottom="0.78740157499999996" header="0.31496062000000002" footer="0.31496062000000002"/>
  <pageSetup paperSize="9" orientation="portrait" r:id="rId5"/>
  <drawing r:id="rId6"/>
  <tableParts count="3"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salário líquido</vt:lpstr>
      <vt:lpstr>Tabelas</vt:lpstr>
      <vt:lpstr>'salário líquido'!AliqMaxINSS</vt:lpstr>
      <vt:lpstr>Tabelas!AliqMaxINSS</vt:lpstr>
      <vt:lpstr>'salário líquido'!DeducaoMaxINSS</vt:lpstr>
      <vt:lpstr>Tabelas!DeducaoMaxINSS</vt:lpstr>
      <vt:lpstr>'salário líquido'!INSSMax</vt:lpstr>
      <vt:lpstr>Tabelas!INSSMax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Alliz</dc:creator>
  <cp:lastModifiedBy>Admin</cp:lastModifiedBy>
  <cp:lastPrinted>2021-10-20T12:48:52Z</cp:lastPrinted>
  <dcterms:created xsi:type="dcterms:W3CDTF">2018-09-13T17:16:49Z</dcterms:created>
  <dcterms:modified xsi:type="dcterms:W3CDTF">2022-03-16T11:59:52Z</dcterms:modified>
</cp:coreProperties>
</file>