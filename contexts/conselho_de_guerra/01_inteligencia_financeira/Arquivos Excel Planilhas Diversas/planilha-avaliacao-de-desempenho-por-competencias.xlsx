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3.xml" ContentType="application/vnd.openxmlformats-officedocument.drawing+xml"/>
  <Override PartName="/xl/charts/chart5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Ta\Desktop\capital humano\"/>
    </mc:Choice>
  </mc:AlternateContent>
  <xr:revisionPtr revIDLastSave="0" documentId="8_{03B05DF1-143E-4D6A-972B-F6311E144AEB}" xr6:coauthVersionLast="45" xr6:coauthVersionMax="45" xr10:uidLastSave="{00000000-0000-0000-0000-000000000000}"/>
  <bookViews>
    <workbookView xWindow="-120" yWindow="-120" windowWidth="25440" windowHeight="15390" tabRatio="689" xr2:uid="{00000000-000D-0000-FFFF-FFFF00000000}"/>
  </bookViews>
  <sheets>
    <sheet name="Painel" sheetId="1" r:id="rId1"/>
    <sheet name="Colaborador (1)" sheetId="3" r:id="rId2"/>
    <sheet name="Colaborador (2)" sheetId="8" r:id="rId3"/>
    <sheet name="Colaborador (3)" sheetId="9" r:id="rId4"/>
    <sheet name="Colaborador (4)" sheetId="10" r:id="rId5"/>
    <sheet name="Colaborador (5)" sheetId="11" r:id="rId6"/>
    <sheet name="Colaborador (6)" sheetId="12" r:id="rId7"/>
    <sheet name="Colaborador (7)" sheetId="13" r:id="rId8"/>
    <sheet name="Colaborador (8)" sheetId="14" r:id="rId9"/>
    <sheet name="Colaborador (9)" sheetId="16" r:id="rId10"/>
    <sheet name="Colaborador (10)" sheetId="17" r:id="rId11"/>
    <sheet name="PANORAMA" sheetId="7" r:id="rId12"/>
    <sheet name="Plan8" sheetId="15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9" i="8" l="1"/>
  <c r="F20" i="8"/>
  <c r="F21" i="8"/>
  <c r="F22" i="8"/>
  <c r="F23" i="8"/>
  <c r="F24" i="8"/>
  <c r="F25" i="8"/>
  <c r="F26" i="8"/>
  <c r="F27" i="8"/>
  <c r="F28" i="8"/>
  <c r="F29" i="8"/>
  <c r="F19" i="9"/>
  <c r="F20" i="9"/>
  <c r="F21" i="9"/>
  <c r="F22" i="9"/>
  <c r="F23" i="9"/>
  <c r="F24" i="9"/>
  <c r="F25" i="9"/>
  <c r="F26" i="9"/>
  <c r="F27" i="9"/>
  <c r="F28" i="9"/>
  <c r="F29" i="9"/>
  <c r="F19" i="10"/>
  <c r="F20" i="10"/>
  <c r="F21" i="10"/>
  <c r="F22" i="10"/>
  <c r="F23" i="10"/>
  <c r="F24" i="10"/>
  <c r="F25" i="10"/>
  <c r="F26" i="10"/>
  <c r="F27" i="10"/>
  <c r="F28" i="10"/>
  <c r="F29" i="10"/>
  <c r="F19" i="11"/>
  <c r="F20" i="11"/>
  <c r="F21" i="11"/>
  <c r="F22" i="11"/>
  <c r="F23" i="11"/>
  <c r="F24" i="11"/>
  <c r="F25" i="11"/>
  <c r="F26" i="11"/>
  <c r="F27" i="11"/>
  <c r="F28" i="11"/>
  <c r="F29" i="11"/>
  <c r="F19" i="12"/>
  <c r="F20" i="12"/>
  <c r="F21" i="12"/>
  <c r="F22" i="12"/>
  <c r="F23" i="12"/>
  <c r="F24" i="12"/>
  <c r="F25" i="12"/>
  <c r="F26" i="12"/>
  <c r="F27" i="12"/>
  <c r="F28" i="12"/>
  <c r="F29" i="12"/>
  <c r="F19" i="13"/>
  <c r="F20" i="13"/>
  <c r="F21" i="13"/>
  <c r="F22" i="13"/>
  <c r="F23" i="13"/>
  <c r="F24" i="13"/>
  <c r="F25" i="13"/>
  <c r="F26" i="13"/>
  <c r="F27" i="13"/>
  <c r="F28" i="13"/>
  <c r="F29" i="13"/>
  <c r="F19" i="14"/>
  <c r="F20" i="14"/>
  <c r="F21" i="14"/>
  <c r="F22" i="14"/>
  <c r="F23" i="14"/>
  <c r="F24" i="14"/>
  <c r="F25" i="14"/>
  <c r="F26" i="14"/>
  <c r="F27" i="14"/>
  <c r="F28" i="14"/>
  <c r="F29" i="14"/>
  <c r="F19" i="16"/>
  <c r="F20" i="16"/>
  <c r="F21" i="16"/>
  <c r="F22" i="16"/>
  <c r="F23" i="16"/>
  <c r="F24" i="16"/>
  <c r="F25" i="16"/>
  <c r="F26" i="16"/>
  <c r="F27" i="16"/>
  <c r="F28" i="16"/>
  <c r="F29" i="16"/>
  <c r="F19" i="17"/>
  <c r="F20" i="17"/>
  <c r="F21" i="17"/>
  <c r="F22" i="17"/>
  <c r="F23" i="17"/>
  <c r="F24" i="17"/>
  <c r="F25" i="17"/>
  <c r="F26" i="17"/>
  <c r="F27" i="17"/>
  <c r="F28" i="17"/>
  <c r="F29" i="17"/>
  <c r="F19" i="3"/>
  <c r="F20" i="3"/>
  <c r="F21" i="3"/>
  <c r="F22" i="3"/>
  <c r="F23" i="3"/>
  <c r="F24" i="3"/>
  <c r="F25" i="3"/>
  <c r="F26" i="3"/>
  <c r="F27" i="3"/>
  <c r="F28" i="3"/>
  <c r="F29" i="3"/>
  <c r="H43" i="7"/>
  <c r="H44" i="7"/>
  <c r="H45" i="7"/>
  <c r="H46" i="7"/>
  <c r="H47" i="7"/>
  <c r="H48" i="7"/>
  <c r="H49" i="7"/>
  <c r="H50" i="7"/>
  <c r="H51" i="7"/>
  <c r="H42" i="7"/>
  <c r="D43" i="7"/>
  <c r="D44" i="7"/>
  <c r="D45" i="7"/>
  <c r="D46" i="7"/>
  <c r="D47" i="7"/>
  <c r="D48" i="7"/>
  <c r="D49" i="7"/>
  <c r="D50" i="7"/>
  <c r="D51" i="7"/>
  <c r="D42" i="7"/>
  <c r="B21" i="7"/>
  <c r="B4" i="7"/>
  <c r="J17" i="17"/>
  <c r="J16" i="17"/>
  <c r="J15" i="17"/>
  <c r="J14" i="17"/>
  <c r="J13" i="17"/>
  <c r="J12" i="17"/>
  <c r="J11" i="17"/>
  <c r="J10" i="17"/>
  <c r="J9" i="17"/>
  <c r="J8" i="17"/>
  <c r="J17" i="16"/>
  <c r="J16" i="16"/>
  <c r="J15" i="16"/>
  <c r="J14" i="16"/>
  <c r="J13" i="16"/>
  <c r="J12" i="16"/>
  <c r="J11" i="16"/>
  <c r="J10" i="16"/>
  <c r="J9" i="16"/>
  <c r="J8" i="16"/>
  <c r="J17" i="14"/>
  <c r="J16" i="14"/>
  <c r="J15" i="14"/>
  <c r="J14" i="14"/>
  <c r="J13" i="14"/>
  <c r="J12" i="14"/>
  <c r="J11" i="14"/>
  <c r="J10" i="14"/>
  <c r="J9" i="14"/>
  <c r="J8" i="14"/>
  <c r="J17" i="13"/>
  <c r="J16" i="13"/>
  <c r="J15" i="13"/>
  <c r="J14" i="13"/>
  <c r="J13" i="13"/>
  <c r="J12" i="13"/>
  <c r="J11" i="13"/>
  <c r="J10" i="13"/>
  <c r="J9" i="13"/>
  <c r="J8" i="13"/>
  <c r="J17" i="12"/>
  <c r="J16" i="12"/>
  <c r="J15" i="12"/>
  <c r="J14" i="12"/>
  <c r="J13" i="12"/>
  <c r="J12" i="12"/>
  <c r="J11" i="12"/>
  <c r="J10" i="12"/>
  <c r="J9" i="12"/>
  <c r="J8" i="12"/>
  <c r="J17" i="11"/>
  <c r="J16" i="11"/>
  <c r="J15" i="11"/>
  <c r="J14" i="11"/>
  <c r="J13" i="11"/>
  <c r="J12" i="11"/>
  <c r="J11" i="11"/>
  <c r="J10" i="11"/>
  <c r="J9" i="11"/>
  <c r="J8" i="11"/>
  <c r="J17" i="10"/>
  <c r="J16" i="10"/>
  <c r="J15" i="10"/>
  <c r="J14" i="10"/>
  <c r="J13" i="10"/>
  <c r="J12" i="10"/>
  <c r="J11" i="10"/>
  <c r="J10" i="10"/>
  <c r="J9" i="10"/>
  <c r="J8" i="10"/>
  <c r="E17" i="17"/>
  <c r="E16" i="17"/>
  <c r="E15" i="17"/>
  <c r="E14" i="17"/>
  <c r="E13" i="17"/>
  <c r="E12" i="17"/>
  <c r="E11" i="17"/>
  <c r="E10" i="17"/>
  <c r="E9" i="17"/>
  <c r="E8" i="17"/>
  <c r="E17" i="16"/>
  <c r="E16" i="16"/>
  <c r="E15" i="16"/>
  <c r="E14" i="16"/>
  <c r="E13" i="16"/>
  <c r="E12" i="16"/>
  <c r="E11" i="16"/>
  <c r="E10" i="16"/>
  <c r="E9" i="16"/>
  <c r="E8" i="16"/>
  <c r="E17" i="14"/>
  <c r="E16" i="14"/>
  <c r="E15" i="14"/>
  <c r="E14" i="14"/>
  <c r="E13" i="14"/>
  <c r="E12" i="14"/>
  <c r="E11" i="14"/>
  <c r="E10" i="14"/>
  <c r="E9" i="14"/>
  <c r="E8" i="14"/>
  <c r="E17" i="13"/>
  <c r="E16" i="13"/>
  <c r="E15" i="13"/>
  <c r="E14" i="13"/>
  <c r="E13" i="13"/>
  <c r="E12" i="13"/>
  <c r="E11" i="13"/>
  <c r="E10" i="13"/>
  <c r="E9" i="13"/>
  <c r="E8" i="13"/>
  <c r="E17" i="12"/>
  <c r="E16" i="12"/>
  <c r="E15" i="12"/>
  <c r="E14" i="12"/>
  <c r="E13" i="12"/>
  <c r="E12" i="12"/>
  <c r="E11" i="12"/>
  <c r="E10" i="12"/>
  <c r="E9" i="12"/>
  <c r="E8" i="12"/>
  <c r="E17" i="11"/>
  <c r="E16" i="11"/>
  <c r="E15" i="11"/>
  <c r="E14" i="11"/>
  <c r="E13" i="11"/>
  <c r="E12" i="11"/>
  <c r="E11" i="11"/>
  <c r="E10" i="11"/>
  <c r="E9" i="11"/>
  <c r="E8" i="11"/>
  <c r="E17" i="10"/>
  <c r="E16" i="10"/>
  <c r="E15" i="10"/>
  <c r="E14" i="10"/>
  <c r="E13" i="10"/>
  <c r="E12" i="10"/>
  <c r="E11" i="10"/>
  <c r="E10" i="10"/>
  <c r="E9" i="10"/>
  <c r="E8" i="10"/>
  <c r="J17" i="9"/>
  <c r="J16" i="9"/>
  <c r="J15" i="9"/>
  <c r="J14" i="9"/>
  <c r="J13" i="9"/>
  <c r="J12" i="9"/>
  <c r="J11" i="9"/>
  <c r="J10" i="9"/>
  <c r="J9" i="9"/>
  <c r="J8" i="9"/>
  <c r="E17" i="9"/>
  <c r="E16" i="9"/>
  <c r="E15" i="9"/>
  <c r="E14" i="9"/>
  <c r="E13" i="9"/>
  <c r="E12" i="9"/>
  <c r="E11" i="9"/>
  <c r="E10" i="9"/>
  <c r="E9" i="9"/>
  <c r="E8" i="9"/>
  <c r="J9" i="8"/>
  <c r="J10" i="8"/>
  <c r="J11" i="8"/>
  <c r="J12" i="8"/>
  <c r="J13" i="8"/>
  <c r="J14" i="8"/>
  <c r="J15" i="8"/>
  <c r="J16" i="8"/>
  <c r="J17" i="8"/>
  <c r="J8" i="8"/>
  <c r="E9" i="8"/>
  <c r="E10" i="8"/>
  <c r="E11" i="8"/>
  <c r="E12" i="8"/>
  <c r="E13" i="8"/>
  <c r="E14" i="8"/>
  <c r="E15" i="8"/>
  <c r="E16" i="8"/>
  <c r="E17" i="8"/>
  <c r="E8" i="8"/>
  <c r="F4" i="15"/>
  <c r="G4" i="15"/>
  <c r="H4" i="15"/>
  <c r="I4" i="15"/>
  <c r="J4" i="15"/>
  <c r="K4" i="15"/>
  <c r="L4" i="15"/>
  <c r="F5" i="15"/>
  <c r="G5" i="15"/>
  <c r="H5" i="15"/>
  <c r="I5" i="15"/>
  <c r="J5" i="15"/>
  <c r="K5" i="15"/>
  <c r="L5" i="15"/>
  <c r="F6" i="15"/>
  <c r="G6" i="15"/>
  <c r="H6" i="15"/>
  <c r="I6" i="15"/>
  <c r="J6" i="15"/>
  <c r="K6" i="15"/>
  <c r="L6" i="15"/>
  <c r="F7" i="15"/>
  <c r="G7" i="15"/>
  <c r="H7" i="15"/>
  <c r="I7" i="15"/>
  <c r="J7" i="15"/>
  <c r="K7" i="15"/>
  <c r="L7" i="15"/>
  <c r="F8" i="15"/>
  <c r="G8" i="15"/>
  <c r="H8" i="15"/>
  <c r="I8" i="15"/>
  <c r="J8" i="15"/>
  <c r="K8" i="15"/>
  <c r="L8" i="15"/>
  <c r="F9" i="15"/>
  <c r="G9" i="15"/>
  <c r="H9" i="15"/>
  <c r="I9" i="15"/>
  <c r="J9" i="15"/>
  <c r="K9" i="15"/>
  <c r="L9" i="15"/>
  <c r="F10" i="15"/>
  <c r="G10" i="15"/>
  <c r="H10" i="15"/>
  <c r="I10" i="15"/>
  <c r="J10" i="15"/>
  <c r="K10" i="15"/>
  <c r="L10" i="15"/>
  <c r="F11" i="15"/>
  <c r="G11" i="15"/>
  <c r="H11" i="15"/>
  <c r="I11" i="15"/>
  <c r="J11" i="15"/>
  <c r="K11" i="15"/>
  <c r="L11" i="15"/>
  <c r="F12" i="15"/>
  <c r="G12" i="15"/>
  <c r="H12" i="15"/>
  <c r="I12" i="15"/>
  <c r="J12" i="15"/>
  <c r="K12" i="15"/>
  <c r="L12" i="15"/>
  <c r="F13" i="15"/>
  <c r="G13" i="15"/>
  <c r="H13" i="15"/>
  <c r="I13" i="15"/>
  <c r="J13" i="15"/>
  <c r="K13" i="15"/>
  <c r="L13" i="15"/>
  <c r="F14" i="15"/>
  <c r="G14" i="15"/>
  <c r="H14" i="15"/>
  <c r="I14" i="15"/>
  <c r="J14" i="15"/>
  <c r="K14" i="15"/>
  <c r="L14" i="15"/>
  <c r="F15" i="15"/>
  <c r="G15" i="15"/>
  <c r="H15" i="15"/>
  <c r="I15" i="15"/>
  <c r="J15" i="15"/>
  <c r="K15" i="15"/>
  <c r="L15" i="15"/>
  <c r="F16" i="15"/>
  <c r="G16" i="15"/>
  <c r="H16" i="15"/>
  <c r="I16" i="15"/>
  <c r="J16" i="15"/>
  <c r="K16" i="15"/>
  <c r="L16" i="15"/>
  <c r="F17" i="15"/>
  <c r="G17" i="15"/>
  <c r="H17" i="15"/>
  <c r="I17" i="15"/>
  <c r="J17" i="15"/>
  <c r="K17" i="15"/>
  <c r="L17" i="15"/>
  <c r="F18" i="15"/>
  <c r="G18" i="15"/>
  <c r="H18" i="15"/>
  <c r="I18" i="15"/>
  <c r="J18" i="15"/>
  <c r="K18" i="15"/>
  <c r="L18" i="15"/>
  <c r="F19" i="15"/>
  <c r="G19" i="15"/>
  <c r="H19" i="15"/>
  <c r="I19" i="15"/>
  <c r="J19" i="15"/>
  <c r="K19" i="15"/>
  <c r="L19" i="15"/>
  <c r="F20" i="15"/>
  <c r="G20" i="15"/>
  <c r="H20" i="15"/>
  <c r="I20" i="15"/>
  <c r="J20" i="15"/>
  <c r="K20" i="15"/>
  <c r="L20" i="15"/>
  <c r="F21" i="15"/>
  <c r="G21" i="15"/>
  <c r="H21" i="15"/>
  <c r="I21" i="15"/>
  <c r="J21" i="15"/>
  <c r="K21" i="15"/>
  <c r="L21" i="15"/>
  <c r="F22" i="15"/>
  <c r="G22" i="15"/>
  <c r="H22" i="15"/>
  <c r="I22" i="15"/>
  <c r="J22" i="15"/>
  <c r="K22" i="15"/>
  <c r="L22" i="15"/>
  <c r="F23" i="15"/>
  <c r="G23" i="15"/>
  <c r="H23" i="15"/>
  <c r="I23" i="15"/>
  <c r="J23" i="15"/>
  <c r="K23" i="15"/>
  <c r="L23" i="15"/>
  <c r="L3" i="15"/>
  <c r="K3" i="15"/>
  <c r="J3" i="15"/>
  <c r="I3" i="15"/>
  <c r="H3" i="15"/>
  <c r="G3" i="15"/>
  <c r="F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3" i="15"/>
  <c r="C3" i="15"/>
  <c r="E3" i="17"/>
  <c r="L2" i="15"/>
  <c r="E3" i="16"/>
  <c r="K2" i="15"/>
  <c r="E28" i="17"/>
  <c r="E27" i="17"/>
  <c r="E26" i="17"/>
  <c r="E25" i="17"/>
  <c r="E24" i="17"/>
  <c r="E23" i="17"/>
  <c r="E22" i="17"/>
  <c r="E21" i="17"/>
  <c r="E20" i="17"/>
  <c r="E19" i="17"/>
  <c r="J6" i="17"/>
  <c r="E28" i="16"/>
  <c r="E27" i="16"/>
  <c r="E26" i="16"/>
  <c r="E25" i="16"/>
  <c r="E24" i="16"/>
  <c r="E23" i="16"/>
  <c r="E22" i="16"/>
  <c r="E21" i="16"/>
  <c r="E20" i="16"/>
  <c r="E19" i="16"/>
  <c r="J6" i="16"/>
  <c r="E3" i="14"/>
  <c r="J2" i="15"/>
  <c r="E3" i="13"/>
  <c r="I2" i="15"/>
  <c r="E3" i="12"/>
  <c r="H2" i="15"/>
  <c r="E3" i="11"/>
  <c r="G2" i="15"/>
  <c r="E3" i="10"/>
  <c r="F2" i="15"/>
  <c r="E3" i="9"/>
  <c r="E2" i="15"/>
  <c r="E3" i="8"/>
  <c r="D2" i="15"/>
  <c r="C2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E25" i="3"/>
  <c r="B20" i="15"/>
  <c r="E26" i="3"/>
  <c r="B21" i="15"/>
  <c r="E27" i="3"/>
  <c r="B22" i="15"/>
  <c r="E28" i="3"/>
  <c r="B23" i="15"/>
  <c r="B4" i="15"/>
  <c r="B5" i="15"/>
  <c r="B6" i="15"/>
  <c r="B7" i="15"/>
  <c r="B8" i="15"/>
  <c r="B9" i="15"/>
  <c r="B10" i="15"/>
  <c r="B11" i="15"/>
  <c r="B12" i="15"/>
  <c r="B13" i="15"/>
  <c r="E19" i="3"/>
  <c r="B14" i="15"/>
  <c r="E20" i="3"/>
  <c r="B15" i="15"/>
  <c r="E21" i="3"/>
  <c r="B16" i="15"/>
  <c r="E22" i="3"/>
  <c r="B17" i="15"/>
  <c r="E23" i="3"/>
  <c r="B18" i="15"/>
  <c r="E24" i="3"/>
  <c r="B19" i="15"/>
  <c r="B3" i="15"/>
  <c r="E28" i="14"/>
  <c r="E27" i="14"/>
  <c r="E26" i="14"/>
  <c r="E25" i="14"/>
  <c r="E24" i="14"/>
  <c r="E23" i="14"/>
  <c r="E22" i="14"/>
  <c r="E21" i="14"/>
  <c r="E20" i="14"/>
  <c r="E19" i="14"/>
  <c r="J6" i="14"/>
  <c r="E28" i="13"/>
  <c r="E27" i="13"/>
  <c r="E26" i="13"/>
  <c r="E25" i="13"/>
  <c r="E24" i="13"/>
  <c r="E23" i="13"/>
  <c r="E22" i="13"/>
  <c r="E21" i="13"/>
  <c r="E20" i="13"/>
  <c r="E19" i="13"/>
  <c r="J6" i="13"/>
  <c r="E28" i="12"/>
  <c r="E27" i="12"/>
  <c r="E26" i="12"/>
  <c r="E25" i="12"/>
  <c r="E24" i="12"/>
  <c r="E23" i="12"/>
  <c r="E22" i="12"/>
  <c r="E21" i="12"/>
  <c r="E20" i="12"/>
  <c r="E19" i="12"/>
  <c r="J6" i="12"/>
  <c r="E28" i="11"/>
  <c r="E27" i="11"/>
  <c r="E26" i="11"/>
  <c r="E25" i="11"/>
  <c r="E24" i="11"/>
  <c r="E23" i="11"/>
  <c r="E22" i="11"/>
  <c r="E21" i="11"/>
  <c r="E20" i="11"/>
  <c r="E19" i="11"/>
  <c r="J6" i="11"/>
  <c r="E28" i="10"/>
  <c r="E27" i="10"/>
  <c r="E26" i="10"/>
  <c r="E25" i="10"/>
  <c r="E24" i="10"/>
  <c r="E23" i="10"/>
  <c r="E22" i="10"/>
  <c r="E21" i="10"/>
  <c r="E20" i="10"/>
  <c r="E19" i="10"/>
  <c r="J6" i="10"/>
  <c r="E28" i="9"/>
  <c r="E27" i="9"/>
  <c r="E26" i="9"/>
  <c r="E25" i="9"/>
  <c r="E24" i="9"/>
  <c r="E23" i="9"/>
  <c r="E22" i="9"/>
  <c r="E21" i="9"/>
  <c r="E20" i="9"/>
  <c r="E19" i="9"/>
  <c r="J6" i="9"/>
  <c r="E28" i="8"/>
  <c r="E27" i="8"/>
  <c r="E26" i="8"/>
  <c r="E25" i="8"/>
  <c r="E24" i="8"/>
  <c r="E23" i="8"/>
  <c r="E22" i="8"/>
  <c r="E21" i="8"/>
  <c r="E20" i="8"/>
  <c r="E19" i="8"/>
  <c r="J6" i="8"/>
  <c r="J6" i="3"/>
</calcChain>
</file>

<file path=xl/sharedStrings.xml><?xml version="1.0" encoding="utf-8"?>
<sst xmlns="http://schemas.openxmlformats.org/spreadsheetml/2006/main" count="82" uniqueCount="26">
  <si>
    <t xml:space="preserve">AVALIADO (A):   </t>
  </si>
  <si>
    <t>LIDERANÇA</t>
  </si>
  <si>
    <t>MOTIVAÇÃO</t>
  </si>
  <si>
    <t>FLEXIBILIDADE</t>
  </si>
  <si>
    <t>INICIATIVA</t>
  </si>
  <si>
    <t>COMUNICAÇÃO</t>
  </si>
  <si>
    <t>COMPETÊNCIA 6</t>
  </si>
  <si>
    <t>COMPETÊNCIA 7</t>
  </si>
  <si>
    <t>COMPETÊNCIA 8</t>
  </si>
  <si>
    <t>COMPETÊNCIA 9</t>
  </si>
  <si>
    <t>COMPETÊNCIA 10</t>
  </si>
  <si>
    <t>CRITÉRIO 1</t>
  </si>
  <si>
    <t>CRITÉRIO 2</t>
  </si>
  <si>
    <t xml:space="preserve">NOTA TOTAL:  </t>
  </si>
  <si>
    <t>ORGANIZAÇÃO</t>
  </si>
  <si>
    <t>TRABALHO EM EQUIPE</t>
  </si>
  <si>
    <t>PONTUALIDADE</t>
  </si>
  <si>
    <t>COMPETÊNCIA 1</t>
  </si>
  <si>
    <t>COMPETÊNCIA 2</t>
  </si>
  <si>
    <t>COMPETÊNCIA 3</t>
  </si>
  <si>
    <t>COMPETÊNCIA 4</t>
  </si>
  <si>
    <t>COMPETÊNCIA 5</t>
  </si>
  <si>
    <t>COMPETÊNCIA 11</t>
  </si>
  <si>
    <t>COMPETÊNCIA 12</t>
  </si>
  <si>
    <t>Critério 1</t>
  </si>
  <si>
    <t>Critério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</si>
</sst>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rabic Typesetting"/>
      <family val="4"/>
    </font>
    <font>
      <b/>
      <sz val="20"/>
      <color theme="1"/>
      <name val="Arabic Typesetting"/>
      <family val="4"/>
    </font>
    <font>
      <sz val="16"/>
      <color theme="1"/>
      <name val="Arabic Typesetting"/>
      <family val="4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6"/>
      <name val="Arabic Typesetting"/>
      <family val="4"/>
    </font>
    <font>
      <u/>
      <sz val="11"/>
      <color theme="10"/>
      <name val="Calibri"/>
      <family val="2"/>
      <scheme val="minor"/>
    </font>
    <font>
      <sz val="14"/>
      <color theme="0"/>
      <name val="Arabic Typesetting"/>
      <family val="4"/>
    </font>
    <font>
      <sz val="16"/>
      <color theme="0"/>
      <name val="Arabic Typesetting"/>
      <family val="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4" fillId="0" borderId="2" xfId="0" applyFont="1" applyBorder="1" applyAlignment="1">
      <alignment horizontal="right"/>
    </xf>
    <xf numFmtId="0" fontId="10" fillId="3" borderId="0" xfId="0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1" fontId="6" fillId="0" borderId="3" xfId="2" applyNumberFormat="1" applyFont="1" applyBorder="1" applyAlignment="1">
      <alignment horizontal="center"/>
    </xf>
    <xf numFmtId="9" fontId="5" fillId="5" borderId="4" xfId="1" applyFont="1" applyFill="1" applyBorder="1" applyAlignment="1"/>
    <xf numFmtId="1" fontId="2" fillId="0" borderId="0" xfId="0" applyNumberFormat="1" applyFont="1"/>
    <xf numFmtId="1" fontId="3" fillId="0" borderId="0" xfId="0" applyNumberFormat="1" applyFont="1" applyBorder="1"/>
    <xf numFmtId="1" fontId="0" fillId="0" borderId="0" xfId="0" applyNumberFormat="1"/>
    <xf numFmtId="0" fontId="2" fillId="7" borderId="0" xfId="0" applyFont="1" applyFill="1" applyBorder="1"/>
    <xf numFmtId="0" fontId="0" fillId="7" borderId="0" xfId="0" applyFill="1" applyBorder="1"/>
    <xf numFmtId="0" fontId="2" fillId="7" borderId="1" xfId="0" applyFont="1" applyFill="1" applyBorder="1"/>
    <xf numFmtId="0" fontId="0" fillId="7" borderId="1" xfId="0" applyFill="1" applyBorder="1"/>
    <xf numFmtId="0" fontId="0" fillId="7" borderId="0" xfId="0" applyFill="1"/>
    <xf numFmtId="0" fontId="13" fillId="2" borderId="0" xfId="3" quotePrefix="1" applyFill="1"/>
    <xf numFmtId="0" fontId="3" fillId="2" borderId="0" xfId="0" applyFont="1" applyFill="1" applyBorder="1"/>
    <xf numFmtId="0" fontId="14" fillId="2" borderId="0" xfId="0" applyFont="1" applyFill="1" applyBorder="1" applyAlignment="1">
      <alignment horizontal="right"/>
    </xf>
    <xf numFmtId="2" fontId="15" fillId="2" borderId="0" xfId="2" applyNumberFormat="1" applyFont="1" applyFill="1" applyBorder="1" applyAlignment="1">
      <alignment horizontal="center"/>
    </xf>
    <xf numFmtId="1" fontId="3" fillId="0" borderId="0" xfId="0" applyNumberFormat="1" applyFont="1"/>
    <xf numFmtId="0" fontId="11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 textRotation="90"/>
    </xf>
    <xf numFmtId="0" fontId="12" fillId="3" borderId="0" xfId="0" applyFont="1" applyFill="1" applyBorder="1" applyAlignment="1">
      <alignment horizontal="right"/>
    </xf>
    <xf numFmtId="0" fontId="0" fillId="7" borderId="0" xfId="0" applyFill="1" applyAlignment="1">
      <alignment horizontal="center"/>
    </xf>
    <xf numFmtId="0" fontId="8" fillId="4" borderId="0" xfId="0" applyFont="1" applyFill="1" applyAlignment="1">
      <alignment horizontal="center" vertical="center" textRotation="90"/>
    </xf>
    <xf numFmtId="0" fontId="9" fillId="4" borderId="0" xfId="0" applyFont="1" applyFill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/>
    </xf>
  </cellXfs>
  <cellStyles count="4">
    <cellStyle name="Hiperlink" xfId="3" builtinId="8"/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colors>
    <mruColors>
      <color rgb="FFF8A764"/>
      <color rgb="FFFFFF81"/>
      <color rgb="FFFFFFBD"/>
      <color rgb="FF9CBC5C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595E-2"/>
          <c:y val="0"/>
          <c:w val="0.87361886249574472"/>
          <c:h val="0.7029323340880913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(1)'!$E$8:$E$28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(1)'!$F$8:$F$28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5-4D60-A083-8671255A9FC7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(1)'!$E$8:$E$28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(1)'!$G$8:$G$28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5-4D60-A083-8671255A9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0977792"/>
        <c:axId val="210323136"/>
        <c:axId val="210148480"/>
      </c:bar3DChart>
      <c:catAx>
        <c:axId val="21097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0323136"/>
        <c:crosses val="autoZero"/>
        <c:auto val="1"/>
        <c:lblAlgn val="ctr"/>
        <c:lblOffset val="100"/>
        <c:noMultiLvlLbl val="0"/>
      </c:catAx>
      <c:valAx>
        <c:axId val="21032313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0977792"/>
        <c:crosses val="autoZero"/>
        <c:crossBetween val="between"/>
      </c:valAx>
      <c:serAx>
        <c:axId val="210148480"/>
        <c:scaling>
          <c:orientation val="minMax"/>
        </c:scaling>
        <c:delete val="1"/>
        <c:axPos val="b"/>
        <c:majorTickMark val="out"/>
        <c:minorTickMark val="none"/>
        <c:tickLblPos val="none"/>
        <c:crossAx val="210323136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(1)'!$E$8:$E$17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(1)'!$F$8:$F$17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A66-473F-9E9D-0688849A6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78304"/>
        <c:axId val="210324864"/>
      </c:radarChart>
      <c:catAx>
        <c:axId val="21097830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24864"/>
        <c:crosses val="autoZero"/>
        <c:auto val="1"/>
        <c:lblAlgn val="ctr"/>
        <c:lblOffset val="100"/>
        <c:noMultiLvlLbl val="0"/>
      </c:catAx>
      <c:valAx>
        <c:axId val="210324864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0978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(1)'!$J$8:$J$17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(1)'!$K$8:$K$17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373-4E0C-9768-675A0020B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78816"/>
        <c:axId val="210326592"/>
      </c:radarChart>
      <c:catAx>
        <c:axId val="21097881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26592"/>
        <c:crosses val="autoZero"/>
        <c:auto val="1"/>
        <c:lblAlgn val="ctr"/>
        <c:lblOffset val="100"/>
        <c:noMultiLvlLbl val="0"/>
      </c:catAx>
      <c:valAx>
        <c:axId val="210326592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0978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494"/>
          <c:h val="0.70293233408809153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(2)'!$E$8:$E$28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(2)'!$F$8:$F$28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B-41AA-A76C-084650F15D09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(2)'!$E$8:$E$28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(2)'!$G$8:$G$28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B-41AA-A76C-084650F15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0448896"/>
        <c:axId val="56164352"/>
        <c:axId val="211236096"/>
      </c:bar3DChart>
      <c:catAx>
        <c:axId val="21044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56164352"/>
        <c:crosses val="autoZero"/>
        <c:auto val="1"/>
        <c:lblAlgn val="ctr"/>
        <c:lblOffset val="100"/>
        <c:noMultiLvlLbl val="0"/>
      </c:catAx>
      <c:valAx>
        <c:axId val="5616435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0448896"/>
        <c:crosses val="autoZero"/>
        <c:crossBetween val="between"/>
      </c:valAx>
      <c:serAx>
        <c:axId val="211236096"/>
        <c:scaling>
          <c:orientation val="minMax"/>
        </c:scaling>
        <c:delete val="1"/>
        <c:axPos val="b"/>
        <c:majorTickMark val="out"/>
        <c:minorTickMark val="none"/>
        <c:tickLblPos val="none"/>
        <c:crossAx val="56164352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(2)'!$E$8:$E$17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(2)'!$F$8:$F$17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3570-45A5-9238-092C8192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0432"/>
        <c:axId val="56166080"/>
      </c:radarChart>
      <c:catAx>
        <c:axId val="21045043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56166080"/>
        <c:crosses val="autoZero"/>
        <c:auto val="1"/>
        <c:lblAlgn val="ctr"/>
        <c:lblOffset val="100"/>
        <c:noMultiLvlLbl val="0"/>
      </c:catAx>
      <c:valAx>
        <c:axId val="56166080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0450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(2)'!$J$8:$J$17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(2)'!$K$8:$K$17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EC2-4C55-8E53-1D339B784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50944"/>
        <c:axId val="56167808"/>
      </c:radarChart>
      <c:catAx>
        <c:axId val="21045094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56167808"/>
        <c:crosses val="autoZero"/>
        <c:auto val="1"/>
        <c:lblAlgn val="ctr"/>
        <c:lblOffset val="100"/>
        <c:noMultiLvlLbl val="0"/>
      </c:catAx>
      <c:valAx>
        <c:axId val="56167808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045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494"/>
          <c:h val="0.70293233408809153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(3)'!$E$8:$E$28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(3)'!$F$8:$F$28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2-40F1-BF54-CFA0C8310D4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(3)'!$E$8:$E$28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(3)'!$G$8:$G$28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B2-40F1-BF54-CFA0C8310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9302656"/>
        <c:axId val="56170688"/>
        <c:axId val="211236736"/>
      </c:bar3DChart>
      <c:catAx>
        <c:axId val="39302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56170688"/>
        <c:crosses val="autoZero"/>
        <c:auto val="1"/>
        <c:lblAlgn val="ctr"/>
        <c:lblOffset val="100"/>
        <c:noMultiLvlLbl val="0"/>
      </c:catAx>
      <c:valAx>
        <c:axId val="561706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9302656"/>
        <c:crosses val="autoZero"/>
        <c:crossBetween val="between"/>
      </c:valAx>
      <c:serAx>
        <c:axId val="211236736"/>
        <c:scaling>
          <c:orientation val="minMax"/>
        </c:scaling>
        <c:delete val="1"/>
        <c:axPos val="b"/>
        <c:majorTickMark val="out"/>
        <c:minorTickMark val="none"/>
        <c:tickLblPos val="none"/>
        <c:crossAx val="56170688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(3)'!$E$8:$E$17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(3)'!$F$8:$F$17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896-41B2-95B4-4F263D00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2448"/>
        <c:axId val="211312640"/>
      </c:radarChart>
      <c:catAx>
        <c:axId val="21175244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1312640"/>
        <c:crosses val="autoZero"/>
        <c:auto val="1"/>
        <c:lblAlgn val="ctr"/>
        <c:lblOffset val="100"/>
        <c:noMultiLvlLbl val="0"/>
      </c:catAx>
      <c:valAx>
        <c:axId val="211312640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1752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(3)'!$J$8:$J$17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(3)'!$K$8:$K$17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A29-4289-AB9D-F1B727B57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2960"/>
        <c:axId val="211314368"/>
      </c:radarChart>
      <c:catAx>
        <c:axId val="2117529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1314368"/>
        <c:crosses val="autoZero"/>
        <c:auto val="1"/>
        <c:lblAlgn val="ctr"/>
        <c:lblOffset val="100"/>
        <c:noMultiLvlLbl val="0"/>
      </c:catAx>
      <c:valAx>
        <c:axId val="211314368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1752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516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(4)'!$E$8:$E$28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(4)'!$F$8:$F$28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9-40FF-A7AA-3CAF337FA325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(4)'!$E$8:$E$28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(4)'!$G$8:$G$28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9-40FF-A7AA-3CAF337FA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340736"/>
        <c:axId val="211317248"/>
        <c:axId val="211685376"/>
      </c:bar3DChart>
      <c:catAx>
        <c:axId val="212340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1317248"/>
        <c:crosses val="autoZero"/>
        <c:auto val="1"/>
        <c:lblAlgn val="ctr"/>
        <c:lblOffset val="100"/>
        <c:noMultiLvlLbl val="0"/>
      </c:catAx>
      <c:valAx>
        <c:axId val="21131724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2340736"/>
        <c:crosses val="autoZero"/>
        <c:crossBetween val="between"/>
      </c:valAx>
      <c:serAx>
        <c:axId val="211685376"/>
        <c:scaling>
          <c:orientation val="minMax"/>
        </c:scaling>
        <c:delete val="1"/>
        <c:axPos val="b"/>
        <c:majorTickMark val="out"/>
        <c:minorTickMark val="none"/>
        <c:tickLblPos val="none"/>
        <c:crossAx val="211317248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(4)'!$E$8:$E$17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(4)'!$F$8:$F$17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274-407B-99F0-389E2616C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42272"/>
        <c:axId val="211318976"/>
      </c:radarChart>
      <c:catAx>
        <c:axId val="2123422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1318976"/>
        <c:crosses val="autoZero"/>
        <c:auto val="1"/>
        <c:lblAlgn val="ctr"/>
        <c:lblOffset val="100"/>
        <c:noMultiLvlLbl val="0"/>
      </c:catAx>
      <c:valAx>
        <c:axId val="211318976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342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(4)'!$J$8:$J$17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(4)'!$K$8:$K$17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313-454D-AB24-79573FAF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42784"/>
        <c:axId val="212467712"/>
      </c:radarChart>
      <c:catAx>
        <c:axId val="21234278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2467712"/>
        <c:crosses val="autoZero"/>
        <c:auto val="1"/>
        <c:lblAlgn val="ctr"/>
        <c:lblOffset val="100"/>
        <c:noMultiLvlLbl val="0"/>
      </c:catAx>
      <c:valAx>
        <c:axId val="212467712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34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561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(5)'!$E$8:$E$28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(5)'!$F$8:$F$28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A-4613-ACB2-EC6FC7C23A3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(5)'!$E$8:$E$28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(5)'!$G$8:$G$28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A-4613-ACB2-EC6FC7C2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838400"/>
        <c:axId val="212470592"/>
        <c:axId val="211686016"/>
      </c:bar3DChart>
      <c:catAx>
        <c:axId val="212838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2470592"/>
        <c:crosses val="autoZero"/>
        <c:auto val="1"/>
        <c:lblAlgn val="ctr"/>
        <c:lblOffset val="100"/>
        <c:noMultiLvlLbl val="0"/>
      </c:catAx>
      <c:valAx>
        <c:axId val="21247059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2838400"/>
        <c:crosses val="autoZero"/>
        <c:crossBetween val="between"/>
      </c:valAx>
      <c:serAx>
        <c:axId val="211686016"/>
        <c:scaling>
          <c:orientation val="minMax"/>
        </c:scaling>
        <c:delete val="1"/>
        <c:axPos val="b"/>
        <c:majorTickMark val="out"/>
        <c:minorTickMark val="none"/>
        <c:tickLblPos val="none"/>
        <c:crossAx val="212470592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(5)'!$E$8:$E$17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(5)'!$F$8:$F$17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C01-433D-AF01-365C81A3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39936"/>
        <c:axId val="212472320"/>
      </c:radarChart>
      <c:catAx>
        <c:axId val="21283993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2472320"/>
        <c:crosses val="autoZero"/>
        <c:auto val="1"/>
        <c:lblAlgn val="ctr"/>
        <c:lblOffset val="100"/>
        <c:noMultiLvlLbl val="0"/>
      </c:catAx>
      <c:valAx>
        <c:axId val="212472320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839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(5)'!$J$8:$J$17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(5)'!$K$8:$K$17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B8F-4530-B7B0-27B325EB4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18272"/>
        <c:axId val="212474048"/>
      </c:radarChart>
      <c:catAx>
        <c:axId val="2129182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2474048"/>
        <c:crosses val="autoZero"/>
        <c:auto val="1"/>
        <c:lblAlgn val="ctr"/>
        <c:lblOffset val="100"/>
        <c:noMultiLvlLbl val="0"/>
      </c:catAx>
      <c:valAx>
        <c:axId val="212474048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918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583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(6)'!$E$8:$E$28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(6)'!$F$8:$F$28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F-469E-AED6-6563F54DEAEB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(6)'!$E$8:$E$28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(6)'!$G$8:$G$28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F-469E-AED6-6563F54D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920320"/>
        <c:axId val="210355328"/>
        <c:axId val="211687936"/>
      </c:bar3DChart>
      <c:catAx>
        <c:axId val="212920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0355328"/>
        <c:crosses val="autoZero"/>
        <c:auto val="1"/>
        <c:lblAlgn val="ctr"/>
        <c:lblOffset val="100"/>
        <c:noMultiLvlLbl val="0"/>
      </c:catAx>
      <c:valAx>
        <c:axId val="21035532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2920320"/>
        <c:crosses val="autoZero"/>
        <c:crossBetween val="between"/>
      </c:valAx>
      <c:serAx>
        <c:axId val="211687936"/>
        <c:scaling>
          <c:orientation val="minMax"/>
        </c:scaling>
        <c:delete val="1"/>
        <c:axPos val="b"/>
        <c:majorTickMark val="out"/>
        <c:minorTickMark val="none"/>
        <c:tickLblPos val="none"/>
        <c:crossAx val="210355328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(6)'!$E$8:$E$17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(6)'!$F$8:$F$17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E0D0-4EB7-8401-5C2D2F97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13760"/>
        <c:axId val="210357056"/>
      </c:radarChart>
      <c:catAx>
        <c:axId val="2122137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57056"/>
        <c:crosses val="autoZero"/>
        <c:auto val="1"/>
        <c:lblAlgn val="ctr"/>
        <c:lblOffset val="100"/>
        <c:noMultiLvlLbl val="0"/>
      </c:catAx>
      <c:valAx>
        <c:axId val="210357056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213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(6)'!$J$8:$J$17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(6)'!$K$8:$K$17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9AC1-4457-B7AF-46D40C61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14272"/>
        <c:axId val="210358784"/>
      </c:radarChart>
      <c:catAx>
        <c:axId val="2122142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58784"/>
        <c:crosses val="autoZero"/>
        <c:auto val="1"/>
        <c:lblAlgn val="ctr"/>
        <c:lblOffset val="100"/>
        <c:noMultiLvlLbl val="0"/>
      </c:catAx>
      <c:valAx>
        <c:axId val="210358784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214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605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(7)'!$E$8:$E$28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(7)'!$F$8:$F$28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7-43B9-B83B-72717DDC2828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(7)'!$E$8:$E$28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(7)'!$G$8:$G$28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7-43B9-B83B-72717DDC2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216320"/>
        <c:axId val="210361664"/>
        <c:axId val="211688576"/>
      </c:bar3DChart>
      <c:catAx>
        <c:axId val="212216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0361664"/>
        <c:crosses val="autoZero"/>
        <c:auto val="1"/>
        <c:lblAlgn val="ctr"/>
        <c:lblOffset val="100"/>
        <c:noMultiLvlLbl val="0"/>
      </c:catAx>
      <c:valAx>
        <c:axId val="21036166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2216320"/>
        <c:crosses val="autoZero"/>
        <c:crossBetween val="between"/>
      </c:valAx>
      <c:serAx>
        <c:axId val="211688576"/>
        <c:scaling>
          <c:orientation val="minMax"/>
        </c:scaling>
        <c:delete val="1"/>
        <c:axPos val="b"/>
        <c:majorTickMark val="out"/>
        <c:minorTickMark val="none"/>
        <c:tickLblPos val="none"/>
        <c:crossAx val="210361664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(7)'!$E$8:$E$17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(7)'!$F$8:$F$17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F202-4E4E-B4E8-6CA732EF6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17344"/>
        <c:axId val="210363520"/>
      </c:radarChart>
      <c:catAx>
        <c:axId val="21221734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63520"/>
        <c:crosses val="autoZero"/>
        <c:auto val="1"/>
        <c:lblAlgn val="ctr"/>
        <c:lblOffset val="100"/>
        <c:noMultiLvlLbl val="0"/>
      </c:catAx>
      <c:valAx>
        <c:axId val="210363520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217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(7)'!$J$8:$J$17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(7)'!$K$8:$K$17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2FF-4491-9C31-D1B218F3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4912"/>
        <c:axId val="210365248"/>
      </c:radarChart>
      <c:catAx>
        <c:axId val="21277491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65248"/>
        <c:crosses val="autoZero"/>
        <c:auto val="1"/>
        <c:lblAlgn val="ctr"/>
        <c:lblOffset val="100"/>
        <c:noMultiLvlLbl val="0"/>
      </c:catAx>
      <c:valAx>
        <c:axId val="210365248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774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638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(8)'!$E$8:$E$28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(8)'!$F$8:$F$28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49A2-9F0B-D5CAA8997F5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(8)'!$E$8:$E$28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(8)'!$G$8:$G$28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9-49A2-9F0B-D5CAA8997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776960"/>
        <c:axId val="210368128"/>
        <c:axId val="212755712"/>
      </c:bar3DChart>
      <c:catAx>
        <c:axId val="212776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0368128"/>
        <c:crosses val="autoZero"/>
        <c:auto val="1"/>
        <c:lblAlgn val="ctr"/>
        <c:lblOffset val="100"/>
        <c:noMultiLvlLbl val="0"/>
      </c:catAx>
      <c:valAx>
        <c:axId val="21036812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2776960"/>
        <c:crosses val="autoZero"/>
        <c:crossBetween val="between"/>
      </c:valAx>
      <c:serAx>
        <c:axId val="212755712"/>
        <c:scaling>
          <c:orientation val="minMax"/>
        </c:scaling>
        <c:delete val="1"/>
        <c:axPos val="b"/>
        <c:majorTickMark val="out"/>
        <c:minorTickMark val="none"/>
        <c:tickLblPos val="none"/>
        <c:crossAx val="210368128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097" footer="0.31496062000000097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(8)'!$E$8:$E$17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(8)'!$F$8:$F$17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E9F-4B24-A6F9-4038E4CB3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8496"/>
        <c:axId val="210369856"/>
      </c:radarChart>
      <c:catAx>
        <c:axId val="21277849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0369856"/>
        <c:crosses val="autoZero"/>
        <c:auto val="1"/>
        <c:lblAlgn val="ctr"/>
        <c:lblOffset val="100"/>
        <c:noMultiLvlLbl val="0"/>
      </c:catAx>
      <c:valAx>
        <c:axId val="210369856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778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(8)'!$J$8:$J$17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(8)'!$K$8:$K$17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C82E-49D8-BDF4-3704E704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20672"/>
        <c:axId val="213156992"/>
      </c:radarChart>
      <c:catAx>
        <c:axId val="21302067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3156992"/>
        <c:crosses val="autoZero"/>
        <c:auto val="1"/>
        <c:lblAlgn val="ctr"/>
        <c:lblOffset val="100"/>
        <c:noMultiLvlLbl val="0"/>
      </c:catAx>
      <c:valAx>
        <c:axId val="213156992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3020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672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(9)'!$E$8:$E$28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(9)'!$F$8:$F$28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B-4C5D-A51B-6AEE77F61554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(9)'!$E$8:$E$28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(9)'!$G$8:$G$28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B-4C5D-A51B-6AEE77F61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3022720"/>
        <c:axId val="213159872"/>
        <c:axId val="212756352"/>
      </c:bar3DChart>
      <c:catAx>
        <c:axId val="213022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3159872"/>
        <c:crosses val="autoZero"/>
        <c:auto val="1"/>
        <c:lblAlgn val="ctr"/>
        <c:lblOffset val="100"/>
        <c:noMultiLvlLbl val="0"/>
      </c:catAx>
      <c:valAx>
        <c:axId val="21315987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3022720"/>
        <c:crosses val="autoZero"/>
        <c:crossBetween val="between"/>
      </c:valAx>
      <c:serAx>
        <c:axId val="212756352"/>
        <c:scaling>
          <c:orientation val="minMax"/>
        </c:scaling>
        <c:delete val="1"/>
        <c:axPos val="b"/>
        <c:majorTickMark val="out"/>
        <c:minorTickMark val="none"/>
        <c:tickLblPos val="none"/>
        <c:crossAx val="213159872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(9)'!$E$8:$E$17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(9)'!$F$8:$F$17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812A-47A6-AD3C-0D2393FF5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24256"/>
        <c:axId val="213161600"/>
      </c:radarChart>
      <c:catAx>
        <c:axId val="21302425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3161600"/>
        <c:crosses val="autoZero"/>
        <c:auto val="1"/>
        <c:lblAlgn val="ctr"/>
        <c:lblOffset val="100"/>
        <c:noMultiLvlLbl val="0"/>
      </c:catAx>
      <c:valAx>
        <c:axId val="213161600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3024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(9)'!$J$8:$J$17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(9)'!$K$8:$K$17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B0A3-4FB3-8CCF-97A287EE9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29280"/>
        <c:axId val="213163328"/>
      </c:radarChart>
      <c:catAx>
        <c:axId val="2137292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3163328"/>
        <c:crosses val="autoZero"/>
        <c:auto val="1"/>
        <c:lblAlgn val="ctr"/>
        <c:lblOffset val="100"/>
        <c:noMultiLvlLbl val="0"/>
      </c:catAx>
      <c:valAx>
        <c:axId val="213163328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372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9471112136087602E-2"/>
          <c:y val="0"/>
          <c:w val="0.87361886249574694"/>
          <c:h val="0.70293233408809164"/>
        </c:manualLayout>
      </c:layout>
      <c:bar3DChart>
        <c:barDir val="col"/>
        <c:grouping val="standard"/>
        <c:varyColors val="0"/>
        <c:ser>
          <c:idx val="0"/>
          <c:order val="0"/>
          <c:tx>
            <c:v>NOTAS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'Colaborador (10)'!$E$8:$E$28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(10)'!$F$8:$F$28</c:f>
              <c:numCache>
                <c:formatCode>0</c:formatCode>
                <c:ptCount val="21"/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5-4BAF-B3EC-4A15F3100156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'Colaborador (10)'!$E$8:$E$28</c:f>
              <c:strCache>
                <c:ptCount val="21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  <c:pt idx="11">
                  <c:v>COMPETÊNCIA 3</c:v>
                </c:pt>
                <c:pt idx="12">
                  <c:v>COMPETÊNCIA 4</c:v>
                </c:pt>
                <c:pt idx="13">
                  <c:v>COMPETÊNCIA 5</c:v>
                </c:pt>
                <c:pt idx="14">
                  <c:v>COMPETÊNCIA 6</c:v>
                </c:pt>
                <c:pt idx="15">
                  <c:v>COMPETÊNCIA 7</c:v>
                </c:pt>
                <c:pt idx="16">
                  <c:v>COMPETÊNCIA 8</c:v>
                </c:pt>
                <c:pt idx="17">
                  <c:v>COMPETÊNCIA 9</c:v>
                </c:pt>
                <c:pt idx="18">
                  <c:v>COMPETÊNCIA 10</c:v>
                </c:pt>
                <c:pt idx="19">
                  <c:v>COMPETÊNCIA 11</c:v>
                </c:pt>
                <c:pt idx="20">
                  <c:v>COMPETÊNCIA 12</c:v>
                </c:pt>
              </c:strCache>
            </c:strRef>
          </c:cat>
          <c:val>
            <c:numRef>
              <c:f>'Colaborador (10)'!$G$8:$G$28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5-4BAF-B3EC-4A15F3100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3731328"/>
        <c:axId val="213625088"/>
        <c:axId val="213708800"/>
      </c:bar3DChart>
      <c:catAx>
        <c:axId val="213731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213625088"/>
        <c:crosses val="autoZero"/>
        <c:auto val="1"/>
        <c:lblAlgn val="ctr"/>
        <c:lblOffset val="100"/>
        <c:noMultiLvlLbl val="0"/>
      </c:catAx>
      <c:valAx>
        <c:axId val="2136250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3731328"/>
        <c:crosses val="autoZero"/>
        <c:crossBetween val="between"/>
      </c:valAx>
      <c:serAx>
        <c:axId val="213708800"/>
        <c:scaling>
          <c:orientation val="minMax"/>
        </c:scaling>
        <c:delete val="1"/>
        <c:axPos val="b"/>
        <c:majorTickMark val="out"/>
        <c:minorTickMark val="none"/>
        <c:tickLblPos val="none"/>
        <c:crossAx val="213625088"/>
        <c:crosses val="autoZero"/>
      </c:ser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28575">
      <a:solidFill>
        <a:sysClr val="windowText" lastClr="000000"/>
      </a:solidFill>
    </a:ln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1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(10)'!$E$8:$E$17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'Colaborador (10)'!$F$8:$F$17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7BC-478B-9B67-BF768193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08960"/>
        <c:axId val="213626816"/>
      </c:radarChart>
      <c:catAx>
        <c:axId val="2120089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3626816"/>
        <c:crosses val="autoZero"/>
        <c:auto val="1"/>
        <c:lblAlgn val="ctr"/>
        <c:lblOffset val="100"/>
        <c:noMultiLvlLbl val="0"/>
      </c:catAx>
      <c:valAx>
        <c:axId val="213626816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008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Critério 2</a:t>
            </a:r>
          </a:p>
        </c:rich>
      </c:tx>
      <c:overlay val="0"/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(9)'!$J$8:$J$17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'Colaborador (9)'!$K$8:$K$17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528-40E4-B709-1899AA939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10496"/>
        <c:axId val="213628544"/>
      </c:radarChart>
      <c:catAx>
        <c:axId val="21201049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3628544"/>
        <c:crosses val="autoZero"/>
        <c:auto val="1"/>
        <c:lblAlgn val="ctr"/>
        <c:lblOffset val="100"/>
        <c:noMultiLvlLbl val="0"/>
      </c:catAx>
      <c:valAx>
        <c:axId val="213628544"/>
        <c:scaling>
          <c:orientation val="minMax"/>
        </c:scaling>
        <c:delete val="0"/>
        <c:axPos val="l"/>
        <c:majorGridlines/>
        <c:numFmt formatCode="0" sourceLinked="1"/>
        <c:majorTickMark val="cross"/>
        <c:minorTickMark val="none"/>
        <c:tickLblPos val="nextTo"/>
        <c:crossAx val="212010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43E-2"/>
          <c:y val="0.3177681137101611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Plan8!$B$3</c:f>
              <c:strCache>
                <c:ptCount val="1"/>
                <c:pt idx="0">
                  <c:v>LIDERANÇA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Plan8!$C$3:$L$3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2-4632-9F5D-FF3C67021C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88736"/>
        <c:axId val="210558976"/>
      </c:barChart>
      <c:catAx>
        <c:axId val="21438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0558976"/>
        <c:crosses val="autoZero"/>
        <c:auto val="1"/>
        <c:lblAlgn val="ctr"/>
        <c:lblOffset val="100"/>
        <c:noMultiLvlLbl val="0"/>
      </c:catAx>
      <c:valAx>
        <c:axId val="21055897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438873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85E-2"/>
          <c:w val="0.14381497871724691"/>
          <c:h val="9.708942679726184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086" footer="0.3149606200000008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Plan8!$B$4</c:f>
              <c:strCache>
                <c:ptCount val="1"/>
                <c:pt idx="0">
                  <c:v>MOTIVAÇÃO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Plan8!$C$4:$L$4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D-4E57-A669-8E837A494B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90272"/>
        <c:axId val="210560704"/>
      </c:barChart>
      <c:catAx>
        <c:axId val="21439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0560704"/>
        <c:crosses val="autoZero"/>
        <c:auto val="1"/>
        <c:lblAlgn val="ctr"/>
        <c:lblOffset val="100"/>
        <c:noMultiLvlLbl val="0"/>
      </c:catAx>
      <c:valAx>
        <c:axId val="210560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390272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14381497871724691"/>
          <c:h val="9.708942679726184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Plan8!$B$5</c:f>
              <c:strCache>
                <c:ptCount val="1"/>
                <c:pt idx="0">
                  <c:v>FLEXIBILIDADE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Plan8!$C$5:$L$5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1-4409-BAF8-E5FA62467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90784"/>
        <c:axId val="210562432"/>
      </c:barChart>
      <c:catAx>
        <c:axId val="21439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0562432"/>
        <c:crosses val="autoZero"/>
        <c:auto val="1"/>
        <c:lblAlgn val="ctr"/>
        <c:lblOffset val="100"/>
        <c:noMultiLvlLbl val="0"/>
      </c:catAx>
      <c:valAx>
        <c:axId val="210562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390784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Plan8!$B$6</c:f>
              <c:strCache>
                <c:ptCount val="1"/>
                <c:pt idx="0">
                  <c:v>INICIATIVA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Plan8!$C$6:$L$6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4-42B2-A76F-B9A12AD7E4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91296"/>
        <c:axId val="210565312"/>
      </c:barChart>
      <c:catAx>
        <c:axId val="2143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0565312"/>
        <c:crosses val="autoZero"/>
        <c:auto val="1"/>
        <c:lblAlgn val="ctr"/>
        <c:lblOffset val="100"/>
        <c:noMultiLvlLbl val="0"/>
      </c:catAx>
      <c:valAx>
        <c:axId val="210565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39129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Plan8!$B$7</c:f>
              <c:strCache>
                <c:ptCount val="1"/>
                <c:pt idx="0">
                  <c:v>COMUNICAÇÃO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Plan8!$C$7:$L$7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A-4B3C-BF94-E929F9C16B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91808"/>
        <c:axId val="214253568"/>
      </c:barChart>
      <c:catAx>
        <c:axId val="21439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253568"/>
        <c:crosses val="autoZero"/>
        <c:auto val="1"/>
        <c:lblAlgn val="ctr"/>
        <c:lblOffset val="100"/>
        <c:noMultiLvlLbl val="0"/>
      </c:catAx>
      <c:valAx>
        <c:axId val="2142535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391808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Plan8!$B$8</c:f>
              <c:strCache>
                <c:ptCount val="1"/>
                <c:pt idx="0">
                  <c:v>ORGANIZAÇÃO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Plan8!$C$8:$L$8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0-4F1E-BC35-83A352A086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392320"/>
        <c:axId val="214255296"/>
      </c:barChart>
      <c:catAx>
        <c:axId val="21439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255296"/>
        <c:crosses val="autoZero"/>
        <c:auto val="1"/>
        <c:lblAlgn val="ctr"/>
        <c:lblOffset val="100"/>
        <c:noMultiLvlLbl val="0"/>
      </c:catAx>
      <c:valAx>
        <c:axId val="214255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39232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Plan8!$B$9</c:f>
              <c:strCache>
                <c:ptCount val="1"/>
                <c:pt idx="0">
                  <c:v>TRABALHO EM EQUIPE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Plan8!$C$9:$L$9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0-4769-BCC2-6319787E2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798336"/>
        <c:axId val="214257024"/>
      </c:barChart>
      <c:catAx>
        <c:axId val="21479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257024"/>
        <c:crosses val="autoZero"/>
        <c:auto val="1"/>
        <c:lblAlgn val="ctr"/>
        <c:lblOffset val="100"/>
        <c:noMultiLvlLbl val="0"/>
      </c:catAx>
      <c:valAx>
        <c:axId val="214257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79833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Plan8!$B$10</c:f>
              <c:strCache>
                <c:ptCount val="1"/>
                <c:pt idx="0">
                  <c:v>PONTUALIDADE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Plan8!$C$10:$L$10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E-4079-82E9-E88FFD85EB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798848"/>
        <c:axId val="214258752"/>
      </c:barChart>
      <c:catAx>
        <c:axId val="21479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258752"/>
        <c:crosses val="autoZero"/>
        <c:auto val="1"/>
        <c:lblAlgn val="ctr"/>
        <c:lblOffset val="100"/>
        <c:noMultiLvlLbl val="0"/>
      </c:catAx>
      <c:valAx>
        <c:axId val="2142587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798848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Plan8!$B$11</c:f>
              <c:strCache>
                <c:ptCount val="1"/>
                <c:pt idx="0">
                  <c:v>COMPETÊNCIA 1</c:v>
                </c:pt>
              </c:strCache>
            </c:strRef>
          </c:tx>
          <c:spPr>
            <a:solidFill>
              <a:srgbClr val="FFFFBD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Plan8!$C$11:$L$11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A-47BE-8F1E-0AEE6C740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799360"/>
        <c:axId val="214260480"/>
      </c:barChart>
      <c:catAx>
        <c:axId val="2147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260480"/>
        <c:crosses val="autoZero"/>
        <c:auto val="1"/>
        <c:lblAlgn val="ctr"/>
        <c:lblOffset val="100"/>
        <c:noMultiLvlLbl val="0"/>
      </c:catAx>
      <c:valAx>
        <c:axId val="214260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79936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Plan8!$B$12</c:f>
              <c:strCache>
                <c:ptCount val="1"/>
                <c:pt idx="0">
                  <c:v>COMPETÊNCIA 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Plan8!$C$12:$L$12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0-4349-982B-544A5FFA63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799872"/>
        <c:axId val="214696512"/>
      </c:barChart>
      <c:catAx>
        <c:axId val="21479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214696512"/>
        <c:crosses val="autoZero"/>
        <c:auto val="1"/>
        <c:lblAlgn val="ctr"/>
        <c:lblOffset val="100"/>
        <c:noMultiLvlLbl val="0"/>
      </c:catAx>
      <c:valAx>
        <c:axId val="214696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799872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>
                  <a:lumMod val="95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57E-2"/>
          <c:y val="0.31776811371016145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Plan8!$B$14</c:f>
              <c:strCache>
                <c:ptCount val="1"/>
                <c:pt idx="0">
                  <c:v>COMPETÊNCIA 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Plan8!$C$14:$L$14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D-48D7-968E-F385365E6F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800384"/>
        <c:axId val="214698240"/>
      </c:barChart>
      <c:catAx>
        <c:axId val="21480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698240"/>
        <c:crosses val="autoZero"/>
        <c:auto val="1"/>
        <c:lblAlgn val="ctr"/>
        <c:lblOffset val="100"/>
        <c:noMultiLvlLbl val="0"/>
      </c:catAx>
      <c:valAx>
        <c:axId val="2146982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800384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27"/>
          <c:h val="9.2625327464255336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Plan8!$B$15</c:f>
              <c:strCache>
                <c:ptCount val="1"/>
                <c:pt idx="0">
                  <c:v>COMPETÊNCIA 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Plan8!$C$15:$L$15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F-4CF6-ABBE-CE5CA05F15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800896"/>
        <c:axId val="214699968"/>
      </c:barChart>
      <c:catAx>
        <c:axId val="21480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699968"/>
        <c:crosses val="autoZero"/>
        <c:auto val="1"/>
        <c:lblAlgn val="ctr"/>
        <c:lblOffset val="100"/>
        <c:noMultiLvlLbl val="0"/>
      </c:catAx>
      <c:valAx>
        <c:axId val="2146999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80089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Plan8!$B$16</c:f>
              <c:strCache>
                <c:ptCount val="1"/>
                <c:pt idx="0">
                  <c:v>COMPETÊNCIA 5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Plan8!$C$16:$L$16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F-47A1-AC54-598F58E44B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801408"/>
        <c:axId val="214701696"/>
      </c:barChart>
      <c:catAx>
        <c:axId val="21480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701696"/>
        <c:crosses val="autoZero"/>
        <c:auto val="1"/>
        <c:lblAlgn val="ctr"/>
        <c:lblOffset val="100"/>
        <c:noMultiLvlLbl val="0"/>
      </c:catAx>
      <c:valAx>
        <c:axId val="214701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801408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Plan8!$B$17</c:f>
              <c:strCache>
                <c:ptCount val="1"/>
                <c:pt idx="0">
                  <c:v>COMPETÊNCIA 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Plan8!$C$17:$L$17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3-4B58-98E4-FABDC0F31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4801920"/>
        <c:axId val="214703424"/>
      </c:barChart>
      <c:catAx>
        <c:axId val="21480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703424"/>
        <c:crosses val="autoZero"/>
        <c:auto val="1"/>
        <c:lblAlgn val="ctr"/>
        <c:lblOffset val="100"/>
        <c:noMultiLvlLbl val="0"/>
      </c:catAx>
      <c:valAx>
        <c:axId val="2147034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480192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Plan8!$B$18</c:f>
              <c:strCache>
                <c:ptCount val="1"/>
                <c:pt idx="0">
                  <c:v>COMPETÊNCIA 7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Plan8!$C$18:$L$18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4-41C8-9D84-E705895495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28224"/>
        <c:axId val="214918272"/>
      </c:barChart>
      <c:catAx>
        <c:axId val="21502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918272"/>
        <c:crosses val="autoZero"/>
        <c:auto val="1"/>
        <c:lblAlgn val="ctr"/>
        <c:lblOffset val="100"/>
        <c:noMultiLvlLbl val="0"/>
      </c:catAx>
      <c:valAx>
        <c:axId val="21491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28224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Plan8!$B$19</c:f>
              <c:strCache>
                <c:ptCount val="1"/>
                <c:pt idx="0">
                  <c:v>COMPETÊNCIA 8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Plan8!$C$19:$L$19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0-4BC5-89F5-6B9EF191DA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27712"/>
        <c:axId val="214920000"/>
      </c:barChart>
      <c:catAx>
        <c:axId val="21502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920000"/>
        <c:crosses val="autoZero"/>
        <c:auto val="1"/>
        <c:lblAlgn val="ctr"/>
        <c:lblOffset val="100"/>
        <c:noMultiLvlLbl val="0"/>
      </c:catAx>
      <c:valAx>
        <c:axId val="214920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27712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Plan8!$B$20</c:f>
              <c:strCache>
                <c:ptCount val="1"/>
                <c:pt idx="0">
                  <c:v>COMPETÊNCIA 9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Plan8!$C$20:$L$20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D-4BD5-8747-FCFB1B1B11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28736"/>
        <c:axId val="214922304"/>
      </c:barChart>
      <c:catAx>
        <c:axId val="2150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922304"/>
        <c:crosses val="autoZero"/>
        <c:auto val="1"/>
        <c:lblAlgn val="ctr"/>
        <c:lblOffset val="100"/>
        <c:noMultiLvlLbl val="0"/>
      </c:catAx>
      <c:valAx>
        <c:axId val="21492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2873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Plan8!$B$22</c:f>
              <c:strCache>
                <c:ptCount val="1"/>
                <c:pt idx="0">
                  <c:v>COMPETÊNCIA 11</c:v>
                </c:pt>
              </c:strCache>
            </c:strRef>
          </c:tx>
          <c:spPr>
            <a:solidFill>
              <a:srgbClr val="FFFF81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Plan8!$C$22:$L$22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D-41FE-AAC4-CF7E68AACB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29248"/>
        <c:axId val="214924032"/>
      </c:barChart>
      <c:catAx>
        <c:axId val="215029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4924032"/>
        <c:crosses val="autoZero"/>
        <c:auto val="1"/>
        <c:lblAlgn val="ctr"/>
        <c:lblOffset val="100"/>
        <c:noMultiLvlLbl val="0"/>
      </c:catAx>
      <c:valAx>
        <c:axId val="214924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29248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Plan8!$B$21</c:f>
              <c:strCache>
                <c:ptCount val="1"/>
                <c:pt idx="0">
                  <c:v>COMPETÊNCIA 10</c:v>
                </c:pt>
              </c:strCache>
            </c:strRef>
          </c:tx>
          <c:spPr>
            <a:solidFill>
              <a:srgbClr val="9CBC5C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Plan8!$C$21:$L$21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8-4B7E-A194-2BF9E24C6F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29760"/>
        <c:axId val="215703552"/>
      </c:barChart>
      <c:catAx>
        <c:axId val="2150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5703552"/>
        <c:crosses val="autoZero"/>
        <c:auto val="1"/>
        <c:lblAlgn val="ctr"/>
        <c:lblOffset val="100"/>
        <c:noMultiLvlLbl val="0"/>
      </c:catAx>
      <c:valAx>
        <c:axId val="215703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2976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71E-2"/>
          <c:y val="0.31776811371016167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Plan8!$B$23</c:f>
              <c:strCache>
                <c:ptCount val="1"/>
                <c:pt idx="0">
                  <c:v>COMPETÊNCIA 12</c:v>
                </c:pt>
              </c:strCache>
            </c:strRef>
          </c:tx>
          <c:spPr>
            <a:solidFill>
              <a:srgbClr val="F8A764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Plan8!$C$23:$L$23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7-44BC-BF92-105884411C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030272"/>
        <c:axId val="215705280"/>
      </c:barChart>
      <c:catAx>
        <c:axId val="21503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5705280"/>
        <c:crosses val="autoZero"/>
        <c:auto val="1"/>
        <c:lblAlgn val="ctr"/>
        <c:lblOffset val="100"/>
        <c:noMultiLvlLbl val="0"/>
      </c:catAx>
      <c:valAx>
        <c:axId val="2157052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030272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46"/>
          <c:h val="9.2625327464255419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Competência</a:t>
            </a:r>
            <a:r>
              <a:rPr lang="pt-BR" baseline="0"/>
              <a:t> da Equipe - </a:t>
            </a:r>
            <a:r>
              <a:rPr lang="pt-BR"/>
              <a:t>Critério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3492305777360567"/>
          <c:y val="0.22890347596819077"/>
          <c:w val="0.49516262663522898"/>
          <c:h val="0.67725473748799081"/>
        </c:manualLayout>
      </c:layout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(9)'!$E$8:$E$17</c:f>
              <c:strCache>
                <c:ptCount val="10"/>
                <c:pt idx="0">
                  <c:v>LIDERANÇA</c:v>
                </c:pt>
                <c:pt idx="1">
                  <c:v>MOTIVAÇÃO</c:v>
                </c:pt>
                <c:pt idx="2">
                  <c:v>FLEXIBILIDADE</c:v>
                </c:pt>
                <c:pt idx="3">
                  <c:v>INICIATIVA</c:v>
                </c:pt>
                <c:pt idx="4">
                  <c:v>COMUNICAÇÃO</c:v>
                </c:pt>
                <c:pt idx="5">
                  <c:v>ORGANIZAÇÃO</c:v>
                </c:pt>
                <c:pt idx="6">
                  <c:v>TRABALHO EM EQUIPE</c:v>
                </c:pt>
                <c:pt idx="7">
                  <c:v>PONTUALIDADE</c:v>
                </c:pt>
                <c:pt idx="8">
                  <c:v>COMPETÊNCIA 1</c:v>
                </c:pt>
                <c:pt idx="9">
                  <c:v>COMPETÊNCIA 2</c:v>
                </c:pt>
              </c:strCache>
            </c:strRef>
          </c:cat>
          <c:val>
            <c:numRef>
              <c:f>PANORAMA!$D$42:$D$51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0-4BC0-AE41-DAEB4CC7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030784"/>
        <c:axId val="215707008"/>
      </c:radarChart>
      <c:catAx>
        <c:axId val="2150307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5707008"/>
        <c:crosses val="autoZero"/>
        <c:auto val="1"/>
        <c:lblAlgn val="ctr"/>
        <c:lblOffset val="100"/>
        <c:noMultiLvlLbl val="0"/>
      </c:catAx>
      <c:valAx>
        <c:axId val="215707008"/>
        <c:scaling>
          <c:orientation val="minMax"/>
        </c:scaling>
        <c:delete val="0"/>
        <c:axPos val="l"/>
        <c:majorGridlines/>
        <c:numFmt formatCode="0.00" sourceLinked="1"/>
        <c:majorTickMark val="cross"/>
        <c:minorTickMark val="none"/>
        <c:tickLblPos val="nextTo"/>
        <c:crossAx val="215030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u="none" strike="noStrike" baseline="0">
                <a:effectLst/>
              </a:rPr>
              <a:t>Competência da Equipe - </a:t>
            </a:r>
            <a:r>
              <a:rPr lang="pt-BR"/>
              <a:t>Critério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3756284431272592"/>
          <c:y val="0.22551098989037377"/>
          <c:w val="0.52077335619104581"/>
          <c:h val="0.71500745043498937"/>
        </c:manualLayout>
      </c:layout>
      <c:radarChart>
        <c:radarStyle val="fill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</c:spPr>
          <c:cat>
            <c:strRef>
              <c:f>'Colaborador (9)'!$J$8:$J$17</c:f>
              <c:strCache>
                <c:ptCount val="10"/>
                <c:pt idx="0">
                  <c:v>COMPETÊNCIA 3</c:v>
                </c:pt>
                <c:pt idx="1">
                  <c:v>COMPETÊNCIA 4</c:v>
                </c:pt>
                <c:pt idx="2">
                  <c:v>COMPETÊNCIA 5</c:v>
                </c:pt>
                <c:pt idx="3">
                  <c:v>COMPETÊNCIA 6</c:v>
                </c:pt>
                <c:pt idx="4">
                  <c:v>COMPETÊNCIA 7</c:v>
                </c:pt>
                <c:pt idx="5">
                  <c:v>COMPETÊNCIA 8</c:v>
                </c:pt>
                <c:pt idx="6">
                  <c:v>COMPETÊNCIA 9</c:v>
                </c:pt>
                <c:pt idx="7">
                  <c:v>COMPETÊNCIA 10</c:v>
                </c:pt>
                <c:pt idx="8">
                  <c:v>COMPETÊNCIA 11</c:v>
                </c:pt>
                <c:pt idx="9">
                  <c:v>COMPETÊNCIA 12</c:v>
                </c:pt>
              </c:strCache>
            </c:strRef>
          </c:cat>
          <c:val>
            <c:numRef>
              <c:f>PANORAMA!$H$42:$H$51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6-4BE1-A921-B574248DD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031296"/>
        <c:axId val="215708736"/>
      </c:radarChart>
      <c:catAx>
        <c:axId val="21503129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215708736"/>
        <c:crosses val="autoZero"/>
        <c:auto val="1"/>
        <c:lblAlgn val="ctr"/>
        <c:lblOffset val="100"/>
        <c:noMultiLvlLbl val="0"/>
      </c:catAx>
      <c:valAx>
        <c:axId val="215708736"/>
        <c:scaling>
          <c:orientation val="minMax"/>
        </c:scaling>
        <c:delete val="0"/>
        <c:axPos val="l"/>
        <c:majorGridlines/>
        <c:numFmt formatCode="0.00" sourceLinked="1"/>
        <c:majorTickMark val="cross"/>
        <c:minorTickMark val="none"/>
        <c:tickLblPos val="nextTo"/>
        <c:crossAx val="215031296"/>
        <c:crosses val="autoZero"/>
        <c:crossBetween val="between"/>
        <c:majorUnit val="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333335739282964E-2"/>
          <c:y val="0.31776811371016156"/>
          <c:w val="0.96333332852143416"/>
          <c:h val="0.5727165568468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Plan8!$B$23</c:f>
              <c:strCache>
                <c:ptCount val="1"/>
                <c:pt idx="0">
                  <c:v>COMPETÊNCIA 12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Plan8!$C$2:$L$2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Plan8!$C$23:$L$23</c:f>
              <c:numCache>
                <c:formatCode>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F-4422-9286-76F7C50032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5443456"/>
        <c:axId val="215711040"/>
      </c:barChart>
      <c:catAx>
        <c:axId val="21544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1">
                <a:solidFill>
                  <a:schemeClr val="bg1"/>
                </a:solidFill>
              </a:defRPr>
            </a:pPr>
            <a:endParaRPr lang="pt-BR"/>
          </a:p>
        </c:txPr>
        <c:crossAx val="215711040"/>
        <c:crosses val="autoZero"/>
        <c:auto val="1"/>
        <c:lblAlgn val="ctr"/>
        <c:lblOffset val="100"/>
        <c:noMultiLvlLbl val="0"/>
      </c:catAx>
      <c:valAx>
        <c:axId val="215711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15443456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t"/>
      <c:layout>
        <c:manualLayout>
          <c:xMode val="edge"/>
          <c:yMode val="edge"/>
          <c:x val="0.4240087140715374"/>
          <c:y val="5.6529653946776892E-2"/>
          <c:w val="0.24590788326038138"/>
          <c:h val="9.2625327464255378E-2"/>
        </c:manualLayout>
      </c:layout>
      <c:overlay val="0"/>
      <c:txPr>
        <a:bodyPr/>
        <a:lstStyle/>
        <a:p>
          <a:pPr>
            <a:defRPr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laborador (8)'!A1"/><Relationship Id="rId3" Type="http://schemas.openxmlformats.org/officeDocument/2006/relationships/hyperlink" Target="#'Colaborador (3)'!A1"/><Relationship Id="rId7" Type="http://schemas.openxmlformats.org/officeDocument/2006/relationships/hyperlink" Target="#'Colaborador (7)'!A1"/><Relationship Id="rId12" Type="http://schemas.openxmlformats.org/officeDocument/2006/relationships/image" Target="../media/image1.png"/><Relationship Id="rId2" Type="http://schemas.openxmlformats.org/officeDocument/2006/relationships/hyperlink" Target="#'Colaborador (2)'!A1"/><Relationship Id="rId1" Type="http://schemas.openxmlformats.org/officeDocument/2006/relationships/hyperlink" Target="#'Colaborador (1)'!A1"/><Relationship Id="rId6" Type="http://schemas.openxmlformats.org/officeDocument/2006/relationships/hyperlink" Target="#'Colaborador (6)'!A1"/><Relationship Id="rId11" Type="http://schemas.openxmlformats.org/officeDocument/2006/relationships/hyperlink" Target="#PANORAMA!A1"/><Relationship Id="rId5" Type="http://schemas.openxmlformats.org/officeDocument/2006/relationships/hyperlink" Target="#'Colaborador (5)'!A1"/><Relationship Id="rId10" Type="http://schemas.openxmlformats.org/officeDocument/2006/relationships/hyperlink" Target="#'Colaborador (10)'!A1"/><Relationship Id="rId4" Type="http://schemas.openxmlformats.org/officeDocument/2006/relationships/hyperlink" Target="#'Colaborador (4)'!A1"/><Relationship Id="rId9" Type="http://schemas.openxmlformats.org/officeDocument/2006/relationships/hyperlink" Target="#'Colaborador (9)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hyperlink" Target="#Painel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hyperlink" Target="#Painel!A1"/><Relationship Id="rId1" Type="http://schemas.openxmlformats.org/officeDocument/2006/relationships/chart" Target="../charts/chart4.xml"/><Relationship Id="rId5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hyperlink" Target="#Painel!A1"/><Relationship Id="rId1" Type="http://schemas.openxmlformats.org/officeDocument/2006/relationships/chart" Target="../charts/chart7.xml"/><Relationship Id="rId5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hyperlink" Target="#Painel!A1"/><Relationship Id="rId1" Type="http://schemas.openxmlformats.org/officeDocument/2006/relationships/chart" Target="../charts/chart10.xml"/><Relationship Id="rId5" Type="http://schemas.openxmlformats.org/officeDocument/2006/relationships/image" Target="../media/image1.png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hyperlink" Target="#Painel!A1"/><Relationship Id="rId1" Type="http://schemas.openxmlformats.org/officeDocument/2006/relationships/chart" Target="../charts/chart13.xml"/><Relationship Id="rId5" Type="http://schemas.openxmlformats.org/officeDocument/2006/relationships/image" Target="../media/image1.png"/><Relationship Id="rId4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hyperlink" Target="#Painel!A1"/><Relationship Id="rId1" Type="http://schemas.openxmlformats.org/officeDocument/2006/relationships/chart" Target="../charts/chart16.xml"/><Relationship Id="rId5" Type="http://schemas.openxmlformats.org/officeDocument/2006/relationships/image" Target="../media/image1.png"/><Relationship Id="rId4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hyperlink" Target="#Painel!A1"/><Relationship Id="rId1" Type="http://schemas.openxmlformats.org/officeDocument/2006/relationships/chart" Target="../charts/chart19.xml"/><Relationship Id="rId5" Type="http://schemas.openxmlformats.org/officeDocument/2006/relationships/image" Target="../media/image1.png"/><Relationship Id="rId4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hyperlink" Target="#Painel!A1"/><Relationship Id="rId1" Type="http://schemas.openxmlformats.org/officeDocument/2006/relationships/chart" Target="../charts/chart22.xml"/><Relationship Id="rId5" Type="http://schemas.openxmlformats.org/officeDocument/2006/relationships/image" Target="../media/image1.png"/><Relationship Id="rId4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hyperlink" Target="#Painel!A1"/><Relationship Id="rId1" Type="http://schemas.openxmlformats.org/officeDocument/2006/relationships/chart" Target="../charts/chart25.xml"/><Relationship Id="rId5" Type="http://schemas.openxmlformats.org/officeDocument/2006/relationships/image" Target="../media/image1.png"/><Relationship Id="rId4" Type="http://schemas.openxmlformats.org/officeDocument/2006/relationships/chart" Target="../charts/chart2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hyperlink" Target="#Painel!A1"/><Relationship Id="rId1" Type="http://schemas.openxmlformats.org/officeDocument/2006/relationships/chart" Target="../charts/chart28.xml"/><Relationship Id="rId5" Type="http://schemas.openxmlformats.org/officeDocument/2006/relationships/image" Target="../media/image1.png"/><Relationship Id="rId4" Type="http://schemas.openxmlformats.org/officeDocument/2006/relationships/chart" Target="../charts/chart3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3" Type="http://schemas.openxmlformats.org/officeDocument/2006/relationships/chart" Target="../charts/chart33.xml"/><Relationship Id="rId21" Type="http://schemas.openxmlformats.org/officeDocument/2006/relationships/hyperlink" Target="#Painel!A1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24" Type="http://schemas.openxmlformats.org/officeDocument/2006/relationships/image" Target="../media/image1.png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2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0</xdr:row>
      <xdr:rowOff>137583</xdr:rowOff>
    </xdr:from>
    <xdr:to>
      <xdr:col>17</xdr:col>
      <xdr:colOff>365125</xdr:colOff>
      <xdr:row>3</xdr:row>
      <xdr:rowOff>32808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44750" y="137583"/>
          <a:ext cx="8355542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800" b="1">
              <a:solidFill>
                <a:schemeClr val="tx2">
                  <a:lumMod val="50000"/>
                </a:schemeClr>
              </a:solidFill>
            </a:rPr>
            <a:t>AVALIAÇÃO DE DESEMPENHO POR COMPETÊNCIA  </a:t>
          </a:r>
          <a:r>
            <a:rPr lang="pt-BR" sz="1200" b="1">
              <a:solidFill>
                <a:schemeClr val="tx2">
                  <a:lumMod val="50000"/>
                </a:schemeClr>
              </a:solidFill>
            </a:rPr>
            <a:t>- PAINEL</a:t>
          </a:r>
          <a:r>
            <a:rPr lang="pt-BR" sz="1200" b="1" baseline="0">
              <a:solidFill>
                <a:schemeClr val="tx2">
                  <a:lumMod val="50000"/>
                </a:schemeClr>
              </a:solidFill>
            </a:rPr>
            <a:t> </a:t>
          </a:r>
          <a:endParaRPr lang="pt-BR" sz="12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391583</xdr:colOff>
      <xdr:row>6</xdr:row>
      <xdr:rowOff>105833</xdr:rowOff>
    </xdr:from>
    <xdr:to>
      <xdr:col>4</xdr:col>
      <xdr:colOff>483093</xdr:colOff>
      <xdr:row>12</xdr:row>
      <xdr:rowOff>29634</xdr:rowOff>
    </xdr:to>
    <xdr:sp macro="" textlink="">
      <xdr:nvSpPr>
        <xdr:cNvPr id="17" name="Retângulo de cantos arredondado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005416" y="1640416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1</a:t>
          </a:r>
        </a:p>
      </xdr:txBody>
    </xdr:sp>
    <xdr:clientData/>
  </xdr:twoCellAnchor>
  <xdr:twoCellAnchor>
    <xdr:from>
      <xdr:col>5</xdr:col>
      <xdr:colOff>264583</xdr:colOff>
      <xdr:row>6</xdr:row>
      <xdr:rowOff>116416</xdr:rowOff>
    </xdr:from>
    <xdr:to>
      <xdr:col>8</xdr:col>
      <xdr:colOff>356093</xdr:colOff>
      <xdr:row>12</xdr:row>
      <xdr:rowOff>40217</xdr:rowOff>
    </xdr:to>
    <xdr:sp macro="" textlink="">
      <xdr:nvSpPr>
        <xdr:cNvPr id="18" name="Retângulo de cantos arredondado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333750" y="1650999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2</a:t>
          </a:r>
        </a:p>
      </xdr:txBody>
    </xdr:sp>
    <xdr:clientData/>
  </xdr:twoCellAnchor>
  <xdr:twoCellAnchor>
    <xdr:from>
      <xdr:col>9</xdr:col>
      <xdr:colOff>194734</xdr:colOff>
      <xdr:row>6</xdr:row>
      <xdr:rowOff>120649</xdr:rowOff>
    </xdr:from>
    <xdr:to>
      <xdr:col>12</xdr:col>
      <xdr:colOff>286244</xdr:colOff>
      <xdr:row>12</xdr:row>
      <xdr:rowOff>44450</xdr:rowOff>
    </xdr:to>
    <xdr:sp macro="" textlink="">
      <xdr:nvSpPr>
        <xdr:cNvPr id="19" name="Retângulo de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719234" y="1655232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</a:t>
          </a:r>
          <a:r>
            <a:rPr lang="pt-BR" sz="1600" b="1" baseline="0">
              <a:solidFill>
                <a:sysClr val="windowText" lastClr="000000"/>
              </a:solidFill>
            </a:rPr>
            <a:t> </a:t>
          </a:r>
          <a:r>
            <a:rPr lang="pt-BR" sz="16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13</xdr:col>
      <xdr:colOff>71967</xdr:colOff>
      <xdr:row>6</xdr:row>
      <xdr:rowOff>135467</xdr:rowOff>
    </xdr:from>
    <xdr:to>
      <xdr:col>16</xdr:col>
      <xdr:colOff>163477</xdr:colOff>
      <xdr:row>12</xdr:row>
      <xdr:rowOff>59268</xdr:rowOff>
    </xdr:to>
    <xdr:sp macro="" textlink="">
      <xdr:nvSpPr>
        <xdr:cNvPr id="20" name="Retângulo de cantos arredondado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051800" y="1670050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4</a:t>
          </a:r>
        </a:p>
      </xdr:txBody>
    </xdr:sp>
    <xdr:clientData/>
  </xdr:twoCellAnchor>
  <xdr:twoCellAnchor>
    <xdr:from>
      <xdr:col>16</xdr:col>
      <xdr:colOff>584201</xdr:colOff>
      <xdr:row>6</xdr:row>
      <xdr:rowOff>129116</xdr:rowOff>
    </xdr:from>
    <xdr:to>
      <xdr:col>20</xdr:col>
      <xdr:colOff>61877</xdr:colOff>
      <xdr:row>12</xdr:row>
      <xdr:rowOff>52917</xdr:rowOff>
    </xdr:to>
    <xdr:sp macro="" textlink="">
      <xdr:nvSpPr>
        <xdr:cNvPr id="21" name="Retângulo de cantos arredondados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0405534" y="1663699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5</a:t>
          </a:r>
        </a:p>
      </xdr:txBody>
    </xdr:sp>
    <xdr:clientData/>
  </xdr:twoCellAnchor>
  <xdr:twoCellAnchor>
    <xdr:from>
      <xdr:col>1</xdr:col>
      <xdr:colOff>381000</xdr:colOff>
      <xdr:row>13</xdr:row>
      <xdr:rowOff>137583</xdr:rowOff>
    </xdr:from>
    <xdr:to>
      <xdr:col>4</xdr:col>
      <xdr:colOff>472510</xdr:colOff>
      <xdr:row>19</xdr:row>
      <xdr:rowOff>61384</xdr:rowOff>
    </xdr:to>
    <xdr:sp macro="" textlink="">
      <xdr:nvSpPr>
        <xdr:cNvPr id="22" name="Retângulo de cantos arredondados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94833" y="3005666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6</a:t>
          </a:r>
        </a:p>
      </xdr:txBody>
    </xdr:sp>
    <xdr:clientData/>
  </xdr:twoCellAnchor>
  <xdr:twoCellAnchor>
    <xdr:from>
      <xdr:col>5</xdr:col>
      <xdr:colOff>342899</xdr:colOff>
      <xdr:row>14</xdr:row>
      <xdr:rowOff>14816</xdr:rowOff>
    </xdr:from>
    <xdr:to>
      <xdr:col>8</xdr:col>
      <xdr:colOff>434409</xdr:colOff>
      <xdr:row>19</xdr:row>
      <xdr:rowOff>129117</xdr:rowOff>
    </xdr:to>
    <xdr:sp macro="" textlink="">
      <xdr:nvSpPr>
        <xdr:cNvPr id="23" name="Retângulo de cantos arredondados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3412066" y="3073399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7</a:t>
          </a:r>
        </a:p>
      </xdr:txBody>
    </xdr:sp>
    <xdr:clientData/>
  </xdr:twoCellAnchor>
  <xdr:twoCellAnchor>
    <xdr:from>
      <xdr:col>9</xdr:col>
      <xdr:colOff>230716</xdr:colOff>
      <xdr:row>13</xdr:row>
      <xdr:rowOff>188383</xdr:rowOff>
    </xdr:from>
    <xdr:to>
      <xdr:col>12</xdr:col>
      <xdr:colOff>322226</xdr:colOff>
      <xdr:row>19</xdr:row>
      <xdr:rowOff>112184</xdr:rowOff>
    </xdr:to>
    <xdr:sp macro="" textlink="">
      <xdr:nvSpPr>
        <xdr:cNvPr id="24" name="Retângulo de cantos arredondados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755216" y="3056466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8</a:t>
          </a:r>
        </a:p>
      </xdr:txBody>
    </xdr:sp>
    <xdr:clientData/>
  </xdr:twoCellAnchor>
  <xdr:twoCellAnchor>
    <xdr:from>
      <xdr:col>13</xdr:col>
      <xdr:colOff>160866</xdr:colOff>
      <xdr:row>14</xdr:row>
      <xdr:rowOff>12700</xdr:rowOff>
    </xdr:from>
    <xdr:to>
      <xdr:col>16</xdr:col>
      <xdr:colOff>252376</xdr:colOff>
      <xdr:row>19</xdr:row>
      <xdr:rowOff>127001</xdr:rowOff>
    </xdr:to>
    <xdr:sp macro="" textlink="">
      <xdr:nvSpPr>
        <xdr:cNvPr id="25" name="Retângulo de cantos arredondados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140699" y="3071283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9</a:t>
          </a:r>
        </a:p>
      </xdr:txBody>
    </xdr:sp>
    <xdr:clientData/>
  </xdr:twoCellAnchor>
  <xdr:twoCellAnchor>
    <xdr:from>
      <xdr:col>16</xdr:col>
      <xdr:colOff>599016</xdr:colOff>
      <xdr:row>13</xdr:row>
      <xdr:rowOff>154517</xdr:rowOff>
    </xdr:from>
    <xdr:to>
      <xdr:col>20</xdr:col>
      <xdr:colOff>76692</xdr:colOff>
      <xdr:row>19</xdr:row>
      <xdr:rowOff>78318</xdr:rowOff>
    </xdr:to>
    <xdr:sp macro="" textlink="">
      <xdr:nvSpPr>
        <xdr:cNvPr id="26" name="Retângulo de cantos arredondados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420349" y="3022600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Colaborador 10</a:t>
          </a:r>
        </a:p>
      </xdr:txBody>
    </xdr:sp>
    <xdr:clientData/>
  </xdr:twoCellAnchor>
  <xdr:twoCellAnchor>
    <xdr:from>
      <xdr:col>9</xdr:col>
      <xdr:colOff>275166</xdr:colOff>
      <xdr:row>21</xdr:row>
      <xdr:rowOff>10584</xdr:rowOff>
    </xdr:from>
    <xdr:to>
      <xdr:col>12</xdr:col>
      <xdr:colOff>366676</xdr:colOff>
      <xdr:row>26</xdr:row>
      <xdr:rowOff>124885</xdr:rowOff>
    </xdr:to>
    <xdr:sp macro="" textlink="">
      <xdr:nvSpPr>
        <xdr:cNvPr id="27" name="Retângulo de cantos arredondados 2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799666" y="4402667"/>
          <a:ext cx="1933010" cy="1066801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Panorama</a:t>
          </a:r>
        </a:p>
      </xdr:txBody>
    </xdr:sp>
    <xdr:clientData/>
  </xdr:twoCellAnchor>
  <xdr:twoCellAnchor editAs="oneCell">
    <xdr:from>
      <xdr:col>20</xdr:col>
      <xdr:colOff>222249</xdr:colOff>
      <xdr:row>25</xdr:row>
      <xdr:rowOff>105833</xdr:rowOff>
    </xdr:from>
    <xdr:to>
      <xdr:col>22</xdr:col>
      <xdr:colOff>213489</xdr:colOff>
      <xdr:row>28</xdr:row>
      <xdr:rowOff>32688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98916" y="4878916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19448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1257301</xdr:colOff>
      <xdr:row>18</xdr:row>
      <xdr:rowOff>57150</xdr:rowOff>
    </xdr:from>
    <xdr:to>
      <xdr:col>11</xdr:col>
      <xdr:colOff>123825</xdr:colOff>
      <xdr:row>35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990600</xdr:colOff>
      <xdr:row>39</xdr:row>
      <xdr:rowOff>42861</xdr:rowOff>
    </xdr:from>
    <xdr:to>
      <xdr:col>6</xdr:col>
      <xdr:colOff>66675</xdr:colOff>
      <xdr:row>57</xdr:row>
      <xdr:rowOff>66674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200025</xdr:colOff>
      <xdr:row>39</xdr:row>
      <xdr:rowOff>38100</xdr:rowOff>
    </xdr:from>
    <xdr:to>
      <xdr:col>11</xdr:col>
      <xdr:colOff>504825</xdr:colOff>
      <xdr:row>57</xdr:row>
      <xdr:rowOff>61913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8" name="Seta para a esquerda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10</xdr:col>
      <xdr:colOff>457200</xdr:colOff>
      <xdr:row>57</xdr:row>
      <xdr:rowOff>85725</xdr:rowOff>
    </xdr:from>
    <xdr:to>
      <xdr:col>11</xdr:col>
      <xdr:colOff>571206</xdr:colOff>
      <xdr:row>60</xdr:row>
      <xdr:rowOff>12580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8325" y="1228725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990600</xdr:colOff>
      <xdr:row>34</xdr:row>
      <xdr:rowOff>52386</xdr:rowOff>
    </xdr:from>
    <xdr:to>
      <xdr:col>6</xdr:col>
      <xdr:colOff>66675</xdr:colOff>
      <xdr:row>52</xdr:row>
      <xdr:rowOff>76199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200025</xdr:colOff>
      <xdr:row>34</xdr:row>
      <xdr:rowOff>47625</xdr:rowOff>
    </xdr:from>
    <xdr:to>
      <xdr:col>11</xdr:col>
      <xdr:colOff>504825</xdr:colOff>
      <xdr:row>52</xdr:row>
      <xdr:rowOff>71438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419100</xdr:colOff>
      <xdr:row>52</xdr:row>
      <xdr:rowOff>104775</xdr:rowOff>
    </xdr:from>
    <xdr:to>
      <xdr:col>11</xdr:col>
      <xdr:colOff>533106</xdr:colOff>
      <xdr:row>55</xdr:row>
      <xdr:rowOff>31630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1135380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962025</xdr:colOff>
      <xdr:row>34</xdr:row>
      <xdr:rowOff>23811</xdr:rowOff>
    </xdr:from>
    <xdr:to>
      <xdr:col>6</xdr:col>
      <xdr:colOff>38100</xdr:colOff>
      <xdr:row>52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34</xdr:row>
      <xdr:rowOff>19050</xdr:rowOff>
    </xdr:from>
    <xdr:to>
      <xdr:col>11</xdr:col>
      <xdr:colOff>476250</xdr:colOff>
      <xdr:row>52</xdr:row>
      <xdr:rowOff>42863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361950</xdr:colOff>
      <xdr:row>52</xdr:row>
      <xdr:rowOff>123825</xdr:rowOff>
    </xdr:from>
    <xdr:to>
      <xdr:col>11</xdr:col>
      <xdr:colOff>475956</xdr:colOff>
      <xdr:row>55</xdr:row>
      <xdr:rowOff>50680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1137285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990600</xdr:colOff>
      <xdr:row>34</xdr:row>
      <xdr:rowOff>100011</xdr:rowOff>
    </xdr:from>
    <xdr:to>
      <xdr:col>6</xdr:col>
      <xdr:colOff>66675</xdr:colOff>
      <xdr:row>52</xdr:row>
      <xdr:rowOff>123824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200025</xdr:colOff>
      <xdr:row>34</xdr:row>
      <xdr:rowOff>95250</xdr:rowOff>
    </xdr:from>
    <xdr:to>
      <xdr:col>11</xdr:col>
      <xdr:colOff>504825</xdr:colOff>
      <xdr:row>52</xdr:row>
      <xdr:rowOff>119063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447675</xdr:colOff>
      <xdr:row>53</xdr:row>
      <xdr:rowOff>38100</xdr:rowOff>
    </xdr:from>
    <xdr:to>
      <xdr:col>11</xdr:col>
      <xdr:colOff>561681</xdr:colOff>
      <xdr:row>55</xdr:row>
      <xdr:rowOff>155455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0" y="11477625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971550</xdr:colOff>
      <xdr:row>34</xdr:row>
      <xdr:rowOff>52386</xdr:rowOff>
    </xdr:from>
    <xdr:to>
      <xdr:col>6</xdr:col>
      <xdr:colOff>47625</xdr:colOff>
      <xdr:row>52</xdr:row>
      <xdr:rowOff>76199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180975</xdr:colOff>
      <xdr:row>34</xdr:row>
      <xdr:rowOff>47625</xdr:rowOff>
    </xdr:from>
    <xdr:to>
      <xdr:col>11</xdr:col>
      <xdr:colOff>485775</xdr:colOff>
      <xdr:row>52</xdr:row>
      <xdr:rowOff>71438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381000</xdr:colOff>
      <xdr:row>53</xdr:row>
      <xdr:rowOff>28575</xdr:rowOff>
    </xdr:from>
    <xdr:to>
      <xdr:col>11</xdr:col>
      <xdr:colOff>495006</xdr:colOff>
      <xdr:row>55</xdr:row>
      <xdr:rowOff>145930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5" y="1146810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971550</xdr:colOff>
      <xdr:row>34</xdr:row>
      <xdr:rowOff>4761</xdr:rowOff>
    </xdr:from>
    <xdr:to>
      <xdr:col>6</xdr:col>
      <xdr:colOff>47625</xdr:colOff>
      <xdr:row>52</xdr:row>
      <xdr:rowOff>28574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180975</xdr:colOff>
      <xdr:row>34</xdr:row>
      <xdr:rowOff>0</xdr:rowOff>
    </xdr:from>
    <xdr:to>
      <xdr:col>11</xdr:col>
      <xdr:colOff>485775</xdr:colOff>
      <xdr:row>52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381001</xdr:colOff>
      <xdr:row>52</xdr:row>
      <xdr:rowOff>156882</xdr:rowOff>
    </xdr:from>
    <xdr:to>
      <xdr:col>11</xdr:col>
      <xdr:colOff>490524</xdr:colOff>
      <xdr:row>55</xdr:row>
      <xdr:rowOff>83737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2" y="1137397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971550</xdr:colOff>
      <xdr:row>34</xdr:row>
      <xdr:rowOff>23811</xdr:rowOff>
    </xdr:from>
    <xdr:to>
      <xdr:col>6</xdr:col>
      <xdr:colOff>70597</xdr:colOff>
      <xdr:row>52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203947</xdr:colOff>
      <xdr:row>34</xdr:row>
      <xdr:rowOff>19050</xdr:rowOff>
    </xdr:from>
    <xdr:to>
      <xdr:col>11</xdr:col>
      <xdr:colOff>524996</xdr:colOff>
      <xdr:row>52</xdr:row>
      <xdr:rowOff>42863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438150</xdr:colOff>
      <xdr:row>52</xdr:row>
      <xdr:rowOff>95250</xdr:rowOff>
    </xdr:from>
    <xdr:to>
      <xdr:col>11</xdr:col>
      <xdr:colOff>552156</xdr:colOff>
      <xdr:row>55</xdr:row>
      <xdr:rowOff>22105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11344275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971550</xdr:colOff>
      <xdr:row>34</xdr:row>
      <xdr:rowOff>42861</xdr:rowOff>
    </xdr:from>
    <xdr:to>
      <xdr:col>6</xdr:col>
      <xdr:colOff>70597</xdr:colOff>
      <xdr:row>52</xdr:row>
      <xdr:rowOff>66674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203947</xdr:colOff>
      <xdr:row>34</xdr:row>
      <xdr:rowOff>38100</xdr:rowOff>
    </xdr:from>
    <xdr:to>
      <xdr:col>11</xdr:col>
      <xdr:colOff>524996</xdr:colOff>
      <xdr:row>52</xdr:row>
      <xdr:rowOff>61913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409575</xdr:colOff>
      <xdr:row>52</xdr:row>
      <xdr:rowOff>66675</xdr:rowOff>
    </xdr:from>
    <xdr:to>
      <xdr:col>11</xdr:col>
      <xdr:colOff>523581</xdr:colOff>
      <xdr:row>54</xdr:row>
      <xdr:rowOff>184030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1131570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/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981075</xdr:colOff>
      <xdr:row>34</xdr:row>
      <xdr:rowOff>33336</xdr:rowOff>
    </xdr:from>
    <xdr:to>
      <xdr:col>6</xdr:col>
      <xdr:colOff>80122</xdr:colOff>
      <xdr:row>52</xdr:row>
      <xdr:rowOff>57149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213472</xdr:colOff>
      <xdr:row>34</xdr:row>
      <xdr:rowOff>28575</xdr:rowOff>
    </xdr:from>
    <xdr:to>
      <xdr:col>11</xdr:col>
      <xdr:colOff>534521</xdr:colOff>
      <xdr:row>52</xdr:row>
      <xdr:rowOff>52388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466725</xdr:colOff>
      <xdr:row>52</xdr:row>
      <xdr:rowOff>142875</xdr:rowOff>
    </xdr:from>
    <xdr:to>
      <xdr:col>11</xdr:col>
      <xdr:colOff>580731</xdr:colOff>
      <xdr:row>55</xdr:row>
      <xdr:rowOff>69730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11391900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619123</xdr:colOff>
      <xdr:row>0</xdr:row>
      <xdr:rowOff>0</xdr:rowOff>
    </xdr:from>
    <xdr:to>
      <xdr:col>10</xdr:col>
      <xdr:colOff>904875</xdr:colOff>
      <xdr:row>1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095623" y="0"/>
          <a:ext cx="6810377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DESEMPENHO POR COMPETÊNCIA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- AVALIAÇÃO CANDIDATO</a:t>
          </a:r>
        </a:p>
        <a:p>
          <a:pPr algn="ctr"/>
          <a:endParaRPr lang="pt-BR" sz="12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981076</xdr:colOff>
      <xdr:row>18</xdr:row>
      <xdr:rowOff>28574</xdr:rowOff>
    </xdr:from>
    <xdr:to>
      <xdr:col>11</xdr:col>
      <xdr:colOff>466726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60512</xdr:colOff>
      <xdr:row>1</xdr:row>
      <xdr:rowOff>159123</xdr:rowOff>
    </xdr:to>
    <xdr:sp macro="" textlink="">
      <xdr:nvSpPr>
        <xdr:cNvPr id="5" name="Seta para a esquerda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971550</xdr:colOff>
      <xdr:row>34</xdr:row>
      <xdr:rowOff>23811</xdr:rowOff>
    </xdr:from>
    <xdr:to>
      <xdr:col>6</xdr:col>
      <xdr:colOff>70597</xdr:colOff>
      <xdr:row>52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203947</xdr:colOff>
      <xdr:row>34</xdr:row>
      <xdr:rowOff>19050</xdr:rowOff>
    </xdr:from>
    <xdr:to>
      <xdr:col>11</xdr:col>
      <xdr:colOff>524996</xdr:colOff>
      <xdr:row>52</xdr:row>
      <xdr:rowOff>42863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485775</xdr:colOff>
      <xdr:row>52</xdr:row>
      <xdr:rowOff>114300</xdr:rowOff>
    </xdr:from>
    <xdr:to>
      <xdr:col>11</xdr:col>
      <xdr:colOff>599781</xdr:colOff>
      <xdr:row>55</xdr:row>
      <xdr:rowOff>41155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1363325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1421947</xdr:colOff>
      <xdr:row>0</xdr:row>
      <xdr:rowOff>0</xdr:rowOff>
    </xdr:from>
    <xdr:to>
      <xdr:col>17</xdr:col>
      <xdr:colOff>589047</xdr:colOff>
      <xdr:row>1</xdr:row>
      <xdr:rowOff>185737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6247111" y="0"/>
          <a:ext cx="8479041" cy="4489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2">
                  <a:lumMod val="50000"/>
                </a:schemeClr>
              </a:solidFill>
            </a:rPr>
            <a:t>AVALIAÇÃO DE DESEMPENHO POR COMPETÊNCIA</a:t>
          </a:r>
          <a:r>
            <a:rPr lang="pt-BR" sz="1800" b="1" baseline="0">
              <a:solidFill>
                <a:schemeClr val="tx2">
                  <a:lumMod val="50000"/>
                </a:schemeClr>
              </a:solidFill>
            </a:rPr>
            <a:t>- </a:t>
          </a:r>
          <a:r>
            <a:rPr lang="pt-BR" sz="1400" b="1">
              <a:solidFill>
                <a:schemeClr val="tx2">
                  <a:lumMod val="50000"/>
                </a:schemeClr>
              </a:solidFill>
            </a:rPr>
            <a:t>PANORAMA</a:t>
          </a:r>
          <a:r>
            <a:rPr lang="pt-BR" sz="1400" b="1" baseline="0">
              <a:solidFill>
                <a:schemeClr val="tx2">
                  <a:lumMod val="50000"/>
                </a:schemeClr>
              </a:solidFill>
            </a:rPr>
            <a:t> </a:t>
          </a:r>
          <a:endParaRPr lang="pt-BR" sz="12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137862</xdr:colOff>
      <xdr:row>3</xdr:row>
      <xdr:rowOff>75197</xdr:rowOff>
    </xdr:from>
    <xdr:to>
      <xdr:col>5</xdr:col>
      <xdr:colOff>529891</xdr:colOff>
      <xdr:row>18</xdr:row>
      <xdr:rowOff>100263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75197</xdr:rowOff>
    </xdr:from>
    <xdr:to>
      <xdr:col>16</xdr:col>
      <xdr:colOff>78707</xdr:colOff>
      <xdr:row>18</xdr:row>
      <xdr:rowOff>100263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162927</xdr:colOff>
      <xdr:row>3</xdr:row>
      <xdr:rowOff>87730</xdr:rowOff>
    </xdr:from>
    <xdr:to>
      <xdr:col>26</xdr:col>
      <xdr:colOff>241633</xdr:colOff>
      <xdr:row>18</xdr:row>
      <xdr:rowOff>112796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313324</xdr:colOff>
      <xdr:row>3</xdr:row>
      <xdr:rowOff>87730</xdr:rowOff>
    </xdr:from>
    <xdr:to>
      <xdr:col>36</xdr:col>
      <xdr:colOff>392031</xdr:colOff>
      <xdr:row>18</xdr:row>
      <xdr:rowOff>112796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463718</xdr:colOff>
      <xdr:row>3</xdr:row>
      <xdr:rowOff>87729</xdr:rowOff>
    </xdr:from>
    <xdr:to>
      <xdr:col>46</xdr:col>
      <xdr:colOff>542424</xdr:colOff>
      <xdr:row>18</xdr:row>
      <xdr:rowOff>112795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0</xdr:colOff>
      <xdr:row>3</xdr:row>
      <xdr:rowOff>87730</xdr:rowOff>
    </xdr:from>
    <xdr:to>
      <xdr:col>57</xdr:col>
      <xdr:colOff>78707</xdr:colOff>
      <xdr:row>18</xdr:row>
      <xdr:rowOff>112796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175460</xdr:colOff>
      <xdr:row>3</xdr:row>
      <xdr:rowOff>87729</xdr:rowOff>
    </xdr:from>
    <xdr:to>
      <xdr:col>67</xdr:col>
      <xdr:colOff>254167</xdr:colOff>
      <xdr:row>18</xdr:row>
      <xdr:rowOff>112795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338389</xdr:colOff>
      <xdr:row>3</xdr:row>
      <xdr:rowOff>75197</xdr:rowOff>
    </xdr:from>
    <xdr:to>
      <xdr:col>77</xdr:col>
      <xdr:colOff>417095</xdr:colOff>
      <xdr:row>18</xdr:row>
      <xdr:rowOff>100263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77</xdr:col>
      <xdr:colOff>463717</xdr:colOff>
      <xdr:row>3</xdr:row>
      <xdr:rowOff>75197</xdr:rowOff>
    </xdr:from>
    <xdr:to>
      <xdr:col>87</xdr:col>
      <xdr:colOff>542424</xdr:colOff>
      <xdr:row>18</xdr:row>
      <xdr:rowOff>100263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87</xdr:col>
      <xdr:colOff>589046</xdr:colOff>
      <xdr:row>3</xdr:row>
      <xdr:rowOff>75197</xdr:rowOff>
    </xdr:from>
    <xdr:to>
      <xdr:col>98</xdr:col>
      <xdr:colOff>53641</xdr:colOff>
      <xdr:row>18</xdr:row>
      <xdr:rowOff>100263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150395</xdr:colOff>
      <xdr:row>20</xdr:row>
      <xdr:rowOff>75199</xdr:rowOff>
    </xdr:from>
    <xdr:to>
      <xdr:col>5</xdr:col>
      <xdr:colOff>542424</xdr:colOff>
      <xdr:row>35</xdr:row>
      <xdr:rowOff>100264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25066</xdr:colOff>
      <xdr:row>20</xdr:row>
      <xdr:rowOff>75198</xdr:rowOff>
    </xdr:from>
    <xdr:to>
      <xdr:col>16</xdr:col>
      <xdr:colOff>103773</xdr:colOff>
      <xdr:row>35</xdr:row>
      <xdr:rowOff>100263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175462</xdr:colOff>
      <xdr:row>20</xdr:row>
      <xdr:rowOff>87730</xdr:rowOff>
    </xdr:from>
    <xdr:to>
      <xdr:col>26</xdr:col>
      <xdr:colOff>254168</xdr:colOff>
      <xdr:row>35</xdr:row>
      <xdr:rowOff>112795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325855</xdr:colOff>
      <xdr:row>20</xdr:row>
      <xdr:rowOff>100263</xdr:rowOff>
    </xdr:from>
    <xdr:to>
      <xdr:col>36</xdr:col>
      <xdr:colOff>404562</xdr:colOff>
      <xdr:row>35</xdr:row>
      <xdr:rowOff>125328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488783</xdr:colOff>
      <xdr:row>20</xdr:row>
      <xdr:rowOff>100264</xdr:rowOff>
    </xdr:from>
    <xdr:to>
      <xdr:col>46</xdr:col>
      <xdr:colOff>567489</xdr:colOff>
      <xdr:row>35</xdr:row>
      <xdr:rowOff>125329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47</xdr:col>
      <xdr:colOff>12533</xdr:colOff>
      <xdr:row>20</xdr:row>
      <xdr:rowOff>112797</xdr:rowOff>
    </xdr:from>
    <xdr:to>
      <xdr:col>57</xdr:col>
      <xdr:colOff>91240</xdr:colOff>
      <xdr:row>35</xdr:row>
      <xdr:rowOff>137862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57</xdr:col>
      <xdr:colOff>200526</xdr:colOff>
      <xdr:row>20</xdr:row>
      <xdr:rowOff>112795</xdr:rowOff>
    </xdr:from>
    <xdr:to>
      <xdr:col>67</xdr:col>
      <xdr:colOff>279233</xdr:colOff>
      <xdr:row>35</xdr:row>
      <xdr:rowOff>137860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77</xdr:col>
      <xdr:colOff>513848</xdr:colOff>
      <xdr:row>20</xdr:row>
      <xdr:rowOff>125331</xdr:rowOff>
    </xdr:from>
    <xdr:to>
      <xdr:col>87</xdr:col>
      <xdr:colOff>592555</xdr:colOff>
      <xdr:row>35</xdr:row>
      <xdr:rowOff>150396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67</xdr:col>
      <xdr:colOff>375987</xdr:colOff>
      <xdr:row>20</xdr:row>
      <xdr:rowOff>125330</xdr:rowOff>
    </xdr:from>
    <xdr:to>
      <xdr:col>77</xdr:col>
      <xdr:colOff>454693</xdr:colOff>
      <xdr:row>35</xdr:row>
      <xdr:rowOff>150395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88</xdr:col>
      <xdr:colOff>50132</xdr:colOff>
      <xdr:row>20</xdr:row>
      <xdr:rowOff>125329</xdr:rowOff>
    </xdr:from>
    <xdr:to>
      <xdr:col>98</xdr:col>
      <xdr:colOff>128839</xdr:colOff>
      <xdr:row>35</xdr:row>
      <xdr:rowOff>150394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70037</xdr:colOff>
      <xdr:row>1</xdr:row>
      <xdr:rowOff>161240</xdr:rowOff>
    </xdr:to>
    <xdr:sp macro="" textlink="">
      <xdr:nvSpPr>
        <xdr:cNvPr id="36" name="Seta para a esquerda 3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0" y="0"/>
          <a:ext cx="546287" cy="425823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0</xdr:col>
      <xdr:colOff>412750</xdr:colOff>
      <xdr:row>37</xdr:row>
      <xdr:rowOff>31751</xdr:rowOff>
    </xdr:from>
    <xdr:to>
      <xdr:col>4</xdr:col>
      <xdr:colOff>1746251</xdr:colOff>
      <xdr:row>55</xdr:row>
      <xdr:rowOff>55564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1891988</xdr:colOff>
      <xdr:row>37</xdr:row>
      <xdr:rowOff>48157</xdr:rowOff>
    </xdr:from>
    <xdr:to>
      <xdr:col>15</xdr:col>
      <xdr:colOff>0</xdr:colOff>
      <xdr:row>55</xdr:row>
      <xdr:rowOff>71970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12</xdr:col>
      <xdr:colOff>603251</xdr:colOff>
      <xdr:row>56</xdr:row>
      <xdr:rowOff>1</xdr:rowOff>
    </xdr:from>
    <xdr:to>
      <xdr:col>14</xdr:col>
      <xdr:colOff>594490</xdr:colOff>
      <xdr:row>58</xdr:row>
      <xdr:rowOff>117356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4001" y="11726334"/>
          <a:ext cx="1218906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13</xdr:row>
      <xdr:rowOff>76200</xdr:rowOff>
    </xdr:from>
    <xdr:to>
      <xdr:col>23</xdr:col>
      <xdr:colOff>209550</xdr:colOff>
      <xdr:row>28</xdr:row>
      <xdr:rowOff>63667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D25"/>
  <sheetViews>
    <sheetView tabSelected="1" zoomScale="90" zoomScaleNormal="90" workbookViewId="0"/>
  </sheetViews>
  <sheetFormatPr defaultRowHeight="15" x14ac:dyDescent="0.25"/>
  <cols>
    <col min="1" max="16384" width="9.140625" style="1"/>
  </cols>
  <sheetData>
    <row r="1" s="18" customFormat="1" x14ac:dyDescent="0.25"/>
    <row r="2" s="18" customFormat="1" x14ac:dyDescent="0.25"/>
    <row r="3" s="18" customFormat="1" x14ac:dyDescent="0.25"/>
    <row r="4" s="17" customFormat="1" ht="15.75" thickBot="1" x14ac:dyDescent="0.3"/>
    <row r="25" spans="4:4" x14ac:dyDescent="0.25">
      <c r="D25" s="1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showGridLines="0" zoomScaleNormal="100" workbookViewId="0"/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">
        <v>1</v>
      </c>
      <c r="F8" s="9"/>
      <c r="G8" s="4">
        <v>10</v>
      </c>
      <c r="H8" s="26" t="s">
        <v>12</v>
      </c>
      <c r="I8" s="8"/>
      <c r="J8" s="6" t="s">
        <v>19</v>
      </c>
      <c r="K8" s="9"/>
      <c r="L8" s="4">
        <v>10</v>
      </c>
    </row>
    <row r="9" spans="1:12" s="3" customFormat="1" ht="20.25" x14ac:dyDescent="0.3">
      <c r="C9" s="26"/>
      <c r="D9" s="8"/>
      <c r="E9" s="6" t="s">
        <v>2</v>
      </c>
      <c r="F9" s="9"/>
      <c r="G9" s="4">
        <v>10</v>
      </c>
      <c r="H9" s="26"/>
      <c r="I9" s="8"/>
      <c r="J9" s="6" t="s">
        <v>20</v>
      </c>
      <c r="K9" s="9"/>
      <c r="L9" s="4">
        <v>10</v>
      </c>
    </row>
    <row r="10" spans="1:12" s="3" customFormat="1" ht="20.25" x14ac:dyDescent="0.3">
      <c r="C10" s="26"/>
      <c r="D10" s="8"/>
      <c r="E10" s="6" t="s">
        <v>3</v>
      </c>
      <c r="F10" s="9"/>
      <c r="G10" s="4">
        <v>10</v>
      </c>
      <c r="H10" s="26"/>
      <c r="I10" s="8"/>
      <c r="J10" s="6" t="s">
        <v>21</v>
      </c>
      <c r="K10" s="9"/>
      <c r="L10" s="4">
        <v>10</v>
      </c>
    </row>
    <row r="11" spans="1:12" s="3" customFormat="1" ht="20.25" x14ac:dyDescent="0.3">
      <c r="C11" s="26"/>
      <c r="D11" s="8"/>
      <c r="E11" s="6" t="s">
        <v>4</v>
      </c>
      <c r="F11" s="9"/>
      <c r="G11" s="4">
        <v>10</v>
      </c>
      <c r="H11" s="26"/>
      <c r="I11" s="8"/>
      <c r="J11" s="6" t="s">
        <v>6</v>
      </c>
      <c r="K11" s="9"/>
      <c r="L11" s="4">
        <v>10</v>
      </c>
    </row>
    <row r="12" spans="1:12" s="3" customFormat="1" ht="20.25" x14ac:dyDescent="0.3">
      <c r="C12" s="26"/>
      <c r="D12" s="8"/>
      <c r="E12" s="6" t="s">
        <v>5</v>
      </c>
      <c r="F12" s="9"/>
      <c r="G12" s="4">
        <v>10</v>
      </c>
      <c r="H12" s="26"/>
      <c r="I12" s="8"/>
      <c r="J12" s="6" t="s">
        <v>7</v>
      </c>
      <c r="K12" s="9"/>
      <c r="L12" s="4">
        <v>10</v>
      </c>
    </row>
    <row r="13" spans="1:12" s="3" customFormat="1" ht="20.25" x14ac:dyDescent="0.3">
      <c r="C13" s="26"/>
      <c r="D13" s="8"/>
      <c r="E13" s="6" t="s">
        <v>14</v>
      </c>
      <c r="F13" s="9"/>
      <c r="G13" s="4">
        <v>10</v>
      </c>
      <c r="H13" s="26"/>
      <c r="I13" s="8"/>
      <c r="J13" s="6" t="s">
        <v>8</v>
      </c>
      <c r="K13" s="9"/>
      <c r="L13" s="4">
        <v>10</v>
      </c>
    </row>
    <row r="14" spans="1:12" s="3" customFormat="1" ht="20.25" x14ac:dyDescent="0.3">
      <c r="C14" s="26"/>
      <c r="D14" s="8"/>
      <c r="E14" s="6" t="s">
        <v>15</v>
      </c>
      <c r="F14" s="9"/>
      <c r="G14" s="4">
        <v>10</v>
      </c>
      <c r="H14" s="26"/>
      <c r="I14" s="8"/>
      <c r="J14" s="6" t="s">
        <v>9</v>
      </c>
      <c r="K14" s="9"/>
      <c r="L14" s="4">
        <v>10</v>
      </c>
    </row>
    <row r="15" spans="1:12" s="3" customFormat="1" ht="20.25" x14ac:dyDescent="0.3">
      <c r="C15" s="26"/>
      <c r="D15" s="8"/>
      <c r="E15" s="6" t="s">
        <v>16</v>
      </c>
      <c r="F15" s="9"/>
      <c r="G15" s="4">
        <v>10</v>
      </c>
      <c r="H15" s="26"/>
      <c r="I15" s="8"/>
      <c r="J15" s="6" t="s">
        <v>10</v>
      </c>
      <c r="K15" s="9"/>
      <c r="L15" s="4">
        <v>10</v>
      </c>
    </row>
    <row r="16" spans="1:12" s="3" customFormat="1" ht="20.25" x14ac:dyDescent="0.3">
      <c r="C16" s="26"/>
      <c r="D16" s="8"/>
      <c r="E16" s="6" t="s">
        <v>17</v>
      </c>
      <c r="F16" s="9"/>
      <c r="G16" s="4">
        <v>10</v>
      </c>
      <c r="H16" s="26"/>
      <c r="I16" s="8"/>
      <c r="J16" s="6" t="s">
        <v>22</v>
      </c>
      <c r="K16" s="9"/>
      <c r="L16" s="4">
        <v>10</v>
      </c>
    </row>
    <row r="17" spans="3:12" s="3" customFormat="1" ht="20.25" x14ac:dyDescent="0.3">
      <c r="C17" s="26"/>
      <c r="D17" s="8"/>
      <c r="E17" s="6" t="s">
        <v>18</v>
      </c>
      <c r="F17" s="9"/>
      <c r="G17" s="4">
        <v>10</v>
      </c>
      <c r="H17" s="26"/>
      <c r="I17" s="8"/>
      <c r="J17" s="6" t="s">
        <v>23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ref="E21" si="2">J10</f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ref="E22" si="3">J11</f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ref="E23" si="4">J12</f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ref="E24" si="5">J13</f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ref="E25" si="6">J14</f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ref="E26" si="7">J15</f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ref="E27" si="8">J16</f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ref="E28" si="9">J17</f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E4:F4"/>
    <mergeCell ref="B4:C4"/>
    <mergeCell ref="C8:C17"/>
    <mergeCell ref="H8:H17"/>
    <mergeCell ref="F6:I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showGridLines="0" zoomScaleNormal="100" workbookViewId="0">
      <selection activeCell="B8" sqref="B8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showGridLines="0" topLeftCell="A43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showGridLines="0" topLeftCell="A40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showGridLines="0" topLeftCell="A43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2"/>
  <sheetViews>
    <sheetView showGridLines="0" topLeftCell="A34" zoomScale="85" zoomScaleNormal="85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showGridLines="0" topLeftCell="A37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"/>
  <sheetViews>
    <sheetView showGridLines="0" topLeftCell="A37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2"/>
  <sheetViews>
    <sheetView showGridLines="0" topLeftCell="A34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2"/>
  <sheetViews>
    <sheetView showGridLines="0" zoomScaleNormal="100" workbookViewId="0">
      <selection activeCell="I4" sqref="I4"/>
    </sheetView>
  </sheetViews>
  <sheetFormatPr defaultRowHeight="15" x14ac:dyDescent="0.25"/>
  <cols>
    <col min="1" max="1" width="7.28515625" style="3" customWidth="1"/>
    <col min="2" max="2" width="22.28515625" customWidth="1"/>
    <col min="3" max="3" width="6.140625" customWidth="1"/>
    <col min="4" max="4" width="1.42578125" customWidth="1"/>
    <col min="5" max="5" width="34.5703125" customWidth="1"/>
    <col min="6" max="6" width="16.5703125" customWidth="1"/>
    <col min="7" max="7" width="4.5703125" customWidth="1"/>
    <col min="8" max="8" width="6.140625" style="3" customWidth="1"/>
    <col min="9" max="9" width="1.42578125" style="3" customWidth="1"/>
    <col min="10" max="10" width="34.5703125" style="3" customWidth="1"/>
    <col min="11" max="11" width="16.5703125" style="3" customWidth="1"/>
  </cols>
  <sheetData>
    <row r="1" spans="1:12" s="15" customFormat="1" ht="21" customHeight="1" x14ac:dyDescent="0.25">
      <c r="A1" s="14"/>
      <c r="H1" s="14"/>
      <c r="I1" s="14"/>
      <c r="J1" s="14"/>
      <c r="K1" s="14"/>
    </row>
    <row r="2" spans="1:12" s="17" customFormat="1" ht="15.75" thickBot="1" x14ac:dyDescent="0.3">
      <c r="A2" s="16"/>
      <c r="H2" s="16"/>
      <c r="I2" s="16"/>
      <c r="J2" s="16"/>
      <c r="K2" s="16"/>
    </row>
    <row r="3" spans="1:12" s="4" customFormat="1" ht="11.25" customHeight="1" x14ac:dyDescent="0.25">
      <c r="A3" s="3"/>
      <c r="E3" s="4">
        <f>E4</f>
        <v>0</v>
      </c>
      <c r="H3" s="3"/>
      <c r="I3" s="3"/>
      <c r="J3" s="3"/>
      <c r="K3" s="3"/>
    </row>
    <row r="4" spans="1:12" s="4" customFormat="1" ht="24.75" customHeight="1" x14ac:dyDescent="0.25">
      <c r="A4" s="3"/>
      <c r="B4" s="25" t="s">
        <v>0</v>
      </c>
      <c r="C4" s="25"/>
      <c r="D4" s="7"/>
      <c r="E4" s="24"/>
      <c r="F4" s="24"/>
      <c r="H4" s="3"/>
      <c r="I4" s="3"/>
    </row>
    <row r="5" spans="1:12" s="4" customFormat="1" ht="11.25" customHeight="1" thickBot="1" x14ac:dyDescent="0.3">
      <c r="A5" s="3"/>
      <c r="H5" s="3"/>
      <c r="I5" s="3"/>
      <c r="J5" s="3"/>
      <c r="K5" s="3"/>
    </row>
    <row r="6" spans="1:12" s="4" customFormat="1" ht="29.25" customHeight="1" thickBot="1" x14ac:dyDescent="0.7">
      <c r="A6" s="3"/>
      <c r="F6" s="27" t="s">
        <v>13</v>
      </c>
      <c r="G6" s="27"/>
      <c r="H6" s="27"/>
      <c r="I6" s="27"/>
      <c r="J6" s="10" t="e">
        <f>SUM(F8:F28)/F29</f>
        <v>#DIV/0!</v>
      </c>
      <c r="K6" s="3"/>
    </row>
    <row r="7" spans="1:12" s="3" customFormat="1" ht="17.25" customHeight="1" x14ac:dyDescent="0.25"/>
    <row r="8" spans="1:12" s="3" customFormat="1" ht="20.25" x14ac:dyDescent="0.3">
      <c r="C8" s="26" t="s">
        <v>11</v>
      </c>
      <c r="D8" s="8"/>
      <c r="E8" s="6" t="str">
        <f>'Colaborador (1)'!E8</f>
        <v>LIDERANÇA</v>
      </c>
      <c r="F8" s="9"/>
      <c r="G8" s="4">
        <v>10</v>
      </c>
      <c r="H8" s="26" t="s">
        <v>12</v>
      </c>
      <c r="I8" s="8"/>
      <c r="J8" s="6" t="str">
        <f>'Colaborador (1)'!J8</f>
        <v>COMPETÊNCIA 3</v>
      </c>
      <c r="K8" s="9"/>
      <c r="L8" s="4">
        <v>10</v>
      </c>
    </row>
    <row r="9" spans="1:12" s="3" customFormat="1" ht="20.25" x14ac:dyDescent="0.3">
      <c r="C9" s="26"/>
      <c r="D9" s="8"/>
      <c r="E9" s="6" t="str">
        <f>'Colaborador (1)'!E9</f>
        <v>MOTIVAÇÃO</v>
      </c>
      <c r="F9" s="9"/>
      <c r="G9" s="4">
        <v>10</v>
      </c>
      <c r="H9" s="26"/>
      <c r="I9" s="8"/>
      <c r="J9" s="6" t="str">
        <f>'Colaborador (1)'!J9</f>
        <v>COMPETÊNCIA 4</v>
      </c>
      <c r="K9" s="9"/>
      <c r="L9" s="4">
        <v>10</v>
      </c>
    </row>
    <row r="10" spans="1:12" s="3" customFormat="1" ht="20.25" x14ac:dyDescent="0.3">
      <c r="C10" s="26"/>
      <c r="D10" s="8"/>
      <c r="E10" s="6" t="str">
        <f>'Colaborador (1)'!E10</f>
        <v>FLEXIBILIDADE</v>
      </c>
      <c r="F10" s="9"/>
      <c r="G10" s="4">
        <v>10</v>
      </c>
      <c r="H10" s="26"/>
      <c r="I10" s="8"/>
      <c r="J10" s="6" t="str">
        <f>'Colaborador (1)'!J10</f>
        <v>COMPETÊNCIA 5</v>
      </c>
      <c r="K10" s="9"/>
      <c r="L10" s="4">
        <v>10</v>
      </c>
    </row>
    <row r="11" spans="1:12" s="3" customFormat="1" ht="20.25" x14ac:dyDescent="0.3">
      <c r="C11" s="26"/>
      <c r="D11" s="8"/>
      <c r="E11" s="6" t="str">
        <f>'Colaborador (1)'!E11</f>
        <v>INICIATIVA</v>
      </c>
      <c r="F11" s="9"/>
      <c r="G11" s="4">
        <v>10</v>
      </c>
      <c r="H11" s="26"/>
      <c r="I11" s="8"/>
      <c r="J11" s="6" t="str">
        <f>'Colaborador (1)'!J11</f>
        <v>COMPETÊNCIA 6</v>
      </c>
      <c r="K11" s="9"/>
      <c r="L11" s="4">
        <v>10</v>
      </c>
    </row>
    <row r="12" spans="1:12" s="3" customFormat="1" ht="20.25" x14ac:dyDescent="0.3">
      <c r="C12" s="26"/>
      <c r="D12" s="8"/>
      <c r="E12" s="6" t="str">
        <f>'Colaborador (1)'!E12</f>
        <v>COMUNICAÇÃO</v>
      </c>
      <c r="F12" s="9"/>
      <c r="G12" s="4">
        <v>10</v>
      </c>
      <c r="H12" s="26"/>
      <c r="I12" s="8"/>
      <c r="J12" s="6" t="str">
        <f>'Colaborador (1)'!J12</f>
        <v>COMPETÊNCIA 7</v>
      </c>
      <c r="K12" s="9"/>
      <c r="L12" s="4">
        <v>10</v>
      </c>
    </row>
    <row r="13" spans="1:12" s="3" customFormat="1" ht="20.25" x14ac:dyDescent="0.3">
      <c r="C13" s="26"/>
      <c r="D13" s="8"/>
      <c r="E13" s="6" t="str">
        <f>'Colaborador (1)'!E13</f>
        <v>ORGANIZAÇÃO</v>
      </c>
      <c r="F13" s="9"/>
      <c r="G13" s="4">
        <v>10</v>
      </c>
      <c r="H13" s="26"/>
      <c r="I13" s="8"/>
      <c r="J13" s="6" t="str">
        <f>'Colaborador (1)'!J13</f>
        <v>COMPETÊNCIA 8</v>
      </c>
      <c r="K13" s="9"/>
      <c r="L13" s="4">
        <v>10</v>
      </c>
    </row>
    <row r="14" spans="1:12" s="3" customFormat="1" ht="20.25" x14ac:dyDescent="0.3">
      <c r="C14" s="26"/>
      <c r="D14" s="8"/>
      <c r="E14" s="6" t="str">
        <f>'Colaborador (1)'!E14</f>
        <v>TRABALHO EM EQUIPE</v>
      </c>
      <c r="F14" s="9"/>
      <c r="G14" s="4">
        <v>10</v>
      </c>
      <c r="H14" s="26"/>
      <c r="I14" s="8"/>
      <c r="J14" s="6" t="str">
        <f>'Colaborador (1)'!J14</f>
        <v>COMPETÊNCIA 9</v>
      </c>
      <c r="K14" s="9"/>
      <c r="L14" s="4">
        <v>10</v>
      </c>
    </row>
    <row r="15" spans="1:12" s="3" customFormat="1" ht="20.25" x14ac:dyDescent="0.3">
      <c r="C15" s="26"/>
      <c r="D15" s="8"/>
      <c r="E15" s="6" t="str">
        <f>'Colaborador (1)'!E15</f>
        <v>PONTUALIDADE</v>
      </c>
      <c r="F15" s="9"/>
      <c r="G15" s="4">
        <v>10</v>
      </c>
      <c r="H15" s="26"/>
      <c r="I15" s="8"/>
      <c r="J15" s="6" t="str">
        <f>'Colaborador (1)'!J15</f>
        <v>COMPETÊNCIA 10</v>
      </c>
      <c r="K15" s="9"/>
      <c r="L15" s="4">
        <v>10</v>
      </c>
    </row>
    <row r="16" spans="1:12" s="3" customFormat="1" ht="20.25" x14ac:dyDescent="0.3">
      <c r="C16" s="26"/>
      <c r="D16" s="8"/>
      <c r="E16" s="6" t="str">
        <f>'Colaborador (1)'!E16</f>
        <v>COMPETÊNCIA 1</v>
      </c>
      <c r="F16" s="9"/>
      <c r="G16" s="4">
        <v>10</v>
      </c>
      <c r="H16" s="26"/>
      <c r="I16" s="8"/>
      <c r="J16" s="6" t="str">
        <f>'Colaborador (1)'!J16</f>
        <v>COMPETÊNCIA 11</v>
      </c>
      <c r="K16" s="9"/>
      <c r="L16" s="4">
        <v>10</v>
      </c>
    </row>
    <row r="17" spans="3:12" s="3" customFormat="1" ht="20.25" x14ac:dyDescent="0.3">
      <c r="C17" s="26"/>
      <c r="D17" s="8"/>
      <c r="E17" s="6" t="str">
        <f>'Colaborador (1)'!E17</f>
        <v>COMPETÊNCIA 2</v>
      </c>
      <c r="F17" s="9"/>
      <c r="G17" s="4">
        <v>10</v>
      </c>
      <c r="H17" s="26"/>
      <c r="I17" s="8"/>
      <c r="J17" s="6" t="str">
        <f>'Colaborador (1)'!J17</f>
        <v>COMPETÊNCIA 12</v>
      </c>
      <c r="K17" s="9"/>
      <c r="L17" s="4">
        <v>10</v>
      </c>
    </row>
    <row r="18" spans="3:12" s="3" customFormat="1" ht="12.75" customHeight="1" x14ac:dyDescent="0.25"/>
    <row r="19" spans="3:12" s="5" customFormat="1" x14ac:dyDescent="0.25">
      <c r="E19" s="5" t="str">
        <f>J8</f>
        <v>COMPETÊNCIA 3</v>
      </c>
      <c r="F19" s="12" t="str">
        <f>IF(K8=0,"Vazio",K8)</f>
        <v>Vazio</v>
      </c>
      <c r="G19" s="5">
        <v>10</v>
      </c>
    </row>
    <row r="20" spans="3:12" s="5" customFormat="1" x14ac:dyDescent="0.25">
      <c r="E20" s="5" t="str">
        <f t="shared" ref="E20:E28" si="0">J9</f>
        <v>COMPETÊNCIA 4</v>
      </c>
      <c r="F20" s="12" t="str">
        <f t="shared" ref="F20:F28" si="1">IF(K9=0,"Vazio",K9)</f>
        <v>Vazio</v>
      </c>
      <c r="G20" s="5">
        <v>10</v>
      </c>
    </row>
    <row r="21" spans="3:12" s="5" customFormat="1" x14ac:dyDescent="0.25">
      <c r="E21" s="5" t="str">
        <f t="shared" si="0"/>
        <v>COMPETÊNCIA 5</v>
      </c>
      <c r="F21" s="12" t="str">
        <f t="shared" si="1"/>
        <v>Vazio</v>
      </c>
      <c r="G21" s="5">
        <v>10</v>
      </c>
    </row>
    <row r="22" spans="3:12" s="5" customFormat="1" x14ac:dyDescent="0.25">
      <c r="E22" s="5" t="str">
        <f t="shared" si="0"/>
        <v>COMPETÊNCIA 6</v>
      </c>
      <c r="F22" s="12" t="str">
        <f t="shared" si="1"/>
        <v>Vazio</v>
      </c>
      <c r="G22" s="5">
        <v>10</v>
      </c>
    </row>
    <row r="23" spans="3:12" s="5" customFormat="1" x14ac:dyDescent="0.25">
      <c r="E23" s="5" t="str">
        <f t="shared" si="0"/>
        <v>COMPETÊNCIA 7</v>
      </c>
      <c r="F23" s="12" t="str">
        <f t="shared" si="1"/>
        <v>Vazio</v>
      </c>
      <c r="G23" s="5">
        <v>10</v>
      </c>
    </row>
    <row r="24" spans="3:12" s="5" customFormat="1" x14ac:dyDescent="0.25">
      <c r="E24" s="5" t="str">
        <f t="shared" si="0"/>
        <v>COMPETÊNCIA 8</v>
      </c>
      <c r="F24" s="12" t="str">
        <f t="shared" si="1"/>
        <v>Vazio</v>
      </c>
      <c r="G24" s="5">
        <v>10</v>
      </c>
    </row>
    <row r="25" spans="3:12" s="5" customFormat="1" x14ac:dyDescent="0.25">
      <c r="E25" s="5" t="str">
        <f t="shared" si="0"/>
        <v>COMPETÊNCIA 9</v>
      </c>
      <c r="F25" s="12" t="str">
        <f t="shared" si="1"/>
        <v>Vazio</v>
      </c>
      <c r="G25" s="5">
        <v>10</v>
      </c>
    </row>
    <row r="26" spans="3:12" s="5" customFormat="1" x14ac:dyDescent="0.25">
      <c r="E26" s="5" t="str">
        <f t="shared" si="0"/>
        <v>COMPETÊNCIA 10</v>
      </c>
      <c r="F26" s="12" t="str">
        <f t="shared" si="1"/>
        <v>Vazio</v>
      </c>
      <c r="G26" s="5">
        <v>10</v>
      </c>
    </row>
    <row r="27" spans="3:12" s="5" customFormat="1" x14ac:dyDescent="0.25">
      <c r="E27" s="5" t="str">
        <f t="shared" si="0"/>
        <v>COMPETÊNCIA 11</v>
      </c>
      <c r="F27" s="12" t="str">
        <f t="shared" si="1"/>
        <v>Vazio</v>
      </c>
      <c r="G27" s="5">
        <v>10</v>
      </c>
    </row>
    <row r="28" spans="3:12" s="5" customFormat="1" x14ac:dyDescent="0.25">
      <c r="E28" s="5" t="str">
        <f t="shared" si="0"/>
        <v>COMPETÊNCIA 12</v>
      </c>
      <c r="F28" s="12" t="str">
        <f t="shared" si="1"/>
        <v>Vazio</v>
      </c>
      <c r="G28" s="5">
        <v>10</v>
      </c>
    </row>
    <row r="29" spans="3:12" s="5" customFormat="1" x14ac:dyDescent="0.25">
      <c r="F29" s="12">
        <f>COUNT(F8:F28)*10</f>
        <v>0</v>
      </c>
    </row>
    <row r="30" spans="3:12" x14ac:dyDescent="0.25">
      <c r="E30" s="4"/>
      <c r="F30" s="23"/>
      <c r="G30" s="4"/>
      <c r="H30" s="4"/>
    </row>
    <row r="31" spans="3:12" x14ac:dyDescent="0.25">
      <c r="E31" s="4"/>
      <c r="F31" s="23"/>
      <c r="G31" s="4"/>
      <c r="H31" s="4"/>
    </row>
    <row r="32" spans="3:12" x14ac:dyDescent="0.25">
      <c r="E32" s="3"/>
      <c r="F32" s="11"/>
    </row>
  </sheetData>
  <dataConsolidate/>
  <mergeCells count="5">
    <mergeCell ref="B4:C4"/>
    <mergeCell ref="E4:F4"/>
    <mergeCell ref="F6:I6"/>
    <mergeCell ref="C8:C17"/>
    <mergeCell ref="H8:H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52"/>
  <sheetViews>
    <sheetView showGridLines="0" zoomScale="55" zoomScaleNormal="55" workbookViewId="0">
      <selection activeCell="A10" sqref="A10"/>
    </sheetView>
  </sheetViews>
  <sheetFormatPr defaultRowHeight="15" x14ac:dyDescent="0.25"/>
  <cols>
    <col min="1" max="1" width="7.140625" customWidth="1"/>
    <col min="2" max="2" width="7" customWidth="1"/>
    <col min="3" max="5" width="29.140625" customWidth="1"/>
  </cols>
  <sheetData>
    <row r="1" spans="2:2" s="28" customFormat="1" ht="21" customHeight="1" x14ac:dyDescent="0.25"/>
    <row r="2" spans="2:2" s="28" customFormat="1" ht="21" customHeight="1" x14ac:dyDescent="0.25"/>
    <row r="3" spans="2:2" ht="9" customHeight="1" x14ac:dyDescent="0.25">
      <c r="B3" s="2"/>
    </row>
    <row r="4" spans="2:2" x14ac:dyDescent="0.25">
      <c r="B4" s="29" t="str">
        <f>'Colaborador (1)'!C8</f>
        <v>CRITÉRIO 1</v>
      </c>
    </row>
    <row r="5" spans="2:2" x14ac:dyDescent="0.25">
      <c r="B5" s="30"/>
    </row>
    <row r="6" spans="2:2" x14ac:dyDescent="0.25">
      <c r="B6" s="30"/>
    </row>
    <row r="7" spans="2:2" x14ac:dyDescent="0.25">
      <c r="B7" s="30"/>
    </row>
    <row r="8" spans="2:2" x14ac:dyDescent="0.25">
      <c r="B8" s="30"/>
    </row>
    <row r="9" spans="2:2" x14ac:dyDescent="0.25">
      <c r="B9" s="30"/>
    </row>
    <row r="10" spans="2:2" x14ac:dyDescent="0.25">
      <c r="B10" s="30"/>
    </row>
    <row r="11" spans="2:2" x14ac:dyDescent="0.25">
      <c r="B11" s="30"/>
    </row>
    <row r="12" spans="2:2" x14ac:dyDescent="0.25">
      <c r="B12" s="30"/>
    </row>
    <row r="13" spans="2:2" x14ac:dyDescent="0.25">
      <c r="B13" s="30"/>
    </row>
    <row r="14" spans="2:2" x14ac:dyDescent="0.25">
      <c r="B14" s="30"/>
    </row>
    <row r="15" spans="2:2" x14ac:dyDescent="0.25">
      <c r="B15" s="30"/>
    </row>
    <row r="16" spans="2:2" x14ac:dyDescent="0.25">
      <c r="B16" s="30"/>
    </row>
    <row r="17" spans="2:2" x14ac:dyDescent="0.25">
      <c r="B17" s="30"/>
    </row>
    <row r="18" spans="2:2" x14ac:dyDescent="0.25">
      <c r="B18" s="30"/>
    </row>
    <row r="19" spans="2:2" x14ac:dyDescent="0.25">
      <c r="B19" s="30"/>
    </row>
    <row r="20" spans="2:2" ht="9" customHeight="1" x14ac:dyDescent="0.25"/>
    <row r="21" spans="2:2" x14ac:dyDescent="0.25">
      <c r="B21" s="29" t="str">
        <f>'Colaborador (1)'!H8</f>
        <v>CRITÉRIO 2</v>
      </c>
    </row>
    <row r="22" spans="2:2" x14ac:dyDescent="0.25">
      <c r="B22" s="30"/>
    </row>
    <row r="23" spans="2:2" x14ac:dyDescent="0.25">
      <c r="B23" s="30"/>
    </row>
    <row r="24" spans="2:2" x14ac:dyDescent="0.25">
      <c r="B24" s="30"/>
    </row>
    <row r="25" spans="2:2" x14ac:dyDescent="0.25">
      <c r="B25" s="30"/>
    </row>
    <row r="26" spans="2:2" x14ac:dyDescent="0.25">
      <c r="B26" s="30"/>
    </row>
    <row r="27" spans="2:2" x14ac:dyDescent="0.25">
      <c r="B27" s="30"/>
    </row>
    <row r="28" spans="2:2" x14ac:dyDescent="0.25">
      <c r="B28" s="30"/>
    </row>
    <row r="29" spans="2:2" x14ac:dyDescent="0.25">
      <c r="B29" s="30"/>
    </row>
    <row r="30" spans="2:2" x14ac:dyDescent="0.25">
      <c r="B30" s="30"/>
    </row>
    <row r="31" spans="2:2" x14ac:dyDescent="0.25">
      <c r="B31" s="30"/>
    </row>
    <row r="32" spans="2:2" x14ac:dyDescent="0.25">
      <c r="B32" s="30"/>
    </row>
    <row r="33" spans="2:9" x14ac:dyDescent="0.25">
      <c r="B33" s="30"/>
    </row>
    <row r="34" spans="2:9" x14ac:dyDescent="0.25">
      <c r="B34" s="30"/>
    </row>
    <row r="35" spans="2:9" x14ac:dyDescent="0.25">
      <c r="B35" s="30"/>
    </row>
    <row r="36" spans="2:9" x14ac:dyDescent="0.25">
      <c r="B36" s="30"/>
    </row>
    <row r="39" spans="2:9" x14ac:dyDescent="0.25">
      <c r="B39" s="1"/>
      <c r="C39" s="1"/>
      <c r="D39" s="1"/>
      <c r="E39" s="1"/>
      <c r="F39" s="1"/>
      <c r="G39" s="1"/>
      <c r="H39" s="1"/>
      <c r="I39" s="1"/>
    </row>
    <row r="40" spans="2:9" x14ac:dyDescent="0.25">
      <c r="B40" s="1"/>
      <c r="C40" s="31" t="s">
        <v>24</v>
      </c>
      <c r="D40" s="31"/>
      <c r="E40" s="20"/>
      <c r="F40" s="20"/>
      <c r="G40" s="31" t="s">
        <v>25</v>
      </c>
      <c r="H40" s="31"/>
      <c r="I40" s="1"/>
    </row>
    <row r="41" spans="2:9" x14ac:dyDescent="0.25">
      <c r="B41" s="1"/>
      <c r="C41" s="31"/>
      <c r="D41" s="31"/>
      <c r="E41" s="20"/>
      <c r="F41" s="20"/>
      <c r="G41" s="31"/>
      <c r="H41" s="31"/>
      <c r="I41" s="1"/>
    </row>
    <row r="42" spans="2:9" ht="20.25" x14ac:dyDescent="0.3">
      <c r="B42" s="1"/>
      <c r="C42" s="21" t="s">
        <v>1</v>
      </c>
      <c r="D42" s="22" t="e">
        <f>AVERAGE('Colaborador (1):Colaborador (10)'!F8)</f>
        <v>#DIV/0!</v>
      </c>
      <c r="E42" s="20"/>
      <c r="F42" s="20"/>
      <c r="G42" s="21" t="s">
        <v>19</v>
      </c>
      <c r="H42" s="22" t="e">
        <f>AVERAGE('Colaborador (1):Colaborador (10)'!K8)</f>
        <v>#DIV/0!</v>
      </c>
      <c r="I42" s="1"/>
    </row>
    <row r="43" spans="2:9" ht="20.25" x14ac:dyDescent="0.3">
      <c r="B43" s="1"/>
      <c r="C43" s="21" t="s">
        <v>2</v>
      </c>
      <c r="D43" s="22" t="e">
        <f>AVERAGE('Colaborador (1):Colaborador (10)'!F9)</f>
        <v>#DIV/0!</v>
      </c>
      <c r="E43" s="20"/>
      <c r="F43" s="20"/>
      <c r="G43" s="21" t="s">
        <v>20</v>
      </c>
      <c r="H43" s="22" t="e">
        <f>AVERAGE('Colaborador (1):Colaborador (10)'!K9)</f>
        <v>#DIV/0!</v>
      </c>
      <c r="I43" s="1"/>
    </row>
    <row r="44" spans="2:9" ht="20.25" x14ac:dyDescent="0.3">
      <c r="B44" s="1"/>
      <c r="C44" s="21" t="s">
        <v>3</v>
      </c>
      <c r="D44" s="22" t="e">
        <f>AVERAGE('Colaborador (1):Colaborador (10)'!F10)</f>
        <v>#DIV/0!</v>
      </c>
      <c r="E44" s="20"/>
      <c r="F44" s="20"/>
      <c r="G44" s="21" t="s">
        <v>21</v>
      </c>
      <c r="H44" s="22" t="e">
        <f>AVERAGE('Colaborador (1):Colaborador (10)'!K10)</f>
        <v>#DIV/0!</v>
      </c>
      <c r="I44" s="1"/>
    </row>
    <row r="45" spans="2:9" ht="20.25" x14ac:dyDescent="0.3">
      <c r="B45" s="1"/>
      <c r="C45" s="21" t="s">
        <v>4</v>
      </c>
      <c r="D45" s="22" t="e">
        <f>AVERAGE('Colaborador (1):Colaborador (10)'!F11)</f>
        <v>#DIV/0!</v>
      </c>
      <c r="E45" s="20"/>
      <c r="F45" s="20"/>
      <c r="G45" s="21" t="s">
        <v>6</v>
      </c>
      <c r="H45" s="22" t="e">
        <f>AVERAGE('Colaborador (1):Colaborador (10)'!K11)</f>
        <v>#DIV/0!</v>
      </c>
      <c r="I45" s="1"/>
    </row>
    <row r="46" spans="2:9" ht="20.25" x14ac:dyDescent="0.3">
      <c r="B46" s="1"/>
      <c r="C46" s="21" t="s">
        <v>5</v>
      </c>
      <c r="D46" s="22" t="e">
        <f>AVERAGE('Colaborador (1):Colaborador (10)'!F12)</f>
        <v>#DIV/0!</v>
      </c>
      <c r="E46" s="20"/>
      <c r="F46" s="20"/>
      <c r="G46" s="21" t="s">
        <v>7</v>
      </c>
      <c r="H46" s="22" t="e">
        <f>AVERAGE('Colaborador (1):Colaborador (10)'!K12)</f>
        <v>#DIV/0!</v>
      </c>
      <c r="I46" s="1"/>
    </row>
    <row r="47" spans="2:9" ht="20.25" x14ac:dyDescent="0.3">
      <c r="B47" s="1"/>
      <c r="C47" s="21" t="s">
        <v>14</v>
      </c>
      <c r="D47" s="22" t="e">
        <f>AVERAGE('Colaborador (1):Colaborador (10)'!F13)</f>
        <v>#DIV/0!</v>
      </c>
      <c r="E47" s="20"/>
      <c r="F47" s="20"/>
      <c r="G47" s="21" t="s">
        <v>8</v>
      </c>
      <c r="H47" s="22" t="e">
        <f>AVERAGE('Colaborador (1):Colaborador (10)'!K13)</f>
        <v>#DIV/0!</v>
      </c>
      <c r="I47" s="1"/>
    </row>
    <row r="48" spans="2:9" ht="20.25" x14ac:dyDescent="0.3">
      <c r="B48" s="1"/>
      <c r="C48" s="21" t="s">
        <v>15</v>
      </c>
      <c r="D48" s="22" t="e">
        <f>AVERAGE('Colaborador (1):Colaborador (10)'!F14)</f>
        <v>#DIV/0!</v>
      </c>
      <c r="E48" s="20"/>
      <c r="F48" s="20"/>
      <c r="G48" s="21" t="s">
        <v>9</v>
      </c>
      <c r="H48" s="22" t="e">
        <f>AVERAGE('Colaborador (1):Colaborador (10)'!K14)</f>
        <v>#DIV/0!</v>
      </c>
      <c r="I48" s="1"/>
    </row>
    <row r="49" spans="2:9" ht="20.25" x14ac:dyDescent="0.3">
      <c r="B49" s="1"/>
      <c r="C49" s="21" t="s">
        <v>16</v>
      </c>
      <c r="D49" s="22" t="e">
        <f>AVERAGE('Colaborador (1):Colaborador (10)'!F15)</f>
        <v>#DIV/0!</v>
      </c>
      <c r="E49" s="20"/>
      <c r="F49" s="20"/>
      <c r="G49" s="21" t="s">
        <v>10</v>
      </c>
      <c r="H49" s="22" t="e">
        <f>AVERAGE('Colaborador (1):Colaborador (10)'!K15)</f>
        <v>#DIV/0!</v>
      </c>
      <c r="I49" s="1"/>
    </row>
    <row r="50" spans="2:9" ht="20.25" x14ac:dyDescent="0.3">
      <c r="B50" s="1"/>
      <c r="C50" s="21" t="s">
        <v>17</v>
      </c>
      <c r="D50" s="22" t="e">
        <f>AVERAGE('Colaborador (1):Colaborador (10)'!F16)</f>
        <v>#DIV/0!</v>
      </c>
      <c r="E50" s="20"/>
      <c r="F50" s="20"/>
      <c r="G50" s="21" t="s">
        <v>22</v>
      </c>
      <c r="H50" s="22" t="e">
        <f>AVERAGE('Colaborador (1):Colaborador (10)'!K16)</f>
        <v>#DIV/0!</v>
      </c>
      <c r="I50" s="1"/>
    </row>
    <row r="51" spans="2:9" ht="20.25" x14ac:dyDescent="0.3">
      <c r="B51" s="1"/>
      <c r="C51" s="21" t="s">
        <v>18</v>
      </c>
      <c r="D51" s="22" t="e">
        <f>AVERAGE('Colaborador (1):Colaborador (10)'!F17)</f>
        <v>#DIV/0!</v>
      </c>
      <c r="E51" s="20"/>
      <c r="F51" s="20"/>
      <c r="G51" s="21" t="s">
        <v>23</v>
      </c>
      <c r="H51" s="22" t="e">
        <f>AVERAGE('Colaborador (1):Colaborador (10)'!K17)</f>
        <v>#DIV/0!</v>
      </c>
      <c r="I51" s="1"/>
    </row>
    <row r="52" spans="2:9" x14ac:dyDescent="0.25">
      <c r="B52" s="1"/>
      <c r="C52" s="20"/>
      <c r="D52" s="20"/>
      <c r="E52" s="20"/>
      <c r="F52" s="20"/>
      <c r="G52" s="20"/>
      <c r="H52" s="20"/>
      <c r="I52" s="1"/>
    </row>
  </sheetData>
  <mergeCells count="5">
    <mergeCell ref="A1:XFD2"/>
    <mergeCell ref="B4:B19"/>
    <mergeCell ref="B21:B36"/>
    <mergeCell ref="C40:D41"/>
    <mergeCell ref="G40:H41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3"/>
  <sheetViews>
    <sheetView topLeftCell="A7" workbookViewId="0">
      <selection activeCell="O14" sqref="O14"/>
    </sheetView>
  </sheetViews>
  <sheetFormatPr defaultRowHeight="15" x14ac:dyDescent="0.25"/>
  <cols>
    <col min="2" max="2" width="16.42578125" customWidth="1"/>
    <col min="3" max="3" width="7.5703125" bestFit="1" customWidth="1"/>
  </cols>
  <sheetData>
    <row r="2" spans="2:12" x14ac:dyDescent="0.25">
      <c r="C2">
        <f>'Colaborador (1)'!E4</f>
        <v>0</v>
      </c>
      <c r="D2">
        <f>'Colaborador (2)'!$E$3</f>
        <v>0</v>
      </c>
      <c r="E2">
        <f>'Colaborador (3)'!$E$3</f>
        <v>0</v>
      </c>
      <c r="F2">
        <f>'Colaborador (4)'!$E$3</f>
        <v>0</v>
      </c>
      <c r="G2">
        <f>'Colaborador (5)'!$E$3</f>
        <v>0</v>
      </c>
      <c r="H2">
        <f>'Colaborador (6)'!$E$3</f>
        <v>0</v>
      </c>
      <c r="I2">
        <f>'Colaborador (7)'!$E$3</f>
        <v>0</v>
      </c>
      <c r="J2">
        <f>'Colaborador (8)'!$E$3</f>
        <v>0</v>
      </c>
      <c r="K2">
        <f>'Colaborador (9)'!$E$3</f>
        <v>0</v>
      </c>
      <c r="L2">
        <f>'Colaborador (10)'!$E$3</f>
        <v>0</v>
      </c>
    </row>
    <row r="3" spans="2:12" x14ac:dyDescent="0.25">
      <c r="B3" t="str">
        <f>'Colaborador (1)'!E8</f>
        <v>LIDERANÇA</v>
      </c>
      <c r="C3" s="13">
        <f>'Colaborador (1)'!F8</f>
        <v>0</v>
      </c>
      <c r="D3" s="13">
        <f>'Colaborador (2)'!$F8</f>
        <v>0</v>
      </c>
      <c r="E3" s="13">
        <f>'Colaborador (3)'!$F8</f>
        <v>0</v>
      </c>
      <c r="F3" s="13">
        <f>'Colaborador (4)'!$F8</f>
        <v>0</v>
      </c>
      <c r="G3" s="13">
        <f>'Colaborador (5)'!$F8</f>
        <v>0</v>
      </c>
      <c r="H3" s="13">
        <f>'Colaborador (6)'!$F8</f>
        <v>0</v>
      </c>
      <c r="I3" s="13">
        <f>'Colaborador (7)'!$F8</f>
        <v>0</v>
      </c>
      <c r="J3" s="13">
        <f>'Colaborador (8)'!$F8</f>
        <v>0</v>
      </c>
      <c r="K3" s="13">
        <f>'Colaborador (9)'!$F8</f>
        <v>0</v>
      </c>
      <c r="L3" s="13">
        <f>'Colaborador (10)'!$F8</f>
        <v>0</v>
      </c>
    </row>
    <row r="4" spans="2:12" x14ac:dyDescent="0.25">
      <c r="B4" t="str">
        <f>'Colaborador (1)'!E9</f>
        <v>MOTIVAÇÃO</v>
      </c>
      <c r="C4">
        <f>'Colaborador (1)'!F9</f>
        <v>0</v>
      </c>
      <c r="D4" s="13">
        <f>'Colaborador (2)'!$F9</f>
        <v>0</v>
      </c>
      <c r="E4" s="13">
        <f>'Colaborador (3)'!$F9</f>
        <v>0</v>
      </c>
      <c r="F4" s="13">
        <f>'Colaborador (4)'!$F9</f>
        <v>0</v>
      </c>
      <c r="G4" s="13">
        <f>'Colaborador (5)'!$F9</f>
        <v>0</v>
      </c>
      <c r="H4" s="13">
        <f>'Colaborador (6)'!$F9</f>
        <v>0</v>
      </c>
      <c r="I4" s="13">
        <f>'Colaborador (7)'!$F9</f>
        <v>0</v>
      </c>
      <c r="J4" s="13">
        <f>'Colaborador (8)'!$F9</f>
        <v>0</v>
      </c>
      <c r="K4" s="13">
        <f>'Colaborador (9)'!$F9</f>
        <v>0</v>
      </c>
      <c r="L4" s="13">
        <f>'Colaborador (10)'!$F9</f>
        <v>0</v>
      </c>
    </row>
    <row r="5" spans="2:12" x14ac:dyDescent="0.25">
      <c r="B5" t="str">
        <f>'Colaborador (1)'!E10</f>
        <v>FLEXIBILIDADE</v>
      </c>
      <c r="C5">
        <f>'Colaborador (1)'!F10</f>
        <v>0</v>
      </c>
      <c r="D5" s="13">
        <f>'Colaborador (2)'!$F10</f>
        <v>0</v>
      </c>
      <c r="E5" s="13">
        <f>'Colaborador (3)'!$F10</f>
        <v>0</v>
      </c>
      <c r="F5" s="13">
        <f>'Colaborador (4)'!$F10</f>
        <v>0</v>
      </c>
      <c r="G5" s="13">
        <f>'Colaborador (5)'!$F10</f>
        <v>0</v>
      </c>
      <c r="H5" s="13">
        <f>'Colaborador (6)'!$F10</f>
        <v>0</v>
      </c>
      <c r="I5" s="13">
        <f>'Colaborador (7)'!$F10</f>
        <v>0</v>
      </c>
      <c r="J5" s="13">
        <f>'Colaborador (8)'!$F10</f>
        <v>0</v>
      </c>
      <c r="K5" s="13">
        <f>'Colaborador (9)'!$F10</f>
        <v>0</v>
      </c>
      <c r="L5" s="13">
        <f>'Colaborador (10)'!$F10</f>
        <v>0</v>
      </c>
    </row>
    <row r="6" spans="2:12" x14ac:dyDescent="0.25">
      <c r="B6" t="str">
        <f>'Colaborador (1)'!E11</f>
        <v>INICIATIVA</v>
      </c>
      <c r="C6">
        <f>'Colaborador (1)'!F11</f>
        <v>0</v>
      </c>
      <c r="D6" s="13">
        <f>'Colaborador (2)'!$F11</f>
        <v>0</v>
      </c>
      <c r="E6" s="13">
        <f>'Colaborador (3)'!$F11</f>
        <v>0</v>
      </c>
      <c r="F6" s="13">
        <f>'Colaborador (4)'!$F11</f>
        <v>0</v>
      </c>
      <c r="G6" s="13">
        <f>'Colaborador (5)'!$F11</f>
        <v>0</v>
      </c>
      <c r="H6" s="13">
        <f>'Colaborador (6)'!$F11</f>
        <v>0</v>
      </c>
      <c r="I6" s="13">
        <f>'Colaborador (7)'!$F11</f>
        <v>0</v>
      </c>
      <c r="J6" s="13">
        <f>'Colaborador (8)'!$F11</f>
        <v>0</v>
      </c>
      <c r="K6" s="13">
        <f>'Colaborador (9)'!$F11</f>
        <v>0</v>
      </c>
      <c r="L6" s="13">
        <f>'Colaborador (10)'!$F11</f>
        <v>0</v>
      </c>
    </row>
    <row r="7" spans="2:12" x14ac:dyDescent="0.25">
      <c r="B7" t="str">
        <f>'Colaborador (1)'!E12</f>
        <v>COMUNICAÇÃO</v>
      </c>
      <c r="C7">
        <f>'Colaborador (1)'!F12</f>
        <v>0</v>
      </c>
      <c r="D7" s="13">
        <f>'Colaborador (2)'!$F12</f>
        <v>0</v>
      </c>
      <c r="E7" s="13">
        <f>'Colaborador (3)'!$F12</f>
        <v>0</v>
      </c>
      <c r="F7" s="13">
        <f>'Colaborador (4)'!$F12</f>
        <v>0</v>
      </c>
      <c r="G7" s="13">
        <f>'Colaborador (5)'!$F12</f>
        <v>0</v>
      </c>
      <c r="H7" s="13">
        <f>'Colaborador (6)'!$F12</f>
        <v>0</v>
      </c>
      <c r="I7" s="13">
        <f>'Colaborador (7)'!$F12</f>
        <v>0</v>
      </c>
      <c r="J7" s="13">
        <f>'Colaborador (8)'!$F12</f>
        <v>0</v>
      </c>
      <c r="K7" s="13">
        <f>'Colaborador (9)'!$F12</f>
        <v>0</v>
      </c>
      <c r="L7" s="13">
        <f>'Colaborador (10)'!$F12</f>
        <v>0</v>
      </c>
    </row>
    <row r="8" spans="2:12" x14ac:dyDescent="0.25">
      <c r="B8" t="str">
        <f>'Colaborador (1)'!E13</f>
        <v>ORGANIZAÇÃO</v>
      </c>
      <c r="C8">
        <f>'Colaborador (1)'!F13</f>
        <v>0</v>
      </c>
      <c r="D8" s="13">
        <f>'Colaborador (2)'!$F13</f>
        <v>0</v>
      </c>
      <c r="E8" s="13">
        <f>'Colaborador (3)'!$F13</f>
        <v>0</v>
      </c>
      <c r="F8" s="13">
        <f>'Colaborador (4)'!$F13</f>
        <v>0</v>
      </c>
      <c r="G8" s="13">
        <f>'Colaborador (5)'!$F13</f>
        <v>0</v>
      </c>
      <c r="H8" s="13">
        <f>'Colaborador (6)'!$F13</f>
        <v>0</v>
      </c>
      <c r="I8" s="13">
        <f>'Colaborador (7)'!$F13</f>
        <v>0</v>
      </c>
      <c r="J8" s="13">
        <f>'Colaborador (8)'!$F13</f>
        <v>0</v>
      </c>
      <c r="K8" s="13">
        <f>'Colaborador (9)'!$F13</f>
        <v>0</v>
      </c>
      <c r="L8" s="13">
        <f>'Colaborador (10)'!$F13</f>
        <v>0</v>
      </c>
    </row>
    <row r="9" spans="2:12" x14ac:dyDescent="0.25">
      <c r="B9" t="str">
        <f>'Colaborador (1)'!E14</f>
        <v>TRABALHO EM EQUIPE</v>
      </c>
      <c r="C9">
        <f>'Colaborador (1)'!F14</f>
        <v>0</v>
      </c>
      <c r="D9" s="13">
        <f>'Colaborador (2)'!$F14</f>
        <v>0</v>
      </c>
      <c r="E9" s="13">
        <f>'Colaborador (3)'!$F14</f>
        <v>0</v>
      </c>
      <c r="F9" s="13">
        <f>'Colaborador (4)'!$F14</f>
        <v>0</v>
      </c>
      <c r="G9" s="13">
        <f>'Colaborador (5)'!$F14</f>
        <v>0</v>
      </c>
      <c r="H9" s="13">
        <f>'Colaborador (6)'!$F14</f>
        <v>0</v>
      </c>
      <c r="I9" s="13">
        <f>'Colaborador (7)'!$F14</f>
        <v>0</v>
      </c>
      <c r="J9" s="13">
        <f>'Colaborador (8)'!$F14</f>
        <v>0</v>
      </c>
      <c r="K9" s="13">
        <f>'Colaborador (9)'!$F14</f>
        <v>0</v>
      </c>
      <c r="L9" s="13">
        <f>'Colaborador (10)'!$F14</f>
        <v>0</v>
      </c>
    </row>
    <row r="10" spans="2:12" x14ac:dyDescent="0.25">
      <c r="B10" t="str">
        <f>'Colaborador (1)'!E15</f>
        <v>PONTUALIDADE</v>
      </c>
      <c r="C10">
        <f>'Colaborador (1)'!F15</f>
        <v>0</v>
      </c>
      <c r="D10" s="13">
        <f>'Colaborador (2)'!$F15</f>
        <v>0</v>
      </c>
      <c r="E10" s="13">
        <f>'Colaborador (3)'!$F15</f>
        <v>0</v>
      </c>
      <c r="F10" s="13">
        <f>'Colaborador (4)'!$F15</f>
        <v>0</v>
      </c>
      <c r="G10" s="13">
        <f>'Colaborador (5)'!$F15</f>
        <v>0</v>
      </c>
      <c r="H10" s="13">
        <f>'Colaborador (6)'!$F15</f>
        <v>0</v>
      </c>
      <c r="I10" s="13">
        <f>'Colaborador (7)'!$F15</f>
        <v>0</v>
      </c>
      <c r="J10" s="13">
        <f>'Colaborador (8)'!$F15</f>
        <v>0</v>
      </c>
      <c r="K10" s="13">
        <f>'Colaborador (9)'!$F15</f>
        <v>0</v>
      </c>
      <c r="L10" s="13">
        <f>'Colaborador (10)'!$F15</f>
        <v>0</v>
      </c>
    </row>
    <row r="11" spans="2:12" x14ac:dyDescent="0.25">
      <c r="B11" t="str">
        <f>'Colaborador (1)'!E16</f>
        <v>COMPETÊNCIA 1</v>
      </c>
      <c r="C11">
        <f>'Colaborador (1)'!F16</f>
        <v>0</v>
      </c>
      <c r="D11" s="13">
        <f>'Colaborador (2)'!$F16</f>
        <v>0</v>
      </c>
      <c r="E11" s="13">
        <f>'Colaborador (3)'!$F16</f>
        <v>0</v>
      </c>
      <c r="F11" s="13">
        <f>'Colaborador (4)'!$F16</f>
        <v>0</v>
      </c>
      <c r="G11" s="13">
        <f>'Colaborador (5)'!$F16</f>
        <v>0</v>
      </c>
      <c r="H11" s="13">
        <f>'Colaborador (6)'!$F16</f>
        <v>0</v>
      </c>
      <c r="I11" s="13">
        <f>'Colaborador (7)'!$F16</f>
        <v>0</v>
      </c>
      <c r="J11" s="13">
        <f>'Colaborador (8)'!$F16</f>
        <v>0</v>
      </c>
      <c r="K11" s="13">
        <f>'Colaborador (9)'!$F16</f>
        <v>0</v>
      </c>
      <c r="L11" s="13">
        <f>'Colaborador (10)'!$F16</f>
        <v>0</v>
      </c>
    </row>
    <row r="12" spans="2:12" x14ac:dyDescent="0.25">
      <c r="B12" t="str">
        <f>'Colaborador (1)'!E17</f>
        <v>COMPETÊNCIA 2</v>
      </c>
      <c r="C12">
        <f>'Colaborador (1)'!F17</f>
        <v>0</v>
      </c>
      <c r="D12" s="13">
        <f>'Colaborador (2)'!$F17</f>
        <v>0</v>
      </c>
      <c r="E12" s="13">
        <f>'Colaborador (3)'!$F17</f>
        <v>0</v>
      </c>
      <c r="F12" s="13">
        <f>'Colaborador (4)'!$F17</f>
        <v>0</v>
      </c>
      <c r="G12" s="13">
        <f>'Colaborador (5)'!$F17</f>
        <v>0</v>
      </c>
      <c r="H12" s="13">
        <f>'Colaborador (6)'!$F17</f>
        <v>0</v>
      </c>
      <c r="I12" s="13">
        <f>'Colaborador (7)'!$F17</f>
        <v>0</v>
      </c>
      <c r="J12" s="13">
        <f>'Colaborador (8)'!$F17</f>
        <v>0</v>
      </c>
      <c r="K12" s="13">
        <f>'Colaborador (9)'!$F17</f>
        <v>0</v>
      </c>
      <c r="L12" s="13">
        <f>'Colaborador (10)'!$F17</f>
        <v>0</v>
      </c>
    </row>
    <row r="13" spans="2:12" x14ac:dyDescent="0.25">
      <c r="B13">
        <f>'Colaborador (1)'!E18</f>
        <v>0</v>
      </c>
      <c r="C13">
        <f>'Colaborador (1)'!F18</f>
        <v>0</v>
      </c>
      <c r="D13" s="13">
        <f>'Colaborador (2)'!$F18</f>
        <v>0</v>
      </c>
      <c r="E13" s="13">
        <f>'Colaborador (3)'!$F18</f>
        <v>0</v>
      </c>
      <c r="F13" s="13">
        <f>'Colaborador (4)'!$F18</f>
        <v>0</v>
      </c>
      <c r="G13" s="13">
        <f>'Colaborador (5)'!$F18</f>
        <v>0</v>
      </c>
      <c r="H13" s="13">
        <f>'Colaborador (6)'!$F18</f>
        <v>0</v>
      </c>
      <c r="I13" s="13">
        <f>'Colaborador (7)'!$F18</f>
        <v>0</v>
      </c>
      <c r="J13" s="13">
        <f>'Colaborador (8)'!$F18</f>
        <v>0</v>
      </c>
      <c r="K13" s="13">
        <f>'Colaborador (9)'!$F18</f>
        <v>0</v>
      </c>
      <c r="L13" s="13">
        <f>'Colaborador (10)'!$F18</f>
        <v>0</v>
      </c>
    </row>
    <row r="14" spans="2:12" x14ac:dyDescent="0.25">
      <c r="B14" t="str">
        <f>'Colaborador (1)'!E19</f>
        <v>COMPETÊNCIA 3</v>
      </c>
      <c r="C14" t="str">
        <f>'Colaborador (1)'!F19</f>
        <v>Vazio</v>
      </c>
      <c r="D14" s="13" t="str">
        <f>'Colaborador (2)'!$F19</f>
        <v>Vazio</v>
      </c>
      <c r="E14" s="13" t="str">
        <f>'Colaborador (3)'!$F19</f>
        <v>Vazio</v>
      </c>
      <c r="F14" s="13" t="str">
        <f>'Colaborador (4)'!$F19</f>
        <v>Vazio</v>
      </c>
      <c r="G14" s="13" t="str">
        <f>'Colaborador (5)'!$F19</f>
        <v>Vazio</v>
      </c>
      <c r="H14" s="13" t="str">
        <f>'Colaborador (6)'!$F19</f>
        <v>Vazio</v>
      </c>
      <c r="I14" s="13" t="str">
        <f>'Colaborador (7)'!$F19</f>
        <v>Vazio</v>
      </c>
      <c r="J14" s="13" t="str">
        <f>'Colaborador (8)'!$F19</f>
        <v>Vazio</v>
      </c>
      <c r="K14" s="13" t="str">
        <f>'Colaborador (9)'!$F19</f>
        <v>Vazio</v>
      </c>
      <c r="L14" s="13" t="str">
        <f>'Colaborador (10)'!$F19</f>
        <v>Vazio</v>
      </c>
    </row>
    <row r="15" spans="2:12" x14ac:dyDescent="0.25">
      <c r="B15" t="str">
        <f>'Colaborador (1)'!E20</f>
        <v>COMPETÊNCIA 4</v>
      </c>
      <c r="C15" t="str">
        <f>'Colaborador (1)'!F20</f>
        <v>Vazio</v>
      </c>
      <c r="D15" s="13" t="str">
        <f>'Colaborador (2)'!$F20</f>
        <v>Vazio</v>
      </c>
      <c r="E15" s="13" t="str">
        <f>'Colaborador (3)'!$F20</f>
        <v>Vazio</v>
      </c>
      <c r="F15" s="13" t="str">
        <f>'Colaborador (4)'!$F20</f>
        <v>Vazio</v>
      </c>
      <c r="G15" s="13" t="str">
        <f>'Colaborador (5)'!$F20</f>
        <v>Vazio</v>
      </c>
      <c r="H15" s="13" t="str">
        <f>'Colaborador (6)'!$F20</f>
        <v>Vazio</v>
      </c>
      <c r="I15" s="13" t="str">
        <f>'Colaborador (7)'!$F20</f>
        <v>Vazio</v>
      </c>
      <c r="J15" s="13" t="str">
        <f>'Colaborador (8)'!$F20</f>
        <v>Vazio</v>
      </c>
      <c r="K15" s="13" t="str">
        <f>'Colaborador (9)'!$F20</f>
        <v>Vazio</v>
      </c>
      <c r="L15" s="13" t="str">
        <f>'Colaborador (10)'!$F20</f>
        <v>Vazio</v>
      </c>
    </row>
    <row r="16" spans="2:12" x14ac:dyDescent="0.25">
      <c r="B16" t="str">
        <f>'Colaborador (1)'!E21</f>
        <v>COMPETÊNCIA 5</v>
      </c>
      <c r="C16" t="str">
        <f>'Colaborador (1)'!F21</f>
        <v>Vazio</v>
      </c>
      <c r="D16" s="13" t="str">
        <f>'Colaborador (2)'!$F21</f>
        <v>Vazio</v>
      </c>
      <c r="E16" s="13" t="str">
        <f>'Colaborador (3)'!$F21</f>
        <v>Vazio</v>
      </c>
      <c r="F16" s="13" t="str">
        <f>'Colaborador (4)'!$F21</f>
        <v>Vazio</v>
      </c>
      <c r="G16" s="13" t="str">
        <f>'Colaborador (5)'!$F21</f>
        <v>Vazio</v>
      </c>
      <c r="H16" s="13" t="str">
        <f>'Colaborador (6)'!$F21</f>
        <v>Vazio</v>
      </c>
      <c r="I16" s="13" t="str">
        <f>'Colaborador (7)'!$F21</f>
        <v>Vazio</v>
      </c>
      <c r="J16" s="13" t="str">
        <f>'Colaborador (8)'!$F21</f>
        <v>Vazio</v>
      </c>
      <c r="K16" s="13" t="str">
        <f>'Colaborador (9)'!$F21</f>
        <v>Vazio</v>
      </c>
      <c r="L16" s="13" t="str">
        <f>'Colaborador (10)'!$F21</f>
        <v>Vazio</v>
      </c>
    </row>
    <row r="17" spans="2:12" x14ac:dyDescent="0.25">
      <c r="B17" t="str">
        <f>'Colaborador (1)'!E22</f>
        <v>COMPETÊNCIA 6</v>
      </c>
      <c r="C17" t="str">
        <f>'Colaborador (1)'!F22</f>
        <v>Vazio</v>
      </c>
      <c r="D17" s="13" t="str">
        <f>'Colaborador (2)'!$F22</f>
        <v>Vazio</v>
      </c>
      <c r="E17" s="13" t="str">
        <f>'Colaborador (3)'!$F22</f>
        <v>Vazio</v>
      </c>
      <c r="F17" s="13" t="str">
        <f>'Colaborador (4)'!$F22</f>
        <v>Vazio</v>
      </c>
      <c r="G17" s="13" t="str">
        <f>'Colaborador (5)'!$F22</f>
        <v>Vazio</v>
      </c>
      <c r="H17" s="13" t="str">
        <f>'Colaborador (6)'!$F22</f>
        <v>Vazio</v>
      </c>
      <c r="I17" s="13" t="str">
        <f>'Colaborador (7)'!$F22</f>
        <v>Vazio</v>
      </c>
      <c r="J17" s="13" t="str">
        <f>'Colaborador (8)'!$F22</f>
        <v>Vazio</v>
      </c>
      <c r="K17" s="13" t="str">
        <f>'Colaborador (9)'!$F22</f>
        <v>Vazio</v>
      </c>
      <c r="L17" s="13" t="str">
        <f>'Colaborador (10)'!$F22</f>
        <v>Vazio</v>
      </c>
    </row>
    <row r="18" spans="2:12" x14ac:dyDescent="0.25">
      <c r="B18" t="str">
        <f>'Colaborador (1)'!E23</f>
        <v>COMPETÊNCIA 7</v>
      </c>
      <c r="C18" t="str">
        <f>'Colaborador (1)'!F23</f>
        <v>Vazio</v>
      </c>
      <c r="D18" s="13" t="str">
        <f>'Colaborador (2)'!$F23</f>
        <v>Vazio</v>
      </c>
      <c r="E18" s="13" t="str">
        <f>'Colaborador (3)'!$F23</f>
        <v>Vazio</v>
      </c>
      <c r="F18" s="13" t="str">
        <f>'Colaborador (4)'!$F23</f>
        <v>Vazio</v>
      </c>
      <c r="G18" s="13" t="str">
        <f>'Colaborador (5)'!$F23</f>
        <v>Vazio</v>
      </c>
      <c r="H18" s="13" t="str">
        <f>'Colaborador (6)'!$F23</f>
        <v>Vazio</v>
      </c>
      <c r="I18" s="13" t="str">
        <f>'Colaborador (7)'!$F23</f>
        <v>Vazio</v>
      </c>
      <c r="J18" s="13" t="str">
        <f>'Colaborador (8)'!$F23</f>
        <v>Vazio</v>
      </c>
      <c r="K18" s="13" t="str">
        <f>'Colaborador (9)'!$F23</f>
        <v>Vazio</v>
      </c>
      <c r="L18" s="13" t="str">
        <f>'Colaborador (10)'!$F23</f>
        <v>Vazio</v>
      </c>
    </row>
    <row r="19" spans="2:12" x14ac:dyDescent="0.25">
      <c r="B19" t="str">
        <f>'Colaborador (1)'!E24</f>
        <v>COMPETÊNCIA 8</v>
      </c>
      <c r="C19" t="str">
        <f>'Colaborador (1)'!F24</f>
        <v>Vazio</v>
      </c>
      <c r="D19" s="13" t="str">
        <f>'Colaborador (2)'!$F24</f>
        <v>Vazio</v>
      </c>
      <c r="E19" s="13" t="str">
        <f>'Colaborador (3)'!$F24</f>
        <v>Vazio</v>
      </c>
      <c r="F19" s="13" t="str">
        <f>'Colaborador (4)'!$F24</f>
        <v>Vazio</v>
      </c>
      <c r="G19" s="13" t="str">
        <f>'Colaborador (5)'!$F24</f>
        <v>Vazio</v>
      </c>
      <c r="H19" s="13" t="str">
        <f>'Colaborador (6)'!$F24</f>
        <v>Vazio</v>
      </c>
      <c r="I19" s="13" t="str">
        <f>'Colaborador (7)'!$F24</f>
        <v>Vazio</v>
      </c>
      <c r="J19" s="13" t="str">
        <f>'Colaborador (8)'!$F24</f>
        <v>Vazio</v>
      </c>
      <c r="K19" s="13" t="str">
        <f>'Colaborador (9)'!$F24</f>
        <v>Vazio</v>
      </c>
      <c r="L19" s="13" t="str">
        <f>'Colaborador (10)'!$F24</f>
        <v>Vazio</v>
      </c>
    </row>
    <row r="20" spans="2:12" x14ac:dyDescent="0.25">
      <c r="B20" t="str">
        <f>'Colaborador (1)'!E25</f>
        <v>COMPETÊNCIA 9</v>
      </c>
      <c r="C20" t="str">
        <f>'Colaborador (1)'!F25</f>
        <v>Vazio</v>
      </c>
      <c r="D20" s="13" t="str">
        <f>'Colaborador (2)'!$F25</f>
        <v>Vazio</v>
      </c>
      <c r="E20" s="13" t="str">
        <f>'Colaborador (3)'!$F25</f>
        <v>Vazio</v>
      </c>
      <c r="F20" s="13" t="str">
        <f>'Colaborador (4)'!$F25</f>
        <v>Vazio</v>
      </c>
      <c r="G20" s="13" t="str">
        <f>'Colaborador (5)'!$F25</f>
        <v>Vazio</v>
      </c>
      <c r="H20" s="13" t="str">
        <f>'Colaborador (6)'!$F25</f>
        <v>Vazio</v>
      </c>
      <c r="I20" s="13" t="str">
        <f>'Colaborador (7)'!$F25</f>
        <v>Vazio</v>
      </c>
      <c r="J20" s="13" t="str">
        <f>'Colaborador (8)'!$F25</f>
        <v>Vazio</v>
      </c>
      <c r="K20" s="13" t="str">
        <f>'Colaborador (9)'!$F25</f>
        <v>Vazio</v>
      </c>
      <c r="L20" s="13" t="str">
        <f>'Colaborador (10)'!$F25</f>
        <v>Vazio</v>
      </c>
    </row>
    <row r="21" spans="2:12" x14ac:dyDescent="0.25">
      <c r="B21" t="str">
        <f>'Colaborador (1)'!E26</f>
        <v>COMPETÊNCIA 10</v>
      </c>
      <c r="C21" t="str">
        <f>'Colaborador (1)'!F26</f>
        <v>Vazio</v>
      </c>
      <c r="D21" s="13" t="str">
        <f>'Colaborador (2)'!$F26</f>
        <v>Vazio</v>
      </c>
      <c r="E21" s="13" t="str">
        <f>'Colaborador (3)'!$F26</f>
        <v>Vazio</v>
      </c>
      <c r="F21" s="13" t="str">
        <f>'Colaborador (4)'!$F26</f>
        <v>Vazio</v>
      </c>
      <c r="G21" s="13" t="str">
        <f>'Colaborador (5)'!$F26</f>
        <v>Vazio</v>
      </c>
      <c r="H21" s="13" t="str">
        <f>'Colaborador (6)'!$F26</f>
        <v>Vazio</v>
      </c>
      <c r="I21" s="13" t="str">
        <f>'Colaborador (7)'!$F26</f>
        <v>Vazio</v>
      </c>
      <c r="J21" s="13" t="str">
        <f>'Colaborador (8)'!$F26</f>
        <v>Vazio</v>
      </c>
      <c r="K21" s="13" t="str">
        <f>'Colaborador (9)'!$F26</f>
        <v>Vazio</v>
      </c>
      <c r="L21" s="13" t="str">
        <f>'Colaborador (10)'!$F26</f>
        <v>Vazio</v>
      </c>
    </row>
    <row r="22" spans="2:12" x14ac:dyDescent="0.25">
      <c r="B22" t="str">
        <f>'Colaborador (1)'!E27</f>
        <v>COMPETÊNCIA 11</v>
      </c>
      <c r="C22" t="str">
        <f>'Colaborador (1)'!F27</f>
        <v>Vazio</v>
      </c>
      <c r="D22" s="13" t="str">
        <f>'Colaborador (2)'!$F27</f>
        <v>Vazio</v>
      </c>
      <c r="E22" s="13" t="str">
        <f>'Colaborador (3)'!$F27</f>
        <v>Vazio</v>
      </c>
      <c r="F22" s="13" t="str">
        <f>'Colaborador (4)'!$F27</f>
        <v>Vazio</v>
      </c>
      <c r="G22" s="13" t="str">
        <f>'Colaborador (5)'!$F27</f>
        <v>Vazio</v>
      </c>
      <c r="H22" s="13" t="str">
        <f>'Colaborador (6)'!$F27</f>
        <v>Vazio</v>
      </c>
      <c r="I22" s="13" t="str">
        <f>'Colaborador (7)'!$F27</f>
        <v>Vazio</v>
      </c>
      <c r="J22" s="13" t="str">
        <f>'Colaborador (8)'!$F27</f>
        <v>Vazio</v>
      </c>
      <c r="K22" s="13" t="str">
        <f>'Colaborador (9)'!$F27</f>
        <v>Vazio</v>
      </c>
      <c r="L22" s="13" t="str">
        <f>'Colaborador (10)'!$F27</f>
        <v>Vazio</v>
      </c>
    </row>
    <row r="23" spans="2:12" x14ac:dyDescent="0.25">
      <c r="B23" t="str">
        <f>'Colaborador (1)'!E28</f>
        <v>COMPETÊNCIA 12</v>
      </c>
      <c r="C23" t="str">
        <f>'Colaborador (1)'!F28</f>
        <v>Vazio</v>
      </c>
      <c r="D23" s="13" t="str">
        <f>'Colaborador (2)'!$F28</f>
        <v>Vazio</v>
      </c>
      <c r="E23" s="13" t="str">
        <f>'Colaborador (3)'!$F28</f>
        <v>Vazio</v>
      </c>
      <c r="F23" s="13" t="str">
        <f>'Colaborador (4)'!$F28</f>
        <v>Vazio</v>
      </c>
      <c r="G23" s="13" t="str">
        <f>'Colaborador (5)'!$F28</f>
        <v>Vazio</v>
      </c>
      <c r="H23" s="13" t="str">
        <f>'Colaborador (6)'!$F28</f>
        <v>Vazio</v>
      </c>
      <c r="I23" s="13" t="str">
        <f>'Colaborador (7)'!$F28</f>
        <v>Vazio</v>
      </c>
      <c r="J23" s="13" t="str">
        <f>'Colaborador (8)'!$F28</f>
        <v>Vazio</v>
      </c>
      <c r="K23" s="13" t="str">
        <f>'Colaborador (9)'!$F28</f>
        <v>Vazio</v>
      </c>
      <c r="L23" s="13" t="str">
        <f>'Colaborador (10)'!$F28</f>
        <v>Vazio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Painel</vt:lpstr>
      <vt:lpstr>Colaborador (1)</vt:lpstr>
      <vt:lpstr>Colaborador (2)</vt:lpstr>
      <vt:lpstr>Colaborador (3)</vt:lpstr>
      <vt:lpstr>Colaborador (4)</vt:lpstr>
      <vt:lpstr>Colaborador (5)</vt:lpstr>
      <vt:lpstr>Colaborador (6)</vt:lpstr>
      <vt:lpstr>Colaborador (7)</vt:lpstr>
      <vt:lpstr>Colaborador (8)</vt:lpstr>
      <vt:lpstr>Colaborador (9)</vt:lpstr>
      <vt:lpstr>Colaborador (10)</vt:lpstr>
      <vt:lpstr>PANORAMA</vt:lpstr>
      <vt:lpstr>Plan8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IvTa</cp:lastModifiedBy>
  <dcterms:created xsi:type="dcterms:W3CDTF">2013-11-09T12:17:33Z</dcterms:created>
  <dcterms:modified xsi:type="dcterms:W3CDTF">2020-04-28T21:12:15Z</dcterms:modified>
</cp:coreProperties>
</file>