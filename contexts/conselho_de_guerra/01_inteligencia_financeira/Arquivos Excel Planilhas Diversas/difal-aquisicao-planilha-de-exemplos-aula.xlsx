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aco\Google Drive\ICMS ao Vivo - Arquivos\Arquivos ICMS366\"/>
    </mc:Choice>
  </mc:AlternateContent>
  <xr:revisionPtr revIDLastSave="0" documentId="8_{7E5FDF43-D78E-B243-ADCE-07B2CF06EB0C}" xr6:coauthVersionLast="45" xr6:coauthVersionMax="45" xr10:uidLastSave="{00000000-0000-0000-0000-000000000000}"/>
  <bookViews>
    <workbookView xWindow="-108" yWindow="-108" windowWidth="22308" windowHeight="13176" activeTab="5" xr2:uid="{DF3DECD3-BFB1-4F08-9DC4-14203570996D}"/>
  </bookViews>
  <sheets>
    <sheet name="DIFAL - Regra Geral" sheetId="2" r:id="rId1"/>
    <sheet name="CC_para_CCouSN" sheetId="4" r:id="rId2"/>
    <sheet name="CC(IPI)_para_CCouSN" sheetId="5" r:id="rId3"/>
    <sheet name="SN_para_CC" sheetId="6" r:id="rId4"/>
    <sheet name="SN_para_SN" sheetId="8" r:id="rId5"/>
    <sheet name="Plan_DIFAL_ST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3" i="2" l="1"/>
  <c r="D21" i="9"/>
  <c r="D12" i="9"/>
  <c r="D17" i="9"/>
  <c r="D25" i="9"/>
  <c r="G26" i="2"/>
  <c r="G20" i="2"/>
  <c r="D29" i="9"/>
  <c r="D32" i="9"/>
  <c r="D37" i="9"/>
  <c r="D35" i="9"/>
  <c r="G17" i="2"/>
  <c r="C20" i="2"/>
  <c r="G11" i="2"/>
  <c r="D29" i="8"/>
  <c r="D23" i="8"/>
  <c r="D9" i="8"/>
  <c r="D23" i="6"/>
  <c r="D9" i="6"/>
  <c r="D14" i="6"/>
  <c r="D22" i="5"/>
  <c r="D9" i="5"/>
  <c r="D9" i="4"/>
  <c r="D13" i="4"/>
  <c r="D22" i="4"/>
  <c r="D13" i="5"/>
  <c r="D19" i="5"/>
  <c r="D25" i="5"/>
  <c r="D20" i="8"/>
  <c r="D26" i="8"/>
  <c r="D33" i="8"/>
  <c r="D14" i="8"/>
  <c r="D20" i="6"/>
  <c r="D26" i="6"/>
  <c r="D29" i="6"/>
  <c r="D32" i="6"/>
  <c r="D19" i="4"/>
  <c r="D25" i="4"/>
  <c r="D28" i="4"/>
  <c r="D31" i="4"/>
  <c r="D31" i="5"/>
  <c r="D28" i="5"/>
  <c r="C11" i="2"/>
  <c r="C17" i="2"/>
  <c r="C23" i="2"/>
  <c r="C26" i="2"/>
  <c r="C29" i="2"/>
  <c r="E33" i="2"/>
  <c r="G33" i="2"/>
</calcChain>
</file>

<file path=xl/sharedStrings.xml><?xml version="1.0" encoding="utf-8"?>
<sst xmlns="http://schemas.openxmlformats.org/spreadsheetml/2006/main" count="143" uniqueCount="66">
  <si>
    <t>Valor total da operação (com o ICMS embutido com a carga tributária interestadual)</t>
  </si>
  <si>
    <t>Alíquota ICMS interestadual</t>
  </si>
  <si>
    <t>ICMS origem</t>
  </si>
  <si>
    <t>Base de Cálculo cheia do DIFAL</t>
  </si>
  <si>
    <t>Valor Total do ICMS da Operação</t>
  </si>
  <si>
    <t>DIFAL a Recolher</t>
  </si>
  <si>
    <t>CÁLCULO DO DIFAL - BA</t>
  </si>
  <si>
    <t>DADOS DA OPERAÇÃO - ESTADO DE ORIGEM</t>
  </si>
  <si>
    <t>Valor da mercadoria sem ICMS origem</t>
  </si>
  <si>
    <t>Coeficiente</t>
  </si>
  <si>
    <t>[100%-aliq interna %]</t>
  </si>
  <si>
    <t>Valor total da operação sem ICMS</t>
  </si>
  <si>
    <t>[R$ 880,00 / 0,82]</t>
  </si>
  <si>
    <t xml:space="preserve">[R$ 1.000,00 - R$ 120,00] = </t>
  </si>
  <si>
    <t>[R$ 1073,17 x 18% ] =</t>
  </si>
  <si>
    <t>ICMS Difal = [R$ 193,17 - R$ 120,00]</t>
  </si>
  <si>
    <t>IPI destacado na NF origem</t>
  </si>
  <si>
    <t>Base de Cálculo do ICMS de origem</t>
  </si>
  <si>
    <t>Alíquota interna estado destino + FCB</t>
  </si>
  <si>
    <t xml:space="preserve">[R$ 1.000,00 - R$ 38,50] = </t>
  </si>
  <si>
    <t>[R$ 1.172,56 x 18% ] =</t>
  </si>
  <si>
    <t>ICMS Difal = [R$ 211,06 - R$ 38,50]</t>
  </si>
  <si>
    <t>Alíquota ICMS para o SN</t>
  </si>
  <si>
    <t>Percentual do DIFAL</t>
  </si>
  <si>
    <t>[ % Aliq. Estado Destino - % Aliq. Estado Origem] =</t>
  </si>
  <si>
    <t>[18% - 12%]</t>
  </si>
  <si>
    <t>DIFAL a Recolher (pelo SN)</t>
  </si>
  <si>
    <t>ICMS Difal = [BC DIFAL (R$ 1.073,17) x % DIFAL (6%)] =</t>
  </si>
  <si>
    <t>(Fornecedor CC -  Destinatário CC ou SN)</t>
  </si>
  <si>
    <t>(Fornecedor SN -  Destinatário CC)</t>
  </si>
  <si>
    <t>(Fornecedor SN -  Destinatário SN)</t>
  </si>
  <si>
    <t>(Fornecedor CC com IPI -  Destinatário CC ou SN)</t>
  </si>
  <si>
    <t>IPI destacado na NF origem (SN não destaca IPI)</t>
  </si>
  <si>
    <t>Alíquota interna estado destino + % FCP</t>
  </si>
  <si>
    <t>Coeficiente (divisor)</t>
  </si>
  <si>
    <t>[R$ 1.073,17 x 18% ] =</t>
  </si>
  <si>
    <t>(REGRA GERAL)</t>
  </si>
  <si>
    <t xml:space="preserve">[R$ 1.100,00 - R$ 132,00] = </t>
  </si>
  <si>
    <t>[R$ 968,00 / 0,82]</t>
  </si>
  <si>
    <t>[R$ 1.180,49 x 18% ] =</t>
  </si>
  <si>
    <t>ICMS Difal = [R$ 212,49 - R$ 132,00]</t>
  </si>
  <si>
    <t>Alíquota Efetiva ICMS para o SN</t>
  </si>
  <si>
    <t>registro E111 - BA009999</t>
  </si>
  <si>
    <t>DIFERENÇA ENTRE ALIQUOTAS</t>
  </si>
  <si>
    <t>[100%-DIFERENCIAL %]</t>
  </si>
  <si>
    <t>ICMS Difal = [R$ 1063,83*6%]</t>
  </si>
  <si>
    <t>COMPARATIVO</t>
  </si>
  <si>
    <t>CÁLCULO DO DIFAL - SEFAZ BA</t>
  </si>
  <si>
    <t>CÁLCULO DO DIFAL - CONVÊNIO 142/18</t>
  </si>
  <si>
    <t>VALOR</t>
  </si>
  <si>
    <t>%</t>
  </si>
  <si>
    <t>FRETE</t>
  </si>
  <si>
    <t>SEGURO</t>
  </si>
  <si>
    <t>OUTRAS</t>
  </si>
  <si>
    <t>IPI (SN não destaca IPI)</t>
  </si>
  <si>
    <t>Base de Cálculo do ICMS de origem (IPI entra na base)</t>
  </si>
  <si>
    <t>Alíquota Efetiva ICMS para o SN (meramente informativo)</t>
  </si>
  <si>
    <t>Alíquota interna estado destino</t>
  </si>
  <si>
    <t>FCB</t>
  </si>
  <si>
    <t>ALIQUOTA TOTAL</t>
  </si>
  <si>
    <t>[18% - 7%]</t>
  </si>
  <si>
    <t>[100%-% do Diferencial]</t>
  </si>
  <si>
    <t xml:space="preserve">[18%-7%] = </t>
  </si>
  <si>
    <t>[R$ 1000,00 / 0,89]</t>
  </si>
  <si>
    <t>PLANILHA CALCULADORA DO DIFAL</t>
  </si>
  <si>
    <t>(Fornecedor CC OU SN -  Destinatário CC OU SN)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</si>
</sst>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1"/>
      <name val="Arial Narrow"/>
      <family val="2"/>
    </font>
    <font>
      <b/>
      <sz val="12"/>
      <color rgb="FF000000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8"/>
      <color theme="1"/>
      <name val="Arial Narrow"/>
      <family val="2"/>
    </font>
    <font>
      <b/>
      <sz val="14"/>
      <color theme="1"/>
      <name val="Abadi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43" fontId="3" fillId="0" borderId="0" xfId="1" applyFont="1"/>
    <xf numFmtId="0" fontId="5" fillId="0" borderId="0" xfId="0" applyFont="1"/>
    <xf numFmtId="0" fontId="3" fillId="0" borderId="0" xfId="0" applyFont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43" fontId="5" fillId="3" borderId="1" xfId="1" applyFont="1" applyFill="1" applyBorder="1" applyAlignment="1">
      <alignment horizontal="center" vertical="center"/>
    </xf>
    <xf numFmtId="43" fontId="5" fillId="3" borderId="1" xfId="1" applyFont="1" applyFill="1" applyBorder="1" applyAlignment="1">
      <alignment horizontal="center"/>
    </xf>
    <xf numFmtId="10" fontId="5" fillId="4" borderId="1" xfId="1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43" fontId="5" fillId="0" borderId="1" xfId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43" fontId="5" fillId="0" borderId="1" xfId="1" applyFont="1" applyFill="1" applyBorder="1" applyAlignment="1">
      <alignment horizontal="center" vertical="center"/>
    </xf>
    <xf numFmtId="10" fontId="5" fillId="0" borderId="1" xfId="1" applyNumberFormat="1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18" xfId="0" applyFill="1" applyBorder="1"/>
    <xf numFmtId="0" fontId="4" fillId="6" borderId="1" xfId="0" applyFont="1" applyFill="1" applyBorder="1" applyAlignment="1">
      <alignment horizontal="center" wrapText="1"/>
    </xf>
    <xf numFmtId="10" fontId="5" fillId="6" borderId="1" xfId="1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 wrapText="1"/>
    </xf>
    <xf numFmtId="43" fontId="5" fillId="7" borderId="1" xfId="1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5" fillId="11" borderId="5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wrapText="1"/>
    </xf>
    <xf numFmtId="43" fontId="5" fillId="11" borderId="1" xfId="1" applyFont="1" applyFill="1" applyBorder="1" applyAlignment="1">
      <alignment horizontal="center"/>
    </xf>
    <xf numFmtId="43" fontId="5" fillId="11" borderId="1" xfId="1" applyFont="1" applyFill="1" applyBorder="1" applyAlignment="1">
      <alignment horizontal="center" vertical="center"/>
    </xf>
    <xf numFmtId="43" fontId="5" fillId="10" borderId="1" xfId="1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0" fontId="9" fillId="12" borderId="5" xfId="3" applyNumberFormat="1" applyFont="1" applyFill="1" applyBorder="1" applyAlignment="1">
      <alignment horizontal="center" vertical="center" wrapText="1"/>
    </xf>
    <xf numFmtId="10" fontId="9" fillId="12" borderId="6" xfId="3" applyNumberFormat="1" applyFont="1" applyFill="1" applyBorder="1" applyAlignment="1">
      <alignment horizontal="center" vertical="center" wrapText="1"/>
    </xf>
    <xf numFmtId="43" fontId="9" fillId="12" borderId="5" xfId="0" applyNumberFormat="1" applyFont="1" applyFill="1" applyBorder="1" applyAlignment="1">
      <alignment vertical="center"/>
    </xf>
    <xf numFmtId="0" fontId="9" fillId="12" borderId="6" xfId="0" applyFont="1" applyFill="1" applyBorder="1" applyAlignment="1">
      <alignment vertical="center"/>
    </xf>
    <xf numFmtId="43" fontId="5" fillId="6" borderId="5" xfId="1" applyFont="1" applyFill="1" applyBorder="1" applyAlignment="1">
      <alignment horizontal="center" vertical="center"/>
    </xf>
    <xf numFmtId="43" fontId="5" fillId="6" borderId="6" xfId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8" fillId="12" borderId="25" xfId="0" applyFont="1" applyFill="1" applyBorder="1" applyAlignment="1">
      <alignment horizontal="center" vertical="center"/>
    </xf>
    <xf numFmtId="0" fontId="8" fillId="12" borderId="26" xfId="0" applyFont="1" applyFill="1" applyBorder="1" applyAlignment="1">
      <alignment horizontal="center" vertical="center"/>
    </xf>
    <xf numFmtId="0" fontId="8" fillId="12" borderId="27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43" fontId="5" fillId="11" borderId="5" xfId="1" applyFont="1" applyFill="1" applyBorder="1" applyAlignment="1">
      <alignment horizontal="center" vertical="center"/>
    </xf>
    <xf numFmtId="43" fontId="5" fillId="11" borderId="6" xfId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10" fontId="5" fillId="6" borderId="5" xfId="1" applyNumberFormat="1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/>
    </xf>
    <xf numFmtId="0" fontId="7" fillId="11" borderId="23" xfId="0" applyFont="1" applyFill="1" applyBorder="1" applyAlignment="1">
      <alignment horizontal="center"/>
    </xf>
    <xf numFmtId="0" fontId="7" fillId="11" borderId="24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3" fontId="5" fillId="3" borderId="5" xfId="1" applyFont="1" applyFill="1" applyBorder="1" applyAlignment="1">
      <alignment horizontal="center" vertical="center"/>
    </xf>
    <xf numFmtId="43" fontId="5" fillId="3" borderId="6" xfId="1" applyFont="1" applyFill="1" applyBorder="1" applyAlignment="1">
      <alignment horizontal="center" vertical="center"/>
    </xf>
    <xf numFmtId="43" fontId="5" fillId="4" borderId="5" xfId="1" applyFont="1" applyFill="1" applyBorder="1" applyAlignment="1">
      <alignment horizontal="center" vertical="center"/>
    </xf>
    <xf numFmtId="43" fontId="5" fillId="4" borderId="6" xfId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7" fillId="6" borderId="22" xfId="0" applyFont="1" applyFill="1" applyBorder="1" applyAlignment="1">
      <alignment horizontal="center"/>
    </xf>
    <xf numFmtId="0" fontId="7" fillId="6" borderId="23" xfId="0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vertical="center" wrapText="1"/>
    </xf>
    <xf numFmtId="43" fontId="5" fillId="0" borderId="5" xfId="1" applyFont="1" applyFill="1" applyBorder="1" applyAlignment="1">
      <alignment horizontal="center" vertical="center"/>
    </xf>
    <xf numFmtId="43" fontId="5" fillId="0" borderId="6" xfId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/>
    </xf>
    <xf numFmtId="0" fontId="7" fillId="8" borderId="23" xfId="0" applyFont="1" applyFill="1" applyBorder="1" applyAlignment="1">
      <alignment horizontal="center"/>
    </xf>
    <xf numFmtId="0" fontId="7" fillId="8" borderId="24" xfId="0" applyFont="1" applyFill="1" applyBorder="1" applyAlignment="1">
      <alignment horizontal="center"/>
    </xf>
    <xf numFmtId="0" fontId="7" fillId="9" borderId="22" xfId="0" applyFont="1" applyFill="1" applyBorder="1" applyAlignment="1">
      <alignment horizontal="center"/>
    </xf>
    <xf numFmtId="0" fontId="7" fillId="9" borderId="23" xfId="0" applyFont="1" applyFill="1" applyBorder="1" applyAlignment="1">
      <alignment horizontal="center"/>
    </xf>
    <xf numFmtId="0" fontId="7" fillId="9" borderId="24" xfId="0" applyFont="1" applyFill="1" applyBorder="1" applyAlignment="1">
      <alignment horizontal="center"/>
    </xf>
    <xf numFmtId="10" fontId="5" fillId="0" borderId="5" xfId="1" applyNumberFormat="1" applyFont="1" applyFill="1" applyBorder="1" applyAlignment="1">
      <alignment horizontal="center" vertical="center"/>
    </xf>
    <xf numFmtId="10" fontId="5" fillId="0" borderId="10" xfId="1" applyNumberFormat="1" applyFont="1" applyFill="1" applyBorder="1" applyAlignment="1">
      <alignment horizontal="center" vertical="center"/>
    </xf>
    <xf numFmtId="164" fontId="5" fillId="0" borderId="5" xfId="2" applyFont="1" applyFill="1" applyBorder="1" applyAlignment="1">
      <alignment horizontal="center" vertical="center"/>
    </xf>
    <xf numFmtId="164" fontId="5" fillId="0" borderId="6" xfId="2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D798-6DDC-4D84-AA2C-1C7E96C0F137}">
  <dimension ref="A1:G34"/>
  <sheetViews>
    <sheetView showGridLines="0" topLeftCell="D1" zoomScale="175" zoomScaleNormal="175" workbookViewId="0">
      <selection activeCell="H25" sqref="H25"/>
    </sheetView>
  </sheetViews>
  <sheetFormatPr defaultColWidth="55.9609375" defaultRowHeight="12.75" x14ac:dyDescent="0.15"/>
  <cols>
    <col min="1" max="1" width="46.00390625" style="4" customWidth="1"/>
    <col min="2" max="2" width="5.6484375" style="4" customWidth="1"/>
    <col min="3" max="3" width="43.98828125" style="2" customWidth="1"/>
    <col min="4" max="4" width="7.53125" style="1" customWidth="1"/>
    <col min="5" max="5" width="41.02734375" style="1" customWidth="1"/>
    <col min="6" max="6" width="0.94140625" style="1" customWidth="1"/>
    <col min="7" max="7" width="29.32421875" style="1" customWidth="1"/>
    <col min="8" max="16384" width="55.9609375" style="1"/>
  </cols>
  <sheetData>
    <row r="1" spans="1:7" ht="7.15" customHeight="1" thickBot="1" x14ac:dyDescent="0.2"/>
    <row r="2" spans="1:7" ht="15.75" thickBot="1" x14ac:dyDescent="0.2">
      <c r="A2" s="92" t="s">
        <v>7</v>
      </c>
      <c r="B2" s="93"/>
      <c r="C2" s="94"/>
      <c r="E2" s="72" t="s">
        <v>7</v>
      </c>
      <c r="F2" s="73"/>
      <c r="G2" s="74"/>
    </row>
    <row r="3" spans="1:7" ht="14.25" x14ac:dyDescent="0.15">
      <c r="A3" s="79" t="s">
        <v>36</v>
      </c>
      <c r="B3" s="80"/>
      <c r="C3" s="81"/>
      <c r="E3" s="76" t="s">
        <v>36</v>
      </c>
      <c r="F3" s="77"/>
      <c r="G3" s="78"/>
    </row>
    <row r="4" spans="1:7" ht="5.45" customHeight="1" x14ac:dyDescent="0.15">
      <c r="A4" s="70"/>
      <c r="B4" s="70"/>
      <c r="C4" s="70"/>
      <c r="E4" s="70"/>
      <c r="F4" s="70"/>
      <c r="G4" s="70"/>
    </row>
    <row r="5" spans="1:7" s="3" customFormat="1" hidden="1" x14ac:dyDescent="0.15">
      <c r="A5" s="12" t="s">
        <v>11</v>
      </c>
      <c r="B5" s="10"/>
      <c r="C5" s="14">
        <v>0</v>
      </c>
      <c r="E5" s="47" t="s">
        <v>11</v>
      </c>
      <c r="F5" s="10"/>
      <c r="G5" s="50">
        <v>0</v>
      </c>
    </row>
    <row r="6" spans="1:7" ht="5.45" customHeight="1" x14ac:dyDescent="0.15">
      <c r="A6" s="11"/>
      <c r="B6" s="11"/>
      <c r="C6" s="11"/>
      <c r="E6" s="43"/>
      <c r="F6" s="43"/>
      <c r="G6" s="43"/>
    </row>
    <row r="7" spans="1:7" s="3" customFormat="1" ht="24" x14ac:dyDescent="0.15">
      <c r="A7" s="12" t="s">
        <v>0</v>
      </c>
      <c r="B7" s="10"/>
      <c r="C7" s="13">
        <v>1000</v>
      </c>
      <c r="E7" s="47" t="s">
        <v>0</v>
      </c>
      <c r="F7" s="10"/>
      <c r="G7" s="49">
        <v>1000</v>
      </c>
    </row>
    <row r="8" spans="1:7" ht="5.45" customHeight="1" x14ac:dyDescent="0.15">
      <c r="A8" s="70"/>
      <c r="B8" s="70"/>
      <c r="C8" s="70"/>
      <c r="E8" s="70"/>
      <c r="F8" s="70"/>
      <c r="G8" s="70"/>
    </row>
    <row r="9" spans="1:7" s="3" customFormat="1" x14ac:dyDescent="0.15">
      <c r="A9" s="12" t="s">
        <v>1</v>
      </c>
      <c r="B9" s="10"/>
      <c r="C9" s="15">
        <v>0.12</v>
      </c>
      <c r="E9" s="47" t="s">
        <v>1</v>
      </c>
      <c r="F9" s="10"/>
      <c r="G9" s="39">
        <v>7.0000000000000007E-2</v>
      </c>
    </row>
    <row r="10" spans="1:7" ht="5.45" customHeight="1" x14ac:dyDescent="0.15">
      <c r="A10" s="70"/>
      <c r="B10" s="70"/>
      <c r="C10" s="70"/>
      <c r="E10" s="70"/>
      <c r="F10" s="70"/>
      <c r="G10" s="70"/>
    </row>
    <row r="11" spans="1:7" s="3" customFormat="1" x14ac:dyDescent="0.15">
      <c r="A11" s="12" t="s">
        <v>2</v>
      </c>
      <c r="B11" s="10"/>
      <c r="C11" s="14">
        <f>C7*C9</f>
        <v>120</v>
      </c>
      <c r="E11" s="47" t="s">
        <v>2</v>
      </c>
      <c r="F11" s="10"/>
      <c r="G11" s="48">
        <f>G7*G9</f>
        <v>70</v>
      </c>
    </row>
    <row r="12" spans="1:7" ht="5.45" customHeight="1" x14ac:dyDescent="0.15">
      <c r="A12" s="70"/>
      <c r="B12" s="70"/>
      <c r="C12" s="70"/>
      <c r="E12" s="70"/>
      <c r="F12" s="70"/>
      <c r="G12" s="70"/>
    </row>
    <row r="13" spans="1:7" s="3" customFormat="1" x14ac:dyDescent="0.15">
      <c r="A13" s="12" t="s">
        <v>33</v>
      </c>
      <c r="B13" s="10"/>
      <c r="C13" s="15">
        <v>0.18</v>
      </c>
      <c r="E13" s="47" t="s">
        <v>33</v>
      </c>
      <c r="F13" s="10"/>
      <c r="G13" s="39">
        <v>0.18</v>
      </c>
    </row>
    <row r="14" spans="1:7" ht="5.45" customHeight="1" thickBot="1" x14ac:dyDescent="0.2">
      <c r="A14" s="71"/>
      <c r="B14" s="71"/>
      <c r="C14" s="71"/>
      <c r="E14" s="71"/>
      <c r="F14" s="71"/>
      <c r="G14" s="71"/>
    </row>
    <row r="15" spans="1:7" s="3" customFormat="1" ht="15.75" thickBot="1" x14ac:dyDescent="0.2">
      <c r="A15" s="85" t="s">
        <v>47</v>
      </c>
      <c r="B15" s="86"/>
      <c r="C15" s="87"/>
      <c r="E15" s="72" t="s">
        <v>48</v>
      </c>
      <c r="F15" s="73"/>
      <c r="G15" s="74"/>
    </row>
    <row r="16" spans="1:7" ht="5.45" customHeight="1" x14ac:dyDescent="0.15">
      <c r="A16" s="71"/>
      <c r="B16" s="71"/>
      <c r="C16" s="71"/>
      <c r="E16" s="71"/>
      <c r="F16" s="71"/>
      <c r="G16" s="71"/>
    </row>
    <row r="17" spans="1:7" s="3" customFormat="1" x14ac:dyDescent="0.15">
      <c r="A17" s="16" t="s">
        <v>8</v>
      </c>
      <c r="B17" s="7"/>
      <c r="C17" s="88">
        <f>C7-C11</f>
        <v>880</v>
      </c>
      <c r="E17" s="44" t="s">
        <v>43</v>
      </c>
      <c r="F17" s="7"/>
      <c r="G17" s="75">
        <f>G13-G9</f>
        <v>0.10999999999999999</v>
      </c>
    </row>
    <row r="18" spans="1:7" x14ac:dyDescent="0.15">
      <c r="A18" s="17" t="s">
        <v>13</v>
      </c>
      <c r="B18" s="5"/>
      <c r="C18" s="89"/>
      <c r="E18" s="45" t="s">
        <v>62</v>
      </c>
      <c r="F18" s="42"/>
      <c r="G18" s="60"/>
    </row>
    <row r="19" spans="1:7" ht="5.45" customHeight="1" x14ac:dyDescent="0.15">
      <c r="A19" s="61"/>
      <c r="B19" s="61"/>
      <c r="C19" s="61"/>
      <c r="E19" s="61"/>
      <c r="F19" s="61"/>
      <c r="G19" s="61"/>
    </row>
    <row r="20" spans="1:7" s="3" customFormat="1" x14ac:dyDescent="0.15">
      <c r="A20" s="18" t="s">
        <v>34</v>
      </c>
      <c r="B20" s="8"/>
      <c r="C20" s="88">
        <f>100%-C13</f>
        <v>0.82000000000000006</v>
      </c>
      <c r="E20" s="46" t="s">
        <v>34</v>
      </c>
      <c r="F20" s="8"/>
      <c r="G20" s="68">
        <f>100%-G17</f>
        <v>0.89</v>
      </c>
    </row>
    <row r="21" spans="1:7" x14ac:dyDescent="0.15">
      <c r="A21" s="17" t="s">
        <v>10</v>
      </c>
      <c r="B21" s="5"/>
      <c r="C21" s="89"/>
      <c r="E21" s="45" t="s">
        <v>44</v>
      </c>
      <c r="F21" s="42"/>
      <c r="G21" s="69"/>
    </row>
    <row r="22" spans="1:7" ht="5.45" customHeight="1" x14ac:dyDescent="0.15">
      <c r="A22" s="61"/>
      <c r="B22" s="61"/>
      <c r="C22" s="61"/>
      <c r="E22" s="61"/>
      <c r="F22" s="61"/>
      <c r="G22" s="61"/>
    </row>
    <row r="23" spans="1:7" s="3" customFormat="1" x14ac:dyDescent="0.15">
      <c r="A23" s="18" t="s">
        <v>3</v>
      </c>
      <c r="B23" s="9"/>
      <c r="C23" s="88">
        <f>C17/C20</f>
        <v>1073.1707317073169</v>
      </c>
      <c r="E23" s="46" t="s">
        <v>3</v>
      </c>
      <c r="F23" s="9"/>
      <c r="G23" s="68">
        <f>G7/G20</f>
        <v>1123.5955056179776</v>
      </c>
    </row>
    <row r="24" spans="1:7" x14ac:dyDescent="0.15">
      <c r="A24" s="17" t="s">
        <v>12</v>
      </c>
      <c r="B24" s="5"/>
      <c r="C24" s="89"/>
      <c r="E24" s="45" t="s">
        <v>63</v>
      </c>
      <c r="F24" s="42"/>
      <c r="G24" s="69"/>
    </row>
    <row r="25" spans="1:7" ht="5.45" customHeight="1" x14ac:dyDescent="0.15">
      <c r="A25" s="61"/>
      <c r="B25" s="61"/>
      <c r="C25" s="61"/>
      <c r="E25" s="61"/>
      <c r="F25" s="61"/>
      <c r="G25" s="61"/>
    </row>
    <row r="26" spans="1:7" s="3" customFormat="1" x14ac:dyDescent="0.15">
      <c r="A26" s="16" t="s">
        <v>4</v>
      </c>
      <c r="B26" s="7"/>
      <c r="C26" s="88">
        <f>C23*C13</f>
        <v>193.17073170731703</v>
      </c>
      <c r="E26" s="44" t="s">
        <v>5</v>
      </c>
      <c r="F26" s="7"/>
      <c r="G26" s="59">
        <f>G23*G17</f>
        <v>123.59550561797752</v>
      </c>
    </row>
    <row r="27" spans="1:7" x14ac:dyDescent="0.15">
      <c r="A27" s="17" t="s">
        <v>35</v>
      </c>
      <c r="B27" s="5"/>
      <c r="C27" s="89"/>
      <c r="E27" s="45" t="s">
        <v>45</v>
      </c>
      <c r="F27" s="42"/>
      <c r="G27" s="60"/>
    </row>
    <row r="28" spans="1:7" ht="5.45" customHeight="1" x14ac:dyDescent="0.15">
      <c r="A28" s="61"/>
      <c r="B28" s="61"/>
      <c r="C28" s="61"/>
      <c r="E28" s="61"/>
      <c r="F28" s="61"/>
      <c r="G28" s="61"/>
    </row>
    <row r="29" spans="1:7" s="3" customFormat="1" ht="83.45" customHeight="1" x14ac:dyDescent="0.15">
      <c r="A29" s="16" t="s">
        <v>5</v>
      </c>
      <c r="B29" s="7"/>
      <c r="C29" s="90">
        <f>C26-C11</f>
        <v>73.170731707317032</v>
      </c>
    </row>
    <row r="30" spans="1:7" x14ac:dyDescent="0.15">
      <c r="A30" s="17" t="s">
        <v>15</v>
      </c>
      <c r="B30" s="5"/>
      <c r="C30" s="91"/>
      <c r="E30" s="62" t="s">
        <v>46</v>
      </c>
      <c r="F30" s="63"/>
      <c r="G30" s="64"/>
    </row>
    <row r="31" spans="1:7" ht="5.45" customHeight="1" x14ac:dyDescent="0.15">
      <c r="A31" s="82"/>
      <c r="B31" s="83"/>
      <c r="C31" s="84"/>
      <c r="E31" s="65"/>
      <c r="F31" s="66"/>
      <c r="G31" s="67"/>
    </row>
    <row r="32" spans="1:7" ht="15" x14ac:dyDescent="0.15">
      <c r="E32" s="51" t="s">
        <v>49</v>
      </c>
      <c r="F32" s="51"/>
      <c r="G32" s="51" t="s">
        <v>50</v>
      </c>
    </row>
    <row r="33" spans="5:7" x14ac:dyDescent="0.15">
      <c r="E33" s="57">
        <f>C29-G26</f>
        <v>-50.424773910660491</v>
      </c>
      <c r="G33" s="55">
        <f>E33/C29</f>
        <v>-0.68913857677902712</v>
      </c>
    </row>
    <row r="34" spans="5:7" x14ac:dyDescent="0.15">
      <c r="E34" s="58"/>
      <c r="G34" s="56"/>
    </row>
  </sheetData>
  <mergeCells count="39">
    <mergeCell ref="A2:C2"/>
    <mergeCell ref="A4:C4"/>
    <mergeCell ref="A8:C8"/>
    <mergeCell ref="A10:C10"/>
    <mergeCell ref="A12:C12"/>
    <mergeCell ref="A25:C25"/>
    <mergeCell ref="A28:C28"/>
    <mergeCell ref="A3:C3"/>
    <mergeCell ref="A31:C31"/>
    <mergeCell ref="A15:C15"/>
    <mergeCell ref="A16:C16"/>
    <mergeCell ref="A14:C14"/>
    <mergeCell ref="C17:C18"/>
    <mergeCell ref="C20:C21"/>
    <mergeCell ref="C23:C24"/>
    <mergeCell ref="C26:C27"/>
    <mergeCell ref="C29:C30"/>
    <mergeCell ref="A19:C19"/>
    <mergeCell ref="A22:C22"/>
    <mergeCell ref="E2:G2"/>
    <mergeCell ref="E3:G3"/>
    <mergeCell ref="E4:G4"/>
    <mergeCell ref="E8:G8"/>
    <mergeCell ref="E10:G10"/>
    <mergeCell ref="E12:G12"/>
    <mergeCell ref="E14:G14"/>
    <mergeCell ref="E15:G15"/>
    <mergeCell ref="E16:G16"/>
    <mergeCell ref="G17:G18"/>
    <mergeCell ref="E19:G19"/>
    <mergeCell ref="G20:G21"/>
    <mergeCell ref="E22:G22"/>
    <mergeCell ref="G23:G24"/>
    <mergeCell ref="E25:G25"/>
    <mergeCell ref="G33:G34"/>
    <mergeCell ref="E33:E34"/>
    <mergeCell ref="G26:G27"/>
    <mergeCell ref="E28:G28"/>
    <mergeCell ref="E30:G3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5017-3DDC-447A-B38D-A9670B5DBE0F}">
  <sheetPr>
    <tabColor rgb="FFC00000"/>
  </sheetPr>
  <dimension ref="A1:E33"/>
  <sheetViews>
    <sheetView showGridLines="0" zoomScale="190" zoomScaleNormal="190" zoomScaleSheetLayoutView="85" workbookViewId="0">
      <selection activeCell="D13" sqref="D13"/>
    </sheetView>
  </sheetViews>
  <sheetFormatPr defaultColWidth="8.875" defaultRowHeight="15" x14ac:dyDescent="0.2"/>
  <cols>
    <col min="1" max="1" width="1.74609375" style="19" customWidth="1"/>
    <col min="2" max="2" width="49.50390625" style="19" customWidth="1"/>
    <col min="3" max="3" width="3.2265625" style="19" customWidth="1"/>
    <col min="4" max="4" width="24.078125" style="19" customWidth="1"/>
    <col min="5" max="5" width="1.74609375" style="19" customWidth="1"/>
    <col min="6" max="6" width="62.28125" style="19" customWidth="1"/>
    <col min="7" max="16384" width="8.875" style="19"/>
  </cols>
  <sheetData>
    <row r="1" spans="1:5" ht="9" customHeight="1" x14ac:dyDescent="0.2">
      <c r="A1" s="31"/>
      <c r="B1" s="32"/>
      <c r="C1" s="32"/>
      <c r="D1" s="32"/>
      <c r="E1" s="33"/>
    </row>
    <row r="2" spans="1:5" ht="15.75" thickBot="1" x14ac:dyDescent="0.25">
      <c r="A2" s="34"/>
      <c r="B2" s="107" t="s">
        <v>7</v>
      </c>
      <c r="C2" s="108"/>
      <c r="D2" s="109"/>
      <c r="E2" s="35"/>
    </row>
    <row r="3" spans="1:5" x14ac:dyDescent="0.2">
      <c r="A3" s="34"/>
      <c r="B3" s="96" t="s">
        <v>28</v>
      </c>
      <c r="C3" s="97"/>
      <c r="D3" s="98"/>
      <c r="E3" s="35"/>
    </row>
    <row r="4" spans="1:5" x14ac:dyDescent="0.2">
      <c r="A4" s="34"/>
      <c r="B4" s="99"/>
      <c r="C4" s="99"/>
      <c r="D4" s="99"/>
      <c r="E4" s="35"/>
    </row>
    <row r="5" spans="1:5" ht="24.75" x14ac:dyDescent="0.2">
      <c r="A5" s="34"/>
      <c r="B5" s="20" t="s">
        <v>0</v>
      </c>
      <c r="C5" s="21"/>
      <c r="D5" s="24">
        <v>1000</v>
      </c>
      <c r="E5" s="35"/>
    </row>
    <row r="6" spans="1:5" x14ac:dyDescent="0.2">
      <c r="A6" s="34"/>
      <c r="B6" s="99"/>
      <c r="C6" s="99"/>
      <c r="D6" s="99"/>
      <c r="E6" s="35"/>
    </row>
    <row r="7" spans="1:5" x14ac:dyDescent="0.2">
      <c r="A7" s="34"/>
      <c r="B7" s="20" t="s">
        <v>16</v>
      </c>
      <c r="C7" s="23"/>
      <c r="D7" s="22">
        <v>0</v>
      </c>
      <c r="E7" s="35"/>
    </row>
    <row r="8" spans="1:5" x14ac:dyDescent="0.2">
      <c r="A8" s="34"/>
      <c r="B8" s="23"/>
      <c r="C8" s="23"/>
      <c r="D8" s="23"/>
      <c r="E8" s="35"/>
    </row>
    <row r="9" spans="1:5" x14ac:dyDescent="0.2">
      <c r="A9" s="34"/>
      <c r="B9" s="20" t="s">
        <v>17</v>
      </c>
      <c r="C9" s="23"/>
      <c r="D9" s="22">
        <f>D5+D7</f>
        <v>1000</v>
      </c>
      <c r="E9" s="35"/>
    </row>
    <row r="10" spans="1:5" x14ac:dyDescent="0.2">
      <c r="A10" s="34"/>
      <c r="B10" s="23"/>
      <c r="C10" s="23"/>
      <c r="D10" s="23"/>
      <c r="E10" s="35"/>
    </row>
    <row r="11" spans="1:5" x14ac:dyDescent="0.2">
      <c r="A11" s="34"/>
      <c r="B11" s="20" t="s">
        <v>1</v>
      </c>
      <c r="C11" s="21"/>
      <c r="D11" s="25">
        <v>0.12</v>
      </c>
      <c r="E11" s="35"/>
    </row>
    <row r="12" spans="1:5" x14ac:dyDescent="0.2">
      <c r="A12" s="34"/>
      <c r="B12" s="99"/>
      <c r="C12" s="99"/>
      <c r="D12" s="99"/>
      <c r="E12" s="35"/>
    </row>
    <row r="13" spans="1:5" x14ac:dyDescent="0.2">
      <c r="A13" s="34"/>
      <c r="B13" s="20" t="s">
        <v>2</v>
      </c>
      <c r="C13" s="21"/>
      <c r="D13" s="22">
        <f>D9*D11</f>
        <v>120</v>
      </c>
      <c r="E13" s="35"/>
    </row>
    <row r="14" spans="1:5" x14ac:dyDescent="0.2">
      <c r="A14" s="34"/>
      <c r="B14" s="99"/>
      <c r="C14" s="99"/>
      <c r="D14" s="99"/>
      <c r="E14" s="35"/>
    </row>
    <row r="15" spans="1:5" x14ac:dyDescent="0.2">
      <c r="A15" s="34"/>
      <c r="B15" s="20" t="s">
        <v>18</v>
      </c>
      <c r="C15" s="21"/>
      <c r="D15" s="25">
        <v>0.18</v>
      </c>
      <c r="E15" s="35"/>
    </row>
    <row r="16" spans="1:5" ht="15.75" thickBot="1" x14ac:dyDescent="0.25">
      <c r="A16" s="34"/>
      <c r="B16" s="100"/>
      <c r="C16" s="100"/>
      <c r="D16" s="100"/>
      <c r="E16" s="35"/>
    </row>
    <row r="17" spans="1:5" ht="15.75" thickBot="1" x14ac:dyDescent="0.25">
      <c r="A17" s="34"/>
      <c r="B17" s="104" t="s">
        <v>6</v>
      </c>
      <c r="C17" s="105"/>
      <c r="D17" s="106"/>
      <c r="E17" s="35"/>
    </row>
    <row r="18" spans="1:5" x14ac:dyDescent="0.2">
      <c r="A18" s="34"/>
      <c r="B18" s="100"/>
      <c r="C18" s="100"/>
      <c r="D18" s="100"/>
      <c r="E18" s="35"/>
    </row>
    <row r="19" spans="1:5" x14ac:dyDescent="0.2">
      <c r="A19" s="34"/>
      <c r="B19" s="26" t="s">
        <v>8</v>
      </c>
      <c r="C19" s="27"/>
      <c r="D19" s="101">
        <f>D5-D13</f>
        <v>880</v>
      </c>
      <c r="E19" s="35"/>
    </row>
    <row r="20" spans="1:5" x14ac:dyDescent="0.2">
      <c r="A20" s="34"/>
      <c r="B20" s="28" t="s">
        <v>13</v>
      </c>
      <c r="C20" s="29"/>
      <c r="D20" s="102"/>
      <c r="E20" s="35"/>
    </row>
    <row r="21" spans="1:5" x14ac:dyDescent="0.2">
      <c r="A21" s="34"/>
      <c r="B21" s="103"/>
      <c r="C21" s="103"/>
      <c r="D21" s="103"/>
      <c r="E21" s="35"/>
    </row>
    <row r="22" spans="1:5" x14ac:dyDescent="0.2">
      <c r="A22" s="34"/>
      <c r="B22" s="6" t="s">
        <v>9</v>
      </c>
      <c r="C22" s="9"/>
      <c r="D22" s="101">
        <f>100%-D15</f>
        <v>0.82000000000000006</v>
      </c>
      <c r="E22" s="35"/>
    </row>
    <row r="23" spans="1:5" x14ac:dyDescent="0.2">
      <c r="A23" s="34"/>
      <c r="B23" s="28" t="s">
        <v>10</v>
      </c>
      <c r="C23" s="29"/>
      <c r="D23" s="102"/>
      <c r="E23" s="35"/>
    </row>
    <row r="24" spans="1:5" x14ac:dyDescent="0.2">
      <c r="A24" s="34"/>
      <c r="B24" s="103"/>
      <c r="C24" s="103"/>
      <c r="D24" s="103"/>
      <c r="E24" s="35"/>
    </row>
    <row r="25" spans="1:5" x14ac:dyDescent="0.2">
      <c r="A25" s="34"/>
      <c r="B25" s="6" t="s">
        <v>3</v>
      </c>
      <c r="C25" s="9"/>
      <c r="D25" s="101">
        <f>D19/D22</f>
        <v>1073.1707317073169</v>
      </c>
      <c r="E25" s="35"/>
    </row>
    <row r="26" spans="1:5" x14ac:dyDescent="0.2">
      <c r="A26" s="34"/>
      <c r="B26" s="28" t="s">
        <v>12</v>
      </c>
      <c r="C26" s="29"/>
      <c r="D26" s="102"/>
      <c r="E26" s="35"/>
    </row>
    <row r="27" spans="1:5" x14ac:dyDescent="0.2">
      <c r="A27" s="34"/>
      <c r="B27" s="103"/>
      <c r="C27" s="103"/>
      <c r="D27" s="103"/>
      <c r="E27" s="35"/>
    </row>
    <row r="28" spans="1:5" x14ac:dyDescent="0.2">
      <c r="A28" s="34"/>
      <c r="B28" s="26" t="s">
        <v>4</v>
      </c>
      <c r="C28" s="27"/>
      <c r="D28" s="101">
        <f>D25*D15</f>
        <v>193.17073170731703</v>
      </c>
      <c r="E28" s="35"/>
    </row>
    <row r="29" spans="1:5" x14ac:dyDescent="0.2">
      <c r="A29" s="34"/>
      <c r="B29" s="28" t="s">
        <v>14</v>
      </c>
      <c r="C29" s="29"/>
      <c r="D29" s="102"/>
      <c r="E29" s="35"/>
    </row>
    <row r="30" spans="1:5" x14ac:dyDescent="0.2">
      <c r="A30" s="34"/>
      <c r="B30" s="103"/>
      <c r="C30" s="103"/>
      <c r="D30" s="103"/>
      <c r="E30" s="35"/>
    </row>
    <row r="31" spans="1:5" x14ac:dyDescent="0.2">
      <c r="A31" s="34"/>
      <c r="B31" s="26" t="s">
        <v>5</v>
      </c>
      <c r="C31" s="27"/>
      <c r="D31" s="101">
        <f>D28-D13</f>
        <v>73.170731707317032</v>
      </c>
      <c r="E31" s="35"/>
    </row>
    <row r="32" spans="1:5" x14ac:dyDescent="0.2">
      <c r="A32" s="34"/>
      <c r="B32" s="28" t="s">
        <v>15</v>
      </c>
      <c r="C32" s="29"/>
      <c r="D32" s="102"/>
      <c r="E32" s="35"/>
    </row>
    <row r="33" spans="1:5" s="30" customFormat="1" ht="9" customHeight="1" thickBot="1" x14ac:dyDescent="0.25">
      <c r="A33" s="36"/>
      <c r="B33" s="95"/>
      <c r="C33" s="95"/>
      <c r="D33" s="95"/>
      <c r="E33" s="37"/>
    </row>
  </sheetData>
  <mergeCells count="19">
    <mergeCell ref="B2:D2"/>
    <mergeCell ref="B4:D4"/>
    <mergeCell ref="B6:D6"/>
    <mergeCell ref="B30:D30"/>
    <mergeCell ref="D31:D32"/>
    <mergeCell ref="B33:D33"/>
    <mergeCell ref="B3:D3"/>
    <mergeCell ref="B12:D12"/>
    <mergeCell ref="B14:D14"/>
    <mergeCell ref="B18:D18"/>
    <mergeCell ref="D19:D20"/>
    <mergeCell ref="B21:D21"/>
    <mergeCell ref="D22:D23"/>
    <mergeCell ref="B24:D24"/>
    <mergeCell ref="D25:D26"/>
    <mergeCell ref="B27:D27"/>
    <mergeCell ref="D28:D29"/>
    <mergeCell ref="B16:D16"/>
    <mergeCell ref="B17:D17"/>
  </mergeCells>
  <pageMargins left="0.51181102362204722" right="0.51181102362204722" top="0.78740157480314965" bottom="0.78740157480314965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478D-97A9-4323-A134-827DE62833D5}">
  <sheetPr>
    <tabColor rgb="FFFFC000"/>
  </sheetPr>
  <dimension ref="A1:E33"/>
  <sheetViews>
    <sheetView showGridLines="0" topLeftCell="A16" zoomScale="190" zoomScaleNormal="190" workbookViewId="0">
      <selection activeCell="D31" sqref="D31:D32"/>
    </sheetView>
  </sheetViews>
  <sheetFormatPr defaultColWidth="8.875" defaultRowHeight="15" x14ac:dyDescent="0.2"/>
  <cols>
    <col min="1" max="1" width="1.74609375" style="19" customWidth="1"/>
    <col min="2" max="2" width="49.50390625" style="19" customWidth="1"/>
    <col min="3" max="3" width="3.2265625" style="19" customWidth="1"/>
    <col min="4" max="4" width="24.078125" style="19" customWidth="1"/>
    <col min="5" max="5" width="1.74609375" style="19" customWidth="1"/>
    <col min="6" max="16384" width="8.875" style="19"/>
  </cols>
  <sheetData>
    <row r="1" spans="1:5" ht="9" customHeight="1" thickBot="1" x14ac:dyDescent="0.25">
      <c r="A1" s="31"/>
      <c r="B1" s="32"/>
      <c r="C1" s="32"/>
      <c r="D1" s="32"/>
      <c r="E1" s="33"/>
    </row>
    <row r="2" spans="1:5" ht="15.75" thickBot="1" x14ac:dyDescent="0.25">
      <c r="A2" s="34"/>
      <c r="B2" s="104" t="s">
        <v>7</v>
      </c>
      <c r="C2" s="105"/>
      <c r="D2" s="106"/>
      <c r="E2" s="35"/>
    </row>
    <row r="3" spans="1:5" x14ac:dyDescent="0.2">
      <c r="A3" s="34"/>
      <c r="B3" s="110" t="s">
        <v>31</v>
      </c>
      <c r="C3" s="111"/>
      <c r="D3" s="112"/>
      <c r="E3" s="35"/>
    </row>
    <row r="4" spans="1:5" x14ac:dyDescent="0.2">
      <c r="A4" s="34"/>
      <c r="B4" s="99"/>
      <c r="C4" s="99"/>
      <c r="D4" s="99"/>
      <c r="E4" s="35"/>
    </row>
    <row r="5" spans="1:5" ht="24.75" x14ac:dyDescent="0.2">
      <c r="A5" s="34"/>
      <c r="B5" s="20" t="s">
        <v>0</v>
      </c>
      <c r="C5" s="21"/>
      <c r="D5" s="24">
        <v>1000</v>
      </c>
      <c r="E5" s="35"/>
    </row>
    <row r="6" spans="1:5" x14ac:dyDescent="0.2">
      <c r="A6" s="34"/>
      <c r="B6" s="99"/>
      <c r="C6" s="99"/>
      <c r="D6" s="99"/>
      <c r="E6" s="35"/>
    </row>
    <row r="7" spans="1:5" x14ac:dyDescent="0.2">
      <c r="A7" s="34"/>
      <c r="B7" s="20" t="s">
        <v>16</v>
      </c>
      <c r="C7" s="23"/>
      <c r="D7" s="22">
        <v>100</v>
      </c>
      <c r="E7" s="35"/>
    </row>
    <row r="8" spans="1:5" x14ac:dyDescent="0.2">
      <c r="A8" s="34"/>
      <c r="B8" s="23"/>
      <c r="C8" s="23"/>
      <c r="D8" s="23"/>
      <c r="E8" s="35"/>
    </row>
    <row r="9" spans="1:5" x14ac:dyDescent="0.2">
      <c r="A9" s="34"/>
      <c r="B9" s="20" t="s">
        <v>17</v>
      </c>
      <c r="C9" s="23"/>
      <c r="D9" s="22">
        <f>D5+D7</f>
        <v>1100</v>
      </c>
      <c r="E9" s="35"/>
    </row>
    <row r="10" spans="1:5" x14ac:dyDescent="0.2">
      <c r="A10" s="34"/>
      <c r="B10" s="23"/>
      <c r="C10" s="23"/>
      <c r="D10" s="23"/>
      <c r="E10" s="35"/>
    </row>
    <row r="11" spans="1:5" x14ac:dyDescent="0.2">
      <c r="A11" s="34"/>
      <c r="B11" s="20" t="s">
        <v>1</v>
      </c>
      <c r="C11" s="21"/>
      <c r="D11" s="25">
        <v>0.12</v>
      </c>
      <c r="E11" s="35"/>
    </row>
    <row r="12" spans="1:5" x14ac:dyDescent="0.2">
      <c r="A12" s="34"/>
      <c r="B12" s="99"/>
      <c r="C12" s="99"/>
      <c r="D12" s="99"/>
      <c r="E12" s="35"/>
    </row>
    <row r="13" spans="1:5" x14ac:dyDescent="0.2">
      <c r="A13" s="34"/>
      <c r="B13" s="20" t="s">
        <v>2</v>
      </c>
      <c r="C13" s="21"/>
      <c r="D13" s="22">
        <f>D9*D11</f>
        <v>132</v>
      </c>
      <c r="E13" s="35"/>
    </row>
    <row r="14" spans="1:5" x14ac:dyDescent="0.2">
      <c r="A14" s="34"/>
      <c r="B14" s="99"/>
      <c r="C14" s="99"/>
      <c r="D14" s="99"/>
      <c r="E14" s="35"/>
    </row>
    <row r="15" spans="1:5" x14ac:dyDescent="0.2">
      <c r="A15" s="34"/>
      <c r="B15" s="20" t="s">
        <v>18</v>
      </c>
      <c r="C15" s="21"/>
      <c r="D15" s="25">
        <v>0.18</v>
      </c>
      <c r="E15" s="35"/>
    </row>
    <row r="16" spans="1:5" ht="15.75" thickBot="1" x14ac:dyDescent="0.25">
      <c r="A16" s="34"/>
      <c r="B16" s="100"/>
      <c r="C16" s="100"/>
      <c r="D16" s="100"/>
      <c r="E16" s="35"/>
    </row>
    <row r="17" spans="1:5" ht="15.75" thickBot="1" x14ac:dyDescent="0.25">
      <c r="A17" s="34"/>
      <c r="B17" s="104" t="s">
        <v>6</v>
      </c>
      <c r="C17" s="105"/>
      <c r="D17" s="106"/>
      <c r="E17" s="35"/>
    </row>
    <row r="18" spans="1:5" x14ac:dyDescent="0.2">
      <c r="A18" s="34"/>
      <c r="B18" s="100"/>
      <c r="C18" s="100"/>
      <c r="D18" s="100"/>
      <c r="E18" s="35"/>
    </row>
    <row r="19" spans="1:5" x14ac:dyDescent="0.2">
      <c r="A19" s="34"/>
      <c r="B19" s="26" t="s">
        <v>8</v>
      </c>
      <c r="C19" s="27"/>
      <c r="D19" s="101">
        <f>D9-D13</f>
        <v>968</v>
      </c>
      <c r="E19" s="35"/>
    </row>
    <row r="20" spans="1:5" x14ac:dyDescent="0.2">
      <c r="A20" s="34"/>
      <c r="B20" s="28" t="s">
        <v>37</v>
      </c>
      <c r="C20" s="29"/>
      <c r="D20" s="102"/>
      <c r="E20" s="35"/>
    </row>
    <row r="21" spans="1:5" x14ac:dyDescent="0.2">
      <c r="A21" s="34"/>
      <c r="B21" s="103"/>
      <c r="C21" s="103"/>
      <c r="D21" s="103"/>
      <c r="E21" s="35"/>
    </row>
    <row r="22" spans="1:5" x14ac:dyDescent="0.2">
      <c r="A22" s="34"/>
      <c r="B22" s="6" t="s">
        <v>9</v>
      </c>
      <c r="C22" s="9"/>
      <c r="D22" s="101">
        <f>100%-D15</f>
        <v>0.82000000000000006</v>
      </c>
      <c r="E22" s="35"/>
    </row>
    <row r="23" spans="1:5" x14ac:dyDescent="0.2">
      <c r="A23" s="34"/>
      <c r="B23" s="28" t="s">
        <v>10</v>
      </c>
      <c r="C23" s="29"/>
      <c r="D23" s="102"/>
      <c r="E23" s="35"/>
    </row>
    <row r="24" spans="1:5" x14ac:dyDescent="0.2">
      <c r="A24" s="34"/>
      <c r="B24" s="103"/>
      <c r="C24" s="103"/>
      <c r="D24" s="103"/>
      <c r="E24" s="35"/>
    </row>
    <row r="25" spans="1:5" x14ac:dyDescent="0.2">
      <c r="A25" s="34"/>
      <c r="B25" s="6" t="s">
        <v>3</v>
      </c>
      <c r="C25" s="9"/>
      <c r="D25" s="101">
        <f>D19/D22</f>
        <v>1180.4878048780488</v>
      </c>
      <c r="E25" s="35"/>
    </row>
    <row r="26" spans="1:5" x14ac:dyDescent="0.2">
      <c r="A26" s="34"/>
      <c r="B26" s="28" t="s">
        <v>38</v>
      </c>
      <c r="C26" s="29"/>
      <c r="D26" s="102"/>
      <c r="E26" s="35"/>
    </row>
    <row r="27" spans="1:5" x14ac:dyDescent="0.2">
      <c r="A27" s="34"/>
      <c r="B27" s="103"/>
      <c r="C27" s="103"/>
      <c r="D27" s="103"/>
      <c r="E27" s="35"/>
    </row>
    <row r="28" spans="1:5" x14ac:dyDescent="0.2">
      <c r="A28" s="34"/>
      <c r="B28" s="26" t="s">
        <v>4</v>
      </c>
      <c r="C28" s="27"/>
      <c r="D28" s="101">
        <f>D25*D15</f>
        <v>212.48780487804876</v>
      </c>
      <c r="E28" s="35"/>
    </row>
    <row r="29" spans="1:5" x14ac:dyDescent="0.2">
      <c r="A29" s="34"/>
      <c r="B29" s="28" t="s">
        <v>39</v>
      </c>
      <c r="C29" s="29"/>
      <c r="D29" s="102"/>
      <c r="E29" s="35"/>
    </row>
    <row r="30" spans="1:5" x14ac:dyDescent="0.2">
      <c r="A30" s="34"/>
      <c r="B30" s="103"/>
      <c r="C30" s="103"/>
      <c r="D30" s="103"/>
      <c r="E30" s="35"/>
    </row>
    <row r="31" spans="1:5" x14ac:dyDescent="0.2">
      <c r="A31" s="34"/>
      <c r="B31" s="26" t="s">
        <v>5</v>
      </c>
      <c r="C31" s="27"/>
      <c r="D31" s="101">
        <f>D28-D13</f>
        <v>80.487804878048763</v>
      </c>
      <c r="E31" s="35"/>
    </row>
    <row r="32" spans="1:5" x14ac:dyDescent="0.2">
      <c r="A32" s="34"/>
      <c r="B32" s="28" t="s">
        <v>40</v>
      </c>
      <c r="C32" s="29"/>
      <c r="D32" s="102"/>
      <c r="E32" s="35"/>
    </row>
    <row r="33" spans="1:5" s="30" customFormat="1" ht="9" customHeight="1" thickBot="1" x14ac:dyDescent="0.25">
      <c r="A33" s="36"/>
      <c r="B33" s="95"/>
      <c r="C33" s="95"/>
      <c r="D33" s="95"/>
      <c r="E33" s="37"/>
    </row>
  </sheetData>
  <mergeCells count="19">
    <mergeCell ref="B16:D16"/>
    <mergeCell ref="B3:D3"/>
    <mergeCell ref="B2:D2"/>
    <mergeCell ref="B4:D4"/>
    <mergeCell ref="B6:D6"/>
    <mergeCell ref="B12:D12"/>
    <mergeCell ref="B14:D14"/>
    <mergeCell ref="B33:D33"/>
    <mergeCell ref="B17:D17"/>
    <mergeCell ref="B18:D18"/>
    <mergeCell ref="D19:D20"/>
    <mergeCell ref="B21:D21"/>
    <mergeCell ref="D22:D23"/>
    <mergeCell ref="B24:D24"/>
    <mergeCell ref="D25:D26"/>
    <mergeCell ref="B27:D27"/>
    <mergeCell ref="D28:D29"/>
    <mergeCell ref="B30:D30"/>
    <mergeCell ref="D31:D32"/>
  </mergeCells>
  <pageMargins left="0.51181102362204722" right="0.51181102362204722" top="0.78740157480314965" bottom="0.78740157480314965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5CCC-7B6F-4BEB-AEF0-F681CC53BAC5}">
  <sheetPr>
    <tabColor rgb="FF002060"/>
  </sheetPr>
  <dimension ref="A1:E37"/>
  <sheetViews>
    <sheetView showGridLines="0" topLeftCell="A28" zoomScale="205" zoomScaleNormal="205" workbookViewId="0">
      <selection activeCell="B37" sqref="B37"/>
    </sheetView>
  </sheetViews>
  <sheetFormatPr defaultColWidth="8.875" defaultRowHeight="15" x14ac:dyDescent="0.2"/>
  <cols>
    <col min="1" max="1" width="1.74609375" style="19" customWidth="1"/>
    <col min="2" max="2" width="49.50390625" style="19" customWidth="1"/>
    <col min="3" max="3" width="3.2265625" style="19" customWidth="1"/>
    <col min="4" max="4" width="24.078125" style="19" customWidth="1"/>
    <col min="5" max="5" width="1.74609375" style="19" customWidth="1"/>
    <col min="6" max="16384" width="8.875" style="19"/>
  </cols>
  <sheetData>
    <row r="1" spans="1:5" ht="9" customHeight="1" thickBot="1" x14ac:dyDescent="0.25">
      <c r="A1" s="31"/>
      <c r="B1" s="32"/>
      <c r="C1" s="32"/>
      <c r="D1" s="32"/>
      <c r="E1" s="33"/>
    </row>
    <row r="2" spans="1:5" ht="15.75" thickBot="1" x14ac:dyDescent="0.25">
      <c r="A2" s="34"/>
      <c r="B2" s="104" t="s">
        <v>7</v>
      </c>
      <c r="C2" s="105"/>
      <c r="D2" s="106"/>
      <c r="E2" s="35"/>
    </row>
    <row r="3" spans="1:5" x14ac:dyDescent="0.2">
      <c r="A3" s="34"/>
      <c r="B3" s="113" t="s">
        <v>29</v>
      </c>
      <c r="C3" s="114"/>
      <c r="D3" s="115"/>
      <c r="E3" s="35"/>
    </row>
    <row r="4" spans="1:5" x14ac:dyDescent="0.2">
      <c r="A4" s="34"/>
      <c r="B4" s="99"/>
      <c r="C4" s="99"/>
      <c r="D4" s="99"/>
      <c r="E4" s="35"/>
    </row>
    <row r="5" spans="1:5" ht="24.75" x14ac:dyDescent="0.2">
      <c r="A5" s="34"/>
      <c r="B5" s="20" t="s">
        <v>0</v>
      </c>
      <c r="C5" s="21"/>
      <c r="D5" s="24">
        <v>1000</v>
      </c>
      <c r="E5" s="35"/>
    </row>
    <row r="6" spans="1:5" x14ac:dyDescent="0.2">
      <c r="A6" s="34"/>
      <c r="B6" s="99"/>
      <c r="C6" s="99"/>
      <c r="D6" s="99"/>
      <c r="E6" s="35"/>
    </row>
    <row r="7" spans="1:5" x14ac:dyDescent="0.2">
      <c r="A7" s="34"/>
      <c r="B7" s="20" t="s">
        <v>32</v>
      </c>
      <c r="C7" s="23"/>
      <c r="D7" s="41">
        <v>0</v>
      </c>
      <c r="E7" s="35"/>
    </row>
    <row r="8" spans="1:5" x14ac:dyDescent="0.2">
      <c r="A8" s="34"/>
      <c r="B8" s="23"/>
      <c r="C8" s="23"/>
      <c r="D8" s="23"/>
      <c r="E8" s="35"/>
    </row>
    <row r="9" spans="1:5" x14ac:dyDescent="0.2">
      <c r="A9" s="34"/>
      <c r="B9" s="20" t="s">
        <v>17</v>
      </c>
      <c r="C9" s="23"/>
      <c r="D9" s="22">
        <f>D5+D7</f>
        <v>1000</v>
      </c>
      <c r="E9" s="35"/>
    </row>
    <row r="10" spans="1:5" x14ac:dyDescent="0.2">
      <c r="A10" s="34"/>
      <c r="B10" s="23"/>
      <c r="C10" s="23"/>
      <c r="D10" s="23"/>
      <c r="E10" s="35"/>
    </row>
    <row r="11" spans="1:5" x14ac:dyDescent="0.2">
      <c r="A11" s="34"/>
      <c r="B11" s="20" t="s">
        <v>1</v>
      </c>
      <c r="C11" s="21"/>
      <c r="D11" s="25">
        <v>0.12</v>
      </c>
      <c r="E11" s="35"/>
    </row>
    <row r="12" spans="1:5" x14ac:dyDescent="0.2">
      <c r="A12" s="34"/>
      <c r="B12" s="38" t="s">
        <v>22</v>
      </c>
      <c r="C12" s="21"/>
      <c r="D12" s="39">
        <v>3.85E-2</v>
      </c>
      <c r="E12" s="35"/>
    </row>
    <row r="13" spans="1:5" x14ac:dyDescent="0.2">
      <c r="A13" s="34"/>
      <c r="B13" s="99"/>
      <c r="C13" s="99"/>
      <c r="D13" s="99"/>
      <c r="E13" s="35"/>
    </row>
    <row r="14" spans="1:5" x14ac:dyDescent="0.2">
      <c r="A14" s="34"/>
      <c r="B14" s="20" t="s">
        <v>2</v>
      </c>
      <c r="C14" s="21"/>
      <c r="D14" s="22">
        <f>D9*D12</f>
        <v>38.5</v>
      </c>
      <c r="E14" s="35"/>
    </row>
    <row r="15" spans="1:5" x14ac:dyDescent="0.2">
      <c r="A15" s="34"/>
      <c r="B15" s="99"/>
      <c r="C15" s="99"/>
      <c r="D15" s="99"/>
      <c r="E15" s="35"/>
    </row>
    <row r="16" spans="1:5" x14ac:dyDescent="0.2">
      <c r="A16" s="34"/>
      <c r="B16" s="20" t="s">
        <v>18</v>
      </c>
      <c r="C16" s="21"/>
      <c r="D16" s="25">
        <v>0.18</v>
      </c>
      <c r="E16" s="35"/>
    </row>
    <row r="17" spans="1:5" ht="15.75" thickBot="1" x14ac:dyDescent="0.25">
      <c r="A17" s="34"/>
      <c r="B17" s="100"/>
      <c r="C17" s="100"/>
      <c r="D17" s="100"/>
      <c r="E17" s="35"/>
    </row>
    <row r="18" spans="1:5" ht="15.75" thickBot="1" x14ac:dyDescent="0.25">
      <c r="A18" s="34"/>
      <c r="B18" s="104" t="s">
        <v>6</v>
      </c>
      <c r="C18" s="105"/>
      <c r="D18" s="106"/>
      <c r="E18" s="35"/>
    </row>
    <row r="19" spans="1:5" x14ac:dyDescent="0.2">
      <c r="A19" s="34"/>
      <c r="B19" s="100"/>
      <c r="C19" s="100"/>
      <c r="D19" s="100"/>
      <c r="E19" s="35"/>
    </row>
    <row r="20" spans="1:5" x14ac:dyDescent="0.2">
      <c r="A20" s="34"/>
      <c r="B20" s="26" t="s">
        <v>8</v>
      </c>
      <c r="C20" s="27"/>
      <c r="D20" s="101">
        <f>D5-D14</f>
        <v>961.5</v>
      </c>
      <c r="E20" s="35"/>
    </row>
    <row r="21" spans="1:5" x14ac:dyDescent="0.2">
      <c r="A21" s="34"/>
      <c r="B21" s="28" t="s">
        <v>19</v>
      </c>
      <c r="C21" s="29"/>
      <c r="D21" s="102"/>
      <c r="E21" s="35"/>
    </row>
    <row r="22" spans="1:5" x14ac:dyDescent="0.2">
      <c r="A22" s="34"/>
      <c r="B22" s="103"/>
      <c r="C22" s="103"/>
      <c r="D22" s="103"/>
      <c r="E22" s="35"/>
    </row>
    <row r="23" spans="1:5" x14ac:dyDescent="0.2">
      <c r="A23" s="34"/>
      <c r="B23" s="6" t="s">
        <v>9</v>
      </c>
      <c r="C23" s="9"/>
      <c r="D23" s="101">
        <f>100%-D16</f>
        <v>0.82000000000000006</v>
      </c>
      <c r="E23" s="35"/>
    </row>
    <row r="24" spans="1:5" x14ac:dyDescent="0.2">
      <c r="A24" s="34"/>
      <c r="B24" s="28" t="s">
        <v>10</v>
      </c>
      <c r="C24" s="29"/>
      <c r="D24" s="102"/>
      <c r="E24" s="35"/>
    </row>
    <row r="25" spans="1:5" x14ac:dyDescent="0.2">
      <c r="A25" s="34"/>
      <c r="B25" s="103"/>
      <c r="C25" s="103"/>
      <c r="D25" s="103"/>
      <c r="E25" s="35"/>
    </row>
    <row r="26" spans="1:5" x14ac:dyDescent="0.2">
      <c r="A26" s="34"/>
      <c r="B26" s="6" t="s">
        <v>3</v>
      </c>
      <c r="C26" s="9"/>
      <c r="D26" s="101">
        <f>D20/D23</f>
        <v>1172.560975609756</v>
      </c>
      <c r="E26" s="35"/>
    </row>
    <row r="27" spans="1:5" x14ac:dyDescent="0.2">
      <c r="A27" s="34"/>
      <c r="B27" s="28" t="s">
        <v>12</v>
      </c>
      <c r="C27" s="29"/>
      <c r="D27" s="102"/>
      <c r="E27" s="35"/>
    </row>
    <row r="28" spans="1:5" x14ac:dyDescent="0.2">
      <c r="A28" s="34"/>
      <c r="B28" s="103"/>
      <c r="C28" s="103"/>
      <c r="D28" s="103"/>
      <c r="E28" s="35"/>
    </row>
    <row r="29" spans="1:5" x14ac:dyDescent="0.2">
      <c r="A29" s="34"/>
      <c r="B29" s="26" t="s">
        <v>4</v>
      </c>
      <c r="C29" s="27"/>
      <c r="D29" s="101">
        <f>D26*D16</f>
        <v>211.06097560975607</v>
      </c>
      <c r="E29" s="35"/>
    </row>
    <row r="30" spans="1:5" x14ac:dyDescent="0.2">
      <c r="A30" s="34"/>
      <c r="B30" s="28" t="s">
        <v>20</v>
      </c>
      <c r="C30" s="29"/>
      <c r="D30" s="102"/>
      <c r="E30" s="35"/>
    </row>
    <row r="31" spans="1:5" x14ac:dyDescent="0.2">
      <c r="A31" s="34"/>
      <c r="B31" s="103"/>
      <c r="C31" s="103"/>
      <c r="D31" s="103"/>
      <c r="E31" s="35"/>
    </row>
    <row r="32" spans="1:5" x14ac:dyDescent="0.2">
      <c r="A32" s="34"/>
      <c r="B32" s="26" t="s">
        <v>5</v>
      </c>
      <c r="C32" s="27"/>
      <c r="D32" s="101">
        <f>D29-D14</f>
        <v>172.56097560975607</v>
      </c>
      <c r="E32" s="35"/>
    </row>
    <row r="33" spans="1:5" x14ac:dyDescent="0.2">
      <c r="A33" s="34"/>
      <c r="B33" s="28" t="s">
        <v>21</v>
      </c>
      <c r="C33" s="29"/>
      <c r="D33" s="102"/>
      <c r="E33" s="35"/>
    </row>
    <row r="34" spans="1:5" s="30" customFormat="1" ht="9" customHeight="1" thickBot="1" x14ac:dyDescent="0.25">
      <c r="A34" s="36"/>
      <c r="B34" s="95"/>
      <c r="C34" s="95"/>
      <c r="D34" s="95"/>
      <c r="E34" s="37"/>
    </row>
    <row r="37" spans="1:5" x14ac:dyDescent="0.2">
      <c r="B37" s="19" t="s">
        <v>42</v>
      </c>
    </row>
  </sheetData>
  <mergeCells count="19">
    <mergeCell ref="B17:D17"/>
    <mergeCell ref="B3:D3"/>
    <mergeCell ref="B2:D2"/>
    <mergeCell ref="B4:D4"/>
    <mergeCell ref="B6:D6"/>
    <mergeCell ref="B13:D13"/>
    <mergeCell ref="B15:D15"/>
    <mergeCell ref="B34:D34"/>
    <mergeCell ref="B18:D18"/>
    <mergeCell ref="B19:D19"/>
    <mergeCell ref="D20:D21"/>
    <mergeCell ref="B22:D22"/>
    <mergeCell ref="D23:D24"/>
    <mergeCell ref="B25:D25"/>
    <mergeCell ref="D26:D27"/>
    <mergeCell ref="B28:D28"/>
    <mergeCell ref="D29:D30"/>
    <mergeCell ref="B31:D31"/>
    <mergeCell ref="D32:D33"/>
  </mergeCells>
  <pageMargins left="0.51181102362204722" right="0.51181102362204722" top="0.78740157480314965" bottom="0.78740157480314965" header="0.31496062992125984" footer="0.3149606299212598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079F-59FB-4006-95EA-45D70296A6F8}">
  <sheetPr>
    <tabColor rgb="FFFFFF00"/>
  </sheetPr>
  <dimension ref="A1:E35"/>
  <sheetViews>
    <sheetView showGridLines="0" zoomScale="205" zoomScaleNormal="205" workbookViewId="0">
      <selection sqref="A1:XFD1048576"/>
    </sheetView>
  </sheetViews>
  <sheetFormatPr defaultColWidth="8.875" defaultRowHeight="15" x14ac:dyDescent="0.2"/>
  <cols>
    <col min="1" max="1" width="1.74609375" style="19" customWidth="1"/>
    <col min="2" max="2" width="49.50390625" style="19" customWidth="1"/>
    <col min="3" max="3" width="3.2265625" style="19" customWidth="1"/>
    <col min="4" max="4" width="24.078125" style="19" customWidth="1"/>
    <col min="5" max="5" width="1.74609375" style="19" customWidth="1"/>
    <col min="6" max="16384" width="8.875" style="19"/>
  </cols>
  <sheetData>
    <row r="1" spans="1:5" ht="9" customHeight="1" thickBot="1" x14ac:dyDescent="0.25">
      <c r="A1" s="31"/>
      <c r="B1" s="32"/>
      <c r="C1" s="32"/>
      <c r="D1" s="32"/>
      <c r="E1" s="33"/>
    </row>
    <row r="2" spans="1:5" ht="15.75" thickBot="1" x14ac:dyDescent="0.25">
      <c r="A2" s="34"/>
      <c r="B2" s="104" t="s">
        <v>7</v>
      </c>
      <c r="C2" s="105"/>
      <c r="D2" s="106"/>
      <c r="E2" s="35"/>
    </row>
    <row r="3" spans="1:5" x14ac:dyDescent="0.2">
      <c r="A3" s="34"/>
      <c r="B3" s="120" t="s">
        <v>30</v>
      </c>
      <c r="C3" s="121"/>
      <c r="D3" s="122"/>
      <c r="E3" s="35"/>
    </row>
    <row r="4" spans="1:5" x14ac:dyDescent="0.2">
      <c r="A4" s="34"/>
      <c r="B4" s="99"/>
      <c r="C4" s="99"/>
      <c r="D4" s="99"/>
      <c r="E4" s="35"/>
    </row>
    <row r="5" spans="1:5" ht="24.75" x14ac:dyDescent="0.2">
      <c r="A5" s="34"/>
      <c r="B5" s="20" t="s">
        <v>0</v>
      </c>
      <c r="C5" s="21"/>
      <c r="D5" s="24">
        <v>1000</v>
      </c>
      <c r="E5" s="35"/>
    </row>
    <row r="6" spans="1:5" x14ac:dyDescent="0.2">
      <c r="A6" s="34"/>
      <c r="B6" s="99"/>
      <c r="C6" s="99"/>
      <c r="D6" s="99"/>
      <c r="E6" s="35"/>
    </row>
    <row r="7" spans="1:5" x14ac:dyDescent="0.2">
      <c r="A7" s="34"/>
      <c r="B7" s="20" t="s">
        <v>32</v>
      </c>
      <c r="C7" s="23"/>
      <c r="D7" s="41">
        <v>0</v>
      </c>
      <c r="E7" s="35"/>
    </row>
    <row r="8" spans="1:5" x14ac:dyDescent="0.2">
      <c r="A8" s="34"/>
      <c r="B8" s="23"/>
      <c r="C8" s="23"/>
      <c r="D8" s="23"/>
      <c r="E8" s="35"/>
    </row>
    <row r="9" spans="1:5" x14ac:dyDescent="0.2">
      <c r="A9" s="34"/>
      <c r="B9" s="20" t="s">
        <v>17</v>
      </c>
      <c r="C9" s="23"/>
      <c r="D9" s="22">
        <f>D5+D7</f>
        <v>1000</v>
      </c>
      <c r="E9" s="35"/>
    </row>
    <row r="10" spans="1:5" x14ac:dyDescent="0.2">
      <c r="A10" s="34"/>
      <c r="B10" s="23"/>
      <c r="C10" s="23"/>
      <c r="D10" s="23"/>
      <c r="E10" s="35"/>
    </row>
    <row r="11" spans="1:5" x14ac:dyDescent="0.2">
      <c r="A11" s="34"/>
      <c r="B11" s="38" t="s">
        <v>1</v>
      </c>
      <c r="C11" s="21"/>
      <c r="D11" s="39">
        <v>0.04</v>
      </c>
      <c r="E11" s="35"/>
    </row>
    <row r="12" spans="1:5" x14ac:dyDescent="0.2">
      <c r="A12" s="34"/>
      <c r="B12" s="20" t="s">
        <v>41</v>
      </c>
      <c r="C12" s="21"/>
      <c r="D12" s="25">
        <v>3.85E-2</v>
      </c>
      <c r="E12" s="35"/>
    </row>
    <row r="13" spans="1:5" x14ac:dyDescent="0.2">
      <c r="A13" s="34"/>
      <c r="B13" s="99"/>
      <c r="C13" s="99"/>
      <c r="D13" s="99"/>
      <c r="E13" s="35"/>
    </row>
    <row r="14" spans="1:5" x14ac:dyDescent="0.2">
      <c r="A14" s="34"/>
      <c r="B14" s="20" t="s">
        <v>2</v>
      </c>
      <c r="C14" s="21"/>
      <c r="D14" s="22">
        <f>D9*D12</f>
        <v>38.5</v>
      </c>
      <c r="E14" s="35"/>
    </row>
    <row r="15" spans="1:5" x14ac:dyDescent="0.2">
      <c r="A15" s="34"/>
      <c r="B15" s="99"/>
      <c r="C15" s="99"/>
      <c r="D15" s="99"/>
      <c r="E15" s="35"/>
    </row>
    <row r="16" spans="1:5" x14ac:dyDescent="0.2">
      <c r="A16" s="34"/>
      <c r="B16" s="20" t="s">
        <v>18</v>
      </c>
      <c r="C16" s="21"/>
      <c r="D16" s="25">
        <v>0.18</v>
      </c>
      <c r="E16" s="35"/>
    </row>
    <row r="17" spans="1:5" ht="15.75" thickBot="1" x14ac:dyDescent="0.25">
      <c r="A17" s="34"/>
      <c r="B17" s="100"/>
      <c r="C17" s="100"/>
      <c r="D17" s="100"/>
      <c r="E17" s="35"/>
    </row>
    <row r="18" spans="1:5" ht="15.75" thickBot="1" x14ac:dyDescent="0.25">
      <c r="A18" s="34"/>
      <c r="B18" s="104" t="s">
        <v>6</v>
      </c>
      <c r="C18" s="105"/>
      <c r="D18" s="106"/>
      <c r="E18" s="35"/>
    </row>
    <row r="19" spans="1:5" x14ac:dyDescent="0.2">
      <c r="A19" s="34"/>
      <c r="B19" s="100"/>
      <c r="C19" s="100"/>
      <c r="D19" s="100"/>
      <c r="E19" s="35"/>
    </row>
    <row r="20" spans="1:5" x14ac:dyDescent="0.2">
      <c r="A20" s="34"/>
      <c r="B20" s="26" t="s">
        <v>8</v>
      </c>
      <c r="C20" s="27"/>
      <c r="D20" s="101">
        <f>D5-D14</f>
        <v>961.5</v>
      </c>
      <c r="E20" s="35"/>
    </row>
    <row r="21" spans="1:5" x14ac:dyDescent="0.2">
      <c r="A21" s="34"/>
      <c r="B21" s="28" t="s">
        <v>19</v>
      </c>
      <c r="C21" s="29"/>
      <c r="D21" s="102"/>
      <c r="E21" s="35"/>
    </row>
    <row r="22" spans="1:5" x14ac:dyDescent="0.2">
      <c r="A22" s="34"/>
      <c r="B22" s="103"/>
      <c r="C22" s="103"/>
      <c r="D22" s="103"/>
      <c r="E22" s="35"/>
    </row>
    <row r="23" spans="1:5" x14ac:dyDescent="0.2">
      <c r="A23" s="34"/>
      <c r="B23" s="6" t="s">
        <v>9</v>
      </c>
      <c r="C23" s="9"/>
      <c r="D23" s="101">
        <f>100%-D16</f>
        <v>0.82000000000000006</v>
      </c>
      <c r="E23" s="35"/>
    </row>
    <row r="24" spans="1:5" x14ac:dyDescent="0.2">
      <c r="A24" s="34"/>
      <c r="B24" s="28" t="s">
        <v>10</v>
      </c>
      <c r="C24" s="29"/>
      <c r="D24" s="102"/>
      <c r="E24" s="35"/>
    </row>
    <row r="25" spans="1:5" x14ac:dyDescent="0.2">
      <c r="A25" s="34"/>
      <c r="B25" s="103"/>
      <c r="C25" s="103"/>
      <c r="D25" s="103"/>
      <c r="E25" s="35"/>
    </row>
    <row r="26" spans="1:5" x14ac:dyDescent="0.2">
      <c r="A26" s="34"/>
      <c r="B26" s="6" t="s">
        <v>3</v>
      </c>
      <c r="C26" s="9"/>
      <c r="D26" s="101">
        <f>D20/D23</f>
        <v>1172.560975609756</v>
      </c>
      <c r="E26" s="35"/>
    </row>
    <row r="27" spans="1:5" x14ac:dyDescent="0.2">
      <c r="A27" s="34"/>
      <c r="B27" s="28" t="s">
        <v>12</v>
      </c>
      <c r="C27" s="29"/>
      <c r="D27" s="102"/>
      <c r="E27" s="35"/>
    </row>
    <row r="28" spans="1:5" x14ac:dyDescent="0.2">
      <c r="A28" s="34"/>
      <c r="B28" s="103"/>
      <c r="C28" s="103"/>
      <c r="D28" s="103"/>
      <c r="E28" s="35"/>
    </row>
    <row r="29" spans="1:5" x14ac:dyDescent="0.2">
      <c r="A29" s="34"/>
      <c r="B29" s="26" t="s">
        <v>23</v>
      </c>
      <c r="C29" s="27"/>
      <c r="D29" s="116">
        <f>D16-D11</f>
        <v>0.13999999999999999</v>
      </c>
      <c r="E29" s="35"/>
    </row>
    <row r="30" spans="1:5" x14ac:dyDescent="0.2">
      <c r="A30" s="34"/>
      <c r="B30" s="40" t="s">
        <v>24</v>
      </c>
      <c r="C30" s="27"/>
      <c r="D30" s="117"/>
      <c r="E30" s="35"/>
    </row>
    <row r="31" spans="1:5" x14ac:dyDescent="0.2">
      <c r="A31" s="34"/>
      <c r="B31" s="28" t="s">
        <v>25</v>
      </c>
      <c r="C31" s="29"/>
      <c r="D31" s="102"/>
      <c r="E31" s="35"/>
    </row>
    <row r="32" spans="1:5" x14ac:dyDescent="0.2">
      <c r="A32" s="34"/>
      <c r="B32" s="103"/>
      <c r="C32" s="103"/>
      <c r="D32" s="103"/>
      <c r="E32" s="35"/>
    </row>
    <row r="33" spans="1:5" x14ac:dyDescent="0.2">
      <c r="A33" s="34"/>
      <c r="B33" s="26" t="s">
        <v>26</v>
      </c>
      <c r="C33" s="27"/>
      <c r="D33" s="118">
        <f>D26*D29</f>
        <v>164.15853658536582</v>
      </c>
      <c r="E33" s="35"/>
    </row>
    <row r="34" spans="1:5" x14ac:dyDescent="0.2">
      <c r="A34" s="34"/>
      <c r="B34" s="28" t="s">
        <v>27</v>
      </c>
      <c r="C34" s="29"/>
      <c r="D34" s="119"/>
      <c r="E34" s="35"/>
    </row>
    <row r="35" spans="1:5" s="30" customFormat="1" ht="9" customHeight="1" thickBot="1" x14ac:dyDescent="0.25">
      <c r="A35" s="36"/>
      <c r="B35" s="95"/>
      <c r="C35" s="95"/>
      <c r="D35" s="95"/>
      <c r="E35" s="37"/>
    </row>
  </sheetData>
  <mergeCells count="19">
    <mergeCell ref="B17:D17"/>
    <mergeCell ref="B3:D3"/>
    <mergeCell ref="B2:D2"/>
    <mergeCell ref="B4:D4"/>
    <mergeCell ref="B6:D6"/>
    <mergeCell ref="B13:D13"/>
    <mergeCell ref="B15:D15"/>
    <mergeCell ref="B35:D35"/>
    <mergeCell ref="B18:D18"/>
    <mergeCell ref="B19:D19"/>
    <mergeCell ref="D20:D21"/>
    <mergeCell ref="B22:D22"/>
    <mergeCell ref="D23:D24"/>
    <mergeCell ref="B25:D25"/>
    <mergeCell ref="D26:D27"/>
    <mergeCell ref="B28:D28"/>
    <mergeCell ref="D29:D31"/>
    <mergeCell ref="B32:D32"/>
    <mergeCell ref="D33:D34"/>
  </mergeCells>
  <pageMargins left="0.51181102362204722" right="0.51181102362204722" top="0.78740157480314965" bottom="0.78740157480314965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48FE-0DA7-43C7-91A5-BA7BE25BD024}">
  <dimension ref="A1:E39"/>
  <sheetViews>
    <sheetView tabSelected="1" zoomScale="145" zoomScaleNormal="145" workbookViewId="0">
      <selection activeCell="B1" sqref="B1:D1"/>
    </sheetView>
  </sheetViews>
  <sheetFormatPr defaultColWidth="8.875" defaultRowHeight="15" x14ac:dyDescent="0.2"/>
  <cols>
    <col min="1" max="1" width="1.74609375" style="19" customWidth="1"/>
    <col min="2" max="2" width="49.50390625" style="19" customWidth="1"/>
    <col min="3" max="3" width="3.2265625" style="19" customWidth="1"/>
    <col min="4" max="4" width="24.078125" style="19" customWidth="1"/>
    <col min="5" max="5" width="1.74609375" style="19" customWidth="1"/>
    <col min="6" max="16384" width="8.875" style="19"/>
  </cols>
  <sheetData>
    <row r="1" spans="1:5" ht="20.45" customHeight="1" thickBot="1" x14ac:dyDescent="0.3">
      <c r="A1" s="31"/>
      <c r="B1" s="123" t="s">
        <v>64</v>
      </c>
      <c r="C1" s="123"/>
      <c r="D1" s="123"/>
      <c r="E1" s="33"/>
    </row>
    <row r="2" spans="1:5" ht="15.75" thickBot="1" x14ac:dyDescent="0.25">
      <c r="A2" s="34"/>
      <c r="B2" s="127" t="s">
        <v>7</v>
      </c>
      <c r="C2" s="128"/>
      <c r="D2" s="129"/>
      <c r="E2" s="35"/>
    </row>
    <row r="3" spans="1:5" x14ac:dyDescent="0.2">
      <c r="A3" s="34"/>
      <c r="B3" s="120" t="s">
        <v>65</v>
      </c>
      <c r="C3" s="121"/>
      <c r="D3" s="122"/>
      <c r="E3" s="35"/>
    </row>
    <row r="4" spans="1:5" x14ac:dyDescent="0.2">
      <c r="A4" s="34"/>
      <c r="B4" s="99"/>
      <c r="C4" s="99"/>
      <c r="D4" s="99"/>
      <c r="E4" s="35"/>
    </row>
    <row r="5" spans="1:5" ht="24.75" x14ac:dyDescent="0.2">
      <c r="A5" s="34"/>
      <c r="B5" s="20" t="s">
        <v>0</v>
      </c>
      <c r="C5" s="21"/>
      <c r="D5" s="24">
        <v>1000</v>
      </c>
      <c r="E5" s="35"/>
    </row>
    <row r="6" spans="1:5" x14ac:dyDescent="0.2">
      <c r="A6" s="34"/>
      <c r="B6" s="99"/>
      <c r="C6" s="99"/>
      <c r="D6" s="99"/>
      <c r="E6" s="35"/>
    </row>
    <row r="7" spans="1:5" x14ac:dyDescent="0.2">
      <c r="A7" s="34"/>
      <c r="B7" s="20" t="s">
        <v>51</v>
      </c>
      <c r="C7" s="52"/>
      <c r="D7" s="22">
        <v>0</v>
      </c>
      <c r="E7" s="35"/>
    </row>
    <row r="8" spans="1:5" x14ac:dyDescent="0.2">
      <c r="A8" s="34"/>
      <c r="B8" s="20" t="s">
        <v>52</v>
      </c>
      <c r="C8" s="52"/>
      <c r="D8" s="22">
        <v>0</v>
      </c>
      <c r="E8" s="35"/>
    </row>
    <row r="9" spans="1:5" x14ac:dyDescent="0.2">
      <c r="A9" s="34"/>
      <c r="B9" s="20" t="s">
        <v>53</v>
      </c>
      <c r="C9" s="52"/>
      <c r="D9" s="22">
        <v>0</v>
      </c>
      <c r="E9" s="35"/>
    </row>
    <row r="10" spans="1:5" x14ac:dyDescent="0.2">
      <c r="A10" s="34"/>
      <c r="B10" s="20" t="s">
        <v>54</v>
      </c>
      <c r="C10" s="52"/>
      <c r="D10" s="22">
        <v>0</v>
      </c>
      <c r="E10" s="35"/>
    </row>
    <row r="11" spans="1:5" x14ac:dyDescent="0.2">
      <c r="A11" s="34"/>
      <c r="B11" s="52"/>
      <c r="C11" s="52"/>
      <c r="D11" s="52"/>
      <c r="E11" s="35"/>
    </row>
    <row r="12" spans="1:5" x14ac:dyDescent="0.2">
      <c r="A12" s="34"/>
      <c r="B12" s="20" t="s">
        <v>55</v>
      </c>
      <c r="C12" s="52"/>
      <c r="D12" s="22">
        <f>D5+D7+D8+D9+D10</f>
        <v>1000</v>
      </c>
      <c r="E12" s="35"/>
    </row>
    <row r="13" spans="1:5" x14ac:dyDescent="0.2">
      <c r="A13" s="34"/>
      <c r="B13" s="52"/>
      <c r="C13" s="52"/>
      <c r="D13" s="52"/>
      <c r="E13" s="35"/>
    </row>
    <row r="14" spans="1:5" x14ac:dyDescent="0.2">
      <c r="A14" s="34"/>
      <c r="B14" s="38" t="s">
        <v>1</v>
      </c>
      <c r="C14" s="21"/>
      <c r="D14" s="39">
        <v>7.0000000000000007E-2</v>
      </c>
      <c r="E14" s="35"/>
    </row>
    <row r="15" spans="1:5" x14ac:dyDescent="0.2">
      <c r="A15" s="34"/>
      <c r="B15" s="20" t="s">
        <v>56</v>
      </c>
      <c r="C15" s="21"/>
      <c r="D15" s="25">
        <v>0</v>
      </c>
      <c r="E15" s="35"/>
    </row>
    <row r="16" spans="1:5" x14ac:dyDescent="0.2">
      <c r="A16" s="34"/>
      <c r="B16" s="99"/>
      <c r="C16" s="99"/>
      <c r="D16" s="99"/>
      <c r="E16" s="35"/>
    </row>
    <row r="17" spans="1:5" x14ac:dyDescent="0.2">
      <c r="A17" s="34"/>
      <c r="B17" s="20" t="s">
        <v>2</v>
      </c>
      <c r="C17" s="21"/>
      <c r="D17" s="22">
        <f>D12*D14</f>
        <v>70</v>
      </c>
      <c r="E17" s="35"/>
    </row>
    <row r="18" spans="1:5" x14ac:dyDescent="0.2">
      <c r="A18" s="34"/>
      <c r="B18" s="99"/>
      <c r="C18" s="99"/>
      <c r="D18" s="99"/>
      <c r="E18" s="35"/>
    </row>
    <row r="19" spans="1:5" x14ac:dyDescent="0.2">
      <c r="A19" s="34"/>
      <c r="B19" s="20" t="s">
        <v>57</v>
      </c>
      <c r="C19" s="52"/>
      <c r="D19" s="25">
        <v>0.18</v>
      </c>
      <c r="E19" s="35"/>
    </row>
    <row r="20" spans="1:5" x14ac:dyDescent="0.2">
      <c r="A20" s="34"/>
      <c r="B20" s="20" t="s">
        <v>58</v>
      </c>
      <c r="C20" s="21"/>
      <c r="D20" s="25">
        <v>0</v>
      </c>
      <c r="E20" s="35"/>
    </row>
    <row r="21" spans="1:5" x14ac:dyDescent="0.2">
      <c r="A21" s="34"/>
      <c r="B21" s="20" t="s">
        <v>59</v>
      </c>
      <c r="C21" s="21"/>
      <c r="D21" s="25">
        <f>D19+D20</f>
        <v>0.18</v>
      </c>
      <c r="E21" s="35"/>
    </row>
    <row r="22" spans="1:5" ht="15.75" thickBot="1" x14ac:dyDescent="0.25">
      <c r="A22" s="34"/>
      <c r="B22" s="100"/>
      <c r="C22" s="100"/>
      <c r="D22" s="100"/>
      <c r="E22" s="35"/>
    </row>
    <row r="23" spans="1:5" ht="15.75" thickBot="1" x14ac:dyDescent="0.25">
      <c r="A23" s="34"/>
      <c r="B23" s="124" t="s">
        <v>6</v>
      </c>
      <c r="C23" s="125"/>
      <c r="D23" s="126"/>
      <c r="E23" s="35"/>
    </row>
    <row r="24" spans="1:5" x14ac:dyDescent="0.2">
      <c r="A24" s="34"/>
      <c r="B24" s="100"/>
      <c r="C24" s="100"/>
      <c r="D24" s="100"/>
      <c r="E24" s="35"/>
    </row>
    <row r="25" spans="1:5" x14ac:dyDescent="0.2">
      <c r="A25" s="34"/>
      <c r="B25" s="26" t="s">
        <v>23</v>
      </c>
      <c r="C25" s="27"/>
      <c r="D25" s="116">
        <f>D21-D14</f>
        <v>0.10999999999999999</v>
      </c>
      <c r="E25" s="35"/>
    </row>
    <row r="26" spans="1:5" x14ac:dyDescent="0.2">
      <c r="A26" s="34"/>
      <c r="B26" s="40" t="s">
        <v>24</v>
      </c>
      <c r="C26" s="27"/>
      <c r="D26" s="117"/>
      <c r="E26" s="35"/>
    </row>
    <row r="27" spans="1:5" x14ac:dyDescent="0.2">
      <c r="A27" s="34"/>
      <c r="B27" s="28" t="s">
        <v>60</v>
      </c>
      <c r="C27" s="54"/>
      <c r="D27" s="102"/>
      <c r="E27" s="35"/>
    </row>
    <row r="28" spans="1:5" x14ac:dyDescent="0.2">
      <c r="A28" s="34"/>
      <c r="B28" s="53"/>
      <c r="C28" s="53"/>
      <c r="D28" s="53"/>
      <c r="E28" s="35"/>
    </row>
    <row r="29" spans="1:5" x14ac:dyDescent="0.2">
      <c r="A29" s="34"/>
      <c r="B29" s="6" t="s">
        <v>9</v>
      </c>
      <c r="C29" s="9"/>
      <c r="D29" s="101">
        <f>100%-D25</f>
        <v>0.89</v>
      </c>
      <c r="E29" s="35"/>
    </row>
    <row r="30" spans="1:5" x14ac:dyDescent="0.2">
      <c r="A30" s="34"/>
      <c r="B30" s="28" t="s">
        <v>61</v>
      </c>
      <c r="C30" s="54"/>
      <c r="D30" s="102"/>
      <c r="E30" s="35"/>
    </row>
    <row r="31" spans="1:5" x14ac:dyDescent="0.2">
      <c r="A31" s="34"/>
      <c r="B31" s="53"/>
      <c r="C31" s="53"/>
      <c r="D31" s="53"/>
      <c r="E31" s="35"/>
    </row>
    <row r="32" spans="1:5" x14ac:dyDescent="0.2">
      <c r="A32" s="34"/>
      <c r="B32" s="6" t="s">
        <v>3</v>
      </c>
      <c r="C32" s="9"/>
      <c r="D32" s="101">
        <f>D12/D29</f>
        <v>1123.5955056179776</v>
      </c>
      <c r="E32" s="35"/>
    </row>
    <row r="33" spans="1:5" x14ac:dyDescent="0.2">
      <c r="A33" s="34"/>
      <c r="B33" s="28" t="s">
        <v>12</v>
      </c>
      <c r="C33" s="54"/>
      <c r="D33" s="102"/>
      <c r="E33" s="35"/>
    </row>
    <row r="34" spans="1:5" x14ac:dyDescent="0.2">
      <c r="A34" s="34"/>
      <c r="E34" s="35"/>
    </row>
    <row r="35" spans="1:5" x14ac:dyDescent="0.2">
      <c r="A35" s="34"/>
      <c r="B35" s="20" t="s">
        <v>23</v>
      </c>
      <c r="D35" s="25">
        <f>D25</f>
        <v>0.10999999999999999</v>
      </c>
      <c r="E35" s="35"/>
    </row>
    <row r="36" spans="1:5" x14ac:dyDescent="0.2">
      <c r="A36" s="34"/>
      <c r="B36" s="103"/>
      <c r="C36" s="103"/>
      <c r="D36" s="103"/>
      <c r="E36" s="35"/>
    </row>
    <row r="37" spans="1:5" x14ac:dyDescent="0.2">
      <c r="A37" s="34"/>
      <c r="B37" s="26" t="s">
        <v>5</v>
      </c>
      <c r="C37" s="27"/>
      <c r="D37" s="118">
        <f>D32*D35</f>
        <v>123.59550561797752</v>
      </c>
      <c r="E37" s="35"/>
    </row>
    <row r="38" spans="1:5" x14ac:dyDescent="0.2">
      <c r="A38" s="34"/>
      <c r="B38" s="28" t="s">
        <v>27</v>
      </c>
      <c r="C38" s="54"/>
      <c r="D38" s="119"/>
      <c r="E38" s="35"/>
    </row>
    <row r="39" spans="1:5" s="30" customFormat="1" ht="9" customHeight="1" thickBot="1" x14ac:dyDescent="0.25">
      <c r="A39" s="36"/>
      <c r="B39" s="95"/>
      <c r="C39" s="95"/>
      <c r="D39" s="95"/>
      <c r="E39" s="37"/>
    </row>
  </sheetData>
  <mergeCells count="16">
    <mergeCell ref="B39:D39"/>
    <mergeCell ref="D25:D27"/>
    <mergeCell ref="B1:D1"/>
    <mergeCell ref="D32:D33"/>
    <mergeCell ref="B36:D36"/>
    <mergeCell ref="D37:D38"/>
    <mergeCell ref="B22:D22"/>
    <mergeCell ref="B23:D23"/>
    <mergeCell ref="B24:D24"/>
    <mergeCell ref="D29:D30"/>
    <mergeCell ref="B2:D2"/>
    <mergeCell ref="B3:D3"/>
    <mergeCell ref="B4:D4"/>
    <mergeCell ref="B6:D6"/>
    <mergeCell ref="B16:D16"/>
    <mergeCell ref="B18:D18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DIFAL - Regra Geral</vt:lpstr>
      <vt:lpstr>CC_para_CCouSN</vt:lpstr>
      <vt:lpstr>CC(IPI)_para_CCouSN</vt:lpstr>
      <vt:lpstr>SN_para_CC</vt:lpstr>
      <vt:lpstr>SN_para_SN</vt:lpstr>
      <vt:lpstr>Plan_DIFAL_ST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</dc:creator>
  <cp:lastModifiedBy>JHA</cp:lastModifiedBy>
  <cp:lastPrinted>2019-09-11T09:42:48Z</cp:lastPrinted>
  <dcterms:created xsi:type="dcterms:W3CDTF">2019-09-04T22:26:33Z</dcterms:created>
  <dcterms:modified xsi:type="dcterms:W3CDTF">2020-02-23T20:30:50Z</dcterms:modified>
</cp:coreProperties>
</file>