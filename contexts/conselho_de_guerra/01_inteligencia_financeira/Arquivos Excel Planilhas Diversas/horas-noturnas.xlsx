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D:\Meus Arquivos\Cálculos Trabalhistas\A meu blog\Planilhas blog download\"/>
    </mc:Choice>
  </mc:AlternateContent>
  <bookViews>
    <workbookView xWindow="0" yWindow="120" windowWidth="15195" windowHeight="9210"/>
  </bookViews>
  <sheets>
    <sheet name="Cálculo" sheetId="9" r:id="rId1"/>
  </sheets>
  <definedNames>
    <definedName name="fer">Cálculo!$T$4:$T$13</definedName>
    <definedName name="Fimnot">Cálculo!$B$2</definedName>
    <definedName name="Ininot">Cálculo!$B$1</definedName>
    <definedName name="páscoa">Cálculo!$T$16</definedName>
  </definedNames>
  <calcPr calcId="152511"/>
</workbook>
</file>

<file path=xl/calcChain.xml><?xml version="1.0" encoding="utf-8"?>
<calcChain xmlns="http://schemas.openxmlformats.org/spreadsheetml/2006/main">
  <c r="R19" i="9" l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N34" i="9" l="1"/>
  <c r="L5" i="9"/>
  <c r="M5" i="9" s="1"/>
  <c r="N5" i="9" s="1"/>
  <c r="L6" i="9"/>
  <c r="M6" i="9" s="1"/>
  <c r="N6" i="9" s="1"/>
  <c r="L7" i="9"/>
  <c r="M7" i="9" s="1"/>
  <c r="N7" i="9" s="1"/>
  <c r="L8" i="9"/>
  <c r="M8" i="9" s="1"/>
  <c r="N8" i="9" s="1"/>
  <c r="L9" i="9"/>
  <c r="M9" i="9" s="1"/>
  <c r="N9" i="9" s="1"/>
  <c r="L10" i="9"/>
  <c r="M10" i="9" s="1"/>
  <c r="N10" i="9" s="1"/>
  <c r="L11" i="9"/>
  <c r="L12" i="9"/>
  <c r="M12" i="9" s="1"/>
  <c r="N12" i="9" s="1"/>
  <c r="L13" i="9"/>
  <c r="M13" i="9" s="1"/>
  <c r="N13" i="9" s="1"/>
  <c r="L14" i="9"/>
  <c r="M14" i="9" s="1"/>
  <c r="N14" i="9" s="1"/>
  <c r="L15" i="9"/>
  <c r="M15" i="9" s="1"/>
  <c r="N15" i="9" s="1"/>
  <c r="L16" i="9"/>
  <c r="M16" i="9" s="1"/>
  <c r="N16" i="9" s="1"/>
  <c r="L17" i="9"/>
  <c r="M17" i="9" s="1"/>
  <c r="N17" i="9" s="1"/>
  <c r="L18" i="9"/>
  <c r="M18" i="9" s="1"/>
  <c r="N18" i="9" s="1"/>
  <c r="L19" i="9"/>
  <c r="M19" i="9" s="1"/>
  <c r="N19" i="9" s="1"/>
  <c r="L20" i="9"/>
  <c r="M20" i="9" s="1"/>
  <c r="N20" i="9" s="1"/>
  <c r="L21" i="9"/>
  <c r="M21" i="9" s="1"/>
  <c r="N21" i="9" s="1"/>
  <c r="L22" i="9"/>
  <c r="M22" i="9" s="1"/>
  <c r="N22" i="9" s="1"/>
  <c r="L23" i="9"/>
  <c r="M23" i="9" s="1"/>
  <c r="N23" i="9" s="1"/>
  <c r="L24" i="9"/>
  <c r="M24" i="9" s="1"/>
  <c r="N24" i="9" s="1"/>
  <c r="L25" i="9"/>
  <c r="M25" i="9" s="1"/>
  <c r="N25" i="9" s="1"/>
  <c r="L26" i="9"/>
  <c r="M26" i="9" s="1"/>
  <c r="N26" i="9" s="1"/>
  <c r="L27" i="9"/>
  <c r="M27" i="9" s="1"/>
  <c r="N27" i="9" s="1"/>
  <c r="L28" i="9"/>
  <c r="M28" i="9" s="1"/>
  <c r="N28" i="9" s="1"/>
  <c r="L29" i="9"/>
  <c r="M29" i="9" s="1"/>
  <c r="N29" i="9" s="1"/>
  <c r="L30" i="9"/>
  <c r="M30" i="9" s="1"/>
  <c r="N30" i="9" s="1"/>
  <c r="L31" i="9"/>
  <c r="M31" i="9" s="1"/>
  <c r="N31" i="9" s="1"/>
  <c r="L32" i="9"/>
  <c r="M32" i="9" s="1"/>
  <c r="N32" i="9" s="1"/>
  <c r="L33" i="9"/>
  <c r="M33" i="9" s="1"/>
  <c r="N33" i="9" s="1"/>
  <c r="L34" i="9"/>
  <c r="M34" i="9"/>
  <c r="K34" i="9"/>
  <c r="P5" i="9"/>
  <c r="B4" i="9"/>
  <c r="B5" i="9" s="1"/>
  <c r="T4" i="9"/>
  <c r="M11" i="9" l="1"/>
  <c r="N11" i="9" s="1"/>
  <c r="T6" i="9"/>
  <c r="T16" i="9"/>
  <c r="T11" i="9"/>
  <c r="T9" i="9"/>
  <c r="F5" i="9"/>
  <c r="G5" i="9" s="1"/>
  <c r="H5" i="9" s="1"/>
  <c r="F4" i="9"/>
  <c r="G4" i="9" s="1"/>
  <c r="H4" i="9" s="1"/>
  <c r="T5" i="9"/>
  <c r="T7" i="9"/>
  <c r="B6" i="9"/>
  <c r="T10" i="9"/>
  <c r="T8" i="9"/>
  <c r="T13" i="9" l="1"/>
  <c r="T12" i="9"/>
  <c r="T36" i="9" s="1"/>
  <c r="B7" i="9"/>
  <c r="F6" i="9"/>
  <c r="A5" i="9"/>
  <c r="A6" i="9" l="1"/>
  <c r="I6" i="9" s="1"/>
  <c r="A4" i="9"/>
  <c r="I4" i="9" s="1"/>
  <c r="J4" i="9" s="1"/>
  <c r="K4" i="9" s="1"/>
  <c r="I5" i="9"/>
  <c r="G6" i="9"/>
  <c r="H6" i="9" s="1"/>
  <c r="B8" i="9"/>
  <c r="A7" i="9"/>
  <c r="F7" i="9"/>
  <c r="J6" i="9" l="1"/>
  <c r="K6" i="9" s="1"/>
  <c r="L4" i="9"/>
  <c r="G7" i="9"/>
  <c r="H7" i="9" s="1"/>
  <c r="I7" i="9"/>
  <c r="J7" i="9" s="1"/>
  <c r="K7" i="9" s="1"/>
  <c r="B9" i="9"/>
  <c r="A8" i="9"/>
  <c r="F8" i="9"/>
  <c r="J5" i="9"/>
  <c r="M4" i="9" l="1"/>
  <c r="L35" i="9"/>
  <c r="R14" i="9"/>
  <c r="K5" i="9"/>
  <c r="I8" i="9"/>
  <c r="J8" i="9" s="1"/>
  <c r="K8" i="9" s="1"/>
  <c r="G8" i="9"/>
  <c r="H8" i="9" s="1"/>
  <c r="B10" i="9"/>
  <c r="A9" i="9"/>
  <c r="F9" i="9"/>
  <c r="G9" i="9" s="1"/>
  <c r="H9" i="9" s="1"/>
  <c r="N4" i="9" l="1"/>
  <c r="I9" i="9"/>
  <c r="B11" i="9"/>
  <c r="A10" i="9"/>
  <c r="F10" i="9"/>
  <c r="G10" i="9" s="1"/>
  <c r="H10" i="9" s="1"/>
  <c r="B12" i="9" l="1"/>
  <c r="A11" i="9"/>
  <c r="F11" i="9"/>
  <c r="G11" i="9" s="1"/>
  <c r="H11" i="9" s="1"/>
  <c r="I10" i="9"/>
  <c r="J9" i="9"/>
  <c r="K9" i="9" s="1"/>
  <c r="I11" i="9" l="1"/>
  <c r="B13" i="9"/>
  <c r="A12" i="9"/>
  <c r="F12" i="9"/>
  <c r="G12" i="9" s="1"/>
  <c r="H12" i="9" s="1"/>
  <c r="J10" i="9"/>
  <c r="K10" i="9" l="1"/>
  <c r="I12" i="9"/>
  <c r="J12" i="9" s="1"/>
  <c r="K12" i="9" s="1"/>
  <c r="B14" i="9"/>
  <c r="A13" i="9"/>
  <c r="F13" i="9"/>
  <c r="G13" i="9" s="1"/>
  <c r="H13" i="9" s="1"/>
  <c r="J11" i="9"/>
  <c r="K11" i="9" l="1"/>
  <c r="I13" i="9"/>
  <c r="B15" i="9"/>
  <c r="A14" i="9"/>
  <c r="I14" i="9" s="1"/>
  <c r="F14" i="9"/>
  <c r="G14" i="9" s="1"/>
  <c r="H14" i="9" s="1"/>
  <c r="J13" i="9" l="1"/>
  <c r="J14" i="9"/>
  <c r="B16" i="9"/>
  <c r="A15" i="9"/>
  <c r="F15" i="9"/>
  <c r="G15" i="9" s="1"/>
  <c r="H15" i="9" s="1"/>
  <c r="K14" i="9" l="1"/>
  <c r="K13" i="9"/>
  <c r="I15" i="9"/>
  <c r="J15" i="9" s="1"/>
  <c r="K15" i="9" s="1"/>
  <c r="B17" i="9"/>
  <c r="A16" i="9"/>
  <c r="F16" i="9"/>
  <c r="G16" i="9" s="1"/>
  <c r="H16" i="9" s="1"/>
  <c r="I16" i="9" l="1"/>
  <c r="B18" i="9"/>
  <c r="A17" i="9"/>
  <c r="F17" i="9"/>
  <c r="G17" i="9" s="1"/>
  <c r="H17" i="9" s="1"/>
  <c r="I17" i="9" l="1"/>
  <c r="B19" i="9"/>
  <c r="A18" i="9"/>
  <c r="I18" i="9" s="1"/>
  <c r="F18" i="9"/>
  <c r="G18" i="9" s="1"/>
  <c r="H18" i="9" s="1"/>
  <c r="J16" i="9"/>
  <c r="K16" i="9" l="1"/>
  <c r="J18" i="9"/>
  <c r="K18" i="9" s="1"/>
  <c r="B20" i="9"/>
  <c r="A19" i="9"/>
  <c r="I19" i="9" s="1"/>
  <c r="J19" i="9" s="1"/>
  <c r="K19" i="9" s="1"/>
  <c r="F19" i="9"/>
  <c r="J17" i="9"/>
  <c r="K17" i="9" l="1"/>
  <c r="B21" i="9"/>
  <c r="A20" i="9"/>
  <c r="F20" i="9"/>
  <c r="G20" i="9" s="1"/>
  <c r="H20" i="9" s="1"/>
  <c r="G19" i="9"/>
  <c r="H19" i="9" l="1"/>
  <c r="I20" i="9"/>
  <c r="B22" i="9"/>
  <c r="A21" i="9"/>
  <c r="F21" i="9"/>
  <c r="G21" i="9" s="1"/>
  <c r="H21" i="9" s="1"/>
  <c r="I21" i="9" l="1"/>
  <c r="B23" i="9"/>
  <c r="A22" i="9"/>
  <c r="F22" i="9"/>
  <c r="G22" i="9" s="1"/>
  <c r="H22" i="9" s="1"/>
  <c r="J20" i="9"/>
  <c r="K20" i="9" l="1"/>
  <c r="B24" i="9"/>
  <c r="A23" i="9"/>
  <c r="I23" i="9" s="1"/>
  <c r="J23" i="9" s="1"/>
  <c r="K23" i="9" s="1"/>
  <c r="F23" i="9"/>
  <c r="G23" i="9" s="1"/>
  <c r="H23" i="9" s="1"/>
  <c r="I22" i="9"/>
  <c r="J21" i="9"/>
  <c r="K21" i="9" l="1"/>
  <c r="J22" i="9"/>
  <c r="B25" i="9"/>
  <c r="A24" i="9"/>
  <c r="I24" i="9" s="1"/>
  <c r="F24" i="9"/>
  <c r="G24" i="9" s="1"/>
  <c r="H24" i="9" s="1"/>
  <c r="K22" i="9" l="1"/>
  <c r="J24" i="9"/>
  <c r="K24" i="9" s="1"/>
  <c r="B26" i="9"/>
  <c r="A25" i="9"/>
  <c r="F25" i="9"/>
  <c r="G25" i="9" s="1"/>
  <c r="H25" i="9" s="1"/>
  <c r="I25" i="9" l="1"/>
  <c r="B27" i="9"/>
  <c r="A26" i="9"/>
  <c r="I26" i="9" s="1"/>
  <c r="F26" i="9"/>
  <c r="G26" i="9" s="1"/>
  <c r="H26" i="9" s="1"/>
  <c r="J26" i="9" l="1"/>
  <c r="K26" i="9" s="1"/>
  <c r="B28" i="9"/>
  <c r="A27" i="9"/>
  <c r="I27" i="9" s="1"/>
  <c r="F27" i="9"/>
  <c r="J25" i="9"/>
  <c r="K25" i="9" l="1"/>
  <c r="J27" i="9"/>
  <c r="K27" i="9" s="1"/>
  <c r="B29" i="9"/>
  <c r="A28" i="9"/>
  <c r="I28" i="9" s="1"/>
  <c r="F28" i="9"/>
  <c r="G28" i="9" s="1"/>
  <c r="H28" i="9" s="1"/>
  <c r="G27" i="9"/>
  <c r="H27" i="9" l="1"/>
  <c r="J28" i="9"/>
  <c r="K28" i="9" s="1"/>
  <c r="B30" i="9"/>
  <c r="A29" i="9"/>
  <c r="F29" i="9"/>
  <c r="G29" i="9" s="1"/>
  <c r="H29" i="9" s="1"/>
  <c r="I29" i="9" l="1"/>
  <c r="B31" i="9"/>
  <c r="A30" i="9"/>
  <c r="I30" i="9" s="1"/>
  <c r="F30" i="9"/>
  <c r="G30" i="9" s="1"/>
  <c r="H30" i="9" s="1"/>
  <c r="J30" i="9" l="1"/>
  <c r="K30" i="9" s="1"/>
  <c r="B32" i="9"/>
  <c r="A31" i="9"/>
  <c r="I31" i="9" s="1"/>
  <c r="J31" i="9" s="1"/>
  <c r="K31" i="9" s="1"/>
  <c r="F31" i="9"/>
  <c r="J29" i="9"/>
  <c r="K29" i="9" l="1"/>
  <c r="A32" i="9"/>
  <c r="B33" i="9"/>
  <c r="F32" i="9"/>
  <c r="G31" i="9"/>
  <c r="H31" i="9" l="1"/>
  <c r="I32" i="9"/>
  <c r="J32" i="9" s="1"/>
  <c r="K32" i="9" s="1"/>
  <c r="B34" i="9"/>
  <c r="H34" i="9" s="1"/>
  <c r="A33" i="9"/>
  <c r="I33" i="9" s="1"/>
  <c r="F33" i="9"/>
  <c r="G33" i="9" s="1"/>
  <c r="H33" i="9" s="1"/>
  <c r="G32" i="9"/>
  <c r="H32" i="9" s="1"/>
  <c r="H35" i="9" l="1"/>
  <c r="J33" i="9"/>
  <c r="K33" i="9" s="1"/>
  <c r="K35" i="9" s="1"/>
  <c r="J34" i="9"/>
  <c r="J35" i="9" s="1"/>
  <c r="G34" i="9"/>
  <c r="G35" i="9" s="1"/>
  <c r="I34" i="9"/>
  <c r="I35" i="9" s="1"/>
  <c r="F34" i="9"/>
  <c r="F35" i="9" s="1"/>
  <c r="A34" i="9"/>
  <c r="R17" i="9" l="1"/>
  <c r="R18" i="9"/>
  <c r="R16" i="9"/>
  <c r="E35" i="9"/>
  <c r="M35" i="9"/>
  <c r="R15" i="9"/>
  <c r="N35" i="9"/>
</calcChain>
</file>

<file path=xl/sharedStrings.xml><?xml version="1.0" encoding="utf-8"?>
<sst xmlns="http://schemas.openxmlformats.org/spreadsheetml/2006/main" count="52" uniqueCount="35">
  <si>
    <t>Entrada</t>
  </si>
  <si>
    <t>Saída</t>
  </si>
  <si>
    <t>Trabalhadas</t>
  </si>
  <si>
    <t>TOTAL HRS</t>
  </si>
  <si>
    <t>Troque a data -&gt;</t>
  </si>
  <si>
    <t xml:space="preserve">Horas </t>
  </si>
  <si>
    <t>DOMINGO</t>
  </si>
  <si>
    <t>SEMANA (Seg a Sáb)</t>
  </si>
  <si>
    <t>DIA</t>
  </si>
  <si>
    <t>NOITE</t>
  </si>
  <si>
    <t>SEMANA</t>
  </si>
  <si>
    <t>DOM/FER</t>
  </si>
  <si>
    <t>5h-22h</t>
  </si>
  <si>
    <t>22h-5h</t>
  </si>
  <si>
    <t>Jornada</t>
  </si>
  <si>
    <t>TOTAL GERAL</t>
  </si>
  <si>
    <t>Feriados</t>
  </si>
  <si>
    <t>Horário Noturno "Ininot"</t>
  </si>
  <si>
    <t>Horário Noturno "Fimnot"</t>
  </si>
  <si>
    <t>Páscoa</t>
  </si>
  <si>
    <t>Formatação Condicional</t>
  </si>
  <si>
    <t>Para destacar os domingos:</t>
  </si>
  <si>
    <t>Para destacar os feriados:</t>
  </si>
  <si>
    <t>=CONT.SE(fer;$B4)&gt;0</t>
  </si>
  <si>
    <t>Fórmula condicional para a coluna dos dias do mês</t>
  </si>
  <si>
    <t>A partir da célula B31 (dia 28)</t>
  </si>
  <si>
    <t>'=SE(B30="";"";SE(MÊS(B30+1)&gt;MÊS(B30);"";B30+1))</t>
  </si>
  <si>
    <t>=(DIA.DA.SEMANA($B4;2)&gt;6)*($B4&lt;&gt;"") &gt;&gt; cor amarela</t>
  </si>
  <si>
    <t>FERIADO</t>
  </si>
  <si>
    <t>A planilha separa as horas trabalhadas em domingos, feriados e dias úteis</t>
  </si>
  <si>
    <t>HORA FICTA</t>
  </si>
  <si>
    <t>Fator Redução da Hora Noturna</t>
  </si>
  <si>
    <t>Lista nomeada fer T4:T13</t>
  </si>
  <si>
    <t>TOTAL HRS 60 min</t>
  </si>
  <si>
    <t>TOTAL HRS + H. FICTA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</si>
</sst>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hh]:mm"/>
    <numFmt numFmtId="165" formatCode="hh:mm;;\-"/>
    <numFmt numFmtId="166" formatCode="[hh]:mm;;"/>
    <numFmt numFmtId="167" formatCode="ddd\ dd\-mmm\-yy"/>
    <numFmt numFmtId="168" formatCode="[h]:mm;;\-"/>
    <numFmt numFmtId="169" formatCode="0.000000"/>
  </numFmts>
  <fonts count="35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Calibri"/>
      <family val="2"/>
    </font>
    <font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color indexed="8"/>
      <name val="Verdana"/>
      <family val="2"/>
    </font>
    <font>
      <sz val="8"/>
      <color indexed="62"/>
      <name val="Verdana"/>
      <family val="2"/>
    </font>
    <font>
      <sz val="8"/>
      <name val="Verdana"/>
      <family val="2"/>
    </font>
    <font>
      <sz val="8"/>
      <color indexed="60"/>
      <name val="Verdana"/>
      <family val="2"/>
    </font>
    <font>
      <sz val="8"/>
      <color indexed="63"/>
      <name val="Verdana"/>
      <family val="2"/>
    </font>
    <font>
      <b/>
      <sz val="8"/>
      <color indexed="10"/>
      <name val="Verdana"/>
      <family val="2"/>
    </font>
    <font>
      <sz val="8"/>
      <color indexed="14"/>
      <name val="Verdana"/>
      <family val="2"/>
    </font>
    <font>
      <b/>
      <sz val="8"/>
      <color indexed="8"/>
      <name val="Verdana"/>
      <family val="2"/>
    </font>
    <font>
      <b/>
      <sz val="8"/>
      <color indexed="60"/>
      <name val="Verdana"/>
      <family val="2"/>
    </font>
    <font>
      <b/>
      <sz val="8"/>
      <color indexed="18"/>
      <name val="Verdana"/>
      <family val="2"/>
    </font>
    <font>
      <b/>
      <sz val="8"/>
      <name val="Verdana"/>
      <family val="2"/>
    </font>
    <font>
      <b/>
      <u/>
      <sz val="8"/>
      <color indexed="60"/>
      <name val="Verdana"/>
      <family val="2"/>
    </font>
    <font>
      <b/>
      <sz val="8"/>
      <color theme="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/>
      <diagonal/>
    </border>
    <border>
      <left style="thin">
        <color indexed="64"/>
      </left>
      <right style="hair">
        <color indexed="23"/>
      </right>
      <top style="hair">
        <color indexed="23"/>
      </top>
      <bottom/>
      <diagonal/>
    </border>
    <border>
      <left style="hair">
        <color indexed="23"/>
      </left>
      <right style="thin">
        <color indexed="64"/>
      </right>
      <top style="hair">
        <color indexed="23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23"/>
      </bottom>
      <diagonal/>
    </border>
    <border>
      <left style="thin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thin">
        <color indexed="64"/>
      </right>
      <top/>
      <bottom style="hair">
        <color indexed="23"/>
      </bottom>
      <diagonal/>
    </border>
    <border>
      <left style="thin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 style="thin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 style="hair">
        <color indexed="23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2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23"/>
      </right>
      <top style="thin">
        <color indexed="64"/>
      </top>
      <bottom style="hair">
        <color indexed="23"/>
      </bottom>
      <diagonal/>
    </border>
    <border>
      <left style="hair">
        <color indexed="23"/>
      </left>
      <right style="thin">
        <color indexed="64"/>
      </right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/>
      <top style="hair">
        <color indexed="23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hair">
        <color indexed="23"/>
      </bottom>
      <diagonal/>
    </border>
    <border>
      <left/>
      <right style="thin">
        <color indexed="64"/>
      </right>
      <top/>
      <bottom style="hair">
        <color indexed="23"/>
      </bottom>
      <diagonal/>
    </border>
    <border>
      <left style="hair">
        <color indexed="23"/>
      </left>
      <right style="hair">
        <color indexed="64"/>
      </right>
      <top style="thin">
        <color indexed="64"/>
      </top>
      <bottom style="hair">
        <color indexed="23"/>
      </bottom>
      <diagonal/>
    </border>
    <border>
      <left style="hair">
        <color indexed="23"/>
      </left>
      <right style="hair">
        <color indexed="64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 style="hair">
        <color indexed="23"/>
      </right>
      <top/>
      <bottom style="thin">
        <color indexed="64"/>
      </bottom>
      <diagonal/>
    </border>
    <border>
      <left style="hair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" fillId="0" borderId="0">
      <alignment vertical="center"/>
      <protection locked="0"/>
    </xf>
    <xf numFmtId="0" fontId="4" fillId="0" borderId="0" applyNumberFormat="0" applyFill="0" applyBorder="0" applyAlignment="0" applyProtection="0"/>
    <xf numFmtId="0" fontId="5" fillId="20" borderId="1" applyNumberFormat="0" applyAlignment="0" applyProtection="0"/>
    <xf numFmtId="0" fontId="6" fillId="0" borderId="2" applyNumberFormat="0" applyFill="0" applyAlignment="0" applyProtection="0"/>
    <xf numFmtId="0" fontId="2" fillId="21" borderId="3" applyNumberFormat="0" applyFont="0" applyAlignment="0" applyProtection="0"/>
    <xf numFmtId="0" fontId="7" fillId="7" borderId="1" applyNumberFormat="0" applyAlignment="0" applyProtection="0"/>
    <xf numFmtId="0" fontId="8" fillId="3" borderId="0" applyNumberFormat="0" applyBorder="0" applyAlignment="0" applyProtection="0"/>
    <xf numFmtId="0" fontId="9" fillId="22" borderId="0" applyNumberFormat="0" applyBorder="0" applyAlignment="0" applyProtection="0"/>
    <xf numFmtId="0" fontId="2" fillId="0" borderId="0"/>
    <xf numFmtId="0" fontId="10" fillId="4" borderId="0" applyNumberFormat="0" applyBorder="0" applyAlignment="0" applyProtection="0"/>
    <xf numFmtId="0" fontId="11" fillId="20" borderId="4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18" fillId="23" borderId="9" applyNumberFormat="0" applyAlignment="0" applyProtection="0"/>
  </cellStyleXfs>
  <cellXfs count="121">
    <xf numFmtId="0" fontId="0" fillId="0" borderId="0" xfId="0"/>
    <xf numFmtId="0" fontId="20" fillId="26" borderId="13" xfId="33" applyFont="1" applyFill="1" applyBorder="1" applyAlignment="1">
      <alignment horizontal="left" vertical="center" wrapText="1"/>
    </xf>
    <xf numFmtId="20" fontId="21" fillId="26" borderId="0" xfId="33" applyNumberFormat="1" applyFont="1" applyFill="1" applyBorder="1" applyAlignment="1">
      <alignment horizontal="center" vertical="center"/>
    </xf>
    <xf numFmtId="20" fontId="23" fillId="0" borderId="0" xfId="33" applyNumberFormat="1" applyFont="1" applyFill="1" applyBorder="1" applyAlignment="1">
      <alignment horizontal="center" vertical="center"/>
    </xf>
    <xf numFmtId="0" fontId="22" fillId="0" borderId="0" xfId="33" applyFont="1" applyAlignment="1">
      <alignment vertical="center"/>
    </xf>
    <xf numFmtId="0" fontId="24" fillId="0" borderId="0" xfId="33" applyFont="1" applyFill="1" applyBorder="1"/>
    <xf numFmtId="0" fontId="20" fillId="26" borderId="14" xfId="33" applyFont="1" applyFill="1" applyBorder="1" applyAlignment="1">
      <alignment horizontal="left" vertical="center" wrapText="1"/>
    </xf>
    <xf numFmtId="0" fontId="25" fillId="0" borderId="15" xfId="33" applyFont="1" applyBorder="1" applyAlignment="1">
      <alignment horizontal="center" vertical="center" wrapText="1"/>
    </xf>
    <xf numFmtId="0" fontId="23" fillId="0" borderId="16" xfId="33" applyFont="1" applyBorder="1" applyAlignment="1">
      <alignment horizontal="center" vertical="center" wrapText="1"/>
    </xf>
    <xf numFmtId="0" fontId="23" fillId="0" borderId="0" xfId="33" applyFont="1" applyFill="1" applyBorder="1" applyAlignment="1">
      <alignment horizontal="center" vertical="center" wrapText="1"/>
    </xf>
    <xf numFmtId="0" fontId="22" fillId="0" borderId="0" xfId="33" applyFont="1" applyAlignment="1">
      <alignment horizontal="center" vertical="center" wrapText="1"/>
    </xf>
    <xf numFmtId="0" fontId="24" fillId="0" borderId="0" xfId="33" applyFont="1" applyFill="1"/>
    <xf numFmtId="14" fontId="27" fillId="0" borderId="10" xfId="33" applyNumberFormat="1" applyFont="1" applyBorder="1" applyAlignment="1">
      <alignment horizontal="center" vertical="center" wrapText="1"/>
    </xf>
    <xf numFmtId="167" fontId="22" fillId="0" borderId="17" xfId="33" applyNumberFormat="1" applyFont="1" applyBorder="1" applyAlignment="1">
      <alignment vertical="center"/>
    </xf>
    <xf numFmtId="20" fontId="26" fillId="0" borderId="18" xfId="33" applyNumberFormat="1" applyFont="1" applyBorder="1" applyAlignment="1">
      <alignment horizontal="center" vertical="center"/>
    </xf>
    <xf numFmtId="164" fontId="26" fillId="0" borderId="19" xfId="33" applyNumberFormat="1" applyFont="1" applyBorder="1" applyAlignment="1">
      <alignment horizontal="center" vertical="center"/>
    </xf>
    <xf numFmtId="165" fontId="26" fillId="0" borderId="17" xfId="33" applyNumberFormat="1" applyFont="1" applyBorder="1" applyAlignment="1">
      <alignment horizontal="center"/>
    </xf>
    <xf numFmtId="165" fontId="25" fillId="0" borderId="18" xfId="33" applyNumberFormat="1" applyFont="1" applyBorder="1" applyAlignment="1">
      <alignment horizontal="center"/>
    </xf>
    <xf numFmtId="165" fontId="23" fillId="0" borderId="19" xfId="33" applyNumberFormat="1" applyFont="1" applyBorder="1" applyAlignment="1">
      <alignment horizontal="center"/>
    </xf>
    <xf numFmtId="0" fontId="22" fillId="0" borderId="0" xfId="33" applyFont="1" applyFill="1" applyBorder="1"/>
    <xf numFmtId="0" fontId="28" fillId="0" borderId="0" xfId="33" applyFont="1" applyBorder="1" applyAlignment="1">
      <alignment horizontal="center" vertical="center" wrapText="1"/>
    </xf>
    <xf numFmtId="0" fontId="22" fillId="0" borderId="13" xfId="33" applyFont="1" applyBorder="1" applyAlignment="1">
      <alignment vertical="center"/>
    </xf>
    <xf numFmtId="167" fontId="22" fillId="0" borderId="13" xfId="33" applyNumberFormat="1" applyFont="1" applyBorder="1" applyAlignment="1">
      <alignment vertical="center"/>
    </xf>
    <xf numFmtId="20" fontId="26" fillId="0" borderId="20" xfId="33" applyNumberFormat="1" applyFont="1" applyBorder="1" applyAlignment="1">
      <alignment horizontal="center" vertical="center"/>
    </xf>
    <xf numFmtId="164" fontId="26" fillId="0" borderId="21" xfId="33" applyNumberFormat="1" applyFont="1" applyBorder="1" applyAlignment="1">
      <alignment horizontal="center" vertical="center"/>
    </xf>
    <xf numFmtId="165" fontId="25" fillId="0" borderId="20" xfId="33" applyNumberFormat="1" applyFont="1" applyBorder="1" applyAlignment="1">
      <alignment horizontal="center"/>
    </xf>
    <xf numFmtId="0" fontId="28" fillId="0" borderId="0" xfId="33" applyFont="1" applyAlignment="1">
      <alignment vertical="center"/>
    </xf>
    <xf numFmtId="0" fontId="29" fillId="0" borderId="0" xfId="33" applyFont="1" applyAlignment="1">
      <alignment vertical="center"/>
    </xf>
    <xf numFmtId="0" fontId="20" fillId="27" borderId="10" xfId="33" applyFont="1" applyFill="1" applyBorder="1" applyAlignment="1">
      <alignment horizontal="left" vertical="center"/>
    </xf>
    <xf numFmtId="168" fontId="30" fillId="0" borderId="10" xfId="33" applyNumberFormat="1" applyFont="1" applyBorder="1" applyAlignment="1">
      <alignment horizontal="right" vertical="center"/>
    </xf>
    <xf numFmtId="168" fontId="31" fillId="0" borderId="10" xfId="33" applyNumberFormat="1" applyFont="1" applyBorder="1" applyAlignment="1">
      <alignment horizontal="right" vertical="center"/>
    </xf>
    <xf numFmtId="0" fontId="20" fillId="28" borderId="10" xfId="33" applyFont="1" applyFill="1" applyBorder="1" applyAlignment="1">
      <alignment horizontal="left" vertical="center"/>
    </xf>
    <xf numFmtId="0" fontId="20" fillId="28" borderId="10" xfId="33" applyFont="1" applyFill="1" applyBorder="1" applyAlignment="1">
      <alignment horizontal="left" vertical="center"/>
    </xf>
    <xf numFmtId="168" fontId="31" fillId="0" borderId="10" xfId="33" applyNumberFormat="1" applyFont="1" applyBorder="1" applyAlignment="1">
      <alignment horizontal="right" vertical="center"/>
    </xf>
    <xf numFmtId="168" fontId="32" fillId="0" borderId="10" xfId="33" applyNumberFormat="1" applyFont="1" applyBorder="1" applyAlignment="1">
      <alignment horizontal="right" vertical="center"/>
    </xf>
    <xf numFmtId="0" fontId="24" fillId="0" borderId="0" xfId="33" applyFont="1" applyFill="1" applyBorder="1" applyAlignment="1">
      <alignment horizontal="right"/>
    </xf>
    <xf numFmtId="0" fontId="24" fillId="0" borderId="0" xfId="33" applyFont="1" applyFill="1" applyBorder="1" applyAlignment="1">
      <alignment horizontal="left"/>
    </xf>
    <xf numFmtId="20" fontId="26" fillId="0" borderId="22" xfId="33" applyNumberFormat="1" applyFont="1" applyBorder="1" applyAlignment="1">
      <alignment horizontal="center" vertical="center"/>
    </xf>
    <xf numFmtId="164" fontId="26" fillId="0" borderId="23" xfId="33" applyNumberFormat="1" applyFont="1" applyBorder="1" applyAlignment="1">
      <alignment horizontal="center" vertical="center"/>
    </xf>
    <xf numFmtId="165" fontId="25" fillId="0" borderId="22" xfId="33" applyNumberFormat="1" applyFont="1" applyBorder="1" applyAlignment="1">
      <alignment horizontal="center"/>
    </xf>
    <xf numFmtId="0" fontId="27" fillId="0" borderId="0" xfId="33" applyFont="1" applyBorder="1" applyAlignment="1">
      <alignment horizontal="center" vertical="center"/>
    </xf>
    <xf numFmtId="168" fontId="27" fillId="0" borderId="0" xfId="33" applyNumberFormat="1" applyFont="1" applyBorder="1" applyAlignment="1">
      <alignment horizontal="center" vertical="center"/>
    </xf>
    <xf numFmtId="165" fontId="27" fillId="0" borderId="0" xfId="33" applyNumberFormat="1" applyFont="1" applyBorder="1" applyAlignment="1">
      <alignment horizontal="center" vertical="center"/>
    </xf>
    <xf numFmtId="0" fontId="27" fillId="0" borderId="0" xfId="33" applyFont="1" applyFill="1" applyBorder="1" applyAlignment="1">
      <alignment horizontal="center"/>
    </xf>
    <xf numFmtId="0" fontId="24" fillId="0" borderId="0" xfId="33" applyFont="1" applyFill="1" applyAlignment="1">
      <alignment horizontal="right"/>
    </xf>
    <xf numFmtId="0" fontId="24" fillId="0" borderId="0" xfId="33" applyFont="1" applyBorder="1" applyAlignment="1">
      <alignment vertical="center"/>
    </xf>
    <xf numFmtId="0" fontId="24" fillId="0" borderId="0" xfId="33" applyFont="1" applyAlignment="1">
      <alignment vertical="center"/>
    </xf>
    <xf numFmtId="0" fontId="22" fillId="0" borderId="0" xfId="33" applyFont="1" applyFill="1"/>
    <xf numFmtId="166" fontId="24" fillId="0" borderId="0" xfId="33" applyNumberFormat="1" applyFont="1" applyBorder="1" applyAlignment="1">
      <alignment horizontal="left" vertical="center"/>
    </xf>
    <xf numFmtId="0" fontId="24" fillId="0" borderId="0" xfId="33" applyFont="1" applyBorder="1" applyAlignment="1">
      <alignment horizontal="left" vertical="center"/>
    </xf>
    <xf numFmtId="0" fontId="24" fillId="0" borderId="0" xfId="33" applyNumberFormat="1" applyFont="1" applyBorder="1" applyAlignment="1">
      <alignment vertical="center"/>
    </xf>
    <xf numFmtId="0" fontId="22" fillId="24" borderId="25" xfId="33" applyFont="1" applyFill="1" applyBorder="1" applyAlignment="1">
      <alignment horizontal="center" vertical="center" wrapText="1"/>
    </xf>
    <xf numFmtId="0" fontId="22" fillId="24" borderId="26" xfId="33" applyFont="1" applyFill="1" applyBorder="1" applyAlignment="1">
      <alignment horizontal="center" vertical="center" wrapText="1"/>
    </xf>
    <xf numFmtId="0" fontId="22" fillId="24" borderId="10" xfId="33" applyFont="1" applyFill="1" applyBorder="1" applyAlignment="1">
      <alignment horizontal="center" vertical="center" wrapText="1"/>
    </xf>
    <xf numFmtId="0" fontId="25" fillId="24" borderId="25" xfId="33" applyFont="1" applyFill="1" applyBorder="1" applyAlignment="1">
      <alignment horizontal="center" vertical="center" wrapText="1"/>
    </xf>
    <xf numFmtId="0" fontId="23" fillId="24" borderId="26" xfId="33" applyFont="1" applyFill="1" applyBorder="1" applyAlignment="1">
      <alignment horizontal="center" vertical="center" wrapText="1"/>
    </xf>
    <xf numFmtId="0" fontId="20" fillId="0" borderId="0" xfId="33" applyFont="1" applyFill="1" applyBorder="1" applyAlignment="1">
      <alignment vertical="center"/>
    </xf>
    <xf numFmtId="0" fontId="29" fillId="0" borderId="0" xfId="33" applyFont="1" applyFill="1" applyBorder="1" applyAlignment="1">
      <alignment vertical="center"/>
    </xf>
    <xf numFmtId="0" fontId="20" fillId="0" borderId="0" xfId="33" applyFont="1" applyFill="1" applyBorder="1" applyAlignment="1">
      <alignment horizontal="center" vertical="center"/>
    </xf>
    <xf numFmtId="0" fontId="22" fillId="0" borderId="29" xfId="33" applyFont="1" applyBorder="1" applyAlignment="1">
      <alignment vertical="center"/>
    </xf>
    <xf numFmtId="0" fontId="22" fillId="0" borderId="24" xfId="33" applyFont="1" applyBorder="1" applyAlignment="1">
      <alignment vertical="center"/>
    </xf>
    <xf numFmtId="167" fontId="22" fillId="0" borderId="13" xfId="33" quotePrefix="1" applyNumberFormat="1" applyFont="1" applyBorder="1" applyAlignment="1">
      <alignment vertical="center"/>
    </xf>
    <xf numFmtId="167" fontId="22" fillId="0" borderId="24" xfId="33" quotePrefix="1" applyNumberFormat="1" applyFont="1" applyBorder="1" applyAlignment="1">
      <alignment vertical="center"/>
    </xf>
    <xf numFmtId="0" fontId="25" fillId="0" borderId="0" xfId="33" applyFont="1" applyFill="1"/>
    <xf numFmtId="0" fontId="30" fillId="0" borderId="0" xfId="33" applyFont="1" applyFill="1"/>
    <xf numFmtId="0" fontId="30" fillId="0" borderId="0" xfId="33" quotePrefix="1" applyFont="1" applyFill="1"/>
    <xf numFmtId="0" fontId="33" fillId="0" borderId="0" xfId="33" applyFont="1" applyFill="1"/>
    <xf numFmtId="0" fontId="23" fillId="0" borderId="34" xfId="33" applyFont="1" applyBorder="1" applyAlignment="1">
      <alignment horizontal="center" vertical="center" wrapText="1"/>
    </xf>
    <xf numFmtId="165" fontId="23" fillId="0" borderId="36" xfId="33" applyNumberFormat="1" applyFont="1" applyBorder="1" applyAlignment="1">
      <alignment horizontal="center"/>
    </xf>
    <xf numFmtId="165" fontId="23" fillId="0" borderId="35" xfId="33" applyNumberFormat="1" applyFont="1" applyBorder="1" applyAlignment="1">
      <alignment horizontal="center"/>
    </xf>
    <xf numFmtId="165" fontId="23" fillId="0" borderId="38" xfId="33" quotePrefix="1" applyNumberFormat="1" applyFont="1" applyBorder="1" applyAlignment="1">
      <alignment horizontal="center"/>
    </xf>
    <xf numFmtId="165" fontId="23" fillId="0" borderId="39" xfId="33" quotePrefix="1" applyNumberFormat="1" applyFont="1" applyBorder="1" applyAlignment="1">
      <alignment horizontal="center"/>
    </xf>
    <xf numFmtId="165" fontId="23" fillId="0" borderId="30" xfId="33" quotePrefix="1" applyNumberFormat="1" applyFont="1" applyBorder="1" applyAlignment="1">
      <alignment horizontal="center"/>
    </xf>
    <xf numFmtId="165" fontId="25" fillId="0" borderId="31" xfId="33" quotePrefix="1" applyNumberFormat="1" applyFont="1" applyBorder="1" applyAlignment="1">
      <alignment horizontal="center"/>
    </xf>
    <xf numFmtId="165" fontId="23" fillId="0" borderId="40" xfId="33" quotePrefix="1" applyNumberFormat="1" applyFont="1" applyBorder="1" applyAlignment="1">
      <alignment horizontal="center"/>
    </xf>
    <xf numFmtId="165" fontId="23" fillId="0" borderId="41" xfId="33" applyNumberFormat="1" applyFont="1" applyBorder="1" applyAlignment="1">
      <alignment horizontal="center"/>
    </xf>
    <xf numFmtId="165" fontId="23" fillId="0" borderId="42" xfId="33" applyNumberFormat="1" applyFont="1" applyBorder="1" applyAlignment="1">
      <alignment horizontal="center"/>
    </xf>
    <xf numFmtId="165" fontId="25" fillId="0" borderId="31" xfId="33" applyNumberFormat="1" applyFont="1" applyBorder="1" applyAlignment="1">
      <alignment horizontal="center"/>
    </xf>
    <xf numFmtId="165" fontId="23" fillId="0" borderId="40" xfId="33" applyNumberFormat="1" applyFont="1" applyBorder="1" applyAlignment="1">
      <alignment horizontal="center"/>
    </xf>
    <xf numFmtId="165" fontId="23" fillId="0" borderId="32" xfId="33" applyNumberFormat="1" applyFont="1" applyBorder="1" applyAlignment="1">
      <alignment horizontal="center"/>
    </xf>
    <xf numFmtId="165" fontId="25" fillId="0" borderId="43" xfId="33" applyNumberFormat="1" applyFont="1" applyBorder="1" applyAlignment="1">
      <alignment horizontal="center"/>
    </xf>
    <xf numFmtId="165" fontId="23" fillId="0" borderId="44" xfId="33" applyNumberFormat="1" applyFont="1" applyBorder="1" applyAlignment="1">
      <alignment horizontal="center"/>
    </xf>
    <xf numFmtId="165" fontId="23" fillId="0" borderId="45" xfId="33" applyNumberFormat="1" applyFont="1" applyBorder="1" applyAlignment="1">
      <alignment horizontal="center"/>
    </xf>
    <xf numFmtId="165" fontId="23" fillId="0" borderId="46" xfId="33" applyNumberFormat="1" applyFont="1" applyBorder="1" applyAlignment="1">
      <alignment horizontal="center"/>
    </xf>
    <xf numFmtId="165" fontId="23" fillId="0" borderId="47" xfId="33" applyNumberFormat="1" applyFont="1" applyBorder="1" applyAlignment="1">
      <alignment horizontal="center"/>
    </xf>
    <xf numFmtId="169" fontId="22" fillId="31" borderId="10" xfId="33" applyNumberFormat="1" applyFont="1" applyFill="1" applyBorder="1" applyAlignment="1">
      <alignment horizontal="center" vertical="center"/>
    </xf>
    <xf numFmtId="14" fontId="34" fillId="32" borderId="46" xfId="33" applyNumberFormat="1" applyFont="1" applyFill="1" applyBorder="1" applyAlignment="1">
      <alignment horizontal="center"/>
    </xf>
    <xf numFmtId="14" fontId="34" fillId="32" borderId="47" xfId="33" applyNumberFormat="1" applyFont="1" applyFill="1" applyBorder="1" applyAlignment="1">
      <alignment horizontal="center"/>
    </xf>
    <xf numFmtId="14" fontId="34" fillId="32" borderId="48" xfId="33" applyNumberFormat="1" applyFont="1" applyFill="1" applyBorder="1" applyAlignment="1">
      <alignment horizontal="center"/>
    </xf>
    <xf numFmtId="0" fontId="34" fillId="32" borderId="10" xfId="33" applyFont="1" applyFill="1" applyBorder="1" applyAlignment="1">
      <alignment horizontal="center" vertical="center"/>
    </xf>
    <xf numFmtId="167" fontId="34" fillId="32" borderId="10" xfId="33" applyNumberFormat="1" applyFont="1" applyFill="1" applyBorder="1"/>
    <xf numFmtId="20" fontId="21" fillId="26" borderId="45" xfId="33" applyNumberFormat="1" applyFont="1" applyFill="1" applyBorder="1" applyAlignment="1">
      <alignment horizontal="center" vertical="center"/>
    </xf>
    <xf numFmtId="14" fontId="27" fillId="0" borderId="10" xfId="33" applyNumberFormat="1" applyFont="1" applyFill="1" applyBorder="1" applyAlignment="1">
      <alignment horizontal="center" vertical="center" wrapText="1"/>
    </xf>
    <xf numFmtId="0" fontId="24" fillId="0" borderId="15" xfId="33" applyFont="1" applyFill="1" applyBorder="1" applyAlignment="1">
      <alignment horizontal="center" vertical="center"/>
    </xf>
    <xf numFmtId="0" fontId="24" fillId="0" borderId="16" xfId="33" applyFont="1" applyFill="1" applyBorder="1" applyAlignment="1">
      <alignment horizontal="center" vertical="center"/>
    </xf>
    <xf numFmtId="0" fontId="21" fillId="25" borderId="31" xfId="33" applyFont="1" applyFill="1" applyBorder="1" applyAlignment="1">
      <alignment horizontal="center" vertical="center"/>
    </xf>
    <xf numFmtId="0" fontId="21" fillId="25" borderId="32" xfId="33" applyFont="1" applyFill="1" applyBorder="1" applyAlignment="1">
      <alignment horizontal="center" vertical="center"/>
    </xf>
    <xf numFmtId="0" fontId="22" fillId="30" borderId="10" xfId="33" applyFont="1" applyFill="1" applyBorder="1" applyAlignment="1">
      <alignment horizontal="center" vertical="center" wrapText="1"/>
    </xf>
    <xf numFmtId="0" fontId="20" fillId="28" borderId="37" xfId="33" applyFont="1" applyFill="1" applyBorder="1" applyAlignment="1">
      <alignment horizontal="center" vertical="center"/>
    </xf>
    <xf numFmtId="0" fontId="20" fillId="28" borderId="33" xfId="33" applyFont="1" applyFill="1" applyBorder="1" applyAlignment="1">
      <alignment horizontal="center" vertical="center"/>
    </xf>
    <xf numFmtId="0" fontId="20" fillId="28" borderId="38" xfId="33" applyFont="1" applyFill="1" applyBorder="1" applyAlignment="1">
      <alignment horizontal="center" vertical="center"/>
    </xf>
    <xf numFmtId="0" fontId="20" fillId="29" borderId="37" xfId="33" applyFont="1" applyFill="1" applyBorder="1" applyAlignment="1">
      <alignment horizontal="center" vertical="center"/>
    </xf>
    <xf numFmtId="0" fontId="20" fillId="29" borderId="33" xfId="33" applyFont="1" applyFill="1" applyBorder="1" applyAlignment="1">
      <alignment horizontal="center" vertical="center"/>
    </xf>
    <xf numFmtId="0" fontId="20" fillId="29" borderId="38" xfId="33" applyFont="1" applyFill="1" applyBorder="1" applyAlignment="1">
      <alignment horizontal="center" vertical="center"/>
    </xf>
    <xf numFmtId="0" fontId="20" fillId="27" borderId="37" xfId="33" applyFont="1" applyFill="1" applyBorder="1" applyAlignment="1">
      <alignment horizontal="center" vertical="center"/>
    </xf>
    <xf numFmtId="0" fontId="20" fillId="27" borderId="33" xfId="33" applyFont="1" applyFill="1" applyBorder="1" applyAlignment="1">
      <alignment horizontal="center" vertical="center"/>
    </xf>
    <xf numFmtId="0" fontId="20" fillId="27" borderId="38" xfId="33" applyFont="1" applyFill="1" applyBorder="1" applyAlignment="1">
      <alignment horizontal="center" vertical="center"/>
    </xf>
    <xf numFmtId="0" fontId="20" fillId="27" borderId="27" xfId="33" applyFont="1" applyFill="1" applyBorder="1" applyAlignment="1">
      <alignment horizontal="left" vertical="center"/>
    </xf>
    <xf numFmtId="0" fontId="20" fillId="27" borderId="28" xfId="33" applyFont="1" applyFill="1" applyBorder="1" applyAlignment="1">
      <alignment horizontal="left" vertical="center"/>
    </xf>
    <xf numFmtId="0" fontId="20" fillId="28" borderId="27" xfId="33" applyFont="1" applyFill="1" applyBorder="1" applyAlignment="1">
      <alignment horizontal="left" vertical="center"/>
    </xf>
    <xf numFmtId="0" fontId="20" fillId="28" borderId="28" xfId="33" applyFont="1" applyFill="1" applyBorder="1" applyAlignment="1">
      <alignment horizontal="left" vertical="center"/>
    </xf>
    <xf numFmtId="0" fontId="24" fillId="0" borderId="12" xfId="33" applyFont="1" applyBorder="1" applyAlignment="1">
      <alignment horizontal="center" vertical="center"/>
    </xf>
    <xf numFmtId="0" fontId="24" fillId="0" borderId="11" xfId="33" applyFont="1" applyBorder="1" applyAlignment="1">
      <alignment horizontal="center" vertical="center"/>
    </xf>
    <xf numFmtId="0" fontId="22" fillId="33" borderId="29" xfId="33" applyFont="1" applyFill="1" applyBorder="1" applyAlignment="1">
      <alignment horizontal="center" vertical="center" wrapText="1"/>
    </xf>
    <xf numFmtId="0" fontId="22" fillId="33" borderId="14" xfId="33" applyFont="1" applyFill="1" applyBorder="1" applyAlignment="1">
      <alignment horizontal="center" vertical="center" wrapText="1"/>
    </xf>
    <xf numFmtId="165" fontId="26" fillId="0" borderId="29" xfId="33" applyNumberFormat="1" applyFont="1" applyBorder="1" applyAlignment="1">
      <alignment horizontal="center"/>
    </xf>
    <xf numFmtId="165" fontId="26" fillId="0" borderId="28" xfId="33" applyNumberFormat="1" applyFont="1" applyBorder="1" applyAlignment="1">
      <alignment horizontal="center"/>
    </xf>
    <xf numFmtId="0" fontId="23" fillId="0" borderId="24" xfId="33" applyFont="1" applyBorder="1" applyAlignment="1">
      <alignment horizontal="center" vertical="center" wrapText="1"/>
    </xf>
    <xf numFmtId="0" fontId="24" fillId="0" borderId="12" xfId="33" applyFont="1" applyFill="1" applyBorder="1" applyAlignment="1">
      <alignment horizontal="center" vertical="center"/>
    </xf>
    <xf numFmtId="0" fontId="24" fillId="0" borderId="11" xfId="33" applyFont="1" applyFill="1" applyBorder="1" applyAlignment="1">
      <alignment horizontal="center" vertical="center"/>
    </xf>
    <xf numFmtId="168" fontId="29" fillId="0" borderId="10" xfId="33" applyNumberFormat="1" applyFont="1" applyFill="1" applyBorder="1" applyAlignment="1">
      <alignment vertical="center"/>
    </xf>
  </cellXfs>
  <cellStyles count="44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rial" xfId="25"/>
    <cellStyle name="Avertissement" xfId="26"/>
    <cellStyle name="Calcul" xfId="27"/>
    <cellStyle name="Cellule liée" xfId="28"/>
    <cellStyle name="Commentaire" xfId="29"/>
    <cellStyle name="Entrée" xfId="30"/>
    <cellStyle name="Insatisfaisant" xfId="31"/>
    <cellStyle name="Neutre" xfId="32"/>
    <cellStyle name="Normal" xfId="0" builtinId="0"/>
    <cellStyle name="Normal_calculs heures de nuit 30-11-2010" xfId="33"/>
    <cellStyle name="Satisfaisant" xfId="34"/>
    <cellStyle name="Sortie" xfId="35"/>
    <cellStyle name="Texte explicatif" xfId="36"/>
    <cellStyle name="Titre" xfId="37"/>
    <cellStyle name="Titre 1" xfId="38"/>
    <cellStyle name="Titre 2" xfId="39"/>
    <cellStyle name="Titre 3" xfId="40"/>
    <cellStyle name="Titre 4" xfId="41"/>
    <cellStyle name="Total" xfId="42" builtinId="25" customBuiltin="1"/>
    <cellStyle name="Vérification" xfId="43"/>
  </cellStyles>
  <dxfs count="8">
    <dxf>
      <fill>
        <patternFill>
          <bgColor indexed="29"/>
        </patternFill>
      </fill>
    </dxf>
    <dxf>
      <fill>
        <patternFill>
          <bgColor indexed="43"/>
        </patternFill>
      </fill>
    </dxf>
    <dxf>
      <fill>
        <patternFill>
          <bgColor indexed="29"/>
        </patternFill>
      </fill>
    </dxf>
    <dxf>
      <fill>
        <patternFill>
          <bgColor indexed="43"/>
        </patternFill>
      </fill>
    </dxf>
    <dxf>
      <fill>
        <patternFill>
          <bgColor indexed="29"/>
        </patternFill>
      </fill>
    </dxf>
    <dxf>
      <fill>
        <patternFill>
          <bgColor indexed="43"/>
        </patternFill>
      </fill>
    </dxf>
    <dxf>
      <fill>
        <patternFill>
          <bgColor indexed="29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altrab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6</xdr:row>
      <xdr:rowOff>152400</xdr:rowOff>
    </xdr:from>
    <xdr:to>
      <xdr:col>16</xdr:col>
      <xdr:colOff>295275</xdr:colOff>
      <xdr:row>11</xdr:row>
      <xdr:rowOff>28575</xdr:rowOff>
    </xdr:to>
    <xdr:sp macro="" textlink="">
      <xdr:nvSpPr>
        <xdr:cNvPr id="3" name="Pentágono 22"/>
        <xdr:cNvSpPr>
          <a:spLocks noChangeArrowheads="1"/>
        </xdr:cNvSpPr>
      </xdr:nvSpPr>
      <xdr:spPr bwMode="auto">
        <a:xfrm rot="5400000">
          <a:off x="10620375" y="1057275"/>
          <a:ext cx="733425" cy="1514475"/>
        </a:xfrm>
        <a:prstGeom prst="homePlate">
          <a:avLst>
            <a:gd name="adj" fmla="val 21583"/>
          </a:avLst>
        </a:prstGeom>
        <a:solidFill>
          <a:srgbClr val="D0D9D9"/>
        </a:solidFill>
        <a:ln>
          <a:noFill/>
        </a:ln>
        <a:extLs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114300</xdr:colOff>
      <xdr:row>7</xdr:row>
      <xdr:rowOff>19050</xdr:rowOff>
    </xdr:from>
    <xdr:to>
      <xdr:col>16</xdr:col>
      <xdr:colOff>276225</xdr:colOff>
      <xdr:row>10</xdr:row>
      <xdr:rowOff>28575</xdr:rowOff>
    </xdr:to>
    <xdr:pic>
      <xdr:nvPicPr>
        <xdr:cNvPr id="2" name="Imagem 6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1485900"/>
          <a:ext cx="142875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showGridLines="0" tabSelected="1" workbookViewId="0">
      <pane xSplit="2" ySplit="2" topLeftCell="C3" activePane="bottomRight" state="frozen"/>
      <selection pane="topRight" activeCell="B1" sqref="B1"/>
      <selection pane="bottomLeft" activeCell="A2" sqref="A2"/>
      <selection pane="bottomRight" activeCell="R30" sqref="R30"/>
    </sheetView>
  </sheetViews>
  <sheetFormatPr defaultColWidth="17.7109375" defaultRowHeight="10.5" x14ac:dyDescent="0.15"/>
  <cols>
    <col min="1" max="1" width="17.5703125" style="4" customWidth="1"/>
    <col min="2" max="2" width="14" style="4" bestFit="1" customWidth="1"/>
    <col min="3" max="4" width="9.140625" style="4" customWidth="1"/>
    <col min="5" max="5" width="12.85546875" style="4" customWidth="1"/>
    <col min="6" max="14" width="10" style="46" customWidth="1"/>
    <col min="15" max="15" width="4.28515625" style="47" customWidth="1"/>
    <col min="16" max="16" width="14.7109375" style="4" customWidth="1"/>
    <col min="17" max="17" width="7.140625" style="4" bestFit="1" customWidth="1"/>
    <col min="18" max="18" width="8" style="4" customWidth="1"/>
    <col min="19" max="19" width="2.5703125" style="4" customWidth="1"/>
    <col min="20" max="20" width="15.140625" style="11" customWidth="1"/>
    <col min="21" max="21" width="2.85546875" style="11" customWidth="1"/>
    <col min="22" max="22" width="25.85546875" style="11" customWidth="1"/>
    <col min="23" max="26" width="17.7109375" style="11"/>
    <col min="27" max="29" width="2.5703125" style="4" customWidth="1"/>
    <col min="30" max="16384" width="17.7109375" style="4"/>
  </cols>
  <sheetData>
    <row r="1" spans="1:26" ht="21.95" customHeight="1" x14ac:dyDescent="0.15">
      <c r="A1" s="1" t="s">
        <v>17</v>
      </c>
      <c r="B1" s="91">
        <v>0.91666666666666663</v>
      </c>
      <c r="C1" s="95" t="s">
        <v>14</v>
      </c>
      <c r="D1" s="96"/>
      <c r="E1" s="113" t="s">
        <v>3</v>
      </c>
      <c r="F1" s="98" t="s">
        <v>6</v>
      </c>
      <c r="G1" s="99"/>
      <c r="H1" s="100"/>
      <c r="I1" s="101" t="s">
        <v>28</v>
      </c>
      <c r="J1" s="102"/>
      <c r="K1" s="103"/>
      <c r="L1" s="104" t="s">
        <v>7</v>
      </c>
      <c r="M1" s="105"/>
      <c r="N1" s="106"/>
      <c r="O1" s="3"/>
      <c r="T1" s="5"/>
      <c r="U1" s="5"/>
      <c r="V1" s="5"/>
      <c r="W1" s="5"/>
      <c r="X1" s="5"/>
      <c r="Y1" s="5"/>
      <c r="Z1" s="5"/>
    </row>
    <row r="2" spans="1:26" s="10" customFormat="1" ht="21.95" customHeight="1" x14ac:dyDescent="0.15">
      <c r="A2" s="6" t="s">
        <v>18</v>
      </c>
      <c r="B2" s="2">
        <v>0.20833333333333334</v>
      </c>
      <c r="C2" s="93" t="s">
        <v>5</v>
      </c>
      <c r="D2" s="94"/>
      <c r="E2" s="114"/>
      <c r="F2" s="7" t="s">
        <v>8</v>
      </c>
      <c r="G2" s="8" t="s">
        <v>9</v>
      </c>
      <c r="H2" s="67" t="s">
        <v>30</v>
      </c>
      <c r="I2" s="7" t="s">
        <v>8</v>
      </c>
      <c r="J2" s="8" t="s">
        <v>9</v>
      </c>
      <c r="K2" s="67" t="s">
        <v>30</v>
      </c>
      <c r="L2" s="7" t="s">
        <v>8</v>
      </c>
      <c r="M2" s="8" t="s">
        <v>9</v>
      </c>
      <c r="N2" s="117" t="s">
        <v>30</v>
      </c>
      <c r="O2" s="9"/>
      <c r="T2" s="11"/>
      <c r="U2" s="11"/>
      <c r="V2" s="11"/>
      <c r="W2" s="11"/>
      <c r="X2" s="11"/>
      <c r="Y2" s="11"/>
      <c r="Z2" s="11"/>
    </row>
    <row r="3" spans="1:26" s="10" customFormat="1" ht="18" customHeight="1" x14ac:dyDescent="0.15">
      <c r="A3" s="92" t="s">
        <v>4</v>
      </c>
      <c r="B3" s="12">
        <v>42248</v>
      </c>
      <c r="C3" s="51" t="s">
        <v>0</v>
      </c>
      <c r="D3" s="52" t="s">
        <v>1</v>
      </c>
      <c r="E3" s="53" t="s">
        <v>2</v>
      </c>
      <c r="F3" s="54" t="s">
        <v>12</v>
      </c>
      <c r="G3" s="55" t="s">
        <v>13</v>
      </c>
      <c r="H3" s="55" t="s">
        <v>13</v>
      </c>
      <c r="I3" s="54" t="s">
        <v>12</v>
      </c>
      <c r="J3" s="55" t="s">
        <v>13</v>
      </c>
      <c r="K3" s="55" t="s">
        <v>13</v>
      </c>
      <c r="L3" s="54" t="s">
        <v>12</v>
      </c>
      <c r="M3" s="55" t="s">
        <v>13</v>
      </c>
      <c r="N3" s="55" t="s">
        <v>13</v>
      </c>
      <c r="O3" s="9"/>
      <c r="P3" s="97" t="s">
        <v>31</v>
      </c>
      <c r="T3" s="89" t="s">
        <v>16</v>
      </c>
      <c r="U3" s="11" t="s">
        <v>32</v>
      </c>
      <c r="V3" s="11"/>
      <c r="W3" s="11"/>
      <c r="X3" s="11"/>
      <c r="Y3" s="11"/>
      <c r="Z3" s="11"/>
    </row>
    <row r="4" spans="1:26" ht="14.1" customHeight="1" x14ac:dyDescent="0.15">
      <c r="A4" s="59" t="str">
        <f t="shared" ref="A4:A34" si="0">IF(B4="","",IF(COUNTIF(fer,B4)&gt;0,"Feriado",LEFT(UPPER(TEXT(B4,"ddd")))))</f>
        <v>T</v>
      </c>
      <c r="B4" s="13">
        <f>IF(B3=0,"",B3)</f>
        <v>42248</v>
      </c>
      <c r="C4" s="14">
        <v>0.91666666666666663</v>
      </c>
      <c r="D4" s="15">
        <v>0.29166666666666669</v>
      </c>
      <c r="E4" s="115">
        <f>IF(B4="","",MOD(D4-C4,1))</f>
        <v>0.375</v>
      </c>
      <c r="F4" s="73">
        <f>IF(B4="","",(WEEKDAY(B4,2)&gt;6)*(C4&lt;&gt;"")*(D4&lt;&gt;"")*((MAX(MIN(Ininot,(D4&lt;C4)+D4),Fimnot)&gt;MIN(MAX(Fimnot,C4),Ininot))*(MAX(MIN(Ininot,(D4&lt;C4)+D4),Fimnot)-MIN(MAX(Fimnot,C4),Ininot))+(MAX(MIN(1+Ininot,(D4&lt;C4)+D4),1+Fimnot)&gt;MIN(MAX(1+Fimnot,C4),1+Ininot))*(MAX(MIN(1+Ininot,(D4&lt;C4)+D4),1+Fimnot)-MIN(MAX(1+Fimnot,C4),1+Ininot))))</f>
        <v>0</v>
      </c>
      <c r="G4" s="74">
        <f>IF(B4="","",(WEEKDAY(B4,2)&gt;6)*(C4&lt;&gt;"")*(D4&lt;&gt;"")*((D4&lt;C4)+D4-C4-F4))</f>
        <v>0</v>
      </c>
      <c r="H4" s="70">
        <f t="shared" ref="H4:H34" si="1">IF(B4="","",IF(G4=0,0,G4*$P$5))</f>
        <v>0</v>
      </c>
      <c r="I4" s="77">
        <f t="shared" ref="I4:I34" si="2">IF(B4="","",(A4="Feriado")*(C4&lt;&gt;"")*(D4&lt;&gt;"")*((MAX(MIN(Ininot,(D4&lt;C4)+D4),Fimnot)&gt;MIN(MAX(Fimnot,C4),Ininot))*(MAX(MIN(Ininot,(D4&lt;C4)+D4),Fimnot)-MIN(MAX(Fimnot,C4),Ininot))+(MAX(MIN(1+Ininot,(D4&lt;C4)+D4),1+Fimnot)&gt;MIN(MAX(1+Fimnot,C4),1+Ininot))*(MAX(MIN(1+Ininot,(D4&lt;C4)+D4),1+Fimnot)-MIN(MAX(1+Fimnot,C4),1+Ininot))))</f>
        <v>0</v>
      </c>
      <c r="J4" s="78">
        <f>IF(B4="","",(A4="Feriado")*(C4&lt;&gt;"")*(D4&lt;&gt;"")*((D4&lt;C4)+D4-C4-I4))</f>
        <v>0</v>
      </c>
      <c r="K4" s="69">
        <f>IF(B4="","",IF(J4=0,0,J4*$P$5))</f>
        <v>0</v>
      </c>
      <c r="L4" s="77">
        <f t="shared" ref="L4:L34" si="3">IF(B4="","",(WEEKDAY(B4,2)&lt;7)*(C4&lt;&gt;"")*(D4&lt;&gt;"")*(A4&lt;&gt;"Feriado")*((MAX(MIN(Ininot,(D4&lt;C4)+D4),Fimnot)&gt;MIN(MAX(Fimnot,C4),Ininot))*(MAX(MIN(Ininot,(D4&lt;C4)+D4),Fimnot)-MIN(MAX(Fimnot,C4),Ininot))+(MAX(MIN(1+Ininot,(D4&lt;C4)+D4),1+Fimnot)&gt;MIN(MAX(1+Fimnot,C4),1+Ininot))*(MAX(MIN(1+Ininot,(D4&lt;C4)+D4),1+Fimnot)-MIN(MAX(1+Fimnot,C4),1+Ininot))))</f>
        <v>8.3333333333333481E-2</v>
      </c>
      <c r="M4" s="79">
        <f>IF(B4="","",(WEEKDAY(B4,2)&lt;7)*(C4&lt;&gt;"")*(D4&lt;&gt;"")*(A4&lt;&gt;"Feriado")*((D4&lt;C4)+D4-C4-L4))</f>
        <v>0.29166666666666663</v>
      </c>
      <c r="N4" s="82">
        <f>IF(B4="","",IF(M4=0,0,M4*$P$5))</f>
        <v>0.33333333333333326</v>
      </c>
      <c r="O4" s="19"/>
      <c r="P4" s="97"/>
      <c r="Q4" s="20"/>
      <c r="T4" s="88">
        <f>DATE(YEAR(B4),1,1)</f>
        <v>42005</v>
      </c>
    </row>
    <row r="5" spans="1:26" ht="14.1" customHeight="1" x14ac:dyDescent="0.15">
      <c r="A5" s="21" t="str">
        <f t="shared" si="0"/>
        <v>Q</v>
      </c>
      <c r="B5" s="22">
        <f t="shared" ref="B5:B30" si="4">IF(B4="","",B4+1)</f>
        <v>42249</v>
      </c>
      <c r="C5" s="23">
        <v>0.875</v>
      </c>
      <c r="D5" s="24">
        <v>0.29166666666666669</v>
      </c>
      <c r="E5" s="16">
        <f t="shared" ref="E5:E34" si="5">IF(B5="","",MOD(D5-C5,1))</f>
        <v>0.41666666666666674</v>
      </c>
      <c r="F5" s="25">
        <f t="shared" ref="F5:F34" si="6">IF(B5="","",(WEEKDAY(B5,2)&gt;6)*(C5&lt;&gt;"")*(D5&lt;&gt;"")*((MAX(MIN(Ininot,(D5&lt;C5)+D5),Fimnot)&gt;MIN(MAX(Fimnot,C5),Ininot))*(MAX(MIN(Ininot,(D5&lt;C5)+D5),Fimnot)-MIN(MAX(Fimnot,C5),Ininot))+(MAX(MIN(1+Ininot,(D5&lt;C5)+D5),1+Fimnot)&gt;MIN(MAX(1+Fimnot,C5),1+Ininot))*(MAX(MIN(1+Ininot,(D5&lt;C5)+D5),1+Fimnot)-MIN(MAX(1+Fimnot,C5),1+Ininot))))</f>
        <v>0</v>
      </c>
      <c r="G5" s="75">
        <f t="shared" ref="G5:G34" si="7">IF(B5="","",(WEEKDAY(B5,2)&gt;6)*(C5&lt;&gt;"")*(D5&lt;&gt;"")*((D5&lt;C5)+D5-C5-F5))</f>
        <v>0</v>
      </c>
      <c r="H5" s="71">
        <f t="shared" si="1"/>
        <v>0</v>
      </c>
      <c r="I5" s="25">
        <f t="shared" si="2"/>
        <v>0</v>
      </c>
      <c r="J5" s="75">
        <f t="shared" ref="J5:J34" si="8">IF(B5="","",(A5="Feriado")*(C5&lt;&gt;"")*(D5&lt;&gt;"")*((D5&lt;C5)+D5-C5-I5))</f>
        <v>0</v>
      </c>
      <c r="K5" s="69">
        <f t="shared" ref="K5:K34" si="9">IF(B5="","",IF(J5=0,0,J5*$P$5))</f>
        <v>0</v>
      </c>
      <c r="L5" s="17">
        <f t="shared" si="3"/>
        <v>0.12500000000000011</v>
      </c>
      <c r="M5" s="18">
        <f t="shared" ref="M5:M34" si="10">IF(B5="","",(WEEKDAY(B5,2)&lt;7)*(C5&lt;&gt;"")*(D5&lt;&gt;"")*(A5&lt;&gt;"Feriado")*((D5&lt;C5)+D5-C5-L5))</f>
        <v>0.29166666666666663</v>
      </c>
      <c r="N5" s="83">
        <f t="shared" ref="N5:N34" si="11">IF(B5="","",IF(M5=0,0,M5*$P$5))</f>
        <v>0.33333333333333326</v>
      </c>
      <c r="O5" s="19"/>
      <c r="P5" s="85">
        <f>8/7</f>
        <v>1.1428571428571428</v>
      </c>
      <c r="T5" s="86">
        <f>DATE(YEAR(B4),4,21)</f>
        <v>42115</v>
      </c>
    </row>
    <row r="6" spans="1:26" ht="14.1" customHeight="1" x14ac:dyDescent="0.15">
      <c r="A6" s="21" t="str">
        <f t="shared" si="0"/>
        <v>Q</v>
      </c>
      <c r="B6" s="22">
        <f t="shared" si="4"/>
        <v>42250</v>
      </c>
      <c r="C6" s="23">
        <v>0.58333333333333337</v>
      </c>
      <c r="D6" s="24">
        <v>0.91666666666666663</v>
      </c>
      <c r="E6" s="16">
        <f t="shared" si="5"/>
        <v>0.33333333333333326</v>
      </c>
      <c r="F6" s="25">
        <f t="shared" si="6"/>
        <v>0</v>
      </c>
      <c r="G6" s="75">
        <f t="shared" si="7"/>
        <v>0</v>
      </c>
      <c r="H6" s="71">
        <f t="shared" si="1"/>
        <v>0</v>
      </c>
      <c r="I6" s="25">
        <f t="shared" si="2"/>
        <v>0</v>
      </c>
      <c r="J6" s="75">
        <f t="shared" si="8"/>
        <v>0</v>
      </c>
      <c r="K6" s="69">
        <f t="shared" si="9"/>
        <v>0</v>
      </c>
      <c r="L6" s="17">
        <f t="shared" si="3"/>
        <v>0.33333333333333326</v>
      </c>
      <c r="M6" s="18">
        <f t="shared" si="10"/>
        <v>0</v>
      </c>
      <c r="N6" s="83">
        <f t="shared" si="11"/>
        <v>0</v>
      </c>
      <c r="O6" s="19"/>
      <c r="P6" s="26"/>
      <c r="Q6" s="26"/>
      <c r="T6" s="86">
        <f>DATE(YEAR(B4),5,1)</f>
        <v>42125</v>
      </c>
    </row>
    <row r="7" spans="1:26" ht="14.1" customHeight="1" x14ac:dyDescent="0.15">
      <c r="A7" s="21" t="str">
        <f t="shared" si="0"/>
        <v>S</v>
      </c>
      <c r="B7" s="22">
        <f t="shared" si="4"/>
        <v>42251</v>
      </c>
      <c r="C7" s="23">
        <v>0.875</v>
      </c>
      <c r="D7" s="24">
        <v>0.29166666666666669</v>
      </c>
      <c r="E7" s="16">
        <f t="shared" si="5"/>
        <v>0.41666666666666674</v>
      </c>
      <c r="F7" s="25">
        <f t="shared" si="6"/>
        <v>0</v>
      </c>
      <c r="G7" s="75">
        <f t="shared" si="7"/>
        <v>0</v>
      </c>
      <c r="H7" s="71">
        <f t="shared" si="1"/>
        <v>0</v>
      </c>
      <c r="I7" s="25">
        <f t="shared" si="2"/>
        <v>0</v>
      </c>
      <c r="J7" s="75">
        <f t="shared" si="8"/>
        <v>0</v>
      </c>
      <c r="K7" s="69">
        <f t="shared" si="9"/>
        <v>0</v>
      </c>
      <c r="L7" s="17">
        <f t="shared" si="3"/>
        <v>0.12500000000000011</v>
      </c>
      <c r="M7" s="18">
        <f t="shared" si="10"/>
        <v>0.29166666666666663</v>
      </c>
      <c r="N7" s="83">
        <f t="shared" si="11"/>
        <v>0.33333333333333326</v>
      </c>
      <c r="O7" s="19"/>
      <c r="P7" s="26"/>
      <c r="Q7" s="26"/>
      <c r="T7" s="86">
        <f>DATE(YEAR(B5),9,7)</f>
        <v>42254</v>
      </c>
      <c r="V7" s="66" t="s">
        <v>20</v>
      </c>
    </row>
    <row r="8" spans="1:26" ht="14.1" customHeight="1" x14ac:dyDescent="0.15">
      <c r="A8" s="21" t="str">
        <f t="shared" si="0"/>
        <v>S</v>
      </c>
      <c r="B8" s="22">
        <f t="shared" si="4"/>
        <v>42252</v>
      </c>
      <c r="C8" s="23">
        <v>0.8125</v>
      </c>
      <c r="D8" s="24">
        <v>0.2076388888888889</v>
      </c>
      <c r="E8" s="16">
        <f t="shared" si="5"/>
        <v>0.39513888888888893</v>
      </c>
      <c r="F8" s="25">
        <f t="shared" si="6"/>
        <v>0</v>
      </c>
      <c r="G8" s="75">
        <f t="shared" si="7"/>
        <v>0</v>
      </c>
      <c r="H8" s="71">
        <f t="shared" si="1"/>
        <v>0</v>
      </c>
      <c r="I8" s="25">
        <f t="shared" si="2"/>
        <v>0</v>
      </c>
      <c r="J8" s="75">
        <f t="shared" si="8"/>
        <v>0</v>
      </c>
      <c r="K8" s="69">
        <f t="shared" si="9"/>
        <v>0</v>
      </c>
      <c r="L8" s="17">
        <f t="shared" si="3"/>
        <v>0.10416666666666663</v>
      </c>
      <c r="M8" s="18">
        <f t="shared" si="10"/>
        <v>0.2909722222222223</v>
      </c>
      <c r="N8" s="83">
        <f t="shared" si="11"/>
        <v>0.33253968253968264</v>
      </c>
      <c r="O8" s="19"/>
      <c r="P8" s="26"/>
      <c r="Q8" s="26"/>
      <c r="T8" s="86">
        <f>DATE(YEAR(B5),10,12)</f>
        <v>42289</v>
      </c>
      <c r="V8" s="63" t="s">
        <v>21</v>
      </c>
      <c r="W8" s="65" t="s">
        <v>27</v>
      </c>
    </row>
    <row r="9" spans="1:26" ht="14.1" customHeight="1" x14ac:dyDescent="0.15">
      <c r="A9" s="21" t="str">
        <f t="shared" si="0"/>
        <v>D</v>
      </c>
      <c r="B9" s="22">
        <f t="shared" si="4"/>
        <v>42253</v>
      </c>
      <c r="C9" s="23">
        <v>0.8125</v>
      </c>
      <c r="D9" s="24">
        <v>0.20902777777777778</v>
      </c>
      <c r="E9" s="16">
        <f t="shared" si="5"/>
        <v>0.39652777777777781</v>
      </c>
      <c r="F9" s="25">
        <f t="shared" si="6"/>
        <v>0.10486111111111118</v>
      </c>
      <c r="G9" s="75">
        <f t="shared" si="7"/>
        <v>0.29166666666666663</v>
      </c>
      <c r="H9" s="71">
        <f t="shared" si="1"/>
        <v>0.33333333333333326</v>
      </c>
      <c r="I9" s="25">
        <f t="shared" si="2"/>
        <v>0</v>
      </c>
      <c r="J9" s="75">
        <f t="shared" si="8"/>
        <v>0</v>
      </c>
      <c r="K9" s="69">
        <f t="shared" si="9"/>
        <v>0</v>
      </c>
      <c r="L9" s="17">
        <f t="shared" si="3"/>
        <v>0</v>
      </c>
      <c r="M9" s="18">
        <f t="shared" si="10"/>
        <v>0</v>
      </c>
      <c r="N9" s="83">
        <f t="shared" si="11"/>
        <v>0</v>
      </c>
      <c r="O9" s="19"/>
      <c r="P9" s="26"/>
      <c r="Q9" s="26"/>
      <c r="T9" s="86">
        <f>DATE(YEAR(B5),11,2)</f>
        <v>42310</v>
      </c>
      <c r="V9" s="63" t="s">
        <v>22</v>
      </c>
      <c r="W9" s="65" t="s">
        <v>23</v>
      </c>
    </row>
    <row r="10" spans="1:26" ht="14.1" customHeight="1" x14ac:dyDescent="0.15">
      <c r="A10" s="21" t="str">
        <f t="shared" si="0"/>
        <v>Feriado</v>
      </c>
      <c r="B10" s="22">
        <f t="shared" si="4"/>
        <v>42254</v>
      </c>
      <c r="C10" s="23">
        <v>0.875</v>
      </c>
      <c r="D10" s="24">
        <v>0.29166666666666669</v>
      </c>
      <c r="E10" s="16">
        <f t="shared" si="5"/>
        <v>0.41666666666666674</v>
      </c>
      <c r="F10" s="25">
        <f t="shared" si="6"/>
        <v>0</v>
      </c>
      <c r="G10" s="75">
        <f t="shared" si="7"/>
        <v>0</v>
      </c>
      <c r="H10" s="71">
        <f t="shared" si="1"/>
        <v>0</v>
      </c>
      <c r="I10" s="25">
        <f t="shared" si="2"/>
        <v>0.12500000000000011</v>
      </c>
      <c r="J10" s="75">
        <f t="shared" si="8"/>
        <v>0.29166666666666663</v>
      </c>
      <c r="K10" s="69">
        <f t="shared" si="9"/>
        <v>0.33333333333333326</v>
      </c>
      <c r="L10" s="17">
        <f t="shared" si="3"/>
        <v>0</v>
      </c>
      <c r="M10" s="18">
        <f t="shared" si="10"/>
        <v>0</v>
      </c>
      <c r="N10" s="83">
        <f t="shared" si="11"/>
        <v>0</v>
      </c>
      <c r="O10" s="19"/>
      <c r="T10" s="86">
        <f>DATE(YEAR(B5),11,15)</f>
        <v>42323</v>
      </c>
    </row>
    <row r="11" spans="1:26" ht="14.1" customHeight="1" x14ac:dyDescent="0.15">
      <c r="A11" s="21" t="str">
        <f t="shared" si="0"/>
        <v>T</v>
      </c>
      <c r="B11" s="22">
        <f t="shared" si="4"/>
        <v>42255</v>
      </c>
      <c r="C11" s="23">
        <v>0.66666666666666663</v>
      </c>
      <c r="D11" s="24">
        <v>0.95833333333333337</v>
      </c>
      <c r="E11" s="16">
        <f t="shared" si="5"/>
        <v>0.29166666666666674</v>
      </c>
      <c r="F11" s="25">
        <f t="shared" si="6"/>
        <v>0</v>
      </c>
      <c r="G11" s="75">
        <f t="shared" si="7"/>
        <v>0</v>
      </c>
      <c r="H11" s="71">
        <f t="shared" si="1"/>
        <v>0</v>
      </c>
      <c r="I11" s="25">
        <f t="shared" si="2"/>
        <v>0</v>
      </c>
      <c r="J11" s="75">
        <f t="shared" si="8"/>
        <v>0</v>
      </c>
      <c r="K11" s="69">
        <f t="shared" si="9"/>
        <v>0</v>
      </c>
      <c r="L11" s="17">
        <f t="shared" si="3"/>
        <v>0.25</v>
      </c>
      <c r="M11" s="18">
        <f t="shared" si="10"/>
        <v>4.1666666666666741E-2</v>
      </c>
      <c r="N11" s="83">
        <f t="shared" si="11"/>
        <v>4.76190476190477E-2</v>
      </c>
      <c r="O11" s="19"/>
      <c r="T11" s="86">
        <f>DATE(YEAR(B5),12,25)</f>
        <v>42363</v>
      </c>
      <c r="V11" s="66" t="s">
        <v>24</v>
      </c>
    </row>
    <row r="12" spans="1:26" ht="14.1" customHeight="1" x14ac:dyDescent="0.15">
      <c r="A12" s="21" t="str">
        <f t="shared" si="0"/>
        <v>Q</v>
      </c>
      <c r="B12" s="22">
        <f t="shared" si="4"/>
        <v>42256</v>
      </c>
      <c r="C12" s="23">
        <v>0.625</v>
      </c>
      <c r="D12" s="24">
        <v>0.95347222222222217</v>
      </c>
      <c r="E12" s="16">
        <f t="shared" si="5"/>
        <v>0.32847222222222217</v>
      </c>
      <c r="F12" s="25">
        <f t="shared" si="6"/>
        <v>0</v>
      </c>
      <c r="G12" s="75">
        <f t="shared" si="7"/>
        <v>0</v>
      </c>
      <c r="H12" s="71">
        <f t="shared" si="1"/>
        <v>0</v>
      </c>
      <c r="I12" s="25">
        <f t="shared" si="2"/>
        <v>0</v>
      </c>
      <c r="J12" s="75">
        <f t="shared" si="8"/>
        <v>0</v>
      </c>
      <c r="K12" s="69">
        <f t="shared" si="9"/>
        <v>0</v>
      </c>
      <c r="L12" s="17">
        <f t="shared" si="3"/>
        <v>0.29166666666666663</v>
      </c>
      <c r="M12" s="18">
        <f t="shared" si="10"/>
        <v>3.6805555555555536E-2</v>
      </c>
      <c r="N12" s="83">
        <f t="shared" si="11"/>
        <v>4.2063492063492039E-2</v>
      </c>
      <c r="O12" s="19"/>
      <c r="T12" s="86">
        <f>páscoa-2</f>
        <v>42098</v>
      </c>
      <c r="V12" s="63" t="s">
        <v>25</v>
      </c>
      <c r="W12" s="64" t="s">
        <v>26</v>
      </c>
    </row>
    <row r="13" spans="1:26" ht="14.1" customHeight="1" x14ac:dyDescent="0.15">
      <c r="A13" s="21" t="str">
        <f t="shared" si="0"/>
        <v>Q</v>
      </c>
      <c r="B13" s="22">
        <f t="shared" si="4"/>
        <v>42257</v>
      </c>
      <c r="C13" s="23">
        <v>0.79166666666666663</v>
      </c>
      <c r="D13" s="24">
        <v>6.25E-2</v>
      </c>
      <c r="E13" s="16">
        <f t="shared" si="5"/>
        <v>0.27083333333333337</v>
      </c>
      <c r="F13" s="25">
        <f t="shared" si="6"/>
        <v>0</v>
      </c>
      <c r="G13" s="75">
        <f t="shared" si="7"/>
        <v>0</v>
      </c>
      <c r="H13" s="71">
        <f t="shared" si="1"/>
        <v>0</v>
      </c>
      <c r="I13" s="25">
        <f t="shared" si="2"/>
        <v>0</v>
      </c>
      <c r="J13" s="75">
        <f t="shared" si="8"/>
        <v>0</v>
      </c>
      <c r="K13" s="69">
        <f t="shared" si="9"/>
        <v>0</v>
      </c>
      <c r="L13" s="17">
        <f t="shared" si="3"/>
        <v>0.125</v>
      </c>
      <c r="M13" s="18">
        <f t="shared" si="10"/>
        <v>0.14583333333333337</v>
      </c>
      <c r="N13" s="83">
        <f t="shared" si="11"/>
        <v>0.16666666666666671</v>
      </c>
      <c r="O13" s="19"/>
      <c r="P13" s="27" t="s">
        <v>15</v>
      </c>
      <c r="T13" s="87">
        <f>páscoa+60</f>
        <v>42160</v>
      </c>
    </row>
    <row r="14" spans="1:26" ht="14.1" customHeight="1" x14ac:dyDescent="0.15">
      <c r="A14" s="21" t="str">
        <f t="shared" si="0"/>
        <v>S</v>
      </c>
      <c r="B14" s="22">
        <f t="shared" si="4"/>
        <v>42258</v>
      </c>
      <c r="C14" s="23"/>
      <c r="D14" s="24"/>
      <c r="E14" s="16">
        <f t="shared" si="5"/>
        <v>0</v>
      </c>
      <c r="F14" s="25">
        <f t="shared" si="6"/>
        <v>0</v>
      </c>
      <c r="G14" s="75">
        <f t="shared" si="7"/>
        <v>0</v>
      </c>
      <c r="H14" s="71">
        <f t="shared" si="1"/>
        <v>0</v>
      </c>
      <c r="I14" s="25">
        <f t="shared" si="2"/>
        <v>0</v>
      </c>
      <c r="J14" s="75">
        <f t="shared" si="8"/>
        <v>0</v>
      </c>
      <c r="K14" s="69">
        <f t="shared" si="9"/>
        <v>0</v>
      </c>
      <c r="L14" s="17">
        <f t="shared" si="3"/>
        <v>0</v>
      </c>
      <c r="M14" s="18">
        <f t="shared" si="10"/>
        <v>0</v>
      </c>
      <c r="N14" s="83">
        <f t="shared" si="11"/>
        <v>0</v>
      </c>
      <c r="O14" s="19"/>
      <c r="P14" s="107" t="s">
        <v>10</v>
      </c>
      <c r="Q14" s="28" t="s">
        <v>8</v>
      </c>
      <c r="R14" s="29">
        <f>SUM(L4:L34)</f>
        <v>3.0625</v>
      </c>
      <c r="V14" s="64" t="s">
        <v>29</v>
      </c>
    </row>
    <row r="15" spans="1:26" ht="14.1" customHeight="1" x14ac:dyDescent="0.15">
      <c r="A15" s="21" t="str">
        <f t="shared" si="0"/>
        <v>S</v>
      </c>
      <c r="B15" s="22">
        <f t="shared" si="4"/>
        <v>42259</v>
      </c>
      <c r="C15" s="23">
        <v>0.91666666666666663</v>
      </c>
      <c r="D15" s="24">
        <v>0.33333333333333331</v>
      </c>
      <c r="E15" s="16">
        <f t="shared" si="5"/>
        <v>0.41666666666666674</v>
      </c>
      <c r="F15" s="25">
        <f t="shared" si="6"/>
        <v>0</v>
      </c>
      <c r="G15" s="75">
        <f t="shared" si="7"/>
        <v>0</v>
      </c>
      <c r="H15" s="71">
        <f t="shared" si="1"/>
        <v>0</v>
      </c>
      <c r="I15" s="25">
        <f t="shared" si="2"/>
        <v>0</v>
      </c>
      <c r="J15" s="75">
        <f t="shared" si="8"/>
        <v>0</v>
      </c>
      <c r="K15" s="69">
        <f t="shared" si="9"/>
        <v>0</v>
      </c>
      <c r="L15" s="17">
        <f t="shared" si="3"/>
        <v>0.125</v>
      </c>
      <c r="M15" s="18">
        <f t="shared" si="10"/>
        <v>0.29166666666666663</v>
      </c>
      <c r="N15" s="83">
        <f t="shared" si="11"/>
        <v>0.33333333333333326</v>
      </c>
      <c r="O15" s="19"/>
      <c r="P15" s="108"/>
      <c r="Q15" s="28" t="s">
        <v>9</v>
      </c>
      <c r="R15" s="30">
        <f>SUM(N4:N34)</f>
        <v>5.9222222222222189</v>
      </c>
      <c r="T15" s="89" t="s">
        <v>19</v>
      </c>
    </row>
    <row r="16" spans="1:26" ht="14.1" customHeight="1" x14ac:dyDescent="0.15">
      <c r="A16" s="21" t="str">
        <f t="shared" si="0"/>
        <v>D</v>
      </c>
      <c r="B16" s="22">
        <f t="shared" si="4"/>
        <v>42260</v>
      </c>
      <c r="C16" s="23">
        <v>0.875</v>
      </c>
      <c r="D16" s="24">
        <v>0.29166666666666669</v>
      </c>
      <c r="E16" s="16">
        <f t="shared" si="5"/>
        <v>0.41666666666666674</v>
      </c>
      <c r="F16" s="25">
        <f t="shared" si="6"/>
        <v>0.12500000000000011</v>
      </c>
      <c r="G16" s="75">
        <f t="shared" si="7"/>
        <v>0.29166666666666663</v>
      </c>
      <c r="H16" s="71">
        <f t="shared" si="1"/>
        <v>0.33333333333333326</v>
      </c>
      <c r="I16" s="25">
        <f t="shared" si="2"/>
        <v>0</v>
      </c>
      <c r="J16" s="75">
        <f t="shared" si="8"/>
        <v>0</v>
      </c>
      <c r="K16" s="69">
        <f t="shared" si="9"/>
        <v>0</v>
      </c>
      <c r="L16" s="17">
        <f t="shared" si="3"/>
        <v>0</v>
      </c>
      <c r="M16" s="18">
        <f t="shared" si="10"/>
        <v>0</v>
      </c>
      <c r="N16" s="83">
        <f t="shared" si="11"/>
        <v>0</v>
      </c>
      <c r="O16" s="19"/>
      <c r="P16" s="109" t="s">
        <v>11</v>
      </c>
      <c r="Q16" s="31" t="s">
        <v>8</v>
      </c>
      <c r="R16" s="29">
        <f>SUM(F35,I35)</f>
        <v>0.47986111111111152</v>
      </c>
      <c r="T16" s="90">
        <f>DATE(YEAR(B4),3,29.56+0.979*MOD(204-11*MOD(YEAR(B4),19),30)-WEEKDAY(DATE(YEAR(B4),3,28.56+0.979*MOD(204-11*MOD(YEAR(B4),19),30))))+1</f>
        <v>42100</v>
      </c>
    </row>
    <row r="17" spans="1:20" ht="14.1" customHeight="1" x14ac:dyDescent="0.15">
      <c r="A17" s="21" t="str">
        <f t="shared" si="0"/>
        <v>S</v>
      </c>
      <c r="B17" s="22">
        <f t="shared" si="4"/>
        <v>42261</v>
      </c>
      <c r="C17" s="23">
        <v>0.875</v>
      </c>
      <c r="D17" s="24">
        <v>0.29166666666666669</v>
      </c>
      <c r="E17" s="16">
        <f t="shared" si="5"/>
        <v>0.41666666666666674</v>
      </c>
      <c r="F17" s="25">
        <f t="shared" si="6"/>
        <v>0</v>
      </c>
      <c r="G17" s="75">
        <f t="shared" si="7"/>
        <v>0</v>
      </c>
      <c r="H17" s="71">
        <f t="shared" si="1"/>
        <v>0</v>
      </c>
      <c r="I17" s="25">
        <f t="shared" si="2"/>
        <v>0</v>
      </c>
      <c r="J17" s="75">
        <f t="shared" si="8"/>
        <v>0</v>
      </c>
      <c r="K17" s="69">
        <f t="shared" si="9"/>
        <v>0</v>
      </c>
      <c r="L17" s="17">
        <f t="shared" si="3"/>
        <v>0.12500000000000011</v>
      </c>
      <c r="M17" s="18">
        <f t="shared" si="10"/>
        <v>0.29166666666666663</v>
      </c>
      <c r="N17" s="83">
        <f t="shared" si="11"/>
        <v>0.33333333333333326</v>
      </c>
      <c r="O17" s="19"/>
      <c r="P17" s="110"/>
      <c r="Q17" s="32" t="s">
        <v>9</v>
      </c>
      <c r="R17" s="33">
        <f>SUM(H35,K35)</f>
        <v>1.333333333333333</v>
      </c>
      <c r="T17" s="5"/>
    </row>
    <row r="18" spans="1:20" ht="14.1" customHeight="1" x14ac:dyDescent="0.15">
      <c r="A18" s="21" t="str">
        <f t="shared" si="0"/>
        <v>T</v>
      </c>
      <c r="B18" s="22">
        <f t="shared" si="4"/>
        <v>42262</v>
      </c>
      <c r="C18" s="23">
        <v>0.875</v>
      </c>
      <c r="D18" s="24">
        <v>0.29166666666666669</v>
      </c>
      <c r="E18" s="16">
        <f t="shared" si="5"/>
        <v>0.41666666666666674</v>
      </c>
      <c r="F18" s="25">
        <f t="shared" si="6"/>
        <v>0</v>
      </c>
      <c r="G18" s="75">
        <f t="shared" si="7"/>
        <v>0</v>
      </c>
      <c r="H18" s="71">
        <f t="shared" si="1"/>
        <v>0</v>
      </c>
      <c r="I18" s="25">
        <f t="shared" si="2"/>
        <v>0</v>
      </c>
      <c r="J18" s="75">
        <f t="shared" si="8"/>
        <v>0</v>
      </c>
      <c r="K18" s="69">
        <f t="shared" si="9"/>
        <v>0</v>
      </c>
      <c r="L18" s="17">
        <f t="shared" si="3"/>
        <v>0.12500000000000011</v>
      </c>
      <c r="M18" s="18">
        <f t="shared" si="10"/>
        <v>0.29166666666666663</v>
      </c>
      <c r="N18" s="83">
        <f t="shared" si="11"/>
        <v>0.33333333333333326</v>
      </c>
      <c r="O18" s="19"/>
      <c r="P18" s="111" t="s">
        <v>33</v>
      </c>
      <c r="Q18" s="112"/>
      <c r="R18" s="34">
        <f>SUM(E4:E34)</f>
        <v>9.8909722222222225</v>
      </c>
      <c r="T18" s="35"/>
    </row>
    <row r="19" spans="1:20" ht="14.1" customHeight="1" x14ac:dyDescent="0.15">
      <c r="A19" s="21" t="str">
        <f t="shared" si="0"/>
        <v>Q</v>
      </c>
      <c r="B19" s="22">
        <f t="shared" si="4"/>
        <v>42263</v>
      </c>
      <c r="C19" s="23">
        <v>0.875</v>
      </c>
      <c r="D19" s="24">
        <v>0.29166666666666669</v>
      </c>
      <c r="E19" s="16">
        <f t="shared" si="5"/>
        <v>0.41666666666666674</v>
      </c>
      <c r="F19" s="25">
        <f t="shared" si="6"/>
        <v>0</v>
      </c>
      <c r="G19" s="75">
        <f t="shared" si="7"/>
        <v>0</v>
      </c>
      <c r="H19" s="71">
        <f t="shared" si="1"/>
        <v>0</v>
      </c>
      <c r="I19" s="25">
        <f t="shared" si="2"/>
        <v>0</v>
      </c>
      <c r="J19" s="75">
        <f t="shared" si="8"/>
        <v>0</v>
      </c>
      <c r="K19" s="69">
        <f t="shared" si="9"/>
        <v>0</v>
      </c>
      <c r="L19" s="17">
        <f t="shared" si="3"/>
        <v>0.12500000000000011</v>
      </c>
      <c r="M19" s="18">
        <f t="shared" si="10"/>
        <v>0.29166666666666663</v>
      </c>
      <c r="N19" s="83">
        <f t="shared" si="11"/>
        <v>0.33333333333333326</v>
      </c>
      <c r="O19" s="19"/>
      <c r="P19" s="118" t="s">
        <v>34</v>
      </c>
      <c r="Q19" s="119"/>
      <c r="R19" s="120">
        <f>SUM(R14:R17)</f>
        <v>10.797916666666662</v>
      </c>
      <c r="T19" s="35"/>
    </row>
    <row r="20" spans="1:20" ht="14.1" customHeight="1" x14ac:dyDescent="0.15">
      <c r="A20" s="21" t="str">
        <f t="shared" si="0"/>
        <v>Q</v>
      </c>
      <c r="B20" s="22">
        <f t="shared" si="4"/>
        <v>42264</v>
      </c>
      <c r="C20" s="23">
        <v>0.875</v>
      </c>
      <c r="D20" s="24">
        <v>0.29166666666666669</v>
      </c>
      <c r="E20" s="16">
        <f t="shared" si="5"/>
        <v>0.41666666666666674</v>
      </c>
      <c r="F20" s="25">
        <f t="shared" si="6"/>
        <v>0</v>
      </c>
      <c r="G20" s="75">
        <f t="shared" si="7"/>
        <v>0</v>
      </c>
      <c r="H20" s="71">
        <f t="shared" si="1"/>
        <v>0</v>
      </c>
      <c r="I20" s="25">
        <f t="shared" si="2"/>
        <v>0</v>
      </c>
      <c r="J20" s="75">
        <f t="shared" si="8"/>
        <v>0</v>
      </c>
      <c r="K20" s="69">
        <f t="shared" si="9"/>
        <v>0</v>
      </c>
      <c r="L20" s="17">
        <f t="shared" si="3"/>
        <v>0.12500000000000011</v>
      </c>
      <c r="M20" s="18">
        <f t="shared" si="10"/>
        <v>0.29166666666666663</v>
      </c>
      <c r="N20" s="83">
        <f t="shared" si="11"/>
        <v>0.33333333333333326</v>
      </c>
      <c r="O20" s="19"/>
      <c r="P20" s="58"/>
      <c r="Q20" s="56"/>
      <c r="R20" s="57"/>
      <c r="T20" s="35"/>
    </row>
    <row r="21" spans="1:20" ht="14.1" customHeight="1" x14ac:dyDescent="0.15">
      <c r="A21" s="21" t="str">
        <f t="shared" si="0"/>
        <v>S</v>
      </c>
      <c r="B21" s="22">
        <f t="shared" si="4"/>
        <v>42265</v>
      </c>
      <c r="C21" s="23">
        <v>0.875</v>
      </c>
      <c r="D21" s="24">
        <v>0.29166666666666669</v>
      </c>
      <c r="E21" s="16">
        <f t="shared" si="5"/>
        <v>0.41666666666666674</v>
      </c>
      <c r="F21" s="25">
        <f t="shared" si="6"/>
        <v>0</v>
      </c>
      <c r="G21" s="75">
        <f t="shared" si="7"/>
        <v>0</v>
      </c>
      <c r="H21" s="71">
        <f t="shared" si="1"/>
        <v>0</v>
      </c>
      <c r="I21" s="25">
        <f t="shared" si="2"/>
        <v>0</v>
      </c>
      <c r="J21" s="75">
        <f t="shared" si="8"/>
        <v>0</v>
      </c>
      <c r="K21" s="69">
        <f t="shared" si="9"/>
        <v>0</v>
      </c>
      <c r="L21" s="17">
        <f t="shared" si="3"/>
        <v>0.12500000000000011</v>
      </c>
      <c r="M21" s="18">
        <f t="shared" si="10"/>
        <v>0.29166666666666663</v>
      </c>
      <c r="N21" s="83">
        <f t="shared" si="11"/>
        <v>0.33333333333333326</v>
      </c>
      <c r="O21" s="19"/>
      <c r="T21" s="35"/>
    </row>
    <row r="22" spans="1:20" ht="14.1" customHeight="1" x14ac:dyDescent="0.15">
      <c r="A22" s="21" t="str">
        <f t="shared" si="0"/>
        <v>S</v>
      </c>
      <c r="B22" s="22">
        <f t="shared" si="4"/>
        <v>42266</v>
      </c>
      <c r="C22" s="23">
        <v>0.875</v>
      </c>
      <c r="D22" s="24">
        <v>0.29166666666666669</v>
      </c>
      <c r="E22" s="16">
        <f t="shared" si="5"/>
        <v>0.41666666666666674</v>
      </c>
      <c r="F22" s="25">
        <f t="shared" si="6"/>
        <v>0</v>
      </c>
      <c r="G22" s="75">
        <f t="shared" si="7"/>
        <v>0</v>
      </c>
      <c r="H22" s="71">
        <f t="shared" si="1"/>
        <v>0</v>
      </c>
      <c r="I22" s="25">
        <f t="shared" si="2"/>
        <v>0</v>
      </c>
      <c r="J22" s="75">
        <f t="shared" si="8"/>
        <v>0</v>
      </c>
      <c r="K22" s="69">
        <f t="shared" si="9"/>
        <v>0</v>
      </c>
      <c r="L22" s="17">
        <f t="shared" si="3"/>
        <v>0.12500000000000011</v>
      </c>
      <c r="M22" s="18">
        <f t="shared" si="10"/>
        <v>0.29166666666666663</v>
      </c>
      <c r="N22" s="83">
        <f t="shared" si="11"/>
        <v>0.33333333333333326</v>
      </c>
      <c r="O22" s="19"/>
      <c r="T22" s="35"/>
    </row>
    <row r="23" spans="1:20" ht="14.1" customHeight="1" x14ac:dyDescent="0.15">
      <c r="A23" s="21" t="str">
        <f t="shared" si="0"/>
        <v>D</v>
      </c>
      <c r="B23" s="22">
        <f t="shared" si="4"/>
        <v>42267</v>
      </c>
      <c r="C23" s="23"/>
      <c r="D23" s="24"/>
      <c r="E23" s="16">
        <f t="shared" si="5"/>
        <v>0</v>
      </c>
      <c r="F23" s="25">
        <f t="shared" si="6"/>
        <v>0</v>
      </c>
      <c r="G23" s="75">
        <f t="shared" si="7"/>
        <v>0</v>
      </c>
      <c r="H23" s="71">
        <f t="shared" si="1"/>
        <v>0</v>
      </c>
      <c r="I23" s="25">
        <f t="shared" si="2"/>
        <v>0</v>
      </c>
      <c r="J23" s="75">
        <f t="shared" si="8"/>
        <v>0</v>
      </c>
      <c r="K23" s="69">
        <f t="shared" si="9"/>
        <v>0</v>
      </c>
      <c r="L23" s="17">
        <f t="shared" si="3"/>
        <v>0</v>
      </c>
      <c r="M23" s="18">
        <f t="shared" si="10"/>
        <v>0</v>
      </c>
      <c r="N23" s="83">
        <f t="shared" si="11"/>
        <v>0</v>
      </c>
      <c r="O23" s="19"/>
      <c r="T23" s="36"/>
    </row>
    <row r="24" spans="1:20" ht="14.1" customHeight="1" x14ac:dyDescent="0.15">
      <c r="A24" s="21" t="str">
        <f t="shared" si="0"/>
        <v>S</v>
      </c>
      <c r="B24" s="22">
        <f t="shared" si="4"/>
        <v>42268</v>
      </c>
      <c r="C24" s="23"/>
      <c r="D24" s="24"/>
      <c r="E24" s="16">
        <f t="shared" si="5"/>
        <v>0</v>
      </c>
      <c r="F24" s="25">
        <f t="shared" si="6"/>
        <v>0</v>
      </c>
      <c r="G24" s="75">
        <f t="shared" si="7"/>
        <v>0</v>
      </c>
      <c r="H24" s="71">
        <f t="shared" si="1"/>
        <v>0</v>
      </c>
      <c r="I24" s="25">
        <f t="shared" si="2"/>
        <v>0</v>
      </c>
      <c r="J24" s="75">
        <f t="shared" si="8"/>
        <v>0</v>
      </c>
      <c r="K24" s="69">
        <f t="shared" si="9"/>
        <v>0</v>
      </c>
      <c r="L24" s="17">
        <f t="shared" si="3"/>
        <v>0</v>
      </c>
      <c r="M24" s="18">
        <f t="shared" si="10"/>
        <v>0</v>
      </c>
      <c r="N24" s="83">
        <f t="shared" si="11"/>
        <v>0</v>
      </c>
      <c r="O24" s="19"/>
      <c r="T24" s="5"/>
    </row>
    <row r="25" spans="1:20" ht="14.1" customHeight="1" x14ac:dyDescent="0.15">
      <c r="A25" s="21" t="str">
        <f t="shared" si="0"/>
        <v>T</v>
      </c>
      <c r="B25" s="22">
        <f t="shared" si="4"/>
        <v>42269</v>
      </c>
      <c r="C25" s="23"/>
      <c r="D25" s="24"/>
      <c r="E25" s="16">
        <f t="shared" si="5"/>
        <v>0</v>
      </c>
      <c r="F25" s="25">
        <f t="shared" si="6"/>
        <v>0</v>
      </c>
      <c r="G25" s="75">
        <f t="shared" si="7"/>
        <v>0</v>
      </c>
      <c r="H25" s="71">
        <f t="shared" si="1"/>
        <v>0</v>
      </c>
      <c r="I25" s="25">
        <f t="shared" si="2"/>
        <v>0</v>
      </c>
      <c r="J25" s="75">
        <f t="shared" si="8"/>
        <v>0</v>
      </c>
      <c r="K25" s="69">
        <f t="shared" si="9"/>
        <v>0</v>
      </c>
      <c r="L25" s="17">
        <f t="shared" si="3"/>
        <v>0</v>
      </c>
      <c r="M25" s="18">
        <f t="shared" si="10"/>
        <v>0</v>
      </c>
      <c r="N25" s="83">
        <f t="shared" si="11"/>
        <v>0</v>
      </c>
      <c r="O25" s="19"/>
      <c r="T25" s="5"/>
    </row>
    <row r="26" spans="1:20" ht="14.1" customHeight="1" x14ac:dyDescent="0.15">
      <c r="A26" s="21" t="str">
        <f t="shared" si="0"/>
        <v>Q</v>
      </c>
      <c r="B26" s="22">
        <f t="shared" si="4"/>
        <v>42270</v>
      </c>
      <c r="C26" s="23">
        <v>0.875</v>
      </c>
      <c r="D26" s="24">
        <v>0.29166666666666669</v>
      </c>
      <c r="E26" s="16">
        <f t="shared" si="5"/>
        <v>0.41666666666666674</v>
      </c>
      <c r="F26" s="25">
        <f t="shared" si="6"/>
        <v>0</v>
      </c>
      <c r="G26" s="75">
        <f t="shared" si="7"/>
        <v>0</v>
      </c>
      <c r="H26" s="71">
        <f t="shared" si="1"/>
        <v>0</v>
      </c>
      <c r="I26" s="25">
        <f t="shared" si="2"/>
        <v>0</v>
      </c>
      <c r="J26" s="75">
        <f t="shared" si="8"/>
        <v>0</v>
      </c>
      <c r="K26" s="69">
        <f t="shared" si="9"/>
        <v>0</v>
      </c>
      <c r="L26" s="17">
        <f t="shared" si="3"/>
        <v>0.12500000000000011</v>
      </c>
      <c r="M26" s="18">
        <f t="shared" si="10"/>
        <v>0.29166666666666663</v>
      </c>
      <c r="N26" s="83">
        <f t="shared" si="11"/>
        <v>0.33333333333333326</v>
      </c>
      <c r="O26" s="19"/>
      <c r="T26" s="35"/>
    </row>
    <row r="27" spans="1:20" ht="14.1" customHeight="1" x14ac:dyDescent="0.15">
      <c r="A27" s="21" t="str">
        <f t="shared" si="0"/>
        <v>Q</v>
      </c>
      <c r="B27" s="22">
        <f t="shared" si="4"/>
        <v>42271</v>
      </c>
      <c r="C27" s="23">
        <v>0.875</v>
      </c>
      <c r="D27" s="24">
        <v>0.29166666666666669</v>
      </c>
      <c r="E27" s="16">
        <f t="shared" si="5"/>
        <v>0.41666666666666674</v>
      </c>
      <c r="F27" s="25">
        <f t="shared" si="6"/>
        <v>0</v>
      </c>
      <c r="G27" s="75">
        <f t="shared" si="7"/>
        <v>0</v>
      </c>
      <c r="H27" s="71">
        <f t="shared" si="1"/>
        <v>0</v>
      </c>
      <c r="I27" s="25">
        <f t="shared" si="2"/>
        <v>0</v>
      </c>
      <c r="J27" s="75">
        <f t="shared" si="8"/>
        <v>0</v>
      </c>
      <c r="K27" s="69">
        <f t="shared" si="9"/>
        <v>0</v>
      </c>
      <c r="L27" s="17">
        <f t="shared" si="3"/>
        <v>0.12500000000000011</v>
      </c>
      <c r="M27" s="18">
        <f t="shared" si="10"/>
        <v>0.29166666666666663</v>
      </c>
      <c r="N27" s="83">
        <f t="shared" si="11"/>
        <v>0.33333333333333326</v>
      </c>
      <c r="O27" s="19"/>
      <c r="T27" s="36"/>
    </row>
    <row r="28" spans="1:20" ht="14.1" customHeight="1" x14ac:dyDescent="0.15">
      <c r="A28" s="21" t="str">
        <f t="shared" si="0"/>
        <v>S</v>
      </c>
      <c r="B28" s="22">
        <f t="shared" si="4"/>
        <v>42272</v>
      </c>
      <c r="C28" s="23"/>
      <c r="D28" s="24"/>
      <c r="E28" s="16">
        <f t="shared" si="5"/>
        <v>0</v>
      </c>
      <c r="F28" s="25">
        <f t="shared" si="6"/>
        <v>0</v>
      </c>
      <c r="G28" s="75">
        <f t="shared" si="7"/>
        <v>0</v>
      </c>
      <c r="H28" s="71">
        <f t="shared" si="1"/>
        <v>0</v>
      </c>
      <c r="I28" s="25">
        <f t="shared" si="2"/>
        <v>0</v>
      </c>
      <c r="J28" s="75">
        <f t="shared" si="8"/>
        <v>0</v>
      </c>
      <c r="K28" s="69">
        <f t="shared" si="9"/>
        <v>0</v>
      </c>
      <c r="L28" s="17">
        <f t="shared" si="3"/>
        <v>0</v>
      </c>
      <c r="M28" s="18">
        <f t="shared" si="10"/>
        <v>0</v>
      </c>
      <c r="N28" s="83">
        <f t="shared" si="11"/>
        <v>0</v>
      </c>
      <c r="O28" s="19"/>
      <c r="T28" s="5"/>
    </row>
    <row r="29" spans="1:20" ht="14.1" customHeight="1" x14ac:dyDescent="0.15">
      <c r="A29" s="21" t="str">
        <f t="shared" si="0"/>
        <v>S</v>
      </c>
      <c r="B29" s="22">
        <f t="shared" si="4"/>
        <v>42273</v>
      </c>
      <c r="C29" s="23">
        <v>0.875</v>
      </c>
      <c r="D29" s="24">
        <v>0.29166666666666669</v>
      </c>
      <c r="E29" s="16">
        <f t="shared" si="5"/>
        <v>0.41666666666666674</v>
      </c>
      <c r="F29" s="25">
        <f t="shared" si="6"/>
        <v>0</v>
      </c>
      <c r="G29" s="75">
        <f t="shared" si="7"/>
        <v>0</v>
      </c>
      <c r="H29" s="71">
        <f t="shared" si="1"/>
        <v>0</v>
      </c>
      <c r="I29" s="25">
        <f t="shared" si="2"/>
        <v>0</v>
      </c>
      <c r="J29" s="75">
        <f t="shared" si="8"/>
        <v>0</v>
      </c>
      <c r="K29" s="69">
        <f t="shared" si="9"/>
        <v>0</v>
      </c>
      <c r="L29" s="17">
        <f t="shared" si="3"/>
        <v>0.12500000000000011</v>
      </c>
      <c r="M29" s="18">
        <f t="shared" si="10"/>
        <v>0.29166666666666663</v>
      </c>
      <c r="N29" s="83">
        <f t="shared" si="11"/>
        <v>0.33333333333333326</v>
      </c>
      <c r="O29" s="19"/>
      <c r="T29" s="5"/>
    </row>
    <row r="30" spans="1:20" ht="14.1" customHeight="1" x14ac:dyDescent="0.15">
      <c r="A30" s="21" t="str">
        <f t="shared" si="0"/>
        <v>D</v>
      </c>
      <c r="B30" s="22">
        <f t="shared" si="4"/>
        <v>42274</v>
      </c>
      <c r="C30" s="23">
        <v>0.875</v>
      </c>
      <c r="D30" s="24">
        <v>0.29166666666666669</v>
      </c>
      <c r="E30" s="16">
        <f t="shared" si="5"/>
        <v>0.41666666666666674</v>
      </c>
      <c r="F30" s="25">
        <f t="shared" si="6"/>
        <v>0.12500000000000011</v>
      </c>
      <c r="G30" s="75">
        <f t="shared" si="7"/>
        <v>0.29166666666666663</v>
      </c>
      <c r="H30" s="71">
        <f t="shared" si="1"/>
        <v>0.33333333333333326</v>
      </c>
      <c r="I30" s="25">
        <f t="shared" si="2"/>
        <v>0</v>
      </c>
      <c r="J30" s="75">
        <f t="shared" si="8"/>
        <v>0</v>
      </c>
      <c r="K30" s="69">
        <f t="shared" si="9"/>
        <v>0</v>
      </c>
      <c r="L30" s="17">
        <f t="shared" si="3"/>
        <v>0</v>
      </c>
      <c r="M30" s="18">
        <f t="shared" si="10"/>
        <v>0</v>
      </c>
      <c r="N30" s="83">
        <f t="shared" si="11"/>
        <v>0</v>
      </c>
      <c r="O30" s="19"/>
      <c r="T30" s="5"/>
    </row>
    <row r="31" spans="1:20" ht="14.1" customHeight="1" x14ac:dyDescent="0.15">
      <c r="A31" s="21" t="str">
        <f t="shared" si="0"/>
        <v>S</v>
      </c>
      <c r="B31" s="61">
        <f>IF(B30="","",IF(MONTH(B30+1)&gt;MONTH(B30),"",B30+1))</f>
        <v>42275</v>
      </c>
      <c r="C31" s="23">
        <v>0.875</v>
      </c>
      <c r="D31" s="24">
        <v>0.29166666666666669</v>
      </c>
      <c r="E31" s="16">
        <f t="shared" si="5"/>
        <v>0.41666666666666674</v>
      </c>
      <c r="F31" s="25">
        <f t="shared" si="6"/>
        <v>0</v>
      </c>
      <c r="G31" s="75">
        <f t="shared" si="7"/>
        <v>0</v>
      </c>
      <c r="H31" s="71">
        <f t="shared" si="1"/>
        <v>0</v>
      </c>
      <c r="I31" s="25">
        <f t="shared" si="2"/>
        <v>0</v>
      </c>
      <c r="J31" s="75">
        <f t="shared" si="8"/>
        <v>0</v>
      </c>
      <c r="K31" s="69">
        <f t="shared" si="9"/>
        <v>0</v>
      </c>
      <c r="L31" s="17">
        <f t="shared" si="3"/>
        <v>0.12500000000000011</v>
      </c>
      <c r="M31" s="18">
        <f t="shared" si="10"/>
        <v>0.29166666666666663</v>
      </c>
      <c r="N31" s="83">
        <f t="shared" si="11"/>
        <v>0.33333333333333326</v>
      </c>
      <c r="O31" s="19"/>
      <c r="T31" s="5"/>
    </row>
    <row r="32" spans="1:20" ht="14.1" customHeight="1" x14ac:dyDescent="0.15">
      <c r="A32" s="21" t="str">
        <f t="shared" si="0"/>
        <v>T</v>
      </c>
      <c r="B32" s="61">
        <f>IF(B31="","",IF(MONTH(B31+1)&gt;MONTH(B31),"",B31+1))</f>
        <v>42276</v>
      </c>
      <c r="C32" s="23">
        <v>0.875</v>
      </c>
      <c r="D32" s="24">
        <v>0.29166666666666669</v>
      </c>
      <c r="E32" s="16">
        <f t="shared" si="5"/>
        <v>0.41666666666666674</v>
      </c>
      <c r="F32" s="25">
        <f t="shared" si="6"/>
        <v>0</v>
      </c>
      <c r="G32" s="75">
        <f t="shared" si="7"/>
        <v>0</v>
      </c>
      <c r="H32" s="71">
        <f t="shared" si="1"/>
        <v>0</v>
      </c>
      <c r="I32" s="25">
        <f t="shared" si="2"/>
        <v>0</v>
      </c>
      <c r="J32" s="75">
        <f t="shared" si="8"/>
        <v>0</v>
      </c>
      <c r="K32" s="69">
        <f t="shared" si="9"/>
        <v>0</v>
      </c>
      <c r="L32" s="17">
        <f t="shared" si="3"/>
        <v>0.12500000000000011</v>
      </c>
      <c r="M32" s="18">
        <f t="shared" si="10"/>
        <v>0.29166666666666663</v>
      </c>
      <c r="N32" s="83">
        <f t="shared" si="11"/>
        <v>0.33333333333333326</v>
      </c>
      <c r="O32" s="19"/>
      <c r="T32" s="5"/>
    </row>
    <row r="33" spans="1:26" ht="14.1" customHeight="1" x14ac:dyDescent="0.15">
      <c r="A33" s="21" t="str">
        <f t="shared" si="0"/>
        <v>Q</v>
      </c>
      <c r="B33" s="61">
        <f>IF(B32="","",IF(MONTH(B32+1)&gt;MONTH(B32),"",B32+1))</f>
        <v>42277</v>
      </c>
      <c r="C33" s="23">
        <v>0.875</v>
      </c>
      <c r="D33" s="24">
        <v>0.29166666666666669</v>
      </c>
      <c r="E33" s="16">
        <f t="shared" si="5"/>
        <v>0.41666666666666674</v>
      </c>
      <c r="F33" s="25">
        <f t="shared" si="6"/>
        <v>0</v>
      </c>
      <c r="G33" s="75">
        <f t="shared" si="7"/>
        <v>0</v>
      </c>
      <c r="H33" s="71">
        <f t="shared" si="1"/>
        <v>0</v>
      </c>
      <c r="I33" s="25">
        <f t="shared" si="2"/>
        <v>0</v>
      </c>
      <c r="J33" s="75">
        <f t="shared" si="8"/>
        <v>0</v>
      </c>
      <c r="K33" s="69">
        <f t="shared" si="9"/>
        <v>0</v>
      </c>
      <c r="L33" s="17">
        <f t="shared" si="3"/>
        <v>0.12500000000000011</v>
      </c>
      <c r="M33" s="18">
        <f t="shared" si="10"/>
        <v>0.29166666666666663</v>
      </c>
      <c r="N33" s="83">
        <f t="shared" si="11"/>
        <v>0.33333333333333326</v>
      </c>
      <c r="O33" s="19"/>
      <c r="T33" s="5"/>
    </row>
    <row r="34" spans="1:26" ht="14.1" customHeight="1" x14ac:dyDescent="0.15">
      <c r="A34" s="60" t="str">
        <f t="shared" si="0"/>
        <v/>
      </c>
      <c r="B34" s="62" t="str">
        <f>IF(B33="","",IF(MONTH(B33+1)&gt;MONTH(B33),"",B33+1))</f>
        <v/>
      </c>
      <c r="C34" s="37"/>
      <c r="D34" s="38"/>
      <c r="E34" s="116" t="str">
        <f t="shared" si="5"/>
        <v/>
      </c>
      <c r="F34" s="39" t="str">
        <f t="shared" si="6"/>
        <v/>
      </c>
      <c r="G34" s="76" t="str">
        <f t="shared" si="7"/>
        <v/>
      </c>
      <c r="H34" s="72" t="str">
        <f t="shared" si="1"/>
        <v/>
      </c>
      <c r="I34" s="39" t="str">
        <f t="shared" si="2"/>
        <v/>
      </c>
      <c r="J34" s="76" t="str">
        <f t="shared" si="8"/>
        <v/>
      </c>
      <c r="K34" s="68" t="str">
        <f t="shared" si="9"/>
        <v/>
      </c>
      <c r="L34" s="80" t="str">
        <f t="shared" si="3"/>
        <v/>
      </c>
      <c r="M34" s="81" t="str">
        <f t="shared" si="10"/>
        <v/>
      </c>
      <c r="N34" s="84" t="str">
        <f t="shared" si="11"/>
        <v/>
      </c>
      <c r="O34" s="19"/>
      <c r="T34" s="5"/>
    </row>
    <row r="35" spans="1:26" s="40" customFormat="1" x14ac:dyDescent="0.15">
      <c r="E35" s="41">
        <f t="shared" ref="E35:N35" si="12">SUM(E4:E34)</f>
        <v>9.8909722222222225</v>
      </c>
      <c r="F35" s="41">
        <f t="shared" si="12"/>
        <v>0.3548611111111114</v>
      </c>
      <c r="G35" s="41">
        <f t="shared" si="12"/>
        <v>0.87499999999999989</v>
      </c>
      <c r="H35" s="41">
        <f t="shared" si="12"/>
        <v>0.99999999999999978</v>
      </c>
      <c r="I35" s="42">
        <f t="shared" si="12"/>
        <v>0.12500000000000011</v>
      </c>
      <c r="J35" s="42">
        <f t="shared" si="12"/>
        <v>0.29166666666666663</v>
      </c>
      <c r="K35" s="42">
        <f t="shared" si="12"/>
        <v>0.33333333333333326</v>
      </c>
      <c r="L35" s="41">
        <f>SUM(L4:L34)</f>
        <v>3.0625</v>
      </c>
      <c r="M35" s="41">
        <f>SUM(M4:M34)</f>
        <v>5.1819444444444445</v>
      </c>
      <c r="N35" s="41">
        <f t="shared" si="12"/>
        <v>5.9222222222222189</v>
      </c>
      <c r="O35" s="43"/>
      <c r="P35" s="41"/>
      <c r="T35" s="35"/>
      <c r="U35" s="44"/>
      <c r="V35" s="44"/>
      <c r="W35" s="44"/>
      <c r="X35" s="44"/>
      <c r="Y35" s="44"/>
      <c r="Z35" s="44"/>
    </row>
    <row r="36" spans="1:26" x14ac:dyDescent="0.15"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T36" s="5">
        <f>IF(COUNTIF(fer,B5)&gt;0,1,0)</f>
        <v>0</v>
      </c>
      <c r="U36" s="5"/>
      <c r="V36" s="5"/>
      <c r="W36" s="5"/>
      <c r="X36" s="5"/>
      <c r="Y36" s="5"/>
      <c r="Z36" s="5"/>
    </row>
    <row r="37" spans="1:26" x14ac:dyDescent="0.15">
      <c r="G37" s="48"/>
      <c r="H37" s="48"/>
      <c r="J37" s="48"/>
      <c r="K37" s="48"/>
      <c r="L37" s="48"/>
      <c r="M37" s="45"/>
      <c r="T37" s="5"/>
      <c r="U37" s="5"/>
      <c r="V37" s="5"/>
      <c r="W37" s="5"/>
      <c r="X37" s="5"/>
      <c r="Y37" s="5"/>
      <c r="Z37" s="5"/>
    </row>
    <row r="38" spans="1:26" x14ac:dyDescent="0.15">
      <c r="G38" s="48"/>
      <c r="H38" s="48"/>
      <c r="J38" s="48"/>
      <c r="K38" s="48"/>
      <c r="L38" s="48"/>
      <c r="M38" s="45"/>
    </row>
    <row r="39" spans="1:26" x14ac:dyDescent="0.15">
      <c r="G39" s="48"/>
      <c r="H39" s="48"/>
      <c r="J39" s="48"/>
      <c r="K39" s="48"/>
      <c r="L39" s="48"/>
      <c r="M39" s="45"/>
    </row>
    <row r="40" spans="1:26" x14ac:dyDescent="0.15">
      <c r="G40" s="49"/>
      <c r="H40" s="49"/>
      <c r="J40" s="49"/>
      <c r="K40" s="49"/>
      <c r="L40" s="49"/>
      <c r="M40" s="45"/>
    </row>
    <row r="41" spans="1:26" x14ac:dyDescent="0.15">
      <c r="G41" s="49"/>
      <c r="H41" s="49"/>
      <c r="J41" s="49"/>
      <c r="K41" s="49"/>
      <c r="L41" s="49"/>
      <c r="M41" s="50"/>
    </row>
  </sheetData>
  <mergeCells count="11">
    <mergeCell ref="P14:P15"/>
    <mergeCell ref="P16:P17"/>
    <mergeCell ref="P18:Q18"/>
    <mergeCell ref="E1:E2"/>
    <mergeCell ref="P19:Q19"/>
    <mergeCell ref="C2:D2"/>
    <mergeCell ref="C1:D1"/>
    <mergeCell ref="P3:P4"/>
    <mergeCell ref="F1:H1"/>
    <mergeCell ref="I1:K1"/>
    <mergeCell ref="L1:N1"/>
  </mergeCells>
  <phoneticPr fontId="19" type="noConversion"/>
  <conditionalFormatting sqref="A3:N3">
    <cfRule type="expression" dxfId="7" priority="3" stopIfTrue="1">
      <formula>(WEEKDAY($B3,2)&gt;6)*($B3&lt;&gt;"")</formula>
    </cfRule>
    <cfRule type="expression" dxfId="6" priority="4" stopIfTrue="1">
      <formula>" =NB.SI($B4;Fer)&gt;0"</formula>
    </cfRule>
  </conditionalFormatting>
  <conditionalFormatting sqref="A4:M34">
    <cfRule type="expression" dxfId="5" priority="5" stopIfTrue="1">
      <formula>(WEEKDAY($B4,2)&gt;6)*($B4&lt;&gt;"")</formula>
    </cfRule>
    <cfRule type="expression" dxfId="4" priority="6" stopIfTrue="1">
      <formula>COUNTIF(fer,$B4)&gt;0</formula>
    </cfRule>
  </conditionalFormatting>
  <conditionalFormatting sqref="N4:N34">
    <cfRule type="expression" dxfId="3" priority="1" stopIfTrue="1">
      <formula>(WEEKDAY($B4,2)&gt;6)*($B4&lt;&gt;"")</formula>
    </cfRule>
    <cfRule type="expression" dxfId="2" priority="2" stopIfTrue="1">
      <formula>COUNTIF(fer,$B4)&gt;0</formula>
    </cfRule>
  </conditionalFormatting>
  <pageMargins left="0.31496062992125984" right="0.31496062992125984" top="0.74803149606299213" bottom="0.74803149606299213" header="0.31496062992125984" footer="0.31496062992125984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5" baseType="lpstr">
      <vt:lpstr>Cálculo</vt:lpstr>
      <vt:lpstr>fer</vt:lpstr>
      <vt:lpstr>Fimnot</vt:lpstr>
      <vt:lpstr>Ininot</vt:lpstr>
      <vt:lpstr>páscoa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 Braga</cp:lastModifiedBy>
  <dcterms:created xsi:type="dcterms:W3CDTF">2006-11-10T00:15:45Z</dcterms:created>
  <dcterms:modified xsi:type="dcterms:W3CDTF">2015-09-01T03:33:39Z</dcterms:modified>
</cp:coreProperties>
</file>