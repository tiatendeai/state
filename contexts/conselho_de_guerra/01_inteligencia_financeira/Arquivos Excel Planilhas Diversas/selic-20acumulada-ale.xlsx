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A1CA623-3D7B-0848-9B3E-796833E74D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SPJ" sheetId="6" r:id="rId1"/>
    <sheet name="Selic" sheetId="4" r:id="rId2"/>
    <sheet name="MULTA" sheetId="7" state="hidden" r:id="rId3"/>
    <sheet name="Planilha1" sheetId="5" state="hidden" r:id="rId4"/>
  </sheets>
  <definedNames>
    <definedName name="_xlnm.Database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6" l="1"/>
  <c r="J5" i="6"/>
  <c r="K5" i="6"/>
  <c r="J6" i="6"/>
  <c r="K6" i="6"/>
  <c r="J7" i="6"/>
  <c r="K7" i="6"/>
  <c r="J8" i="6"/>
  <c r="K8" i="6"/>
  <c r="J9" i="6"/>
  <c r="K9" i="6"/>
  <c r="J10" i="6"/>
  <c r="K10" i="6"/>
  <c r="J11" i="6"/>
  <c r="K11" i="6"/>
  <c r="J12" i="6"/>
  <c r="K12" i="6"/>
  <c r="J13" i="6"/>
  <c r="K13" i="6"/>
  <c r="J14" i="6"/>
  <c r="K14" i="6"/>
  <c r="J15" i="6"/>
  <c r="K15" i="6"/>
  <c r="J16" i="6"/>
  <c r="K16" i="6"/>
  <c r="J17" i="6"/>
  <c r="K17" i="6"/>
  <c r="J18" i="6"/>
  <c r="K18" i="6"/>
  <c r="J19" i="6"/>
  <c r="K19" i="6"/>
  <c r="J20" i="6"/>
  <c r="K20" i="6"/>
  <c r="J21" i="6"/>
  <c r="K21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J30" i="6"/>
  <c r="K30" i="6"/>
  <c r="J31" i="6"/>
  <c r="K31" i="6"/>
  <c r="J32" i="6"/>
  <c r="K32" i="6"/>
  <c r="J33" i="6"/>
  <c r="K33" i="6"/>
  <c r="J34" i="6"/>
  <c r="K34" i="6"/>
  <c r="J35" i="6"/>
  <c r="K35" i="6"/>
  <c r="J36" i="6"/>
  <c r="K36" i="6"/>
  <c r="J37" i="6"/>
  <c r="K37" i="6"/>
  <c r="J38" i="6"/>
  <c r="K38" i="6"/>
  <c r="J39" i="6"/>
  <c r="K39" i="6"/>
  <c r="J40" i="6"/>
  <c r="K40" i="6"/>
  <c r="J4" i="6"/>
  <c r="K4" i="6"/>
  <c r="AA15" i="4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AD30" i="4"/>
  <c r="AD29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M36" i="6"/>
  <c r="M24" i="6"/>
  <c r="M38" i="6"/>
  <c r="M32" i="6"/>
  <c r="M26" i="6"/>
  <c r="M20" i="6"/>
  <c r="M16" i="6"/>
  <c r="M8" i="6"/>
  <c r="M40" i="6"/>
  <c r="M34" i="6"/>
  <c r="M30" i="6"/>
  <c r="M28" i="6"/>
  <c r="M22" i="6"/>
  <c r="M18" i="6"/>
  <c r="M14" i="6"/>
  <c r="M12" i="6"/>
  <c r="M10" i="6"/>
  <c r="M6" i="6"/>
  <c r="M39" i="6"/>
  <c r="M37" i="6"/>
  <c r="M35" i="6"/>
  <c r="M33" i="6"/>
  <c r="M31" i="6"/>
  <c r="M29" i="6"/>
  <c r="M27" i="6"/>
  <c r="M25" i="6"/>
  <c r="M23" i="6"/>
  <c r="M21" i="6"/>
  <c r="M19" i="6"/>
  <c r="M17" i="6"/>
  <c r="M15" i="6"/>
  <c r="M13" i="6"/>
  <c r="M11" i="6"/>
  <c r="M9" i="6"/>
  <c r="M7" i="6"/>
  <c r="M5" i="6"/>
  <c r="M4" i="6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5" i="5"/>
  <c r="C6" i="5"/>
  <c r="C4" i="5"/>
  <c r="F6" i="5"/>
  <c r="F7" i="5"/>
  <c r="F8" i="5"/>
  <c r="F9" i="5"/>
  <c r="F10" i="5"/>
  <c r="F11" i="5"/>
  <c r="F12" i="5"/>
  <c r="F13" i="5"/>
  <c r="F14" i="5"/>
  <c r="F5" i="5"/>
  <c r="E6" i="5"/>
  <c r="E7" i="5"/>
  <c r="E8" i="5"/>
  <c r="E9" i="5"/>
  <c r="E10" i="5"/>
  <c r="E11" i="5"/>
  <c r="E12" i="5"/>
  <c r="E13" i="5"/>
  <c r="E14" i="5"/>
  <c r="E5" i="5"/>
  <c r="AC18" i="4"/>
  <c r="AC19" i="4"/>
  <c r="AC20" i="4"/>
  <c r="AC21" i="4"/>
  <c r="AC22" i="4"/>
  <c r="AC23" i="4"/>
  <c r="AC24" i="4"/>
  <c r="AC25" i="4"/>
  <c r="AC26" i="4"/>
  <c r="AC27" i="4"/>
  <c r="AC17" i="4"/>
  <c r="AC16" i="4"/>
  <c r="AB18" i="4"/>
  <c r="AB19" i="4"/>
  <c r="AB20" i="4"/>
  <c r="AB21" i="4"/>
  <c r="AB22" i="4"/>
  <c r="AB23" i="4"/>
  <c r="AB24" i="4"/>
  <c r="AB25" i="4"/>
  <c r="AB26" i="4"/>
  <c r="AB27" i="4"/>
  <c r="AB17" i="4"/>
  <c r="AB16" i="4"/>
  <c r="AA18" i="4"/>
  <c r="AA19" i="4"/>
  <c r="AA20" i="4"/>
  <c r="AA21" i="4"/>
  <c r="AA22" i="4"/>
  <c r="AA23" i="4"/>
  <c r="AA24" i="4"/>
  <c r="AA25" i="4"/>
  <c r="AA26" i="4"/>
  <c r="AA27" i="4"/>
  <c r="AA17" i="4"/>
  <c r="AA16" i="4"/>
  <c r="Z18" i="4"/>
  <c r="Z19" i="4"/>
  <c r="Z20" i="4"/>
  <c r="Z21" i="4"/>
  <c r="Z22" i="4"/>
  <c r="Z23" i="4"/>
  <c r="Z24" i="4"/>
  <c r="Z25" i="4"/>
  <c r="Z26" i="4"/>
  <c r="Z27" i="4"/>
  <c r="Z17" i="4"/>
  <c r="Z16" i="4"/>
  <c r="Y16" i="4"/>
  <c r="Y18" i="4"/>
  <c r="Y19" i="4"/>
  <c r="Y20" i="4"/>
  <c r="Y21" i="4"/>
  <c r="Y22" i="4"/>
  <c r="Y23" i="4"/>
  <c r="Y24" i="4"/>
  <c r="Y25" i="4"/>
  <c r="Y26" i="4"/>
  <c r="Y27" i="4"/>
  <c r="Y17" i="4"/>
  <c r="X18" i="4"/>
  <c r="X19" i="4"/>
  <c r="X20" i="4"/>
  <c r="X21" i="4"/>
  <c r="X22" i="4"/>
  <c r="X23" i="4"/>
  <c r="X24" i="4"/>
  <c r="X25" i="4"/>
  <c r="X26" i="4"/>
  <c r="X27" i="4"/>
  <c r="X17" i="4"/>
  <c r="W18" i="4"/>
  <c r="W19" i="4"/>
  <c r="W20" i="4"/>
  <c r="W21" i="4"/>
  <c r="W22" i="4"/>
  <c r="W23" i="4"/>
  <c r="W24" i="4"/>
  <c r="W25" i="4"/>
  <c r="W26" i="4"/>
  <c r="W27" i="4"/>
  <c r="W17" i="4"/>
  <c r="X16" i="4"/>
  <c r="W16" i="4"/>
  <c r="V18" i="4"/>
  <c r="V19" i="4"/>
  <c r="V20" i="4"/>
  <c r="V21" i="4"/>
  <c r="V22" i="4"/>
  <c r="V23" i="4"/>
  <c r="V24" i="4"/>
  <c r="V25" i="4"/>
  <c r="V26" i="4"/>
  <c r="V27" i="4"/>
  <c r="V17" i="4"/>
  <c r="V16" i="4"/>
  <c r="U18" i="4"/>
  <c r="U19" i="4"/>
  <c r="U20" i="4"/>
  <c r="U21" i="4"/>
  <c r="U22" i="4"/>
  <c r="U23" i="4"/>
  <c r="U24" i="4"/>
  <c r="U25" i="4"/>
  <c r="U26" i="4"/>
  <c r="U27" i="4"/>
  <c r="U17" i="4"/>
  <c r="T18" i="4"/>
  <c r="T19" i="4"/>
  <c r="T20" i="4"/>
  <c r="T21" i="4"/>
  <c r="T22" i="4"/>
  <c r="T23" i="4"/>
  <c r="T24" i="4"/>
  <c r="T25" i="4"/>
  <c r="T26" i="4"/>
  <c r="T27" i="4"/>
  <c r="T17" i="4"/>
  <c r="S18" i="4"/>
  <c r="S19" i="4"/>
  <c r="S20" i="4"/>
  <c r="S21" i="4"/>
  <c r="S22" i="4"/>
  <c r="S23" i="4"/>
  <c r="S24" i="4"/>
  <c r="S25" i="4"/>
  <c r="S26" i="4"/>
  <c r="S27" i="4"/>
  <c r="S17" i="4"/>
  <c r="R18" i="4"/>
  <c r="R19" i="4"/>
  <c r="R20" i="4"/>
  <c r="R21" i="4"/>
  <c r="R22" i="4"/>
  <c r="R23" i="4"/>
  <c r="R24" i="4"/>
  <c r="R25" i="4"/>
  <c r="R26" i="4"/>
  <c r="R27" i="4"/>
  <c r="R17" i="4"/>
  <c r="Q18" i="4"/>
  <c r="Q19" i="4"/>
  <c r="Q20" i="4"/>
  <c r="Q21" i="4"/>
  <c r="Q22" i="4"/>
  <c r="Q23" i="4"/>
  <c r="Q24" i="4"/>
  <c r="Q25" i="4"/>
  <c r="Q26" i="4"/>
  <c r="Q27" i="4"/>
  <c r="Q17" i="4"/>
  <c r="U16" i="4"/>
  <c r="T16" i="4"/>
  <c r="S16" i="4"/>
  <c r="R16" i="4"/>
  <c r="Q16" i="4"/>
  <c r="P18" i="4"/>
  <c r="P19" i="4"/>
  <c r="P20" i="4"/>
  <c r="P21" i="4"/>
  <c r="P22" i="4"/>
  <c r="P23" i="4"/>
  <c r="P24" i="4"/>
  <c r="P25" i="4"/>
  <c r="P26" i="4"/>
  <c r="P27" i="4"/>
  <c r="P17" i="4"/>
  <c r="P16" i="4"/>
  <c r="O18" i="4"/>
  <c r="O19" i="4"/>
  <c r="O20" i="4"/>
  <c r="O21" i="4"/>
  <c r="O22" i="4"/>
  <c r="O23" i="4"/>
  <c r="O24" i="4"/>
  <c r="O25" i="4"/>
  <c r="O26" i="4"/>
  <c r="O27" i="4"/>
  <c r="O17" i="4"/>
  <c r="O16" i="4"/>
  <c r="N18" i="4"/>
  <c r="N19" i="4"/>
  <c r="N20" i="4"/>
  <c r="N21" i="4"/>
  <c r="N22" i="4"/>
  <c r="N23" i="4"/>
  <c r="N24" i="4"/>
  <c r="N25" i="4"/>
  <c r="N26" i="4"/>
  <c r="N27" i="4"/>
  <c r="N17" i="4"/>
  <c r="N16" i="4"/>
  <c r="M18" i="4"/>
  <c r="M19" i="4"/>
  <c r="M20" i="4"/>
  <c r="M21" i="4"/>
  <c r="M22" i="4"/>
  <c r="M23" i="4"/>
  <c r="M24" i="4"/>
  <c r="M25" i="4"/>
  <c r="M26" i="4"/>
  <c r="M27" i="4"/>
  <c r="M17" i="4"/>
  <c r="M16" i="4"/>
  <c r="L18" i="4"/>
  <c r="L19" i="4"/>
  <c r="L20" i="4"/>
  <c r="L21" i="4"/>
  <c r="L22" i="4"/>
  <c r="L23" i="4"/>
  <c r="L24" i="4"/>
  <c r="L25" i="4"/>
  <c r="L26" i="4"/>
  <c r="L27" i="4"/>
  <c r="L17" i="4"/>
  <c r="L16" i="4"/>
  <c r="K18" i="4"/>
  <c r="K19" i="4"/>
  <c r="K20" i="4"/>
  <c r="K21" i="4"/>
  <c r="K22" i="4"/>
  <c r="K23" i="4"/>
  <c r="K24" i="4"/>
  <c r="K25" i="4"/>
  <c r="K26" i="4"/>
  <c r="K27" i="4"/>
  <c r="K17" i="4"/>
  <c r="K16" i="4"/>
  <c r="J18" i="4"/>
  <c r="J19" i="4"/>
  <c r="J20" i="4"/>
  <c r="J21" i="4"/>
  <c r="J22" i="4"/>
  <c r="J23" i="4"/>
  <c r="J24" i="4"/>
  <c r="J25" i="4"/>
  <c r="J26" i="4"/>
  <c r="J27" i="4"/>
  <c r="J17" i="4"/>
  <c r="J16" i="4"/>
  <c r="I18" i="4"/>
  <c r="I19" i="4"/>
  <c r="I20" i="4"/>
  <c r="I21" i="4"/>
  <c r="I22" i="4"/>
  <c r="I23" i="4"/>
  <c r="I24" i="4"/>
  <c r="I25" i="4"/>
  <c r="I26" i="4"/>
  <c r="I27" i="4"/>
  <c r="I17" i="4"/>
  <c r="I16" i="4"/>
  <c r="H18" i="4"/>
  <c r="H19" i="4"/>
  <c r="H20" i="4"/>
  <c r="H21" i="4"/>
  <c r="H22" i="4"/>
  <c r="H23" i="4"/>
  <c r="H24" i="4"/>
  <c r="H25" i="4"/>
  <c r="H26" i="4"/>
  <c r="H27" i="4"/>
  <c r="H17" i="4"/>
  <c r="H16" i="4"/>
  <c r="G18" i="4"/>
  <c r="G19" i="4"/>
  <c r="G20" i="4"/>
  <c r="G21" i="4"/>
  <c r="G22" i="4"/>
  <c r="G23" i="4"/>
  <c r="G24" i="4"/>
  <c r="G25" i="4"/>
  <c r="G26" i="4"/>
  <c r="G27" i="4"/>
  <c r="G17" i="4"/>
  <c r="G16" i="4"/>
  <c r="F18" i="4"/>
  <c r="F19" i="4"/>
  <c r="F20" i="4"/>
  <c r="F21" i="4"/>
  <c r="F22" i="4"/>
  <c r="F23" i="4"/>
  <c r="F24" i="4"/>
  <c r="F25" i="4"/>
  <c r="F26" i="4"/>
  <c r="F27" i="4"/>
  <c r="F17" i="4"/>
  <c r="F16" i="4"/>
  <c r="E18" i="4"/>
  <c r="E19" i="4"/>
  <c r="E20" i="4"/>
  <c r="E21" i="4"/>
  <c r="E22" i="4"/>
  <c r="E23" i="4"/>
  <c r="E24" i="4"/>
  <c r="E25" i="4"/>
  <c r="E26" i="4"/>
  <c r="E27" i="4"/>
  <c r="E17" i="4"/>
  <c r="E16" i="4"/>
  <c r="D18" i="4"/>
  <c r="D19" i="4"/>
  <c r="D20" i="4"/>
  <c r="D21" i="4"/>
  <c r="D22" i="4"/>
  <c r="D23" i="4"/>
  <c r="D24" i="4"/>
  <c r="D25" i="4"/>
  <c r="D26" i="4"/>
  <c r="D27" i="4"/>
  <c r="D17" i="4"/>
  <c r="D16" i="4"/>
  <c r="C18" i="4"/>
  <c r="C19" i="4"/>
  <c r="C20" i="4"/>
  <c r="C21" i="4"/>
  <c r="C22" i="4"/>
  <c r="C23" i="4"/>
  <c r="C24" i="4"/>
  <c r="C25" i="4"/>
  <c r="C26" i="4"/>
  <c r="C27" i="4"/>
  <c r="C17" i="4"/>
  <c r="C16" i="4"/>
  <c r="AA30" i="4"/>
  <c r="AB30" i="4"/>
  <c r="AC30" i="4"/>
  <c r="AA29" i="4"/>
  <c r="AB29" i="4"/>
  <c r="AC29" i="4"/>
  <c r="AC15" i="4"/>
  <c r="AB15" i="4"/>
  <c r="Z30" i="4"/>
  <c r="Z29" i="4"/>
  <c r="Z15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ALEXANDRE</author>
  </authors>
  <commentList>
    <comment ref="I4" authorId="0" shapeId="0" xr:uid="{9216E6B9-7E2E-4F2A-B47E-F9499108A541}">
      <text>
        <r>
          <rPr>
            <b/>
            <sz val="9"/>
            <color indexed="81"/>
            <rFont val="Segoe UI"/>
            <family val="2"/>
          </rPr>
          <t>ALEXANDRE:</t>
        </r>
        <r>
          <rPr>
            <sz val="9"/>
            <color indexed="81"/>
            <rFont val="Segoe UI"/>
            <family val="2"/>
          </rPr>
          <t xml:space="preserve">
Não consigo colocar uma formula automática para puxar essa informação da aba Selic. Esse % é vinculado ao ano e mês da coluna VCTO desta aba em amarelo.</t>
        </r>
      </text>
    </comment>
  </commentList>
</comments>
</file>

<file path=xl/sharedStrings.xml><?xml version="1.0" encoding="utf-8"?>
<sst xmlns="http://schemas.openxmlformats.org/spreadsheetml/2006/main" count="209" uniqueCount="62">
  <si>
    <t>Taxa Selic = Mensal</t>
  </si>
  <si>
    <t xml:space="preserve">Mês/Ano </t>
  </si>
  <si>
    <t xml:space="preserve">Janeiro </t>
  </si>
  <si>
    <t xml:space="preserve">Fevereiro </t>
  </si>
  <si>
    <t xml:space="preserve">Março </t>
  </si>
  <si>
    <t xml:space="preserve">Abril </t>
  </si>
  <si>
    <t xml:space="preserve">Maio </t>
  </si>
  <si>
    <t xml:space="preserve">Junho </t>
  </si>
  <si>
    <t xml:space="preserve">Julho </t>
  </si>
  <si>
    <t xml:space="preserve">Agosto </t>
  </si>
  <si>
    <t xml:space="preserve">Setembro </t>
  </si>
  <si>
    <t xml:space="preserve">Outubro </t>
  </si>
  <si>
    <t xml:space="preserve">Novembro </t>
  </si>
  <si>
    <t xml:space="preserve">Dezembro </t>
  </si>
  <si>
    <t>Taxa Selic = Acumulada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</si>
  <si>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</si>
  <si>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</si>
  <si>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</si>
  <si>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</si>
  <si>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</si>
  <si>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</si>
  <si>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</si>
  <si>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</si>
  <si>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</si>
  <si>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</si>
  <si>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</si>
  <si>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</si>
  <si>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</t>
  </si>
  <si>
    <t>FATOR</t>
  </si>
  <si>
    <t>SELIC CAPITALIZADA - MENSAL</t>
  </si>
  <si>
    <t>VCTO</t>
  </si>
  <si>
    <t>ATUAL</t>
  </si>
  <si>
    <t>VALOR</t>
  </si>
  <si>
    <t>SELIC</t>
  </si>
  <si>
    <t>Dezembro</t>
  </si>
  <si>
    <t>Janeiro</t>
  </si>
  <si>
    <t>MÊS</t>
  </si>
  <si>
    <t>ANO</t>
  </si>
  <si>
    <t>ATUALIZAÇÃO</t>
  </si>
  <si>
    <t>DEVIDO</t>
  </si>
  <si>
    <t>ACUMUL</t>
  </si>
  <si>
    <t>TABELA DE MULTA DE MORA</t>
  </si>
  <si>
    <t>Nº DIAS DE ATRASO</t>
  </si>
  <si>
    <t>% DE MULTA</t>
  </si>
  <si>
    <t>a partir de 61 dias</t>
  </si>
  <si>
    <t>COMPET</t>
  </si>
  <si>
    <t>MONET</t>
  </si>
  <si>
    <t>ATUALIZADO</t>
  </si>
  <si>
    <t>MULTA</t>
  </si>
  <si>
    <t>TOTAL</t>
  </si>
  <si>
    <t>TRIBUTO</t>
  </si>
  <si>
    <t>INSS - PJ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</si>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</sst>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00_ ;\-#,##0.000000\ "/>
    <numFmt numFmtId="165" formatCode="#,##0.00_ ;\-#,##0.00\ 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daytona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Daytona"/>
      <family val="2"/>
    </font>
    <font>
      <sz val="8"/>
      <name val="Daytona"/>
      <family val="2"/>
    </font>
    <font>
      <b/>
      <i/>
      <sz val="8"/>
      <color indexed="10"/>
      <name val="Daytona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daytona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4" fillId="0" borderId="0" applyFont="0" applyFill="0" applyBorder="0" applyAlignment="0" applyProtection="0"/>
    <xf numFmtId="0" fontId="4" fillId="0" borderId="0"/>
    <xf numFmtId="0" fontId="2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5" fillId="3" borderId="2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5" fillId="0" borderId="2" xfId="1" applyFont="1" applyBorder="1" applyAlignment="1">
      <alignment vertical="center" wrapText="1"/>
    </xf>
    <xf numFmtId="10" fontId="6" fillId="0" borderId="2" xfId="1" applyNumberFormat="1" applyFont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10" fontId="6" fillId="0" borderId="2" xfId="2" applyNumberFormat="1" applyFont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10" fontId="6" fillId="0" borderId="2" xfId="2" applyNumberFormat="1" applyFont="1" applyFill="1" applyBorder="1" applyAlignment="1">
      <alignment horizontal="center" vertical="center" wrapText="1"/>
    </xf>
    <xf numFmtId="10" fontId="6" fillId="0" borderId="2" xfId="2" quotePrefix="1" applyNumberFormat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10" fontId="6" fillId="0" borderId="4" xfId="1" applyNumberFormat="1" applyFont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10" fontId="6" fillId="0" borderId="3" xfId="1" applyNumberFormat="1" applyFont="1" applyBorder="1" applyAlignment="1">
      <alignment horizontal="center" vertical="center" wrapText="1"/>
    </xf>
    <xf numFmtId="43" fontId="6" fillId="0" borderId="0" xfId="8" applyFont="1" applyAlignment="1">
      <alignment horizontal="center" vertical="center"/>
    </xf>
    <xf numFmtId="10" fontId="6" fillId="0" borderId="0" xfId="1" applyNumberFormat="1" applyFont="1" applyAlignment="1">
      <alignment vertical="center"/>
    </xf>
    <xf numFmtId="43" fontId="6" fillId="0" borderId="0" xfId="8" applyFont="1" applyAlignment="1">
      <alignment vertical="center"/>
    </xf>
    <xf numFmtId="43" fontId="6" fillId="0" borderId="0" xfId="1" applyNumberFormat="1" applyFont="1" applyAlignment="1">
      <alignment vertical="center"/>
    </xf>
    <xf numFmtId="164" fontId="0" fillId="0" borderId="0" xfId="0" applyNumberFormat="1"/>
    <xf numFmtId="0" fontId="8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/>
    </xf>
    <xf numFmtId="14" fontId="8" fillId="0" borderId="0" xfId="0" applyNumberFormat="1" applyFont="1"/>
    <xf numFmtId="0" fontId="8" fillId="0" borderId="0" xfId="0" applyFont="1"/>
    <xf numFmtId="10" fontId="0" fillId="0" borderId="0" xfId="9" applyNumberFormat="1" applyFont="1"/>
    <xf numFmtId="0" fontId="9" fillId="8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10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10" fontId="10" fillId="3" borderId="3" xfId="0" applyNumberFormat="1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165" fontId="9" fillId="0" borderId="3" xfId="0" applyNumberFormat="1" applyFont="1" applyBorder="1" applyAlignment="1">
      <alignment vertical="center"/>
    </xf>
    <xf numFmtId="0" fontId="1" fillId="0" borderId="3" xfId="0" applyNumberFormat="1" applyFont="1" applyBorder="1" applyAlignment="1">
      <alignment horizontal="center" vertical="center"/>
    </xf>
    <xf numFmtId="10" fontId="1" fillId="0" borderId="3" xfId="9" applyNumberFormat="1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17" fontId="1" fillId="0" borderId="0" xfId="0" applyNumberFormat="1" applyFont="1" applyAlignment="1">
      <alignment vertical="center"/>
    </xf>
    <xf numFmtId="4" fontId="1" fillId="0" borderId="3" xfId="0" applyNumberFormat="1" applyFont="1" applyBorder="1" applyAlignment="1">
      <alignment horizontal="right" vertical="center"/>
    </xf>
    <xf numFmtId="0" fontId="1" fillId="9" borderId="3" xfId="0" applyNumberFormat="1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textRotation="90" wrapText="1"/>
    </xf>
    <xf numFmtId="0" fontId="7" fillId="4" borderId="1" xfId="1" applyFont="1" applyFill="1" applyBorder="1" applyAlignment="1">
      <alignment horizontal="center" vertical="center" textRotation="90" wrapText="1"/>
    </xf>
    <xf numFmtId="0" fontId="7" fillId="6" borderId="1" xfId="1" applyFont="1" applyFill="1" applyBorder="1" applyAlignment="1">
      <alignment horizontal="center" vertical="center" textRotation="90" wrapText="1"/>
    </xf>
    <xf numFmtId="0" fontId="10" fillId="0" borderId="0" xfId="0" applyFont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</cellXfs>
  <cellStyles count="10">
    <cellStyle name="Normal" xfId="0" builtinId="0"/>
    <cellStyle name="Normal 2" xfId="3" xr:uid="{00000000-0005-0000-0000-000001000000}"/>
    <cellStyle name="Normal 2 2" xfId="4" xr:uid="{00000000-0005-0000-0000-000002000000}"/>
    <cellStyle name="Normal_SELIC" xfId="1" xr:uid="{00000000-0005-0000-0000-000003000000}"/>
    <cellStyle name="Porcentagem" xfId="9" builtinId="5"/>
    <cellStyle name="Porcentagem 2" xfId="2" xr:uid="{00000000-0005-0000-0000-000004000000}"/>
    <cellStyle name="Porcentagem 2 2" xfId="5" xr:uid="{00000000-0005-0000-0000-000005000000}"/>
    <cellStyle name="Porcentagem 2 3" xfId="6" xr:uid="{00000000-0005-0000-0000-000006000000}"/>
    <cellStyle name="Vírgula" xfId="8" builtinId="3"/>
    <cellStyle name="Vírgula 2" xfId="7" xr:uid="{00000000-0005-0000-0000-000007000000}"/>
  </cellStyles>
  <dxfs count="47">
    <dxf>
      <font>
        <color auto="1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lor auto="1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lor auto="1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  <dxf>
      <font>
        <condense val="0"/>
        <extend val="0"/>
        <color indexed="43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2A3A-72A6-46B1-B833-1046A2ACBF61}">
  <dimension ref="A2:N40"/>
  <sheetViews>
    <sheetView showGridLines="0" tabSelected="1" workbookViewId="0">
      <selection activeCell="I5" sqref="I5"/>
    </sheetView>
  </sheetViews>
  <sheetFormatPr defaultColWidth="9.14453125" defaultRowHeight="15.95" customHeight="1" x14ac:dyDescent="0.2"/>
  <cols>
    <col min="1" max="1" width="8.47265625" style="35" bestFit="1" customWidth="1"/>
    <col min="2" max="2" width="8.7421875" style="35" bestFit="1" customWidth="1"/>
    <col min="3" max="3" width="5.109375" style="35" bestFit="1" customWidth="1"/>
    <col min="4" max="4" width="8.7421875" style="35" bestFit="1" customWidth="1"/>
    <col min="5" max="5" width="5.109375" style="35" bestFit="1" customWidth="1"/>
    <col min="6" max="6" width="8.7421875" style="35" bestFit="1" customWidth="1"/>
    <col min="7" max="7" width="5.109375" style="35" bestFit="1" customWidth="1"/>
    <col min="8" max="8" width="8.875" style="35" bestFit="1" customWidth="1"/>
    <col min="9" max="9" width="7.80078125" style="35" bestFit="1" customWidth="1"/>
    <col min="10" max="10" width="8.609375" style="35" bestFit="1" customWidth="1"/>
    <col min="11" max="11" width="11.56640625" style="35" bestFit="1" customWidth="1"/>
    <col min="12" max="12" width="8.47265625" style="35" bestFit="1" customWidth="1"/>
    <col min="13" max="13" width="9.4140625" style="35" bestFit="1" customWidth="1"/>
    <col min="14" max="16384" width="9.14453125" style="35"/>
  </cols>
  <sheetData>
    <row r="2" spans="1:14" ht="15.95" customHeight="1" x14ac:dyDescent="0.2">
      <c r="A2" s="44" t="s">
        <v>50</v>
      </c>
      <c r="B2" s="46" t="s">
        <v>45</v>
      </c>
      <c r="C2" s="46"/>
      <c r="D2" s="46" t="s">
        <v>30</v>
      </c>
      <c r="E2" s="46"/>
      <c r="F2" s="46" t="s">
        <v>38</v>
      </c>
      <c r="G2" s="46"/>
      <c r="H2" s="33" t="s">
        <v>32</v>
      </c>
      <c r="I2" s="33" t="s">
        <v>33</v>
      </c>
      <c r="J2" s="33" t="s">
        <v>31</v>
      </c>
      <c r="K2" s="33" t="s">
        <v>32</v>
      </c>
      <c r="L2" s="33" t="s">
        <v>32</v>
      </c>
      <c r="M2" s="44" t="s">
        <v>49</v>
      </c>
    </row>
    <row r="3" spans="1:14" ht="15.95" customHeight="1" x14ac:dyDescent="0.2">
      <c r="A3" s="45"/>
      <c r="B3" s="25" t="s">
        <v>36</v>
      </c>
      <c r="C3" s="25" t="s">
        <v>37</v>
      </c>
      <c r="D3" s="25" t="s">
        <v>36</v>
      </c>
      <c r="E3" s="25" t="s">
        <v>37</v>
      </c>
      <c r="F3" s="25" t="s">
        <v>36</v>
      </c>
      <c r="G3" s="25" t="s">
        <v>37</v>
      </c>
      <c r="H3" s="34" t="s">
        <v>39</v>
      </c>
      <c r="I3" s="34" t="s">
        <v>40</v>
      </c>
      <c r="J3" s="34" t="s">
        <v>46</v>
      </c>
      <c r="K3" s="34" t="s">
        <v>47</v>
      </c>
      <c r="L3" s="34" t="s">
        <v>48</v>
      </c>
      <c r="M3" s="45"/>
    </row>
    <row r="4" spans="1:14" ht="15.95" customHeight="1" x14ac:dyDescent="0.2">
      <c r="A4" s="36" t="s">
        <v>51</v>
      </c>
      <c r="B4" s="38" t="s">
        <v>34</v>
      </c>
      <c r="C4" s="38">
        <v>2018</v>
      </c>
      <c r="D4" s="43" t="s">
        <v>35</v>
      </c>
      <c r="E4" s="43">
        <v>2019</v>
      </c>
      <c r="F4" s="38" t="s">
        <v>34</v>
      </c>
      <c r="G4" s="38">
        <v>2021</v>
      </c>
      <c r="H4" s="42">
        <v>9435.82</v>
      </c>
      <c r="I4" s="39">
        <v>0.13320000000000001</v>
      </c>
      <c r="J4" s="40">
        <f>+H4*I4</f>
        <v>1256.851224</v>
      </c>
      <c r="K4" s="40">
        <f>+H4+J4</f>
        <v>10692.671224</v>
      </c>
      <c r="L4" s="40">
        <f>+H4*20%</f>
        <v>1887.164</v>
      </c>
      <c r="M4" s="37">
        <f>+L4+K4</f>
        <v>12579.835224</v>
      </c>
    </row>
    <row r="5" spans="1:14" ht="15.95" customHeight="1" x14ac:dyDescent="0.2">
      <c r="A5" s="36" t="s">
        <v>51</v>
      </c>
      <c r="B5" s="38" t="s">
        <v>35</v>
      </c>
      <c r="C5" s="38">
        <v>2019</v>
      </c>
      <c r="D5" s="38" t="s">
        <v>52</v>
      </c>
      <c r="E5" s="38">
        <v>2019</v>
      </c>
      <c r="F5" s="38" t="s">
        <v>34</v>
      </c>
      <c r="G5" s="38">
        <v>2021</v>
      </c>
      <c r="H5" s="42">
        <v>11231.17</v>
      </c>
      <c r="I5" s="39"/>
      <c r="J5" s="40">
        <f t="shared" ref="J5:J40" si="0">+H5*I5</f>
        <v>0</v>
      </c>
      <c r="K5" s="40">
        <f t="shared" ref="K5:K40" si="1">+H5+J5</f>
        <v>11231.17</v>
      </c>
      <c r="L5" s="40"/>
      <c r="M5" s="37">
        <f t="shared" ref="M5:M40" si="2">+L5+K5</f>
        <v>11231.17</v>
      </c>
    </row>
    <row r="6" spans="1:14" ht="15.95" customHeight="1" x14ac:dyDescent="0.2">
      <c r="A6" s="36" t="s">
        <v>51</v>
      </c>
      <c r="B6" s="38" t="s">
        <v>52</v>
      </c>
      <c r="C6" s="38">
        <v>2019</v>
      </c>
      <c r="D6" s="38" t="s">
        <v>53</v>
      </c>
      <c r="E6" s="38">
        <v>2019</v>
      </c>
      <c r="F6" s="38" t="s">
        <v>34</v>
      </c>
      <c r="G6" s="38">
        <v>2021</v>
      </c>
      <c r="H6" s="42">
        <v>11231.17</v>
      </c>
      <c r="I6" s="39"/>
      <c r="J6" s="40">
        <f t="shared" si="0"/>
        <v>0</v>
      </c>
      <c r="K6" s="40">
        <f t="shared" si="1"/>
        <v>11231.17</v>
      </c>
      <c r="L6" s="40"/>
      <c r="M6" s="37">
        <f t="shared" si="2"/>
        <v>11231.17</v>
      </c>
    </row>
    <row r="7" spans="1:14" ht="15.95" customHeight="1" x14ac:dyDescent="0.2">
      <c r="A7" s="36" t="s">
        <v>51</v>
      </c>
      <c r="B7" s="38" t="s">
        <v>53</v>
      </c>
      <c r="C7" s="38">
        <v>2019</v>
      </c>
      <c r="D7" s="38" t="s">
        <v>54</v>
      </c>
      <c r="E7" s="38">
        <v>2019</v>
      </c>
      <c r="F7" s="38" t="s">
        <v>34</v>
      </c>
      <c r="G7" s="38">
        <v>2021</v>
      </c>
      <c r="H7" s="42">
        <v>11833.17</v>
      </c>
      <c r="I7" s="39"/>
      <c r="J7" s="40">
        <f t="shared" si="0"/>
        <v>0</v>
      </c>
      <c r="K7" s="40">
        <f t="shared" si="1"/>
        <v>11833.17</v>
      </c>
      <c r="L7" s="40"/>
      <c r="M7" s="37">
        <f t="shared" si="2"/>
        <v>11833.17</v>
      </c>
      <c r="N7" s="41"/>
    </row>
    <row r="8" spans="1:14" ht="15.95" customHeight="1" x14ac:dyDescent="0.2">
      <c r="A8" s="36" t="s">
        <v>51</v>
      </c>
      <c r="B8" s="38" t="s">
        <v>54</v>
      </c>
      <c r="C8" s="38">
        <v>2019</v>
      </c>
      <c r="D8" s="38" t="s">
        <v>55</v>
      </c>
      <c r="E8" s="38">
        <v>2019</v>
      </c>
      <c r="F8" s="38" t="s">
        <v>34</v>
      </c>
      <c r="G8" s="38">
        <v>2021</v>
      </c>
      <c r="H8" s="42">
        <v>11833.17</v>
      </c>
      <c r="I8" s="39"/>
      <c r="J8" s="40">
        <f t="shared" si="0"/>
        <v>0</v>
      </c>
      <c r="K8" s="40">
        <f t="shared" si="1"/>
        <v>11833.17</v>
      </c>
      <c r="L8" s="40"/>
      <c r="M8" s="37">
        <f t="shared" si="2"/>
        <v>11833.17</v>
      </c>
    </row>
    <row r="9" spans="1:14" ht="15.95" customHeight="1" x14ac:dyDescent="0.2">
      <c r="A9" s="36" t="s">
        <v>51</v>
      </c>
      <c r="B9" s="38" t="s">
        <v>55</v>
      </c>
      <c r="C9" s="38">
        <v>2019</v>
      </c>
      <c r="D9" s="38" t="s">
        <v>56</v>
      </c>
      <c r="E9" s="38">
        <v>2019</v>
      </c>
      <c r="F9" s="38" t="s">
        <v>34</v>
      </c>
      <c r="G9" s="38">
        <v>2021</v>
      </c>
      <c r="H9" s="42">
        <v>11511.17</v>
      </c>
      <c r="I9" s="39"/>
      <c r="J9" s="40">
        <f t="shared" si="0"/>
        <v>0</v>
      </c>
      <c r="K9" s="40">
        <f t="shared" si="1"/>
        <v>11511.17</v>
      </c>
      <c r="L9" s="40"/>
      <c r="M9" s="37">
        <f t="shared" si="2"/>
        <v>11511.17</v>
      </c>
    </row>
    <row r="10" spans="1:14" ht="15.95" customHeight="1" x14ac:dyDescent="0.2">
      <c r="A10" s="36" t="s">
        <v>51</v>
      </c>
      <c r="B10" s="38" t="s">
        <v>56</v>
      </c>
      <c r="C10" s="38">
        <v>2019</v>
      </c>
      <c r="D10" s="38" t="s">
        <v>57</v>
      </c>
      <c r="E10" s="38">
        <v>2019</v>
      </c>
      <c r="F10" s="38" t="s">
        <v>34</v>
      </c>
      <c r="G10" s="38">
        <v>2021</v>
      </c>
      <c r="H10" s="42">
        <v>11847.17</v>
      </c>
      <c r="I10" s="39"/>
      <c r="J10" s="40">
        <f t="shared" si="0"/>
        <v>0</v>
      </c>
      <c r="K10" s="40">
        <f t="shared" si="1"/>
        <v>11847.17</v>
      </c>
      <c r="L10" s="40"/>
      <c r="M10" s="37">
        <f t="shared" si="2"/>
        <v>11847.17</v>
      </c>
    </row>
    <row r="11" spans="1:14" ht="15.95" customHeight="1" x14ac:dyDescent="0.2">
      <c r="A11" s="36" t="s">
        <v>51</v>
      </c>
      <c r="B11" s="38" t="s">
        <v>57</v>
      </c>
      <c r="C11" s="38">
        <v>2019</v>
      </c>
      <c r="D11" s="38" t="s">
        <v>58</v>
      </c>
      <c r="E11" s="38">
        <v>2019</v>
      </c>
      <c r="F11" s="38" t="s">
        <v>34</v>
      </c>
      <c r="G11" s="38">
        <v>2021</v>
      </c>
      <c r="H11" s="42">
        <v>11847.17</v>
      </c>
      <c r="I11" s="39"/>
      <c r="J11" s="40">
        <f t="shared" si="0"/>
        <v>0</v>
      </c>
      <c r="K11" s="40">
        <f t="shared" si="1"/>
        <v>11847.17</v>
      </c>
      <c r="L11" s="40"/>
      <c r="M11" s="37">
        <f t="shared" si="2"/>
        <v>11847.17</v>
      </c>
    </row>
    <row r="12" spans="1:14" ht="15.95" customHeight="1" x14ac:dyDescent="0.2">
      <c r="A12" s="36" t="s">
        <v>51</v>
      </c>
      <c r="B12" s="38" t="s">
        <v>58</v>
      </c>
      <c r="C12" s="38">
        <v>2019</v>
      </c>
      <c r="D12" s="38" t="s">
        <v>59</v>
      </c>
      <c r="E12" s="38">
        <v>2019</v>
      </c>
      <c r="F12" s="38" t="s">
        <v>34</v>
      </c>
      <c r="G12" s="38">
        <v>2021</v>
      </c>
      <c r="H12" s="42">
        <v>13476.55</v>
      </c>
      <c r="I12" s="39"/>
      <c r="J12" s="40">
        <f t="shared" si="0"/>
        <v>0</v>
      </c>
      <c r="K12" s="40">
        <f t="shared" si="1"/>
        <v>13476.55</v>
      </c>
      <c r="L12" s="40"/>
      <c r="M12" s="37">
        <f t="shared" si="2"/>
        <v>13476.55</v>
      </c>
    </row>
    <row r="13" spans="1:14" ht="15.95" customHeight="1" x14ac:dyDescent="0.2">
      <c r="A13" s="36" t="s">
        <v>51</v>
      </c>
      <c r="B13" s="38" t="s">
        <v>59</v>
      </c>
      <c r="C13" s="38">
        <v>2019</v>
      </c>
      <c r="D13" s="38" t="s">
        <v>60</v>
      </c>
      <c r="E13" s="38">
        <v>2019</v>
      </c>
      <c r="F13" s="38" t="s">
        <v>34</v>
      </c>
      <c r="G13" s="38">
        <v>2021</v>
      </c>
      <c r="H13" s="42">
        <v>14534.04</v>
      </c>
      <c r="I13" s="39"/>
      <c r="J13" s="40">
        <f t="shared" si="0"/>
        <v>0</v>
      </c>
      <c r="K13" s="40">
        <f t="shared" si="1"/>
        <v>14534.04</v>
      </c>
      <c r="L13" s="40"/>
      <c r="M13" s="37">
        <f t="shared" si="2"/>
        <v>14534.04</v>
      </c>
    </row>
    <row r="14" spans="1:14" ht="15.95" customHeight="1" x14ac:dyDescent="0.2">
      <c r="A14" s="36" t="s">
        <v>51</v>
      </c>
      <c r="B14" s="38" t="s">
        <v>60</v>
      </c>
      <c r="C14" s="38">
        <v>2019</v>
      </c>
      <c r="D14" s="38" t="s">
        <v>61</v>
      </c>
      <c r="E14" s="38">
        <v>2019</v>
      </c>
      <c r="F14" s="38" t="s">
        <v>34</v>
      </c>
      <c r="G14" s="38">
        <v>2021</v>
      </c>
      <c r="H14" s="42">
        <v>14374.57</v>
      </c>
      <c r="I14" s="39"/>
      <c r="J14" s="40">
        <f t="shared" si="0"/>
        <v>0</v>
      </c>
      <c r="K14" s="40">
        <f t="shared" si="1"/>
        <v>14374.57</v>
      </c>
      <c r="L14" s="40"/>
      <c r="M14" s="37">
        <f t="shared" si="2"/>
        <v>14374.57</v>
      </c>
    </row>
    <row r="15" spans="1:14" ht="15.95" customHeight="1" x14ac:dyDescent="0.2">
      <c r="A15" s="36" t="s">
        <v>51</v>
      </c>
      <c r="B15" s="38" t="s">
        <v>61</v>
      </c>
      <c r="C15" s="38">
        <v>2019</v>
      </c>
      <c r="D15" s="38" t="s">
        <v>34</v>
      </c>
      <c r="E15" s="38">
        <v>2019</v>
      </c>
      <c r="F15" s="38" t="s">
        <v>34</v>
      </c>
      <c r="G15" s="38">
        <v>2021</v>
      </c>
      <c r="H15" s="42">
        <v>14922.93</v>
      </c>
      <c r="I15" s="39"/>
      <c r="J15" s="40">
        <f t="shared" si="0"/>
        <v>0</v>
      </c>
      <c r="K15" s="40">
        <f t="shared" si="1"/>
        <v>14922.93</v>
      </c>
      <c r="L15" s="40"/>
      <c r="M15" s="37">
        <f t="shared" si="2"/>
        <v>14922.93</v>
      </c>
    </row>
    <row r="16" spans="1:14" ht="15.95" customHeight="1" x14ac:dyDescent="0.2">
      <c r="A16" s="36" t="s">
        <v>51</v>
      </c>
      <c r="B16" s="38" t="s">
        <v>34</v>
      </c>
      <c r="C16" s="38">
        <v>2019</v>
      </c>
      <c r="D16" s="38" t="s">
        <v>35</v>
      </c>
      <c r="E16" s="38">
        <v>2020</v>
      </c>
      <c r="F16" s="38" t="s">
        <v>34</v>
      </c>
      <c r="G16" s="38">
        <v>2021</v>
      </c>
      <c r="H16" s="42">
        <v>14182.07</v>
      </c>
      <c r="I16" s="39"/>
      <c r="J16" s="40">
        <f t="shared" si="0"/>
        <v>0</v>
      </c>
      <c r="K16" s="40">
        <f t="shared" si="1"/>
        <v>14182.07</v>
      </c>
      <c r="L16" s="40"/>
      <c r="M16" s="37">
        <f t="shared" si="2"/>
        <v>14182.07</v>
      </c>
    </row>
    <row r="17" spans="1:13" ht="15.95" customHeight="1" x14ac:dyDescent="0.2">
      <c r="A17" s="36" t="s">
        <v>51</v>
      </c>
      <c r="B17" s="38" t="s">
        <v>35</v>
      </c>
      <c r="C17" s="38">
        <v>2020</v>
      </c>
      <c r="D17" s="38" t="s">
        <v>52</v>
      </c>
      <c r="E17" s="38">
        <v>2020</v>
      </c>
      <c r="F17" s="38" t="s">
        <v>34</v>
      </c>
      <c r="G17" s="38">
        <v>2021</v>
      </c>
      <c r="H17" s="42">
        <v>14727.28</v>
      </c>
      <c r="I17" s="39"/>
      <c r="J17" s="40">
        <f t="shared" si="0"/>
        <v>0</v>
      </c>
      <c r="K17" s="40">
        <f t="shared" si="1"/>
        <v>14727.28</v>
      </c>
      <c r="L17" s="40"/>
      <c r="M17" s="37">
        <f t="shared" si="2"/>
        <v>14727.28</v>
      </c>
    </row>
    <row r="18" spans="1:13" ht="15.95" customHeight="1" x14ac:dyDescent="0.2">
      <c r="A18" s="36" t="s">
        <v>51</v>
      </c>
      <c r="B18" s="38" t="s">
        <v>52</v>
      </c>
      <c r="C18" s="38">
        <v>2020</v>
      </c>
      <c r="D18" s="38" t="s">
        <v>53</v>
      </c>
      <c r="E18" s="38">
        <v>2020</v>
      </c>
      <c r="F18" s="38" t="s">
        <v>34</v>
      </c>
      <c r="G18" s="38">
        <v>2021</v>
      </c>
      <c r="H18" s="42">
        <v>14727.28</v>
      </c>
      <c r="I18" s="39"/>
      <c r="J18" s="40">
        <f t="shared" si="0"/>
        <v>0</v>
      </c>
      <c r="K18" s="40">
        <f t="shared" si="1"/>
        <v>14727.28</v>
      </c>
      <c r="L18" s="40"/>
      <c r="M18" s="37">
        <f t="shared" si="2"/>
        <v>14727.28</v>
      </c>
    </row>
    <row r="19" spans="1:13" ht="15.95" customHeight="1" x14ac:dyDescent="0.2">
      <c r="A19" s="36" t="s">
        <v>51</v>
      </c>
      <c r="B19" s="38" t="s">
        <v>53</v>
      </c>
      <c r="C19" s="38">
        <v>2020</v>
      </c>
      <c r="D19" s="38" t="s">
        <v>54</v>
      </c>
      <c r="E19" s="38">
        <v>2020</v>
      </c>
      <c r="F19" s="38" t="s">
        <v>34</v>
      </c>
      <c r="G19" s="38">
        <v>2021</v>
      </c>
      <c r="H19" s="42">
        <v>15768.88</v>
      </c>
      <c r="I19" s="39"/>
      <c r="J19" s="40">
        <f t="shared" si="0"/>
        <v>0</v>
      </c>
      <c r="K19" s="40">
        <f t="shared" si="1"/>
        <v>15768.88</v>
      </c>
      <c r="L19" s="40"/>
      <c r="M19" s="37">
        <f t="shared" si="2"/>
        <v>15768.88</v>
      </c>
    </row>
    <row r="20" spans="1:13" ht="15.95" customHeight="1" x14ac:dyDescent="0.2">
      <c r="A20" s="36" t="s">
        <v>51</v>
      </c>
      <c r="B20" s="38" t="s">
        <v>54</v>
      </c>
      <c r="C20" s="38">
        <v>2020</v>
      </c>
      <c r="D20" s="38" t="s">
        <v>55</v>
      </c>
      <c r="E20" s="38">
        <v>2020</v>
      </c>
      <c r="F20" s="38" t="s">
        <v>34</v>
      </c>
      <c r="G20" s="38">
        <v>2021</v>
      </c>
      <c r="H20" s="42">
        <v>16635.22</v>
      </c>
      <c r="I20" s="39"/>
      <c r="J20" s="40">
        <f t="shared" si="0"/>
        <v>0</v>
      </c>
      <c r="K20" s="40">
        <f t="shared" si="1"/>
        <v>16635.22</v>
      </c>
      <c r="L20" s="40"/>
      <c r="M20" s="37">
        <f t="shared" si="2"/>
        <v>16635.22</v>
      </c>
    </row>
    <row r="21" spans="1:13" ht="15.95" customHeight="1" x14ac:dyDescent="0.2">
      <c r="A21" s="36" t="s">
        <v>51</v>
      </c>
      <c r="B21" s="38" t="s">
        <v>55</v>
      </c>
      <c r="C21" s="38">
        <v>2020</v>
      </c>
      <c r="D21" s="38" t="s">
        <v>56</v>
      </c>
      <c r="E21" s="38">
        <v>2020</v>
      </c>
      <c r="F21" s="38" t="s">
        <v>34</v>
      </c>
      <c r="G21" s="38">
        <v>2021</v>
      </c>
      <c r="H21" s="42">
        <v>16579.22</v>
      </c>
      <c r="I21" s="39"/>
      <c r="J21" s="40">
        <f t="shared" si="0"/>
        <v>0</v>
      </c>
      <c r="K21" s="40">
        <f t="shared" si="1"/>
        <v>16579.22</v>
      </c>
      <c r="L21" s="40"/>
      <c r="M21" s="37">
        <f t="shared" si="2"/>
        <v>16579.22</v>
      </c>
    </row>
    <row r="22" spans="1:13" ht="15.95" customHeight="1" x14ac:dyDescent="0.2">
      <c r="A22" s="36" t="s">
        <v>51</v>
      </c>
      <c r="B22" s="38" t="s">
        <v>56</v>
      </c>
      <c r="C22" s="38">
        <v>2020</v>
      </c>
      <c r="D22" s="38" t="s">
        <v>57</v>
      </c>
      <c r="E22" s="38">
        <v>2020</v>
      </c>
      <c r="F22" s="38" t="s">
        <v>34</v>
      </c>
      <c r="G22" s="38">
        <v>2021</v>
      </c>
      <c r="H22" s="42">
        <v>13219.22</v>
      </c>
      <c r="I22" s="39"/>
      <c r="J22" s="40">
        <f t="shared" si="0"/>
        <v>0</v>
      </c>
      <c r="K22" s="40">
        <f t="shared" si="1"/>
        <v>13219.22</v>
      </c>
      <c r="L22" s="40"/>
      <c r="M22" s="37">
        <f t="shared" si="2"/>
        <v>13219.22</v>
      </c>
    </row>
    <row r="23" spans="1:13" ht="15.95" customHeight="1" x14ac:dyDescent="0.2">
      <c r="A23" s="36" t="s">
        <v>51</v>
      </c>
      <c r="B23" s="38" t="s">
        <v>57</v>
      </c>
      <c r="C23" s="38">
        <v>2020</v>
      </c>
      <c r="D23" s="38" t="s">
        <v>58</v>
      </c>
      <c r="E23" s="38">
        <v>2020</v>
      </c>
      <c r="F23" s="38" t="s">
        <v>34</v>
      </c>
      <c r="G23" s="38">
        <v>2021</v>
      </c>
      <c r="H23" s="42">
        <v>16439.22</v>
      </c>
      <c r="I23" s="39"/>
      <c r="J23" s="40">
        <f t="shared" si="0"/>
        <v>0</v>
      </c>
      <c r="K23" s="40">
        <f t="shared" si="1"/>
        <v>16439.22</v>
      </c>
      <c r="L23" s="40"/>
      <c r="M23" s="37">
        <f t="shared" si="2"/>
        <v>16439.22</v>
      </c>
    </row>
    <row r="24" spans="1:13" ht="15.95" customHeight="1" x14ac:dyDescent="0.2">
      <c r="A24" s="36" t="s">
        <v>51</v>
      </c>
      <c r="B24" s="38" t="s">
        <v>58</v>
      </c>
      <c r="C24" s="38">
        <v>2020</v>
      </c>
      <c r="D24" s="38" t="s">
        <v>59</v>
      </c>
      <c r="E24" s="38">
        <v>2020</v>
      </c>
      <c r="F24" s="38" t="s">
        <v>34</v>
      </c>
      <c r="G24" s="38">
        <v>2021</v>
      </c>
      <c r="H24" s="42">
        <v>17410.09</v>
      </c>
      <c r="I24" s="39"/>
      <c r="J24" s="40">
        <f t="shared" si="0"/>
        <v>0</v>
      </c>
      <c r="K24" s="40">
        <f t="shared" si="1"/>
        <v>17410.09</v>
      </c>
      <c r="L24" s="40"/>
      <c r="M24" s="37">
        <f t="shared" si="2"/>
        <v>17410.09</v>
      </c>
    </row>
    <row r="25" spans="1:13" ht="15.95" customHeight="1" x14ac:dyDescent="0.2">
      <c r="A25" s="36" t="s">
        <v>51</v>
      </c>
      <c r="B25" s="38" t="s">
        <v>59</v>
      </c>
      <c r="C25" s="38">
        <v>2020</v>
      </c>
      <c r="D25" s="38" t="s">
        <v>60</v>
      </c>
      <c r="E25" s="38">
        <v>2020</v>
      </c>
      <c r="F25" s="38" t="s">
        <v>34</v>
      </c>
      <c r="G25" s="38">
        <v>2021</v>
      </c>
      <c r="H25" s="42">
        <v>21109.4</v>
      </c>
      <c r="I25" s="39"/>
      <c r="J25" s="40">
        <f t="shared" si="0"/>
        <v>0</v>
      </c>
      <c r="K25" s="40">
        <f t="shared" si="1"/>
        <v>21109.4</v>
      </c>
      <c r="L25" s="40"/>
      <c r="M25" s="37">
        <f t="shared" si="2"/>
        <v>21109.4</v>
      </c>
    </row>
    <row r="26" spans="1:13" ht="15.95" customHeight="1" x14ac:dyDescent="0.2">
      <c r="A26" s="36" t="s">
        <v>51</v>
      </c>
      <c r="B26" s="38" t="s">
        <v>60</v>
      </c>
      <c r="C26" s="38">
        <v>2020</v>
      </c>
      <c r="D26" s="38" t="s">
        <v>61</v>
      </c>
      <c r="E26" s="38">
        <v>2020</v>
      </c>
      <c r="F26" s="38" t="s">
        <v>34</v>
      </c>
      <c r="G26" s="38">
        <v>2021</v>
      </c>
      <c r="H26" s="42">
        <v>20079.560000000001</v>
      </c>
      <c r="I26" s="39"/>
      <c r="J26" s="40">
        <f t="shared" si="0"/>
        <v>0</v>
      </c>
      <c r="K26" s="40">
        <f t="shared" si="1"/>
        <v>20079.560000000001</v>
      </c>
      <c r="L26" s="40"/>
      <c r="M26" s="37">
        <f t="shared" si="2"/>
        <v>20079.560000000001</v>
      </c>
    </row>
    <row r="27" spans="1:13" ht="15.95" customHeight="1" x14ac:dyDescent="0.2">
      <c r="A27" s="36" t="s">
        <v>51</v>
      </c>
      <c r="B27" s="38" t="s">
        <v>61</v>
      </c>
      <c r="C27" s="38">
        <v>2020</v>
      </c>
      <c r="D27" s="38" t="s">
        <v>34</v>
      </c>
      <c r="E27" s="38">
        <v>2020</v>
      </c>
      <c r="F27" s="38" t="s">
        <v>34</v>
      </c>
      <c r="G27" s="38">
        <v>2021</v>
      </c>
      <c r="H27" s="42">
        <v>24763.03</v>
      </c>
      <c r="I27" s="39"/>
      <c r="J27" s="40">
        <f t="shared" si="0"/>
        <v>0</v>
      </c>
      <c r="K27" s="40">
        <f t="shared" si="1"/>
        <v>24763.03</v>
      </c>
      <c r="L27" s="40"/>
      <c r="M27" s="37">
        <f t="shared" si="2"/>
        <v>24763.03</v>
      </c>
    </row>
    <row r="28" spans="1:13" ht="15.95" customHeight="1" x14ac:dyDescent="0.2">
      <c r="A28" s="36" t="s">
        <v>51</v>
      </c>
      <c r="B28" s="38" t="s">
        <v>34</v>
      </c>
      <c r="C28" s="38">
        <v>2020</v>
      </c>
      <c r="D28" s="38" t="s">
        <v>35</v>
      </c>
      <c r="E28" s="38">
        <v>2021</v>
      </c>
      <c r="F28" s="38" t="s">
        <v>34</v>
      </c>
      <c r="G28" s="38">
        <v>2021</v>
      </c>
      <c r="H28" s="42">
        <v>25303.43</v>
      </c>
      <c r="I28" s="39"/>
      <c r="J28" s="40">
        <f t="shared" si="0"/>
        <v>0</v>
      </c>
      <c r="K28" s="40">
        <f t="shared" si="1"/>
        <v>25303.43</v>
      </c>
      <c r="L28" s="40"/>
      <c r="M28" s="37">
        <f t="shared" si="2"/>
        <v>25303.43</v>
      </c>
    </row>
    <row r="29" spans="1:13" ht="15.95" customHeight="1" x14ac:dyDescent="0.2">
      <c r="A29" s="36" t="s">
        <v>51</v>
      </c>
      <c r="B29" s="38" t="s">
        <v>35</v>
      </c>
      <c r="C29" s="38">
        <v>2021</v>
      </c>
      <c r="D29" s="38" t="s">
        <v>52</v>
      </c>
      <c r="E29" s="38">
        <v>2021</v>
      </c>
      <c r="F29" s="38" t="s">
        <v>34</v>
      </c>
      <c r="G29" s="38">
        <v>2021</v>
      </c>
      <c r="H29" s="42">
        <v>22549.9</v>
      </c>
      <c r="I29" s="39"/>
      <c r="J29" s="40">
        <f t="shared" si="0"/>
        <v>0</v>
      </c>
      <c r="K29" s="40">
        <f t="shared" si="1"/>
        <v>22549.9</v>
      </c>
      <c r="L29" s="40"/>
      <c r="M29" s="37">
        <f t="shared" si="2"/>
        <v>22549.9</v>
      </c>
    </row>
    <row r="30" spans="1:13" ht="15.95" customHeight="1" x14ac:dyDescent="0.2">
      <c r="A30" s="36" t="s">
        <v>51</v>
      </c>
      <c r="B30" s="38" t="s">
        <v>52</v>
      </c>
      <c r="C30" s="38">
        <v>2021</v>
      </c>
      <c r="D30" s="38" t="s">
        <v>53</v>
      </c>
      <c r="E30" s="38">
        <v>2021</v>
      </c>
      <c r="F30" s="38" t="s">
        <v>34</v>
      </c>
      <c r="G30" s="38">
        <v>2021</v>
      </c>
      <c r="H30" s="42">
        <v>30286.82</v>
      </c>
      <c r="I30" s="39"/>
      <c r="J30" s="40">
        <f t="shared" si="0"/>
        <v>0</v>
      </c>
      <c r="K30" s="40">
        <f t="shared" si="1"/>
        <v>30286.82</v>
      </c>
      <c r="L30" s="40"/>
      <c r="M30" s="37">
        <f t="shared" si="2"/>
        <v>30286.82</v>
      </c>
    </row>
    <row r="31" spans="1:13" ht="15.95" customHeight="1" x14ac:dyDescent="0.2">
      <c r="A31" s="36" t="s">
        <v>51</v>
      </c>
      <c r="B31" s="38" t="s">
        <v>53</v>
      </c>
      <c r="C31" s="38">
        <v>2021</v>
      </c>
      <c r="D31" s="38" t="s">
        <v>54</v>
      </c>
      <c r="E31" s="38">
        <v>2021</v>
      </c>
      <c r="F31" s="38" t="s">
        <v>34</v>
      </c>
      <c r="G31" s="38">
        <v>2021</v>
      </c>
      <c r="H31" s="42">
        <v>33006.129999999997</v>
      </c>
      <c r="I31" s="39"/>
      <c r="J31" s="40">
        <f t="shared" si="0"/>
        <v>0</v>
      </c>
      <c r="K31" s="40">
        <f t="shared" si="1"/>
        <v>33006.129999999997</v>
      </c>
      <c r="L31" s="40"/>
      <c r="M31" s="37">
        <f t="shared" si="2"/>
        <v>33006.129999999997</v>
      </c>
    </row>
    <row r="32" spans="1:13" ht="15.95" customHeight="1" x14ac:dyDescent="0.2">
      <c r="A32" s="36" t="s">
        <v>51</v>
      </c>
      <c r="B32" s="38" t="s">
        <v>54</v>
      </c>
      <c r="C32" s="38">
        <v>2021</v>
      </c>
      <c r="D32" s="38" t="s">
        <v>55</v>
      </c>
      <c r="E32" s="38">
        <v>2021</v>
      </c>
      <c r="F32" s="38" t="s">
        <v>34</v>
      </c>
      <c r="G32" s="38">
        <v>2021</v>
      </c>
      <c r="H32" s="42">
        <v>26128.17</v>
      </c>
      <c r="I32" s="39"/>
      <c r="J32" s="40">
        <f t="shared" si="0"/>
        <v>0</v>
      </c>
      <c r="K32" s="40">
        <f t="shared" si="1"/>
        <v>26128.17</v>
      </c>
      <c r="L32" s="40"/>
      <c r="M32" s="37">
        <f t="shared" si="2"/>
        <v>26128.17</v>
      </c>
    </row>
    <row r="33" spans="1:13" ht="15.95" customHeight="1" x14ac:dyDescent="0.2">
      <c r="A33" s="36" t="s">
        <v>51</v>
      </c>
      <c r="B33" s="38" t="s">
        <v>55</v>
      </c>
      <c r="C33" s="38">
        <v>2021</v>
      </c>
      <c r="D33" s="38" t="s">
        <v>56</v>
      </c>
      <c r="E33" s="38">
        <v>2021</v>
      </c>
      <c r="F33" s="38" t="s">
        <v>34</v>
      </c>
      <c r="G33" s="38">
        <v>2021</v>
      </c>
      <c r="H33" s="42">
        <v>30249.89</v>
      </c>
      <c r="I33" s="39"/>
      <c r="J33" s="40">
        <f t="shared" si="0"/>
        <v>0</v>
      </c>
      <c r="K33" s="40">
        <f t="shared" si="1"/>
        <v>30249.89</v>
      </c>
      <c r="L33" s="40"/>
      <c r="M33" s="37">
        <f t="shared" si="2"/>
        <v>30249.89</v>
      </c>
    </row>
    <row r="34" spans="1:13" ht="15.95" customHeight="1" x14ac:dyDescent="0.2">
      <c r="A34" s="36" t="s">
        <v>51</v>
      </c>
      <c r="B34" s="38" t="s">
        <v>56</v>
      </c>
      <c r="C34" s="38">
        <v>2021</v>
      </c>
      <c r="D34" s="38" t="s">
        <v>57</v>
      </c>
      <c r="E34" s="38">
        <v>2021</v>
      </c>
      <c r="F34" s="38" t="s">
        <v>34</v>
      </c>
      <c r="G34" s="38">
        <v>2021</v>
      </c>
      <c r="H34" s="42">
        <v>30177.65</v>
      </c>
      <c r="I34" s="39"/>
      <c r="J34" s="40">
        <f t="shared" si="0"/>
        <v>0</v>
      </c>
      <c r="K34" s="40">
        <f t="shared" si="1"/>
        <v>30177.65</v>
      </c>
      <c r="L34" s="40"/>
      <c r="M34" s="37">
        <f t="shared" si="2"/>
        <v>30177.65</v>
      </c>
    </row>
    <row r="35" spans="1:13" ht="15.95" customHeight="1" x14ac:dyDescent="0.2">
      <c r="A35" s="36" t="s">
        <v>51</v>
      </c>
      <c r="B35" s="38" t="s">
        <v>57</v>
      </c>
      <c r="C35" s="38">
        <v>2021</v>
      </c>
      <c r="D35" s="38" t="s">
        <v>58</v>
      </c>
      <c r="E35" s="38">
        <v>2021</v>
      </c>
      <c r="F35" s="38" t="s">
        <v>34</v>
      </c>
      <c r="G35" s="38">
        <v>2021</v>
      </c>
      <c r="H35" s="42">
        <v>35026</v>
      </c>
      <c r="I35" s="39"/>
      <c r="J35" s="40">
        <f t="shared" si="0"/>
        <v>0</v>
      </c>
      <c r="K35" s="40">
        <f t="shared" si="1"/>
        <v>35026</v>
      </c>
      <c r="L35" s="40"/>
      <c r="M35" s="37">
        <f t="shared" si="2"/>
        <v>35026</v>
      </c>
    </row>
    <row r="36" spans="1:13" ht="15.95" customHeight="1" x14ac:dyDescent="0.2">
      <c r="A36" s="36" t="s">
        <v>51</v>
      </c>
      <c r="B36" s="38" t="s">
        <v>58</v>
      </c>
      <c r="C36" s="38">
        <v>2021</v>
      </c>
      <c r="D36" s="38" t="s">
        <v>59</v>
      </c>
      <c r="E36" s="38">
        <v>2021</v>
      </c>
      <c r="F36" s="38" t="s">
        <v>34</v>
      </c>
      <c r="G36" s="38">
        <v>2021</v>
      </c>
      <c r="H36" s="42">
        <v>27029.759999999998</v>
      </c>
      <c r="I36" s="39"/>
      <c r="J36" s="40">
        <f t="shared" si="0"/>
        <v>0</v>
      </c>
      <c r="K36" s="40">
        <f t="shared" si="1"/>
        <v>27029.759999999998</v>
      </c>
      <c r="L36" s="40"/>
      <c r="M36" s="37">
        <f t="shared" si="2"/>
        <v>27029.759999999998</v>
      </c>
    </row>
    <row r="37" spans="1:13" ht="15.95" customHeight="1" x14ac:dyDescent="0.2">
      <c r="A37" s="36" t="s">
        <v>51</v>
      </c>
      <c r="B37" s="38" t="s">
        <v>59</v>
      </c>
      <c r="C37" s="38">
        <v>2021</v>
      </c>
      <c r="D37" s="38" t="s">
        <v>60</v>
      </c>
      <c r="E37" s="38">
        <v>2021</v>
      </c>
      <c r="F37" s="38" t="s">
        <v>34</v>
      </c>
      <c r="G37" s="38">
        <v>2021</v>
      </c>
      <c r="H37" s="42">
        <v>35726.720000000001</v>
      </c>
      <c r="I37" s="39"/>
      <c r="J37" s="40">
        <f t="shared" si="0"/>
        <v>0</v>
      </c>
      <c r="K37" s="40">
        <f t="shared" si="1"/>
        <v>35726.720000000001</v>
      </c>
      <c r="L37" s="40"/>
      <c r="M37" s="37">
        <f t="shared" si="2"/>
        <v>35726.720000000001</v>
      </c>
    </row>
    <row r="38" spans="1:13" ht="15.95" customHeight="1" x14ac:dyDescent="0.2">
      <c r="A38" s="36" t="s">
        <v>51</v>
      </c>
      <c r="B38" s="38" t="s">
        <v>60</v>
      </c>
      <c r="C38" s="38">
        <v>2021</v>
      </c>
      <c r="D38" s="38" t="s">
        <v>61</v>
      </c>
      <c r="E38" s="38">
        <v>2021</v>
      </c>
      <c r="F38" s="38" t="s">
        <v>34</v>
      </c>
      <c r="G38" s="38">
        <v>2021</v>
      </c>
      <c r="H38" s="42">
        <v>37774.519999999997</v>
      </c>
      <c r="I38" s="39"/>
      <c r="J38" s="40">
        <f t="shared" si="0"/>
        <v>0</v>
      </c>
      <c r="K38" s="40">
        <f t="shared" si="1"/>
        <v>37774.519999999997</v>
      </c>
      <c r="L38" s="40"/>
      <c r="M38" s="37">
        <f t="shared" si="2"/>
        <v>37774.519999999997</v>
      </c>
    </row>
    <row r="39" spans="1:13" ht="15.95" customHeight="1" x14ac:dyDescent="0.2">
      <c r="A39" s="36" t="s">
        <v>51</v>
      </c>
      <c r="B39" s="38" t="s">
        <v>61</v>
      </c>
      <c r="C39" s="38">
        <v>2021</v>
      </c>
      <c r="D39" s="38" t="s">
        <v>34</v>
      </c>
      <c r="E39" s="38">
        <v>2021</v>
      </c>
      <c r="F39" s="38" t="s">
        <v>34</v>
      </c>
      <c r="G39" s="38">
        <v>2021</v>
      </c>
      <c r="H39" s="42">
        <v>39594.519999999997</v>
      </c>
      <c r="I39" s="39"/>
      <c r="J39" s="40">
        <f t="shared" si="0"/>
        <v>0</v>
      </c>
      <c r="K39" s="40">
        <f t="shared" si="1"/>
        <v>39594.519999999997</v>
      </c>
      <c r="L39" s="40"/>
      <c r="M39" s="37">
        <f t="shared" si="2"/>
        <v>39594.519999999997</v>
      </c>
    </row>
    <row r="40" spans="1:13" ht="15.95" customHeight="1" x14ac:dyDescent="0.2">
      <c r="A40" s="36" t="s">
        <v>51</v>
      </c>
      <c r="B40" s="38" t="s">
        <v>34</v>
      </c>
      <c r="C40" s="38">
        <v>2021</v>
      </c>
      <c r="D40" s="38" t="s">
        <v>35</v>
      </c>
      <c r="E40" s="38">
        <v>2022</v>
      </c>
      <c r="F40" s="38" t="s">
        <v>34</v>
      </c>
      <c r="G40" s="38">
        <v>2021</v>
      </c>
      <c r="H40" s="42">
        <v>39594.519999999997</v>
      </c>
      <c r="I40" s="39"/>
      <c r="J40" s="40">
        <f t="shared" si="0"/>
        <v>0</v>
      </c>
      <c r="K40" s="40">
        <f t="shared" si="1"/>
        <v>39594.519999999997</v>
      </c>
      <c r="L40" s="40"/>
      <c r="M40" s="37">
        <f t="shared" si="2"/>
        <v>39594.519999999997</v>
      </c>
    </row>
  </sheetData>
  <mergeCells count="5">
    <mergeCell ref="A2:A3"/>
    <mergeCell ref="D2:E2"/>
    <mergeCell ref="F2:G2"/>
    <mergeCell ref="B2:C2"/>
    <mergeCell ref="M2:M3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92D050"/>
  </sheetPr>
  <dimension ref="A1:AF30"/>
  <sheetViews>
    <sheetView showGridLines="0" topLeftCell="G14" workbookViewId="0">
      <selection activeCell="AA16" sqref="AA16"/>
    </sheetView>
  </sheetViews>
  <sheetFormatPr defaultColWidth="7.93359375" defaultRowHeight="14.1" customHeight="1" x14ac:dyDescent="0.2"/>
  <cols>
    <col min="1" max="1" width="2.82421875" style="5" customWidth="1"/>
    <col min="2" max="2" width="10.22265625" style="5" customWidth="1"/>
    <col min="3" max="18" width="7.6640625" style="5" bestFit="1" customWidth="1"/>
    <col min="19" max="27" width="6.72265625" style="5" bestFit="1" customWidth="1"/>
    <col min="28" max="30" width="5.6484375" style="5" bestFit="1" customWidth="1"/>
    <col min="31" max="31" width="7.93359375" style="5"/>
    <col min="32" max="32" width="9.01171875" style="5" bestFit="1" customWidth="1"/>
    <col min="33" max="250" width="7.93359375" style="5"/>
    <col min="251" max="251" width="3.359375" style="5" customWidth="1"/>
    <col min="252" max="252" width="10.76171875" style="5" customWidth="1"/>
    <col min="253" max="253" width="10.625" style="5" bestFit="1" customWidth="1"/>
    <col min="254" max="254" width="10.22265625" style="5" bestFit="1" customWidth="1"/>
    <col min="255" max="263" width="7.12890625" style="5" bestFit="1" customWidth="1"/>
    <col min="264" max="267" width="6.3203125" style="5" bestFit="1" customWidth="1"/>
    <col min="268" max="268" width="7.12890625" style="5" bestFit="1" customWidth="1"/>
    <col min="269" max="270" width="6.3203125" style="5" bestFit="1" customWidth="1"/>
    <col min="271" max="271" width="5.24609375" style="5" customWidth="1"/>
    <col min="272" max="506" width="7.93359375" style="5"/>
    <col min="507" max="507" width="3.359375" style="5" customWidth="1"/>
    <col min="508" max="508" width="10.76171875" style="5" customWidth="1"/>
    <col min="509" max="509" width="10.625" style="5" bestFit="1" customWidth="1"/>
    <col min="510" max="510" width="10.22265625" style="5" bestFit="1" customWidth="1"/>
    <col min="511" max="519" width="7.12890625" style="5" bestFit="1" customWidth="1"/>
    <col min="520" max="523" width="6.3203125" style="5" bestFit="1" customWidth="1"/>
    <col min="524" max="524" width="7.12890625" style="5" bestFit="1" customWidth="1"/>
    <col min="525" max="526" width="6.3203125" style="5" bestFit="1" customWidth="1"/>
    <col min="527" max="527" width="5.24609375" style="5" customWidth="1"/>
    <col min="528" max="762" width="7.93359375" style="5"/>
    <col min="763" max="763" width="3.359375" style="5" customWidth="1"/>
    <col min="764" max="764" width="10.76171875" style="5" customWidth="1"/>
    <col min="765" max="765" width="10.625" style="5" bestFit="1" customWidth="1"/>
    <col min="766" max="766" width="10.22265625" style="5" bestFit="1" customWidth="1"/>
    <col min="767" max="775" width="7.12890625" style="5" bestFit="1" customWidth="1"/>
    <col min="776" max="779" width="6.3203125" style="5" bestFit="1" customWidth="1"/>
    <col min="780" max="780" width="7.12890625" style="5" bestFit="1" customWidth="1"/>
    <col min="781" max="782" width="6.3203125" style="5" bestFit="1" customWidth="1"/>
    <col min="783" max="783" width="5.24609375" style="5" customWidth="1"/>
    <col min="784" max="1018" width="7.93359375" style="5"/>
    <col min="1019" max="1019" width="3.359375" style="5" customWidth="1"/>
    <col min="1020" max="1020" width="10.76171875" style="5" customWidth="1"/>
    <col min="1021" max="1021" width="10.625" style="5" bestFit="1" customWidth="1"/>
    <col min="1022" max="1022" width="10.22265625" style="5" bestFit="1" customWidth="1"/>
    <col min="1023" max="1031" width="7.12890625" style="5" bestFit="1" customWidth="1"/>
    <col min="1032" max="1035" width="6.3203125" style="5" bestFit="1" customWidth="1"/>
    <col min="1036" max="1036" width="7.12890625" style="5" bestFit="1" customWidth="1"/>
    <col min="1037" max="1038" width="6.3203125" style="5" bestFit="1" customWidth="1"/>
    <col min="1039" max="1039" width="5.24609375" style="5" customWidth="1"/>
    <col min="1040" max="1274" width="7.93359375" style="5"/>
    <col min="1275" max="1275" width="3.359375" style="5" customWidth="1"/>
    <col min="1276" max="1276" width="10.76171875" style="5" customWidth="1"/>
    <col min="1277" max="1277" width="10.625" style="5" bestFit="1" customWidth="1"/>
    <col min="1278" max="1278" width="10.22265625" style="5" bestFit="1" customWidth="1"/>
    <col min="1279" max="1287" width="7.12890625" style="5" bestFit="1" customWidth="1"/>
    <col min="1288" max="1291" width="6.3203125" style="5" bestFit="1" customWidth="1"/>
    <col min="1292" max="1292" width="7.12890625" style="5" bestFit="1" customWidth="1"/>
    <col min="1293" max="1294" width="6.3203125" style="5" bestFit="1" customWidth="1"/>
    <col min="1295" max="1295" width="5.24609375" style="5" customWidth="1"/>
    <col min="1296" max="1530" width="7.93359375" style="5"/>
    <col min="1531" max="1531" width="3.359375" style="5" customWidth="1"/>
    <col min="1532" max="1532" width="10.76171875" style="5" customWidth="1"/>
    <col min="1533" max="1533" width="10.625" style="5" bestFit="1" customWidth="1"/>
    <col min="1534" max="1534" width="10.22265625" style="5" bestFit="1" customWidth="1"/>
    <col min="1535" max="1543" width="7.12890625" style="5" bestFit="1" customWidth="1"/>
    <col min="1544" max="1547" width="6.3203125" style="5" bestFit="1" customWidth="1"/>
    <col min="1548" max="1548" width="7.12890625" style="5" bestFit="1" customWidth="1"/>
    <col min="1549" max="1550" width="6.3203125" style="5" bestFit="1" customWidth="1"/>
    <col min="1551" max="1551" width="5.24609375" style="5" customWidth="1"/>
    <col min="1552" max="1786" width="7.93359375" style="5"/>
    <col min="1787" max="1787" width="3.359375" style="5" customWidth="1"/>
    <col min="1788" max="1788" width="10.76171875" style="5" customWidth="1"/>
    <col min="1789" max="1789" width="10.625" style="5" bestFit="1" customWidth="1"/>
    <col min="1790" max="1790" width="10.22265625" style="5" bestFit="1" customWidth="1"/>
    <col min="1791" max="1799" width="7.12890625" style="5" bestFit="1" customWidth="1"/>
    <col min="1800" max="1803" width="6.3203125" style="5" bestFit="1" customWidth="1"/>
    <col min="1804" max="1804" width="7.12890625" style="5" bestFit="1" customWidth="1"/>
    <col min="1805" max="1806" width="6.3203125" style="5" bestFit="1" customWidth="1"/>
    <col min="1807" max="1807" width="5.24609375" style="5" customWidth="1"/>
    <col min="1808" max="2042" width="7.93359375" style="5"/>
    <col min="2043" max="2043" width="3.359375" style="5" customWidth="1"/>
    <col min="2044" max="2044" width="10.76171875" style="5" customWidth="1"/>
    <col min="2045" max="2045" width="10.625" style="5" bestFit="1" customWidth="1"/>
    <col min="2046" max="2046" width="10.22265625" style="5" bestFit="1" customWidth="1"/>
    <col min="2047" max="2055" width="7.12890625" style="5" bestFit="1" customWidth="1"/>
    <col min="2056" max="2059" width="6.3203125" style="5" bestFit="1" customWidth="1"/>
    <col min="2060" max="2060" width="7.12890625" style="5" bestFit="1" customWidth="1"/>
    <col min="2061" max="2062" width="6.3203125" style="5" bestFit="1" customWidth="1"/>
    <col min="2063" max="2063" width="5.24609375" style="5" customWidth="1"/>
    <col min="2064" max="2298" width="7.93359375" style="5"/>
    <col min="2299" max="2299" width="3.359375" style="5" customWidth="1"/>
    <col min="2300" max="2300" width="10.76171875" style="5" customWidth="1"/>
    <col min="2301" max="2301" width="10.625" style="5" bestFit="1" customWidth="1"/>
    <col min="2302" max="2302" width="10.22265625" style="5" bestFit="1" customWidth="1"/>
    <col min="2303" max="2311" width="7.12890625" style="5" bestFit="1" customWidth="1"/>
    <col min="2312" max="2315" width="6.3203125" style="5" bestFit="1" customWidth="1"/>
    <col min="2316" max="2316" width="7.12890625" style="5" bestFit="1" customWidth="1"/>
    <col min="2317" max="2318" width="6.3203125" style="5" bestFit="1" customWidth="1"/>
    <col min="2319" max="2319" width="5.24609375" style="5" customWidth="1"/>
    <col min="2320" max="2554" width="7.93359375" style="5"/>
    <col min="2555" max="2555" width="3.359375" style="5" customWidth="1"/>
    <col min="2556" max="2556" width="10.76171875" style="5" customWidth="1"/>
    <col min="2557" max="2557" width="10.625" style="5" bestFit="1" customWidth="1"/>
    <col min="2558" max="2558" width="10.22265625" style="5" bestFit="1" customWidth="1"/>
    <col min="2559" max="2567" width="7.12890625" style="5" bestFit="1" customWidth="1"/>
    <col min="2568" max="2571" width="6.3203125" style="5" bestFit="1" customWidth="1"/>
    <col min="2572" max="2572" width="7.12890625" style="5" bestFit="1" customWidth="1"/>
    <col min="2573" max="2574" width="6.3203125" style="5" bestFit="1" customWidth="1"/>
    <col min="2575" max="2575" width="5.24609375" style="5" customWidth="1"/>
    <col min="2576" max="2810" width="7.93359375" style="5"/>
    <col min="2811" max="2811" width="3.359375" style="5" customWidth="1"/>
    <col min="2812" max="2812" width="10.76171875" style="5" customWidth="1"/>
    <col min="2813" max="2813" width="10.625" style="5" bestFit="1" customWidth="1"/>
    <col min="2814" max="2814" width="10.22265625" style="5" bestFit="1" customWidth="1"/>
    <col min="2815" max="2823" width="7.12890625" style="5" bestFit="1" customWidth="1"/>
    <col min="2824" max="2827" width="6.3203125" style="5" bestFit="1" customWidth="1"/>
    <col min="2828" max="2828" width="7.12890625" style="5" bestFit="1" customWidth="1"/>
    <col min="2829" max="2830" width="6.3203125" style="5" bestFit="1" customWidth="1"/>
    <col min="2831" max="2831" width="5.24609375" style="5" customWidth="1"/>
    <col min="2832" max="3066" width="7.93359375" style="5"/>
    <col min="3067" max="3067" width="3.359375" style="5" customWidth="1"/>
    <col min="3068" max="3068" width="10.76171875" style="5" customWidth="1"/>
    <col min="3069" max="3069" width="10.625" style="5" bestFit="1" customWidth="1"/>
    <col min="3070" max="3070" width="10.22265625" style="5" bestFit="1" customWidth="1"/>
    <col min="3071" max="3079" width="7.12890625" style="5" bestFit="1" customWidth="1"/>
    <col min="3080" max="3083" width="6.3203125" style="5" bestFit="1" customWidth="1"/>
    <col min="3084" max="3084" width="7.12890625" style="5" bestFit="1" customWidth="1"/>
    <col min="3085" max="3086" width="6.3203125" style="5" bestFit="1" customWidth="1"/>
    <col min="3087" max="3087" width="5.24609375" style="5" customWidth="1"/>
    <col min="3088" max="3322" width="7.93359375" style="5"/>
    <col min="3323" max="3323" width="3.359375" style="5" customWidth="1"/>
    <col min="3324" max="3324" width="10.76171875" style="5" customWidth="1"/>
    <col min="3325" max="3325" width="10.625" style="5" bestFit="1" customWidth="1"/>
    <col min="3326" max="3326" width="10.22265625" style="5" bestFit="1" customWidth="1"/>
    <col min="3327" max="3335" width="7.12890625" style="5" bestFit="1" customWidth="1"/>
    <col min="3336" max="3339" width="6.3203125" style="5" bestFit="1" customWidth="1"/>
    <col min="3340" max="3340" width="7.12890625" style="5" bestFit="1" customWidth="1"/>
    <col min="3341" max="3342" width="6.3203125" style="5" bestFit="1" customWidth="1"/>
    <col min="3343" max="3343" width="5.24609375" style="5" customWidth="1"/>
    <col min="3344" max="3578" width="7.93359375" style="5"/>
    <col min="3579" max="3579" width="3.359375" style="5" customWidth="1"/>
    <col min="3580" max="3580" width="10.76171875" style="5" customWidth="1"/>
    <col min="3581" max="3581" width="10.625" style="5" bestFit="1" customWidth="1"/>
    <col min="3582" max="3582" width="10.22265625" style="5" bestFit="1" customWidth="1"/>
    <col min="3583" max="3591" width="7.12890625" style="5" bestFit="1" customWidth="1"/>
    <col min="3592" max="3595" width="6.3203125" style="5" bestFit="1" customWidth="1"/>
    <col min="3596" max="3596" width="7.12890625" style="5" bestFit="1" customWidth="1"/>
    <col min="3597" max="3598" width="6.3203125" style="5" bestFit="1" customWidth="1"/>
    <col min="3599" max="3599" width="5.24609375" style="5" customWidth="1"/>
    <col min="3600" max="3834" width="7.93359375" style="5"/>
    <col min="3835" max="3835" width="3.359375" style="5" customWidth="1"/>
    <col min="3836" max="3836" width="10.76171875" style="5" customWidth="1"/>
    <col min="3837" max="3837" width="10.625" style="5" bestFit="1" customWidth="1"/>
    <col min="3838" max="3838" width="10.22265625" style="5" bestFit="1" customWidth="1"/>
    <col min="3839" max="3847" width="7.12890625" style="5" bestFit="1" customWidth="1"/>
    <col min="3848" max="3851" width="6.3203125" style="5" bestFit="1" customWidth="1"/>
    <col min="3852" max="3852" width="7.12890625" style="5" bestFit="1" customWidth="1"/>
    <col min="3853" max="3854" width="6.3203125" style="5" bestFit="1" customWidth="1"/>
    <col min="3855" max="3855" width="5.24609375" style="5" customWidth="1"/>
    <col min="3856" max="4090" width="7.93359375" style="5"/>
    <col min="4091" max="4091" width="3.359375" style="5" customWidth="1"/>
    <col min="4092" max="4092" width="10.76171875" style="5" customWidth="1"/>
    <col min="4093" max="4093" width="10.625" style="5" bestFit="1" customWidth="1"/>
    <col min="4094" max="4094" width="10.22265625" style="5" bestFit="1" customWidth="1"/>
    <col min="4095" max="4103" width="7.12890625" style="5" bestFit="1" customWidth="1"/>
    <col min="4104" max="4107" width="6.3203125" style="5" bestFit="1" customWidth="1"/>
    <col min="4108" max="4108" width="7.12890625" style="5" bestFit="1" customWidth="1"/>
    <col min="4109" max="4110" width="6.3203125" style="5" bestFit="1" customWidth="1"/>
    <col min="4111" max="4111" width="5.24609375" style="5" customWidth="1"/>
    <col min="4112" max="4346" width="7.93359375" style="5"/>
    <col min="4347" max="4347" width="3.359375" style="5" customWidth="1"/>
    <col min="4348" max="4348" width="10.76171875" style="5" customWidth="1"/>
    <col min="4349" max="4349" width="10.625" style="5" bestFit="1" customWidth="1"/>
    <col min="4350" max="4350" width="10.22265625" style="5" bestFit="1" customWidth="1"/>
    <col min="4351" max="4359" width="7.12890625" style="5" bestFit="1" customWidth="1"/>
    <col min="4360" max="4363" width="6.3203125" style="5" bestFit="1" customWidth="1"/>
    <col min="4364" max="4364" width="7.12890625" style="5" bestFit="1" customWidth="1"/>
    <col min="4365" max="4366" width="6.3203125" style="5" bestFit="1" customWidth="1"/>
    <col min="4367" max="4367" width="5.24609375" style="5" customWidth="1"/>
    <col min="4368" max="4602" width="7.93359375" style="5"/>
    <col min="4603" max="4603" width="3.359375" style="5" customWidth="1"/>
    <col min="4604" max="4604" width="10.76171875" style="5" customWidth="1"/>
    <col min="4605" max="4605" width="10.625" style="5" bestFit="1" customWidth="1"/>
    <col min="4606" max="4606" width="10.22265625" style="5" bestFit="1" customWidth="1"/>
    <col min="4607" max="4615" width="7.12890625" style="5" bestFit="1" customWidth="1"/>
    <col min="4616" max="4619" width="6.3203125" style="5" bestFit="1" customWidth="1"/>
    <col min="4620" max="4620" width="7.12890625" style="5" bestFit="1" customWidth="1"/>
    <col min="4621" max="4622" width="6.3203125" style="5" bestFit="1" customWidth="1"/>
    <col min="4623" max="4623" width="5.24609375" style="5" customWidth="1"/>
    <col min="4624" max="4858" width="7.93359375" style="5"/>
    <col min="4859" max="4859" width="3.359375" style="5" customWidth="1"/>
    <col min="4860" max="4860" width="10.76171875" style="5" customWidth="1"/>
    <col min="4861" max="4861" width="10.625" style="5" bestFit="1" customWidth="1"/>
    <col min="4862" max="4862" width="10.22265625" style="5" bestFit="1" customWidth="1"/>
    <col min="4863" max="4871" width="7.12890625" style="5" bestFit="1" customWidth="1"/>
    <col min="4872" max="4875" width="6.3203125" style="5" bestFit="1" customWidth="1"/>
    <col min="4876" max="4876" width="7.12890625" style="5" bestFit="1" customWidth="1"/>
    <col min="4877" max="4878" width="6.3203125" style="5" bestFit="1" customWidth="1"/>
    <col min="4879" max="4879" width="5.24609375" style="5" customWidth="1"/>
    <col min="4880" max="5114" width="7.93359375" style="5"/>
    <col min="5115" max="5115" width="3.359375" style="5" customWidth="1"/>
    <col min="5116" max="5116" width="10.76171875" style="5" customWidth="1"/>
    <col min="5117" max="5117" width="10.625" style="5" bestFit="1" customWidth="1"/>
    <col min="5118" max="5118" width="10.22265625" style="5" bestFit="1" customWidth="1"/>
    <col min="5119" max="5127" width="7.12890625" style="5" bestFit="1" customWidth="1"/>
    <col min="5128" max="5131" width="6.3203125" style="5" bestFit="1" customWidth="1"/>
    <col min="5132" max="5132" width="7.12890625" style="5" bestFit="1" customWidth="1"/>
    <col min="5133" max="5134" width="6.3203125" style="5" bestFit="1" customWidth="1"/>
    <col min="5135" max="5135" width="5.24609375" style="5" customWidth="1"/>
    <col min="5136" max="5370" width="7.93359375" style="5"/>
    <col min="5371" max="5371" width="3.359375" style="5" customWidth="1"/>
    <col min="5372" max="5372" width="10.76171875" style="5" customWidth="1"/>
    <col min="5373" max="5373" width="10.625" style="5" bestFit="1" customWidth="1"/>
    <col min="5374" max="5374" width="10.22265625" style="5" bestFit="1" customWidth="1"/>
    <col min="5375" max="5383" width="7.12890625" style="5" bestFit="1" customWidth="1"/>
    <col min="5384" max="5387" width="6.3203125" style="5" bestFit="1" customWidth="1"/>
    <col min="5388" max="5388" width="7.12890625" style="5" bestFit="1" customWidth="1"/>
    <col min="5389" max="5390" width="6.3203125" style="5" bestFit="1" customWidth="1"/>
    <col min="5391" max="5391" width="5.24609375" style="5" customWidth="1"/>
    <col min="5392" max="5626" width="7.93359375" style="5"/>
    <col min="5627" max="5627" width="3.359375" style="5" customWidth="1"/>
    <col min="5628" max="5628" width="10.76171875" style="5" customWidth="1"/>
    <col min="5629" max="5629" width="10.625" style="5" bestFit="1" customWidth="1"/>
    <col min="5630" max="5630" width="10.22265625" style="5" bestFit="1" customWidth="1"/>
    <col min="5631" max="5639" width="7.12890625" style="5" bestFit="1" customWidth="1"/>
    <col min="5640" max="5643" width="6.3203125" style="5" bestFit="1" customWidth="1"/>
    <col min="5644" max="5644" width="7.12890625" style="5" bestFit="1" customWidth="1"/>
    <col min="5645" max="5646" width="6.3203125" style="5" bestFit="1" customWidth="1"/>
    <col min="5647" max="5647" width="5.24609375" style="5" customWidth="1"/>
    <col min="5648" max="5882" width="7.93359375" style="5"/>
    <col min="5883" max="5883" width="3.359375" style="5" customWidth="1"/>
    <col min="5884" max="5884" width="10.76171875" style="5" customWidth="1"/>
    <col min="5885" max="5885" width="10.625" style="5" bestFit="1" customWidth="1"/>
    <col min="5886" max="5886" width="10.22265625" style="5" bestFit="1" customWidth="1"/>
    <col min="5887" max="5895" width="7.12890625" style="5" bestFit="1" customWidth="1"/>
    <col min="5896" max="5899" width="6.3203125" style="5" bestFit="1" customWidth="1"/>
    <col min="5900" max="5900" width="7.12890625" style="5" bestFit="1" customWidth="1"/>
    <col min="5901" max="5902" width="6.3203125" style="5" bestFit="1" customWidth="1"/>
    <col min="5903" max="5903" width="5.24609375" style="5" customWidth="1"/>
    <col min="5904" max="6138" width="7.93359375" style="5"/>
    <col min="6139" max="6139" width="3.359375" style="5" customWidth="1"/>
    <col min="6140" max="6140" width="10.76171875" style="5" customWidth="1"/>
    <col min="6141" max="6141" width="10.625" style="5" bestFit="1" customWidth="1"/>
    <col min="6142" max="6142" width="10.22265625" style="5" bestFit="1" customWidth="1"/>
    <col min="6143" max="6151" width="7.12890625" style="5" bestFit="1" customWidth="1"/>
    <col min="6152" max="6155" width="6.3203125" style="5" bestFit="1" customWidth="1"/>
    <col min="6156" max="6156" width="7.12890625" style="5" bestFit="1" customWidth="1"/>
    <col min="6157" max="6158" width="6.3203125" style="5" bestFit="1" customWidth="1"/>
    <col min="6159" max="6159" width="5.24609375" style="5" customWidth="1"/>
    <col min="6160" max="6394" width="7.93359375" style="5"/>
    <col min="6395" max="6395" width="3.359375" style="5" customWidth="1"/>
    <col min="6396" max="6396" width="10.76171875" style="5" customWidth="1"/>
    <col min="6397" max="6397" width="10.625" style="5" bestFit="1" customWidth="1"/>
    <col min="6398" max="6398" width="10.22265625" style="5" bestFit="1" customWidth="1"/>
    <col min="6399" max="6407" width="7.12890625" style="5" bestFit="1" customWidth="1"/>
    <col min="6408" max="6411" width="6.3203125" style="5" bestFit="1" customWidth="1"/>
    <col min="6412" max="6412" width="7.12890625" style="5" bestFit="1" customWidth="1"/>
    <col min="6413" max="6414" width="6.3203125" style="5" bestFit="1" customWidth="1"/>
    <col min="6415" max="6415" width="5.24609375" style="5" customWidth="1"/>
    <col min="6416" max="6650" width="7.93359375" style="5"/>
    <col min="6651" max="6651" width="3.359375" style="5" customWidth="1"/>
    <col min="6652" max="6652" width="10.76171875" style="5" customWidth="1"/>
    <col min="6653" max="6653" width="10.625" style="5" bestFit="1" customWidth="1"/>
    <col min="6654" max="6654" width="10.22265625" style="5" bestFit="1" customWidth="1"/>
    <col min="6655" max="6663" width="7.12890625" style="5" bestFit="1" customWidth="1"/>
    <col min="6664" max="6667" width="6.3203125" style="5" bestFit="1" customWidth="1"/>
    <col min="6668" max="6668" width="7.12890625" style="5" bestFit="1" customWidth="1"/>
    <col min="6669" max="6670" width="6.3203125" style="5" bestFit="1" customWidth="1"/>
    <col min="6671" max="6671" width="5.24609375" style="5" customWidth="1"/>
    <col min="6672" max="6906" width="7.93359375" style="5"/>
    <col min="6907" max="6907" width="3.359375" style="5" customWidth="1"/>
    <col min="6908" max="6908" width="10.76171875" style="5" customWidth="1"/>
    <col min="6909" max="6909" width="10.625" style="5" bestFit="1" customWidth="1"/>
    <col min="6910" max="6910" width="10.22265625" style="5" bestFit="1" customWidth="1"/>
    <col min="6911" max="6919" width="7.12890625" style="5" bestFit="1" customWidth="1"/>
    <col min="6920" max="6923" width="6.3203125" style="5" bestFit="1" customWidth="1"/>
    <col min="6924" max="6924" width="7.12890625" style="5" bestFit="1" customWidth="1"/>
    <col min="6925" max="6926" width="6.3203125" style="5" bestFit="1" customWidth="1"/>
    <col min="6927" max="6927" width="5.24609375" style="5" customWidth="1"/>
    <col min="6928" max="7162" width="7.93359375" style="5"/>
    <col min="7163" max="7163" width="3.359375" style="5" customWidth="1"/>
    <col min="7164" max="7164" width="10.76171875" style="5" customWidth="1"/>
    <col min="7165" max="7165" width="10.625" style="5" bestFit="1" customWidth="1"/>
    <col min="7166" max="7166" width="10.22265625" style="5" bestFit="1" customWidth="1"/>
    <col min="7167" max="7175" width="7.12890625" style="5" bestFit="1" customWidth="1"/>
    <col min="7176" max="7179" width="6.3203125" style="5" bestFit="1" customWidth="1"/>
    <col min="7180" max="7180" width="7.12890625" style="5" bestFit="1" customWidth="1"/>
    <col min="7181" max="7182" width="6.3203125" style="5" bestFit="1" customWidth="1"/>
    <col min="7183" max="7183" width="5.24609375" style="5" customWidth="1"/>
    <col min="7184" max="7418" width="7.93359375" style="5"/>
    <col min="7419" max="7419" width="3.359375" style="5" customWidth="1"/>
    <col min="7420" max="7420" width="10.76171875" style="5" customWidth="1"/>
    <col min="7421" max="7421" width="10.625" style="5" bestFit="1" customWidth="1"/>
    <col min="7422" max="7422" width="10.22265625" style="5" bestFit="1" customWidth="1"/>
    <col min="7423" max="7431" width="7.12890625" style="5" bestFit="1" customWidth="1"/>
    <col min="7432" max="7435" width="6.3203125" style="5" bestFit="1" customWidth="1"/>
    <col min="7436" max="7436" width="7.12890625" style="5" bestFit="1" customWidth="1"/>
    <col min="7437" max="7438" width="6.3203125" style="5" bestFit="1" customWidth="1"/>
    <col min="7439" max="7439" width="5.24609375" style="5" customWidth="1"/>
    <col min="7440" max="7674" width="7.93359375" style="5"/>
    <col min="7675" max="7675" width="3.359375" style="5" customWidth="1"/>
    <col min="7676" max="7676" width="10.76171875" style="5" customWidth="1"/>
    <col min="7677" max="7677" width="10.625" style="5" bestFit="1" customWidth="1"/>
    <col min="7678" max="7678" width="10.22265625" style="5" bestFit="1" customWidth="1"/>
    <col min="7679" max="7687" width="7.12890625" style="5" bestFit="1" customWidth="1"/>
    <col min="7688" max="7691" width="6.3203125" style="5" bestFit="1" customWidth="1"/>
    <col min="7692" max="7692" width="7.12890625" style="5" bestFit="1" customWidth="1"/>
    <col min="7693" max="7694" width="6.3203125" style="5" bestFit="1" customWidth="1"/>
    <col min="7695" max="7695" width="5.24609375" style="5" customWidth="1"/>
    <col min="7696" max="7930" width="7.93359375" style="5"/>
    <col min="7931" max="7931" width="3.359375" style="5" customWidth="1"/>
    <col min="7932" max="7932" width="10.76171875" style="5" customWidth="1"/>
    <col min="7933" max="7933" width="10.625" style="5" bestFit="1" customWidth="1"/>
    <col min="7934" max="7934" width="10.22265625" style="5" bestFit="1" customWidth="1"/>
    <col min="7935" max="7943" width="7.12890625" style="5" bestFit="1" customWidth="1"/>
    <col min="7944" max="7947" width="6.3203125" style="5" bestFit="1" customWidth="1"/>
    <col min="7948" max="7948" width="7.12890625" style="5" bestFit="1" customWidth="1"/>
    <col min="7949" max="7950" width="6.3203125" style="5" bestFit="1" customWidth="1"/>
    <col min="7951" max="7951" width="5.24609375" style="5" customWidth="1"/>
    <col min="7952" max="8186" width="7.93359375" style="5"/>
    <col min="8187" max="8187" width="3.359375" style="5" customWidth="1"/>
    <col min="8188" max="8188" width="10.76171875" style="5" customWidth="1"/>
    <col min="8189" max="8189" width="10.625" style="5" bestFit="1" customWidth="1"/>
    <col min="8190" max="8190" width="10.22265625" style="5" bestFit="1" customWidth="1"/>
    <col min="8191" max="8199" width="7.12890625" style="5" bestFit="1" customWidth="1"/>
    <col min="8200" max="8203" width="6.3203125" style="5" bestFit="1" customWidth="1"/>
    <col min="8204" max="8204" width="7.12890625" style="5" bestFit="1" customWidth="1"/>
    <col min="8205" max="8206" width="6.3203125" style="5" bestFit="1" customWidth="1"/>
    <col min="8207" max="8207" width="5.24609375" style="5" customWidth="1"/>
    <col min="8208" max="8442" width="7.93359375" style="5"/>
    <col min="8443" max="8443" width="3.359375" style="5" customWidth="1"/>
    <col min="8444" max="8444" width="10.76171875" style="5" customWidth="1"/>
    <col min="8445" max="8445" width="10.625" style="5" bestFit="1" customWidth="1"/>
    <col min="8446" max="8446" width="10.22265625" style="5" bestFit="1" customWidth="1"/>
    <col min="8447" max="8455" width="7.12890625" style="5" bestFit="1" customWidth="1"/>
    <col min="8456" max="8459" width="6.3203125" style="5" bestFit="1" customWidth="1"/>
    <col min="8460" max="8460" width="7.12890625" style="5" bestFit="1" customWidth="1"/>
    <col min="8461" max="8462" width="6.3203125" style="5" bestFit="1" customWidth="1"/>
    <col min="8463" max="8463" width="5.24609375" style="5" customWidth="1"/>
    <col min="8464" max="8698" width="7.93359375" style="5"/>
    <col min="8699" max="8699" width="3.359375" style="5" customWidth="1"/>
    <col min="8700" max="8700" width="10.76171875" style="5" customWidth="1"/>
    <col min="8701" max="8701" width="10.625" style="5" bestFit="1" customWidth="1"/>
    <col min="8702" max="8702" width="10.22265625" style="5" bestFit="1" customWidth="1"/>
    <col min="8703" max="8711" width="7.12890625" style="5" bestFit="1" customWidth="1"/>
    <col min="8712" max="8715" width="6.3203125" style="5" bestFit="1" customWidth="1"/>
    <col min="8716" max="8716" width="7.12890625" style="5" bestFit="1" customWidth="1"/>
    <col min="8717" max="8718" width="6.3203125" style="5" bestFit="1" customWidth="1"/>
    <col min="8719" max="8719" width="5.24609375" style="5" customWidth="1"/>
    <col min="8720" max="8954" width="7.93359375" style="5"/>
    <col min="8955" max="8955" width="3.359375" style="5" customWidth="1"/>
    <col min="8956" max="8956" width="10.76171875" style="5" customWidth="1"/>
    <col min="8957" max="8957" width="10.625" style="5" bestFit="1" customWidth="1"/>
    <col min="8958" max="8958" width="10.22265625" style="5" bestFit="1" customWidth="1"/>
    <col min="8959" max="8967" width="7.12890625" style="5" bestFit="1" customWidth="1"/>
    <col min="8968" max="8971" width="6.3203125" style="5" bestFit="1" customWidth="1"/>
    <col min="8972" max="8972" width="7.12890625" style="5" bestFit="1" customWidth="1"/>
    <col min="8973" max="8974" width="6.3203125" style="5" bestFit="1" customWidth="1"/>
    <col min="8975" max="8975" width="5.24609375" style="5" customWidth="1"/>
    <col min="8976" max="9210" width="7.93359375" style="5"/>
    <col min="9211" max="9211" width="3.359375" style="5" customWidth="1"/>
    <col min="9212" max="9212" width="10.76171875" style="5" customWidth="1"/>
    <col min="9213" max="9213" width="10.625" style="5" bestFit="1" customWidth="1"/>
    <col min="9214" max="9214" width="10.22265625" style="5" bestFit="1" customWidth="1"/>
    <col min="9215" max="9223" width="7.12890625" style="5" bestFit="1" customWidth="1"/>
    <col min="9224" max="9227" width="6.3203125" style="5" bestFit="1" customWidth="1"/>
    <col min="9228" max="9228" width="7.12890625" style="5" bestFit="1" customWidth="1"/>
    <col min="9229" max="9230" width="6.3203125" style="5" bestFit="1" customWidth="1"/>
    <col min="9231" max="9231" width="5.24609375" style="5" customWidth="1"/>
    <col min="9232" max="9466" width="7.93359375" style="5"/>
    <col min="9467" max="9467" width="3.359375" style="5" customWidth="1"/>
    <col min="9468" max="9468" width="10.76171875" style="5" customWidth="1"/>
    <col min="9469" max="9469" width="10.625" style="5" bestFit="1" customWidth="1"/>
    <col min="9470" max="9470" width="10.22265625" style="5" bestFit="1" customWidth="1"/>
    <col min="9471" max="9479" width="7.12890625" style="5" bestFit="1" customWidth="1"/>
    <col min="9480" max="9483" width="6.3203125" style="5" bestFit="1" customWidth="1"/>
    <col min="9484" max="9484" width="7.12890625" style="5" bestFit="1" customWidth="1"/>
    <col min="9485" max="9486" width="6.3203125" style="5" bestFit="1" customWidth="1"/>
    <col min="9487" max="9487" width="5.24609375" style="5" customWidth="1"/>
    <col min="9488" max="9722" width="7.93359375" style="5"/>
    <col min="9723" max="9723" width="3.359375" style="5" customWidth="1"/>
    <col min="9724" max="9724" width="10.76171875" style="5" customWidth="1"/>
    <col min="9725" max="9725" width="10.625" style="5" bestFit="1" customWidth="1"/>
    <col min="9726" max="9726" width="10.22265625" style="5" bestFit="1" customWidth="1"/>
    <col min="9727" max="9735" width="7.12890625" style="5" bestFit="1" customWidth="1"/>
    <col min="9736" max="9739" width="6.3203125" style="5" bestFit="1" customWidth="1"/>
    <col min="9740" max="9740" width="7.12890625" style="5" bestFit="1" customWidth="1"/>
    <col min="9741" max="9742" width="6.3203125" style="5" bestFit="1" customWidth="1"/>
    <col min="9743" max="9743" width="5.24609375" style="5" customWidth="1"/>
    <col min="9744" max="9978" width="7.93359375" style="5"/>
    <col min="9979" max="9979" width="3.359375" style="5" customWidth="1"/>
    <col min="9980" max="9980" width="10.76171875" style="5" customWidth="1"/>
    <col min="9981" max="9981" width="10.625" style="5" bestFit="1" customWidth="1"/>
    <col min="9982" max="9982" width="10.22265625" style="5" bestFit="1" customWidth="1"/>
    <col min="9983" max="9991" width="7.12890625" style="5" bestFit="1" customWidth="1"/>
    <col min="9992" max="9995" width="6.3203125" style="5" bestFit="1" customWidth="1"/>
    <col min="9996" max="9996" width="7.12890625" style="5" bestFit="1" customWidth="1"/>
    <col min="9997" max="9998" width="6.3203125" style="5" bestFit="1" customWidth="1"/>
    <col min="9999" max="9999" width="5.24609375" style="5" customWidth="1"/>
    <col min="10000" max="10234" width="7.93359375" style="5"/>
    <col min="10235" max="10235" width="3.359375" style="5" customWidth="1"/>
    <col min="10236" max="10236" width="10.76171875" style="5" customWidth="1"/>
    <col min="10237" max="10237" width="10.625" style="5" bestFit="1" customWidth="1"/>
    <col min="10238" max="10238" width="10.22265625" style="5" bestFit="1" customWidth="1"/>
    <col min="10239" max="10247" width="7.12890625" style="5" bestFit="1" customWidth="1"/>
    <col min="10248" max="10251" width="6.3203125" style="5" bestFit="1" customWidth="1"/>
    <col min="10252" max="10252" width="7.12890625" style="5" bestFit="1" customWidth="1"/>
    <col min="10253" max="10254" width="6.3203125" style="5" bestFit="1" customWidth="1"/>
    <col min="10255" max="10255" width="5.24609375" style="5" customWidth="1"/>
    <col min="10256" max="10490" width="7.93359375" style="5"/>
    <col min="10491" max="10491" width="3.359375" style="5" customWidth="1"/>
    <col min="10492" max="10492" width="10.76171875" style="5" customWidth="1"/>
    <col min="10493" max="10493" width="10.625" style="5" bestFit="1" customWidth="1"/>
    <col min="10494" max="10494" width="10.22265625" style="5" bestFit="1" customWidth="1"/>
    <col min="10495" max="10503" width="7.12890625" style="5" bestFit="1" customWidth="1"/>
    <col min="10504" max="10507" width="6.3203125" style="5" bestFit="1" customWidth="1"/>
    <col min="10508" max="10508" width="7.12890625" style="5" bestFit="1" customWidth="1"/>
    <col min="10509" max="10510" width="6.3203125" style="5" bestFit="1" customWidth="1"/>
    <col min="10511" max="10511" width="5.24609375" style="5" customWidth="1"/>
    <col min="10512" max="10746" width="7.93359375" style="5"/>
    <col min="10747" max="10747" width="3.359375" style="5" customWidth="1"/>
    <col min="10748" max="10748" width="10.76171875" style="5" customWidth="1"/>
    <col min="10749" max="10749" width="10.625" style="5" bestFit="1" customWidth="1"/>
    <col min="10750" max="10750" width="10.22265625" style="5" bestFit="1" customWidth="1"/>
    <col min="10751" max="10759" width="7.12890625" style="5" bestFit="1" customWidth="1"/>
    <col min="10760" max="10763" width="6.3203125" style="5" bestFit="1" customWidth="1"/>
    <col min="10764" max="10764" width="7.12890625" style="5" bestFit="1" customWidth="1"/>
    <col min="10765" max="10766" width="6.3203125" style="5" bestFit="1" customWidth="1"/>
    <col min="10767" max="10767" width="5.24609375" style="5" customWidth="1"/>
    <col min="10768" max="11002" width="7.93359375" style="5"/>
    <col min="11003" max="11003" width="3.359375" style="5" customWidth="1"/>
    <col min="11004" max="11004" width="10.76171875" style="5" customWidth="1"/>
    <col min="11005" max="11005" width="10.625" style="5" bestFit="1" customWidth="1"/>
    <col min="11006" max="11006" width="10.22265625" style="5" bestFit="1" customWidth="1"/>
    <col min="11007" max="11015" width="7.12890625" style="5" bestFit="1" customWidth="1"/>
    <col min="11016" max="11019" width="6.3203125" style="5" bestFit="1" customWidth="1"/>
    <col min="11020" max="11020" width="7.12890625" style="5" bestFit="1" customWidth="1"/>
    <col min="11021" max="11022" width="6.3203125" style="5" bestFit="1" customWidth="1"/>
    <col min="11023" max="11023" width="5.24609375" style="5" customWidth="1"/>
    <col min="11024" max="11258" width="7.93359375" style="5"/>
    <col min="11259" max="11259" width="3.359375" style="5" customWidth="1"/>
    <col min="11260" max="11260" width="10.76171875" style="5" customWidth="1"/>
    <col min="11261" max="11261" width="10.625" style="5" bestFit="1" customWidth="1"/>
    <col min="11262" max="11262" width="10.22265625" style="5" bestFit="1" customWidth="1"/>
    <col min="11263" max="11271" width="7.12890625" style="5" bestFit="1" customWidth="1"/>
    <col min="11272" max="11275" width="6.3203125" style="5" bestFit="1" customWidth="1"/>
    <col min="11276" max="11276" width="7.12890625" style="5" bestFit="1" customWidth="1"/>
    <col min="11277" max="11278" width="6.3203125" style="5" bestFit="1" customWidth="1"/>
    <col min="11279" max="11279" width="5.24609375" style="5" customWidth="1"/>
    <col min="11280" max="11514" width="7.93359375" style="5"/>
    <col min="11515" max="11515" width="3.359375" style="5" customWidth="1"/>
    <col min="11516" max="11516" width="10.76171875" style="5" customWidth="1"/>
    <col min="11517" max="11517" width="10.625" style="5" bestFit="1" customWidth="1"/>
    <col min="11518" max="11518" width="10.22265625" style="5" bestFit="1" customWidth="1"/>
    <col min="11519" max="11527" width="7.12890625" style="5" bestFit="1" customWidth="1"/>
    <col min="11528" max="11531" width="6.3203125" style="5" bestFit="1" customWidth="1"/>
    <col min="11532" max="11532" width="7.12890625" style="5" bestFit="1" customWidth="1"/>
    <col min="11533" max="11534" width="6.3203125" style="5" bestFit="1" customWidth="1"/>
    <col min="11535" max="11535" width="5.24609375" style="5" customWidth="1"/>
    <col min="11536" max="11770" width="7.93359375" style="5"/>
    <col min="11771" max="11771" width="3.359375" style="5" customWidth="1"/>
    <col min="11772" max="11772" width="10.76171875" style="5" customWidth="1"/>
    <col min="11773" max="11773" width="10.625" style="5" bestFit="1" customWidth="1"/>
    <col min="11774" max="11774" width="10.22265625" style="5" bestFit="1" customWidth="1"/>
    <col min="11775" max="11783" width="7.12890625" style="5" bestFit="1" customWidth="1"/>
    <col min="11784" max="11787" width="6.3203125" style="5" bestFit="1" customWidth="1"/>
    <col min="11788" max="11788" width="7.12890625" style="5" bestFit="1" customWidth="1"/>
    <col min="11789" max="11790" width="6.3203125" style="5" bestFit="1" customWidth="1"/>
    <col min="11791" max="11791" width="5.24609375" style="5" customWidth="1"/>
    <col min="11792" max="12026" width="7.93359375" style="5"/>
    <col min="12027" max="12027" width="3.359375" style="5" customWidth="1"/>
    <col min="12028" max="12028" width="10.76171875" style="5" customWidth="1"/>
    <col min="12029" max="12029" width="10.625" style="5" bestFit="1" customWidth="1"/>
    <col min="12030" max="12030" width="10.22265625" style="5" bestFit="1" customWidth="1"/>
    <col min="12031" max="12039" width="7.12890625" style="5" bestFit="1" customWidth="1"/>
    <col min="12040" max="12043" width="6.3203125" style="5" bestFit="1" customWidth="1"/>
    <col min="12044" max="12044" width="7.12890625" style="5" bestFit="1" customWidth="1"/>
    <col min="12045" max="12046" width="6.3203125" style="5" bestFit="1" customWidth="1"/>
    <col min="12047" max="12047" width="5.24609375" style="5" customWidth="1"/>
    <col min="12048" max="12282" width="7.93359375" style="5"/>
    <col min="12283" max="12283" width="3.359375" style="5" customWidth="1"/>
    <col min="12284" max="12284" width="10.76171875" style="5" customWidth="1"/>
    <col min="12285" max="12285" width="10.625" style="5" bestFit="1" customWidth="1"/>
    <col min="12286" max="12286" width="10.22265625" style="5" bestFit="1" customWidth="1"/>
    <col min="12287" max="12295" width="7.12890625" style="5" bestFit="1" customWidth="1"/>
    <col min="12296" max="12299" width="6.3203125" style="5" bestFit="1" customWidth="1"/>
    <col min="12300" max="12300" width="7.12890625" style="5" bestFit="1" customWidth="1"/>
    <col min="12301" max="12302" width="6.3203125" style="5" bestFit="1" customWidth="1"/>
    <col min="12303" max="12303" width="5.24609375" style="5" customWidth="1"/>
    <col min="12304" max="12538" width="7.93359375" style="5"/>
    <col min="12539" max="12539" width="3.359375" style="5" customWidth="1"/>
    <col min="12540" max="12540" width="10.76171875" style="5" customWidth="1"/>
    <col min="12541" max="12541" width="10.625" style="5" bestFit="1" customWidth="1"/>
    <col min="12542" max="12542" width="10.22265625" style="5" bestFit="1" customWidth="1"/>
    <col min="12543" max="12551" width="7.12890625" style="5" bestFit="1" customWidth="1"/>
    <col min="12552" max="12555" width="6.3203125" style="5" bestFit="1" customWidth="1"/>
    <col min="12556" max="12556" width="7.12890625" style="5" bestFit="1" customWidth="1"/>
    <col min="12557" max="12558" width="6.3203125" style="5" bestFit="1" customWidth="1"/>
    <col min="12559" max="12559" width="5.24609375" style="5" customWidth="1"/>
    <col min="12560" max="12794" width="7.93359375" style="5"/>
    <col min="12795" max="12795" width="3.359375" style="5" customWidth="1"/>
    <col min="12796" max="12796" width="10.76171875" style="5" customWidth="1"/>
    <col min="12797" max="12797" width="10.625" style="5" bestFit="1" customWidth="1"/>
    <col min="12798" max="12798" width="10.22265625" style="5" bestFit="1" customWidth="1"/>
    <col min="12799" max="12807" width="7.12890625" style="5" bestFit="1" customWidth="1"/>
    <col min="12808" max="12811" width="6.3203125" style="5" bestFit="1" customWidth="1"/>
    <col min="12812" max="12812" width="7.12890625" style="5" bestFit="1" customWidth="1"/>
    <col min="12813" max="12814" width="6.3203125" style="5" bestFit="1" customWidth="1"/>
    <col min="12815" max="12815" width="5.24609375" style="5" customWidth="1"/>
    <col min="12816" max="13050" width="7.93359375" style="5"/>
    <col min="13051" max="13051" width="3.359375" style="5" customWidth="1"/>
    <col min="13052" max="13052" width="10.76171875" style="5" customWidth="1"/>
    <col min="13053" max="13053" width="10.625" style="5" bestFit="1" customWidth="1"/>
    <col min="13054" max="13054" width="10.22265625" style="5" bestFit="1" customWidth="1"/>
    <col min="13055" max="13063" width="7.12890625" style="5" bestFit="1" customWidth="1"/>
    <col min="13064" max="13067" width="6.3203125" style="5" bestFit="1" customWidth="1"/>
    <col min="13068" max="13068" width="7.12890625" style="5" bestFit="1" customWidth="1"/>
    <col min="13069" max="13070" width="6.3203125" style="5" bestFit="1" customWidth="1"/>
    <col min="13071" max="13071" width="5.24609375" style="5" customWidth="1"/>
    <col min="13072" max="13306" width="7.93359375" style="5"/>
    <col min="13307" max="13307" width="3.359375" style="5" customWidth="1"/>
    <col min="13308" max="13308" width="10.76171875" style="5" customWidth="1"/>
    <col min="13309" max="13309" width="10.625" style="5" bestFit="1" customWidth="1"/>
    <col min="13310" max="13310" width="10.22265625" style="5" bestFit="1" customWidth="1"/>
    <col min="13311" max="13319" width="7.12890625" style="5" bestFit="1" customWidth="1"/>
    <col min="13320" max="13323" width="6.3203125" style="5" bestFit="1" customWidth="1"/>
    <col min="13324" max="13324" width="7.12890625" style="5" bestFit="1" customWidth="1"/>
    <col min="13325" max="13326" width="6.3203125" style="5" bestFit="1" customWidth="1"/>
    <col min="13327" max="13327" width="5.24609375" style="5" customWidth="1"/>
    <col min="13328" max="13562" width="7.93359375" style="5"/>
    <col min="13563" max="13563" width="3.359375" style="5" customWidth="1"/>
    <col min="13564" max="13564" width="10.76171875" style="5" customWidth="1"/>
    <col min="13565" max="13565" width="10.625" style="5" bestFit="1" customWidth="1"/>
    <col min="13566" max="13566" width="10.22265625" style="5" bestFit="1" customWidth="1"/>
    <col min="13567" max="13575" width="7.12890625" style="5" bestFit="1" customWidth="1"/>
    <col min="13576" max="13579" width="6.3203125" style="5" bestFit="1" customWidth="1"/>
    <col min="13580" max="13580" width="7.12890625" style="5" bestFit="1" customWidth="1"/>
    <col min="13581" max="13582" width="6.3203125" style="5" bestFit="1" customWidth="1"/>
    <col min="13583" max="13583" width="5.24609375" style="5" customWidth="1"/>
    <col min="13584" max="13818" width="7.93359375" style="5"/>
    <col min="13819" max="13819" width="3.359375" style="5" customWidth="1"/>
    <col min="13820" max="13820" width="10.76171875" style="5" customWidth="1"/>
    <col min="13821" max="13821" width="10.625" style="5" bestFit="1" customWidth="1"/>
    <col min="13822" max="13822" width="10.22265625" style="5" bestFit="1" customWidth="1"/>
    <col min="13823" max="13831" width="7.12890625" style="5" bestFit="1" customWidth="1"/>
    <col min="13832" max="13835" width="6.3203125" style="5" bestFit="1" customWidth="1"/>
    <col min="13836" max="13836" width="7.12890625" style="5" bestFit="1" customWidth="1"/>
    <col min="13837" max="13838" width="6.3203125" style="5" bestFit="1" customWidth="1"/>
    <col min="13839" max="13839" width="5.24609375" style="5" customWidth="1"/>
    <col min="13840" max="14074" width="7.93359375" style="5"/>
    <col min="14075" max="14075" width="3.359375" style="5" customWidth="1"/>
    <col min="14076" max="14076" width="10.76171875" style="5" customWidth="1"/>
    <col min="14077" max="14077" width="10.625" style="5" bestFit="1" customWidth="1"/>
    <col min="14078" max="14078" width="10.22265625" style="5" bestFit="1" customWidth="1"/>
    <col min="14079" max="14087" width="7.12890625" style="5" bestFit="1" customWidth="1"/>
    <col min="14088" max="14091" width="6.3203125" style="5" bestFit="1" customWidth="1"/>
    <col min="14092" max="14092" width="7.12890625" style="5" bestFit="1" customWidth="1"/>
    <col min="14093" max="14094" width="6.3203125" style="5" bestFit="1" customWidth="1"/>
    <col min="14095" max="14095" width="5.24609375" style="5" customWidth="1"/>
    <col min="14096" max="14330" width="7.93359375" style="5"/>
    <col min="14331" max="14331" width="3.359375" style="5" customWidth="1"/>
    <col min="14332" max="14332" width="10.76171875" style="5" customWidth="1"/>
    <col min="14333" max="14333" width="10.625" style="5" bestFit="1" customWidth="1"/>
    <col min="14334" max="14334" width="10.22265625" style="5" bestFit="1" customWidth="1"/>
    <col min="14335" max="14343" width="7.12890625" style="5" bestFit="1" customWidth="1"/>
    <col min="14344" max="14347" width="6.3203125" style="5" bestFit="1" customWidth="1"/>
    <col min="14348" max="14348" width="7.12890625" style="5" bestFit="1" customWidth="1"/>
    <col min="14349" max="14350" width="6.3203125" style="5" bestFit="1" customWidth="1"/>
    <col min="14351" max="14351" width="5.24609375" style="5" customWidth="1"/>
    <col min="14352" max="14586" width="7.93359375" style="5"/>
    <col min="14587" max="14587" width="3.359375" style="5" customWidth="1"/>
    <col min="14588" max="14588" width="10.76171875" style="5" customWidth="1"/>
    <col min="14589" max="14589" width="10.625" style="5" bestFit="1" customWidth="1"/>
    <col min="14590" max="14590" width="10.22265625" style="5" bestFit="1" customWidth="1"/>
    <col min="14591" max="14599" width="7.12890625" style="5" bestFit="1" customWidth="1"/>
    <col min="14600" max="14603" width="6.3203125" style="5" bestFit="1" customWidth="1"/>
    <col min="14604" max="14604" width="7.12890625" style="5" bestFit="1" customWidth="1"/>
    <col min="14605" max="14606" width="6.3203125" style="5" bestFit="1" customWidth="1"/>
    <col min="14607" max="14607" width="5.24609375" style="5" customWidth="1"/>
    <col min="14608" max="14842" width="7.93359375" style="5"/>
    <col min="14843" max="14843" width="3.359375" style="5" customWidth="1"/>
    <col min="14844" max="14844" width="10.76171875" style="5" customWidth="1"/>
    <col min="14845" max="14845" width="10.625" style="5" bestFit="1" customWidth="1"/>
    <col min="14846" max="14846" width="10.22265625" style="5" bestFit="1" customWidth="1"/>
    <col min="14847" max="14855" width="7.12890625" style="5" bestFit="1" customWidth="1"/>
    <col min="14856" max="14859" width="6.3203125" style="5" bestFit="1" customWidth="1"/>
    <col min="14860" max="14860" width="7.12890625" style="5" bestFit="1" customWidth="1"/>
    <col min="14861" max="14862" width="6.3203125" style="5" bestFit="1" customWidth="1"/>
    <col min="14863" max="14863" width="5.24609375" style="5" customWidth="1"/>
    <col min="14864" max="15098" width="7.93359375" style="5"/>
    <col min="15099" max="15099" width="3.359375" style="5" customWidth="1"/>
    <col min="15100" max="15100" width="10.76171875" style="5" customWidth="1"/>
    <col min="15101" max="15101" width="10.625" style="5" bestFit="1" customWidth="1"/>
    <col min="15102" max="15102" width="10.22265625" style="5" bestFit="1" customWidth="1"/>
    <col min="15103" max="15111" width="7.12890625" style="5" bestFit="1" customWidth="1"/>
    <col min="15112" max="15115" width="6.3203125" style="5" bestFit="1" customWidth="1"/>
    <col min="15116" max="15116" width="7.12890625" style="5" bestFit="1" customWidth="1"/>
    <col min="15117" max="15118" width="6.3203125" style="5" bestFit="1" customWidth="1"/>
    <col min="15119" max="15119" width="5.24609375" style="5" customWidth="1"/>
    <col min="15120" max="15354" width="7.93359375" style="5"/>
    <col min="15355" max="15355" width="3.359375" style="5" customWidth="1"/>
    <col min="15356" max="15356" width="10.76171875" style="5" customWidth="1"/>
    <col min="15357" max="15357" width="10.625" style="5" bestFit="1" customWidth="1"/>
    <col min="15358" max="15358" width="10.22265625" style="5" bestFit="1" customWidth="1"/>
    <col min="15359" max="15367" width="7.12890625" style="5" bestFit="1" customWidth="1"/>
    <col min="15368" max="15371" width="6.3203125" style="5" bestFit="1" customWidth="1"/>
    <col min="15372" max="15372" width="7.12890625" style="5" bestFit="1" customWidth="1"/>
    <col min="15373" max="15374" width="6.3203125" style="5" bestFit="1" customWidth="1"/>
    <col min="15375" max="15375" width="5.24609375" style="5" customWidth="1"/>
    <col min="15376" max="15610" width="7.93359375" style="5"/>
    <col min="15611" max="15611" width="3.359375" style="5" customWidth="1"/>
    <col min="15612" max="15612" width="10.76171875" style="5" customWidth="1"/>
    <col min="15613" max="15613" width="10.625" style="5" bestFit="1" customWidth="1"/>
    <col min="15614" max="15614" width="10.22265625" style="5" bestFit="1" customWidth="1"/>
    <col min="15615" max="15623" width="7.12890625" style="5" bestFit="1" customWidth="1"/>
    <col min="15624" max="15627" width="6.3203125" style="5" bestFit="1" customWidth="1"/>
    <col min="15628" max="15628" width="7.12890625" style="5" bestFit="1" customWidth="1"/>
    <col min="15629" max="15630" width="6.3203125" style="5" bestFit="1" customWidth="1"/>
    <col min="15631" max="15631" width="5.24609375" style="5" customWidth="1"/>
    <col min="15632" max="15866" width="7.93359375" style="5"/>
    <col min="15867" max="15867" width="3.359375" style="5" customWidth="1"/>
    <col min="15868" max="15868" width="10.76171875" style="5" customWidth="1"/>
    <col min="15869" max="15869" width="10.625" style="5" bestFit="1" customWidth="1"/>
    <col min="15870" max="15870" width="10.22265625" style="5" bestFit="1" customWidth="1"/>
    <col min="15871" max="15879" width="7.12890625" style="5" bestFit="1" customWidth="1"/>
    <col min="15880" max="15883" width="6.3203125" style="5" bestFit="1" customWidth="1"/>
    <col min="15884" max="15884" width="7.12890625" style="5" bestFit="1" customWidth="1"/>
    <col min="15885" max="15886" width="6.3203125" style="5" bestFit="1" customWidth="1"/>
    <col min="15887" max="15887" width="5.24609375" style="5" customWidth="1"/>
    <col min="15888" max="16122" width="7.93359375" style="5"/>
    <col min="16123" max="16123" width="3.359375" style="5" customWidth="1"/>
    <col min="16124" max="16124" width="10.76171875" style="5" customWidth="1"/>
    <col min="16125" max="16125" width="10.625" style="5" bestFit="1" customWidth="1"/>
    <col min="16126" max="16126" width="10.22265625" style="5" bestFit="1" customWidth="1"/>
    <col min="16127" max="16135" width="7.12890625" style="5" bestFit="1" customWidth="1"/>
    <col min="16136" max="16139" width="6.3203125" style="5" bestFit="1" customWidth="1"/>
    <col min="16140" max="16140" width="7.12890625" style="5" bestFit="1" customWidth="1"/>
    <col min="16141" max="16142" width="6.3203125" style="5" bestFit="1" customWidth="1"/>
    <col min="16143" max="16143" width="5.24609375" style="5" customWidth="1"/>
    <col min="16144" max="16384" width="7.93359375" style="5"/>
  </cols>
  <sheetData>
    <row r="1" spans="1:32" s="2" customFormat="1" ht="14.1" hidden="1" customHeight="1" x14ac:dyDescent="0.2">
      <c r="A1" s="47" t="s">
        <v>0</v>
      </c>
      <c r="B1" s="1" t="s">
        <v>1</v>
      </c>
      <c r="C1" s="1">
        <v>1995</v>
      </c>
      <c r="D1" s="1">
        <v>1996</v>
      </c>
      <c r="E1" s="1">
        <v>1997</v>
      </c>
      <c r="F1" s="1">
        <v>1998</v>
      </c>
      <c r="G1" s="1">
        <v>1999</v>
      </c>
      <c r="H1" s="1">
        <v>2000</v>
      </c>
      <c r="I1" s="1">
        <v>2001</v>
      </c>
      <c r="J1" s="1">
        <v>2002</v>
      </c>
      <c r="K1" s="1">
        <v>2003</v>
      </c>
      <c r="L1" s="1">
        <v>2004</v>
      </c>
      <c r="M1" s="1">
        <v>2005</v>
      </c>
      <c r="N1" s="1">
        <v>2006</v>
      </c>
      <c r="O1" s="1">
        <v>2007</v>
      </c>
      <c r="P1" s="1">
        <v>2008</v>
      </c>
      <c r="Q1" s="1">
        <v>2009</v>
      </c>
      <c r="R1" s="1">
        <v>2010</v>
      </c>
      <c r="S1" s="1">
        <v>2011</v>
      </c>
      <c r="T1" s="1">
        <v>2012</v>
      </c>
      <c r="U1" s="1">
        <v>2013</v>
      </c>
      <c r="V1" s="1">
        <v>2014</v>
      </c>
      <c r="W1" s="1">
        <v>2015</v>
      </c>
      <c r="X1" s="1">
        <v>2016</v>
      </c>
      <c r="Y1" s="1">
        <v>2017</v>
      </c>
      <c r="Z1" s="1">
        <v>2018</v>
      </c>
      <c r="AA1" s="13">
        <v>2019</v>
      </c>
      <c r="AB1" s="13">
        <v>2020</v>
      </c>
      <c r="AC1" s="13">
        <v>2021</v>
      </c>
      <c r="AD1" s="13">
        <v>2022</v>
      </c>
      <c r="AF1" s="15"/>
    </row>
    <row r="2" spans="1:32" ht="14.1" hidden="1" customHeight="1" x14ac:dyDescent="0.2">
      <c r="A2" s="47"/>
      <c r="B2" s="3" t="s">
        <v>2</v>
      </c>
      <c r="C2" s="4">
        <v>0</v>
      </c>
      <c r="D2" s="4">
        <v>2.58E-2</v>
      </c>
      <c r="E2" s="4">
        <v>1.7299999999999999E-2</v>
      </c>
      <c r="F2" s="4">
        <v>2.6700000000000002E-2</v>
      </c>
      <c r="G2" s="4">
        <v>2.18E-2</v>
      </c>
      <c r="H2" s="4">
        <v>1.46E-2</v>
      </c>
      <c r="I2" s="4">
        <v>1.2699999999999999E-2</v>
      </c>
      <c r="J2" s="4">
        <v>1.5299999999999999E-2</v>
      </c>
      <c r="K2" s="4">
        <v>1.9699999999999999E-2</v>
      </c>
      <c r="L2" s="4">
        <v>1.2699999999999999E-2</v>
      </c>
      <c r="M2" s="4">
        <v>1.38E-2</v>
      </c>
      <c r="N2" s="4">
        <v>1.43E-2</v>
      </c>
      <c r="O2" s="4">
        <v>1.0800000000000001E-2</v>
      </c>
      <c r="P2" s="4">
        <v>9.2999999999999992E-3</v>
      </c>
      <c r="Q2" s="4">
        <v>1.0500000000000001E-2</v>
      </c>
      <c r="R2" s="4">
        <v>6.6E-3</v>
      </c>
      <c r="S2" s="4">
        <v>8.6E-3</v>
      </c>
      <c r="T2" s="4">
        <v>8.8999999999999999E-3</v>
      </c>
      <c r="U2" s="4">
        <v>6.0000000000000001E-3</v>
      </c>
      <c r="V2" s="4">
        <v>8.5000000000000006E-3</v>
      </c>
      <c r="W2" s="4">
        <v>9.4000000000000004E-3</v>
      </c>
      <c r="X2" s="4">
        <v>1.06E-2</v>
      </c>
      <c r="Y2" s="4">
        <v>1.09E-2</v>
      </c>
      <c r="Z2" s="12">
        <v>5.7999999999999996E-3</v>
      </c>
      <c r="AA2" s="14">
        <v>5.4000000000000003E-3</v>
      </c>
      <c r="AB2" s="14">
        <v>3.8E-3</v>
      </c>
      <c r="AC2" s="14">
        <v>1.5E-3</v>
      </c>
      <c r="AD2" s="14"/>
      <c r="AF2" s="16"/>
    </row>
    <row r="3" spans="1:32" ht="14.1" hidden="1" customHeight="1" x14ac:dyDescent="0.2">
      <c r="A3" s="47"/>
      <c r="B3" s="3" t="s">
        <v>3</v>
      </c>
      <c r="C3" s="4">
        <v>3.6299999999999999E-2</v>
      </c>
      <c r="D3" s="4">
        <v>2.35E-2</v>
      </c>
      <c r="E3" s="4">
        <v>1.67E-2</v>
      </c>
      <c r="F3" s="4">
        <v>2.1299999999999999E-2</v>
      </c>
      <c r="G3" s="4">
        <v>2.3800000000000002E-2</v>
      </c>
      <c r="H3" s="4">
        <v>1.4500000000000001E-2</v>
      </c>
      <c r="I3" s="4">
        <v>1.0200000000000001E-2</v>
      </c>
      <c r="J3" s="4">
        <v>1.2500000000000001E-2</v>
      </c>
      <c r="K3" s="4">
        <v>1.83E-2</v>
      </c>
      <c r="L3" s="4">
        <v>1.0800000000000001E-2</v>
      </c>
      <c r="M3" s="4">
        <v>1.2200000000000001E-2</v>
      </c>
      <c r="N3" s="4">
        <v>1.15E-2</v>
      </c>
      <c r="O3" s="4">
        <v>8.6999999999999994E-3</v>
      </c>
      <c r="P3" s="4">
        <v>8.0000000000000002E-3</v>
      </c>
      <c r="Q3" s="4">
        <v>8.6E-3</v>
      </c>
      <c r="R3" s="4">
        <v>5.8999999999999999E-3</v>
      </c>
      <c r="S3" s="4">
        <v>8.3999999999999995E-3</v>
      </c>
      <c r="T3" s="4">
        <v>7.4999999999999997E-3</v>
      </c>
      <c r="U3" s="4">
        <v>4.8999999999999998E-3</v>
      </c>
      <c r="V3" s="4">
        <v>7.9000000000000008E-3</v>
      </c>
      <c r="W3" s="4">
        <v>8.2000000000000007E-3</v>
      </c>
      <c r="X3" s="4">
        <v>0.01</v>
      </c>
      <c r="Y3" s="4">
        <v>8.6999999999999994E-3</v>
      </c>
      <c r="Z3" s="12">
        <v>4.7000000000000002E-3</v>
      </c>
      <c r="AA3" s="14">
        <v>4.8999999999999998E-3</v>
      </c>
      <c r="AB3" s="14">
        <v>2.8999999999999998E-3</v>
      </c>
      <c r="AC3" s="14">
        <v>1.2999999999999999E-3</v>
      </c>
      <c r="AD3" s="14"/>
      <c r="AF3" s="17"/>
    </row>
    <row r="4" spans="1:32" ht="14.1" hidden="1" customHeight="1" x14ac:dyDescent="0.2">
      <c r="A4" s="47"/>
      <c r="B4" s="3" t="s">
        <v>4</v>
      </c>
      <c r="C4" s="4">
        <v>2.5999999999999999E-2</v>
      </c>
      <c r="D4" s="4">
        <v>2.2200000000000001E-2</v>
      </c>
      <c r="E4" s="4">
        <v>1.6400000000000001E-2</v>
      </c>
      <c r="F4" s="4">
        <v>2.1999999999999999E-2</v>
      </c>
      <c r="G4" s="4">
        <v>3.3300000000000003E-2</v>
      </c>
      <c r="H4" s="4">
        <v>1.4500000000000001E-2</v>
      </c>
      <c r="I4" s="4">
        <v>1.26E-2</v>
      </c>
      <c r="J4" s="4">
        <v>1.37E-2</v>
      </c>
      <c r="K4" s="4">
        <v>1.78E-2</v>
      </c>
      <c r="L4" s="4">
        <v>1.38E-2</v>
      </c>
      <c r="M4" s="4">
        <v>1.5299999999999999E-2</v>
      </c>
      <c r="N4" s="4">
        <v>1.4200000000000001E-2</v>
      </c>
      <c r="O4" s="4">
        <v>1.0500000000000001E-2</v>
      </c>
      <c r="P4" s="4">
        <v>8.3999999999999995E-3</v>
      </c>
      <c r="Q4" s="4">
        <v>9.7000000000000003E-3</v>
      </c>
      <c r="R4" s="4">
        <v>7.6E-3</v>
      </c>
      <c r="S4" s="4">
        <v>9.1999999999999998E-3</v>
      </c>
      <c r="T4" s="4">
        <v>8.2000000000000007E-3</v>
      </c>
      <c r="U4" s="4">
        <v>5.4999999999999997E-3</v>
      </c>
      <c r="V4" s="4">
        <v>7.7000000000000002E-3</v>
      </c>
      <c r="W4" s="4">
        <v>1.04E-2</v>
      </c>
      <c r="X4" s="4">
        <v>1.1599999999999999E-2</v>
      </c>
      <c r="Y4" s="4">
        <v>1.0500000000000001E-2</v>
      </c>
      <c r="Z4" s="12">
        <v>5.3E-3</v>
      </c>
      <c r="AA4" s="14">
        <v>4.7000000000000002E-3</v>
      </c>
      <c r="AB4" s="14">
        <v>3.3999999999999998E-3</v>
      </c>
      <c r="AC4" s="14">
        <v>2E-3</v>
      </c>
      <c r="AD4" s="14"/>
    </row>
    <row r="5" spans="1:32" ht="14.1" hidden="1" customHeight="1" x14ac:dyDescent="0.2">
      <c r="A5" s="47"/>
      <c r="B5" s="3" t="s">
        <v>5</v>
      </c>
      <c r="C5" s="4">
        <v>4.2599999999999999E-2</v>
      </c>
      <c r="D5" s="4">
        <v>2.07E-2</v>
      </c>
      <c r="E5" s="4">
        <v>1.66E-2</v>
      </c>
      <c r="F5" s="4">
        <v>1.7100000000000001E-2</v>
      </c>
      <c r="G5" s="4">
        <v>2.35E-2</v>
      </c>
      <c r="H5" s="4">
        <v>1.2999999999999999E-2</v>
      </c>
      <c r="I5" s="4">
        <v>1.1900000000000001E-2</v>
      </c>
      <c r="J5" s="4">
        <v>1.4800000000000001E-2</v>
      </c>
      <c r="K5" s="4">
        <v>1.8700000000000001E-2</v>
      </c>
      <c r="L5" s="4">
        <v>1.18E-2</v>
      </c>
      <c r="M5" s="4">
        <v>1.41E-2</v>
      </c>
      <c r="N5" s="4">
        <v>1.0800000000000001E-2</v>
      </c>
      <c r="O5" s="4">
        <v>9.4000000000000004E-3</v>
      </c>
      <c r="P5" s="4">
        <v>8.9999999999999993E-3</v>
      </c>
      <c r="Q5" s="4">
        <v>8.3999999999999995E-3</v>
      </c>
      <c r="R5" s="4">
        <v>6.7000000000000002E-3</v>
      </c>
      <c r="S5" s="4">
        <v>8.3999999999999995E-3</v>
      </c>
      <c r="T5" s="4">
        <v>7.1000000000000004E-3</v>
      </c>
      <c r="U5" s="4">
        <v>6.1000000000000004E-3</v>
      </c>
      <c r="V5" s="4">
        <v>8.2000000000000007E-3</v>
      </c>
      <c r="W5" s="4">
        <v>9.4999999999999998E-3</v>
      </c>
      <c r="X5" s="4">
        <v>1.06E-2</v>
      </c>
      <c r="Y5" s="4">
        <v>7.9000000000000008E-3</v>
      </c>
      <c r="Z5" s="12">
        <v>5.1999999999999998E-3</v>
      </c>
      <c r="AA5" s="14">
        <v>5.1999999999999998E-3</v>
      </c>
      <c r="AB5" s="14">
        <v>2.8E-3</v>
      </c>
      <c r="AC5" s="14">
        <v>2.0999999999999999E-3</v>
      </c>
      <c r="AD5" s="14"/>
      <c r="AF5" s="18"/>
    </row>
    <row r="6" spans="1:32" ht="14.1" hidden="1" customHeight="1" x14ac:dyDescent="0.2">
      <c r="A6" s="47"/>
      <c r="B6" s="3" t="s">
        <v>6</v>
      </c>
      <c r="C6" s="4">
        <v>4.2500000000000003E-2</v>
      </c>
      <c r="D6" s="4">
        <v>2.01E-2</v>
      </c>
      <c r="E6" s="4">
        <v>1.5800000000000002E-2</v>
      </c>
      <c r="F6" s="4">
        <v>1.6299999999999999E-2</v>
      </c>
      <c r="G6" s="4">
        <v>2.0199999999999999E-2</v>
      </c>
      <c r="H6" s="4">
        <v>1.49E-2</v>
      </c>
      <c r="I6" s="4">
        <v>1.34E-2</v>
      </c>
      <c r="J6" s="4">
        <v>1.41E-2</v>
      </c>
      <c r="K6" s="4">
        <v>1.9699999999999999E-2</v>
      </c>
      <c r="L6" s="4">
        <v>1.23E-2</v>
      </c>
      <c r="M6" s="4">
        <v>1.4999999999999999E-2</v>
      </c>
      <c r="N6" s="4">
        <v>1.2800000000000001E-2</v>
      </c>
      <c r="O6" s="4">
        <v>1.03E-2</v>
      </c>
      <c r="P6" s="4">
        <v>8.8000000000000005E-3</v>
      </c>
      <c r="Q6" s="4">
        <v>7.7000000000000002E-3</v>
      </c>
      <c r="R6" s="4">
        <v>7.4999999999999997E-3</v>
      </c>
      <c r="S6" s="4">
        <v>9.9000000000000008E-3</v>
      </c>
      <c r="T6" s="4">
        <v>7.4000000000000003E-3</v>
      </c>
      <c r="U6" s="4">
        <v>6.0000000000000001E-3</v>
      </c>
      <c r="V6" s="4">
        <v>8.6999999999999994E-3</v>
      </c>
      <c r="W6" s="4">
        <v>9.9000000000000008E-3</v>
      </c>
      <c r="X6" s="4">
        <v>1.11E-2</v>
      </c>
      <c r="Y6" s="4">
        <v>9.2999999999999992E-3</v>
      </c>
      <c r="Z6" s="12">
        <v>5.1999999999999998E-3</v>
      </c>
      <c r="AA6" s="14">
        <v>5.4000000000000003E-3</v>
      </c>
      <c r="AB6" s="14">
        <v>2.3999999999999998E-3</v>
      </c>
      <c r="AC6" s="14">
        <v>2.7000000000000001E-3</v>
      </c>
      <c r="AD6" s="14"/>
    </row>
    <row r="7" spans="1:32" ht="14.1" hidden="1" customHeight="1" x14ac:dyDescent="0.2">
      <c r="A7" s="47"/>
      <c r="B7" s="3" t="s">
        <v>7</v>
      </c>
      <c r="C7" s="4">
        <v>4.0399999999999998E-2</v>
      </c>
      <c r="D7" s="4">
        <v>1.9800000000000002E-2</v>
      </c>
      <c r="E7" s="4">
        <v>1.61E-2</v>
      </c>
      <c r="F7" s="4">
        <v>1.6E-2</v>
      </c>
      <c r="G7" s="4">
        <v>1.67E-2</v>
      </c>
      <c r="H7" s="4">
        <v>1.3899999999999999E-2</v>
      </c>
      <c r="I7" s="4">
        <v>1.2699999999999999E-2</v>
      </c>
      <c r="J7" s="4">
        <v>1.3299999999999999E-2</v>
      </c>
      <c r="K7" s="4">
        <v>1.8599999999999998E-2</v>
      </c>
      <c r="L7" s="4">
        <v>1.23E-2</v>
      </c>
      <c r="M7" s="4">
        <v>1.5900000000000001E-2</v>
      </c>
      <c r="N7" s="4">
        <v>1.18E-2</v>
      </c>
      <c r="O7" s="4">
        <v>9.1000000000000004E-3</v>
      </c>
      <c r="P7" s="4">
        <v>9.5999999999999992E-3</v>
      </c>
      <c r="Q7" s="4">
        <v>7.6E-3</v>
      </c>
      <c r="R7" s="4">
        <v>7.9000000000000008E-3</v>
      </c>
      <c r="S7" s="4">
        <v>9.5999999999999992E-3</v>
      </c>
      <c r="T7" s="4">
        <v>6.4000000000000003E-3</v>
      </c>
      <c r="U7" s="4">
        <v>6.1000000000000004E-3</v>
      </c>
      <c r="V7" s="4">
        <v>8.2000000000000007E-3</v>
      </c>
      <c r="W7" s="4">
        <v>1.0699999999999999E-2</v>
      </c>
      <c r="X7" s="4">
        <v>1.1599999999999999E-2</v>
      </c>
      <c r="Y7" s="4">
        <v>8.0999999999999996E-3</v>
      </c>
      <c r="Z7" s="12">
        <v>5.1999999999999998E-3</v>
      </c>
      <c r="AA7" s="14">
        <v>4.7000000000000002E-3</v>
      </c>
      <c r="AB7" s="14">
        <v>2.0999999999999999E-3</v>
      </c>
      <c r="AC7" s="14">
        <v>3.0999999999999999E-3</v>
      </c>
      <c r="AD7" s="14"/>
    </row>
    <row r="8" spans="1:32" ht="14.1" hidden="1" customHeight="1" x14ac:dyDescent="0.2">
      <c r="A8" s="47"/>
      <c r="B8" s="3" t="s">
        <v>8</v>
      </c>
      <c r="C8" s="4">
        <v>4.02E-2</v>
      </c>
      <c r="D8" s="4">
        <v>1.9300000000000001E-2</v>
      </c>
      <c r="E8" s="4">
        <v>1.6E-2</v>
      </c>
      <c r="F8" s="4">
        <v>1.7000000000000001E-2</v>
      </c>
      <c r="G8" s="4">
        <v>1.66E-2</v>
      </c>
      <c r="H8" s="4">
        <v>1.3100000000000001E-2</v>
      </c>
      <c r="I8" s="4">
        <v>1.4999999999999999E-2</v>
      </c>
      <c r="J8" s="4">
        <v>1.54E-2</v>
      </c>
      <c r="K8" s="4">
        <v>2.0799999999999999E-2</v>
      </c>
      <c r="L8" s="4">
        <v>1.29E-2</v>
      </c>
      <c r="M8" s="4">
        <v>1.5100000000000001E-2</v>
      </c>
      <c r="N8" s="4">
        <v>1.17E-2</v>
      </c>
      <c r="O8" s="4">
        <v>9.7000000000000003E-3</v>
      </c>
      <c r="P8" s="4">
        <v>1.0699999999999999E-2</v>
      </c>
      <c r="Q8" s="4">
        <v>7.9000000000000008E-3</v>
      </c>
      <c r="R8" s="4">
        <v>8.6E-3</v>
      </c>
      <c r="S8" s="4">
        <v>9.7000000000000003E-3</v>
      </c>
      <c r="T8" s="4">
        <v>6.7999999999999996E-3</v>
      </c>
      <c r="U8" s="4">
        <v>7.1999999999999998E-3</v>
      </c>
      <c r="V8" s="4">
        <v>9.4999999999999998E-3</v>
      </c>
      <c r="W8" s="4">
        <v>1.18E-2</v>
      </c>
      <c r="X8" s="4">
        <v>1.11E-2</v>
      </c>
      <c r="Y8" s="4">
        <v>8.0000000000000002E-3</v>
      </c>
      <c r="Z8" s="12">
        <v>5.4000000000000003E-3</v>
      </c>
      <c r="AA8" s="14">
        <v>5.7000000000000002E-3</v>
      </c>
      <c r="AB8" s="14">
        <v>1.9E-3</v>
      </c>
      <c r="AC8" s="14">
        <v>3.5999999999999999E-3</v>
      </c>
      <c r="AD8" s="14"/>
    </row>
    <row r="9" spans="1:32" ht="14.1" hidden="1" customHeight="1" x14ac:dyDescent="0.2">
      <c r="A9" s="47"/>
      <c r="B9" s="3" t="s">
        <v>9</v>
      </c>
      <c r="C9" s="4">
        <v>3.8399999999999997E-2</v>
      </c>
      <c r="D9" s="4">
        <v>1.9699999999999999E-2</v>
      </c>
      <c r="E9" s="4">
        <v>1.5900000000000001E-2</v>
      </c>
      <c r="F9" s="4">
        <v>1.4800000000000001E-2</v>
      </c>
      <c r="G9" s="4">
        <v>1.5699999999999999E-2</v>
      </c>
      <c r="H9" s="4">
        <v>1.41E-2</v>
      </c>
      <c r="I9" s="4">
        <v>1.6E-2</v>
      </c>
      <c r="J9" s="4">
        <v>1.44E-2</v>
      </c>
      <c r="K9" s="4">
        <v>1.77E-2</v>
      </c>
      <c r="L9" s="4">
        <v>1.29E-2</v>
      </c>
      <c r="M9" s="4">
        <v>1.66E-2</v>
      </c>
      <c r="N9" s="4">
        <v>1.26E-2</v>
      </c>
      <c r="O9" s="4">
        <v>9.9000000000000008E-3</v>
      </c>
      <c r="P9" s="4">
        <v>1.0200000000000001E-2</v>
      </c>
      <c r="Q9" s="4">
        <v>6.8999999999999999E-3</v>
      </c>
      <c r="R9" s="6">
        <v>8.8999999999999999E-3</v>
      </c>
      <c r="S9" s="6">
        <v>1.0699999999999999E-2</v>
      </c>
      <c r="T9" s="4">
        <v>6.8999999999999999E-3</v>
      </c>
      <c r="U9" s="4">
        <v>7.1000000000000004E-3</v>
      </c>
      <c r="V9" s="4">
        <v>8.6999999999999994E-3</v>
      </c>
      <c r="W9" s="4">
        <v>1.11E-2</v>
      </c>
      <c r="X9" s="4">
        <v>1.2200000000000001E-2</v>
      </c>
      <c r="Y9" s="4">
        <v>8.0000000000000002E-3</v>
      </c>
      <c r="Z9" s="12">
        <v>5.7000000000000002E-3</v>
      </c>
      <c r="AA9" s="14">
        <v>5.0000000000000001E-3</v>
      </c>
      <c r="AB9" s="14">
        <v>1.6000000000000001E-3</v>
      </c>
      <c r="AC9" s="14">
        <v>4.3E-3</v>
      </c>
      <c r="AD9" s="14"/>
    </row>
    <row r="10" spans="1:32" ht="14.1" hidden="1" customHeight="1" x14ac:dyDescent="0.2">
      <c r="A10" s="47"/>
      <c r="B10" s="3" t="s">
        <v>10</v>
      </c>
      <c r="C10" s="4">
        <v>3.32E-2</v>
      </c>
      <c r="D10" s="4">
        <v>1.9E-2</v>
      </c>
      <c r="E10" s="4">
        <v>1.5900000000000001E-2</v>
      </c>
      <c r="F10" s="4">
        <v>2.4899999999999999E-2</v>
      </c>
      <c r="G10" s="4">
        <v>1.49E-2</v>
      </c>
      <c r="H10" s="4">
        <v>1.2200000000000001E-2</v>
      </c>
      <c r="I10" s="4">
        <v>1.32E-2</v>
      </c>
      <c r="J10" s="4">
        <v>1.38E-2</v>
      </c>
      <c r="K10" s="4">
        <v>1.6799999999999999E-2</v>
      </c>
      <c r="L10" s="4">
        <v>1.2500000000000001E-2</v>
      </c>
      <c r="M10" s="4">
        <v>1.4999999999999999E-2</v>
      </c>
      <c r="N10" s="4">
        <v>1.06E-2</v>
      </c>
      <c r="O10" s="4">
        <v>8.0000000000000002E-3</v>
      </c>
      <c r="P10" s="4">
        <v>1.0999999999999999E-2</v>
      </c>
      <c r="Q10" s="4">
        <v>6.8999999999999999E-3</v>
      </c>
      <c r="R10" s="6">
        <v>8.5000000000000006E-3</v>
      </c>
      <c r="S10" s="6">
        <v>9.4000000000000004E-3</v>
      </c>
      <c r="T10" s="4">
        <v>5.4000000000000003E-3</v>
      </c>
      <c r="U10" s="4">
        <v>7.1000000000000004E-3</v>
      </c>
      <c r="V10" s="4">
        <v>9.1000000000000004E-3</v>
      </c>
      <c r="W10" s="4">
        <v>1.11E-2</v>
      </c>
      <c r="X10" s="4">
        <v>1.11E-2</v>
      </c>
      <c r="Y10" s="4">
        <v>6.4000000000000003E-3</v>
      </c>
      <c r="Z10" s="12">
        <v>4.7000000000000002E-3</v>
      </c>
      <c r="AA10" s="14">
        <v>4.5999999999999999E-3</v>
      </c>
      <c r="AB10" s="14">
        <v>1.6000000000000001E-3</v>
      </c>
      <c r="AC10" s="14">
        <v>4.4000000000000003E-3</v>
      </c>
      <c r="AD10" s="14"/>
    </row>
    <row r="11" spans="1:32" ht="14.1" hidden="1" customHeight="1" x14ac:dyDescent="0.2">
      <c r="A11" s="47"/>
      <c r="B11" s="3" t="s">
        <v>11</v>
      </c>
      <c r="C11" s="4">
        <v>3.09E-2</v>
      </c>
      <c r="D11" s="4">
        <v>1.8599999999999998E-2</v>
      </c>
      <c r="E11" s="4">
        <v>1.67E-2</v>
      </c>
      <c r="F11" s="4">
        <v>2.9399999999999999E-2</v>
      </c>
      <c r="G11" s="4">
        <v>1.38E-2</v>
      </c>
      <c r="H11" s="4">
        <v>1.29E-2</v>
      </c>
      <c r="I11" s="4">
        <v>1.5299999999999999E-2</v>
      </c>
      <c r="J11" s="4">
        <v>1.6500000000000001E-2</v>
      </c>
      <c r="K11" s="4">
        <v>1.6400000000000001E-2</v>
      </c>
      <c r="L11" s="4">
        <v>1.21E-2</v>
      </c>
      <c r="M11" s="4">
        <v>1.41E-2</v>
      </c>
      <c r="N11" s="4">
        <v>1.09E-2</v>
      </c>
      <c r="O11" s="4">
        <v>9.2999999999999992E-3</v>
      </c>
      <c r="P11" s="4">
        <v>1.18E-2</v>
      </c>
      <c r="Q11" s="4">
        <v>6.8999999999999999E-3</v>
      </c>
      <c r="R11" s="6">
        <v>8.0999999999999996E-3</v>
      </c>
      <c r="S11" s="6">
        <v>8.8000000000000005E-3</v>
      </c>
      <c r="T11" s="4">
        <v>6.1000000000000004E-3</v>
      </c>
      <c r="U11" s="4">
        <v>8.0999999999999996E-3</v>
      </c>
      <c r="V11" s="4">
        <v>9.4999999999999998E-3</v>
      </c>
      <c r="W11" s="4">
        <v>1.11E-2</v>
      </c>
      <c r="X11" s="4">
        <v>1.0500000000000001E-2</v>
      </c>
      <c r="Y11" s="4">
        <v>6.4000000000000003E-3</v>
      </c>
      <c r="Z11" s="12">
        <v>5.4000000000000003E-3</v>
      </c>
      <c r="AA11" s="14">
        <v>4.7999999999999996E-3</v>
      </c>
      <c r="AB11" s="14">
        <v>1.6000000000000001E-3</v>
      </c>
      <c r="AC11" s="14">
        <v>4.8999999999999998E-3</v>
      </c>
      <c r="AD11" s="14"/>
    </row>
    <row r="12" spans="1:32" ht="14.1" hidden="1" customHeight="1" x14ac:dyDescent="0.2">
      <c r="A12" s="47"/>
      <c r="B12" s="3" t="s">
        <v>12</v>
      </c>
      <c r="C12" s="4">
        <v>2.8799999999999999E-2</v>
      </c>
      <c r="D12" s="4">
        <v>1.7999999999999999E-2</v>
      </c>
      <c r="E12" s="4">
        <v>3.04E-2</v>
      </c>
      <c r="F12" s="4">
        <v>2.63E-2</v>
      </c>
      <c r="G12" s="4">
        <v>1.3899999999999999E-2</v>
      </c>
      <c r="H12" s="4">
        <v>1.2200000000000001E-2</v>
      </c>
      <c r="I12" s="4">
        <v>1.3899999999999999E-2</v>
      </c>
      <c r="J12" s="4">
        <v>1.54E-2</v>
      </c>
      <c r="K12" s="4">
        <v>1.34E-2</v>
      </c>
      <c r="L12" s="4">
        <v>1.2500000000000001E-2</v>
      </c>
      <c r="M12" s="4">
        <v>1.38E-2</v>
      </c>
      <c r="N12" s="4">
        <v>1.0200000000000001E-2</v>
      </c>
      <c r="O12" s="4">
        <v>8.3999999999999995E-3</v>
      </c>
      <c r="P12" s="4">
        <v>1.0200000000000001E-2</v>
      </c>
      <c r="Q12" s="4">
        <v>6.6E-3</v>
      </c>
      <c r="R12" s="6">
        <v>8.0999999999999996E-3</v>
      </c>
      <c r="S12" s="6">
        <v>8.6E-3</v>
      </c>
      <c r="T12" s="4">
        <v>5.4999999999999997E-3</v>
      </c>
      <c r="U12" s="4">
        <v>7.1999999999999998E-3</v>
      </c>
      <c r="V12" s="4">
        <v>8.3999999999999995E-3</v>
      </c>
      <c r="W12" s="4">
        <v>1.06E-2</v>
      </c>
      <c r="X12" s="4">
        <v>1.04E-2</v>
      </c>
      <c r="Y12" s="4">
        <v>5.7000000000000002E-3</v>
      </c>
      <c r="Z12" s="12">
        <v>4.8999999999999998E-3</v>
      </c>
      <c r="AA12" s="14">
        <v>3.8E-3</v>
      </c>
      <c r="AB12" s="14">
        <v>1.5E-3</v>
      </c>
      <c r="AC12" s="14">
        <v>5.8999999999999999E-3</v>
      </c>
      <c r="AD12" s="14"/>
    </row>
    <row r="13" spans="1:32" ht="14.1" hidden="1" customHeight="1" x14ac:dyDescent="0.2">
      <c r="A13" s="47"/>
      <c r="B13" s="3" t="s">
        <v>13</v>
      </c>
      <c r="C13" s="4">
        <v>2.7799999999999998E-2</v>
      </c>
      <c r="D13" s="4">
        <v>1.7999999999999999E-2</v>
      </c>
      <c r="E13" s="4">
        <v>2.9700000000000001E-2</v>
      </c>
      <c r="F13" s="4">
        <v>2.4E-2</v>
      </c>
      <c r="G13" s="4">
        <v>1.6E-2</v>
      </c>
      <c r="H13" s="4">
        <v>1.2E-2</v>
      </c>
      <c r="I13" s="4">
        <v>1.3899999999999999E-2</v>
      </c>
      <c r="J13" s="4">
        <v>1.7399999999999999E-2</v>
      </c>
      <c r="K13" s="4">
        <v>1.37E-2</v>
      </c>
      <c r="L13" s="4">
        <v>1.4800000000000001E-2</v>
      </c>
      <c r="M13" s="4">
        <v>1.47E-2</v>
      </c>
      <c r="N13" s="4">
        <v>9.9000000000000008E-3</v>
      </c>
      <c r="O13" s="4">
        <v>8.3999999999999995E-3</v>
      </c>
      <c r="P13" s="4">
        <v>1.12E-2</v>
      </c>
      <c r="Q13" s="4">
        <v>7.3000000000000001E-3</v>
      </c>
      <c r="R13" s="6">
        <v>9.2999999999999992E-3</v>
      </c>
      <c r="S13" s="6">
        <v>9.1000000000000004E-3</v>
      </c>
      <c r="T13" s="4">
        <v>5.4999999999999997E-3</v>
      </c>
      <c r="U13" s="4">
        <v>7.9000000000000008E-3</v>
      </c>
      <c r="V13" s="4">
        <v>9.5999999999999992E-3</v>
      </c>
      <c r="W13" s="4">
        <v>1.1599999999999999E-2</v>
      </c>
      <c r="X13" s="4">
        <v>1.12E-2</v>
      </c>
      <c r="Y13" s="4">
        <v>5.4000000000000003E-3</v>
      </c>
      <c r="Z13" s="12">
        <v>4.8999999999999998E-3</v>
      </c>
      <c r="AA13" s="14">
        <v>3.7000000000000002E-3</v>
      </c>
      <c r="AB13" s="14">
        <v>1.6000000000000001E-3</v>
      </c>
      <c r="AC13" s="14">
        <v>7.7000000000000002E-3</v>
      </c>
      <c r="AD13" s="14"/>
    </row>
    <row r="15" spans="1:32" s="2" customFormat="1" ht="14.1" customHeight="1" x14ac:dyDescent="0.2">
      <c r="A15" s="48" t="s">
        <v>14</v>
      </c>
      <c r="B15" s="7" t="str">
        <f t="shared" ref="B15:AD15" si="0">B$1</f>
        <v xml:space="preserve">Mês/Ano </v>
      </c>
      <c r="C15" s="7">
        <f t="shared" si="0"/>
        <v>1995</v>
      </c>
      <c r="D15" s="7">
        <f t="shared" si="0"/>
        <v>1996</v>
      </c>
      <c r="E15" s="7">
        <f t="shared" si="0"/>
        <v>1997</v>
      </c>
      <c r="F15" s="7">
        <f t="shared" si="0"/>
        <v>1998</v>
      </c>
      <c r="G15" s="7">
        <f t="shared" si="0"/>
        <v>1999</v>
      </c>
      <c r="H15" s="7">
        <f t="shared" si="0"/>
        <v>2000</v>
      </c>
      <c r="I15" s="7">
        <f t="shared" si="0"/>
        <v>2001</v>
      </c>
      <c r="J15" s="7">
        <f t="shared" si="0"/>
        <v>2002</v>
      </c>
      <c r="K15" s="7">
        <f t="shared" si="0"/>
        <v>2003</v>
      </c>
      <c r="L15" s="7">
        <f t="shared" si="0"/>
        <v>2004</v>
      </c>
      <c r="M15" s="7">
        <f t="shared" si="0"/>
        <v>2005</v>
      </c>
      <c r="N15" s="7">
        <f t="shared" si="0"/>
        <v>2006</v>
      </c>
      <c r="O15" s="7">
        <f t="shared" si="0"/>
        <v>2007</v>
      </c>
      <c r="P15" s="7">
        <f t="shared" si="0"/>
        <v>2008</v>
      </c>
      <c r="Q15" s="7">
        <f t="shared" si="0"/>
        <v>2009</v>
      </c>
      <c r="R15" s="7">
        <f t="shared" si="0"/>
        <v>2010</v>
      </c>
      <c r="S15" s="7">
        <f t="shared" si="0"/>
        <v>2011</v>
      </c>
      <c r="T15" s="7">
        <f t="shared" si="0"/>
        <v>2012</v>
      </c>
      <c r="U15" s="7">
        <f t="shared" si="0"/>
        <v>2013</v>
      </c>
      <c r="V15" s="7">
        <f t="shared" si="0"/>
        <v>2014</v>
      </c>
      <c r="W15" s="7">
        <f t="shared" si="0"/>
        <v>2015</v>
      </c>
      <c r="X15" s="7">
        <f t="shared" si="0"/>
        <v>2016</v>
      </c>
      <c r="Y15" s="7">
        <f t="shared" si="0"/>
        <v>2017</v>
      </c>
      <c r="Z15" s="7">
        <f t="shared" si="0"/>
        <v>2018</v>
      </c>
      <c r="AA15" s="7">
        <f t="shared" si="0"/>
        <v>2019</v>
      </c>
      <c r="AB15" s="7">
        <f t="shared" si="0"/>
        <v>2020</v>
      </c>
      <c r="AC15" s="7">
        <f t="shared" si="0"/>
        <v>2021</v>
      </c>
      <c r="AD15" s="7">
        <f t="shared" si="0"/>
        <v>2022</v>
      </c>
    </row>
    <row r="16" spans="1:32" ht="14.1" customHeight="1" x14ac:dyDescent="0.2">
      <c r="A16" s="48"/>
      <c r="B16" s="3" t="s">
        <v>15</v>
      </c>
      <c r="C16" s="8">
        <f>1%+SUM($C$2:$AC$13)</f>
        <v>3.8689000000000004</v>
      </c>
      <c r="D16" s="8">
        <f>1%+SUM($C$2:$AC$13)-SUM($C$2:$C$13)-SUM($D$2:D2)</f>
        <v>3.4560000000000008</v>
      </c>
      <c r="E16" s="8">
        <f>1%+SUM($C$2:$AC$13)-SUM($C$2:$C$13)-SUM($D$2:$D$13)-SUM($E$2:E2)</f>
        <v>3.2198000000000007</v>
      </c>
      <c r="F16" s="8">
        <f>1%+SUM($C$2:$AC$13)-SUM($C$2:$C$13)-SUM($D$2:$D$13)-SUM($E$2:$E$13)-SUM($F$2:F2)</f>
        <v>2.9869000000000008</v>
      </c>
      <c r="G16" s="8">
        <f>1%+SUM($C$2:$AC$13)-SUM($C$2:$C$13)-SUM($D$2:$D$13)-SUM($E$2:$E$13)-SUM($F$2:$F$13)-SUM($G$2:G2)</f>
        <v>2.7360000000000007</v>
      </c>
      <c r="H16" s="8">
        <f>1%+SUM($C$2:$AC$13)-SUM($C$2:$C$13)-SUM($D$2:$D$13)-SUM($E$2:$E$13)-SUM($F$2:$F$13)-SUM($G$2:$G$13)-SUM($H$2:H2)</f>
        <v>2.5130000000000003</v>
      </c>
      <c r="I16" s="8">
        <f>1%+SUM($C$2:$AC$13)-SUM($C$2:$C$13)-SUM($D$2:$D$13)-SUM($E$2:$E$13)-SUM($F$2:$F$13)-SUM($G$2:$G$13)-SUM($H$2:$H$13)-SUM($I$2:I2)</f>
        <v>2.3530000000000002</v>
      </c>
      <c r="J16" s="8">
        <f>1%+SUM($C$2:$AC$13)-SUM($C$2:$C$13)-SUM($D$2:$D$13)-SUM($E$2:$E$13)-SUM($F$2:$F$13)-SUM($G$2:$G$13)-SUM($H$2:$H$13)-SUM($I$2:$I$13)-SUM($J$2:J2)</f>
        <v>2.1896000000000004</v>
      </c>
      <c r="K16" s="8">
        <f>1%+SUM($C$2:$AC$13)-SUM($C$2:$C$13)-SUM($D$2:$D$13)-SUM($E$2:$E$13)-SUM($F$2:$F$13)-SUM($G$2:$G$13)-SUM($H$2:$H$13)-SUM($I$2:$I$13)-SUM($J$2:$J$13)-SUM($K$2:K2)</f>
        <v>2.0086000000000004</v>
      </c>
      <c r="L16" s="8">
        <f>1%+SUM($C$2:$AC$13)-SUM($C$2:$C$13)-SUM($D$2:$D$13)-SUM($E$2:$E$13)-SUM($F$2:$F$13)-SUM($G$2:$G$13)-SUM($H$2:$H$13)-SUM($I$2:$I$13)-SUM($J$2:$J$13)-SUM($K$2:$K$13)-SUM($L$2:L2)</f>
        <v>1.8040000000000003</v>
      </c>
      <c r="M16" s="8">
        <f>1%+SUM($C$2:$AC$13)-SUM($C$2:$C$13)-SUM($D$2:$D$13)-SUM($E$2:$E$13)-SUM($F$2:$F$13)-SUM($G$2:$G$13)-SUM($H$2:$H$13)-SUM($I$2:$I$13)-SUM($J$2:$J$13)-SUM($K$2:$K$13)-SUM($L$2:$L$13)-SUM($M$2:M2)</f>
        <v>1.6515000000000002</v>
      </c>
      <c r="N16" s="8">
        <f>1%+SUM($C$2:$AC$13)-SUM($C$2:$C$13)-SUM($D$2:$D$13)-SUM($E$2:$E$13)-SUM($F$2:$F$13)-SUM($G$2:$G$13)-SUM($H$2:$H$13)-SUM($I$2:$I$13)-SUM($J$2:$J$13)-SUM($K$2:$K$13)-SUM($L$2:$L$13)-SUM($M$2:$M$13)-SUM($N$2:N2)</f>
        <v>1.4754000000000003</v>
      </c>
      <c r="O16" s="8">
        <f>1%+SUM($C$2:$AC$13)-SUM($C$2:$C$13)-SUM($D$2:$D$13)-SUM($E$2:$E$13)-SUM($F$2:$F$13)-SUM($G$2:$G$13)-SUM($H$2:$H$13)-SUM($I$2:$I$13)-SUM($J$2:$J$13)-SUM($K$2:$K$13)-SUM($L$2:$L$13)-SUM($M$2:$M$13)-SUM($N$2:$N$13)-SUM($O$2:O2)</f>
        <v>1.3376000000000003</v>
      </c>
      <c r="P16" s="8">
        <f>1%+SUM($C$2:$AC$13)-SUM($C$2:$C$13)-SUM($D$2:$D$13)-SUM($E$2:$E$13)-SUM($F$2:$F$13)-SUM($G$2:$G$13)-SUM($H$2:$H$13)-SUM($I$2:$I$13)-SUM($J$2:$J$13)-SUM($K$2:$K$13)-SUM($L$2:$L$13)-SUM($M$2:$M$13)-SUM($N$2:$N$13)-SUM($O$2:$O$13)-SUM($P$2:P2)</f>
        <v>1.2266000000000001</v>
      </c>
      <c r="Q16" s="8">
        <f>1%+SUM($C$2:$AC$13)-SUM($C$2:$C$13)-SUM($D$2:$D$13)-SUM($E$2:$E$13)-SUM($F$2:$F$13)-SUM($G$2:$G$13)-SUM($H$2:$H$13)-SUM($I$2:$I$13)-SUM($J$2:$J$13)-SUM($K$2:$K$13)-SUM($L$2:$L$13)-SUM($M$2:$M$13)-SUM($N$2:$N$13)-SUM($O$2:$O$13)-SUM($P$2:$P$13)-SUM($Q$2:Q2)</f>
        <v>1.1072000000000002</v>
      </c>
      <c r="R1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1%+SUM($C$2:$AC$13)-SUM($C$2:$C$13)-SUM($D$2:$D$13)-SUM($E$2:$E$13)-SUM($F$2:$F$13)-SUM($G$2:$G$13)-SUM($H$2:$H$13)-SUM($I$2:$I$13)-SUM($J$2:$J$13)-SUM($K$2:$K$13)-SUM($L$2:$L$13)-SUM($M$2:$M$13)-SUM($N$2:$N$13)-SUM($O$2:$O$13)-SUM($P$2:$P$13)-SUM($Q$2:$Q$13)-SUM($R$2:R2)</f>
        <v>1.0161000000000002</v>
      </c>
      <c r="S1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2)</f>
        <v>0.92040000000000011</v>
      </c>
      <c r="T1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2)</f>
        <v>0.8097000000000002</v>
      </c>
      <c r="U1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2)</f>
        <v>0.73090000000000022</v>
      </c>
      <c r="V16" s="9">
        <f>IF(V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2)),"")</f>
        <v>0.64920000000000022</v>
      </c>
      <c r="W16" s="8">
        <f>IF(W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2)),"")</f>
        <v>0.54430000000000023</v>
      </c>
      <c r="X16" s="8">
        <f>IF(X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2)),"")</f>
        <v>0.41770000000000018</v>
      </c>
      <c r="Y16" s="8">
        <f>IF(Y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2)),"")</f>
        <v>0.28540000000000021</v>
      </c>
      <c r="Z16" s="8">
        <f>IF(Z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2)),"")</f>
        <v>0.19520000000000021</v>
      </c>
      <c r="AA16" s="8">
        <f>IF(AA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2)),"")</f>
        <v>0.13320000000000021</v>
      </c>
      <c r="AB16" s="8">
        <f>IF(AB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2)),"")</f>
        <v>7.6900000000000204E-2</v>
      </c>
      <c r="AC16" s="8">
        <f>IF(AC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2)),"")</f>
        <v>5.2000000000000199E-2</v>
      </c>
      <c r="AD16" s="8" t="str">
        <f>IF(AD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2)),"")</f>
        <v/>
      </c>
    </row>
    <row r="17" spans="1:30" ht="14.1" customHeight="1" x14ac:dyDescent="0.2">
      <c r="A17" s="48"/>
      <c r="B17" s="3" t="s">
        <v>16</v>
      </c>
      <c r="C17" s="8">
        <f>1%+SUM($C$2:$AC$13)-SUM($C$2:C3)</f>
        <v>3.8326000000000002</v>
      </c>
      <c r="D17" s="8">
        <f>1%+SUM($C$2:$AC$13)-SUM($C$2:$C$13)-SUM($D$2:D3)</f>
        <v>3.4325000000000006</v>
      </c>
      <c r="E17" s="8">
        <f>1%+SUM($C$2:$AC$13)-SUM($C$2:$C$13)-SUM($D$2:$D$13)-SUM($E$2:E3)</f>
        <v>3.2031000000000009</v>
      </c>
      <c r="F17" s="8">
        <f>1%+SUM($C$2:$AC$13)-SUM($C$2:$C$13)-SUM($D$2:$D$13)-SUM($E$2:$E$13)-SUM($F$2:F3)</f>
        <v>2.9656000000000007</v>
      </c>
      <c r="G17" s="8">
        <f>1%+SUM($C$2:$AC$13)-SUM($C$2:$C$13)-SUM($D$2:$D$13)-SUM($E$2:$E$13)-SUM($F$2:$F$13)-SUM($G$2:G3)</f>
        <v>2.7122000000000006</v>
      </c>
      <c r="H17" s="8">
        <f>1%+SUM($C$2:$AC$13)-SUM($C$2:$C$13)-SUM($D$2:$D$13)-SUM($E$2:$E$13)-SUM($F$2:$F$13)-SUM($G$2:$G$13)-SUM($H$2:H3)</f>
        <v>2.4985000000000004</v>
      </c>
      <c r="I17" s="8">
        <f>1%+SUM($C$2:$AC$13)-SUM($C$2:$C$13)-SUM($D$2:$D$13)-SUM($E$2:$E$13)-SUM($F$2:$F$13)-SUM($G$2:$G$13)-SUM($H$2:$H$13)-SUM($I$2:I3)</f>
        <v>2.3428000000000004</v>
      </c>
      <c r="J17" s="8">
        <f>1%+SUM($C$2:$AC$13)-SUM($C$2:$C$13)-SUM($D$2:$D$13)-SUM($E$2:$E$13)-SUM($F$2:$F$13)-SUM($G$2:$G$13)-SUM($H$2:$H$13)-SUM($I$2:$I$13)-SUM($J$2:J3)</f>
        <v>2.1771000000000003</v>
      </c>
      <c r="K17" s="8">
        <f>1%+SUM($C$2:$AC$13)-SUM($C$2:$C$13)-SUM($D$2:$D$13)-SUM($E$2:$E$13)-SUM($F$2:$F$13)-SUM($G$2:$G$13)-SUM($H$2:$H$13)-SUM($I$2:$I$13)-SUM($J$2:$J$13)-SUM($K$2:K3)</f>
        <v>1.9903000000000002</v>
      </c>
      <c r="L17" s="8">
        <f>1%+SUM($C$2:$AC$13)-SUM($C$2:$C$13)-SUM($D$2:$D$13)-SUM($E$2:$E$13)-SUM($F$2:$F$13)-SUM($G$2:$G$13)-SUM($H$2:$H$13)-SUM($I$2:$I$13)-SUM($J$2:$J$13)-SUM($K$2:$K$13)-SUM($L$2:L3)</f>
        <v>1.7932000000000001</v>
      </c>
      <c r="M17" s="8">
        <f>1%+SUM($C$2:$AC$13)-SUM($C$2:$C$13)-SUM($D$2:$D$13)-SUM($E$2:$E$13)-SUM($F$2:$F$13)-SUM($G$2:$G$13)-SUM($H$2:$H$13)-SUM($I$2:$I$13)-SUM($J$2:$J$13)-SUM($K$2:$K$13)-SUM($L$2:$L$13)-SUM($M$2:M3)</f>
        <v>1.6393000000000002</v>
      </c>
      <c r="N17" s="8">
        <f>1%+SUM($C$2:$AC$13)-SUM($C$2:$C$13)-SUM($D$2:$D$13)-SUM($E$2:$E$13)-SUM($F$2:$F$13)-SUM($G$2:$G$13)-SUM($H$2:$H$13)-SUM($I$2:$I$13)-SUM($J$2:$J$13)-SUM($K$2:$K$13)-SUM($L$2:$L$13)-SUM($M$2:$M$13)-SUM($N$2:N3)</f>
        <v>1.4639000000000002</v>
      </c>
      <c r="O17" s="8">
        <f>1%+SUM($C$2:$AC$13)-SUM($C$2:$C$13)-SUM($D$2:$D$13)-SUM($E$2:$E$13)-SUM($F$2:$F$13)-SUM($G$2:$G$13)-SUM($H$2:$H$13)-SUM($I$2:$I$13)-SUM($J$2:$J$13)-SUM($K$2:$K$13)-SUM($L$2:$L$13)-SUM($M$2:$M$13)-SUM($N$2:$N$13)-SUM($O$2:O3)</f>
        <v>1.3289000000000002</v>
      </c>
      <c r="P17" s="8">
        <f>1%+SUM($C$2:$AC$13)-SUM($C$2:$C$13)-SUM($D$2:$D$13)-SUM($E$2:$E$13)-SUM($F$2:$F$13)-SUM($G$2:$G$13)-SUM($H$2:$H$13)-SUM($I$2:$I$13)-SUM($J$2:$J$13)-SUM($K$2:$K$13)-SUM($L$2:$L$13)-SUM($M$2:$M$13)-SUM($N$2:$N$13)-SUM($O$2:$O$13)-SUM($P$2:P3)</f>
        <v>1.2186000000000001</v>
      </c>
      <c r="Q17" s="8">
        <f>1%+SUM($C$2:$AC$13)-SUM($C$2:$C$13)-SUM($D$2:$D$13)-SUM($E$2:$E$13)-SUM($F$2:$F$13)-SUM($G$2:$G$13)-SUM($H$2:$H$13)-SUM($I$2:$I$13)-SUM($J$2:$J$13)-SUM($K$2:$K$13)-SUM($L$2:$L$13)-SUM($M$2:$M$13)-SUM($N$2:$N$13)-SUM($O$2:$O$13)-SUM($P$2:$P$13)-SUM($Q$2:Q3)</f>
        <v>1.0986000000000002</v>
      </c>
      <c r="R1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1%+SUM($C$2:$AC$13)-SUM($C$2:$C$13)-SUM($D$2:$D$13)-SUM($E$2:$E$13)-SUM($F$2:$F$13)-SUM($G$2:$G$13)-SUM($H$2:$H$13)-SUM($I$2:$I$13)-SUM($J$2:$J$13)-SUM($K$2:$K$13)-SUM($L$2:$L$13)-SUM($M$2:$M$13)-SUM($N$2:$N$13)-SUM($O$2:$O$13)-SUM($P$2:$P$13)-SUM($Q$2:$Q$13)-SUM($R$2:R3)</f>
        <v>1.0102000000000002</v>
      </c>
      <c r="S1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3)</f>
        <v>0.91200000000000014</v>
      </c>
      <c r="T1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3)</f>
        <v>0.80220000000000025</v>
      </c>
      <c r="U1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3)</f>
        <v>0.7260000000000002</v>
      </c>
      <c r="V17" s="9">
        <f>IF(V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3)),"")</f>
        <v>0.6413000000000002</v>
      </c>
      <c r="W17" s="8">
        <f>IF(W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3)),"")</f>
        <v>0.53610000000000024</v>
      </c>
      <c r="X17" s="8">
        <f>IF(X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3)),"")</f>
        <v>0.40770000000000017</v>
      </c>
      <c r="Y17" s="8">
        <f>IF(Y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3)),"")</f>
        <v>0.27670000000000022</v>
      </c>
      <c r="Z17" s="8">
        <f>IF(Z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3)),"")</f>
        <v>0.1905000000000002</v>
      </c>
      <c r="AA17" s="8">
        <f>IF(AA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3)),"")</f>
        <v>0.12830000000000019</v>
      </c>
      <c r="AB17" s="8">
        <f>IF(AB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3)),"")</f>
        <v>7.4000000000000205E-2</v>
      </c>
      <c r="AC17" s="8">
        <f>IF(AC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3)),"")</f>
        <v>5.0700000000000203E-2</v>
      </c>
      <c r="AD17" s="8" t="str">
        <f>IF(AD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3)),"")</f>
        <v/>
      </c>
    </row>
    <row r="18" spans="1:30" ht="14.1" customHeight="1" x14ac:dyDescent="0.2">
      <c r="A18" s="48"/>
      <c r="B18" s="3" t="s">
        <v>17</v>
      </c>
      <c r="C18" s="8">
        <f>1%+SUM($C$2:$AC$13)-SUM($C$2:C4)</f>
        <v>3.8066000000000004</v>
      </c>
      <c r="D18" s="8">
        <f>1%+SUM($C$2:$AC$13)-SUM($C$2:$C$13)-SUM($D$2:D4)</f>
        <v>3.4103000000000008</v>
      </c>
      <c r="E18" s="8">
        <f>1%+SUM($C$2:$AC$13)-SUM($C$2:$C$13)-SUM($D$2:$D$13)-SUM($E$2:E4)</f>
        <v>3.186700000000001</v>
      </c>
      <c r="F18" s="8">
        <f>1%+SUM($C$2:$AC$13)-SUM($C$2:$C$13)-SUM($D$2:$D$13)-SUM($E$2:$E$13)-SUM($F$2:F4)</f>
        <v>2.9436000000000009</v>
      </c>
      <c r="G18" s="8">
        <f>1%+SUM($C$2:$AC$13)-SUM($C$2:$C$13)-SUM($D$2:$D$13)-SUM($E$2:$E$13)-SUM($F$2:$F$13)-SUM($G$2:G4)</f>
        <v>2.6789000000000005</v>
      </c>
      <c r="H18" s="8">
        <f>1%+SUM($C$2:$AC$13)-SUM($C$2:$C$13)-SUM($D$2:$D$13)-SUM($E$2:$E$13)-SUM($F$2:$F$13)-SUM($G$2:$G$13)-SUM($H$2:H4)</f>
        <v>2.4840000000000004</v>
      </c>
      <c r="I18" s="8">
        <f>1%+SUM($C$2:$AC$13)-SUM($C$2:$C$13)-SUM($D$2:$D$13)-SUM($E$2:$E$13)-SUM($F$2:$F$13)-SUM($G$2:$G$13)-SUM($H$2:$H$13)-SUM($I$2:I4)</f>
        <v>2.3302000000000005</v>
      </c>
      <c r="J18" s="8">
        <f>1%+SUM($C$2:$AC$13)-SUM($C$2:$C$13)-SUM($D$2:$D$13)-SUM($E$2:$E$13)-SUM($F$2:$F$13)-SUM($G$2:$G$13)-SUM($H$2:$H$13)-SUM($I$2:$I$13)-SUM($J$2:J4)</f>
        <v>2.1634000000000002</v>
      </c>
      <c r="K18" s="8">
        <f>1%+SUM($C$2:$AC$13)-SUM($C$2:$C$13)-SUM($D$2:$D$13)-SUM($E$2:$E$13)-SUM($F$2:$F$13)-SUM($G$2:$G$13)-SUM($H$2:$H$13)-SUM($I$2:$I$13)-SUM($J$2:$J$13)-SUM($K$2:K4)</f>
        <v>1.9725000000000001</v>
      </c>
      <c r="L18" s="8">
        <f>1%+SUM($C$2:$AC$13)-SUM($C$2:$C$13)-SUM($D$2:$D$13)-SUM($E$2:$E$13)-SUM($F$2:$F$13)-SUM($G$2:$G$13)-SUM($H$2:$H$13)-SUM($I$2:$I$13)-SUM($J$2:$J$13)-SUM($K$2:$K$13)-SUM($L$2:L4)</f>
        <v>1.7794000000000003</v>
      </c>
      <c r="M18" s="8">
        <f>1%+SUM($C$2:$AC$13)-SUM($C$2:$C$13)-SUM($D$2:$D$13)-SUM($E$2:$E$13)-SUM($F$2:$F$13)-SUM($G$2:$G$13)-SUM($H$2:$H$13)-SUM($I$2:$I$13)-SUM($J$2:$J$13)-SUM($K$2:$K$13)-SUM($L$2:$L$13)-SUM($M$2:M4)</f>
        <v>1.6240000000000001</v>
      </c>
      <c r="N18" s="8">
        <f>1%+SUM($C$2:$AC$13)-SUM($C$2:$C$13)-SUM($D$2:$D$13)-SUM($E$2:$E$13)-SUM($F$2:$F$13)-SUM($G$2:$G$13)-SUM($H$2:$H$13)-SUM($I$2:$I$13)-SUM($J$2:$J$13)-SUM($K$2:$K$13)-SUM($L$2:$L$13)-SUM($M$2:$M$13)-SUM($N$2:N4)</f>
        <v>1.4497000000000002</v>
      </c>
      <c r="O18" s="8">
        <f>1%+SUM($C$2:$AC$13)-SUM($C$2:$C$13)-SUM($D$2:$D$13)-SUM($E$2:$E$13)-SUM($F$2:$F$13)-SUM($G$2:$G$13)-SUM($H$2:$H$13)-SUM($I$2:$I$13)-SUM($J$2:$J$13)-SUM($K$2:$K$13)-SUM($L$2:$L$13)-SUM($M$2:$M$13)-SUM($N$2:$N$13)-SUM($O$2:O4)</f>
        <v>1.3184000000000002</v>
      </c>
      <c r="P18" s="8">
        <f>1%+SUM($C$2:$AC$13)-SUM($C$2:$C$13)-SUM($D$2:$D$13)-SUM($E$2:$E$13)-SUM($F$2:$F$13)-SUM($G$2:$G$13)-SUM($H$2:$H$13)-SUM($I$2:$I$13)-SUM($J$2:$J$13)-SUM($K$2:$K$13)-SUM($L$2:$L$13)-SUM($M$2:$M$13)-SUM($N$2:$N$13)-SUM($O$2:$O$13)-SUM($P$2:P4)</f>
        <v>1.2102000000000002</v>
      </c>
      <c r="Q18" s="8">
        <f>1%+SUM($C$2:$AC$13)-SUM($C$2:$C$13)-SUM($D$2:$D$13)-SUM($E$2:$E$13)-SUM($F$2:$F$13)-SUM($G$2:$G$13)-SUM($H$2:$H$13)-SUM($I$2:$I$13)-SUM($J$2:$J$13)-SUM($K$2:$K$13)-SUM($L$2:$L$13)-SUM($M$2:$M$13)-SUM($N$2:$N$13)-SUM($O$2:$O$13)-SUM($P$2:$P$13)-SUM($Q$2:Q4)</f>
        <v>1.0889000000000002</v>
      </c>
      <c r="R18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1%+SUM($C$2:$AC$13)-SUM($C$2:$C$13)-SUM($D$2:$D$13)-SUM($E$2:$E$13)-SUM($F$2:$F$13)-SUM($G$2:$G$13)-SUM($H$2:$H$13)-SUM($I$2:$I$13)-SUM($J$2:$J$13)-SUM($K$2:$K$13)-SUM($L$2:$L$13)-SUM($M$2:$M$13)-SUM($N$2:$N$13)-SUM($O$2:$O$13)-SUM($P$2:$P$13)-SUM($Q$2:$Q$13)-SUM($R$2:R4)</f>
        <v>1.0026000000000002</v>
      </c>
      <c r="S18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4)</f>
        <v>0.90280000000000016</v>
      </c>
      <c r="T18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4)</f>
        <v>0.79400000000000026</v>
      </c>
      <c r="U18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4)</f>
        <v>0.72050000000000025</v>
      </c>
      <c r="V18" s="9">
        <f>IF(V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4)),"")</f>
        <v>0.63360000000000016</v>
      </c>
      <c r="W18" s="8">
        <f>IF(W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4)),"")</f>
        <v>0.52570000000000017</v>
      </c>
      <c r="X18" s="8">
        <f>IF(X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4)),"")</f>
        <v>0.39610000000000017</v>
      </c>
      <c r="Y18" s="8">
        <f>IF(Y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4)),"")</f>
        <v>0.26620000000000021</v>
      </c>
      <c r="Z18" s="8">
        <f>IF(Z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4)),"")</f>
        <v>0.1852000000000002</v>
      </c>
      <c r="AA18" s="8">
        <f>IF(AA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4)),"")</f>
        <v>0.1236000000000002</v>
      </c>
      <c r="AB18" s="8">
        <f>IF(AB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4)),"")</f>
        <v>7.0600000000000204E-2</v>
      </c>
      <c r="AC18" s="8">
        <f>IF(AC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4)),"")</f>
        <v>4.8700000000000201E-2</v>
      </c>
      <c r="AD18" s="8" t="str">
        <f>IF(AD4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4)),"")</f>
        <v/>
      </c>
    </row>
    <row r="19" spans="1:30" ht="14.1" customHeight="1" x14ac:dyDescent="0.2">
      <c r="A19" s="48"/>
      <c r="B19" s="3" t="s">
        <v>18</v>
      </c>
      <c r="C19" s="8">
        <f>1%+SUM($C$2:$AC$13)-SUM($C$2:C5)</f>
        <v>3.7640000000000002</v>
      </c>
      <c r="D19" s="8">
        <f>1%+SUM($C$2:$AC$13)-SUM($C$2:$C$13)-SUM($D$2:D5)</f>
        <v>3.3896000000000006</v>
      </c>
      <c r="E19" s="8">
        <f>1%+SUM($C$2:$AC$13)-SUM($C$2:$C$13)-SUM($D$2:$D$13)-SUM($E$2:E5)</f>
        <v>3.1701000000000006</v>
      </c>
      <c r="F19" s="8">
        <f>1%+SUM($C$2:$AC$13)-SUM($C$2:$C$13)-SUM($D$2:$D$13)-SUM($E$2:$E$13)-SUM($F$2:F5)</f>
        <v>2.9265000000000008</v>
      </c>
      <c r="G19" s="8">
        <f>1%+SUM($C$2:$AC$13)-SUM($C$2:$C$13)-SUM($D$2:$D$13)-SUM($E$2:$E$13)-SUM($F$2:$F$13)-SUM($G$2:G5)</f>
        <v>2.6554000000000006</v>
      </c>
      <c r="H19" s="8">
        <f>1%+SUM($C$2:$AC$13)-SUM($C$2:$C$13)-SUM($D$2:$D$13)-SUM($E$2:$E$13)-SUM($F$2:$F$13)-SUM($G$2:$G$13)-SUM($H$2:H5)</f>
        <v>2.4710000000000005</v>
      </c>
      <c r="I19" s="8">
        <f>1%+SUM($C$2:$AC$13)-SUM($C$2:$C$13)-SUM($D$2:$D$13)-SUM($E$2:$E$13)-SUM($F$2:$F$13)-SUM($G$2:$G$13)-SUM($H$2:$H$13)-SUM($I$2:I5)</f>
        <v>2.3183000000000002</v>
      </c>
      <c r="J19" s="8">
        <f>1%+SUM($C$2:$AC$13)-SUM($C$2:$C$13)-SUM($D$2:$D$13)-SUM($E$2:$E$13)-SUM($F$2:$F$13)-SUM($G$2:$G$13)-SUM($H$2:$H$13)-SUM($I$2:$I$13)-SUM($J$2:J5)</f>
        <v>2.1486000000000005</v>
      </c>
      <c r="K19" s="8">
        <f>1%+SUM($C$2:$AC$13)-SUM($C$2:$C$13)-SUM($D$2:$D$13)-SUM($E$2:$E$13)-SUM($F$2:$F$13)-SUM($G$2:$G$13)-SUM($H$2:$H$13)-SUM($I$2:$I$13)-SUM($J$2:$J$13)-SUM($K$2:K5)</f>
        <v>1.9538000000000002</v>
      </c>
      <c r="L19" s="8">
        <f>1%+SUM($C$2:$AC$13)-SUM($C$2:$C$13)-SUM($D$2:$D$13)-SUM($E$2:$E$13)-SUM($F$2:$F$13)-SUM($G$2:$G$13)-SUM($H$2:$H$13)-SUM($I$2:$I$13)-SUM($J$2:$J$13)-SUM($K$2:$K$13)-SUM($L$2:L5)</f>
        <v>1.7676000000000003</v>
      </c>
      <c r="M19" s="8">
        <f>1%+SUM($C$2:$AC$13)-SUM($C$2:$C$13)-SUM($D$2:$D$13)-SUM($E$2:$E$13)-SUM($F$2:$F$13)-SUM($G$2:$G$13)-SUM($H$2:$H$13)-SUM($I$2:$I$13)-SUM($J$2:$J$13)-SUM($K$2:$K$13)-SUM($L$2:$L$13)-SUM($M$2:M5)</f>
        <v>1.6099000000000001</v>
      </c>
      <c r="N19" s="8">
        <f>1%+SUM($C$2:$AC$13)-SUM($C$2:$C$13)-SUM($D$2:$D$13)-SUM($E$2:$E$13)-SUM($F$2:$F$13)-SUM($G$2:$G$13)-SUM($H$2:$H$13)-SUM($I$2:$I$13)-SUM($J$2:$J$13)-SUM($K$2:$K$13)-SUM($L$2:$L$13)-SUM($M$2:$M$13)-SUM($N$2:N5)</f>
        <v>1.4389000000000003</v>
      </c>
      <c r="O19" s="8">
        <f>1%+SUM($C$2:$AC$13)-SUM($C$2:$C$13)-SUM($D$2:$D$13)-SUM($E$2:$E$13)-SUM($F$2:$F$13)-SUM($G$2:$G$13)-SUM($H$2:$H$13)-SUM($I$2:$I$13)-SUM($J$2:$J$13)-SUM($K$2:$K$13)-SUM($L$2:$L$13)-SUM($M$2:$M$13)-SUM($N$2:$N$13)-SUM($O$2:O5)</f>
        <v>1.3090000000000002</v>
      </c>
      <c r="P19" s="8">
        <f>1%+SUM($C$2:$AC$13)-SUM($C$2:$C$13)-SUM($D$2:$D$13)-SUM($E$2:$E$13)-SUM($F$2:$F$13)-SUM($G$2:$G$13)-SUM($H$2:$H$13)-SUM($I$2:$I$13)-SUM($J$2:$J$13)-SUM($K$2:$K$13)-SUM($L$2:$L$13)-SUM($M$2:$M$13)-SUM($N$2:$N$13)-SUM($O$2:$O$13)-SUM($P$2:P5)</f>
        <v>1.2012000000000003</v>
      </c>
      <c r="Q19" s="8">
        <f>1%+SUM($C$2:$AC$13)-SUM($C$2:$C$13)-SUM($D$2:$D$13)-SUM($E$2:$E$13)-SUM($F$2:$F$13)-SUM($G$2:$G$13)-SUM($H$2:$H$13)-SUM($I$2:$I$13)-SUM($J$2:$J$13)-SUM($K$2:$K$13)-SUM($L$2:$L$13)-SUM($M$2:$M$13)-SUM($N$2:$N$13)-SUM($O$2:$O$13)-SUM($P$2:$P$13)-SUM($Q$2:Q5)</f>
        <v>1.0805000000000002</v>
      </c>
      <c r="R19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1%+SUM($C$2:$AC$13)-SUM($C$2:$C$13)-SUM($D$2:$D$13)-SUM($E$2:$E$13)-SUM($F$2:$F$13)-SUM($G$2:$G$13)-SUM($H$2:$H$13)-SUM($I$2:$I$13)-SUM($J$2:$J$13)-SUM($K$2:$K$13)-SUM($L$2:$L$13)-SUM($M$2:$M$13)-SUM($N$2:$N$13)-SUM($O$2:$O$13)-SUM($P$2:$P$13)-SUM($Q$2:$Q$13)-SUM($R$2:R5)</f>
        <v>0.99590000000000012</v>
      </c>
      <c r="S19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5)</f>
        <v>0.89440000000000019</v>
      </c>
      <c r="T19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5)</f>
        <v>0.78690000000000027</v>
      </c>
      <c r="U19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5)</f>
        <v>0.71440000000000026</v>
      </c>
      <c r="V19" s="9">
        <f>IF(V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5)),"")</f>
        <v>0.62540000000000018</v>
      </c>
      <c r="W19" s="8">
        <f>IF(W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5)),"")</f>
        <v>0.51620000000000021</v>
      </c>
      <c r="X19" s="8">
        <f>IF(X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5)),"")</f>
        <v>0.38550000000000018</v>
      </c>
      <c r="Y19" s="8">
        <f>IF(Y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5)),"")</f>
        <v>0.2583000000000002</v>
      </c>
      <c r="Z19" s="8">
        <f>IF(Z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5)),"")</f>
        <v>0.18000000000000022</v>
      </c>
      <c r="AA19" s="8">
        <f>IF(AA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5)),"")</f>
        <v>0.1184000000000002</v>
      </c>
      <c r="AB19" s="8">
        <f>IF(AB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5)),"")</f>
        <v>6.7800000000000207E-2</v>
      </c>
      <c r="AC19" s="8">
        <f>IF(AC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5)),"")</f>
        <v>4.6600000000000197E-2</v>
      </c>
      <c r="AD19" s="8" t="str">
        <f>IF(AD5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5)),"")</f>
        <v/>
      </c>
    </row>
    <row r="20" spans="1:30" ht="14.1" customHeight="1" x14ac:dyDescent="0.2">
      <c r="A20" s="48"/>
      <c r="B20" s="3" t="s">
        <v>19</v>
      </c>
      <c r="C20" s="8">
        <f>1%+SUM($C$2:$AC$13)-SUM($C$2:C6)</f>
        <v>3.7215000000000003</v>
      </c>
      <c r="D20" s="8">
        <f>1%+SUM($C$2:$AC$13)-SUM($C$2:$C$13)-SUM($D$2:D6)</f>
        <v>3.3695000000000008</v>
      </c>
      <c r="E20" s="8">
        <f>1%+SUM($C$2:$AC$13)-SUM($C$2:$C$13)-SUM($D$2:$D$13)-SUM($E$2:E6)</f>
        <v>3.1543000000000005</v>
      </c>
      <c r="F20" s="8">
        <f>1%+SUM($C$2:$AC$13)-SUM($C$2:$C$13)-SUM($D$2:$D$13)-SUM($E$2:$E$13)-SUM($F$2:F6)</f>
        <v>2.9102000000000006</v>
      </c>
      <c r="G20" s="8">
        <f>1%+SUM($C$2:$AC$13)-SUM($C$2:$C$13)-SUM($D$2:$D$13)-SUM($E$2:$E$13)-SUM($F$2:$F$13)-SUM($G$2:G6)</f>
        <v>2.6352000000000007</v>
      </c>
      <c r="H20" s="8">
        <f>1%+SUM($C$2:$AC$13)-SUM($C$2:$C$13)-SUM($D$2:$D$13)-SUM($E$2:$E$13)-SUM($F$2:$F$13)-SUM($G$2:$G$13)-SUM($H$2:H6)</f>
        <v>2.4561000000000006</v>
      </c>
      <c r="I20" s="8">
        <f>1%+SUM($C$2:$AC$13)-SUM($C$2:$C$13)-SUM($D$2:$D$13)-SUM($E$2:$E$13)-SUM($F$2:$F$13)-SUM($G$2:$G$13)-SUM($H$2:$H$13)-SUM($I$2:I6)</f>
        <v>2.3049000000000004</v>
      </c>
      <c r="J20" s="8">
        <f>1%+SUM($C$2:$AC$13)-SUM($C$2:$C$13)-SUM($D$2:$D$13)-SUM($E$2:$E$13)-SUM($F$2:$F$13)-SUM($G$2:$G$13)-SUM($H$2:$H$13)-SUM($I$2:$I$13)-SUM($J$2:J6)</f>
        <v>2.1345000000000005</v>
      </c>
      <c r="K20" s="8">
        <f>1%+SUM($C$2:$AC$13)-SUM($C$2:$C$13)-SUM($D$2:$D$13)-SUM($E$2:$E$13)-SUM($F$2:$F$13)-SUM($G$2:$G$13)-SUM($H$2:$H$13)-SUM($I$2:$I$13)-SUM($J$2:$J$13)-SUM($K$2:K6)</f>
        <v>1.9341000000000002</v>
      </c>
      <c r="L20" s="8">
        <f>1%+SUM($C$2:$AC$13)-SUM($C$2:$C$13)-SUM($D$2:$D$13)-SUM($E$2:$E$13)-SUM($F$2:$F$13)-SUM($G$2:$G$13)-SUM($H$2:$H$13)-SUM($I$2:$I$13)-SUM($J$2:$J$13)-SUM($K$2:$K$13)-SUM($L$2:L6)</f>
        <v>1.7553000000000003</v>
      </c>
      <c r="M20" s="8">
        <f>1%+SUM($C$2:$AC$13)-SUM($C$2:$C$13)-SUM($D$2:$D$13)-SUM($E$2:$E$13)-SUM($F$2:$F$13)-SUM($G$2:$G$13)-SUM($H$2:$H$13)-SUM($I$2:$I$13)-SUM($J$2:$J$13)-SUM($K$2:$K$13)-SUM($L$2:$L$13)-SUM($M$2:M6)</f>
        <v>1.5949000000000002</v>
      </c>
      <c r="N20" s="8">
        <f>1%+SUM($C$2:$AC$13)-SUM($C$2:$C$13)-SUM($D$2:$D$13)-SUM($E$2:$E$13)-SUM($F$2:$F$13)-SUM($G$2:$G$13)-SUM($H$2:$H$13)-SUM($I$2:$I$13)-SUM($J$2:$J$13)-SUM($K$2:$K$13)-SUM($L$2:$L$13)-SUM($M$2:$M$13)-SUM($N$2:N6)</f>
        <v>1.4261000000000001</v>
      </c>
      <c r="O20" s="8">
        <f>1%+SUM($C$2:$AC$13)-SUM($C$2:$C$13)-SUM($D$2:$D$13)-SUM($E$2:$E$13)-SUM($F$2:$F$13)-SUM($G$2:$G$13)-SUM($H$2:$H$13)-SUM($I$2:$I$13)-SUM($J$2:$J$13)-SUM($K$2:$K$13)-SUM($L$2:$L$13)-SUM($M$2:$M$13)-SUM($N$2:$N$13)-SUM($O$2:O6)</f>
        <v>1.2987000000000002</v>
      </c>
      <c r="P20" s="8">
        <f>1%+SUM($C$2:$AC$13)-SUM($C$2:$C$13)-SUM($D$2:$D$13)-SUM($E$2:$E$13)-SUM($F$2:$F$13)-SUM($G$2:$G$13)-SUM($H$2:$H$13)-SUM($I$2:$I$13)-SUM($J$2:$J$13)-SUM($K$2:$K$13)-SUM($L$2:$L$13)-SUM($M$2:$M$13)-SUM($N$2:$N$13)-SUM($O$2:$O$13)-SUM($P$2:P6)</f>
        <v>1.1924000000000001</v>
      </c>
      <c r="Q20" s="8">
        <f>1%+SUM($C$2:$AC$13)-SUM($C$2:$C$13)-SUM($D$2:$D$13)-SUM($E$2:$E$13)-SUM($F$2:$F$13)-SUM($G$2:$G$13)-SUM($H$2:$H$13)-SUM($I$2:$I$13)-SUM($J$2:$J$13)-SUM($K$2:$K$13)-SUM($L$2:$L$13)-SUM($M$2:$M$13)-SUM($N$2:$N$13)-SUM($O$2:$O$13)-SUM($P$2:$P$13)-SUM($Q$2:Q6)</f>
        <v>1.0728000000000002</v>
      </c>
      <c r="R20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1%+SUM($C$2:$AC$13)-SUM($C$2:$C$13)-SUM($D$2:$D$13)-SUM($E$2:$E$13)-SUM($F$2:$F$13)-SUM($G$2:$G$13)-SUM($H$2:$H$13)-SUM($I$2:$I$13)-SUM($J$2:$J$13)-SUM($K$2:$K$13)-SUM($L$2:$L$13)-SUM($M$2:$M$13)-SUM($N$2:$N$13)-SUM($O$2:$O$13)-SUM($P$2:$P$13)-SUM($Q$2:$Q$13)-SUM($R$2:R6)</f>
        <v>0.98840000000000017</v>
      </c>
      <c r="S20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6)</f>
        <v>0.88450000000000017</v>
      </c>
      <c r="T20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6)</f>
        <v>0.77950000000000019</v>
      </c>
      <c r="U20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6)</f>
        <v>0.70840000000000025</v>
      </c>
      <c r="V20" s="9">
        <f>IF(V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6)),"")</f>
        <v>0.61670000000000014</v>
      </c>
      <c r="W20" s="8">
        <f>IF(W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6)),"")</f>
        <v>0.50630000000000019</v>
      </c>
      <c r="X20" s="8">
        <f>IF(X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6)),"")</f>
        <v>0.37440000000000018</v>
      </c>
      <c r="Y20" s="8">
        <f>IF(Y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6)),"")</f>
        <v>0.24900000000000022</v>
      </c>
      <c r="Z20" s="8">
        <f>IF(Z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6)),"")</f>
        <v>0.17480000000000021</v>
      </c>
      <c r="AA20" s="8">
        <f>IF(AA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6)),"")</f>
        <v>0.1130000000000002</v>
      </c>
      <c r="AB20" s="8">
        <f>IF(AB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6)),"")</f>
        <v>6.5400000000000208E-2</v>
      </c>
      <c r="AC20" s="8">
        <f>IF(AC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6)),"")</f>
        <v>4.3900000000000203E-2</v>
      </c>
      <c r="AD20" s="8" t="str">
        <f>IF(AD6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6)),"")</f>
        <v/>
      </c>
    </row>
    <row r="21" spans="1:30" ht="14.1" customHeight="1" x14ac:dyDescent="0.2">
      <c r="A21" s="48"/>
      <c r="B21" s="3" t="s">
        <v>20</v>
      </c>
      <c r="C21" s="8">
        <f>1%+SUM($C$2:$AC$13)-SUM($C$2:C7)</f>
        <v>3.6811000000000003</v>
      </c>
      <c r="D21" s="8">
        <f>1%+SUM($C$2:$AC$13)-SUM($C$2:$C$13)-SUM($D$2:D7)</f>
        <v>3.3497000000000008</v>
      </c>
      <c r="E21" s="8">
        <f>1%+SUM($C$2:$AC$13)-SUM($C$2:$C$13)-SUM($D$2:$D$13)-SUM($E$2:E7)</f>
        <v>3.1382000000000008</v>
      </c>
      <c r="F21" s="8">
        <f>1%+SUM($C$2:$AC$13)-SUM($C$2:$C$13)-SUM($D$2:$D$13)-SUM($E$2:$E$13)-SUM($F$2:F7)</f>
        <v>2.8942000000000005</v>
      </c>
      <c r="G21" s="8">
        <f>1%+SUM($C$2:$AC$13)-SUM($C$2:$C$13)-SUM($D$2:$D$13)-SUM($E$2:$E$13)-SUM($F$2:$F$13)-SUM($G$2:G7)</f>
        <v>2.6185000000000005</v>
      </c>
      <c r="H21" s="8">
        <f>1%+SUM($C$2:$AC$13)-SUM($C$2:$C$13)-SUM($D$2:$D$13)-SUM($E$2:$E$13)-SUM($F$2:$F$13)-SUM($G$2:$G$13)-SUM($H$2:H7)</f>
        <v>2.4422000000000006</v>
      </c>
      <c r="I21" s="8">
        <f>1%+SUM($C$2:$AC$13)-SUM($C$2:$C$13)-SUM($D$2:$D$13)-SUM($E$2:$E$13)-SUM($F$2:$F$13)-SUM($G$2:$G$13)-SUM($H$2:$H$13)-SUM($I$2:I7)</f>
        <v>2.2922000000000002</v>
      </c>
      <c r="J21" s="8">
        <f>1%+SUM($C$2:$AC$13)-SUM($C$2:$C$13)-SUM($D$2:$D$13)-SUM($E$2:$E$13)-SUM($F$2:$F$13)-SUM($G$2:$G$13)-SUM($H$2:$H$13)-SUM($I$2:$I$13)-SUM($J$2:J7)</f>
        <v>2.1212000000000004</v>
      </c>
      <c r="K21" s="8">
        <f>1%+SUM($C$2:$AC$13)-SUM($C$2:$C$13)-SUM($D$2:$D$13)-SUM($E$2:$E$13)-SUM($F$2:$F$13)-SUM($G$2:$G$13)-SUM($H$2:$H$13)-SUM($I$2:$I$13)-SUM($J$2:$J$13)-SUM($K$2:K7)</f>
        <v>1.9155000000000002</v>
      </c>
      <c r="L21" s="8">
        <f>1%+SUM($C$2:$AC$13)-SUM($C$2:$C$13)-SUM($D$2:$D$13)-SUM($E$2:$E$13)-SUM($F$2:$F$13)-SUM($G$2:$G$13)-SUM($H$2:$H$13)-SUM($I$2:$I$13)-SUM($J$2:$J$13)-SUM($K$2:$K$13)-SUM($L$2:L7)</f>
        <v>1.7430000000000001</v>
      </c>
      <c r="M21" s="8">
        <f>1%+SUM($C$2:$AC$13)-SUM($C$2:$C$13)-SUM($D$2:$D$13)-SUM($E$2:$E$13)-SUM($F$2:$F$13)-SUM($G$2:$G$13)-SUM($H$2:$H$13)-SUM($I$2:$I$13)-SUM($J$2:$J$13)-SUM($K$2:$K$13)-SUM($L$2:$L$13)-SUM($M$2:M7)</f>
        <v>1.5790000000000002</v>
      </c>
      <c r="N21" s="8">
        <f>1%+SUM($C$2:$AC$13)-SUM($C$2:$C$13)-SUM($D$2:$D$13)-SUM($E$2:$E$13)-SUM($F$2:$F$13)-SUM($G$2:$G$13)-SUM($H$2:$H$13)-SUM($I$2:$I$13)-SUM($J$2:$J$13)-SUM($K$2:$K$13)-SUM($L$2:$L$13)-SUM($M$2:$M$13)-SUM($N$2:N7)</f>
        <v>1.4143000000000003</v>
      </c>
      <c r="O21" s="8">
        <f>1%+SUM($C$2:$AC$13)-SUM($C$2:$C$13)-SUM($D$2:$D$13)-SUM($E$2:$E$13)-SUM($F$2:$F$13)-SUM($G$2:$G$13)-SUM($H$2:$H$13)-SUM($I$2:$I$13)-SUM($J$2:$J$13)-SUM($K$2:$K$13)-SUM($L$2:$L$13)-SUM($M$2:$M$13)-SUM($N$2:$N$13)-SUM($O$2:O7)</f>
        <v>1.2896000000000003</v>
      </c>
      <c r="P21" s="8">
        <f>1%+SUM($C$2:$AC$13)-SUM($C$2:$C$13)-SUM($D$2:$D$13)-SUM($E$2:$E$13)-SUM($F$2:$F$13)-SUM($G$2:$G$13)-SUM($H$2:$H$13)-SUM($I$2:$I$13)-SUM($J$2:$J$13)-SUM($K$2:$K$13)-SUM($L$2:$L$13)-SUM($M$2:$M$13)-SUM($N$2:$N$13)-SUM($O$2:$O$13)-SUM($P$2:P7)</f>
        <v>1.1828000000000003</v>
      </c>
      <c r="Q21" s="8">
        <f>1%+SUM($C$2:$AC$13)-SUM($C$2:$C$13)-SUM($D$2:$D$13)-SUM($E$2:$E$13)-SUM($F$2:$F$13)-SUM($G$2:$G$13)-SUM($H$2:$H$13)-SUM($I$2:$I$13)-SUM($J$2:$J$13)-SUM($K$2:$K$13)-SUM($L$2:$L$13)-SUM($M$2:$M$13)-SUM($N$2:$N$13)-SUM($O$2:$O$13)-SUM($P$2:$P$13)-SUM($Q$2:Q7)</f>
        <v>1.0652000000000001</v>
      </c>
      <c r="R21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1%+SUM($C$2:$AC$13)-SUM($C$2:$C$13)-SUM($D$2:$D$13)-SUM($E$2:$E$13)-SUM($F$2:$F$13)-SUM($G$2:$G$13)-SUM($H$2:$H$13)-SUM($I$2:$I$13)-SUM($J$2:$J$13)-SUM($K$2:$K$13)-SUM($L$2:$L$13)-SUM($M$2:$M$13)-SUM($N$2:$N$13)-SUM($O$2:$O$13)-SUM($P$2:$P$13)-SUM($Q$2:$Q$13)-SUM($R$2:R7)</f>
        <v>0.98050000000000015</v>
      </c>
      <c r="S21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7)</f>
        <v>0.87490000000000012</v>
      </c>
      <c r="T21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7)</f>
        <v>0.77310000000000023</v>
      </c>
      <c r="U21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7)</f>
        <v>0.70230000000000026</v>
      </c>
      <c r="V21" s="9">
        <f>IF(V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7)),"")</f>
        <v>0.60850000000000015</v>
      </c>
      <c r="W21" s="8">
        <f>IF(W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7)),"")</f>
        <v>0.49560000000000021</v>
      </c>
      <c r="X21" s="8">
        <f>IF(X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7)),"")</f>
        <v>0.36280000000000018</v>
      </c>
      <c r="Y21" s="8">
        <f>IF(Y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7)),"")</f>
        <v>0.24090000000000023</v>
      </c>
      <c r="Z21" s="8">
        <f>IF(Z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7)),"")</f>
        <v>0.1696000000000002</v>
      </c>
      <c r="AA21" s="8">
        <f>IF(AA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7)),"")</f>
        <v>0.1083000000000002</v>
      </c>
      <c r="AB21" s="8">
        <f>IF(AB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7)),"")</f>
        <v>6.3300000000000203E-2</v>
      </c>
      <c r="AC21" s="8">
        <f>IF(AC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7)),"")</f>
        <v>4.0800000000000197E-2</v>
      </c>
      <c r="AD21" s="8" t="str">
        <f>IF(AD7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7)),"")</f>
        <v/>
      </c>
    </row>
    <row r="22" spans="1:30" ht="14.1" customHeight="1" x14ac:dyDescent="0.2">
      <c r="A22" s="48"/>
      <c r="B22" s="3" t="s">
        <v>21</v>
      </c>
      <c r="C22" s="8">
        <f>1%+SUM($C$2:$AC$13)-SUM($C$2:C8)</f>
        <v>3.6409000000000002</v>
      </c>
      <c r="D22" s="8">
        <f>1%+SUM($C$2:$AC$13)-SUM($C$2:$C$13)-SUM($D$2:D8)</f>
        <v>3.3304000000000005</v>
      </c>
      <c r="E22" s="8">
        <f>1%+SUM($C$2:$AC$13)-SUM($C$2:$C$13)-SUM($D$2:$D$13)-SUM($E$2:E8)</f>
        <v>3.1222000000000008</v>
      </c>
      <c r="F22" s="8">
        <f>1%+SUM($C$2:$AC$13)-SUM($C$2:$C$13)-SUM($D$2:$D$13)-SUM($E$2:$E$13)-SUM($F$2:F8)</f>
        <v>2.8772000000000006</v>
      </c>
      <c r="G22" s="8">
        <f>1%+SUM($C$2:$AC$13)-SUM($C$2:$C$13)-SUM($D$2:$D$13)-SUM($E$2:$E$13)-SUM($F$2:$F$13)-SUM($G$2:G8)</f>
        <v>2.6019000000000005</v>
      </c>
      <c r="H22" s="8">
        <f>1%+SUM($C$2:$AC$13)-SUM($C$2:$C$13)-SUM($D$2:$D$13)-SUM($E$2:$E$13)-SUM($F$2:$F$13)-SUM($G$2:$G$13)-SUM($H$2:H8)</f>
        <v>2.4291000000000005</v>
      </c>
      <c r="I22" s="8">
        <f>1%+SUM($C$2:$AC$13)-SUM($C$2:$C$13)-SUM($D$2:$D$13)-SUM($E$2:$E$13)-SUM($F$2:$F$13)-SUM($G$2:$G$13)-SUM($H$2:$H$13)-SUM($I$2:I8)</f>
        <v>2.2772000000000006</v>
      </c>
      <c r="J22" s="8">
        <f>1%+SUM($C$2:$AC$13)-SUM($C$2:$C$13)-SUM($D$2:$D$13)-SUM($E$2:$E$13)-SUM($F$2:$F$13)-SUM($G$2:$G$13)-SUM($H$2:$H$13)-SUM($I$2:$I$13)-SUM($J$2:J8)</f>
        <v>2.1058000000000003</v>
      </c>
      <c r="K22" s="8">
        <f>1%+SUM($C$2:$AC$13)-SUM($C$2:$C$13)-SUM($D$2:$D$13)-SUM($E$2:$E$13)-SUM($F$2:$F$13)-SUM($G$2:$G$13)-SUM($H$2:$H$13)-SUM($I$2:$I$13)-SUM($J$2:$J$13)-SUM($K$2:K8)</f>
        <v>1.8947000000000003</v>
      </c>
      <c r="L22" s="8">
        <f>1%+SUM($C$2:$AC$13)-SUM($C$2:$C$13)-SUM($D$2:$D$13)-SUM($E$2:$E$13)-SUM($F$2:$F$13)-SUM($G$2:$G$13)-SUM($H$2:$H$13)-SUM($I$2:$I$13)-SUM($J$2:$J$13)-SUM($K$2:$K$13)-SUM($L$2:L8)</f>
        <v>1.7301000000000002</v>
      </c>
      <c r="M22" s="8">
        <f>1%+SUM($C$2:$AC$13)-SUM($C$2:$C$13)-SUM($D$2:$D$13)-SUM($E$2:$E$13)-SUM($F$2:$F$13)-SUM($G$2:$G$13)-SUM($H$2:$H$13)-SUM($I$2:$I$13)-SUM($J$2:$J$13)-SUM($K$2:$K$13)-SUM($L$2:$L$13)-SUM($M$2:M8)</f>
        <v>1.5639000000000003</v>
      </c>
      <c r="N22" s="8">
        <f>1%+SUM($C$2:$AC$13)-SUM($C$2:$C$13)-SUM($D$2:$D$13)-SUM($E$2:$E$13)-SUM($F$2:$F$13)-SUM($G$2:$G$13)-SUM($H$2:$H$13)-SUM($I$2:$I$13)-SUM($J$2:$J$13)-SUM($K$2:$K$13)-SUM($L$2:$L$13)-SUM($M$2:$M$13)-SUM($N$2:N8)</f>
        <v>1.4026000000000003</v>
      </c>
      <c r="O22" s="8">
        <f>1%+SUM($C$2:$AC$13)-SUM($C$2:$C$13)-SUM($D$2:$D$13)-SUM($E$2:$E$13)-SUM($F$2:$F$13)-SUM($G$2:$G$13)-SUM($H$2:$H$13)-SUM($I$2:$I$13)-SUM($J$2:$J$13)-SUM($K$2:$K$13)-SUM($L$2:$L$13)-SUM($M$2:$M$13)-SUM($N$2:$N$13)-SUM($O$2:O8)</f>
        <v>1.2799000000000003</v>
      </c>
      <c r="P22" s="8">
        <f>1%+SUM($C$2:$AC$13)-SUM($C$2:$C$13)-SUM($D$2:$D$13)-SUM($E$2:$E$13)-SUM($F$2:$F$13)-SUM($G$2:$G$13)-SUM($H$2:$H$13)-SUM($I$2:$I$13)-SUM($J$2:$J$13)-SUM($K$2:$K$13)-SUM($L$2:$L$13)-SUM($M$2:$M$13)-SUM($N$2:$N$13)-SUM($O$2:$O$13)-SUM($P$2:P8)</f>
        <v>1.1721000000000001</v>
      </c>
      <c r="Q22" s="8">
        <f>1%+SUM($C$2:$AC$13)-SUM($C$2:$C$13)-SUM($D$2:$D$13)-SUM($E$2:$E$13)-SUM($F$2:$F$13)-SUM($G$2:$G$13)-SUM($H$2:$H$13)-SUM($I$2:$I$13)-SUM($J$2:$J$13)-SUM($K$2:$K$13)-SUM($L$2:$L$13)-SUM($M$2:$M$13)-SUM($N$2:$N$13)-SUM($O$2:$O$13)-SUM($P$2:$P$13)-SUM($Q$2:Q8)</f>
        <v>1.0573000000000001</v>
      </c>
      <c r="R22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1%+SUM($C$2:$AC$13)-SUM($C$2:$C$13)-SUM($D$2:$D$13)-SUM($E$2:$E$13)-SUM($F$2:$F$13)-SUM($G$2:$G$13)-SUM($H$2:$H$13)-SUM($I$2:$I$13)-SUM($J$2:$J$13)-SUM($K$2:$K$13)-SUM($L$2:$L$13)-SUM($M$2:$M$13)-SUM($N$2:$N$13)-SUM($O$2:$O$13)-SUM($P$2:$P$13)-SUM($Q$2:$Q$13)-SUM($R$2:R8)</f>
        <v>0.97190000000000021</v>
      </c>
      <c r="S22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8)</f>
        <v>0.86520000000000019</v>
      </c>
      <c r="T22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8)</f>
        <v>0.7663000000000002</v>
      </c>
      <c r="U22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8)</f>
        <v>0.69510000000000027</v>
      </c>
      <c r="V22" s="9">
        <f>IF(V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8)),"")</f>
        <v>0.5990000000000002</v>
      </c>
      <c r="W22" s="8">
        <f>IF(W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8)),"")</f>
        <v>0.48380000000000017</v>
      </c>
      <c r="X22" s="8">
        <f>IF(X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8)),"")</f>
        <v>0.35170000000000018</v>
      </c>
      <c r="Y22" s="8">
        <f>IF(Y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8)),"")</f>
        <v>0.23290000000000022</v>
      </c>
      <c r="Z22" s="8">
        <f>IF(Z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8)),"")</f>
        <v>0.16420000000000021</v>
      </c>
      <c r="AA22" s="8">
        <f>IF(AA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8)),"")</f>
        <v>0.10260000000000019</v>
      </c>
      <c r="AB22" s="8">
        <f>IF(AB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8)),"")</f>
        <v>6.1400000000000204E-2</v>
      </c>
      <c r="AC22" s="8">
        <f>IF(AC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8)),"")</f>
        <v>3.7200000000000198E-2</v>
      </c>
      <c r="AD22" s="8" t="str">
        <f>IF(AD8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8)),"")</f>
        <v/>
      </c>
    </row>
    <row r="23" spans="1:30" ht="14.1" customHeight="1" x14ac:dyDescent="0.2">
      <c r="A23" s="48"/>
      <c r="B23" s="3" t="s">
        <v>22</v>
      </c>
      <c r="C23" s="8">
        <f>1%+SUM($C$2:$AC$13)-SUM($C$2:C9)</f>
        <v>3.6025000000000005</v>
      </c>
      <c r="D23" s="8">
        <f>1%+SUM($C$2:$AC$13)-SUM($C$2:$C$13)-SUM($D$2:D9)</f>
        <v>3.3107000000000006</v>
      </c>
      <c r="E23" s="8">
        <f>1%+SUM($C$2:$AC$13)-SUM($C$2:$C$13)-SUM($D$2:$D$13)-SUM($E$2:E9)</f>
        <v>3.1063000000000009</v>
      </c>
      <c r="F23" s="8">
        <f>1%+SUM($C$2:$AC$13)-SUM($C$2:$C$13)-SUM($D$2:$D$13)-SUM($E$2:$E$13)-SUM($F$2:F9)</f>
        <v>2.8624000000000005</v>
      </c>
      <c r="G23" s="8">
        <f>1%+SUM($C$2:$AC$13)-SUM($C$2:$C$13)-SUM($D$2:$D$13)-SUM($E$2:$E$13)-SUM($F$2:$F$13)-SUM($G$2:G9)</f>
        <v>2.5862000000000007</v>
      </c>
      <c r="H23" s="8">
        <f>1%+SUM($C$2:$AC$13)-SUM($C$2:$C$13)-SUM($D$2:$D$13)-SUM($E$2:$E$13)-SUM($F$2:$F$13)-SUM($G$2:$G$13)-SUM($H$2:H9)</f>
        <v>2.4150000000000005</v>
      </c>
      <c r="I23" s="8">
        <f>1%+SUM($C$2:$AC$13)-SUM($C$2:$C$13)-SUM($D$2:$D$13)-SUM($E$2:$E$13)-SUM($F$2:$F$13)-SUM($G$2:$G$13)-SUM($H$2:$H$13)-SUM($I$2:I9)</f>
        <v>2.2612000000000005</v>
      </c>
      <c r="J23" s="8">
        <f>1%+SUM($C$2:$AC$13)-SUM($C$2:$C$13)-SUM($D$2:$D$13)-SUM($E$2:$E$13)-SUM($F$2:$F$13)-SUM($G$2:$G$13)-SUM($H$2:$H$13)-SUM($I$2:$I$13)-SUM($J$2:J9)</f>
        <v>2.0914000000000001</v>
      </c>
      <c r="K23" s="8">
        <f>1%+SUM($C$2:$AC$13)-SUM($C$2:$C$13)-SUM($D$2:$D$13)-SUM($E$2:$E$13)-SUM($F$2:$F$13)-SUM($G$2:$G$13)-SUM($H$2:$H$13)-SUM($I$2:$I$13)-SUM($J$2:$J$13)-SUM($K$2:K9)</f>
        <v>1.8770000000000002</v>
      </c>
      <c r="L23" s="8">
        <f>1%+SUM($C$2:$AC$13)-SUM($C$2:$C$13)-SUM($D$2:$D$13)-SUM($E$2:$E$13)-SUM($F$2:$F$13)-SUM($G$2:$G$13)-SUM($H$2:$H$13)-SUM($I$2:$I$13)-SUM($J$2:$J$13)-SUM($K$2:$K$13)-SUM($L$2:L9)</f>
        <v>1.7172000000000003</v>
      </c>
      <c r="M23" s="8">
        <f>1%+SUM($C$2:$AC$13)-SUM($C$2:$C$13)-SUM($D$2:$D$13)-SUM($E$2:$E$13)-SUM($F$2:$F$13)-SUM($G$2:$G$13)-SUM($H$2:$H$13)-SUM($I$2:$I$13)-SUM($J$2:$J$13)-SUM($K$2:$K$13)-SUM($L$2:$L$13)-SUM($M$2:M9)</f>
        <v>1.5473000000000001</v>
      </c>
      <c r="N23" s="8">
        <f>1%+SUM($C$2:$AC$13)-SUM($C$2:$C$13)-SUM($D$2:$D$13)-SUM($E$2:$E$13)-SUM($F$2:$F$13)-SUM($G$2:$G$13)-SUM($H$2:$H$13)-SUM($I$2:$I$13)-SUM($J$2:$J$13)-SUM($K$2:$K$13)-SUM($L$2:$L$13)-SUM($M$2:$M$13)-SUM($N$2:N9)</f>
        <v>1.3900000000000001</v>
      </c>
      <c r="O23" s="8">
        <f>1%+SUM($C$2:$AC$13)-SUM($C$2:$C$13)-SUM($D$2:$D$13)-SUM($E$2:$E$13)-SUM($F$2:$F$13)-SUM($G$2:$G$13)-SUM($H$2:$H$13)-SUM($I$2:$I$13)-SUM($J$2:$J$13)-SUM($K$2:$K$13)-SUM($L$2:$L$13)-SUM($M$2:$M$13)-SUM($N$2:$N$13)-SUM($O$2:O9)</f>
        <v>1.2700000000000002</v>
      </c>
      <c r="P23" s="8">
        <f>1%+SUM($C$2:$AC$13)-SUM($C$2:$C$13)-SUM($D$2:$D$13)-SUM($E$2:$E$13)-SUM($F$2:$F$13)-SUM($G$2:$G$13)-SUM($H$2:$H$13)-SUM($I$2:$I$13)-SUM($J$2:$J$13)-SUM($K$2:$K$13)-SUM($L$2:$L$13)-SUM($M$2:$M$13)-SUM($N$2:$N$13)-SUM($O$2:$O$13)-SUM($P$2:P9)</f>
        <v>1.1619000000000002</v>
      </c>
      <c r="Q23" s="8">
        <f>1%+SUM($C$2:$AC$13)-SUM($C$2:$C$13)-SUM($D$2:$D$13)-SUM($E$2:$E$13)-SUM($F$2:$F$13)-SUM($G$2:$G$13)-SUM($H$2:$H$13)-SUM($I$2:$I$13)-SUM($J$2:$J$13)-SUM($K$2:$K$13)-SUM($L$2:$L$13)-SUM($M$2:$M$13)-SUM($N$2:$N$13)-SUM($O$2:$O$13)-SUM($P$2:$P$13)-SUM($Q$2:Q9)</f>
        <v>1.0504000000000002</v>
      </c>
      <c r="R23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1%+SUM($C$2:$AC$13)-SUM($C$2:$C$13)-SUM($D$2:$D$13)-SUM($E$2:$E$13)-SUM($F$2:$F$13)-SUM($G$2:$G$13)-SUM($H$2:$H$13)-SUM($I$2:$I$13)-SUM($J$2:$J$13)-SUM($K$2:$K$13)-SUM($L$2:$L$13)-SUM($M$2:$M$13)-SUM($N$2:$N$13)-SUM($O$2:$O$13)-SUM($P$2:$P$13)-SUM($Q$2:$Q$13)-SUM($R$2:R9)</f>
        <v>0.96300000000000019</v>
      </c>
      <c r="S23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9)</f>
        <v>0.85450000000000015</v>
      </c>
      <c r="T23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9)</f>
        <v>0.75940000000000019</v>
      </c>
      <c r="U23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9)</f>
        <v>0.68800000000000017</v>
      </c>
      <c r="V23" s="9">
        <f>IF(V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9)),"")</f>
        <v>0.59030000000000016</v>
      </c>
      <c r="W23" s="8">
        <f>IF(W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9)),"")</f>
        <v>0.47270000000000018</v>
      </c>
      <c r="X23" s="8">
        <f>IF(X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9)),"")</f>
        <v>0.33950000000000019</v>
      </c>
      <c r="Y23" s="8">
        <f>IF(Y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9)),"")</f>
        <v>0.22490000000000021</v>
      </c>
      <c r="Z23" s="8">
        <f>IF(Z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9)),"")</f>
        <v>0.1585000000000002</v>
      </c>
      <c r="AA23" s="8">
        <f>IF(AA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9)),"")</f>
        <v>9.76000000000002E-2</v>
      </c>
      <c r="AB23" s="8">
        <f>IF(AB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9)),"")</f>
        <v>5.98000000000002E-2</v>
      </c>
      <c r="AC23" s="8">
        <f>IF(AC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9)),"")</f>
        <v>3.29000000000002E-2</v>
      </c>
      <c r="AD23" s="8" t="str">
        <f>IF(AD9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9)),"")</f>
        <v/>
      </c>
    </row>
    <row r="24" spans="1:30" ht="14.1" customHeight="1" x14ac:dyDescent="0.2">
      <c r="A24" s="48"/>
      <c r="B24" s="3" t="s">
        <v>23</v>
      </c>
      <c r="C24" s="8">
        <f>1%+SUM($C$2:$AC$13)-SUM($C$2:C10)</f>
        <v>3.5693000000000006</v>
      </c>
      <c r="D24" s="8">
        <f>1%+SUM($C$2:$AC$13)-SUM($C$2:$C$13)-SUM($D$2:D10)</f>
        <v>3.2917000000000005</v>
      </c>
      <c r="E24" s="8">
        <f>1%+SUM($C$2:$AC$13)-SUM($C$2:$C$13)-SUM($D$2:$D$13)-SUM($E$2:E10)</f>
        <v>3.0904000000000007</v>
      </c>
      <c r="F24" s="8">
        <f>1%+SUM($C$2:$AC$13)-SUM($C$2:$C$13)-SUM($D$2:$D$13)-SUM($E$2:$E$13)-SUM($F$2:F10)</f>
        <v>2.8375000000000008</v>
      </c>
      <c r="G24" s="8">
        <f>1%+SUM($C$2:$AC$13)-SUM($C$2:$C$13)-SUM($D$2:$D$13)-SUM($E$2:$E$13)-SUM($F$2:$F$13)-SUM($G$2:G10)</f>
        <v>2.5713000000000004</v>
      </c>
      <c r="H24" s="8">
        <f>1%+SUM($C$2:$AC$13)-SUM($C$2:$C$13)-SUM($D$2:$D$13)-SUM($E$2:$E$13)-SUM($F$2:$F$13)-SUM($G$2:$G$13)-SUM($H$2:H10)</f>
        <v>2.4028000000000005</v>
      </c>
      <c r="I24" s="8">
        <f>1%+SUM($C$2:$AC$13)-SUM($C$2:$C$13)-SUM($D$2:$D$13)-SUM($E$2:$E$13)-SUM($F$2:$F$13)-SUM($G$2:$G$13)-SUM($H$2:$H$13)-SUM($I$2:I10)</f>
        <v>2.2480000000000002</v>
      </c>
      <c r="J24" s="8">
        <f>1%+SUM($C$2:$AC$13)-SUM($C$2:$C$13)-SUM($D$2:$D$13)-SUM($E$2:$E$13)-SUM($F$2:$F$13)-SUM($G$2:$G$13)-SUM($H$2:$H$13)-SUM($I$2:$I$13)-SUM($J$2:J10)</f>
        <v>2.0776000000000003</v>
      </c>
      <c r="K24" s="8">
        <f>1%+SUM($C$2:$AC$13)-SUM($C$2:$C$13)-SUM($D$2:$D$13)-SUM($E$2:$E$13)-SUM($F$2:$F$13)-SUM($G$2:$G$13)-SUM($H$2:$H$13)-SUM($I$2:$I$13)-SUM($J$2:$J$13)-SUM($K$2:K10)</f>
        <v>1.8602000000000003</v>
      </c>
      <c r="L24" s="8">
        <f>1%+SUM($C$2:$AC$13)-SUM($C$2:$C$13)-SUM($D$2:$D$13)-SUM($E$2:$E$13)-SUM($F$2:$F$13)-SUM($G$2:$G$13)-SUM($H$2:$H$13)-SUM($I$2:$I$13)-SUM($J$2:$J$13)-SUM($K$2:$K$13)-SUM($L$2:L10)</f>
        <v>1.7047000000000003</v>
      </c>
      <c r="M24" s="8">
        <f>1%+SUM($C$2:$AC$13)-SUM($C$2:$C$13)-SUM($D$2:$D$13)-SUM($E$2:$E$13)-SUM($F$2:$F$13)-SUM($G$2:$G$13)-SUM($H$2:$H$13)-SUM($I$2:$I$13)-SUM($J$2:$J$13)-SUM($K$2:$K$13)-SUM($L$2:$L$13)-SUM($M$2:M10)</f>
        <v>1.5323000000000002</v>
      </c>
      <c r="N24" s="8">
        <f>1%+SUM($C$2:$AC$13)-SUM($C$2:$C$13)-SUM($D$2:$D$13)-SUM($E$2:$E$13)-SUM($F$2:$F$13)-SUM($G$2:$G$13)-SUM($H$2:$H$13)-SUM($I$2:$I$13)-SUM($J$2:$J$13)-SUM($K$2:$K$13)-SUM($L$2:$L$13)-SUM($M$2:$M$13)-SUM($N$2:N10)</f>
        <v>1.3794000000000002</v>
      </c>
      <c r="O24" s="8">
        <f>1%+SUM($C$2:$AC$13)-SUM($C$2:$C$13)-SUM($D$2:$D$13)-SUM($E$2:$E$13)-SUM($F$2:$F$13)-SUM($G$2:$G$13)-SUM($H$2:$H$13)-SUM($I$2:$I$13)-SUM($J$2:$J$13)-SUM($K$2:$K$13)-SUM($L$2:$L$13)-SUM($M$2:$M$13)-SUM($N$2:$N$13)-SUM($O$2:O10)</f>
        <v>1.2620000000000002</v>
      </c>
      <c r="P24" s="8">
        <f>1%+SUM($C$2:$AC$13)-SUM($C$2:$C$13)-SUM($D$2:$D$13)-SUM($E$2:$E$13)-SUM($F$2:$F$13)-SUM($G$2:$G$13)-SUM($H$2:$H$13)-SUM($I$2:$I$13)-SUM($J$2:$J$13)-SUM($K$2:$K$13)-SUM($L$2:$L$13)-SUM($M$2:$M$13)-SUM($N$2:$N$13)-SUM($O$2:$O$13)-SUM($P$2:P10)</f>
        <v>1.1509000000000003</v>
      </c>
      <c r="Q24" s="8">
        <f>1%+SUM($C$2:$AC$13)-SUM($C$2:$C$13)-SUM($D$2:$D$13)-SUM($E$2:$E$13)-SUM($F$2:$F$13)-SUM($G$2:$G$13)-SUM($H$2:$H$13)-SUM($I$2:$I$13)-SUM($J$2:$J$13)-SUM($K$2:$K$13)-SUM($L$2:$L$13)-SUM($M$2:$M$13)-SUM($N$2:$N$13)-SUM($O$2:$O$13)-SUM($P$2:$P$13)-SUM($Q$2:Q10)</f>
        <v>1.0435000000000001</v>
      </c>
      <c r="R24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1%+SUM($C$2:$AC$13)-SUM($C$2:$C$13)-SUM($D$2:$D$13)-SUM($E$2:$E$13)-SUM($F$2:$F$13)-SUM($G$2:$G$13)-SUM($H$2:$H$13)-SUM($I$2:$I$13)-SUM($J$2:$J$13)-SUM($K$2:$K$13)-SUM($L$2:$L$13)-SUM($M$2:$M$13)-SUM($N$2:$N$13)-SUM($O$2:$O$13)-SUM($P$2:$P$13)-SUM($Q$2:$Q$13)-SUM($R$2:R10)</f>
        <v>0.95450000000000013</v>
      </c>
      <c r="S24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10)</f>
        <v>0.84510000000000018</v>
      </c>
      <c r="T24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10)</f>
        <v>0.75400000000000023</v>
      </c>
      <c r="U24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10)</f>
        <v>0.68090000000000017</v>
      </c>
      <c r="V24" s="9">
        <f>IF(V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10)),"")</f>
        <v>0.58120000000000016</v>
      </c>
      <c r="W24" s="8">
        <f>IF(W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10)),"")</f>
        <v>0.46160000000000018</v>
      </c>
      <c r="X24" s="8">
        <f>IF(X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10)),"")</f>
        <v>0.32840000000000019</v>
      </c>
      <c r="Y24" s="8">
        <f>IF(Y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10)),"")</f>
        <v>0.21850000000000019</v>
      </c>
      <c r="Z24" s="8">
        <f>IF(Z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10)),"")</f>
        <v>0.15380000000000021</v>
      </c>
      <c r="AA24" s="8">
        <f>IF(AA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10)),"")</f>
        <v>9.3000000000000194E-2</v>
      </c>
      <c r="AB24" s="8">
        <f>IF(AB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10)),"")</f>
        <v>5.8200000000000203E-2</v>
      </c>
      <c r="AC24" s="8">
        <f>IF(AC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10)),"")</f>
        <v>2.8500000000000199E-2</v>
      </c>
      <c r="AD24" s="8" t="str">
        <f>IF(AD10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10)),"")</f>
        <v/>
      </c>
    </row>
    <row r="25" spans="1:30" ht="14.1" customHeight="1" x14ac:dyDescent="0.2">
      <c r="A25" s="48"/>
      <c r="B25" s="3" t="s">
        <v>24</v>
      </c>
      <c r="C25" s="8">
        <f>1%+SUM($C$2:$AC$13)-SUM($C$2:C11)</f>
        <v>3.5384000000000007</v>
      </c>
      <c r="D25" s="8">
        <f>1%+SUM($C$2:$AC$13)-SUM($C$2:$C$13)-SUM($D$2:D11)</f>
        <v>3.2731000000000008</v>
      </c>
      <c r="E25" s="8">
        <f>1%+SUM($C$2:$AC$13)-SUM($C$2:$C$13)-SUM($D$2:$D$13)-SUM($E$2:E11)</f>
        <v>3.0737000000000005</v>
      </c>
      <c r="F25" s="8">
        <f>1%+SUM($C$2:$AC$13)-SUM($C$2:$C$13)-SUM($D$2:$D$13)-SUM($E$2:$E$13)-SUM($F$2:F11)</f>
        <v>2.8081000000000005</v>
      </c>
      <c r="G25" s="8">
        <f>1%+SUM($C$2:$AC$13)-SUM($C$2:$C$13)-SUM($D$2:$D$13)-SUM($E$2:$E$13)-SUM($F$2:$F$13)-SUM($G$2:G11)</f>
        <v>2.5575000000000006</v>
      </c>
      <c r="H25" s="8">
        <f>1%+SUM($C$2:$AC$13)-SUM($C$2:$C$13)-SUM($D$2:$D$13)-SUM($E$2:$E$13)-SUM($F$2:$F$13)-SUM($G$2:$G$13)-SUM($H$2:H11)</f>
        <v>2.3899000000000004</v>
      </c>
      <c r="I25" s="8">
        <f>1%+SUM($C$2:$AC$13)-SUM($C$2:$C$13)-SUM($D$2:$D$13)-SUM($E$2:$E$13)-SUM($F$2:$F$13)-SUM($G$2:$G$13)-SUM($H$2:$H$13)-SUM($I$2:I11)</f>
        <v>2.2327000000000004</v>
      </c>
      <c r="J25" s="8">
        <f>1%+SUM($C$2:$AC$13)-SUM($C$2:$C$13)-SUM($D$2:$D$13)-SUM($E$2:$E$13)-SUM($F$2:$F$13)-SUM($G$2:$G$13)-SUM($H$2:$H$13)-SUM($I$2:$I$13)-SUM($J$2:J11)</f>
        <v>2.0611000000000002</v>
      </c>
      <c r="K25" s="8">
        <f>1%+SUM($C$2:$AC$13)-SUM($C$2:$C$13)-SUM($D$2:$D$13)-SUM($E$2:$E$13)-SUM($F$2:$F$13)-SUM($G$2:$G$13)-SUM($H$2:$H$13)-SUM($I$2:$I$13)-SUM($J$2:$J$13)-SUM($K$2:K11)</f>
        <v>1.8438000000000003</v>
      </c>
      <c r="L25" s="8">
        <f>1%+SUM($C$2:$AC$13)-SUM($C$2:$C$13)-SUM($D$2:$D$13)-SUM($E$2:$E$13)-SUM($F$2:$F$13)-SUM($G$2:$G$13)-SUM($H$2:$H$13)-SUM($I$2:$I$13)-SUM($J$2:$J$13)-SUM($K$2:$K$13)-SUM($L$2:L11)</f>
        <v>1.6926000000000001</v>
      </c>
      <c r="M25" s="8">
        <f>1%+SUM($C$2:$AC$13)-SUM($C$2:$C$13)-SUM($D$2:$D$13)-SUM($E$2:$E$13)-SUM($F$2:$F$13)-SUM($G$2:$G$13)-SUM($H$2:$H$13)-SUM($I$2:$I$13)-SUM($J$2:$J$13)-SUM($K$2:$K$13)-SUM($L$2:$L$13)-SUM($M$2:M11)</f>
        <v>1.5182000000000002</v>
      </c>
      <c r="N25" s="8">
        <f>1%+SUM($C$2:$AC$13)-SUM($C$2:$C$13)-SUM($D$2:$D$13)-SUM($E$2:$E$13)-SUM($F$2:$F$13)-SUM($G$2:$G$13)-SUM($H$2:$H$13)-SUM($I$2:$I$13)-SUM($J$2:$J$13)-SUM($K$2:$K$13)-SUM($L$2:$L$13)-SUM($M$2:$M$13)-SUM($N$2:N11)</f>
        <v>1.3685000000000003</v>
      </c>
      <c r="O25" s="8">
        <f>1%+SUM($C$2:$AC$13)-SUM($C$2:$C$13)-SUM($D$2:$D$13)-SUM($E$2:$E$13)-SUM($F$2:$F$13)-SUM($G$2:$G$13)-SUM($H$2:$H$13)-SUM($I$2:$I$13)-SUM($J$2:$J$13)-SUM($K$2:$K$13)-SUM($L$2:$L$13)-SUM($M$2:$M$13)-SUM($N$2:$N$13)-SUM($O$2:O11)</f>
        <v>1.2527000000000004</v>
      </c>
      <c r="P25" s="8">
        <f>1%+SUM($C$2:$AC$13)-SUM($C$2:$C$13)-SUM($D$2:$D$13)-SUM($E$2:$E$13)-SUM($F$2:$F$13)-SUM($G$2:$G$13)-SUM($H$2:$H$13)-SUM($I$2:$I$13)-SUM($J$2:$J$13)-SUM($K$2:$K$13)-SUM($L$2:$L$13)-SUM($M$2:$M$13)-SUM($N$2:$N$13)-SUM($O$2:$O$13)-SUM($P$2:P11)</f>
        <v>1.1391000000000002</v>
      </c>
      <c r="Q25" s="8">
        <f>1%+SUM($C$2:$AC$13)-SUM($C$2:$C$13)-SUM($D$2:$D$13)-SUM($E$2:$E$13)-SUM($F$2:$F$13)-SUM($G$2:$G$13)-SUM($H$2:$H$13)-SUM($I$2:$I$13)-SUM($J$2:$J$13)-SUM($K$2:$K$13)-SUM($L$2:$L$13)-SUM($M$2:$M$13)-SUM($N$2:$N$13)-SUM($O$2:$O$13)-SUM($P$2:$P$13)-SUM($Q$2:Q11)</f>
        <v>1.0366000000000002</v>
      </c>
      <c r="R25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1%+SUM($C$2:$AC$13)-SUM($C$2:$C$13)-SUM($D$2:$D$13)-SUM($E$2:$E$13)-SUM($F$2:$F$13)-SUM($G$2:$G$13)-SUM($H$2:$H$13)-SUM($I$2:$I$13)-SUM($J$2:$J$13)-SUM($K$2:$K$13)-SUM($L$2:$L$13)-SUM($M$2:$M$13)-SUM($N$2:$N$13)-SUM($O$2:$O$13)-SUM($P$2:$P$13)-SUM($Q$2:$Q$13)-SUM($R$2:R11)</f>
        <v>0.94640000000000013</v>
      </c>
      <c r="S25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11)</f>
        <v>0.83630000000000015</v>
      </c>
      <c r="T25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11)</f>
        <v>0.74790000000000023</v>
      </c>
      <c r="U25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11)</f>
        <v>0.67280000000000018</v>
      </c>
      <c r="V25" s="9">
        <f>IF(V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11)),"")</f>
        <v>0.57170000000000021</v>
      </c>
      <c r="W25" s="8">
        <f>IF(W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11)),"")</f>
        <v>0.45050000000000018</v>
      </c>
      <c r="X25" s="8">
        <f>IF(X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11)),"")</f>
        <v>0.31790000000000018</v>
      </c>
      <c r="Y25" s="8">
        <f>IF(Y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11)),"")</f>
        <v>0.21210000000000021</v>
      </c>
      <c r="Z25" s="8">
        <f>IF(Z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11)),"")</f>
        <v>0.1484000000000002</v>
      </c>
      <c r="AA25" s="8">
        <f>IF(AA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11)),"")</f>
        <v>8.8200000000000195E-2</v>
      </c>
      <c r="AB25" s="8">
        <f>IF(AB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11)),"")</f>
        <v>5.6600000000000206E-2</v>
      </c>
      <c r="AC25" s="8">
        <f>IF(AC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11)),"")</f>
        <v>2.3600000000000197E-2</v>
      </c>
      <c r="AD25" s="8" t="str">
        <f>IF(AD11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11)),"")</f>
        <v/>
      </c>
    </row>
    <row r="26" spans="1:30" ht="14.1" customHeight="1" x14ac:dyDescent="0.2">
      <c r="A26" s="48"/>
      <c r="B26" s="3" t="s">
        <v>25</v>
      </c>
      <c r="C26" s="8">
        <f>1%+SUM($C$2:$AC$13)-SUM($C$2:C12)</f>
        <v>3.5096000000000007</v>
      </c>
      <c r="D26" s="8">
        <f>1%+SUM($C$2:$AC$13)-SUM($C$2:$C$13)-SUM($D$2:D12)</f>
        <v>3.2551000000000005</v>
      </c>
      <c r="E26" s="8">
        <f>1%+SUM($C$2:$AC$13)-SUM($C$2:$C$13)-SUM($D$2:$D$13)-SUM($E$2:E12)</f>
        <v>3.0433000000000008</v>
      </c>
      <c r="F26" s="8">
        <f>1%+SUM($C$2:$AC$13)-SUM($C$2:$C$13)-SUM($D$2:$D$13)-SUM($E$2:$E$13)-SUM($F$2:F12)</f>
        <v>2.7818000000000005</v>
      </c>
      <c r="G26" s="8">
        <f>1%+SUM($C$2:$AC$13)-SUM($C$2:$C$13)-SUM($D$2:$D$13)-SUM($E$2:$E$13)-SUM($F$2:$F$13)-SUM($G$2:G12)</f>
        <v>2.5436000000000005</v>
      </c>
      <c r="H26" s="8">
        <f>1%+SUM($C$2:$AC$13)-SUM($C$2:$C$13)-SUM($D$2:$D$13)-SUM($E$2:$E$13)-SUM($F$2:$F$13)-SUM($G$2:$G$13)-SUM($H$2:H12)</f>
        <v>2.3777000000000004</v>
      </c>
      <c r="I26" s="8">
        <f>1%+SUM($C$2:$AC$13)-SUM($C$2:$C$13)-SUM($D$2:$D$13)-SUM($E$2:$E$13)-SUM($F$2:$F$13)-SUM($G$2:$G$13)-SUM($H$2:$H$13)-SUM($I$2:I12)</f>
        <v>2.2188000000000003</v>
      </c>
      <c r="J26" s="8">
        <f>1%+SUM($C$2:$AC$13)-SUM($C$2:$C$13)-SUM($D$2:$D$13)-SUM($E$2:$E$13)-SUM($F$2:$F$13)-SUM($G$2:$G$13)-SUM($H$2:$H$13)-SUM($I$2:$I$13)-SUM($J$2:J12)</f>
        <v>2.0457000000000005</v>
      </c>
      <c r="K26" s="8">
        <f>1%+SUM($C$2:$AC$13)-SUM($C$2:$C$13)-SUM($D$2:$D$13)-SUM($E$2:$E$13)-SUM($F$2:$F$13)-SUM($G$2:$G$13)-SUM($H$2:$H$13)-SUM($I$2:$I$13)-SUM($J$2:$J$13)-SUM($K$2:K12)</f>
        <v>1.8304000000000002</v>
      </c>
      <c r="L26" s="8">
        <f>1%+SUM($C$2:$AC$13)-SUM($C$2:$C$13)-SUM($D$2:$D$13)-SUM($E$2:$E$13)-SUM($F$2:$F$13)-SUM($G$2:$G$13)-SUM($H$2:$H$13)-SUM($I$2:$I$13)-SUM($J$2:$J$13)-SUM($K$2:$K$13)-SUM($L$2:L12)</f>
        <v>1.6801000000000001</v>
      </c>
      <c r="M26" s="8">
        <f>1%+SUM($C$2:$AC$13)-SUM($C$2:$C$13)-SUM($D$2:$D$13)-SUM($E$2:$E$13)-SUM($F$2:$F$13)-SUM($G$2:$G$13)-SUM($H$2:$H$13)-SUM($I$2:$I$13)-SUM($J$2:$J$13)-SUM($K$2:$K$13)-SUM($L$2:$L$13)-SUM($M$2:M12)</f>
        <v>1.5044000000000002</v>
      </c>
      <c r="N26" s="8">
        <f>1%+SUM($C$2:$AC$13)-SUM($C$2:$C$13)-SUM($D$2:$D$13)-SUM($E$2:$E$13)-SUM($F$2:$F$13)-SUM($G$2:$G$13)-SUM($H$2:$H$13)-SUM($I$2:$I$13)-SUM($J$2:$J$13)-SUM($K$2:$K$13)-SUM($L$2:$L$13)-SUM($M$2:$M$13)-SUM($N$2:N12)</f>
        <v>1.3583000000000003</v>
      </c>
      <c r="O26" s="8">
        <f>1%+SUM($C$2:$AC$13)-SUM($C$2:$C$13)-SUM($D$2:$D$13)-SUM($E$2:$E$13)-SUM($F$2:$F$13)-SUM($G$2:$G$13)-SUM($H$2:$H$13)-SUM($I$2:$I$13)-SUM($J$2:$J$13)-SUM($K$2:$K$13)-SUM($L$2:$L$13)-SUM($M$2:$M$13)-SUM($N$2:$N$13)-SUM($O$2:O12)</f>
        <v>1.2443000000000002</v>
      </c>
      <c r="P26" s="8">
        <f>1%+SUM($C$2:$AC$13)-SUM($C$2:$C$13)-SUM($D$2:$D$13)-SUM($E$2:$E$13)-SUM($F$2:$F$13)-SUM($G$2:$G$13)-SUM($H$2:$H$13)-SUM($I$2:$I$13)-SUM($J$2:$J$13)-SUM($K$2:$K$13)-SUM($L$2:$L$13)-SUM($M$2:$M$13)-SUM($N$2:$N$13)-SUM($O$2:$O$13)-SUM($P$2:P12)</f>
        <v>1.1289000000000002</v>
      </c>
      <c r="Q26" s="8">
        <f>1%+SUM($C$2:$AC$13)-SUM($C$2:$C$13)-SUM($D$2:$D$13)-SUM($E$2:$E$13)-SUM($F$2:$F$13)-SUM($G$2:$G$13)-SUM($H$2:$H$13)-SUM($I$2:$I$13)-SUM($J$2:$J$13)-SUM($K$2:$K$13)-SUM($L$2:$L$13)-SUM($M$2:$M$13)-SUM($N$2:$N$13)-SUM($O$2:$O$13)-SUM($P$2:$P$13)-SUM($Q$2:Q12)</f>
        <v>1.0300000000000002</v>
      </c>
      <c r="R2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1%+SUM($C$2:$AC$13)-SUM($C$2:$C$13)-SUM($D$2:$D$13)-SUM($E$2:$E$13)-SUM($F$2:$F$13)-SUM($G$2:$G$13)-SUM($H$2:$H$13)-SUM($I$2:$I$13)-SUM($J$2:$J$13)-SUM($K$2:$K$13)-SUM($L$2:$L$13)-SUM($M$2:$M$13)-SUM($N$2:$N$13)-SUM($O$2:$O$13)-SUM($P$2:$P$13)-SUM($Q$2:$Q$13)-SUM($R$2:R12)</f>
        <v>0.93830000000000013</v>
      </c>
      <c r="S2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12)</f>
        <v>0.8277000000000001</v>
      </c>
      <c r="T2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12)</f>
        <v>0.74240000000000017</v>
      </c>
      <c r="U26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12)</f>
        <v>0.66560000000000019</v>
      </c>
      <c r="V26" s="9">
        <f>IF(V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12)),"")</f>
        <v>0.56330000000000013</v>
      </c>
      <c r="W26" s="8">
        <f>IF(W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12)),"")</f>
        <v>0.43990000000000018</v>
      </c>
      <c r="X26" s="8">
        <f>IF(X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12)),"")</f>
        <v>0.30750000000000022</v>
      </c>
      <c r="Y26" s="8">
        <f>IF(Y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12)),"")</f>
        <v>0.20640000000000019</v>
      </c>
      <c r="Z26" s="8">
        <f>IF(Z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12)),"")</f>
        <v>0.14350000000000021</v>
      </c>
      <c r="AA26" s="8">
        <f>IF(AA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12)),"")</f>
        <v>8.4400000000000197E-2</v>
      </c>
      <c r="AB26" s="8">
        <f>IF(AB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12)),"")</f>
        <v>5.5100000000000204E-2</v>
      </c>
      <c r="AC26" s="8">
        <f>IF(AC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12)),"")</f>
        <v>1.7700000000000195E-2</v>
      </c>
      <c r="AD26" s="8" t="str">
        <f>IF(AD12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12)),"")</f>
        <v/>
      </c>
    </row>
    <row r="27" spans="1:30" ht="14.1" customHeight="1" x14ac:dyDescent="0.2">
      <c r="A27" s="48"/>
      <c r="B27" s="3" t="s">
        <v>26</v>
      </c>
      <c r="C27" s="8">
        <f>1%+SUM($C$2:$AC$13)-SUM($C$2:C13)</f>
        <v>3.4818000000000007</v>
      </c>
      <c r="D27" s="8">
        <f>1%+SUM($C$2:$AC$13)-SUM($C$2:$C$13)-SUM($D$2:D13)</f>
        <v>3.2371000000000008</v>
      </c>
      <c r="E27" s="8">
        <f>1%+SUM($C$2:$AC$13)-SUM($C$2:$C$13)-SUM($D$2:$D$13)-SUM($E$2:E13)</f>
        <v>3.0136000000000007</v>
      </c>
      <c r="F27" s="8">
        <f>1%+SUM($C$2:$AC$13)-SUM($C$2:$C$13)-SUM($D$2:$D$13)-SUM($E$2:$E$13)-SUM($F$2:F13)</f>
        <v>2.7578000000000005</v>
      </c>
      <c r="G27" s="8">
        <f>1%+SUM($C$2:$AC$13)-SUM($C$2:$C$13)-SUM($D$2:$D$13)-SUM($E$2:$E$13)-SUM($F$2:$F$13)-SUM($G$2:G13)</f>
        <v>2.5276000000000005</v>
      </c>
      <c r="H27" s="8">
        <f>1%+SUM($C$2:$AC$13)-SUM($C$2:$C$13)-SUM($D$2:$D$13)-SUM($E$2:$E$13)-SUM($F$2:$F$13)-SUM($G$2:$G$13)-SUM($H$2:H13)</f>
        <v>2.3657000000000004</v>
      </c>
      <c r="I27" s="8">
        <f>1%+SUM($C$2:$AC$13)-SUM($C$2:$C$13)-SUM($D$2:$D$13)-SUM($E$2:$E$13)-SUM($F$2:$F$13)-SUM($G$2:$G$13)-SUM($H$2:$H$13)-SUM($I$2:I13)</f>
        <v>2.2049000000000003</v>
      </c>
      <c r="J27" s="8">
        <f>1%+SUM($C$2:$AC$13)-SUM($C$2:$C$13)-SUM($D$2:$D$13)-SUM($E$2:$E$13)-SUM($F$2:$F$13)-SUM($G$2:$G$13)-SUM($H$2:$H$13)-SUM($I$2:$I$13)-SUM($J$2:J13)</f>
        <v>2.0283000000000002</v>
      </c>
      <c r="K27" s="8">
        <f>1%+SUM($C$2:$AC$13)-SUM($C$2:$C$13)-SUM($D$2:$D$13)-SUM($E$2:$E$13)-SUM($F$2:$F$13)-SUM($G$2:$G$13)-SUM($H$2:$H$13)-SUM($I$2:$I$13)-SUM($J$2:$J$13)-SUM($K$2:K13)</f>
        <v>1.8167000000000002</v>
      </c>
      <c r="L27" s="8">
        <f>1%+SUM($C$2:$AC$13)-SUM($C$2:$C$13)-SUM($D$2:$D$13)-SUM($E$2:$E$13)-SUM($F$2:$F$13)-SUM($G$2:$G$13)-SUM($H$2:$H$13)-SUM($I$2:$I$13)-SUM($J$2:$J$13)-SUM($K$2:$K$13)-SUM($L$2:L13)</f>
        <v>1.6653000000000002</v>
      </c>
      <c r="M27" s="8">
        <f>1%+SUM($C$2:$AC$13)-SUM($C$2:$C$13)-SUM($D$2:$D$13)-SUM($E$2:$E$13)-SUM($F$2:$F$13)-SUM($G$2:$G$13)-SUM($H$2:$H$13)-SUM($I$2:$I$13)-SUM($J$2:$J$13)-SUM($K$2:$K$13)-SUM($L$2:$L$13)-SUM($M$2:M13)</f>
        <v>1.4897000000000002</v>
      </c>
      <c r="N27" s="8">
        <f>1%+SUM($C$2:$AC$13)-SUM($C$2:$C$13)-SUM($D$2:$D$13)-SUM($E$2:$E$13)-SUM($F$2:$F$13)-SUM($G$2:$G$13)-SUM($H$2:$H$13)-SUM($I$2:$I$13)-SUM($J$2:$J$13)-SUM($K$2:$K$13)-SUM($L$2:$L$13)-SUM($M$2:$M$13)-SUM($N$2:N13)</f>
        <v>1.3484000000000003</v>
      </c>
      <c r="O27" s="8">
        <f>1%+SUM($C$2:$AC$13)-SUM($C$2:$C$13)-SUM($D$2:$D$13)-SUM($E$2:$E$13)-SUM($F$2:$F$13)-SUM($G$2:$G$13)-SUM($H$2:$H$13)-SUM($I$2:$I$13)-SUM($J$2:$J$13)-SUM($K$2:$K$13)-SUM($L$2:$L$13)-SUM($M$2:$M$13)-SUM($N$2:$N$13)-SUM($O$2:O13)</f>
        <v>1.2359000000000002</v>
      </c>
      <c r="P27" s="8">
        <f>1%+SUM($C$2:$AC$13)-SUM($C$2:$C$13)-SUM($D$2:$D$13)-SUM($E$2:$E$13)-SUM($F$2:$F$13)-SUM($G$2:$G$13)-SUM($H$2:$H$13)-SUM($I$2:$I$13)-SUM($J$2:$J$13)-SUM($K$2:$K$13)-SUM($L$2:$L$13)-SUM($M$2:$M$13)-SUM($N$2:$N$13)-SUM($O$2:$O$13)-SUM($P$2:P13)</f>
        <v>1.1177000000000001</v>
      </c>
      <c r="Q27" s="8">
        <f>1%+SUM($C$2:$AC$13)-SUM($C$2:$C$13)-SUM($D$2:$D$13)-SUM($E$2:$E$13)-SUM($F$2:$F$13)-SUM($G$2:$G$13)-SUM($H$2:$H$13)-SUM($I$2:$I$13)-SUM($J$2:$J$13)-SUM($K$2:$K$13)-SUM($L$2:$L$13)-SUM($M$2:$M$13)-SUM($N$2:$N$13)-SUM($O$2:$O$13)-SUM($P$2:$P$13)-SUM($Q$2:Q13)</f>
        <v>1.0227000000000002</v>
      </c>
      <c r="R2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1%+SUM($C$2:$AC$13)-SUM($C$2:$C$13)-SUM($D$2:$D$13)-SUM($E$2:$E$13)-SUM($F$2:$F$13)-SUM($G$2:$G$13)-SUM($H$2:$H$13)-SUM($I$2:$I$13)-SUM($J$2:$J$13)-SUM($K$2:$K$13)-SUM($L$2:$L$13)-SUM($M$2:$M$13)-SUM($N$2:$N$13)-SUM($O$2:$O$13)-SUM($P$2:$P$13)-SUM($Q$2:$Q$13)-SUM($R$2:R13)</f>
        <v>0.92900000000000016</v>
      </c>
      <c r="S2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S13)</f>
        <v>0.81860000000000022</v>
      </c>
      <c r="T2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T13)</f>
        <v>0.73690000000000022</v>
      </c>
      <c r="U27" s="8">
        <f>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U13)</f>
        <v>0.65770000000000017</v>
      </c>
      <c r="V27" s="9">
        <f>IF(V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V13)),"")</f>
        <v>0.55370000000000019</v>
      </c>
      <c r="W27" s="8">
        <f>IF(W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W13)),"")</f>
        <v>0.42830000000000018</v>
      </c>
      <c r="X27" s="8">
        <f>IF(X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X13)),"")</f>
        <v>0.29630000000000023</v>
      </c>
      <c r="Y27" s="8">
        <f>IF(Y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Y13)),"")</f>
        <v>0.20100000000000021</v>
      </c>
      <c r="Z27" s="8">
        <f>IF(Z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Z13)),"")</f>
        <v>0.1386000000000002</v>
      </c>
      <c r="AA27" s="8">
        <f>IF(AA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AA13)),"")</f>
        <v>8.0700000000000202E-2</v>
      </c>
      <c r="AB27" s="8">
        <f>IF(AB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AB13)),"")</f>
        <v>5.35000000000002E-2</v>
      </c>
      <c r="AC27" s="8">
        <f>IF(AC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C13)),"")</f>
        <v>1.0000000000000196E-2</v>
      </c>
      <c r="AD27" s="8" t="str">
        <f>IF(AD13&lt;&gt;"",(1%+SUM($C$2:$AC$13)-SUM($C$2:$C$13)-SUM($D$2:$D$13)-SUM($E$2:$E$13)-SUM($F$2:$F$13)-SUM($G$2:$G$13)-SUM($H$2:$H$13)-SUM($I$2:$I$13)-SUM($J$2:$J$13)-SUM($K$2:$K$13)-SUM($L$2:$L$13)-SUM($M$2:$M$13)-SUM($N$2:$N$13)-SUM($O$2:$O$13)-SUM($P$2:$P$13)-SUM($Q$2:$Q$13)-SUM($R$2:$R$13)-SUM($S$2:$S$13)-SUM($T$2:$T$13)-SUM($U$2:$U$13)-SUM($V$2:$V$13)-SUM($W$2:$W$13)-SUM($X$2:$X$13)-SUM($Y$2:$Y$13)-SUM($Z$2:$Z$13)-SUM($AA$2:$AA$13)-SUM($AB$2:$AB$13)-SUM($AC$2:AD13)),"")</f>
        <v/>
      </c>
    </row>
    <row r="29" spans="1:30" ht="14.1" customHeight="1" x14ac:dyDescent="0.2">
      <c r="A29" s="49"/>
      <c r="B29" s="10" t="str">
        <f t="shared" ref="B29:AD29" si="1">B$1</f>
        <v xml:space="preserve">Mês/Ano </v>
      </c>
      <c r="C29" s="10">
        <f t="shared" si="1"/>
        <v>1995</v>
      </c>
      <c r="D29" s="10">
        <f t="shared" si="1"/>
        <v>1996</v>
      </c>
      <c r="E29" s="10">
        <f t="shared" si="1"/>
        <v>1997</v>
      </c>
      <c r="F29" s="10">
        <f t="shared" si="1"/>
        <v>1998</v>
      </c>
      <c r="G29" s="10">
        <f t="shared" si="1"/>
        <v>1999</v>
      </c>
      <c r="H29" s="10">
        <f t="shared" si="1"/>
        <v>2000</v>
      </c>
      <c r="I29" s="10">
        <f t="shared" si="1"/>
        <v>2001</v>
      </c>
      <c r="J29" s="10">
        <f t="shared" si="1"/>
        <v>2002</v>
      </c>
      <c r="K29" s="10">
        <f t="shared" si="1"/>
        <v>2003</v>
      </c>
      <c r="L29" s="10">
        <f t="shared" si="1"/>
        <v>2004</v>
      </c>
      <c r="M29" s="10">
        <f t="shared" si="1"/>
        <v>2005</v>
      </c>
      <c r="N29" s="10">
        <f t="shared" si="1"/>
        <v>2006</v>
      </c>
      <c r="O29" s="10">
        <f t="shared" si="1"/>
        <v>2007</v>
      </c>
      <c r="P29" s="10">
        <f t="shared" si="1"/>
        <v>2008</v>
      </c>
      <c r="Q29" s="10">
        <f t="shared" si="1"/>
        <v>2009</v>
      </c>
      <c r="R29" s="10">
        <f t="shared" si="1"/>
        <v>2010</v>
      </c>
      <c r="S29" s="10">
        <f t="shared" si="1"/>
        <v>2011</v>
      </c>
      <c r="T29" s="10">
        <f t="shared" si="1"/>
        <v>2012</v>
      </c>
      <c r="U29" s="10">
        <f t="shared" si="1"/>
        <v>2013</v>
      </c>
      <c r="V29" s="10">
        <f t="shared" si="1"/>
        <v>2014</v>
      </c>
      <c r="W29" s="10">
        <f t="shared" si="1"/>
        <v>2015</v>
      </c>
      <c r="X29" s="10">
        <f t="shared" si="1"/>
        <v>2016</v>
      </c>
      <c r="Y29" s="10">
        <f t="shared" si="1"/>
        <v>2017</v>
      </c>
      <c r="Z29" s="10">
        <f t="shared" si="1"/>
        <v>2018</v>
      </c>
      <c r="AA29" s="10">
        <f t="shared" si="1"/>
        <v>2019</v>
      </c>
      <c r="AB29" s="10">
        <f t="shared" si="1"/>
        <v>2020</v>
      </c>
      <c r="AC29" s="10">
        <f t="shared" si="1"/>
        <v>2021</v>
      </c>
      <c r="AD29" s="10">
        <f t="shared" si="1"/>
        <v>2022</v>
      </c>
    </row>
    <row r="30" spans="1:30" ht="14.1" customHeight="1" x14ac:dyDescent="0.2">
      <c r="A30" s="49"/>
      <c r="B30" s="11" t="s">
        <v>27</v>
      </c>
      <c r="C30" s="6">
        <f>AVERAGE(C2:C13)</f>
        <v>3.2258333333333326E-2</v>
      </c>
      <c r="D30" s="6">
        <f t="shared" ref="D30:V30" si="2">AVERAGE(D2:D13)</f>
        <v>2.0391666666666666E-2</v>
      </c>
      <c r="E30" s="6">
        <f t="shared" si="2"/>
        <v>1.8625000000000003E-2</v>
      </c>
      <c r="F30" s="6">
        <f t="shared" si="2"/>
        <v>2.1316666666666668E-2</v>
      </c>
      <c r="G30" s="6">
        <f t="shared" si="2"/>
        <v>1.918333333333333E-2</v>
      </c>
      <c r="H30" s="6">
        <f t="shared" si="2"/>
        <v>1.3491666666666666E-2</v>
      </c>
      <c r="I30" s="6">
        <f t="shared" si="2"/>
        <v>1.34E-2</v>
      </c>
      <c r="J30" s="6">
        <f t="shared" si="2"/>
        <v>1.4716666666666664E-2</v>
      </c>
      <c r="K30" s="6">
        <f t="shared" si="2"/>
        <v>1.7633333333333331E-2</v>
      </c>
      <c r="L30" s="6">
        <f t="shared" si="2"/>
        <v>1.2616666666666667E-2</v>
      </c>
      <c r="M30" s="6">
        <f t="shared" si="2"/>
        <v>1.4633333333333333E-2</v>
      </c>
      <c r="N30" s="8">
        <f t="shared" si="2"/>
        <v>1.1775000000000001E-2</v>
      </c>
      <c r="O30" s="8">
        <f t="shared" si="2"/>
        <v>9.3750000000000014E-3</v>
      </c>
      <c r="P30" s="8">
        <f t="shared" si="2"/>
        <v>9.8499999999999994E-3</v>
      </c>
      <c r="Q30" s="8">
        <f t="shared" si="2"/>
        <v>7.9166666666666673E-3</v>
      </c>
      <c r="R30" s="8">
        <f t="shared" si="2"/>
        <v>7.8083333333333329E-3</v>
      </c>
      <c r="S30" s="8">
        <f t="shared" si="2"/>
        <v>9.1999999999999998E-3</v>
      </c>
      <c r="T30" s="8">
        <f t="shared" si="2"/>
        <v>6.8083333333333338E-3</v>
      </c>
      <c r="U30" s="8">
        <f t="shared" si="2"/>
        <v>6.6000000000000008E-3</v>
      </c>
      <c r="V30" s="8">
        <f t="shared" si="2"/>
        <v>8.6666666666666663E-3</v>
      </c>
      <c r="W30" s="8">
        <f>AVERAGE(W2:W13)</f>
        <v>1.0450000000000001E-2</v>
      </c>
      <c r="X30" s="8">
        <f>AVERAGE(X2:X13)</f>
        <v>1.0999999999999998E-2</v>
      </c>
      <c r="Y30" s="8">
        <f>IF(SUM(Y2:Y13)=0,0,AVERAGE(Y2:Y13))</f>
        <v>7.9416666666666681E-3</v>
      </c>
      <c r="Z30" s="8">
        <f>IF(SUM(Z2:Z13)=0,0,AVERAGE(Z2:Z13))</f>
        <v>5.2000000000000006E-3</v>
      </c>
      <c r="AA30" s="8">
        <f t="shared" ref="AA30:AC30" si="3">IF(SUM(AA2:AA13)=0,0,AVERAGE(AA2:AA13))</f>
        <v>4.8249999999999994E-3</v>
      </c>
      <c r="AB30" s="8">
        <f t="shared" si="3"/>
        <v>2.2666666666666668E-3</v>
      </c>
      <c r="AC30" s="8">
        <f t="shared" si="3"/>
        <v>3.6250000000000002E-3</v>
      </c>
      <c r="AD30" s="8">
        <f t="shared" ref="AD30" si="4">IF(SUM(AD2:AD13)=0,0,AVERAGE(AD2:AD13))</f>
        <v>0</v>
      </c>
    </row>
  </sheetData>
  <mergeCells count="3">
    <mergeCell ref="A1:A13"/>
    <mergeCell ref="A15:A27"/>
    <mergeCell ref="A29:A30"/>
  </mergeCells>
  <conditionalFormatting sqref="C16:U27">
    <cfRule type="cellIs" dxfId="46" priority="65" stopIfTrue="1" operator="lessThanOrEqual">
      <formula>0.01</formula>
    </cfRule>
  </conditionalFormatting>
  <conditionalFormatting sqref="V16:V27">
    <cfRule type="cellIs" dxfId="45" priority="64" stopIfTrue="1" operator="lessThanOrEqual">
      <formula>0.01</formula>
    </cfRule>
  </conditionalFormatting>
  <conditionalFormatting sqref="W16">
    <cfRule type="cellIs" dxfId="44" priority="63" stopIfTrue="1" operator="lessThanOrEqual">
      <formula>0.01</formula>
    </cfRule>
  </conditionalFormatting>
  <conditionalFormatting sqref="W17:W27">
    <cfRule type="cellIs" dxfId="43" priority="62" stopIfTrue="1" operator="lessThanOrEqual">
      <formula>0.01</formula>
    </cfRule>
  </conditionalFormatting>
  <conditionalFormatting sqref="X16">
    <cfRule type="cellIs" dxfId="42" priority="61" stopIfTrue="1" operator="lessThanOrEqual">
      <formula>0.01</formula>
    </cfRule>
  </conditionalFormatting>
  <conditionalFormatting sqref="X16:X27">
    <cfRule type="cellIs" dxfId="41" priority="57" stopIfTrue="1" operator="lessThanOrEqual">
      <formula>0.01</formula>
    </cfRule>
    <cfRule type="cellIs" dxfId="40" priority="58" stopIfTrue="1" operator="lessThanOrEqual">
      <formula>0.01</formula>
    </cfRule>
    <cfRule type="cellIs" dxfId="39" priority="59" stopIfTrue="1" operator="lessThanOrEqual">
      <formula>0.01</formula>
    </cfRule>
    <cfRule type="cellIs" dxfId="38" priority="60" stopIfTrue="1" operator="lessThanOrEqual">
      <formula>0.01</formula>
    </cfRule>
  </conditionalFormatting>
  <conditionalFormatting sqref="W17:W27">
    <cfRule type="cellIs" dxfId="37" priority="56" stopIfTrue="1" operator="lessThanOrEqual">
      <formula>0.01</formula>
    </cfRule>
  </conditionalFormatting>
  <conditionalFormatting sqref="W17:W27">
    <cfRule type="cellIs" dxfId="36" priority="55" stopIfTrue="1" operator="lessThanOrEqual">
      <formula>0.01</formula>
    </cfRule>
  </conditionalFormatting>
  <conditionalFormatting sqref="Y16:AC16">
    <cfRule type="cellIs" dxfId="35" priority="54" stopIfTrue="1" operator="lessThanOrEqual">
      <formula>0.01</formula>
    </cfRule>
  </conditionalFormatting>
  <conditionalFormatting sqref="Y17:AC27">
    <cfRule type="cellIs" dxfId="34" priority="53" stopIfTrue="1" operator="lessThanOrEqual">
      <formula>0.01</formula>
    </cfRule>
  </conditionalFormatting>
  <conditionalFormatting sqref="Y16:AC27">
    <cfRule type="cellIs" dxfId="33" priority="52" stopIfTrue="1" operator="lessThanOrEqual">
      <formula>0.01</formula>
    </cfRule>
  </conditionalFormatting>
  <conditionalFormatting sqref="Y17:AC27">
    <cfRule type="cellIs" dxfId="32" priority="51" stopIfTrue="1" operator="lessThanOrEqual">
      <formula>0.01</formula>
    </cfRule>
  </conditionalFormatting>
  <conditionalFormatting sqref="Y17:AC27">
    <cfRule type="cellIs" dxfId="31" priority="50" stopIfTrue="1" operator="lessThanOrEqual">
      <formula>0.01</formula>
    </cfRule>
  </conditionalFormatting>
  <conditionalFormatting sqref="Y17:AC27">
    <cfRule type="cellIs" dxfId="30" priority="49" stopIfTrue="1" operator="lessThanOrEqual">
      <formula>0.01</formula>
    </cfRule>
  </conditionalFormatting>
  <conditionalFormatting sqref="Y16:AC16">
    <cfRule type="cellIs" dxfId="29" priority="48" stopIfTrue="1" operator="lessThanOrEqual">
      <formula>0.01</formula>
    </cfRule>
  </conditionalFormatting>
  <conditionalFormatting sqref="Y17:AC27">
    <cfRule type="cellIs" dxfId="28" priority="47" stopIfTrue="1" operator="lessThanOrEqual">
      <formula>0.01</formula>
    </cfRule>
  </conditionalFormatting>
  <conditionalFormatting sqref="Y16:AC27">
    <cfRule type="cellIs" dxfId="27" priority="46" stopIfTrue="1" operator="lessThanOrEqual">
      <formula>0.01</formula>
    </cfRule>
  </conditionalFormatting>
  <conditionalFormatting sqref="Y17:AC27">
    <cfRule type="cellIs" dxfId="26" priority="45" stopIfTrue="1" operator="lessThanOrEqual">
      <formula>0.01</formula>
    </cfRule>
  </conditionalFormatting>
  <conditionalFormatting sqref="Y17:AC27">
    <cfRule type="cellIs" dxfId="25" priority="44" stopIfTrue="1" operator="lessThanOrEqual">
      <formula>0.01</formula>
    </cfRule>
  </conditionalFormatting>
  <conditionalFormatting sqref="Y17:AC27">
    <cfRule type="cellIs" dxfId="24" priority="43" stopIfTrue="1" operator="lessThanOrEqual">
      <formula>0.01</formula>
    </cfRule>
  </conditionalFormatting>
  <conditionalFormatting sqref="Y17:AC27">
    <cfRule type="cellIs" dxfId="23" priority="42" stopIfTrue="1" operator="lessThanOrEqual">
      <formula>0.01</formula>
    </cfRule>
  </conditionalFormatting>
  <conditionalFormatting sqref="Y16:AC16">
    <cfRule type="cellIs" dxfId="22" priority="41" stopIfTrue="1" operator="lessThanOrEqual">
      <formula>0.01</formula>
    </cfRule>
  </conditionalFormatting>
  <conditionalFormatting sqref="Y17:AC27">
    <cfRule type="cellIs" dxfId="21" priority="40" stopIfTrue="1" operator="lessThanOrEqual">
      <formula>0.01</formula>
    </cfRule>
  </conditionalFormatting>
  <conditionalFormatting sqref="Y16:AC27">
    <cfRule type="cellIs" dxfId="20" priority="39" stopIfTrue="1" operator="lessThanOrEqual">
      <formula>0.01</formula>
    </cfRule>
  </conditionalFormatting>
  <conditionalFormatting sqref="Y17:AC27">
    <cfRule type="cellIs" dxfId="19" priority="38" stopIfTrue="1" operator="lessThanOrEqual">
      <formula>0.01</formula>
    </cfRule>
  </conditionalFormatting>
  <conditionalFormatting sqref="Y17:AC27">
    <cfRule type="cellIs" dxfId="18" priority="37" stopIfTrue="1" operator="lessThanOrEqual">
      <formula>0.01</formula>
    </cfRule>
  </conditionalFormatting>
  <conditionalFormatting sqref="AD16">
    <cfRule type="cellIs" dxfId="17" priority="18" stopIfTrue="1" operator="lessThanOrEqual">
      <formula>0.01</formula>
    </cfRule>
  </conditionalFormatting>
  <conditionalFormatting sqref="AD17:AD27">
    <cfRule type="cellIs" dxfId="16" priority="17" stopIfTrue="1" operator="lessThanOrEqual">
      <formula>0.01</formula>
    </cfRule>
  </conditionalFormatting>
  <conditionalFormatting sqref="AD16:AD27">
    <cfRule type="cellIs" dxfId="15" priority="16" stopIfTrue="1" operator="lessThanOrEqual">
      <formula>0.01</formula>
    </cfRule>
  </conditionalFormatting>
  <conditionalFormatting sqref="AD17:AD27">
    <cfRule type="cellIs" dxfId="14" priority="15" stopIfTrue="1" operator="lessThanOrEqual">
      <formula>0.01</formula>
    </cfRule>
  </conditionalFormatting>
  <conditionalFormatting sqref="AD17:AD27">
    <cfRule type="cellIs" dxfId="13" priority="14" stopIfTrue="1" operator="lessThanOrEqual">
      <formula>0.01</formula>
    </cfRule>
  </conditionalFormatting>
  <conditionalFormatting sqref="AD17:AD27">
    <cfRule type="cellIs" dxfId="12" priority="13" stopIfTrue="1" operator="lessThanOrEqual">
      <formula>0.01</formula>
    </cfRule>
  </conditionalFormatting>
  <conditionalFormatting sqref="AD16">
    <cfRule type="cellIs" dxfId="11" priority="12" stopIfTrue="1" operator="lessThanOrEqual">
      <formula>0.01</formula>
    </cfRule>
  </conditionalFormatting>
  <conditionalFormatting sqref="AD17:AD27">
    <cfRule type="cellIs" dxfId="10" priority="11" stopIfTrue="1" operator="lessThanOrEqual">
      <formula>0.01</formula>
    </cfRule>
  </conditionalFormatting>
  <conditionalFormatting sqref="AD16:AD27">
    <cfRule type="cellIs" dxfId="9" priority="10" stopIfTrue="1" operator="lessThanOrEqual">
      <formula>0.01</formula>
    </cfRule>
  </conditionalFormatting>
  <conditionalFormatting sqref="AD17:AD27">
    <cfRule type="cellIs" dxfId="8" priority="9" stopIfTrue="1" operator="lessThanOrEqual">
      <formula>0.01</formula>
    </cfRule>
  </conditionalFormatting>
  <conditionalFormatting sqref="AD17:AD27">
    <cfRule type="cellIs" dxfId="7" priority="8" stopIfTrue="1" operator="lessThanOrEqual">
      <formula>0.01</formula>
    </cfRule>
  </conditionalFormatting>
  <conditionalFormatting sqref="AD17:AD27">
    <cfRule type="cellIs" dxfId="6" priority="7" stopIfTrue="1" operator="lessThanOrEqual">
      <formula>0.01</formula>
    </cfRule>
  </conditionalFormatting>
  <conditionalFormatting sqref="AD17:AD27">
    <cfRule type="cellIs" dxfId="5" priority="6" stopIfTrue="1" operator="lessThanOrEqual">
      <formula>0.01</formula>
    </cfRule>
  </conditionalFormatting>
  <conditionalFormatting sqref="AD16">
    <cfRule type="cellIs" dxfId="4" priority="5" stopIfTrue="1" operator="lessThanOrEqual">
      <formula>0.01</formula>
    </cfRule>
  </conditionalFormatting>
  <conditionalFormatting sqref="AD17:AD27">
    <cfRule type="cellIs" dxfId="3" priority="4" stopIfTrue="1" operator="lessThanOrEqual">
      <formula>0.01</formula>
    </cfRule>
  </conditionalFormatting>
  <conditionalFormatting sqref="AD16:AD27">
    <cfRule type="cellIs" dxfId="2" priority="3" stopIfTrue="1" operator="lessThanOrEqual">
      <formula>0.01</formula>
    </cfRule>
  </conditionalFormatting>
  <conditionalFormatting sqref="AD17:AD27">
    <cfRule type="cellIs" dxfId="1" priority="2" stopIfTrue="1" operator="lessThanOrEqual">
      <formula>0.01</formula>
    </cfRule>
  </conditionalFormatting>
  <conditionalFormatting sqref="AD17:AD27">
    <cfRule type="cellIs" dxfId="0" priority="1" stopIfTrue="1" operator="lessThanOrEqual">
      <formula>0.01</formula>
    </cfRule>
  </conditionalFormatting>
  <dataValidations disablePrompts="1" count="1">
    <dataValidation type="whole" allowBlank="1" showInputMessage="1" showErrorMessage="1" errorTitle="Atenção!!!" error="Celulas não permitidas alterações.." sqref="WVD983053:WVX983065 IR15:JL27 SN15:TH27 ACJ15:ADD27 AMF15:AMZ27 AWB15:AWV27 BFX15:BGR27 BPT15:BQN27 BZP15:CAJ27 CJL15:CKF27 CTH15:CUB27 DDD15:DDX27 DMZ15:DNT27 DWV15:DXP27 EGR15:EHL27 EQN15:ERH27 FAJ15:FBD27 FKF15:FKZ27 FUB15:FUV27 GDX15:GER27 GNT15:GON27 GXP15:GYJ27 HHL15:HIF27 HRH15:HSB27 IBD15:IBX27 IKZ15:ILT27 IUV15:IVP27 JER15:JFL27 JON15:JPH27 JYJ15:JZD27 KIF15:KIZ27 KSB15:KSV27 LBX15:LCR27 LLT15:LMN27 LVP15:LWJ27 MFL15:MGF27 MPH15:MQB27 MZD15:MZX27 NIZ15:NJT27 NSV15:NTP27 OCR15:ODL27 OMN15:ONH27 OWJ15:OXD27 PGF15:PGZ27 PQB15:PQV27 PZX15:QAR27 QJT15:QKN27 QTP15:QUJ27 RDL15:REF27 RNH15:ROB27 RXD15:RXX27 SGZ15:SHT27 SQV15:SRP27 TAR15:TBL27 TKN15:TLH27 TUJ15:TVD27 UEF15:UEZ27 UOB15:UOV27 UXX15:UYR27 VHT15:VIN27 VRP15:VSJ27 WBL15:WCF27 WLH15:WMB27 WVD15:WVX27 B65549:V65561 IR65549:JL65561 SN65549:TH65561 ACJ65549:ADD65561 AMF65549:AMZ65561 AWB65549:AWV65561 BFX65549:BGR65561 BPT65549:BQN65561 BZP65549:CAJ65561 CJL65549:CKF65561 CTH65549:CUB65561 DDD65549:DDX65561 DMZ65549:DNT65561 DWV65549:DXP65561 EGR65549:EHL65561 EQN65549:ERH65561 FAJ65549:FBD65561 FKF65549:FKZ65561 FUB65549:FUV65561 GDX65549:GER65561 GNT65549:GON65561 GXP65549:GYJ65561 HHL65549:HIF65561 HRH65549:HSB65561 IBD65549:IBX65561 IKZ65549:ILT65561 IUV65549:IVP65561 JER65549:JFL65561 JON65549:JPH65561 JYJ65549:JZD65561 KIF65549:KIZ65561 KSB65549:KSV65561 LBX65549:LCR65561 LLT65549:LMN65561 LVP65549:LWJ65561 MFL65549:MGF65561 MPH65549:MQB65561 MZD65549:MZX65561 NIZ65549:NJT65561 NSV65549:NTP65561 OCR65549:ODL65561 OMN65549:ONH65561 OWJ65549:OXD65561 PGF65549:PGZ65561 PQB65549:PQV65561 PZX65549:QAR65561 QJT65549:QKN65561 QTP65549:QUJ65561 RDL65549:REF65561 RNH65549:ROB65561 RXD65549:RXX65561 SGZ65549:SHT65561 SQV65549:SRP65561 TAR65549:TBL65561 TKN65549:TLH65561 TUJ65549:TVD65561 UEF65549:UEZ65561 UOB65549:UOV65561 UXX65549:UYR65561 VHT65549:VIN65561 VRP65549:VSJ65561 WBL65549:WCF65561 WLH65549:WMB65561 WVD65549:WVX65561 B131085:V131097 IR131085:JL131097 SN131085:TH131097 ACJ131085:ADD131097 AMF131085:AMZ131097 AWB131085:AWV131097 BFX131085:BGR131097 BPT131085:BQN131097 BZP131085:CAJ131097 CJL131085:CKF131097 CTH131085:CUB131097 DDD131085:DDX131097 DMZ131085:DNT131097 DWV131085:DXP131097 EGR131085:EHL131097 EQN131085:ERH131097 FAJ131085:FBD131097 FKF131085:FKZ131097 FUB131085:FUV131097 GDX131085:GER131097 GNT131085:GON131097 GXP131085:GYJ131097 HHL131085:HIF131097 HRH131085:HSB131097 IBD131085:IBX131097 IKZ131085:ILT131097 IUV131085:IVP131097 JER131085:JFL131097 JON131085:JPH131097 JYJ131085:JZD131097 KIF131085:KIZ131097 KSB131085:KSV131097 LBX131085:LCR131097 LLT131085:LMN131097 LVP131085:LWJ131097 MFL131085:MGF131097 MPH131085:MQB131097 MZD131085:MZX131097 NIZ131085:NJT131097 NSV131085:NTP131097 OCR131085:ODL131097 OMN131085:ONH131097 OWJ131085:OXD131097 PGF131085:PGZ131097 PQB131085:PQV131097 PZX131085:QAR131097 QJT131085:QKN131097 QTP131085:QUJ131097 RDL131085:REF131097 RNH131085:ROB131097 RXD131085:RXX131097 SGZ131085:SHT131097 SQV131085:SRP131097 TAR131085:TBL131097 TKN131085:TLH131097 TUJ131085:TVD131097 UEF131085:UEZ131097 UOB131085:UOV131097 UXX131085:UYR131097 VHT131085:VIN131097 VRP131085:VSJ131097 WBL131085:WCF131097 WLH131085:WMB131097 WVD131085:WVX131097 B196621:V196633 IR196621:JL196633 SN196621:TH196633 ACJ196621:ADD196633 AMF196621:AMZ196633 AWB196621:AWV196633 BFX196621:BGR196633 BPT196621:BQN196633 BZP196621:CAJ196633 CJL196621:CKF196633 CTH196621:CUB196633 DDD196621:DDX196633 DMZ196621:DNT196633 DWV196621:DXP196633 EGR196621:EHL196633 EQN196621:ERH196633 FAJ196621:FBD196633 FKF196621:FKZ196633 FUB196621:FUV196633 GDX196621:GER196633 GNT196621:GON196633 GXP196621:GYJ196633 HHL196621:HIF196633 HRH196621:HSB196633 IBD196621:IBX196633 IKZ196621:ILT196633 IUV196621:IVP196633 JER196621:JFL196633 JON196621:JPH196633 JYJ196621:JZD196633 KIF196621:KIZ196633 KSB196621:KSV196633 LBX196621:LCR196633 LLT196621:LMN196633 LVP196621:LWJ196633 MFL196621:MGF196633 MPH196621:MQB196633 MZD196621:MZX196633 NIZ196621:NJT196633 NSV196621:NTP196633 OCR196621:ODL196633 OMN196621:ONH196633 OWJ196621:OXD196633 PGF196621:PGZ196633 PQB196621:PQV196633 PZX196621:QAR196633 QJT196621:QKN196633 QTP196621:QUJ196633 RDL196621:REF196633 RNH196621:ROB196633 RXD196621:RXX196633 SGZ196621:SHT196633 SQV196621:SRP196633 TAR196621:TBL196633 TKN196621:TLH196633 TUJ196621:TVD196633 UEF196621:UEZ196633 UOB196621:UOV196633 UXX196621:UYR196633 VHT196621:VIN196633 VRP196621:VSJ196633 WBL196621:WCF196633 WLH196621:WMB196633 WVD196621:WVX196633 B262157:V262169 IR262157:JL262169 SN262157:TH262169 ACJ262157:ADD262169 AMF262157:AMZ262169 AWB262157:AWV262169 BFX262157:BGR262169 BPT262157:BQN262169 BZP262157:CAJ262169 CJL262157:CKF262169 CTH262157:CUB262169 DDD262157:DDX262169 DMZ262157:DNT262169 DWV262157:DXP262169 EGR262157:EHL262169 EQN262157:ERH262169 FAJ262157:FBD262169 FKF262157:FKZ262169 FUB262157:FUV262169 GDX262157:GER262169 GNT262157:GON262169 GXP262157:GYJ262169 HHL262157:HIF262169 HRH262157:HSB262169 IBD262157:IBX262169 IKZ262157:ILT262169 IUV262157:IVP262169 JER262157:JFL262169 JON262157:JPH262169 JYJ262157:JZD262169 KIF262157:KIZ262169 KSB262157:KSV262169 LBX262157:LCR262169 LLT262157:LMN262169 LVP262157:LWJ262169 MFL262157:MGF262169 MPH262157:MQB262169 MZD262157:MZX262169 NIZ262157:NJT262169 NSV262157:NTP262169 OCR262157:ODL262169 OMN262157:ONH262169 OWJ262157:OXD262169 PGF262157:PGZ262169 PQB262157:PQV262169 PZX262157:QAR262169 QJT262157:QKN262169 QTP262157:QUJ262169 RDL262157:REF262169 RNH262157:ROB262169 RXD262157:RXX262169 SGZ262157:SHT262169 SQV262157:SRP262169 TAR262157:TBL262169 TKN262157:TLH262169 TUJ262157:TVD262169 UEF262157:UEZ262169 UOB262157:UOV262169 UXX262157:UYR262169 VHT262157:VIN262169 VRP262157:VSJ262169 WBL262157:WCF262169 WLH262157:WMB262169 WVD262157:WVX262169 B327693:V327705 IR327693:JL327705 SN327693:TH327705 ACJ327693:ADD327705 AMF327693:AMZ327705 AWB327693:AWV327705 BFX327693:BGR327705 BPT327693:BQN327705 BZP327693:CAJ327705 CJL327693:CKF327705 CTH327693:CUB327705 DDD327693:DDX327705 DMZ327693:DNT327705 DWV327693:DXP327705 EGR327693:EHL327705 EQN327693:ERH327705 FAJ327693:FBD327705 FKF327693:FKZ327705 FUB327693:FUV327705 GDX327693:GER327705 GNT327693:GON327705 GXP327693:GYJ327705 HHL327693:HIF327705 HRH327693:HSB327705 IBD327693:IBX327705 IKZ327693:ILT327705 IUV327693:IVP327705 JER327693:JFL327705 JON327693:JPH327705 JYJ327693:JZD327705 KIF327693:KIZ327705 KSB327693:KSV327705 LBX327693:LCR327705 LLT327693:LMN327705 LVP327693:LWJ327705 MFL327693:MGF327705 MPH327693:MQB327705 MZD327693:MZX327705 NIZ327693:NJT327705 NSV327693:NTP327705 OCR327693:ODL327705 OMN327693:ONH327705 OWJ327693:OXD327705 PGF327693:PGZ327705 PQB327693:PQV327705 PZX327693:QAR327705 QJT327693:QKN327705 QTP327693:QUJ327705 RDL327693:REF327705 RNH327693:ROB327705 RXD327693:RXX327705 SGZ327693:SHT327705 SQV327693:SRP327705 TAR327693:TBL327705 TKN327693:TLH327705 TUJ327693:TVD327705 UEF327693:UEZ327705 UOB327693:UOV327705 UXX327693:UYR327705 VHT327693:VIN327705 VRP327693:VSJ327705 WBL327693:WCF327705 WLH327693:WMB327705 WVD327693:WVX327705 B393229:V393241 IR393229:JL393241 SN393229:TH393241 ACJ393229:ADD393241 AMF393229:AMZ393241 AWB393229:AWV393241 BFX393229:BGR393241 BPT393229:BQN393241 BZP393229:CAJ393241 CJL393229:CKF393241 CTH393229:CUB393241 DDD393229:DDX393241 DMZ393229:DNT393241 DWV393229:DXP393241 EGR393229:EHL393241 EQN393229:ERH393241 FAJ393229:FBD393241 FKF393229:FKZ393241 FUB393229:FUV393241 GDX393229:GER393241 GNT393229:GON393241 GXP393229:GYJ393241 HHL393229:HIF393241 HRH393229:HSB393241 IBD393229:IBX393241 IKZ393229:ILT393241 IUV393229:IVP393241 JER393229:JFL393241 JON393229:JPH393241 JYJ393229:JZD393241 KIF393229:KIZ393241 KSB393229:KSV393241 LBX393229:LCR393241 LLT393229:LMN393241 LVP393229:LWJ393241 MFL393229:MGF393241 MPH393229:MQB393241 MZD393229:MZX393241 NIZ393229:NJT393241 NSV393229:NTP393241 OCR393229:ODL393241 OMN393229:ONH393241 OWJ393229:OXD393241 PGF393229:PGZ393241 PQB393229:PQV393241 PZX393229:QAR393241 QJT393229:QKN393241 QTP393229:QUJ393241 RDL393229:REF393241 RNH393229:ROB393241 RXD393229:RXX393241 SGZ393229:SHT393241 SQV393229:SRP393241 TAR393229:TBL393241 TKN393229:TLH393241 TUJ393229:TVD393241 UEF393229:UEZ393241 UOB393229:UOV393241 UXX393229:UYR393241 VHT393229:VIN393241 VRP393229:VSJ393241 WBL393229:WCF393241 WLH393229:WMB393241 WVD393229:WVX393241 B458765:V458777 IR458765:JL458777 SN458765:TH458777 ACJ458765:ADD458777 AMF458765:AMZ458777 AWB458765:AWV458777 BFX458765:BGR458777 BPT458765:BQN458777 BZP458765:CAJ458777 CJL458765:CKF458777 CTH458765:CUB458777 DDD458765:DDX458777 DMZ458765:DNT458777 DWV458765:DXP458777 EGR458765:EHL458777 EQN458765:ERH458777 FAJ458765:FBD458777 FKF458765:FKZ458777 FUB458765:FUV458777 GDX458765:GER458777 GNT458765:GON458777 GXP458765:GYJ458777 HHL458765:HIF458777 HRH458765:HSB458777 IBD458765:IBX458777 IKZ458765:ILT458777 IUV458765:IVP458777 JER458765:JFL458777 JON458765:JPH458777 JYJ458765:JZD458777 KIF458765:KIZ458777 KSB458765:KSV458777 LBX458765:LCR458777 LLT458765:LMN458777 LVP458765:LWJ458777 MFL458765:MGF458777 MPH458765:MQB458777 MZD458765:MZX458777 NIZ458765:NJT458777 NSV458765:NTP458777 OCR458765:ODL458777 OMN458765:ONH458777 OWJ458765:OXD458777 PGF458765:PGZ458777 PQB458765:PQV458777 PZX458765:QAR458777 QJT458765:QKN458777 QTP458765:QUJ458777 RDL458765:REF458777 RNH458765:ROB458777 RXD458765:RXX458777 SGZ458765:SHT458777 SQV458765:SRP458777 TAR458765:TBL458777 TKN458765:TLH458777 TUJ458765:TVD458777 UEF458765:UEZ458777 UOB458765:UOV458777 UXX458765:UYR458777 VHT458765:VIN458777 VRP458765:VSJ458777 WBL458765:WCF458777 WLH458765:WMB458777 WVD458765:WVX458777 B524301:V524313 IR524301:JL524313 SN524301:TH524313 ACJ524301:ADD524313 AMF524301:AMZ524313 AWB524301:AWV524313 BFX524301:BGR524313 BPT524301:BQN524313 BZP524301:CAJ524313 CJL524301:CKF524313 CTH524301:CUB524313 DDD524301:DDX524313 DMZ524301:DNT524313 DWV524301:DXP524313 EGR524301:EHL524313 EQN524301:ERH524313 FAJ524301:FBD524313 FKF524301:FKZ524313 FUB524301:FUV524313 GDX524301:GER524313 GNT524301:GON524313 GXP524301:GYJ524313 HHL524301:HIF524313 HRH524301:HSB524313 IBD524301:IBX524313 IKZ524301:ILT524313 IUV524301:IVP524313 JER524301:JFL524313 JON524301:JPH524313 JYJ524301:JZD524313 KIF524301:KIZ524313 KSB524301:KSV524313 LBX524301:LCR524313 LLT524301:LMN524313 LVP524301:LWJ524313 MFL524301:MGF524313 MPH524301:MQB524313 MZD524301:MZX524313 NIZ524301:NJT524313 NSV524301:NTP524313 OCR524301:ODL524313 OMN524301:ONH524313 OWJ524301:OXD524313 PGF524301:PGZ524313 PQB524301:PQV524313 PZX524301:QAR524313 QJT524301:QKN524313 QTP524301:QUJ524313 RDL524301:REF524313 RNH524301:ROB524313 RXD524301:RXX524313 SGZ524301:SHT524313 SQV524301:SRP524313 TAR524301:TBL524313 TKN524301:TLH524313 TUJ524301:TVD524313 UEF524301:UEZ524313 UOB524301:UOV524313 UXX524301:UYR524313 VHT524301:VIN524313 VRP524301:VSJ524313 WBL524301:WCF524313 WLH524301:WMB524313 WVD524301:WVX524313 B589837:V589849 IR589837:JL589849 SN589837:TH589849 ACJ589837:ADD589849 AMF589837:AMZ589849 AWB589837:AWV589849 BFX589837:BGR589849 BPT589837:BQN589849 BZP589837:CAJ589849 CJL589837:CKF589849 CTH589837:CUB589849 DDD589837:DDX589849 DMZ589837:DNT589849 DWV589837:DXP589849 EGR589837:EHL589849 EQN589837:ERH589849 FAJ589837:FBD589849 FKF589837:FKZ589849 FUB589837:FUV589849 GDX589837:GER589849 GNT589837:GON589849 GXP589837:GYJ589849 HHL589837:HIF589849 HRH589837:HSB589849 IBD589837:IBX589849 IKZ589837:ILT589849 IUV589837:IVP589849 JER589837:JFL589849 JON589837:JPH589849 JYJ589837:JZD589849 KIF589837:KIZ589849 KSB589837:KSV589849 LBX589837:LCR589849 LLT589837:LMN589849 LVP589837:LWJ589849 MFL589837:MGF589849 MPH589837:MQB589849 MZD589837:MZX589849 NIZ589837:NJT589849 NSV589837:NTP589849 OCR589837:ODL589849 OMN589837:ONH589849 OWJ589837:OXD589849 PGF589837:PGZ589849 PQB589837:PQV589849 PZX589837:QAR589849 QJT589837:QKN589849 QTP589837:QUJ589849 RDL589837:REF589849 RNH589837:ROB589849 RXD589837:RXX589849 SGZ589837:SHT589849 SQV589837:SRP589849 TAR589837:TBL589849 TKN589837:TLH589849 TUJ589837:TVD589849 UEF589837:UEZ589849 UOB589837:UOV589849 UXX589837:UYR589849 VHT589837:VIN589849 VRP589837:VSJ589849 WBL589837:WCF589849 WLH589837:WMB589849 WVD589837:WVX589849 B655373:V655385 IR655373:JL655385 SN655373:TH655385 ACJ655373:ADD655385 AMF655373:AMZ655385 AWB655373:AWV655385 BFX655373:BGR655385 BPT655373:BQN655385 BZP655373:CAJ655385 CJL655373:CKF655385 CTH655373:CUB655385 DDD655373:DDX655385 DMZ655373:DNT655385 DWV655373:DXP655385 EGR655373:EHL655385 EQN655373:ERH655385 FAJ655373:FBD655385 FKF655373:FKZ655385 FUB655373:FUV655385 GDX655373:GER655385 GNT655373:GON655385 GXP655373:GYJ655385 HHL655373:HIF655385 HRH655373:HSB655385 IBD655373:IBX655385 IKZ655373:ILT655385 IUV655373:IVP655385 JER655373:JFL655385 JON655373:JPH655385 JYJ655373:JZD655385 KIF655373:KIZ655385 KSB655373:KSV655385 LBX655373:LCR655385 LLT655373:LMN655385 LVP655373:LWJ655385 MFL655373:MGF655385 MPH655373:MQB655385 MZD655373:MZX655385 NIZ655373:NJT655385 NSV655373:NTP655385 OCR655373:ODL655385 OMN655373:ONH655385 OWJ655373:OXD655385 PGF655373:PGZ655385 PQB655373:PQV655385 PZX655373:QAR655385 QJT655373:QKN655385 QTP655373:QUJ655385 RDL655373:REF655385 RNH655373:ROB655385 RXD655373:RXX655385 SGZ655373:SHT655385 SQV655373:SRP655385 TAR655373:TBL655385 TKN655373:TLH655385 TUJ655373:TVD655385 UEF655373:UEZ655385 UOB655373:UOV655385 UXX655373:UYR655385 VHT655373:VIN655385 VRP655373:VSJ655385 WBL655373:WCF655385 WLH655373:WMB655385 WVD655373:WVX655385 B720909:V720921 IR720909:JL720921 SN720909:TH720921 ACJ720909:ADD720921 AMF720909:AMZ720921 AWB720909:AWV720921 BFX720909:BGR720921 BPT720909:BQN720921 BZP720909:CAJ720921 CJL720909:CKF720921 CTH720909:CUB720921 DDD720909:DDX720921 DMZ720909:DNT720921 DWV720909:DXP720921 EGR720909:EHL720921 EQN720909:ERH720921 FAJ720909:FBD720921 FKF720909:FKZ720921 FUB720909:FUV720921 GDX720909:GER720921 GNT720909:GON720921 GXP720909:GYJ720921 HHL720909:HIF720921 HRH720909:HSB720921 IBD720909:IBX720921 IKZ720909:ILT720921 IUV720909:IVP720921 JER720909:JFL720921 JON720909:JPH720921 JYJ720909:JZD720921 KIF720909:KIZ720921 KSB720909:KSV720921 LBX720909:LCR720921 LLT720909:LMN720921 LVP720909:LWJ720921 MFL720909:MGF720921 MPH720909:MQB720921 MZD720909:MZX720921 NIZ720909:NJT720921 NSV720909:NTP720921 OCR720909:ODL720921 OMN720909:ONH720921 OWJ720909:OXD720921 PGF720909:PGZ720921 PQB720909:PQV720921 PZX720909:QAR720921 QJT720909:QKN720921 QTP720909:QUJ720921 RDL720909:REF720921 RNH720909:ROB720921 RXD720909:RXX720921 SGZ720909:SHT720921 SQV720909:SRP720921 TAR720909:TBL720921 TKN720909:TLH720921 TUJ720909:TVD720921 UEF720909:UEZ720921 UOB720909:UOV720921 UXX720909:UYR720921 VHT720909:VIN720921 VRP720909:VSJ720921 WBL720909:WCF720921 WLH720909:WMB720921 WVD720909:WVX720921 B786445:V786457 IR786445:JL786457 SN786445:TH786457 ACJ786445:ADD786457 AMF786445:AMZ786457 AWB786445:AWV786457 BFX786445:BGR786457 BPT786445:BQN786457 BZP786445:CAJ786457 CJL786445:CKF786457 CTH786445:CUB786457 DDD786445:DDX786457 DMZ786445:DNT786457 DWV786445:DXP786457 EGR786445:EHL786457 EQN786445:ERH786457 FAJ786445:FBD786457 FKF786445:FKZ786457 FUB786445:FUV786457 GDX786445:GER786457 GNT786445:GON786457 GXP786445:GYJ786457 HHL786445:HIF786457 HRH786445:HSB786457 IBD786445:IBX786457 IKZ786445:ILT786457 IUV786445:IVP786457 JER786445:JFL786457 JON786445:JPH786457 JYJ786445:JZD786457 KIF786445:KIZ786457 KSB786445:KSV786457 LBX786445:LCR786457 LLT786445:LMN786457 LVP786445:LWJ786457 MFL786445:MGF786457 MPH786445:MQB786457 MZD786445:MZX786457 NIZ786445:NJT786457 NSV786445:NTP786457 OCR786445:ODL786457 OMN786445:ONH786457 OWJ786445:OXD786457 PGF786445:PGZ786457 PQB786445:PQV786457 PZX786445:QAR786457 QJT786445:QKN786457 QTP786445:QUJ786457 RDL786445:REF786457 RNH786445:ROB786457 RXD786445:RXX786457 SGZ786445:SHT786457 SQV786445:SRP786457 TAR786445:TBL786457 TKN786445:TLH786457 TUJ786445:TVD786457 UEF786445:UEZ786457 UOB786445:UOV786457 UXX786445:UYR786457 VHT786445:VIN786457 VRP786445:VSJ786457 WBL786445:WCF786457 WLH786445:WMB786457 WVD786445:WVX786457 B851981:V851993 IR851981:JL851993 SN851981:TH851993 ACJ851981:ADD851993 AMF851981:AMZ851993 AWB851981:AWV851993 BFX851981:BGR851993 BPT851981:BQN851993 BZP851981:CAJ851993 CJL851981:CKF851993 CTH851981:CUB851993 DDD851981:DDX851993 DMZ851981:DNT851993 DWV851981:DXP851993 EGR851981:EHL851993 EQN851981:ERH851993 FAJ851981:FBD851993 FKF851981:FKZ851993 FUB851981:FUV851993 GDX851981:GER851993 GNT851981:GON851993 GXP851981:GYJ851993 HHL851981:HIF851993 HRH851981:HSB851993 IBD851981:IBX851993 IKZ851981:ILT851993 IUV851981:IVP851993 JER851981:JFL851993 JON851981:JPH851993 JYJ851981:JZD851993 KIF851981:KIZ851993 KSB851981:KSV851993 LBX851981:LCR851993 LLT851981:LMN851993 LVP851981:LWJ851993 MFL851981:MGF851993 MPH851981:MQB851993 MZD851981:MZX851993 NIZ851981:NJT851993 NSV851981:NTP851993 OCR851981:ODL851993 OMN851981:ONH851993 OWJ851981:OXD851993 PGF851981:PGZ851993 PQB851981:PQV851993 PZX851981:QAR851993 QJT851981:QKN851993 QTP851981:QUJ851993 RDL851981:REF851993 RNH851981:ROB851993 RXD851981:RXX851993 SGZ851981:SHT851993 SQV851981:SRP851993 TAR851981:TBL851993 TKN851981:TLH851993 TUJ851981:TVD851993 UEF851981:UEZ851993 UOB851981:UOV851993 UXX851981:UYR851993 VHT851981:VIN851993 VRP851981:VSJ851993 WBL851981:WCF851993 WLH851981:WMB851993 WVD851981:WVX851993 B917517:V917529 IR917517:JL917529 SN917517:TH917529 ACJ917517:ADD917529 AMF917517:AMZ917529 AWB917517:AWV917529 BFX917517:BGR917529 BPT917517:BQN917529 BZP917517:CAJ917529 CJL917517:CKF917529 CTH917517:CUB917529 DDD917517:DDX917529 DMZ917517:DNT917529 DWV917517:DXP917529 EGR917517:EHL917529 EQN917517:ERH917529 FAJ917517:FBD917529 FKF917517:FKZ917529 FUB917517:FUV917529 GDX917517:GER917529 GNT917517:GON917529 GXP917517:GYJ917529 HHL917517:HIF917529 HRH917517:HSB917529 IBD917517:IBX917529 IKZ917517:ILT917529 IUV917517:IVP917529 JER917517:JFL917529 JON917517:JPH917529 JYJ917517:JZD917529 KIF917517:KIZ917529 KSB917517:KSV917529 LBX917517:LCR917529 LLT917517:LMN917529 LVP917517:LWJ917529 MFL917517:MGF917529 MPH917517:MQB917529 MZD917517:MZX917529 NIZ917517:NJT917529 NSV917517:NTP917529 OCR917517:ODL917529 OMN917517:ONH917529 OWJ917517:OXD917529 PGF917517:PGZ917529 PQB917517:PQV917529 PZX917517:QAR917529 QJT917517:QKN917529 QTP917517:QUJ917529 RDL917517:REF917529 RNH917517:ROB917529 RXD917517:RXX917529 SGZ917517:SHT917529 SQV917517:SRP917529 TAR917517:TBL917529 TKN917517:TLH917529 TUJ917517:TVD917529 UEF917517:UEZ917529 UOB917517:UOV917529 UXX917517:UYR917529 VHT917517:VIN917529 VRP917517:VSJ917529 WBL917517:WCF917529 WLH917517:WMB917529 WVD917517:WVX917529 B983053:V983065 IR983053:JL983065 SN983053:TH983065 ACJ983053:ADD983065 AMF983053:AMZ983065 AWB983053:AWV983065 BFX983053:BGR983065 BPT983053:BQN983065 BZP983053:CAJ983065 CJL983053:CKF983065 CTH983053:CUB983065 DDD983053:DDX983065 DMZ983053:DNT983065 DWV983053:DXP983065 EGR983053:EHL983065 EQN983053:ERH983065 FAJ983053:FBD983065 FKF983053:FKZ983065 FUB983053:FUV983065 GDX983053:GER983065 GNT983053:GON983065 GXP983053:GYJ983065 HHL983053:HIF983065 HRH983053:HSB983065 IBD983053:IBX983065 IKZ983053:ILT983065 IUV983053:IVP983065 JER983053:JFL983065 JON983053:JPH983065 JYJ983053:JZD983065 KIF983053:KIZ983065 KSB983053:KSV983065 LBX983053:LCR983065 LLT983053:LMN983065 LVP983053:LWJ983065 MFL983053:MGF983065 MPH983053:MQB983065 MZD983053:MZX983065 NIZ983053:NJT983065 NSV983053:NTP983065 OCR983053:ODL983065 OMN983053:ONH983065 OWJ983053:OXD983065 PGF983053:PGZ983065 PQB983053:PQV983065 PZX983053:QAR983065 QJT983053:QKN983065 QTP983053:QUJ983065 RDL983053:REF983065 RNH983053:ROB983065 RXD983053:RXX983065 SGZ983053:SHT983065 SQV983053:SRP983065 TAR983053:TBL983065 TKN983053:TLH983065 TUJ983053:TVD983065 UEF983053:UEZ983065 UOB983053:UOV983065 UXX983053:UYR983065 VHT983053:VIN983065 VRP983053:VSJ983065 WBL983053:WCF983065 WLH983053:WMB983065" xr:uid="{00000000-0002-0000-0000-000000000000}">
      <formula1>9.99999999999999E+24</formula1>
      <formula2>9.99999999999999E+24</formula2>
    </dataValidation>
  </dataValidation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10AC-1FA6-46F9-921A-234CBC14EB3E}">
  <dimension ref="A1:H65"/>
  <sheetViews>
    <sheetView workbookViewId="0">
      <selection activeCell="J11" sqref="J11"/>
    </sheetView>
  </sheetViews>
  <sheetFormatPr defaultRowHeight="15" x14ac:dyDescent="0.2"/>
  <sheetData>
    <row r="1" spans="1:8" x14ac:dyDescent="0.2">
      <c r="A1" s="26"/>
      <c r="B1" s="26"/>
      <c r="C1" s="26"/>
      <c r="D1" s="26"/>
      <c r="E1" s="26"/>
      <c r="F1" s="26"/>
      <c r="G1" s="26"/>
      <c r="H1" s="26"/>
    </row>
    <row r="2" spans="1:8" x14ac:dyDescent="0.2">
      <c r="A2" s="50" t="s">
        <v>41</v>
      </c>
      <c r="B2" s="50"/>
      <c r="C2" s="50"/>
      <c r="D2" s="50"/>
      <c r="E2" s="50"/>
      <c r="F2" s="50"/>
      <c r="G2" s="50"/>
      <c r="H2" s="50"/>
    </row>
    <row r="3" spans="1:8" x14ac:dyDescent="0.2">
      <c r="A3" s="26"/>
      <c r="B3" s="26"/>
      <c r="C3" s="26"/>
      <c r="D3" s="26"/>
      <c r="E3" s="26"/>
      <c r="F3" s="26"/>
      <c r="G3" s="26"/>
      <c r="H3" s="26"/>
    </row>
    <row r="4" spans="1:8" x14ac:dyDescent="0.2">
      <c r="A4" s="51" t="s">
        <v>42</v>
      </c>
      <c r="B4" s="51" t="s">
        <v>43</v>
      </c>
      <c r="C4" s="51" t="s">
        <v>42</v>
      </c>
      <c r="D4" s="51" t="s">
        <v>43</v>
      </c>
      <c r="E4" s="51" t="s">
        <v>42</v>
      </c>
      <c r="F4" s="51" t="s">
        <v>43</v>
      </c>
      <c r="G4" s="51" t="s">
        <v>42</v>
      </c>
      <c r="H4" s="51" t="s">
        <v>43</v>
      </c>
    </row>
    <row r="5" spans="1:8" x14ac:dyDescent="0.2">
      <c r="A5" s="52"/>
      <c r="B5" s="52"/>
      <c r="C5" s="52"/>
      <c r="D5" s="52"/>
      <c r="E5" s="52"/>
      <c r="F5" s="52"/>
      <c r="G5" s="52"/>
      <c r="H5" s="52"/>
    </row>
    <row r="6" spans="1:8" x14ac:dyDescent="0.2">
      <c r="A6" s="27">
        <v>1</v>
      </c>
      <c r="B6" s="28">
        <v>3.3E-3</v>
      </c>
      <c r="C6" s="27">
        <v>16</v>
      </c>
      <c r="D6" s="28">
        <f>+B20+$B$6</f>
        <v>5.2799999999999986E-2</v>
      </c>
      <c r="E6" s="27">
        <v>31</v>
      </c>
      <c r="F6" s="28">
        <f>+D20+$B$6</f>
        <v>0.10229999999999995</v>
      </c>
      <c r="G6" s="27">
        <v>46</v>
      </c>
      <c r="H6" s="28">
        <f>+F20+$B$6</f>
        <v>0.15179999999999991</v>
      </c>
    </row>
    <row r="7" spans="1:8" x14ac:dyDescent="0.2">
      <c r="A7" s="27">
        <v>2</v>
      </c>
      <c r="B7" s="28">
        <f>+B6*2</f>
        <v>6.6E-3</v>
      </c>
      <c r="C7" s="27">
        <v>17</v>
      </c>
      <c r="D7" s="28">
        <f>+D6+$B$6</f>
        <v>5.6099999999999983E-2</v>
      </c>
      <c r="E7" s="27">
        <v>32</v>
      </c>
      <c r="F7" s="28">
        <f>+F6+$B$6</f>
        <v>0.10559999999999994</v>
      </c>
      <c r="G7" s="27">
        <v>47</v>
      </c>
      <c r="H7" s="28">
        <f>+H6+$B$6</f>
        <v>0.1550999999999999</v>
      </c>
    </row>
    <row r="8" spans="1:8" x14ac:dyDescent="0.2">
      <c r="A8" s="27">
        <v>3</v>
      </c>
      <c r="B8" s="28">
        <f>+B7+$B$6</f>
        <v>9.8999999999999991E-3</v>
      </c>
      <c r="C8" s="27">
        <v>18</v>
      </c>
      <c r="D8" s="28">
        <f t="shared" ref="D8:D20" si="0">+D7+$B$6</f>
        <v>5.9399999999999981E-2</v>
      </c>
      <c r="E8" s="27">
        <v>33</v>
      </c>
      <c r="F8" s="28">
        <f t="shared" ref="F8:F20" si="1">+F7+$B$6</f>
        <v>0.10889999999999994</v>
      </c>
      <c r="G8" s="27">
        <v>48</v>
      </c>
      <c r="H8" s="28">
        <f t="shared" ref="H8:H20" si="2">+H7+$B$6</f>
        <v>0.1583999999999999</v>
      </c>
    </row>
    <row r="9" spans="1:8" x14ac:dyDescent="0.2">
      <c r="A9" s="27">
        <v>4</v>
      </c>
      <c r="B9" s="28">
        <f>+B8+$B$6</f>
        <v>1.32E-2</v>
      </c>
      <c r="C9" s="27">
        <v>19</v>
      </c>
      <c r="D9" s="28">
        <f t="shared" si="0"/>
        <v>6.2699999999999978E-2</v>
      </c>
      <c r="E9" s="27">
        <v>34</v>
      </c>
      <c r="F9" s="28">
        <f t="shared" si="1"/>
        <v>0.11219999999999994</v>
      </c>
      <c r="G9" s="27">
        <v>49</v>
      </c>
      <c r="H9" s="28">
        <f t="shared" si="2"/>
        <v>0.1616999999999999</v>
      </c>
    </row>
    <row r="10" spans="1:8" x14ac:dyDescent="0.2">
      <c r="A10" s="27">
        <v>5</v>
      </c>
      <c r="B10" s="28">
        <f>+B9+$B$6</f>
        <v>1.6500000000000001E-2</v>
      </c>
      <c r="C10" s="27">
        <v>20</v>
      </c>
      <c r="D10" s="28">
        <f t="shared" si="0"/>
        <v>6.5999999999999975E-2</v>
      </c>
      <c r="E10" s="27">
        <v>35</v>
      </c>
      <c r="F10" s="28">
        <f t="shared" si="1"/>
        <v>0.11549999999999994</v>
      </c>
      <c r="G10" s="27">
        <v>50</v>
      </c>
      <c r="H10" s="28">
        <f t="shared" si="2"/>
        <v>0.1649999999999999</v>
      </c>
    </row>
    <row r="11" spans="1:8" x14ac:dyDescent="0.2">
      <c r="A11" s="27">
        <v>6</v>
      </c>
      <c r="B11" s="28">
        <f t="shared" ref="B11:B20" si="3">+B10+$B$6</f>
        <v>1.9800000000000002E-2</v>
      </c>
      <c r="C11" s="27">
        <v>21</v>
      </c>
      <c r="D11" s="28">
        <f t="shared" si="0"/>
        <v>6.9299999999999973E-2</v>
      </c>
      <c r="E11" s="27">
        <v>36</v>
      </c>
      <c r="F11" s="28">
        <f t="shared" si="1"/>
        <v>0.11879999999999993</v>
      </c>
      <c r="G11" s="27">
        <v>51</v>
      </c>
      <c r="H11" s="28">
        <f t="shared" si="2"/>
        <v>0.16829999999999989</v>
      </c>
    </row>
    <row r="12" spans="1:8" x14ac:dyDescent="0.2">
      <c r="A12" s="27">
        <v>7</v>
      </c>
      <c r="B12" s="28">
        <f t="shared" si="3"/>
        <v>2.3100000000000002E-2</v>
      </c>
      <c r="C12" s="27">
        <v>22</v>
      </c>
      <c r="D12" s="28">
        <f t="shared" si="0"/>
        <v>7.259999999999997E-2</v>
      </c>
      <c r="E12" s="27">
        <v>37</v>
      </c>
      <c r="F12" s="28">
        <f t="shared" si="1"/>
        <v>0.12209999999999993</v>
      </c>
      <c r="G12" s="27">
        <v>52</v>
      </c>
      <c r="H12" s="28">
        <f t="shared" si="2"/>
        <v>0.17159999999999989</v>
      </c>
    </row>
    <row r="13" spans="1:8" x14ac:dyDescent="0.2">
      <c r="A13" s="27">
        <v>8</v>
      </c>
      <c r="B13" s="28">
        <f t="shared" si="3"/>
        <v>2.6400000000000003E-2</v>
      </c>
      <c r="C13" s="27">
        <v>23</v>
      </c>
      <c r="D13" s="28">
        <f t="shared" si="0"/>
        <v>7.5899999999999967E-2</v>
      </c>
      <c r="E13" s="27">
        <v>38</v>
      </c>
      <c r="F13" s="28">
        <f t="shared" si="1"/>
        <v>0.12539999999999993</v>
      </c>
      <c r="G13" s="27">
        <v>53</v>
      </c>
      <c r="H13" s="28">
        <f t="shared" si="2"/>
        <v>0.17489999999999989</v>
      </c>
    </row>
    <row r="14" spans="1:8" x14ac:dyDescent="0.2">
      <c r="A14" s="27">
        <v>9</v>
      </c>
      <c r="B14" s="28">
        <f t="shared" si="3"/>
        <v>2.9700000000000004E-2</v>
      </c>
      <c r="C14" s="27">
        <v>24</v>
      </c>
      <c r="D14" s="28">
        <f t="shared" si="0"/>
        <v>7.9199999999999965E-2</v>
      </c>
      <c r="E14" s="27">
        <v>39</v>
      </c>
      <c r="F14" s="28">
        <f t="shared" si="1"/>
        <v>0.12869999999999993</v>
      </c>
      <c r="G14" s="27">
        <v>54</v>
      </c>
      <c r="H14" s="28">
        <f t="shared" si="2"/>
        <v>0.17819999999999989</v>
      </c>
    </row>
    <row r="15" spans="1:8" x14ac:dyDescent="0.2">
      <c r="A15" s="27">
        <v>10</v>
      </c>
      <c r="B15" s="28">
        <f t="shared" si="3"/>
        <v>3.3000000000000002E-2</v>
      </c>
      <c r="C15" s="27">
        <v>25</v>
      </c>
      <c r="D15" s="28">
        <f t="shared" si="0"/>
        <v>8.2499999999999962E-2</v>
      </c>
      <c r="E15" s="27">
        <v>40</v>
      </c>
      <c r="F15" s="28">
        <f t="shared" si="1"/>
        <v>0.13199999999999992</v>
      </c>
      <c r="G15" s="27">
        <v>55</v>
      </c>
      <c r="H15" s="28">
        <f t="shared" si="2"/>
        <v>0.18149999999999988</v>
      </c>
    </row>
    <row r="16" spans="1:8" x14ac:dyDescent="0.2">
      <c r="A16" s="27">
        <v>11</v>
      </c>
      <c r="B16" s="28">
        <f t="shared" si="3"/>
        <v>3.6299999999999999E-2</v>
      </c>
      <c r="C16" s="27">
        <v>26</v>
      </c>
      <c r="D16" s="28">
        <f t="shared" si="0"/>
        <v>8.579999999999996E-2</v>
      </c>
      <c r="E16" s="27">
        <v>41</v>
      </c>
      <c r="F16" s="28">
        <f t="shared" si="1"/>
        <v>0.13529999999999992</v>
      </c>
      <c r="G16" s="27">
        <v>56</v>
      </c>
      <c r="H16" s="28">
        <f t="shared" si="2"/>
        <v>0.18479999999999988</v>
      </c>
    </row>
    <row r="17" spans="1:8" x14ac:dyDescent="0.2">
      <c r="A17" s="27">
        <v>12</v>
      </c>
      <c r="B17" s="28">
        <f t="shared" si="3"/>
        <v>3.9599999999999996E-2</v>
      </c>
      <c r="C17" s="27">
        <v>27</v>
      </c>
      <c r="D17" s="28">
        <f t="shared" si="0"/>
        <v>8.9099999999999957E-2</v>
      </c>
      <c r="E17" s="27">
        <v>42</v>
      </c>
      <c r="F17" s="28">
        <f t="shared" si="1"/>
        <v>0.13859999999999992</v>
      </c>
      <c r="G17" s="27">
        <v>57</v>
      </c>
      <c r="H17" s="28">
        <f t="shared" si="2"/>
        <v>0.18809999999999988</v>
      </c>
    </row>
    <row r="18" spans="1:8" x14ac:dyDescent="0.2">
      <c r="A18" s="27">
        <v>13</v>
      </c>
      <c r="B18" s="28">
        <f t="shared" si="3"/>
        <v>4.2899999999999994E-2</v>
      </c>
      <c r="C18" s="27">
        <v>28</v>
      </c>
      <c r="D18" s="28">
        <f t="shared" si="0"/>
        <v>9.2399999999999954E-2</v>
      </c>
      <c r="E18" s="27">
        <v>43</v>
      </c>
      <c r="F18" s="28">
        <f t="shared" si="1"/>
        <v>0.14189999999999992</v>
      </c>
      <c r="G18" s="27">
        <v>58</v>
      </c>
      <c r="H18" s="28">
        <f t="shared" si="2"/>
        <v>0.19139999999999988</v>
      </c>
    </row>
    <row r="19" spans="1:8" x14ac:dyDescent="0.2">
      <c r="A19" s="27">
        <v>14</v>
      </c>
      <c r="B19" s="28">
        <f t="shared" si="3"/>
        <v>4.6199999999999991E-2</v>
      </c>
      <c r="C19" s="27">
        <v>29</v>
      </c>
      <c r="D19" s="28">
        <f t="shared" si="0"/>
        <v>9.5699999999999952E-2</v>
      </c>
      <c r="E19" s="27">
        <v>44</v>
      </c>
      <c r="F19" s="28">
        <f t="shared" si="1"/>
        <v>0.14519999999999991</v>
      </c>
      <c r="G19" s="27">
        <v>59</v>
      </c>
      <c r="H19" s="28">
        <f t="shared" si="2"/>
        <v>0.19469999999999987</v>
      </c>
    </row>
    <row r="20" spans="1:8" x14ac:dyDescent="0.2">
      <c r="A20" s="27">
        <v>15</v>
      </c>
      <c r="B20" s="28">
        <f t="shared" si="3"/>
        <v>4.9499999999999988E-2</v>
      </c>
      <c r="C20" s="27">
        <v>30</v>
      </c>
      <c r="D20" s="28">
        <f t="shared" si="0"/>
        <v>9.8999999999999949E-2</v>
      </c>
      <c r="E20" s="27">
        <v>45</v>
      </c>
      <c r="F20" s="28">
        <f t="shared" si="1"/>
        <v>0.14849999999999991</v>
      </c>
      <c r="G20" s="27">
        <v>60</v>
      </c>
      <c r="H20" s="28">
        <f t="shared" si="2"/>
        <v>0.19799999999999987</v>
      </c>
    </row>
    <row r="21" spans="1:8" x14ac:dyDescent="0.2">
      <c r="A21" s="27">
        <v>16</v>
      </c>
      <c r="B21" s="28">
        <v>5.2799999999999986E-2</v>
      </c>
      <c r="C21" s="29"/>
      <c r="D21" s="29"/>
      <c r="E21" s="29"/>
      <c r="F21" s="30" t="s">
        <v>44</v>
      </c>
      <c r="G21" s="31"/>
      <c r="H21" s="32">
        <v>0.2</v>
      </c>
    </row>
    <row r="22" spans="1:8" x14ac:dyDescent="0.2">
      <c r="A22" s="27">
        <v>17</v>
      </c>
      <c r="B22" s="28">
        <v>5.6099999999999983E-2</v>
      </c>
      <c r="C22" s="26"/>
      <c r="D22" s="26"/>
      <c r="E22" s="26"/>
      <c r="F22" s="26"/>
      <c r="G22" s="26"/>
      <c r="H22" s="26"/>
    </row>
    <row r="23" spans="1:8" x14ac:dyDescent="0.2">
      <c r="A23" s="27">
        <v>18</v>
      </c>
      <c r="B23" s="28">
        <v>5.9399999999999981E-2</v>
      </c>
      <c r="C23" s="26"/>
      <c r="D23" s="26"/>
      <c r="E23" s="26"/>
      <c r="F23" s="26"/>
      <c r="G23" s="26"/>
      <c r="H23" s="26"/>
    </row>
    <row r="24" spans="1:8" x14ac:dyDescent="0.2">
      <c r="A24" s="27">
        <v>19</v>
      </c>
      <c r="B24" s="28">
        <v>6.2699999999999978E-2</v>
      </c>
      <c r="C24" s="26"/>
      <c r="D24" s="26"/>
      <c r="E24" s="26"/>
      <c r="F24" s="26"/>
      <c r="G24" s="26"/>
      <c r="H24" s="26"/>
    </row>
    <row r="25" spans="1:8" x14ac:dyDescent="0.2">
      <c r="A25" s="27">
        <v>20</v>
      </c>
      <c r="B25" s="28">
        <v>6.5999999999999975E-2</v>
      </c>
      <c r="C25" s="26"/>
      <c r="D25" s="26"/>
      <c r="E25" s="26"/>
      <c r="F25" s="26"/>
      <c r="G25" s="26"/>
      <c r="H25" s="26"/>
    </row>
    <row r="26" spans="1:8" x14ac:dyDescent="0.2">
      <c r="A26" s="27">
        <v>21</v>
      </c>
      <c r="B26" s="28">
        <v>6.9299999999999973E-2</v>
      </c>
      <c r="C26" s="26"/>
      <c r="D26" s="26"/>
      <c r="E26" s="26"/>
      <c r="F26" s="26"/>
      <c r="G26" s="26"/>
      <c r="H26" s="26"/>
    </row>
    <row r="27" spans="1:8" x14ac:dyDescent="0.2">
      <c r="A27" s="27">
        <v>22</v>
      </c>
      <c r="B27" s="28">
        <v>7.259999999999997E-2</v>
      </c>
      <c r="C27" s="26"/>
      <c r="D27" s="26"/>
      <c r="E27" s="26"/>
      <c r="F27" s="26"/>
      <c r="G27" s="26"/>
      <c r="H27" s="26"/>
    </row>
    <row r="28" spans="1:8" x14ac:dyDescent="0.2">
      <c r="A28" s="27">
        <v>23</v>
      </c>
      <c r="B28" s="28">
        <v>7.5899999999999967E-2</v>
      </c>
      <c r="C28" s="26"/>
      <c r="D28" s="26"/>
      <c r="E28" s="26"/>
      <c r="F28" s="26"/>
      <c r="G28" s="26"/>
      <c r="H28" s="26"/>
    </row>
    <row r="29" spans="1:8" x14ac:dyDescent="0.2">
      <c r="A29" s="27">
        <v>24</v>
      </c>
      <c r="B29" s="28">
        <v>7.9199999999999965E-2</v>
      </c>
      <c r="C29" s="26"/>
      <c r="D29" s="26"/>
      <c r="E29" s="26"/>
      <c r="F29" s="26"/>
      <c r="G29" s="26"/>
      <c r="H29" s="26"/>
    </row>
    <row r="30" spans="1:8" x14ac:dyDescent="0.2">
      <c r="A30" s="27">
        <v>25</v>
      </c>
      <c r="B30" s="28">
        <v>8.2500000000000004E-2</v>
      </c>
      <c r="C30" s="26"/>
      <c r="D30" s="26"/>
      <c r="E30" s="26"/>
      <c r="F30" s="26"/>
      <c r="G30" s="26"/>
      <c r="H30" s="26"/>
    </row>
    <row r="31" spans="1:8" x14ac:dyDescent="0.2">
      <c r="A31" s="27">
        <v>26</v>
      </c>
      <c r="B31" s="28">
        <v>8.579999999999996E-2</v>
      </c>
      <c r="C31" s="26"/>
      <c r="D31" s="26"/>
      <c r="E31" s="26"/>
      <c r="F31" s="26"/>
      <c r="G31" s="26"/>
      <c r="H31" s="26"/>
    </row>
    <row r="32" spans="1:8" x14ac:dyDescent="0.2">
      <c r="A32" s="27">
        <v>27</v>
      </c>
      <c r="B32" s="28">
        <v>8.9099999999999957E-2</v>
      </c>
      <c r="C32" s="26"/>
      <c r="D32" s="26"/>
      <c r="E32" s="26"/>
      <c r="F32" s="26"/>
      <c r="G32" s="26"/>
      <c r="H32" s="26"/>
    </row>
    <row r="33" spans="1:8" x14ac:dyDescent="0.2">
      <c r="A33" s="27">
        <v>28</v>
      </c>
      <c r="B33" s="28">
        <v>9.2399999999999954E-2</v>
      </c>
      <c r="C33" s="26"/>
      <c r="D33" s="26"/>
      <c r="E33" s="26"/>
      <c r="F33" s="26"/>
      <c r="G33" s="26"/>
      <c r="H33" s="26"/>
    </row>
    <row r="34" spans="1:8" x14ac:dyDescent="0.2">
      <c r="A34" s="27">
        <v>29</v>
      </c>
      <c r="B34" s="28">
        <v>9.5699999999999952E-2</v>
      </c>
      <c r="C34" s="26"/>
      <c r="D34" s="26"/>
      <c r="E34" s="26"/>
      <c r="F34" s="26"/>
      <c r="G34" s="26"/>
      <c r="H34" s="26"/>
    </row>
    <row r="35" spans="1:8" x14ac:dyDescent="0.2">
      <c r="A35" s="27">
        <v>30</v>
      </c>
      <c r="B35" s="28">
        <v>9.8999999999999949E-2</v>
      </c>
      <c r="C35" s="26"/>
      <c r="D35" s="26"/>
      <c r="E35" s="26"/>
      <c r="F35" s="26"/>
      <c r="G35" s="26"/>
      <c r="H35" s="26"/>
    </row>
    <row r="36" spans="1:8" x14ac:dyDescent="0.2">
      <c r="A36" s="27">
        <v>31</v>
      </c>
      <c r="B36" s="28">
        <v>0.10229999999999995</v>
      </c>
      <c r="C36" s="26"/>
      <c r="D36" s="26"/>
      <c r="E36" s="26"/>
      <c r="F36" s="26"/>
      <c r="G36" s="26"/>
      <c r="H36" s="26"/>
    </row>
    <row r="37" spans="1:8" x14ac:dyDescent="0.2">
      <c r="A37" s="27">
        <v>32</v>
      </c>
      <c r="B37" s="28">
        <v>0.10559999999999994</v>
      </c>
      <c r="C37" s="26"/>
      <c r="D37" s="26"/>
      <c r="E37" s="26"/>
      <c r="F37" s="26"/>
      <c r="G37" s="26"/>
      <c r="H37" s="26"/>
    </row>
    <row r="38" spans="1:8" x14ac:dyDescent="0.2">
      <c r="A38" s="27">
        <v>33</v>
      </c>
      <c r="B38" s="28">
        <v>0.10889999999999994</v>
      </c>
      <c r="C38" s="26"/>
      <c r="D38" s="26"/>
      <c r="E38" s="26"/>
      <c r="F38" s="26"/>
      <c r="G38" s="26"/>
      <c r="H38" s="26"/>
    </row>
    <row r="39" spans="1:8" x14ac:dyDescent="0.2">
      <c r="A39" s="27">
        <v>34</v>
      </c>
      <c r="B39" s="28">
        <v>0.11219999999999994</v>
      </c>
      <c r="C39" s="26"/>
      <c r="D39" s="26"/>
      <c r="E39" s="26"/>
      <c r="F39" s="26"/>
      <c r="G39" s="26"/>
      <c r="H39" s="26"/>
    </row>
    <row r="40" spans="1:8" x14ac:dyDescent="0.2">
      <c r="A40" s="27">
        <v>35</v>
      </c>
      <c r="B40" s="28">
        <v>0.11549999999999994</v>
      </c>
      <c r="C40" s="26"/>
      <c r="D40" s="26"/>
      <c r="E40" s="26"/>
      <c r="F40" s="26"/>
      <c r="G40" s="26"/>
      <c r="H40" s="26"/>
    </row>
    <row r="41" spans="1:8" x14ac:dyDescent="0.2">
      <c r="A41" s="27">
        <v>36</v>
      </c>
      <c r="B41" s="28">
        <v>0.11879999999999993</v>
      </c>
      <c r="C41" s="26"/>
      <c r="D41" s="26"/>
      <c r="E41" s="26"/>
      <c r="F41" s="26"/>
      <c r="G41" s="26"/>
      <c r="H41" s="26"/>
    </row>
    <row r="42" spans="1:8" x14ac:dyDescent="0.2">
      <c r="A42" s="27">
        <v>37</v>
      </c>
      <c r="B42" s="28">
        <v>0.12209999999999993</v>
      </c>
      <c r="C42" s="26"/>
      <c r="D42" s="26"/>
      <c r="E42" s="26"/>
      <c r="F42" s="26"/>
      <c r="G42" s="26"/>
      <c r="H42" s="26"/>
    </row>
    <row r="43" spans="1:8" x14ac:dyDescent="0.2">
      <c r="A43" s="27">
        <v>38</v>
      </c>
      <c r="B43" s="28">
        <v>0.12539999999999993</v>
      </c>
      <c r="C43" s="26"/>
      <c r="D43" s="26"/>
      <c r="E43" s="26"/>
      <c r="F43" s="26"/>
      <c r="G43" s="26"/>
      <c r="H43" s="26"/>
    </row>
    <row r="44" spans="1:8" x14ac:dyDescent="0.2">
      <c r="A44" s="27">
        <v>39</v>
      </c>
      <c r="B44" s="28">
        <v>0.12869999999999993</v>
      </c>
      <c r="C44" s="26"/>
      <c r="D44" s="26"/>
      <c r="E44" s="26"/>
      <c r="F44" s="26"/>
      <c r="G44" s="26"/>
      <c r="H44" s="26"/>
    </row>
    <row r="45" spans="1:8" x14ac:dyDescent="0.2">
      <c r="A45" s="27">
        <v>40</v>
      </c>
      <c r="B45" s="28">
        <v>0.13199999999999992</v>
      </c>
      <c r="C45" s="26"/>
      <c r="D45" s="26"/>
      <c r="E45" s="26"/>
      <c r="F45" s="26"/>
      <c r="G45" s="26"/>
      <c r="H45" s="26"/>
    </row>
    <row r="46" spans="1:8" x14ac:dyDescent="0.2">
      <c r="A46" s="27">
        <v>41</v>
      </c>
      <c r="B46" s="28">
        <v>0.13529999999999992</v>
      </c>
      <c r="C46" s="26"/>
      <c r="D46" s="26"/>
      <c r="E46" s="26"/>
      <c r="F46" s="26"/>
      <c r="G46" s="26"/>
      <c r="H46" s="26"/>
    </row>
    <row r="47" spans="1:8" x14ac:dyDescent="0.2">
      <c r="A47" s="27">
        <v>42</v>
      </c>
      <c r="B47" s="28">
        <v>0.13859999999999992</v>
      </c>
      <c r="C47" s="26"/>
      <c r="D47" s="26"/>
      <c r="E47" s="26"/>
      <c r="F47" s="26"/>
      <c r="G47" s="26"/>
      <c r="H47" s="26"/>
    </row>
    <row r="48" spans="1:8" x14ac:dyDescent="0.2">
      <c r="A48" s="27">
        <v>43</v>
      </c>
      <c r="B48" s="28">
        <v>0.14189999999999992</v>
      </c>
      <c r="C48" s="26"/>
      <c r="D48" s="26"/>
      <c r="E48" s="26"/>
      <c r="F48" s="26"/>
      <c r="G48" s="26"/>
      <c r="H48" s="26"/>
    </row>
    <row r="49" spans="1:8" x14ac:dyDescent="0.2">
      <c r="A49" s="27">
        <v>44</v>
      </c>
      <c r="B49" s="28">
        <v>0.14519999999999991</v>
      </c>
      <c r="C49" s="26"/>
      <c r="D49" s="26"/>
      <c r="E49" s="26"/>
      <c r="F49" s="26"/>
      <c r="G49" s="26"/>
      <c r="H49" s="26"/>
    </row>
    <row r="50" spans="1:8" x14ac:dyDescent="0.2">
      <c r="A50" s="27">
        <v>45</v>
      </c>
      <c r="B50" s="28">
        <v>0.14849999999999991</v>
      </c>
      <c r="C50" s="26"/>
      <c r="D50" s="26"/>
      <c r="E50" s="26"/>
      <c r="F50" s="26"/>
      <c r="G50" s="26"/>
      <c r="H50" s="26"/>
    </row>
    <row r="51" spans="1:8" x14ac:dyDescent="0.2">
      <c r="A51" s="27">
        <v>46</v>
      </c>
      <c r="B51" s="28">
        <v>0.15179999999999991</v>
      </c>
      <c r="C51" s="26"/>
      <c r="D51" s="26"/>
      <c r="E51" s="26"/>
      <c r="F51" s="26"/>
      <c r="G51" s="26"/>
      <c r="H51" s="26"/>
    </row>
    <row r="52" spans="1:8" x14ac:dyDescent="0.2">
      <c r="A52" s="27">
        <v>47</v>
      </c>
      <c r="B52" s="28">
        <v>0.1550999999999999</v>
      </c>
      <c r="C52" s="26"/>
      <c r="D52" s="26"/>
      <c r="E52" s="26"/>
      <c r="F52" s="26"/>
      <c r="G52" s="26"/>
      <c r="H52" s="26"/>
    </row>
    <row r="53" spans="1:8" x14ac:dyDescent="0.2">
      <c r="A53" s="27">
        <v>48</v>
      </c>
      <c r="B53" s="28">
        <v>0.1583999999999999</v>
      </c>
      <c r="C53" s="26"/>
      <c r="D53" s="26"/>
      <c r="E53" s="26"/>
      <c r="F53" s="26"/>
      <c r="G53" s="26"/>
      <c r="H53" s="26"/>
    </row>
    <row r="54" spans="1:8" x14ac:dyDescent="0.2">
      <c r="A54" s="27">
        <v>49</v>
      </c>
      <c r="B54" s="28">
        <v>0.1616999999999999</v>
      </c>
      <c r="C54" s="26"/>
      <c r="D54" s="26"/>
      <c r="E54" s="26"/>
      <c r="F54" s="26"/>
      <c r="G54" s="26"/>
      <c r="H54" s="26"/>
    </row>
    <row r="55" spans="1:8" x14ac:dyDescent="0.2">
      <c r="A55" s="27">
        <v>50</v>
      </c>
      <c r="B55" s="28">
        <v>0.16500000000000001</v>
      </c>
      <c r="C55" s="26"/>
      <c r="D55" s="26"/>
      <c r="E55" s="26"/>
      <c r="F55" s="26"/>
      <c r="G55" s="26"/>
      <c r="H55" s="26"/>
    </row>
    <row r="56" spans="1:8" x14ac:dyDescent="0.2">
      <c r="A56" s="27">
        <v>51</v>
      </c>
      <c r="B56" s="28">
        <v>0.16829999999999989</v>
      </c>
      <c r="C56" s="26"/>
      <c r="D56" s="26"/>
      <c r="E56" s="26"/>
      <c r="F56" s="26"/>
      <c r="G56" s="26"/>
      <c r="H56" s="26"/>
    </row>
    <row r="57" spans="1:8" x14ac:dyDescent="0.2">
      <c r="A57" s="27">
        <v>52</v>
      </c>
      <c r="B57" s="28">
        <v>0.17159999999999989</v>
      </c>
      <c r="C57" s="26"/>
      <c r="D57" s="26"/>
      <c r="E57" s="26"/>
      <c r="F57" s="26"/>
      <c r="G57" s="26"/>
      <c r="H57" s="26"/>
    </row>
    <row r="58" spans="1:8" x14ac:dyDescent="0.2">
      <c r="A58" s="27">
        <v>53</v>
      </c>
      <c r="B58" s="28">
        <v>0.17489999999999989</v>
      </c>
      <c r="C58" s="26"/>
      <c r="D58" s="26"/>
      <c r="E58" s="26"/>
      <c r="F58" s="26"/>
      <c r="G58" s="26"/>
      <c r="H58" s="26"/>
    </row>
    <row r="59" spans="1:8" x14ac:dyDescent="0.2">
      <c r="A59" s="27">
        <v>54</v>
      </c>
      <c r="B59" s="28">
        <v>0.17819999999999989</v>
      </c>
      <c r="C59" s="26"/>
      <c r="D59" s="26"/>
      <c r="E59" s="26"/>
      <c r="F59" s="26"/>
      <c r="G59" s="26"/>
      <c r="H59" s="26"/>
    </row>
    <row r="60" spans="1:8" x14ac:dyDescent="0.2">
      <c r="A60" s="27">
        <v>55</v>
      </c>
      <c r="B60" s="28">
        <v>0.18149999999999988</v>
      </c>
      <c r="C60" s="26"/>
      <c r="D60" s="26"/>
      <c r="E60" s="26"/>
      <c r="F60" s="26"/>
      <c r="G60" s="26"/>
      <c r="H60" s="26"/>
    </row>
    <row r="61" spans="1:8" x14ac:dyDescent="0.2">
      <c r="A61" s="27">
        <v>56</v>
      </c>
      <c r="B61" s="28">
        <v>0.18479999999999988</v>
      </c>
      <c r="C61" s="26"/>
      <c r="D61" s="26"/>
      <c r="E61" s="26"/>
      <c r="F61" s="26"/>
      <c r="G61" s="26"/>
      <c r="H61" s="26"/>
    </row>
    <row r="62" spans="1:8" x14ac:dyDescent="0.2">
      <c r="A62" s="27">
        <v>57</v>
      </c>
      <c r="B62" s="28">
        <v>0.18809999999999988</v>
      </c>
      <c r="C62" s="26"/>
      <c r="D62" s="26"/>
      <c r="E62" s="26"/>
      <c r="F62" s="26"/>
      <c r="G62" s="26"/>
      <c r="H62" s="26"/>
    </row>
    <row r="63" spans="1:8" x14ac:dyDescent="0.2">
      <c r="A63" s="27">
        <v>58</v>
      </c>
      <c r="B63" s="28">
        <v>0.19139999999999988</v>
      </c>
      <c r="C63" s="26"/>
      <c r="D63" s="26"/>
      <c r="E63" s="26"/>
      <c r="F63" s="26"/>
      <c r="G63" s="26"/>
      <c r="H63" s="26"/>
    </row>
    <row r="64" spans="1:8" x14ac:dyDescent="0.2">
      <c r="A64" s="27">
        <v>59</v>
      </c>
      <c r="B64" s="28">
        <v>0.19469999999999987</v>
      </c>
      <c r="C64" s="26"/>
      <c r="D64" s="26"/>
      <c r="E64" s="26"/>
      <c r="F64" s="26"/>
      <c r="G64" s="26"/>
      <c r="H64" s="26"/>
    </row>
    <row r="65" spans="1:8" x14ac:dyDescent="0.2">
      <c r="A65" s="27">
        <v>60</v>
      </c>
      <c r="B65" s="28">
        <v>0.19799999999999987</v>
      </c>
      <c r="C65" s="26"/>
      <c r="D65" s="26"/>
      <c r="E65" s="26"/>
      <c r="F65" s="26"/>
      <c r="G65" s="26"/>
      <c r="H65" s="26"/>
    </row>
  </sheetData>
  <mergeCells count="9"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F021-2887-40A1-BDB8-B675DB1B5C4A}">
  <dimension ref="A2:F123"/>
  <sheetViews>
    <sheetView workbookViewId="0">
      <selection activeCell="C5" sqref="C5"/>
    </sheetView>
  </sheetViews>
  <sheetFormatPr defaultRowHeight="15" x14ac:dyDescent="0.2"/>
  <cols>
    <col min="3" max="3" width="10.76171875" bestFit="1" customWidth="1"/>
    <col min="5" max="6" width="9.68359375" bestFit="1" customWidth="1"/>
  </cols>
  <sheetData>
    <row r="2" spans="1:6" x14ac:dyDescent="0.2">
      <c r="A2" s="23" t="s">
        <v>29</v>
      </c>
    </row>
    <row r="3" spans="1:6" x14ac:dyDescent="0.2">
      <c r="B3" s="20" t="s">
        <v>28</v>
      </c>
      <c r="C3" s="22">
        <v>44347</v>
      </c>
    </row>
    <row r="4" spans="1:6" x14ac:dyDescent="0.2">
      <c r="A4" s="21">
        <v>40909</v>
      </c>
      <c r="B4" s="19">
        <v>2.162914308</v>
      </c>
      <c r="C4" s="24">
        <f>+B4-1</f>
        <v>1.162914308</v>
      </c>
    </row>
    <row r="5" spans="1:6" x14ac:dyDescent="0.2">
      <c r="A5" s="21">
        <v>40940</v>
      </c>
      <c r="B5" s="19">
        <v>2.14381259</v>
      </c>
      <c r="C5" s="24">
        <f t="shared" ref="C5:C68" si="0">+B5-1</f>
        <v>1.14381259</v>
      </c>
      <c r="E5" s="19">
        <f>+B5-B4</f>
        <v>-1.9101717999999934E-2</v>
      </c>
      <c r="F5" s="19">
        <f>+B5-$B$4</f>
        <v>-1.9101717999999934E-2</v>
      </c>
    </row>
    <row r="6" spans="1:6" x14ac:dyDescent="0.2">
      <c r="A6" s="21">
        <v>40969</v>
      </c>
      <c r="B6" s="19">
        <v>2.1278796</v>
      </c>
      <c r="C6" s="24">
        <f t="shared" si="0"/>
        <v>1.1278796</v>
      </c>
      <c r="E6" s="19">
        <f t="shared" ref="E6:E14" si="1">+B6-B5</f>
        <v>-1.5932990000000036E-2</v>
      </c>
      <c r="F6" s="19">
        <f t="shared" ref="F6:F14" si="2">+B6-$B$4</f>
        <v>-3.503470799999997E-2</v>
      </c>
    </row>
    <row r="7" spans="1:6" x14ac:dyDescent="0.2">
      <c r="A7" s="21">
        <v>41000</v>
      </c>
      <c r="B7" s="19">
        <v>2.1105489999999998</v>
      </c>
      <c r="C7" s="24">
        <f t="shared" si="0"/>
        <v>1.1105489999999998</v>
      </c>
      <c r="E7" s="19">
        <f t="shared" si="1"/>
        <v>-1.7330600000000196E-2</v>
      </c>
      <c r="F7" s="19">
        <f t="shared" si="2"/>
        <v>-5.2365308000000166E-2</v>
      </c>
    </row>
    <row r="8" spans="1:6" x14ac:dyDescent="0.2">
      <c r="A8" s="21">
        <v>41030</v>
      </c>
      <c r="B8" s="19">
        <v>2.0956299999999999</v>
      </c>
      <c r="C8" s="24">
        <f t="shared" si="0"/>
        <v>1.0956299999999999</v>
      </c>
      <c r="E8" s="19">
        <f t="shared" si="1"/>
        <v>-1.4918999999999905E-2</v>
      </c>
      <c r="F8" s="19">
        <f t="shared" si="2"/>
        <v>-6.728430800000007E-2</v>
      </c>
    </row>
    <row r="9" spans="1:6" x14ac:dyDescent="0.2">
      <c r="A9" s="21">
        <v>41061</v>
      </c>
      <c r="B9" s="19">
        <v>2.080139</v>
      </c>
      <c r="C9" s="24">
        <f t="shared" si="0"/>
        <v>1.080139</v>
      </c>
      <c r="E9" s="19">
        <f t="shared" si="1"/>
        <v>-1.5490999999999921E-2</v>
      </c>
      <c r="F9" s="19">
        <f t="shared" si="2"/>
        <v>-8.2775307999999992E-2</v>
      </c>
    </row>
    <row r="10" spans="1:6" x14ac:dyDescent="0.2">
      <c r="A10" s="21">
        <v>41091</v>
      </c>
      <c r="B10" s="19">
        <v>2.0668799999999998</v>
      </c>
      <c r="C10" s="24">
        <f t="shared" si="0"/>
        <v>1.0668799999999998</v>
      </c>
      <c r="E10" s="19">
        <f t="shared" si="1"/>
        <v>-1.3259000000000132E-2</v>
      </c>
      <c r="F10" s="19">
        <f t="shared" si="2"/>
        <v>-9.6034308000000124E-2</v>
      </c>
    </row>
    <row r="11" spans="1:6" x14ac:dyDescent="0.2">
      <c r="A11" s="21">
        <v>41122</v>
      </c>
      <c r="B11" s="19">
        <v>2.052921</v>
      </c>
      <c r="C11" s="24">
        <f t="shared" si="0"/>
        <v>1.052921</v>
      </c>
      <c r="E11" s="19">
        <f t="shared" si="1"/>
        <v>-1.3958999999999833E-2</v>
      </c>
      <c r="F11" s="19">
        <f t="shared" si="2"/>
        <v>-0.10999330799999996</v>
      </c>
    </row>
    <row r="12" spans="1:6" x14ac:dyDescent="0.2">
      <c r="A12" s="21">
        <v>41153</v>
      </c>
      <c r="B12" s="19">
        <v>2.0388160000000002</v>
      </c>
      <c r="C12" s="24">
        <f t="shared" si="0"/>
        <v>1.0388160000000002</v>
      </c>
      <c r="E12" s="19">
        <f t="shared" si="1"/>
        <v>-1.4104999999999812E-2</v>
      </c>
      <c r="F12" s="19">
        <f t="shared" si="2"/>
        <v>-0.12409830799999977</v>
      </c>
    </row>
    <row r="13" spans="1:6" x14ac:dyDescent="0.2">
      <c r="A13" s="21">
        <v>41183</v>
      </c>
      <c r="B13" s="19">
        <v>2.0278862000000002</v>
      </c>
      <c r="C13" s="24">
        <f t="shared" si="0"/>
        <v>1.0278862000000002</v>
      </c>
      <c r="E13" s="19">
        <f t="shared" si="1"/>
        <v>-1.092979999999999E-2</v>
      </c>
      <c r="F13" s="19">
        <f t="shared" si="2"/>
        <v>-0.13502810799999976</v>
      </c>
    </row>
    <row r="14" spans="1:6" x14ac:dyDescent="0.2">
      <c r="A14" s="21">
        <v>41214</v>
      </c>
      <c r="B14" s="19">
        <v>2.0155639999999999</v>
      </c>
      <c r="C14" s="24">
        <f t="shared" si="0"/>
        <v>1.0155639999999999</v>
      </c>
      <c r="E14" s="19">
        <f t="shared" si="1"/>
        <v>-1.2322200000000283E-2</v>
      </c>
      <c r="F14" s="19">
        <f t="shared" si="2"/>
        <v>-0.14735030800000004</v>
      </c>
    </row>
    <row r="15" spans="1:6" x14ac:dyDescent="0.2">
      <c r="A15" s="21">
        <v>41244</v>
      </c>
      <c r="B15" s="19">
        <v>2.0045622999999999</v>
      </c>
      <c r="C15" s="24">
        <f t="shared" si="0"/>
        <v>1.0045622999999999</v>
      </c>
    </row>
    <row r="16" spans="1:6" x14ac:dyDescent="0.2">
      <c r="A16" s="21">
        <v>41275</v>
      </c>
      <c r="B16" s="19">
        <v>1.9935940000000001</v>
      </c>
      <c r="C16" s="24">
        <f t="shared" si="0"/>
        <v>0.99359400000000009</v>
      </c>
    </row>
    <row r="17" spans="1:3" x14ac:dyDescent="0.2">
      <c r="A17" s="21">
        <v>41306</v>
      </c>
      <c r="B17" s="19">
        <v>1.981676</v>
      </c>
      <c r="C17" s="24">
        <f t="shared" si="0"/>
        <v>0.98167599999999999</v>
      </c>
    </row>
    <row r="18" spans="1:3" x14ac:dyDescent="0.2">
      <c r="A18" s="21">
        <v>41334</v>
      </c>
      <c r="B18" s="19">
        <v>1.971959</v>
      </c>
      <c r="C18" s="24">
        <f t="shared" si="0"/>
        <v>0.97195900000000002</v>
      </c>
    </row>
    <row r="19" spans="1:3" x14ac:dyDescent="0.2">
      <c r="A19" s="21">
        <v>41365</v>
      </c>
      <c r="B19" s="19">
        <v>1.9611843</v>
      </c>
      <c r="C19" s="24">
        <f t="shared" si="0"/>
        <v>0.96118429999999999</v>
      </c>
    </row>
    <row r="20" spans="1:3" x14ac:dyDescent="0.2">
      <c r="A20" s="21">
        <v>41395</v>
      </c>
      <c r="B20" s="19">
        <v>1.9492229999999999</v>
      </c>
      <c r="C20" s="24">
        <f t="shared" si="0"/>
        <v>0.94922299999999993</v>
      </c>
    </row>
    <row r="21" spans="1:3" x14ac:dyDescent="0.2">
      <c r="A21" s="21">
        <v>41426</v>
      </c>
      <c r="B21" s="19">
        <v>1.9376249999999999</v>
      </c>
      <c r="C21" s="24">
        <f t="shared" si="0"/>
        <v>0.93762499999999993</v>
      </c>
    </row>
    <row r="22" spans="1:3" x14ac:dyDescent="0.2">
      <c r="A22" s="21">
        <v>41456</v>
      </c>
      <c r="B22" s="19">
        <v>1.9259682</v>
      </c>
      <c r="C22" s="24">
        <f t="shared" si="0"/>
        <v>0.92596820000000002</v>
      </c>
    </row>
    <row r="23" spans="1:3" x14ac:dyDescent="0.2">
      <c r="A23" s="21">
        <v>41487</v>
      </c>
      <c r="B23" s="19">
        <v>1.9121227000000001</v>
      </c>
      <c r="C23" s="24">
        <f t="shared" si="0"/>
        <v>0.91212270000000006</v>
      </c>
    </row>
    <row r="24" spans="1:3" x14ac:dyDescent="0.2">
      <c r="A24" s="21">
        <v>41518</v>
      </c>
      <c r="B24" s="19">
        <v>1.8986364</v>
      </c>
      <c r="C24" s="24">
        <f t="shared" si="0"/>
        <v>0.8986364</v>
      </c>
    </row>
    <row r="25" spans="1:3" x14ac:dyDescent="0.2">
      <c r="A25" s="21">
        <v>41548</v>
      </c>
      <c r="B25" s="19">
        <v>1.885194</v>
      </c>
      <c r="C25" s="24">
        <f t="shared" si="0"/>
        <v>0.88519400000000004</v>
      </c>
    </row>
    <row r="26" spans="1:3" x14ac:dyDescent="0.2">
      <c r="A26" s="21">
        <v>41579</v>
      </c>
      <c r="B26" s="19">
        <v>1.8700376000000001</v>
      </c>
      <c r="C26" s="24">
        <f t="shared" si="0"/>
        <v>0.87003760000000008</v>
      </c>
    </row>
    <row r="27" spans="1:3" x14ac:dyDescent="0.2">
      <c r="A27" s="21">
        <v>41609</v>
      </c>
      <c r="B27" s="19">
        <v>1.8566841999999999</v>
      </c>
      <c r="C27" s="24">
        <f t="shared" si="0"/>
        <v>0.8566841999999999</v>
      </c>
    </row>
    <row r="28" spans="1:3" x14ac:dyDescent="0.2">
      <c r="A28" s="21">
        <v>41640</v>
      </c>
      <c r="B28" s="19">
        <v>1.842136</v>
      </c>
      <c r="C28" s="24">
        <f t="shared" si="0"/>
        <v>0.842136</v>
      </c>
    </row>
    <row r="29" spans="1:3" x14ac:dyDescent="0.2">
      <c r="A29" s="21">
        <v>41671</v>
      </c>
      <c r="B29" s="19">
        <v>1.8266210000000001</v>
      </c>
      <c r="C29" s="24">
        <f t="shared" si="0"/>
        <v>0.82662100000000005</v>
      </c>
    </row>
    <row r="30" spans="1:3" x14ac:dyDescent="0.2">
      <c r="A30" s="21">
        <v>41699</v>
      </c>
      <c r="B30" s="19">
        <v>1.8123018</v>
      </c>
      <c r="C30" s="24">
        <f t="shared" si="0"/>
        <v>0.81230179999999996</v>
      </c>
    </row>
    <row r="31" spans="1:3" x14ac:dyDescent="0.2">
      <c r="A31" s="21">
        <v>41730</v>
      </c>
      <c r="B31" s="19">
        <v>1.7985249999999999</v>
      </c>
      <c r="C31" s="24">
        <f t="shared" si="0"/>
        <v>0.79852499999999993</v>
      </c>
    </row>
    <row r="32" spans="1:3" x14ac:dyDescent="0.2">
      <c r="A32" s="21">
        <v>41760</v>
      </c>
      <c r="B32" s="19">
        <v>1.7838499999999999</v>
      </c>
      <c r="C32" s="24">
        <f t="shared" si="0"/>
        <v>0.78384999999999994</v>
      </c>
    </row>
    <row r="33" spans="1:3" x14ac:dyDescent="0.2">
      <c r="A33" s="21">
        <v>41791</v>
      </c>
      <c r="B33" s="19">
        <v>1.768537</v>
      </c>
      <c r="C33" s="24">
        <f t="shared" si="0"/>
        <v>0.76853700000000003</v>
      </c>
    </row>
    <row r="34" spans="1:3" x14ac:dyDescent="0.2">
      <c r="A34" s="21">
        <v>41821</v>
      </c>
      <c r="B34" s="19">
        <v>1.7540756</v>
      </c>
      <c r="C34" s="24">
        <f t="shared" si="0"/>
        <v>0.75407559999999996</v>
      </c>
    </row>
    <row r="35" spans="1:3" x14ac:dyDescent="0.2">
      <c r="A35" s="21">
        <v>41852</v>
      </c>
      <c r="B35" s="19">
        <v>1.7375906000000001</v>
      </c>
      <c r="C35" s="24">
        <f t="shared" si="0"/>
        <v>0.7375906000000001</v>
      </c>
    </row>
    <row r="36" spans="1:3" x14ac:dyDescent="0.2">
      <c r="A36" s="21">
        <v>41883</v>
      </c>
      <c r="B36" s="19">
        <v>1.7226726000000001</v>
      </c>
      <c r="C36" s="24">
        <f t="shared" si="0"/>
        <v>0.72267260000000011</v>
      </c>
    </row>
    <row r="37" spans="1:3" x14ac:dyDescent="0.2">
      <c r="A37" s="21">
        <v>41913</v>
      </c>
      <c r="B37" s="19">
        <v>1.7071833999999999</v>
      </c>
      <c r="C37" s="24">
        <f t="shared" si="0"/>
        <v>0.70718339999999991</v>
      </c>
    </row>
    <row r="38" spans="1:3" x14ac:dyDescent="0.2">
      <c r="A38" s="21">
        <v>41944</v>
      </c>
      <c r="B38" s="19">
        <v>1.6911088999999999</v>
      </c>
      <c r="C38" s="24">
        <f t="shared" si="0"/>
        <v>0.69110889999999991</v>
      </c>
    </row>
    <row r="39" spans="1:3" x14ac:dyDescent="0.2">
      <c r="A39" s="21">
        <v>41974</v>
      </c>
      <c r="B39" s="19">
        <v>1.6769803999999999</v>
      </c>
      <c r="C39" s="24">
        <f t="shared" si="0"/>
        <v>0.67698039999999993</v>
      </c>
    </row>
    <row r="40" spans="1:3" x14ac:dyDescent="0.2">
      <c r="A40" s="21">
        <v>42005</v>
      </c>
      <c r="C40" s="24">
        <f t="shared" si="0"/>
        <v>-1</v>
      </c>
    </row>
    <row r="41" spans="1:3" x14ac:dyDescent="0.2">
      <c r="A41" s="21">
        <v>42036</v>
      </c>
      <c r="C41" s="24">
        <f t="shared" si="0"/>
        <v>-1</v>
      </c>
    </row>
    <row r="42" spans="1:3" x14ac:dyDescent="0.2">
      <c r="A42" s="21">
        <v>42064</v>
      </c>
      <c r="C42" s="24">
        <f t="shared" si="0"/>
        <v>-1</v>
      </c>
    </row>
    <row r="43" spans="1:3" x14ac:dyDescent="0.2">
      <c r="A43" s="21">
        <v>42095</v>
      </c>
      <c r="C43" s="24">
        <f t="shared" si="0"/>
        <v>-1</v>
      </c>
    </row>
    <row r="44" spans="1:3" x14ac:dyDescent="0.2">
      <c r="A44" s="21">
        <v>42125</v>
      </c>
      <c r="C44" s="24">
        <f t="shared" si="0"/>
        <v>-1</v>
      </c>
    </row>
    <row r="45" spans="1:3" x14ac:dyDescent="0.2">
      <c r="A45" s="21">
        <v>42156</v>
      </c>
      <c r="C45" s="24">
        <f t="shared" si="0"/>
        <v>-1</v>
      </c>
    </row>
    <row r="46" spans="1:3" x14ac:dyDescent="0.2">
      <c r="A46" s="21">
        <v>42186</v>
      </c>
      <c r="C46" s="24">
        <f t="shared" si="0"/>
        <v>-1</v>
      </c>
    </row>
    <row r="47" spans="1:3" x14ac:dyDescent="0.2">
      <c r="A47" s="21">
        <v>42217</v>
      </c>
      <c r="C47" s="24">
        <f t="shared" si="0"/>
        <v>-1</v>
      </c>
    </row>
    <row r="48" spans="1:3" x14ac:dyDescent="0.2">
      <c r="A48" s="21">
        <v>42248</v>
      </c>
      <c r="C48" s="24">
        <f t="shared" si="0"/>
        <v>-1</v>
      </c>
    </row>
    <row r="49" spans="1:3" x14ac:dyDescent="0.2">
      <c r="A49" s="21">
        <v>42278</v>
      </c>
      <c r="C49" s="24">
        <f t="shared" si="0"/>
        <v>-1</v>
      </c>
    </row>
    <row r="50" spans="1:3" x14ac:dyDescent="0.2">
      <c r="A50" s="21">
        <v>42309</v>
      </c>
      <c r="C50" s="24">
        <f t="shared" si="0"/>
        <v>-1</v>
      </c>
    </row>
    <row r="51" spans="1:3" x14ac:dyDescent="0.2">
      <c r="A51" s="21">
        <v>42339</v>
      </c>
      <c r="C51" s="24">
        <f t="shared" si="0"/>
        <v>-1</v>
      </c>
    </row>
    <row r="52" spans="1:3" x14ac:dyDescent="0.2">
      <c r="A52" s="21">
        <v>42370</v>
      </c>
      <c r="C52" s="24">
        <f t="shared" si="0"/>
        <v>-1</v>
      </c>
    </row>
    <row r="53" spans="1:3" x14ac:dyDescent="0.2">
      <c r="A53" s="21">
        <v>42401</v>
      </c>
      <c r="C53" s="24">
        <f t="shared" si="0"/>
        <v>-1</v>
      </c>
    </row>
    <row r="54" spans="1:3" x14ac:dyDescent="0.2">
      <c r="A54" s="21">
        <v>42430</v>
      </c>
      <c r="C54" s="24">
        <f t="shared" si="0"/>
        <v>-1</v>
      </c>
    </row>
    <row r="55" spans="1:3" x14ac:dyDescent="0.2">
      <c r="A55" s="21">
        <v>42461</v>
      </c>
      <c r="C55" s="24">
        <f t="shared" si="0"/>
        <v>-1</v>
      </c>
    </row>
    <row r="56" spans="1:3" x14ac:dyDescent="0.2">
      <c r="A56" s="21">
        <v>42491</v>
      </c>
      <c r="C56" s="24">
        <f t="shared" si="0"/>
        <v>-1</v>
      </c>
    </row>
    <row r="57" spans="1:3" x14ac:dyDescent="0.2">
      <c r="A57" s="21">
        <v>42522</v>
      </c>
      <c r="C57" s="24">
        <f t="shared" si="0"/>
        <v>-1</v>
      </c>
    </row>
    <row r="58" spans="1:3" x14ac:dyDescent="0.2">
      <c r="A58" s="21">
        <v>42552</v>
      </c>
      <c r="C58" s="24">
        <f t="shared" si="0"/>
        <v>-1</v>
      </c>
    </row>
    <row r="59" spans="1:3" x14ac:dyDescent="0.2">
      <c r="A59" s="21">
        <v>42583</v>
      </c>
      <c r="C59" s="24">
        <f t="shared" si="0"/>
        <v>-1</v>
      </c>
    </row>
    <row r="60" spans="1:3" x14ac:dyDescent="0.2">
      <c r="A60" s="21">
        <v>42614</v>
      </c>
      <c r="C60" s="24">
        <f t="shared" si="0"/>
        <v>-1</v>
      </c>
    </row>
    <row r="61" spans="1:3" x14ac:dyDescent="0.2">
      <c r="A61" s="21">
        <v>42644</v>
      </c>
      <c r="C61" s="24">
        <f t="shared" si="0"/>
        <v>-1</v>
      </c>
    </row>
    <row r="62" spans="1:3" x14ac:dyDescent="0.2">
      <c r="A62" s="21">
        <v>42675</v>
      </c>
      <c r="C62" s="24">
        <f t="shared" si="0"/>
        <v>-1</v>
      </c>
    </row>
    <row r="63" spans="1:3" x14ac:dyDescent="0.2">
      <c r="A63" s="21">
        <v>42705</v>
      </c>
      <c r="C63" s="24">
        <f t="shared" si="0"/>
        <v>-1</v>
      </c>
    </row>
    <row r="64" spans="1:3" x14ac:dyDescent="0.2">
      <c r="A64" s="21">
        <v>42736</v>
      </c>
      <c r="C64" s="24">
        <f t="shared" si="0"/>
        <v>-1</v>
      </c>
    </row>
    <row r="65" spans="1:3" x14ac:dyDescent="0.2">
      <c r="A65" s="21">
        <v>42767</v>
      </c>
      <c r="C65" s="24">
        <f t="shared" si="0"/>
        <v>-1</v>
      </c>
    </row>
    <row r="66" spans="1:3" x14ac:dyDescent="0.2">
      <c r="A66" s="21">
        <v>42795</v>
      </c>
      <c r="C66" s="24">
        <f t="shared" si="0"/>
        <v>-1</v>
      </c>
    </row>
    <row r="67" spans="1:3" x14ac:dyDescent="0.2">
      <c r="A67" s="21">
        <v>42826</v>
      </c>
      <c r="C67" s="24">
        <f t="shared" si="0"/>
        <v>-1</v>
      </c>
    </row>
    <row r="68" spans="1:3" x14ac:dyDescent="0.2">
      <c r="A68" s="21">
        <v>42856</v>
      </c>
      <c r="C68" s="24">
        <f t="shared" si="0"/>
        <v>-1</v>
      </c>
    </row>
    <row r="69" spans="1:3" x14ac:dyDescent="0.2">
      <c r="A69" s="21">
        <v>42887</v>
      </c>
      <c r="C69" s="24">
        <f t="shared" ref="C69:C123" si="3">+B69-1</f>
        <v>-1</v>
      </c>
    </row>
    <row r="70" spans="1:3" x14ac:dyDescent="0.2">
      <c r="A70" s="21">
        <v>42917</v>
      </c>
      <c r="C70" s="24">
        <f t="shared" si="3"/>
        <v>-1</v>
      </c>
    </row>
    <row r="71" spans="1:3" x14ac:dyDescent="0.2">
      <c r="A71" s="21">
        <v>42948</v>
      </c>
      <c r="C71" s="24">
        <f t="shared" si="3"/>
        <v>-1</v>
      </c>
    </row>
    <row r="72" spans="1:3" x14ac:dyDescent="0.2">
      <c r="A72" s="21">
        <v>42979</v>
      </c>
      <c r="C72" s="24">
        <f t="shared" si="3"/>
        <v>-1</v>
      </c>
    </row>
    <row r="73" spans="1:3" x14ac:dyDescent="0.2">
      <c r="A73" s="21">
        <v>43009</v>
      </c>
      <c r="C73" s="24">
        <f t="shared" si="3"/>
        <v>-1</v>
      </c>
    </row>
    <row r="74" spans="1:3" x14ac:dyDescent="0.2">
      <c r="A74" s="21">
        <v>43040</v>
      </c>
      <c r="C74" s="24">
        <f t="shared" si="3"/>
        <v>-1</v>
      </c>
    </row>
    <row r="75" spans="1:3" x14ac:dyDescent="0.2">
      <c r="A75" s="21">
        <v>43070</v>
      </c>
      <c r="C75" s="24">
        <f t="shared" si="3"/>
        <v>-1</v>
      </c>
    </row>
    <row r="76" spans="1:3" x14ac:dyDescent="0.2">
      <c r="A76" s="21">
        <v>43101</v>
      </c>
      <c r="C76" s="24">
        <f t="shared" si="3"/>
        <v>-1</v>
      </c>
    </row>
    <row r="77" spans="1:3" x14ac:dyDescent="0.2">
      <c r="A77" s="21">
        <v>43132</v>
      </c>
      <c r="C77" s="24">
        <f t="shared" si="3"/>
        <v>-1</v>
      </c>
    </row>
    <row r="78" spans="1:3" x14ac:dyDescent="0.2">
      <c r="A78" s="21">
        <v>43160</v>
      </c>
      <c r="C78" s="24">
        <f t="shared" si="3"/>
        <v>-1</v>
      </c>
    </row>
    <row r="79" spans="1:3" x14ac:dyDescent="0.2">
      <c r="A79" s="21">
        <v>43191</v>
      </c>
      <c r="C79" s="24">
        <f t="shared" si="3"/>
        <v>-1</v>
      </c>
    </row>
    <row r="80" spans="1:3" x14ac:dyDescent="0.2">
      <c r="A80" s="21">
        <v>43221</v>
      </c>
      <c r="C80" s="24">
        <f t="shared" si="3"/>
        <v>-1</v>
      </c>
    </row>
    <row r="81" spans="1:3" x14ac:dyDescent="0.2">
      <c r="A81" s="21">
        <v>43252</v>
      </c>
      <c r="C81" s="24">
        <f t="shared" si="3"/>
        <v>-1</v>
      </c>
    </row>
    <row r="82" spans="1:3" x14ac:dyDescent="0.2">
      <c r="A82" s="21">
        <v>43282</v>
      </c>
      <c r="C82" s="24">
        <f t="shared" si="3"/>
        <v>-1</v>
      </c>
    </row>
    <row r="83" spans="1:3" x14ac:dyDescent="0.2">
      <c r="A83" s="21">
        <v>43313</v>
      </c>
      <c r="C83" s="24">
        <f t="shared" si="3"/>
        <v>-1</v>
      </c>
    </row>
    <row r="84" spans="1:3" x14ac:dyDescent="0.2">
      <c r="A84" s="21">
        <v>43344</v>
      </c>
      <c r="C84" s="24">
        <f t="shared" si="3"/>
        <v>-1</v>
      </c>
    </row>
    <row r="85" spans="1:3" x14ac:dyDescent="0.2">
      <c r="A85" s="21">
        <v>43374</v>
      </c>
      <c r="C85" s="24">
        <f t="shared" si="3"/>
        <v>-1</v>
      </c>
    </row>
    <row r="86" spans="1:3" x14ac:dyDescent="0.2">
      <c r="A86" s="21">
        <v>43405</v>
      </c>
      <c r="C86" s="24">
        <f t="shared" si="3"/>
        <v>-1</v>
      </c>
    </row>
    <row r="87" spans="1:3" x14ac:dyDescent="0.2">
      <c r="A87" s="21">
        <v>43435</v>
      </c>
      <c r="C87" s="24">
        <f t="shared" si="3"/>
        <v>-1</v>
      </c>
    </row>
    <row r="88" spans="1:3" x14ac:dyDescent="0.2">
      <c r="A88" s="21">
        <v>43466</v>
      </c>
      <c r="C88" s="24">
        <f t="shared" si="3"/>
        <v>-1</v>
      </c>
    </row>
    <row r="89" spans="1:3" x14ac:dyDescent="0.2">
      <c r="A89" s="21">
        <v>43497</v>
      </c>
      <c r="C89" s="24">
        <f t="shared" si="3"/>
        <v>-1</v>
      </c>
    </row>
    <row r="90" spans="1:3" x14ac:dyDescent="0.2">
      <c r="A90" s="21">
        <v>43525</v>
      </c>
      <c r="C90" s="24">
        <f t="shared" si="3"/>
        <v>-1</v>
      </c>
    </row>
    <row r="91" spans="1:3" x14ac:dyDescent="0.2">
      <c r="A91" s="21">
        <v>43556</v>
      </c>
      <c r="C91" s="24">
        <f t="shared" si="3"/>
        <v>-1</v>
      </c>
    </row>
    <row r="92" spans="1:3" x14ac:dyDescent="0.2">
      <c r="A92" s="21">
        <v>43586</v>
      </c>
      <c r="C92" s="24">
        <f t="shared" si="3"/>
        <v>-1</v>
      </c>
    </row>
    <row r="93" spans="1:3" x14ac:dyDescent="0.2">
      <c r="A93" s="21">
        <v>43617</v>
      </c>
      <c r="C93" s="24">
        <f t="shared" si="3"/>
        <v>-1</v>
      </c>
    </row>
    <row r="94" spans="1:3" x14ac:dyDescent="0.2">
      <c r="A94" s="21">
        <v>43647</v>
      </c>
      <c r="C94" s="24">
        <f t="shared" si="3"/>
        <v>-1</v>
      </c>
    </row>
    <row r="95" spans="1:3" x14ac:dyDescent="0.2">
      <c r="A95" s="21">
        <v>43678</v>
      </c>
      <c r="C95" s="24">
        <f t="shared" si="3"/>
        <v>-1</v>
      </c>
    </row>
    <row r="96" spans="1:3" x14ac:dyDescent="0.2">
      <c r="A96" s="21">
        <v>43709</v>
      </c>
      <c r="C96" s="24">
        <f t="shared" si="3"/>
        <v>-1</v>
      </c>
    </row>
    <row r="97" spans="1:3" x14ac:dyDescent="0.2">
      <c r="A97" s="21">
        <v>43739</v>
      </c>
      <c r="C97" s="24">
        <f t="shared" si="3"/>
        <v>-1</v>
      </c>
    </row>
    <row r="98" spans="1:3" x14ac:dyDescent="0.2">
      <c r="A98" s="21">
        <v>43770</v>
      </c>
      <c r="C98" s="24">
        <f t="shared" si="3"/>
        <v>-1</v>
      </c>
    </row>
    <row r="99" spans="1:3" x14ac:dyDescent="0.2">
      <c r="A99" s="21">
        <v>43800</v>
      </c>
      <c r="C99" s="24">
        <f t="shared" si="3"/>
        <v>-1</v>
      </c>
    </row>
    <row r="100" spans="1:3" x14ac:dyDescent="0.2">
      <c r="A100" s="21">
        <v>43831</v>
      </c>
      <c r="C100" s="24">
        <f t="shared" si="3"/>
        <v>-1</v>
      </c>
    </row>
    <row r="101" spans="1:3" x14ac:dyDescent="0.2">
      <c r="A101" s="21">
        <v>43862</v>
      </c>
      <c r="C101" s="24">
        <f t="shared" si="3"/>
        <v>-1</v>
      </c>
    </row>
    <row r="102" spans="1:3" x14ac:dyDescent="0.2">
      <c r="A102" s="21">
        <v>43891</v>
      </c>
      <c r="C102" s="24">
        <f t="shared" si="3"/>
        <v>-1</v>
      </c>
    </row>
    <row r="103" spans="1:3" x14ac:dyDescent="0.2">
      <c r="A103" s="21">
        <v>43922</v>
      </c>
      <c r="C103" s="24">
        <f t="shared" si="3"/>
        <v>-1</v>
      </c>
    </row>
    <row r="104" spans="1:3" x14ac:dyDescent="0.2">
      <c r="A104" s="21">
        <v>43952</v>
      </c>
      <c r="C104" s="24">
        <f t="shared" si="3"/>
        <v>-1</v>
      </c>
    </row>
    <row r="105" spans="1:3" x14ac:dyDescent="0.2">
      <c r="A105" s="21">
        <v>43983</v>
      </c>
      <c r="C105" s="24">
        <f t="shared" si="3"/>
        <v>-1</v>
      </c>
    </row>
    <row r="106" spans="1:3" x14ac:dyDescent="0.2">
      <c r="A106" s="21">
        <v>44013</v>
      </c>
      <c r="C106" s="24">
        <f t="shared" si="3"/>
        <v>-1</v>
      </c>
    </row>
    <row r="107" spans="1:3" x14ac:dyDescent="0.2">
      <c r="A107" s="21">
        <v>44044</v>
      </c>
      <c r="C107" s="24">
        <f t="shared" si="3"/>
        <v>-1</v>
      </c>
    </row>
    <row r="108" spans="1:3" x14ac:dyDescent="0.2">
      <c r="A108" s="21">
        <v>44075</v>
      </c>
      <c r="C108" s="24">
        <f t="shared" si="3"/>
        <v>-1</v>
      </c>
    </row>
    <row r="109" spans="1:3" x14ac:dyDescent="0.2">
      <c r="A109" s="21">
        <v>44105</v>
      </c>
      <c r="C109" s="24">
        <f t="shared" si="3"/>
        <v>-1</v>
      </c>
    </row>
    <row r="110" spans="1:3" x14ac:dyDescent="0.2">
      <c r="A110" s="21">
        <v>44136</v>
      </c>
      <c r="C110" s="24">
        <f t="shared" si="3"/>
        <v>-1</v>
      </c>
    </row>
    <row r="111" spans="1:3" x14ac:dyDescent="0.2">
      <c r="A111" s="21">
        <v>44166</v>
      </c>
      <c r="C111" s="24">
        <f t="shared" si="3"/>
        <v>-1</v>
      </c>
    </row>
    <row r="112" spans="1:3" x14ac:dyDescent="0.2">
      <c r="A112" s="21">
        <v>44197</v>
      </c>
      <c r="C112" s="24">
        <f t="shared" si="3"/>
        <v>-1</v>
      </c>
    </row>
    <row r="113" spans="1:3" x14ac:dyDescent="0.2">
      <c r="A113" s="21">
        <v>44228</v>
      </c>
      <c r="C113" s="24">
        <f t="shared" si="3"/>
        <v>-1</v>
      </c>
    </row>
    <row r="114" spans="1:3" x14ac:dyDescent="0.2">
      <c r="A114" s="21">
        <v>44256</v>
      </c>
      <c r="C114" s="24">
        <f t="shared" si="3"/>
        <v>-1</v>
      </c>
    </row>
    <row r="115" spans="1:3" x14ac:dyDescent="0.2">
      <c r="A115" s="21">
        <v>44287</v>
      </c>
      <c r="C115" s="24">
        <f t="shared" si="3"/>
        <v>-1</v>
      </c>
    </row>
    <row r="116" spans="1:3" x14ac:dyDescent="0.2">
      <c r="A116" s="21">
        <v>44317</v>
      </c>
      <c r="C116" s="24">
        <f t="shared" si="3"/>
        <v>-1</v>
      </c>
    </row>
    <row r="117" spans="1:3" x14ac:dyDescent="0.2">
      <c r="A117" s="21">
        <v>44348</v>
      </c>
      <c r="C117" s="24">
        <f t="shared" si="3"/>
        <v>-1</v>
      </c>
    </row>
    <row r="118" spans="1:3" x14ac:dyDescent="0.2">
      <c r="A118" s="21">
        <v>44378</v>
      </c>
      <c r="C118" s="24">
        <f t="shared" si="3"/>
        <v>-1</v>
      </c>
    </row>
    <row r="119" spans="1:3" x14ac:dyDescent="0.2">
      <c r="A119" s="21">
        <v>44409</v>
      </c>
      <c r="C119" s="24">
        <f t="shared" si="3"/>
        <v>-1</v>
      </c>
    </row>
    <row r="120" spans="1:3" x14ac:dyDescent="0.2">
      <c r="A120" s="21">
        <v>44440</v>
      </c>
      <c r="C120" s="24">
        <f t="shared" si="3"/>
        <v>-1</v>
      </c>
    </row>
    <row r="121" spans="1:3" x14ac:dyDescent="0.2">
      <c r="A121" s="21">
        <v>44470</v>
      </c>
      <c r="C121" s="24">
        <f t="shared" si="3"/>
        <v>-1</v>
      </c>
    </row>
    <row r="122" spans="1:3" x14ac:dyDescent="0.2">
      <c r="A122" s="21">
        <v>44501</v>
      </c>
      <c r="C122" s="24">
        <f t="shared" si="3"/>
        <v>-1</v>
      </c>
    </row>
    <row r="123" spans="1:3" x14ac:dyDescent="0.2">
      <c r="A123" s="21">
        <v>44531</v>
      </c>
      <c r="C123" s="24">
        <f t="shared" si="3"/>
        <v>-1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INSSPJ</vt:lpstr>
      <vt:lpstr>Selic</vt:lpstr>
      <vt:lpstr>MULTA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Alves</dc:creator>
  <cp:lastModifiedBy>ALEXANDRE</cp:lastModifiedBy>
  <dcterms:created xsi:type="dcterms:W3CDTF">2016-05-31T23:22:59Z</dcterms:created>
  <dcterms:modified xsi:type="dcterms:W3CDTF">2022-01-29T14:51:30Z</dcterms:modified>
</cp:coreProperties>
</file>