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aPasta_de_trabalho" defaultThemeVersion="124226"/>
  <bookViews>
    <workbookView xWindow="480" yWindow="75" windowWidth="15180" windowHeight="11760" activeTab="3"/>
  </bookViews>
  <sheets>
    <sheet name="Instruções" sheetId="13" r:id="rId1"/>
    <sheet name="CurvaHorizontal" sheetId="5" r:id="rId2"/>
    <sheet name="CurvaVertical" sheetId="8" r:id="rId3"/>
    <sheet name="Terraplenagem" sheetId="7" r:id="rId4"/>
  </sheets>
  <functionGroups/>
  <definedNames>
    <definedName name="alfa">Terraplenagem!$F$8:$F$13</definedName>
    <definedName name="_xlnm.Print_Area" localSheetId="1">CurvaHorizontal!$A$2:$O$40</definedName>
    <definedName name="_xlnm.Print_Area" localSheetId="3">Terraplenagem!$A$1:$O$71</definedName>
    <definedName name="CV">Terraplenagem!$G$8:$G$13</definedName>
    <definedName name="HB">Terraplenagem!$C$3</definedName>
    <definedName name="La">Terraplenagem!$C$2</definedName>
    <definedName name="lb">Terraplenagem!$F$3</definedName>
    <definedName name="na">Terraplenagem!$F$2</definedName>
    <definedName name="nc">Terraplenagem!$F$4</definedName>
  </definedNames>
  <calcPr calcId="125725"/>
</workbook>
</file>

<file path=xl/calcChain.xml><?xml version="1.0" encoding="utf-8"?>
<calcChain xmlns="http://schemas.openxmlformats.org/spreadsheetml/2006/main">
  <c r="B10" i="7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F26" i="8"/>
  <c r="G26" s="1"/>
  <c r="H26" s="1"/>
  <c r="E26"/>
  <c r="I26" s="1"/>
  <c r="F25"/>
  <c r="G25" s="1"/>
  <c r="H25" s="1"/>
  <c r="E25"/>
  <c r="I25" s="1"/>
  <c r="F24"/>
  <c r="G24" s="1"/>
  <c r="H24" s="1"/>
  <c r="E24"/>
  <c r="I24" s="1"/>
  <c r="F23"/>
  <c r="G23" s="1"/>
  <c r="H23" s="1"/>
  <c r="E23"/>
  <c r="I23" s="1"/>
  <c r="F22"/>
  <c r="G22" s="1"/>
  <c r="H22" s="1"/>
  <c r="E22"/>
  <c r="I22" s="1"/>
  <c r="F21"/>
  <c r="G21" s="1"/>
  <c r="H21" s="1"/>
  <c r="E21"/>
  <c r="I21" s="1"/>
  <c r="F20"/>
  <c r="G20" s="1"/>
  <c r="H20" s="1"/>
  <c r="E20"/>
  <c r="I20" s="1"/>
  <c r="F19"/>
  <c r="G19" s="1"/>
  <c r="H19" s="1"/>
  <c r="E19"/>
  <c r="I19" s="1"/>
  <c r="F18"/>
  <c r="G18" s="1"/>
  <c r="H18" s="1"/>
  <c r="E18"/>
  <c r="I18" s="1"/>
  <c r="F17"/>
  <c r="G17" s="1"/>
  <c r="H17" s="1"/>
  <c r="E17"/>
  <c r="I17" s="1"/>
  <c r="F16"/>
  <c r="G16" s="1"/>
  <c r="H16" s="1"/>
  <c r="E16"/>
  <c r="I16" s="1"/>
  <c r="F15"/>
  <c r="G15" s="1"/>
  <c r="H15" s="1"/>
  <c r="E15"/>
  <c r="I15" s="1"/>
  <c r="G7" i="5"/>
  <c r="I67" i="7"/>
  <c r="I66"/>
  <c r="H66"/>
  <c r="H67"/>
  <c r="I69"/>
  <c r="H69"/>
  <c r="H68"/>
  <c r="I68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J11" l="1"/>
  <c r="L11" s="1"/>
  <c r="J10"/>
  <c r="L10" s="1"/>
  <c r="J12"/>
  <c r="L12" s="1"/>
  <c r="J13"/>
  <c r="L13" s="1"/>
  <c r="J14"/>
  <c r="L14" s="1"/>
  <c r="J15"/>
  <c r="L15" s="1"/>
  <c r="J16"/>
  <c r="L16" s="1"/>
  <c r="J17"/>
  <c r="L17" s="1"/>
  <c r="J18"/>
  <c r="L18" s="1"/>
  <c r="J19"/>
  <c r="L19" s="1"/>
  <c r="J20"/>
  <c r="L20" s="1"/>
  <c r="J21"/>
  <c r="L21" s="1"/>
  <c r="J22"/>
  <c r="L22" s="1"/>
  <c r="J23"/>
  <c r="L23" s="1"/>
  <c r="J24"/>
  <c r="L24" s="1"/>
  <c r="J25"/>
  <c r="L25" s="1"/>
  <c r="J26"/>
  <c r="L26" s="1"/>
  <c r="J27"/>
  <c r="L27" s="1"/>
  <c r="J28"/>
  <c r="L28" s="1"/>
  <c r="J29"/>
  <c r="L29" s="1"/>
  <c r="J30"/>
  <c r="L30" s="1"/>
  <c r="J31"/>
  <c r="L31" s="1"/>
  <c r="J32"/>
  <c r="L32" s="1"/>
  <c r="J33"/>
  <c r="L33" s="1"/>
  <c r="J34"/>
  <c r="L34" s="1"/>
  <c r="J35"/>
  <c r="L35" s="1"/>
  <c r="J36"/>
  <c r="L36" s="1"/>
  <c r="J37"/>
  <c r="L37" s="1"/>
  <c r="J38"/>
  <c r="L38" s="1"/>
  <c r="J39"/>
  <c r="L39" s="1"/>
  <c r="J40"/>
  <c r="L40" s="1"/>
  <c r="J41"/>
  <c r="L41" s="1"/>
  <c r="J42"/>
  <c r="L42" s="1"/>
  <c r="J43"/>
  <c r="L43" s="1"/>
  <c r="J44"/>
  <c r="L44" s="1"/>
  <c r="J45"/>
  <c r="L45" s="1"/>
  <c r="J46"/>
  <c r="L46" s="1"/>
  <c r="J47"/>
  <c r="L47" s="1"/>
  <c r="J48"/>
  <c r="L48" s="1"/>
  <c r="J49"/>
  <c r="L49" s="1"/>
  <c r="J50"/>
  <c r="L50" s="1"/>
  <c r="K11"/>
  <c r="M11" s="1"/>
  <c r="K10"/>
  <c r="K12"/>
  <c r="M12" s="1"/>
  <c r="K13"/>
  <c r="M13" s="1"/>
  <c r="K14"/>
  <c r="M14" s="1"/>
  <c r="K15"/>
  <c r="M15" s="1"/>
  <c r="K16"/>
  <c r="M16" s="1"/>
  <c r="K17"/>
  <c r="M17" s="1"/>
  <c r="K18"/>
  <c r="M18" s="1"/>
  <c r="K19"/>
  <c r="M19" s="1"/>
  <c r="K20"/>
  <c r="M20" s="1"/>
  <c r="K21"/>
  <c r="M21" s="1"/>
  <c r="K22"/>
  <c r="M22" s="1"/>
  <c r="K23"/>
  <c r="M23" s="1"/>
  <c r="K24"/>
  <c r="M24" s="1"/>
  <c r="K25"/>
  <c r="M25" s="1"/>
  <c r="K26"/>
  <c r="M26" s="1"/>
  <c r="K27"/>
  <c r="M27" s="1"/>
  <c r="K28"/>
  <c r="M28" s="1"/>
  <c r="K29"/>
  <c r="M29" s="1"/>
  <c r="K30"/>
  <c r="M30" s="1"/>
  <c r="K31"/>
  <c r="M31" s="1"/>
  <c r="K32"/>
  <c r="M32" s="1"/>
  <c r="K33"/>
  <c r="M33" s="1"/>
  <c r="K34"/>
  <c r="M34" s="1"/>
  <c r="K35"/>
  <c r="M35" s="1"/>
  <c r="K36"/>
  <c r="M36" s="1"/>
  <c r="K37"/>
  <c r="M37" s="1"/>
  <c r="K38"/>
  <c r="M38" s="1"/>
  <c r="K39"/>
  <c r="M39" s="1"/>
  <c r="K40"/>
  <c r="M40" s="1"/>
  <c r="K41"/>
  <c r="M41" s="1"/>
  <c r="K42"/>
  <c r="M42" s="1"/>
  <c r="K43"/>
  <c r="M43" s="1"/>
  <c r="K44"/>
  <c r="M44" s="1"/>
  <c r="K45"/>
  <c r="M45" s="1"/>
  <c r="K46"/>
  <c r="M46" s="1"/>
  <c r="K47"/>
  <c r="M47" s="1"/>
  <c r="K48"/>
  <c r="M48" s="1"/>
  <c r="K49"/>
  <c r="M49" s="1"/>
  <c r="K50"/>
  <c r="M50" s="1"/>
  <c r="J15" i="8"/>
  <c r="J16"/>
  <c r="J17"/>
  <c r="J18"/>
  <c r="J19"/>
  <c r="J20"/>
  <c r="J21"/>
  <c r="J22"/>
  <c r="J23"/>
  <c r="J24"/>
  <c r="J25"/>
  <c r="J26"/>
  <c r="B9" i="7"/>
  <c r="M10" l="1"/>
  <c r="G70"/>
  <c r="H70"/>
  <c r="I70"/>
  <c r="K70" l="1"/>
  <c r="J70"/>
  <c r="L70" s="1"/>
  <c r="M70" l="1"/>
  <c r="E14" i="8" l="1"/>
  <c r="F9"/>
  <c r="C7"/>
  <c r="G8" i="7"/>
  <c r="B17" i="5"/>
  <c r="C17"/>
  <c r="B16"/>
  <c r="C16"/>
  <c r="C24"/>
  <c r="C26" s="1"/>
  <c r="H8" i="7"/>
  <c r="H9"/>
  <c r="I8"/>
  <c r="I9"/>
  <c r="D17" i="5" l="1"/>
  <c r="E17" s="1"/>
  <c r="C21" s="1"/>
  <c r="C27"/>
  <c r="G24" s="1"/>
  <c r="G25" s="1"/>
  <c r="D16"/>
  <c r="E16" s="1"/>
  <c r="C20" s="1"/>
  <c r="D20" s="1"/>
  <c r="E24"/>
  <c r="E25"/>
  <c r="F14" i="8"/>
  <c r="G14" s="1"/>
  <c r="H14" s="1"/>
  <c r="K9" i="7"/>
  <c r="J9"/>
  <c r="L9" s="1"/>
  <c r="D21" i="5" l="1"/>
  <c r="E21" s="1"/>
  <c r="F21" s="1"/>
  <c r="E27"/>
  <c r="C22"/>
  <c r="C25" s="1"/>
  <c r="G27" s="1"/>
  <c r="E20"/>
  <c r="F20" s="1"/>
  <c r="I14" i="8"/>
  <c r="J14" s="1"/>
  <c r="N9" i="7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M9"/>
  <c r="D22" i="5" l="1"/>
  <c r="E22" s="1"/>
  <c r="F22" s="1"/>
  <c r="E26"/>
  <c r="C32" s="1"/>
  <c r="C33" s="1"/>
  <c r="C34" s="1"/>
  <c r="C35" s="1"/>
  <c r="G26"/>
  <c r="G32"/>
  <c r="D32" l="1"/>
  <c r="D33" s="1"/>
  <c r="D34" s="1"/>
  <c r="D35" s="1"/>
  <c r="E32"/>
  <c r="F32" s="1"/>
  <c r="G33"/>
  <c r="E33" l="1"/>
  <c r="F33" s="1"/>
  <c r="G34"/>
  <c r="G35" l="1"/>
  <c r="E35" s="1"/>
  <c r="F35" s="1"/>
  <c r="E34"/>
  <c r="F34" s="1"/>
  <c r="B66" i="7" l="1"/>
  <c r="J66" l="1"/>
  <c r="L66" s="1"/>
  <c r="K66"/>
  <c r="B67"/>
  <c r="M66" l="1"/>
  <c r="J67"/>
  <c r="L67" s="1"/>
  <c r="B68"/>
  <c r="K67"/>
  <c r="N66"/>
  <c r="M67" l="1"/>
  <c r="N67"/>
  <c r="K68"/>
  <c r="B69"/>
  <c r="J68"/>
  <c r="L68" s="1"/>
  <c r="J69" l="1"/>
  <c r="L69" s="1"/>
  <c r="K69"/>
  <c r="N68"/>
  <c r="M68"/>
  <c r="M69" l="1"/>
  <c r="N69"/>
  <c r="N70" s="1"/>
</calcChain>
</file>

<file path=xl/sharedStrings.xml><?xml version="1.0" encoding="utf-8"?>
<sst xmlns="http://schemas.openxmlformats.org/spreadsheetml/2006/main" count="111" uniqueCount="94">
  <si>
    <t>Dados da Poligonal</t>
  </si>
  <si>
    <t>Calculos Auxiliares</t>
  </si>
  <si>
    <t>Azimutes e AC</t>
  </si>
  <si>
    <t>Pontos</t>
  </si>
  <si>
    <t>E</t>
  </si>
  <si>
    <t>N</t>
  </si>
  <si>
    <t>DeltaE</t>
  </si>
  <si>
    <t>DeltaN</t>
  </si>
  <si>
    <t>D</t>
  </si>
  <si>
    <t>DeltaN/D</t>
  </si>
  <si>
    <t>rad</t>
  </si>
  <si>
    <t>A</t>
  </si>
  <si>
    <t>PI</t>
  </si>
  <si>
    <t>B</t>
  </si>
  <si>
    <t>Dados da Curva</t>
  </si>
  <si>
    <t>Raio</t>
  </si>
  <si>
    <t>Estaqueamento</t>
  </si>
  <si>
    <t>Coordenadas</t>
  </si>
  <si>
    <t>Int</t>
  </si>
  <si>
    <t>Frac</t>
  </si>
  <si>
    <t>Distancia</t>
  </si>
  <si>
    <t>Estaca</t>
  </si>
  <si>
    <t>Obs</t>
  </si>
  <si>
    <t>x</t>
  </si>
  <si>
    <t>x2</t>
  </si>
  <si>
    <t>Ax2/200L</t>
  </si>
  <si>
    <t>Greide Conc</t>
  </si>
  <si>
    <t>PCV</t>
  </si>
  <si>
    <t>PIV</t>
  </si>
  <si>
    <t>PTV</t>
  </si>
  <si>
    <t>La=</t>
  </si>
  <si>
    <t>na=</t>
  </si>
  <si>
    <t>OBS.: As células em amarelo devem ser</t>
  </si>
  <si>
    <t>HB=</t>
  </si>
  <si>
    <t>lb=</t>
  </si>
  <si>
    <t>fc=</t>
  </si>
  <si>
    <t>preenchidas pelo usuário.</t>
  </si>
  <si>
    <t>Lc=</t>
  </si>
  <si>
    <t>nc=</t>
  </si>
  <si>
    <t>ESTACA</t>
  </si>
  <si>
    <t xml:space="preserve">COTA </t>
  </si>
  <si>
    <t>DECLIV. DO</t>
  </si>
  <si>
    <t>VOLUME GEOMÉTRICO</t>
  </si>
  <si>
    <t>INT</t>
  </si>
  <si>
    <t>INTERMED</t>
  </si>
  <si>
    <t>TERRENO</t>
  </si>
  <si>
    <t>GREIDE</t>
  </si>
  <si>
    <t>TERRENO (%)</t>
  </si>
  <si>
    <t>VERMELHA</t>
  </si>
  <si>
    <t>ATERRO</t>
  </si>
  <si>
    <t>CORTE</t>
  </si>
  <si>
    <t>LATERAL</t>
  </si>
  <si>
    <t>ACUMULADO</t>
  </si>
  <si>
    <t>ÁREA(m2)</t>
  </si>
  <si>
    <t>VOL ATERRO</t>
  </si>
  <si>
    <t>CORRIGIDO</t>
  </si>
  <si>
    <t xml:space="preserve">COMPENSACAO </t>
  </si>
  <si>
    <t xml:space="preserve">VOLUME </t>
  </si>
  <si>
    <t>Curva de Concordância Horizontal</t>
  </si>
  <si>
    <t>L=</t>
  </si>
  <si>
    <t>Cota PIV</t>
  </si>
  <si>
    <t>i1 em %=</t>
  </si>
  <si>
    <t>i2 em %=</t>
  </si>
  <si>
    <t>Estaca PIV</t>
  </si>
  <si>
    <t>Inteira</t>
  </si>
  <si>
    <t>Curva de concordancia Vertical</t>
  </si>
  <si>
    <t>TS</t>
  </si>
  <si>
    <t>SC</t>
  </si>
  <si>
    <t>CS</t>
  </si>
  <si>
    <t>ST</t>
  </si>
  <si>
    <t>No estacas</t>
  </si>
  <si>
    <t>TERRAPLENAGEM- CÁLCULO DOS VOLUMES DE CORTES E ATERROS</t>
  </si>
  <si>
    <t>AC=</t>
  </si>
  <si>
    <t>Curva Calculada</t>
  </si>
  <si>
    <t>q=</t>
  </si>
  <si>
    <t xml:space="preserve">p= </t>
  </si>
  <si>
    <t>T=</t>
  </si>
  <si>
    <t>Greide Reto</t>
  </si>
  <si>
    <t>Calculos conforme DNIT</t>
  </si>
  <si>
    <t>L</t>
  </si>
  <si>
    <t>Grau</t>
  </si>
  <si>
    <t>Minuto</t>
  </si>
  <si>
    <t>Segundo</t>
  </si>
  <si>
    <r>
      <rPr>
        <sz val="10"/>
        <rFont val="Calibri"/>
        <family val="2"/>
      </rPr>
      <t>ψ1</t>
    </r>
    <r>
      <rPr>
        <sz val="10"/>
        <rFont val="Arial"/>
        <family val="2"/>
      </rPr>
      <t>=</t>
    </r>
  </si>
  <si>
    <t>ψ2=</t>
  </si>
  <si>
    <r>
      <t>x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=</t>
    </r>
  </si>
  <si>
    <r>
      <t>y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=</t>
    </r>
  </si>
  <si>
    <r>
      <t>c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=</t>
    </r>
  </si>
  <si>
    <r>
      <t>i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=</t>
    </r>
  </si>
  <si>
    <r>
      <t>j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=</t>
    </r>
  </si>
  <si>
    <t>Ф1=</t>
  </si>
  <si>
    <t>θ=</t>
  </si>
  <si>
    <r>
      <t>C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=</t>
    </r>
  </si>
  <si>
    <r>
      <t>D</t>
    </r>
    <r>
      <rPr>
        <vertAlign val="subscript"/>
        <sz val="10"/>
        <rFont val="Calibri"/>
        <family val="2"/>
      </rPr>
      <t>θ</t>
    </r>
    <r>
      <rPr>
        <sz val="10"/>
        <rFont val="Arial"/>
        <family val="2"/>
      </rPr>
      <t>=</t>
    </r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</si>
</sst>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9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9"/>
      <name val="Times New Roman"/>
      <family val="1"/>
    </font>
    <font>
      <sz val="10"/>
      <name val="Arial"/>
      <family val="2"/>
    </font>
    <font>
      <sz val="10"/>
      <name val="Calibri"/>
      <family val="2"/>
    </font>
    <font>
      <vertAlign val="subscript"/>
      <sz val="10"/>
      <name val="Arial"/>
      <family val="2"/>
    </font>
    <font>
      <vertAlign val="subscript"/>
      <sz val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rgb="FFFFFF99"/>
      </patternFill>
    </fill>
    <fill>
      <patternFill patternType="solid">
        <fgColor rgb="FFFFFF9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0" fillId="0" borderId="0" xfId="0" applyProtection="1">
      <protection hidden="1"/>
    </xf>
    <xf numFmtId="0" fontId="3" fillId="0" borderId="0" xfId="0" applyFont="1" applyAlignment="1" applyProtection="1">
      <alignment horizontal="center" vertical="center"/>
      <protection hidden="1"/>
    </xf>
    <xf numFmtId="165" fontId="0" fillId="0" borderId="0" xfId="0" applyNumberFormat="1" applyProtection="1">
      <protection hidden="1"/>
    </xf>
    <xf numFmtId="0" fontId="0" fillId="0" borderId="0" xfId="0" applyNumberFormat="1" applyProtection="1">
      <protection hidden="1"/>
    </xf>
    <xf numFmtId="1" fontId="0" fillId="0" borderId="0" xfId="0" applyNumberFormat="1" applyProtection="1">
      <protection hidden="1"/>
    </xf>
    <xf numFmtId="0" fontId="0" fillId="0" borderId="0" xfId="0" applyFill="1" applyBorder="1" applyProtection="1">
      <protection hidden="1"/>
    </xf>
    <xf numFmtId="0" fontId="0" fillId="2" borderId="1" xfId="0" applyFill="1" applyBorder="1" applyProtection="1">
      <protection locked="0"/>
    </xf>
    <xf numFmtId="0" fontId="1" fillId="0" borderId="0" xfId="0" applyFont="1" applyProtection="1">
      <protection hidden="1"/>
    </xf>
    <xf numFmtId="2" fontId="0" fillId="0" borderId="0" xfId="0" applyNumberFormat="1" applyProtection="1"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0" fontId="1" fillId="0" borderId="1" xfId="0" applyFont="1" applyBorder="1" applyProtection="1">
      <protection hidden="1"/>
    </xf>
    <xf numFmtId="0" fontId="0" fillId="0" borderId="1" xfId="0" applyBorder="1" applyProtection="1">
      <protection hidden="1"/>
    </xf>
    <xf numFmtId="164" fontId="0" fillId="0" borderId="0" xfId="0" applyNumberForma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164" fontId="0" fillId="0" borderId="0" xfId="0" applyNumberFormat="1" applyProtection="1">
      <protection hidden="1"/>
    </xf>
    <xf numFmtId="9" fontId="0" fillId="2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164" fontId="0" fillId="2" borderId="1" xfId="0" applyNumberFormat="1" applyFill="1" applyBorder="1" applyProtection="1">
      <protection locked="0"/>
    </xf>
    <xf numFmtId="0" fontId="0" fillId="0" borderId="0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26" xfId="0" applyBorder="1" applyProtection="1">
      <protection hidden="1"/>
    </xf>
    <xf numFmtId="0" fontId="0" fillId="6" borderId="1" xfId="0" applyFill="1" applyBorder="1" applyProtection="1">
      <protection locked="0"/>
    </xf>
    <xf numFmtId="165" fontId="0" fillId="2" borderId="1" xfId="0" applyNumberFormat="1" applyFill="1" applyBorder="1" applyProtection="1">
      <protection locked="0"/>
    </xf>
    <xf numFmtId="0" fontId="0" fillId="0" borderId="0" xfId="0" applyAlignme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27" xfId="0" applyBorder="1" applyProtection="1">
      <protection hidden="1"/>
    </xf>
    <xf numFmtId="0" fontId="0" fillId="0" borderId="28" xfId="0" applyBorder="1" applyProtection="1">
      <protection hidden="1"/>
    </xf>
    <xf numFmtId="0" fontId="0" fillId="0" borderId="29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165" fontId="0" fillId="0" borderId="1" xfId="0" applyNumberFormat="1" applyBorder="1" applyProtection="1">
      <protection hidden="1"/>
    </xf>
    <xf numFmtId="0" fontId="1" fillId="0" borderId="1" xfId="0" applyFont="1" applyBorder="1" applyAlignment="1" applyProtection="1">
      <alignment horizontal="center"/>
      <protection hidden="1"/>
    </xf>
    <xf numFmtId="0" fontId="0" fillId="2" borderId="3" xfId="0" applyFill="1" applyBorder="1" applyProtection="1">
      <protection locked="0"/>
    </xf>
    <xf numFmtId="0" fontId="0" fillId="0" borderId="20" xfId="0" applyBorder="1" applyProtection="1">
      <protection hidden="1"/>
    </xf>
    <xf numFmtId="165" fontId="0" fillId="2" borderId="3" xfId="0" applyNumberFormat="1" applyFill="1" applyBorder="1" applyProtection="1">
      <protection locked="0"/>
    </xf>
    <xf numFmtId="0" fontId="0" fillId="0" borderId="1" xfId="0" applyFill="1" applyBorder="1" applyProtection="1">
      <protection hidden="1"/>
    </xf>
    <xf numFmtId="0" fontId="0" fillId="7" borderId="3" xfId="0" applyFill="1" applyBorder="1" applyProtection="1">
      <protection locked="0"/>
    </xf>
    <xf numFmtId="0" fontId="1" fillId="0" borderId="5" xfId="0" applyFont="1" applyBorder="1" applyProtection="1">
      <protection hidden="1"/>
    </xf>
    <xf numFmtId="0" fontId="6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0" borderId="0" xfId="0" applyFont="1" applyBorder="1" applyProtection="1">
      <protection hidden="1"/>
    </xf>
    <xf numFmtId="2" fontId="0" fillId="0" borderId="0" xfId="0" applyNumberFormat="1" applyBorder="1" applyProtection="1"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0" xfId="0" applyProtection="1">
      <protection locked="0" hidden="1"/>
    </xf>
    <xf numFmtId="0" fontId="0" fillId="0" borderId="2" xfId="0" applyFill="1" applyBorder="1" applyAlignment="1" applyProtection="1">
      <alignment horizontal="center"/>
      <protection locked="0" hidden="1"/>
    </xf>
    <xf numFmtId="0" fontId="0" fillId="0" borderId="0" xfId="0" applyFill="1" applyBorder="1" applyAlignment="1" applyProtection="1">
      <alignment horizontal="center"/>
      <protection locked="0" hidden="1"/>
    </xf>
    <xf numFmtId="0" fontId="0" fillId="0" borderId="0" xfId="0" applyBorder="1" applyProtection="1">
      <protection locked="0" hidden="1"/>
    </xf>
    <xf numFmtId="0" fontId="0" fillId="3" borderId="3" xfId="0" applyFill="1" applyBorder="1" applyAlignment="1" applyProtection="1">
      <alignment horizontal="right"/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3" borderId="1" xfId="0" applyFill="1" applyBorder="1" applyAlignment="1" applyProtection="1">
      <alignment horizontal="right"/>
      <protection locked="0" hidden="1"/>
    </xf>
    <xf numFmtId="0" fontId="0" fillId="2" borderId="1" xfId="0" applyFill="1" applyBorder="1" applyAlignment="1" applyProtection="1">
      <alignment horizontal="center"/>
      <protection locked="0" hidden="1"/>
    </xf>
    <xf numFmtId="0" fontId="0" fillId="3" borderId="0" xfId="0" applyFill="1" applyBorder="1" applyProtection="1">
      <protection locked="0" hidden="1"/>
    </xf>
    <xf numFmtId="0" fontId="0" fillId="0" borderId="0" xfId="0" applyFill="1" applyBorder="1" applyProtection="1">
      <protection locked="0" hidden="1"/>
    </xf>
    <xf numFmtId="0" fontId="0" fillId="0" borderId="0" xfId="0" applyFill="1" applyBorder="1" applyAlignment="1" applyProtection="1">
      <alignment horizontal="right"/>
      <protection locked="0" hidden="1"/>
    </xf>
    <xf numFmtId="0" fontId="1" fillId="5" borderId="1" xfId="0" applyFont="1" applyFill="1" applyBorder="1" applyProtection="1">
      <protection locked="0" hidden="1"/>
    </xf>
    <xf numFmtId="0" fontId="0" fillId="4" borderId="1" xfId="0" applyFill="1" applyBorder="1" applyProtection="1">
      <protection locked="0" hidden="1"/>
    </xf>
    <xf numFmtId="0" fontId="0" fillId="0" borderId="5" xfId="0" applyBorder="1" applyProtection="1">
      <protection locked="0" hidden="1"/>
    </xf>
    <xf numFmtId="0" fontId="0" fillId="0" borderId="26" xfId="0" applyBorder="1" applyProtection="1">
      <protection locked="0" hidden="1"/>
    </xf>
    <xf numFmtId="0" fontId="0" fillId="0" borderId="0" xfId="0" applyFill="1" applyProtection="1">
      <protection locked="0" hidden="1"/>
    </xf>
    <xf numFmtId="0" fontId="4" fillId="0" borderId="6" xfId="0" applyFont="1" applyFill="1" applyBorder="1" applyAlignment="1" applyProtection="1">
      <alignment horizontal="center"/>
      <protection locked="0" hidden="1"/>
    </xf>
    <xf numFmtId="0" fontId="4" fillId="0" borderId="7" xfId="0" applyFont="1" applyFill="1" applyBorder="1" applyAlignment="1" applyProtection="1">
      <alignment horizontal="center"/>
      <protection locked="0" hidden="1"/>
    </xf>
    <xf numFmtId="0" fontId="4" fillId="0" borderId="13" xfId="0" applyFont="1" applyFill="1" applyBorder="1" applyAlignment="1" applyProtection="1">
      <alignment horizontal="center"/>
      <protection locked="0" hidden="1"/>
    </xf>
    <xf numFmtId="0" fontId="4" fillId="0" borderId="8" xfId="0" applyFont="1" applyFill="1" applyBorder="1" applyAlignment="1" applyProtection="1">
      <alignment horizontal="center"/>
      <protection locked="0" hidden="1"/>
    </xf>
    <xf numFmtId="0" fontId="4" fillId="0" borderId="9" xfId="0" applyFont="1" applyFill="1" applyBorder="1" applyAlignment="1" applyProtection="1">
      <alignment horizontal="center"/>
      <protection locked="0" hidden="1"/>
    </xf>
    <xf numFmtId="0" fontId="4" fillId="0" borderId="10" xfId="0" applyFont="1" applyFill="1" applyBorder="1" applyAlignment="1" applyProtection="1">
      <alignment horizontal="center"/>
      <protection locked="0" hidden="1"/>
    </xf>
    <xf numFmtId="0" fontId="4" fillId="0" borderId="11" xfId="0" applyFont="1" applyFill="1" applyBorder="1" applyAlignment="1" applyProtection="1">
      <alignment horizontal="center"/>
      <protection locked="0" hidden="1"/>
    </xf>
    <xf numFmtId="0" fontId="4" fillId="0" borderId="14" xfId="0" applyFont="1" applyFill="1" applyBorder="1" applyAlignment="1" applyProtection="1">
      <alignment horizontal="center"/>
      <protection locked="0" hidden="1"/>
    </xf>
    <xf numFmtId="0" fontId="0" fillId="2" borderId="22" xfId="0" applyFill="1" applyBorder="1" applyProtection="1">
      <protection locked="0" hidden="1"/>
    </xf>
    <xf numFmtId="164" fontId="0" fillId="2" borderId="23" xfId="0" applyNumberFormat="1" applyFill="1" applyBorder="1" applyProtection="1">
      <protection locked="0" hidden="1"/>
    </xf>
    <xf numFmtId="164" fontId="5" fillId="2" borderId="6" xfId="0" applyNumberFormat="1" applyFont="1" applyFill="1" applyBorder="1" applyAlignment="1" applyProtection="1">
      <alignment horizontal="center" vertical="top" wrapText="1"/>
      <protection locked="0" hidden="1"/>
    </xf>
    <xf numFmtId="164" fontId="0" fillId="2" borderId="2" xfId="0" applyNumberFormat="1" applyFill="1" applyBorder="1" applyProtection="1">
      <protection locked="0" hidden="1"/>
    </xf>
    <xf numFmtId="9" fontId="1" fillId="2" borderId="24" xfId="1" applyFill="1" applyBorder="1" applyAlignment="1" applyProtection="1">
      <alignment horizontal="center"/>
      <protection locked="0" hidden="1"/>
    </xf>
    <xf numFmtId="0" fontId="0" fillId="0" borderId="25" xfId="0" applyFill="1" applyBorder="1" applyProtection="1">
      <protection locked="0" hidden="1"/>
    </xf>
    <xf numFmtId="2" fontId="0" fillId="0" borderId="25" xfId="0" applyNumberFormat="1" applyFill="1" applyBorder="1" applyProtection="1">
      <protection locked="0" hidden="1"/>
    </xf>
    <xf numFmtId="2" fontId="0" fillId="2" borderId="25" xfId="0" applyNumberFormat="1" applyFill="1" applyBorder="1" applyAlignment="1" applyProtection="1">
      <alignment horizontal="right"/>
      <protection locked="0" hidden="1"/>
    </xf>
    <xf numFmtId="0" fontId="0" fillId="2" borderId="21" xfId="0" applyFill="1" applyBorder="1" applyProtection="1">
      <protection locked="0" hidden="1"/>
    </xf>
    <xf numFmtId="164" fontId="0" fillId="2" borderId="21" xfId="0" applyNumberFormat="1" applyFill="1" applyBorder="1" applyProtection="1">
      <protection locked="0" hidden="1"/>
    </xf>
    <xf numFmtId="164" fontId="5" fillId="2" borderId="21" xfId="0" applyNumberFormat="1" applyFont="1" applyFill="1" applyBorder="1" applyAlignment="1" applyProtection="1">
      <alignment horizontal="center" vertical="top" wrapText="1"/>
      <protection locked="0" hidden="1"/>
    </xf>
    <xf numFmtId="9" fontId="1" fillId="2" borderId="21" xfId="1" applyFont="1" applyFill="1" applyBorder="1" applyAlignment="1" applyProtection="1">
      <alignment horizontal="center"/>
      <protection locked="0" hidden="1"/>
    </xf>
    <xf numFmtId="0" fontId="0" fillId="0" borderId="21" xfId="0" applyFill="1" applyBorder="1" applyProtection="1">
      <protection locked="0" hidden="1"/>
    </xf>
    <xf numFmtId="2" fontId="0" fillId="0" borderId="21" xfId="0" applyNumberFormat="1" applyFill="1" applyBorder="1" applyProtection="1">
      <protection locked="0" hidden="1"/>
    </xf>
    <xf numFmtId="2" fontId="0" fillId="0" borderId="21" xfId="0" applyNumberFormat="1" applyFill="1" applyBorder="1" applyAlignment="1" applyProtection="1">
      <alignment horizontal="right"/>
      <protection locked="0" hidden="1"/>
    </xf>
    <xf numFmtId="0" fontId="1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12" xfId="0" applyBorder="1" applyAlignment="1" applyProtection="1">
      <protection hidden="1"/>
    </xf>
    <xf numFmtId="0" fontId="0" fillId="0" borderId="20" xfId="0" applyBorder="1" applyAlignment="1" applyProtection="1">
      <protection hidden="1"/>
    </xf>
    <xf numFmtId="0" fontId="1" fillId="0" borderId="1" xfId="0" applyFon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protection hidden="1"/>
    </xf>
    <xf numFmtId="0" fontId="0" fillId="0" borderId="29" xfId="0" applyBorder="1" applyAlignment="1" applyProtection="1">
      <protection hidden="1"/>
    </xf>
    <xf numFmtId="165" fontId="1" fillId="0" borderId="4" xfId="0" applyNumberFormat="1" applyFont="1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/>
      <protection locked="0" hidden="1"/>
    </xf>
    <xf numFmtId="0" fontId="4" fillId="0" borderId="16" xfId="0" applyFont="1" applyFill="1" applyBorder="1" applyAlignment="1" applyProtection="1">
      <alignment horizontal="center"/>
      <protection locked="0" hidden="1"/>
    </xf>
    <xf numFmtId="0" fontId="4" fillId="0" borderId="17" xfId="0" applyFont="1" applyFill="1" applyBorder="1" applyAlignment="1" applyProtection="1">
      <alignment horizontal="center"/>
      <protection locked="0" hidden="1"/>
    </xf>
    <xf numFmtId="0" fontId="4" fillId="0" borderId="18" xfId="0" applyFont="1" applyFill="1" applyBorder="1" applyAlignment="1" applyProtection="1">
      <alignment horizontal="center"/>
      <protection locked="0" hidden="1"/>
    </xf>
    <xf numFmtId="0" fontId="4" fillId="0" borderId="7" xfId="0" applyFont="1" applyFill="1" applyBorder="1" applyAlignment="1" applyProtection="1">
      <alignment horizontal="center"/>
      <protection locked="0" hidden="1"/>
    </xf>
    <xf numFmtId="0" fontId="4" fillId="0" borderId="19" xfId="0" applyFont="1" applyFill="1" applyBorder="1" applyAlignment="1" applyProtection="1">
      <alignment horizontal="center"/>
      <protection locked="0" hidden="1"/>
    </xf>
    <xf numFmtId="0" fontId="1" fillId="0" borderId="4" xfId="0" applyFont="1" applyBorder="1" applyAlignment="1" applyProtection="1">
      <alignment horizontal="center"/>
      <protection locked="0" hidden="1"/>
    </xf>
    <xf numFmtId="0" fontId="0" fillId="0" borderId="12" xfId="0" applyBorder="1" applyAlignment="1" applyProtection="1">
      <alignment horizontal="center"/>
      <protection locked="0" hidden="1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colors>
    <mruColors>
      <color rgb="FFFFFF99"/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>
        <c:manualLayout>
          <c:layoutTarget val="inner"/>
          <c:xMode val="edge"/>
          <c:yMode val="edge"/>
          <c:x val="0.1563710648148148"/>
          <c:y val="3.2639351851851892E-2"/>
          <c:w val="0.58844560185185157"/>
          <c:h val="0.88363217592592447"/>
        </c:manualLayout>
      </c:layout>
      <c:scatterChart>
        <c:scatterStyle val="lineMarker"/>
        <c:ser>
          <c:idx val="0"/>
          <c:order val="0"/>
          <c:tx>
            <c:v>Dados Calculados</c:v>
          </c:tx>
          <c:xVal>
            <c:numRef>
              <c:f>CurvaHorizontal!$C$32:$C$35</c:f>
              <c:numCache>
                <c:formatCode>0.0000</c:formatCode>
                <c:ptCount val="4"/>
                <c:pt idx="0">
                  <c:v>911.71935419929412</c:v>
                </c:pt>
                <c:pt idx="1">
                  <c:v>970.69837983630623</c:v>
                </c:pt>
                <c:pt idx="2">
                  <c:v>1044.5762196365522</c:v>
                </c:pt>
                <c:pt idx="3">
                  <c:v>1121.4003051182719</c:v>
                </c:pt>
              </c:numCache>
            </c:numRef>
          </c:xVal>
          <c:yVal>
            <c:numRef>
              <c:f>CurvaHorizontal!$D$32:$D$35</c:f>
              <c:numCache>
                <c:formatCode>0.0000</c:formatCode>
                <c:ptCount val="4"/>
                <c:pt idx="0">
                  <c:v>911.71935419929412</c:v>
                </c:pt>
                <c:pt idx="1">
                  <c:v>965.67644649782301</c:v>
                </c:pt>
                <c:pt idx="2">
                  <c:v>1007.0464112956914</c:v>
                </c:pt>
                <c:pt idx="3">
                  <c:v>1029.1360732283854</c:v>
                </c:pt>
              </c:numCache>
            </c:numRef>
          </c:yVal>
        </c:ser>
        <c:ser>
          <c:idx val="1"/>
          <c:order val="1"/>
          <c:tx>
            <c:v>Poligonal</c:v>
          </c:tx>
          <c:xVal>
            <c:numRef>
              <c:f>CurvaHorizontal!$C$7:$C$9</c:f>
              <c:numCache>
                <c:formatCode>0.0000</c:formatCode>
                <c:ptCount val="3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</c:numCache>
            </c:numRef>
          </c:xVal>
          <c:yVal>
            <c:numRef>
              <c:f>CurvaHorizontal!$D$7:$D$9</c:f>
              <c:numCache>
                <c:formatCode>0.0000</c:formatCode>
                <c:ptCount val="3"/>
                <c:pt idx="0">
                  <c:v>500</c:v>
                </c:pt>
                <c:pt idx="1">
                  <c:v>1000</c:v>
                </c:pt>
                <c:pt idx="2">
                  <c:v>1120</c:v>
                </c:pt>
              </c:numCache>
            </c:numRef>
          </c:yVal>
        </c:ser>
        <c:axId val="86366464"/>
        <c:axId val="86372352"/>
      </c:scatterChart>
      <c:valAx>
        <c:axId val="86366464"/>
        <c:scaling>
          <c:orientation val="minMax"/>
          <c:min val="500"/>
        </c:scaling>
        <c:axPos val="b"/>
        <c:numFmt formatCode="0.00" sourceLinked="0"/>
        <c:tickLblPos val="nextTo"/>
        <c:crossAx val="86372352"/>
        <c:crossesAt val="400"/>
        <c:crossBetween val="midCat"/>
      </c:valAx>
      <c:valAx>
        <c:axId val="86372352"/>
        <c:scaling>
          <c:orientation val="minMax"/>
          <c:min val="400"/>
        </c:scaling>
        <c:axPos val="l"/>
        <c:numFmt formatCode="0.00" sourceLinked="0"/>
        <c:tickLblPos val="nextTo"/>
        <c:spPr>
          <a:ln w="3175"/>
        </c:spPr>
        <c:crossAx val="86366464"/>
        <c:crosses val="autoZero"/>
        <c:crossBetween val="midCat"/>
        <c:majorUnit val="100"/>
      </c:valAx>
      <c:spPr>
        <a:blipFill>
          <a:blip xmlns:r="http://schemas.openxmlformats.org/officeDocument/2006/relationships" r:embed="rId1"/>
          <a:tile tx="0" ty="0" sx="100000" sy="100000" flip="none" algn="tl"/>
        </a:blipFill>
      </c:spPr>
    </c:plotArea>
    <c:legend>
      <c:legendPos val="r"/>
      <c:layout>
        <c:manualLayout>
          <c:xMode val="edge"/>
          <c:yMode val="edge"/>
          <c:x val="0.21404050925925927"/>
          <c:y val="0.20871458333333354"/>
          <c:w val="0.29711250000000045"/>
          <c:h val="0.10632083333333336"/>
        </c:manualLayout>
      </c:layout>
    </c:legend>
    <c:plotVisOnly val="1"/>
  </c:chart>
  <c:printSettings>
    <c:headerFooter/>
    <c:pageMargins b="0.78740157499999996" l="0.511811024" r="0.511811024" t="0.78740157499999996" header="0.31496062000000058" footer="0.31496062000000058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1</xdr:row>
      <xdr:rowOff>76200</xdr:rowOff>
    </xdr:from>
    <xdr:to>
      <xdr:col>10</xdr:col>
      <xdr:colOff>457200</xdr:colOff>
      <xdr:row>24</xdr:row>
      <xdr:rowOff>142875</xdr:rowOff>
    </xdr:to>
    <xdr:sp macro="" textlink="">
      <xdr:nvSpPr>
        <xdr:cNvPr id="2" name="CaixaDeTexto 1"/>
        <xdr:cNvSpPr txBox="1"/>
      </xdr:nvSpPr>
      <xdr:spPr>
        <a:xfrm>
          <a:off x="352425" y="238125"/>
          <a:ext cx="6200775" cy="3790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pt-BR" sz="1100"/>
            <a:t>PROJETO</a:t>
          </a:r>
          <a:r>
            <a:rPr lang="pt-BR" sz="1100" baseline="0"/>
            <a:t> GEOMÉTRICO  E DE TERRAPLENAGEM</a:t>
          </a:r>
        </a:p>
        <a:p>
          <a:pPr algn="l"/>
          <a:r>
            <a:rPr lang="pt-BR" sz="1100" baseline="0"/>
            <a:t>	A  presente planilha tem por finalidade auxiliar a realização do  projeto geométrico  e de terraplenagem de um trecho de estrada.</a:t>
          </a:r>
        </a:p>
        <a:p>
          <a:pPr algn="l"/>
          <a:r>
            <a:rPr lang="pt-BR" sz="1100" baseline="0"/>
            <a:t>	Para cada curva de concordancia horizontal  e vertical deve ser criada uma folha utilizando o botão existente. As  folhas das curvas horizontais e verticais podem ser criadas conforme se saiba com antecedencia quantas curvas serão  necessárias, ou ao termino do calculo de cada uma das curvas.  Evite apagar as linhas das planilhas CurvaHorizontal1 e CurvaVertical1.</a:t>
          </a:r>
        </a:p>
        <a:p>
          <a:pPr algn="l"/>
          <a:r>
            <a:rPr lang="pt-BR" sz="1100" baseline="0"/>
            <a:t>	Na folha de curva horizontal deve ser fornecido um par de coordenadas (E,N) de cada eixo e  as coordenadas  do PI. Deve ser fornecido, também, o comprimento de transição em metros.</a:t>
          </a:r>
        </a:p>
        <a:p>
          <a:pPr algn="l"/>
          <a:r>
            <a:rPr lang="pt-BR" sz="1100" baseline="0"/>
            <a:t>	Na folha curva vertical deve ser fornecida a cota e estaca do PIV em metros, a inclinação das tangentes  i1 e i2 em % bem como o comprimento da curva de concordancia em metros.  A seguir, deve ser acionado o botão que cria a planilha e realiza os calculos necessários.</a:t>
          </a:r>
        </a:p>
        <a:p>
          <a:pPr algn="l"/>
          <a:r>
            <a:rPr lang="pt-BR" sz="1100" baseline="0"/>
            <a:t>	Para a planilha de terraplenagem deve ser fornecido o numero aproximado de estacas que serão calculadas. A seguir deve ser acionado o botão (Prepara a Planilha) que gera a planilha onde serão inseridos os dados.</a:t>
          </a:r>
        </a:p>
        <a:p>
          <a:pPr algn="l"/>
          <a:r>
            <a:rPr lang="pt-BR" sz="1100" baseline="0"/>
            <a:t>	Devem ser fornecidas as informações relativas a largura da plataforma  em corte e aterro, a inclinação dos taludes de corte e aterro e a altura da banqueta. Uma vez estando a planilha preparada devem ser inseridos os dados em cada estaca  da declividade, a cota do terreno e a cota do greide.</a:t>
          </a:r>
        </a:p>
        <a:p>
          <a:pPr algn="l"/>
          <a:endParaRPr lang="pt-BR" sz="1100" baseline="0"/>
        </a:p>
        <a:p>
          <a:pPr algn="l"/>
          <a:r>
            <a:rPr lang="pt-BR" sz="1100" baseline="0"/>
            <a:t>	</a:t>
          </a:r>
        </a:p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5</xdr:row>
      <xdr:rowOff>9525</xdr:rowOff>
    </xdr:from>
    <xdr:to>
      <xdr:col>14</xdr:col>
      <xdr:colOff>0</xdr:colOff>
      <xdr:row>32</xdr:row>
      <xdr:rowOff>138531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workbookViewId="0">
      <selection activeCell="H28" sqref="H28"/>
    </sheetView>
  </sheetViews>
  <sheetFormatPr defaultRowHeight="12.7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8">
    <pageSetUpPr fitToPage="1"/>
  </sheetPr>
  <dimension ref="B1:R35"/>
  <sheetViews>
    <sheetView zoomScaleNormal="100" workbookViewId="0">
      <selection activeCell="G32" sqref="G32"/>
    </sheetView>
  </sheetViews>
  <sheetFormatPr defaultRowHeight="12.75"/>
  <cols>
    <col min="1" max="2" width="9.140625" style="1"/>
    <col min="3" max="4" width="11.140625" style="1" bestFit="1" customWidth="1"/>
    <col min="5" max="5" width="12" style="1" bestFit="1" customWidth="1"/>
    <col min="6" max="7" width="9.5703125" style="1" bestFit="1" customWidth="1"/>
    <col min="8" max="8" width="3.5703125" style="1" bestFit="1" customWidth="1"/>
    <col min="9" max="9" width="6.85546875" style="1" bestFit="1" customWidth="1"/>
    <col min="10" max="10" width="12.140625" style="1" customWidth="1"/>
    <col min="11" max="11" width="7.5703125" style="1" customWidth="1"/>
    <col min="12" max="14" width="12" style="1" customWidth="1"/>
    <col min="15" max="15" width="4" style="1" customWidth="1"/>
    <col min="16" max="16" width="2.7109375" style="1" customWidth="1"/>
    <col min="17" max="17" width="4.42578125" style="1" bestFit="1" customWidth="1"/>
    <col min="18" max="18" width="8.28515625" style="1" bestFit="1" customWidth="1"/>
    <col min="19" max="19" width="4.7109375" style="1" bestFit="1" customWidth="1"/>
    <col min="20" max="21" width="4.140625" style="1" bestFit="1" customWidth="1"/>
    <col min="22" max="16384" width="9.140625" style="1"/>
  </cols>
  <sheetData>
    <row r="1" spans="2:18">
      <c r="M1" s="25"/>
      <c r="N1" s="25"/>
      <c r="O1" s="25"/>
      <c r="P1" s="25"/>
      <c r="Q1" s="25"/>
    </row>
    <row r="2" spans="2:18">
      <c r="B2" s="86" t="s">
        <v>58</v>
      </c>
      <c r="C2" s="87"/>
      <c r="D2" s="87"/>
      <c r="E2" s="87"/>
      <c r="F2" s="22">
        <v>1</v>
      </c>
    </row>
    <row r="3" spans="2:18" ht="15.75">
      <c r="I3" s="2"/>
      <c r="J3" s="2"/>
      <c r="K3" s="2"/>
      <c r="L3" s="2"/>
      <c r="M3" s="2"/>
      <c r="N3" s="2"/>
      <c r="O3" s="2"/>
      <c r="P3" s="2"/>
      <c r="Q3" s="2"/>
      <c r="R3" s="24"/>
    </row>
    <row r="4" spans="2:18">
      <c r="B4" s="89" t="s">
        <v>0</v>
      </c>
      <c r="C4" s="90"/>
      <c r="D4" s="90"/>
      <c r="E4" s="93"/>
      <c r="F4" s="93"/>
      <c r="G4" s="94"/>
    </row>
    <row r="5" spans="2:18">
      <c r="B5" s="95" t="s">
        <v>17</v>
      </c>
      <c r="C5" s="96"/>
      <c r="D5" s="96"/>
      <c r="E5" s="97" t="s">
        <v>16</v>
      </c>
      <c r="F5" s="98"/>
      <c r="G5" s="99"/>
    </row>
    <row r="6" spans="2:18">
      <c r="B6" s="12" t="s">
        <v>3</v>
      </c>
      <c r="C6" s="30" t="s">
        <v>4</v>
      </c>
      <c r="D6" s="30" t="s">
        <v>5</v>
      </c>
      <c r="E6" s="32" t="s">
        <v>64</v>
      </c>
      <c r="F6" s="32" t="s">
        <v>19</v>
      </c>
      <c r="G6" s="11" t="s">
        <v>20</v>
      </c>
    </row>
    <row r="7" spans="2:18">
      <c r="B7" s="12" t="s">
        <v>11</v>
      </c>
      <c r="C7" s="35">
        <v>500</v>
      </c>
      <c r="D7" s="35">
        <v>500</v>
      </c>
      <c r="E7" s="37">
        <v>100</v>
      </c>
      <c r="F7" s="37">
        <v>0</v>
      </c>
      <c r="G7" s="27">
        <f>E7*20+F7</f>
        <v>2000</v>
      </c>
    </row>
    <row r="8" spans="2:18">
      <c r="B8" s="12" t="s">
        <v>12</v>
      </c>
      <c r="C8" s="23">
        <v>1000</v>
      </c>
      <c r="D8" s="23">
        <v>1000</v>
      </c>
      <c r="E8" s="19"/>
      <c r="F8" s="19"/>
      <c r="G8" s="27"/>
    </row>
    <row r="9" spans="2:18">
      <c r="B9" s="12" t="s">
        <v>13</v>
      </c>
      <c r="C9" s="23">
        <v>1500</v>
      </c>
      <c r="D9" s="23">
        <v>1120</v>
      </c>
      <c r="E9" s="20"/>
      <c r="F9" s="20"/>
      <c r="G9" s="29"/>
    </row>
    <row r="11" spans="2:18">
      <c r="B11" s="89" t="s">
        <v>14</v>
      </c>
      <c r="C11" s="90"/>
      <c r="D11" s="90"/>
      <c r="E11" s="90"/>
      <c r="F11" s="34"/>
    </row>
    <row r="12" spans="2:18">
      <c r="B12" s="28" t="s">
        <v>15</v>
      </c>
      <c r="C12" s="33">
        <v>300</v>
      </c>
      <c r="D12" s="20"/>
      <c r="E12" s="38" t="s">
        <v>79</v>
      </c>
      <c r="F12" s="33">
        <v>80</v>
      </c>
    </row>
    <row r="14" spans="2:18">
      <c r="B14" s="91" t="s">
        <v>1</v>
      </c>
      <c r="C14" s="92"/>
      <c r="D14" s="92"/>
      <c r="E14" s="92"/>
      <c r="F14" s="92"/>
    </row>
    <row r="15" spans="2:18">
      <c r="B15" s="1" t="s">
        <v>6</v>
      </c>
      <c r="C15" s="1" t="s">
        <v>7</v>
      </c>
      <c r="D15" s="1" t="s">
        <v>8</v>
      </c>
      <c r="E15" s="1" t="s">
        <v>9</v>
      </c>
    </row>
    <row r="16" spans="2:18">
      <c r="B16" s="1">
        <f>C8-C7</f>
        <v>500</v>
      </c>
      <c r="C16" s="1">
        <f>D8-D7</f>
        <v>500</v>
      </c>
      <c r="D16" s="1">
        <f>SQRT(B16^2+C16^2)</f>
        <v>707.10678118654755</v>
      </c>
      <c r="E16" s="1">
        <f>C16/D16</f>
        <v>0.70710678118654746</v>
      </c>
    </row>
    <row r="17" spans="2:7">
      <c r="B17" s="1">
        <f>C9-C8</f>
        <v>500</v>
      </c>
      <c r="C17" s="1">
        <f>D9-D8</f>
        <v>120</v>
      </c>
      <c r="D17" s="1">
        <f>SQRT(B17^2+C17^2)</f>
        <v>514.19840528729765</v>
      </c>
      <c r="E17" s="1">
        <f>C17/D17</f>
        <v>0.23337295247532419</v>
      </c>
    </row>
    <row r="18" spans="2:7">
      <c r="B18" s="87" t="s">
        <v>2</v>
      </c>
      <c r="C18" s="87"/>
      <c r="D18" s="87"/>
      <c r="E18" s="87"/>
      <c r="F18" s="87"/>
    </row>
    <row r="19" spans="2:7">
      <c r="C19" s="25" t="s">
        <v>10</v>
      </c>
      <c r="D19" s="26" t="s">
        <v>80</v>
      </c>
      <c r="E19" s="26" t="s">
        <v>81</v>
      </c>
      <c r="F19" s="26" t="s">
        <v>82</v>
      </c>
    </row>
    <row r="20" spans="2:7">
      <c r="B20" s="26" t="s">
        <v>83</v>
      </c>
      <c r="C20" s="3">
        <f>IF(B16&lt;0,2*PI()-ACOS(E16),ACOS(E16))</f>
        <v>0.78539816339744828</v>
      </c>
      <c r="D20" s="4">
        <f>TRUNC(DEGREES(C20))</f>
        <v>45</v>
      </c>
      <c r="E20" s="5">
        <f>TRUNC((DEGREES(C20)-D20)*60)</f>
        <v>0</v>
      </c>
      <c r="F20" s="1">
        <f>(DEGREES(C20)-(D20+E20/60))*3600</f>
        <v>0</v>
      </c>
    </row>
    <row r="21" spans="2:7">
      <c r="B21" s="26" t="s">
        <v>84</v>
      </c>
      <c r="C21" s="3">
        <f>IF(B17&lt;0,2*PI()-ACOS(E17),ACOS(E17))</f>
        <v>1.3352513460740332</v>
      </c>
      <c r="D21" s="4">
        <f>TRUNC(DEGREES(C21))</f>
        <v>76</v>
      </c>
      <c r="E21" s="5">
        <f>TRUNC((DEGREES(C21)-D21)*60)</f>
        <v>30</v>
      </c>
      <c r="F21" s="1">
        <f>(DEGREES(C21)-(D21+E21/60))*3600</f>
        <v>15.360189135054725</v>
      </c>
    </row>
    <row r="22" spans="2:7">
      <c r="B22" s="26" t="s">
        <v>72</v>
      </c>
      <c r="C22" s="3">
        <f>IF(C21-C20&gt;=PI(),C21-C20-2*PI(),IF(C21-C20&lt;=-PI(),C21-C20+2*PI(),C21-C20))</f>
        <v>0.5498531826765849</v>
      </c>
      <c r="D22" s="4">
        <f>TRUNC(DEGREES(C22))</f>
        <v>31</v>
      </c>
      <c r="E22" s="5">
        <f>TRUNC((DEGREES(C22)-D22)*60)</f>
        <v>30</v>
      </c>
      <c r="F22" s="1">
        <f>(DEGREES(C22)-(D22+E22/60))*3600</f>
        <v>15.360189135067515</v>
      </c>
    </row>
    <row r="23" spans="2:7">
      <c r="C23" s="3"/>
      <c r="D23" s="4"/>
      <c r="E23" s="5"/>
    </row>
    <row r="24" spans="2:7" ht="15.75">
      <c r="B24" s="39" t="s">
        <v>90</v>
      </c>
      <c r="C24" s="1">
        <f>F12/(2*C12)</f>
        <v>0.13333333333333333</v>
      </c>
      <c r="D24" s="40" t="s">
        <v>74</v>
      </c>
      <c r="E24" s="1">
        <f>C26-C12*SIN(C24)</f>
        <v>39.976308046410487</v>
      </c>
      <c r="F24" s="26" t="s">
        <v>88</v>
      </c>
      <c r="G24" s="1">
        <f>ATAN(C27/C26)</f>
        <v>4.4437752667944655E-2</v>
      </c>
    </row>
    <row r="25" spans="2:7" ht="15.75">
      <c r="B25" s="39" t="s">
        <v>91</v>
      </c>
      <c r="C25" s="1">
        <f>ABS(C22)-2*C24</f>
        <v>0.28318651600991823</v>
      </c>
      <c r="D25" s="40" t="s">
        <v>75</v>
      </c>
      <c r="E25" s="1">
        <f>C27-C12*(1-COS(C24))</f>
        <v>0.88832472856212652</v>
      </c>
      <c r="F25" s="26" t="s">
        <v>89</v>
      </c>
      <c r="G25" s="1">
        <f>C24-G24</f>
        <v>8.8895580665388677E-2</v>
      </c>
    </row>
    <row r="26" spans="2:7" ht="15.75">
      <c r="B26" s="26" t="s">
        <v>85</v>
      </c>
      <c r="C26" s="1">
        <f>F12*(1-C24^2/10+C24^4/216)</f>
        <v>79.857894833104709</v>
      </c>
      <c r="D26" s="40" t="s">
        <v>76</v>
      </c>
      <c r="E26" s="1">
        <f>E24+(C12+E25)*TAN(ABS(C22)/2)</f>
        <v>124.84768658641366</v>
      </c>
      <c r="F26" s="26" t="s">
        <v>93</v>
      </c>
      <c r="G26" s="1">
        <f>C12*2*(ABS(C22)/2-C24)</f>
        <v>84.955954802975469</v>
      </c>
    </row>
    <row r="27" spans="2:7" ht="15.75">
      <c r="B27" s="26" t="s">
        <v>86</v>
      </c>
      <c r="C27" s="1">
        <f>F12*C24/3*(1-C24^2/14+C24^4/440)</f>
        <v>3.5510431183083035</v>
      </c>
      <c r="D27" s="26" t="s">
        <v>87</v>
      </c>
      <c r="E27" s="1">
        <f>SQRT(C26^2+C27^2)</f>
        <v>79.936808007346002</v>
      </c>
      <c r="F27" s="26" t="s">
        <v>92</v>
      </c>
      <c r="G27" s="1">
        <f>2*C12*SIN(C25/2)</f>
        <v>84.672363855792298</v>
      </c>
    </row>
    <row r="28" spans="2:7">
      <c r="B28" s="25"/>
      <c r="D28" s="25"/>
      <c r="F28" s="25"/>
    </row>
    <row r="29" spans="2:7">
      <c r="B29" s="103" t="s">
        <v>73</v>
      </c>
      <c r="C29" s="90"/>
      <c r="D29" s="90"/>
      <c r="E29" s="90"/>
      <c r="F29" s="90"/>
      <c r="G29" s="104"/>
    </row>
    <row r="30" spans="2:7">
      <c r="B30" s="21"/>
      <c r="C30" s="88" t="s">
        <v>17</v>
      </c>
      <c r="D30" s="88"/>
      <c r="E30" s="100" t="s">
        <v>16</v>
      </c>
      <c r="F30" s="101"/>
      <c r="G30" s="102"/>
    </row>
    <row r="31" spans="2:7">
      <c r="B31" s="32" t="s">
        <v>3</v>
      </c>
      <c r="C31" s="30" t="s">
        <v>4</v>
      </c>
      <c r="D31" s="30" t="s">
        <v>5</v>
      </c>
      <c r="E31" s="30" t="s">
        <v>18</v>
      </c>
      <c r="F31" s="30" t="s">
        <v>19</v>
      </c>
      <c r="G31" s="30" t="s">
        <v>20</v>
      </c>
    </row>
    <row r="32" spans="2:7">
      <c r="B32" s="12" t="s">
        <v>66</v>
      </c>
      <c r="C32" s="31">
        <f>C8+E26*SIN(C20+PI())</f>
        <v>911.71935419929412</v>
      </c>
      <c r="D32" s="31">
        <f>D8+E26*COS(C20+PI())</f>
        <v>911.71935419929412</v>
      </c>
      <c r="E32" s="36">
        <f>INT(G32/20)</f>
        <v>129</v>
      </c>
      <c r="F32" s="36">
        <f>G32-E32*20</f>
        <v>2.2590946001341763</v>
      </c>
      <c r="G32" s="42">
        <f>G7+D16-E26</f>
        <v>2582.2590946001342</v>
      </c>
    </row>
    <row r="33" spans="2:7">
      <c r="B33" s="12" t="s">
        <v>67</v>
      </c>
      <c r="C33" s="31">
        <f>C32+E27*SIN(ABS(C20)+SIGN(C22)*G24)</f>
        <v>970.69837983630623</v>
      </c>
      <c r="D33" s="31">
        <f>D32+E27*COS(ABS(C20+SIGN(C22)*G24))</f>
        <v>965.67644649782301</v>
      </c>
      <c r="E33" s="12">
        <f>INT(G33/20)</f>
        <v>133</v>
      </c>
      <c r="F33" s="12">
        <f>G33-E33*20</f>
        <v>2.2590946001341763</v>
      </c>
      <c r="G33" s="42">
        <f>G32+F12</f>
        <v>2662.2590946001342</v>
      </c>
    </row>
    <row r="34" spans="2:7">
      <c r="B34" s="12" t="s">
        <v>68</v>
      </c>
      <c r="C34" s="31">
        <f>C33+G27*SIN(C20+SIGN(C22)*(G24+G25+C25/2))</f>
        <v>1044.5762196365522</v>
      </c>
      <c r="D34" s="31">
        <f>D33+G27*COS(C20+SIGN(C22)*(G24+G25+C25/2))</f>
        <v>1007.0464112956914</v>
      </c>
      <c r="E34" s="12">
        <f>INT(G34/20)</f>
        <v>137</v>
      </c>
      <c r="F34" s="12">
        <f>G34-E34*20</f>
        <v>7.2150494031097878</v>
      </c>
      <c r="G34" s="42">
        <f>G33+G26</f>
        <v>2747.2150494031098</v>
      </c>
    </row>
    <row r="35" spans="2:7">
      <c r="B35" s="12" t="s">
        <v>69</v>
      </c>
      <c r="C35" s="31">
        <f>C34+E27*SIN(C20+SIGN(C22)*(ABS(C22)-G24))</f>
        <v>1121.4003051182719</v>
      </c>
      <c r="D35" s="31">
        <f>D34+E27*COS(C20+SIGN(C22)*(ABS(C22)-G24))</f>
        <v>1029.1360732283854</v>
      </c>
      <c r="E35" s="12">
        <f>INT(G35/20)</f>
        <v>141</v>
      </c>
      <c r="F35" s="12">
        <f>G35-E35*20</f>
        <v>7.2150494031097878</v>
      </c>
      <c r="G35" s="42">
        <f>G34+F12</f>
        <v>2827.2150494031098</v>
      </c>
    </row>
  </sheetData>
  <sheetProtection password="E2C3" sheet="1" objects="1" scenarios="1"/>
  <mergeCells count="10">
    <mergeCell ref="B2:E2"/>
    <mergeCell ref="C30:D30"/>
    <mergeCell ref="B18:F18"/>
    <mergeCell ref="B11:E11"/>
    <mergeCell ref="B14:F14"/>
    <mergeCell ref="B4:G4"/>
    <mergeCell ref="B5:D5"/>
    <mergeCell ref="E5:G5"/>
    <mergeCell ref="E30:G30"/>
    <mergeCell ref="B29:G29"/>
  </mergeCells>
  <phoneticPr fontId="2" type="noConversion"/>
  <printOptions horizontalCentered="1" gridLines="1"/>
  <pageMargins left="0.78740157480314965" right="0.78740157480314965" top="0.98425196850393704" bottom="0.98425196850393704" header="0.51181102362204722" footer="0.51181102362204722"/>
  <pageSetup paperSize="9" scale="90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"/>
  <dimension ref="B2:O33"/>
  <sheetViews>
    <sheetView workbookViewId="0">
      <selection activeCell="H16" sqref="H16"/>
    </sheetView>
  </sheetViews>
  <sheetFormatPr defaultRowHeight="12.75"/>
  <cols>
    <col min="1" max="1" width="9.140625" style="1"/>
    <col min="2" max="2" width="10.42578125" style="1" bestFit="1" customWidth="1"/>
    <col min="3" max="3" width="7.5703125" style="1" bestFit="1" customWidth="1"/>
    <col min="4" max="4" width="4.85546875" style="1" bestFit="1" customWidth="1"/>
    <col min="5" max="5" width="8.7109375" style="1" bestFit="1" customWidth="1"/>
    <col min="6" max="6" width="7.5703125" style="1" bestFit="1" customWidth="1"/>
    <col min="7" max="7" width="7" style="1" bestFit="1" customWidth="1"/>
    <col min="8" max="8" width="8.85546875" style="1" bestFit="1" customWidth="1"/>
    <col min="9" max="9" width="10.140625" style="1" bestFit="1" customWidth="1"/>
    <col min="10" max="10" width="11.28515625" style="1" bestFit="1" customWidth="1"/>
    <col min="11" max="14" width="9.140625" style="1"/>
    <col min="15" max="15" width="11.28515625" style="1" bestFit="1" customWidth="1"/>
    <col min="16" max="16384" width="9.140625" style="1"/>
  </cols>
  <sheetData>
    <row r="2" spans="2:15">
      <c r="B2" s="8" t="s">
        <v>65</v>
      </c>
      <c r="F2" s="17">
        <v>1</v>
      </c>
    </row>
    <row r="4" spans="2:15">
      <c r="B4" s="1" t="s">
        <v>59</v>
      </c>
      <c r="C4" s="7">
        <v>240</v>
      </c>
    </row>
    <row r="5" spans="2:15">
      <c r="B5" s="8" t="s">
        <v>61</v>
      </c>
      <c r="C5" s="16">
        <v>0.02</v>
      </c>
    </row>
    <row r="6" spans="2:15">
      <c r="B6" s="8" t="s">
        <v>62</v>
      </c>
      <c r="C6" s="16">
        <v>-0.06</v>
      </c>
    </row>
    <row r="7" spans="2:15">
      <c r="B7" s="8" t="s">
        <v>11</v>
      </c>
      <c r="C7" s="1">
        <f>C5-C6</f>
        <v>0.08</v>
      </c>
    </row>
    <row r="8" spans="2:15">
      <c r="B8" s="8"/>
      <c r="C8" s="8" t="s">
        <v>64</v>
      </c>
      <c r="D8" s="8" t="s">
        <v>19</v>
      </c>
    </row>
    <row r="9" spans="2:15">
      <c r="B9" s="8" t="s">
        <v>63</v>
      </c>
      <c r="C9" s="17">
        <v>80</v>
      </c>
      <c r="D9" s="17">
        <v>0</v>
      </c>
      <c r="F9" s="9">
        <f>C9*20+D9</f>
        <v>1600</v>
      </c>
    </row>
    <row r="10" spans="2:15">
      <c r="B10" s="1" t="s">
        <v>60</v>
      </c>
      <c r="C10" s="18">
        <v>830</v>
      </c>
    </row>
    <row r="11" spans="2:15">
      <c r="K11" s="19"/>
      <c r="L11" s="19"/>
      <c r="M11" s="19"/>
      <c r="N11" s="19"/>
      <c r="O11" s="19"/>
    </row>
    <row r="12" spans="2:15">
      <c r="B12" s="106" t="s">
        <v>21</v>
      </c>
      <c r="C12" s="106"/>
      <c r="D12" s="105" t="s">
        <v>22</v>
      </c>
      <c r="E12" s="107" t="s">
        <v>78</v>
      </c>
      <c r="F12" s="90"/>
      <c r="G12" s="90"/>
      <c r="H12" s="90"/>
      <c r="I12" s="90"/>
      <c r="J12" s="104"/>
      <c r="K12" s="46"/>
      <c r="L12" s="43"/>
      <c r="M12" s="43"/>
      <c r="N12" s="43"/>
      <c r="O12" s="43"/>
    </row>
    <row r="13" spans="2:15">
      <c r="B13" s="10" t="s">
        <v>64</v>
      </c>
      <c r="C13" s="10" t="s">
        <v>19</v>
      </c>
      <c r="D13" s="99"/>
      <c r="E13" s="11" t="s">
        <v>20</v>
      </c>
      <c r="F13" s="41" t="s">
        <v>23</v>
      </c>
      <c r="G13" s="41" t="s">
        <v>24</v>
      </c>
      <c r="H13" s="12" t="s">
        <v>25</v>
      </c>
      <c r="I13" s="11" t="s">
        <v>77</v>
      </c>
      <c r="J13" s="12" t="s">
        <v>26</v>
      </c>
      <c r="K13" s="44"/>
      <c r="L13" s="44"/>
      <c r="M13" s="44"/>
      <c r="N13" s="44"/>
      <c r="O13" s="44"/>
    </row>
    <row r="14" spans="2:15">
      <c r="B14" s="6">
        <v>74</v>
      </c>
      <c r="C14" s="6">
        <v>0</v>
      </c>
      <c r="D14" s="6" t="s">
        <v>27</v>
      </c>
      <c r="E14" s="6">
        <f>B14*20+C14</f>
        <v>1480</v>
      </c>
      <c r="F14" s="6">
        <f>IF(E14&lt;$F$9,E14-$E$14,$F$9+$C$4/2-E14)</f>
        <v>0</v>
      </c>
      <c r="G14" s="6">
        <f>F14^2</f>
        <v>0</v>
      </c>
      <c r="H14" s="6">
        <f>ABS($C$7)*G14/(2*$C$4)</f>
        <v>0</v>
      </c>
      <c r="I14" s="13">
        <f>IF(E14&lt;$F$9,$C$10-$C$5*($C$4/2-F14),$C$10+$C$6*($C$4/2-F14))</f>
        <v>827.6</v>
      </c>
      <c r="J14" s="13">
        <f>I14-SIGN($C$7)*H14</f>
        <v>827.6</v>
      </c>
      <c r="K14" s="19"/>
      <c r="L14" s="19"/>
      <c r="M14" s="19"/>
      <c r="N14" s="45"/>
      <c r="O14" s="45"/>
    </row>
    <row r="15" spans="2:15">
      <c r="B15" s="6">
        <v>75</v>
      </c>
      <c r="C15" s="6">
        <v>0</v>
      </c>
      <c r="D15" s="6"/>
      <c r="E15" s="6">
        <f t="shared" ref="E15:E26" si="0">B15*20+C15</f>
        <v>1500</v>
      </c>
      <c r="F15" s="6">
        <f t="shared" ref="F15:F26" si="1">IF(E15&lt;$F$9,E15-$E$14,$F$9+$C$4/2-E15)</f>
        <v>20</v>
      </c>
      <c r="G15" s="6">
        <f t="shared" ref="G15:G26" si="2">F15^2</f>
        <v>400</v>
      </c>
      <c r="H15" s="6">
        <f t="shared" ref="H15:H26" si="3">ABS($C$7)*G15/(2*$C$4)</f>
        <v>6.6666666666666666E-2</v>
      </c>
      <c r="I15" s="13">
        <f t="shared" ref="I15:I26" si="4">IF(E15&lt;$F$9,$C$10-$C$5*($C$4/2-F15),$C$10+$C$6*($C$4/2-F15))</f>
        <v>828</v>
      </c>
      <c r="J15" s="13">
        <f t="shared" ref="J15:J26" si="5">I15-SIGN($C$7)*H15</f>
        <v>827.93333333333328</v>
      </c>
      <c r="N15" s="9"/>
      <c r="O15" s="9"/>
    </row>
    <row r="16" spans="2:15">
      <c r="B16" s="6">
        <v>76</v>
      </c>
      <c r="C16" s="6">
        <v>0</v>
      </c>
      <c r="D16" s="6"/>
      <c r="E16" s="6">
        <f t="shared" si="0"/>
        <v>1520</v>
      </c>
      <c r="F16" s="6">
        <f t="shared" si="1"/>
        <v>40</v>
      </c>
      <c r="G16" s="6">
        <f t="shared" si="2"/>
        <v>1600</v>
      </c>
      <c r="H16" s="6">
        <f t="shared" si="3"/>
        <v>0.26666666666666666</v>
      </c>
      <c r="I16" s="13">
        <f t="shared" si="4"/>
        <v>828.4</v>
      </c>
      <c r="J16" s="13">
        <f t="shared" si="5"/>
        <v>828.13333333333333</v>
      </c>
      <c r="N16" s="9"/>
      <c r="O16" s="9"/>
    </row>
    <row r="17" spans="2:15">
      <c r="B17" s="6">
        <v>77</v>
      </c>
      <c r="C17" s="6">
        <v>0</v>
      </c>
      <c r="D17" s="6"/>
      <c r="E17" s="6">
        <f t="shared" si="0"/>
        <v>1540</v>
      </c>
      <c r="F17" s="6">
        <f t="shared" si="1"/>
        <v>60</v>
      </c>
      <c r="G17" s="6">
        <f t="shared" si="2"/>
        <v>3600</v>
      </c>
      <c r="H17" s="6">
        <f t="shared" si="3"/>
        <v>0.6</v>
      </c>
      <c r="I17" s="13">
        <f t="shared" si="4"/>
        <v>828.8</v>
      </c>
      <c r="J17" s="13">
        <f t="shared" si="5"/>
        <v>828.19999999999993</v>
      </c>
      <c r="N17" s="9"/>
      <c r="O17" s="9"/>
    </row>
    <row r="18" spans="2:15">
      <c r="B18" s="6">
        <v>78</v>
      </c>
      <c r="C18" s="6">
        <v>0</v>
      </c>
      <c r="D18" s="6"/>
      <c r="E18" s="6">
        <f t="shared" si="0"/>
        <v>1560</v>
      </c>
      <c r="F18" s="6">
        <f t="shared" si="1"/>
        <v>80</v>
      </c>
      <c r="G18" s="6">
        <f t="shared" si="2"/>
        <v>6400</v>
      </c>
      <c r="H18" s="6">
        <f t="shared" si="3"/>
        <v>1.0666666666666667</v>
      </c>
      <c r="I18" s="13">
        <f t="shared" si="4"/>
        <v>829.2</v>
      </c>
      <c r="J18" s="13">
        <f t="shared" si="5"/>
        <v>828.13333333333333</v>
      </c>
      <c r="N18" s="9"/>
      <c r="O18" s="9"/>
    </row>
    <row r="19" spans="2:15">
      <c r="B19" s="6">
        <v>79</v>
      </c>
      <c r="C19" s="6">
        <v>0</v>
      </c>
      <c r="D19" s="6"/>
      <c r="E19" s="6">
        <f t="shared" si="0"/>
        <v>1580</v>
      </c>
      <c r="F19" s="6">
        <f t="shared" si="1"/>
        <v>100</v>
      </c>
      <c r="G19" s="6">
        <f t="shared" si="2"/>
        <v>10000</v>
      </c>
      <c r="H19" s="6">
        <f t="shared" si="3"/>
        <v>1.6666666666666667</v>
      </c>
      <c r="I19" s="13">
        <f t="shared" si="4"/>
        <v>829.6</v>
      </c>
      <c r="J19" s="13">
        <f t="shared" si="5"/>
        <v>827.93333333333339</v>
      </c>
      <c r="N19" s="9"/>
      <c r="O19" s="9"/>
    </row>
    <row r="20" spans="2:15">
      <c r="B20" s="6">
        <v>80</v>
      </c>
      <c r="C20" s="6">
        <v>0</v>
      </c>
      <c r="D20" s="6" t="s">
        <v>28</v>
      </c>
      <c r="E20" s="6">
        <f t="shared" si="0"/>
        <v>1600</v>
      </c>
      <c r="F20" s="6">
        <f t="shared" si="1"/>
        <v>120</v>
      </c>
      <c r="G20" s="6">
        <f t="shared" si="2"/>
        <v>14400</v>
      </c>
      <c r="H20" s="6">
        <f t="shared" si="3"/>
        <v>2.4</v>
      </c>
      <c r="I20" s="13">
        <f t="shared" si="4"/>
        <v>830</v>
      </c>
      <c r="J20" s="13">
        <f t="shared" si="5"/>
        <v>827.6</v>
      </c>
      <c r="N20" s="9"/>
      <c r="O20" s="9"/>
    </row>
    <row r="21" spans="2:15">
      <c r="B21" s="6">
        <v>81</v>
      </c>
      <c r="C21" s="6">
        <v>0</v>
      </c>
      <c r="D21" s="6"/>
      <c r="E21" s="6">
        <f t="shared" si="0"/>
        <v>1620</v>
      </c>
      <c r="F21" s="6">
        <f t="shared" si="1"/>
        <v>100</v>
      </c>
      <c r="G21" s="6">
        <f t="shared" si="2"/>
        <v>10000</v>
      </c>
      <c r="H21" s="6">
        <f t="shared" si="3"/>
        <v>1.6666666666666667</v>
      </c>
      <c r="I21" s="13">
        <f t="shared" si="4"/>
        <v>828.8</v>
      </c>
      <c r="J21" s="13">
        <f t="shared" si="5"/>
        <v>827.13333333333333</v>
      </c>
      <c r="N21" s="9"/>
      <c r="O21" s="9"/>
    </row>
    <row r="22" spans="2:15">
      <c r="B22" s="6">
        <v>82</v>
      </c>
      <c r="C22" s="6">
        <v>0</v>
      </c>
      <c r="D22" s="6"/>
      <c r="E22" s="6">
        <f t="shared" si="0"/>
        <v>1640</v>
      </c>
      <c r="F22" s="6">
        <f t="shared" si="1"/>
        <v>80</v>
      </c>
      <c r="G22" s="6">
        <f t="shared" si="2"/>
        <v>6400</v>
      </c>
      <c r="H22" s="6">
        <f t="shared" si="3"/>
        <v>1.0666666666666667</v>
      </c>
      <c r="I22" s="13">
        <f t="shared" si="4"/>
        <v>827.6</v>
      </c>
      <c r="J22" s="13">
        <f t="shared" si="5"/>
        <v>826.5333333333333</v>
      </c>
      <c r="N22" s="9"/>
      <c r="O22" s="9"/>
    </row>
    <row r="23" spans="2:15">
      <c r="B23" s="6">
        <v>83</v>
      </c>
      <c r="C23" s="6">
        <v>0</v>
      </c>
      <c r="D23" s="14"/>
      <c r="E23" s="6">
        <f t="shared" si="0"/>
        <v>1660</v>
      </c>
      <c r="F23" s="6">
        <f t="shared" si="1"/>
        <v>60</v>
      </c>
      <c r="G23" s="6">
        <f t="shared" si="2"/>
        <v>3600</v>
      </c>
      <c r="H23" s="6">
        <f t="shared" si="3"/>
        <v>0.6</v>
      </c>
      <c r="I23" s="13">
        <f t="shared" si="4"/>
        <v>826.4</v>
      </c>
      <c r="J23" s="13">
        <f t="shared" si="5"/>
        <v>825.8</v>
      </c>
      <c r="N23" s="9"/>
      <c r="O23" s="9"/>
    </row>
    <row r="24" spans="2:15">
      <c r="B24" s="6">
        <v>84</v>
      </c>
      <c r="C24" s="6">
        <v>0</v>
      </c>
      <c r="D24" s="6"/>
      <c r="E24" s="6">
        <f t="shared" si="0"/>
        <v>1680</v>
      </c>
      <c r="F24" s="6">
        <f t="shared" si="1"/>
        <v>40</v>
      </c>
      <c r="G24" s="6">
        <f t="shared" si="2"/>
        <v>1600</v>
      </c>
      <c r="H24" s="6">
        <f t="shared" si="3"/>
        <v>0.26666666666666666</v>
      </c>
      <c r="I24" s="13">
        <f t="shared" si="4"/>
        <v>825.2</v>
      </c>
      <c r="J24" s="13">
        <f t="shared" si="5"/>
        <v>824.93333333333339</v>
      </c>
      <c r="N24" s="9"/>
      <c r="O24" s="9"/>
    </row>
    <row r="25" spans="2:15">
      <c r="B25" s="6">
        <v>85</v>
      </c>
      <c r="C25" s="6">
        <v>0</v>
      </c>
      <c r="D25" s="6"/>
      <c r="E25" s="6">
        <f t="shared" si="0"/>
        <v>1700</v>
      </c>
      <c r="F25" s="6">
        <f t="shared" si="1"/>
        <v>20</v>
      </c>
      <c r="G25" s="6">
        <f t="shared" si="2"/>
        <v>400</v>
      </c>
      <c r="H25" s="6">
        <f t="shared" si="3"/>
        <v>6.6666666666666666E-2</v>
      </c>
      <c r="I25" s="13">
        <f t="shared" si="4"/>
        <v>824</v>
      </c>
      <c r="J25" s="13">
        <f t="shared" si="5"/>
        <v>823.93333333333328</v>
      </c>
      <c r="N25" s="9"/>
      <c r="O25" s="9"/>
    </row>
    <row r="26" spans="2:15">
      <c r="B26" s="6">
        <v>86</v>
      </c>
      <c r="C26" s="6">
        <v>0</v>
      </c>
      <c r="D26" s="6" t="s">
        <v>29</v>
      </c>
      <c r="E26" s="6">
        <f t="shared" si="0"/>
        <v>1720</v>
      </c>
      <c r="F26" s="6">
        <f t="shared" si="1"/>
        <v>0</v>
      </c>
      <c r="G26" s="6">
        <f t="shared" si="2"/>
        <v>0</v>
      </c>
      <c r="H26" s="6">
        <f t="shared" si="3"/>
        <v>0</v>
      </c>
      <c r="I26" s="13">
        <f t="shared" si="4"/>
        <v>822.8</v>
      </c>
      <c r="J26" s="13">
        <f t="shared" si="5"/>
        <v>822.8</v>
      </c>
      <c r="N26" s="9"/>
      <c r="O26" s="9"/>
    </row>
    <row r="27" spans="2:15">
      <c r="E27" s="6"/>
      <c r="F27" s="6"/>
      <c r="G27" s="6"/>
      <c r="H27" s="6"/>
      <c r="I27" s="13"/>
      <c r="J27" s="13"/>
    </row>
    <row r="28" spans="2:15">
      <c r="E28" s="6"/>
      <c r="F28" s="6"/>
      <c r="G28" s="6"/>
      <c r="H28" s="6"/>
      <c r="I28" s="13"/>
      <c r="J28" s="13"/>
    </row>
    <row r="29" spans="2:15">
      <c r="I29" s="15"/>
      <c r="J29" s="15"/>
    </row>
    <row r="30" spans="2:15">
      <c r="I30" s="15"/>
      <c r="J30" s="15"/>
    </row>
    <row r="31" spans="2:15">
      <c r="I31" s="15"/>
      <c r="J31" s="15"/>
    </row>
    <row r="32" spans="2:15">
      <c r="I32" s="15"/>
      <c r="J32" s="15"/>
    </row>
    <row r="33" spans="9:10">
      <c r="I33" s="15"/>
      <c r="J33" s="15"/>
    </row>
  </sheetData>
  <sheetProtection password="E2C3" sheet="1" objects="1" scenarios="1"/>
  <mergeCells count="3">
    <mergeCell ref="D12:D13"/>
    <mergeCell ref="B12:C12"/>
    <mergeCell ref="E12:J12"/>
  </mergeCells>
  <printOptions gridLines="1"/>
  <pageMargins left="0.51181102362204722" right="0.51181102362204722" top="0.78740157480314965" bottom="0.78740157480314965" header="0.31496062992125984" footer="0.31496062992125984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2">
    <pageSetUpPr fitToPage="1"/>
  </sheetPr>
  <dimension ref="A1:Z70"/>
  <sheetViews>
    <sheetView tabSelected="1" zoomScale="75" zoomScaleNormal="75" workbookViewId="0">
      <selection activeCell="S16" sqref="S16"/>
    </sheetView>
  </sheetViews>
  <sheetFormatPr defaultRowHeight="12.75"/>
  <cols>
    <col min="1" max="1" width="9.140625" style="47"/>
    <col min="2" max="2" width="4.85546875" style="47" bestFit="1" customWidth="1"/>
    <col min="3" max="3" width="10.85546875" style="47" bestFit="1" customWidth="1"/>
    <col min="4" max="4" width="10" style="47" bestFit="1" customWidth="1"/>
    <col min="5" max="5" width="8.5703125" style="47" bestFit="1" customWidth="1"/>
    <col min="6" max="6" width="13.140625" style="47" bestFit="1" customWidth="1"/>
    <col min="7" max="7" width="11.42578125" style="47" bestFit="1" customWidth="1"/>
    <col min="8" max="8" width="10.42578125" style="47" bestFit="1" customWidth="1"/>
    <col min="9" max="9" width="7.5703125" style="47" bestFit="1" customWidth="1"/>
    <col min="10" max="10" width="8.85546875" style="47" bestFit="1" customWidth="1"/>
    <col min="11" max="11" width="7.5703125" style="47" bestFit="1" customWidth="1"/>
    <col min="12" max="12" width="12.7109375" style="47" customWidth="1"/>
    <col min="13" max="13" width="16.5703125" style="47" bestFit="1" customWidth="1"/>
    <col min="14" max="14" width="13.140625" style="47" bestFit="1" customWidth="1"/>
    <col min="15" max="15" width="12.85546875" style="47" customWidth="1"/>
    <col min="16" max="16" width="12" style="47" bestFit="1" customWidth="1"/>
    <col min="17" max="17" width="11.5703125" style="47" bestFit="1" customWidth="1"/>
    <col min="18" max="16384" width="9.140625" style="47"/>
  </cols>
  <sheetData>
    <row r="1" spans="1:26">
      <c r="B1" s="114" t="s">
        <v>71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48"/>
      <c r="P1" s="48"/>
      <c r="Q1" s="48"/>
      <c r="R1" s="48"/>
      <c r="S1" s="48"/>
      <c r="T1" s="48"/>
      <c r="U1" s="48"/>
      <c r="V1" s="48"/>
      <c r="W1" s="49"/>
      <c r="X1" s="49"/>
      <c r="Y1" s="49"/>
      <c r="Z1" s="50"/>
    </row>
    <row r="2" spans="1:26">
      <c r="B2" s="51" t="s">
        <v>30</v>
      </c>
      <c r="C2" s="52">
        <v>12</v>
      </c>
      <c r="D2" s="50"/>
      <c r="E2" s="51" t="s">
        <v>31</v>
      </c>
      <c r="F2" s="52">
        <v>1.5</v>
      </c>
      <c r="G2" s="50"/>
      <c r="H2" s="53" t="s">
        <v>35</v>
      </c>
      <c r="I2" s="54">
        <v>1.2</v>
      </c>
      <c r="J2" s="55" t="s">
        <v>32</v>
      </c>
      <c r="K2" s="55"/>
      <c r="L2" s="55"/>
      <c r="O2" s="49"/>
      <c r="P2" s="56"/>
      <c r="Q2" s="57"/>
      <c r="R2" s="49"/>
      <c r="S2" s="56"/>
      <c r="T2" s="56"/>
      <c r="U2" s="56"/>
      <c r="V2" s="56"/>
      <c r="W2" s="56"/>
      <c r="X2" s="56"/>
      <c r="Y2" s="56"/>
      <c r="Z2" s="50"/>
    </row>
    <row r="3" spans="1:26">
      <c r="B3" s="53" t="s">
        <v>33</v>
      </c>
      <c r="C3" s="54">
        <v>5</v>
      </c>
      <c r="D3" s="50"/>
      <c r="E3" s="53" t="s">
        <v>34</v>
      </c>
      <c r="F3" s="54">
        <v>5</v>
      </c>
      <c r="G3" s="50"/>
      <c r="H3" s="58" t="s">
        <v>70</v>
      </c>
      <c r="I3" s="59">
        <v>40</v>
      </c>
      <c r="J3" s="55" t="s">
        <v>36</v>
      </c>
      <c r="K3" s="55"/>
      <c r="L3" s="55"/>
      <c r="O3" s="49"/>
      <c r="P3" s="56"/>
      <c r="Q3" s="57"/>
      <c r="R3" s="49"/>
      <c r="S3" s="56"/>
      <c r="T3" s="57"/>
      <c r="U3" s="49"/>
      <c r="V3" s="56"/>
      <c r="W3" s="56"/>
      <c r="X3" s="56"/>
      <c r="Y3" s="56"/>
      <c r="Z3" s="50"/>
    </row>
    <row r="4" spans="1:26">
      <c r="B4" s="53" t="s">
        <v>37</v>
      </c>
      <c r="C4" s="54">
        <v>10</v>
      </c>
      <c r="D4" s="60"/>
      <c r="E4" s="53" t="s">
        <v>38</v>
      </c>
      <c r="F4" s="54">
        <v>1</v>
      </c>
      <c r="G4" s="61"/>
      <c r="H4" s="50"/>
      <c r="I4" s="50"/>
      <c r="L4" s="50"/>
      <c r="M4" s="50"/>
      <c r="N4" s="50"/>
      <c r="O4" s="49"/>
      <c r="P4" s="56"/>
      <c r="Q4" s="57"/>
      <c r="R4" s="49"/>
      <c r="S4" s="56"/>
      <c r="T4" s="56"/>
      <c r="U4" s="56"/>
      <c r="V4" s="56"/>
      <c r="W4" s="56"/>
      <c r="X4" s="56"/>
      <c r="Y4" s="56"/>
      <c r="Z4" s="50"/>
    </row>
    <row r="5" spans="1:26" ht="13.5" thickBot="1"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</row>
    <row r="6" spans="1:26">
      <c r="B6" s="108" t="s">
        <v>39</v>
      </c>
      <c r="C6" s="109"/>
      <c r="D6" s="63" t="s">
        <v>40</v>
      </c>
      <c r="E6" s="64" t="s">
        <v>40</v>
      </c>
      <c r="F6" s="63" t="s">
        <v>41</v>
      </c>
      <c r="G6" s="64" t="s">
        <v>40</v>
      </c>
      <c r="H6" s="112" t="s">
        <v>53</v>
      </c>
      <c r="I6" s="113"/>
      <c r="J6" s="110" t="s">
        <v>42</v>
      </c>
      <c r="K6" s="111"/>
      <c r="L6" s="65" t="s">
        <v>54</v>
      </c>
      <c r="M6" s="65" t="s">
        <v>56</v>
      </c>
      <c r="N6" s="65" t="s">
        <v>57</v>
      </c>
    </row>
    <row r="7" spans="1:26" ht="13.5" thickBot="1">
      <c r="B7" s="66" t="s">
        <v>43</v>
      </c>
      <c r="C7" s="67" t="s">
        <v>44</v>
      </c>
      <c r="D7" s="68" t="s">
        <v>45</v>
      </c>
      <c r="E7" s="69" t="s">
        <v>46</v>
      </c>
      <c r="F7" s="68" t="s">
        <v>47</v>
      </c>
      <c r="G7" s="69" t="s">
        <v>48</v>
      </c>
      <c r="H7" s="69" t="s">
        <v>49</v>
      </c>
      <c r="I7" s="69" t="s">
        <v>50</v>
      </c>
      <c r="J7" s="67" t="s">
        <v>49</v>
      </c>
      <c r="K7" s="67" t="s">
        <v>50</v>
      </c>
      <c r="L7" s="70" t="s">
        <v>55</v>
      </c>
      <c r="M7" s="70" t="s">
        <v>51</v>
      </c>
      <c r="N7" s="70" t="s">
        <v>52</v>
      </c>
    </row>
    <row r="8" spans="1:26" ht="13.5" thickBot="1">
      <c r="B8" s="71">
        <v>1</v>
      </c>
      <c r="C8" s="72"/>
      <c r="D8" s="73">
        <v>1000</v>
      </c>
      <c r="E8" s="74">
        <v>1000.3</v>
      </c>
      <c r="F8" s="75">
        <v>0.1</v>
      </c>
      <c r="G8" s="76">
        <f>E8-D8</f>
        <v>0.29999999999995453</v>
      </c>
      <c r="H8" s="77">
        <f t="shared" ref="H8:H9" si="0">aterro(G8,La,na,$C$4,nc,HB,lb,F8)</f>
        <v>4.7647058823524606</v>
      </c>
      <c r="I8" s="77">
        <f t="shared" ref="I8:I9" si="1">corte(G8,La,na,$C$4,nc,HB,lb,F8)</f>
        <v>0.22222222222232327</v>
      </c>
      <c r="J8" s="77"/>
      <c r="K8" s="77"/>
      <c r="L8" s="77"/>
      <c r="M8" s="77"/>
      <c r="N8" s="78">
        <v>1000</v>
      </c>
    </row>
    <row r="9" spans="1:26" ht="13.5" thickBot="1">
      <c r="B9" s="79">
        <f>B8+1</f>
        <v>2</v>
      </c>
      <c r="C9" s="80"/>
      <c r="D9" s="81">
        <v>1000</v>
      </c>
      <c r="E9" s="80">
        <v>1000.3</v>
      </c>
      <c r="F9" s="82">
        <v>0.1</v>
      </c>
      <c r="G9" s="83">
        <v>0.4</v>
      </c>
      <c r="H9" s="84">
        <f t="shared" si="0"/>
        <v>5.882352941176471</v>
      </c>
      <c r="I9" s="84">
        <f t="shared" si="1"/>
        <v>5.5555555555555532E-2</v>
      </c>
      <c r="J9" s="85">
        <f>((IF(C8=0,IF(B9=0,C9,"100"),100-C8))/2)*(H8+H9)</f>
        <v>532.35294117644662</v>
      </c>
      <c r="K9" s="85">
        <f>((IF(C8=0,IF(B9=0,C9,"100"),100-C8))/2)*(I8+I9)</f>
        <v>13.888888888893941</v>
      </c>
      <c r="L9" s="85">
        <f>J9*$I$2</f>
        <v>638.82352941173588</v>
      </c>
      <c r="M9" s="85">
        <f>IF(K9&lt;L9,K9,L9)</f>
        <v>13.888888888893941</v>
      </c>
      <c r="N9" s="85">
        <f>N8+K9-L9</f>
        <v>375.06535947715804</v>
      </c>
    </row>
    <row r="10" spans="1:26" ht="13.5" thickBot="1">
      <c r="A10" s="56"/>
      <c r="B10" s="79">
        <f t="shared" ref="B10:B50" si="2">B9+1</f>
        <v>3</v>
      </c>
      <c r="C10" s="80"/>
      <c r="D10" s="81">
        <v>1000</v>
      </c>
      <c r="E10" s="80">
        <v>1000.3</v>
      </c>
      <c r="F10" s="82">
        <v>0.1</v>
      </c>
      <c r="G10" s="83">
        <v>0.4</v>
      </c>
      <c r="H10" s="84">
        <f t="shared" ref="H10:H50" si="3">aterro(G10,La,na,$C$4,nc,HB,lb,F10)</f>
        <v>5.882352941176471</v>
      </c>
      <c r="I10" s="84">
        <f t="shared" ref="I10:I50" si="4">corte(G10,La,na,$C$4,nc,HB,lb,F10)</f>
        <v>5.5555555555555532E-2</v>
      </c>
      <c r="J10" s="85">
        <f t="shared" ref="J10:J50" si="5">((IF(C9=0,IF(B10=0,C10,"100"),100-C9))/2)*(H9+H10)</f>
        <v>588.23529411764707</v>
      </c>
      <c r="K10" s="85">
        <f t="shared" ref="K10:K50" si="6">((IF(C9=0,IF(B10=0,C10,"100"),100-C9))/2)*(I9+I10)</f>
        <v>5.5555555555555536</v>
      </c>
      <c r="L10" s="85">
        <f t="shared" ref="L10:L50" si="7">J10*$I$2</f>
        <v>705.88235294117646</v>
      </c>
      <c r="M10" s="85">
        <f t="shared" ref="M10:M50" si="8">IF(K10&lt;L10,K10,L10)</f>
        <v>5.5555555555555536</v>
      </c>
      <c r="N10" s="85">
        <f t="shared" ref="N10:N50" si="9">N9+K10-L10</f>
        <v>-325.26143790846288</v>
      </c>
      <c r="O10" s="56"/>
    </row>
    <row r="11" spans="1:26" ht="13.5" thickBot="1">
      <c r="A11" s="56"/>
      <c r="B11" s="79">
        <f t="shared" si="2"/>
        <v>4</v>
      </c>
      <c r="C11" s="80"/>
      <c r="D11" s="81">
        <v>1000</v>
      </c>
      <c r="E11" s="80">
        <v>1000.3</v>
      </c>
      <c r="F11" s="82">
        <v>0.1</v>
      </c>
      <c r="G11" s="83">
        <v>0.4</v>
      </c>
      <c r="H11" s="84">
        <f t="shared" si="3"/>
        <v>5.882352941176471</v>
      </c>
      <c r="I11" s="84">
        <f t="shared" si="4"/>
        <v>5.5555555555555532E-2</v>
      </c>
      <c r="J11" s="85">
        <f t="shared" si="5"/>
        <v>588.23529411764707</v>
      </c>
      <c r="K11" s="85">
        <f t="shared" si="6"/>
        <v>5.5555555555555536</v>
      </c>
      <c r="L11" s="85">
        <f t="shared" si="7"/>
        <v>705.88235294117646</v>
      </c>
      <c r="M11" s="85">
        <f t="shared" si="8"/>
        <v>5.5555555555555536</v>
      </c>
      <c r="N11" s="85">
        <f t="shared" si="9"/>
        <v>-1025.5882352940839</v>
      </c>
      <c r="O11" s="56"/>
    </row>
    <row r="12" spans="1:26" ht="13.5" thickBot="1">
      <c r="A12" s="56"/>
      <c r="B12" s="79">
        <f t="shared" si="2"/>
        <v>5</v>
      </c>
      <c r="C12" s="80"/>
      <c r="D12" s="81">
        <v>1000</v>
      </c>
      <c r="E12" s="80">
        <v>1000.3</v>
      </c>
      <c r="F12" s="82">
        <v>0.1</v>
      </c>
      <c r="G12" s="83">
        <v>0.4</v>
      </c>
      <c r="H12" s="84">
        <f t="shared" si="3"/>
        <v>5.882352941176471</v>
      </c>
      <c r="I12" s="84">
        <f t="shared" si="4"/>
        <v>5.5555555555555532E-2</v>
      </c>
      <c r="J12" s="85">
        <f t="shared" si="5"/>
        <v>588.23529411764707</v>
      </c>
      <c r="K12" s="85">
        <f t="shared" si="6"/>
        <v>5.5555555555555536</v>
      </c>
      <c r="L12" s="85">
        <f t="shared" si="7"/>
        <v>705.88235294117646</v>
      </c>
      <c r="M12" s="85">
        <f t="shared" si="8"/>
        <v>5.5555555555555536</v>
      </c>
      <c r="N12" s="85">
        <f t="shared" si="9"/>
        <v>-1725.9150326797048</v>
      </c>
      <c r="O12" s="56"/>
    </row>
    <row r="13" spans="1:26" ht="13.5" thickBot="1">
      <c r="A13" s="56"/>
      <c r="B13" s="79">
        <f t="shared" si="2"/>
        <v>6</v>
      </c>
      <c r="C13" s="80"/>
      <c r="D13" s="81">
        <v>1000</v>
      </c>
      <c r="E13" s="80">
        <v>1000.3</v>
      </c>
      <c r="F13" s="82">
        <v>0.1</v>
      </c>
      <c r="G13" s="83">
        <v>0.4</v>
      </c>
      <c r="H13" s="84">
        <f t="shared" si="3"/>
        <v>5.882352941176471</v>
      </c>
      <c r="I13" s="84">
        <f t="shared" si="4"/>
        <v>5.5555555555555532E-2</v>
      </c>
      <c r="J13" s="85">
        <f t="shared" si="5"/>
        <v>588.23529411764707</v>
      </c>
      <c r="K13" s="85">
        <f t="shared" si="6"/>
        <v>5.5555555555555536</v>
      </c>
      <c r="L13" s="85">
        <f t="shared" si="7"/>
        <v>705.88235294117646</v>
      </c>
      <c r="M13" s="85">
        <f t="shared" si="8"/>
        <v>5.5555555555555536</v>
      </c>
      <c r="N13" s="85">
        <f t="shared" si="9"/>
        <v>-2426.2418300653258</v>
      </c>
      <c r="O13" s="56"/>
    </row>
    <row r="14" spans="1:26" ht="13.5" thickBot="1">
      <c r="B14" s="79">
        <f t="shared" si="2"/>
        <v>7</v>
      </c>
      <c r="C14" s="80"/>
      <c r="D14" s="81">
        <v>1000</v>
      </c>
      <c r="E14" s="80">
        <v>1000.3</v>
      </c>
      <c r="F14" s="82">
        <v>0.1</v>
      </c>
      <c r="G14" s="83">
        <v>0.4</v>
      </c>
      <c r="H14" s="84">
        <f t="shared" si="3"/>
        <v>5.882352941176471</v>
      </c>
      <c r="I14" s="84">
        <f t="shared" si="4"/>
        <v>5.5555555555555532E-2</v>
      </c>
      <c r="J14" s="85">
        <f t="shared" si="5"/>
        <v>588.23529411764707</v>
      </c>
      <c r="K14" s="85">
        <f t="shared" si="6"/>
        <v>5.5555555555555536</v>
      </c>
      <c r="L14" s="85">
        <f t="shared" si="7"/>
        <v>705.88235294117646</v>
      </c>
      <c r="M14" s="85">
        <f t="shared" si="8"/>
        <v>5.5555555555555536</v>
      </c>
      <c r="N14" s="85">
        <f t="shared" si="9"/>
        <v>-3126.5686274509467</v>
      </c>
    </row>
    <row r="15" spans="1:26" ht="13.5" thickBot="1">
      <c r="B15" s="79">
        <f t="shared" si="2"/>
        <v>8</v>
      </c>
      <c r="C15" s="80"/>
      <c r="D15" s="81">
        <v>1000</v>
      </c>
      <c r="E15" s="80">
        <v>1000.3</v>
      </c>
      <c r="F15" s="82">
        <v>0.1</v>
      </c>
      <c r="G15" s="83">
        <v>0.4</v>
      </c>
      <c r="H15" s="84">
        <f t="shared" si="3"/>
        <v>5.882352941176471</v>
      </c>
      <c r="I15" s="84">
        <f t="shared" si="4"/>
        <v>5.5555555555555532E-2</v>
      </c>
      <c r="J15" s="85">
        <f t="shared" si="5"/>
        <v>588.23529411764707</v>
      </c>
      <c r="K15" s="85">
        <f t="shared" si="6"/>
        <v>5.5555555555555536</v>
      </c>
      <c r="L15" s="85">
        <f t="shared" si="7"/>
        <v>705.88235294117646</v>
      </c>
      <c r="M15" s="85">
        <f t="shared" si="8"/>
        <v>5.5555555555555536</v>
      </c>
      <c r="N15" s="85">
        <f t="shared" si="9"/>
        <v>-3826.8954248365676</v>
      </c>
    </row>
    <row r="16" spans="1:26" ht="13.5" thickBot="1">
      <c r="B16" s="79">
        <f t="shared" si="2"/>
        <v>9</v>
      </c>
      <c r="C16" s="80"/>
      <c r="D16" s="81">
        <v>1000</v>
      </c>
      <c r="E16" s="80">
        <v>1000.3</v>
      </c>
      <c r="F16" s="82">
        <v>0.1</v>
      </c>
      <c r="G16" s="83">
        <v>0.4</v>
      </c>
      <c r="H16" s="84">
        <f t="shared" si="3"/>
        <v>5.882352941176471</v>
      </c>
      <c r="I16" s="84">
        <f t="shared" si="4"/>
        <v>5.5555555555555532E-2</v>
      </c>
      <c r="J16" s="85">
        <f t="shared" si="5"/>
        <v>588.23529411764707</v>
      </c>
      <c r="K16" s="85">
        <f t="shared" si="6"/>
        <v>5.5555555555555536</v>
      </c>
      <c r="L16" s="85">
        <f t="shared" si="7"/>
        <v>705.88235294117646</v>
      </c>
      <c r="M16" s="85">
        <f t="shared" si="8"/>
        <v>5.5555555555555536</v>
      </c>
      <c r="N16" s="85">
        <f t="shared" si="9"/>
        <v>-4527.2222222221881</v>
      </c>
    </row>
    <row r="17" spans="2:14" ht="13.5" thickBot="1">
      <c r="B17" s="79">
        <f t="shared" si="2"/>
        <v>10</v>
      </c>
      <c r="C17" s="80"/>
      <c r="D17" s="81">
        <v>1000</v>
      </c>
      <c r="E17" s="80">
        <v>1000.3</v>
      </c>
      <c r="F17" s="82">
        <v>0.1</v>
      </c>
      <c r="G17" s="83">
        <v>0.4</v>
      </c>
      <c r="H17" s="84">
        <f t="shared" si="3"/>
        <v>5.882352941176471</v>
      </c>
      <c r="I17" s="84">
        <f t="shared" si="4"/>
        <v>5.5555555555555532E-2</v>
      </c>
      <c r="J17" s="85">
        <f t="shared" si="5"/>
        <v>588.23529411764707</v>
      </c>
      <c r="K17" s="85">
        <f t="shared" si="6"/>
        <v>5.5555555555555536</v>
      </c>
      <c r="L17" s="85">
        <f t="shared" si="7"/>
        <v>705.88235294117646</v>
      </c>
      <c r="M17" s="85">
        <f t="shared" si="8"/>
        <v>5.5555555555555536</v>
      </c>
      <c r="N17" s="85">
        <f t="shared" si="9"/>
        <v>-5227.549019607809</v>
      </c>
    </row>
    <row r="18" spans="2:14" ht="13.5" thickBot="1">
      <c r="B18" s="79">
        <f t="shared" si="2"/>
        <v>11</v>
      </c>
      <c r="C18" s="80"/>
      <c r="D18" s="81">
        <v>1000</v>
      </c>
      <c r="E18" s="80">
        <v>1000.3</v>
      </c>
      <c r="F18" s="82">
        <v>0.1</v>
      </c>
      <c r="G18" s="83">
        <v>0.4</v>
      </c>
      <c r="H18" s="84">
        <f t="shared" si="3"/>
        <v>5.882352941176471</v>
      </c>
      <c r="I18" s="84">
        <f t="shared" si="4"/>
        <v>5.5555555555555532E-2</v>
      </c>
      <c r="J18" s="85">
        <f t="shared" si="5"/>
        <v>588.23529411764707</v>
      </c>
      <c r="K18" s="85">
        <f t="shared" si="6"/>
        <v>5.5555555555555536</v>
      </c>
      <c r="L18" s="85">
        <f t="shared" si="7"/>
        <v>705.88235294117646</v>
      </c>
      <c r="M18" s="85">
        <f t="shared" si="8"/>
        <v>5.5555555555555536</v>
      </c>
      <c r="N18" s="85">
        <f t="shared" si="9"/>
        <v>-5927.8758169934299</v>
      </c>
    </row>
    <row r="19" spans="2:14" ht="13.5" thickBot="1">
      <c r="B19" s="79">
        <f t="shared" si="2"/>
        <v>12</v>
      </c>
      <c r="C19" s="80"/>
      <c r="D19" s="81">
        <v>1000</v>
      </c>
      <c r="E19" s="80">
        <v>1000.3</v>
      </c>
      <c r="F19" s="82">
        <v>0.1</v>
      </c>
      <c r="G19" s="83">
        <v>0.4</v>
      </c>
      <c r="H19" s="84">
        <f t="shared" si="3"/>
        <v>5.882352941176471</v>
      </c>
      <c r="I19" s="84">
        <f t="shared" si="4"/>
        <v>5.5555555555555532E-2</v>
      </c>
      <c r="J19" s="85">
        <f t="shared" si="5"/>
        <v>588.23529411764707</v>
      </c>
      <c r="K19" s="85">
        <f t="shared" si="6"/>
        <v>5.5555555555555536</v>
      </c>
      <c r="L19" s="85">
        <f t="shared" si="7"/>
        <v>705.88235294117646</v>
      </c>
      <c r="M19" s="85">
        <f t="shared" si="8"/>
        <v>5.5555555555555536</v>
      </c>
      <c r="N19" s="85">
        <f t="shared" si="9"/>
        <v>-6628.2026143790508</v>
      </c>
    </row>
    <row r="20" spans="2:14" ht="13.5" thickBot="1">
      <c r="B20" s="79">
        <f t="shared" si="2"/>
        <v>13</v>
      </c>
      <c r="C20" s="80"/>
      <c r="D20" s="81">
        <v>1000</v>
      </c>
      <c r="E20" s="80">
        <v>1000.3</v>
      </c>
      <c r="F20" s="82">
        <v>0.1</v>
      </c>
      <c r="G20" s="83">
        <v>0.4</v>
      </c>
      <c r="H20" s="84">
        <f t="shared" si="3"/>
        <v>5.882352941176471</v>
      </c>
      <c r="I20" s="84">
        <f t="shared" si="4"/>
        <v>5.5555555555555532E-2</v>
      </c>
      <c r="J20" s="85">
        <f t="shared" si="5"/>
        <v>588.23529411764707</v>
      </c>
      <c r="K20" s="85">
        <f t="shared" si="6"/>
        <v>5.5555555555555536</v>
      </c>
      <c r="L20" s="85">
        <f t="shared" si="7"/>
        <v>705.88235294117646</v>
      </c>
      <c r="M20" s="85">
        <f t="shared" si="8"/>
        <v>5.5555555555555536</v>
      </c>
      <c r="N20" s="85">
        <f t="shared" si="9"/>
        <v>-7328.5294117646717</v>
      </c>
    </row>
    <row r="21" spans="2:14" ht="13.5" thickBot="1">
      <c r="B21" s="79">
        <f t="shared" si="2"/>
        <v>14</v>
      </c>
      <c r="C21" s="80"/>
      <c r="D21" s="81">
        <v>1000</v>
      </c>
      <c r="E21" s="80">
        <v>1000.3</v>
      </c>
      <c r="F21" s="82">
        <v>0.1</v>
      </c>
      <c r="G21" s="83">
        <v>0.4</v>
      </c>
      <c r="H21" s="84">
        <f t="shared" si="3"/>
        <v>5.882352941176471</v>
      </c>
      <c r="I21" s="84">
        <f t="shared" si="4"/>
        <v>5.5555555555555532E-2</v>
      </c>
      <c r="J21" s="85">
        <f t="shared" si="5"/>
        <v>588.23529411764707</v>
      </c>
      <c r="K21" s="85">
        <f t="shared" si="6"/>
        <v>5.5555555555555536</v>
      </c>
      <c r="L21" s="85">
        <f t="shared" si="7"/>
        <v>705.88235294117646</v>
      </c>
      <c r="M21" s="85">
        <f t="shared" si="8"/>
        <v>5.5555555555555536</v>
      </c>
      <c r="N21" s="85">
        <f t="shared" si="9"/>
        <v>-8028.8562091502927</v>
      </c>
    </row>
    <row r="22" spans="2:14" ht="13.5" thickBot="1">
      <c r="B22" s="79">
        <f t="shared" si="2"/>
        <v>15</v>
      </c>
      <c r="C22" s="80"/>
      <c r="D22" s="81">
        <v>1000</v>
      </c>
      <c r="E22" s="80">
        <v>1000.3</v>
      </c>
      <c r="F22" s="82">
        <v>0.1</v>
      </c>
      <c r="G22" s="83">
        <v>0.4</v>
      </c>
      <c r="H22" s="84">
        <f t="shared" si="3"/>
        <v>5.882352941176471</v>
      </c>
      <c r="I22" s="84">
        <f t="shared" si="4"/>
        <v>5.5555555555555532E-2</v>
      </c>
      <c r="J22" s="85">
        <f t="shared" si="5"/>
        <v>588.23529411764707</v>
      </c>
      <c r="K22" s="85">
        <f t="shared" si="6"/>
        <v>5.5555555555555536</v>
      </c>
      <c r="L22" s="85">
        <f t="shared" si="7"/>
        <v>705.88235294117646</v>
      </c>
      <c r="M22" s="85">
        <f t="shared" si="8"/>
        <v>5.5555555555555536</v>
      </c>
      <c r="N22" s="85">
        <f t="shared" si="9"/>
        <v>-8729.1830065359136</v>
      </c>
    </row>
    <row r="23" spans="2:14" ht="13.5" thickBot="1">
      <c r="B23" s="79">
        <f t="shared" si="2"/>
        <v>16</v>
      </c>
      <c r="C23" s="80"/>
      <c r="D23" s="81">
        <v>1000</v>
      </c>
      <c r="E23" s="80">
        <v>1000.3</v>
      </c>
      <c r="F23" s="82">
        <v>0.1</v>
      </c>
      <c r="G23" s="83">
        <v>0.4</v>
      </c>
      <c r="H23" s="84">
        <f t="shared" si="3"/>
        <v>5.882352941176471</v>
      </c>
      <c r="I23" s="84">
        <f t="shared" si="4"/>
        <v>5.5555555555555532E-2</v>
      </c>
      <c r="J23" s="85">
        <f t="shared" si="5"/>
        <v>588.23529411764707</v>
      </c>
      <c r="K23" s="85">
        <f t="shared" si="6"/>
        <v>5.5555555555555536</v>
      </c>
      <c r="L23" s="85">
        <f t="shared" si="7"/>
        <v>705.88235294117646</v>
      </c>
      <c r="M23" s="85">
        <f t="shared" si="8"/>
        <v>5.5555555555555536</v>
      </c>
      <c r="N23" s="85">
        <f t="shared" si="9"/>
        <v>-9429.5098039215354</v>
      </c>
    </row>
    <row r="24" spans="2:14" ht="13.5" thickBot="1">
      <c r="B24" s="79">
        <f t="shared" si="2"/>
        <v>17</v>
      </c>
      <c r="C24" s="80"/>
      <c r="D24" s="81">
        <v>1000</v>
      </c>
      <c r="E24" s="80">
        <v>1000.3</v>
      </c>
      <c r="F24" s="82">
        <v>0.1</v>
      </c>
      <c r="G24" s="83">
        <v>0.4</v>
      </c>
      <c r="H24" s="84">
        <f t="shared" si="3"/>
        <v>5.882352941176471</v>
      </c>
      <c r="I24" s="84">
        <f t="shared" si="4"/>
        <v>5.5555555555555532E-2</v>
      </c>
      <c r="J24" s="85">
        <f t="shared" si="5"/>
        <v>588.23529411764707</v>
      </c>
      <c r="K24" s="85">
        <f t="shared" si="6"/>
        <v>5.5555555555555536</v>
      </c>
      <c r="L24" s="85">
        <f t="shared" si="7"/>
        <v>705.88235294117646</v>
      </c>
      <c r="M24" s="85">
        <f t="shared" si="8"/>
        <v>5.5555555555555536</v>
      </c>
      <c r="N24" s="85">
        <f t="shared" si="9"/>
        <v>-10129.836601307157</v>
      </c>
    </row>
    <row r="25" spans="2:14" ht="13.5" thickBot="1">
      <c r="B25" s="79">
        <f t="shared" si="2"/>
        <v>18</v>
      </c>
      <c r="C25" s="80"/>
      <c r="D25" s="81">
        <v>1000</v>
      </c>
      <c r="E25" s="80">
        <v>1000.3</v>
      </c>
      <c r="F25" s="82">
        <v>0.1</v>
      </c>
      <c r="G25" s="83">
        <v>0.4</v>
      </c>
      <c r="H25" s="84">
        <f t="shared" si="3"/>
        <v>5.882352941176471</v>
      </c>
      <c r="I25" s="84">
        <f t="shared" si="4"/>
        <v>5.5555555555555532E-2</v>
      </c>
      <c r="J25" s="85">
        <f t="shared" si="5"/>
        <v>588.23529411764707</v>
      </c>
      <c r="K25" s="85">
        <f t="shared" si="6"/>
        <v>5.5555555555555536</v>
      </c>
      <c r="L25" s="85">
        <f t="shared" si="7"/>
        <v>705.88235294117646</v>
      </c>
      <c r="M25" s="85">
        <f t="shared" si="8"/>
        <v>5.5555555555555536</v>
      </c>
      <c r="N25" s="85">
        <f t="shared" si="9"/>
        <v>-10830.163398692779</v>
      </c>
    </row>
    <row r="26" spans="2:14" ht="13.5" thickBot="1">
      <c r="B26" s="79">
        <f t="shared" si="2"/>
        <v>19</v>
      </c>
      <c r="C26" s="80"/>
      <c r="D26" s="81">
        <v>1000</v>
      </c>
      <c r="E26" s="80">
        <v>1000.3</v>
      </c>
      <c r="F26" s="82">
        <v>0.1</v>
      </c>
      <c r="G26" s="83">
        <v>0.4</v>
      </c>
      <c r="H26" s="84">
        <f t="shared" si="3"/>
        <v>5.882352941176471</v>
      </c>
      <c r="I26" s="84">
        <f t="shared" si="4"/>
        <v>5.5555555555555532E-2</v>
      </c>
      <c r="J26" s="85">
        <f t="shared" si="5"/>
        <v>588.23529411764707</v>
      </c>
      <c r="K26" s="85">
        <f t="shared" si="6"/>
        <v>5.5555555555555536</v>
      </c>
      <c r="L26" s="85">
        <f t="shared" si="7"/>
        <v>705.88235294117646</v>
      </c>
      <c r="M26" s="85">
        <f t="shared" si="8"/>
        <v>5.5555555555555536</v>
      </c>
      <c r="N26" s="85">
        <f t="shared" si="9"/>
        <v>-11530.490196078401</v>
      </c>
    </row>
    <row r="27" spans="2:14" ht="13.5" thickBot="1">
      <c r="B27" s="79">
        <f t="shared" si="2"/>
        <v>20</v>
      </c>
      <c r="C27" s="80"/>
      <c r="D27" s="81">
        <v>1000</v>
      </c>
      <c r="E27" s="80">
        <v>1000.3</v>
      </c>
      <c r="F27" s="82">
        <v>0.1</v>
      </c>
      <c r="G27" s="83">
        <v>0.4</v>
      </c>
      <c r="H27" s="84">
        <f t="shared" si="3"/>
        <v>5.882352941176471</v>
      </c>
      <c r="I27" s="84">
        <f t="shared" si="4"/>
        <v>5.5555555555555532E-2</v>
      </c>
      <c r="J27" s="85">
        <f t="shared" si="5"/>
        <v>588.23529411764707</v>
      </c>
      <c r="K27" s="85">
        <f t="shared" si="6"/>
        <v>5.5555555555555536</v>
      </c>
      <c r="L27" s="85">
        <f t="shared" si="7"/>
        <v>705.88235294117646</v>
      </c>
      <c r="M27" s="85">
        <f t="shared" si="8"/>
        <v>5.5555555555555536</v>
      </c>
      <c r="N27" s="85">
        <f t="shared" si="9"/>
        <v>-12230.816993464023</v>
      </c>
    </row>
    <row r="28" spans="2:14" ht="13.5" thickBot="1">
      <c r="B28" s="79">
        <f t="shared" si="2"/>
        <v>21</v>
      </c>
      <c r="C28" s="80"/>
      <c r="D28" s="81">
        <v>1000</v>
      </c>
      <c r="E28" s="80">
        <v>1000.3</v>
      </c>
      <c r="F28" s="82">
        <v>0.1</v>
      </c>
      <c r="G28" s="83">
        <v>0.4</v>
      </c>
      <c r="H28" s="84">
        <f t="shared" si="3"/>
        <v>5.882352941176471</v>
      </c>
      <c r="I28" s="84">
        <f t="shared" si="4"/>
        <v>5.5555555555555532E-2</v>
      </c>
      <c r="J28" s="85">
        <f t="shared" si="5"/>
        <v>588.23529411764707</v>
      </c>
      <c r="K28" s="85">
        <f t="shared" si="6"/>
        <v>5.5555555555555536</v>
      </c>
      <c r="L28" s="85">
        <f t="shared" si="7"/>
        <v>705.88235294117646</v>
      </c>
      <c r="M28" s="85">
        <f t="shared" si="8"/>
        <v>5.5555555555555536</v>
      </c>
      <c r="N28" s="85">
        <f t="shared" si="9"/>
        <v>-12931.143790849645</v>
      </c>
    </row>
    <row r="29" spans="2:14" ht="13.5" thickBot="1">
      <c r="B29" s="79">
        <f t="shared" si="2"/>
        <v>22</v>
      </c>
      <c r="C29" s="80"/>
      <c r="D29" s="81">
        <v>1000</v>
      </c>
      <c r="E29" s="80">
        <v>1000.3</v>
      </c>
      <c r="F29" s="82">
        <v>0.1</v>
      </c>
      <c r="G29" s="83">
        <v>0.4</v>
      </c>
      <c r="H29" s="84">
        <f t="shared" si="3"/>
        <v>5.882352941176471</v>
      </c>
      <c r="I29" s="84">
        <f t="shared" si="4"/>
        <v>5.5555555555555532E-2</v>
      </c>
      <c r="J29" s="85">
        <f t="shared" si="5"/>
        <v>588.23529411764707</v>
      </c>
      <c r="K29" s="85">
        <f t="shared" si="6"/>
        <v>5.5555555555555536</v>
      </c>
      <c r="L29" s="85">
        <f t="shared" si="7"/>
        <v>705.88235294117646</v>
      </c>
      <c r="M29" s="85">
        <f t="shared" si="8"/>
        <v>5.5555555555555536</v>
      </c>
      <c r="N29" s="85">
        <f t="shared" si="9"/>
        <v>-13631.470588235266</v>
      </c>
    </row>
    <row r="30" spans="2:14" ht="13.5" thickBot="1">
      <c r="B30" s="79">
        <f t="shared" si="2"/>
        <v>23</v>
      </c>
      <c r="C30" s="80"/>
      <c r="D30" s="81">
        <v>1000</v>
      </c>
      <c r="E30" s="80">
        <v>1000.3</v>
      </c>
      <c r="F30" s="82">
        <v>0.1</v>
      </c>
      <c r="G30" s="83">
        <v>0.4</v>
      </c>
      <c r="H30" s="84">
        <f t="shared" si="3"/>
        <v>5.882352941176471</v>
      </c>
      <c r="I30" s="84">
        <f t="shared" si="4"/>
        <v>5.5555555555555532E-2</v>
      </c>
      <c r="J30" s="85">
        <f t="shared" si="5"/>
        <v>588.23529411764707</v>
      </c>
      <c r="K30" s="85">
        <f t="shared" si="6"/>
        <v>5.5555555555555536</v>
      </c>
      <c r="L30" s="85">
        <f t="shared" si="7"/>
        <v>705.88235294117646</v>
      </c>
      <c r="M30" s="85">
        <f t="shared" si="8"/>
        <v>5.5555555555555536</v>
      </c>
      <c r="N30" s="85">
        <f t="shared" si="9"/>
        <v>-14331.797385620888</v>
      </c>
    </row>
    <row r="31" spans="2:14" ht="13.5" thickBot="1">
      <c r="B31" s="79">
        <f t="shared" si="2"/>
        <v>24</v>
      </c>
      <c r="C31" s="80"/>
      <c r="D31" s="81">
        <v>1000</v>
      </c>
      <c r="E31" s="80">
        <v>1000.3</v>
      </c>
      <c r="F31" s="82">
        <v>0.1</v>
      </c>
      <c r="G31" s="83">
        <v>0.4</v>
      </c>
      <c r="H31" s="84">
        <f t="shared" si="3"/>
        <v>5.882352941176471</v>
      </c>
      <c r="I31" s="84">
        <f t="shared" si="4"/>
        <v>5.5555555555555532E-2</v>
      </c>
      <c r="J31" s="85">
        <f t="shared" si="5"/>
        <v>588.23529411764707</v>
      </c>
      <c r="K31" s="85">
        <f t="shared" si="6"/>
        <v>5.5555555555555536</v>
      </c>
      <c r="L31" s="85">
        <f t="shared" si="7"/>
        <v>705.88235294117646</v>
      </c>
      <c r="M31" s="85">
        <f t="shared" si="8"/>
        <v>5.5555555555555536</v>
      </c>
      <c r="N31" s="85">
        <f t="shared" si="9"/>
        <v>-15032.12418300651</v>
      </c>
    </row>
    <row r="32" spans="2:14" ht="13.5" thickBot="1">
      <c r="B32" s="79">
        <f t="shared" si="2"/>
        <v>25</v>
      </c>
      <c r="C32" s="80"/>
      <c r="D32" s="81">
        <v>1000</v>
      </c>
      <c r="E32" s="80">
        <v>1000.3</v>
      </c>
      <c r="F32" s="82">
        <v>0.1</v>
      </c>
      <c r="G32" s="83">
        <v>0.4</v>
      </c>
      <c r="H32" s="84">
        <f t="shared" si="3"/>
        <v>5.882352941176471</v>
      </c>
      <c r="I32" s="84">
        <f t="shared" si="4"/>
        <v>5.5555555555555532E-2</v>
      </c>
      <c r="J32" s="85">
        <f t="shared" si="5"/>
        <v>588.23529411764707</v>
      </c>
      <c r="K32" s="85">
        <f t="shared" si="6"/>
        <v>5.5555555555555536</v>
      </c>
      <c r="L32" s="85">
        <f t="shared" si="7"/>
        <v>705.88235294117646</v>
      </c>
      <c r="M32" s="85">
        <f t="shared" si="8"/>
        <v>5.5555555555555536</v>
      </c>
      <c r="N32" s="85">
        <f t="shared" si="9"/>
        <v>-15732.450980392132</v>
      </c>
    </row>
    <row r="33" spans="2:14" ht="13.5" thickBot="1">
      <c r="B33" s="79">
        <f t="shared" si="2"/>
        <v>26</v>
      </c>
      <c r="C33" s="80"/>
      <c r="D33" s="81">
        <v>1000</v>
      </c>
      <c r="E33" s="80">
        <v>1000.3</v>
      </c>
      <c r="F33" s="82">
        <v>0.1</v>
      </c>
      <c r="G33" s="83">
        <v>0.4</v>
      </c>
      <c r="H33" s="84">
        <f t="shared" si="3"/>
        <v>5.882352941176471</v>
      </c>
      <c r="I33" s="84">
        <f t="shared" si="4"/>
        <v>5.5555555555555532E-2</v>
      </c>
      <c r="J33" s="85">
        <f t="shared" si="5"/>
        <v>588.23529411764707</v>
      </c>
      <c r="K33" s="85">
        <f t="shared" si="6"/>
        <v>5.5555555555555536</v>
      </c>
      <c r="L33" s="85">
        <f t="shared" si="7"/>
        <v>705.88235294117646</v>
      </c>
      <c r="M33" s="85">
        <f t="shared" si="8"/>
        <v>5.5555555555555536</v>
      </c>
      <c r="N33" s="85">
        <f t="shared" si="9"/>
        <v>-16432.777777777752</v>
      </c>
    </row>
    <row r="34" spans="2:14" ht="13.5" thickBot="1">
      <c r="B34" s="79">
        <f t="shared" si="2"/>
        <v>27</v>
      </c>
      <c r="C34" s="80"/>
      <c r="D34" s="81">
        <v>1000</v>
      </c>
      <c r="E34" s="80">
        <v>1000.3</v>
      </c>
      <c r="F34" s="82">
        <v>0.1</v>
      </c>
      <c r="G34" s="83">
        <v>0.4</v>
      </c>
      <c r="H34" s="84">
        <f t="shared" si="3"/>
        <v>5.882352941176471</v>
      </c>
      <c r="I34" s="84">
        <f t="shared" si="4"/>
        <v>5.5555555555555532E-2</v>
      </c>
      <c r="J34" s="85">
        <f t="shared" si="5"/>
        <v>588.23529411764707</v>
      </c>
      <c r="K34" s="85">
        <f t="shared" si="6"/>
        <v>5.5555555555555536</v>
      </c>
      <c r="L34" s="85">
        <f t="shared" si="7"/>
        <v>705.88235294117646</v>
      </c>
      <c r="M34" s="85">
        <f t="shared" si="8"/>
        <v>5.5555555555555536</v>
      </c>
      <c r="N34" s="85">
        <f t="shared" si="9"/>
        <v>-17133.104575163372</v>
      </c>
    </row>
    <row r="35" spans="2:14" ht="13.5" thickBot="1">
      <c r="B35" s="79">
        <f t="shared" si="2"/>
        <v>28</v>
      </c>
      <c r="C35" s="80"/>
      <c r="D35" s="81">
        <v>1000</v>
      </c>
      <c r="E35" s="80">
        <v>1000.3</v>
      </c>
      <c r="F35" s="82">
        <v>0.1</v>
      </c>
      <c r="G35" s="83">
        <v>0.4</v>
      </c>
      <c r="H35" s="84">
        <f t="shared" si="3"/>
        <v>5.882352941176471</v>
      </c>
      <c r="I35" s="84">
        <f t="shared" si="4"/>
        <v>5.5555555555555532E-2</v>
      </c>
      <c r="J35" s="85">
        <f t="shared" si="5"/>
        <v>588.23529411764707</v>
      </c>
      <c r="K35" s="85">
        <f t="shared" si="6"/>
        <v>5.5555555555555536</v>
      </c>
      <c r="L35" s="85">
        <f t="shared" si="7"/>
        <v>705.88235294117646</v>
      </c>
      <c r="M35" s="85">
        <f t="shared" si="8"/>
        <v>5.5555555555555536</v>
      </c>
      <c r="N35" s="85">
        <f t="shared" si="9"/>
        <v>-17833.431372548992</v>
      </c>
    </row>
    <row r="36" spans="2:14" ht="13.5" thickBot="1">
      <c r="B36" s="79">
        <f t="shared" si="2"/>
        <v>29</v>
      </c>
      <c r="C36" s="80"/>
      <c r="D36" s="81">
        <v>1000</v>
      </c>
      <c r="E36" s="80">
        <v>1000.3</v>
      </c>
      <c r="F36" s="82">
        <v>0.1</v>
      </c>
      <c r="G36" s="83">
        <v>0.4</v>
      </c>
      <c r="H36" s="84">
        <f t="shared" si="3"/>
        <v>5.882352941176471</v>
      </c>
      <c r="I36" s="84">
        <f t="shared" si="4"/>
        <v>5.5555555555555532E-2</v>
      </c>
      <c r="J36" s="85">
        <f t="shared" si="5"/>
        <v>588.23529411764707</v>
      </c>
      <c r="K36" s="85">
        <f t="shared" si="6"/>
        <v>5.5555555555555536</v>
      </c>
      <c r="L36" s="85">
        <f t="shared" si="7"/>
        <v>705.88235294117646</v>
      </c>
      <c r="M36" s="85">
        <f t="shared" si="8"/>
        <v>5.5555555555555536</v>
      </c>
      <c r="N36" s="85">
        <f t="shared" si="9"/>
        <v>-18533.758169934612</v>
      </c>
    </row>
    <row r="37" spans="2:14" ht="13.5" thickBot="1">
      <c r="B37" s="79">
        <f t="shared" si="2"/>
        <v>30</v>
      </c>
      <c r="C37" s="80"/>
      <c r="D37" s="81">
        <v>1000</v>
      </c>
      <c r="E37" s="80">
        <v>1000.3</v>
      </c>
      <c r="F37" s="82">
        <v>0.1</v>
      </c>
      <c r="G37" s="83">
        <v>0.4</v>
      </c>
      <c r="H37" s="84">
        <f t="shared" si="3"/>
        <v>5.882352941176471</v>
      </c>
      <c r="I37" s="84">
        <f t="shared" si="4"/>
        <v>5.5555555555555532E-2</v>
      </c>
      <c r="J37" s="85">
        <f t="shared" si="5"/>
        <v>588.23529411764707</v>
      </c>
      <c r="K37" s="85">
        <f t="shared" si="6"/>
        <v>5.5555555555555536</v>
      </c>
      <c r="L37" s="85">
        <f t="shared" si="7"/>
        <v>705.88235294117646</v>
      </c>
      <c r="M37" s="85">
        <f t="shared" si="8"/>
        <v>5.5555555555555536</v>
      </c>
      <c r="N37" s="85">
        <f t="shared" si="9"/>
        <v>-19234.084967320232</v>
      </c>
    </row>
    <row r="38" spans="2:14" ht="13.5" thickBot="1">
      <c r="B38" s="79">
        <f t="shared" si="2"/>
        <v>31</v>
      </c>
      <c r="C38" s="80"/>
      <c r="D38" s="81">
        <v>1000</v>
      </c>
      <c r="E38" s="80">
        <v>1000.3</v>
      </c>
      <c r="F38" s="82">
        <v>0.1</v>
      </c>
      <c r="G38" s="83">
        <v>0.4</v>
      </c>
      <c r="H38" s="84">
        <f t="shared" si="3"/>
        <v>5.882352941176471</v>
      </c>
      <c r="I38" s="84">
        <f t="shared" si="4"/>
        <v>5.5555555555555532E-2</v>
      </c>
      <c r="J38" s="85">
        <f t="shared" si="5"/>
        <v>588.23529411764707</v>
      </c>
      <c r="K38" s="85">
        <f t="shared" si="6"/>
        <v>5.5555555555555536</v>
      </c>
      <c r="L38" s="85">
        <f t="shared" si="7"/>
        <v>705.88235294117646</v>
      </c>
      <c r="M38" s="85">
        <f t="shared" si="8"/>
        <v>5.5555555555555536</v>
      </c>
      <c r="N38" s="85">
        <f t="shared" si="9"/>
        <v>-19934.411764705852</v>
      </c>
    </row>
    <row r="39" spans="2:14" ht="13.5" thickBot="1">
      <c r="B39" s="79">
        <f t="shared" si="2"/>
        <v>32</v>
      </c>
      <c r="C39" s="80"/>
      <c r="D39" s="81">
        <v>1000</v>
      </c>
      <c r="E39" s="80">
        <v>1000.3</v>
      </c>
      <c r="F39" s="82">
        <v>0.1</v>
      </c>
      <c r="G39" s="83">
        <v>0.4</v>
      </c>
      <c r="H39" s="84">
        <f t="shared" si="3"/>
        <v>5.882352941176471</v>
      </c>
      <c r="I39" s="84">
        <f t="shared" si="4"/>
        <v>5.5555555555555532E-2</v>
      </c>
      <c r="J39" s="85">
        <f t="shared" si="5"/>
        <v>588.23529411764707</v>
      </c>
      <c r="K39" s="85">
        <f t="shared" si="6"/>
        <v>5.5555555555555536</v>
      </c>
      <c r="L39" s="85">
        <f t="shared" si="7"/>
        <v>705.88235294117646</v>
      </c>
      <c r="M39" s="85">
        <f t="shared" si="8"/>
        <v>5.5555555555555536</v>
      </c>
      <c r="N39" s="85">
        <f t="shared" si="9"/>
        <v>-20634.738562091472</v>
      </c>
    </row>
    <row r="40" spans="2:14" ht="13.5" thickBot="1">
      <c r="B40" s="79">
        <f t="shared" si="2"/>
        <v>33</v>
      </c>
      <c r="C40" s="80"/>
      <c r="D40" s="81">
        <v>1000</v>
      </c>
      <c r="E40" s="80">
        <v>1000.3</v>
      </c>
      <c r="F40" s="82">
        <v>0.1</v>
      </c>
      <c r="G40" s="83">
        <v>0.4</v>
      </c>
      <c r="H40" s="84">
        <f t="shared" si="3"/>
        <v>5.882352941176471</v>
      </c>
      <c r="I40" s="84">
        <f t="shared" si="4"/>
        <v>5.5555555555555532E-2</v>
      </c>
      <c r="J40" s="85">
        <f t="shared" si="5"/>
        <v>588.23529411764707</v>
      </c>
      <c r="K40" s="85">
        <f t="shared" si="6"/>
        <v>5.5555555555555536</v>
      </c>
      <c r="L40" s="85">
        <f t="shared" si="7"/>
        <v>705.88235294117646</v>
      </c>
      <c r="M40" s="85">
        <f t="shared" si="8"/>
        <v>5.5555555555555536</v>
      </c>
      <c r="N40" s="85">
        <f t="shared" si="9"/>
        <v>-21335.065359477092</v>
      </c>
    </row>
    <row r="41" spans="2:14" ht="13.5" thickBot="1">
      <c r="B41" s="79">
        <f t="shared" si="2"/>
        <v>34</v>
      </c>
      <c r="C41" s="80"/>
      <c r="D41" s="81">
        <v>1000</v>
      </c>
      <c r="E41" s="80">
        <v>1000.3</v>
      </c>
      <c r="F41" s="82">
        <v>0.1</v>
      </c>
      <c r="G41" s="83">
        <v>0.4</v>
      </c>
      <c r="H41" s="84">
        <f t="shared" si="3"/>
        <v>5.882352941176471</v>
      </c>
      <c r="I41" s="84">
        <f t="shared" si="4"/>
        <v>5.5555555555555532E-2</v>
      </c>
      <c r="J41" s="85">
        <f t="shared" si="5"/>
        <v>588.23529411764707</v>
      </c>
      <c r="K41" s="85">
        <f t="shared" si="6"/>
        <v>5.5555555555555536</v>
      </c>
      <c r="L41" s="85">
        <f t="shared" si="7"/>
        <v>705.88235294117646</v>
      </c>
      <c r="M41" s="85">
        <f t="shared" si="8"/>
        <v>5.5555555555555536</v>
      </c>
      <c r="N41" s="85">
        <f t="shared" si="9"/>
        <v>-22035.392156862712</v>
      </c>
    </row>
    <row r="42" spans="2:14" ht="13.5" thickBot="1">
      <c r="B42" s="79">
        <f t="shared" si="2"/>
        <v>35</v>
      </c>
      <c r="C42" s="80"/>
      <c r="D42" s="81">
        <v>1000</v>
      </c>
      <c r="E42" s="80">
        <v>1000.3</v>
      </c>
      <c r="F42" s="82">
        <v>0.1</v>
      </c>
      <c r="G42" s="83">
        <v>0.4</v>
      </c>
      <c r="H42" s="84">
        <f t="shared" si="3"/>
        <v>5.882352941176471</v>
      </c>
      <c r="I42" s="84">
        <f t="shared" si="4"/>
        <v>5.5555555555555532E-2</v>
      </c>
      <c r="J42" s="85">
        <f t="shared" si="5"/>
        <v>588.23529411764707</v>
      </c>
      <c r="K42" s="85">
        <f t="shared" si="6"/>
        <v>5.5555555555555536</v>
      </c>
      <c r="L42" s="85">
        <f t="shared" si="7"/>
        <v>705.88235294117646</v>
      </c>
      <c r="M42" s="85">
        <f t="shared" si="8"/>
        <v>5.5555555555555536</v>
      </c>
      <c r="N42" s="85">
        <f t="shared" si="9"/>
        <v>-22735.718954248332</v>
      </c>
    </row>
    <row r="43" spans="2:14" ht="13.5" thickBot="1">
      <c r="B43" s="79">
        <f t="shared" si="2"/>
        <v>36</v>
      </c>
      <c r="C43" s="80"/>
      <c r="D43" s="81">
        <v>1000</v>
      </c>
      <c r="E43" s="80">
        <v>1000.3</v>
      </c>
      <c r="F43" s="82">
        <v>0.1</v>
      </c>
      <c r="G43" s="83">
        <v>0.4</v>
      </c>
      <c r="H43" s="84">
        <f t="shared" si="3"/>
        <v>5.882352941176471</v>
      </c>
      <c r="I43" s="84">
        <f t="shared" si="4"/>
        <v>5.5555555555555532E-2</v>
      </c>
      <c r="J43" s="85">
        <f t="shared" si="5"/>
        <v>588.23529411764707</v>
      </c>
      <c r="K43" s="85">
        <f t="shared" si="6"/>
        <v>5.5555555555555536</v>
      </c>
      <c r="L43" s="85">
        <f t="shared" si="7"/>
        <v>705.88235294117646</v>
      </c>
      <c r="M43" s="85">
        <f t="shared" si="8"/>
        <v>5.5555555555555536</v>
      </c>
      <c r="N43" s="85">
        <f t="shared" si="9"/>
        <v>-23436.045751633952</v>
      </c>
    </row>
    <row r="44" spans="2:14" ht="13.5" thickBot="1">
      <c r="B44" s="79">
        <f t="shared" si="2"/>
        <v>37</v>
      </c>
      <c r="C44" s="80"/>
      <c r="D44" s="81">
        <v>1000</v>
      </c>
      <c r="E44" s="80">
        <v>1000.3</v>
      </c>
      <c r="F44" s="82">
        <v>0.1</v>
      </c>
      <c r="G44" s="83">
        <v>0.4</v>
      </c>
      <c r="H44" s="84">
        <f t="shared" si="3"/>
        <v>5.882352941176471</v>
      </c>
      <c r="I44" s="84">
        <f t="shared" si="4"/>
        <v>5.5555555555555532E-2</v>
      </c>
      <c r="J44" s="85">
        <f t="shared" si="5"/>
        <v>588.23529411764707</v>
      </c>
      <c r="K44" s="85">
        <f t="shared" si="6"/>
        <v>5.5555555555555536</v>
      </c>
      <c r="L44" s="85">
        <f t="shared" si="7"/>
        <v>705.88235294117646</v>
      </c>
      <c r="M44" s="85">
        <f t="shared" si="8"/>
        <v>5.5555555555555536</v>
      </c>
      <c r="N44" s="85">
        <f t="shared" si="9"/>
        <v>-24136.372549019572</v>
      </c>
    </row>
    <row r="45" spans="2:14" ht="13.5" thickBot="1">
      <c r="B45" s="79">
        <f t="shared" si="2"/>
        <v>38</v>
      </c>
      <c r="C45" s="80"/>
      <c r="D45" s="81">
        <v>1000</v>
      </c>
      <c r="E45" s="80">
        <v>1000.3</v>
      </c>
      <c r="F45" s="82">
        <v>0.1</v>
      </c>
      <c r="G45" s="83">
        <v>0.4</v>
      </c>
      <c r="H45" s="84">
        <f t="shared" si="3"/>
        <v>5.882352941176471</v>
      </c>
      <c r="I45" s="84">
        <f t="shared" si="4"/>
        <v>5.5555555555555532E-2</v>
      </c>
      <c r="J45" s="85">
        <f t="shared" si="5"/>
        <v>588.23529411764707</v>
      </c>
      <c r="K45" s="85">
        <f t="shared" si="6"/>
        <v>5.5555555555555536</v>
      </c>
      <c r="L45" s="85">
        <f t="shared" si="7"/>
        <v>705.88235294117646</v>
      </c>
      <c r="M45" s="85">
        <f t="shared" si="8"/>
        <v>5.5555555555555536</v>
      </c>
      <c r="N45" s="85">
        <f t="shared" si="9"/>
        <v>-24836.699346405192</v>
      </c>
    </row>
    <row r="46" spans="2:14" ht="13.5" thickBot="1">
      <c r="B46" s="79">
        <f t="shared" si="2"/>
        <v>39</v>
      </c>
      <c r="C46" s="80"/>
      <c r="D46" s="81">
        <v>1000</v>
      </c>
      <c r="E46" s="80">
        <v>1000.3</v>
      </c>
      <c r="F46" s="82">
        <v>0.1</v>
      </c>
      <c r="G46" s="83">
        <v>0.4</v>
      </c>
      <c r="H46" s="84">
        <f t="shared" si="3"/>
        <v>5.882352941176471</v>
      </c>
      <c r="I46" s="84">
        <f t="shared" si="4"/>
        <v>5.5555555555555532E-2</v>
      </c>
      <c r="J46" s="85">
        <f t="shared" si="5"/>
        <v>588.23529411764707</v>
      </c>
      <c r="K46" s="85">
        <f t="shared" si="6"/>
        <v>5.5555555555555536</v>
      </c>
      <c r="L46" s="85">
        <f t="shared" si="7"/>
        <v>705.88235294117646</v>
      </c>
      <c r="M46" s="85">
        <f t="shared" si="8"/>
        <v>5.5555555555555536</v>
      </c>
      <c r="N46" s="85">
        <f t="shared" si="9"/>
        <v>-25537.026143790812</v>
      </c>
    </row>
    <row r="47" spans="2:14" ht="13.5" thickBot="1">
      <c r="B47" s="79">
        <f t="shared" si="2"/>
        <v>40</v>
      </c>
      <c r="C47" s="80"/>
      <c r="D47" s="81">
        <v>1000</v>
      </c>
      <c r="E47" s="80">
        <v>1000.3</v>
      </c>
      <c r="F47" s="82">
        <v>0.1</v>
      </c>
      <c r="G47" s="83">
        <v>0.4</v>
      </c>
      <c r="H47" s="84">
        <f t="shared" si="3"/>
        <v>5.882352941176471</v>
      </c>
      <c r="I47" s="84">
        <f t="shared" si="4"/>
        <v>5.5555555555555532E-2</v>
      </c>
      <c r="J47" s="85">
        <f t="shared" si="5"/>
        <v>588.23529411764707</v>
      </c>
      <c r="K47" s="85">
        <f t="shared" si="6"/>
        <v>5.5555555555555536</v>
      </c>
      <c r="L47" s="85">
        <f t="shared" si="7"/>
        <v>705.88235294117646</v>
      </c>
      <c r="M47" s="85">
        <f t="shared" si="8"/>
        <v>5.5555555555555536</v>
      </c>
      <c r="N47" s="85">
        <f t="shared" si="9"/>
        <v>-26237.352941176432</v>
      </c>
    </row>
    <row r="48" spans="2:14" ht="13.5" thickBot="1">
      <c r="B48" s="79">
        <f t="shared" si="2"/>
        <v>41</v>
      </c>
      <c r="C48" s="80"/>
      <c r="D48" s="81">
        <v>1000</v>
      </c>
      <c r="E48" s="80">
        <v>1000.3</v>
      </c>
      <c r="F48" s="82">
        <v>0.1</v>
      </c>
      <c r="G48" s="83">
        <v>0.4</v>
      </c>
      <c r="H48" s="84">
        <f t="shared" si="3"/>
        <v>5.882352941176471</v>
      </c>
      <c r="I48" s="84">
        <f t="shared" si="4"/>
        <v>5.5555555555555532E-2</v>
      </c>
      <c r="J48" s="85">
        <f t="shared" si="5"/>
        <v>588.23529411764707</v>
      </c>
      <c r="K48" s="85">
        <f t="shared" si="6"/>
        <v>5.5555555555555536</v>
      </c>
      <c r="L48" s="85">
        <f t="shared" si="7"/>
        <v>705.88235294117646</v>
      </c>
      <c r="M48" s="85">
        <f t="shared" si="8"/>
        <v>5.5555555555555536</v>
      </c>
      <c r="N48" s="85">
        <f t="shared" si="9"/>
        <v>-26937.679738562052</v>
      </c>
    </row>
    <row r="49" spans="2:14" ht="13.5" thickBot="1">
      <c r="B49" s="79">
        <f t="shared" si="2"/>
        <v>42</v>
      </c>
      <c r="C49" s="80"/>
      <c r="D49" s="81">
        <v>1000</v>
      </c>
      <c r="E49" s="80">
        <v>1000.3</v>
      </c>
      <c r="F49" s="82">
        <v>0.1</v>
      </c>
      <c r="G49" s="83">
        <v>0.4</v>
      </c>
      <c r="H49" s="84">
        <f t="shared" si="3"/>
        <v>5.882352941176471</v>
      </c>
      <c r="I49" s="84">
        <f t="shared" si="4"/>
        <v>5.5555555555555532E-2</v>
      </c>
      <c r="J49" s="85">
        <f t="shared" si="5"/>
        <v>588.23529411764707</v>
      </c>
      <c r="K49" s="85">
        <f t="shared" si="6"/>
        <v>5.5555555555555536</v>
      </c>
      <c r="L49" s="85">
        <f t="shared" si="7"/>
        <v>705.88235294117646</v>
      </c>
      <c r="M49" s="85">
        <f t="shared" si="8"/>
        <v>5.5555555555555536</v>
      </c>
      <c r="N49" s="85">
        <f t="shared" si="9"/>
        <v>-27638.006535947672</v>
      </c>
    </row>
    <row r="50" spans="2:14" ht="13.5" thickBot="1">
      <c r="B50" s="79">
        <f t="shared" si="2"/>
        <v>43</v>
      </c>
      <c r="C50" s="80"/>
      <c r="D50" s="81">
        <v>1000</v>
      </c>
      <c r="E50" s="80">
        <v>1000.3</v>
      </c>
      <c r="F50" s="82">
        <v>0.1</v>
      </c>
      <c r="G50" s="83">
        <v>0.4</v>
      </c>
      <c r="H50" s="84">
        <f t="shared" si="3"/>
        <v>5.882352941176471</v>
      </c>
      <c r="I50" s="84">
        <f t="shared" si="4"/>
        <v>5.5555555555555532E-2</v>
      </c>
      <c r="J50" s="85">
        <f t="shared" si="5"/>
        <v>588.23529411764707</v>
      </c>
      <c r="K50" s="85">
        <f t="shared" si="6"/>
        <v>5.5555555555555536</v>
      </c>
      <c r="L50" s="85">
        <f t="shared" si="7"/>
        <v>705.88235294117646</v>
      </c>
      <c r="M50" s="85">
        <f t="shared" si="8"/>
        <v>5.5555555555555536</v>
      </c>
      <c r="N50" s="85">
        <f t="shared" si="9"/>
        <v>-28338.333333333292</v>
      </c>
    </row>
    <row r="51" spans="2:14" ht="13.5" thickBot="1">
      <c r="B51" s="79">
        <v>2</v>
      </c>
      <c r="C51" s="80"/>
      <c r="D51" s="81">
        <v>1000</v>
      </c>
      <c r="E51" s="80">
        <v>1000.3</v>
      </c>
      <c r="F51" s="82">
        <v>0.1</v>
      </c>
      <c r="G51" s="83">
        <v>0.4</v>
      </c>
      <c r="H51" s="84">
        <v>5.882352941176471</v>
      </c>
      <c r="I51" s="84">
        <v>5.5555555555555532E-2</v>
      </c>
      <c r="J51" s="85">
        <v>532.35294117644662</v>
      </c>
      <c r="K51" s="85">
        <v>13.888888888893941</v>
      </c>
      <c r="L51" s="85">
        <v>585.58823529409131</v>
      </c>
      <c r="M51" s="85">
        <v>13.888888888893941</v>
      </c>
      <c r="N51" s="85">
        <v>428.30065359480261</v>
      </c>
    </row>
    <row r="52" spans="2:14" ht="13.5" thickBot="1">
      <c r="B52" s="79">
        <v>2</v>
      </c>
      <c r="C52" s="80"/>
      <c r="D52" s="81">
        <v>1000</v>
      </c>
      <c r="E52" s="80">
        <v>1000.3</v>
      </c>
      <c r="F52" s="82">
        <v>0.1</v>
      </c>
      <c r="G52" s="83">
        <v>0.4</v>
      </c>
      <c r="H52" s="84">
        <v>5.882352941176471</v>
      </c>
      <c r="I52" s="84">
        <v>5.5555555555555532E-2</v>
      </c>
      <c r="J52" s="85">
        <v>532.35294117644662</v>
      </c>
      <c r="K52" s="85">
        <v>13.888888888893941</v>
      </c>
      <c r="L52" s="85">
        <v>585.58823529409131</v>
      </c>
      <c r="M52" s="85">
        <v>13.888888888893941</v>
      </c>
      <c r="N52" s="85">
        <v>428.30065359480261</v>
      </c>
    </row>
    <row r="53" spans="2:14" ht="13.5" thickBot="1">
      <c r="B53" s="79">
        <v>2</v>
      </c>
      <c r="C53" s="80"/>
      <c r="D53" s="81">
        <v>1000</v>
      </c>
      <c r="E53" s="80">
        <v>1000.3</v>
      </c>
      <c r="F53" s="82">
        <v>0.1</v>
      </c>
      <c r="G53" s="83">
        <v>0.4</v>
      </c>
      <c r="H53" s="84">
        <v>5.882352941176471</v>
      </c>
      <c r="I53" s="84">
        <v>5.5555555555555532E-2</v>
      </c>
      <c r="J53" s="85">
        <v>532.35294117644662</v>
      </c>
      <c r="K53" s="85">
        <v>13.888888888893941</v>
      </c>
      <c r="L53" s="85">
        <v>585.58823529409131</v>
      </c>
      <c r="M53" s="85">
        <v>13.888888888893941</v>
      </c>
      <c r="N53" s="85">
        <v>428.30065359480261</v>
      </c>
    </row>
    <row r="54" spans="2:14" ht="13.5" thickBot="1">
      <c r="B54" s="79">
        <v>2</v>
      </c>
      <c r="C54" s="80"/>
      <c r="D54" s="81">
        <v>1000</v>
      </c>
      <c r="E54" s="80">
        <v>1000.3</v>
      </c>
      <c r="F54" s="82">
        <v>0.1</v>
      </c>
      <c r="G54" s="83">
        <v>0.4</v>
      </c>
      <c r="H54" s="84">
        <v>5.882352941176471</v>
      </c>
      <c r="I54" s="84">
        <v>5.5555555555555532E-2</v>
      </c>
      <c r="J54" s="85">
        <v>532.35294117644662</v>
      </c>
      <c r="K54" s="85">
        <v>13.888888888893941</v>
      </c>
      <c r="L54" s="85">
        <v>585.58823529409131</v>
      </c>
      <c r="M54" s="85">
        <v>13.888888888893941</v>
      </c>
      <c r="N54" s="85">
        <v>428.30065359480261</v>
      </c>
    </row>
    <row r="55" spans="2:14" ht="13.5" thickBot="1">
      <c r="B55" s="79">
        <v>2</v>
      </c>
      <c r="C55" s="80"/>
      <c r="D55" s="81">
        <v>1000</v>
      </c>
      <c r="E55" s="80">
        <v>1000.3</v>
      </c>
      <c r="F55" s="82">
        <v>0.1</v>
      </c>
      <c r="G55" s="83">
        <v>0.4</v>
      </c>
      <c r="H55" s="84">
        <v>5.882352941176471</v>
      </c>
      <c r="I55" s="84">
        <v>5.5555555555555532E-2</v>
      </c>
      <c r="J55" s="85">
        <v>532.35294117644662</v>
      </c>
      <c r="K55" s="85">
        <v>13.888888888893941</v>
      </c>
      <c r="L55" s="85">
        <v>585.58823529409131</v>
      </c>
      <c r="M55" s="85">
        <v>13.888888888893941</v>
      </c>
      <c r="N55" s="85">
        <v>428.30065359480261</v>
      </c>
    </row>
    <row r="56" spans="2:14" ht="13.5" thickBot="1">
      <c r="B56" s="79">
        <v>2</v>
      </c>
      <c r="C56" s="80"/>
      <c r="D56" s="81">
        <v>1000</v>
      </c>
      <c r="E56" s="80">
        <v>1000.3</v>
      </c>
      <c r="F56" s="82">
        <v>0.1</v>
      </c>
      <c r="G56" s="83">
        <v>0.4</v>
      </c>
      <c r="H56" s="84">
        <v>5.882352941176471</v>
      </c>
      <c r="I56" s="84">
        <v>5.5555555555555532E-2</v>
      </c>
      <c r="J56" s="85">
        <v>532.35294117644662</v>
      </c>
      <c r="K56" s="85">
        <v>13.888888888893941</v>
      </c>
      <c r="L56" s="85">
        <v>585.58823529409131</v>
      </c>
      <c r="M56" s="85">
        <v>13.888888888893941</v>
      </c>
      <c r="N56" s="85">
        <v>428.30065359480261</v>
      </c>
    </row>
    <row r="57" spans="2:14" ht="13.5" thickBot="1">
      <c r="B57" s="79">
        <v>2</v>
      </c>
      <c r="C57" s="80"/>
      <c r="D57" s="81">
        <v>1000</v>
      </c>
      <c r="E57" s="80">
        <v>1000.3</v>
      </c>
      <c r="F57" s="82">
        <v>0.1</v>
      </c>
      <c r="G57" s="83">
        <v>0.4</v>
      </c>
      <c r="H57" s="84">
        <v>5.882352941176471</v>
      </c>
      <c r="I57" s="84">
        <v>5.5555555555555532E-2</v>
      </c>
      <c r="J57" s="85">
        <v>532.35294117644662</v>
      </c>
      <c r="K57" s="85">
        <v>13.888888888893941</v>
      </c>
      <c r="L57" s="85">
        <v>585.58823529409131</v>
      </c>
      <c r="M57" s="85">
        <v>13.888888888893941</v>
      </c>
      <c r="N57" s="85">
        <v>428.30065359480261</v>
      </c>
    </row>
    <row r="58" spans="2:14" ht="13.5" thickBot="1">
      <c r="B58" s="79">
        <v>2</v>
      </c>
      <c r="C58" s="80"/>
      <c r="D58" s="81">
        <v>1000</v>
      </c>
      <c r="E58" s="80">
        <v>1000.3</v>
      </c>
      <c r="F58" s="82">
        <v>0.1</v>
      </c>
      <c r="G58" s="83">
        <v>0.4</v>
      </c>
      <c r="H58" s="84">
        <v>5.882352941176471</v>
      </c>
      <c r="I58" s="84">
        <v>5.5555555555555532E-2</v>
      </c>
      <c r="J58" s="85">
        <v>532.35294117644662</v>
      </c>
      <c r="K58" s="85">
        <v>13.888888888893941</v>
      </c>
      <c r="L58" s="85">
        <v>585.58823529409131</v>
      </c>
      <c r="M58" s="85">
        <v>13.888888888893941</v>
      </c>
      <c r="N58" s="85">
        <v>428.30065359480261</v>
      </c>
    </row>
    <row r="59" spans="2:14" ht="13.5" thickBot="1">
      <c r="B59" s="79">
        <v>2</v>
      </c>
      <c r="C59" s="80"/>
      <c r="D59" s="81">
        <v>1000</v>
      </c>
      <c r="E59" s="80">
        <v>1000.3</v>
      </c>
      <c r="F59" s="82">
        <v>0.1</v>
      </c>
      <c r="G59" s="83">
        <v>0.4</v>
      </c>
      <c r="H59" s="84">
        <v>5.882352941176471</v>
      </c>
      <c r="I59" s="84">
        <v>5.5555555555555532E-2</v>
      </c>
      <c r="J59" s="85">
        <v>532.35294117644662</v>
      </c>
      <c r="K59" s="85">
        <v>13.888888888893941</v>
      </c>
      <c r="L59" s="85">
        <v>585.58823529409131</v>
      </c>
      <c r="M59" s="85">
        <v>13.888888888893941</v>
      </c>
      <c r="N59" s="85">
        <v>428.30065359480261</v>
      </c>
    </row>
    <row r="60" spans="2:14" ht="13.5" thickBot="1">
      <c r="B60" s="79">
        <v>2</v>
      </c>
      <c r="C60" s="80"/>
      <c r="D60" s="81">
        <v>1000</v>
      </c>
      <c r="E60" s="80">
        <v>1000.3</v>
      </c>
      <c r="F60" s="82">
        <v>0.1</v>
      </c>
      <c r="G60" s="83">
        <v>0.4</v>
      </c>
      <c r="H60" s="84">
        <v>5.882352941176471</v>
      </c>
      <c r="I60" s="84">
        <v>5.5555555555555532E-2</v>
      </c>
      <c r="J60" s="85">
        <v>532.35294117644662</v>
      </c>
      <c r="K60" s="85">
        <v>13.888888888893941</v>
      </c>
      <c r="L60" s="85">
        <v>585.58823529409131</v>
      </c>
      <c r="M60" s="85">
        <v>13.888888888893941</v>
      </c>
      <c r="N60" s="85">
        <v>428.30065359480261</v>
      </c>
    </row>
    <row r="61" spans="2:14" ht="13.5" thickBot="1">
      <c r="B61" s="79">
        <v>2</v>
      </c>
      <c r="C61" s="80"/>
      <c r="D61" s="81">
        <v>1000</v>
      </c>
      <c r="E61" s="80">
        <v>1000.3</v>
      </c>
      <c r="F61" s="82">
        <v>0.1</v>
      </c>
      <c r="G61" s="83">
        <v>0.4</v>
      </c>
      <c r="H61" s="84">
        <v>5.882352941176471</v>
      </c>
      <c r="I61" s="84">
        <v>5.5555555555555532E-2</v>
      </c>
      <c r="J61" s="85">
        <v>532.35294117644662</v>
      </c>
      <c r="K61" s="85">
        <v>13.888888888893941</v>
      </c>
      <c r="L61" s="85">
        <v>585.58823529409131</v>
      </c>
      <c r="M61" s="85">
        <v>13.888888888893941</v>
      </c>
      <c r="N61" s="85">
        <v>428.30065359480261</v>
      </c>
    </row>
    <row r="62" spans="2:14" ht="13.5" thickBot="1">
      <c r="B62" s="79">
        <v>2</v>
      </c>
      <c r="C62" s="80"/>
      <c r="D62" s="81">
        <v>1000</v>
      </c>
      <c r="E62" s="80">
        <v>1000.3</v>
      </c>
      <c r="F62" s="82">
        <v>0.1</v>
      </c>
      <c r="G62" s="83">
        <v>0.4</v>
      </c>
      <c r="H62" s="84">
        <v>5.882352941176471</v>
      </c>
      <c r="I62" s="84">
        <v>5.5555555555555532E-2</v>
      </c>
      <c r="J62" s="85">
        <v>532.35294117644662</v>
      </c>
      <c r="K62" s="85">
        <v>13.888888888893941</v>
      </c>
      <c r="L62" s="85">
        <v>585.58823529409131</v>
      </c>
      <c r="M62" s="85">
        <v>13.888888888893941</v>
      </c>
      <c r="N62" s="85">
        <v>428.30065359480261</v>
      </c>
    </row>
    <row r="63" spans="2:14" ht="13.5" thickBot="1">
      <c r="B63" s="79">
        <v>2</v>
      </c>
      <c r="C63" s="80"/>
      <c r="D63" s="81">
        <v>1000</v>
      </c>
      <c r="E63" s="80">
        <v>1000.3</v>
      </c>
      <c r="F63" s="82">
        <v>0.1</v>
      </c>
      <c r="G63" s="83">
        <v>0.4</v>
      </c>
      <c r="H63" s="84">
        <v>5.882352941176471</v>
      </c>
      <c r="I63" s="84">
        <v>5.5555555555555532E-2</v>
      </c>
      <c r="J63" s="85">
        <v>532.35294117644662</v>
      </c>
      <c r="K63" s="85">
        <v>13.888888888893941</v>
      </c>
      <c r="L63" s="85">
        <v>585.58823529409131</v>
      </c>
      <c r="M63" s="85">
        <v>13.888888888893941</v>
      </c>
      <c r="N63" s="85">
        <v>428.30065359480261</v>
      </c>
    </row>
    <row r="64" spans="2:14" ht="13.5" thickBot="1">
      <c r="B64" s="79">
        <v>2</v>
      </c>
      <c r="C64" s="80"/>
      <c r="D64" s="81">
        <v>1000</v>
      </c>
      <c r="E64" s="80">
        <v>1000.3</v>
      </c>
      <c r="F64" s="82">
        <v>0.1</v>
      </c>
      <c r="G64" s="83">
        <v>0.4</v>
      </c>
      <c r="H64" s="84">
        <v>5.882352941176471</v>
      </c>
      <c r="I64" s="84">
        <v>5.5555555555555532E-2</v>
      </c>
      <c r="J64" s="85">
        <v>532.35294117644662</v>
      </c>
      <c r="K64" s="85">
        <v>13.888888888893941</v>
      </c>
      <c r="L64" s="85">
        <v>585.58823529409131</v>
      </c>
      <c r="M64" s="85">
        <v>13.888888888893941</v>
      </c>
      <c r="N64" s="85">
        <v>428.30065359480261</v>
      </c>
    </row>
    <row r="65" spans="2:14" ht="13.5" thickBot="1">
      <c r="B65" s="79">
        <v>2</v>
      </c>
      <c r="C65" s="80"/>
      <c r="D65" s="81">
        <v>1000</v>
      </c>
      <c r="E65" s="80">
        <v>1000.3</v>
      </c>
      <c r="F65" s="82">
        <v>0.1</v>
      </c>
      <c r="G65" s="83">
        <v>0.4</v>
      </c>
      <c r="H65" s="84">
        <v>5.882352941176471</v>
      </c>
      <c r="I65" s="84">
        <v>5.5555555555555532E-2</v>
      </c>
      <c r="J65" s="85">
        <v>532.35294117644662</v>
      </c>
      <c r="K65" s="85">
        <v>13.888888888893941</v>
      </c>
      <c r="L65" s="85">
        <v>585.58823529409131</v>
      </c>
      <c r="M65" s="85">
        <v>13.888888888893941</v>
      </c>
      <c r="N65" s="85">
        <v>428.30065359480261</v>
      </c>
    </row>
    <row r="66" spans="2:14" ht="13.5" thickBot="1">
      <c r="B66" s="79">
        <f t="shared" ref="B66:B69" si="10">B65+1</f>
        <v>3</v>
      </c>
      <c r="C66" s="80"/>
      <c r="D66" s="81">
        <v>1000</v>
      </c>
      <c r="E66" s="80">
        <v>1000.3</v>
      </c>
      <c r="F66" s="82">
        <v>0.1</v>
      </c>
      <c r="G66" s="83">
        <v>0.4</v>
      </c>
      <c r="H66" s="84">
        <f t="shared" ref="H66:H69" si="11">aterro(G66,La,na,$C$4,nc,HB,lb,F66)</f>
        <v>5.882352941176471</v>
      </c>
      <c r="I66" s="84">
        <f t="shared" ref="I66:I69" si="12">corte(G66,La,na,$C$4,nc,HB,lb,F66)</f>
        <v>5.5555555555555532E-2</v>
      </c>
      <c r="J66" s="85">
        <f t="shared" ref="J66:J69" si="13">((IF(C65=0,IF(B66=0,C66,"100"),100-C65))/2)*(H65+H66)</f>
        <v>588.23529411764707</v>
      </c>
      <c r="K66" s="85">
        <f t="shared" ref="K66:K69" si="14">((IF(C65=0,IF(B66=0,C66,"100"),100-C65))/2)*(I65+I66)</f>
        <v>5.5555555555555536</v>
      </c>
      <c r="L66" s="85">
        <f t="shared" ref="L66:L69" si="15">J66*$I$2</f>
        <v>705.88235294117646</v>
      </c>
      <c r="M66" s="85">
        <f t="shared" ref="M66:M69" si="16">IF(K66&lt;L66,K66,L66)</f>
        <v>5.5555555555555536</v>
      </c>
      <c r="N66" s="85">
        <f t="shared" ref="N66:N69" si="17">N65+K66-L66</f>
        <v>-272.02614379081831</v>
      </c>
    </row>
    <row r="67" spans="2:14" ht="13.5" thickBot="1">
      <c r="B67" s="79">
        <f t="shared" si="10"/>
        <v>4</v>
      </c>
      <c r="C67" s="80"/>
      <c r="D67" s="81">
        <v>1000</v>
      </c>
      <c r="E67" s="80">
        <v>1000.3</v>
      </c>
      <c r="F67" s="82">
        <v>0.1</v>
      </c>
      <c r="G67" s="83">
        <v>0.4</v>
      </c>
      <c r="H67" s="84">
        <f t="shared" si="11"/>
        <v>5.882352941176471</v>
      </c>
      <c r="I67" s="84">
        <f t="shared" si="12"/>
        <v>5.5555555555555532E-2</v>
      </c>
      <c r="J67" s="85">
        <f t="shared" si="13"/>
        <v>588.23529411764707</v>
      </c>
      <c r="K67" s="85">
        <f t="shared" si="14"/>
        <v>5.5555555555555536</v>
      </c>
      <c r="L67" s="85">
        <f t="shared" si="15"/>
        <v>705.88235294117646</v>
      </c>
      <c r="M67" s="85">
        <f t="shared" si="16"/>
        <v>5.5555555555555536</v>
      </c>
      <c r="N67" s="85">
        <f t="shared" si="17"/>
        <v>-972.35294117643923</v>
      </c>
    </row>
    <row r="68" spans="2:14" ht="13.5" thickBot="1">
      <c r="B68" s="79">
        <f t="shared" si="10"/>
        <v>5</v>
      </c>
      <c r="C68" s="80"/>
      <c r="D68" s="81">
        <v>1000</v>
      </c>
      <c r="E68" s="80">
        <v>1000.3</v>
      </c>
      <c r="F68" s="82">
        <v>0.1</v>
      </c>
      <c r="G68" s="83">
        <v>0.4</v>
      </c>
      <c r="H68" s="84">
        <f t="shared" si="11"/>
        <v>5.882352941176471</v>
      </c>
      <c r="I68" s="84">
        <f t="shared" si="12"/>
        <v>5.5555555555555532E-2</v>
      </c>
      <c r="J68" s="85">
        <f t="shared" si="13"/>
        <v>588.23529411764707</v>
      </c>
      <c r="K68" s="85">
        <f t="shared" si="14"/>
        <v>5.5555555555555536</v>
      </c>
      <c r="L68" s="85">
        <f t="shared" si="15"/>
        <v>705.88235294117646</v>
      </c>
      <c r="M68" s="85">
        <f t="shared" si="16"/>
        <v>5.5555555555555536</v>
      </c>
      <c r="N68" s="85">
        <f t="shared" si="17"/>
        <v>-1672.6797385620603</v>
      </c>
    </row>
    <row r="69" spans="2:14" ht="13.5" thickBot="1">
      <c r="B69" s="79">
        <f t="shared" si="10"/>
        <v>6</v>
      </c>
      <c r="C69" s="80"/>
      <c r="D69" s="81">
        <v>1000</v>
      </c>
      <c r="E69" s="80">
        <v>1000.3</v>
      </c>
      <c r="F69" s="82">
        <v>0.1</v>
      </c>
      <c r="G69" s="83">
        <v>0.4</v>
      </c>
      <c r="H69" s="84">
        <f t="shared" si="11"/>
        <v>5.882352941176471</v>
      </c>
      <c r="I69" s="84">
        <f t="shared" si="12"/>
        <v>5.5555555555555532E-2</v>
      </c>
      <c r="J69" s="85">
        <f t="shared" si="13"/>
        <v>588.23529411764707</v>
      </c>
      <c r="K69" s="85">
        <f t="shared" si="14"/>
        <v>5.5555555555555536</v>
      </c>
      <c r="L69" s="85">
        <f t="shared" si="15"/>
        <v>705.88235294117646</v>
      </c>
      <c r="M69" s="85">
        <f t="shared" si="16"/>
        <v>5.5555555555555536</v>
      </c>
      <c r="N69" s="85">
        <f t="shared" si="17"/>
        <v>-2373.0065359476812</v>
      </c>
    </row>
    <row r="70" spans="2:14" ht="13.5" thickBot="1">
      <c r="B70" s="79">
        <v>2</v>
      </c>
      <c r="C70" s="80"/>
      <c r="D70" s="81">
        <v>1000</v>
      </c>
      <c r="E70" s="80">
        <v>1000.3</v>
      </c>
      <c r="F70" s="82">
        <v>0.1</v>
      </c>
      <c r="G70" s="83">
        <f t="shared" ref="G70" si="18">E70-D70</f>
        <v>0.29999999999995453</v>
      </c>
      <c r="H70" s="84">
        <f t="shared" ref="H70" si="19">aterro(G70,La,na,$C$4,nc,HB,lb,F70)</f>
        <v>4.7647058823524606</v>
      </c>
      <c r="I70" s="84">
        <f t="shared" ref="I70" si="20">corte(G70,La,na,$C$4,nc,HB,lb,F70)</f>
        <v>0.22222222222232327</v>
      </c>
      <c r="J70" s="85">
        <f t="shared" ref="J70" si="21">((IF(C69=0,IF(B70=0,C70,"100"),100-C69))/2)*(H69+H70)</f>
        <v>532.35294117644662</v>
      </c>
      <c r="K70" s="85">
        <f t="shared" ref="K70" si="22">((IF(C69=0,IF(B70=0,C70,"100"),100-C69))/2)*(I69+I70)</f>
        <v>13.888888888893941</v>
      </c>
      <c r="L70" s="85">
        <f t="shared" ref="L70" si="23">J70*$I$2</f>
        <v>638.82352941173588</v>
      </c>
      <c r="M70" s="85">
        <f t="shared" ref="M70" si="24">IF(K70&lt;L70,K70,L70)</f>
        <v>13.888888888893941</v>
      </c>
      <c r="N70" s="85">
        <f t="shared" ref="N70" si="25">N69+K70-L70</f>
        <v>-2997.9411764705228</v>
      </c>
    </row>
  </sheetData>
  <sheetProtection sheet="1" objects="1" scenarios="1"/>
  <mergeCells count="4">
    <mergeCell ref="B6:C6"/>
    <mergeCell ref="J6:K6"/>
    <mergeCell ref="H6:I6"/>
    <mergeCell ref="B1:N1"/>
  </mergeCells>
  <phoneticPr fontId="0" type="noConversion"/>
  <printOptions gridLines="1"/>
  <pageMargins left="0.78740157480314965" right="0.78740157480314965" top="0.98425196850393704" bottom="0.98425196850393704" header="0.51181102362204722" footer="0.51181102362204722"/>
  <pageSetup paperSize="9" scale="55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9</vt:i4>
      </vt:variant>
    </vt:vector>
  </HeadingPairs>
  <TitlesOfParts>
    <vt:vector size="13" baseType="lpstr">
      <vt:lpstr>Instruções</vt:lpstr>
      <vt:lpstr>CurvaHorizontal</vt:lpstr>
      <vt:lpstr>CurvaVertical</vt:lpstr>
      <vt:lpstr>Terraplenagem</vt:lpstr>
      <vt:lpstr>alfa</vt:lpstr>
      <vt:lpstr>CurvaHorizontal!Area_de_impressao</vt:lpstr>
      <vt:lpstr>Terraplenagem!Area_de_impressao</vt:lpstr>
      <vt:lpstr>CV</vt:lpstr>
      <vt:lpstr>HB</vt:lpstr>
      <vt:lpstr>La</vt:lpstr>
      <vt:lpstr>lb</vt:lpstr>
      <vt:lpstr>na</vt:lpstr>
      <vt:lpstr>nc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Antonio Silveira Lopes</dc:creator>
  <cp:lastModifiedBy>BIGBLACK</cp:lastModifiedBy>
  <cp:lastPrinted>2010-09-03T01:03:56Z</cp:lastPrinted>
  <dcterms:created xsi:type="dcterms:W3CDTF">2009-01-28T00:00:27Z</dcterms:created>
  <dcterms:modified xsi:type="dcterms:W3CDTF">2010-09-03T01:32:28Z</dcterms:modified>
</cp:coreProperties>
</file>