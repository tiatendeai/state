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9. Drive - Descomplica\8. Documentação de Clientes\Carsil\"/>
    </mc:Choice>
  </mc:AlternateContent>
  <bookViews>
    <workbookView xWindow="0" yWindow="0" windowWidth="20490" windowHeight="10605" activeTab="1"/>
  </bookViews>
  <sheets>
    <sheet name="Instruções" sheetId="8" r:id="rId1"/>
    <sheet name="Presumido" sheetId="7" r:id="rId2"/>
  </sheets>
  <calcPr calcId="152511"/>
</workbook>
</file>

<file path=xl/calcChain.xml><?xml version="1.0" encoding="utf-8"?>
<calcChain xmlns="http://schemas.openxmlformats.org/spreadsheetml/2006/main">
  <c r="K22" i="7" l="1"/>
  <c r="J22" i="7"/>
  <c r="I22" i="7"/>
  <c r="H22" i="7"/>
  <c r="G22" i="7"/>
  <c r="F22" i="7"/>
  <c r="S21" i="7"/>
  <c r="M21" i="7"/>
  <c r="D21" i="7"/>
  <c r="C21" i="7"/>
  <c r="B21" i="7"/>
  <c r="E21" i="7" s="1"/>
  <c r="O20" i="7"/>
  <c r="R20" i="7" s="1"/>
  <c r="L20" i="7"/>
  <c r="L21" i="7" s="1"/>
  <c r="I20" i="7"/>
  <c r="K20" i="7" s="1"/>
  <c r="F20" i="7"/>
  <c r="H20" i="7" s="1"/>
  <c r="E20" i="7"/>
  <c r="O19" i="7"/>
  <c r="R19" i="7" s="1"/>
  <c r="N19" i="7"/>
  <c r="L19" i="7"/>
  <c r="I19" i="7"/>
  <c r="K19" i="7" s="1"/>
  <c r="E19" i="7"/>
  <c r="F19" i="7" s="1"/>
  <c r="H19" i="7" s="1"/>
  <c r="O18" i="7"/>
  <c r="O21" i="7" s="1"/>
  <c r="L18" i="7"/>
  <c r="N18" i="7" s="1"/>
  <c r="I18" i="7"/>
  <c r="K18" i="7" s="1"/>
  <c r="E18" i="7"/>
  <c r="F18" i="7" s="1"/>
  <c r="H18" i="7" s="1"/>
  <c r="S17" i="7"/>
  <c r="M17" i="7"/>
  <c r="C17" i="7"/>
  <c r="R16" i="7"/>
  <c r="O16" i="7"/>
  <c r="L16" i="7"/>
  <c r="N16" i="7" s="1"/>
  <c r="E16" i="7"/>
  <c r="I16" i="7" s="1"/>
  <c r="K16" i="7" s="1"/>
  <c r="L15" i="7"/>
  <c r="N15" i="7" s="1"/>
  <c r="D15" i="7"/>
  <c r="D17" i="7" s="1"/>
  <c r="B15" i="7"/>
  <c r="E15" i="7" s="1"/>
  <c r="R14" i="7"/>
  <c r="O14" i="7"/>
  <c r="L14" i="7"/>
  <c r="N14" i="7" s="1"/>
  <c r="E14" i="7"/>
  <c r="I14" i="7" s="1"/>
  <c r="K14" i="7" s="1"/>
  <c r="S13" i="7"/>
  <c r="M13" i="7"/>
  <c r="D13" i="7"/>
  <c r="C13" i="7"/>
  <c r="B13" i="7"/>
  <c r="P13" i="7" s="1"/>
  <c r="Q13" i="7" s="1"/>
  <c r="O12" i="7"/>
  <c r="R12" i="7" s="1"/>
  <c r="N12" i="7"/>
  <c r="L12" i="7"/>
  <c r="I12" i="7"/>
  <c r="K12" i="7" s="1"/>
  <c r="H12" i="7"/>
  <c r="F12" i="7"/>
  <c r="E12" i="7"/>
  <c r="O11" i="7"/>
  <c r="R11" i="7" s="1"/>
  <c r="N11" i="7"/>
  <c r="L11" i="7"/>
  <c r="I11" i="7"/>
  <c r="K11" i="7" s="1"/>
  <c r="E11" i="7"/>
  <c r="F11" i="7" s="1"/>
  <c r="H11" i="7" s="1"/>
  <c r="R10" i="7"/>
  <c r="O10" i="7"/>
  <c r="O13" i="7" s="1"/>
  <c r="L10" i="7"/>
  <c r="L13" i="7" s="1"/>
  <c r="E10" i="7"/>
  <c r="I10" i="7" s="1"/>
  <c r="K10" i="7" s="1"/>
  <c r="S9" i="7"/>
  <c r="S22" i="7" s="1"/>
  <c r="M9" i="7"/>
  <c r="M22" i="7" s="1"/>
  <c r="D9" i="7"/>
  <c r="D22" i="7" s="1"/>
  <c r="C9" i="7"/>
  <c r="C22" i="7" s="1"/>
  <c r="B9" i="7"/>
  <c r="P9" i="7" s="1"/>
  <c r="O8" i="7"/>
  <c r="R8" i="7" s="1"/>
  <c r="N8" i="7"/>
  <c r="F8" i="7"/>
  <c r="H8" i="7" s="1"/>
  <c r="E8" i="7"/>
  <c r="I8" i="7" s="1"/>
  <c r="K8" i="7" s="1"/>
  <c r="O7" i="7"/>
  <c r="R7" i="7" s="1"/>
  <c r="N7" i="7"/>
  <c r="N9" i="7" s="1"/>
  <c r="L7" i="7"/>
  <c r="I7" i="7"/>
  <c r="K7" i="7" s="1"/>
  <c r="H7" i="7"/>
  <c r="F7" i="7"/>
  <c r="E7" i="7"/>
  <c r="O6" i="7"/>
  <c r="O9" i="7" s="1"/>
  <c r="N6" i="7"/>
  <c r="L6" i="7"/>
  <c r="L9" i="7" s="1"/>
  <c r="I6" i="7"/>
  <c r="K6" i="7" s="1"/>
  <c r="E6" i="7"/>
  <c r="F6" i="7" s="1"/>
  <c r="H6" i="7" s="1"/>
  <c r="I15" i="7" l="1"/>
  <c r="K15" i="7" s="1"/>
  <c r="F15" i="7"/>
  <c r="H15" i="7" s="1"/>
  <c r="N21" i="7"/>
  <c r="R13" i="7"/>
  <c r="T13" i="7" s="1"/>
  <c r="N17" i="7"/>
  <c r="R21" i="7"/>
  <c r="T21" i="7" s="1"/>
  <c r="O22" i="7"/>
  <c r="Q9" i="7"/>
  <c r="R9" i="7" s="1"/>
  <c r="P21" i="7"/>
  <c r="Q21" i="7" s="1"/>
  <c r="R6" i="7"/>
  <c r="F16" i="7"/>
  <c r="H16" i="7" s="1"/>
  <c r="B17" i="7"/>
  <c r="R18" i="7"/>
  <c r="N20" i="7"/>
  <c r="F10" i="7"/>
  <c r="H10" i="7" s="1"/>
  <c r="L17" i="7"/>
  <c r="L22" i="7" s="1"/>
  <c r="E9" i="7"/>
  <c r="N10" i="7"/>
  <c r="N13" i="7" s="1"/>
  <c r="N22" i="7" s="1"/>
  <c r="E13" i="7"/>
  <c r="O15" i="7"/>
  <c r="R15" i="7" s="1"/>
  <c r="F14" i="7"/>
  <c r="H14" i="7" s="1"/>
  <c r="T9" i="7" l="1"/>
  <c r="E17" i="7"/>
  <c r="B22" i="7"/>
  <c r="P17" i="7"/>
  <c r="E22" i="7"/>
  <c r="Q17" i="7" l="1"/>
  <c r="P22" i="7"/>
  <c r="R17" i="7" l="1"/>
  <c r="Q22" i="7"/>
  <c r="T17" i="7" l="1"/>
  <c r="T22" i="7" s="1"/>
  <c r="R22" i="7"/>
</calcChain>
</file>

<file path=xl/sharedStrings.xml><?xml version="1.0" encoding="utf-8"?>
<sst xmlns="http://schemas.openxmlformats.org/spreadsheetml/2006/main" count="47" uniqueCount="42">
  <si>
    <t>Modelo de Acompanhamento Tributário Lucro Presumido</t>
  </si>
  <si>
    <t>MÊS</t>
  </si>
  <si>
    <t xml:space="preserve">RECEITAS </t>
  </si>
  <si>
    <t>VALOR DOS IMPOSTOS À PAGAR</t>
  </si>
  <si>
    <t>Vendas</t>
  </si>
  <si>
    <t>SERVIÇO</t>
  </si>
  <si>
    <t>Devolução</t>
  </si>
  <si>
    <t>Tributadas</t>
  </si>
  <si>
    <t>PIS</t>
  </si>
  <si>
    <t>Ret Pis</t>
  </si>
  <si>
    <t>Pis a PG</t>
  </si>
  <si>
    <t>COFINS</t>
  </si>
  <si>
    <t>Ret Cofins</t>
  </si>
  <si>
    <t>Cofins a PG</t>
  </si>
  <si>
    <t>CSLL</t>
  </si>
  <si>
    <t>Ret CSLL</t>
  </si>
  <si>
    <t>CSLL a PG</t>
  </si>
  <si>
    <t>IRPJ</t>
  </si>
  <si>
    <t>bc adicional</t>
  </si>
  <si>
    <t>ADIC.10%</t>
  </si>
  <si>
    <t>Ret IRPJ</t>
  </si>
  <si>
    <t>IRPJ a pG</t>
  </si>
  <si>
    <t>JAN</t>
  </si>
  <si>
    <t>FEV</t>
  </si>
  <si>
    <t>MAR</t>
  </si>
  <si>
    <t>1ºTRI</t>
  </si>
  <si>
    <t>ABR</t>
  </si>
  <si>
    <t>MAI</t>
  </si>
  <si>
    <t>JUN</t>
  </si>
  <si>
    <t>2ºTRI</t>
  </si>
  <si>
    <t>JUL</t>
  </si>
  <si>
    <t>AGO</t>
  </si>
  <si>
    <t>SET</t>
  </si>
  <si>
    <t>3ºTRI</t>
  </si>
  <si>
    <t>OUT</t>
  </si>
  <si>
    <t>NOV</t>
  </si>
  <si>
    <t>DEZ</t>
  </si>
  <si>
    <t>4ºTRI</t>
  </si>
  <si>
    <t>TOTAL</t>
  </si>
  <si>
    <t>RECEITAS</t>
  </si>
  <si>
    <t>%SERV</t>
  </si>
  <si>
    <t>% VEND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</si>
</sst>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0"/>
      <name val="Arial"/>
      <charset val="134"/>
    </font>
    <font>
      <sz val="12"/>
      <name val="Arial"/>
      <charset val="134"/>
    </font>
    <font>
      <b/>
      <sz val="18"/>
      <color theme="0"/>
      <name val="Arial"/>
      <charset val="134"/>
    </font>
    <font>
      <b/>
      <sz val="10"/>
      <name val="Arial"/>
      <charset val="134"/>
    </font>
    <font>
      <b/>
      <sz val="10"/>
      <color theme="0"/>
      <name val="Arial"/>
      <charset val="134"/>
    </font>
    <font>
      <sz val="10"/>
      <color theme="0"/>
      <name val="Arial"/>
      <charset val="134"/>
    </font>
    <font>
      <sz val="11"/>
      <name val="Arial"/>
      <charset val="134"/>
    </font>
    <font>
      <sz val="10"/>
      <name val="Arial"/>
      <charset val="134"/>
    </font>
  </fonts>
  <fills count="10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05E5E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auto="1"/>
      </bottom>
      <diagonal/>
    </border>
  </borders>
  <cellStyleXfs count="2">
    <xf numFmtId="0" fontId="0" fillId="0" borderId="0"/>
    <xf numFmtId="0" fontId="7" fillId="0" borderId="0"/>
  </cellStyleXfs>
  <cellXfs count="46">
    <xf numFmtId="0" fontId="0" fillId="0" borderId="0" xfId="0"/>
    <xf numFmtId="0" fontId="1" fillId="0" borderId="0" xfId="1" applyFont="1"/>
    <xf numFmtId="0" fontId="0" fillId="0" borderId="0" xfId="1" applyFont="1" applyFill="1"/>
    <xf numFmtId="0" fontId="7" fillId="0" borderId="0" xfId="1"/>
    <xf numFmtId="0" fontId="0" fillId="0" borderId="0" xfId="1" applyFont="1"/>
    <xf numFmtId="0" fontId="3" fillId="0" borderId="0" xfId="0" applyFont="1"/>
    <xf numFmtId="0" fontId="4" fillId="4" borderId="8" xfId="1" applyFont="1" applyFill="1" applyBorder="1" applyAlignment="1">
      <alignment horizontal="center" vertical="center"/>
    </xf>
    <xf numFmtId="0" fontId="0" fillId="0" borderId="9" xfId="1" applyFont="1" applyFill="1" applyBorder="1" applyAlignment="1">
      <alignment horizontal="center" vertical="center"/>
    </xf>
    <xf numFmtId="4" fontId="0" fillId="0" borderId="10" xfId="1" applyNumberFormat="1" applyFont="1" applyFill="1" applyBorder="1" applyAlignment="1">
      <alignment horizontal="right" vertical="center"/>
    </xf>
    <xf numFmtId="4" fontId="0" fillId="5" borderId="10" xfId="1" applyNumberFormat="1" applyFont="1" applyFill="1" applyBorder="1" applyAlignment="1">
      <alignment horizontal="right" vertical="center"/>
    </xf>
    <xf numFmtId="0" fontId="0" fillId="0" borderId="10" xfId="1" applyFont="1" applyFill="1" applyBorder="1" applyAlignment="1">
      <alignment horizontal="center" vertical="center"/>
    </xf>
    <xf numFmtId="0" fontId="4" fillId="6" borderId="10" xfId="1" applyFont="1" applyFill="1" applyBorder="1" applyAlignment="1">
      <alignment horizontal="center" vertical="center"/>
    </xf>
    <xf numFmtId="4" fontId="4" fillId="6" borderId="10" xfId="1" applyNumberFormat="1" applyFont="1" applyFill="1" applyBorder="1" applyAlignment="1">
      <alignment horizontal="right" vertical="center"/>
    </xf>
    <xf numFmtId="4" fontId="0" fillId="0" borderId="10" xfId="1" applyNumberFormat="1" applyFont="1" applyBorder="1" applyAlignment="1">
      <alignment horizontal="right" vertical="center"/>
    </xf>
    <xf numFmtId="4" fontId="5" fillId="6" borderId="10" xfId="1" applyNumberFormat="1" applyFont="1" applyFill="1" applyBorder="1" applyAlignment="1">
      <alignment horizontal="right" vertical="center"/>
    </xf>
    <xf numFmtId="4" fontId="4" fillId="6" borderId="11" xfId="1" applyNumberFormat="1" applyFont="1" applyFill="1" applyBorder="1" applyAlignment="1">
      <alignment horizontal="right" vertical="center"/>
    </xf>
    <xf numFmtId="0" fontId="4" fillId="7" borderId="10" xfId="1" applyFont="1" applyFill="1" applyBorder="1" applyAlignment="1">
      <alignment horizontal="center" vertical="center"/>
    </xf>
    <xf numFmtId="4" fontId="4" fillId="7" borderId="10" xfId="1" applyNumberFormat="1" applyFont="1" applyFill="1" applyBorder="1" applyAlignment="1">
      <alignment horizontal="right" vertical="center"/>
    </xf>
    <xf numFmtId="0" fontId="4" fillId="8" borderId="12" xfId="0" applyFont="1" applyFill="1" applyBorder="1" applyAlignment="1">
      <alignment horizontal="center"/>
    </xf>
    <xf numFmtId="0" fontId="4" fillId="0" borderId="0" xfId="0" applyFont="1" applyFill="1" applyBorder="1" applyAlignment="1"/>
    <xf numFmtId="0" fontId="0" fillId="0" borderId="10" xfId="0" applyFont="1" applyBorder="1"/>
    <xf numFmtId="0" fontId="0" fillId="0" borderId="10" xfId="0" applyBorder="1"/>
    <xf numFmtId="10" fontId="0" fillId="0" borderId="10" xfId="0" applyNumberFormat="1" applyBorder="1"/>
    <xf numFmtId="10" fontId="0" fillId="0" borderId="10" xfId="1" applyNumberFormat="1" applyFont="1" applyBorder="1"/>
    <xf numFmtId="0" fontId="0" fillId="0" borderId="10" xfId="0" applyFont="1" applyFill="1" applyBorder="1"/>
    <xf numFmtId="0" fontId="0" fillId="0" borderId="10" xfId="0" applyFill="1" applyBorder="1"/>
    <xf numFmtId="10" fontId="0" fillId="0" borderId="10" xfId="0" applyNumberFormat="1" applyFill="1" applyBorder="1"/>
    <xf numFmtId="4" fontId="3" fillId="5" borderId="10" xfId="1" applyNumberFormat="1" applyFont="1" applyFill="1" applyBorder="1" applyAlignment="1">
      <alignment horizontal="right" vertical="center"/>
    </xf>
    <xf numFmtId="4" fontId="5" fillId="0" borderId="10" xfId="1" applyNumberFormat="1" applyFont="1" applyFill="1" applyBorder="1" applyAlignment="1">
      <alignment horizontal="right" vertical="center"/>
    </xf>
    <xf numFmtId="0" fontId="0" fillId="0" borderId="10" xfId="1" applyFont="1" applyFill="1" applyBorder="1" applyAlignment="1">
      <alignment horizontal="right" vertical="center"/>
    </xf>
    <xf numFmtId="4" fontId="3" fillId="5" borderId="11" xfId="1" applyNumberFormat="1" applyFont="1" applyFill="1" applyBorder="1" applyAlignment="1">
      <alignment horizontal="right" vertical="center"/>
    </xf>
    <xf numFmtId="0" fontId="0" fillId="0" borderId="0" xfId="0" applyFont="1"/>
    <xf numFmtId="0" fontId="4" fillId="4" borderId="13" xfId="1" applyFont="1" applyFill="1" applyBorder="1" applyAlignment="1">
      <alignment horizontal="center" vertical="center"/>
    </xf>
    <xf numFmtId="0" fontId="6" fillId="0" borderId="0" xfId="1" applyFont="1"/>
    <xf numFmtId="4" fontId="3" fillId="6" borderId="10" xfId="1" applyNumberFormat="1" applyFont="1" applyFill="1" applyBorder="1" applyAlignment="1">
      <alignment horizontal="right" vertical="center"/>
    </xf>
    <xf numFmtId="0" fontId="3" fillId="9" borderId="0" xfId="0" applyFont="1" applyFill="1"/>
    <xf numFmtId="0" fontId="0" fillId="0" borderId="0" xfId="0" applyFont="1" applyAlignment="1">
      <alignment wrapText="1"/>
    </xf>
    <xf numFmtId="0" fontId="2" fillId="2" borderId="0" xfId="0" applyFont="1" applyFill="1" applyAlignment="1">
      <alignment horizontal="center"/>
    </xf>
    <xf numFmtId="0" fontId="4" fillId="4" borderId="2" xfId="1" applyFont="1" applyFill="1" applyBorder="1" applyAlignment="1">
      <alignment horizontal="center" vertical="center"/>
    </xf>
    <xf numFmtId="0" fontId="4" fillId="4" borderId="3" xfId="1" applyFont="1" applyFill="1" applyBorder="1" applyAlignment="1">
      <alignment horizontal="center" vertical="center"/>
    </xf>
    <xf numFmtId="0" fontId="4" fillId="4" borderId="4" xfId="1" applyFont="1" applyFill="1" applyBorder="1" applyAlignment="1">
      <alignment horizontal="center" vertical="center"/>
    </xf>
    <xf numFmtId="0" fontId="4" fillId="4" borderId="5" xfId="1" applyFont="1" applyFill="1" applyBorder="1" applyAlignment="1">
      <alignment horizontal="center" vertical="center"/>
    </xf>
    <xf numFmtId="0" fontId="4" fillId="4" borderId="6" xfId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/>
    </xf>
    <xf numFmtId="0" fontId="4" fillId="3" borderId="1" xfId="1" applyFont="1" applyFill="1" applyBorder="1" applyAlignment="1">
      <alignment horizontal="center" vertical="center"/>
    </xf>
    <xf numFmtId="0" fontId="4" fillId="3" borderId="7" xfId="1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F05E5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2</xdr:row>
      <xdr:rowOff>9525</xdr:rowOff>
    </xdr:from>
    <xdr:to>
      <xdr:col>5</xdr:col>
      <xdr:colOff>523875</xdr:colOff>
      <xdr:row>53</xdr:row>
      <xdr:rowOff>152400</xdr:rowOff>
    </xdr:to>
    <xdr:pic>
      <xdr:nvPicPr>
        <xdr:cNvPr id="2" name="Imagem 1" descr="modelo-de-acompanhamento-tributario-lucro-presumido-instrucoes-planilh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33375"/>
          <a:ext cx="6667500" cy="8401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B8"/>
  <sheetViews>
    <sheetView showGridLines="0" topLeftCell="A7" zoomScale="70" zoomScaleNormal="70" workbookViewId="0">
      <selection activeCell="G17" sqref="G17"/>
    </sheetView>
  </sheetViews>
  <sheetFormatPr defaultColWidth="9" defaultRowHeight="12.75"/>
  <cols>
    <col min="2" max="2" width="65.28515625" customWidth="1"/>
  </cols>
  <sheetData>
    <row r="3" spans="2:2">
      <c r="B3" s="35"/>
    </row>
    <row r="6" spans="2:2">
      <c r="B6" s="31"/>
    </row>
    <row r="7" spans="2:2">
      <c r="B7" s="36"/>
    </row>
    <row r="8" spans="2:2">
      <c r="B8" s="36"/>
    </row>
  </sheetData>
  <pageMargins left="0.511811024" right="0.511811024" top="0.78740157499999996" bottom="0.78740157499999996" header="0.31496062000000002" footer="0.31496062000000002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1"/>
  <sheetViews>
    <sheetView showGridLines="0" tabSelected="1" zoomScale="85" zoomScaleNormal="85" workbookViewId="0">
      <selection activeCell="G30" sqref="G30"/>
    </sheetView>
  </sheetViews>
  <sheetFormatPr defaultColWidth="9.140625" defaultRowHeight="12.75"/>
  <cols>
    <col min="1" max="1" width="9.140625" style="3"/>
    <col min="2" max="2" width="11.5703125" style="3" customWidth="1"/>
    <col min="3" max="3" width="10.140625" style="3" customWidth="1"/>
    <col min="4" max="4" width="10.5703125" style="3" customWidth="1"/>
    <col min="5" max="5" width="12.85546875" style="3" customWidth="1"/>
    <col min="6" max="8" width="9.7109375" style="3" customWidth="1"/>
    <col min="9" max="11" width="11" style="3" customWidth="1"/>
    <col min="12" max="15" width="11.7109375" style="4" customWidth="1"/>
    <col min="16" max="16" width="12.85546875" style="4" customWidth="1"/>
    <col min="17" max="17" width="9.42578125" style="3" customWidth="1"/>
    <col min="18" max="18" width="12.85546875" style="3" customWidth="1"/>
    <col min="19" max="20" width="10.140625" style="3" customWidth="1"/>
    <col min="21" max="16384" width="9.140625" style="3"/>
  </cols>
  <sheetData>
    <row r="1" spans="1:26" customFormat="1" ht="23.25">
      <c r="A1" s="37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</row>
    <row r="2" spans="1:26" customFormat="1">
      <c r="A2" s="5"/>
      <c r="Q2" s="31"/>
      <c r="R2" s="3"/>
      <c r="S2" s="31"/>
    </row>
    <row r="4" spans="1:26">
      <c r="A4" s="44" t="s">
        <v>1</v>
      </c>
      <c r="B4" s="38" t="s">
        <v>2</v>
      </c>
      <c r="C4" s="39"/>
      <c r="D4" s="39"/>
      <c r="E4" s="40"/>
      <c r="F4" s="41" t="s">
        <v>3</v>
      </c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</row>
    <row r="5" spans="1:26" ht="14.25">
      <c r="A5" s="4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32" t="s">
        <v>17</v>
      </c>
      <c r="S5" s="32" t="s">
        <v>20</v>
      </c>
      <c r="T5" s="32" t="s">
        <v>21</v>
      </c>
      <c r="U5" s="33"/>
      <c r="V5" s="33"/>
      <c r="W5" s="33"/>
      <c r="X5" s="33"/>
      <c r="Y5" s="33"/>
      <c r="Z5" s="33"/>
    </row>
    <row r="6" spans="1:26" s="1" customFormat="1" ht="15">
      <c r="A6" s="7" t="s">
        <v>22</v>
      </c>
      <c r="B6" s="8">
        <v>584565.12</v>
      </c>
      <c r="C6" s="8">
        <v>0</v>
      </c>
      <c r="D6" s="8">
        <v>3889.24</v>
      </c>
      <c r="E6" s="8">
        <f>B6+C6-D6</f>
        <v>580675.88</v>
      </c>
      <c r="F6" s="8">
        <f>E6*0.65%</f>
        <v>3774.3932200000004</v>
      </c>
      <c r="G6" s="8"/>
      <c r="H6" s="9">
        <f>F6-G6</f>
        <v>3774.3932200000004</v>
      </c>
      <c r="I6" s="8">
        <f>E6*3%</f>
        <v>17420.276399999999</v>
      </c>
      <c r="J6" s="8"/>
      <c r="K6" s="9">
        <f>I6-J6</f>
        <v>17420.276399999999</v>
      </c>
      <c r="L6" s="8">
        <f>(((B6-D6)*1.08%)+(C6*2.88%))</f>
        <v>6271.2995040000005</v>
      </c>
      <c r="M6" s="8"/>
      <c r="N6" s="8">
        <f>L6-M6</f>
        <v>6271.2995040000005</v>
      </c>
      <c r="O6" s="8">
        <f>(((B6-D6)*1.2%)+(C6*4.8%))</f>
        <v>6968.1105600000001</v>
      </c>
      <c r="P6" s="8"/>
      <c r="Q6" s="8"/>
      <c r="R6" s="8">
        <f t="shared" ref="R6:R21" si="0">O6+Q6</f>
        <v>6968.1105600000001</v>
      </c>
      <c r="S6" s="8">
        <v>0</v>
      </c>
      <c r="T6" s="8"/>
      <c r="U6" s="33"/>
      <c r="V6" s="33"/>
      <c r="W6" s="33"/>
      <c r="X6" s="33"/>
      <c r="Y6" s="33"/>
      <c r="Z6" s="33"/>
    </row>
    <row r="7" spans="1:26" s="1" customFormat="1" ht="15">
      <c r="A7" s="10" t="s">
        <v>23</v>
      </c>
      <c r="B7" s="8">
        <v>490654.5</v>
      </c>
      <c r="C7" s="8">
        <v>0</v>
      </c>
      <c r="D7" s="8">
        <v>4578.1000000000004</v>
      </c>
      <c r="E7" s="8">
        <f t="shared" ref="E7:E21" si="1">B7+C7-D7</f>
        <v>486076.4</v>
      </c>
      <c r="F7" s="8">
        <f>E7*0.65%</f>
        <v>3159.4966000000004</v>
      </c>
      <c r="G7" s="8"/>
      <c r="H7" s="9">
        <f t="shared" ref="H7:H8" si="2">F7-G7</f>
        <v>3159.4966000000004</v>
      </c>
      <c r="I7" s="8">
        <f>E7*3%</f>
        <v>14582.291999999999</v>
      </c>
      <c r="J7" s="8"/>
      <c r="K7" s="9">
        <f t="shared" ref="K7:K8" si="3">I7-J7</f>
        <v>14582.291999999999</v>
      </c>
      <c r="L7" s="8">
        <f>(((B7-D7)*1.08%)+(C7*2.88%))</f>
        <v>5249.6251200000006</v>
      </c>
      <c r="M7" s="8"/>
      <c r="N7" s="8">
        <f t="shared" ref="N7:N8" si="4">L7-M7</f>
        <v>5249.6251200000006</v>
      </c>
      <c r="O7" s="8">
        <f>(((B7-D7)*1.2%)+(C7*4.8%))</f>
        <v>5832.9168</v>
      </c>
      <c r="P7" s="8"/>
      <c r="Q7" s="8"/>
      <c r="R7" s="8">
        <f t="shared" si="0"/>
        <v>5832.9168</v>
      </c>
      <c r="S7" s="8">
        <v>0</v>
      </c>
      <c r="T7" s="8"/>
      <c r="U7" s="33"/>
      <c r="V7" s="33"/>
      <c r="W7" s="33"/>
      <c r="X7" s="33"/>
      <c r="Y7" s="33"/>
      <c r="Z7" s="33"/>
    </row>
    <row r="8" spans="1:26" s="1" customFormat="1" ht="15">
      <c r="A8" s="10" t="s">
        <v>24</v>
      </c>
      <c r="B8" s="8">
        <v>518588.17</v>
      </c>
      <c r="C8" s="8">
        <v>0</v>
      </c>
      <c r="D8" s="8">
        <v>2881.8</v>
      </c>
      <c r="E8" s="8">
        <f t="shared" si="1"/>
        <v>515706.37</v>
      </c>
      <c r="F8" s="8">
        <f>E8*0.65%</f>
        <v>3352.0914050000001</v>
      </c>
      <c r="G8" s="8"/>
      <c r="H8" s="9">
        <f t="shared" si="2"/>
        <v>3352.0914050000001</v>
      </c>
      <c r="I8" s="8">
        <f>E8*3%</f>
        <v>15471.1911</v>
      </c>
      <c r="J8" s="8"/>
      <c r="K8" s="9">
        <f t="shared" si="3"/>
        <v>15471.1911</v>
      </c>
      <c r="L8" s="8">
        <v>5569.628796</v>
      </c>
      <c r="M8" s="8"/>
      <c r="N8" s="8">
        <f t="shared" si="4"/>
        <v>5569.628796</v>
      </c>
      <c r="O8" s="8">
        <f>(((B8-D8)*1.2%)+(C8*4.8%))</f>
        <v>6188.4764400000004</v>
      </c>
      <c r="P8" s="8"/>
      <c r="Q8" s="8"/>
      <c r="R8" s="8">
        <f t="shared" si="0"/>
        <v>6188.4764400000004</v>
      </c>
      <c r="S8" s="8">
        <v>0</v>
      </c>
      <c r="T8" s="8"/>
      <c r="U8" s="33"/>
      <c r="V8" s="33"/>
      <c r="W8" s="33"/>
      <c r="X8" s="33"/>
      <c r="Y8" s="33"/>
      <c r="Z8" s="33"/>
    </row>
    <row r="9" spans="1:26" s="1" customFormat="1" ht="15">
      <c r="A9" s="11" t="s">
        <v>25</v>
      </c>
      <c r="B9" s="12">
        <f>SUM(B6:B8)</f>
        <v>1593807.79</v>
      </c>
      <c r="C9" s="12">
        <f>SUM(C6:C8)</f>
        <v>0</v>
      </c>
      <c r="D9" s="12">
        <f>SUM(D6:D8)</f>
        <v>11349.14</v>
      </c>
      <c r="E9" s="12">
        <f t="shared" si="1"/>
        <v>1582458.6500000001</v>
      </c>
      <c r="F9" s="12"/>
      <c r="G9" s="12"/>
      <c r="H9" s="12"/>
      <c r="I9" s="12"/>
      <c r="J9" s="12"/>
      <c r="K9" s="12"/>
      <c r="L9" s="12">
        <f>SUM(L6:L8)</f>
        <v>17090.55342</v>
      </c>
      <c r="M9" s="12">
        <f>SUM(M6:M8)</f>
        <v>0</v>
      </c>
      <c r="N9" s="27">
        <f>SUM(N6:N8)</f>
        <v>17090.55342</v>
      </c>
      <c r="O9" s="12">
        <f>SUM(O6:O8)</f>
        <v>18989.503799999999</v>
      </c>
      <c r="P9" s="12">
        <f>(((B9-D9)*8%)+(C9*13%)-60000)</f>
        <v>66596.69200000001</v>
      </c>
      <c r="Q9" s="12">
        <f>P9*10%</f>
        <v>6659.6692000000012</v>
      </c>
      <c r="R9" s="12">
        <f t="shared" si="0"/>
        <v>25649.172999999999</v>
      </c>
      <c r="S9" s="34">
        <f>SUM(S6:S8)</f>
        <v>0</v>
      </c>
      <c r="T9" s="27">
        <f>R9-S9</f>
        <v>25649.172999999999</v>
      </c>
      <c r="U9" s="33"/>
      <c r="V9" s="33"/>
      <c r="W9" s="33"/>
      <c r="X9" s="33"/>
      <c r="Y9" s="33"/>
      <c r="Z9" s="33"/>
    </row>
    <row r="10" spans="1:26" s="1" customFormat="1" ht="15">
      <c r="A10" s="10" t="s">
        <v>26</v>
      </c>
      <c r="B10" s="13">
        <v>469515.99</v>
      </c>
      <c r="C10" s="13">
        <v>0</v>
      </c>
      <c r="D10" s="13">
        <v>848.87</v>
      </c>
      <c r="E10" s="8">
        <f t="shared" si="1"/>
        <v>468667.12</v>
      </c>
      <c r="F10" s="8">
        <f>E10*0.65%</f>
        <v>3046.3362800000004</v>
      </c>
      <c r="G10" s="8"/>
      <c r="H10" s="9">
        <f>F10-G10</f>
        <v>3046.3362800000004</v>
      </c>
      <c r="I10" s="8">
        <f>E10*3%</f>
        <v>14060.0136</v>
      </c>
      <c r="J10" s="8"/>
      <c r="K10" s="9">
        <f>I10-J10</f>
        <v>14060.0136</v>
      </c>
      <c r="L10" s="8">
        <f>(((B10-D10)*1.08%)+(C10*2.88%))</f>
        <v>5061.6048959999998</v>
      </c>
      <c r="M10" s="28"/>
      <c r="N10" s="8">
        <f>L10-M10</f>
        <v>5061.6048959999998</v>
      </c>
      <c r="O10" s="8">
        <f>(((B10-D10)*1.2%)+(C10*4.8%))</f>
        <v>5624.0054399999999</v>
      </c>
      <c r="P10" s="29"/>
      <c r="Q10" s="29"/>
      <c r="R10" s="8">
        <f t="shared" si="0"/>
        <v>5624.0054399999999</v>
      </c>
      <c r="S10" s="8">
        <v>0</v>
      </c>
      <c r="T10" s="8"/>
      <c r="U10" s="33"/>
      <c r="V10" s="33"/>
      <c r="W10" s="33"/>
      <c r="X10" s="33"/>
      <c r="Y10" s="33"/>
      <c r="Z10" s="33"/>
    </row>
    <row r="11" spans="1:26" s="1" customFormat="1" ht="15">
      <c r="A11" s="10" t="s">
        <v>27</v>
      </c>
      <c r="B11" s="13">
        <v>485096.08</v>
      </c>
      <c r="C11" s="13">
        <v>0</v>
      </c>
      <c r="D11" s="13">
        <v>1221</v>
      </c>
      <c r="E11" s="8">
        <f t="shared" si="1"/>
        <v>483875.08</v>
      </c>
      <c r="F11" s="8">
        <f>E11*0.65%</f>
        <v>3145.1880200000005</v>
      </c>
      <c r="G11" s="8"/>
      <c r="H11" s="9">
        <f t="shared" ref="H11:H12" si="5">F11-G11</f>
        <v>3145.1880200000005</v>
      </c>
      <c r="I11" s="8">
        <f>E11*3%</f>
        <v>14516.252399999999</v>
      </c>
      <c r="J11" s="8"/>
      <c r="K11" s="9">
        <f t="shared" ref="K11:K12" si="6">I11-J11</f>
        <v>14516.252399999999</v>
      </c>
      <c r="L11" s="8">
        <f>(((B11-D11)*1.08%)+(C11*2.88%))</f>
        <v>5225.850864</v>
      </c>
      <c r="M11" s="28"/>
      <c r="N11" s="8">
        <f t="shared" ref="N11:N12" si="7">L11-M11</f>
        <v>5225.850864</v>
      </c>
      <c r="O11" s="8">
        <f>(((B11-D11)*1.2%)+(C11*4.8%))</f>
        <v>5806.5009600000003</v>
      </c>
      <c r="P11" s="29"/>
      <c r="Q11" s="29"/>
      <c r="R11" s="8">
        <f t="shared" si="0"/>
        <v>5806.5009600000003</v>
      </c>
      <c r="S11" s="8">
        <v>0</v>
      </c>
      <c r="T11" s="8"/>
      <c r="U11" s="33"/>
      <c r="V11" s="33"/>
      <c r="W11" s="33"/>
      <c r="X11" s="33"/>
      <c r="Y11" s="33"/>
      <c r="Z11" s="33"/>
    </row>
    <row r="12" spans="1:26" s="1" customFormat="1" ht="15">
      <c r="A12" s="10" t="s">
        <v>28</v>
      </c>
      <c r="B12" s="13">
        <v>516691.42</v>
      </c>
      <c r="C12" s="13">
        <v>1835</v>
      </c>
      <c r="D12" s="13">
        <v>4654.28</v>
      </c>
      <c r="E12" s="8">
        <f t="shared" si="1"/>
        <v>513872.13999999996</v>
      </c>
      <c r="F12" s="8">
        <f>E12*0.65%</f>
        <v>3340.1689099999999</v>
      </c>
      <c r="G12" s="8"/>
      <c r="H12" s="9">
        <f t="shared" si="5"/>
        <v>3340.1689099999999</v>
      </c>
      <c r="I12" s="8">
        <f>E12*3%</f>
        <v>15416.164199999997</v>
      </c>
      <c r="J12" s="8"/>
      <c r="K12" s="9">
        <f t="shared" si="6"/>
        <v>15416.164199999997</v>
      </c>
      <c r="L12" s="8">
        <f>(((B12-D12)*1.08%)+(C12*2.88%))</f>
        <v>5582.8491119999999</v>
      </c>
      <c r="M12" s="28"/>
      <c r="N12" s="8">
        <f t="shared" si="7"/>
        <v>5582.8491119999999</v>
      </c>
      <c r="O12" s="8">
        <f>(((B12-D12)*1.2%)+(C12*4.8%))</f>
        <v>6232.5256799999997</v>
      </c>
      <c r="P12" s="29"/>
      <c r="Q12" s="29"/>
      <c r="R12" s="8">
        <f t="shared" si="0"/>
        <v>6232.5256799999997</v>
      </c>
      <c r="S12" s="8">
        <v>0</v>
      </c>
      <c r="T12" s="8"/>
      <c r="U12" s="33"/>
      <c r="V12" s="33"/>
      <c r="W12" s="33"/>
      <c r="X12" s="33"/>
      <c r="Y12" s="33"/>
      <c r="Z12" s="33"/>
    </row>
    <row r="13" spans="1:26" s="1" customFormat="1" ht="15">
      <c r="A13" s="11" t="s">
        <v>29</v>
      </c>
      <c r="B13" s="12">
        <f>SUM(B10:B12)</f>
        <v>1471303.49</v>
      </c>
      <c r="C13" s="12">
        <f>SUM(C10:C12)</f>
        <v>1835</v>
      </c>
      <c r="D13" s="12">
        <f>SUM(D10:D12)</f>
        <v>6724.15</v>
      </c>
      <c r="E13" s="14">
        <f t="shared" si="1"/>
        <v>1466414.34</v>
      </c>
      <c r="F13" s="12"/>
      <c r="G13" s="12"/>
      <c r="H13" s="12"/>
      <c r="I13" s="12"/>
      <c r="J13" s="12"/>
      <c r="K13" s="12"/>
      <c r="L13" s="12">
        <f>SUM(L10:L12)</f>
        <v>15870.304872000001</v>
      </c>
      <c r="M13" s="12">
        <f>SUM(M10:M12)</f>
        <v>0</v>
      </c>
      <c r="N13" s="27">
        <f>SUM(N10:N12)</f>
        <v>15870.304872000001</v>
      </c>
      <c r="O13" s="12">
        <f>SUM(O10:O12)</f>
        <v>17663.032080000001</v>
      </c>
      <c r="P13" s="12">
        <f>(((B13-D13)*8%)+(C13*13%)-60000)</f>
        <v>57404.897200000007</v>
      </c>
      <c r="Q13" s="12">
        <f>P13*10%</f>
        <v>5740.4897200000014</v>
      </c>
      <c r="R13" s="12">
        <f t="shared" si="0"/>
        <v>23403.521800000002</v>
      </c>
      <c r="S13" s="34">
        <f>SUM(S10:S12)</f>
        <v>0</v>
      </c>
      <c r="T13" s="27">
        <f>R13-S13</f>
        <v>23403.521800000002</v>
      </c>
      <c r="U13" s="33"/>
      <c r="V13" s="33"/>
      <c r="W13" s="33"/>
      <c r="X13" s="33"/>
      <c r="Y13" s="33"/>
      <c r="Z13" s="33"/>
    </row>
    <row r="14" spans="1:26" s="1" customFormat="1" ht="15">
      <c r="A14" s="10" t="s">
        <v>30</v>
      </c>
      <c r="B14" s="13">
        <v>531504.18000000005</v>
      </c>
      <c r="C14" s="13">
        <v>0</v>
      </c>
      <c r="D14" s="13">
        <v>1002.24</v>
      </c>
      <c r="E14" s="8">
        <f t="shared" si="1"/>
        <v>530501.94000000006</v>
      </c>
      <c r="F14" s="8">
        <f>E14*0.65%</f>
        <v>3448.2626100000007</v>
      </c>
      <c r="G14" s="8"/>
      <c r="H14" s="9">
        <f>F14-G14</f>
        <v>3448.2626100000007</v>
      </c>
      <c r="I14" s="8">
        <f>E14*3%</f>
        <v>15915.058200000001</v>
      </c>
      <c r="J14" s="8"/>
      <c r="K14" s="9">
        <f>I14-J14</f>
        <v>15915.058200000001</v>
      </c>
      <c r="L14" s="8">
        <f>(((B14-D14)*1.08%)+(C14*2.88%))</f>
        <v>5729.4209520000013</v>
      </c>
      <c r="M14" s="28"/>
      <c r="N14" s="8">
        <f>L14-M14</f>
        <v>5729.4209520000013</v>
      </c>
      <c r="O14" s="8">
        <f>(((B14-D14)*1.2%)+(C14*4.8%))</f>
        <v>6366.0232800000013</v>
      </c>
      <c r="P14" s="29"/>
      <c r="Q14" s="29"/>
      <c r="R14" s="8">
        <f t="shared" si="0"/>
        <v>6366.0232800000013</v>
      </c>
      <c r="S14" s="8">
        <v>0</v>
      </c>
      <c r="T14" s="8"/>
      <c r="U14" s="33"/>
      <c r="V14" s="33"/>
      <c r="W14" s="33"/>
      <c r="X14" s="33"/>
      <c r="Y14" s="33"/>
      <c r="Z14" s="33"/>
    </row>
    <row r="15" spans="1:26" s="1" customFormat="1" ht="15">
      <c r="A15" s="10" t="s">
        <v>31</v>
      </c>
      <c r="B15" s="13">
        <f>844.61+1886.59+633778.57+22642.85+15569.7+4415.74</f>
        <v>679138.05999999982</v>
      </c>
      <c r="C15" s="13">
        <v>0</v>
      </c>
      <c r="D15" s="13">
        <f>383.68+11501.5</f>
        <v>11885.18</v>
      </c>
      <c r="E15" s="8">
        <f t="shared" si="1"/>
        <v>667252.87999999977</v>
      </c>
      <c r="F15" s="8">
        <f>E15*0.65%</f>
        <v>4337.1437199999991</v>
      </c>
      <c r="G15" s="8"/>
      <c r="H15" s="9">
        <f t="shared" ref="H15:H16" si="8">F15-G15</f>
        <v>4337.1437199999991</v>
      </c>
      <c r="I15" s="8">
        <f>E15*3%</f>
        <v>20017.586399999993</v>
      </c>
      <c r="J15" s="8"/>
      <c r="K15" s="9">
        <f t="shared" ref="K15:K16" si="9">I15-J15</f>
        <v>20017.586399999993</v>
      </c>
      <c r="L15" s="8">
        <f>(((B15-D15)*1.08%)+(C15*2.88%))</f>
        <v>7206.331103999998</v>
      </c>
      <c r="M15" s="28"/>
      <c r="N15" s="8">
        <f t="shared" ref="N15:N16" si="10">L15-M15</f>
        <v>7206.331103999998</v>
      </c>
      <c r="O15" s="8">
        <f>(((B15-D15)*1.2%)+(C15*4.8%))</f>
        <v>8007.0345599999973</v>
      </c>
      <c r="P15" s="29"/>
      <c r="Q15" s="29"/>
      <c r="R15" s="8">
        <f t="shared" si="0"/>
        <v>8007.0345599999973</v>
      </c>
      <c r="S15" s="8">
        <v>0</v>
      </c>
      <c r="T15" s="8"/>
      <c r="U15" s="33"/>
      <c r="V15" s="33"/>
      <c r="W15" s="33"/>
      <c r="X15" s="33"/>
      <c r="Y15" s="33"/>
      <c r="Z15" s="33"/>
    </row>
    <row r="16" spans="1:26" s="1" customFormat="1" ht="15">
      <c r="A16" s="10" t="s">
        <v>32</v>
      </c>
      <c r="B16" s="13">
        <v>448280.96</v>
      </c>
      <c r="C16" s="13">
        <v>0</v>
      </c>
      <c r="D16" s="13">
        <v>1202.3499999999999</v>
      </c>
      <c r="E16" s="8">
        <f t="shared" si="1"/>
        <v>447078.61000000004</v>
      </c>
      <c r="F16" s="8">
        <f>E16*0.65%</f>
        <v>2906.0109650000004</v>
      </c>
      <c r="G16" s="8"/>
      <c r="H16" s="9">
        <f t="shared" si="8"/>
        <v>2906.0109650000004</v>
      </c>
      <c r="I16" s="8">
        <f>E16*3%</f>
        <v>13412.358300000002</v>
      </c>
      <c r="J16" s="8"/>
      <c r="K16" s="9">
        <f t="shared" si="9"/>
        <v>13412.358300000002</v>
      </c>
      <c r="L16" s="8">
        <f>(((B16-D16)*1.08%)+(C16*2.88%))</f>
        <v>4828.448988000001</v>
      </c>
      <c r="M16" s="28"/>
      <c r="N16" s="8">
        <f t="shared" si="10"/>
        <v>4828.448988000001</v>
      </c>
      <c r="O16" s="8">
        <f>(((B16-D16)*1.2%)+(C16*4.8%))</f>
        <v>5364.9433200000003</v>
      </c>
      <c r="P16" s="29"/>
      <c r="Q16" s="29"/>
      <c r="R16" s="8">
        <f t="shared" si="0"/>
        <v>5364.9433200000003</v>
      </c>
      <c r="S16" s="8">
        <v>0</v>
      </c>
      <c r="T16" s="8"/>
      <c r="U16" s="33"/>
      <c r="V16" s="33"/>
      <c r="W16" s="33"/>
      <c r="X16" s="33"/>
      <c r="Y16" s="33"/>
      <c r="Z16" s="33"/>
    </row>
    <row r="17" spans="1:26" s="1" customFormat="1" ht="15">
      <c r="A17" s="11" t="s">
        <v>33</v>
      </c>
      <c r="B17" s="12">
        <f>SUM(B14:B16)</f>
        <v>1658923.1999999997</v>
      </c>
      <c r="C17" s="12">
        <f>SUM(C14:C16)</f>
        <v>0</v>
      </c>
      <c r="D17" s="12">
        <f>SUM(D14:D16)</f>
        <v>14089.77</v>
      </c>
      <c r="E17" s="14">
        <f t="shared" si="1"/>
        <v>1644833.4299999997</v>
      </c>
      <c r="F17" s="12"/>
      <c r="G17" s="12"/>
      <c r="H17" s="12"/>
      <c r="I17" s="12"/>
      <c r="J17" s="12"/>
      <c r="K17" s="12"/>
      <c r="L17" s="12">
        <f>SUM(L14:L16)</f>
        <v>17764.201044000001</v>
      </c>
      <c r="M17" s="12">
        <f>SUM(M14:M16)</f>
        <v>0</v>
      </c>
      <c r="N17" s="27">
        <f>SUM(N14:N16)</f>
        <v>17764.201044000001</v>
      </c>
      <c r="O17" s="12">
        <v>0</v>
      </c>
      <c r="P17" s="12">
        <f>(((B17-D17)*8%)+(C17*13%)-60000)</f>
        <v>71586.674399999989</v>
      </c>
      <c r="Q17" s="12">
        <f>P17*10%</f>
        <v>7158.6674399999993</v>
      </c>
      <c r="R17" s="12">
        <f t="shared" si="0"/>
        <v>7158.6674399999993</v>
      </c>
      <c r="S17" s="34">
        <f>SUM(S14:S16)</f>
        <v>0</v>
      </c>
      <c r="T17" s="27">
        <f>R17-S17</f>
        <v>7158.6674399999993</v>
      </c>
      <c r="U17" s="33"/>
      <c r="V17" s="33"/>
      <c r="W17" s="33"/>
      <c r="X17" s="33"/>
      <c r="Y17" s="33"/>
      <c r="Z17" s="33"/>
    </row>
    <row r="18" spans="1:26" s="1" customFormat="1" ht="15">
      <c r="A18" s="10" t="s">
        <v>34</v>
      </c>
      <c r="B18" s="13">
        <v>564530.18999999994</v>
      </c>
      <c r="C18" s="13">
        <v>1530</v>
      </c>
      <c r="D18" s="13">
        <v>2501.1799999999998</v>
      </c>
      <c r="E18" s="8">
        <f t="shared" si="1"/>
        <v>563559.00999999989</v>
      </c>
      <c r="F18" s="8">
        <f>E18*0.65%</f>
        <v>3663.1335649999996</v>
      </c>
      <c r="G18" s="8"/>
      <c r="H18" s="9">
        <f>F18-G18</f>
        <v>3663.1335649999996</v>
      </c>
      <c r="I18" s="8">
        <f>E18*3%</f>
        <v>16906.770299999996</v>
      </c>
      <c r="J18" s="8"/>
      <c r="K18" s="9">
        <f>I18-J18</f>
        <v>16906.770299999996</v>
      </c>
      <c r="L18" s="8">
        <f>(((B18-D18)*1.08%)+(C18*2.88%))</f>
        <v>6113.9773079999995</v>
      </c>
      <c r="M18" s="28"/>
      <c r="N18" s="8">
        <f>L18-M18</f>
        <v>6113.9773079999995</v>
      </c>
      <c r="O18" s="8">
        <f>(((B18-D18)*1.2%)+(C18*4.8%))</f>
        <v>6817.7881199999983</v>
      </c>
      <c r="P18" s="29"/>
      <c r="Q18" s="29"/>
      <c r="R18" s="8">
        <f t="shared" si="0"/>
        <v>6817.7881199999983</v>
      </c>
      <c r="S18" s="8">
        <v>0</v>
      </c>
      <c r="T18" s="8"/>
      <c r="U18" s="33"/>
      <c r="V18" s="33"/>
      <c r="W18" s="33"/>
      <c r="X18" s="33"/>
      <c r="Y18" s="33"/>
      <c r="Z18" s="33"/>
    </row>
    <row r="19" spans="1:26" s="1" customFormat="1" ht="15">
      <c r="A19" s="10" t="s">
        <v>35</v>
      </c>
      <c r="B19" s="13">
        <v>0</v>
      </c>
      <c r="C19" s="13">
        <v>0</v>
      </c>
      <c r="D19" s="13">
        <v>0</v>
      </c>
      <c r="E19" s="8">
        <f t="shared" si="1"/>
        <v>0</v>
      </c>
      <c r="F19" s="8">
        <f>E19*0.65%</f>
        <v>0</v>
      </c>
      <c r="G19" s="8"/>
      <c r="H19" s="9">
        <f t="shared" ref="H19:H20" si="11">F19-G19</f>
        <v>0</v>
      </c>
      <c r="I19" s="8">
        <f>E19*3%</f>
        <v>0</v>
      </c>
      <c r="J19" s="8"/>
      <c r="K19" s="9">
        <f t="shared" ref="K19:K20" si="12">I19-J19</f>
        <v>0</v>
      </c>
      <c r="L19" s="8">
        <f>(((B19-D19)*1.08%)+(C19*2.88%))</f>
        <v>0</v>
      </c>
      <c r="M19" s="28"/>
      <c r="N19" s="8">
        <f t="shared" ref="N19:N20" si="13">L19-M19</f>
        <v>0</v>
      </c>
      <c r="O19" s="8">
        <f>(((B19-D19)*1.2%)+(C19*4.8%))</f>
        <v>0</v>
      </c>
      <c r="P19" s="29"/>
      <c r="Q19" s="29"/>
      <c r="R19" s="8">
        <f t="shared" si="0"/>
        <v>0</v>
      </c>
      <c r="S19" s="8">
        <v>0</v>
      </c>
      <c r="T19" s="8"/>
      <c r="U19" s="33"/>
      <c r="V19" s="33"/>
      <c r="W19" s="33"/>
      <c r="X19" s="33"/>
      <c r="Y19" s="33"/>
      <c r="Z19" s="33"/>
    </row>
    <row r="20" spans="1:26" s="1" customFormat="1" ht="15">
      <c r="A20" s="10" t="s">
        <v>36</v>
      </c>
      <c r="B20" s="13">
        <v>0</v>
      </c>
      <c r="C20" s="13">
        <v>0</v>
      </c>
      <c r="D20" s="13">
        <v>0</v>
      </c>
      <c r="E20" s="8">
        <f t="shared" si="1"/>
        <v>0</v>
      </c>
      <c r="F20" s="8">
        <f>E20*0.65%</f>
        <v>0</v>
      </c>
      <c r="G20" s="8"/>
      <c r="H20" s="9">
        <f t="shared" si="11"/>
        <v>0</v>
      </c>
      <c r="I20" s="8">
        <f>E20*3%</f>
        <v>0</v>
      </c>
      <c r="J20" s="8"/>
      <c r="K20" s="9">
        <f t="shared" si="12"/>
        <v>0</v>
      </c>
      <c r="L20" s="8">
        <f>(((B20-D20)*1.08%)+(C20*2.88%))</f>
        <v>0</v>
      </c>
      <c r="M20" s="28"/>
      <c r="N20" s="8">
        <f t="shared" si="13"/>
        <v>0</v>
      </c>
      <c r="O20" s="8">
        <f>(((B20-D20)*1.2%)+(C20*4.8%))</f>
        <v>0</v>
      </c>
      <c r="P20" s="29"/>
      <c r="Q20" s="29"/>
      <c r="R20" s="8">
        <f t="shared" si="0"/>
        <v>0</v>
      </c>
      <c r="S20" s="8">
        <v>0</v>
      </c>
      <c r="T20" s="8"/>
      <c r="U20" s="33"/>
      <c r="V20" s="33"/>
      <c r="W20" s="33"/>
      <c r="X20" s="33"/>
      <c r="Y20" s="33"/>
      <c r="Z20" s="33"/>
    </row>
    <row r="21" spans="1:26">
      <c r="A21" s="11" t="s">
        <v>37</v>
      </c>
      <c r="B21" s="15">
        <f>SUM(B18:B20)</f>
        <v>564530.18999999994</v>
      </c>
      <c r="C21" s="15">
        <f>SUM(C18:C20)</f>
        <v>1530</v>
      </c>
      <c r="D21" s="15">
        <f>SUM(D18:D20)</f>
        <v>2501.1799999999998</v>
      </c>
      <c r="E21" s="14">
        <f t="shared" si="1"/>
        <v>563559.00999999989</v>
      </c>
      <c r="F21" s="15"/>
      <c r="G21" s="15"/>
      <c r="H21" s="15"/>
      <c r="I21" s="15"/>
      <c r="J21" s="15"/>
      <c r="K21" s="15"/>
      <c r="L21" s="15">
        <f>SUM(L18:L20)</f>
        <v>6113.9773079999995</v>
      </c>
      <c r="M21" s="12">
        <f>SUM(M18:M20)</f>
        <v>0</v>
      </c>
      <c r="N21" s="30">
        <f>SUM(N18:N20)</f>
        <v>6113.9773079999995</v>
      </c>
      <c r="O21" s="15">
        <f>SUM(O18:O20)</f>
        <v>6817.7881199999983</v>
      </c>
      <c r="P21" s="12">
        <f>(((B21-D21)*8%)+(C21*13%)-60000)</f>
        <v>-14838.779200000004</v>
      </c>
      <c r="Q21" s="12">
        <f>P21*10%</f>
        <v>-1483.8779200000006</v>
      </c>
      <c r="R21" s="15">
        <f t="shared" si="0"/>
        <v>5333.9101999999975</v>
      </c>
      <c r="S21" s="34">
        <f>SUM(S18:S20)</f>
        <v>0</v>
      </c>
      <c r="T21" s="27">
        <f>R21-S21</f>
        <v>5333.9101999999975</v>
      </c>
    </row>
    <row r="22" spans="1:26" s="2" customFormat="1">
      <c r="A22" s="16" t="s">
        <v>38</v>
      </c>
      <c r="B22" s="17">
        <f>SUM(B9+B13+B17+B21)</f>
        <v>5288564.67</v>
      </c>
      <c r="C22" s="17">
        <f t="shared" ref="C22:T22" si="14">SUM(C9+C13+C17+C21)</f>
        <v>3365</v>
      </c>
      <c r="D22" s="17">
        <f t="shared" si="14"/>
        <v>34664.239999999998</v>
      </c>
      <c r="E22" s="17">
        <f t="shared" si="14"/>
        <v>5257265.43</v>
      </c>
      <c r="F22" s="17">
        <f t="shared" si="14"/>
        <v>0</v>
      </c>
      <c r="G22" s="17">
        <f t="shared" si="14"/>
        <v>0</v>
      </c>
      <c r="H22" s="17">
        <f t="shared" si="14"/>
        <v>0</v>
      </c>
      <c r="I22" s="17">
        <f t="shared" si="14"/>
        <v>0</v>
      </c>
      <c r="J22" s="17">
        <f t="shared" si="14"/>
        <v>0</v>
      </c>
      <c r="K22" s="17">
        <f t="shared" si="14"/>
        <v>0</v>
      </c>
      <c r="L22" s="17">
        <f t="shared" si="14"/>
        <v>56839.036644000007</v>
      </c>
      <c r="M22" s="17">
        <f t="shared" si="14"/>
        <v>0</v>
      </c>
      <c r="N22" s="17">
        <f t="shared" si="14"/>
        <v>56839.036644000007</v>
      </c>
      <c r="O22" s="17">
        <f t="shared" si="14"/>
        <v>43470.323999999993</v>
      </c>
      <c r="P22" s="17">
        <f t="shared" si="14"/>
        <v>180749.48440000002</v>
      </c>
      <c r="Q22" s="17">
        <f t="shared" si="14"/>
        <v>18074.94844</v>
      </c>
      <c r="R22" s="17">
        <f t="shared" si="14"/>
        <v>61545.272439999993</v>
      </c>
      <c r="S22" s="17">
        <f t="shared" si="14"/>
        <v>0</v>
      </c>
      <c r="T22" s="17">
        <f t="shared" si="14"/>
        <v>61545.272439999993</v>
      </c>
    </row>
    <row r="23" spans="1:26" s="1" customFormat="1" ht="15"/>
    <row r="24" spans="1:26" s="1" customFormat="1" ht="15">
      <c r="A24" s="43" t="s">
        <v>39</v>
      </c>
      <c r="B24" s="43"/>
      <c r="C24" s="18" t="s">
        <v>40</v>
      </c>
      <c r="D24" s="18" t="s">
        <v>41</v>
      </c>
      <c r="E24" s="19"/>
    </row>
    <row r="25" spans="1:26" s="1" customFormat="1" ht="15">
      <c r="A25" s="20" t="s">
        <v>8</v>
      </c>
      <c r="B25" s="21">
        <v>8109</v>
      </c>
      <c r="C25" s="22">
        <v>6.4999999999999997E-3</v>
      </c>
      <c r="D25" s="23">
        <v>6.4999999999999997E-3</v>
      </c>
    </row>
    <row r="26" spans="1:26" s="1" customFormat="1" ht="15">
      <c r="A26" s="24" t="s">
        <v>11</v>
      </c>
      <c r="B26" s="21">
        <v>2172</v>
      </c>
      <c r="C26" s="22">
        <v>0.03</v>
      </c>
      <c r="D26" s="23">
        <v>0.03</v>
      </c>
    </row>
    <row r="27" spans="1:26" s="1" customFormat="1" ht="15">
      <c r="A27" s="24" t="s">
        <v>14</v>
      </c>
      <c r="B27" s="21">
        <v>2372</v>
      </c>
      <c r="C27" s="22">
        <v>2.8799999999999999E-2</v>
      </c>
      <c r="D27" s="23">
        <v>1.0800000000000001E-2</v>
      </c>
    </row>
    <row r="28" spans="1:26" s="1" customFormat="1" ht="15">
      <c r="A28" s="24" t="s">
        <v>17</v>
      </c>
      <c r="B28" s="25">
        <v>2089</v>
      </c>
      <c r="C28" s="26">
        <v>4.8000000000000001E-2</v>
      </c>
      <c r="D28" s="23">
        <v>1.2E-2</v>
      </c>
    </row>
    <row r="29" spans="1:26" s="1" customFormat="1" ht="15"/>
    <row r="30" spans="1:26" s="1" customFormat="1" ht="15"/>
    <row r="31" spans="1:26" s="1" customFormat="1" ht="15"/>
  </sheetData>
  <mergeCells count="5">
    <mergeCell ref="A1:T1"/>
    <mergeCell ref="B4:E4"/>
    <mergeCell ref="F4:T4"/>
    <mergeCell ref="A24:B24"/>
    <mergeCell ref="A4:A5"/>
  </mergeCells>
  <pageMargins left="0.511811024" right="0.511811024" top="0.78740157499999996" bottom="0.78740157499999996" header="0.31496062000000002" footer="0.31496062000000002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Instruções</vt:lpstr>
      <vt:lpstr>Presumido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CGA - Contabilidade</dc:creator>
  <cp:lastModifiedBy>Empresas</cp:lastModifiedBy>
  <cp:lastPrinted>2018-09-17T11:44:00Z</cp:lastPrinted>
  <dcterms:created xsi:type="dcterms:W3CDTF">2004-01-23T11:14:00Z</dcterms:created>
  <dcterms:modified xsi:type="dcterms:W3CDTF">2019-08-14T21:06:39Z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1046-11.2.0.8641</vt:lpwstr>
  </property>
</Properties>
</file>