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Matheus\Desktop\teste excel\FORA DO PADRÃO\83 - DASHBOARD - MATRIZ DE HABILIDADE\"/>
    </mc:Choice>
  </mc:AlternateContent>
  <xr:revisionPtr revIDLastSave="0" documentId="13_ncr:1_{701AD43D-88EB-45D7-92A2-8D1D8F212394}" xr6:coauthVersionLast="45" xr6:coauthVersionMax="45" xr10:uidLastSave="{00000000-0000-0000-0000-000000000000}"/>
  <bookViews>
    <workbookView xWindow="-120" yWindow="-120" windowWidth="24240" windowHeight="13140" activeTab="3" xr2:uid="{2ADF7DEA-8701-479E-8AC2-A97AC299AD84}"/>
  </bookViews>
  <sheets>
    <sheet name="BASE" sheetId="3" r:id="rId1"/>
    <sheet name="AUXILIAR" sheetId="7" r:id="rId2"/>
    <sheet name="COMPETÊNCIAS e PESOS" sheetId="4" r:id="rId3"/>
    <sheet name="DASHBOARD" sheetId="6" r:id="rId4"/>
  </sheets>
  <definedNames>
    <definedName name="SegmentaçãodeDados_Cargo">#N/A</definedName>
    <definedName name="SegmentaçãodeDados_Cargo1">#N/A</definedName>
    <definedName name="SegmentaçãodeDados_Cargo2">#N/A</definedName>
  </definedNames>
  <calcPr calcId="181029"/>
  <pivotCaches>
    <pivotCache cacheId="5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43" i="3" l="1"/>
  <c r="F44" i="3"/>
  <c r="F45" i="3"/>
  <c r="F46" i="3"/>
  <c r="F47" i="3"/>
  <c r="F48" i="3"/>
  <c r="F49" i="3"/>
  <c r="F42" i="3"/>
  <c r="N4" i="7" l="1"/>
  <c r="M4" i="7"/>
  <c r="N6" i="7"/>
  <c r="N7" i="7"/>
  <c r="N8" i="7"/>
  <c r="N9" i="7"/>
  <c r="N10" i="7"/>
  <c r="N11" i="7"/>
  <c r="N12" i="7"/>
  <c r="N5" i="7"/>
  <c r="M6" i="7"/>
  <c r="M7" i="7"/>
  <c r="M8" i="7"/>
  <c r="M9" i="7"/>
  <c r="M10" i="7"/>
  <c r="M11" i="7"/>
  <c r="M12" i="7"/>
  <c r="M5" i="7"/>
  <c r="L6" i="7"/>
  <c r="L7" i="7"/>
  <c r="L8" i="7"/>
  <c r="L9" i="7"/>
  <c r="L10" i="7"/>
  <c r="L11" i="7"/>
  <c r="L12" i="7"/>
  <c r="L5" i="7"/>
  <c r="F35" i="3"/>
  <c r="F36" i="3"/>
  <c r="F37" i="3"/>
  <c r="F38" i="3"/>
  <c r="F39" i="3"/>
  <c r="F40" i="3"/>
  <c r="F41" i="3"/>
  <c r="F34" i="3"/>
  <c r="F27" i="3"/>
  <c r="F28" i="3"/>
  <c r="F29" i="3"/>
  <c r="F30" i="3"/>
  <c r="F31" i="3"/>
  <c r="F32" i="3"/>
  <c r="F33" i="3"/>
  <c r="F26" i="3"/>
  <c r="F19" i="3"/>
  <c r="F20" i="3"/>
  <c r="F21" i="3"/>
  <c r="F22" i="3"/>
  <c r="F23" i="3"/>
  <c r="F24" i="3"/>
  <c r="F25" i="3"/>
  <c r="F18" i="3"/>
  <c r="F11" i="3"/>
  <c r="F12" i="3"/>
  <c r="F13" i="3"/>
  <c r="F14" i="3"/>
  <c r="F15" i="3"/>
  <c r="F16" i="3"/>
  <c r="F17" i="3"/>
  <c r="F10" i="3"/>
  <c r="F2" i="3"/>
  <c r="F3" i="3"/>
  <c r="F4" i="3"/>
  <c r="F5" i="3"/>
  <c r="F6" i="3"/>
  <c r="F7" i="3"/>
  <c r="F8" i="3"/>
  <c r="F9" i="3"/>
</calcChain>
</file>

<file path=xl/sharedStrings.xml><?xml version="1.0" encoding="utf-8"?>
<sst xmlns="http://schemas.openxmlformats.org/spreadsheetml/2006/main" count="320" uniqueCount="33">
  <si>
    <t>Iniciativa</t>
  </si>
  <si>
    <t>Trabalho em Equipe</t>
  </si>
  <si>
    <t>Planejamento</t>
  </si>
  <si>
    <t>Cargo</t>
  </si>
  <si>
    <t>Rótulos de Linha</t>
  </si>
  <si>
    <t>Valor</t>
  </si>
  <si>
    <t>Área / Departamento</t>
  </si>
  <si>
    <t>Analista de Marketing</t>
  </si>
  <si>
    <t>Gerente de Marketing</t>
  </si>
  <si>
    <t>Diretor de Marketing</t>
  </si>
  <si>
    <t>Estagiário de RH</t>
  </si>
  <si>
    <t>Analista de RH</t>
  </si>
  <si>
    <t>Marketing</t>
  </si>
  <si>
    <t>Recursos Humanos</t>
  </si>
  <si>
    <t>Tipo de Competência</t>
  </si>
  <si>
    <t>Competências</t>
  </si>
  <si>
    <t>Pesos</t>
  </si>
  <si>
    <t>Comportamental</t>
  </si>
  <si>
    <t>Técnica</t>
  </si>
  <si>
    <t>Estratégica</t>
  </si>
  <si>
    <t>Pontualidade</t>
  </si>
  <si>
    <t>Midias Sociais</t>
  </si>
  <si>
    <t>Propaganda</t>
  </si>
  <si>
    <t>Liderança</t>
  </si>
  <si>
    <t>Pensamento Futuro</t>
  </si>
  <si>
    <t>Muito Importante</t>
  </si>
  <si>
    <t>Importante</t>
  </si>
  <si>
    <t>Importância Mediana</t>
  </si>
  <si>
    <t>Sem Importância</t>
  </si>
  <si>
    <t>Pouco Importante</t>
  </si>
  <si>
    <t>Peso</t>
  </si>
  <si>
    <t>Soma de Valor</t>
  </si>
  <si>
    <t>Aux 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</si>
</sst>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/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" borderId="4" xfId="0" applyFont="1" applyFill="1" applyBorder="1"/>
    <xf numFmtId="0" fontId="0" fillId="0" borderId="5" xfId="0" applyNumberFormat="1" applyBorder="1" applyAlignment="1">
      <alignment horizontal="center" vertical="center"/>
    </xf>
    <xf numFmtId="0" fontId="0" fillId="2" borderId="6" xfId="0" applyFont="1" applyFill="1" applyBorder="1"/>
    <xf numFmtId="0" fontId="0" fillId="0" borderId="7" xfId="0" applyNumberFormat="1" applyBorder="1" applyAlignment="1">
      <alignment horizontal="center" vertical="center"/>
    </xf>
    <xf numFmtId="0" fontId="0" fillId="2" borderId="4" xfId="0" applyFont="1" applyFill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2" borderId="2" xfId="0" applyFont="1" applyFill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1" fillId="3" borderId="9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/>
  </cellXfs>
  <cellStyles count="1">
    <cellStyle name="Normal" xfId="0" builtinId="0"/>
  </cellStyles>
  <dxfs count="25"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color theme="1"/>
      </font>
      <border>
        <bottom style="thin">
          <color theme="4"/>
        </bottom>
        <vertical/>
        <horizontal/>
      </border>
    </dxf>
    <dxf>
      <font>
        <color theme="1"/>
      </font>
      <fill>
        <patternFill>
          <bgColor theme="1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</dxfs>
  <tableStyles count="1" defaultTableStyle="TableStyleMedium2" defaultPivotStyle="PivotStyleLight16">
    <tableStyle name="SlicerStyleDark1 2" pivot="0" table="0" count="10" xr9:uid="{CC385EB7-DF3E-41D6-ADAC-3FD47B0D9B09}">
      <tableStyleElement type="wholeTable" dxfId="24"/>
      <tableStyleElement type="headerRow" dxfId="23"/>
    </tableStyle>
  </tableStyles>
  <colors>
    <mruColors>
      <color rgb="FF0054ED"/>
      <color rgb="FFFFFFFF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4" tint="-0.249977111117893"/>
          </font>
          <fill>
            <patternFill patternType="solid">
              <fgColor theme="0"/>
              <bgColor theme="4" tint="0.59999389629810485"/>
            </patternFill>
          </fill>
          <border>
            <left style="thin">
              <color theme="4" tint="0.59999389629810485"/>
            </left>
            <right style="thin">
              <color theme="4" tint="0.59999389629810485"/>
            </right>
            <top style="thin">
              <color theme="4" tint="0.59999389629810485"/>
            </top>
            <bottom style="thin">
              <color theme="4" tint="0.59999389629810485"/>
            </bottom>
            <vertical/>
            <horizontal/>
          </border>
        </dxf>
        <dxf>
          <font>
            <b/>
            <i val="0"/>
            <color theme="0"/>
          </font>
          <fill>
            <patternFill>
              <bgColor rgb="FF0054ED"/>
            </patternFill>
          </fill>
          <border>
            <left style="thin">
              <color theme="1"/>
            </left>
            <right style="thin">
              <color theme="1"/>
            </right>
            <top style="thin">
              <color theme="1"/>
            </top>
            <bottom style="thin">
              <color theme="1"/>
            </bottom>
            <vertical/>
            <horizontal/>
          </border>
        </dxf>
        <dxf>
          <font>
            <color rgb="FF959595"/>
          </font>
          <fill>
            <patternFill>
              <fgColor theme="0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b/>
            <i val="0"/>
            <color rgb="FF000000"/>
          </font>
          <fill>
            <patternFill>
              <fgColor theme="0"/>
              <bgColor theme="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Dark1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- MATRIZ DE HABILIDADE.xlsx]AUXILIAR!Tabela dinâmica4</c:name>
    <c:fmtId val="8"/>
  </c:pivotSource>
  <c:chart>
    <c:title>
      <c:tx>
        <c:strRef>
          <c:f>AUXILIAR!$D$4</c:f>
          <c:strCache>
            <c:ptCount val="1"/>
            <c:pt idx="0">
              <c:v>Aux RH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0054ED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rgbClr val="0054ED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AUXILIAR!$D$4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0054ED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0054ED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AUXILIAR!$D$4</c:f>
              <c:strCache>
                <c:ptCount val="8"/>
                <c:pt idx="0">
                  <c:v>Iniciativa</c:v>
                </c:pt>
                <c:pt idx="1">
                  <c:v>Liderança</c:v>
                </c:pt>
                <c:pt idx="2">
                  <c:v>Midias Sociais</c:v>
                </c:pt>
                <c:pt idx="3">
                  <c:v>Pensamento Futuro</c:v>
                </c:pt>
                <c:pt idx="4">
                  <c:v>Planejamento</c:v>
                </c:pt>
                <c:pt idx="5">
                  <c:v>Pontualidade</c:v>
                </c:pt>
                <c:pt idx="6">
                  <c:v>Propaganda</c:v>
                </c:pt>
                <c:pt idx="7">
                  <c:v>Trabalho em Equipe</c:v>
                </c:pt>
              </c:strCache>
            </c:strRef>
          </c:cat>
          <c:val>
            <c:numRef>
              <c:f>AUXILIAR!$D$4</c:f>
              <c:numCache>
                <c:formatCode>General</c:formatCode>
                <c:ptCount val="8"/>
                <c:pt idx="0">
                  <c:v>7.5</c:v>
                </c:pt>
                <c:pt idx="1">
                  <c:v>2.5</c:v>
                </c:pt>
                <c:pt idx="2">
                  <c:v>5</c:v>
                </c:pt>
                <c:pt idx="3">
                  <c:v>1</c:v>
                </c:pt>
                <c:pt idx="4">
                  <c:v>7.5</c:v>
                </c:pt>
                <c:pt idx="5">
                  <c:v>7.5</c:v>
                </c:pt>
                <c:pt idx="6">
                  <c:v>5</c:v>
                </c:pt>
                <c:pt idx="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D9-4592-882E-3B7C62A982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3316496"/>
        <c:axId val="605257456"/>
      </c:lineChart>
      <c:catAx>
        <c:axId val="713316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05257456"/>
        <c:crosses val="autoZero"/>
        <c:auto val="1"/>
        <c:lblAlgn val="ctr"/>
        <c:lblOffset val="100"/>
        <c:noMultiLvlLbl val="0"/>
      </c:catAx>
      <c:valAx>
        <c:axId val="605257456"/>
        <c:scaling>
          <c:orientation val="minMax"/>
          <c:min val="0"/>
        </c:scaling>
        <c:delete val="1"/>
        <c:axPos val="l"/>
        <c:numFmt formatCode="General" sourceLinked="1"/>
        <c:majorTickMark val="none"/>
        <c:minorTickMark val="none"/>
        <c:tickLblPos val="nextTo"/>
        <c:crossAx val="713316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 sz="1600" b="1">
                <a:solidFill>
                  <a:schemeClr val="tx1"/>
                </a:solidFill>
              </a:rPr>
              <a:t>Duelo de Competências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AUXILIAR!$M$4</c:f>
              <c:strCache>
                <c:ptCount val="1"/>
                <c:pt idx="0">
                  <c:v>Aux RH</c:v>
                </c:pt>
              </c:strCache>
            </c:strRef>
          </c:tx>
          <c:spPr>
            <a:ln w="28575" cap="rnd">
              <a:solidFill>
                <a:srgbClr val="0054ED"/>
              </a:solidFill>
              <a:round/>
            </a:ln>
            <a:effectLst/>
          </c:spPr>
          <c:marker>
            <c:symbol val="none"/>
          </c:marker>
          <c:cat>
            <c:strRef>
              <c:f>AUXILIAR!$L$5:$L$12</c:f>
              <c:strCache>
                <c:ptCount val="8"/>
                <c:pt idx="0">
                  <c:v>Iniciativa</c:v>
                </c:pt>
                <c:pt idx="1">
                  <c:v>Liderança</c:v>
                </c:pt>
                <c:pt idx="2">
                  <c:v>Midias Sociais</c:v>
                </c:pt>
                <c:pt idx="3">
                  <c:v>Pensamento Futuro</c:v>
                </c:pt>
                <c:pt idx="4">
                  <c:v>Planejamento</c:v>
                </c:pt>
                <c:pt idx="5">
                  <c:v>Pontualidade</c:v>
                </c:pt>
                <c:pt idx="6">
                  <c:v>Propaganda</c:v>
                </c:pt>
                <c:pt idx="7">
                  <c:v>Trabalho em Equipe</c:v>
                </c:pt>
              </c:strCache>
            </c:strRef>
          </c:cat>
          <c:val>
            <c:numRef>
              <c:f>AUXILIAR!$M$5:$M$12</c:f>
              <c:numCache>
                <c:formatCode>General</c:formatCode>
                <c:ptCount val="8"/>
                <c:pt idx="0">
                  <c:v>7.5</c:v>
                </c:pt>
                <c:pt idx="1">
                  <c:v>2.5</c:v>
                </c:pt>
                <c:pt idx="2">
                  <c:v>5</c:v>
                </c:pt>
                <c:pt idx="3">
                  <c:v>1</c:v>
                </c:pt>
                <c:pt idx="4">
                  <c:v>7.5</c:v>
                </c:pt>
                <c:pt idx="5">
                  <c:v>7.5</c:v>
                </c:pt>
                <c:pt idx="6">
                  <c:v>5</c:v>
                </c:pt>
                <c:pt idx="7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21-49C2-8CD1-32F454F1392B}"/>
            </c:ext>
          </c:extLst>
        </c:ser>
        <c:ser>
          <c:idx val="1"/>
          <c:order val="1"/>
          <c:tx>
            <c:strRef>
              <c:f>AUXILIAR!$N$4</c:f>
              <c:strCache>
                <c:ptCount val="1"/>
                <c:pt idx="0">
                  <c:v>Analista de RH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AUXILIAR!$L$5:$L$12</c:f>
              <c:strCache>
                <c:ptCount val="8"/>
                <c:pt idx="0">
                  <c:v>Iniciativa</c:v>
                </c:pt>
                <c:pt idx="1">
                  <c:v>Liderança</c:v>
                </c:pt>
                <c:pt idx="2">
                  <c:v>Midias Sociais</c:v>
                </c:pt>
                <c:pt idx="3">
                  <c:v>Pensamento Futuro</c:v>
                </c:pt>
                <c:pt idx="4">
                  <c:v>Planejamento</c:v>
                </c:pt>
                <c:pt idx="5">
                  <c:v>Pontualidade</c:v>
                </c:pt>
                <c:pt idx="6">
                  <c:v>Propaganda</c:v>
                </c:pt>
                <c:pt idx="7">
                  <c:v>Trabalho em Equipe</c:v>
                </c:pt>
              </c:strCache>
            </c:strRef>
          </c:cat>
          <c:val>
            <c:numRef>
              <c:f>AUXILIAR!$N$5:$N$12</c:f>
              <c:numCache>
                <c:formatCode>General</c:formatCode>
                <c:ptCount val="8"/>
                <c:pt idx="0">
                  <c:v>7.5</c:v>
                </c:pt>
                <c:pt idx="1">
                  <c:v>1</c:v>
                </c:pt>
                <c:pt idx="2">
                  <c:v>1</c:v>
                </c:pt>
                <c:pt idx="3">
                  <c:v>10</c:v>
                </c:pt>
                <c:pt idx="4">
                  <c:v>10</c:v>
                </c:pt>
                <c:pt idx="5">
                  <c:v>7.5</c:v>
                </c:pt>
                <c:pt idx="6">
                  <c:v>1</c:v>
                </c:pt>
                <c:pt idx="7">
                  <c:v>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21-49C2-8CD1-32F454F139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4638928"/>
        <c:axId val="375744688"/>
      </c:radarChart>
      <c:catAx>
        <c:axId val="684638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75744688"/>
        <c:crosses val="autoZero"/>
        <c:auto val="1"/>
        <c:lblAlgn val="ctr"/>
        <c:lblOffset val="100"/>
        <c:noMultiLvlLbl val="0"/>
      </c:catAx>
      <c:valAx>
        <c:axId val="375744688"/>
        <c:scaling>
          <c:orientation val="minMax"/>
          <c:min val="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684638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- MATRIZ DE HABILIDADE.xlsx]AUXILIAR!ROSCA 1</c:name>
    <c:fmtId val="11"/>
  </c:pivotSource>
  <c:chart>
    <c:title>
      <c:tx>
        <c:strRef>
          <c:f>AUXILIAR!$S$5</c:f>
          <c:strCache>
            <c:ptCount val="1"/>
            <c:pt idx="0">
              <c:v>Aux RH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0054ED"/>
          </a:solidFill>
          <a:ln w="19050">
            <a:solidFill>
              <a:schemeClr val="tx1"/>
            </a:solidFill>
          </a:ln>
          <a:effectLst/>
        </c:spPr>
      </c:pivotFmt>
      <c:pivotFmt>
        <c:idx val="12"/>
        <c:spPr>
          <a:solidFill>
            <a:schemeClr val="tx1"/>
          </a:solidFill>
          <a:ln w="19050">
            <a:solidFill>
              <a:schemeClr val="tx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AUXILIAR!$S$5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rgbClr val="0054ED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312-43EE-8394-57E7DD51202C}"/>
              </c:ext>
            </c:extLst>
          </c:dPt>
          <c:dPt>
            <c:idx val="1"/>
            <c:bubble3D val="0"/>
            <c:spPr>
              <a:solidFill>
                <a:schemeClr val="tx1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C312-43EE-8394-57E7DD51202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CA2-46C5-A0D0-D929042D490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AUXILIAR!$S$5</c:f>
              <c:strCache>
                <c:ptCount val="3"/>
                <c:pt idx="0">
                  <c:v>Comportamental</c:v>
                </c:pt>
                <c:pt idx="1">
                  <c:v>Estratégica</c:v>
                </c:pt>
                <c:pt idx="2">
                  <c:v>Técnica</c:v>
                </c:pt>
              </c:strCache>
            </c:strRef>
          </c:cat>
          <c:val>
            <c:numRef>
              <c:f>AUXILIAR!$S$5</c:f>
              <c:numCache>
                <c:formatCode>General</c:formatCode>
                <c:ptCount val="3"/>
                <c:pt idx="0">
                  <c:v>25</c:v>
                </c:pt>
                <c:pt idx="1">
                  <c:v>11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312-43EE-8394-57E7DD5120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- MATRIZ DE HABILIDADE.xlsx]AUXILIAR!ROSCA 2</c:name>
    <c:fmtId val="14"/>
  </c:pivotSource>
  <c:chart>
    <c:title>
      <c:tx>
        <c:strRef>
          <c:f>AUXILIAR!$X$5</c:f>
          <c:strCache>
            <c:ptCount val="1"/>
            <c:pt idx="0">
              <c:v>Analista de RH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2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0054ED"/>
          </a:solidFill>
          <a:ln w="19050">
            <a:solidFill>
              <a:schemeClr val="tx1"/>
            </a:solidFill>
          </a:ln>
          <a:effectLst/>
        </c:spPr>
      </c:pivotFmt>
      <c:pivotFmt>
        <c:idx val="7"/>
        <c:spPr>
          <a:solidFill>
            <a:schemeClr val="tx1"/>
          </a:solidFill>
          <a:ln w="19050">
            <a:solidFill>
              <a:schemeClr val="tx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AUXILIAR!$X$5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rgbClr val="0054ED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BCB-4CD9-A731-AC2472E335F9}"/>
              </c:ext>
            </c:extLst>
          </c:dPt>
          <c:dPt>
            <c:idx val="1"/>
            <c:bubble3D val="0"/>
            <c:spPr>
              <a:solidFill>
                <a:schemeClr val="tx1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BCB-4CD9-A731-AC2472E335F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BCB-4CD9-A731-AC2472E335F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AUXILIAR!$X$5</c:f>
              <c:strCache>
                <c:ptCount val="3"/>
                <c:pt idx="0">
                  <c:v>Comportamental</c:v>
                </c:pt>
                <c:pt idx="1">
                  <c:v>Estratégica</c:v>
                </c:pt>
                <c:pt idx="2">
                  <c:v>Técnica</c:v>
                </c:pt>
              </c:strCache>
            </c:strRef>
          </c:cat>
          <c:val>
            <c:numRef>
              <c:f>AUXILIAR!$X$5</c:f>
              <c:numCache>
                <c:formatCode>General</c:formatCode>
                <c:ptCount val="3"/>
                <c:pt idx="0">
                  <c:v>22.5</c:v>
                </c:pt>
                <c:pt idx="1">
                  <c:v>21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BCB-4CD9-A731-AC2472E335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5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24</xdr:col>
      <xdr:colOff>581024</xdr:colOff>
      <xdr:row>44</xdr:row>
      <xdr:rowOff>174426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E311BED-9908-4CB4-9830-D09C6773D8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211424" cy="8556426"/>
        </a:xfrm>
        <a:prstGeom prst="rect">
          <a:avLst/>
        </a:prstGeom>
      </xdr:spPr>
    </xdr:pic>
    <xdr:clientData/>
  </xdr:twoCellAnchor>
  <xdr:twoCellAnchor>
    <xdr:from>
      <xdr:col>3</xdr:col>
      <xdr:colOff>295276</xdr:colOff>
      <xdr:row>0</xdr:row>
      <xdr:rowOff>95250</xdr:rowOff>
    </xdr:from>
    <xdr:to>
      <xdr:col>24</xdr:col>
      <xdr:colOff>333376</xdr:colOff>
      <xdr:row>18</xdr:row>
      <xdr:rowOff>180975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52B6C45D-59CA-40F3-A10B-237AE9FAADDC}"/>
            </a:ext>
          </a:extLst>
        </xdr:cNvPr>
        <xdr:cNvSpPr/>
      </xdr:nvSpPr>
      <xdr:spPr>
        <a:xfrm>
          <a:off x="2124076" y="95250"/>
          <a:ext cx="12839700" cy="3514725"/>
        </a:xfrm>
        <a:prstGeom prst="roundRect">
          <a:avLst>
            <a:gd name="adj" fmla="val 949"/>
          </a:avLst>
        </a:prstGeom>
        <a:solidFill>
          <a:srgbClr val="FFFFFF">
            <a:alpha val="94902"/>
          </a:srgbClr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295276</xdr:colOff>
      <xdr:row>19</xdr:row>
      <xdr:rowOff>47625</xdr:rowOff>
    </xdr:from>
    <xdr:to>
      <xdr:col>24</xdr:col>
      <xdr:colOff>333376</xdr:colOff>
      <xdr:row>36</xdr:row>
      <xdr:rowOff>38100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3EB347C8-FEB5-4A78-8686-E7E32CE63E9F}"/>
            </a:ext>
          </a:extLst>
        </xdr:cNvPr>
        <xdr:cNvSpPr/>
      </xdr:nvSpPr>
      <xdr:spPr>
        <a:xfrm>
          <a:off x="2124076" y="3667125"/>
          <a:ext cx="12839700" cy="3228975"/>
        </a:xfrm>
        <a:prstGeom prst="roundRect">
          <a:avLst>
            <a:gd name="adj" fmla="val 949"/>
          </a:avLst>
        </a:prstGeom>
        <a:solidFill>
          <a:srgbClr val="FFFFFF">
            <a:alpha val="94902"/>
          </a:srgbClr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66675</xdr:colOff>
      <xdr:row>0</xdr:row>
      <xdr:rowOff>95251</xdr:rowOff>
    </xdr:from>
    <xdr:to>
      <xdr:col>3</xdr:col>
      <xdr:colOff>276225</xdr:colOff>
      <xdr:row>18</xdr:row>
      <xdr:rowOff>152401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1C31401B-F537-4FC0-BC09-70EF098FC3FE}"/>
            </a:ext>
          </a:extLst>
        </xdr:cNvPr>
        <xdr:cNvSpPr/>
      </xdr:nvSpPr>
      <xdr:spPr>
        <a:xfrm>
          <a:off x="66675" y="95251"/>
          <a:ext cx="2038350" cy="3486150"/>
        </a:xfrm>
        <a:prstGeom prst="roundRect">
          <a:avLst>
            <a:gd name="adj" fmla="val 949"/>
          </a:avLst>
        </a:prstGeom>
        <a:solidFill>
          <a:srgbClr val="FFFFFF">
            <a:alpha val="80000"/>
          </a:srgb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57150</xdr:colOff>
      <xdr:row>19</xdr:row>
      <xdr:rowOff>57150</xdr:rowOff>
    </xdr:from>
    <xdr:to>
      <xdr:col>3</xdr:col>
      <xdr:colOff>257175</xdr:colOff>
      <xdr:row>36</xdr:row>
      <xdr:rowOff>47625</xdr:rowOff>
    </xdr:to>
    <xdr:sp macro="" textlink="">
      <xdr:nvSpPr>
        <xdr:cNvPr id="9" name="Retângulo: Cantos Arredondados 8">
          <a:extLst>
            <a:ext uri="{FF2B5EF4-FFF2-40B4-BE49-F238E27FC236}">
              <a16:creationId xmlns:a16="http://schemas.microsoft.com/office/drawing/2014/main" id="{187CCDD0-706C-4F2B-A5EB-617324FC74ED}"/>
            </a:ext>
          </a:extLst>
        </xdr:cNvPr>
        <xdr:cNvSpPr/>
      </xdr:nvSpPr>
      <xdr:spPr>
        <a:xfrm>
          <a:off x="57150" y="3676650"/>
          <a:ext cx="2028825" cy="3228975"/>
        </a:xfrm>
        <a:prstGeom prst="roundRect">
          <a:avLst>
            <a:gd name="adj" fmla="val 949"/>
          </a:avLst>
        </a:prstGeom>
        <a:solidFill>
          <a:srgbClr val="FFFFFF">
            <a:alpha val="80000"/>
          </a:srgb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295276</xdr:colOff>
      <xdr:row>0</xdr:row>
      <xdr:rowOff>85726</xdr:rowOff>
    </xdr:from>
    <xdr:to>
      <xdr:col>24</xdr:col>
      <xdr:colOff>314326</xdr:colOff>
      <xdr:row>18</xdr:row>
      <xdr:rowOff>161926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B9369AC6-9027-462B-BB01-DE89377AC5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76199</xdr:colOff>
      <xdr:row>2</xdr:row>
      <xdr:rowOff>171450</xdr:rowOff>
    </xdr:from>
    <xdr:to>
      <xdr:col>3</xdr:col>
      <xdr:colOff>276224</xdr:colOff>
      <xdr:row>18</xdr:row>
      <xdr:rowOff>152400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Cargo">
              <a:extLst>
                <a:ext uri="{FF2B5EF4-FFF2-40B4-BE49-F238E27FC236}">
                  <a16:creationId xmlns:a16="http://schemas.microsoft.com/office/drawing/2014/main" id="{0C87FD5F-B832-413B-A6DA-F5BFA5374A2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rg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199" y="552450"/>
              <a:ext cx="2028825" cy="30289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3</xdr:col>
      <xdr:colOff>285751</xdr:colOff>
      <xdr:row>19</xdr:row>
      <xdr:rowOff>57150</xdr:rowOff>
    </xdr:from>
    <xdr:to>
      <xdr:col>13</xdr:col>
      <xdr:colOff>600075</xdr:colOff>
      <xdr:row>36</xdr:row>
      <xdr:rowOff>47625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EB3DC01D-9283-4AAB-8945-F1E5EF25FA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76200</xdr:colOff>
      <xdr:row>21</xdr:row>
      <xdr:rowOff>1</xdr:rowOff>
    </xdr:from>
    <xdr:to>
      <xdr:col>3</xdr:col>
      <xdr:colOff>266700</xdr:colOff>
      <xdr:row>27</xdr:row>
      <xdr:rowOff>66675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3" name="Cargo 1">
              <a:extLst>
                <a:ext uri="{FF2B5EF4-FFF2-40B4-BE49-F238E27FC236}">
                  <a16:creationId xmlns:a16="http://schemas.microsoft.com/office/drawing/2014/main" id="{60A38D9C-C348-428E-911A-160319D1FB0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rg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200" y="4000501"/>
              <a:ext cx="2019300" cy="120967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95250</xdr:colOff>
      <xdr:row>29</xdr:row>
      <xdr:rowOff>85725</xdr:rowOff>
    </xdr:from>
    <xdr:to>
      <xdr:col>3</xdr:col>
      <xdr:colOff>228600</xdr:colOff>
      <xdr:row>35</xdr:row>
      <xdr:rowOff>152325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4" name="Cargo 2">
              <a:extLst>
                <a:ext uri="{FF2B5EF4-FFF2-40B4-BE49-F238E27FC236}">
                  <a16:creationId xmlns:a16="http://schemas.microsoft.com/office/drawing/2014/main" id="{BCBF76D7-4D34-4DE2-883D-761132DEC5D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rgo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0" y="5610225"/>
              <a:ext cx="1962150" cy="1209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14</xdr:col>
      <xdr:colOff>9526</xdr:colOff>
      <xdr:row>19</xdr:row>
      <xdr:rowOff>47625</xdr:rowOff>
    </xdr:from>
    <xdr:to>
      <xdr:col>14</xdr:col>
      <xdr:colOff>9526</xdr:colOff>
      <xdr:row>36</xdr:row>
      <xdr:rowOff>38100</xdr:rowOff>
    </xdr:to>
    <xdr:cxnSp macro="">
      <xdr:nvCxnSpPr>
        <xdr:cNvPr id="16" name="Conector reto 15">
          <a:extLst>
            <a:ext uri="{FF2B5EF4-FFF2-40B4-BE49-F238E27FC236}">
              <a16:creationId xmlns:a16="http://schemas.microsoft.com/office/drawing/2014/main" id="{D09FA821-C6CC-4756-827B-DC850C4028D3}"/>
            </a:ext>
          </a:extLst>
        </xdr:cNvPr>
        <xdr:cNvCxnSpPr>
          <a:stCxn id="7" idx="0"/>
          <a:endCxn id="7" idx="2"/>
        </xdr:cNvCxnSpPr>
      </xdr:nvCxnSpPr>
      <xdr:spPr>
        <a:xfrm>
          <a:off x="8543926" y="3667125"/>
          <a:ext cx="0" cy="3228975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28575</xdr:colOff>
      <xdr:row>19</xdr:row>
      <xdr:rowOff>52387</xdr:rowOff>
    </xdr:from>
    <xdr:to>
      <xdr:col>19</xdr:col>
      <xdr:colOff>323850</xdr:colOff>
      <xdr:row>36</xdr:row>
      <xdr:rowOff>33337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40304ADC-348A-4669-9AB3-72CE91612A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28574</xdr:colOff>
      <xdr:row>19</xdr:row>
      <xdr:rowOff>52912</xdr:rowOff>
    </xdr:from>
    <xdr:to>
      <xdr:col>24</xdr:col>
      <xdr:colOff>324974</xdr:colOff>
      <xdr:row>36</xdr:row>
      <xdr:rowOff>32812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F35C914E-0A9D-45EA-8FBC-DBC3A9DBF2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428625</xdr:colOff>
      <xdr:row>26</xdr:row>
      <xdr:rowOff>9525</xdr:rowOff>
    </xdr:from>
    <xdr:to>
      <xdr:col>19</xdr:col>
      <xdr:colOff>581025</xdr:colOff>
      <xdr:row>29</xdr:row>
      <xdr:rowOff>76200</xdr:rowOff>
    </xdr:to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id="{E98FCB75-FD12-450D-8C6B-56AEBEB15F94}"/>
            </a:ext>
          </a:extLst>
        </xdr:cNvPr>
        <xdr:cNvSpPr txBox="1"/>
      </xdr:nvSpPr>
      <xdr:spPr>
        <a:xfrm>
          <a:off x="11401425" y="4962525"/>
          <a:ext cx="762000" cy="638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4000" b="1">
              <a:solidFill>
                <a:schemeClr val="tx1"/>
              </a:solidFill>
            </a:rPr>
            <a:t>X</a:t>
          </a:r>
        </a:p>
      </xdr:txBody>
    </xdr:sp>
    <xdr:clientData/>
  </xdr:twoCellAnchor>
  <xdr:twoCellAnchor>
    <xdr:from>
      <xdr:col>0</xdr:col>
      <xdr:colOff>76200</xdr:colOff>
      <xdr:row>0</xdr:row>
      <xdr:rowOff>114300</xdr:rowOff>
    </xdr:from>
    <xdr:to>
      <xdr:col>3</xdr:col>
      <xdr:colOff>276225</xdr:colOff>
      <xdr:row>2</xdr:row>
      <xdr:rowOff>142875</xdr:rowOff>
    </xdr:to>
    <xdr:sp macro="" textlink="">
      <xdr:nvSpPr>
        <xdr:cNvPr id="23" name="CaixaDeTexto 22">
          <a:extLst>
            <a:ext uri="{FF2B5EF4-FFF2-40B4-BE49-F238E27FC236}">
              <a16:creationId xmlns:a16="http://schemas.microsoft.com/office/drawing/2014/main" id="{86330A58-8CB9-49F2-81F4-02C3FAC320D7}"/>
            </a:ext>
          </a:extLst>
        </xdr:cNvPr>
        <xdr:cNvSpPr txBox="1"/>
      </xdr:nvSpPr>
      <xdr:spPr>
        <a:xfrm>
          <a:off x="76200" y="114300"/>
          <a:ext cx="2028825" cy="4095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800" b="1" u="sng">
              <a:solidFill>
                <a:schemeClr val="tx1"/>
              </a:solidFill>
            </a:rPr>
            <a:t>FILTRO</a:t>
          </a:r>
        </a:p>
      </xdr:txBody>
    </xdr:sp>
    <xdr:clientData/>
  </xdr:twoCellAnchor>
  <xdr:twoCellAnchor>
    <xdr:from>
      <xdr:col>0</xdr:col>
      <xdr:colOff>57150</xdr:colOff>
      <xdr:row>19</xdr:row>
      <xdr:rowOff>57150</xdr:rowOff>
    </xdr:from>
    <xdr:to>
      <xdr:col>3</xdr:col>
      <xdr:colOff>257175</xdr:colOff>
      <xdr:row>21</xdr:row>
      <xdr:rowOff>9525</xdr:rowOff>
    </xdr:to>
    <xdr:sp macro="" textlink="">
      <xdr:nvSpPr>
        <xdr:cNvPr id="24" name="CaixaDeTexto 23">
          <a:extLst>
            <a:ext uri="{FF2B5EF4-FFF2-40B4-BE49-F238E27FC236}">
              <a16:creationId xmlns:a16="http://schemas.microsoft.com/office/drawing/2014/main" id="{7F3DA495-1227-463E-BF6A-75593BCB4937}"/>
            </a:ext>
          </a:extLst>
        </xdr:cNvPr>
        <xdr:cNvSpPr txBox="1"/>
      </xdr:nvSpPr>
      <xdr:spPr>
        <a:xfrm>
          <a:off x="57150" y="3676650"/>
          <a:ext cx="2028825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800" b="1" u="sng">
              <a:solidFill>
                <a:schemeClr val="tx1"/>
              </a:solidFill>
            </a:rPr>
            <a:t>FILTRO</a:t>
          </a:r>
        </a:p>
      </xdr:txBody>
    </xdr:sp>
    <xdr:clientData/>
  </xdr:twoCellAnchor>
  <xdr:twoCellAnchor>
    <xdr:from>
      <xdr:col>0</xdr:col>
      <xdr:colOff>57150</xdr:colOff>
      <xdr:row>27</xdr:row>
      <xdr:rowOff>152400</xdr:rowOff>
    </xdr:from>
    <xdr:to>
      <xdr:col>3</xdr:col>
      <xdr:colOff>257175</xdr:colOff>
      <xdr:row>29</xdr:row>
      <xdr:rowOff>104775</xdr:rowOff>
    </xdr:to>
    <xdr:sp macro="" textlink="">
      <xdr:nvSpPr>
        <xdr:cNvPr id="25" name="CaixaDeTexto 24">
          <a:extLst>
            <a:ext uri="{FF2B5EF4-FFF2-40B4-BE49-F238E27FC236}">
              <a16:creationId xmlns:a16="http://schemas.microsoft.com/office/drawing/2014/main" id="{71418778-462E-47B5-9CFD-7C96F9FAABE9}"/>
            </a:ext>
          </a:extLst>
        </xdr:cNvPr>
        <xdr:cNvSpPr txBox="1"/>
      </xdr:nvSpPr>
      <xdr:spPr>
        <a:xfrm>
          <a:off x="57150" y="5295900"/>
          <a:ext cx="2028825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800" b="1" u="sng">
              <a:solidFill>
                <a:schemeClr val="tx1"/>
              </a:solidFill>
            </a:rPr>
            <a:t>FILTRO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heus" refreshedDate="43831.730377546293" createdVersion="6" refreshedVersion="6" minRefreshableVersion="3" recordCount="48" xr:uid="{B1493754-2334-45A2-A707-4001B2045022}">
  <cacheSource type="worksheet">
    <worksheetSource name="Tabela1"/>
  </cacheSource>
  <cacheFields count="6">
    <cacheField name="Cargo" numFmtId="0">
      <sharedItems count="6">
        <s v="Analista de Marketing"/>
        <s v="Gerente de Marketing"/>
        <s v="Diretor de Marketing"/>
        <s v="Estagiário de RH"/>
        <s v="Analista de RH"/>
        <s v="Aux RH"/>
      </sharedItems>
    </cacheField>
    <cacheField name="Área / Departamento" numFmtId="0">
      <sharedItems/>
    </cacheField>
    <cacheField name="Tipo de Competência" numFmtId="0">
      <sharedItems count="3">
        <s v="Comportamental"/>
        <s v="Técnica"/>
        <s v="Estratégica"/>
      </sharedItems>
    </cacheField>
    <cacheField name="Competências" numFmtId="0">
      <sharedItems count="8">
        <s v="Iniciativa"/>
        <s v="Trabalho em Equipe"/>
        <s v="Pontualidade"/>
        <s v="Midias Sociais"/>
        <s v="Propaganda"/>
        <s v="Liderança"/>
        <s v="Pensamento Futuro"/>
        <s v="Planejamento"/>
      </sharedItems>
    </cacheField>
    <cacheField name="Pesos" numFmtId="0">
      <sharedItems/>
    </cacheField>
    <cacheField name="Valor" numFmtId="0">
      <sharedItems containsSemiMixedTypes="0" containsString="0" containsNumber="1" minValue="1" maxValue="10"/>
    </cacheField>
  </cacheFields>
  <extLst>
    <ext xmlns:x14="http://schemas.microsoft.com/office/spreadsheetml/2009/9/main" uri="{725AE2AE-9491-48be-B2B4-4EB974FC3084}">
      <x14:pivotCacheDefinition pivotCacheId="79404725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s v="Marketing"/>
    <x v="0"/>
    <x v="0"/>
    <s v="Muito Importante"/>
    <n v="10"/>
  </r>
  <r>
    <x v="0"/>
    <s v="Marketing"/>
    <x v="0"/>
    <x v="1"/>
    <s v="Importante"/>
    <n v="7.5"/>
  </r>
  <r>
    <x v="0"/>
    <s v="Marketing"/>
    <x v="0"/>
    <x v="2"/>
    <s v="Importância Mediana"/>
    <n v="5"/>
  </r>
  <r>
    <x v="0"/>
    <s v="Marketing"/>
    <x v="1"/>
    <x v="3"/>
    <s v="Pouco Importante"/>
    <n v="2.5"/>
  </r>
  <r>
    <x v="0"/>
    <s v="Marketing"/>
    <x v="1"/>
    <x v="4"/>
    <s v="Sem Importância"/>
    <n v="1"/>
  </r>
  <r>
    <x v="0"/>
    <s v="Marketing"/>
    <x v="2"/>
    <x v="5"/>
    <s v="Importante"/>
    <n v="7.5"/>
  </r>
  <r>
    <x v="0"/>
    <s v="Marketing"/>
    <x v="2"/>
    <x v="6"/>
    <s v="Pouco Importante"/>
    <n v="2.5"/>
  </r>
  <r>
    <x v="0"/>
    <s v="Marketing"/>
    <x v="2"/>
    <x v="7"/>
    <s v="Importante"/>
    <n v="7.5"/>
  </r>
  <r>
    <x v="1"/>
    <s v="Marketing"/>
    <x v="0"/>
    <x v="0"/>
    <s v="Muito Importante"/>
    <n v="10"/>
  </r>
  <r>
    <x v="1"/>
    <s v="Marketing"/>
    <x v="0"/>
    <x v="1"/>
    <s v="Muito Importante"/>
    <n v="10"/>
  </r>
  <r>
    <x v="1"/>
    <s v="Marketing"/>
    <x v="0"/>
    <x v="2"/>
    <s v="Muito Importante"/>
    <n v="10"/>
  </r>
  <r>
    <x v="1"/>
    <s v="Marketing"/>
    <x v="1"/>
    <x v="3"/>
    <s v="Muito Importante"/>
    <n v="10"/>
  </r>
  <r>
    <x v="1"/>
    <s v="Marketing"/>
    <x v="1"/>
    <x v="4"/>
    <s v="Muito Importante"/>
    <n v="10"/>
  </r>
  <r>
    <x v="1"/>
    <s v="Marketing"/>
    <x v="2"/>
    <x v="5"/>
    <s v="Muito Importante"/>
    <n v="10"/>
  </r>
  <r>
    <x v="1"/>
    <s v="Marketing"/>
    <x v="2"/>
    <x v="6"/>
    <s v="Muito Importante"/>
    <n v="10"/>
  </r>
  <r>
    <x v="1"/>
    <s v="Marketing"/>
    <x v="2"/>
    <x v="7"/>
    <s v="Importante"/>
    <n v="7.5"/>
  </r>
  <r>
    <x v="2"/>
    <s v="Marketing"/>
    <x v="0"/>
    <x v="0"/>
    <s v="Muito Importante"/>
    <n v="10"/>
  </r>
  <r>
    <x v="2"/>
    <s v="Marketing"/>
    <x v="0"/>
    <x v="1"/>
    <s v="Muito Importante"/>
    <n v="10"/>
  </r>
  <r>
    <x v="2"/>
    <s v="Marketing"/>
    <x v="0"/>
    <x v="2"/>
    <s v="Muito Importante"/>
    <n v="10"/>
  </r>
  <r>
    <x v="2"/>
    <s v="Marketing"/>
    <x v="1"/>
    <x v="3"/>
    <s v="Muito Importante"/>
    <n v="10"/>
  </r>
  <r>
    <x v="2"/>
    <s v="Marketing"/>
    <x v="1"/>
    <x v="4"/>
    <s v="Muito Importante"/>
    <n v="10"/>
  </r>
  <r>
    <x v="2"/>
    <s v="Marketing"/>
    <x v="2"/>
    <x v="5"/>
    <s v="Muito Importante"/>
    <n v="10"/>
  </r>
  <r>
    <x v="2"/>
    <s v="Marketing"/>
    <x v="2"/>
    <x v="6"/>
    <s v="Muito Importante"/>
    <n v="10"/>
  </r>
  <r>
    <x v="2"/>
    <s v="Marketing"/>
    <x v="2"/>
    <x v="7"/>
    <s v="Muito Importante"/>
    <n v="10"/>
  </r>
  <r>
    <x v="3"/>
    <s v="Recursos Humanos"/>
    <x v="0"/>
    <x v="0"/>
    <s v="Muito Importante"/>
    <n v="10"/>
  </r>
  <r>
    <x v="3"/>
    <s v="Recursos Humanos"/>
    <x v="0"/>
    <x v="1"/>
    <s v="Muito Importante"/>
    <n v="10"/>
  </r>
  <r>
    <x v="3"/>
    <s v="Recursos Humanos"/>
    <x v="0"/>
    <x v="2"/>
    <s v="Importante"/>
    <n v="7.5"/>
  </r>
  <r>
    <x v="3"/>
    <s v="Recursos Humanos"/>
    <x v="1"/>
    <x v="3"/>
    <s v="Sem Importância"/>
    <n v="1"/>
  </r>
  <r>
    <x v="3"/>
    <s v="Recursos Humanos"/>
    <x v="1"/>
    <x v="4"/>
    <s v="Sem Importância"/>
    <n v="1"/>
  </r>
  <r>
    <x v="3"/>
    <s v="Recursos Humanos"/>
    <x v="2"/>
    <x v="5"/>
    <s v="Pouco Importante"/>
    <n v="2.5"/>
  </r>
  <r>
    <x v="3"/>
    <s v="Recursos Humanos"/>
    <x v="2"/>
    <x v="6"/>
    <s v="Muito Importante"/>
    <n v="10"/>
  </r>
  <r>
    <x v="3"/>
    <s v="Recursos Humanos"/>
    <x v="2"/>
    <x v="7"/>
    <s v="Importância Mediana"/>
    <n v="5"/>
  </r>
  <r>
    <x v="4"/>
    <s v="Recursos Humanos"/>
    <x v="0"/>
    <x v="0"/>
    <s v="Importante"/>
    <n v="7.5"/>
  </r>
  <r>
    <x v="4"/>
    <s v="Recursos Humanos"/>
    <x v="0"/>
    <x v="1"/>
    <s v="Importante"/>
    <n v="7.5"/>
  </r>
  <r>
    <x v="4"/>
    <s v="Recursos Humanos"/>
    <x v="0"/>
    <x v="2"/>
    <s v="Importante"/>
    <n v="7.5"/>
  </r>
  <r>
    <x v="4"/>
    <s v="Recursos Humanos"/>
    <x v="1"/>
    <x v="3"/>
    <s v="Sem Importância"/>
    <n v="1"/>
  </r>
  <r>
    <x v="4"/>
    <s v="Recursos Humanos"/>
    <x v="1"/>
    <x v="4"/>
    <s v="Sem Importância"/>
    <n v="1"/>
  </r>
  <r>
    <x v="4"/>
    <s v="Recursos Humanos"/>
    <x v="2"/>
    <x v="5"/>
    <s v="Sem Importância"/>
    <n v="1"/>
  </r>
  <r>
    <x v="4"/>
    <s v="Recursos Humanos"/>
    <x v="2"/>
    <x v="6"/>
    <s v="Muito Importante"/>
    <n v="10"/>
  </r>
  <r>
    <x v="4"/>
    <s v="Recursos Humanos"/>
    <x v="2"/>
    <x v="7"/>
    <s v="Muito Importante"/>
    <n v="10"/>
  </r>
  <r>
    <x v="5"/>
    <s v="Recursos Humanos"/>
    <x v="0"/>
    <x v="0"/>
    <s v="Importante"/>
    <n v="7.5"/>
  </r>
  <r>
    <x v="5"/>
    <s v="Recursos Humanos"/>
    <x v="0"/>
    <x v="1"/>
    <s v="Muito Importante"/>
    <n v="10"/>
  </r>
  <r>
    <x v="5"/>
    <s v="Recursos Humanos"/>
    <x v="0"/>
    <x v="2"/>
    <s v="Importante"/>
    <n v="7.5"/>
  </r>
  <r>
    <x v="5"/>
    <s v="Recursos Humanos"/>
    <x v="1"/>
    <x v="3"/>
    <s v="Importância Mediana"/>
    <n v="5"/>
  </r>
  <r>
    <x v="5"/>
    <s v="Recursos Humanos"/>
    <x v="1"/>
    <x v="4"/>
    <s v="Importância Mediana"/>
    <n v="5"/>
  </r>
  <r>
    <x v="5"/>
    <s v="Recursos Humanos"/>
    <x v="2"/>
    <x v="5"/>
    <s v="Pouco Importante"/>
    <n v="2.5"/>
  </r>
  <r>
    <x v="5"/>
    <s v="Recursos Humanos"/>
    <x v="2"/>
    <x v="6"/>
    <s v="Sem Importância"/>
    <n v="1"/>
  </r>
  <r>
    <x v="5"/>
    <s v="Recursos Humanos"/>
    <x v="2"/>
    <x v="7"/>
    <s v="Importante"/>
    <n v="7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17D28D-F949-4AF1-9C30-233851D0BD30}" name="ROSCA 1" cacheId="5" applyNumberFormats="0" applyBorderFormats="0" applyFontFormats="0" applyPatternFormats="0" applyAlignmentFormats="0" applyWidthHeightFormats="1" dataCaption="Valores" updatedVersion="6" minRefreshableVersion="3" useAutoFormatting="1" rowGrandTotals="0" colGrandTotals="0" itemPrintTitles="1" createdVersion="6" indent="0" outline="1" outlineData="1" multipleFieldFilters="0" chartFormat="12">
  <location ref="P4:Q7" firstHeaderRow="1" firstDataRow="1" firstDataCol="1"/>
  <pivotFields count="6">
    <pivotField showAll="0">
      <items count="7">
        <item h="1" x="0"/>
        <item h="1" x="4"/>
        <item x="5"/>
        <item h="1" x="2"/>
        <item h="1" x="3"/>
        <item h="1" x="1"/>
        <item t="default"/>
      </items>
    </pivotField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dataField="1" showAll="0"/>
  </pivotFields>
  <rowFields count="1">
    <field x="2"/>
  </rowFields>
  <rowItems count="3">
    <i>
      <x/>
    </i>
    <i>
      <x v="1"/>
    </i>
    <i>
      <x v="2"/>
    </i>
  </rowItems>
  <colItems count="1">
    <i/>
  </colItems>
  <dataFields count="1">
    <dataField name="Soma de Valor" fld="5" baseField="0" baseItem="0"/>
  </dataFields>
  <chartFormats count="4">
    <chartFormat chart="11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1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C62A31-0981-4B8D-A9E1-0B8DE63F4031}" name="Tabela dinâmica8" cacheId="5" applyNumberFormats="0" applyBorderFormats="0" applyFontFormats="0" applyPatternFormats="0" applyAlignmentFormats="0" applyWidthHeightFormats="1" dataCaption="Valores" updatedVersion="6" minRefreshableVersion="3" useAutoFormatting="1" rowGrandTotals="0" colGrandTotals="0" itemPrintTitles="1" createdVersion="6" indent="0" outline="1" outlineData="1" multipleFieldFilters="0" chartFormat="9">
  <location ref="I3:J12" firstHeaderRow="1" firstDataRow="1" firstDataCol="1"/>
  <pivotFields count="6">
    <pivotField axis="axisRow" showAll="0">
      <items count="7">
        <item h="1" x="0"/>
        <item x="4"/>
        <item h="1" x="2"/>
        <item h="1" x="3"/>
        <item h="1" x="1"/>
        <item h="1" x="5"/>
        <item t="default"/>
      </items>
    </pivotField>
    <pivotField showAll="0"/>
    <pivotField showAll="0"/>
    <pivotField axis="axisRow" showAll="0">
      <items count="9">
        <item x="0"/>
        <item x="5"/>
        <item x="3"/>
        <item x="6"/>
        <item x="7"/>
        <item x="2"/>
        <item x="4"/>
        <item x="1"/>
        <item t="default"/>
      </items>
    </pivotField>
    <pivotField showAll="0"/>
    <pivotField dataField="1" showAll="0"/>
  </pivotFields>
  <rowFields count="2">
    <field x="0"/>
    <field x="3"/>
  </rowFields>
  <rowItems count="9"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</rowItems>
  <colItems count="1">
    <i/>
  </colItems>
  <dataFields count="1">
    <dataField name="Soma de Valor" fld="5" baseField="0" baseItem="0"/>
  </dataFields>
  <chartFormats count="2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DF3093-317B-4FC5-943B-88E285BC1B69}" name="Tabela dinâmica7" cacheId="5" applyNumberFormats="0" applyBorderFormats="0" applyFontFormats="0" applyPatternFormats="0" applyAlignmentFormats="0" applyWidthHeightFormats="1" dataCaption="Valores" updatedVersion="6" minRefreshableVersion="3" useAutoFormatting="1" rowGrandTotals="0" colGrandTotals="0" itemPrintTitles="1" createdVersion="6" indent="0" outline="1" outlineData="1" multipleFieldFilters="0" chartFormat="9">
  <location ref="F3:G12" firstHeaderRow="1" firstDataRow="1" firstDataCol="1"/>
  <pivotFields count="6">
    <pivotField axis="axisRow" showAll="0">
      <items count="7">
        <item h="1" x="0"/>
        <item h="1" x="4"/>
        <item h="1" x="2"/>
        <item h="1" x="3"/>
        <item h="1" x="1"/>
        <item x="5"/>
        <item t="default"/>
      </items>
    </pivotField>
    <pivotField showAll="0"/>
    <pivotField showAll="0"/>
    <pivotField axis="axisRow" showAll="0">
      <items count="9">
        <item x="0"/>
        <item x="5"/>
        <item x="3"/>
        <item x="6"/>
        <item x="7"/>
        <item x="2"/>
        <item x="4"/>
        <item x="1"/>
        <item t="default"/>
      </items>
    </pivotField>
    <pivotField showAll="0"/>
    <pivotField dataField="1" showAll="0"/>
  </pivotFields>
  <rowFields count="2">
    <field x="0"/>
    <field x="3"/>
  </rowFields>
  <rowItems count="9">
    <i>
      <x v="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</rowItems>
  <colItems count="1">
    <i/>
  </colItems>
  <dataFields count="1">
    <dataField name="Soma de Valor" fld="5" baseField="0" baseItem="0"/>
  </dataFields>
  <chartFormats count="2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923C3B-FCA0-49A3-864D-E8FB73D7A5CD}" name="Tabela dinâmica12" cacheId="5" applyNumberFormats="0" applyBorderFormats="0" applyFontFormats="0" applyPatternFormats="0" applyAlignmentFormats="0" applyWidthHeightFormats="1" dataCaption="Valores" updatedVersion="6" minRefreshableVersion="3" useAutoFormatting="1" rowGrandTotals="0" colGrandTotals="0" itemPrintTitles="1" createdVersion="6" indent="0" outline="1" outlineData="1" multipleFieldFilters="0" chartFormat="15">
  <location ref="X4:X5" firstHeaderRow="1" firstDataRow="1" firstDataCol="1"/>
  <pivotFields count="6">
    <pivotField axis="axisRow" showAll="0">
      <items count="7">
        <item h="1" x="0"/>
        <item x="4"/>
        <item h="1" x="2"/>
        <item h="1" x="3"/>
        <item h="1" x="1"/>
        <item h="1" x="5"/>
        <item t="default"/>
      </items>
    </pivotField>
    <pivotField showAll="0"/>
    <pivotField showAll="0"/>
    <pivotField showAll="0"/>
    <pivotField showAll="0"/>
    <pivotField showAll="0"/>
  </pivotFields>
  <rowFields count="1">
    <field x="0"/>
  </rowFields>
  <rowItems count="1">
    <i>
      <x v="1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8869B7-28B3-44C1-B253-6606D18C98CF}" name="ROSCA 2" cacheId="5" applyNumberFormats="0" applyBorderFormats="0" applyFontFormats="0" applyPatternFormats="0" applyAlignmentFormats="0" applyWidthHeightFormats="1" dataCaption="Valores" updatedVersion="6" minRefreshableVersion="3" useAutoFormatting="1" rowGrandTotals="0" colGrandTotals="0" itemPrintTitles="1" createdVersion="6" indent="0" outline="1" outlineData="1" multipleFieldFilters="0" chartFormat="15">
  <location ref="U4:V7" firstHeaderRow="1" firstDataRow="1" firstDataCol="1"/>
  <pivotFields count="6">
    <pivotField showAll="0">
      <items count="7">
        <item h="1" x="0"/>
        <item x="4"/>
        <item h="1" x="5"/>
        <item h="1" x="2"/>
        <item h="1" x="3"/>
        <item h="1" x="1"/>
        <item t="default"/>
      </items>
    </pivotField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dataField="1" showAll="0"/>
  </pivotFields>
  <rowFields count="1">
    <field x="2"/>
  </rowFields>
  <rowItems count="3">
    <i>
      <x/>
    </i>
    <i>
      <x v="1"/>
    </i>
    <i>
      <x v="2"/>
    </i>
  </rowItems>
  <colItems count="1">
    <i/>
  </colItems>
  <dataFields count="1">
    <dataField name="Soma de Valor" fld="5" baseField="0" baseItem="0"/>
  </dataFields>
  <chartFormats count="5">
    <chartFormat chart="11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4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4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04081A-E2C7-4CF6-8B6E-B377351936E9}" name="Tabela dinâmica6" cacheId="5" applyNumberFormats="0" applyBorderFormats="0" applyFontFormats="0" applyPatternFormats="0" applyAlignmentFormats="0" applyWidthHeightFormats="1" dataCaption="Valores" updatedVersion="6" minRefreshableVersion="3" useAutoFormatting="1" rowGrandTotals="0" colGrandTotals="0" itemPrintTitles="1" createdVersion="6" indent="0" outline="1" outlineData="1" multipleFieldFilters="0" chartFormat="7">
  <location ref="D3:D4" firstHeaderRow="1" firstDataRow="1" firstDataCol="1"/>
  <pivotFields count="6">
    <pivotField axis="axisRow" showAll="0">
      <items count="7">
        <item h="1" x="0"/>
        <item h="1" x="4"/>
        <item h="1" x="2"/>
        <item h="1" x="3"/>
        <item h="1" x="1"/>
        <item x="5"/>
        <item t="default"/>
      </items>
    </pivotField>
    <pivotField showAll="0"/>
    <pivotField showAll="0"/>
    <pivotField showAll="0"/>
    <pivotField showAll="0"/>
    <pivotField showAll="0"/>
  </pivotFields>
  <rowFields count="1">
    <field x="0"/>
  </rowFields>
  <rowItems count="1">
    <i>
      <x v="5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76E090-EB57-42B6-95DA-784BCECD4C07}" name="Tabela dinâmica10" cacheId="5" applyNumberFormats="0" applyBorderFormats="0" applyFontFormats="0" applyPatternFormats="0" applyAlignmentFormats="0" applyWidthHeightFormats="1" dataCaption="Valores" updatedVersion="6" minRefreshableVersion="3" useAutoFormatting="1" rowGrandTotals="0" colGrandTotals="0" itemPrintTitles="1" createdVersion="6" indent="0" outline="1" outlineData="1" multipleFieldFilters="0" chartFormat="12">
  <location ref="S4:S5" firstHeaderRow="1" firstDataRow="1" firstDataCol="1"/>
  <pivotFields count="6">
    <pivotField axis="axisRow" showAll="0">
      <items count="7">
        <item h="1" x="0"/>
        <item h="1" x="4"/>
        <item h="1" x="2"/>
        <item h="1" x="3"/>
        <item h="1" x="1"/>
        <item x="5"/>
        <item t="default"/>
      </items>
    </pivotField>
    <pivotField showAll="0"/>
    <pivotField showAll="0"/>
    <pivotField showAll="0"/>
    <pivotField showAll="0"/>
    <pivotField showAll="0"/>
  </pivotFields>
  <rowFields count="1">
    <field x="0"/>
  </rowFields>
  <rowItems count="1">
    <i>
      <x v="5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41C280-EE0E-4E62-9E53-6828D1D2F828}" name="Tabela dinâmica4" cacheId="5" applyNumberFormats="0" applyBorderFormats="0" applyFontFormats="0" applyPatternFormats="0" applyAlignmentFormats="0" applyWidthHeightFormats="1" dataCaption="Valores" updatedVersion="6" minRefreshableVersion="3" useAutoFormatting="1" rowGrandTotals="0" colGrandTotals="0" itemPrintTitles="1" createdVersion="6" indent="0" outline="1" outlineData="1" multipleFieldFilters="0" chartFormat="9">
  <location ref="A3:B11" firstHeaderRow="1" firstDataRow="1" firstDataCol="1"/>
  <pivotFields count="6">
    <pivotField showAll="0">
      <items count="7">
        <item h="1" x="0"/>
        <item h="1" x="4"/>
        <item x="5"/>
        <item h="1" x="2"/>
        <item h="1" x="3"/>
        <item h="1" x="1"/>
        <item t="default"/>
      </items>
    </pivotField>
    <pivotField showAll="0"/>
    <pivotField showAll="0"/>
    <pivotField axis="axisRow" showAll="0">
      <items count="9">
        <item x="0"/>
        <item x="5"/>
        <item x="3"/>
        <item x="6"/>
        <item x="7"/>
        <item x="2"/>
        <item x="4"/>
        <item x="1"/>
        <item t="default"/>
      </items>
    </pivotField>
    <pivotField showAll="0"/>
    <pivotField dataField="1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Items count="1">
    <i/>
  </colItems>
  <dataFields count="1">
    <dataField name="Soma de Valor" fld="5" baseField="0" baseItem="0"/>
  </dataFields>
  <chartFormats count="1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argo" xr10:uid="{FC00379B-0A94-4500-BA72-4C798C43556B}" sourceName="Cargo">
  <pivotTables>
    <pivotTable tabId="7" name="Tabela dinâmica4"/>
    <pivotTable tabId="7" name="Tabela dinâmica6"/>
  </pivotTables>
  <data>
    <tabular pivotCacheId="794047258">
      <items count="6">
        <i x="0"/>
        <i x="4"/>
        <i x="5" s="1"/>
        <i x="2"/>
        <i x="3"/>
        <i x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argo1" xr10:uid="{CE89C805-61DF-4D21-95E0-83F43CD3F4CC}" sourceName="Cargo">
  <pivotTables>
    <pivotTable tabId="7" name="Tabela dinâmica7"/>
    <pivotTable tabId="7" name="ROSCA 1"/>
    <pivotTable tabId="7" name="Tabela dinâmica10"/>
  </pivotTables>
  <data>
    <tabular pivotCacheId="794047258">
      <items count="6">
        <i x="0"/>
        <i x="4"/>
        <i x="5" s="1"/>
        <i x="2"/>
        <i x="3"/>
        <i x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argo2" xr10:uid="{721C4FF7-736F-46E7-9E9F-C7AADED901BA}" sourceName="Cargo">
  <pivotTables>
    <pivotTable tabId="7" name="Tabela dinâmica8"/>
    <pivotTable tabId="7" name="ROSCA 2"/>
    <pivotTable tabId="7" name="Tabela dinâmica12"/>
  </pivotTables>
  <data>
    <tabular pivotCacheId="794047258">
      <items count="6">
        <i x="0"/>
        <i x="4" s="1"/>
        <i x="5"/>
        <i x="2"/>
        <i x="3"/>
        <i x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rgo" xr10:uid="{316CD5B8-EAB4-436B-B3F1-D0F08C18BDEB}" cache="SegmentaçãodeDados_Cargo" caption="Cargo" showCaption="0" style="SlicerStyleDark1 2" rowHeight="241300"/>
  <slicer name="Cargo 1" xr10:uid="{6C63BCBF-6774-48FD-889F-4548115C60E5}" cache="SegmentaçãodeDados_Cargo1" caption="Cargo 2 " startItem="1" showCaption="0" style="SlicerStyleDark1 2" rowHeight="241300"/>
  <slicer name="Cargo 2" xr10:uid="{ADDC6334-846B-4CA4-BD69-86D37A6FD8FD}" cache="SegmentaçãodeDados_Cargo2" caption="Cargo 3 " showCaption="0" style="SlicerStyleDark1 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B3BE29-1EA1-42E5-B1E2-6CFBD2368D41}" name="Tabela1" displayName="Tabela1" ref="A1:F49" totalsRowShown="0" headerRowDxfId="22" headerRowBorderDxfId="21" tableBorderDxfId="20" totalsRowBorderDxfId="19">
  <tableColumns count="6">
    <tableColumn id="1" xr3:uid="{7CD304CA-9169-47F1-A1D8-B2BC1A574D8F}" name="Cargo" dataDxfId="18"/>
    <tableColumn id="2" xr3:uid="{A538C897-3DE0-405B-A2C4-320D7AA6AB06}" name="Área / Departamento" dataDxfId="17"/>
    <tableColumn id="3" xr3:uid="{CCB0DC48-3ECA-497A-9E55-9B966C569E96}" name="Tipo de Competência" dataDxfId="16"/>
    <tableColumn id="4" xr3:uid="{57912DE5-5C86-4E0E-9E4A-FE4BDA6E1652}" name="Competências" dataDxfId="15"/>
    <tableColumn id="5" xr3:uid="{79872AE5-380E-4204-A3AA-355C9352BB5D}" name="Pesos" dataDxfId="14"/>
    <tableColumn id="6" xr3:uid="{E00D9B31-5985-4C7F-B4BC-A8550CC319E4}" name="Valor" dataDxfId="13">
      <calculatedColumnFormula>VLOOKUP(Tabela1[[#This Row],[Pesos]],Tabela3[#All],2,FALSE)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BBB06DF-FCF0-4265-9D2B-506D330661B4}" name="Tabela2" displayName="Tabela2" ref="A1:B9" totalsRowShown="0" headerRowDxfId="5" headerRowBorderDxfId="3" tableBorderDxfId="4" totalsRowBorderDxfId="2">
  <tableColumns count="2">
    <tableColumn id="3" xr3:uid="{8177B0E3-DA5F-41A4-A51E-23066039424E}" name="Tipo de Competência" dataDxfId="1"/>
    <tableColumn id="1" xr3:uid="{430CF9FE-5083-4956-8124-D5812B484901}" name="Competências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2BAEB33-56FC-46F2-8FFD-D89E458F3464}" name="Tabela3" displayName="Tabela3" ref="D1:E6" totalsRowShown="0" headerRowDxfId="12" dataDxfId="10" headerRowBorderDxfId="11" tableBorderDxfId="9" totalsRowBorderDxfId="8">
  <tableColumns count="2">
    <tableColumn id="1" xr3:uid="{99730B40-F9F9-49B6-A879-9D7EAEFB249B}" name="Peso" dataDxfId="7"/>
    <tableColumn id="2" xr3:uid="{2459267E-BDBE-47CD-AA33-372B03A1E936}" name="Valor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D6B84-73C2-4763-AD1F-A4EFB79DF7D6}">
  <dimension ref="A1:F49"/>
  <sheetViews>
    <sheetView workbookViewId="0">
      <pane ySplit="1" topLeftCell="A35" activePane="bottomLeft" state="frozen"/>
      <selection pane="bottomLeft" activeCell="H43" sqref="H43"/>
    </sheetView>
  </sheetViews>
  <sheetFormatPr defaultRowHeight="15" x14ac:dyDescent="0.25"/>
  <cols>
    <col min="1" max="1" width="20.7109375" bestFit="1" customWidth="1"/>
    <col min="2" max="3" width="21.85546875" customWidth="1"/>
    <col min="4" max="4" width="18.85546875" bestFit="1" customWidth="1"/>
    <col min="5" max="5" width="20" bestFit="1" customWidth="1"/>
    <col min="6" max="6" width="16.42578125" customWidth="1"/>
  </cols>
  <sheetData>
    <row r="1" spans="1:6" x14ac:dyDescent="0.25">
      <c r="A1" s="12" t="s">
        <v>3</v>
      </c>
      <c r="B1" s="18" t="s">
        <v>6</v>
      </c>
      <c r="C1" s="18" t="s">
        <v>14</v>
      </c>
      <c r="D1" s="18" t="s">
        <v>15</v>
      </c>
      <c r="E1" s="18" t="s">
        <v>16</v>
      </c>
      <c r="F1" s="13" t="s">
        <v>5</v>
      </c>
    </row>
    <row r="2" spans="1:6" x14ac:dyDescent="0.25">
      <c r="A2" s="14" t="s">
        <v>7</v>
      </c>
      <c r="B2" s="1" t="s">
        <v>12</v>
      </c>
      <c r="C2" s="1" t="s">
        <v>17</v>
      </c>
      <c r="D2" s="15" t="s">
        <v>0</v>
      </c>
      <c r="E2" s="1" t="s">
        <v>25</v>
      </c>
      <c r="F2" s="19">
        <f>VLOOKUP(Tabela1[[#This Row],[Pesos]],Tabela3[#All],2,FALSE)</f>
        <v>10</v>
      </c>
    </row>
    <row r="3" spans="1:6" x14ac:dyDescent="0.25">
      <c r="A3" s="14" t="s">
        <v>7</v>
      </c>
      <c r="B3" s="1" t="s">
        <v>12</v>
      </c>
      <c r="C3" s="1" t="s">
        <v>17</v>
      </c>
      <c r="D3" s="15" t="s">
        <v>1</v>
      </c>
      <c r="E3" s="1" t="s">
        <v>26</v>
      </c>
      <c r="F3" s="19">
        <f>VLOOKUP(Tabela1[[#This Row],[Pesos]],Tabela3[#All],2,FALSE)</f>
        <v>7.5</v>
      </c>
    </row>
    <row r="4" spans="1:6" x14ac:dyDescent="0.25">
      <c r="A4" s="14" t="s">
        <v>7</v>
      </c>
      <c r="B4" s="1" t="s">
        <v>12</v>
      </c>
      <c r="C4" s="1" t="s">
        <v>17</v>
      </c>
      <c r="D4" s="15" t="s">
        <v>20</v>
      </c>
      <c r="E4" s="1" t="s">
        <v>27</v>
      </c>
      <c r="F4" s="19">
        <f>VLOOKUP(Tabela1[[#This Row],[Pesos]],Tabela3[#All],2,FALSE)</f>
        <v>5</v>
      </c>
    </row>
    <row r="5" spans="1:6" x14ac:dyDescent="0.25">
      <c r="A5" s="14" t="s">
        <v>7</v>
      </c>
      <c r="B5" s="1" t="s">
        <v>12</v>
      </c>
      <c r="C5" s="1" t="s">
        <v>18</v>
      </c>
      <c r="D5" s="15" t="s">
        <v>21</v>
      </c>
      <c r="E5" s="1" t="s">
        <v>29</v>
      </c>
      <c r="F5" s="19">
        <f>VLOOKUP(Tabela1[[#This Row],[Pesos]],Tabela3[#All],2,FALSE)</f>
        <v>2.5</v>
      </c>
    </row>
    <row r="6" spans="1:6" x14ac:dyDescent="0.25">
      <c r="A6" s="14" t="s">
        <v>7</v>
      </c>
      <c r="B6" s="1" t="s">
        <v>12</v>
      </c>
      <c r="C6" s="1" t="s">
        <v>18</v>
      </c>
      <c r="D6" s="15" t="s">
        <v>22</v>
      </c>
      <c r="E6" s="1" t="s">
        <v>28</v>
      </c>
      <c r="F6" s="19">
        <f>VLOOKUP(Tabela1[[#This Row],[Pesos]],Tabela3[#All],2,FALSE)</f>
        <v>1</v>
      </c>
    </row>
    <row r="7" spans="1:6" x14ac:dyDescent="0.25">
      <c r="A7" s="14" t="s">
        <v>7</v>
      </c>
      <c r="B7" s="1" t="s">
        <v>12</v>
      </c>
      <c r="C7" s="1" t="s">
        <v>19</v>
      </c>
      <c r="D7" s="15" t="s">
        <v>23</v>
      </c>
      <c r="E7" s="1" t="s">
        <v>26</v>
      </c>
      <c r="F7" s="19">
        <f>VLOOKUP(Tabela1[[#This Row],[Pesos]],Tabela3[#All],2,FALSE)</f>
        <v>7.5</v>
      </c>
    </row>
    <row r="8" spans="1:6" x14ac:dyDescent="0.25">
      <c r="A8" s="14" t="s">
        <v>7</v>
      </c>
      <c r="B8" s="1" t="s">
        <v>12</v>
      </c>
      <c r="C8" s="1" t="s">
        <v>19</v>
      </c>
      <c r="D8" s="15" t="s">
        <v>24</v>
      </c>
      <c r="E8" s="1" t="s">
        <v>29</v>
      </c>
      <c r="F8" s="19">
        <f>VLOOKUP(Tabela1[[#This Row],[Pesos]],Tabela3[#All],2,FALSE)</f>
        <v>2.5</v>
      </c>
    </row>
    <row r="9" spans="1:6" x14ac:dyDescent="0.25">
      <c r="A9" s="14" t="s">
        <v>7</v>
      </c>
      <c r="B9" s="1" t="s">
        <v>12</v>
      </c>
      <c r="C9" s="1" t="s">
        <v>19</v>
      </c>
      <c r="D9" s="15" t="s">
        <v>2</v>
      </c>
      <c r="E9" s="1" t="s">
        <v>26</v>
      </c>
      <c r="F9" s="19">
        <f>VLOOKUP(Tabela1[[#This Row],[Pesos]],Tabela3[#All],2,FALSE)</f>
        <v>7.5</v>
      </c>
    </row>
    <row r="10" spans="1:6" x14ac:dyDescent="0.25">
      <c r="A10" s="20" t="s">
        <v>8</v>
      </c>
      <c r="B10" s="1" t="s">
        <v>12</v>
      </c>
      <c r="C10" s="1" t="s">
        <v>17</v>
      </c>
      <c r="D10" s="15" t="s">
        <v>0</v>
      </c>
      <c r="E10" s="1" t="s">
        <v>25</v>
      </c>
      <c r="F10" s="21">
        <f>VLOOKUP(Tabela1[[#This Row],[Pesos]],Tabela3[#All],2,FALSE)</f>
        <v>10</v>
      </c>
    </row>
    <row r="11" spans="1:6" x14ac:dyDescent="0.25">
      <c r="A11" s="20" t="s">
        <v>8</v>
      </c>
      <c r="B11" s="1" t="s">
        <v>12</v>
      </c>
      <c r="C11" s="1" t="s">
        <v>17</v>
      </c>
      <c r="D11" s="15" t="s">
        <v>1</v>
      </c>
      <c r="E11" s="1" t="s">
        <v>25</v>
      </c>
      <c r="F11" s="21">
        <f>VLOOKUP(Tabela1[[#This Row],[Pesos]],Tabela3[#All],2,FALSE)</f>
        <v>10</v>
      </c>
    </row>
    <row r="12" spans="1:6" x14ac:dyDescent="0.25">
      <c r="A12" s="20" t="s">
        <v>8</v>
      </c>
      <c r="B12" s="1" t="s">
        <v>12</v>
      </c>
      <c r="C12" s="1" t="s">
        <v>17</v>
      </c>
      <c r="D12" s="15" t="s">
        <v>20</v>
      </c>
      <c r="E12" s="1" t="s">
        <v>25</v>
      </c>
      <c r="F12" s="21">
        <f>VLOOKUP(Tabela1[[#This Row],[Pesos]],Tabela3[#All],2,FALSE)</f>
        <v>10</v>
      </c>
    </row>
    <row r="13" spans="1:6" x14ac:dyDescent="0.25">
      <c r="A13" s="20" t="s">
        <v>8</v>
      </c>
      <c r="B13" s="1" t="s">
        <v>12</v>
      </c>
      <c r="C13" s="1" t="s">
        <v>18</v>
      </c>
      <c r="D13" s="15" t="s">
        <v>21</v>
      </c>
      <c r="E13" s="1" t="s">
        <v>25</v>
      </c>
      <c r="F13" s="21">
        <f>VLOOKUP(Tabela1[[#This Row],[Pesos]],Tabela3[#All],2,FALSE)</f>
        <v>10</v>
      </c>
    </row>
    <row r="14" spans="1:6" x14ac:dyDescent="0.25">
      <c r="A14" s="20" t="s">
        <v>8</v>
      </c>
      <c r="B14" s="1" t="s">
        <v>12</v>
      </c>
      <c r="C14" s="1" t="s">
        <v>18</v>
      </c>
      <c r="D14" s="15" t="s">
        <v>22</v>
      </c>
      <c r="E14" s="1" t="s">
        <v>25</v>
      </c>
      <c r="F14" s="21">
        <f>VLOOKUP(Tabela1[[#This Row],[Pesos]],Tabela3[#All],2,FALSE)</f>
        <v>10</v>
      </c>
    </row>
    <row r="15" spans="1:6" x14ac:dyDescent="0.25">
      <c r="A15" s="20" t="s">
        <v>8</v>
      </c>
      <c r="B15" s="1" t="s">
        <v>12</v>
      </c>
      <c r="C15" s="1" t="s">
        <v>19</v>
      </c>
      <c r="D15" s="15" t="s">
        <v>23</v>
      </c>
      <c r="E15" s="1" t="s">
        <v>25</v>
      </c>
      <c r="F15" s="21">
        <f>VLOOKUP(Tabela1[[#This Row],[Pesos]],Tabela3[#All],2,FALSE)</f>
        <v>10</v>
      </c>
    </row>
    <row r="16" spans="1:6" x14ac:dyDescent="0.25">
      <c r="A16" s="20" t="s">
        <v>8</v>
      </c>
      <c r="B16" s="1" t="s">
        <v>12</v>
      </c>
      <c r="C16" s="1" t="s">
        <v>19</v>
      </c>
      <c r="D16" s="15" t="s">
        <v>24</v>
      </c>
      <c r="E16" s="1" t="s">
        <v>25</v>
      </c>
      <c r="F16" s="21">
        <f>VLOOKUP(Tabela1[[#This Row],[Pesos]],Tabela3[#All],2,FALSE)</f>
        <v>10</v>
      </c>
    </row>
    <row r="17" spans="1:6" x14ac:dyDescent="0.25">
      <c r="A17" s="22" t="s">
        <v>8</v>
      </c>
      <c r="B17" s="16" t="s">
        <v>12</v>
      </c>
      <c r="C17" s="16" t="s">
        <v>19</v>
      </c>
      <c r="D17" s="17" t="s">
        <v>2</v>
      </c>
      <c r="E17" s="16" t="s">
        <v>26</v>
      </c>
      <c r="F17" s="23">
        <f>VLOOKUP(Tabela1[[#This Row],[Pesos]],Tabela3[#All],2,FALSE)</f>
        <v>7.5</v>
      </c>
    </row>
    <row r="18" spans="1:6" x14ac:dyDescent="0.25">
      <c r="A18" s="22" t="s">
        <v>9</v>
      </c>
      <c r="B18" s="16" t="s">
        <v>12</v>
      </c>
      <c r="C18" s="1" t="s">
        <v>17</v>
      </c>
      <c r="D18" s="15" t="s">
        <v>0</v>
      </c>
      <c r="E18" s="16" t="s">
        <v>25</v>
      </c>
      <c r="F18" s="23">
        <f>VLOOKUP(Tabela1[[#This Row],[Pesos]],Tabela3[#All],2,FALSE)</f>
        <v>10</v>
      </c>
    </row>
    <row r="19" spans="1:6" x14ac:dyDescent="0.25">
      <c r="A19" s="22" t="s">
        <v>9</v>
      </c>
      <c r="B19" s="16" t="s">
        <v>12</v>
      </c>
      <c r="C19" s="1" t="s">
        <v>17</v>
      </c>
      <c r="D19" s="15" t="s">
        <v>1</v>
      </c>
      <c r="E19" s="1" t="s">
        <v>25</v>
      </c>
      <c r="F19" s="21">
        <f>VLOOKUP(Tabela1[[#This Row],[Pesos]],Tabela3[#All],2,FALSE)</f>
        <v>10</v>
      </c>
    </row>
    <row r="20" spans="1:6" x14ac:dyDescent="0.25">
      <c r="A20" s="22" t="s">
        <v>9</v>
      </c>
      <c r="B20" s="16" t="s">
        <v>12</v>
      </c>
      <c r="C20" s="1" t="s">
        <v>17</v>
      </c>
      <c r="D20" s="15" t="s">
        <v>20</v>
      </c>
      <c r="E20" s="1" t="s">
        <v>25</v>
      </c>
      <c r="F20" s="21">
        <f>VLOOKUP(Tabela1[[#This Row],[Pesos]],Tabela3[#All],2,FALSE)</f>
        <v>10</v>
      </c>
    </row>
    <row r="21" spans="1:6" x14ac:dyDescent="0.25">
      <c r="A21" s="22" t="s">
        <v>9</v>
      </c>
      <c r="B21" s="16" t="s">
        <v>12</v>
      </c>
      <c r="C21" s="1" t="s">
        <v>18</v>
      </c>
      <c r="D21" s="15" t="s">
        <v>21</v>
      </c>
      <c r="E21" s="1" t="s">
        <v>25</v>
      </c>
      <c r="F21" s="21">
        <f>VLOOKUP(Tabela1[[#This Row],[Pesos]],Tabela3[#All],2,FALSE)</f>
        <v>10</v>
      </c>
    </row>
    <row r="22" spans="1:6" x14ac:dyDescent="0.25">
      <c r="A22" s="22" t="s">
        <v>9</v>
      </c>
      <c r="B22" s="16" t="s">
        <v>12</v>
      </c>
      <c r="C22" s="1" t="s">
        <v>18</v>
      </c>
      <c r="D22" s="15" t="s">
        <v>22</v>
      </c>
      <c r="E22" s="1" t="s">
        <v>25</v>
      </c>
      <c r="F22" s="21">
        <f>VLOOKUP(Tabela1[[#This Row],[Pesos]],Tabela3[#All],2,FALSE)</f>
        <v>10</v>
      </c>
    </row>
    <row r="23" spans="1:6" x14ac:dyDescent="0.25">
      <c r="A23" s="22" t="s">
        <v>9</v>
      </c>
      <c r="B23" s="16" t="s">
        <v>12</v>
      </c>
      <c r="C23" s="1" t="s">
        <v>19</v>
      </c>
      <c r="D23" s="15" t="s">
        <v>23</v>
      </c>
      <c r="E23" s="1" t="s">
        <v>25</v>
      </c>
      <c r="F23" s="21">
        <f>VLOOKUP(Tabela1[[#This Row],[Pesos]],Tabela3[#All],2,FALSE)</f>
        <v>10</v>
      </c>
    </row>
    <row r="24" spans="1:6" x14ac:dyDescent="0.25">
      <c r="A24" s="22" t="s">
        <v>9</v>
      </c>
      <c r="B24" s="16" t="s">
        <v>12</v>
      </c>
      <c r="C24" s="1" t="s">
        <v>19</v>
      </c>
      <c r="D24" s="15" t="s">
        <v>24</v>
      </c>
      <c r="E24" s="1" t="s">
        <v>25</v>
      </c>
      <c r="F24" s="21">
        <f>VLOOKUP(Tabela1[[#This Row],[Pesos]],Tabela3[#All],2,FALSE)</f>
        <v>10</v>
      </c>
    </row>
    <row r="25" spans="1:6" x14ac:dyDescent="0.25">
      <c r="A25" s="22" t="s">
        <v>9</v>
      </c>
      <c r="B25" s="16" t="s">
        <v>12</v>
      </c>
      <c r="C25" s="1" t="s">
        <v>19</v>
      </c>
      <c r="D25" s="15" t="s">
        <v>2</v>
      </c>
      <c r="E25" s="1" t="s">
        <v>25</v>
      </c>
      <c r="F25" s="21">
        <f>VLOOKUP(Tabela1[[#This Row],[Pesos]],Tabela3[#All],2,FALSE)</f>
        <v>10</v>
      </c>
    </row>
    <row r="26" spans="1:6" x14ac:dyDescent="0.25">
      <c r="A26" s="22" t="s">
        <v>10</v>
      </c>
      <c r="B26" s="16" t="s">
        <v>13</v>
      </c>
      <c r="C26" s="1" t="s">
        <v>17</v>
      </c>
      <c r="D26" s="15" t="s">
        <v>0</v>
      </c>
      <c r="E26" s="16" t="s">
        <v>25</v>
      </c>
      <c r="F26" s="23">
        <f>VLOOKUP(Tabela1[[#This Row],[Pesos]],Tabela3[#All],2,FALSE)</f>
        <v>10</v>
      </c>
    </row>
    <row r="27" spans="1:6" x14ac:dyDescent="0.25">
      <c r="A27" s="22" t="s">
        <v>10</v>
      </c>
      <c r="B27" s="16" t="s">
        <v>13</v>
      </c>
      <c r="C27" s="1" t="s">
        <v>17</v>
      </c>
      <c r="D27" s="15" t="s">
        <v>1</v>
      </c>
      <c r="E27" s="1" t="s">
        <v>25</v>
      </c>
      <c r="F27" s="21">
        <f>VLOOKUP(Tabela1[[#This Row],[Pesos]],Tabela3[#All],2,FALSE)</f>
        <v>10</v>
      </c>
    </row>
    <row r="28" spans="1:6" x14ac:dyDescent="0.25">
      <c r="A28" s="22" t="s">
        <v>10</v>
      </c>
      <c r="B28" s="16" t="s">
        <v>13</v>
      </c>
      <c r="C28" s="1" t="s">
        <v>17</v>
      </c>
      <c r="D28" s="15" t="s">
        <v>20</v>
      </c>
      <c r="E28" s="1" t="s">
        <v>26</v>
      </c>
      <c r="F28" s="21">
        <f>VLOOKUP(Tabela1[[#This Row],[Pesos]],Tabela3[#All],2,FALSE)</f>
        <v>7.5</v>
      </c>
    </row>
    <row r="29" spans="1:6" x14ac:dyDescent="0.25">
      <c r="A29" s="22" t="s">
        <v>10</v>
      </c>
      <c r="B29" s="16" t="s">
        <v>13</v>
      </c>
      <c r="C29" s="1" t="s">
        <v>18</v>
      </c>
      <c r="D29" s="15" t="s">
        <v>21</v>
      </c>
      <c r="E29" s="1" t="s">
        <v>28</v>
      </c>
      <c r="F29" s="21">
        <f>VLOOKUP(Tabela1[[#This Row],[Pesos]],Tabela3[#All],2,FALSE)</f>
        <v>1</v>
      </c>
    </row>
    <row r="30" spans="1:6" x14ac:dyDescent="0.25">
      <c r="A30" s="22" t="s">
        <v>10</v>
      </c>
      <c r="B30" s="16" t="s">
        <v>13</v>
      </c>
      <c r="C30" s="1" t="s">
        <v>18</v>
      </c>
      <c r="D30" s="15" t="s">
        <v>22</v>
      </c>
      <c r="E30" s="1" t="s">
        <v>28</v>
      </c>
      <c r="F30" s="21">
        <f>VLOOKUP(Tabela1[[#This Row],[Pesos]],Tabela3[#All],2,FALSE)</f>
        <v>1</v>
      </c>
    </row>
    <row r="31" spans="1:6" x14ac:dyDescent="0.25">
      <c r="A31" s="22" t="s">
        <v>10</v>
      </c>
      <c r="B31" s="16" t="s">
        <v>13</v>
      </c>
      <c r="C31" s="1" t="s">
        <v>19</v>
      </c>
      <c r="D31" s="15" t="s">
        <v>23</v>
      </c>
      <c r="E31" s="1" t="s">
        <v>29</v>
      </c>
      <c r="F31" s="21">
        <f>VLOOKUP(Tabela1[[#This Row],[Pesos]],Tabela3[#All],2,FALSE)</f>
        <v>2.5</v>
      </c>
    </row>
    <row r="32" spans="1:6" x14ac:dyDescent="0.25">
      <c r="A32" s="22" t="s">
        <v>10</v>
      </c>
      <c r="B32" s="16" t="s">
        <v>13</v>
      </c>
      <c r="C32" s="1" t="s">
        <v>19</v>
      </c>
      <c r="D32" s="15" t="s">
        <v>24</v>
      </c>
      <c r="E32" s="1" t="s">
        <v>25</v>
      </c>
      <c r="F32" s="21">
        <f>VLOOKUP(Tabela1[[#This Row],[Pesos]],Tabela3[#All],2,FALSE)</f>
        <v>10</v>
      </c>
    </row>
    <row r="33" spans="1:6" x14ac:dyDescent="0.25">
      <c r="A33" s="22" t="s">
        <v>10</v>
      </c>
      <c r="B33" s="16" t="s">
        <v>13</v>
      </c>
      <c r="C33" s="1" t="s">
        <v>19</v>
      </c>
      <c r="D33" s="15" t="s">
        <v>2</v>
      </c>
      <c r="E33" s="1" t="s">
        <v>27</v>
      </c>
      <c r="F33" s="21">
        <f>VLOOKUP(Tabela1[[#This Row],[Pesos]],Tabela3[#All],2,FALSE)</f>
        <v>5</v>
      </c>
    </row>
    <row r="34" spans="1:6" x14ac:dyDescent="0.25">
      <c r="A34" s="22" t="s">
        <v>11</v>
      </c>
      <c r="B34" s="16" t="s">
        <v>13</v>
      </c>
      <c r="C34" s="1" t="s">
        <v>17</v>
      </c>
      <c r="D34" s="15" t="s">
        <v>0</v>
      </c>
      <c r="E34" s="16" t="s">
        <v>26</v>
      </c>
      <c r="F34" s="23">
        <f>VLOOKUP(Tabela1[[#This Row],[Pesos]],Tabela3[#All],2,FALSE)</f>
        <v>7.5</v>
      </c>
    </row>
    <row r="35" spans="1:6" x14ac:dyDescent="0.25">
      <c r="A35" s="22" t="s">
        <v>11</v>
      </c>
      <c r="B35" s="16" t="s">
        <v>13</v>
      </c>
      <c r="C35" s="1" t="s">
        <v>17</v>
      </c>
      <c r="D35" s="15" t="s">
        <v>1</v>
      </c>
      <c r="E35" s="1" t="s">
        <v>26</v>
      </c>
      <c r="F35" s="21">
        <f>VLOOKUP(Tabela1[[#This Row],[Pesos]],Tabela3[#All],2,FALSE)</f>
        <v>7.5</v>
      </c>
    </row>
    <row r="36" spans="1:6" x14ac:dyDescent="0.25">
      <c r="A36" s="22" t="s">
        <v>11</v>
      </c>
      <c r="B36" s="16" t="s">
        <v>13</v>
      </c>
      <c r="C36" s="1" t="s">
        <v>17</v>
      </c>
      <c r="D36" s="15" t="s">
        <v>20</v>
      </c>
      <c r="E36" s="1" t="s">
        <v>26</v>
      </c>
      <c r="F36" s="21">
        <f>VLOOKUP(Tabela1[[#This Row],[Pesos]],Tabela3[#All],2,FALSE)</f>
        <v>7.5</v>
      </c>
    </row>
    <row r="37" spans="1:6" x14ac:dyDescent="0.25">
      <c r="A37" s="22" t="s">
        <v>11</v>
      </c>
      <c r="B37" s="16" t="s">
        <v>13</v>
      </c>
      <c r="C37" s="1" t="s">
        <v>18</v>
      </c>
      <c r="D37" s="15" t="s">
        <v>21</v>
      </c>
      <c r="E37" s="1" t="s">
        <v>28</v>
      </c>
      <c r="F37" s="21">
        <f>VLOOKUP(Tabela1[[#This Row],[Pesos]],Tabela3[#All],2,FALSE)</f>
        <v>1</v>
      </c>
    </row>
    <row r="38" spans="1:6" x14ac:dyDescent="0.25">
      <c r="A38" s="22" t="s">
        <v>11</v>
      </c>
      <c r="B38" s="16" t="s">
        <v>13</v>
      </c>
      <c r="C38" s="1" t="s">
        <v>18</v>
      </c>
      <c r="D38" s="15" t="s">
        <v>22</v>
      </c>
      <c r="E38" s="1" t="s">
        <v>28</v>
      </c>
      <c r="F38" s="21">
        <f>VLOOKUP(Tabela1[[#This Row],[Pesos]],Tabela3[#All],2,FALSE)</f>
        <v>1</v>
      </c>
    </row>
    <row r="39" spans="1:6" x14ac:dyDescent="0.25">
      <c r="A39" s="22" t="s">
        <v>11</v>
      </c>
      <c r="B39" s="16" t="s">
        <v>13</v>
      </c>
      <c r="C39" s="1" t="s">
        <v>19</v>
      </c>
      <c r="D39" s="15" t="s">
        <v>23</v>
      </c>
      <c r="E39" s="1" t="s">
        <v>28</v>
      </c>
      <c r="F39" s="21">
        <f>VLOOKUP(Tabela1[[#This Row],[Pesos]],Tabela3[#All],2,FALSE)</f>
        <v>1</v>
      </c>
    </row>
    <row r="40" spans="1:6" x14ac:dyDescent="0.25">
      <c r="A40" s="22" t="s">
        <v>11</v>
      </c>
      <c r="B40" s="16" t="s">
        <v>13</v>
      </c>
      <c r="C40" s="1" t="s">
        <v>19</v>
      </c>
      <c r="D40" s="15" t="s">
        <v>24</v>
      </c>
      <c r="E40" s="1" t="s">
        <v>25</v>
      </c>
      <c r="F40" s="21">
        <f>VLOOKUP(Tabela1[[#This Row],[Pesos]],Tabela3[#All],2,FALSE)</f>
        <v>10</v>
      </c>
    </row>
    <row r="41" spans="1:6" x14ac:dyDescent="0.25">
      <c r="A41" s="22" t="s">
        <v>11</v>
      </c>
      <c r="B41" s="16" t="s">
        <v>13</v>
      </c>
      <c r="C41" s="1" t="s">
        <v>19</v>
      </c>
      <c r="D41" s="15" t="s">
        <v>2</v>
      </c>
      <c r="E41" s="1" t="s">
        <v>25</v>
      </c>
      <c r="F41" s="21">
        <f>VLOOKUP(Tabela1[[#This Row],[Pesos]],Tabela3[#All],2,FALSE)</f>
        <v>10</v>
      </c>
    </row>
    <row r="42" spans="1:6" x14ac:dyDescent="0.25">
      <c r="A42" s="31" t="s">
        <v>32</v>
      </c>
      <c r="B42" s="16" t="s">
        <v>13</v>
      </c>
      <c r="C42" s="26" t="s">
        <v>17</v>
      </c>
      <c r="D42" s="29" t="s">
        <v>0</v>
      </c>
      <c r="E42" s="16" t="s">
        <v>26</v>
      </c>
      <c r="F42" s="23">
        <f>VLOOKUP(Tabela1[[#This Row],[Pesos]],Tabela3[#All],2,FALSE)</f>
        <v>7.5</v>
      </c>
    </row>
    <row r="43" spans="1:6" x14ac:dyDescent="0.25">
      <c r="A43" s="31" t="s">
        <v>32</v>
      </c>
      <c r="B43" s="16" t="s">
        <v>13</v>
      </c>
      <c r="C43" s="25" t="s">
        <v>17</v>
      </c>
      <c r="D43" s="29" t="s">
        <v>1</v>
      </c>
      <c r="E43" s="1" t="s">
        <v>25</v>
      </c>
      <c r="F43" s="21">
        <f>VLOOKUP(Tabela1[[#This Row],[Pesos]],Tabela3[#All],2,FALSE)</f>
        <v>10</v>
      </c>
    </row>
    <row r="44" spans="1:6" x14ac:dyDescent="0.25">
      <c r="A44" s="31" t="s">
        <v>32</v>
      </c>
      <c r="B44" s="16" t="s">
        <v>13</v>
      </c>
      <c r="C44" s="24" t="s">
        <v>17</v>
      </c>
      <c r="D44" s="29" t="s">
        <v>20</v>
      </c>
      <c r="E44" s="1" t="s">
        <v>26</v>
      </c>
      <c r="F44" s="21">
        <f>VLOOKUP(Tabela1[[#This Row],[Pesos]],Tabela3[#All],2,FALSE)</f>
        <v>7.5</v>
      </c>
    </row>
    <row r="45" spans="1:6" x14ac:dyDescent="0.25">
      <c r="A45" s="31" t="s">
        <v>32</v>
      </c>
      <c r="B45" s="16" t="s">
        <v>13</v>
      </c>
      <c r="C45" s="25" t="s">
        <v>18</v>
      </c>
      <c r="D45" s="29" t="s">
        <v>21</v>
      </c>
      <c r="E45" s="1" t="s">
        <v>27</v>
      </c>
      <c r="F45" s="21">
        <f>VLOOKUP(Tabela1[[#This Row],[Pesos]],Tabela3[#All],2,FALSE)</f>
        <v>5</v>
      </c>
    </row>
    <row r="46" spans="1:6" x14ac:dyDescent="0.25">
      <c r="A46" s="31" t="s">
        <v>32</v>
      </c>
      <c r="B46" s="16" t="s">
        <v>13</v>
      </c>
      <c r="C46" s="24" t="s">
        <v>18</v>
      </c>
      <c r="D46" s="29" t="s">
        <v>22</v>
      </c>
      <c r="E46" s="1" t="s">
        <v>27</v>
      </c>
      <c r="F46" s="21">
        <f>VLOOKUP(Tabela1[[#This Row],[Pesos]],Tabela3[#All],2,FALSE)</f>
        <v>5</v>
      </c>
    </row>
    <row r="47" spans="1:6" x14ac:dyDescent="0.25">
      <c r="A47" s="31" t="s">
        <v>32</v>
      </c>
      <c r="B47" s="16" t="s">
        <v>13</v>
      </c>
      <c r="C47" s="25" t="s">
        <v>19</v>
      </c>
      <c r="D47" s="29" t="s">
        <v>23</v>
      </c>
      <c r="E47" s="1" t="s">
        <v>29</v>
      </c>
      <c r="F47" s="21">
        <f>VLOOKUP(Tabela1[[#This Row],[Pesos]],Tabela3[#All],2,FALSE)</f>
        <v>2.5</v>
      </c>
    </row>
    <row r="48" spans="1:6" x14ac:dyDescent="0.25">
      <c r="A48" s="31" t="s">
        <v>32</v>
      </c>
      <c r="B48" s="16" t="s">
        <v>13</v>
      </c>
      <c r="C48" s="24" t="s">
        <v>19</v>
      </c>
      <c r="D48" s="29" t="s">
        <v>24</v>
      </c>
      <c r="E48" s="1" t="s">
        <v>28</v>
      </c>
      <c r="F48" s="21">
        <f>VLOOKUP(Tabela1[[#This Row],[Pesos]],Tabela3[#All],2,FALSE)</f>
        <v>1</v>
      </c>
    </row>
    <row r="49" spans="1:6" x14ac:dyDescent="0.25">
      <c r="A49" s="31" t="s">
        <v>32</v>
      </c>
      <c r="B49" s="16" t="s">
        <v>13</v>
      </c>
      <c r="C49" s="27" t="s">
        <v>19</v>
      </c>
      <c r="D49" s="30" t="s">
        <v>2</v>
      </c>
      <c r="E49" s="1" t="s">
        <v>26</v>
      </c>
      <c r="F49" s="21">
        <f>VLOOKUP(Tabela1[[#This Row],[Pesos]],Tabela3[#All],2,FALSE)</f>
        <v>7.5</v>
      </c>
    </row>
  </sheetData>
  <dataValidations count="2">
    <dataValidation type="list" allowBlank="1" showInputMessage="1" showErrorMessage="1" sqref="C2:C49" xr:uid="{4D40F776-BBD9-4210-A44E-3B4B3691767A}">
      <formula1>"Comportamental,Técnica,Estratégica"</formula1>
    </dataValidation>
    <dataValidation type="list" allowBlank="1" showInputMessage="1" showErrorMessage="1" sqref="E2:E49" xr:uid="{BEFE72C7-53E1-422A-A2FC-FEDD5FCDBBF3}">
      <formula1>"Muito Importante,Importante,Importância Mediana,Pouco Importante,Sem Importância"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6AFBF-EEA6-4474-A129-E7960BE70DEF}">
  <dimension ref="A3:X12"/>
  <sheetViews>
    <sheetView workbookViewId="0">
      <selection activeCell="A5" sqref="A5"/>
    </sheetView>
  </sheetViews>
  <sheetFormatPr defaultRowHeight="15" x14ac:dyDescent="0.25"/>
  <cols>
    <col min="1" max="1" width="18.85546875" bestFit="1" customWidth="1"/>
    <col min="2" max="2" width="13.85546875" bestFit="1" customWidth="1"/>
    <col min="3" max="3" width="10.28515625" customWidth="1"/>
    <col min="4" max="4" width="18" bestFit="1" customWidth="1"/>
    <col min="5" max="5" width="10.7109375" customWidth="1"/>
    <col min="6" max="6" width="22.5703125" bestFit="1" customWidth="1"/>
    <col min="7" max="8" width="13.85546875" bestFit="1" customWidth="1"/>
    <col min="9" max="9" width="22.5703125" bestFit="1" customWidth="1"/>
    <col min="10" max="10" width="13.85546875" bestFit="1" customWidth="1"/>
    <col min="11" max="11" width="6.42578125" customWidth="1"/>
    <col min="12" max="12" width="18.85546875" bestFit="1" customWidth="1"/>
    <col min="13" max="13" width="15.28515625" bestFit="1" customWidth="1"/>
    <col min="14" max="14" width="20.5703125" bestFit="1" customWidth="1"/>
    <col min="15" max="15" width="16" bestFit="1" customWidth="1"/>
    <col min="16" max="16" width="18" bestFit="1" customWidth="1"/>
    <col min="17" max="17" width="13.85546875" bestFit="1" customWidth="1"/>
    <col min="18" max="18" width="17" bestFit="1" customWidth="1"/>
    <col min="19" max="19" width="18" bestFit="1" customWidth="1"/>
    <col min="21" max="21" width="18" bestFit="1" customWidth="1"/>
    <col min="22" max="22" width="13.85546875" bestFit="1" customWidth="1"/>
    <col min="24" max="24" width="18" bestFit="1" customWidth="1"/>
  </cols>
  <sheetData>
    <row r="3" spans="1:24" x14ac:dyDescent="0.25">
      <c r="A3" s="2" t="s">
        <v>4</v>
      </c>
      <c r="B3" t="s">
        <v>31</v>
      </c>
      <c r="D3" s="2" t="s">
        <v>4</v>
      </c>
      <c r="F3" s="2" t="s">
        <v>4</v>
      </c>
      <c r="G3" t="s">
        <v>31</v>
      </c>
      <c r="I3" s="2" t="s">
        <v>4</v>
      </c>
      <c r="J3" t="s">
        <v>31</v>
      </c>
    </row>
    <row r="4" spans="1:24" x14ac:dyDescent="0.25">
      <c r="A4" s="3" t="s">
        <v>0</v>
      </c>
      <c r="B4" s="4">
        <v>7.5</v>
      </c>
      <c r="D4" s="3" t="s">
        <v>32</v>
      </c>
      <c r="F4" s="3" t="s">
        <v>32</v>
      </c>
      <c r="G4" s="4">
        <v>46</v>
      </c>
      <c r="I4" s="3" t="s">
        <v>11</v>
      </c>
      <c r="J4" s="4">
        <v>45.5</v>
      </c>
      <c r="K4" s="2"/>
      <c r="L4" t="s">
        <v>15</v>
      </c>
      <c r="M4" t="str">
        <f>F4</f>
        <v>Aux RH</v>
      </c>
      <c r="N4" t="str">
        <f>I4</f>
        <v>Analista de RH</v>
      </c>
      <c r="P4" s="2" t="s">
        <v>4</v>
      </c>
      <c r="Q4" t="s">
        <v>31</v>
      </c>
      <c r="S4" s="2" t="s">
        <v>4</v>
      </c>
      <c r="U4" s="2" t="s">
        <v>4</v>
      </c>
      <c r="V4" t="s">
        <v>31</v>
      </c>
      <c r="X4" s="2" t="s">
        <v>4</v>
      </c>
    </row>
    <row r="5" spans="1:24" x14ac:dyDescent="0.25">
      <c r="A5" s="3" t="s">
        <v>23</v>
      </c>
      <c r="B5" s="4">
        <v>2.5</v>
      </c>
      <c r="F5" s="5" t="s">
        <v>0</v>
      </c>
      <c r="G5" s="4">
        <v>7.5</v>
      </c>
      <c r="I5" s="5" t="s">
        <v>0</v>
      </c>
      <c r="J5" s="4">
        <v>7.5</v>
      </c>
      <c r="L5" t="str">
        <f>I5</f>
        <v>Iniciativa</v>
      </c>
      <c r="M5">
        <f>G5</f>
        <v>7.5</v>
      </c>
      <c r="N5">
        <f>J5</f>
        <v>7.5</v>
      </c>
      <c r="P5" s="3" t="s">
        <v>17</v>
      </c>
      <c r="Q5" s="4">
        <v>25</v>
      </c>
      <c r="S5" s="3" t="s">
        <v>32</v>
      </c>
      <c r="U5" s="3" t="s">
        <v>17</v>
      </c>
      <c r="V5" s="4">
        <v>22.5</v>
      </c>
      <c r="X5" s="3" t="s">
        <v>11</v>
      </c>
    </row>
    <row r="6" spans="1:24" x14ac:dyDescent="0.25">
      <c r="A6" s="3" t="s">
        <v>21</v>
      </c>
      <c r="B6" s="4">
        <v>5</v>
      </c>
      <c r="F6" s="5" t="s">
        <v>23</v>
      </c>
      <c r="G6" s="4">
        <v>2.5</v>
      </c>
      <c r="I6" s="5" t="s">
        <v>23</v>
      </c>
      <c r="J6" s="4">
        <v>1</v>
      </c>
      <c r="L6" t="str">
        <f t="shared" ref="L6:L12" si="0">I6</f>
        <v>Liderança</v>
      </c>
      <c r="M6">
        <f t="shared" ref="M6:M12" si="1">G6</f>
        <v>2.5</v>
      </c>
      <c r="N6">
        <f t="shared" ref="N6:N12" si="2">J6</f>
        <v>1</v>
      </c>
      <c r="P6" s="3" t="s">
        <v>19</v>
      </c>
      <c r="Q6" s="4">
        <v>11</v>
      </c>
      <c r="U6" s="3" t="s">
        <v>19</v>
      </c>
      <c r="V6" s="4">
        <v>21</v>
      </c>
    </row>
    <row r="7" spans="1:24" x14ac:dyDescent="0.25">
      <c r="A7" s="3" t="s">
        <v>24</v>
      </c>
      <c r="B7" s="4">
        <v>1</v>
      </c>
      <c r="F7" s="5" t="s">
        <v>21</v>
      </c>
      <c r="G7" s="4">
        <v>5</v>
      </c>
      <c r="I7" s="5" t="s">
        <v>21</v>
      </c>
      <c r="J7" s="4">
        <v>1</v>
      </c>
      <c r="L7" t="str">
        <f t="shared" si="0"/>
        <v>Midias Sociais</v>
      </c>
      <c r="M7">
        <f t="shared" si="1"/>
        <v>5</v>
      </c>
      <c r="N7">
        <f t="shared" si="2"/>
        <v>1</v>
      </c>
      <c r="P7" s="3" t="s">
        <v>18</v>
      </c>
      <c r="Q7" s="4">
        <v>10</v>
      </c>
      <c r="U7" s="3" t="s">
        <v>18</v>
      </c>
      <c r="V7" s="4">
        <v>2</v>
      </c>
    </row>
    <row r="8" spans="1:24" x14ac:dyDescent="0.25">
      <c r="A8" s="3" t="s">
        <v>2</v>
      </c>
      <c r="B8" s="4">
        <v>7.5</v>
      </c>
      <c r="F8" s="5" t="s">
        <v>24</v>
      </c>
      <c r="G8" s="4">
        <v>1</v>
      </c>
      <c r="I8" s="5" t="s">
        <v>24</v>
      </c>
      <c r="J8" s="4">
        <v>10</v>
      </c>
      <c r="L8" t="str">
        <f t="shared" si="0"/>
        <v>Pensamento Futuro</v>
      </c>
      <c r="M8">
        <f t="shared" si="1"/>
        <v>1</v>
      </c>
      <c r="N8">
        <f t="shared" si="2"/>
        <v>10</v>
      </c>
    </row>
    <row r="9" spans="1:24" x14ac:dyDescent="0.25">
      <c r="A9" s="3" t="s">
        <v>20</v>
      </c>
      <c r="B9" s="4">
        <v>7.5</v>
      </c>
      <c r="F9" s="5" t="s">
        <v>2</v>
      </c>
      <c r="G9" s="4">
        <v>7.5</v>
      </c>
      <c r="I9" s="5" t="s">
        <v>2</v>
      </c>
      <c r="J9" s="4">
        <v>10</v>
      </c>
      <c r="L9" t="str">
        <f t="shared" si="0"/>
        <v>Planejamento</v>
      </c>
      <c r="M9">
        <f t="shared" si="1"/>
        <v>7.5</v>
      </c>
      <c r="N9">
        <f t="shared" si="2"/>
        <v>10</v>
      </c>
    </row>
    <row r="10" spans="1:24" x14ac:dyDescent="0.25">
      <c r="A10" s="3" t="s">
        <v>22</v>
      </c>
      <c r="B10" s="4">
        <v>5</v>
      </c>
      <c r="F10" s="5" t="s">
        <v>20</v>
      </c>
      <c r="G10" s="4">
        <v>7.5</v>
      </c>
      <c r="I10" s="5" t="s">
        <v>20</v>
      </c>
      <c r="J10" s="4">
        <v>7.5</v>
      </c>
      <c r="L10" t="str">
        <f t="shared" si="0"/>
        <v>Pontualidade</v>
      </c>
      <c r="M10">
        <f t="shared" si="1"/>
        <v>7.5</v>
      </c>
      <c r="N10">
        <f t="shared" si="2"/>
        <v>7.5</v>
      </c>
    </row>
    <row r="11" spans="1:24" x14ac:dyDescent="0.25">
      <c r="A11" s="3" t="s">
        <v>1</v>
      </c>
      <c r="B11" s="4">
        <v>10</v>
      </c>
      <c r="F11" s="5" t="s">
        <v>22</v>
      </c>
      <c r="G11" s="4">
        <v>5</v>
      </c>
      <c r="I11" s="5" t="s">
        <v>22</v>
      </c>
      <c r="J11" s="4">
        <v>1</v>
      </c>
      <c r="L11" t="str">
        <f t="shared" si="0"/>
        <v>Propaganda</v>
      </c>
      <c r="M11">
        <f t="shared" si="1"/>
        <v>5</v>
      </c>
      <c r="N11">
        <f t="shared" si="2"/>
        <v>1</v>
      </c>
    </row>
    <row r="12" spans="1:24" x14ac:dyDescent="0.25">
      <c r="F12" s="5" t="s">
        <v>1</v>
      </c>
      <c r="G12" s="4">
        <v>10</v>
      </c>
      <c r="I12" s="5" t="s">
        <v>1</v>
      </c>
      <c r="J12" s="4">
        <v>7.5</v>
      </c>
      <c r="L12" t="str">
        <f t="shared" si="0"/>
        <v>Trabalho em Equipe</v>
      </c>
      <c r="M12">
        <f t="shared" si="1"/>
        <v>10</v>
      </c>
      <c r="N12">
        <f t="shared" si="2"/>
        <v>7.5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C8229-7E03-4F7A-9FD0-3F56B2E57812}">
  <dimension ref="A1:E9"/>
  <sheetViews>
    <sheetView workbookViewId="0">
      <pane ySplit="1" topLeftCell="A2" activePane="bottomLeft" state="frozen"/>
      <selection pane="bottomLeft" activeCell="A2" sqref="A2:B9"/>
    </sheetView>
  </sheetViews>
  <sheetFormatPr defaultRowHeight="15" x14ac:dyDescent="0.25"/>
  <cols>
    <col min="1" max="1" width="20" bestFit="1" customWidth="1"/>
    <col min="2" max="2" width="18.85546875" bestFit="1" customWidth="1"/>
    <col min="4" max="4" width="20" bestFit="1" customWidth="1"/>
  </cols>
  <sheetData>
    <row r="1" spans="1:5" x14ac:dyDescent="0.25">
      <c r="A1" s="28" t="s">
        <v>14</v>
      </c>
      <c r="B1" s="12" t="s">
        <v>15</v>
      </c>
      <c r="D1" s="6" t="s">
        <v>30</v>
      </c>
      <c r="E1" s="7" t="s">
        <v>5</v>
      </c>
    </row>
    <row r="2" spans="1:5" x14ac:dyDescent="0.25">
      <c r="A2" s="26" t="s">
        <v>17</v>
      </c>
      <c r="B2" s="29" t="s">
        <v>0</v>
      </c>
      <c r="D2" s="8" t="s">
        <v>25</v>
      </c>
      <c r="E2" s="9">
        <v>10</v>
      </c>
    </row>
    <row r="3" spans="1:5" x14ac:dyDescent="0.25">
      <c r="A3" s="25" t="s">
        <v>17</v>
      </c>
      <c r="B3" s="29" t="s">
        <v>1</v>
      </c>
      <c r="D3" s="8" t="s">
        <v>26</v>
      </c>
      <c r="E3" s="9">
        <v>7.5</v>
      </c>
    </row>
    <row r="4" spans="1:5" x14ac:dyDescent="0.25">
      <c r="A4" s="24" t="s">
        <v>17</v>
      </c>
      <c r="B4" s="29" t="s">
        <v>20</v>
      </c>
      <c r="D4" s="8" t="s">
        <v>27</v>
      </c>
      <c r="E4" s="9">
        <v>5</v>
      </c>
    </row>
    <row r="5" spans="1:5" x14ac:dyDescent="0.25">
      <c r="A5" s="25" t="s">
        <v>18</v>
      </c>
      <c r="B5" s="29" t="s">
        <v>21</v>
      </c>
      <c r="D5" s="8" t="s">
        <v>29</v>
      </c>
      <c r="E5" s="9">
        <v>2.5</v>
      </c>
    </row>
    <row r="6" spans="1:5" x14ac:dyDescent="0.25">
      <c r="A6" s="24" t="s">
        <v>18</v>
      </c>
      <c r="B6" s="29" t="s">
        <v>22</v>
      </c>
      <c r="D6" s="10" t="s">
        <v>28</v>
      </c>
      <c r="E6" s="11">
        <v>1</v>
      </c>
    </row>
    <row r="7" spans="1:5" x14ac:dyDescent="0.25">
      <c r="A7" s="25" t="s">
        <v>19</v>
      </c>
      <c r="B7" s="29" t="s">
        <v>23</v>
      </c>
    </row>
    <row r="8" spans="1:5" x14ac:dyDescent="0.25">
      <c r="A8" s="24" t="s">
        <v>19</v>
      </c>
      <c r="B8" s="29" t="s">
        <v>24</v>
      </c>
    </row>
    <row r="9" spans="1:5" x14ac:dyDescent="0.25">
      <c r="A9" s="27" t="s">
        <v>19</v>
      </c>
      <c r="B9" s="30" t="s">
        <v>2</v>
      </c>
    </row>
  </sheetData>
  <dataValidations count="1">
    <dataValidation type="list" allowBlank="1" showInputMessage="1" showErrorMessage="1" sqref="A2:A9" xr:uid="{34310FF4-A41B-41FA-9537-BA41B98A1AD6}">
      <formula1>"Comportamental,Técnica,Estratégica"</formula1>
    </dataValidation>
  </dataValidations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9D38C-E4CF-46FB-84DE-0468748DB230}">
  <dimension ref="A1"/>
  <sheetViews>
    <sheetView showGridLines="0" showRowColHeaders="0" tabSelected="1" workbookViewId="0">
      <selection activeCell="U51" sqref="U51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BASE</vt:lpstr>
      <vt:lpstr>AUXILIAR</vt:lpstr>
      <vt:lpstr>COMPETÊNCIAS e PESOS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</dc:creator>
  <cp:lastModifiedBy>Matheus</cp:lastModifiedBy>
  <dcterms:created xsi:type="dcterms:W3CDTF">2020-01-01T16:45:40Z</dcterms:created>
  <dcterms:modified xsi:type="dcterms:W3CDTF">2020-01-01T20:48:40Z</dcterms:modified>
</cp:coreProperties>
</file>