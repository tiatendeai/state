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7485" yWindow="15" windowWidth="4830" windowHeight="5910" tabRatio="601" firstSheet="1" activeTab="1"/>
  </bookViews>
  <sheets>
    <sheet name="CAMINHÃO BI TREM" sheetId="1" r:id="rId1"/>
    <sheet name="CAMINHÃO TRUCK" sheetId="3" r:id="rId2"/>
    <sheet name="SENSIBILIDADE.CAMINHÃO" sheetId="2" r:id="rId3"/>
  </sheets>
  <definedNames>
    <definedName name="_xlnm.Print_Area" localSheetId="0">'CAMINHÃO BI TREM'!$A$1:$G$36</definedName>
    <definedName name="_xlnm.Print_Area" localSheetId="1">'CAMINHÃO TRUCK'!$A$1:$G$37</definedName>
    <definedName name="_xlnm.Print_Area" localSheetId="2">SENSIBILIDADE.CAMINHÃO!$A$1:$Q$43</definedName>
  </definedNames>
  <calcPr calcId="145621"/>
</workbook>
</file>

<file path=xl/calcChain.xml><?xml version="1.0" encoding="utf-8"?>
<calcChain xmlns="http://schemas.openxmlformats.org/spreadsheetml/2006/main">
  <c r="G22" i="3" l="1"/>
  <c r="G24" i="3" l="1"/>
  <c r="G8" i="3"/>
  <c r="C25" i="3"/>
  <c r="G25" i="3"/>
  <c r="G26" i="3"/>
  <c r="G23" i="3"/>
  <c r="G21" i="3"/>
  <c r="G20" i="3"/>
  <c r="G16" i="3"/>
  <c r="G14" i="3"/>
  <c r="G13" i="3"/>
  <c r="G12" i="3"/>
  <c r="G11" i="3"/>
  <c r="C9" i="3"/>
  <c r="G9" i="3"/>
  <c r="C7" i="3"/>
  <c r="G7" i="3" s="1"/>
  <c r="G6" i="3"/>
  <c r="C7" i="1"/>
  <c r="G7" i="1"/>
  <c r="C9" i="1"/>
  <c r="G9" i="1"/>
  <c r="G11" i="2"/>
  <c r="H11" i="2"/>
  <c r="G12" i="1"/>
  <c r="G11" i="1"/>
  <c r="C24" i="1"/>
  <c r="G25" i="1"/>
  <c r="G22" i="2"/>
  <c r="H22" i="2"/>
  <c r="G22" i="1"/>
  <c r="G21" i="1"/>
  <c r="G20" i="2"/>
  <c r="H20" i="2"/>
  <c r="G20" i="1"/>
  <c r="G19" i="2"/>
  <c r="H19" i="2"/>
  <c r="G19" i="1"/>
  <c r="G18" i="2"/>
  <c r="G24" i="1"/>
  <c r="G21" i="2"/>
  <c r="H21" i="2"/>
  <c r="G8" i="1"/>
  <c r="G10" i="2"/>
  <c r="H10" i="2"/>
  <c r="G6" i="1"/>
  <c r="G13" i="1"/>
  <c r="G13" i="2"/>
  <c r="H13" i="2"/>
  <c r="G10" i="1"/>
  <c r="G12" i="2"/>
  <c r="H12" i="2"/>
  <c r="G15" i="1"/>
  <c r="G14" i="2"/>
  <c r="H14" i="2"/>
  <c r="G25" i="2"/>
  <c r="G14" i="1"/>
  <c r="G16" i="1"/>
  <c r="G28" i="1"/>
  <c r="G23" i="2"/>
  <c r="D6" i="2"/>
  <c r="G9" i="2"/>
  <c r="H18" i="2"/>
  <c r="G26" i="1"/>
  <c r="G29" i="1"/>
  <c r="H9" i="2"/>
  <c r="G15" i="2"/>
  <c r="D5" i="2"/>
  <c r="I28" i="1"/>
  <c r="H28" i="1"/>
  <c r="G30" i="1"/>
  <c r="G37" i="1"/>
  <c r="I29" i="1"/>
  <c r="H29" i="1"/>
  <c r="H23" i="2"/>
  <c r="B24" i="2"/>
  <c r="C24" i="2"/>
  <c r="B22" i="2"/>
  <c r="C22" i="2"/>
  <c r="B25" i="2"/>
  <c r="C25" i="2"/>
  <c r="B19" i="2"/>
  <c r="C19" i="2"/>
  <c r="B15" i="2"/>
  <c r="C15" i="2"/>
  <c r="B16" i="2"/>
  <c r="C16" i="2"/>
  <c r="B14" i="2"/>
  <c r="C14" i="2"/>
  <c r="B20" i="2"/>
  <c r="C20" i="2"/>
  <c r="B13" i="2"/>
  <c r="C13" i="2"/>
  <c r="B23" i="2"/>
  <c r="C23" i="2"/>
  <c r="B17" i="2"/>
  <c r="C17" i="2"/>
  <c r="B18" i="2"/>
  <c r="C18" i="2"/>
  <c r="B21" i="2"/>
  <c r="C21" i="2"/>
  <c r="I25" i="2"/>
  <c r="I9" i="2"/>
  <c r="H15" i="2"/>
  <c r="H30" i="1"/>
  <c r="I27" i="2"/>
  <c r="I12" i="2"/>
  <c r="I20" i="2"/>
  <c r="I10" i="2"/>
  <c r="I15" i="2"/>
  <c r="I19" i="2"/>
  <c r="I14" i="2"/>
  <c r="I11" i="2"/>
  <c r="I22" i="2"/>
  <c r="I13" i="2"/>
  <c r="I21" i="2"/>
  <c r="I18" i="2"/>
  <c r="I23" i="2"/>
  <c r="G15" i="3" l="1"/>
  <c r="G17" i="3" s="1"/>
  <c r="G29" i="3" s="1"/>
  <c r="H29" i="3" s="1"/>
  <c r="G27" i="3"/>
  <c r="G30" i="3" s="1"/>
  <c r="H30" i="3" s="1"/>
  <c r="H31" i="3" l="1"/>
  <c r="I20" i="3" s="1"/>
  <c r="G31" i="3"/>
  <c r="G38" i="3" s="1"/>
  <c r="I30" i="3" l="1"/>
  <c r="I29" i="3"/>
</calcChain>
</file>

<file path=xl/sharedStrings.xml><?xml version="1.0" encoding="utf-8"?>
<sst xmlns="http://schemas.openxmlformats.org/spreadsheetml/2006/main" count="251" uniqueCount="109">
  <si>
    <t>Custos da empresa</t>
  </si>
  <si>
    <t>Dados do veículo</t>
  </si>
  <si>
    <t xml:space="preserve">Consumo de combustível </t>
  </si>
  <si>
    <t>$/ mês</t>
  </si>
  <si>
    <t>($/ mês)</t>
  </si>
  <si>
    <t>% a.a.</t>
  </si>
  <si>
    <t>Km/ litro</t>
  </si>
  <si>
    <t>Intervalo entre troca de óleo</t>
  </si>
  <si>
    <t>Km</t>
  </si>
  <si>
    <t>Litros de óleo por troca</t>
  </si>
  <si>
    <t>litro</t>
  </si>
  <si>
    <t>Número de pneus</t>
  </si>
  <si>
    <t>$/ Km</t>
  </si>
  <si>
    <t>Valor de aquisição do veículo</t>
  </si>
  <si>
    <t>Vida útil do veículo</t>
  </si>
  <si>
    <t>$</t>
  </si>
  <si>
    <t>meses</t>
  </si>
  <si>
    <t>Valor residual do veículo</t>
  </si>
  <si>
    <t xml:space="preserve">Intervalo entre lubrificações </t>
  </si>
  <si>
    <t>$/ litro</t>
  </si>
  <si>
    <t>Preço do combustível</t>
  </si>
  <si>
    <t>IPVA</t>
  </si>
  <si>
    <t>Seguro do veículo</t>
  </si>
  <si>
    <t>$/ ano</t>
  </si>
  <si>
    <t>Preço do pneu</t>
  </si>
  <si>
    <t>Itens de custo variável</t>
  </si>
  <si>
    <t>Encargos e benefícios do motorista</t>
  </si>
  <si>
    <t>Seguros</t>
  </si>
  <si>
    <t>Combustível</t>
  </si>
  <si>
    <t>Manutenção</t>
  </si>
  <si>
    <t>Depreciação</t>
  </si>
  <si>
    <t>Mão de obra</t>
  </si>
  <si>
    <t>Óleo</t>
  </si>
  <si>
    <t>Pneu</t>
  </si>
  <si>
    <t>Lubrificação</t>
  </si>
  <si>
    <t>Horas de trabalho/ mês</t>
  </si>
  <si>
    <t>Custos variáveis ($/ Km)</t>
  </si>
  <si>
    <t>Dados de mercado</t>
  </si>
  <si>
    <t>($/ Km)</t>
  </si>
  <si>
    <t xml:space="preserve">Custo </t>
  </si>
  <si>
    <t>(Km)</t>
  </si>
  <si>
    <t>($)</t>
  </si>
  <si>
    <t>Custo</t>
  </si>
  <si>
    <t>Distância</t>
  </si>
  <si>
    <t>($/ hora)</t>
  </si>
  <si>
    <t>($/ km)</t>
  </si>
  <si>
    <t xml:space="preserve">CF </t>
  </si>
  <si>
    <t>CV</t>
  </si>
  <si>
    <t>tempo de descarga</t>
  </si>
  <si>
    <t>(h)</t>
  </si>
  <si>
    <t>tempo de carga</t>
  </si>
  <si>
    <t>velocidade média</t>
  </si>
  <si>
    <t>(Km/ h)</t>
  </si>
  <si>
    <t>($/hora)</t>
  </si>
  <si>
    <t xml:space="preserve">Custos variáveis </t>
  </si>
  <si>
    <t>Custos fixos</t>
  </si>
  <si>
    <t>($/ rota)</t>
  </si>
  <si>
    <t>Itens de custo fixo</t>
  </si>
  <si>
    <t>Rota</t>
  </si>
  <si>
    <t>h.h./mês</t>
  </si>
  <si>
    <t>Remuneração de capital</t>
  </si>
  <si>
    <t>Remuneração de Capital</t>
  </si>
  <si>
    <t>Preço da lavagem e lubrificação</t>
  </si>
  <si>
    <t>Análise de sensibilidade</t>
  </si>
  <si>
    <t>Planilha de Frete</t>
  </si>
  <si>
    <t>Itens de custo</t>
  </si>
  <si>
    <t>Custo Total da Rota de</t>
  </si>
  <si>
    <t>Km:</t>
  </si>
  <si>
    <t>($/Km)</t>
  </si>
  <si>
    <t>(% rota)</t>
  </si>
  <si>
    <t>Preço da recapagem</t>
  </si>
  <si>
    <t>Custo administrativo</t>
  </si>
  <si>
    <t>VALOR DA CARGA:</t>
  </si>
  <si>
    <t>Intervalo entre troca de pneu ou recapagens</t>
  </si>
  <si>
    <t>Custo indiretos (salario patrao + contador)</t>
  </si>
  <si>
    <t>Número de recapagens</t>
  </si>
  <si>
    <t>Preço do óleo de motor</t>
  </si>
  <si>
    <t>Custos Indireto</t>
  </si>
  <si>
    <t>Custo Fixo Total</t>
  </si>
  <si>
    <t>Manutenção historica</t>
  </si>
  <si>
    <t>Manutencao mensal de auto eletrica + diversos</t>
  </si>
  <si>
    <t>Intervalo da manutencao mensal</t>
  </si>
  <si>
    <t>Custos fixos por km</t>
  </si>
  <si>
    <t>Km percorridos no mês</t>
  </si>
  <si>
    <t>quantidade de km</t>
  </si>
  <si>
    <t>Custo total por km</t>
  </si>
  <si>
    <t>Custos de revisao</t>
  </si>
  <si>
    <t>IPVA/Licenciamento</t>
  </si>
  <si>
    <t>Custo variável Total</t>
  </si>
  <si>
    <t>Custo Fixo</t>
  </si>
  <si>
    <t>KM</t>
  </si>
  <si>
    <t>%</t>
  </si>
  <si>
    <t>Taxa de oportunidade (retorno)</t>
  </si>
  <si>
    <t>Manutenção mensal</t>
  </si>
  <si>
    <t>Financiamento Bancário</t>
  </si>
  <si>
    <t>mês</t>
  </si>
  <si>
    <t>Financiamento</t>
  </si>
  <si>
    <t>Monitoramento via satélite</t>
  </si>
  <si>
    <t>Monitoramento</t>
  </si>
  <si>
    <t>Salário do motorista (piso sindicato)</t>
  </si>
  <si>
    <t>Salario (comissão)</t>
  </si>
  <si>
    <t>Receita de Frete no Mês</t>
  </si>
  <si>
    <t>Comissão do frete</t>
  </si>
  <si>
    <t>Salario + Encargos</t>
  </si>
  <si>
    <t>Resultado do Mês</t>
  </si>
  <si>
    <t>Valor de aquisição do veículo + furgao</t>
  </si>
  <si>
    <t>Valor do capital próprio do bem</t>
  </si>
  <si>
    <t>Pedágio</t>
  </si>
  <si>
    <t>Pedágio 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</si>
</sst>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_(&quot;$&quot;* #,##0.00_);_(&quot;$&quot;* \(#,##0.00\);_(&quot;$&quot;* &quot;-&quot;??_);_(@_)"/>
    <numFmt numFmtId="166" formatCode="_(* #,##0_);_(* \(#,##0\);_(* &quot;-&quot;??_);_(@_)"/>
    <numFmt numFmtId="167" formatCode="0.0%"/>
    <numFmt numFmtId="168" formatCode="0.000%"/>
  </numFmts>
  <fonts count="13" x14ac:knownFonts="1">
    <font>
      <sz val="10"/>
      <name val="Arial"/>
    </font>
    <font>
      <sz val="10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i/>
      <sz val="16"/>
      <name val="Arial"/>
      <family val="2"/>
    </font>
    <font>
      <sz val="10"/>
      <color indexed="9"/>
      <name val="Arial"/>
      <family val="2"/>
    </font>
    <font>
      <b/>
      <sz val="12"/>
      <name val="Arial"/>
      <family val="2"/>
    </font>
    <font>
      <b/>
      <i/>
      <sz val="14"/>
      <name val="Arial"/>
    </font>
    <font>
      <sz val="14"/>
      <name val="Arial"/>
    </font>
    <font>
      <b/>
      <sz val="14"/>
      <name val="Arial"/>
    </font>
    <font>
      <b/>
      <sz val="14"/>
      <color indexed="9"/>
      <name val="Arial"/>
    </font>
    <font>
      <sz val="14"/>
      <color indexed="5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0" fillId="2" borderId="0" xfId="0" applyFill="1"/>
    <xf numFmtId="0" fontId="0" fillId="3" borderId="0" xfId="0" applyFill="1"/>
    <xf numFmtId="1" fontId="0" fillId="4" borderId="0" xfId="0" applyNumberFormat="1" applyFill="1"/>
    <xf numFmtId="2" fontId="0" fillId="4" borderId="0" xfId="0" applyNumberFormat="1" applyFill="1"/>
    <xf numFmtId="0" fontId="0" fillId="3" borderId="0" xfId="0" applyFill="1" applyAlignment="1">
      <alignment horizontal="center"/>
    </xf>
    <xf numFmtId="0" fontId="4" fillId="3" borderId="0" xfId="0" applyFont="1" applyFill="1"/>
    <xf numFmtId="0" fontId="4" fillId="4" borderId="0" xfId="0" applyFont="1" applyFill="1" applyAlignment="1">
      <alignment horizontal="center"/>
    </xf>
    <xf numFmtId="0" fontId="3" fillId="2" borderId="0" xfId="0" applyFont="1" applyFill="1"/>
    <xf numFmtId="0" fontId="5" fillId="2" borderId="0" xfId="0" applyFont="1" applyFill="1"/>
    <xf numFmtId="0" fontId="3" fillId="2" borderId="0" xfId="0" applyFont="1" applyFill="1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center"/>
    </xf>
    <xf numFmtId="0" fontId="6" fillId="5" borderId="0" xfId="0" applyFont="1" applyFill="1" applyAlignment="1">
      <alignment horizontal="right"/>
    </xf>
    <xf numFmtId="0" fontId="6" fillId="5" borderId="0" xfId="0" applyFon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7" fillId="2" borderId="0" xfId="0" applyFont="1" applyFill="1" applyAlignment="1">
      <alignment horizontal="left"/>
    </xf>
    <xf numFmtId="0" fontId="0" fillId="3" borderId="1" xfId="0" applyFill="1" applyBorder="1"/>
    <xf numFmtId="9" fontId="0" fillId="6" borderId="0" xfId="2" applyFont="1" applyFill="1" applyAlignment="1">
      <alignment horizontal="center"/>
    </xf>
    <xf numFmtId="1" fontId="0" fillId="6" borderId="1" xfId="0" applyNumberFormat="1" applyFill="1" applyBorder="1" applyAlignment="1">
      <alignment horizontal="center"/>
    </xf>
    <xf numFmtId="9" fontId="0" fillId="6" borderId="1" xfId="2" applyFont="1" applyFill="1" applyBorder="1" applyAlignment="1">
      <alignment horizontal="center"/>
    </xf>
    <xf numFmtId="9" fontId="0" fillId="6" borderId="0" xfId="0" applyNumberFormat="1" applyFill="1" applyAlignment="1">
      <alignment horizontal="center"/>
    </xf>
    <xf numFmtId="2" fontId="2" fillId="5" borderId="0" xfId="1" applyNumberFormat="1" applyFont="1" applyFill="1" applyAlignment="1">
      <alignment horizontal="center"/>
    </xf>
    <xf numFmtId="2" fontId="0" fillId="6" borderId="1" xfId="0" applyNumberFormat="1" applyFill="1" applyBorder="1" applyAlignment="1">
      <alignment horizontal="center"/>
    </xf>
    <xf numFmtId="9" fontId="0" fillId="2" borderId="0" xfId="2" applyFont="1" applyFill="1"/>
    <xf numFmtId="164" fontId="0" fillId="2" borderId="0" xfId="3" applyFont="1" applyFill="1"/>
    <xf numFmtId="0" fontId="8" fillId="2" borderId="0" xfId="0" applyFont="1" applyFill="1" applyAlignment="1">
      <alignment horizontal="center"/>
    </xf>
    <xf numFmtId="0" fontId="9" fillId="2" borderId="0" xfId="0" applyFont="1" applyFill="1"/>
    <xf numFmtId="0" fontId="10" fillId="2" borderId="0" xfId="0" applyFont="1" applyFill="1"/>
    <xf numFmtId="0" fontId="11" fillId="5" borderId="0" xfId="0" applyFont="1" applyFill="1" applyAlignment="1">
      <alignment horizontal="left"/>
    </xf>
    <xf numFmtId="0" fontId="11" fillId="5" borderId="0" xfId="0" applyFont="1" applyFill="1" applyAlignment="1">
      <alignment horizontal="center"/>
    </xf>
    <xf numFmtId="0" fontId="12" fillId="3" borderId="0" xfId="0" applyFont="1" applyFill="1"/>
    <xf numFmtId="0" fontId="12" fillId="3" borderId="0" xfId="0" applyFont="1" applyFill="1" applyAlignment="1">
      <alignment horizontal="right"/>
    </xf>
    <xf numFmtId="2" fontId="9" fillId="4" borderId="0" xfId="0" applyNumberFormat="1" applyFont="1" applyFill="1" applyBorder="1"/>
    <xf numFmtId="0" fontId="9" fillId="4" borderId="0" xfId="0" applyFont="1" applyFill="1" applyBorder="1"/>
    <xf numFmtId="10" fontId="9" fillId="2" borderId="0" xfId="0" applyNumberFormat="1" applyFont="1" applyFill="1"/>
    <xf numFmtId="0" fontId="12" fillId="3" borderId="1" xfId="0" applyFont="1" applyFill="1" applyBorder="1"/>
    <xf numFmtId="0" fontId="12" fillId="3" borderId="1" xfId="0" applyFont="1" applyFill="1" applyBorder="1" applyAlignment="1">
      <alignment horizontal="right"/>
    </xf>
    <xf numFmtId="1" fontId="9" fillId="4" borderId="1" xfId="0" applyNumberFormat="1" applyFont="1" applyFill="1" applyBorder="1" applyAlignment="1">
      <alignment horizontal="center"/>
    </xf>
    <xf numFmtId="168" fontId="9" fillId="2" borderId="0" xfId="0" applyNumberFormat="1" applyFont="1" applyFill="1"/>
    <xf numFmtId="0" fontId="9" fillId="2" borderId="0" xfId="0" applyFont="1" applyFill="1" applyAlignment="1">
      <alignment horizontal="right"/>
    </xf>
    <xf numFmtId="2" fontId="9" fillId="4" borderId="0" xfId="0" applyNumberFormat="1" applyFont="1" applyFill="1"/>
    <xf numFmtId="1" fontId="9" fillId="4" borderId="0" xfId="0" applyNumberFormat="1" applyFont="1" applyFill="1"/>
    <xf numFmtId="0" fontId="9" fillId="4" borderId="0" xfId="0" applyFont="1" applyFill="1"/>
    <xf numFmtId="2" fontId="9" fillId="4" borderId="0" xfId="0" applyNumberFormat="1" applyFont="1" applyFill="1" applyAlignment="1">
      <alignment horizontal="center"/>
    </xf>
    <xf numFmtId="2" fontId="9" fillId="4" borderId="1" xfId="0" applyNumberFormat="1" applyFont="1" applyFill="1" applyBorder="1" applyAlignment="1">
      <alignment horizontal="center"/>
    </xf>
    <xf numFmtId="165" fontId="9" fillId="4" borderId="0" xfId="1" applyFont="1" applyFill="1" applyAlignment="1">
      <alignment horizontal="center"/>
    </xf>
    <xf numFmtId="165" fontId="9" fillId="4" borderId="1" xfId="1" applyFont="1" applyFill="1" applyBorder="1" applyAlignment="1">
      <alignment horizontal="center"/>
    </xf>
    <xf numFmtId="165" fontId="9" fillId="3" borderId="0" xfId="1" applyFont="1" applyFill="1" applyAlignment="1">
      <alignment horizontal="center"/>
    </xf>
    <xf numFmtId="10" fontId="9" fillId="4" borderId="0" xfId="2" applyNumberFormat="1" applyFont="1" applyFill="1" applyBorder="1"/>
    <xf numFmtId="0" fontId="12" fillId="7" borderId="0" xfId="0" applyFont="1" applyFill="1"/>
    <xf numFmtId="0" fontId="12" fillId="7" borderId="0" xfId="0" applyFont="1" applyFill="1" applyAlignment="1">
      <alignment horizontal="right"/>
    </xf>
    <xf numFmtId="165" fontId="9" fillId="7" borderId="0" xfId="1" applyFont="1" applyFill="1" applyAlignment="1">
      <alignment horizontal="center"/>
    </xf>
    <xf numFmtId="166" fontId="9" fillId="2" borderId="0" xfId="3" applyNumberFormat="1" applyFont="1" applyFill="1"/>
    <xf numFmtId="167" fontId="9" fillId="2" borderId="0" xfId="2" applyNumberFormat="1" applyFont="1" applyFill="1"/>
    <xf numFmtId="0" fontId="12" fillId="7" borderId="0" xfId="0" applyFont="1" applyFill="1" applyBorder="1"/>
    <xf numFmtId="0" fontId="12" fillId="7" borderId="0" xfId="0" applyFont="1" applyFill="1" applyBorder="1" applyAlignment="1">
      <alignment horizontal="right"/>
    </xf>
    <xf numFmtId="2" fontId="9" fillId="7" borderId="0" xfId="0" applyNumberFormat="1" applyFont="1" applyFill="1" applyBorder="1" applyAlignment="1">
      <alignment horizontal="center"/>
    </xf>
    <xf numFmtId="165" fontId="9" fillId="2" borderId="0" xfId="1" applyFont="1" applyFill="1"/>
    <xf numFmtId="10" fontId="0" fillId="7" borderId="0" xfId="0" applyNumberFormat="1" applyFill="1"/>
    <xf numFmtId="165" fontId="9" fillId="7" borderId="0" xfId="1" applyFont="1" applyFill="1"/>
    <xf numFmtId="0" fontId="9" fillId="2" borderId="0" xfId="0" applyFont="1" applyFill="1" applyAlignment="1">
      <alignment horizontal="center"/>
    </xf>
    <xf numFmtId="165" fontId="9" fillId="4" borderId="0" xfId="1" applyFont="1" applyFill="1" applyBorder="1"/>
    <xf numFmtId="165" fontId="9" fillId="2" borderId="0" xfId="0" applyNumberFormat="1" applyFont="1" applyFill="1"/>
    <xf numFmtId="0" fontId="8" fillId="2" borderId="0" xfId="0" applyFont="1" applyFill="1" applyAlignment="1">
      <alignment horizontal="center"/>
    </xf>
  </cellXfs>
  <cellStyles count="4">
    <cellStyle name="Moeda" xfId="1" builtinId="4"/>
    <cellStyle name="Normal" xfId="0" builtinId="0"/>
    <cellStyle name="Porcentagem" xfId="2" builtinId="5"/>
    <cellStyle name="Vírgula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8465829758467537"/>
          <c:y val="0.21593830334190231"/>
          <c:w val="0.33826278219477657"/>
          <c:h val="0.4704370179948586"/>
        </c:manualLayout>
      </c:layout>
      <c:pieChart>
        <c:varyColors val="1"/>
        <c:ser>
          <c:idx val="0"/>
          <c:order val="0"/>
          <c:spPr>
            <a:solidFill>
              <a:srgbClr val="003366"/>
            </a:solidFill>
            <a:ln w="12700">
              <a:solidFill>
                <a:srgbClr val="000000"/>
              </a:solidFill>
              <a:prstDash val="solid"/>
            </a:ln>
          </c:spPr>
          <c:explosion val="13"/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Pt>
            <c:idx val="5"/>
            <c:bubble3D val="0"/>
          </c:dPt>
          <c:dPt>
            <c:idx val="6"/>
            <c:bubble3D val="0"/>
            <c:spPr>
              <a:solidFill>
                <a:srgbClr val="80000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7"/>
            <c:bubble3D val="0"/>
            <c:spPr>
              <a:solidFill>
                <a:srgbClr val="80000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8"/>
            <c:bubble3D val="0"/>
            <c:spPr>
              <a:solidFill>
                <a:srgbClr val="80000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9"/>
            <c:bubble3D val="0"/>
            <c:spPr>
              <a:solidFill>
                <a:srgbClr val="80000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10"/>
            <c:bubble3D val="0"/>
            <c:spPr>
              <a:solidFill>
                <a:srgbClr val="80000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Lbls>
            <c:dLbl>
              <c:idx val="0"/>
              <c:layout>
                <c:manualLayout>
                  <c:x val="9.55568416548713E-2"/>
                  <c:y val="9.2056487797636966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0.1660596560440025"/>
                  <c:y val="1.6155564102045194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2.4785444954387024E-2"/>
                  <c:y val="-0.126765311148445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3"/>
              <c:layout>
                <c:manualLayout>
                  <c:x val="0.12460799473147741"/>
                  <c:y val="-0.1444662604835064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4"/>
              <c:layout>
                <c:manualLayout>
                  <c:x val="4.3381044112615702E-2"/>
                  <c:y val="-8.2183942945435618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5"/>
              <c:layout>
                <c:manualLayout>
                  <c:x val="-4.6412981664989576E-2"/>
                  <c:y val="3.4830543354317137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6"/>
              <c:layout>
                <c:manualLayout>
                  <c:x val="6.2327264907066235E-2"/>
                  <c:y val="9.234257028925363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7"/>
              <c:layout>
                <c:manualLayout>
                  <c:x val="-5.3127303059991228E-2"/>
                  <c:y val="1.643139080622631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8"/>
              <c:layout>
                <c:manualLayout>
                  <c:x val="-6.3393510926337562E-2"/>
                  <c:y val="-9.430682347225877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9"/>
              <c:layout>
                <c:manualLayout>
                  <c:x val="6.2058499081969726E-2"/>
                  <c:y val="-0.1261793818189178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0"/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</c:dLbl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(SENSIBILIDADE.CAMINHÃO!$F$9:$F$14,SENSIBILIDADE.CAMINHÃO!$F$18:$F$22)</c:f>
              <c:strCache>
                <c:ptCount val="11"/>
                <c:pt idx="0">
                  <c:v>Depreciação</c:v>
                </c:pt>
                <c:pt idx="1">
                  <c:v>Remuneração de Capital</c:v>
                </c:pt>
                <c:pt idx="2">
                  <c:v>Mão de obra</c:v>
                </c:pt>
                <c:pt idx="3">
                  <c:v>Seguros</c:v>
                </c:pt>
                <c:pt idx="4">
                  <c:v>IPVA</c:v>
                </c:pt>
                <c:pt idx="5">
                  <c:v>Custo administrativo</c:v>
                </c:pt>
                <c:pt idx="6">
                  <c:v>Combustível</c:v>
                </c:pt>
                <c:pt idx="7">
                  <c:v>Óleo</c:v>
                </c:pt>
                <c:pt idx="8">
                  <c:v>Pneu</c:v>
                </c:pt>
                <c:pt idx="9">
                  <c:v>Lubrificação</c:v>
                </c:pt>
                <c:pt idx="10">
                  <c:v>Manutenção</c:v>
                </c:pt>
              </c:strCache>
            </c:strRef>
          </c:cat>
          <c:val>
            <c:numRef>
              <c:f>(SENSIBILIDADE.CAMINHÃO!$H$9:$H$14,SENSIBILIDADE.CAMINHÃO!$H$18:$H$22)</c:f>
              <c:numCache>
                <c:formatCode>0</c:formatCode>
                <c:ptCount val="11"/>
                <c:pt idx="0">
                  <c:v>185.18518518518519</c:v>
                </c:pt>
                <c:pt idx="1">
                  <c:v>285.95689377793025</c:v>
                </c:pt>
                <c:pt idx="2">
                  <c:v>210</c:v>
                </c:pt>
                <c:pt idx="3">
                  <c:v>46.296296296296298</c:v>
                </c:pt>
                <c:pt idx="4">
                  <c:v>9.2592592592592595</c:v>
                </c:pt>
                <c:pt idx="5">
                  <c:v>33.333333333333336</c:v>
                </c:pt>
                <c:pt idx="6">
                  <c:v>1700</c:v>
                </c:pt>
                <c:pt idx="7">
                  <c:v>28.900000000000002</c:v>
                </c:pt>
                <c:pt idx="8">
                  <c:v>659.6</c:v>
                </c:pt>
                <c:pt idx="9">
                  <c:v>8.5</c:v>
                </c:pt>
                <c:pt idx="10">
                  <c:v>136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Custo do Transporte Rodoviário</a:t>
            </a:r>
          </a:p>
        </c:rich>
      </c:tx>
      <c:layout>
        <c:manualLayout>
          <c:xMode val="edge"/>
          <c:yMode val="edge"/>
          <c:x val="0.22748815165876776"/>
          <c:y val="3.137254901960784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772511848341233"/>
          <c:y val="0.22745185145470073"/>
          <c:w val="0.75355450236966826"/>
          <c:h val="0.51764904124173272"/>
        </c:manualLayout>
      </c:layout>
      <c:scatterChart>
        <c:scatterStyle val="smoothMarker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SENSIBILIDADE.CAMINHÃO!$A$13:$A$25</c:f>
              <c:numCache>
                <c:formatCode>General</c:formatCode>
                <c:ptCount val="13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150</c:v>
                </c:pt>
                <c:pt idx="5">
                  <c:v>200</c:v>
                </c:pt>
                <c:pt idx="6">
                  <c:v>250</c:v>
                </c:pt>
                <c:pt idx="7">
                  <c:v>300</c:v>
                </c:pt>
                <c:pt idx="8">
                  <c:v>400</c:v>
                </c:pt>
                <c:pt idx="9">
                  <c:v>500</c:v>
                </c:pt>
                <c:pt idx="10">
                  <c:v>700</c:v>
                </c:pt>
                <c:pt idx="11">
                  <c:v>1000</c:v>
                </c:pt>
                <c:pt idx="12">
                  <c:v>1500</c:v>
                </c:pt>
              </c:numCache>
            </c:numRef>
          </c:xVal>
          <c:yVal>
            <c:numRef>
              <c:f>SENSIBILIDADE.CAMINHÃO!$B$13:$B$25</c:f>
              <c:numCache>
                <c:formatCode>0</c:formatCode>
                <c:ptCount val="13"/>
                <c:pt idx="0">
                  <c:v>162.38003227595067</c:v>
                </c:pt>
                <c:pt idx="1">
                  <c:v>209.25541937410071</c:v>
                </c:pt>
                <c:pt idx="2">
                  <c:v>256.13080647225075</c:v>
                </c:pt>
                <c:pt idx="3">
                  <c:v>303.0061935704008</c:v>
                </c:pt>
                <c:pt idx="4">
                  <c:v>396.75696776670088</c:v>
                </c:pt>
                <c:pt idx="5">
                  <c:v>490.50774196300097</c:v>
                </c:pt>
                <c:pt idx="6">
                  <c:v>584.25851615930105</c:v>
                </c:pt>
                <c:pt idx="7">
                  <c:v>678.00929035560114</c:v>
                </c:pt>
                <c:pt idx="8">
                  <c:v>865.51083874820131</c:v>
                </c:pt>
                <c:pt idx="9">
                  <c:v>1053.0123871408016</c:v>
                </c:pt>
                <c:pt idx="10">
                  <c:v>1428.0154839260019</c:v>
                </c:pt>
                <c:pt idx="11">
                  <c:v>1990.5201291038024</c:v>
                </c:pt>
                <c:pt idx="12">
                  <c:v>2928.0278710668035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27552"/>
        <c:axId val="72329472"/>
      </c:scatterChart>
      <c:valAx>
        <c:axId val="72327552"/>
        <c:scaling>
          <c:orientation val="minMax"/>
          <c:max val="1500"/>
        </c:scaling>
        <c:delete val="0"/>
        <c:axPos val="b"/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Distância (Km)</a:t>
                </a:r>
              </a:p>
            </c:rich>
          </c:tx>
          <c:layout>
            <c:manualLayout>
              <c:xMode val="edge"/>
              <c:yMode val="edge"/>
              <c:x val="0.44312796208530808"/>
              <c:y val="0.866669960372600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72329472"/>
        <c:crosses val="autoZero"/>
        <c:crossBetween val="midCat"/>
      </c:valAx>
      <c:valAx>
        <c:axId val="723294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Custo($)</a:t>
                </a:r>
              </a:p>
            </c:rich>
          </c:tx>
          <c:layout>
            <c:manualLayout>
              <c:xMode val="edge"/>
              <c:yMode val="edge"/>
              <c:x val="2.843601895734597E-2"/>
              <c:y val="0.3803938037157120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72327552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Custo do Transporte Rodoviário</a:t>
            </a:r>
          </a:p>
        </c:rich>
      </c:tx>
      <c:layout>
        <c:manualLayout>
          <c:xMode val="edge"/>
          <c:yMode val="edge"/>
          <c:x val="0.22197309417040359"/>
          <c:y val="6.024138548946442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1973094170403587"/>
          <c:y val="0.22891656044710265"/>
          <c:w val="0.71076233183856508"/>
          <c:h val="0.48996176095695654"/>
        </c:manualLayout>
      </c:layout>
      <c:scatterChart>
        <c:scatterStyle val="smoothMarker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SENSIBILIDADE.CAMINHÃO!$A$13:$A$25</c:f>
              <c:numCache>
                <c:formatCode>General</c:formatCode>
                <c:ptCount val="13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150</c:v>
                </c:pt>
                <c:pt idx="5">
                  <c:v>200</c:v>
                </c:pt>
                <c:pt idx="6">
                  <c:v>250</c:v>
                </c:pt>
                <c:pt idx="7">
                  <c:v>300</c:v>
                </c:pt>
                <c:pt idx="8">
                  <c:v>400</c:v>
                </c:pt>
                <c:pt idx="9">
                  <c:v>500</c:v>
                </c:pt>
                <c:pt idx="10">
                  <c:v>700</c:v>
                </c:pt>
                <c:pt idx="11">
                  <c:v>1000</c:v>
                </c:pt>
                <c:pt idx="12">
                  <c:v>1500</c:v>
                </c:pt>
              </c:numCache>
            </c:numRef>
          </c:xVal>
          <c:yVal>
            <c:numRef>
              <c:f>SENSIBILIDADE.CAMINHÃO!$C$13:$C$25</c:f>
              <c:numCache>
                <c:formatCode>0.00</c:formatCode>
                <c:ptCount val="13"/>
                <c:pt idx="0">
                  <c:v>6.4952012910380263</c:v>
                </c:pt>
                <c:pt idx="1">
                  <c:v>4.1851083874820141</c:v>
                </c:pt>
                <c:pt idx="2">
                  <c:v>3.41507741963001</c:v>
                </c:pt>
                <c:pt idx="3">
                  <c:v>3.0300619357040079</c:v>
                </c:pt>
                <c:pt idx="4">
                  <c:v>2.6450464517780059</c:v>
                </c:pt>
                <c:pt idx="5">
                  <c:v>2.4525387098150047</c:v>
                </c:pt>
                <c:pt idx="6">
                  <c:v>2.3370340646372041</c:v>
                </c:pt>
                <c:pt idx="7">
                  <c:v>2.2600309678520039</c:v>
                </c:pt>
                <c:pt idx="8">
                  <c:v>2.1637770968705032</c:v>
                </c:pt>
                <c:pt idx="9">
                  <c:v>2.1060247742816034</c:v>
                </c:pt>
                <c:pt idx="10">
                  <c:v>2.0400221198942883</c:v>
                </c:pt>
                <c:pt idx="11">
                  <c:v>1.9905201291038024</c:v>
                </c:pt>
                <c:pt idx="12">
                  <c:v>1.9520185807112023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78624"/>
        <c:axId val="72380800"/>
      </c:scatterChart>
      <c:valAx>
        <c:axId val="72378624"/>
        <c:scaling>
          <c:orientation val="minMax"/>
          <c:max val="1500"/>
        </c:scaling>
        <c:delete val="0"/>
        <c:axPos val="b"/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Distância (Km)</a:t>
                </a:r>
              </a:p>
            </c:rich>
          </c:tx>
          <c:layout>
            <c:manualLayout>
              <c:xMode val="edge"/>
              <c:yMode val="edge"/>
              <c:x val="0.45739910313901344"/>
              <c:y val="0.847392931305273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72380800"/>
        <c:crosses val="autoZero"/>
        <c:crossBetween val="midCat"/>
      </c:valAx>
      <c:valAx>
        <c:axId val="723808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Custo/distância ($/Km)</a:t>
                </a:r>
              </a:p>
            </c:rich>
          </c:tx>
          <c:layout>
            <c:manualLayout>
              <c:xMode val="edge"/>
              <c:yMode val="edge"/>
              <c:x val="3.5874439461883408E-2"/>
              <c:y val="0.24899682720382843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72378624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trlProps/ctrlProp1.xml><?xml version="1.0" encoding="utf-8"?>
<formControlPr xmlns="http://schemas.microsoft.com/office/spreadsheetml/2009/9/main" objectType="Scroll" dx="15" fmlaLink="$H$5" horiz="1" inc="50" max="2500" page="50" val="170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304800</xdr:colOff>
      <xdr:row>5</xdr:row>
      <xdr:rowOff>0</xdr:rowOff>
    </xdr:from>
    <xdr:to>
      <xdr:col>18</xdr:col>
      <xdr:colOff>57150</xdr:colOff>
      <xdr:row>27</xdr:row>
      <xdr:rowOff>66675</xdr:rowOff>
    </xdr:to>
    <xdr:graphicFrame macro="">
      <xdr:nvGraphicFramePr>
        <xdr:cNvPr id="1185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27</xdr:row>
      <xdr:rowOff>142875</xdr:rowOff>
    </xdr:from>
    <xdr:to>
      <xdr:col>6</xdr:col>
      <xdr:colOff>0</xdr:colOff>
      <xdr:row>42</xdr:row>
      <xdr:rowOff>142875</xdr:rowOff>
    </xdr:to>
    <xdr:graphicFrame macro="">
      <xdr:nvGraphicFramePr>
        <xdr:cNvPr id="1186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171450</xdr:colOff>
      <xdr:row>27</xdr:row>
      <xdr:rowOff>114300</xdr:rowOff>
    </xdr:from>
    <xdr:to>
      <xdr:col>13</xdr:col>
      <xdr:colOff>38100</xdr:colOff>
      <xdr:row>42</xdr:row>
      <xdr:rowOff>57150</xdr:rowOff>
    </xdr:to>
    <xdr:graphicFrame macro="">
      <xdr:nvGraphicFramePr>
        <xdr:cNvPr id="1187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2</xdr:row>
          <xdr:rowOff>142875</xdr:rowOff>
        </xdr:from>
        <xdr:to>
          <xdr:col>8</xdr:col>
          <xdr:colOff>9525</xdr:colOff>
          <xdr:row>3</xdr:row>
          <xdr:rowOff>133350</xdr:rowOff>
        </xdr:to>
        <xdr:sp macro="" textlink="">
          <xdr:nvSpPr>
            <xdr:cNvPr id="1026" name="Scroll Bar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7"/>
  <sheetViews>
    <sheetView topLeftCell="A3" zoomScale="45" zoomScaleNormal="45" workbookViewId="0">
      <selection activeCell="A32" sqref="A32"/>
    </sheetView>
  </sheetViews>
  <sheetFormatPr defaultRowHeight="18" x14ac:dyDescent="0.25"/>
  <cols>
    <col min="1" max="1" width="57.42578125" style="28" bestFit="1" customWidth="1"/>
    <col min="2" max="2" width="13.28515625" style="28" customWidth="1"/>
    <col min="3" max="3" width="16.85546875" style="28" bestFit="1" customWidth="1"/>
    <col min="4" max="4" width="5" style="28" customWidth="1"/>
    <col min="5" max="5" width="31.140625" style="28" customWidth="1"/>
    <col min="6" max="6" width="11.85546875" style="28" customWidth="1"/>
    <col min="7" max="7" width="17.42578125" style="28" bestFit="1" customWidth="1"/>
    <col min="8" max="8" width="10.140625" style="28" bestFit="1" customWidth="1"/>
    <col min="9" max="9" width="9.140625" style="28"/>
    <col min="10" max="10" width="15.7109375" style="28" bestFit="1" customWidth="1"/>
    <col min="11" max="11" width="17.28515625" style="28" bestFit="1" customWidth="1"/>
    <col min="12" max="16384" width="9.140625" style="28"/>
  </cols>
  <sheetData>
    <row r="2" spans="1:8" ht="18.75" x14ac:dyDescent="0.3">
      <c r="A2" s="65" t="s">
        <v>64</v>
      </c>
      <c r="B2" s="65"/>
      <c r="C2" s="65"/>
      <c r="D2" s="65"/>
      <c r="E2" s="65"/>
    </row>
    <row r="3" spans="1:8" ht="14.25" customHeight="1" x14ac:dyDescent="0.3">
      <c r="F3" s="27"/>
    </row>
    <row r="4" spans="1:8" hidden="1" x14ac:dyDescent="0.25">
      <c r="A4" s="29"/>
    </row>
    <row r="5" spans="1:8" x14ac:dyDescent="0.25">
      <c r="A5" s="30" t="s">
        <v>0</v>
      </c>
      <c r="B5" s="30"/>
      <c r="C5" s="31"/>
      <c r="E5" s="30" t="s">
        <v>57</v>
      </c>
      <c r="F5" s="30"/>
      <c r="G5" s="31"/>
    </row>
    <row r="6" spans="1:8" x14ac:dyDescent="0.25">
      <c r="A6" s="32" t="s">
        <v>99</v>
      </c>
      <c r="B6" s="33" t="s">
        <v>3</v>
      </c>
      <c r="C6" s="34">
        <v>1350</v>
      </c>
      <c r="E6" s="32" t="s">
        <v>30</v>
      </c>
      <c r="F6" s="33" t="s">
        <v>4</v>
      </c>
      <c r="G6" s="47">
        <f>(C28-C30)/C29</f>
        <v>1666.6666666666667</v>
      </c>
    </row>
    <row r="7" spans="1:8" x14ac:dyDescent="0.25">
      <c r="A7" s="32" t="s">
        <v>100</v>
      </c>
      <c r="B7" s="33" t="s">
        <v>3</v>
      </c>
      <c r="C7" s="34">
        <f>(G36*0.1)-C6</f>
        <v>1850</v>
      </c>
      <c r="E7" s="32" t="s">
        <v>102</v>
      </c>
      <c r="F7" s="33" t="s">
        <v>4</v>
      </c>
      <c r="G7" s="47">
        <f>(C7)</f>
        <v>1850</v>
      </c>
    </row>
    <row r="8" spans="1:8" x14ac:dyDescent="0.25">
      <c r="A8" s="32" t="s">
        <v>35</v>
      </c>
      <c r="B8" s="33" t="s">
        <v>59</v>
      </c>
      <c r="C8" s="35">
        <v>240</v>
      </c>
      <c r="E8" s="32" t="s">
        <v>60</v>
      </c>
      <c r="F8" s="33" t="s">
        <v>4</v>
      </c>
      <c r="G8" s="47">
        <f>C28*((1+C10)^(1/12)-1)</f>
        <v>2573.6120440013719</v>
      </c>
      <c r="H8" s="36"/>
    </row>
    <row r="9" spans="1:8" x14ac:dyDescent="0.25">
      <c r="A9" s="32" t="s">
        <v>26</v>
      </c>
      <c r="B9" s="33" t="s">
        <v>3</v>
      </c>
      <c r="C9" s="34">
        <f>(C6*0.4)</f>
        <v>540</v>
      </c>
      <c r="E9" s="32" t="s">
        <v>103</v>
      </c>
      <c r="F9" s="33" t="s">
        <v>4</v>
      </c>
      <c r="G9" s="47">
        <f>C6+C9</f>
        <v>1890</v>
      </c>
    </row>
    <row r="10" spans="1:8" x14ac:dyDescent="0.25">
      <c r="A10" s="32" t="s">
        <v>92</v>
      </c>
      <c r="B10" s="33" t="s">
        <v>5</v>
      </c>
      <c r="C10" s="50">
        <v>0.08</v>
      </c>
      <c r="E10" s="32" t="s">
        <v>27</v>
      </c>
      <c r="F10" s="33" t="s">
        <v>4</v>
      </c>
      <c r="G10" s="47">
        <f>C37/12</f>
        <v>416.66666666666669</v>
      </c>
      <c r="H10" s="36"/>
    </row>
    <row r="11" spans="1:8" x14ac:dyDescent="0.25">
      <c r="A11" s="32" t="s">
        <v>94</v>
      </c>
      <c r="B11" s="33" t="s">
        <v>95</v>
      </c>
      <c r="C11" s="34">
        <v>7700</v>
      </c>
      <c r="E11" s="32" t="s">
        <v>96</v>
      </c>
      <c r="F11" s="33" t="s">
        <v>4</v>
      </c>
      <c r="G11" s="47">
        <f>(C11)</f>
        <v>7700</v>
      </c>
      <c r="H11" s="40"/>
    </row>
    <row r="12" spans="1:8" x14ac:dyDescent="0.25">
      <c r="A12" s="32" t="s">
        <v>97</v>
      </c>
      <c r="B12" s="33" t="s">
        <v>95</v>
      </c>
      <c r="C12" s="34">
        <v>74</v>
      </c>
      <c r="E12" s="32" t="s">
        <v>98</v>
      </c>
      <c r="F12" s="33" t="s">
        <v>4</v>
      </c>
      <c r="G12" s="47">
        <f>(C12)</f>
        <v>74</v>
      </c>
      <c r="H12" s="40"/>
    </row>
    <row r="13" spans="1:8" ht="18.75" thickBot="1" x14ac:dyDescent="0.3">
      <c r="A13" s="32" t="s">
        <v>74</v>
      </c>
      <c r="B13" s="33" t="s">
        <v>3</v>
      </c>
      <c r="C13" s="63">
        <v>300</v>
      </c>
      <c r="E13" s="37" t="s">
        <v>21</v>
      </c>
      <c r="F13" s="38" t="s">
        <v>4</v>
      </c>
      <c r="G13" s="48">
        <f>C36/12</f>
        <v>83.333333333333329</v>
      </c>
    </row>
    <row r="14" spans="1:8" ht="18.75" thickTop="1" x14ac:dyDescent="0.25">
      <c r="B14" s="41"/>
      <c r="E14" s="51" t="s">
        <v>89</v>
      </c>
      <c r="F14" s="52" t="s">
        <v>4</v>
      </c>
      <c r="G14" s="53">
        <f>SUM(G6:G13)</f>
        <v>16254.278710668039</v>
      </c>
    </row>
    <row r="15" spans="1:8" ht="18.75" thickBot="1" x14ac:dyDescent="0.3">
      <c r="A15" s="30" t="s">
        <v>1</v>
      </c>
      <c r="B15" s="30"/>
      <c r="C15" s="31"/>
      <c r="E15" s="37" t="s">
        <v>77</v>
      </c>
      <c r="F15" s="38" t="s">
        <v>4</v>
      </c>
      <c r="G15" s="39">
        <f>C13</f>
        <v>300</v>
      </c>
    </row>
    <row r="16" spans="1:8" ht="18.75" thickTop="1" x14ac:dyDescent="0.25">
      <c r="A16" s="32" t="s">
        <v>2</v>
      </c>
      <c r="B16" s="33" t="s">
        <v>6</v>
      </c>
      <c r="C16" s="42">
        <v>2.1</v>
      </c>
      <c r="E16" s="32" t="s">
        <v>78</v>
      </c>
      <c r="F16" s="33" t="s">
        <v>4</v>
      </c>
      <c r="G16" s="49">
        <f>SUM(G14:G15)</f>
        <v>16554.278710668041</v>
      </c>
    </row>
    <row r="17" spans="1:10" x14ac:dyDescent="0.25">
      <c r="A17" s="32" t="s">
        <v>7</v>
      </c>
      <c r="B17" s="33" t="s">
        <v>8</v>
      </c>
      <c r="C17" s="43">
        <v>10000</v>
      </c>
    </row>
    <row r="18" spans="1:10" x14ac:dyDescent="0.25">
      <c r="A18" s="32" t="s">
        <v>9</v>
      </c>
      <c r="B18" s="33" t="s">
        <v>10</v>
      </c>
      <c r="C18" s="44">
        <v>20</v>
      </c>
      <c r="E18" s="30" t="s">
        <v>25</v>
      </c>
      <c r="F18" s="31"/>
      <c r="G18" s="31"/>
      <c r="H18" s="55"/>
    </row>
    <row r="19" spans="1:10" x14ac:dyDescent="0.25">
      <c r="A19" s="32" t="s">
        <v>11</v>
      </c>
      <c r="B19" s="33"/>
      <c r="C19" s="44">
        <v>22</v>
      </c>
      <c r="E19" s="32" t="s">
        <v>28</v>
      </c>
      <c r="F19" s="33" t="s">
        <v>38</v>
      </c>
      <c r="G19" s="45">
        <f>C32/C16</f>
        <v>1</v>
      </c>
    </row>
    <row r="20" spans="1:10" x14ac:dyDescent="0.25">
      <c r="A20" s="32" t="s">
        <v>75</v>
      </c>
      <c r="B20" s="33"/>
      <c r="C20" s="44">
        <v>2</v>
      </c>
      <c r="E20" s="32" t="s">
        <v>32</v>
      </c>
      <c r="F20" s="33" t="s">
        <v>38</v>
      </c>
      <c r="G20" s="45">
        <f>C31*C18/(C17)</f>
        <v>1.7000000000000001E-2</v>
      </c>
    </row>
    <row r="21" spans="1:10" x14ac:dyDescent="0.25">
      <c r="A21" s="32" t="s">
        <v>73</v>
      </c>
      <c r="B21" s="33" t="s">
        <v>8</v>
      </c>
      <c r="C21" s="44">
        <v>70000</v>
      </c>
      <c r="E21" s="32" t="s">
        <v>33</v>
      </c>
      <c r="F21" s="33" t="s">
        <v>38</v>
      </c>
      <c r="G21" s="45">
        <f>((C19*C33)+(C20*C34))/(C21)</f>
        <v>0.38800000000000001</v>
      </c>
    </row>
    <row r="22" spans="1:10" x14ac:dyDescent="0.25">
      <c r="A22" s="32" t="s">
        <v>80</v>
      </c>
      <c r="B22" s="33"/>
      <c r="C22" s="44">
        <v>1000</v>
      </c>
      <c r="E22" s="32" t="s">
        <v>93</v>
      </c>
      <c r="F22" s="33" t="s">
        <v>38</v>
      </c>
      <c r="G22" s="45">
        <f>(C22/C23)</f>
        <v>0.05</v>
      </c>
    </row>
    <row r="23" spans="1:10" x14ac:dyDescent="0.25">
      <c r="A23" s="32" t="s">
        <v>81</v>
      </c>
      <c r="B23" s="33"/>
      <c r="C23" s="44">
        <v>20000</v>
      </c>
      <c r="E23" s="32"/>
      <c r="F23" s="33"/>
      <c r="G23" s="45"/>
    </row>
    <row r="24" spans="1:10" x14ac:dyDescent="0.25">
      <c r="A24" s="32" t="s">
        <v>86</v>
      </c>
      <c r="B24" s="33" t="s">
        <v>12</v>
      </c>
      <c r="C24" s="42">
        <f>(1200/15000)</f>
        <v>0.08</v>
      </c>
      <c r="E24" s="32" t="s">
        <v>34</v>
      </c>
      <c r="F24" s="33" t="s">
        <v>38</v>
      </c>
      <c r="G24" s="45">
        <f>C35/C25</f>
        <v>5.0000000000000001E-3</v>
      </c>
    </row>
    <row r="25" spans="1:10" ht="18.75" thickBot="1" x14ac:dyDescent="0.3">
      <c r="A25" s="32" t="s">
        <v>18</v>
      </c>
      <c r="B25" s="33" t="s">
        <v>8</v>
      </c>
      <c r="C25" s="44">
        <v>10000</v>
      </c>
      <c r="E25" s="37" t="s">
        <v>79</v>
      </c>
      <c r="F25" s="38" t="s">
        <v>38</v>
      </c>
      <c r="G25" s="46">
        <f>C24</f>
        <v>0.08</v>
      </c>
    </row>
    <row r="26" spans="1:10" ht="18.75" thickTop="1" x14ac:dyDescent="0.25">
      <c r="B26" s="41"/>
      <c r="E26" s="56" t="s">
        <v>88</v>
      </c>
      <c r="F26" s="57" t="s">
        <v>38</v>
      </c>
      <c r="G26" s="58">
        <f>SUM(G19:G25)*G32</f>
        <v>16939.999999999996</v>
      </c>
      <c r="H26" s="62" t="s">
        <v>90</v>
      </c>
      <c r="I26" s="62" t="s">
        <v>91</v>
      </c>
    </row>
    <row r="27" spans="1:10" x14ac:dyDescent="0.25">
      <c r="A27" s="30" t="s">
        <v>37</v>
      </c>
      <c r="B27" s="30"/>
      <c r="C27" s="31"/>
      <c r="H27" s="62"/>
      <c r="I27" s="62"/>
    </row>
    <row r="28" spans="1:10" x14ac:dyDescent="0.25">
      <c r="A28" s="32" t="s">
        <v>13</v>
      </c>
      <c r="B28" s="33" t="s">
        <v>15</v>
      </c>
      <c r="C28" s="44">
        <v>400000</v>
      </c>
      <c r="E28" s="30" t="s">
        <v>82</v>
      </c>
      <c r="F28" s="31"/>
      <c r="G28" s="49">
        <f>(G16)</f>
        <v>16554.278710668041</v>
      </c>
      <c r="H28" s="61">
        <f>(G28/G32)</f>
        <v>1.5049344282425492</v>
      </c>
      <c r="I28" s="28">
        <f>(G28/G30)*100</f>
        <v>49.424198244924291</v>
      </c>
    </row>
    <row r="29" spans="1:10" x14ac:dyDescent="0.25">
      <c r="A29" s="32" t="s">
        <v>14</v>
      </c>
      <c r="B29" s="33" t="s">
        <v>16</v>
      </c>
      <c r="C29" s="44">
        <v>60</v>
      </c>
      <c r="E29" s="30" t="s">
        <v>36</v>
      </c>
      <c r="F29" s="31"/>
      <c r="G29" s="49">
        <f>G26</f>
        <v>16939.999999999996</v>
      </c>
      <c r="H29" s="61">
        <f>(G29/G32)</f>
        <v>1.5399999999999996</v>
      </c>
      <c r="I29" s="28">
        <f>(G29/G30)*100</f>
        <v>50.575801755075723</v>
      </c>
      <c r="J29" s="59"/>
    </row>
    <row r="30" spans="1:10" x14ac:dyDescent="0.25">
      <c r="A30" s="32" t="s">
        <v>17</v>
      </c>
      <c r="B30" s="33" t="s">
        <v>15</v>
      </c>
      <c r="C30" s="44">
        <v>300000</v>
      </c>
      <c r="E30" s="30" t="s">
        <v>85</v>
      </c>
      <c r="F30" s="31"/>
      <c r="G30" s="49">
        <f>SUM(G28:G29)</f>
        <v>33494.278710668033</v>
      </c>
      <c r="H30" s="61">
        <f>SUM(H28:H29)</f>
        <v>3.0449344282425486</v>
      </c>
    </row>
    <row r="31" spans="1:10" x14ac:dyDescent="0.25">
      <c r="A31" s="32" t="s">
        <v>76</v>
      </c>
      <c r="B31" s="33" t="s">
        <v>19</v>
      </c>
      <c r="C31" s="42">
        <v>8.5</v>
      </c>
    </row>
    <row r="32" spans="1:10" x14ac:dyDescent="0.25">
      <c r="A32" s="32" t="s">
        <v>20</v>
      </c>
      <c r="B32" s="33" t="s">
        <v>19</v>
      </c>
      <c r="C32" s="44">
        <v>2.1</v>
      </c>
      <c r="E32" s="28" t="s">
        <v>83</v>
      </c>
      <c r="G32" s="54">
        <v>11000</v>
      </c>
      <c r="H32" s="28" t="s">
        <v>84</v>
      </c>
    </row>
    <row r="33" spans="1:11" x14ac:dyDescent="0.25">
      <c r="A33" s="32" t="s">
        <v>24</v>
      </c>
      <c r="B33" s="33" t="s">
        <v>15</v>
      </c>
      <c r="C33" s="44">
        <v>1200</v>
      </c>
      <c r="K33" s="59"/>
    </row>
    <row r="34" spans="1:11" x14ac:dyDescent="0.25">
      <c r="A34" s="32" t="s">
        <v>70</v>
      </c>
      <c r="B34" s="33"/>
      <c r="C34" s="44">
        <v>380</v>
      </c>
      <c r="I34" s="28">
        <v>50</v>
      </c>
    </row>
    <row r="35" spans="1:11" x14ac:dyDescent="0.25">
      <c r="A35" s="32" t="s">
        <v>62</v>
      </c>
      <c r="B35" s="33" t="s">
        <v>15</v>
      </c>
      <c r="C35" s="44">
        <v>50</v>
      </c>
    </row>
    <row r="36" spans="1:11" x14ac:dyDescent="0.25">
      <c r="A36" s="32" t="s">
        <v>87</v>
      </c>
      <c r="B36" s="33" t="s">
        <v>23</v>
      </c>
      <c r="C36" s="44">
        <v>1000</v>
      </c>
      <c r="E36" s="28" t="s">
        <v>101</v>
      </c>
      <c r="G36" s="59">
        <v>32000</v>
      </c>
    </row>
    <row r="37" spans="1:11" x14ac:dyDescent="0.25">
      <c r="A37" s="32" t="s">
        <v>22</v>
      </c>
      <c r="B37" s="33" t="s">
        <v>23</v>
      </c>
      <c r="C37" s="44">
        <v>5000</v>
      </c>
      <c r="E37" s="28" t="s">
        <v>104</v>
      </c>
      <c r="G37" s="64">
        <f>(G36-G30)</f>
        <v>-1494.2787106680335</v>
      </c>
    </row>
  </sheetData>
  <mergeCells count="1">
    <mergeCell ref="A2:E2"/>
  </mergeCells>
  <phoneticPr fontId="0" type="noConversion"/>
  <pageMargins left="0.78740157499999996" right="0.78740157499999996" top="0.984251969" bottom="0.984251969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8"/>
  <sheetViews>
    <sheetView tabSelected="1" topLeftCell="A8" zoomScaleNormal="100" workbookViewId="0">
      <selection activeCell="C17" sqref="C17"/>
    </sheetView>
  </sheetViews>
  <sheetFormatPr defaultRowHeight="18" x14ac:dyDescent="0.25"/>
  <cols>
    <col min="1" max="1" width="57.42578125" style="28" bestFit="1" customWidth="1"/>
    <col min="2" max="2" width="13.28515625" style="28" customWidth="1"/>
    <col min="3" max="3" width="18.140625" style="28" bestFit="1" customWidth="1"/>
    <col min="4" max="4" width="5" style="28" customWidth="1"/>
    <col min="5" max="5" width="31.140625" style="28" customWidth="1"/>
    <col min="6" max="6" width="11.85546875" style="28" customWidth="1"/>
    <col min="7" max="7" width="17.42578125" style="28" bestFit="1" customWidth="1"/>
    <col min="8" max="8" width="10.140625" style="28" bestFit="1" customWidth="1"/>
    <col min="9" max="9" width="9.140625" style="28"/>
    <col min="10" max="10" width="15.7109375" style="28" bestFit="1" customWidth="1"/>
    <col min="11" max="11" width="17.28515625" style="28" bestFit="1" customWidth="1"/>
    <col min="12" max="16384" width="9.140625" style="28"/>
  </cols>
  <sheetData>
    <row r="2" spans="1:8" ht="18.75" x14ac:dyDescent="0.3">
      <c r="A2" s="65" t="s">
        <v>64</v>
      </c>
      <c r="B2" s="65"/>
      <c r="C2" s="65"/>
      <c r="D2" s="65"/>
      <c r="E2" s="65"/>
    </row>
    <row r="3" spans="1:8" ht="14.25" customHeight="1" x14ac:dyDescent="0.3">
      <c r="F3" s="27"/>
    </row>
    <row r="4" spans="1:8" hidden="1" x14ac:dyDescent="0.25">
      <c r="A4" s="29"/>
    </row>
    <row r="5" spans="1:8" x14ac:dyDescent="0.25">
      <c r="A5" s="30" t="s">
        <v>0</v>
      </c>
      <c r="B5" s="30"/>
      <c r="C5" s="31"/>
      <c r="E5" s="30" t="s">
        <v>57</v>
      </c>
      <c r="F5" s="30"/>
      <c r="G5" s="31"/>
    </row>
    <row r="6" spans="1:8" x14ac:dyDescent="0.25">
      <c r="A6" s="32" t="s">
        <v>99</v>
      </c>
      <c r="B6" s="33" t="s">
        <v>3</v>
      </c>
      <c r="C6" s="34">
        <v>1500</v>
      </c>
      <c r="E6" s="32" t="s">
        <v>30</v>
      </c>
      <c r="F6" s="33" t="s">
        <v>4</v>
      </c>
      <c r="G6" s="47">
        <f>(C29-C31)/C30</f>
        <v>1500</v>
      </c>
    </row>
    <row r="7" spans="1:8" x14ac:dyDescent="0.25">
      <c r="A7" s="32" t="s">
        <v>100</v>
      </c>
      <c r="B7" s="33" t="s">
        <v>3</v>
      </c>
      <c r="C7" s="34">
        <f>(G37*0.1)-C6</f>
        <v>2000</v>
      </c>
      <c r="E7" s="32" t="s">
        <v>102</v>
      </c>
      <c r="F7" s="33" t="s">
        <v>4</v>
      </c>
      <c r="G7" s="47">
        <f>(C7)</f>
        <v>2000</v>
      </c>
    </row>
    <row r="8" spans="1:8" x14ac:dyDescent="0.25">
      <c r="A8" s="32" t="s">
        <v>35</v>
      </c>
      <c r="B8" s="33" t="s">
        <v>59</v>
      </c>
      <c r="C8" s="35">
        <v>240</v>
      </c>
      <c r="E8" s="32" t="s">
        <v>60</v>
      </c>
      <c r="F8" s="33" t="s">
        <v>4</v>
      </c>
      <c r="G8" s="47">
        <f>C10*((1+C11)^(1/12)-1)</f>
        <v>0</v>
      </c>
      <c r="H8" s="36"/>
    </row>
    <row r="9" spans="1:8" x14ac:dyDescent="0.25">
      <c r="A9" s="32" t="s">
        <v>26</v>
      </c>
      <c r="B9" s="33" t="s">
        <v>3</v>
      </c>
      <c r="C9" s="34">
        <f>(C6*0.4)</f>
        <v>600</v>
      </c>
      <c r="E9" s="32" t="s">
        <v>103</v>
      </c>
      <c r="F9" s="33" t="s">
        <v>4</v>
      </c>
      <c r="G9" s="47">
        <f>C6+C9</f>
        <v>2100</v>
      </c>
    </row>
    <row r="10" spans="1:8" x14ac:dyDescent="0.25">
      <c r="A10" s="32" t="s">
        <v>106</v>
      </c>
      <c r="B10" s="33" t="s">
        <v>3</v>
      </c>
      <c r="C10" s="63">
        <v>0</v>
      </c>
      <c r="E10" s="32"/>
      <c r="F10" s="33"/>
      <c r="G10" s="47"/>
    </row>
    <row r="11" spans="1:8" x14ac:dyDescent="0.25">
      <c r="A11" s="32" t="s">
        <v>92</v>
      </c>
      <c r="B11" s="33" t="s">
        <v>5</v>
      </c>
      <c r="C11" s="50">
        <v>8.4000000000000005E-2</v>
      </c>
      <c r="E11" s="32" t="s">
        <v>27</v>
      </c>
      <c r="F11" s="33" t="s">
        <v>4</v>
      </c>
      <c r="G11" s="47">
        <f>C38/12</f>
        <v>833.33333333333337</v>
      </c>
      <c r="H11" s="36"/>
    </row>
    <row r="12" spans="1:8" x14ac:dyDescent="0.25">
      <c r="A12" s="32" t="s">
        <v>94</v>
      </c>
      <c r="B12" s="33" t="s">
        <v>95</v>
      </c>
      <c r="C12" s="34">
        <v>1500</v>
      </c>
      <c r="E12" s="32" t="s">
        <v>96</v>
      </c>
      <c r="F12" s="33" t="s">
        <v>4</v>
      </c>
      <c r="G12" s="47">
        <f>(C12)</f>
        <v>1500</v>
      </c>
      <c r="H12" s="40"/>
    </row>
    <row r="13" spans="1:8" x14ac:dyDescent="0.25">
      <c r="A13" s="32" t="s">
        <v>97</v>
      </c>
      <c r="B13" s="33" t="s">
        <v>95</v>
      </c>
      <c r="C13" s="34">
        <v>220</v>
      </c>
      <c r="E13" s="32" t="s">
        <v>98</v>
      </c>
      <c r="F13" s="33" t="s">
        <v>4</v>
      </c>
      <c r="G13" s="47">
        <f>(C13)</f>
        <v>220</v>
      </c>
      <c r="H13" s="40"/>
    </row>
    <row r="14" spans="1:8" ht="18.75" thickBot="1" x14ac:dyDescent="0.3">
      <c r="A14" s="32" t="s">
        <v>74</v>
      </c>
      <c r="B14" s="33" t="s">
        <v>3</v>
      </c>
      <c r="C14" s="63">
        <v>550</v>
      </c>
      <c r="E14" s="37" t="s">
        <v>21</v>
      </c>
      <c r="F14" s="38" t="s">
        <v>4</v>
      </c>
      <c r="G14" s="48">
        <f>C37/12</f>
        <v>166.66666666666666</v>
      </c>
    </row>
    <row r="15" spans="1:8" ht="18.75" thickTop="1" x14ac:dyDescent="0.25">
      <c r="B15" s="41"/>
      <c r="E15" s="51" t="s">
        <v>89</v>
      </c>
      <c r="F15" s="52" t="s">
        <v>4</v>
      </c>
      <c r="G15" s="53">
        <f>SUM(G6:G14)</f>
        <v>8320</v>
      </c>
    </row>
    <row r="16" spans="1:8" ht="18.75" thickBot="1" x14ac:dyDescent="0.3">
      <c r="A16" s="30" t="s">
        <v>1</v>
      </c>
      <c r="B16" s="30"/>
      <c r="C16" s="31"/>
      <c r="E16" s="37" t="s">
        <v>77</v>
      </c>
      <c r="F16" s="38" t="s">
        <v>4</v>
      </c>
      <c r="G16" s="39">
        <f>C14</f>
        <v>550</v>
      </c>
    </row>
    <row r="17" spans="1:10" ht="18.75" thickTop="1" x14ac:dyDescent="0.25">
      <c r="A17" s="32" t="s">
        <v>2</v>
      </c>
      <c r="B17" s="33" t="s">
        <v>6</v>
      </c>
      <c r="C17" s="42">
        <v>2.29</v>
      </c>
      <c r="E17" s="32" t="s">
        <v>78</v>
      </c>
      <c r="F17" s="33" t="s">
        <v>4</v>
      </c>
      <c r="G17" s="49">
        <f>SUM(G15:G16)</f>
        <v>8870</v>
      </c>
    </row>
    <row r="18" spans="1:10" x14ac:dyDescent="0.25">
      <c r="A18" s="32" t="s">
        <v>7</v>
      </c>
      <c r="B18" s="33" t="s">
        <v>8</v>
      </c>
      <c r="C18" s="43">
        <v>20000</v>
      </c>
    </row>
    <row r="19" spans="1:10" x14ac:dyDescent="0.25">
      <c r="A19" s="32" t="s">
        <v>9</v>
      </c>
      <c r="B19" s="33" t="s">
        <v>10</v>
      </c>
      <c r="C19" s="44">
        <v>20</v>
      </c>
      <c r="E19" s="30" t="s">
        <v>25</v>
      </c>
      <c r="F19" s="31"/>
      <c r="G19" s="31"/>
      <c r="H19" s="55"/>
    </row>
    <row r="20" spans="1:10" x14ac:dyDescent="0.25">
      <c r="A20" s="32" t="s">
        <v>11</v>
      </c>
      <c r="B20" s="33"/>
      <c r="C20" s="44">
        <v>22</v>
      </c>
      <c r="E20" s="32" t="s">
        <v>28</v>
      </c>
      <c r="F20" s="33" t="s">
        <v>38</v>
      </c>
      <c r="G20" s="45">
        <f>C33/C17</f>
        <v>1.0698689956331879</v>
      </c>
      <c r="I20" s="28">
        <f>(G20/H31)*100</f>
        <v>46.159336827148039</v>
      </c>
    </row>
    <row r="21" spans="1:10" x14ac:dyDescent="0.25">
      <c r="A21" s="32" t="s">
        <v>75</v>
      </c>
      <c r="B21" s="33"/>
      <c r="C21" s="44">
        <v>0</v>
      </c>
      <c r="E21" s="32" t="s">
        <v>32</v>
      </c>
      <c r="F21" s="33" t="s">
        <v>38</v>
      </c>
      <c r="G21" s="45">
        <f>C32*C19/(C18)</f>
        <v>8.5000000000000006E-3</v>
      </c>
    </row>
    <row r="22" spans="1:10" x14ac:dyDescent="0.25">
      <c r="A22" s="32" t="s">
        <v>73</v>
      </c>
      <c r="B22" s="33" t="s">
        <v>8</v>
      </c>
      <c r="C22" s="44">
        <v>120000</v>
      </c>
      <c r="E22" s="32" t="s">
        <v>33</v>
      </c>
      <c r="F22" s="33" t="s">
        <v>38</v>
      </c>
      <c r="G22" s="45">
        <f>((C20*C34)+(C21*C35))/(C22)</f>
        <v>0.21083333333333334</v>
      </c>
    </row>
    <row r="23" spans="1:10" x14ac:dyDescent="0.25">
      <c r="A23" s="32" t="s">
        <v>80</v>
      </c>
      <c r="B23" s="33"/>
      <c r="C23" s="44">
        <v>500</v>
      </c>
      <c r="E23" s="32" t="s">
        <v>93</v>
      </c>
      <c r="F23" s="33" t="s">
        <v>38</v>
      </c>
      <c r="G23" s="45">
        <f>(C23/C24)</f>
        <v>2.5000000000000001E-2</v>
      </c>
    </row>
    <row r="24" spans="1:10" x14ac:dyDescent="0.25">
      <c r="A24" s="32" t="s">
        <v>81</v>
      </c>
      <c r="B24" s="33"/>
      <c r="C24" s="44">
        <v>20000</v>
      </c>
      <c r="E24" s="32" t="s">
        <v>107</v>
      </c>
      <c r="F24" s="33" t="s">
        <v>38</v>
      </c>
      <c r="G24" s="45">
        <f>(G35/G33)</f>
        <v>0.2</v>
      </c>
    </row>
    <row r="25" spans="1:10" x14ac:dyDescent="0.25">
      <c r="A25" s="32" t="s">
        <v>86</v>
      </c>
      <c r="B25" s="33" t="s">
        <v>12</v>
      </c>
      <c r="C25" s="42">
        <f>(3000)/C24</f>
        <v>0.15</v>
      </c>
      <c r="E25" s="32" t="s">
        <v>34</v>
      </c>
      <c r="F25" s="33" t="s">
        <v>38</v>
      </c>
      <c r="G25" s="45">
        <f>C36/C26</f>
        <v>0.02</v>
      </c>
    </row>
    <row r="26" spans="1:10" ht="18.75" thickBot="1" x14ac:dyDescent="0.3">
      <c r="A26" s="32" t="s">
        <v>18</v>
      </c>
      <c r="B26" s="33" t="s">
        <v>8</v>
      </c>
      <c r="C26" s="44">
        <v>5000</v>
      </c>
      <c r="E26" s="37" t="s">
        <v>79</v>
      </c>
      <c r="F26" s="38" t="s">
        <v>38</v>
      </c>
      <c r="G26" s="46">
        <f>C25</f>
        <v>0.15</v>
      </c>
    </row>
    <row r="27" spans="1:10" ht="18.75" thickTop="1" x14ac:dyDescent="0.25">
      <c r="B27" s="41"/>
      <c r="E27" s="56" t="s">
        <v>88</v>
      </c>
      <c r="F27" s="57" t="s">
        <v>38</v>
      </c>
      <c r="G27" s="58">
        <f>SUM(G20:G26)*G33</f>
        <v>23578.832605531297</v>
      </c>
      <c r="H27" s="62" t="s">
        <v>90</v>
      </c>
      <c r="I27" s="62" t="s">
        <v>91</v>
      </c>
    </row>
    <row r="28" spans="1:10" x14ac:dyDescent="0.25">
      <c r="A28" s="30" t="s">
        <v>37</v>
      </c>
      <c r="B28" s="30"/>
      <c r="C28" s="31"/>
      <c r="H28" s="62"/>
      <c r="I28" s="62"/>
    </row>
    <row r="29" spans="1:10" x14ac:dyDescent="0.25">
      <c r="A29" s="32" t="s">
        <v>105</v>
      </c>
      <c r="B29" s="33" t="s">
        <v>15</v>
      </c>
      <c r="C29" s="44">
        <v>450000</v>
      </c>
      <c r="E29" s="30" t="s">
        <v>82</v>
      </c>
      <c r="F29" s="31"/>
      <c r="G29" s="49">
        <f>(G17)</f>
        <v>8870</v>
      </c>
      <c r="H29" s="61">
        <f>(G29/G33)</f>
        <v>0.63357142857142856</v>
      </c>
      <c r="I29" s="28">
        <f>(G29/G31)*100</f>
        <v>27.33534394851543</v>
      </c>
    </row>
    <row r="30" spans="1:10" x14ac:dyDescent="0.25">
      <c r="A30" s="32" t="s">
        <v>14</v>
      </c>
      <c r="B30" s="33" t="s">
        <v>16</v>
      </c>
      <c r="C30" s="44">
        <v>60</v>
      </c>
      <c r="E30" s="30" t="s">
        <v>36</v>
      </c>
      <c r="F30" s="31"/>
      <c r="G30" s="49">
        <f>G27</f>
        <v>23578.832605531297</v>
      </c>
      <c r="H30" s="61">
        <f>(G30/G33)</f>
        <v>1.6842023289665213</v>
      </c>
      <c r="I30" s="28">
        <f>(G30/G31)*100</f>
        <v>72.66465605148457</v>
      </c>
      <c r="J30" s="59"/>
    </row>
    <row r="31" spans="1:10" x14ac:dyDescent="0.25">
      <c r="A31" s="32" t="s">
        <v>17</v>
      </c>
      <c r="B31" s="33" t="s">
        <v>15</v>
      </c>
      <c r="C31" s="44">
        <v>360000</v>
      </c>
      <c r="E31" s="30" t="s">
        <v>85</v>
      </c>
      <c r="F31" s="31"/>
      <c r="G31" s="49">
        <f>SUM(G29:G30)</f>
        <v>32448.832605531297</v>
      </c>
      <c r="H31" s="61">
        <f>SUM(H29:H30)</f>
        <v>2.31777375753795</v>
      </c>
    </row>
    <row r="32" spans="1:10" x14ac:dyDescent="0.25">
      <c r="A32" s="32" t="s">
        <v>76</v>
      </c>
      <c r="B32" s="33" t="s">
        <v>19</v>
      </c>
      <c r="C32" s="42">
        <v>8.5</v>
      </c>
    </row>
    <row r="33" spans="1:11" x14ac:dyDescent="0.25">
      <c r="A33" s="32" t="s">
        <v>20</v>
      </c>
      <c r="B33" s="33" t="s">
        <v>19</v>
      </c>
      <c r="C33" s="44">
        <v>2.4500000000000002</v>
      </c>
      <c r="E33" s="28" t="s">
        <v>83</v>
      </c>
      <c r="G33" s="54">
        <v>14000</v>
      </c>
      <c r="H33" s="28" t="s">
        <v>84</v>
      </c>
    </row>
    <row r="34" spans="1:11" x14ac:dyDescent="0.25">
      <c r="A34" s="32" t="s">
        <v>24</v>
      </c>
      <c r="B34" s="33" t="s">
        <v>15</v>
      </c>
      <c r="C34" s="44">
        <v>1150</v>
      </c>
      <c r="K34" s="59"/>
    </row>
    <row r="35" spans="1:11" x14ac:dyDescent="0.25">
      <c r="A35" s="32" t="s">
        <v>70</v>
      </c>
      <c r="B35" s="33"/>
      <c r="C35" s="44">
        <v>0</v>
      </c>
      <c r="E35" s="28" t="s">
        <v>108</v>
      </c>
      <c r="G35" s="59">
        <v>2800</v>
      </c>
      <c r="I35" s="28">
        <v>50</v>
      </c>
    </row>
    <row r="36" spans="1:11" x14ac:dyDescent="0.25">
      <c r="A36" s="32" t="s">
        <v>62</v>
      </c>
      <c r="B36" s="33" t="s">
        <v>15</v>
      </c>
      <c r="C36" s="44">
        <v>100</v>
      </c>
    </row>
    <row r="37" spans="1:11" x14ac:dyDescent="0.25">
      <c r="A37" s="32" t="s">
        <v>87</v>
      </c>
      <c r="B37" s="33" t="s">
        <v>23</v>
      </c>
      <c r="C37" s="44">
        <v>2000</v>
      </c>
      <c r="E37" s="28" t="s">
        <v>101</v>
      </c>
      <c r="G37" s="59">
        <v>35000</v>
      </c>
    </row>
    <row r="38" spans="1:11" x14ac:dyDescent="0.25">
      <c r="A38" s="32" t="s">
        <v>22</v>
      </c>
      <c r="B38" s="33" t="s">
        <v>23</v>
      </c>
      <c r="C38" s="44">
        <v>10000</v>
      </c>
      <c r="E38" s="28" t="s">
        <v>104</v>
      </c>
      <c r="G38" s="64">
        <f>(G37-G31)</f>
        <v>2551.1673944687027</v>
      </c>
    </row>
  </sheetData>
  <mergeCells count="1">
    <mergeCell ref="A2:E2"/>
  </mergeCells>
  <pageMargins left="0.78740157499999996" right="0.78740157499999996" top="0.984251969" bottom="0.984251969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C50"/>
  <sheetViews>
    <sheetView topLeftCell="A2" zoomScale="68" zoomScaleNormal="68" workbookViewId="0">
      <selection activeCell="G4" sqref="G4"/>
    </sheetView>
  </sheetViews>
  <sheetFormatPr defaultRowHeight="12.75" x14ac:dyDescent="0.2"/>
  <cols>
    <col min="1" max="1" width="11.28515625" customWidth="1"/>
    <col min="2" max="2" width="7.5703125" customWidth="1"/>
    <col min="3" max="3" width="7.85546875" customWidth="1"/>
    <col min="4" max="4" width="5.85546875" customWidth="1"/>
    <col min="5" max="5" width="5.140625" customWidth="1"/>
    <col min="6" max="6" width="22.5703125" customWidth="1"/>
    <col min="8" max="9" width="10" customWidth="1"/>
    <col min="16" max="16" width="7.85546875" customWidth="1"/>
    <col min="22" max="29" width="9.140625" style="1" customWidth="1"/>
  </cols>
  <sheetData>
    <row r="1" spans="1:21" ht="20.25" x14ac:dyDescent="0.3">
      <c r="A1" s="1"/>
      <c r="B1" s="9" t="s">
        <v>63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5" x14ac:dyDescent="0.25">
      <c r="A5" s="11" t="s">
        <v>46</v>
      </c>
      <c r="B5" s="11"/>
      <c r="C5" s="13" t="s">
        <v>44</v>
      </c>
      <c r="D5" s="4">
        <f>G15</f>
        <v>28.87616129445016</v>
      </c>
      <c r="E5" s="1"/>
      <c r="F5" s="1"/>
      <c r="G5" s="6" t="s">
        <v>58</v>
      </c>
      <c r="H5" s="7">
        <v>1700</v>
      </c>
      <c r="I5" s="8" t="s">
        <v>8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">
      <c r="A6" s="11" t="s">
        <v>47</v>
      </c>
      <c r="B6" s="11"/>
      <c r="C6" s="13" t="s">
        <v>45</v>
      </c>
      <c r="D6" s="4">
        <f>G23</f>
        <v>1.4899999999999998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15.75" x14ac:dyDescent="0.25">
      <c r="A7" s="11" t="s">
        <v>50</v>
      </c>
      <c r="B7" s="11"/>
      <c r="C7" s="13" t="s">
        <v>49</v>
      </c>
      <c r="D7" s="3">
        <v>2</v>
      </c>
      <c r="E7" s="1"/>
      <c r="F7" s="17" t="s">
        <v>65</v>
      </c>
      <c r="G7" s="10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">
      <c r="A8" s="11" t="s">
        <v>48</v>
      </c>
      <c r="B8" s="11"/>
      <c r="C8" s="13" t="s">
        <v>49</v>
      </c>
      <c r="D8" s="3">
        <v>2</v>
      </c>
      <c r="E8" s="1"/>
      <c r="F8" s="11" t="s">
        <v>55</v>
      </c>
      <c r="G8" s="14" t="s">
        <v>53</v>
      </c>
      <c r="H8" s="14" t="s">
        <v>56</v>
      </c>
      <c r="I8" s="14" t="s">
        <v>69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2">
      <c r="A9" s="11" t="s">
        <v>51</v>
      </c>
      <c r="B9" s="11"/>
      <c r="C9" s="13" t="s">
        <v>52</v>
      </c>
      <c r="D9" s="3">
        <v>75</v>
      </c>
      <c r="E9" s="1"/>
      <c r="F9" s="2" t="s">
        <v>30</v>
      </c>
      <c r="G9" s="16">
        <f>'CAMINHÃO BI TREM'!G6/'CAMINHÃO BI TREM'!$C$8</f>
        <v>6.9444444444444446</v>
      </c>
      <c r="H9" s="15">
        <f t="shared" ref="H9:H14" si="0">G9*SUM($D$7:$D$8)+$H$5/$D$9*G9</f>
        <v>185.18518518518519</v>
      </c>
      <c r="I9" s="19">
        <f t="shared" ref="I9:I14" si="1">H9/$I$25</f>
        <v>5.6065228266876668E-2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x14ac:dyDescent="0.2">
      <c r="A10" s="1"/>
      <c r="B10" s="1"/>
      <c r="C10" s="1"/>
      <c r="D10" s="1"/>
      <c r="E10" s="1"/>
      <c r="F10" s="2" t="s">
        <v>61</v>
      </c>
      <c r="G10" s="16">
        <f>'CAMINHÃO BI TREM'!G8/'CAMINHÃO BI TREM'!$C$8</f>
        <v>10.723383516672383</v>
      </c>
      <c r="H10" s="15">
        <f t="shared" si="0"/>
        <v>285.95689377793025</v>
      </c>
      <c r="I10" s="19">
        <f t="shared" si="1"/>
        <v>8.6574088030391974E-2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x14ac:dyDescent="0.2">
      <c r="A11" s="12" t="s">
        <v>43</v>
      </c>
      <c r="B11" s="12" t="s">
        <v>39</v>
      </c>
      <c r="C11" s="12" t="s">
        <v>42</v>
      </c>
      <c r="D11" s="1"/>
      <c r="E11" s="1"/>
      <c r="F11" s="2" t="s">
        <v>31</v>
      </c>
      <c r="G11" s="16">
        <f>'CAMINHÃO BI TREM'!G9/'CAMINHÃO BI TREM'!$C$8</f>
        <v>7.875</v>
      </c>
      <c r="H11" s="15">
        <f t="shared" si="0"/>
        <v>210</v>
      </c>
      <c r="I11" s="19">
        <f t="shared" si="1"/>
        <v>6.3577968854638137E-2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x14ac:dyDescent="0.2">
      <c r="A12" s="14" t="s">
        <v>40</v>
      </c>
      <c r="B12" s="14" t="s">
        <v>41</v>
      </c>
      <c r="C12" s="14" t="s">
        <v>38</v>
      </c>
      <c r="D12" s="1"/>
      <c r="E12" s="1"/>
      <c r="F12" s="2" t="s">
        <v>27</v>
      </c>
      <c r="G12" s="16">
        <f>'CAMINHÃO BI TREM'!G10/'CAMINHÃO BI TREM'!$C$8</f>
        <v>1.7361111111111112</v>
      </c>
      <c r="H12" s="15">
        <f t="shared" si="0"/>
        <v>46.296296296296298</v>
      </c>
      <c r="I12" s="19">
        <f t="shared" si="1"/>
        <v>1.4016307066719167E-2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x14ac:dyDescent="0.2">
      <c r="A13" s="5">
        <v>25</v>
      </c>
      <c r="B13" s="15">
        <f>SUM($D$7:$D$8)*$D$5+($D$5/$D$9+$D$6)*A13</f>
        <v>162.38003227595067</v>
      </c>
      <c r="C13" s="16">
        <f>B13/A13</f>
        <v>6.4952012910380263</v>
      </c>
      <c r="D13" s="25"/>
      <c r="E13" s="1"/>
      <c r="F13" s="2" t="s">
        <v>21</v>
      </c>
      <c r="G13" s="16">
        <f>'CAMINHÃO BI TREM'!G13/'CAMINHÃO BI TREM'!$C$8</f>
        <v>0.34722222222222221</v>
      </c>
      <c r="H13" s="15">
        <f t="shared" si="0"/>
        <v>9.2592592592592595</v>
      </c>
      <c r="I13" s="19">
        <f t="shared" si="1"/>
        <v>2.8032614133438336E-3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ht="13.5" thickBot="1" x14ac:dyDescent="0.25">
      <c r="A14" s="5">
        <v>50</v>
      </c>
      <c r="B14" s="15">
        <f>SUM($D$7:$D$8)*$D$5+($D$5/$D$9+$D$6)*A14</f>
        <v>209.25541937410071</v>
      </c>
      <c r="C14" s="16">
        <f t="shared" ref="C14:C25" si="2">B14/A14</f>
        <v>4.1851083874820141</v>
      </c>
      <c r="D14" s="25"/>
      <c r="E14" s="1"/>
      <c r="F14" s="18" t="s">
        <v>71</v>
      </c>
      <c r="G14" s="24">
        <f>'CAMINHÃO BI TREM'!G15/'CAMINHÃO BI TREM'!$C$8</f>
        <v>1.25</v>
      </c>
      <c r="H14" s="20">
        <f t="shared" si="0"/>
        <v>33.333333333333336</v>
      </c>
      <c r="I14" s="21">
        <f t="shared" si="1"/>
        <v>1.0091741088037801E-2</v>
      </c>
      <c r="J14" s="26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ht="13.5" thickTop="1" x14ac:dyDescent="0.2">
      <c r="A15" s="5">
        <v>75</v>
      </c>
      <c r="B15" s="15">
        <f t="shared" ref="B15:B25" si="3">SUM($D$7:$D$8)*$D$5+($D$5/$D$9+$D$6)*A15</f>
        <v>256.13080647225075</v>
      </c>
      <c r="C15" s="16">
        <f t="shared" si="2"/>
        <v>3.41507741963001</v>
      </c>
      <c r="D15" s="25"/>
      <c r="E15" s="1"/>
      <c r="F15" s="2"/>
      <c r="G15" s="16">
        <f>SUM(G9:G14)</f>
        <v>28.87616129445016</v>
      </c>
      <c r="H15" s="16">
        <f>SUM(H9:H14)</f>
        <v>770.03096785200432</v>
      </c>
      <c r="I15" s="19">
        <f>SUM(I9:I14)</f>
        <v>0.23312859472000758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x14ac:dyDescent="0.2">
      <c r="A16" s="5">
        <v>100</v>
      </c>
      <c r="B16" s="15">
        <f t="shared" si="3"/>
        <v>303.0061935704008</v>
      </c>
      <c r="C16" s="16">
        <f t="shared" si="2"/>
        <v>3.0300619357040079</v>
      </c>
      <c r="D16" s="25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x14ac:dyDescent="0.2">
      <c r="A17" s="5">
        <v>150</v>
      </c>
      <c r="B17" s="15">
        <f t="shared" si="3"/>
        <v>396.75696776670088</v>
      </c>
      <c r="C17" s="16">
        <f t="shared" si="2"/>
        <v>2.6450464517780059</v>
      </c>
      <c r="D17" s="25"/>
      <c r="E17" s="1"/>
      <c r="F17" s="11" t="s">
        <v>54</v>
      </c>
      <c r="G17" s="14" t="s">
        <v>68</v>
      </c>
      <c r="H17" s="14" t="s">
        <v>56</v>
      </c>
      <c r="I17" s="14" t="s">
        <v>69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x14ac:dyDescent="0.2">
      <c r="A18" s="5">
        <v>200</v>
      </c>
      <c r="B18" s="15">
        <f t="shared" si="3"/>
        <v>490.50774196300097</v>
      </c>
      <c r="C18" s="16">
        <f t="shared" si="2"/>
        <v>2.4525387098150047</v>
      </c>
      <c r="D18" s="25"/>
      <c r="E18" s="1"/>
      <c r="F18" s="2" t="s">
        <v>28</v>
      </c>
      <c r="G18" s="16">
        <f>'CAMINHÃO BI TREM'!G19</f>
        <v>1</v>
      </c>
      <c r="H18" s="15">
        <f>G18*$H$5</f>
        <v>1700</v>
      </c>
      <c r="I18" s="19">
        <f>H18/$I$25</f>
        <v>0.51467879548992779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x14ac:dyDescent="0.2">
      <c r="A19" s="5">
        <v>250</v>
      </c>
      <c r="B19" s="15">
        <f t="shared" si="3"/>
        <v>584.25851615930105</v>
      </c>
      <c r="C19" s="16">
        <f t="shared" si="2"/>
        <v>2.3370340646372041</v>
      </c>
      <c r="D19" s="25"/>
      <c r="E19" s="1"/>
      <c r="F19" s="2" t="s">
        <v>32</v>
      </c>
      <c r="G19" s="16">
        <f>'CAMINHÃO BI TREM'!G20</f>
        <v>1.7000000000000001E-2</v>
      </c>
      <c r="H19" s="15">
        <f>G19*$H$5</f>
        <v>28.900000000000002</v>
      </c>
      <c r="I19" s="19">
        <f>H19/$I$25</f>
        <v>8.7495395233287733E-3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x14ac:dyDescent="0.2">
      <c r="A20" s="5">
        <v>300</v>
      </c>
      <c r="B20" s="15">
        <f t="shared" si="3"/>
        <v>678.00929035560114</v>
      </c>
      <c r="C20" s="16">
        <f t="shared" si="2"/>
        <v>2.2600309678520039</v>
      </c>
      <c r="D20" s="25"/>
      <c r="E20" s="1"/>
      <c r="F20" s="2" t="s">
        <v>33</v>
      </c>
      <c r="G20" s="16">
        <f>'CAMINHÃO BI TREM'!G21</f>
        <v>0.38800000000000001</v>
      </c>
      <c r="H20" s="15">
        <f>G20*$H$5</f>
        <v>659.6</v>
      </c>
      <c r="I20" s="19">
        <f>H20/$I$25</f>
        <v>0.19969537265009199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x14ac:dyDescent="0.2">
      <c r="A21" s="5">
        <v>400</v>
      </c>
      <c r="B21" s="15">
        <f t="shared" si="3"/>
        <v>865.51083874820131</v>
      </c>
      <c r="C21" s="16">
        <f t="shared" si="2"/>
        <v>2.1637770968705032</v>
      </c>
      <c r="D21" s="25"/>
      <c r="E21" s="1"/>
      <c r="F21" s="2" t="s">
        <v>34</v>
      </c>
      <c r="G21" s="16">
        <f>'CAMINHÃO BI TREM'!G24</f>
        <v>5.0000000000000001E-3</v>
      </c>
      <c r="H21" s="15">
        <f>G21*$H$5</f>
        <v>8.5</v>
      </c>
      <c r="I21" s="19">
        <f>H21/$I$25</f>
        <v>2.5733939774496388E-3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13.5" thickBot="1" x14ac:dyDescent="0.25">
      <c r="A22" s="5">
        <v>500</v>
      </c>
      <c r="B22" s="15">
        <f t="shared" si="3"/>
        <v>1053.0123871408016</v>
      </c>
      <c r="C22" s="16">
        <f t="shared" si="2"/>
        <v>2.1060247742816034</v>
      </c>
      <c r="D22" s="25"/>
      <c r="E22" s="1"/>
      <c r="F22" s="18" t="s">
        <v>29</v>
      </c>
      <c r="G22" s="24">
        <f>'CAMINHÃO BI TREM'!G25</f>
        <v>0.08</v>
      </c>
      <c r="H22" s="20">
        <f>G22*$H$5</f>
        <v>136</v>
      </c>
      <c r="I22" s="21">
        <f>H22/$I$25</f>
        <v>4.1174303639194221E-2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13.5" thickTop="1" x14ac:dyDescent="0.2">
      <c r="A23" s="5">
        <v>700</v>
      </c>
      <c r="B23" s="15">
        <f t="shared" si="3"/>
        <v>1428.0154839260019</v>
      </c>
      <c r="C23" s="16">
        <f t="shared" si="2"/>
        <v>2.0400221198942883</v>
      </c>
      <c r="D23" s="25"/>
      <c r="E23" s="1"/>
      <c r="F23" s="2"/>
      <c r="G23" s="16">
        <f>SUM(G18:G22)</f>
        <v>1.4899999999999998</v>
      </c>
      <c r="H23" s="15">
        <f>SUM(H18:H22)</f>
        <v>2533</v>
      </c>
      <c r="I23" s="22">
        <f>SUM(I18:I22)</f>
        <v>0.76687140527999231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x14ac:dyDescent="0.2">
      <c r="A24" s="5">
        <v>1000</v>
      </c>
      <c r="B24" s="15">
        <f t="shared" si="3"/>
        <v>1990.5201291038024</v>
      </c>
      <c r="C24" s="16">
        <f t="shared" si="2"/>
        <v>1.9905201291038024</v>
      </c>
      <c r="D24" s="25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x14ac:dyDescent="0.2">
      <c r="A25" s="5">
        <v>1500</v>
      </c>
      <c r="B25" s="15">
        <f t="shared" si="3"/>
        <v>2928.0278710668035</v>
      </c>
      <c r="C25" s="16">
        <f t="shared" si="2"/>
        <v>1.9520185807112023</v>
      </c>
      <c r="D25" s="25"/>
      <c r="E25" s="1"/>
      <c r="F25" s="11" t="s">
        <v>66</v>
      </c>
      <c r="G25" s="12">
        <f>H5</f>
        <v>1700</v>
      </c>
      <c r="H25" s="11" t="s">
        <v>67</v>
      </c>
      <c r="I25" s="23">
        <f>SUM(H9:H14,H18:H22)</f>
        <v>3303.0309678520043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x14ac:dyDescent="0.2">
      <c r="A26" s="1"/>
      <c r="B26" s="1"/>
      <c r="C26" s="1"/>
      <c r="D26" s="1"/>
      <c r="E26" s="1"/>
      <c r="F26" s="1"/>
      <c r="G26" s="1" t="s">
        <v>72</v>
      </c>
      <c r="H26" s="1"/>
      <c r="I26" s="26">
        <v>35000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x14ac:dyDescent="0.2">
      <c r="A27" s="1"/>
      <c r="B27" s="1"/>
      <c r="C27" s="1"/>
      <c r="D27" s="1"/>
      <c r="E27" s="1"/>
      <c r="F27" s="1"/>
      <c r="G27" s="1"/>
      <c r="H27" s="1"/>
      <c r="I27" s="60">
        <f>I25/I26</f>
        <v>9.4372313367200117E-2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x14ac:dyDescent="0.2">
      <c r="A50" s="1"/>
      <c r="B50" s="1"/>
      <c r="C50" s="1"/>
      <c r="D50" s="1"/>
      <c r="E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</sheetData>
  <phoneticPr fontId="0" type="noConversion"/>
  <pageMargins left="0.37" right="0.33" top="0.55000000000000004" bottom="0.49" header="0.5" footer="0.5"/>
  <pageSetup paperSize="9" scale="88"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Scroll Bar 2">
              <controlPr defaultSize="0" autoPict="0">
                <anchor moveWithCells="1">
                  <from>
                    <xdr:col>6</xdr:col>
                    <xdr:colOff>38100</xdr:colOff>
                    <xdr:row>2</xdr:row>
                    <xdr:rowOff>142875</xdr:rowOff>
                  </from>
                  <to>
                    <xdr:col>8</xdr:col>
                    <xdr:colOff>9525</xdr:colOff>
                    <xdr:row>3</xdr:row>
                    <xdr:rowOff>133350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3</vt:i4>
      </vt:variant>
    </vt:vector>
  </HeadingPairs>
  <TitlesOfParts>
    <vt:vector size="6" baseType="lpstr">
      <vt:lpstr>CAMINHÃO BI TREM</vt:lpstr>
      <vt:lpstr>CAMINHÃO TRUCK</vt:lpstr>
      <vt:lpstr>SENSIBILIDADE.CAMINHÃO</vt:lpstr>
      <vt:lpstr>'CAMINHÃO BI TREM'!Area_de_impressao</vt:lpstr>
      <vt:lpstr>'CAMINHÃO TRUCK'!Area_de_impressao</vt:lpstr>
      <vt:lpstr>SENSIBILIDADE.CAMINHÃO!Area_de_impressao</vt:lpstr>
    </vt:vector>
  </TitlesOfParts>
  <Company>COPPEAD / UFRJ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Estudos em Logística</dc:creator>
  <cp:lastModifiedBy>Leandro Aparecido Vieira</cp:lastModifiedBy>
  <cp:lastPrinted>1999-10-04T17:00:08Z</cp:lastPrinted>
  <dcterms:created xsi:type="dcterms:W3CDTF">1999-03-08T13:19:51Z</dcterms:created>
  <dcterms:modified xsi:type="dcterms:W3CDTF">2014-03-06T20:27:58Z</dcterms:modified>
</cp:coreProperties>
</file>