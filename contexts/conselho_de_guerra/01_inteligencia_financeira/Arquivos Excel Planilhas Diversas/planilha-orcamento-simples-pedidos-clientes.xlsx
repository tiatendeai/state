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 tabRatio="432" activeTab="2"/>
  </bookViews>
  <sheets>
    <sheet name="CLIENTES" sheetId="1" r:id="rId1"/>
    <sheet name="PRODUTOS" sheetId="2" r:id="rId2"/>
    <sheet name="ORÇAMENTO" sheetId="3" r:id="rId3"/>
  </sheets>
  <definedNames>
    <definedName name="_xlnm.Print_Area" localSheetId="2">ORÇAMENTO!$A$13:$F$62</definedName>
  </definedNames>
  <calcPr calcId="152511"/>
</workbook>
</file>

<file path=xl/calcChain.xml><?xml version="1.0" encoding="utf-8"?>
<calcChain xmlns="http://schemas.openxmlformats.org/spreadsheetml/2006/main">
  <c r="C1" i="2" l="1"/>
  <c r="C1" i="1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23" i="3"/>
  <c r="D4" i="3"/>
  <c r="A1" i="1"/>
  <c r="C6" i="3"/>
  <c r="A58" i="3" s="1"/>
  <c r="A16" i="3"/>
  <c r="E16" i="3"/>
  <c r="A17" i="3"/>
  <c r="A18" i="3"/>
  <c r="H23" i="3"/>
  <c r="B23" i="3"/>
  <c r="H24" i="3"/>
  <c r="B24" i="3" s="1"/>
  <c r="H25" i="3"/>
  <c r="B25" i="3" s="1"/>
  <c r="M25" i="3"/>
  <c r="N25" i="3"/>
  <c r="H26" i="3"/>
  <c r="B26" i="3" s="1"/>
  <c r="M26" i="3"/>
  <c r="N26" i="3"/>
  <c r="H27" i="3"/>
  <c r="B27" i="3" s="1"/>
  <c r="M27" i="3"/>
  <c r="N27" i="3"/>
  <c r="H28" i="3"/>
  <c r="B28" i="3" s="1"/>
  <c r="M28" i="3"/>
  <c r="N28" i="3"/>
  <c r="H29" i="3"/>
  <c r="B29" i="3" s="1"/>
  <c r="M29" i="3"/>
  <c r="N29" i="3"/>
  <c r="H30" i="3"/>
  <c r="B30" i="3" s="1"/>
  <c r="M30" i="3"/>
  <c r="N30" i="3"/>
  <c r="H31" i="3"/>
  <c r="B31" i="3" s="1"/>
  <c r="M31" i="3"/>
  <c r="N31" i="3"/>
  <c r="H32" i="3"/>
  <c r="B32" i="3" s="1"/>
  <c r="M32" i="3"/>
  <c r="N32" i="3"/>
  <c r="H33" i="3"/>
  <c r="B33" i="3" s="1"/>
  <c r="M33" i="3"/>
  <c r="N33" i="3"/>
  <c r="H34" i="3"/>
  <c r="B34" i="3" s="1"/>
  <c r="M34" i="3"/>
  <c r="N34" i="3"/>
  <c r="H35" i="3"/>
  <c r="B35" i="3" s="1"/>
  <c r="M35" i="3"/>
  <c r="N35" i="3"/>
  <c r="H36" i="3"/>
  <c r="B36" i="3" s="1"/>
  <c r="M36" i="3"/>
  <c r="N36" i="3"/>
  <c r="H37" i="3"/>
  <c r="B37" i="3" s="1"/>
  <c r="H38" i="3"/>
  <c r="B38" i="3" s="1"/>
  <c r="H39" i="3"/>
  <c r="B39" i="3" s="1"/>
  <c r="H40" i="3"/>
  <c r="B40" i="3" s="1"/>
  <c r="H41" i="3"/>
  <c r="B41" i="3" s="1"/>
  <c r="H42" i="3"/>
  <c r="B42" i="3" s="1"/>
  <c r="H43" i="3"/>
  <c r="B43" i="3"/>
  <c r="H44" i="3"/>
  <c r="B44" i="3" s="1"/>
  <c r="H45" i="3"/>
  <c r="B45" i="3" s="1"/>
  <c r="H46" i="3"/>
  <c r="B46" i="3" s="1"/>
  <c r="H47" i="3"/>
  <c r="B47" i="3" s="1"/>
  <c r="J49" i="3"/>
  <c r="J51" i="3"/>
  <c r="A61" i="3"/>
  <c r="A62" i="3"/>
  <c r="A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E47" i="3"/>
  <c r="E45" i="3"/>
  <c r="E44" i="3"/>
  <c r="F43" i="3"/>
  <c r="E43" i="3"/>
  <c r="D43" i="3"/>
  <c r="F41" i="3"/>
  <c r="E41" i="3"/>
  <c r="D41" i="3"/>
  <c r="E40" i="3"/>
  <c r="E39" i="3"/>
  <c r="F37" i="3"/>
  <c r="D37" i="3"/>
  <c r="F36" i="3"/>
  <c r="E36" i="3"/>
  <c r="D36" i="3"/>
  <c r="F35" i="3"/>
  <c r="D35" i="3"/>
  <c r="F34" i="3"/>
  <c r="E34" i="3"/>
  <c r="D34" i="3"/>
  <c r="F33" i="3"/>
  <c r="D33" i="3"/>
  <c r="F32" i="3"/>
  <c r="E32" i="3"/>
  <c r="D32" i="3"/>
  <c r="F31" i="3"/>
  <c r="D31" i="3"/>
  <c r="E30" i="3"/>
  <c r="F30" i="3"/>
  <c r="D30" i="3"/>
  <c r="E29" i="3"/>
  <c r="D29" i="3"/>
  <c r="E28" i="3"/>
  <c r="F28" i="3"/>
  <c r="D28" i="3"/>
  <c r="E27" i="3"/>
  <c r="D27" i="3"/>
  <c r="E26" i="3"/>
  <c r="F26" i="3"/>
  <c r="D26" i="3"/>
  <c r="E25" i="3"/>
  <c r="D25" i="3"/>
  <c r="F24" i="3"/>
  <c r="E23" i="3"/>
  <c r="F23" i="3" s="1"/>
  <c r="D23" i="3"/>
  <c r="F25" i="3" l="1"/>
  <c r="F27" i="3"/>
  <c r="F29" i="3"/>
  <c r="E31" i="3"/>
  <c r="E33" i="3"/>
  <c r="E35" i="3"/>
  <c r="E37" i="3"/>
  <c r="D39" i="3"/>
  <c r="F39" i="3"/>
  <c r="D47" i="3"/>
  <c r="F47" i="3"/>
  <c r="D45" i="3"/>
  <c r="F45" i="3"/>
  <c r="D38" i="3"/>
  <c r="D46" i="3"/>
  <c r="E24" i="3"/>
  <c r="F40" i="3"/>
  <c r="D42" i="3"/>
  <c r="F44" i="3"/>
  <c r="E38" i="3"/>
  <c r="E42" i="3"/>
  <c r="E46" i="3"/>
  <c r="D24" i="3"/>
  <c r="F38" i="3"/>
  <c r="D40" i="3"/>
  <c r="F42" i="3"/>
  <c r="D44" i="3"/>
  <c r="F46" i="3"/>
  <c r="M24" i="3" l="1"/>
  <c r="N24" i="3" s="1"/>
  <c r="F49" i="3"/>
  <c r="K50" i="3" s="1"/>
  <c r="F50" i="3" s="1"/>
  <c r="E50" i="3" s="1"/>
  <c r="K51" i="3"/>
  <c r="M23" i="3"/>
  <c r="N23" i="3" s="1"/>
  <c r="N37" i="3" s="1"/>
  <c r="N39" i="3" s="1"/>
  <c r="F52" i="3" s="1"/>
  <c r="K49" i="3" l="1"/>
  <c r="F51" i="3"/>
  <c r="F53" i="3" s="1"/>
</calcChain>
</file>

<file path=xl/sharedStrings.xml><?xml version="1.0" encoding="utf-8"?>
<sst xmlns="http://schemas.openxmlformats.org/spreadsheetml/2006/main" count="420" uniqueCount="406">
  <si>
    <t>COD</t>
  </si>
  <si>
    <t>DESCRIÇÃO</t>
  </si>
  <si>
    <t>DOCUMENTO (CNPJ / CPF)</t>
  </si>
  <si>
    <t>ENDEREÇO</t>
  </si>
  <si>
    <t>NOME DO CONTATO</t>
  </si>
  <si>
    <t>TELEFONE</t>
  </si>
  <si>
    <t>E-MAIL</t>
  </si>
  <si>
    <t>CLI001</t>
  </si>
  <si>
    <t>CLI002</t>
  </si>
  <si>
    <t>CLI003</t>
  </si>
  <si>
    <t>CLI004</t>
  </si>
  <si>
    <t>CLI005</t>
  </si>
  <si>
    <t>CLI006</t>
  </si>
  <si>
    <t>CLI007</t>
  </si>
  <si>
    <t>CLI008</t>
  </si>
  <si>
    <t>CLI009</t>
  </si>
  <si>
    <t>CLI010</t>
  </si>
  <si>
    <t>CLI011</t>
  </si>
  <si>
    <t>CLI012</t>
  </si>
  <si>
    <t>CLI013</t>
  </si>
  <si>
    <t>CLI014</t>
  </si>
  <si>
    <t>CLI015</t>
  </si>
  <si>
    <t>CLI016</t>
  </si>
  <si>
    <t>CLI017</t>
  </si>
  <si>
    <t>CLI018</t>
  </si>
  <si>
    <t>CLI019</t>
  </si>
  <si>
    <t>CLI020</t>
  </si>
  <si>
    <t>CLI021</t>
  </si>
  <si>
    <t>CLI022</t>
  </si>
  <si>
    <t>CLI023</t>
  </si>
  <si>
    <t>CLI024</t>
  </si>
  <si>
    <t>CLI025</t>
  </si>
  <si>
    <t>CLI026</t>
  </si>
  <si>
    <t>CLI027</t>
  </si>
  <si>
    <t>CLI028</t>
  </si>
  <si>
    <t>CLI029</t>
  </si>
  <si>
    <t>CLI030</t>
  </si>
  <si>
    <t>CLI031</t>
  </si>
  <si>
    <t>CLI032</t>
  </si>
  <si>
    <t>CLI033</t>
  </si>
  <si>
    <t>CLI034</t>
  </si>
  <si>
    <t>CLI035</t>
  </si>
  <si>
    <t>CLI036</t>
  </si>
  <si>
    <t>CLI037</t>
  </si>
  <si>
    <t>CLI038</t>
  </si>
  <si>
    <t>CLI039</t>
  </si>
  <si>
    <t>CLI040</t>
  </si>
  <si>
    <t>CLI041</t>
  </si>
  <si>
    <t>CLI042</t>
  </si>
  <si>
    <t>CLI043</t>
  </si>
  <si>
    <t>CLI044</t>
  </si>
  <si>
    <t>CLI045</t>
  </si>
  <si>
    <t>CLI046</t>
  </si>
  <si>
    <t>CLI047</t>
  </si>
  <si>
    <t>CLI048</t>
  </si>
  <si>
    <t>CLI049</t>
  </si>
  <si>
    <t>CLI050</t>
  </si>
  <si>
    <t>CLI051</t>
  </si>
  <si>
    <t>CLI052</t>
  </si>
  <si>
    <t>CLI053</t>
  </si>
  <si>
    <t>CLI054</t>
  </si>
  <si>
    <t>CLI055</t>
  </si>
  <si>
    <t>CLI056</t>
  </si>
  <si>
    <t>CLI057</t>
  </si>
  <si>
    <t>CLI058</t>
  </si>
  <si>
    <t>CLI059</t>
  </si>
  <si>
    <t>CLI060</t>
  </si>
  <si>
    <t>CLI061</t>
  </si>
  <si>
    <t>CLI062</t>
  </si>
  <si>
    <t>CLI063</t>
  </si>
  <si>
    <t>CLI064</t>
  </si>
  <si>
    <t>CLI065</t>
  </si>
  <si>
    <t>CLI066</t>
  </si>
  <si>
    <t>CLI067</t>
  </si>
  <si>
    <t>CLI068</t>
  </si>
  <si>
    <t>CLI069</t>
  </si>
  <si>
    <t>CLI070</t>
  </si>
  <si>
    <t>CLI071</t>
  </si>
  <si>
    <t>CLI072</t>
  </si>
  <si>
    <t>CLI073</t>
  </si>
  <si>
    <t>CLI074</t>
  </si>
  <si>
    <t>CLI075</t>
  </si>
  <si>
    <t>CLI076</t>
  </si>
  <si>
    <t>CLI077</t>
  </si>
  <si>
    <t>CLI078</t>
  </si>
  <si>
    <t>CLI079</t>
  </si>
  <si>
    <t>CLI080</t>
  </si>
  <si>
    <t>CLI081</t>
  </si>
  <si>
    <t>CLI082</t>
  </si>
  <si>
    <t>CLI083</t>
  </si>
  <si>
    <t>CLI084</t>
  </si>
  <si>
    <t>CLI085</t>
  </si>
  <si>
    <t>CLI086</t>
  </si>
  <si>
    <t>CLI087</t>
  </si>
  <si>
    <t>CLI088</t>
  </si>
  <si>
    <t>CLI089</t>
  </si>
  <si>
    <t>CLI090</t>
  </si>
  <si>
    <t>CLI091</t>
  </si>
  <si>
    <t>CLI092</t>
  </si>
  <si>
    <t>CLI093</t>
  </si>
  <si>
    <t>CLI094</t>
  </si>
  <si>
    <t>CLI095</t>
  </si>
  <si>
    <t>CLI096</t>
  </si>
  <si>
    <t>CLI097</t>
  </si>
  <si>
    <t>CLI098</t>
  </si>
  <si>
    <t>CLI099</t>
  </si>
  <si>
    <t>CLI100</t>
  </si>
  <si>
    <t>CLI101</t>
  </si>
  <si>
    <t>CLI102</t>
  </si>
  <si>
    <t>CLI103</t>
  </si>
  <si>
    <t>CLI104</t>
  </si>
  <si>
    <t>CLI105</t>
  </si>
  <si>
    <t>CLI106</t>
  </si>
  <si>
    <t>CLI107</t>
  </si>
  <si>
    <t>CLI108</t>
  </si>
  <si>
    <t>CLI109</t>
  </si>
  <si>
    <t>CLI110</t>
  </si>
  <si>
    <t>CLI111</t>
  </si>
  <si>
    <t>CLI112</t>
  </si>
  <si>
    <t>CLI113</t>
  </si>
  <si>
    <t>CLI114</t>
  </si>
  <si>
    <t>CLI115</t>
  </si>
  <si>
    <t>CLI116</t>
  </si>
  <si>
    <t>CLI117</t>
  </si>
  <si>
    <t>CLI118</t>
  </si>
  <si>
    <t>CLI119</t>
  </si>
  <si>
    <t>CLI120</t>
  </si>
  <si>
    <t>CLI121</t>
  </si>
  <si>
    <t>CLI122</t>
  </si>
  <si>
    <t>CLI123</t>
  </si>
  <si>
    <t>CLI124</t>
  </si>
  <si>
    <t>CLI125</t>
  </si>
  <si>
    <t>CLI126</t>
  </si>
  <si>
    <t>CLI127</t>
  </si>
  <si>
    <t>CLI128</t>
  </si>
  <si>
    <t>CLI129</t>
  </si>
  <si>
    <t>CLI130</t>
  </si>
  <si>
    <t>CLI131</t>
  </si>
  <si>
    <t>CLI132</t>
  </si>
  <si>
    <t>CLI133</t>
  </si>
  <si>
    <t>CLI134</t>
  </si>
  <si>
    <t>CLI135</t>
  </si>
  <si>
    <t>CLI136</t>
  </si>
  <si>
    <t>CLI137</t>
  </si>
  <si>
    <t>CLI138</t>
  </si>
  <si>
    <t>CLI139</t>
  </si>
  <si>
    <t>CLI140</t>
  </si>
  <si>
    <t>CLI141</t>
  </si>
  <si>
    <t>CLI142</t>
  </si>
  <si>
    <t>CLI143</t>
  </si>
  <si>
    <t>CLI144</t>
  </si>
  <si>
    <t>CLI145</t>
  </si>
  <si>
    <t>CLI146</t>
  </si>
  <si>
    <t>CLI147</t>
  </si>
  <si>
    <t>CLI148</t>
  </si>
  <si>
    <t>CLI149</t>
  </si>
  <si>
    <t>CLI150</t>
  </si>
  <si>
    <t>UNIDADE</t>
  </si>
  <si>
    <t>VALOR UNITÁRIO</t>
  </si>
  <si>
    <t>PRD001</t>
  </si>
  <si>
    <t>KG</t>
  </si>
  <si>
    <t>PRD002</t>
  </si>
  <si>
    <t>PRD003</t>
  </si>
  <si>
    <t>PRD004</t>
  </si>
  <si>
    <t>PRD005</t>
  </si>
  <si>
    <t>PRD006</t>
  </si>
  <si>
    <t>PRD007</t>
  </si>
  <si>
    <t>PRD008</t>
  </si>
  <si>
    <t>PRD009</t>
  </si>
  <si>
    <t>PRD010</t>
  </si>
  <si>
    <t>PRD011</t>
  </si>
  <si>
    <t>PRD012</t>
  </si>
  <si>
    <t>PRD013</t>
  </si>
  <si>
    <t>PRD014</t>
  </si>
  <si>
    <t>PRD015</t>
  </si>
  <si>
    <t>PRD016</t>
  </si>
  <si>
    <t>L</t>
  </si>
  <si>
    <t>PRD017</t>
  </si>
  <si>
    <t>PRD018</t>
  </si>
  <si>
    <t>PRD019</t>
  </si>
  <si>
    <t>PRD020</t>
  </si>
  <si>
    <t>PRD021</t>
  </si>
  <si>
    <t>PRD022</t>
  </si>
  <si>
    <t>PRD023</t>
  </si>
  <si>
    <t>PRD024</t>
  </si>
  <si>
    <t>PRD025</t>
  </si>
  <si>
    <t>PRD026</t>
  </si>
  <si>
    <t>PRD027</t>
  </si>
  <si>
    <t>PRD028</t>
  </si>
  <si>
    <t>PRD029</t>
  </si>
  <si>
    <t>PRD030</t>
  </si>
  <si>
    <t>PRD031</t>
  </si>
  <si>
    <t>PRD032</t>
  </si>
  <si>
    <t>PRD033</t>
  </si>
  <si>
    <t>PRD034</t>
  </si>
  <si>
    <t>PRD035</t>
  </si>
  <si>
    <t>PRD036</t>
  </si>
  <si>
    <t>PRD037</t>
  </si>
  <si>
    <t>PRD038</t>
  </si>
  <si>
    <t>PRD039</t>
  </si>
  <si>
    <t>PRD040</t>
  </si>
  <si>
    <t>PRD041</t>
  </si>
  <si>
    <t>PRD042</t>
  </si>
  <si>
    <t>PRD043</t>
  </si>
  <si>
    <t>PRD044</t>
  </si>
  <si>
    <t>PRD045</t>
  </si>
  <si>
    <t>PRD046</t>
  </si>
  <si>
    <t>PRD047</t>
  </si>
  <si>
    <t>PRD048</t>
  </si>
  <si>
    <t>PRD049</t>
  </si>
  <si>
    <t>PRD050</t>
  </si>
  <si>
    <t>PRD051</t>
  </si>
  <si>
    <t>PRD052</t>
  </si>
  <si>
    <t>PRD053</t>
  </si>
  <si>
    <t>PRD054</t>
  </si>
  <si>
    <t>PRD055</t>
  </si>
  <si>
    <t>PRD056</t>
  </si>
  <si>
    <t>PRD057</t>
  </si>
  <si>
    <t>PRD058</t>
  </si>
  <si>
    <t>PRD059</t>
  </si>
  <si>
    <t>PRD060</t>
  </si>
  <si>
    <t>PRD061</t>
  </si>
  <si>
    <t>PRD062</t>
  </si>
  <si>
    <t>PRD063</t>
  </si>
  <si>
    <t>PRD064</t>
  </si>
  <si>
    <t>PRD065</t>
  </si>
  <si>
    <t>PRD066</t>
  </si>
  <si>
    <t>PRD067</t>
  </si>
  <si>
    <t>PRD068</t>
  </si>
  <si>
    <t>PRD069</t>
  </si>
  <si>
    <t>PRD070</t>
  </si>
  <si>
    <t>PRD071</t>
  </si>
  <si>
    <t>PRD072</t>
  </si>
  <si>
    <t>PRD073</t>
  </si>
  <si>
    <t>PRD074</t>
  </si>
  <si>
    <t>PRD075</t>
  </si>
  <si>
    <t>PRD076</t>
  </si>
  <si>
    <t>PRD077</t>
  </si>
  <si>
    <t>PRD078</t>
  </si>
  <si>
    <t>PRD079</t>
  </si>
  <si>
    <t>PRD080</t>
  </si>
  <si>
    <t>PRD081</t>
  </si>
  <si>
    <t>PRD082</t>
  </si>
  <si>
    <t>PRD083</t>
  </si>
  <si>
    <t>PRD084</t>
  </si>
  <si>
    <t>PRD085</t>
  </si>
  <si>
    <t>PRD086</t>
  </si>
  <si>
    <t>PRD087</t>
  </si>
  <si>
    <t>PRD088</t>
  </si>
  <si>
    <t>PRD089</t>
  </si>
  <si>
    <t>PRD090</t>
  </si>
  <si>
    <t>PRD091</t>
  </si>
  <si>
    <t>PRD092</t>
  </si>
  <si>
    <t>PRD093</t>
  </si>
  <si>
    <t>PRD094</t>
  </si>
  <si>
    <t>PRD095</t>
  </si>
  <si>
    <t>PRD096</t>
  </si>
  <si>
    <t>PRD097</t>
  </si>
  <si>
    <t>PRD098</t>
  </si>
  <si>
    <t>PRD099</t>
  </si>
  <si>
    <t>PRD100</t>
  </si>
  <si>
    <t>PRD101</t>
  </si>
  <si>
    <t>PRD102</t>
  </si>
  <si>
    <t>PRD103</t>
  </si>
  <si>
    <t>PRD104</t>
  </si>
  <si>
    <t>PRD105</t>
  </si>
  <si>
    <t>PRD106</t>
  </si>
  <si>
    <t>PRD107</t>
  </si>
  <si>
    <t>PRD108</t>
  </si>
  <si>
    <t>PRD109</t>
  </si>
  <si>
    <t>PRD110</t>
  </si>
  <si>
    <t>PRD111</t>
  </si>
  <si>
    <t>PRD112</t>
  </si>
  <si>
    <t>PRD113</t>
  </si>
  <si>
    <t>PRD114</t>
  </si>
  <si>
    <t>PRD115</t>
  </si>
  <si>
    <t>PRD116</t>
  </si>
  <si>
    <t>PRD117</t>
  </si>
  <si>
    <t>PRD118</t>
  </si>
  <si>
    <t>PRD119</t>
  </si>
  <si>
    <t>PRD120</t>
  </si>
  <si>
    <t>PRD121</t>
  </si>
  <si>
    <t>PRD122</t>
  </si>
  <si>
    <t>PRD123</t>
  </si>
  <si>
    <t>PRD124</t>
  </si>
  <si>
    <t>PRD125</t>
  </si>
  <si>
    <t>PRD126</t>
  </si>
  <si>
    <t>PRD127</t>
  </si>
  <si>
    <t>PRD128</t>
  </si>
  <si>
    <t>PRD129</t>
  </si>
  <si>
    <t>PRD130</t>
  </si>
  <si>
    <t>PRD131</t>
  </si>
  <si>
    <t>PRD132</t>
  </si>
  <si>
    <t>PRD133</t>
  </si>
  <si>
    <t>PRD134</t>
  </si>
  <si>
    <t>PRD135</t>
  </si>
  <si>
    <t>PRD136</t>
  </si>
  <si>
    <t>PRD137</t>
  </si>
  <si>
    <t>PRD138</t>
  </si>
  <si>
    <t>PRD139</t>
  </si>
  <si>
    <t>PRD140</t>
  </si>
  <si>
    <t>PRD141</t>
  </si>
  <si>
    <t>PRD142</t>
  </si>
  <si>
    <t>PRD143</t>
  </si>
  <si>
    <t>PRD144</t>
  </si>
  <si>
    <t>PRD145</t>
  </si>
  <si>
    <t>PRD146</t>
  </si>
  <si>
    <t>PRD147</t>
  </si>
  <si>
    <t>PRD148</t>
  </si>
  <si>
    <t>PRD149</t>
  </si>
  <si>
    <t>PRD150</t>
  </si>
  <si>
    <t>PRD151</t>
  </si>
  <si>
    <t>PRD152</t>
  </si>
  <si>
    <t>PRD153</t>
  </si>
  <si>
    <t>PRD154</t>
  </si>
  <si>
    <t>PRD155</t>
  </si>
  <si>
    <t>PRD156</t>
  </si>
  <si>
    <t>PRD157</t>
  </si>
  <si>
    <t>PRD158</t>
  </si>
  <si>
    <t>PRD159</t>
  </si>
  <si>
    <t>PRD160</t>
  </si>
  <si>
    <t>PRD161</t>
  </si>
  <si>
    <t>PRD162</t>
  </si>
  <si>
    <t>PRD163</t>
  </si>
  <si>
    <t>PRD164</t>
  </si>
  <si>
    <t>PRD165</t>
  </si>
  <si>
    <t>PRD166</t>
  </si>
  <si>
    <t>PRD167</t>
  </si>
  <si>
    <t>PRD168</t>
  </si>
  <si>
    <t>PRD169</t>
  </si>
  <si>
    <t>PRD170</t>
  </si>
  <si>
    <t>PRD171</t>
  </si>
  <si>
    <t>PRD172</t>
  </si>
  <si>
    <t>PRD173</t>
  </si>
  <si>
    <t>PRD174</t>
  </si>
  <si>
    <t>PRD175</t>
  </si>
  <si>
    <t>PRD176</t>
  </si>
  <si>
    <t>PRD177</t>
  </si>
  <si>
    <t>PRD178</t>
  </si>
  <si>
    <t>PRD179</t>
  </si>
  <si>
    <t>PRD180</t>
  </si>
  <si>
    <t>PRD181</t>
  </si>
  <si>
    <t>PRD182</t>
  </si>
  <si>
    <t>PRD183</t>
  </si>
  <si>
    <t>PRD184</t>
  </si>
  <si>
    <t>PRD185</t>
  </si>
  <si>
    <t>PRD186</t>
  </si>
  <si>
    <t>PRD187</t>
  </si>
  <si>
    <t>PRD188</t>
  </si>
  <si>
    <t>PRD189</t>
  </si>
  <si>
    <t>PRD190</t>
  </si>
  <si>
    <t>PRD191</t>
  </si>
  <si>
    <t>PRD192</t>
  </si>
  <si>
    <t>PRD193</t>
  </si>
  <si>
    <t>PRD194</t>
  </si>
  <si>
    <t>PRD195</t>
  </si>
  <si>
    <t>PRD196</t>
  </si>
  <si>
    <t>PRD197</t>
  </si>
  <si>
    <t>PRD198</t>
  </si>
  <si>
    <t>PRD199</t>
  </si>
  <si>
    <t>PRD200</t>
  </si>
  <si>
    <t>DADOS PERSONALIZADOS PARA PREENCHIMENTO DO FORMULÁRIO</t>
  </si>
  <si>
    <t>&gt;&gt;</t>
  </si>
  <si>
    <t>CÓDIGO DO CLIENTE</t>
  </si>
  <si>
    <t>ASSINATURA VENDEDOR – LOCALIDADE</t>
  </si>
  <si>
    <t>Recife</t>
  </si>
  <si>
    <t>ASSINATURA VENDEDOR – DATA DA EMISSÃO</t>
  </si>
  <si>
    <t>ASSINATURA VENDEDOR – LINHA #1</t>
  </si>
  <si>
    <t>ASSINATURA VENDEDOR – LINHA #2</t>
  </si>
  <si>
    <t>UTILIZE OS CAMPOS ACIMA PARA PERSONALIZAR SEU ORÇAMENTO.</t>
  </si>
  <si>
    <t>DADOS DO CLIENTE</t>
  </si>
  <si>
    <t>ORÇAMENTO Nº.</t>
  </si>
  <si>
    <t>UTILIZE OS CAMPOS ABAIXO PARA DEFINIR O FRETE TOTAL</t>
  </si>
  <si>
    <t>DETALHAMENTO DO PEDIDO</t>
  </si>
  <si>
    <t>DESCRIÇÃO DO PRODUTO</t>
  </si>
  <si>
    <t>QTD</t>
  </si>
  <si>
    <t>UND</t>
  </si>
  <si>
    <t>VL. UNIT.</t>
  </si>
  <si>
    <t>VL. TOTAL</t>
  </si>
  <si>
    <t>FRETE UNIT.</t>
  </si>
  <si>
    <t>FRETE TOTAL</t>
  </si>
  <si>
    <t>LITRO</t>
  </si>
  <si>
    <t>KILO</t>
  </si>
  <si>
    <t>TOTAL DO FRETE PARA UNIDADES DISCRIMINADAS ACIMA</t>
  </si>
  <si>
    <t>FRETE PARA ITENS DE UNIDADES NÃO RELACIONADAS ACIMA</t>
  </si>
  <si>
    <t>UTILIZE O SIMULADOR DE DESCONTO ABAIXO PARA DEFINIR</t>
  </si>
  <si>
    <t>O DESCONTO POR PORCENTAGEM OU DIGITE O VALOR</t>
  </si>
  <si>
    <t>DO DESCONTO DIRETAMENTE  NA CÉLULA F48, AO LADO.</t>
  </si>
  <si>
    <t>SIMULADOR DE DESCONTO</t>
  </si>
  <si>
    <t>VALOR TOTAL DO PEDIDO</t>
  </si>
  <si>
    <t>DESCONTO</t>
  </si>
  <si>
    <t>TOTAL PARCIAL (SEM FRETE)</t>
  </si>
  <si>
    <t>CUSTOS COM TRANSPORTE (FRETE)</t>
  </si>
  <si>
    <t>ORÇAMENTO FINAL</t>
  </si>
  <si>
    <t>OBSERVAÇÕES</t>
  </si>
  <si>
    <t>N/A.</t>
  </si>
  <si>
    <t>PARA EDITAR OS DADOS E A LOGOMARCA DE SUA EMPRESA, UTILIZE O MENU FORMATAR &gt;&gt; PÁGINA &gt;&gt; CABEÇALHO.</t>
  </si>
  <si>
    <t>[digite aqui a descrição]</t>
  </si>
  <si>
    <t>00.000.000/0000-00</t>
  </si>
  <si>
    <t>[endereço do cliente]</t>
  </si>
  <si>
    <t>[nome do contato]</t>
  </si>
  <si>
    <t>(00) 0000-0000</t>
  </si>
  <si>
    <t>cliente@email.com</t>
  </si>
  <si>
    <t>[digite a descrição do produto]</t>
  </si>
  <si>
    <t>[nome do vendedor]</t>
  </si>
  <si>
    <t>[digite aqui todas as formas de contato: telefones, email]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</si>
</sst>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dd/mm/yy"/>
    <numFmt numFmtId="166" formatCode="[$R$-416]\ #,##0.00;[Red]\-[$R$-416]\ #,##0.00"/>
    <numFmt numFmtId="167" formatCode="0.0%"/>
  </numFmts>
  <fonts count="20" x14ac:knownFonts="1"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2"/>
      <color indexed="54"/>
      <name val="Arial"/>
      <family val="2"/>
    </font>
    <font>
      <sz val="8"/>
      <color indexed="60"/>
      <name val="Arial"/>
      <family val="2"/>
    </font>
    <font>
      <sz val="9"/>
      <color indexed="9"/>
      <name val="Arial"/>
      <family val="2"/>
    </font>
    <font>
      <sz val="9"/>
      <color indexed="5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i/>
      <sz val="10"/>
      <color indexed="54"/>
      <name val="Arial"/>
      <family val="2"/>
    </font>
    <font>
      <sz val="10"/>
      <color indexed="55"/>
      <name val="Arial"/>
      <family val="2"/>
    </font>
    <font>
      <b/>
      <sz val="10"/>
      <color indexed="54"/>
      <name val="Arial"/>
      <family val="2"/>
    </font>
    <font>
      <sz val="8"/>
      <color indexed="54"/>
      <name val="Arial"/>
      <family val="2"/>
    </font>
    <font>
      <sz val="10"/>
      <color indexed="54"/>
      <name val="Arial"/>
      <family val="2"/>
    </font>
    <font>
      <u/>
      <sz val="8"/>
      <color theme="10"/>
      <name val="Arial"/>
      <family val="2"/>
    </font>
    <font>
      <u/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54"/>
        <bgColor indexed="23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10"/>
        <bgColor indexed="60"/>
      </patternFill>
    </fill>
    <fill>
      <patternFill patternType="solid">
        <fgColor indexed="41"/>
        <bgColor indexed="27"/>
      </patternFill>
    </fill>
    <fill>
      <patternFill patternType="solid">
        <fgColor indexed="8"/>
        <bgColor indexed="58"/>
      </patternFill>
    </fill>
    <fill>
      <patternFill patternType="solid">
        <fgColor indexed="9"/>
        <bgColor indexed="27"/>
      </patternFill>
    </fill>
  </fills>
  <borders count="37">
    <border>
      <left/>
      <right/>
      <top/>
      <bottom/>
      <diagonal/>
    </border>
    <border>
      <left style="hair">
        <color indexed="22"/>
      </left>
      <right/>
      <top/>
      <bottom/>
      <diagonal/>
    </border>
    <border>
      <left/>
      <right style="hair">
        <color indexed="22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hair">
        <color indexed="23"/>
      </right>
      <top/>
      <bottom/>
      <diagonal/>
    </border>
    <border>
      <left style="hair">
        <color indexed="23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indexed="8"/>
      </right>
      <top style="thin">
        <color theme="1"/>
      </top>
      <bottom style="hair">
        <color indexed="8"/>
      </bottom>
      <diagonal/>
    </border>
    <border>
      <left style="hair">
        <color indexed="8"/>
      </left>
      <right style="thin">
        <color theme="1"/>
      </right>
      <top style="thin">
        <color theme="1"/>
      </top>
      <bottom style="hair">
        <color indexed="8"/>
      </bottom>
      <diagonal/>
    </border>
    <border>
      <left style="thin">
        <color theme="1"/>
      </left>
      <right style="hair">
        <color indexed="8"/>
      </right>
      <top style="hair">
        <color indexed="8"/>
      </top>
      <bottom style="thin">
        <color theme="1"/>
      </bottom>
      <diagonal/>
    </border>
    <border>
      <left style="hair">
        <color indexed="8"/>
      </left>
      <right style="thin">
        <color theme="1"/>
      </right>
      <top style="hair">
        <color indexed="8"/>
      </top>
      <bottom style="thin">
        <color theme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vertical="center"/>
      <protection hidden="1"/>
    </xf>
    <xf numFmtId="0" fontId="3" fillId="3" borderId="0" xfId="0" applyFont="1" applyFill="1" applyAlignment="1" applyProtection="1">
      <alignment horizontal="left" vertical="center"/>
      <protection hidden="1"/>
    </xf>
    <xf numFmtId="0" fontId="3" fillId="3" borderId="0" xfId="0" applyFont="1" applyFill="1" applyAlignment="1" applyProtection="1">
      <alignment horizontal="left" vertical="center" wrapText="1"/>
      <protection hidden="1"/>
    </xf>
    <xf numFmtId="0" fontId="3" fillId="3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right"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49" fontId="0" fillId="4" borderId="0" xfId="0" applyNumberFormat="1" applyFont="1" applyFill="1" applyAlignment="1" applyProtection="1">
      <alignment horizontal="center"/>
      <protection hidden="1"/>
    </xf>
    <xf numFmtId="0" fontId="0" fillId="5" borderId="0" xfId="0" applyFont="1" applyFill="1" applyProtection="1"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hidden="1"/>
    </xf>
    <xf numFmtId="0" fontId="0" fillId="6" borderId="0" xfId="0" applyFill="1" applyProtection="1">
      <protection hidden="1"/>
    </xf>
    <xf numFmtId="49" fontId="0" fillId="7" borderId="0" xfId="0" applyNumberFormat="1" applyFont="1" applyFill="1" applyAlignment="1" applyProtection="1">
      <alignment horizontal="center"/>
      <protection hidden="1"/>
    </xf>
    <xf numFmtId="0" fontId="0" fillId="5" borderId="0" xfId="0" applyFont="1" applyFill="1" applyAlignment="1" applyProtection="1">
      <alignment horizontal="center"/>
      <protection locked="0"/>
    </xf>
    <xf numFmtId="4" fontId="0" fillId="5" borderId="0" xfId="0" applyNumberFormat="1" applyFill="1" applyProtection="1">
      <protection locked="0"/>
    </xf>
    <xf numFmtId="0" fontId="0" fillId="0" borderId="0" xfId="0" applyAlignment="1" applyProtection="1">
      <alignment horizontal="left"/>
      <protection hidden="1"/>
    </xf>
    <xf numFmtId="164" fontId="0" fillId="0" borderId="0" xfId="0" applyNumberFormat="1" applyAlignment="1" applyProtection="1">
      <protection hidden="1"/>
    </xf>
    <xf numFmtId="0" fontId="0" fillId="0" borderId="0" xfId="0" applyAlignment="1" applyProtection="1">
      <protection hidden="1"/>
    </xf>
    <xf numFmtId="0" fontId="0" fillId="8" borderId="0" xfId="0" applyFill="1" applyProtection="1">
      <protection hidden="1"/>
    </xf>
    <xf numFmtId="0" fontId="0" fillId="8" borderId="0" xfId="0" applyFill="1" applyAlignment="1" applyProtection="1">
      <alignment horizontal="left"/>
      <protection hidden="1"/>
    </xf>
    <xf numFmtId="164" fontId="0" fillId="8" borderId="0" xfId="0" applyNumberFormat="1" applyFill="1" applyAlignment="1" applyProtection="1">
      <protection hidden="1"/>
    </xf>
    <xf numFmtId="0" fontId="0" fillId="8" borderId="0" xfId="0" applyFill="1" applyAlignment="1" applyProtection="1">
      <protection hidden="1"/>
    </xf>
    <xf numFmtId="0" fontId="6" fillId="4" borderId="1" xfId="0" applyFont="1" applyFill="1" applyBorder="1" applyAlignment="1" applyProtection="1">
      <alignment horizontal="right" vertical="center"/>
      <protection hidden="1"/>
    </xf>
    <xf numFmtId="0" fontId="0" fillId="4" borderId="0" xfId="0" applyFont="1" applyFill="1" applyAlignment="1" applyProtection="1">
      <alignment horizontal="left"/>
      <protection hidden="1"/>
    </xf>
    <xf numFmtId="49" fontId="0" fillId="5" borderId="0" xfId="0" applyNumberFormat="1" applyFont="1" applyFill="1" applyAlignment="1" applyProtection="1">
      <protection locked="0"/>
    </xf>
    <xf numFmtId="0" fontId="0" fillId="4" borderId="0" xfId="0" applyFont="1" applyFill="1" applyProtection="1">
      <protection hidden="1"/>
    </xf>
    <xf numFmtId="0" fontId="0" fillId="4" borderId="1" xfId="0" applyFill="1" applyBorder="1" applyProtection="1">
      <protection hidden="1"/>
    </xf>
    <xf numFmtId="164" fontId="0" fillId="4" borderId="0" xfId="0" applyNumberFormat="1" applyFill="1" applyAlignment="1" applyProtection="1">
      <protection hidden="1"/>
    </xf>
    <xf numFmtId="0" fontId="0" fillId="4" borderId="0" xfId="0" applyFill="1" applyAlignment="1" applyProtection="1">
      <protection hidden="1"/>
    </xf>
    <xf numFmtId="0" fontId="0" fillId="4" borderId="2" xfId="0" applyFill="1" applyBorder="1" applyAlignment="1" applyProtection="1"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left"/>
      <protection hidden="1"/>
    </xf>
    <xf numFmtId="164" fontId="10" fillId="0" borderId="0" xfId="0" applyNumberFormat="1" applyFont="1" applyAlignment="1" applyProtection="1">
      <protection hidden="1"/>
    </xf>
    <xf numFmtId="0" fontId="10" fillId="0" borderId="0" xfId="0" applyFont="1" applyProtection="1">
      <protection hidden="1"/>
    </xf>
    <xf numFmtId="0" fontId="0" fillId="0" borderId="0" xfId="0" applyFont="1" applyFill="1" applyBorder="1" applyAlignment="1" applyProtection="1">
      <alignment horizontal="left"/>
      <protection hidden="1"/>
    </xf>
    <xf numFmtId="0" fontId="0" fillId="0" borderId="0" xfId="0" applyFont="1" applyFill="1" applyBorder="1" applyProtection="1">
      <protection hidden="1"/>
    </xf>
    <xf numFmtId="164" fontId="0" fillId="0" borderId="0" xfId="0" applyNumberFormat="1" applyFont="1" applyFill="1" applyAlignment="1" applyProtection="1">
      <protection hidden="1"/>
    </xf>
    <xf numFmtId="0" fontId="0" fillId="0" borderId="0" xfId="0" applyFont="1" applyAlignment="1" applyProtection="1">
      <alignment horizontal="left"/>
      <protection hidden="1"/>
    </xf>
    <xf numFmtId="0" fontId="0" fillId="0" borderId="0" xfId="0" applyFont="1" applyProtection="1">
      <protection hidden="1"/>
    </xf>
    <xf numFmtId="0" fontId="0" fillId="0" borderId="0" xfId="0" applyFont="1" applyFill="1" applyProtection="1">
      <protection hidden="1"/>
    </xf>
    <xf numFmtId="0" fontId="0" fillId="0" borderId="0" xfId="0" applyFont="1" applyAlignment="1" applyProtection="1">
      <protection hidden="1"/>
    </xf>
    <xf numFmtId="0" fontId="9" fillId="0" borderId="0" xfId="0" applyFont="1" applyFill="1" applyAlignment="1" applyProtection="1">
      <alignment horizontal="left" vertical="center"/>
      <protection hidden="1"/>
    </xf>
    <xf numFmtId="0" fontId="10" fillId="0" borderId="0" xfId="0" applyFont="1" applyFill="1" applyAlignment="1" applyProtection="1">
      <alignment horizontal="left" vertical="center"/>
      <protection hidden="1"/>
    </xf>
    <xf numFmtId="164" fontId="10" fillId="0" borderId="0" xfId="0" applyNumberFormat="1" applyFont="1" applyFill="1" applyAlignment="1" applyProtection="1">
      <alignment vertical="center"/>
      <protection hidden="1"/>
    </xf>
    <xf numFmtId="0" fontId="10" fillId="0" borderId="0" xfId="0" applyFont="1" applyFill="1" applyAlignment="1" applyProtection="1">
      <alignment vertical="center"/>
      <protection hidden="1"/>
    </xf>
    <xf numFmtId="0" fontId="0" fillId="9" borderId="3" xfId="0" applyFill="1" applyBorder="1" applyAlignment="1" applyProtection="1">
      <alignment horizontal="left"/>
      <protection hidden="1"/>
    </xf>
    <xf numFmtId="164" fontId="0" fillId="5" borderId="3" xfId="0" applyNumberFormat="1" applyFill="1" applyBorder="1" applyAlignment="1" applyProtection="1">
      <protection locked="0"/>
    </xf>
    <xf numFmtId="0" fontId="0" fillId="9" borderId="3" xfId="0" applyFill="1" applyBorder="1" applyAlignment="1" applyProtection="1">
      <alignment horizontal="center"/>
      <protection hidden="1"/>
    </xf>
    <xf numFmtId="166" fontId="0" fillId="9" borderId="3" xfId="0" applyNumberFormat="1" applyFill="1" applyBorder="1" applyAlignment="1" applyProtection="1">
      <protection hidden="1"/>
    </xf>
    <xf numFmtId="0" fontId="0" fillId="0" borderId="0" xfId="0" applyFont="1" applyAlignment="1" applyProtection="1">
      <alignment vertical="center"/>
      <protection hidden="1"/>
    </xf>
    <xf numFmtId="0" fontId="19" fillId="0" borderId="0" xfId="1" applyFont="1" applyFill="1" applyAlignment="1" applyProtection="1">
      <alignment horizontal="center" vertical="center" wrapText="1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4" fillId="8" borderId="0" xfId="0" applyFont="1" applyFill="1" applyBorder="1" applyAlignment="1" applyProtection="1">
      <alignment horizontal="center"/>
      <protection hidden="1"/>
    </xf>
    <xf numFmtId="164" fontId="4" fillId="8" borderId="0" xfId="0" applyNumberFormat="1" applyFont="1" applyFill="1" applyBorder="1" applyAlignment="1" applyProtection="1">
      <alignment horizontal="center"/>
      <protection hidden="1"/>
    </xf>
    <xf numFmtId="0" fontId="4" fillId="8" borderId="0" xfId="0" applyFont="1" applyFill="1" applyBorder="1" applyAlignment="1" applyProtection="1">
      <alignment horizontal="left"/>
      <protection hidden="1"/>
    </xf>
    <xf numFmtId="0" fontId="4" fillId="7" borderId="19" xfId="0" applyFont="1" applyFill="1" applyBorder="1" applyAlignment="1" applyProtection="1">
      <alignment horizontal="center" vertical="center"/>
      <protection hidden="1"/>
    </xf>
    <xf numFmtId="0" fontId="4" fillId="7" borderId="20" xfId="0" applyFont="1" applyFill="1" applyBorder="1" applyAlignment="1" applyProtection="1">
      <alignment horizontal="center" vertical="center"/>
      <protection hidden="1"/>
    </xf>
    <xf numFmtId="164" fontId="4" fillId="7" borderId="20" xfId="0" applyNumberFormat="1" applyFont="1" applyFill="1" applyBorder="1" applyAlignment="1" applyProtection="1">
      <alignment horizontal="center" vertical="center"/>
      <protection hidden="1"/>
    </xf>
    <xf numFmtId="0" fontId="4" fillId="7" borderId="21" xfId="0" applyFont="1" applyFill="1" applyBorder="1" applyAlignment="1" applyProtection="1">
      <alignment horizontal="center" vertical="center"/>
      <protection hidden="1"/>
    </xf>
    <xf numFmtId="0" fontId="4" fillId="8" borderId="22" xfId="0" applyFont="1" applyFill="1" applyBorder="1" applyAlignment="1" applyProtection="1">
      <alignment horizontal="center"/>
      <protection hidden="1"/>
    </xf>
    <xf numFmtId="0" fontId="4" fillId="8" borderId="23" xfId="0" applyFont="1" applyFill="1" applyBorder="1" applyAlignment="1" applyProtection="1">
      <alignment horizontal="center"/>
      <protection hidden="1"/>
    </xf>
    <xf numFmtId="49" fontId="0" fillId="5" borderId="24" xfId="0" applyNumberFormat="1" applyFont="1" applyFill="1" applyBorder="1" applyAlignment="1" applyProtection="1">
      <alignment horizontal="center"/>
      <protection locked="0"/>
    </xf>
    <xf numFmtId="166" fontId="0" fillId="9" borderId="25" xfId="0" applyNumberFormat="1" applyFill="1" applyBorder="1" applyAlignment="1" applyProtection="1">
      <protection hidden="1"/>
    </xf>
    <xf numFmtId="166" fontId="9" fillId="7" borderId="26" xfId="0" applyNumberFormat="1" applyFont="1" applyFill="1" applyBorder="1" applyAlignment="1" applyProtection="1">
      <alignment vertical="center"/>
      <protection hidden="1"/>
    </xf>
    <xf numFmtId="0" fontId="13" fillId="0" borderId="22" xfId="0" applyFont="1" applyFill="1" applyBorder="1" applyAlignment="1" applyProtection="1">
      <protection hidden="1"/>
    </xf>
    <xf numFmtId="0" fontId="13" fillId="0" borderId="0" xfId="0" applyFont="1" applyFill="1" applyBorder="1" applyAlignment="1" applyProtection="1">
      <alignment horizontal="left"/>
      <protection hidden="1"/>
    </xf>
    <xf numFmtId="164" fontId="13" fillId="0" borderId="0" xfId="0" applyNumberFormat="1" applyFont="1" applyFill="1" applyBorder="1" applyAlignment="1" applyProtection="1">
      <protection hidden="1"/>
    </xf>
    <xf numFmtId="10" fontId="13" fillId="0" borderId="0" xfId="0" applyNumberFormat="1" applyFont="1" applyFill="1" applyBorder="1" applyAlignment="1" applyProtection="1">
      <protection hidden="1"/>
    </xf>
    <xf numFmtId="0" fontId="9" fillId="7" borderId="27" xfId="0" applyFont="1" applyFill="1" applyBorder="1" applyAlignment="1" applyProtection="1">
      <alignment vertical="center"/>
      <protection hidden="1"/>
    </xf>
    <xf numFmtId="0" fontId="9" fillId="7" borderId="28" xfId="0" applyFont="1" applyFill="1" applyBorder="1" applyAlignment="1" applyProtection="1">
      <alignment horizontal="left" vertical="center"/>
      <protection hidden="1"/>
    </xf>
    <xf numFmtId="164" fontId="9" fillId="7" borderId="28" xfId="0" applyNumberFormat="1" applyFont="1" applyFill="1" applyBorder="1" applyAlignment="1" applyProtection="1">
      <alignment vertical="center"/>
      <protection hidden="1"/>
    </xf>
    <xf numFmtId="0" fontId="9" fillId="7" borderId="28" xfId="0" applyFont="1" applyFill="1" applyBorder="1" applyAlignment="1" applyProtection="1">
      <alignment vertical="center"/>
      <protection hidden="1"/>
    </xf>
    <xf numFmtId="0" fontId="0" fillId="8" borderId="22" xfId="0" applyFill="1" applyBorder="1" applyProtection="1">
      <protection hidden="1"/>
    </xf>
    <xf numFmtId="0" fontId="0" fillId="8" borderId="0" xfId="0" applyFill="1" applyBorder="1" applyAlignment="1" applyProtection="1">
      <alignment horizontal="left"/>
      <protection hidden="1"/>
    </xf>
    <xf numFmtId="164" fontId="0" fillId="8" borderId="0" xfId="0" applyNumberFormat="1" applyFill="1" applyBorder="1" applyAlignment="1" applyProtection="1">
      <protection hidden="1"/>
    </xf>
    <xf numFmtId="0" fontId="0" fillId="8" borderId="0" xfId="0" applyFill="1" applyBorder="1" applyAlignment="1" applyProtection="1">
      <protection hidden="1"/>
    </xf>
    <xf numFmtId="0" fontId="0" fillId="8" borderId="23" xfId="0" applyFill="1" applyBorder="1" applyAlignment="1" applyProtection="1">
      <protection hidden="1"/>
    </xf>
    <xf numFmtId="166" fontId="15" fillId="5" borderId="26" xfId="0" applyNumberFormat="1" applyFont="1" applyFill="1" applyBorder="1" applyAlignment="1" applyProtection="1">
      <protection locked="0"/>
    </xf>
    <xf numFmtId="167" fontId="13" fillId="0" borderId="0" xfId="0" applyNumberFormat="1" applyFont="1" applyFill="1" applyBorder="1" applyAlignment="1" applyProtection="1">
      <protection hidden="1"/>
    </xf>
    <xf numFmtId="0" fontId="15" fillId="0" borderId="29" xfId="0" applyFont="1" applyFill="1" applyBorder="1" applyAlignment="1" applyProtection="1">
      <protection hidden="1"/>
    </xf>
    <xf numFmtId="0" fontId="15" fillId="0" borderId="30" xfId="0" applyFont="1" applyFill="1" applyBorder="1" applyAlignment="1" applyProtection="1">
      <alignment horizontal="left"/>
      <protection hidden="1"/>
    </xf>
    <xf numFmtId="164" fontId="15" fillId="0" borderId="30" xfId="0" applyNumberFormat="1" applyFont="1" applyFill="1" applyBorder="1" applyAlignment="1" applyProtection="1">
      <protection hidden="1"/>
    </xf>
    <xf numFmtId="0" fontId="15" fillId="0" borderId="31" xfId="0" applyFont="1" applyFill="1" applyBorder="1" applyAlignment="1" applyProtection="1">
      <protection hidden="1"/>
    </xf>
    <xf numFmtId="166" fontId="13" fillId="0" borderId="32" xfId="0" applyNumberFormat="1" applyFont="1" applyFill="1" applyBorder="1" applyAlignment="1" applyProtection="1">
      <protection hidden="1"/>
    </xf>
    <xf numFmtId="166" fontId="13" fillId="5" borderId="32" xfId="0" applyNumberFormat="1" applyFont="1" applyFill="1" applyBorder="1" applyAlignment="1" applyProtection="1">
      <protection locked="0"/>
    </xf>
    <xf numFmtId="0" fontId="4" fillId="7" borderId="29" xfId="0" applyFont="1" applyFill="1" applyBorder="1" applyAlignment="1" applyProtection="1">
      <protection hidden="1"/>
    </xf>
    <xf numFmtId="0" fontId="4" fillId="7" borderId="30" xfId="0" applyFont="1" applyFill="1" applyBorder="1" applyAlignment="1" applyProtection="1">
      <alignment horizontal="left"/>
      <protection hidden="1"/>
    </xf>
    <xf numFmtId="164" fontId="4" fillId="7" borderId="30" xfId="0" applyNumberFormat="1" applyFont="1" applyFill="1" applyBorder="1" applyAlignment="1" applyProtection="1">
      <protection hidden="1"/>
    </xf>
    <xf numFmtId="166" fontId="4" fillId="7" borderId="31" xfId="0" applyNumberFormat="1" applyFont="1" applyFill="1" applyBorder="1" applyAlignment="1" applyProtection="1">
      <protection hidden="1"/>
    </xf>
    <xf numFmtId="0" fontId="0" fillId="8" borderId="9" xfId="0" applyFill="1" applyBorder="1" applyAlignment="1" applyProtection="1">
      <protection hidden="1"/>
    </xf>
    <xf numFmtId="0" fontId="0" fillId="8" borderId="11" xfId="0" applyFill="1" applyBorder="1" applyAlignment="1" applyProtection="1">
      <protection hidden="1"/>
    </xf>
    <xf numFmtId="167" fontId="14" fillId="0" borderId="9" xfId="0" applyNumberFormat="1" applyFont="1" applyBorder="1" applyAlignment="1" applyProtection="1">
      <alignment horizontal="right"/>
      <protection hidden="1"/>
    </xf>
    <xf numFmtId="166" fontId="14" fillId="0" borderId="11" xfId="0" applyNumberFormat="1" applyFont="1" applyBorder="1" applyProtection="1">
      <protection hidden="1"/>
    </xf>
    <xf numFmtId="166" fontId="0" fillId="0" borderId="11" xfId="0" applyNumberFormat="1" applyBorder="1" applyProtection="1">
      <protection hidden="1"/>
    </xf>
    <xf numFmtId="167" fontId="0" fillId="5" borderId="12" xfId="0" applyNumberFormat="1" applyFill="1" applyBorder="1" applyAlignment="1" applyProtection="1">
      <alignment horizontal="right"/>
      <protection locked="0"/>
    </xf>
    <xf numFmtId="0" fontId="4" fillId="0" borderId="0" xfId="0" applyFont="1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0" fillId="0" borderId="28" xfId="0" applyBorder="1" applyProtection="1">
      <protection hidden="1"/>
    </xf>
    <xf numFmtId="0" fontId="0" fillId="0" borderId="28" xfId="0" applyBorder="1" applyAlignment="1" applyProtection="1">
      <alignment horizontal="left"/>
      <protection hidden="1"/>
    </xf>
    <xf numFmtId="0" fontId="0" fillId="5" borderId="4" xfId="0" applyFont="1" applyFill="1" applyBorder="1" applyAlignment="1" applyProtection="1">
      <alignment horizontal="center"/>
      <protection locked="0"/>
    </xf>
    <xf numFmtId="0" fontId="0" fillId="5" borderId="0" xfId="0" applyFont="1" applyFill="1" applyBorder="1" applyProtection="1">
      <protection locked="0"/>
    </xf>
    <xf numFmtId="166" fontId="0" fillId="5" borderId="0" xfId="0" applyNumberFormat="1" applyFill="1" applyBorder="1" applyProtection="1">
      <protection locked="0"/>
    </xf>
    <xf numFmtId="164" fontId="0" fillId="0" borderId="0" xfId="0" applyNumberFormat="1" applyBorder="1" applyProtection="1">
      <protection hidden="1"/>
    </xf>
    <xf numFmtId="166" fontId="0" fillId="0" borderId="5" xfId="0" applyNumberFormat="1" applyBorder="1" applyProtection="1">
      <protection hidden="1"/>
    </xf>
    <xf numFmtId="166" fontId="4" fillId="7" borderId="6" xfId="0" applyNumberFormat="1" applyFont="1" applyFill="1" applyBorder="1" applyAlignment="1" applyProtection="1">
      <alignment vertical="center"/>
      <protection hidden="1"/>
    </xf>
    <xf numFmtId="0" fontId="4" fillId="7" borderId="7" xfId="0" applyFont="1" applyFill="1" applyBorder="1" applyAlignment="1" applyProtection="1">
      <alignment vertical="center"/>
      <protection hidden="1"/>
    </xf>
    <xf numFmtId="0" fontId="4" fillId="7" borderId="8" xfId="0" applyFont="1" applyFill="1" applyBorder="1" applyProtection="1">
      <protection hidden="1"/>
    </xf>
    <xf numFmtId="166" fontId="4" fillId="7" borderId="11" xfId="0" applyNumberFormat="1" applyFont="1" applyFill="1" applyBorder="1" applyAlignment="1" applyProtection="1">
      <alignment vertical="center"/>
      <protection hidden="1"/>
    </xf>
    <xf numFmtId="0" fontId="4" fillId="8" borderId="9" xfId="0" applyFont="1" applyFill="1" applyBorder="1" applyAlignment="1" applyProtection="1">
      <alignment horizontal="center"/>
      <protection hidden="1"/>
    </xf>
    <xf numFmtId="0" fontId="4" fillId="8" borderId="10" xfId="0" applyFont="1" applyFill="1" applyBorder="1" applyAlignment="1" applyProtection="1">
      <alignment horizontal="center"/>
      <protection hidden="1"/>
    </xf>
    <xf numFmtId="0" fontId="4" fillId="8" borderId="11" xfId="0" applyFont="1" applyFill="1" applyBorder="1" applyAlignment="1" applyProtection="1">
      <alignment horizontal="center"/>
      <protection hidden="1"/>
    </xf>
    <xf numFmtId="49" fontId="0" fillId="5" borderId="24" xfId="0" applyNumberFormat="1" applyFill="1" applyBorder="1" applyAlignment="1" applyProtection="1">
      <alignment horizontal="center"/>
      <protection locked="0"/>
    </xf>
    <xf numFmtId="166" fontId="17" fillId="5" borderId="12" xfId="0" applyNumberFormat="1" applyFont="1" applyFill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1" fillId="5" borderId="33" xfId="0" applyFont="1" applyFill="1" applyBorder="1" applyAlignment="1" applyProtection="1">
      <alignment horizontal="center" vertical="center"/>
      <protection locked="0"/>
    </xf>
    <xf numFmtId="0" fontId="11" fillId="5" borderId="34" xfId="0" applyFont="1" applyFill="1" applyBorder="1" applyAlignment="1" applyProtection="1">
      <alignment horizontal="center" vertical="center"/>
      <protection locked="0"/>
    </xf>
    <xf numFmtId="0" fontId="11" fillId="5" borderId="35" xfId="0" applyFont="1" applyFill="1" applyBorder="1" applyAlignment="1" applyProtection="1">
      <alignment horizontal="center" vertical="center"/>
      <protection locked="0"/>
    </xf>
    <xf numFmtId="0" fontId="11" fillId="5" borderId="36" xfId="0" applyFont="1" applyFill="1" applyBorder="1" applyAlignment="1" applyProtection="1">
      <alignment horizontal="center" vertical="center"/>
      <protection locked="0"/>
    </xf>
    <xf numFmtId="0" fontId="5" fillId="4" borderId="16" xfId="0" applyFont="1" applyFill="1" applyBorder="1" applyAlignment="1" applyProtection="1">
      <alignment horizontal="left" vertical="center"/>
      <protection hidden="1"/>
    </xf>
    <xf numFmtId="0" fontId="19" fillId="9" borderId="0" xfId="1" applyFont="1" applyFill="1" applyAlignment="1" applyProtection="1">
      <alignment horizontal="center"/>
      <protection hidden="1"/>
    </xf>
    <xf numFmtId="0" fontId="19" fillId="9" borderId="0" xfId="0" applyFont="1" applyFill="1" applyAlignment="1" applyProtection="1">
      <alignment horizontal="center"/>
      <protection hidden="1"/>
    </xf>
    <xf numFmtId="164" fontId="0" fillId="5" borderId="2" xfId="0" applyNumberFormat="1" applyFont="1" applyFill="1" applyBorder="1" applyAlignment="1" applyProtection="1">
      <protection locked="0"/>
    </xf>
    <xf numFmtId="165" fontId="0" fillId="5" borderId="2" xfId="0" applyNumberFormat="1" applyFill="1" applyBorder="1" applyAlignment="1" applyProtection="1">
      <alignment horizontal="left"/>
      <protection locked="0"/>
    </xf>
    <xf numFmtId="0" fontId="7" fillId="3" borderId="16" xfId="0" applyFont="1" applyFill="1" applyBorder="1" applyAlignment="1" applyProtection="1">
      <alignment horizontal="center" vertical="center" wrapText="1"/>
      <protection hidden="1"/>
    </xf>
    <xf numFmtId="0" fontId="7" fillId="3" borderId="18" xfId="0" applyFont="1" applyFill="1" applyBorder="1" applyAlignment="1" applyProtection="1">
      <alignment horizontal="center" vertical="center" wrapText="1"/>
      <protection hidden="1"/>
    </xf>
    <xf numFmtId="0" fontId="8" fillId="4" borderId="18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4" fillId="7" borderId="13" xfId="0" applyFont="1" applyFill="1" applyBorder="1" applyAlignment="1" applyProtection="1">
      <alignment horizontal="center"/>
      <protection hidden="1"/>
    </xf>
    <xf numFmtId="0" fontId="4" fillId="7" borderId="14" xfId="0" applyFont="1" applyFill="1" applyBorder="1" applyAlignment="1" applyProtection="1">
      <alignment horizontal="center"/>
      <protection hidden="1"/>
    </xf>
    <xf numFmtId="0" fontId="0" fillId="5" borderId="13" xfId="0" applyFont="1" applyFill="1" applyBorder="1" applyAlignment="1" applyProtection="1">
      <alignment horizontal="left" vertical="top" wrapText="1"/>
      <protection locked="0"/>
    </xf>
    <xf numFmtId="0" fontId="0" fillId="5" borderId="15" xfId="0" applyFont="1" applyFill="1" applyBorder="1" applyAlignment="1" applyProtection="1">
      <alignment horizontal="left" vertical="top" wrapText="1"/>
      <protection locked="0"/>
    </xf>
    <xf numFmtId="0" fontId="0" fillId="5" borderId="14" xfId="0" applyFont="1" applyFill="1" applyBorder="1" applyAlignment="1" applyProtection="1">
      <alignment horizontal="left" vertical="top" wrapText="1"/>
      <protection locked="0"/>
    </xf>
    <xf numFmtId="0" fontId="12" fillId="7" borderId="9" xfId="0" applyFont="1" applyFill="1" applyBorder="1" applyAlignment="1" applyProtection="1">
      <alignment vertical="center"/>
      <protection hidden="1"/>
    </xf>
    <xf numFmtId="0" fontId="12" fillId="7" borderId="17" xfId="0" applyFont="1" applyFill="1" applyBorder="1" applyAlignment="1" applyProtection="1">
      <alignment vertical="center"/>
      <protection hidden="1"/>
    </xf>
    <xf numFmtId="0" fontId="16" fillId="9" borderId="9" xfId="0" applyFont="1" applyFill="1" applyBorder="1" applyAlignment="1" applyProtection="1">
      <alignment vertical="center"/>
      <protection hidden="1"/>
    </xf>
    <xf numFmtId="0" fontId="16" fillId="9" borderId="17" xfId="0" applyFont="1" applyFill="1" applyBorder="1" applyAlignment="1" applyProtection="1">
      <alignment vertical="center"/>
      <protection hidden="1"/>
    </xf>
    <xf numFmtId="0" fontId="16" fillId="9" borderId="14" xfId="0" applyFont="1" applyFill="1" applyBorder="1" applyAlignment="1" applyProtection="1">
      <alignment vertical="center"/>
      <protection hidden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2F2F2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E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003366"/>
      <rgbColor rgb="00339966"/>
      <rgbColor rgb="00003300"/>
      <rgbColor rgb="00333300"/>
      <rgbColor rgb="00DC2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48</xdr:row>
      <xdr:rowOff>200025</xdr:rowOff>
    </xdr:from>
    <xdr:to>
      <xdr:col>8</xdr:col>
      <xdr:colOff>76200</xdr:colOff>
      <xdr:row>50</xdr:row>
      <xdr:rowOff>0</xdr:rowOff>
    </xdr:to>
    <xdr:sp macro="" textlink="">
      <xdr:nvSpPr>
        <xdr:cNvPr id="3121" name="AutoShape 1"/>
        <xdr:cNvSpPr>
          <a:spLocks noChangeArrowheads="1"/>
        </xdr:cNvSpPr>
      </xdr:nvSpPr>
      <xdr:spPr bwMode="auto">
        <a:xfrm>
          <a:off x="7591425" y="10267950"/>
          <a:ext cx="904875" cy="219075"/>
        </a:xfrm>
        <a:prstGeom prst="leftArrow">
          <a:avLst>
            <a:gd name="adj1" fmla="val 45546"/>
            <a:gd name="adj2" fmla="val 149767"/>
          </a:avLst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51</xdr:row>
      <xdr:rowOff>9525</xdr:rowOff>
    </xdr:from>
    <xdr:to>
      <xdr:col>13</xdr:col>
      <xdr:colOff>1076325</xdr:colOff>
      <xdr:row>52</xdr:row>
      <xdr:rowOff>19050</xdr:rowOff>
    </xdr:to>
    <xdr:sp macro="" textlink="">
      <xdr:nvSpPr>
        <xdr:cNvPr id="3122" name="AutoShape 2"/>
        <xdr:cNvSpPr>
          <a:spLocks noChangeArrowheads="1"/>
        </xdr:cNvSpPr>
      </xdr:nvSpPr>
      <xdr:spPr bwMode="auto">
        <a:xfrm>
          <a:off x="7591425" y="10706100"/>
          <a:ext cx="6115050" cy="219075"/>
        </a:xfrm>
        <a:prstGeom prst="leftArrow">
          <a:avLst>
            <a:gd name="adj1" fmla="val 45222"/>
            <a:gd name="adj2" fmla="val 128452"/>
          </a:avLst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971550</xdr:colOff>
      <xdr:row>39</xdr:row>
      <xdr:rowOff>123825</xdr:rowOff>
    </xdr:from>
    <xdr:to>
      <xdr:col>13</xdr:col>
      <xdr:colOff>1076325</xdr:colOff>
      <xdr:row>51</xdr:row>
      <xdr:rowOff>171450</xdr:rowOff>
    </xdr:to>
    <xdr:sp macro="" textlink="">
      <xdr:nvSpPr>
        <xdr:cNvPr id="3123" name="Rectangle 3"/>
        <xdr:cNvSpPr>
          <a:spLocks noChangeArrowheads="1"/>
        </xdr:cNvSpPr>
      </xdr:nvSpPr>
      <xdr:spPr bwMode="auto">
        <a:xfrm>
          <a:off x="13601700" y="8448675"/>
          <a:ext cx="104775" cy="2419350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mail@vendedor.co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defaultGridColor="0" colorId="41" zoomScale="80" zoomScaleNormal="80" workbookViewId="0">
      <pane ySplit="4" topLeftCell="A5" activePane="bottomLeft" state="frozen"/>
      <selection pane="bottomLeft" activeCell="C1" sqref="C1"/>
    </sheetView>
  </sheetViews>
  <sheetFormatPr defaultColWidth="11.5703125" defaultRowHeight="12.75" x14ac:dyDescent="0.2"/>
  <cols>
    <col min="1" max="1" width="10.140625" style="1" customWidth="1"/>
    <col min="2" max="2" width="31.28515625" style="2" customWidth="1"/>
    <col min="3" max="3" width="32" style="2" customWidth="1"/>
    <col min="4" max="4" width="61.28515625" style="2" customWidth="1"/>
    <col min="5" max="5" width="25" style="2" customWidth="1"/>
    <col min="6" max="6" width="17.85546875" style="1" customWidth="1"/>
    <col min="7" max="7" width="35" style="2" customWidth="1"/>
    <col min="8" max="16384" width="11.5703125" style="2"/>
  </cols>
  <sheetData>
    <row r="1" spans="1:7" s="4" customFormat="1" ht="33.950000000000003" customHeight="1" x14ac:dyDescent="0.25">
      <c r="A1" s="126" t="str">
        <f>"LISTA DE CLIENTES ("&amp;COUNTA(B7:B156)&amp;"/"&amp;COUNTA(A7:A156)&amp;")"</f>
        <v>LISTA DE CLIENTES (1/150)</v>
      </c>
      <c r="B1" s="126"/>
      <c r="C1" s="64" t="str">
        <f>HYPERLINK("#orçamento!A4","VOLTAR PARA O ORÇAMENTO")</f>
        <v>VOLTAR PARA O ORÇAMENTO</v>
      </c>
      <c r="E1" s="3"/>
      <c r="F1" s="5"/>
      <c r="G1" s="3"/>
    </row>
    <row r="2" spans="1:7" ht="2.85" customHeight="1" x14ac:dyDescent="0.2">
      <c r="A2" s="6"/>
      <c r="B2" s="7"/>
      <c r="C2" s="6"/>
      <c r="D2" s="7"/>
      <c r="E2" s="7"/>
      <c r="F2" s="6"/>
      <c r="G2" s="6"/>
    </row>
    <row r="3" spans="1:7" hidden="1" x14ac:dyDescent="0.2">
      <c r="C3" s="1"/>
      <c r="G3" s="1"/>
    </row>
    <row r="4" spans="1:7" s="13" customFormat="1" ht="28.35" customHeight="1" x14ac:dyDescent="0.2">
      <c r="A4" s="8" t="s">
        <v>0</v>
      </c>
      <c r="B4" s="9" t="s">
        <v>1</v>
      </c>
      <c r="C4" s="10" t="s">
        <v>2</v>
      </c>
      <c r="D4" s="11" t="s">
        <v>3</v>
      </c>
      <c r="E4" s="11" t="s">
        <v>4</v>
      </c>
      <c r="F4" s="12" t="s">
        <v>5</v>
      </c>
      <c r="G4" s="12" t="s">
        <v>6</v>
      </c>
    </row>
    <row r="5" spans="1:7" s="13" customFormat="1" ht="2.85" customHeight="1" x14ac:dyDescent="0.2">
      <c r="A5" s="14"/>
      <c r="B5" s="15"/>
      <c r="C5" s="14"/>
      <c r="D5" s="16"/>
      <c r="E5" s="16"/>
      <c r="F5" s="17"/>
      <c r="G5" s="17"/>
    </row>
    <row r="6" spans="1:7" hidden="1" x14ac:dyDescent="0.2">
      <c r="A6" s="18"/>
      <c r="B6" s="19"/>
      <c r="C6" s="19"/>
      <c r="D6" s="19"/>
      <c r="E6" s="19"/>
      <c r="F6" s="18"/>
      <c r="G6" s="18"/>
    </row>
    <row r="7" spans="1:7" x14ac:dyDescent="0.2">
      <c r="A7" s="20" t="s">
        <v>7</v>
      </c>
      <c r="B7" s="21" t="s">
        <v>397</v>
      </c>
      <c r="C7" s="21" t="s">
        <v>398</v>
      </c>
      <c r="D7" s="21" t="s">
        <v>399</v>
      </c>
      <c r="E7" s="21" t="s">
        <v>400</v>
      </c>
      <c r="F7" s="22" t="s">
        <v>401</v>
      </c>
      <c r="G7" s="22" t="s">
        <v>402</v>
      </c>
    </row>
    <row r="8" spans="1:7" x14ac:dyDescent="0.2">
      <c r="A8" s="20" t="s">
        <v>8</v>
      </c>
      <c r="B8" s="21"/>
      <c r="C8" s="21"/>
      <c r="D8" s="21"/>
      <c r="E8" s="21"/>
      <c r="F8" s="22"/>
      <c r="G8" s="22"/>
    </row>
    <row r="9" spans="1:7" x14ac:dyDescent="0.2">
      <c r="A9" s="20" t="s">
        <v>9</v>
      </c>
      <c r="B9" s="21"/>
      <c r="C9" s="21"/>
      <c r="D9" s="21"/>
      <c r="E9" s="21"/>
      <c r="F9" s="22"/>
      <c r="G9" s="22"/>
    </row>
    <row r="10" spans="1:7" x14ac:dyDescent="0.2">
      <c r="A10" s="20" t="s">
        <v>10</v>
      </c>
      <c r="B10" s="21"/>
      <c r="C10" s="21"/>
      <c r="D10" s="21"/>
      <c r="E10" s="21"/>
      <c r="F10" s="22"/>
      <c r="G10" s="22"/>
    </row>
    <row r="11" spans="1:7" x14ac:dyDescent="0.2">
      <c r="A11" s="20" t="s">
        <v>11</v>
      </c>
      <c r="B11" s="21"/>
      <c r="C11" s="21"/>
      <c r="D11" s="21"/>
      <c r="E11" s="21"/>
      <c r="F11" s="22"/>
      <c r="G11" s="22"/>
    </row>
    <row r="12" spans="1:7" x14ac:dyDescent="0.2">
      <c r="A12" s="20" t="s">
        <v>12</v>
      </c>
      <c r="B12" s="21"/>
      <c r="C12" s="21"/>
      <c r="D12" s="21"/>
      <c r="E12" s="21"/>
      <c r="F12" s="22"/>
      <c r="G12" s="22"/>
    </row>
    <row r="13" spans="1:7" x14ac:dyDescent="0.2">
      <c r="A13" s="20" t="s">
        <v>13</v>
      </c>
      <c r="B13" s="21"/>
      <c r="C13" s="21"/>
      <c r="D13" s="21"/>
      <c r="E13" s="21"/>
      <c r="F13" s="22"/>
      <c r="G13" s="22"/>
    </row>
    <row r="14" spans="1:7" x14ac:dyDescent="0.2">
      <c r="A14" s="20" t="s">
        <v>14</v>
      </c>
      <c r="B14" s="21"/>
      <c r="C14" s="21"/>
      <c r="D14" s="21"/>
      <c r="E14" s="21"/>
      <c r="F14" s="22"/>
      <c r="G14" s="22"/>
    </row>
    <row r="15" spans="1:7" x14ac:dyDescent="0.2">
      <c r="A15" s="20" t="s">
        <v>15</v>
      </c>
      <c r="B15" s="21"/>
      <c r="C15" s="21"/>
      <c r="D15" s="21"/>
      <c r="E15" s="21"/>
      <c r="F15" s="22"/>
      <c r="G15" s="22"/>
    </row>
    <row r="16" spans="1:7" x14ac:dyDescent="0.2">
      <c r="A16" s="20" t="s">
        <v>16</v>
      </c>
      <c r="B16" s="21"/>
      <c r="C16" s="21"/>
      <c r="D16" s="21"/>
      <c r="E16" s="21"/>
      <c r="F16" s="22"/>
      <c r="G16" s="22"/>
    </row>
    <row r="17" spans="1:7" x14ac:dyDescent="0.2">
      <c r="A17" s="20" t="s">
        <v>17</v>
      </c>
      <c r="B17" s="21"/>
      <c r="C17" s="21"/>
      <c r="D17" s="21"/>
      <c r="E17" s="21"/>
      <c r="F17" s="22"/>
      <c r="G17" s="22"/>
    </row>
    <row r="18" spans="1:7" x14ac:dyDescent="0.2">
      <c r="A18" s="20" t="s">
        <v>18</v>
      </c>
      <c r="B18" s="21"/>
      <c r="C18" s="21"/>
      <c r="D18" s="21"/>
      <c r="E18" s="21"/>
      <c r="F18" s="22"/>
      <c r="G18" s="22"/>
    </row>
    <row r="19" spans="1:7" x14ac:dyDescent="0.2">
      <c r="A19" s="20" t="s">
        <v>19</v>
      </c>
      <c r="B19" s="21"/>
      <c r="C19" s="21"/>
      <c r="D19" s="21"/>
      <c r="E19" s="21"/>
      <c r="F19" s="22"/>
      <c r="G19" s="22"/>
    </row>
    <row r="20" spans="1:7" x14ac:dyDescent="0.2">
      <c r="A20" s="20" t="s">
        <v>20</v>
      </c>
      <c r="B20" s="21"/>
      <c r="C20" s="21"/>
      <c r="D20" s="21"/>
      <c r="E20" s="21"/>
      <c r="F20" s="22"/>
      <c r="G20" s="22"/>
    </row>
    <row r="21" spans="1:7" x14ac:dyDescent="0.2">
      <c r="A21" s="20" t="s">
        <v>21</v>
      </c>
      <c r="B21" s="21"/>
      <c r="C21" s="21"/>
      <c r="D21" s="21"/>
      <c r="E21" s="21"/>
      <c r="F21" s="22"/>
      <c r="G21" s="22"/>
    </row>
    <row r="22" spans="1:7" x14ac:dyDescent="0.2">
      <c r="A22" s="20" t="s">
        <v>22</v>
      </c>
      <c r="B22" s="21"/>
      <c r="C22" s="21"/>
      <c r="D22" s="21"/>
      <c r="E22" s="21"/>
      <c r="F22" s="22"/>
      <c r="G22" s="22"/>
    </row>
    <row r="23" spans="1:7" x14ac:dyDescent="0.2">
      <c r="A23" s="20" t="s">
        <v>23</v>
      </c>
      <c r="B23" s="21"/>
      <c r="C23" s="21"/>
      <c r="D23" s="21"/>
      <c r="E23" s="21"/>
      <c r="F23" s="22"/>
      <c r="G23" s="22"/>
    </row>
    <row r="24" spans="1:7" x14ac:dyDescent="0.2">
      <c r="A24" s="20" t="s">
        <v>24</v>
      </c>
      <c r="B24" s="21"/>
      <c r="C24" s="21"/>
      <c r="D24" s="21"/>
      <c r="E24" s="21"/>
      <c r="F24" s="22"/>
      <c r="G24" s="22"/>
    </row>
    <row r="25" spans="1:7" x14ac:dyDescent="0.2">
      <c r="A25" s="20" t="s">
        <v>25</v>
      </c>
      <c r="B25" s="21"/>
      <c r="C25" s="21"/>
      <c r="D25" s="21"/>
      <c r="E25" s="21"/>
      <c r="F25" s="22"/>
      <c r="G25" s="22"/>
    </row>
    <row r="26" spans="1:7" x14ac:dyDescent="0.2">
      <c r="A26" s="20" t="s">
        <v>26</v>
      </c>
      <c r="B26" s="21"/>
      <c r="C26" s="21"/>
      <c r="D26" s="21"/>
      <c r="E26" s="21"/>
      <c r="F26" s="22"/>
      <c r="G26" s="22"/>
    </row>
    <row r="27" spans="1:7" x14ac:dyDescent="0.2">
      <c r="A27" s="20" t="s">
        <v>27</v>
      </c>
      <c r="B27" s="21"/>
      <c r="C27" s="21"/>
      <c r="D27" s="21"/>
      <c r="E27" s="21"/>
      <c r="F27" s="22"/>
      <c r="G27" s="22"/>
    </row>
    <row r="28" spans="1:7" x14ac:dyDescent="0.2">
      <c r="A28" s="20" t="s">
        <v>28</v>
      </c>
      <c r="B28" s="21"/>
      <c r="C28" s="21"/>
      <c r="D28" s="21"/>
      <c r="E28" s="21"/>
      <c r="F28" s="22"/>
      <c r="G28" s="22"/>
    </row>
    <row r="29" spans="1:7" x14ac:dyDescent="0.2">
      <c r="A29" s="20" t="s">
        <v>29</v>
      </c>
      <c r="B29" s="21"/>
      <c r="C29" s="21"/>
      <c r="D29" s="21"/>
      <c r="E29" s="21"/>
      <c r="F29" s="22"/>
      <c r="G29" s="22"/>
    </row>
    <row r="30" spans="1:7" x14ac:dyDescent="0.2">
      <c r="A30" s="20" t="s">
        <v>30</v>
      </c>
      <c r="B30" s="21"/>
      <c r="C30" s="21"/>
      <c r="D30" s="21"/>
      <c r="E30" s="21"/>
      <c r="F30" s="22"/>
      <c r="G30" s="22"/>
    </row>
    <row r="31" spans="1:7" x14ac:dyDescent="0.2">
      <c r="A31" s="20" t="s">
        <v>31</v>
      </c>
      <c r="B31" s="21"/>
      <c r="C31" s="21"/>
      <c r="D31" s="21"/>
      <c r="E31" s="21"/>
      <c r="F31" s="22"/>
      <c r="G31" s="22"/>
    </row>
    <row r="32" spans="1:7" x14ac:dyDescent="0.2">
      <c r="A32" s="20" t="s">
        <v>32</v>
      </c>
      <c r="B32" s="21"/>
      <c r="C32" s="21"/>
      <c r="D32" s="21"/>
      <c r="E32" s="21"/>
      <c r="F32" s="22"/>
      <c r="G32" s="22"/>
    </row>
    <row r="33" spans="1:7" x14ac:dyDescent="0.2">
      <c r="A33" s="20" t="s">
        <v>33</v>
      </c>
      <c r="B33" s="21"/>
      <c r="C33" s="21"/>
      <c r="D33" s="21"/>
      <c r="E33" s="21"/>
      <c r="F33" s="22"/>
      <c r="G33" s="22"/>
    </row>
    <row r="34" spans="1:7" x14ac:dyDescent="0.2">
      <c r="A34" s="20" t="s">
        <v>34</v>
      </c>
      <c r="B34" s="21"/>
      <c r="C34" s="21"/>
      <c r="D34" s="21"/>
      <c r="E34" s="21"/>
      <c r="F34" s="22"/>
      <c r="G34" s="22"/>
    </row>
    <row r="35" spans="1:7" x14ac:dyDescent="0.2">
      <c r="A35" s="20" t="s">
        <v>35</v>
      </c>
      <c r="B35" s="21"/>
      <c r="C35" s="21"/>
      <c r="D35" s="21"/>
      <c r="E35" s="21"/>
      <c r="F35" s="22"/>
      <c r="G35" s="22"/>
    </row>
    <row r="36" spans="1:7" x14ac:dyDescent="0.2">
      <c r="A36" s="20" t="s">
        <v>36</v>
      </c>
      <c r="B36" s="21"/>
      <c r="C36" s="21"/>
      <c r="D36" s="21"/>
      <c r="E36" s="21"/>
      <c r="F36" s="22"/>
      <c r="G36" s="22"/>
    </row>
    <row r="37" spans="1:7" x14ac:dyDescent="0.2">
      <c r="A37" s="20" t="s">
        <v>37</v>
      </c>
      <c r="B37" s="21"/>
      <c r="C37" s="21"/>
      <c r="D37" s="21"/>
      <c r="E37" s="21"/>
      <c r="F37" s="22"/>
      <c r="G37" s="22"/>
    </row>
    <row r="38" spans="1:7" x14ac:dyDescent="0.2">
      <c r="A38" s="20" t="s">
        <v>38</v>
      </c>
      <c r="B38" s="21"/>
      <c r="C38" s="21"/>
      <c r="D38" s="21"/>
      <c r="E38" s="21"/>
      <c r="F38" s="22"/>
      <c r="G38" s="22"/>
    </row>
    <row r="39" spans="1:7" x14ac:dyDescent="0.2">
      <c r="A39" s="20" t="s">
        <v>39</v>
      </c>
      <c r="B39" s="21"/>
      <c r="C39" s="21"/>
      <c r="D39" s="21"/>
      <c r="E39" s="21"/>
      <c r="F39" s="22"/>
      <c r="G39" s="22"/>
    </row>
    <row r="40" spans="1:7" x14ac:dyDescent="0.2">
      <c r="A40" s="20" t="s">
        <v>40</v>
      </c>
      <c r="B40" s="21"/>
      <c r="C40" s="21"/>
      <c r="D40" s="21"/>
      <c r="E40" s="21"/>
      <c r="F40" s="22"/>
      <c r="G40" s="22"/>
    </row>
    <row r="41" spans="1:7" x14ac:dyDescent="0.2">
      <c r="A41" s="20" t="s">
        <v>41</v>
      </c>
      <c r="B41" s="21"/>
      <c r="C41" s="21"/>
      <c r="D41" s="21"/>
      <c r="E41" s="21"/>
      <c r="F41" s="22"/>
      <c r="G41" s="22"/>
    </row>
    <row r="42" spans="1:7" x14ac:dyDescent="0.2">
      <c r="A42" s="20" t="s">
        <v>42</v>
      </c>
      <c r="B42" s="21"/>
      <c r="C42" s="21"/>
      <c r="D42" s="21"/>
      <c r="E42" s="21"/>
      <c r="F42" s="22"/>
      <c r="G42" s="22"/>
    </row>
    <row r="43" spans="1:7" x14ac:dyDescent="0.2">
      <c r="A43" s="20" t="s">
        <v>43</v>
      </c>
      <c r="B43" s="21"/>
      <c r="C43" s="21"/>
      <c r="D43" s="21"/>
      <c r="E43" s="21"/>
      <c r="F43" s="22"/>
      <c r="G43" s="22"/>
    </row>
    <row r="44" spans="1:7" x14ac:dyDescent="0.2">
      <c r="A44" s="20" t="s">
        <v>44</v>
      </c>
      <c r="B44" s="21"/>
      <c r="C44" s="21"/>
      <c r="D44" s="21"/>
      <c r="E44" s="21"/>
      <c r="F44" s="22"/>
      <c r="G44" s="22"/>
    </row>
    <row r="45" spans="1:7" x14ac:dyDescent="0.2">
      <c r="A45" s="20" t="s">
        <v>45</v>
      </c>
      <c r="B45" s="21"/>
      <c r="C45" s="21"/>
      <c r="D45" s="21"/>
      <c r="E45" s="21"/>
      <c r="F45" s="22"/>
      <c r="G45" s="22"/>
    </row>
    <row r="46" spans="1:7" x14ac:dyDescent="0.2">
      <c r="A46" s="20" t="s">
        <v>46</v>
      </c>
      <c r="B46" s="21"/>
      <c r="C46" s="21"/>
      <c r="D46" s="21"/>
      <c r="E46" s="21"/>
      <c r="F46" s="22"/>
      <c r="G46" s="22"/>
    </row>
    <row r="47" spans="1:7" x14ac:dyDescent="0.2">
      <c r="A47" s="20" t="s">
        <v>47</v>
      </c>
      <c r="B47" s="21"/>
      <c r="C47" s="21"/>
      <c r="D47" s="21"/>
      <c r="E47" s="21"/>
      <c r="F47" s="22"/>
      <c r="G47" s="22"/>
    </row>
    <row r="48" spans="1:7" x14ac:dyDescent="0.2">
      <c r="A48" s="20" t="s">
        <v>48</v>
      </c>
      <c r="B48" s="21"/>
      <c r="C48" s="21"/>
      <c r="D48" s="21"/>
      <c r="E48" s="21"/>
      <c r="F48" s="22"/>
      <c r="G48" s="22"/>
    </row>
    <row r="49" spans="1:7" x14ac:dyDescent="0.2">
      <c r="A49" s="20" t="s">
        <v>49</v>
      </c>
      <c r="B49" s="21"/>
      <c r="C49" s="21"/>
      <c r="D49" s="21"/>
      <c r="E49" s="21"/>
      <c r="F49" s="22"/>
      <c r="G49" s="22"/>
    </row>
    <row r="50" spans="1:7" x14ac:dyDescent="0.2">
      <c r="A50" s="20" t="s">
        <v>50</v>
      </c>
      <c r="B50" s="21"/>
      <c r="C50" s="21"/>
      <c r="D50" s="21"/>
      <c r="E50" s="21"/>
      <c r="F50" s="22"/>
      <c r="G50" s="22"/>
    </row>
    <row r="51" spans="1:7" x14ac:dyDescent="0.2">
      <c r="A51" s="20" t="s">
        <v>51</v>
      </c>
      <c r="B51" s="21"/>
      <c r="C51" s="21"/>
      <c r="D51" s="21"/>
      <c r="E51" s="21"/>
      <c r="F51" s="22"/>
      <c r="G51" s="22"/>
    </row>
    <row r="52" spans="1:7" x14ac:dyDescent="0.2">
      <c r="A52" s="20" t="s">
        <v>52</v>
      </c>
      <c r="B52" s="21"/>
      <c r="C52" s="21"/>
      <c r="D52" s="21"/>
      <c r="E52" s="21"/>
      <c r="F52" s="22"/>
      <c r="G52" s="22"/>
    </row>
    <row r="53" spans="1:7" x14ac:dyDescent="0.2">
      <c r="A53" s="20" t="s">
        <v>53</v>
      </c>
      <c r="B53" s="21"/>
      <c r="C53" s="21"/>
      <c r="D53" s="21"/>
      <c r="E53" s="21"/>
      <c r="F53" s="22"/>
      <c r="G53" s="22"/>
    </row>
    <row r="54" spans="1:7" x14ac:dyDescent="0.2">
      <c r="A54" s="20" t="s">
        <v>54</v>
      </c>
      <c r="B54" s="21"/>
      <c r="C54" s="21"/>
      <c r="D54" s="21"/>
      <c r="E54" s="21"/>
      <c r="F54" s="22"/>
      <c r="G54" s="22"/>
    </row>
    <row r="55" spans="1:7" x14ac:dyDescent="0.2">
      <c r="A55" s="20" t="s">
        <v>55</v>
      </c>
      <c r="B55" s="21"/>
      <c r="C55" s="21"/>
      <c r="D55" s="21"/>
      <c r="E55" s="21"/>
      <c r="F55" s="22"/>
      <c r="G55" s="22"/>
    </row>
    <row r="56" spans="1:7" x14ac:dyDescent="0.2">
      <c r="A56" s="20" t="s">
        <v>56</v>
      </c>
      <c r="B56" s="21"/>
      <c r="C56" s="21"/>
      <c r="D56" s="21"/>
      <c r="E56" s="21"/>
      <c r="F56" s="22"/>
      <c r="G56" s="22"/>
    </row>
    <row r="57" spans="1:7" x14ac:dyDescent="0.2">
      <c r="A57" s="20" t="s">
        <v>57</v>
      </c>
      <c r="B57" s="21"/>
      <c r="C57" s="21"/>
      <c r="D57" s="21"/>
      <c r="E57" s="21"/>
      <c r="F57" s="22"/>
      <c r="G57" s="22"/>
    </row>
    <row r="58" spans="1:7" x14ac:dyDescent="0.2">
      <c r="A58" s="20" t="s">
        <v>58</v>
      </c>
      <c r="B58" s="21"/>
      <c r="C58" s="21"/>
      <c r="D58" s="21"/>
      <c r="E58" s="21"/>
      <c r="F58" s="22"/>
      <c r="G58" s="22"/>
    </row>
    <row r="59" spans="1:7" x14ac:dyDescent="0.2">
      <c r="A59" s="20" t="s">
        <v>59</v>
      </c>
      <c r="B59" s="21"/>
      <c r="C59" s="21"/>
      <c r="D59" s="21"/>
      <c r="E59" s="21"/>
      <c r="F59" s="22"/>
      <c r="G59" s="22"/>
    </row>
    <row r="60" spans="1:7" x14ac:dyDescent="0.2">
      <c r="A60" s="20" t="s">
        <v>60</v>
      </c>
      <c r="B60" s="21"/>
      <c r="C60" s="21"/>
      <c r="D60" s="21"/>
      <c r="E60" s="21"/>
      <c r="F60" s="22"/>
      <c r="G60" s="22"/>
    </row>
    <row r="61" spans="1:7" x14ac:dyDescent="0.2">
      <c r="A61" s="20" t="s">
        <v>61</v>
      </c>
      <c r="B61" s="21"/>
      <c r="C61" s="21"/>
      <c r="D61" s="21"/>
      <c r="E61" s="21"/>
      <c r="F61" s="22"/>
      <c r="G61" s="22"/>
    </row>
    <row r="62" spans="1:7" x14ac:dyDescent="0.2">
      <c r="A62" s="20" t="s">
        <v>62</v>
      </c>
      <c r="B62" s="21"/>
      <c r="C62" s="21"/>
      <c r="D62" s="21"/>
      <c r="E62" s="21"/>
      <c r="F62" s="22"/>
      <c r="G62" s="22"/>
    </row>
    <row r="63" spans="1:7" x14ac:dyDescent="0.2">
      <c r="A63" s="20" t="s">
        <v>63</v>
      </c>
      <c r="B63" s="21"/>
      <c r="C63" s="21"/>
      <c r="D63" s="21"/>
      <c r="E63" s="21"/>
      <c r="F63" s="22"/>
      <c r="G63" s="22"/>
    </row>
    <row r="64" spans="1:7" x14ac:dyDescent="0.2">
      <c r="A64" s="20" t="s">
        <v>64</v>
      </c>
      <c r="B64" s="21"/>
      <c r="C64" s="21"/>
      <c r="D64" s="21"/>
      <c r="E64" s="21"/>
      <c r="F64" s="22"/>
      <c r="G64" s="22"/>
    </row>
    <row r="65" spans="1:7" x14ac:dyDescent="0.2">
      <c r="A65" s="20" t="s">
        <v>65</v>
      </c>
      <c r="B65" s="21"/>
      <c r="C65" s="21"/>
      <c r="D65" s="21"/>
      <c r="E65" s="21"/>
      <c r="F65" s="22"/>
      <c r="G65" s="22"/>
    </row>
    <row r="66" spans="1:7" x14ac:dyDescent="0.2">
      <c r="A66" s="20" t="s">
        <v>66</v>
      </c>
      <c r="B66" s="21"/>
      <c r="C66" s="21"/>
      <c r="D66" s="21"/>
      <c r="E66" s="21"/>
      <c r="F66" s="22"/>
      <c r="G66" s="22"/>
    </row>
    <row r="67" spans="1:7" x14ac:dyDescent="0.2">
      <c r="A67" s="20" t="s">
        <v>67</v>
      </c>
      <c r="B67" s="21"/>
      <c r="C67" s="21"/>
      <c r="D67" s="21"/>
      <c r="E67" s="21"/>
      <c r="F67" s="22"/>
      <c r="G67" s="22"/>
    </row>
    <row r="68" spans="1:7" x14ac:dyDescent="0.2">
      <c r="A68" s="20" t="s">
        <v>68</v>
      </c>
      <c r="B68" s="21"/>
      <c r="C68" s="21"/>
      <c r="D68" s="21"/>
      <c r="E68" s="21"/>
      <c r="F68" s="22"/>
      <c r="G68" s="22"/>
    </row>
    <row r="69" spans="1:7" x14ac:dyDescent="0.2">
      <c r="A69" s="20" t="s">
        <v>69</v>
      </c>
      <c r="B69" s="21"/>
      <c r="C69" s="21"/>
      <c r="D69" s="21"/>
      <c r="E69" s="21"/>
      <c r="F69" s="22"/>
      <c r="G69" s="22"/>
    </row>
    <row r="70" spans="1:7" x14ac:dyDescent="0.2">
      <c r="A70" s="20" t="s">
        <v>70</v>
      </c>
      <c r="B70" s="21"/>
      <c r="C70" s="21"/>
      <c r="D70" s="21"/>
      <c r="E70" s="21"/>
      <c r="F70" s="22"/>
      <c r="G70" s="22"/>
    </row>
    <row r="71" spans="1:7" x14ac:dyDescent="0.2">
      <c r="A71" s="20" t="s">
        <v>71</v>
      </c>
      <c r="B71" s="21"/>
      <c r="C71" s="21"/>
      <c r="D71" s="21"/>
      <c r="E71" s="21"/>
      <c r="F71" s="22"/>
      <c r="G71" s="22"/>
    </row>
    <row r="72" spans="1:7" x14ac:dyDescent="0.2">
      <c r="A72" s="20" t="s">
        <v>72</v>
      </c>
      <c r="B72" s="21"/>
      <c r="C72" s="21"/>
      <c r="D72" s="21"/>
      <c r="E72" s="21"/>
      <c r="F72" s="22"/>
      <c r="G72" s="22"/>
    </row>
    <row r="73" spans="1:7" x14ac:dyDescent="0.2">
      <c r="A73" s="20" t="s">
        <v>73</v>
      </c>
      <c r="B73" s="21"/>
      <c r="C73" s="21"/>
      <c r="D73" s="21"/>
      <c r="E73" s="21"/>
      <c r="F73" s="22"/>
      <c r="G73" s="22"/>
    </row>
    <row r="74" spans="1:7" x14ac:dyDescent="0.2">
      <c r="A74" s="20" t="s">
        <v>74</v>
      </c>
      <c r="B74" s="21"/>
      <c r="C74" s="21"/>
      <c r="D74" s="21"/>
      <c r="E74" s="21"/>
      <c r="F74" s="22"/>
      <c r="G74" s="22"/>
    </row>
    <row r="75" spans="1:7" x14ac:dyDescent="0.2">
      <c r="A75" s="20" t="s">
        <v>75</v>
      </c>
      <c r="B75" s="21"/>
      <c r="C75" s="21"/>
      <c r="D75" s="21"/>
      <c r="E75" s="21"/>
      <c r="F75" s="22"/>
      <c r="G75" s="22"/>
    </row>
    <row r="76" spans="1:7" x14ac:dyDescent="0.2">
      <c r="A76" s="20" t="s">
        <v>76</v>
      </c>
      <c r="B76" s="21"/>
      <c r="C76" s="21"/>
      <c r="D76" s="21"/>
      <c r="E76" s="21"/>
      <c r="F76" s="22"/>
      <c r="G76" s="22"/>
    </row>
    <row r="77" spans="1:7" x14ac:dyDescent="0.2">
      <c r="A77" s="20" t="s">
        <v>77</v>
      </c>
      <c r="B77" s="21"/>
      <c r="C77" s="21"/>
      <c r="D77" s="21"/>
      <c r="E77" s="21"/>
      <c r="F77" s="22"/>
      <c r="G77" s="22"/>
    </row>
    <row r="78" spans="1:7" x14ac:dyDescent="0.2">
      <c r="A78" s="20" t="s">
        <v>78</v>
      </c>
      <c r="B78" s="21"/>
      <c r="C78" s="21"/>
      <c r="D78" s="21"/>
      <c r="E78" s="21"/>
      <c r="F78" s="22"/>
      <c r="G78" s="22"/>
    </row>
    <row r="79" spans="1:7" x14ac:dyDescent="0.2">
      <c r="A79" s="20" t="s">
        <v>79</v>
      </c>
      <c r="B79" s="21"/>
      <c r="C79" s="21"/>
      <c r="D79" s="21"/>
      <c r="E79" s="21"/>
      <c r="F79" s="22"/>
      <c r="G79" s="22"/>
    </row>
    <row r="80" spans="1:7" x14ac:dyDescent="0.2">
      <c r="A80" s="20" t="s">
        <v>80</v>
      </c>
      <c r="B80" s="21"/>
      <c r="C80" s="21"/>
      <c r="D80" s="21"/>
      <c r="E80" s="21"/>
      <c r="F80" s="22"/>
      <c r="G80" s="22"/>
    </row>
    <row r="81" spans="1:7" x14ac:dyDescent="0.2">
      <c r="A81" s="20" t="s">
        <v>81</v>
      </c>
      <c r="B81" s="21"/>
      <c r="C81" s="21"/>
      <c r="D81" s="21"/>
      <c r="E81" s="21"/>
      <c r="F81" s="22"/>
      <c r="G81" s="22"/>
    </row>
    <row r="82" spans="1:7" x14ac:dyDescent="0.2">
      <c r="A82" s="20" t="s">
        <v>82</v>
      </c>
      <c r="B82" s="21"/>
      <c r="C82" s="21"/>
      <c r="D82" s="21"/>
      <c r="E82" s="21"/>
      <c r="F82" s="22"/>
      <c r="G82" s="22"/>
    </row>
    <row r="83" spans="1:7" x14ac:dyDescent="0.2">
      <c r="A83" s="20" t="s">
        <v>83</v>
      </c>
      <c r="B83" s="21"/>
      <c r="C83" s="21"/>
      <c r="D83" s="21"/>
      <c r="E83" s="21"/>
      <c r="F83" s="22"/>
      <c r="G83" s="22"/>
    </row>
    <row r="84" spans="1:7" x14ac:dyDescent="0.2">
      <c r="A84" s="20" t="s">
        <v>84</v>
      </c>
      <c r="B84" s="21"/>
      <c r="C84" s="21"/>
      <c r="D84" s="21"/>
      <c r="E84" s="21"/>
      <c r="F84" s="22"/>
      <c r="G84" s="22"/>
    </row>
    <row r="85" spans="1:7" x14ac:dyDescent="0.2">
      <c r="A85" s="20" t="s">
        <v>85</v>
      </c>
      <c r="B85" s="21"/>
      <c r="C85" s="21"/>
      <c r="D85" s="21"/>
      <c r="E85" s="21"/>
      <c r="F85" s="22"/>
      <c r="G85" s="22"/>
    </row>
    <row r="86" spans="1:7" x14ac:dyDescent="0.2">
      <c r="A86" s="20" t="s">
        <v>86</v>
      </c>
      <c r="B86" s="21"/>
      <c r="C86" s="21"/>
      <c r="D86" s="21"/>
      <c r="E86" s="21"/>
      <c r="F86" s="22"/>
      <c r="G86" s="22"/>
    </row>
    <row r="87" spans="1:7" x14ac:dyDescent="0.2">
      <c r="A87" s="20" t="s">
        <v>87</v>
      </c>
      <c r="B87" s="21"/>
      <c r="C87" s="21"/>
      <c r="D87" s="21"/>
      <c r="E87" s="21"/>
      <c r="F87" s="22"/>
      <c r="G87" s="22"/>
    </row>
    <row r="88" spans="1:7" x14ac:dyDescent="0.2">
      <c r="A88" s="20" t="s">
        <v>88</v>
      </c>
      <c r="B88" s="21"/>
      <c r="C88" s="21"/>
      <c r="D88" s="21"/>
      <c r="E88" s="21"/>
      <c r="F88" s="22"/>
      <c r="G88" s="22"/>
    </row>
    <row r="89" spans="1:7" x14ac:dyDescent="0.2">
      <c r="A89" s="20" t="s">
        <v>89</v>
      </c>
      <c r="B89" s="21"/>
      <c r="C89" s="21"/>
      <c r="D89" s="21"/>
      <c r="E89" s="21"/>
      <c r="F89" s="22"/>
      <c r="G89" s="22"/>
    </row>
    <row r="90" spans="1:7" x14ac:dyDescent="0.2">
      <c r="A90" s="20" t="s">
        <v>90</v>
      </c>
      <c r="B90" s="21"/>
      <c r="C90" s="21"/>
      <c r="D90" s="21"/>
      <c r="E90" s="21"/>
      <c r="F90" s="22"/>
      <c r="G90" s="22"/>
    </row>
    <row r="91" spans="1:7" x14ac:dyDescent="0.2">
      <c r="A91" s="20" t="s">
        <v>91</v>
      </c>
      <c r="B91" s="21"/>
      <c r="C91" s="21"/>
      <c r="D91" s="21"/>
      <c r="E91" s="21"/>
      <c r="F91" s="22"/>
      <c r="G91" s="22"/>
    </row>
    <row r="92" spans="1:7" x14ac:dyDescent="0.2">
      <c r="A92" s="20" t="s">
        <v>92</v>
      </c>
      <c r="B92" s="21"/>
      <c r="C92" s="21"/>
      <c r="D92" s="21"/>
      <c r="E92" s="21"/>
      <c r="F92" s="22"/>
      <c r="G92" s="22"/>
    </row>
    <row r="93" spans="1:7" x14ac:dyDescent="0.2">
      <c r="A93" s="20" t="s">
        <v>93</v>
      </c>
      <c r="B93" s="21"/>
      <c r="C93" s="21"/>
      <c r="D93" s="21"/>
      <c r="E93" s="21"/>
      <c r="F93" s="22"/>
      <c r="G93" s="22"/>
    </row>
    <row r="94" spans="1:7" x14ac:dyDescent="0.2">
      <c r="A94" s="20" t="s">
        <v>94</v>
      </c>
      <c r="B94" s="21"/>
      <c r="C94" s="21"/>
      <c r="D94" s="21"/>
      <c r="E94" s="21"/>
      <c r="F94" s="22"/>
      <c r="G94" s="22"/>
    </row>
    <row r="95" spans="1:7" x14ac:dyDescent="0.2">
      <c r="A95" s="20" t="s">
        <v>95</v>
      </c>
      <c r="B95" s="21"/>
      <c r="C95" s="21"/>
      <c r="D95" s="21"/>
      <c r="E95" s="21"/>
      <c r="F95" s="22"/>
      <c r="G95" s="22"/>
    </row>
    <row r="96" spans="1:7" x14ac:dyDescent="0.2">
      <c r="A96" s="20" t="s">
        <v>96</v>
      </c>
      <c r="B96" s="21"/>
      <c r="C96" s="21"/>
      <c r="D96" s="21"/>
      <c r="E96" s="21"/>
      <c r="F96" s="22"/>
      <c r="G96" s="22"/>
    </row>
    <row r="97" spans="1:7" x14ac:dyDescent="0.2">
      <c r="A97" s="20" t="s">
        <v>97</v>
      </c>
      <c r="B97" s="21"/>
      <c r="C97" s="21"/>
      <c r="D97" s="21"/>
      <c r="E97" s="21"/>
      <c r="F97" s="22"/>
      <c r="G97" s="22"/>
    </row>
    <row r="98" spans="1:7" x14ac:dyDescent="0.2">
      <c r="A98" s="20" t="s">
        <v>98</v>
      </c>
      <c r="B98" s="21"/>
      <c r="C98" s="21"/>
      <c r="D98" s="21"/>
      <c r="E98" s="21"/>
      <c r="F98" s="22"/>
      <c r="G98" s="22"/>
    </row>
    <row r="99" spans="1:7" x14ac:dyDescent="0.2">
      <c r="A99" s="20" t="s">
        <v>99</v>
      </c>
      <c r="B99" s="21"/>
      <c r="C99" s="21"/>
      <c r="D99" s="21"/>
      <c r="E99" s="21"/>
      <c r="F99" s="22"/>
      <c r="G99" s="22"/>
    </row>
    <row r="100" spans="1:7" x14ac:dyDescent="0.2">
      <c r="A100" s="20" t="s">
        <v>100</v>
      </c>
      <c r="B100" s="21"/>
      <c r="C100" s="21"/>
      <c r="D100" s="21"/>
      <c r="E100" s="21"/>
      <c r="F100" s="22"/>
      <c r="G100" s="22"/>
    </row>
    <row r="101" spans="1:7" x14ac:dyDescent="0.2">
      <c r="A101" s="20" t="s">
        <v>101</v>
      </c>
      <c r="B101" s="21"/>
      <c r="C101" s="21"/>
      <c r="D101" s="21"/>
      <c r="E101" s="21"/>
      <c r="F101" s="22"/>
      <c r="G101" s="22"/>
    </row>
    <row r="102" spans="1:7" x14ac:dyDescent="0.2">
      <c r="A102" s="20" t="s">
        <v>102</v>
      </c>
      <c r="B102" s="21"/>
      <c r="C102" s="21"/>
      <c r="D102" s="21"/>
      <c r="E102" s="21"/>
      <c r="F102" s="22"/>
      <c r="G102" s="22"/>
    </row>
    <row r="103" spans="1:7" x14ac:dyDescent="0.2">
      <c r="A103" s="20" t="s">
        <v>103</v>
      </c>
      <c r="B103" s="21"/>
      <c r="C103" s="21"/>
      <c r="D103" s="21"/>
      <c r="E103" s="21"/>
      <c r="F103" s="22"/>
      <c r="G103" s="22"/>
    </row>
    <row r="104" spans="1:7" x14ac:dyDescent="0.2">
      <c r="A104" s="20" t="s">
        <v>104</v>
      </c>
      <c r="B104" s="21"/>
      <c r="C104" s="21"/>
      <c r="D104" s="21"/>
      <c r="E104" s="21"/>
      <c r="F104" s="22"/>
      <c r="G104" s="22"/>
    </row>
    <row r="105" spans="1:7" x14ac:dyDescent="0.2">
      <c r="A105" s="20" t="s">
        <v>105</v>
      </c>
      <c r="B105" s="21"/>
      <c r="C105" s="21"/>
      <c r="D105" s="21"/>
      <c r="E105" s="21"/>
      <c r="F105" s="22"/>
      <c r="G105" s="22"/>
    </row>
    <row r="106" spans="1:7" x14ac:dyDescent="0.2">
      <c r="A106" s="20" t="s">
        <v>106</v>
      </c>
      <c r="B106" s="21"/>
      <c r="C106" s="21"/>
      <c r="D106" s="21"/>
      <c r="E106" s="21"/>
      <c r="F106" s="22"/>
      <c r="G106" s="22"/>
    </row>
    <row r="107" spans="1:7" x14ac:dyDescent="0.2">
      <c r="A107" s="20" t="s">
        <v>107</v>
      </c>
      <c r="B107" s="21"/>
      <c r="C107" s="21"/>
      <c r="D107" s="21"/>
      <c r="E107" s="21"/>
      <c r="F107" s="22"/>
      <c r="G107" s="22"/>
    </row>
    <row r="108" spans="1:7" x14ac:dyDescent="0.2">
      <c r="A108" s="20" t="s">
        <v>108</v>
      </c>
      <c r="B108" s="21"/>
      <c r="C108" s="21"/>
      <c r="D108" s="21"/>
      <c r="E108" s="21"/>
      <c r="F108" s="22"/>
      <c r="G108" s="22"/>
    </row>
    <row r="109" spans="1:7" x14ac:dyDescent="0.2">
      <c r="A109" s="20" t="s">
        <v>109</v>
      </c>
      <c r="B109" s="21"/>
      <c r="C109" s="21"/>
      <c r="D109" s="21"/>
      <c r="E109" s="21"/>
      <c r="F109" s="22"/>
      <c r="G109" s="22"/>
    </row>
    <row r="110" spans="1:7" x14ac:dyDescent="0.2">
      <c r="A110" s="20" t="s">
        <v>110</v>
      </c>
      <c r="B110" s="21"/>
      <c r="C110" s="21"/>
      <c r="D110" s="21"/>
      <c r="E110" s="21"/>
      <c r="F110" s="22"/>
      <c r="G110" s="22"/>
    </row>
    <row r="111" spans="1:7" x14ac:dyDescent="0.2">
      <c r="A111" s="20" t="s">
        <v>111</v>
      </c>
      <c r="B111" s="21"/>
      <c r="C111" s="21"/>
      <c r="D111" s="21"/>
      <c r="E111" s="21"/>
      <c r="F111" s="22"/>
      <c r="G111" s="22"/>
    </row>
    <row r="112" spans="1:7" x14ac:dyDescent="0.2">
      <c r="A112" s="20" t="s">
        <v>112</v>
      </c>
      <c r="B112" s="21"/>
      <c r="C112" s="21"/>
      <c r="D112" s="21"/>
      <c r="E112" s="21"/>
      <c r="F112" s="22"/>
      <c r="G112" s="22"/>
    </row>
    <row r="113" spans="1:7" x14ac:dyDescent="0.2">
      <c r="A113" s="20" t="s">
        <v>113</v>
      </c>
      <c r="B113" s="21"/>
      <c r="C113" s="21"/>
      <c r="D113" s="21"/>
      <c r="E113" s="21"/>
      <c r="F113" s="22"/>
      <c r="G113" s="22"/>
    </row>
    <row r="114" spans="1:7" x14ac:dyDescent="0.2">
      <c r="A114" s="20" t="s">
        <v>114</v>
      </c>
      <c r="B114" s="21"/>
      <c r="C114" s="21"/>
      <c r="D114" s="21"/>
      <c r="E114" s="21"/>
      <c r="F114" s="22"/>
      <c r="G114" s="22"/>
    </row>
    <row r="115" spans="1:7" x14ac:dyDescent="0.2">
      <c r="A115" s="20" t="s">
        <v>115</v>
      </c>
      <c r="B115" s="21"/>
      <c r="C115" s="21"/>
      <c r="D115" s="21"/>
      <c r="E115" s="21"/>
      <c r="F115" s="22"/>
      <c r="G115" s="22"/>
    </row>
    <row r="116" spans="1:7" x14ac:dyDescent="0.2">
      <c r="A116" s="20" t="s">
        <v>116</v>
      </c>
      <c r="B116" s="21"/>
      <c r="C116" s="21"/>
      <c r="D116" s="21"/>
      <c r="E116" s="21"/>
      <c r="F116" s="22"/>
      <c r="G116" s="22"/>
    </row>
    <row r="117" spans="1:7" x14ac:dyDescent="0.2">
      <c r="A117" s="20" t="s">
        <v>117</v>
      </c>
      <c r="B117" s="21"/>
      <c r="C117" s="21"/>
      <c r="D117" s="21"/>
      <c r="E117" s="21"/>
      <c r="F117" s="22"/>
      <c r="G117" s="22"/>
    </row>
    <row r="118" spans="1:7" x14ac:dyDescent="0.2">
      <c r="A118" s="20" t="s">
        <v>118</v>
      </c>
      <c r="B118" s="21"/>
      <c r="C118" s="21"/>
      <c r="D118" s="21"/>
      <c r="E118" s="21"/>
      <c r="F118" s="22"/>
      <c r="G118" s="22"/>
    </row>
    <row r="119" spans="1:7" x14ac:dyDescent="0.2">
      <c r="A119" s="20" t="s">
        <v>119</v>
      </c>
      <c r="B119" s="21"/>
      <c r="C119" s="21"/>
      <c r="D119" s="21"/>
      <c r="E119" s="21"/>
      <c r="F119" s="22"/>
      <c r="G119" s="22"/>
    </row>
    <row r="120" spans="1:7" x14ac:dyDescent="0.2">
      <c r="A120" s="20" t="s">
        <v>120</v>
      </c>
      <c r="B120" s="21"/>
      <c r="C120" s="21"/>
      <c r="D120" s="21"/>
      <c r="E120" s="21"/>
      <c r="F120" s="22"/>
      <c r="G120" s="22"/>
    </row>
    <row r="121" spans="1:7" x14ac:dyDescent="0.2">
      <c r="A121" s="20" t="s">
        <v>121</v>
      </c>
      <c r="B121" s="21"/>
      <c r="C121" s="21"/>
      <c r="D121" s="21"/>
      <c r="E121" s="21"/>
      <c r="F121" s="22"/>
      <c r="G121" s="22"/>
    </row>
    <row r="122" spans="1:7" x14ac:dyDescent="0.2">
      <c r="A122" s="20" t="s">
        <v>122</v>
      </c>
      <c r="B122" s="21"/>
      <c r="C122" s="21"/>
      <c r="D122" s="21"/>
      <c r="E122" s="21"/>
      <c r="F122" s="22"/>
      <c r="G122" s="22"/>
    </row>
    <row r="123" spans="1:7" x14ac:dyDescent="0.2">
      <c r="A123" s="20" t="s">
        <v>123</v>
      </c>
      <c r="B123" s="21"/>
      <c r="C123" s="21"/>
      <c r="D123" s="21"/>
      <c r="E123" s="21"/>
      <c r="F123" s="22"/>
      <c r="G123" s="22"/>
    </row>
    <row r="124" spans="1:7" x14ac:dyDescent="0.2">
      <c r="A124" s="20" t="s">
        <v>124</v>
      </c>
      <c r="B124" s="21"/>
      <c r="C124" s="21"/>
      <c r="D124" s="21"/>
      <c r="E124" s="21"/>
      <c r="F124" s="22"/>
      <c r="G124" s="22"/>
    </row>
    <row r="125" spans="1:7" x14ac:dyDescent="0.2">
      <c r="A125" s="20" t="s">
        <v>125</v>
      </c>
      <c r="B125" s="21"/>
      <c r="C125" s="21"/>
      <c r="D125" s="21"/>
      <c r="E125" s="21"/>
      <c r="F125" s="22"/>
      <c r="G125" s="22"/>
    </row>
    <row r="126" spans="1:7" x14ac:dyDescent="0.2">
      <c r="A126" s="20" t="s">
        <v>126</v>
      </c>
      <c r="B126" s="21"/>
      <c r="C126" s="21"/>
      <c r="D126" s="21"/>
      <c r="E126" s="21"/>
      <c r="F126" s="22"/>
      <c r="G126" s="22"/>
    </row>
    <row r="127" spans="1:7" x14ac:dyDescent="0.2">
      <c r="A127" s="20" t="s">
        <v>127</v>
      </c>
      <c r="B127" s="21"/>
      <c r="C127" s="21"/>
      <c r="D127" s="21"/>
      <c r="E127" s="21"/>
      <c r="F127" s="22"/>
      <c r="G127" s="22"/>
    </row>
    <row r="128" spans="1:7" x14ac:dyDescent="0.2">
      <c r="A128" s="20" t="s">
        <v>128</v>
      </c>
      <c r="B128" s="21"/>
      <c r="C128" s="21"/>
      <c r="D128" s="21"/>
      <c r="E128" s="21"/>
      <c r="F128" s="22"/>
      <c r="G128" s="22"/>
    </row>
    <row r="129" spans="1:7" x14ac:dyDescent="0.2">
      <c r="A129" s="20" t="s">
        <v>129</v>
      </c>
      <c r="B129" s="21"/>
      <c r="C129" s="21"/>
      <c r="D129" s="21"/>
      <c r="E129" s="21"/>
      <c r="F129" s="22"/>
      <c r="G129" s="22"/>
    </row>
    <row r="130" spans="1:7" x14ac:dyDescent="0.2">
      <c r="A130" s="20" t="s">
        <v>130</v>
      </c>
      <c r="B130" s="21"/>
      <c r="C130" s="21"/>
      <c r="D130" s="21"/>
      <c r="E130" s="21"/>
      <c r="F130" s="22"/>
      <c r="G130" s="22"/>
    </row>
    <row r="131" spans="1:7" x14ac:dyDescent="0.2">
      <c r="A131" s="20" t="s">
        <v>131</v>
      </c>
      <c r="B131" s="21"/>
      <c r="C131" s="21"/>
      <c r="D131" s="21"/>
      <c r="E131" s="21"/>
      <c r="F131" s="22"/>
      <c r="G131" s="22"/>
    </row>
    <row r="132" spans="1:7" x14ac:dyDescent="0.2">
      <c r="A132" s="20" t="s">
        <v>132</v>
      </c>
      <c r="B132" s="21"/>
      <c r="C132" s="21"/>
      <c r="D132" s="21"/>
      <c r="E132" s="21"/>
      <c r="F132" s="22"/>
      <c r="G132" s="22"/>
    </row>
    <row r="133" spans="1:7" x14ac:dyDescent="0.2">
      <c r="A133" s="20" t="s">
        <v>133</v>
      </c>
      <c r="B133" s="21"/>
      <c r="C133" s="21"/>
      <c r="D133" s="21"/>
      <c r="E133" s="21"/>
      <c r="F133" s="22"/>
      <c r="G133" s="22"/>
    </row>
    <row r="134" spans="1:7" x14ac:dyDescent="0.2">
      <c r="A134" s="20" t="s">
        <v>134</v>
      </c>
      <c r="B134" s="21"/>
      <c r="C134" s="21"/>
      <c r="D134" s="21"/>
      <c r="E134" s="21"/>
      <c r="F134" s="22"/>
      <c r="G134" s="22"/>
    </row>
    <row r="135" spans="1:7" x14ac:dyDescent="0.2">
      <c r="A135" s="20" t="s">
        <v>135</v>
      </c>
      <c r="B135" s="21"/>
      <c r="C135" s="21"/>
      <c r="D135" s="21"/>
      <c r="E135" s="21"/>
      <c r="F135" s="22"/>
      <c r="G135" s="22"/>
    </row>
    <row r="136" spans="1:7" x14ac:dyDescent="0.2">
      <c r="A136" s="20" t="s">
        <v>136</v>
      </c>
      <c r="B136" s="21"/>
      <c r="C136" s="21"/>
      <c r="D136" s="21"/>
      <c r="E136" s="21"/>
      <c r="F136" s="22"/>
      <c r="G136" s="22"/>
    </row>
    <row r="137" spans="1:7" x14ac:dyDescent="0.2">
      <c r="A137" s="20" t="s">
        <v>137</v>
      </c>
      <c r="B137" s="21"/>
      <c r="C137" s="21"/>
      <c r="D137" s="21"/>
      <c r="E137" s="21"/>
      <c r="F137" s="22"/>
      <c r="G137" s="22"/>
    </row>
    <row r="138" spans="1:7" x14ac:dyDescent="0.2">
      <c r="A138" s="20" t="s">
        <v>138</v>
      </c>
      <c r="B138" s="21"/>
      <c r="C138" s="21"/>
      <c r="D138" s="21"/>
      <c r="E138" s="21"/>
      <c r="F138" s="22"/>
      <c r="G138" s="22"/>
    </row>
    <row r="139" spans="1:7" x14ac:dyDescent="0.2">
      <c r="A139" s="20" t="s">
        <v>139</v>
      </c>
      <c r="B139" s="21"/>
      <c r="C139" s="21"/>
      <c r="D139" s="21"/>
      <c r="E139" s="21"/>
      <c r="F139" s="22"/>
      <c r="G139" s="22"/>
    </row>
    <row r="140" spans="1:7" x14ac:dyDescent="0.2">
      <c r="A140" s="20" t="s">
        <v>140</v>
      </c>
      <c r="B140" s="21"/>
      <c r="C140" s="21"/>
      <c r="D140" s="21"/>
      <c r="E140" s="21"/>
      <c r="F140" s="22"/>
      <c r="G140" s="22"/>
    </row>
    <row r="141" spans="1:7" x14ac:dyDescent="0.2">
      <c r="A141" s="20" t="s">
        <v>141</v>
      </c>
      <c r="B141" s="21"/>
      <c r="C141" s="21"/>
      <c r="D141" s="21"/>
      <c r="E141" s="21"/>
      <c r="F141" s="22"/>
      <c r="G141" s="22"/>
    </row>
    <row r="142" spans="1:7" x14ac:dyDescent="0.2">
      <c r="A142" s="20" t="s">
        <v>142</v>
      </c>
      <c r="B142" s="21"/>
      <c r="C142" s="21"/>
      <c r="D142" s="21"/>
      <c r="E142" s="21"/>
      <c r="F142" s="22"/>
      <c r="G142" s="22"/>
    </row>
    <row r="143" spans="1:7" x14ac:dyDescent="0.2">
      <c r="A143" s="20" t="s">
        <v>143</v>
      </c>
      <c r="B143" s="21"/>
      <c r="C143" s="21"/>
      <c r="D143" s="21"/>
      <c r="E143" s="21"/>
      <c r="F143" s="22"/>
      <c r="G143" s="22"/>
    </row>
    <row r="144" spans="1:7" x14ac:dyDescent="0.2">
      <c r="A144" s="20" t="s">
        <v>144</v>
      </c>
      <c r="B144" s="21"/>
      <c r="C144" s="21"/>
      <c r="D144" s="21"/>
      <c r="E144" s="21"/>
      <c r="F144" s="22"/>
      <c r="G144" s="22"/>
    </row>
    <row r="145" spans="1:7" x14ac:dyDescent="0.2">
      <c r="A145" s="20" t="s">
        <v>145</v>
      </c>
      <c r="B145" s="21"/>
      <c r="C145" s="21"/>
      <c r="D145" s="21"/>
      <c r="E145" s="21"/>
      <c r="F145" s="22"/>
      <c r="G145" s="22"/>
    </row>
    <row r="146" spans="1:7" x14ac:dyDescent="0.2">
      <c r="A146" s="20" t="s">
        <v>146</v>
      </c>
      <c r="B146" s="21"/>
      <c r="C146" s="21"/>
      <c r="D146" s="21"/>
      <c r="E146" s="21"/>
      <c r="F146" s="22"/>
      <c r="G146" s="22"/>
    </row>
    <row r="147" spans="1:7" x14ac:dyDescent="0.2">
      <c r="A147" s="20" t="s">
        <v>147</v>
      </c>
      <c r="B147" s="21"/>
      <c r="C147" s="21"/>
      <c r="D147" s="21"/>
      <c r="E147" s="21"/>
      <c r="F147" s="22"/>
      <c r="G147" s="22"/>
    </row>
    <row r="148" spans="1:7" x14ac:dyDescent="0.2">
      <c r="A148" s="20" t="s">
        <v>148</v>
      </c>
      <c r="B148" s="21"/>
      <c r="C148" s="21"/>
      <c r="D148" s="21"/>
      <c r="E148" s="21"/>
      <c r="F148" s="22"/>
      <c r="G148" s="22"/>
    </row>
    <row r="149" spans="1:7" x14ac:dyDescent="0.2">
      <c r="A149" s="20" t="s">
        <v>149</v>
      </c>
      <c r="B149" s="21"/>
      <c r="C149" s="21"/>
      <c r="D149" s="21"/>
      <c r="E149" s="21"/>
      <c r="F149" s="22"/>
      <c r="G149" s="22"/>
    </row>
    <row r="150" spans="1:7" x14ac:dyDescent="0.2">
      <c r="A150" s="20" t="s">
        <v>150</v>
      </c>
      <c r="B150" s="21"/>
      <c r="C150" s="21"/>
      <c r="D150" s="21"/>
      <c r="E150" s="21"/>
      <c r="F150" s="22"/>
      <c r="G150" s="22"/>
    </row>
    <row r="151" spans="1:7" x14ac:dyDescent="0.2">
      <c r="A151" s="20" t="s">
        <v>151</v>
      </c>
      <c r="B151" s="21"/>
      <c r="C151" s="21"/>
      <c r="D151" s="21"/>
      <c r="E151" s="21"/>
      <c r="F151" s="22"/>
      <c r="G151" s="22"/>
    </row>
    <row r="152" spans="1:7" x14ac:dyDescent="0.2">
      <c r="A152" s="20" t="s">
        <v>152</v>
      </c>
      <c r="B152" s="21"/>
      <c r="C152" s="21"/>
      <c r="D152" s="21"/>
      <c r="E152" s="21"/>
      <c r="F152" s="22"/>
      <c r="G152" s="22"/>
    </row>
    <row r="153" spans="1:7" x14ac:dyDescent="0.2">
      <c r="A153" s="20" t="s">
        <v>153</v>
      </c>
      <c r="B153" s="21"/>
      <c r="C153" s="21"/>
      <c r="D153" s="21"/>
      <c r="E153" s="21"/>
      <c r="F153" s="22"/>
      <c r="G153" s="22"/>
    </row>
    <row r="154" spans="1:7" x14ac:dyDescent="0.2">
      <c r="A154" s="20" t="s">
        <v>154</v>
      </c>
      <c r="B154" s="21"/>
      <c r="C154" s="21"/>
      <c r="D154" s="21"/>
      <c r="E154" s="21"/>
      <c r="F154" s="22"/>
      <c r="G154" s="22"/>
    </row>
    <row r="155" spans="1:7" x14ac:dyDescent="0.2">
      <c r="A155" s="20" t="s">
        <v>155</v>
      </c>
      <c r="B155" s="21"/>
      <c r="C155" s="21"/>
      <c r="D155" s="21"/>
      <c r="E155" s="21"/>
      <c r="F155" s="22"/>
      <c r="G155" s="22"/>
    </row>
    <row r="156" spans="1:7" x14ac:dyDescent="0.2">
      <c r="A156" s="20" t="s">
        <v>156</v>
      </c>
      <c r="B156" s="21"/>
      <c r="C156" s="21"/>
      <c r="D156" s="21"/>
      <c r="E156" s="21"/>
      <c r="F156" s="22"/>
      <c r="G156" s="22"/>
    </row>
    <row r="157" spans="1:7" ht="2.85" customHeight="1" x14ac:dyDescent="0.2">
      <c r="A157" s="23"/>
      <c r="B157" s="24"/>
      <c r="C157" s="24"/>
      <c r="D157" s="24"/>
      <c r="E157" s="24"/>
      <c r="F157" s="23"/>
      <c r="G157" s="23"/>
    </row>
  </sheetData>
  <mergeCells count="1">
    <mergeCell ref="A1:B1"/>
  </mergeCells>
  <pageMargins left="0.59027777777777779" right="0.59027777777777779" top="1.1625000000000001" bottom="0.39374999999999999" header="0.39374999999999999" footer="0.51180555555555551"/>
  <pageSetup paperSize="9" scale="83" orientation="portrait" useFirstPageNumber="1" horizontalDpi="300" verticalDpi="300" r:id="rId1"/>
  <headerFooter alignWithMargins="0">
    <oddHeader>&amp;L&amp;"Arial,Negrito"&amp;24NOME DA SUA EMPRESA
&amp;"Arial,Normal"&amp;10ENDEREÇO DA EMPRESA, Nº 123, SL. 408 - 4º ANDAR - BAIRRO
00000-000, CIDADE, UF - FONE: (11) 9999-9999 - SITE: http://www.reidasplanilhas.com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defaultGridColor="0" colorId="41" zoomScale="80" zoomScaleNormal="80" workbookViewId="0">
      <pane ySplit="4" topLeftCell="A5" activePane="bottomLeft" state="frozen"/>
      <selection pane="bottomLeft" activeCell="C1" sqref="C1:D1"/>
    </sheetView>
  </sheetViews>
  <sheetFormatPr defaultColWidth="11.5703125" defaultRowHeight="12.75" x14ac:dyDescent="0.2"/>
  <cols>
    <col min="1" max="1" width="10.140625" style="1" customWidth="1"/>
    <col min="2" max="2" width="51" style="2" customWidth="1"/>
    <col min="3" max="3" width="15.28515625" style="1" customWidth="1"/>
    <col min="4" max="4" width="20.42578125" style="2" customWidth="1"/>
    <col min="5" max="6" width="0" style="2" hidden="1" customWidth="1"/>
    <col min="7" max="16384" width="11.5703125" style="2"/>
  </cols>
  <sheetData>
    <row r="1" spans="1:6" s="4" customFormat="1" ht="33.950000000000003" customHeight="1" x14ac:dyDescent="0.25">
      <c r="A1" s="126" t="str">
        <f>"LISTA DE PRODUTOS ("&amp;COUNTA(B6:B205)&amp;"/"&amp;COUNTA(A6:A205)&amp;")"</f>
        <v>LISTA DE PRODUTOS (1/200)</v>
      </c>
      <c r="B1" s="126"/>
      <c r="C1" s="127" t="str">
        <f>HYPERLINK("#orçamento!A4","VOLTAR PARA O ORÇAMENTO")</f>
        <v>VOLTAR PARA O ORÇAMENTO</v>
      </c>
      <c r="D1" s="128"/>
    </row>
    <row r="2" spans="1:6" ht="2.85" customHeight="1" x14ac:dyDescent="0.2">
      <c r="A2" s="6"/>
      <c r="B2" s="7"/>
      <c r="C2" s="6"/>
      <c r="D2" s="7"/>
    </row>
    <row r="3" spans="1:6" hidden="1" x14ac:dyDescent="0.2"/>
    <row r="4" spans="1:6" s="13" customFormat="1" ht="28.35" customHeight="1" x14ac:dyDescent="0.2">
      <c r="A4" s="8" t="s">
        <v>0</v>
      </c>
      <c r="B4" s="9" t="s">
        <v>1</v>
      </c>
      <c r="C4" s="8" t="s">
        <v>157</v>
      </c>
      <c r="D4" s="12" t="s">
        <v>158</v>
      </c>
    </row>
    <row r="5" spans="1:6" s="13" customFormat="1" ht="2.85" customHeight="1" x14ac:dyDescent="0.2">
      <c r="A5" s="14"/>
      <c r="B5" s="15"/>
      <c r="C5" s="14"/>
      <c r="D5" s="16"/>
    </row>
    <row r="6" spans="1:6" x14ac:dyDescent="0.2">
      <c r="A6" s="25" t="s">
        <v>159</v>
      </c>
      <c r="B6" s="21" t="s">
        <v>403</v>
      </c>
      <c r="C6" s="26" t="s">
        <v>160</v>
      </c>
      <c r="D6" s="27">
        <v>5</v>
      </c>
      <c r="F6" s="2">
        <f t="shared" ref="F6:F37" si="0">IF(TRIM(B6)&lt;&gt;"",1,0)</f>
        <v>1</v>
      </c>
    </row>
    <row r="7" spans="1:6" x14ac:dyDescent="0.2">
      <c r="A7" s="25" t="s">
        <v>161</v>
      </c>
      <c r="B7" s="21"/>
      <c r="C7" s="22"/>
      <c r="D7" s="27"/>
      <c r="F7" s="2">
        <f t="shared" si="0"/>
        <v>0</v>
      </c>
    </row>
    <row r="8" spans="1:6" x14ac:dyDescent="0.2">
      <c r="A8" s="25" t="s">
        <v>162</v>
      </c>
      <c r="B8" s="21"/>
      <c r="C8" s="26"/>
      <c r="D8" s="27"/>
      <c r="F8" s="2">
        <f t="shared" si="0"/>
        <v>0</v>
      </c>
    </row>
    <row r="9" spans="1:6" x14ac:dyDescent="0.2">
      <c r="A9" s="25" t="s">
        <v>163</v>
      </c>
      <c r="B9" s="21"/>
      <c r="C9" s="26"/>
      <c r="D9" s="27"/>
      <c r="F9" s="2">
        <f t="shared" si="0"/>
        <v>0</v>
      </c>
    </row>
    <row r="10" spans="1:6" x14ac:dyDescent="0.2">
      <c r="A10" s="25" t="s">
        <v>164</v>
      </c>
      <c r="B10" s="21"/>
      <c r="C10" s="26"/>
      <c r="D10" s="27"/>
      <c r="F10" s="2">
        <f t="shared" si="0"/>
        <v>0</v>
      </c>
    </row>
    <row r="11" spans="1:6" x14ac:dyDescent="0.2">
      <c r="A11" s="25" t="s">
        <v>165</v>
      </c>
      <c r="B11" s="21"/>
      <c r="C11" s="26"/>
      <c r="D11" s="27"/>
      <c r="F11" s="2">
        <f t="shared" si="0"/>
        <v>0</v>
      </c>
    </row>
    <row r="12" spans="1:6" x14ac:dyDescent="0.2">
      <c r="A12" s="25" t="s">
        <v>166</v>
      </c>
      <c r="B12" s="21"/>
      <c r="C12" s="26"/>
      <c r="D12" s="27"/>
      <c r="F12" s="2">
        <f t="shared" si="0"/>
        <v>0</v>
      </c>
    </row>
    <row r="13" spans="1:6" x14ac:dyDescent="0.2">
      <c r="A13" s="25" t="s">
        <v>167</v>
      </c>
      <c r="B13" s="21"/>
      <c r="C13" s="26"/>
      <c r="D13" s="27"/>
      <c r="F13" s="2">
        <f t="shared" si="0"/>
        <v>0</v>
      </c>
    </row>
    <row r="14" spans="1:6" x14ac:dyDescent="0.2">
      <c r="A14" s="25" t="s">
        <v>168</v>
      </c>
      <c r="B14" s="21"/>
      <c r="C14" s="26"/>
      <c r="D14" s="27"/>
      <c r="F14" s="2">
        <f t="shared" si="0"/>
        <v>0</v>
      </c>
    </row>
    <row r="15" spans="1:6" x14ac:dyDescent="0.2">
      <c r="A15" s="25" t="s">
        <v>169</v>
      </c>
      <c r="B15" s="21"/>
      <c r="C15" s="26"/>
      <c r="D15" s="27"/>
      <c r="F15" s="2">
        <f t="shared" si="0"/>
        <v>0</v>
      </c>
    </row>
    <row r="16" spans="1:6" x14ac:dyDescent="0.2">
      <c r="A16" s="25" t="s">
        <v>170</v>
      </c>
      <c r="B16" s="21"/>
      <c r="C16" s="26"/>
      <c r="D16" s="27"/>
      <c r="F16" s="2">
        <f t="shared" si="0"/>
        <v>0</v>
      </c>
    </row>
    <row r="17" spans="1:6" x14ac:dyDescent="0.2">
      <c r="A17" s="25" t="s">
        <v>171</v>
      </c>
      <c r="B17" s="21"/>
      <c r="C17" s="26"/>
      <c r="D17" s="27"/>
      <c r="F17" s="2">
        <f t="shared" si="0"/>
        <v>0</v>
      </c>
    </row>
    <row r="18" spans="1:6" x14ac:dyDescent="0.2">
      <c r="A18" s="25" t="s">
        <v>172</v>
      </c>
      <c r="B18" s="21"/>
      <c r="C18" s="26"/>
      <c r="D18" s="27"/>
      <c r="F18" s="2">
        <f t="shared" si="0"/>
        <v>0</v>
      </c>
    </row>
    <row r="19" spans="1:6" x14ac:dyDescent="0.2">
      <c r="A19" s="25" t="s">
        <v>173</v>
      </c>
      <c r="B19" s="21"/>
      <c r="C19" s="26"/>
      <c r="D19" s="27"/>
      <c r="F19" s="2">
        <f t="shared" si="0"/>
        <v>0</v>
      </c>
    </row>
    <row r="20" spans="1:6" x14ac:dyDescent="0.2">
      <c r="A20" s="25" t="s">
        <v>174</v>
      </c>
      <c r="B20" s="21"/>
      <c r="C20" s="26"/>
      <c r="D20" s="27"/>
      <c r="F20" s="2">
        <f t="shared" si="0"/>
        <v>0</v>
      </c>
    </row>
    <row r="21" spans="1:6" x14ac:dyDescent="0.2">
      <c r="A21" s="25" t="s">
        <v>175</v>
      </c>
      <c r="B21" s="21"/>
      <c r="C21" s="26"/>
      <c r="D21" s="27"/>
      <c r="F21" s="2">
        <f t="shared" si="0"/>
        <v>0</v>
      </c>
    </row>
    <row r="22" spans="1:6" x14ac:dyDescent="0.2">
      <c r="A22" s="25" t="s">
        <v>177</v>
      </c>
      <c r="B22" s="21"/>
      <c r="C22" s="26"/>
      <c r="D22" s="27"/>
      <c r="F22" s="2">
        <f t="shared" si="0"/>
        <v>0</v>
      </c>
    </row>
    <row r="23" spans="1:6" x14ac:dyDescent="0.2">
      <c r="A23" s="25" t="s">
        <v>178</v>
      </c>
      <c r="B23" s="21"/>
      <c r="C23" s="26"/>
      <c r="D23" s="27"/>
      <c r="F23" s="2">
        <f t="shared" si="0"/>
        <v>0</v>
      </c>
    </row>
    <row r="24" spans="1:6" x14ac:dyDescent="0.2">
      <c r="A24" s="25" t="s">
        <v>179</v>
      </c>
      <c r="B24" s="21"/>
      <c r="C24" s="26"/>
      <c r="D24" s="27"/>
      <c r="F24" s="2">
        <f t="shared" si="0"/>
        <v>0</v>
      </c>
    </row>
    <row r="25" spans="1:6" x14ac:dyDescent="0.2">
      <c r="A25" s="25" t="s">
        <v>180</v>
      </c>
      <c r="B25" s="21"/>
      <c r="C25" s="26"/>
      <c r="D25" s="27"/>
      <c r="F25" s="2">
        <f t="shared" si="0"/>
        <v>0</v>
      </c>
    </row>
    <row r="26" spans="1:6" x14ac:dyDescent="0.2">
      <c r="A26" s="25" t="s">
        <v>181</v>
      </c>
      <c r="B26" s="21"/>
      <c r="C26" s="26"/>
      <c r="D26" s="27"/>
      <c r="F26" s="2">
        <f t="shared" si="0"/>
        <v>0</v>
      </c>
    </row>
    <row r="27" spans="1:6" x14ac:dyDescent="0.2">
      <c r="A27" s="25" t="s">
        <v>182</v>
      </c>
      <c r="B27" s="21"/>
      <c r="C27" s="26"/>
      <c r="D27" s="27"/>
      <c r="F27" s="2">
        <f t="shared" si="0"/>
        <v>0</v>
      </c>
    </row>
    <row r="28" spans="1:6" x14ac:dyDescent="0.2">
      <c r="A28" s="25" t="s">
        <v>183</v>
      </c>
      <c r="B28" s="21"/>
      <c r="C28" s="26"/>
      <c r="D28" s="27"/>
      <c r="F28" s="2">
        <f t="shared" si="0"/>
        <v>0</v>
      </c>
    </row>
    <row r="29" spans="1:6" x14ac:dyDescent="0.2">
      <c r="A29" s="25" t="s">
        <v>184</v>
      </c>
      <c r="B29" s="21"/>
      <c r="C29" s="26"/>
      <c r="D29" s="27"/>
      <c r="F29" s="2">
        <f t="shared" si="0"/>
        <v>0</v>
      </c>
    </row>
    <row r="30" spans="1:6" x14ac:dyDescent="0.2">
      <c r="A30" s="25" t="s">
        <v>185</v>
      </c>
      <c r="B30" s="21"/>
      <c r="C30" s="26"/>
      <c r="D30" s="27"/>
      <c r="F30" s="2">
        <f t="shared" si="0"/>
        <v>0</v>
      </c>
    </row>
    <row r="31" spans="1:6" x14ac:dyDescent="0.2">
      <c r="A31" s="25" t="s">
        <v>186</v>
      </c>
      <c r="B31" s="21"/>
      <c r="C31" s="26"/>
      <c r="D31" s="27"/>
      <c r="F31" s="2">
        <f t="shared" si="0"/>
        <v>0</v>
      </c>
    </row>
    <row r="32" spans="1:6" x14ac:dyDescent="0.2">
      <c r="A32" s="25" t="s">
        <v>187</v>
      </c>
      <c r="B32" s="21"/>
      <c r="C32" s="26"/>
      <c r="D32" s="27"/>
      <c r="F32" s="2">
        <f t="shared" si="0"/>
        <v>0</v>
      </c>
    </row>
    <row r="33" spans="1:6" x14ac:dyDescent="0.2">
      <c r="A33" s="25" t="s">
        <v>188</v>
      </c>
      <c r="B33" s="21"/>
      <c r="C33" s="26"/>
      <c r="D33" s="27"/>
      <c r="F33" s="2">
        <f t="shared" si="0"/>
        <v>0</v>
      </c>
    </row>
    <row r="34" spans="1:6" x14ac:dyDescent="0.2">
      <c r="A34" s="25" t="s">
        <v>189</v>
      </c>
      <c r="B34" s="21"/>
      <c r="C34" s="26"/>
      <c r="D34" s="27"/>
      <c r="F34" s="2">
        <f t="shared" si="0"/>
        <v>0</v>
      </c>
    </row>
    <row r="35" spans="1:6" x14ac:dyDescent="0.2">
      <c r="A35" s="25" t="s">
        <v>190</v>
      </c>
      <c r="B35" s="21"/>
      <c r="C35" s="26"/>
      <c r="D35" s="27"/>
      <c r="F35" s="2">
        <f t="shared" si="0"/>
        <v>0</v>
      </c>
    </row>
    <row r="36" spans="1:6" x14ac:dyDescent="0.2">
      <c r="A36" s="25" t="s">
        <v>191</v>
      </c>
      <c r="B36" s="21"/>
      <c r="C36" s="26"/>
      <c r="D36" s="27"/>
      <c r="F36" s="2">
        <f t="shared" si="0"/>
        <v>0</v>
      </c>
    </row>
    <row r="37" spans="1:6" x14ac:dyDescent="0.2">
      <c r="A37" s="25" t="s">
        <v>192</v>
      </c>
      <c r="B37" s="21"/>
      <c r="C37" s="26"/>
      <c r="D37" s="27"/>
      <c r="F37" s="2">
        <f t="shared" si="0"/>
        <v>0</v>
      </c>
    </row>
    <row r="38" spans="1:6" x14ac:dyDescent="0.2">
      <c r="A38" s="25" t="s">
        <v>193</v>
      </c>
      <c r="B38" s="21"/>
      <c r="C38" s="26"/>
      <c r="D38" s="27"/>
      <c r="F38" s="2">
        <f t="shared" ref="F38:F69" si="1">IF(TRIM(B38)&lt;&gt;"",1,0)</f>
        <v>0</v>
      </c>
    </row>
    <row r="39" spans="1:6" x14ac:dyDescent="0.2">
      <c r="A39" s="25" t="s">
        <v>194</v>
      </c>
      <c r="B39" s="21"/>
      <c r="C39" s="26"/>
      <c r="D39" s="27"/>
      <c r="F39" s="2">
        <f t="shared" si="1"/>
        <v>0</v>
      </c>
    </row>
    <row r="40" spans="1:6" x14ac:dyDescent="0.2">
      <c r="A40" s="25" t="s">
        <v>195</v>
      </c>
      <c r="B40" s="21"/>
      <c r="C40" s="26"/>
      <c r="D40" s="27"/>
      <c r="F40" s="2">
        <f t="shared" si="1"/>
        <v>0</v>
      </c>
    </row>
    <row r="41" spans="1:6" x14ac:dyDescent="0.2">
      <c r="A41" s="25" t="s">
        <v>196</v>
      </c>
      <c r="B41" s="21"/>
      <c r="C41" s="26"/>
      <c r="D41" s="27"/>
      <c r="F41" s="2">
        <f t="shared" si="1"/>
        <v>0</v>
      </c>
    </row>
    <row r="42" spans="1:6" x14ac:dyDescent="0.2">
      <c r="A42" s="25" t="s">
        <v>197</v>
      </c>
      <c r="B42" s="21"/>
      <c r="C42" s="26"/>
      <c r="D42" s="27"/>
      <c r="F42" s="2">
        <f t="shared" si="1"/>
        <v>0</v>
      </c>
    </row>
    <row r="43" spans="1:6" x14ac:dyDescent="0.2">
      <c r="A43" s="25" t="s">
        <v>198</v>
      </c>
      <c r="B43" s="21"/>
      <c r="C43" s="26"/>
      <c r="D43" s="27"/>
      <c r="F43" s="2">
        <f t="shared" si="1"/>
        <v>0</v>
      </c>
    </row>
    <row r="44" spans="1:6" x14ac:dyDescent="0.2">
      <c r="A44" s="25" t="s">
        <v>199</v>
      </c>
      <c r="B44" s="21"/>
      <c r="C44" s="26"/>
      <c r="D44" s="27"/>
      <c r="F44" s="2">
        <f t="shared" si="1"/>
        <v>0</v>
      </c>
    </row>
    <row r="45" spans="1:6" x14ac:dyDescent="0.2">
      <c r="A45" s="25" t="s">
        <v>200</v>
      </c>
      <c r="B45" s="21"/>
      <c r="C45" s="26"/>
      <c r="D45" s="27"/>
      <c r="F45" s="2">
        <f t="shared" si="1"/>
        <v>0</v>
      </c>
    </row>
    <row r="46" spans="1:6" x14ac:dyDescent="0.2">
      <c r="A46" s="25" t="s">
        <v>201</v>
      </c>
      <c r="B46" s="21"/>
      <c r="C46" s="26"/>
      <c r="D46" s="27"/>
      <c r="F46" s="2">
        <f t="shared" si="1"/>
        <v>0</v>
      </c>
    </row>
    <row r="47" spans="1:6" x14ac:dyDescent="0.2">
      <c r="A47" s="25" t="s">
        <v>202</v>
      </c>
      <c r="B47" s="21"/>
      <c r="C47" s="26"/>
      <c r="D47" s="27"/>
      <c r="F47" s="2">
        <f t="shared" si="1"/>
        <v>0</v>
      </c>
    </row>
    <row r="48" spans="1:6" x14ac:dyDescent="0.2">
      <c r="A48" s="25" t="s">
        <v>203</v>
      </c>
      <c r="B48" s="21"/>
      <c r="C48" s="26"/>
      <c r="D48" s="27"/>
      <c r="F48" s="2">
        <f t="shared" si="1"/>
        <v>0</v>
      </c>
    </row>
    <row r="49" spans="1:6" x14ac:dyDescent="0.2">
      <c r="A49" s="25" t="s">
        <v>204</v>
      </c>
      <c r="B49" s="21"/>
      <c r="C49" s="26"/>
      <c r="D49" s="27"/>
      <c r="F49" s="2">
        <f t="shared" si="1"/>
        <v>0</v>
      </c>
    </row>
    <row r="50" spans="1:6" x14ac:dyDescent="0.2">
      <c r="A50" s="25" t="s">
        <v>205</v>
      </c>
      <c r="B50" s="21"/>
      <c r="C50" s="26"/>
      <c r="D50" s="27"/>
      <c r="F50" s="2">
        <f t="shared" si="1"/>
        <v>0</v>
      </c>
    </row>
    <row r="51" spans="1:6" x14ac:dyDescent="0.2">
      <c r="A51" s="25" t="s">
        <v>206</v>
      </c>
      <c r="B51" s="21"/>
      <c r="C51" s="26"/>
      <c r="D51" s="27"/>
      <c r="F51" s="2">
        <f t="shared" si="1"/>
        <v>0</v>
      </c>
    </row>
    <row r="52" spans="1:6" x14ac:dyDescent="0.2">
      <c r="A52" s="25" t="s">
        <v>207</v>
      </c>
      <c r="B52" s="21"/>
      <c r="C52" s="26"/>
      <c r="D52" s="27"/>
      <c r="F52" s="2">
        <f t="shared" si="1"/>
        <v>0</v>
      </c>
    </row>
    <row r="53" spans="1:6" x14ac:dyDescent="0.2">
      <c r="A53" s="25" t="s">
        <v>208</v>
      </c>
      <c r="B53" s="21"/>
      <c r="C53" s="26"/>
      <c r="D53" s="27"/>
      <c r="F53" s="2">
        <f t="shared" si="1"/>
        <v>0</v>
      </c>
    </row>
    <row r="54" spans="1:6" x14ac:dyDescent="0.2">
      <c r="A54" s="25" t="s">
        <v>209</v>
      </c>
      <c r="B54" s="21"/>
      <c r="C54" s="26"/>
      <c r="D54" s="27"/>
      <c r="F54" s="2">
        <f t="shared" si="1"/>
        <v>0</v>
      </c>
    </row>
    <row r="55" spans="1:6" x14ac:dyDescent="0.2">
      <c r="A55" s="25" t="s">
        <v>210</v>
      </c>
      <c r="B55" s="21"/>
      <c r="C55" s="26"/>
      <c r="D55" s="27"/>
      <c r="F55" s="2">
        <f t="shared" si="1"/>
        <v>0</v>
      </c>
    </row>
    <row r="56" spans="1:6" x14ac:dyDescent="0.2">
      <c r="A56" s="25" t="s">
        <v>211</v>
      </c>
      <c r="B56" s="21"/>
      <c r="C56" s="26"/>
      <c r="D56" s="27"/>
      <c r="F56" s="2">
        <f t="shared" si="1"/>
        <v>0</v>
      </c>
    </row>
    <row r="57" spans="1:6" x14ac:dyDescent="0.2">
      <c r="A57" s="25" t="s">
        <v>212</v>
      </c>
      <c r="B57" s="21"/>
      <c r="C57" s="26"/>
      <c r="D57" s="27"/>
      <c r="F57" s="2">
        <f t="shared" si="1"/>
        <v>0</v>
      </c>
    </row>
    <row r="58" spans="1:6" x14ac:dyDescent="0.2">
      <c r="A58" s="25" t="s">
        <v>213</v>
      </c>
      <c r="B58" s="21"/>
      <c r="C58" s="26"/>
      <c r="D58" s="27"/>
      <c r="F58" s="2">
        <f t="shared" si="1"/>
        <v>0</v>
      </c>
    </row>
    <row r="59" spans="1:6" x14ac:dyDescent="0.2">
      <c r="A59" s="25" t="s">
        <v>214</v>
      </c>
      <c r="B59" s="21"/>
      <c r="C59" s="26"/>
      <c r="D59" s="27"/>
      <c r="F59" s="2">
        <f t="shared" si="1"/>
        <v>0</v>
      </c>
    </row>
    <row r="60" spans="1:6" x14ac:dyDescent="0.2">
      <c r="A60" s="25" t="s">
        <v>215</v>
      </c>
      <c r="B60" s="21"/>
      <c r="C60" s="26"/>
      <c r="D60" s="27"/>
      <c r="F60" s="2">
        <f t="shared" si="1"/>
        <v>0</v>
      </c>
    </row>
    <row r="61" spans="1:6" x14ac:dyDescent="0.2">
      <c r="A61" s="25" t="s">
        <v>216</v>
      </c>
      <c r="B61" s="21"/>
      <c r="C61" s="26"/>
      <c r="D61" s="27"/>
      <c r="F61" s="2">
        <f t="shared" si="1"/>
        <v>0</v>
      </c>
    </row>
    <row r="62" spans="1:6" x14ac:dyDescent="0.2">
      <c r="A62" s="25" t="s">
        <v>217</v>
      </c>
      <c r="B62" s="21"/>
      <c r="C62" s="26"/>
      <c r="D62" s="27"/>
      <c r="F62" s="2">
        <f t="shared" si="1"/>
        <v>0</v>
      </c>
    </row>
    <row r="63" spans="1:6" x14ac:dyDescent="0.2">
      <c r="A63" s="25" t="s">
        <v>218</v>
      </c>
      <c r="B63" s="21"/>
      <c r="C63" s="26"/>
      <c r="D63" s="27"/>
      <c r="F63" s="2">
        <f t="shared" si="1"/>
        <v>0</v>
      </c>
    </row>
    <row r="64" spans="1:6" x14ac:dyDescent="0.2">
      <c r="A64" s="25" t="s">
        <v>219</v>
      </c>
      <c r="B64" s="21"/>
      <c r="C64" s="26"/>
      <c r="D64" s="27"/>
      <c r="F64" s="2">
        <f t="shared" si="1"/>
        <v>0</v>
      </c>
    </row>
    <row r="65" spans="1:6" x14ac:dyDescent="0.2">
      <c r="A65" s="25" t="s">
        <v>220</v>
      </c>
      <c r="B65" s="21"/>
      <c r="C65" s="26"/>
      <c r="D65" s="27"/>
      <c r="F65" s="2">
        <f t="shared" si="1"/>
        <v>0</v>
      </c>
    </row>
    <row r="66" spans="1:6" x14ac:dyDescent="0.2">
      <c r="A66" s="25" t="s">
        <v>221</v>
      </c>
      <c r="B66" s="21"/>
      <c r="C66" s="26"/>
      <c r="D66" s="27"/>
      <c r="F66" s="2">
        <f t="shared" si="1"/>
        <v>0</v>
      </c>
    </row>
    <row r="67" spans="1:6" x14ac:dyDescent="0.2">
      <c r="A67" s="25" t="s">
        <v>222</v>
      </c>
      <c r="B67" s="21"/>
      <c r="C67" s="26"/>
      <c r="D67" s="27"/>
      <c r="F67" s="2">
        <f t="shared" si="1"/>
        <v>0</v>
      </c>
    </row>
    <row r="68" spans="1:6" x14ac:dyDescent="0.2">
      <c r="A68" s="25" t="s">
        <v>223</v>
      </c>
      <c r="B68" s="21"/>
      <c r="C68" s="26"/>
      <c r="D68" s="27"/>
      <c r="F68" s="2">
        <f t="shared" si="1"/>
        <v>0</v>
      </c>
    </row>
    <row r="69" spans="1:6" x14ac:dyDescent="0.2">
      <c r="A69" s="25" t="s">
        <v>224</v>
      </c>
      <c r="B69" s="21"/>
      <c r="C69" s="26"/>
      <c r="D69" s="27"/>
      <c r="F69" s="2">
        <f t="shared" si="1"/>
        <v>0</v>
      </c>
    </row>
    <row r="70" spans="1:6" x14ac:dyDescent="0.2">
      <c r="A70" s="25" t="s">
        <v>225</v>
      </c>
      <c r="B70" s="21"/>
      <c r="C70" s="26"/>
      <c r="D70" s="27"/>
      <c r="F70" s="2">
        <f t="shared" ref="F70:F101" si="2">IF(TRIM(B70)&lt;&gt;"",1,0)</f>
        <v>0</v>
      </c>
    </row>
    <row r="71" spans="1:6" x14ac:dyDescent="0.2">
      <c r="A71" s="25" t="s">
        <v>226</v>
      </c>
      <c r="B71" s="21"/>
      <c r="C71" s="26"/>
      <c r="D71" s="27"/>
      <c r="F71" s="2">
        <f t="shared" si="2"/>
        <v>0</v>
      </c>
    </row>
    <row r="72" spans="1:6" x14ac:dyDescent="0.2">
      <c r="A72" s="25" t="s">
        <v>227</v>
      </c>
      <c r="B72" s="21"/>
      <c r="C72" s="26"/>
      <c r="D72" s="27"/>
      <c r="F72" s="2">
        <f t="shared" si="2"/>
        <v>0</v>
      </c>
    </row>
    <row r="73" spans="1:6" x14ac:dyDescent="0.2">
      <c r="A73" s="25" t="s">
        <v>228</v>
      </c>
      <c r="B73" s="21"/>
      <c r="C73" s="26"/>
      <c r="D73" s="27"/>
      <c r="F73" s="2">
        <f t="shared" si="2"/>
        <v>0</v>
      </c>
    </row>
    <row r="74" spans="1:6" x14ac:dyDescent="0.2">
      <c r="A74" s="25" t="s">
        <v>229</v>
      </c>
      <c r="B74" s="21"/>
      <c r="C74" s="26"/>
      <c r="D74" s="27"/>
      <c r="F74" s="2">
        <f t="shared" si="2"/>
        <v>0</v>
      </c>
    </row>
    <row r="75" spans="1:6" x14ac:dyDescent="0.2">
      <c r="A75" s="25" t="s">
        <v>230</v>
      </c>
      <c r="B75" s="21"/>
      <c r="C75" s="26"/>
      <c r="D75" s="27"/>
      <c r="F75" s="2">
        <f t="shared" si="2"/>
        <v>0</v>
      </c>
    </row>
    <row r="76" spans="1:6" x14ac:dyDescent="0.2">
      <c r="A76" s="25" t="s">
        <v>231</v>
      </c>
      <c r="B76" s="21"/>
      <c r="C76" s="26"/>
      <c r="D76" s="27"/>
      <c r="F76" s="2">
        <f t="shared" si="2"/>
        <v>0</v>
      </c>
    </row>
    <row r="77" spans="1:6" x14ac:dyDescent="0.2">
      <c r="A77" s="25" t="s">
        <v>232</v>
      </c>
      <c r="B77" s="21"/>
      <c r="C77" s="26"/>
      <c r="D77" s="27"/>
      <c r="F77" s="2">
        <f t="shared" si="2"/>
        <v>0</v>
      </c>
    </row>
    <row r="78" spans="1:6" x14ac:dyDescent="0.2">
      <c r="A78" s="25" t="s">
        <v>233</v>
      </c>
      <c r="B78" s="21"/>
      <c r="C78" s="26"/>
      <c r="D78" s="27"/>
      <c r="F78" s="2">
        <f t="shared" si="2"/>
        <v>0</v>
      </c>
    </row>
    <row r="79" spans="1:6" x14ac:dyDescent="0.2">
      <c r="A79" s="25" t="s">
        <v>234</v>
      </c>
      <c r="B79" s="21"/>
      <c r="C79" s="26"/>
      <c r="D79" s="27"/>
      <c r="F79" s="2">
        <f t="shared" si="2"/>
        <v>0</v>
      </c>
    </row>
    <row r="80" spans="1:6" x14ac:dyDescent="0.2">
      <c r="A80" s="25" t="s">
        <v>235</v>
      </c>
      <c r="B80" s="21"/>
      <c r="C80" s="26"/>
      <c r="D80" s="27"/>
      <c r="F80" s="2">
        <f t="shared" si="2"/>
        <v>0</v>
      </c>
    </row>
    <row r="81" spans="1:6" x14ac:dyDescent="0.2">
      <c r="A81" s="25" t="s">
        <v>236</v>
      </c>
      <c r="B81" s="21"/>
      <c r="C81" s="26"/>
      <c r="D81" s="27"/>
      <c r="F81" s="2">
        <f t="shared" si="2"/>
        <v>0</v>
      </c>
    </row>
    <row r="82" spans="1:6" x14ac:dyDescent="0.2">
      <c r="A82" s="25" t="s">
        <v>237</v>
      </c>
      <c r="B82" s="21"/>
      <c r="C82" s="26"/>
      <c r="D82" s="27"/>
      <c r="F82" s="2">
        <f t="shared" si="2"/>
        <v>0</v>
      </c>
    </row>
    <row r="83" spans="1:6" x14ac:dyDescent="0.2">
      <c r="A83" s="25" t="s">
        <v>238</v>
      </c>
      <c r="B83" s="21"/>
      <c r="C83" s="26"/>
      <c r="D83" s="27"/>
      <c r="F83" s="2">
        <f t="shared" si="2"/>
        <v>0</v>
      </c>
    </row>
    <row r="84" spans="1:6" x14ac:dyDescent="0.2">
      <c r="A84" s="25" t="s">
        <v>239</v>
      </c>
      <c r="B84" s="21"/>
      <c r="C84" s="26"/>
      <c r="D84" s="27"/>
      <c r="F84" s="2">
        <f t="shared" si="2"/>
        <v>0</v>
      </c>
    </row>
    <row r="85" spans="1:6" x14ac:dyDescent="0.2">
      <c r="A85" s="25" t="s">
        <v>240</v>
      </c>
      <c r="B85" s="21"/>
      <c r="C85" s="26"/>
      <c r="D85" s="27"/>
      <c r="F85" s="2">
        <f t="shared" si="2"/>
        <v>0</v>
      </c>
    </row>
    <row r="86" spans="1:6" x14ac:dyDescent="0.2">
      <c r="A86" s="25" t="s">
        <v>241</v>
      </c>
      <c r="B86" s="21"/>
      <c r="C86" s="26"/>
      <c r="D86" s="27"/>
      <c r="F86" s="2">
        <f t="shared" si="2"/>
        <v>0</v>
      </c>
    </row>
    <row r="87" spans="1:6" x14ac:dyDescent="0.2">
      <c r="A87" s="25" t="s">
        <v>242</v>
      </c>
      <c r="B87" s="21"/>
      <c r="C87" s="26"/>
      <c r="D87" s="27"/>
      <c r="F87" s="2">
        <f t="shared" si="2"/>
        <v>0</v>
      </c>
    </row>
    <row r="88" spans="1:6" x14ac:dyDescent="0.2">
      <c r="A88" s="25" t="s">
        <v>243</v>
      </c>
      <c r="B88" s="21"/>
      <c r="C88" s="26"/>
      <c r="D88" s="27"/>
      <c r="F88" s="2">
        <f t="shared" si="2"/>
        <v>0</v>
      </c>
    </row>
    <row r="89" spans="1:6" x14ac:dyDescent="0.2">
      <c r="A89" s="25" t="s">
        <v>244</v>
      </c>
      <c r="B89" s="21"/>
      <c r="C89" s="26"/>
      <c r="D89" s="27"/>
      <c r="F89" s="2">
        <f t="shared" si="2"/>
        <v>0</v>
      </c>
    </row>
    <row r="90" spans="1:6" x14ac:dyDescent="0.2">
      <c r="A90" s="25" t="s">
        <v>245</v>
      </c>
      <c r="B90" s="21"/>
      <c r="C90" s="26"/>
      <c r="D90" s="27"/>
      <c r="F90" s="2">
        <f t="shared" si="2"/>
        <v>0</v>
      </c>
    </row>
    <row r="91" spans="1:6" x14ac:dyDescent="0.2">
      <c r="A91" s="25" t="s">
        <v>246</v>
      </c>
      <c r="B91" s="21"/>
      <c r="C91" s="26"/>
      <c r="D91" s="27"/>
      <c r="F91" s="2">
        <f t="shared" si="2"/>
        <v>0</v>
      </c>
    </row>
    <row r="92" spans="1:6" x14ac:dyDescent="0.2">
      <c r="A92" s="25" t="s">
        <v>247</v>
      </c>
      <c r="B92" s="21"/>
      <c r="C92" s="26"/>
      <c r="D92" s="27"/>
      <c r="F92" s="2">
        <f t="shared" si="2"/>
        <v>0</v>
      </c>
    </row>
    <row r="93" spans="1:6" x14ac:dyDescent="0.2">
      <c r="A93" s="25" t="s">
        <v>248</v>
      </c>
      <c r="B93" s="21"/>
      <c r="C93" s="26"/>
      <c r="D93" s="27"/>
      <c r="F93" s="2">
        <f t="shared" si="2"/>
        <v>0</v>
      </c>
    </row>
    <row r="94" spans="1:6" x14ac:dyDescent="0.2">
      <c r="A94" s="25" t="s">
        <v>249</v>
      </c>
      <c r="B94" s="21"/>
      <c r="C94" s="26"/>
      <c r="D94" s="27"/>
      <c r="F94" s="2">
        <f t="shared" si="2"/>
        <v>0</v>
      </c>
    </row>
    <row r="95" spans="1:6" x14ac:dyDescent="0.2">
      <c r="A95" s="25" t="s">
        <v>250</v>
      </c>
      <c r="B95" s="21"/>
      <c r="C95" s="26"/>
      <c r="D95" s="27"/>
      <c r="F95" s="2">
        <f t="shared" si="2"/>
        <v>0</v>
      </c>
    </row>
    <row r="96" spans="1:6" x14ac:dyDescent="0.2">
      <c r="A96" s="25" t="s">
        <v>251</v>
      </c>
      <c r="B96" s="21"/>
      <c r="C96" s="26"/>
      <c r="D96" s="27"/>
      <c r="F96" s="2">
        <f t="shared" si="2"/>
        <v>0</v>
      </c>
    </row>
    <row r="97" spans="1:6" x14ac:dyDescent="0.2">
      <c r="A97" s="25" t="s">
        <v>252</v>
      </c>
      <c r="B97" s="21"/>
      <c r="C97" s="26"/>
      <c r="D97" s="27"/>
      <c r="F97" s="2">
        <f t="shared" si="2"/>
        <v>0</v>
      </c>
    </row>
    <row r="98" spans="1:6" x14ac:dyDescent="0.2">
      <c r="A98" s="25" t="s">
        <v>253</v>
      </c>
      <c r="B98" s="21"/>
      <c r="C98" s="26"/>
      <c r="D98" s="27"/>
      <c r="F98" s="2">
        <f t="shared" si="2"/>
        <v>0</v>
      </c>
    </row>
    <row r="99" spans="1:6" x14ac:dyDescent="0.2">
      <c r="A99" s="25" t="s">
        <v>254</v>
      </c>
      <c r="B99" s="21"/>
      <c r="C99" s="26"/>
      <c r="D99" s="27"/>
      <c r="F99" s="2">
        <f t="shared" si="2"/>
        <v>0</v>
      </c>
    </row>
    <row r="100" spans="1:6" x14ac:dyDescent="0.2">
      <c r="A100" s="25" t="s">
        <v>255</v>
      </c>
      <c r="B100" s="21"/>
      <c r="C100" s="26"/>
      <c r="D100" s="27"/>
      <c r="F100" s="2">
        <f t="shared" si="2"/>
        <v>0</v>
      </c>
    </row>
    <row r="101" spans="1:6" x14ac:dyDescent="0.2">
      <c r="A101" s="25" t="s">
        <v>256</v>
      </c>
      <c r="B101" s="21"/>
      <c r="C101" s="26"/>
      <c r="D101" s="27"/>
      <c r="F101" s="2">
        <f t="shared" si="2"/>
        <v>0</v>
      </c>
    </row>
    <row r="102" spans="1:6" x14ac:dyDescent="0.2">
      <c r="A102" s="25" t="s">
        <v>257</v>
      </c>
      <c r="B102" s="21"/>
      <c r="C102" s="26"/>
      <c r="D102" s="27"/>
      <c r="F102" s="2">
        <f t="shared" ref="F102:F133" si="3">IF(TRIM(B102)&lt;&gt;"",1,0)</f>
        <v>0</v>
      </c>
    </row>
    <row r="103" spans="1:6" x14ac:dyDescent="0.2">
      <c r="A103" s="25" t="s">
        <v>258</v>
      </c>
      <c r="B103" s="21"/>
      <c r="C103" s="26"/>
      <c r="D103" s="27"/>
      <c r="F103" s="2">
        <f t="shared" si="3"/>
        <v>0</v>
      </c>
    </row>
    <row r="104" spans="1:6" x14ac:dyDescent="0.2">
      <c r="A104" s="25" t="s">
        <v>259</v>
      </c>
      <c r="B104" s="21"/>
      <c r="C104" s="26"/>
      <c r="D104" s="27"/>
      <c r="F104" s="2">
        <f t="shared" si="3"/>
        <v>0</v>
      </c>
    </row>
    <row r="105" spans="1:6" x14ac:dyDescent="0.2">
      <c r="A105" s="25" t="s">
        <v>260</v>
      </c>
      <c r="B105" s="21"/>
      <c r="C105" s="26"/>
      <c r="D105" s="27"/>
      <c r="F105" s="2">
        <f t="shared" si="3"/>
        <v>0</v>
      </c>
    </row>
    <row r="106" spans="1:6" x14ac:dyDescent="0.2">
      <c r="A106" s="25" t="s">
        <v>261</v>
      </c>
      <c r="B106" s="21"/>
      <c r="C106" s="26"/>
      <c r="D106" s="27"/>
      <c r="F106" s="2">
        <f t="shared" si="3"/>
        <v>0</v>
      </c>
    </row>
    <row r="107" spans="1:6" x14ac:dyDescent="0.2">
      <c r="A107" s="25" t="s">
        <v>262</v>
      </c>
      <c r="B107" s="21"/>
      <c r="C107" s="26"/>
      <c r="D107" s="27"/>
      <c r="F107" s="2">
        <f t="shared" si="3"/>
        <v>0</v>
      </c>
    </row>
    <row r="108" spans="1:6" x14ac:dyDescent="0.2">
      <c r="A108" s="25" t="s">
        <v>263</v>
      </c>
      <c r="B108" s="21"/>
      <c r="C108" s="26"/>
      <c r="D108" s="27"/>
      <c r="F108" s="2">
        <f t="shared" si="3"/>
        <v>0</v>
      </c>
    </row>
    <row r="109" spans="1:6" x14ac:dyDescent="0.2">
      <c r="A109" s="25" t="s">
        <v>264</v>
      </c>
      <c r="B109" s="21"/>
      <c r="C109" s="26"/>
      <c r="D109" s="27"/>
      <c r="F109" s="2">
        <f t="shared" si="3"/>
        <v>0</v>
      </c>
    </row>
    <row r="110" spans="1:6" x14ac:dyDescent="0.2">
      <c r="A110" s="25" t="s">
        <v>265</v>
      </c>
      <c r="B110" s="21"/>
      <c r="C110" s="26"/>
      <c r="D110" s="27"/>
      <c r="F110" s="2">
        <f t="shared" si="3"/>
        <v>0</v>
      </c>
    </row>
    <row r="111" spans="1:6" x14ac:dyDescent="0.2">
      <c r="A111" s="25" t="s">
        <v>266</v>
      </c>
      <c r="B111" s="21"/>
      <c r="C111" s="26"/>
      <c r="D111" s="27"/>
      <c r="F111" s="2">
        <f t="shared" si="3"/>
        <v>0</v>
      </c>
    </row>
    <row r="112" spans="1:6" x14ac:dyDescent="0.2">
      <c r="A112" s="25" t="s">
        <v>267</v>
      </c>
      <c r="B112" s="21"/>
      <c r="C112" s="26"/>
      <c r="D112" s="27"/>
      <c r="F112" s="2">
        <f t="shared" si="3"/>
        <v>0</v>
      </c>
    </row>
    <row r="113" spans="1:6" x14ac:dyDescent="0.2">
      <c r="A113" s="25" t="s">
        <v>268</v>
      </c>
      <c r="B113" s="21"/>
      <c r="C113" s="26"/>
      <c r="D113" s="27"/>
      <c r="F113" s="2">
        <f t="shared" si="3"/>
        <v>0</v>
      </c>
    </row>
    <row r="114" spans="1:6" x14ac:dyDescent="0.2">
      <c r="A114" s="25" t="s">
        <v>269</v>
      </c>
      <c r="B114" s="21"/>
      <c r="C114" s="26"/>
      <c r="D114" s="27"/>
      <c r="F114" s="2">
        <f t="shared" si="3"/>
        <v>0</v>
      </c>
    </row>
    <row r="115" spans="1:6" x14ac:dyDescent="0.2">
      <c r="A115" s="25" t="s">
        <v>270</v>
      </c>
      <c r="B115" s="21"/>
      <c r="C115" s="26"/>
      <c r="D115" s="27"/>
      <c r="F115" s="2">
        <f t="shared" si="3"/>
        <v>0</v>
      </c>
    </row>
    <row r="116" spans="1:6" x14ac:dyDescent="0.2">
      <c r="A116" s="25" t="s">
        <v>271</v>
      </c>
      <c r="B116" s="21"/>
      <c r="C116" s="26"/>
      <c r="D116" s="27"/>
      <c r="F116" s="2">
        <f t="shared" si="3"/>
        <v>0</v>
      </c>
    </row>
    <row r="117" spans="1:6" x14ac:dyDescent="0.2">
      <c r="A117" s="25" t="s">
        <v>272</v>
      </c>
      <c r="B117" s="21"/>
      <c r="C117" s="26"/>
      <c r="D117" s="27"/>
      <c r="F117" s="2">
        <f t="shared" si="3"/>
        <v>0</v>
      </c>
    </row>
    <row r="118" spans="1:6" x14ac:dyDescent="0.2">
      <c r="A118" s="25" t="s">
        <v>273</v>
      </c>
      <c r="B118" s="21"/>
      <c r="C118" s="26"/>
      <c r="D118" s="27"/>
      <c r="F118" s="2">
        <f t="shared" si="3"/>
        <v>0</v>
      </c>
    </row>
    <row r="119" spans="1:6" x14ac:dyDescent="0.2">
      <c r="A119" s="25" t="s">
        <v>274</v>
      </c>
      <c r="B119" s="21"/>
      <c r="C119" s="26"/>
      <c r="D119" s="27"/>
      <c r="F119" s="2">
        <f t="shared" si="3"/>
        <v>0</v>
      </c>
    </row>
    <row r="120" spans="1:6" x14ac:dyDescent="0.2">
      <c r="A120" s="25" t="s">
        <v>275</v>
      </c>
      <c r="B120" s="21"/>
      <c r="C120" s="26"/>
      <c r="D120" s="27"/>
      <c r="F120" s="2">
        <f t="shared" si="3"/>
        <v>0</v>
      </c>
    </row>
    <row r="121" spans="1:6" x14ac:dyDescent="0.2">
      <c r="A121" s="25" t="s">
        <v>276</v>
      </c>
      <c r="B121" s="21"/>
      <c r="C121" s="26"/>
      <c r="D121" s="27"/>
      <c r="F121" s="2">
        <f t="shared" si="3"/>
        <v>0</v>
      </c>
    </row>
    <row r="122" spans="1:6" x14ac:dyDescent="0.2">
      <c r="A122" s="25" t="s">
        <v>277</v>
      </c>
      <c r="B122" s="21"/>
      <c r="C122" s="26"/>
      <c r="D122" s="27"/>
      <c r="F122" s="2">
        <f t="shared" si="3"/>
        <v>0</v>
      </c>
    </row>
    <row r="123" spans="1:6" x14ac:dyDescent="0.2">
      <c r="A123" s="25" t="s">
        <v>278</v>
      </c>
      <c r="B123" s="21"/>
      <c r="C123" s="26"/>
      <c r="D123" s="27"/>
      <c r="F123" s="2">
        <f t="shared" si="3"/>
        <v>0</v>
      </c>
    </row>
    <row r="124" spans="1:6" x14ac:dyDescent="0.2">
      <c r="A124" s="25" t="s">
        <v>279</v>
      </c>
      <c r="B124" s="21"/>
      <c r="C124" s="26"/>
      <c r="D124" s="27"/>
      <c r="F124" s="2">
        <f t="shared" si="3"/>
        <v>0</v>
      </c>
    </row>
    <row r="125" spans="1:6" x14ac:dyDescent="0.2">
      <c r="A125" s="25" t="s">
        <v>280</v>
      </c>
      <c r="B125" s="21"/>
      <c r="C125" s="26"/>
      <c r="D125" s="27"/>
      <c r="F125" s="2">
        <f t="shared" si="3"/>
        <v>0</v>
      </c>
    </row>
    <row r="126" spans="1:6" x14ac:dyDescent="0.2">
      <c r="A126" s="25" t="s">
        <v>281</v>
      </c>
      <c r="B126" s="21"/>
      <c r="C126" s="26"/>
      <c r="D126" s="27"/>
      <c r="F126" s="2">
        <f t="shared" si="3"/>
        <v>0</v>
      </c>
    </row>
    <row r="127" spans="1:6" x14ac:dyDescent="0.2">
      <c r="A127" s="25" t="s">
        <v>282</v>
      </c>
      <c r="B127" s="21"/>
      <c r="C127" s="26"/>
      <c r="D127" s="27"/>
      <c r="F127" s="2">
        <f t="shared" si="3"/>
        <v>0</v>
      </c>
    </row>
    <row r="128" spans="1:6" x14ac:dyDescent="0.2">
      <c r="A128" s="25" t="s">
        <v>283</v>
      </c>
      <c r="B128" s="21"/>
      <c r="C128" s="26"/>
      <c r="D128" s="27"/>
      <c r="F128" s="2">
        <f t="shared" si="3"/>
        <v>0</v>
      </c>
    </row>
    <row r="129" spans="1:6" x14ac:dyDescent="0.2">
      <c r="A129" s="25" t="s">
        <v>284</v>
      </c>
      <c r="B129" s="21"/>
      <c r="C129" s="26"/>
      <c r="D129" s="27"/>
      <c r="F129" s="2">
        <f t="shared" si="3"/>
        <v>0</v>
      </c>
    </row>
    <row r="130" spans="1:6" x14ac:dyDescent="0.2">
      <c r="A130" s="25" t="s">
        <v>285</v>
      </c>
      <c r="B130" s="21"/>
      <c r="C130" s="26"/>
      <c r="D130" s="27"/>
      <c r="F130" s="2">
        <f t="shared" si="3"/>
        <v>0</v>
      </c>
    </row>
    <row r="131" spans="1:6" x14ac:dyDescent="0.2">
      <c r="A131" s="25" t="s">
        <v>286</v>
      </c>
      <c r="B131" s="21"/>
      <c r="C131" s="26"/>
      <c r="D131" s="27"/>
      <c r="F131" s="2">
        <f t="shared" si="3"/>
        <v>0</v>
      </c>
    </row>
    <row r="132" spans="1:6" x14ac:dyDescent="0.2">
      <c r="A132" s="25" t="s">
        <v>287</v>
      </c>
      <c r="B132" s="21"/>
      <c r="C132" s="26"/>
      <c r="D132" s="27"/>
      <c r="F132" s="2">
        <f t="shared" si="3"/>
        <v>0</v>
      </c>
    </row>
    <row r="133" spans="1:6" x14ac:dyDescent="0.2">
      <c r="A133" s="25" t="s">
        <v>288</v>
      </c>
      <c r="B133" s="21"/>
      <c r="C133" s="26"/>
      <c r="D133" s="27"/>
      <c r="F133" s="2">
        <f t="shared" si="3"/>
        <v>0</v>
      </c>
    </row>
    <row r="134" spans="1:6" x14ac:dyDescent="0.2">
      <c r="A134" s="25" t="s">
        <v>289</v>
      </c>
      <c r="B134" s="21"/>
      <c r="C134" s="26"/>
      <c r="D134" s="27"/>
      <c r="F134" s="2">
        <f t="shared" ref="F134:F165" si="4">IF(TRIM(B134)&lt;&gt;"",1,0)</f>
        <v>0</v>
      </c>
    </row>
    <row r="135" spans="1:6" x14ac:dyDescent="0.2">
      <c r="A135" s="25" t="s">
        <v>290</v>
      </c>
      <c r="B135" s="21"/>
      <c r="C135" s="26"/>
      <c r="D135" s="27"/>
      <c r="F135" s="2">
        <f t="shared" si="4"/>
        <v>0</v>
      </c>
    </row>
    <row r="136" spans="1:6" x14ac:dyDescent="0.2">
      <c r="A136" s="25" t="s">
        <v>291</v>
      </c>
      <c r="B136" s="21"/>
      <c r="C136" s="26"/>
      <c r="D136" s="27"/>
      <c r="F136" s="2">
        <f t="shared" si="4"/>
        <v>0</v>
      </c>
    </row>
    <row r="137" spans="1:6" x14ac:dyDescent="0.2">
      <c r="A137" s="25" t="s">
        <v>292</v>
      </c>
      <c r="B137" s="21"/>
      <c r="C137" s="26"/>
      <c r="D137" s="27"/>
      <c r="F137" s="2">
        <f t="shared" si="4"/>
        <v>0</v>
      </c>
    </row>
    <row r="138" spans="1:6" x14ac:dyDescent="0.2">
      <c r="A138" s="25" t="s">
        <v>293</v>
      </c>
      <c r="B138" s="21"/>
      <c r="C138" s="26"/>
      <c r="D138" s="27"/>
      <c r="F138" s="2">
        <f t="shared" si="4"/>
        <v>0</v>
      </c>
    </row>
    <row r="139" spans="1:6" x14ac:dyDescent="0.2">
      <c r="A139" s="25" t="s">
        <v>294</v>
      </c>
      <c r="B139" s="21"/>
      <c r="C139" s="26"/>
      <c r="D139" s="27"/>
      <c r="F139" s="2">
        <f t="shared" si="4"/>
        <v>0</v>
      </c>
    </row>
    <row r="140" spans="1:6" x14ac:dyDescent="0.2">
      <c r="A140" s="25" t="s">
        <v>295</v>
      </c>
      <c r="B140" s="21"/>
      <c r="C140" s="26"/>
      <c r="D140" s="27"/>
      <c r="F140" s="2">
        <f t="shared" si="4"/>
        <v>0</v>
      </c>
    </row>
    <row r="141" spans="1:6" x14ac:dyDescent="0.2">
      <c r="A141" s="25" t="s">
        <v>296</v>
      </c>
      <c r="B141" s="21"/>
      <c r="C141" s="26"/>
      <c r="D141" s="27"/>
      <c r="F141" s="2">
        <f t="shared" si="4"/>
        <v>0</v>
      </c>
    </row>
    <row r="142" spans="1:6" x14ac:dyDescent="0.2">
      <c r="A142" s="25" t="s">
        <v>297</v>
      </c>
      <c r="B142" s="21"/>
      <c r="C142" s="26"/>
      <c r="D142" s="27"/>
      <c r="F142" s="2">
        <f t="shared" si="4"/>
        <v>0</v>
      </c>
    </row>
    <row r="143" spans="1:6" x14ac:dyDescent="0.2">
      <c r="A143" s="25" t="s">
        <v>298</v>
      </c>
      <c r="B143" s="21"/>
      <c r="C143" s="26"/>
      <c r="D143" s="27"/>
      <c r="F143" s="2">
        <f t="shared" si="4"/>
        <v>0</v>
      </c>
    </row>
    <row r="144" spans="1:6" x14ac:dyDescent="0.2">
      <c r="A144" s="25" t="s">
        <v>299</v>
      </c>
      <c r="B144" s="21"/>
      <c r="C144" s="26"/>
      <c r="D144" s="27"/>
      <c r="F144" s="2">
        <f t="shared" si="4"/>
        <v>0</v>
      </c>
    </row>
    <row r="145" spans="1:6" x14ac:dyDescent="0.2">
      <c r="A145" s="25" t="s">
        <v>300</v>
      </c>
      <c r="B145" s="21"/>
      <c r="C145" s="26"/>
      <c r="D145" s="27"/>
      <c r="F145" s="2">
        <f t="shared" si="4"/>
        <v>0</v>
      </c>
    </row>
    <row r="146" spans="1:6" x14ac:dyDescent="0.2">
      <c r="A146" s="25" t="s">
        <v>301</v>
      </c>
      <c r="B146" s="21"/>
      <c r="C146" s="26"/>
      <c r="D146" s="27"/>
      <c r="F146" s="2">
        <f t="shared" si="4"/>
        <v>0</v>
      </c>
    </row>
    <row r="147" spans="1:6" x14ac:dyDescent="0.2">
      <c r="A147" s="25" t="s">
        <v>302</v>
      </c>
      <c r="B147" s="21"/>
      <c r="C147" s="26"/>
      <c r="D147" s="27"/>
      <c r="F147" s="2">
        <f t="shared" si="4"/>
        <v>0</v>
      </c>
    </row>
    <row r="148" spans="1:6" x14ac:dyDescent="0.2">
      <c r="A148" s="25" t="s">
        <v>303</v>
      </c>
      <c r="B148" s="21"/>
      <c r="C148" s="26"/>
      <c r="D148" s="27"/>
      <c r="F148" s="2">
        <f t="shared" si="4"/>
        <v>0</v>
      </c>
    </row>
    <row r="149" spans="1:6" x14ac:dyDescent="0.2">
      <c r="A149" s="25" t="s">
        <v>304</v>
      </c>
      <c r="B149" s="21"/>
      <c r="C149" s="26"/>
      <c r="D149" s="27"/>
      <c r="F149" s="2">
        <f t="shared" si="4"/>
        <v>0</v>
      </c>
    </row>
    <row r="150" spans="1:6" x14ac:dyDescent="0.2">
      <c r="A150" s="25" t="s">
        <v>305</v>
      </c>
      <c r="B150" s="21"/>
      <c r="C150" s="26"/>
      <c r="D150" s="27"/>
      <c r="F150" s="2">
        <f t="shared" si="4"/>
        <v>0</v>
      </c>
    </row>
    <row r="151" spans="1:6" x14ac:dyDescent="0.2">
      <c r="A151" s="25" t="s">
        <v>306</v>
      </c>
      <c r="B151" s="21"/>
      <c r="C151" s="26"/>
      <c r="D151" s="27"/>
      <c r="F151" s="2">
        <f t="shared" si="4"/>
        <v>0</v>
      </c>
    </row>
    <row r="152" spans="1:6" x14ac:dyDescent="0.2">
      <c r="A152" s="25" t="s">
        <v>307</v>
      </c>
      <c r="B152" s="21"/>
      <c r="C152" s="26"/>
      <c r="D152" s="27"/>
      <c r="F152" s="2">
        <f t="shared" si="4"/>
        <v>0</v>
      </c>
    </row>
    <row r="153" spans="1:6" x14ac:dyDescent="0.2">
      <c r="A153" s="25" t="s">
        <v>308</v>
      </c>
      <c r="B153" s="21"/>
      <c r="C153" s="26"/>
      <c r="D153" s="27"/>
      <c r="F153" s="2">
        <f t="shared" si="4"/>
        <v>0</v>
      </c>
    </row>
    <row r="154" spans="1:6" x14ac:dyDescent="0.2">
      <c r="A154" s="25" t="s">
        <v>309</v>
      </c>
      <c r="B154" s="21"/>
      <c r="C154" s="26"/>
      <c r="D154" s="27"/>
      <c r="F154" s="2">
        <f t="shared" si="4"/>
        <v>0</v>
      </c>
    </row>
    <row r="155" spans="1:6" x14ac:dyDescent="0.2">
      <c r="A155" s="25" t="s">
        <v>310</v>
      </c>
      <c r="B155" s="21"/>
      <c r="C155" s="26"/>
      <c r="D155" s="27"/>
      <c r="F155" s="2">
        <f t="shared" si="4"/>
        <v>0</v>
      </c>
    </row>
    <row r="156" spans="1:6" x14ac:dyDescent="0.2">
      <c r="A156" s="25" t="s">
        <v>311</v>
      </c>
      <c r="B156" s="21"/>
      <c r="C156" s="26"/>
      <c r="D156" s="27"/>
      <c r="F156" s="2">
        <f t="shared" si="4"/>
        <v>0</v>
      </c>
    </row>
    <row r="157" spans="1:6" x14ac:dyDescent="0.2">
      <c r="A157" s="25" t="s">
        <v>312</v>
      </c>
      <c r="B157" s="21"/>
      <c r="C157" s="26"/>
      <c r="D157" s="27"/>
      <c r="F157" s="2">
        <f t="shared" si="4"/>
        <v>0</v>
      </c>
    </row>
    <row r="158" spans="1:6" x14ac:dyDescent="0.2">
      <c r="A158" s="25" t="s">
        <v>313</v>
      </c>
      <c r="B158" s="21"/>
      <c r="C158" s="26"/>
      <c r="D158" s="27"/>
      <c r="F158" s="2">
        <f t="shared" si="4"/>
        <v>0</v>
      </c>
    </row>
    <row r="159" spans="1:6" x14ac:dyDescent="0.2">
      <c r="A159" s="25" t="s">
        <v>314</v>
      </c>
      <c r="B159" s="21"/>
      <c r="C159" s="26"/>
      <c r="D159" s="27"/>
      <c r="F159" s="2">
        <f t="shared" si="4"/>
        <v>0</v>
      </c>
    </row>
    <row r="160" spans="1:6" x14ac:dyDescent="0.2">
      <c r="A160" s="25" t="s">
        <v>315</v>
      </c>
      <c r="B160" s="21"/>
      <c r="C160" s="26"/>
      <c r="D160" s="27"/>
      <c r="F160" s="2">
        <f t="shared" si="4"/>
        <v>0</v>
      </c>
    </row>
    <row r="161" spans="1:6" x14ac:dyDescent="0.2">
      <c r="A161" s="25" t="s">
        <v>316</v>
      </c>
      <c r="B161" s="21"/>
      <c r="C161" s="26"/>
      <c r="D161" s="27"/>
      <c r="F161" s="2">
        <f t="shared" si="4"/>
        <v>0</v>
      </c>
    </row>
    <row r="162" spans="1:6" x14ac:dyDescent="0.2">
      <c r="A162" s="25" t="s">
        <v>317</v>
      </c>
      <c r="B162" s="21"/>
      <c r="C162" s="26"/>
      <c r="D162" s="27"/>
      <c r="F162" s="2">
        <f t="shared" si="4"/>
        <v>0</v>
      </c>
    </row>
    <row r="163" spans="1:6" x14ac:dyDescent="0.2">
      <c r="A163" s="25" t="s">
        <v>318</v>
      </c>
      <c r="B163" s="21"/>
      <c r="C163" s="26"/>
      <c r="D163" s="27"/>
      <c r="F163" s="2">
        <f t="shared" si="4"/>
        <v>0</v>
      </c>
    </row>
    <row r="164" spans="1:6" x14ac:dyDescent="0.2">
      <c r="A164" s="25" t="s">
        <v>319</v>
      </c>
      <c r="B164" s="21"/>
      <c r="C164" s="26"/>
      <c r="D164" s="27"/>
      <c r="F164" s="2">
        <f t="shared" si="4"/>
        <v>0</v>
      </c>
    </row>
    <row r="165" spans="1:6" x14ac:dyDescent="0.2">
      <c r="A165" s="25" t="s">
        <v>320</v>
      </c>
      <c r="B165" s="21"/>
      <c r="C165" s="26"/>
      <c r="D165" s="27"/>
      <c r="F165" s="2">
        <f t="shared" si="4"/>
        <v>0</v>
      </c>
    </row>
    <row r="166" spans="1:6" x14ac:dyDescent="0.2">
      <c r="A166" s="25" t="s">
        <v>321</v>
      </c>
      <c r="B166" s="21"/>
      <c r="C166" s="26"/>
      <c r="D166" s="27"/>
      <c r="F166" s="2">
        <f t="shared" ref="F166:F197" si="5">IF(TRIM(B166)&lt;&gt;"",1,0)</f>
        <v>0</v>
      </c>
    </row>
    <row r="167" spans="1:6" x14ac:dyDescent="0.2">
      <c r="A167" s="25" t="s">
        <v>322</v>
      </c>
      <c r="B167" s="21"/>
      <c r="C167" s="26"/>
      <c r="D167" s="27"/>
      <c r="F167" s="2">
        <f t="shared" si="5"/>
        <v>0</v>
      </c>
    </row>
    <row r="168" spans="1:6" x14ac:dyDescent="0.2">
      <c r="A168" s="25" t="s">
        <v>323</v>
      </c>
      <c r="B168" s="21"/>
      <c r="C168" s="26"/>
      <c r="D168" s="27"/>
      <c r="F168" s="2">
        <f t="shared" si="5"/>
        <v>0</v>
      </c>
    </row>
    <row r="169" spans="1:6" x14ac:dyDescent="0.2">
      <c r="A169" s="25" t="s">
        <v>324</v>
      </c>
      <c r="B169" s="21"/>
      <c r="C169" s="26"/>
      <c r="D169" s="27"/>
      <c r="F169" s="2">
        <f t="shared" si="5"/>
        <v>0</v>
      </c>
    </row>
    <row r="170" spans="1:6" x14ac:dyDescent="0.2">
      <c r="A170" s="25" t="s">
        <v>325</v>
      </c>
      <c r="B170" s="21"/>
      <c r="C170" s="26"/>
      <c r="D170" s="27"/>
      <c r="F170" s="2">
        <f t="shared" si="5"/>
        <v>0</v>
      </c>
    </row>
    <row r="171" spans="1:6" x14ac:dyDescent="0.2">
      <c r="A171" s="25" t="s">
        <v>326</v>
      </c>
      <c r="B171" s="21"/>
      <c r="C171" s="26"/>
      <c r="D171" s="27"/>
      <c r="F171" s="2">
        <f t="shared" si="5"/>
        <v>0</v>
      </c>
    </row>
    <row r="172" spans="1:6" x14ac:dyDescent="0.2">
      <c r="A172" s="25" t="s">
        <v>327</v>
      </c>
      <c r="B172" s="21"/>
      <c r="C172" s="26"/>
      <c r="D172" s="27"/>
      <c r="F172" s="2">
        <f t="shared" si="5"/>
        <v>0</v>
      </c>
    </row>
    <row r="173" spans="1:6" x14ac:dyDescent="0.2">
      <c r="A173" s="25" t="s">
        <v>328</v>
      </c>
      <c r="B173" s="21"/>
      <c r="C173" s="26"/>
      <c r="D173" s="27"/>
      <c r="F173" s="2">
        <f t="shared" si="5"/>
        <v>0</v>
      </c>
    </row>
    <row r="174" spans="1:6" x14ac:dyDescent="0.2">
      <c r="A174" s="25" t="s">
        <v>329</v>
      </c>
      <c r="B174" s="21"/>
      <c r="C174" s="26"/>
      <c r="D174" s="27"/>
      <c r="F174" s="2">
        <f t="shared" si="5"/>
        <v>0</v>
      </c>
    </row>
    <row r="175" spans="1:6" x14ac:dyDescent="0.2">
      <c r="A175" s="25" t="s">
        <v>330</v>
      </c>
      <c r="B175" s="21"/>
      <c r="C175" s="26"/>
      <c r="D175" s="27"/>
      <c r="F175" s="2">
        <f t="shared" si="5"/>
        <v>0</v>
      </c>
    </row>
    <row r="176" spans="1:6" x14ac:dyDescent="0.2">
      <c r="A176" s="25" t="s">
        <v>331</v>
      </c>
      <c r="B176" s="21"/>
      <c r="C176" s="26"/>
      <c r="D176" s="27"/>
      <c r="F176" s="2">
        <f t="shared" si="5"/>
        <v>0</v>
      </c>
    </row>
    <row r="177" spans="1:6" x14ac:dyDescent="0.2">
      <c r="A177" s="25" t="s">
        <v>332</v>
      </c>
      <c r="B177" s="21"/>
      <c r="C177" s="26"/>
      <c r="D177" s="27"/>
      <c r="F177" s="2">
        <f t="shared" si="5"/>
        <v>0</v>
      </c>
    </row>
    <row r="178" spans="1:6" x14ac:dyDescent="0.2">
      <c r="A178" s="25" t="s">
        <v>333</v>
      </c>
      <c r="B178" s="21"/>
      <c r="C178" s="26"/>
      <c r="D178" s="27"/>
      <c r="F178" s="2">
        <f t="shared" si="5"/>
        <v>0</v>
      </c>
    </row>
    <row r="179" spans="1:6" x14ac:dyDescent="0.2">
      <c r="A179" s="25" t="s">
        <v>334</v>
      </c>
      <c r="B179" s="21"/>
      <c r="C179" s="26"/>
      <c r="D179" s="27"/>
      <c r="F179" s="2">
        <f t="shared" si="5"/>
        <v>0</v>
      </c>
    </row>
    <row r="180" spans="1:6" x14ac:dyDescent="0.2">
      <c r="A180" s="25" t="s">
        <v>335</v>
      </c>
      <c r="B180" s="21"/>
      <c r="C180" s="26"/>
      <c r="D180" s="27"/>
      <c r="F180" s="2">
        <f t="shared" si="5"/>
        <v>0</v>
      </c>
    </row>
    <row r="181" spans="1:6" x14ac:dyDescent="0.2">
      <c r="A181" s="25" t="s">
        <v>336</v>
      </c>
      <c r="B181" s="21"/>
      <c r="C181" s="26"/>
      <c r="D181" s="27"/>
      <c r="F181" s="2">
        <f t="shared" si="5"/>
        <v>0</v>
      </c>
    </row>
    <row r="182" spans="1:6" x14ac:dyDescent="0.2">
      <c r="A182" s="25" t="s">
        <v>337</v>
      </c>
      <c r="B182" s="21"/>
      <c r="C182" s="26"/>
      <c r="D182" s="27"/>
      <c r="F182" s="2">
        <f t="shared" si="5"/>
        <v>0</v>
      </c>
    </row>
    <row r="183" spans="1:6" x14ac:dyDescent="0.2">
      <c r="A183" s="25" t="s">
        <v>338</v>
      </c>
      <c r="B183" s="21"/>
      <c r="C183" s="26"/>
      <c r="D183" s="27"/>
      <c r="F183" s="2">
        <f t="shared" si="5"/>
        <v>0</v>
      </c>
    </row>
    <row r="184" spans="1:6" x14ac:dyDescent="0.2">
      <c r="A184" s="25" t="s">
        <v>339</v>
      </c>
      <c r="B184" s="21"/>
      <c r="C184" s="26"/>
      <c r="D184" s="27"/>
      <c r="F184" s="2">
        <f t="shared" si="5"/>
        <v>0</v>
      </c>
    </row>
    <row r="185" spans="1:6" x14ac:dyDescent="0.2">
      <c r="A185" s="25" t="s">
        <v>340</v>
      </c>
      <c r="B185" s="21"/>
      <c r="C185" s="26"/>
      <c r="D185" s="27"/>
      <c r="F185" s="2">
        <f t="shared" si="5"/>
        <v>0</v>
      </c>
    </row>
    <row r="186" spans="1:6" x14ac:dyDescent="0.2">
      <c r="A186" s="25" t="s">
        <v>341</v>
      </c>
      <c r="B186" s="21"/>
      <c r="C186" s="26"/>
      <c r="D186" s="27"/>
      <c r="F186" s="2">
        <f t="shared" si="5"/>
        <v>0</v>
      </c>
    </row>
    <row r="187" spans="1:6" x14ac:dyDescent="0.2">
      <c r="A187" s="25" t="s">
        <v>342</v>
      </c>
      <c r="B187" s="21"/>
      <c r="C187" s="26"/>
      <c r="D187" s="27"/>
      <c r="F187" s="2">
        <f t="shared" si="5"/>
        <v>0</v>
      </c>
    </row>
    <row r="188" spans="1:6" x14ac:dyDescent="0.2">
      <c r="A188" s="25" t="s">
        <v>343</v>
      </c>
      <c r="B188" s="21"/>
      <c r="C188" s="26"/>
      <c r="D188" s="27"/>
      <c r="F188" s="2">
        <f t="shared" si="5"/>
        <v>0</v>
      </c>
    </row>
    <row r="189" spans="1:6" x14ac:dyDescent="0.2">
      <c r="A189" s="25" t="s">
        <v>344</v>
      </c>
      <c r="B189" s="21"/>
      <c r="C189" s="26"/>
      <c r="D189" s="27"/>
      <c r="F189" s="2">
        <f t="shared" si="5"/>
        <v>0</v>
      </c>
    </row>
    <row r="190" spans="1:6" x14ac:dyDescent="0.2">
      <c r="A190" s="25" t="s">
        <v>345</v>
      </c>
      <c r="B190" s="21"/>
      <c r="C190" s="26"/>
      <c r="D190" s="27"/>
      <c r="F190" s="2">
        <f t="shared" si="5"/>
        <v>0</v>
      </c>
    </row>
    <row r="191" spans="1:6" x14ac:dyDescent="0.2">
      <c r="A191" s="25" t="s">
        <v>346</v>
      </c>
      <c r="B191" s="21"/>
      <c r="C191" s="26"/>
      <c r="D191" s="27"/>
      <c r="F191" s="2">
        <f t="shared" si="5"/>
        <v>0</v>
      </c>
    </row>
    <row r="192" spans="1:6" x14ac:dyDescent="0.2">
      <c r="A192" s="25" t="s">
        <v>347</v>
      </c>
      <c r="B192" s="21"/>
      <c r="C192" s="26"/>
      <c r="D192" s="27"/>
      <c r="F192" s="2">
        <f t="shared" si="5"/>
        <v>0</v>
      </c>
    </row>
    <row r="193" spans="1:6" x14ac:dyDescent="0.2">
      <c r="A193" s="25" t="s">
        <v>348</v>
      </c>
      <c r="B193" s="21"/>
      <c r="C193" s="26"/>
      <c r="D193" s="27"/>
      <c r="F193" s="2">
        <f t="shared" si="5"/>
        <v>0</v>
      </c>
    </row>
    <row r="194" spans="1:6" x14ac:dyDescent="0.2">
      <c r="A194" s="25" t="s">
        <v>349</v>
      </c>
      <c r="B194" s="21"/>
      <c r="C194" s="26"/>
      <c r="D194" s="27"/>
      <c r="F194" s="2">
        <f t="shared" si="5"/>
        <v>0</v>
      </c>
    </row>
    <row r="195" spans="1:6" x14ac:dyDescent="0.2">
      <c r="A195" s="25" t="s">
        <v>350</v>
      </c>
      <c r="B195" s="21"/>
      <c r="C195" s="26"/>
      <c r="D195" s="27"/>
      <c r="F195" s="2">
        <f t="shared" si="5"/>
        <v>0</v>
      </c>
    </row>
    <row r="196" spans="1:6" x14ac:dyDescent="0.2">
      <c r="A196" s="25" t="s">
        <v>351</v>
      </c>
      <c r="B196" s="21"/>
      <c r="C196" s="26"/>
      <c r="D196" s="27"/>
      <c r="F196" s="2">
        <f t="shared" si="5"/>
        <v>0</v>
      </c>
    </row>
    <row r="197" spans="1:6" x14ac:dyDescent="0.2">
      <c r="A197" s="25" t="s">
        <v>352</v>
      </c>
      <c r="B197" s="21"/>
      <c r="C197" s="26"/>
      <c r="D197" s="27"/>
      <c r="F197" s="2">
        <f t="shared" si="5"/>
        <v>0</v>
      </c>
    </row>
    <row r="198" spans="1:6" x14ac:dyDescent="0.2">
      <c r="A198" s="25" t="s">
        <v>353</v>
      </c>
      <c r="B198" s="21"/>
      <c r="C198" s="26"/>
      <c r="D198" s="27"/>
      <c r="F198" s="2">
        <f t="shared" ref="F198:F205" si="6">IF(TRIM(B198)&lt;&gt;"",1,0)</f>
        <v>0</v>
      </c>
    </row>
    <row r="199" spans="1:6" x14ac:dyDescent="0.2">
      <c r="A199" s="25" t="s">
        <v>354</v>
      </c>
      <c r="B199" s="21"/>
      <c r="C199" s="26"/>
      <c r="D199" s="27"/>
      <c r="F199" s="2">
        <f t="shared" si="6"/>
        <v>0</v>
      </c>
    </row>
    <row r="200" spans="1:6" x14ac:dyDescent="0.2">
      <c r="A200" s="25" t="s">
        <v>355</v>
      </c>
      <c r="B200" s="21"/>
      <c r="C200" s="26"/>
      <c r="D200" s="27"/>
      <c r="F200" s="2">
        <f t="shared" si="6"/>
        <v>0</v>
      </c>
    </row>
    <row r="201" spans="1:6" x14ac:dyDescent="0.2">
      <c r="A201" s="25" t="s">
        <v>356</v>
      </c>
      <c r="B201" s="21"/>
      <c r="C201" s="26"/>
      <c r="D201" s="27"/>
      <c r="F201" s="2">
        <f t="shared" si="6"/>
        <v>0</v>
      </c>
    </row>
    <row r="202" spans="1:6" x14ac:dyDescent="0.2">
      <c r="A202" s="25" t="s">
        <v>357</v>
      </c>
      <c r="B202" s="21"/>
      <c r="C202" s="26"/>
      <c r="D202" s="27"/>
      <c r="F202" s="2">
        <f t="shared" si="6"/>
        <v>0</v>
      </c>
    </row>
    <row r="203" spans="1:6" x14ac:dyDescent="0.2">
      <c r="A203" s="25" t="s">
        <v>358</v>
      </c>
      <c r="B203" s="21"/>
      <c r="C203" s="26"/>
      <c r="D203" s="27"/>
      <c r="F203" s="2">
        <f t="shared" si="6"/>
        <v>0</v>
      </c>
    </row>
    <row r="204" spans="1:6" x14ac:dyDescent="0.2">
      <c r="A204" s="25" t="s">
        <v>359</v>
      </c>
      <c r="B204" s="21"/>
      <c r="C204" s="26"/>
      <c r="D204" s="27"/>
      <c r="F204" s="2">
        <f t="shared" si="6"/>
        <v>0</v>
      </c>
    </row>
    <row r="205" spans="1:6" x14ac:dyDescent="0.2">
      <c r="A205" s="25" t="s">
        <v>360</v>
      </c>
      <c r="B205" s="21"/>
      <c r="C205" s="26"/>
      <c r="D205" s="27"/>
      <c r="F205" s="2">
        <f t="shared" si="6"/>
        <v>0</v>
      </c>
    </row>
    <row r="206" spans="1:6" ht="5.65" customHeight="1" x14ac:dyDescent="0.2">
      <c r="A206" s="23"/>
      <c r="B206" s="24"/>
      <c r="C206" s="23"/>
      <c r="D206" s="24"/>
    </row>
  </sheetData>
  <mergeCells count="2">
    <mergeCell ref="A1:B1"/>
    <mergeCell ref="C1:D1"/>
  </mergeCells>
  <pageMargins left="0.59027777777777779" right="0.59027777777777779" top="1.1625000000000001" bottom="0.39374999999999999" header="0.39374999999999999" footer="0.51180555555555551"/>
  <pageSetup paperSize="9" scale="83" orientation="portrait" horizontalDpi="300" verticalDpi="300"/>
  <headerFooter alignWithMargins="0">
    <oddHeader>&amp;L&amp;"Arial,Negrito"&amp;24NOME DA SUA EMPRESA
&amp;"Arial,Normal"&amp;10ENDEREÇO DA EMPRESA, Nº 123, SL. 408 - 4º ANDAR - BAIRRO
00000-000, CIDADE, UF - FONE: (11) 9999-9999 - SITE: http://www.reidasplanilhas.com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2"/>
  <sheetViews>
    <sheetView tabSelected="1" defaultGridColor="0" topLeftCell="A2" colorId="41" zoomScale="80" zoomScaleNormal="80" workbookViewId="0">
      <selection activeCell="K10" sqref="K10"/>
    </sheetView>
  </sheetViews>
  <sheetFormatPr defaultColWidth="11.5703125" defaultRowHeight="12.75" x14ac:dyDescent="0.2"/>
  <cols>
    <col min="1" max="1" width="9.42578125" style="2" customWidth="1"/>
    <col min="2" max="2" width="51.7109375" style="28" customWidth="1"/>
    <col min="3" max="3" width="7.7109375" style="29" customWidth="1"/>
    <col min="4" max="4" width="6.42578125" style="28" customWidth="1"/>
    <col min="5" max="5" width="15.28515625" style="30" customWidth="1"/>
    <col min="6" max="6" width="20.42578125" style="30" customWidth="1"/>
    <col min="7" max="7" width="15.28515625" style="2" customWidth="1"/>
    <col min="8" max="8" width="0" style="2" hidden="1" customWidth="1"/>
    <col min="9" max="9" width="3.140625" style="2" customWidth="1"/>
    <col min="10" max="10" width="8.85546875" style="2" customWidth="1"/>
    <col min="11" max="11" width="25.7109375" style="2" customWidth="1"/>
    <col min="12" max="12" width="15.28515625" style="2" customWidth="1"/>
    <col min="13" max="13" width="10.140625" style="2" customWidth="1"/>
    <col min="14" max="14" width="20.42578125" style="2" customWidth="1"/>
    <col min="15" max="16384" width="11.5703125" style="2"/>
  </cols>
  <sheetData>
    <row r="1" spans="1:6" hidden="1" x14ac:dyDescent="0.2"/>
    <row r="2" spans="1:6" x14ac:dyDescent="0.2">
      <c r="A2" s="31"/>
      <c r="B2" s="32"/>
      <c r="C2" s="33"/>
      <c r="D2" s="32"/>
      <c r="E2" s="34"/>
      <c r="F2" s="34"/>
    </row>
    <row r="3" spans="1:6" s="13" customFormat="1" ht="15.75" x14ac:dyDescent="0.2">
      <c r="A3" s="133" t="s">
        <v>361</v>
      </c>
      <c r="B3" s="133"/>
      <c r="C3" s="133"/>
      <c r="D3" s="133"/>
      <c r="E3" s="133"/>
      <c r="F3" s="133"/>
    </row>
    <row r="4" spans="1:6" x14ac:dyDescent="0.2">
      <c r="A4" s="35" t="s">
        <v>362</v>
      </c>
      <c r="B4" s="36" t="s">
        <v>363</v>
      </c>
      <c r="C4" s="37" t="s">
        <v>7</v>
      </c>
      <c r="D4" s="134" t="str">
        <f>HYPERLINK("#CLIENTES!A1","CLIQUE PARA LISTAR TODOS OS CLIENTES")</f>
        <v>CLIQUE PARA LISTAR TODOS OS CLIENTES</v>
      </c>
      <c r="E4" s="135"/>
      <c r="F4" s="135"/>
    </row>
    <row r="5" spans="1:6" x14ac:dyDescent="0.2">
      <c r="A5" s="35" t="s">
        <v>362</v>
      </c>
      <c r="B5" s="38" t="s">
        <v>364</v>
      </c>
      <c r="C5" s="136" t="s">
        <v>365</v>
      </c>
      <c r="D5" s="136"/>
      <c r="E5" s="136"/>
      <c r="F5" s="136"/>
    </row>
    <row r="6" spans="1:6" x14ac:dyDescent="0.2">
      <c r="A6" s="35" t="s">
        <v>362</v>
      </c>
      <c r="B6" s="36" t="s">
        <v>366</v>
      </c>
      <c r="C6" s="137">
        <f ca="1">NOW()</f>
        <v>41935.578921875</v>
      </c>
      <c r="D6" s="137"/>
      <c r="E6" s="137"/>
      <c r="F6" s="137"/>
    </row>
    <row r="7" spans="1:6" x14ac:dyDescent="0.2">
      <c r="A7" s="35" t="s">
        <v>362</v>
      </c>
      <c r="B7" s="36" t="s">
        <v>367</v>
      </c>
      <c r="C7" s="136" t="s">
        <v>404</v>
      </c>
      <c r="D7" s="136"/>
      <c r="E7" s="136"/>
      <c r="F7" s="136"/>
    </row>
    <row r="8" spans="1:6" x14ac:dyDescent="0.2">
      <c r="A8" s="35" t="s">
        <v>362</v>
      </c>
      <c r="B8" s="36" t="s">
        <v>368</v>
      </c>
      <c r="C8" s="136" t="s">
        <v>405</v>
      </c>
      <c r="D8" s="136"/>
      <c r="E8" s="136"/>
      <c r="F8" s="136"/>
    </row>
    <row r="9" spans="1:6" x14ac:dyDescent="0.2">
      <c r="A9" s="39"/>
      <c r="B9" s="36"/>
      <c r="C9" s="40"/>
      <c r="D9" s="36"/>
      <c r="E9" s="41"/>
      <c r="F9" s="42"/>
    </row>
    <row r="10" spans="1:6" ht="14.1" customHeight="1" x14ac:dyDescent="0.2">
      <c r="A10" s="138" t="s">
        <v>369</v>
      </c>
      <c r="B10" s="138"/>
      <c r="C10" s="138"/>
      <c r="D10" s="138"/>
      <c r="E10" s="138"/>
      <c r="F10" s="138"/>
    </row>
    <row r="11" spans="1:6" ht="14.1" customHeight="1" x14ac:dyDescent="0.2">
      <c r="A11" s="139" t="s">
        <v>396</v>
      </c>
      <c r="B11" s="139"/>
      <c r="C11" s="139"/>
      <c r="D11" s="139"/>
      <c r="E11" s="139"/>
      <c r="F11" s="139"/>
    </row>
    <row r="12" spans="1:6" ht="28.35" customHeight="1" x14ac:dyDescent="0.2">
      <c r="A12" s="140"/>
      <c r="B12" s="140"/>
      <c r="C12" s="140"/>
      <c r="D12" s="140"/>
      <c r="E12" s="140"/>
      <c r="F12" s="140"/>
    </row>
    <row r="13" spans="1:6" ht="3.95" customHeight="1" x14ac:dyDescent="0.2">
      <c r="A13" s="31"/>
      <c r="B13" s="32"/>
      <c r="C13" s="33"/>
      <c r="D13" s="32"/>
      <c r="E13" s="34"/>
      <c r="F13" s="34"/>
    </row>
    <row r="14" spans="1:6" ht="12" customHeight="1" x14ac:dyDescent="0.2">
      <c r="B14" s="2"/>
      <c r="C14" s="2"/>
      <c r="D14" s="2"/>
      <c r="E14" s="2"/>
      <c r="F14" s="2"/>
    </row>
    <row r="15" spans="1:6" s="46" customFormat="1" ht="15.75" x14ac:dyDescent="0.2">
      <c r="A15" s="43" t="s">
        <v>370</v>
      </c>
      <c r="B15" s="44"/>
      <c r="C15" s="45"/>
      <c r="D15" s="44"/>
      <c r="E15" s="141" t="s">
        <v>371</v>
      </c>
      <c r="F15" s="141"/>
    </row>
    <row r="16" spans="1:6" s="51" customFormat="1" ht="12.75" customHeight="1" x14ac:dyDescent="0.2">
      <c r="A16" s="47" t="str">
        <f>UPPER(TRIM(LOOKUP($C$4,CLIENTES!$A$7:$A$156,CLIENTES!$E$7:$E$156)&amp;" - "&amp;LOOKUP($C$4,CLIENTES!$A$7:$A$156,CLIENTES!$F$7:$F$156)&amp;" - "&amp;LOOKUP($C$4,CLIENTES!$A$7:$A$156,CLIENTES!$G$7:$G$156)))</f>
        <v>[NOME DO CONTATO] - (00) 0000-0000 - CLIENTE@EMAIL.COM</v>
      </c>
      <c r="B16" s="48"/>
      <c r="C16" s="49"/>
      <c r="D16" s="50"/>
      <c r="E16" s="129" t="str">
        <f ca="1">TEXT(NOW(),"AAAAMMDDHHMMSS")</f>
        <v>20141023135339</v>
      </c>
      <c r="F16" s="130"/>
    </row>
    <row r="17" spans="1:14" s="51" customFormat="1" ht="12.75" customHeight="1" x14ac:dyDescent="0.2">
      <c r="A17" s="47" t="str">
        <f>UPPER(TRIM(LOOKUP($C$4,CLIENTES!$A$7:$A$156,CLIENTES!$B$7:$B$156)&amp;" ("&amp;LOOKUP($C$4,CLIENTES!$A$7:$A$156,CLIENTES!$C$7:$C$156)&amp;")"))</f>
        <v>[DIGITE AQUI A DESCRIÇÃO] (00.000.000/0000-00)</v>
      </c>
      <c r="B17" s="48"/>
      <c r="C17" s="52"/>
      <c r="D17" s="50"/>
      <c r="E17" s="131"/>
      <c r="F17" s="132"/>
    </row>
    <row r="18" spans="1:14" s="51" customFormat="1" ht="12.75" customHeight="1" x14ac:dyDescent="0.2">
      <c r="A18" s="47" t="str">
        <f>UPPER(TRIM(LOOKUP($C$4,CLIENTES!$A$7:$A$156,CLIENTES!$D$7:$D$156)))</f>
        <v>[ENDEREÇO DO CLIENTE]</v>
      </c>
      <c r="B18" s="48"/>
      <c r="C18" s="52"/>
      <c r="D18" s="50"/>
      <c r="E18" s="53"/>
      <c r="F18" s="53"/>
    </row>
    <row r="19" spans="1:14" ht="22.7" customHeight="1" x14ac:dyDescent="0.2">
      <c r="J19" s="138" t="s">
        <v>372</v>
      </c>
      <c r="K19" s="138"/>
      <c r="L19" s="138"/>
      <c r="M19" s="138"/>
      <c r="N19" s="138"/>
    </row>
    <row r="20" spans="1:14" s="57" customFormat="1" ht="22.7" customHeight="1" x14ac:dyDescent="0.2">
      <c r="A20" s="54" t="s">
        <v>373</v>
      </c>
      <c r="B20" s="55"/>
      <c r="C20" s="56"/>
      <c r="D20" s="55"/>
    </row>
    <row r="21" spans="1:14" s="52" customFormat="1" ht="17.100000000000001" customHeight="1" x14ac:dyDescent="0.2">
      <c r="A21" s="68" t="s">
        <v>0</v>
      </c>
      <c r="B21" s="69" t="s">
        <v>374</v>
      </c>
      <c r="C21" s="70" t="s">
        <v>375</v>
      </c>
      <c r="D21" s="69" t="s">
        <v>376</v>
      </c>
      <c r="E21" s="69" t="s">
        <v>377</v>
      </c>
      <c r="F21" s="71" t="s">
        <v>378</v>
      </c>
      <c r="J21" s="68" t="s">
        <v>376</v>
      </c>
      <c r="K21" s="69" t="s">
        <v>1</v>
      </c>
      <c r="L21" s="69" t="s">
        <v>379</v>
      </c>
      <c r="M21" s="69" t="s">
        <v>375</v>
      </c>
      <c r="N21" s="71" t="s">
        <v>380</v>
      </c>
    </row>
    <row r="22" spans="1:14" ht="5.65" customHeight="1" x14ac:dyDescent="0.2">
      <c r="A22" s="72"/>
      <c r="B22" s="65"/>
      <c r="C22" s="66"/>
      <c r="D22" s="67"/>
      <c r="E22" s="65"/>
      <c r="F22" s="73"/>
      <c r="J22" s="121"/>
      <c r="K22" s="122"/>
      <c r="L22" s="122"/>
      <c r="M22" s="122"/>
      <c r="N22" s="123"/>
    </row>
    <row r="23" spans="1:14" ht="17.100000000000001" customHeight="1" x14ac:dyDescent="0.2">
      <c r="A23" s="74" t="s">
        <v>159</v>
      </c>
      <c r="B23" s="58" t="str">
        <f>IF(H23,LOOKUP($A23,PRODUTOS!A$6:A$205,PRODUTOS!B$6:B$205),"")</f>
        <v>[digite a descrição do produto]</v>
      </c>
      <c r="C23" s="59">
        <v>1</v>
      </c>
      <c r="D23" s="60" t="str">
        <f>IF(H23,LOOKUP($A23,PRODUTOS!A$6:A$205,PRODUTOS!C$6:C$205),"")</f>
        <v>KG</v>
      </c>
      <c r="E23" s="61">
        <f>IF(H23,LOOKUP($A23,PRODUTOS!A$6:A$205,PRODUTOS!D$6:D$205),"")</f>
        <v>5</v>
      </c>
      <c r="F23" s="75">
        <f t="shared" ref="F23:F47" si="0">IF(H23,C23*E23,"")</f>
        <v>5</v>
      </c>
      <c r="G23" s="63" t="str">
        <f>HYPERLINK("#PRODUTOS!A1","LISTAR MAIS")</f>
        <v>LISTAR MAIS</v>
      </c>
      <c r="H23" s="2">
        <f t="shared" ref="H23:H47" si="1">IF(TRIM(A23)&lt;&gt;"",1,0)</f>
        <v>1</v>
      </c>
      <c r="J23" s="112" t="s">
        <v>176</v>
      </c>
      <c r="K23" s="113" t="s">
        <v>381</v>
      </c>
      <c r="L23" s="114">
        <v>0.5</v>
      </c>
      <c r="M23" s="115">
        <f t="shared" ref="M23:M36" si="2">IF(J23&lt;&gt;"",SUMIF(D$23:D$47,$J23,C$23:C$47),"")</f>
        <v>0</v>
      </c>
      <c r="N23" s="116">
        <f t="shared" ref="N23:N36" si="3">IF(J23&lt;&gt;"",M23*L23,"")</f>
        <v>0</v>
      </c>
    </row>
    <row r="24" spans="1:14" ht="17.100000000000001" customHeight="1" x14ac:dyDescent="0.2">
      <c r="A24" s="74"/>
      <c r="B24" s="58" t="str">
        <f>IF(H24,LOOKUP($A24,PRODUTOS!A$6:A$205,PRODUTOS!B$6:B$205),"")</f>
        <v/>
      </c>
      <c r="C24" s="59"/>
      <c r="D24" s="60" t="str">
        <f>IF(H24,LOOKUP($A24,PRODUTOS!A$6:A$205,PRODUTOS!C$6:C$205),"")</f>
        <v/>
      </c>
      <c r="E24" s="61" t="str">
        <f>IF(H24,LOOKUP($A24,PRODUTOS!A$6:A$205,PRODUTOS!D$6:D$205),"")</f>
        <v/>
      </c>
      <c r="F24" s="75" t="str">
        <f t="shared" si="0"/>
        <v/>
      </c>
      <c r="G24" s="63" t="str">
        <f t="shared" ref="G24:G47" si="4">HYPERLINK("#PRODUTOS!A1","LISTAR MAIS")</f>
        <v>LISTAR MAIS</v>
      </c>
      <c r="H24" s="2">
        <f t="shared" si="1"/>
        <v>0</v>
      </c>
      <c r="J24" s="112" t="s">
        <v>160</v>
      </c>
      <c r="K24" s="113" t="s">
        <v>382</v>
      </c>
      <c r="L24" s="114">
        <v>2</v>
      </c>
      <c r="M24" s="115">
        <f t="shared" si="2"/>
        <v>1</v>
      </c>
      <c r="N24" s="116">
        <f t="shared" si="3"/>
        <v>2</v>
      </c>
    </row>
    <row r="25" spans="1:14" ht="17.100000000000001" customHeight="1" x14ac:dyDescent="0.2">
      <c r="A25" s="74"/>
      <c r="B25" s="58" t="str">
        <f>IF(H25,LOOKUP($A25,PRODUTOS!A$6:A$205,PRODUTOS!B$6:B$205),"")</f>
        <v/>
      </c>
      <c r="C25" s="59"/>
      <c r="D25" s="60" t="str">
        <f>IF(H25,LOOKUP($A25,PRODUTOS!A$6:A$205,PRODUTOS!C$6:C$205),"")</f>
        <v/>
      </c>
      <c r="E25" s="61" t="str">
        <f>IF(H25,LOOKUP($A25,PRODUTOS!A$6:A$205,PRODUTOS!D$6:D$205),"")</f>
        <v/>
      </c>
      <c r="F25" s="75" t="str">
        <f t="shared" si="0"/>
        <v/>
      </c>
      <c r="G25" s="63" t="str">
        <f t="shared" si="4"/>
        <v>LISTAR MAIS</v>
      </c>
      <c r="H25" s="2">
        <f t="shared" si="1"/>
        <v>0</v>
      </c>
      <c r="J25" s="112"/>
      <c r="K25" s="113"/>
      <c r="L25" s="114"/>
      <c r="M25" s="115" t="str">
        <f t="shared" si="2"/>
        <v/>
      </c>
      <c r="N25" s="116" t="str">
        <f t="shared" si="3"/>
        <v/>
      </c>
    </row>
    <row r="26" spans="1:14" ht="17.100000000000001" customHeight="1" x14ac:dyDescent="0.2">
      <c r="A26" s="74"/>
      <c r="B26" s="58" t="str">
        <f>IF(H26,LOOKUP($A26,PRODUTOS!A$6:A$205,PRODUTOS!B$6:B$205),"")</f>
        <v/>
      </c>
      <c r="C26" s="59"/>
      <c r="D26" s="60" t="str">
        <f>IF(H26,LOOKUP($A26,PRODUTOS!A$6:A$205,PRODUTOS!C$6:C$205),"")</f>
        <v/>
      </c>
      <c r="E26" s="61" t="str">
        <f>IF(H26,LOOKUP($A26,PRODUTOS!A$6:A$205,PRODUTOS!D$6:D$205),"")</f>
        <v/>
      </c>
      <c r="F26" s="75" t="str">
        <f t="shared" si="0"/>
        <v/>
      </c>
      <c r="G26" s="63" t="str">
        <f t="shared" si="4"/>
        <v>LISTAR MAIS</v>
      </c>
      <c r="H26" s="2">
        <f t="shared" si="1"/>
        <v>0</v>
      </c>
      <c r="J26" s="112"/>
      <c r="K26" s="113"/>
      <c r="L26" s="114"/>
      <c r="M26" s="115" t="str">
        <f t="shared" si="2"/>
        <v/>
      </c>
      <c r="N26" s="116" t="str">
        <f t="shared" si="3"/>
        <v/>
      </c>
    </row>
    <row r="27" spans="1:14" ht="17.100000000000001" customHeight="1" x14ac:dyDescent="0.2">
      <c r="A27" s="74"/>
      <c r="B27" s="58" t="str">
        <f>IF(H27,LOOKUP($A27,PRODUTOS!A$6:A$205,PRODUTOS!B$6:B$205),"")</f>
        <v/>
      </c>
      <c r="C27" s="59"/>
      <c r="D27" s="60" t="str">
        <f>IF(H27,LOOKUP($A27,PRODUTOS!A$6:A$205,PRODUTOS!C$6:C$205),"")</f>
        <v/>
      </c>
      <c r="E27" s="61" t="str">
        <f>IF(H27,LOOKUP($A27,PRODUTOS!A$6:A$205,PRODUTOS!D$6:D$205),"")</f>
        <v/>
      </c>
      <c r="F27" s="75" t="str">
        <f t="shared" si="0"/>
        <v/>
      </c>
      <c r="G27" s="63" t="str">
        <f t="shared" si="4"/>
        <v>LISTAR MAIS</v>
      </c>
      <c r="H27" s="2">
        <f t="shared" si="1"/>
        <v>0</v>
      </c>
      <c r="J27" s="112"/>
      <c r="K27" s="113"/>
      <c r="L27" s="114"/>
      <c r="M27" s="115" t="str">
        <f t="shared" si="2"/>
        <v/>
      </c>
      <c r="N27" s="116" t="str">
        <f t="shared" si="3"/>
        <v/>
      </c>
    </row>
    <row r="28" spans="1:14" ht="17.100000000000001" customHeight="1" x14ac:dyDescent="0.2">
      <c r="A28" s="74"/>
      <c r="B28" s="58" t="str">
        <f>IF(H28,LOOKUP($A28,PRODUTOS!A$6:A$205,PRODUTOS!B$6:B$205),"")</f>
        <v/>
      </c>
      <c r="C28" s="59"/>
      <c r="D28" s="60" t="str">
        <f>IF(H28,LOOKUP($A28,PRODUTOS!A$6:A$205,PRODUTOS!C$6:C$205),"")</f>
        <v/>
      </c>
      <c r="E28" s="61" t="str">
        <f>IF(H28,LOOKUP($A28,PRODUTOS!A$6:A$205,PRODUTOS!D$6:D$205),"")</f>
        <v/>
      </c>
      <c r="F28" s="75" t="str">
        <f t="shared" si="0"/>
        <v/>
      </c>
      <c r="G28" s="63" t="str">
        <f t="shared" si="4"/>
        <v>LISTAR MAIS</v>
      </c>
      <c r="H28" s="2">
        <f t="shared" si="1"/>
        <v>0</v>
      </c>
      <c r="J28" s="112"/>
      <c r="K28" s="113"/>
      <c r="L28" s="114"/>
      <c r="M28" s="115" t="str">
        <f t="shared" si="2"/>
        <v/>
      </c>
      <c r="N28" s="116" t="str">
        <f t="shared" si="3"/>
        <v/>
      </c>
    </row>
    <row r="29" spans="1:14" ht="17.100000000000001" customHeight="1" x14ac:dyDescent="0.2">
      <c r="A29" s="74"/>
      <c r="B29" s="58" t="str">
        <f>IF(H29,LOOKUP($A29,PRODUTOS!A$6:A$205,PRODUTOS!B$6:B$205),"")</f>
        <v/>
      </c>
      <c r="C29" s="59"/>
      <c r="D29" s="60" t="str">
        <f>IF(H29,LOOKUP($A29,PRODUTOS!A$6:A$205,PRODUTOS!C$6:C$205),"")</f>
        <v/>
      </c>
      <c r="E29" s="61" t="str">
        <f>IF(H29,LOOKUP($A29,PRODUTOS!A$6:A$205,PRODUTOS!D$6:D$205),"")</f>
        <v/>
      </c>
      <c r="F29" s="75" t="str">
        <f t="shared" si="0"/>
        <v/>
      </c>
      <c r="G29" s="63" t="str">
        <f t="shared" si="4"/>
        <v>LISTAR MAIS</v>
      </c>
      <c r="H29" s="2">
        <f t="shared" si="1"/>
        <v>0</v>
      </c>
      <c r="J29" s="112"/>
      <c r="K29" s="113"/>
      <c r="L29" s="114"/>
      <c r="M29" s="115" t="str">
        <f t="shared" si="2"/>
        <v/>
      </c>
      <c r="N29" s="116" t="str">
        <f t="shared" si="3"/>
        <v/>
      </c>
    </row>
    <row r="30" spans="1:14" ht="17.100000000000001" customHeight="1" x14ac:dyDescent="0.2">
      <c r="A30" s="124"/>
      <c r="B30" s="58" t="str">
        <f>IF(H30,LOOKUP($A30,PRODUTOS!A$6:A$205,PRODUTOS!B$6:B$205),"")</f>
        <v/>
      </c>
      <c r="C30" s="59"/>
      <c r="D30" s="60" t="str">
        <f>IF(H30,LOOKUP($A30,PRODUTOS!A$6:A$205,PRODUTOS!C$6:C$205),"")</f>
        <v/>
      </c>
      <c r="E30" s="61" t="str">
        <f>IF(H30,LOOKUP($A30,PRODUTOS!A$6:A$205,PRODUTOS!D$6:D$205),"")</f>
        <v/>
      </c>
      <c r="F30" s="75" t="str">
        <f t="shared" si="0"/>
        <v/>
      </c>
      <c r="G30" s="63" t="str">
        <f t="shared" si="4"/>
        <v>LISTAR MAIS</v>
      </c>
      <c r="H30" s="2">
        <f t="shared" si="1"/>
        <v>0</v>
      </c>
      <c r="J30" s="112"/>
      <c r="K30" s="113"/>
      <c r="L30" s="114"/>
      <c r="M30" s="115" t="str">
        <f t="shared" si="2"/>
        <v/>
      </c>
      <c r="N30" s="116" t="str">
        <f t="shared" si="3"/>
        <v/>
      </c>
    </row>
    <row r="31" spans="1:14" ht="17.100000000000001" customHeight="1" x14ac:dyDescent="0.2">
      <c r="A31" s="74"/>
      <c r="B31" s="58" t="str">
        <f>IF(H31,LOOKUP($A31,PRODUTOS!A$6:A$205,PRODUTOS!B$6:B$205),"")</f>
        <v/>
      </c>
      <c r="C31" s="59"/>
      <c r="D31" s="60" t="str">
        <f>IF(H31,LOOKUP($A31,PRODUTOS!A$6:A$205,PRODUTOS!C$6:C$205),"")</f>
        <v/>
      </c>
      <c r="E31" s="61" t="str">
        <f>IF(H31,LOOKUP($A31,PRODUTOS!A$6:A$205,PRODUTOS!D$6:D$205),"")</f>
        <v/>
      </c>
      <c r="F31" s="75" t="str">
        <f t="shared" si="0"/>
        <v/>
      </c>
      <c r="G31" s="63" t="str">
        <f t="shared" si="4"/>
        <v>LISTAR MAIS</v>
      </c>
      <c r="H31" s="2">
        <f t="shared" si="1"/>
        <v>0</v>
      </c>
      <c r="J31" s="112"/>
      <c r="K31" s="113"/>
      <c r="L31" s="114"/>
      <c r="M31" s="115" t="str">
        <f t="shared" si="2"/>
        <v/>
      </c>
      <c r="N31" s="116" t="str">
        <f t="shared" si="3"/>
        <v/>
      </c>
    </row>
    <row r="32" spans="1:14" ht="17.100000000000001" customHeight="1" x14ac:dyDescent="0.2">
      <c r="A32" s="74"/>
      <c r="B32" s="58" t="str">
        <f>IF(H32,LOOKUP($A32,PRODUTOS!A$6:A$205,PRODUTOS!B$6:B$205),"")</f>
        <v/>
      </c>
      <c r="C32" s="59"/>
      <c r="D32" s="60" t="str">
        <f>IF(H32,LOOKUP($A32,PRODUTOS!A$6:A$205,PRODUTOS!C$6:C$205),"")</f>
        <v/>
      </c>
      <c r="E32" s="61" t="str">
        <f>IF(H32,LOOKUP($A32,PRODUTOS!A$6:A$205,PRODUTOS!D$6:D$205),"")</f>
        <v/>
      </c>
      <c r="F32" s="75" t="str">
        <f t="shared" si="0"/>
        <v/>
      </c>
      <c r="G32" s="63" t="str">
        <f t="shared" si="4"/>
        <v>LISTAR MAIS</v>
      </c>
      <c r="H32" s="2">
        <f t="shared" si="1"/>
        <v>0</v>
      </c>
      <c r="J32" s="112"/>
      <c r="K32" s="113"/>
      <c r="L32" s="114"/>
      <c r="M32" s="115" t="str">
        <f t="shared" si="2"/>
        <v/>
      </c>
      <c r="N32" s="116" t="str">
        <f t="shared" si="3"/>
        <v/>
      </c>
    </row>
    <row r="33" spans="1:14" ht="17.100000000000001" customHeight="1" x14ac:dyDescent="0.2">
      <c r="A33" s="74"/>
      <c r="B33" s="58" t="str">
        <f>IF(H33,LOOKUP($A33,PRODUTOS!A$6:A$205,PRODUTOS!B$6:B$205),"")</f>
        <v/>
      </c>
      <c r="C33" s="59"/>
      <c r="D33" s="60" t="str">
        <f>IF(H33,LOOKUP($A33,PRODUTOS!A$6:A$205,PRODUTOS!C$6:C$205),"")</f>
        <v/>
      </c>
      <c r="E33" s="61" t="str">
        <f>IF(H33,LOOKUP($A33,PRODUTOS!A$6:A$205,PRODUTOS!D$6:D$205),"")</f>
        <v/>
      </c>
      <c r="F33" s="75" t="str">
        <f t="shared" si="0"/>
        <v/>
      </c>
      <c r="G33" s="63" t="str">
        <f t="shared" si="4"/>
        <v>LISTAR MAIS</v>
      </c>
      <c r="H33" s="2">
        <f t="shared" si="1"/>
        <v>0</v>
      </c>
      <c r="J33" s="112"/>
      <c r="K33" s="113"/>
      <c r="L33" s="114"/>
      <c r="M33" s="115" t="str">
        <f t="shared" si="2"/>
        <v/>
      </c>
      <c r="N33" s="116" t="str">
        <f t="shared" si="3"/>
        <v/>
      </c>
    </row>
    <row r="34" spans="1:14" ht="17.100000000000001" customHeight="1" x14ac:dyDescent="0.2">
      <c r="A34" s="74"/>
      <c r="B34" s="58" t="str">
        <f>IF(H34,LOOKUP($A34,PRODUTOS!A$6:A$205,PRODUTOS!B$6:B$205),"")</f>
        <v/>
      </c>
      <c r="C34" s="59"/>
      <c r="D34" s="60" t="str">
        <f>IF(H34,LOOKUP($A34,PRODUTOS!A$6:A$205,PRODUTOS!C$6:C$205),"")</f>
        <v/>
      </c>
      <c r="E34" s="61" t="str">
        <f>IF(H34,LOOKUP($A34,PRODUTOS!A$6:A$205,PRODUTOS!D$6:D$205),"")</f>
        <v/>
      </c>
      <c r="F34" s="75" t="str">
        <f t="shared" si="0"/>
        <v/>
      </c>
      <c r="G34" s="63" t="str">
        <f t="shared" si="4"/>
        <v>LISTAR MAIS</v>
      </c>
      <c r="H34" s="2">
        <f t="shared" si="1"/>
        <v>0</v>
      </c>
      <c r="J34" s="112"/>
      <c r="K34" s="113"/>
      <c r="L34" s="114"/>
      <c r="M34" s="115" t="str">
        <f t="shared" si="2"/>
        <v/>
      </c>
      <c r="N34" s="116" t="str">
        <f t="shared" si="3"/>
        <v/>
      </c>
    </row>
    <row r="35" spans="1:14" ht="17.100000000000001" customHeight="1" x14ac:dyDescent="0.2">
      <c r="A35" s="74"/>
      <c r="B35" s="58" t="str">
        <f>IF(H35,LOOKUP($A35,PRODUTOS!A$6:A$205,PRODUTOS!B$6:B$205),"")</f>
        <v/>
      </c>
      <c r="C35" s="59"/>
      <c r="D35" s="60" t="str">
        <f>IF(H35,LOOKUP($A35,PRODUTOS!A$6:A$205,PRODUTOS!C$6:C$205),"")</f>
        <v/>
      </c>
      <c r="E35" s="61" t="str">
        <f>IF(H35,LOOKUP($A35,PRODUTOS!A$6:A$205,PRODUTOS!D$6:D$205),"")</f>
        <v/>
      </c>
      <c r="F35" s="75" t="str">
        <f t="shared" si="0"/>
        <v/>
      </c>
      <c r="G35" s="63" t="str">
        <f t="shared" si="4"/>
        <v>LISTAR MAIS</v>
      </c>
      <c r="H35" s="2">
        <f t="shared" si="1"/>
        <v>0</v>
      </c>
      <c r="J35" s="112"/>
      <c r="K35" s="113"/>
      <c r="L35" s="114"/>
      <c r="M35" s="115" t="str">
        <f t="shared" si="2"/>
        <v/>
      </c>
      <c r="N35" s="116" t="str">
        <f t="shared" si="3"/>
        <v/>
      </c>
    </row>
    <row r="36" spans="1:14" ht="17.100000000000001" customHeight="1" x14ac:dyDescent="0.2">
      <c r="A36" s="74"/>
      <c r="B36" s="58" t="str">
        <f>IF(H36,LOOKUP($A36,PRODUTOS!A$6:A$205,PRODUTOS!B$6:B$205),"")</f>
        <v/>
      </c>
      <c r="C36" s="59"/>
      <c r="D36" s="60" t="str">
        <f>IF(H36,LOOKUP($A36,PRODUTOS!A$6:A$205,PRODUTOS!C$6:C$205),"")</f>
        <v/>
      </c>
      <c r="E36" s="61" t="str">
        <f>IF(H36,LOOKUP($A36,PRODUTOS!A$6:A$205,PRODUTOS!D$6:D$205),"")</f>
        <v/>
      </c>
      <c r="F36" s="75" t="str">
        <f t="shared" si="0"/>
        <v/>
      </c>
      <c r="G36" s="63" t="str">
        <f t="shared" si="4"/>
        <v>LISTAR MAIS</v>
      </c>
      <c r="H36" s="2">
        <f t="shared" si="1"/>
        <v>0</v>
      </c>
      <c r="J36" s="112"/>
      <c r="K36" s="113"/>
      <c r="L36" s="114"/>
      <c r="M36" s="115" t="str">
        <f t="shared" si="2"/>
        <v/>
      </c>
      <c r="N36" s="116" t="str">
        <f t="shared" si="3"/>
        <v/>
      </c>
    </row>
    <row r="37" spans="1:14" ht="17.100000000000001" customHeight="1" x14ac:dyDescent="0.2">
      <c r="A37" s="74"/>
      <c r="B37" s="58" t="str">
        <f>IF(H37,LOOKUP($A37,PRODUTOS!A$6:A$205,PRODUTOS!B$6:B$205),"")</f>
        <v/>
      </c>
      <c r="C37" s="59"/>
      <c r="D37" s="60" t="str">
        <f>IF(H37,LOOKUP($A37,PRODUTOS!A$6:A$205,PRODUTOS!C$6:C$205),"")</f>
        <v/>
      </c>
      <c r="E37" s="61" t="str">
        <f>IF(H37,LOOKUP($A37,PRODUTOS!A$6:A$205,PRODUTOS!D$6:D$205),"")</f>
        <v/>
      </c>
      <c r="F37" s="75" t="str">
        <f t="shared" si="0"/>
        <v/>
      </c>
      <c r="G37" s="63" t="str">
        <f t="shared" si="4"/>
        <v>LISTAR MAIS</v>
      </c>
      <c r="H37" s="2">
        <f t="shared" si="1"/>
        <v>0</v>
      </c>
      <c r="J37" s="147" t="s">
        <v>383</v>
      </c>
      <c r="K37" s="148"/>
      <c r="L37" s="148"/>
      <c r="M37" s="148"/>
      <c r="N37" s="120">
        <f>SUM(N23:N36)</f>
        <v>2</v>
      </c>
    </row>
    <row r="38" spans="1:14" ht="17.100000000000001" customHeight="1" x14ac:dyDescent="0.2">
      <c r="A38" s="74"/>
      <c r="B38" s="58" t="str">
        <f>IF(H38,LOOKUP($A38,PRODUTOS!A$6:A$205,PRODUTOS!B$6:B$205),"")</f>
        <v/>
      </c>
      <c r="C38" s="59"/>
      <c r="D38" s="60" t="str">
        <f>IF(H38,LOOKUP($A38,PRODUTOS!A$6:A$205,PRODUTOS!C$6:C$205),"")</f>
        <v/>
      </c>
      <c r="E38" s="61" t="str">
        <f>IF(H38,LOOKUP($A38,PRODUTOS!A$6:A$205,PRODUTOS!D$6:D$205),"")</f>
        <v/>
      </c>
      <c r="F38" s="75" t="str">
        <f t="shared" si="0"/>
        <v/>
      </c>
      <c r="G38" s="63" t="str">
        <f t="shared" si="4"/>
        <v>LISTAR MAIS</v>
      </c>
      <c r="H38" s="2">
        <f t="shared" si="1"/>
        <v>0</v>
      </c>
      <c r="J38" s="149" t="s">
        <v>384</v>
      </c>
      <c r="K38" s="150"/>
      <c r="L38" s="150"/>
      <c r="M38" s="151"/>
      <c r="N38" s="125">
        <v>20</v>
      </c>
    </row>
    <row r="39" spans="1:14" ht="17.100000000000001" customHeight="1" x14ac:dyDescent="0.2">
      <c r="A39" s="74"/>
      <c r="B39" s="58" t="str">
        <f>IF(H39,LOOKUP($A39,PRODUTOS!A$6:A$205,PRODUTOS!B$6:B$205),"")</f>
        <v/>
      </c>
      <c r="C39" s="59"/>
      <c r="D39" s="60" t="str">
        <f>IF(H39,LOOKUP($A39,PRODUTOS!A$6:A$205,PRODUTOS!C$6:C$205),"")</f>
        <v/>
      </c>
      <c r="E39" s="61" t="str">
        <f>IF(H39,LOOKUP($A39,PRODUTOS!A$6:A$205,PRODUTOS!D$6:D$205),"")</f>
        <v/>
      </c>
      <c r="F39" s="75" t="str">
        <f t="shared" si="0"/>
        <v/>
      </c>
      <c r="G39" s="63" t="str">
        <f t="shared" si="4"/>
        <v>LISTAR MAIS</v>
      </c>
      <c r="H39" s="2">
        <f t="shared" si="1"/>
        <v>0</v>
      </c>
      <c r="J39" s="118" t="s">
        <v>380</v>
      </c>
      <c r="K39" s="119"/>
      <c r="L39" s="119"/>
      <c r="M39" s="119"/>
      <c r="N39" s="117">
        <f>N38+N37</f>
        <v>22</v>
      </c>
    </row>
    <row r="40" spans="1:14" ht="17.100000000000001" customHeight="1" x14ac:dyDescent="0.2">
      <c r="A40" s="74"/>
      <c r="B40" s="58" t="str">
        <f>IF(H40,LOOKUP($A40,PRODUTOS!A$6:A$205,PRODUTOS!B$6:B$205),"")</f>
        <v/>
      </c>
      <c r="C40" s="59"/>
      <c r="D40" s="60" t="str">
        <f>IF(H40,LOOKUP($A40,PRODUTOS!A$6:A$205,PRODUTOS!C$6:C$205),"")</f>
        <v/>
      </c>
      <c r="E40" s="61" t="str">
        <f>IF(H40,LOOKUP($A40,PRODUTOS!A$6:A$205,PRODUTOS!D$6:D$205),"")</f>
        <v/>
      </c>
      <c r="F40" s="75" t="str">
        <f t="shared" si="0"/>
        <v/>
      </c>
      <c r="G40" s="63" t="str">
        <f t="shared" si="4"/>
        <v>LISTAR MAIS</v>
      </c>
      <c r="H40" s="2">
        <f t="shared" si="1"/>
        <v>0</v>
      </c>
    </row>
    <row r="41" spans="1:14" ht="17.100000000000001" customHeight="1" x14ac:dyDescent="0.2">
      <c r="A41" s="74"/>
      <c r="B41" s="58" t="str">
        <f>IF(H41,LOOKUP($A41,PRODUTOS!A$6:A$205,PRODUTOS!B$6:B$205),"")</f>
        <v/>
      </c>
      <c r="C41" s="59"/>
      <c r="D41" s="60" t="str">
        <f>IF(H41,LOOKUP($A41,PRODUTOS!A$6:A$205,PRODUTOS!C$6:C$205),"")</f>
        <v/>
      </c>
      <c r="E41" s="61" t="str">
        <f>IF(H41,LOOKUP($A41,PRODUTOS!A$6:A$205,PRODUTOS!D$6:D$205),"")</f>
        <v/>
      </c>
      <c r="F41" s="75" t="str">
        <f t="shared" si="0"/>
        <v/>
      </c>
      <c r="G41" s="63" t="str">
        <f t="shared" si="4"/>
        <v>LISTAR MAIS</v>
      </c>
      <c r="H41" s="2">
        <f t="shared" si="1"/>
        <v>0</v>
      </c>
    </row>
    <row r="42" spans="1:14" ht="17.100000000000001" customHeight="1" x14ac:dyDescent="0.2">
      <c r="A42" s="74"/>
      <c r="B42" s="58" t="str">
        <f>IF(H42,LOOKUP($A42,PRODUTOS!A$6:A$205,PRODUTOS!B$6:B$205),"")</f>
        <v/>
      </c>
      <c r="C42" s="59"/>
      <c r="D42" s="60" t="str">
        <f>IF(H42,LOOKUP($A42,PRODUTOS!A$6:A$205,PRODUTOS!C$6:C$205),"")</f>
        <v/>
      </c>
      <c r="E42" s="61" t="str">
        <f>IF(H42,LOOKUP($A42,PRODUTOS!A$6:A$205,PRODUTOS!D$6:D$205),"")</f>
        <v/>
      </c>
      <c r="F42" s="75" t="str">
        <f t="shared" si="0"/>
        <v/>
      </c>
      <c r="G42" s="63" t="str">
        <f t="shared" si="4"/>
        <v>LISTAR MAIS</v>
      </c>
      <c r="H42" s="2">
        <f t="shared" si="1"/>
        <v>0</v>
      </c>
    </row>
    <row r="43" spans="1:14" ht="17.100000000000001" customHeight="1" x14ac:dyDescent="0.2">
      <c r="A43" s="74"/>
      <c r="B43" s="58" t="str">
        <f>IF(H43,LOOKUP($A43,PRODUTOS!A$6:A$205,PRODUTOS!B$6:B$205),"")</f>
        <v/>
      </c>
      <c r="C43" s="59"/>
      <c r="D43" s="60" t="str">
        <f>IF(H43,LOOKUP($A43,PRODUTOS!A$6:A$205,PRODUTOS!C$6:C$205),"")</f>
        <v/>
      </c>
      <c r="E43" s="61" t="str">
        <f>IF(H43,LOOKUP($A43,PRODUTOS!A$6:A$205,PRODUTOS!D$6:D$205),"")</f>
        <v/>
      </c>
      <c r="F43" s="75" t="str">
        <f t="shared" si="0"/>
        <v/>
      </c>
      <c r="G43" s="63" t="str">
        <f t="shared" si="4"/>
        <v>LISTAR MAIS</v>
      </c>
      <c r="H43" s="2">
        <f t="shared" si="1"/>
        <v>0</v>
      </c>
      <c r="J43" s="138" t="s">
        <v>385</v>
      </c>
      <c r="K43" s="138"/>
      <c r="L43" s="138"/>
      <c r="M43" s="138"/>
    </row>
    <row r="44" spans="1:14" ht="17.100000000000001" customHeight="1" x14ac:dyDescent="0.2">
      <c r="A44" s="74"/>
      <c r="B44" s="58" t="str">
        <f>IF(H44,LOOKUP($A44,PRODUTOS!A$6:A$205,PRODUTOS!B$6:B$205),"")</f>
        <v/>
      </c>
      <c r="C44" s="59"/>
      <c r="D44" s="60" t="str">
        <f>IF(H44,LOOKUP($A44,PRODUTOS!A$6:A$205,PRODUTOS!C$6:C$205),"")</f>
        <v/>
      </c>
      <c r="E44" s="61" t="str">
        <f>IF(H44,LOOKUP($A44,PRODUTOS!A$6:A$205,PRODUTOS!D$6:D$205),"")</f>
        <v/>
      </c>
      <c r="F44" s="75" t="str">
        <f t="shared" si="0"/>
        <v/>
      </c>
      <c r="G44" s="63" t="str">
        <f t="shared" si="4"/>
        <v>LISTAR MAIS</v>
      </c>
      <c r="H44" s="2">
        <f t="shared" si="1"/>
        <v>0</v>
      </c>
      <c r="J44" s="138" t="s">
        <v>386</v>
      </c>
      <c r="K44" s="138"/>
      <c r="L44" s="138"/>
      <c r="M44" s="138"/>
    </row>
    <row r="45" spans="1:14" ht="17.100000000000001" customHeight="1" x14ac:dyDescent="0.2">
      <c r="A45" s="74"/>
      <c r="B45" s="58" t="str">
        <f>IF(H45,LOOKUP($A45,PRODUTOS!A$6:A$205,PRODUTOS!B$6:B$205),"")</f>
        <v/>
      </c>
      <c r="C45" s="59"/>
      <c r="D45" s="60" t="str">
        <f>IF(H45,LOOKUP($A45,PRODUTOS!A$6:A$205,PRODUTOS!C$6:C$205),"")</f>
        <v/>
      </c>
      <c r="E45" s="61" t="str">
        <f>IF(H45,LOOKUP($A45,PRODUTOS!A$6:A$205,PRODUTOS!D$6:D$205),"")</f>
        <v/>
      </c>
      <c r="F45" s="75" t="str">
        <f t="shared" si="0"/>
        <v/>
      </c>
      <c r="G45" s="63" t="str">
        <f t="shared" si="4"/>
        <v>LISTAR MAIS</v>
      </c>
      <c r="H45" s="2">
        <f t="shared" si="1"/>
        <v>0</v>
      </c>
      <c r="J45" s="138" t="s">
        <v>387</v>
      </c>
      <c r="K45" s="138"/>
      <c r="L45" s="138"/>
      <c r="M45" s="138"/>
    </row>
    <row r="46" spans="1:14" ht="17.100000000000001" customHeight="1" x14ac:dyDescent="0.2">
      <c r="A46" s="74"/>
      <c r="B46" s="58" t="str">
        <f>IF(H46,LOOKUP($A46,PRODUTOS!A$6:A$205,PRODUTOS!B$6:B$205),"")</f>
        <v/>
      </c>
      <c r="C46" s="59"/>
      <c r="D46" s="60" t="str">
        <f>IF(H46,LOOKUP($A46,PRODUTOS!A$6:A$205,PRODUTOS!C$6:C$205),"")</f>
        <v/>
      </c>
      <c r="E46" s="61" t="str">
        <f>IF(H46,LOOKUP($A46,PRODUTOS!A$6:A$205,PRODUTOS!D$6:D$205),"")</f>
        <v/>
      </c>
      <c r="F46" s="75" t="str">
        <f t="shared" si="0"/>
        <v/>
      </c>
      <c r="G46" s="63" t="str">
        <f t="shared" si="4"/>
        <v>LISTAR MAIS</v>
      </c>
      <c r="H46" s="2">
        <f t="shared" si="1"/>
        <v>0</v>
      </c>
    </row>
    <row r="47" spans="1:14" ht="17.100000000000001" customHeight="1" x14ac:dyDescent="0.2">
      <c r="A47" s="74"/>
      <c r="B47" s="58" t="str">
        <f>IF(H47,LOOKUP($A47,PRODUTOS!A$6:A$205,PRODUTOS!B$6:B$205),"")</f>
        <v/>
      </c>
      <c r="C47" s="59"/>
      <c r="D47" s="60" t="str">
        <f>IF(H47,LOOKUP($A47,PRODUTOS!A$6:A$205,PRODUTOS!C$6:C$205),"")</f>
        <v/>
      </c>
      <c r="E47" s="61" t="str">
        <f>IF(H47,LOOKUP($A47,PRODUTOS!A$6:A$205,PRODUTOS!D$6:D$205),"")</f>
        <v/>
      </c>
      <c r="F47" s="75" t="str">
        <f t="shared" si="0"/>
        <v/>
      </c>
      <c r="G47" s="63" t="str">
        <f t="shared" si="4"/>
        <v>LISTAR MAIS</v>
      </c>
      <c r="H47" s="2">
        <f t="shared" si="1"/>
        <v>0</v>
      </c>
      <c r="J47" s="142" t="s">
        <v>388</v>
      </c>
      <c r="K47" s="143"/>
    </row>
    <row r="48" spans="1:14" ht="5.65" customHeight="1" x14ac:dyDescent="0.2">
      <c r="A48" s="85"/>
      <c r="B48" s="86"/>
      <c r="C48" s="87"/>
      <c r="D48" s="86"/>
      <c r="E48" s="88"/>
      <c r="F48" s="89"/>
      <c r="J48" s="102"/>
      <c r="K48" s="103"/>
    </row>
    <row r="49" spans="1:11" s="53" customFormat="1" ht="17.100000000000001" customHeight="1" x14ac:dyDescent="0.2">
      <c r="A49" s="98" t="s">
        <v>389</v>
      </c>
      <c r="B49" s="99"/>
      <c r="C49" s="100"/>
      <c r="D49" s="100"/>
      <c r="E49" s="100"/>
      <c r="F49" s="101">
        <f>SUM(F23:F47)</f>
        <v>5</v>
      </c>
      <c r="H49" s="2"/>
      <c r="J49" s="104">
        <f>J50/2</f>
        <v>2.5000000000000001E-2</v>
      </c>
      <c r="K49" s="105">
        <f>J49*F$49</f>
        <v>0.125</v>
      </c>
    </row>
    <row r="50" spans="1:11" s="53" customFormat="1" ht="17.100000000000001" customHeight="1" x14ac:dyDescent="0.2">
      <c r="A50" s="77" t="s">
        <v>390</v>
      </c>
      <c r="B50" s="78"/>
      <c r="C50" s="79"/>
      <c r="D50" s="78"/>
      <c r="E50" s="91">
        <f>F50/F49</f>
        <v>0.05</v>
      </c>
      <c r="F50" s="97">
        <f>K50</f>
        <v>0.25</v>
      </c>
      <c r="H50" s="2"/>
      <c r="J50" s="107">
        <v>0.05</v>
      </c>
      <c r="K50" s="106">
        <f>J50*F$49</f>
        <v>0.25</v>
      </c>
    </row>
    <row r="51" spans="1:11" s="53" customFormat="1" ht="17.100000000000001" customHeight="1" x14ac:dyDescent="0.2">
      <c r="A51" s="77" t="s">
        <v>391</v>
      </c>
      <c r="B51" s="78"/>
      <c r="C51" s="79"/>
      <c r="D51" s="78"/>
      <c r="E51" s="80"/>
      <c r="F51" s="96">
        <f>F49-F50</f>
        <v>4.75</v>
      </c>
      <c r="H51" s="2"/>
      <c r="J51" s="104">
        <f>J50*2</f>
        <v>0.1</v>
      </c>
      <c r="K51" s="105">
        <f>J51*F$49</f>
        <v>0.5</v>
      </c>
    </row>
    <row r="52" spans="1:11" s="53" customFormat="1" ht="17.100000000000001" customHeight="1" x14ac:dyDescent="0.2">
      <c r="A52" s="92" t="s">
        <v>392</v>
      </c>
      <c r="B52" s="93"/>
      <c r="C52" s="94"/>
      <c r="D52" s="93"/>
      <c r="E52" s="95"/>
      <c r="F52" s="90">
        <f>N39</f>
        <v>22</v>
      </c>
      <c r="J52" s="2"/>
      <c r="K52" s="2"/>
    </row>
    <row r="53" spans="1:11" s="62" customFormat="1" ht="22.7" customHeight="1" x14ac:dyDescent="0.2">
      <c r="A53" s="81" t="s">
        <v>393</v>
      </c>
      <c r="B53" s="82"/>
      <c r="C53" s="83"/>
      <c r="D53" s="82"/>
      <c r="E53" s="84"/>
      <c r="F53" s="76">
        <f>SUM(F51:F52)</f>
        <v>26.75</v>
      </c>
      <c r="J53" s="2"/>
      <c r="K53" s="2"/>
    </row>
    <row r="54" spans="1:11" ht="22.7" customHeight="1" x14ac:dyDescent="0.2"/>
    <row r="55" spans="1:11" s="57" customFormat="1" ht="22.7" customHeight="1" x14ac:dyDescent="0.2">
      <c r="A55" s="54" t="s">
        <v>394</v>
      </c>
      <c r="B55" s="55"/>
      <c r="C55" s="56"/>
      <c r="D55" s="55"/>
    </row>
    <row r="56" spans="1:11" ht="70.900000000000006" customHeight="1" x14ac:dyDescent="0.2">
      <c r="A56" s="144" t="s">
        <v>395</v>
      </c>
      <c r="B56" s="145"/>
      <c r="C56" s="145"/>
      <c r="D56" s="145"/>
      <c r="E56" s="145"/>
      <c r="F56" s="146"/>
    </row>
    <row r="57" spans="1:11" ht="22.7" customHeight="1" x14ac:dyDescent="0.2"/>
    <row r="58" spans="1:11" ht="17.100000000000001" customHeight="1" x14ac:dyDescent="0.2">
      <c r="A58" s="2" t="str">
        <f ca="1">C5&amp;", "&amp;LOWER(TEXT(C6,"DD"" de ""MMMM"" de ""AAAA"))&amp;"."</f>
        <v>Recife, 23 de outubro de 2014.</v>
      </c>
    </row>
    <row r="59" spans="1:11" ht="17.100000000000001" customHeight="1" x14ac:dyDescent="0.2"/>
    <row r="60" spans="1:11" ht="17.100000000000001" customHeight="1" x14ac:dyDescent="0.2">
      <c r="A60" s="110"/>
      <c r="B60" s="111"/>
    </row>
    <row r="61" spans="1:11" ht="17.100000000000001" customHeight="1" x14ac:dyDescent="0.2">
      <c r="A61" s="108" t="str">
        <f>TRIM(C7)</f>
        <v>[nome do vendedor]</v>
      </c>
      <c r="B61" s="109"/>
    </row>
    <row r="62" spans="1:11" ht="12.75" customHeight="1" x14ac:dyDescent="0.2">
      <c r="A62" s="2" t="str">
        <f>TRIM(C8)</f>
        <v>[digite aqui todas as formas de contato: telefones, email]</v>
      </c>
    </row>
  </sheetData>
  <mergeCells count="19">
    <mergeCell ref="J47:K47"/>
    <mergeCell ref="A56:F56"/>
    <mergeCell ref="J19:N19"/>
    <mergeCell ref="J37:M37"/>
    <mergeCell ref="J38:M38"/>
    <mergeCell ref="J43:M43"/>
    <mergeCell ref="J44:M44"/>
    <mergeCell ref="J45:M45"/>
    <mergeCell ref="E16:F17"/>
    <mergeCell ref="A3:F3"/>
    <mergeCell ref="D4:F4"/>
    <mergeCell ref="C5:F5"/>
    <mergeCell ref="C6:F6"/>
    <mergeCell ref="C7:F7"/>
    <mergeCell ref="C8:F8"/>
    <mergeCell ref="A10:F10"/>
    <mergeCell ref="A11:F11"/>
    <mergeCell ref="A12:F12"/>
    <mergeCell ref="E15:F15"/>
  </mergeCells>
  <hyperlinks>
    <hyperlink ref="C8" r:id="rId1" display="email@vendedor.com"/>
  </hyperlinks>
  <pageMargins left="0.59055118110236227" right="0.59055118110236227" top="1.1811023622047245" bottom="0.39370078740157483" header="0.59055118110236227" footer="0.51181102362204722"/>
  <pageSetup paperSize="9" scale="82" orientation="portrait" horizontalDpi="300" verticalDpi="300" r:id="rId2"/>
  <headerFooter scaleWithDoc="0">
    <oddHeader>&amp;L&amp;"Arial,Negrito"&amp;20NOME DA SUA EMPRESA&amp;8
&amp;"Arial,Normal"ENDEREÇO DA EMPRESA, Nº 123, SL. 408 - 4º ANDAR - BAIRRO
00000-000, CIDADE, UF - FONE: (11) 9999-9999 - SITE: http://www.reidasplanilhas.com&amp;R&amp;G</oddHeader>
  </headerFooter>
  <colBreaks count="1" manualBreakCount="1">
    <brk id="6" max="1048575" man="1"/>
  </colBreaks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CLIENTES</vt:lpstr>
      <vt:lpstr>PRODUTOS</vt:lpstr>
      <vt:lpstr>ORÇAMENTO</vt:lpstr>
      <vt:lpstr>ORÇAMENTO!Area_de_impressao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2013-09-09T17:48:51Z</dcterms:created>
  <dcterms:modified xsi:type="dcterms:W3CDTF">2014-10-23T15:54:26Z</dcterms:modified>
</cp:coreProperties>
</file>