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a Dantas\Documents\Documentos Angela\Documents\Conselho_Contabilidade\Palestra_Curso_Slides\Simples Nacional\"/>
    </mc:Choice>
  </mc:AlternateContent>
  <bookViews>
    <workbookView xWindow="0" yWindow="0" windowWidth="20490" windowHeight="6855" activeTab="2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7" l="1"/>
  <c r="D44" i="7"/>
  <c r="C44" i="7"/>
  <c r="B44" i="7"/>
  <c r="D23" i="3"/>
  <c r="C23" i="3"/>
  <c r="E23" i="3" s="1"/>
  <c r="F23" i="3" s="1"/>
  <c r="C19" i="9" l="1"/>
  <c r="B19" i="9"/>
  <c r="B18" i="9"/>
  <c r="C18" i="9" s="1"/>
  <c r="B17" i="9"/>
  <c r="C17" i="9" s="1"/>
  <c r="C16" i="9"/>
  <c r="B16" i="9"/>
  <c r="B15" i="9"/>
  <c r="C15" i="9" s="1"/>
  <c r="C14" i="9"/>
  <c r="D14" i="9" s="1"/>
  <c r="D15" i="9" s="1"/>
  <c r="C4" i="9" s="1"/>
  <c r="B14" i="9"/>
  <c r="L32" i="8"/>
  <c r="I29" i="8"/>
  <c r="I30" i="8" s="1"/>
  <c r="K28" i="8"/>
  <c r="H29" i="8" s="1"/>
  <c r="B19" i="8"/>
  <c r="C19" i="8" s="1"/>
  <c r="C18" i="8"/>
  <c r="B18" i="8"/>
  <c r="B17" i="8"/>
  <c r="C17" i="8" s="1"/>
  <c r="K16" i="8"/>
  <c r="B16" i="8"/>
  <c r="C16" i="8" s="1"/>
  <c r="C15" i="8"/>
  <c r="B15" i="8"/>
  <c r="B14" i="8"/>
  <c r="C14" i="8" s="1"/>
  <c r="D14" i="8" s="1"/>
  <c r="D15" i="8" s="1"/>
  <c r="C4" i="8" s="1"/>
  <c r="I15" i="8" s="1"/>
  <c r="I16" i="8" s="1"/>
  <c r="O11" i="8"/>
  <c r="O10" i="8"/>
  <c r="O9" i="8"/>
  <c r="J41" i="7"/>
  <c r="G41" i="7"/>
  <c r="L40" i="7"/>
  <c r="K41" i="7" s="1"/>
  <c r="L31" i="7"/>
  <c r="J29" i="7"/>
  <c r="I29" i="7"/>
  <c r="K28" i="7"/>
  <c r="H28" i="7"/>
  <c r="G28" i="7"/>
  <c r="L27" i="7"/>
  <c r="H29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20" i="1"/>
  <c r="C20" i="1" s="1"/>
  <c r="B19" i="1"/>
  <c r="C19" i="1" s="1"/>
  <c r="C18" i="1"/>
  <c r="B18" i="1"/>
  <c r="C17" i="1"/>
  <c r="B17" i="1"/>
  <c r="B16" i="1"/>
  <c r="C16" i="1" s="1"/>
  <c r="C15" i="1"/>
  <c r="B15" i="1"/>
  <c r="B14" i="1"/>
  <c r="C14" i="1" s="1"/>
  <c r="D14" i="1" s="1"/>
  <c r="D15" i="1" s="1"/>
  <c r="C4" i="1" s="1"/>
  <c r="B19" i="3"/>
  <c r="C19" i="3" s="1"/>
  <c r="B18" i="3"/>
  <c r="C18" i="3" s="1"/>
  <c r="D14" i="3" s="1"/>
  <c r="D15" i="3" s="1"/>
  <c r="C4" i="3" s="1"/>
  <c r="B17" i="3"/>
  <c r="C17" i="3" s="1"/>
  <c r="B16" i="3"/>
  <c r="C16" i="3" s="1"/>
  <c r="B15" i="3"/>
  <c r="C15" i="3" s="1"/>
  <c r="B14" i="3"/>
  <c r="C14" i="3" s="1"/>
  <c r="D14" i="7" l="1"/>
  <c r="D15" i="7" s="1"/>
  <c r="C4" i="7" s="1"/>
  <c r="J30" i="7" s="1"/>
  <c r="J31" i="7" s="1"/>
  <c r="L15" i="1"/>
  <c r="L16" i="1" s="1"/>
  <c r="H15" i="1"/>
  <c r="H16" i="1" s="1"/>
  <c r="K15" i="1"/>
  <c r="K16" i="1" s="1"/>
  <c r="G15" i="1"/>
  <c r="G16" i="1" s="1"/>
  <c r="I15" i="1"/>
  <c r="I16" i="1" s="1"/>
  <c r="J15" i="1"/>
  <c r="J16" i="1" s="1"/>
  <c r="J17" i="1" s="1"/>
  <c r="J18" i="1" s="1"/>
  <c r="M15" i="1"/>
  <c r="M16" i="1" s="1"/>
  <c r="K15" i="7"/>
  <c r="K16" i="7" s="1"/>
  <c r="H15" i="7"/>
  <c r="H16" i="7" s="1"/>
  <c r="G35" i="7"/>
  <c r="J15" i="7"/>
  <c r="J16" i="7" s="1"/>
  <c r="L15" i="3"/>
  <c r="L16" i="3" s="1"/>
  <c r="H15" i="3"/>
  <c r="H16" i="3" s="1"/>
  <c r="K15" i="3"/>
  <c r="K16" i="3" s="1"/>
  <c r="G15" i="3"/>
  <c r="G16" i="3" s="1"/>
  <c r="I15" i="3"/>
  <c r="I16" i="3" s="1"/>
  <c r="J15" i="3"/>
  <c r="J16" i="3" s="1"/>
  <c r="I15" i="9"/>
  <c r="I16" i="9" s="1"/>
  <c r="L15" i="9"/>
  <c r="L16" i="9" s="1"/>
  <c r="H15" i="9"/>
  <c r="H16" i="9" s="1"/>
  <c r="H17" i="9" s="1"/>
  <c r="H18" i="9" s="1"/>
  <c r="K15" i="9"/>
  <c r="K16" i="9" s="1"/>
  <c r="G15" i="9"/>
  <c r="G16" i="9" s="1"/>
  <c r="J15" i="9"/>
  <c r="J16" i="9" s="1"/>
  <c r="I41" i="7"/>
  <c r="H41" i="7"/>
  <c r="K37" i="8"/>
  <c r="G37" i="8"/>
  <c r="I36" i="8"/>
  <c r="J37" i="8"/>
  <c r="L36" i="8"/>
  <c r="H36" i="8"/>
  <c r="I31" i="8"/>
  <c r="I32" i="8" s="1"/>
  <c r="H15" i="8"/>
  <c r="H16" i="8" s="1"/>
  <c r="I37" i="8"/>
  <c r="K36" i="8"/>
  <c r="G36" i="8"/>
  <c r="H31" i="8"/>
  <c r="H32" i="8" s="1"/>
  <c r="L15" i="8"/>
  <c r="L16" i="8" s="1"/>
  <c r="G15" i="8"/>
  <c r="H37" i="8"/>
  <c r="J36" i="8"/>
  <c r="K31" i="8"/>
  <c r="K32" i="8" s="1"/>
  <c r="J15" i="8"/>
  <c r="J16" i="8" s="1"/>
  <c r="J29" i="8"/>
  <c r="J30" i="8" s="1"/>
  <c r="J31" i="8" s="1"/>
  <c r="J32" i="8" s="1"/>
  <c r="I28" i="7"/>
  <c r="L28" i="7" s="1"/>
  <c r="G29" i="7"/>
  <c r="G36" i="7" s="1"/>
  <c r="K29" i="7"/>
  <c r="K30" i="7" s="1"/>
  <c r="K31" i="7" s="1"/>
  <c r="G29" i="8"/>
  <c r="G30" i="8" s="1"/>
  <c r="G31" i="8" s="1"/>
  <c r="J28" i="7"/>
  <c r="L15" i="7" l="1"/>
  <c r="L16" i="7" s="1"/>
  <c r="H35" i="7"/>
  <c r="I35" i="7"/>
  <c r="I36" i="7"/>
  <c r="H30" i="7"/>
  <c r="H31" i="7" s="1"/>
  <c r="K35" i="7"/>
  <c r="L35" i="7"/>
  <c r="J35" i="7"/>
  <c r="I15" i="7"/>
  <c r="I16" i="7" s="1"/>
  <c r="H17" i="7" s="1"/>
  <c r="H18" i="7" s="1"/>
  <c r="J36" i="7"/>
  <c r="H36" i="7"/>
  <c r="G15" i="7"/>
  <c r="G16" i="7" s="1"/>
  <c r="I30" i="7"/>
  <c r="I31" i="7" s="1"/>
  <c r="H17" i="3"/>
  <c r="H18" i="3" s="1"/>
  <c r="H19" i="3" s="1"/>
  <c r="G32" i="8"/>
  <c r="M31" i="8"/>
  <c r="G4" i="1"/>
  <c r="J19" i="1"/>
  <c r="J17" i="9"/>
  <c r="J18" i="9" s="1"/>
  <c r="L17" i="9"/>
  <c r="L18" i="9" s="1"/>
  <c r="I17" i="3"/>
  <c r="I18" i="3" s="1"/>
  <c r="L17" i="3"/>
  <c r="L18" i="3" s="1"/>
  <c r="G30" i="7"/>
  <c r="I17" i="1"/>
  <c r="I18" i="1" s="1"/>
  <c r="H17" i="1"/>
  <c r="H18" i="1" s="1"/>
  <c r="H19" i="9"/>
  <c r="E4" i="9"/>
  <c r="L29" i="7"/>
  <c r="M15" i="8"/>
  <c r="G16" i="8"/>
  <c r="I33" i="8"/>
  <c r="M16" i="9"/>
  <c r="M19" i="9" s="1"/>
  <c r="G17" i="9"/>
  <c r="G17" i="3"/>
  <c r="M16" i="3"/>
  <c r="N16" i="3" s="1"/>
  <c r="K17" i="3" s="1"/>
  <c r="K18" i="3" s="1"/>
  <c r="L17" i="7"/>
  <c r="L18" i="7" s="1"/>
  <c r="K36" i="7"/>
  <c r="N16" i="1"/>
  <c r="N19" i="1" s="1"/>
  <c r="G17" i="1"/>
  <c r="L17" i="1"/>
  <c r="L18" i="1" s="1"/>
  <c r="H33" i="8"/>
  <c r="J33" i="8"/>
  <c r="K33" i="8"/>
  <c r="K17" i="9"/>
  <c r="K18" i="9" s="1"/>
  <c r="I17" i="9"/>
  <c r="I18" i="9" s="1"/>
  <c r="J17" i="3"/>
  <c r="J18" i="3" s="1"/>
  <c r="J17" i="7"/>
  <c r="J18" i="7" s="1"/>
  <c r="M17" i="1"/>
  <c r="M18" i="1" s="1"/>
  <c r="J4" i="1" s="1"/>
  <c r="K17" i="1"/>
  <c r="K18" i="1" s="1"/>
  <c r="H19" i="7" l="1"/>
  <c r="H20" i="7"/>
  <c r="L32" i="7"/>
  <c r="I17" i="7"/>
  <c r="I18" i="7" s="1"/>
  <c r="M16" i="7"/>
  <c r="M19" i="7" s="1"/>
  <c r="K17" i="7" s="1"/>
  <c r="K18" i="7" s="1"/>
  <c r="G17" i="7"/>
  <c r="E4" i="3"/>
  <c r="K20" i="7"/>
  <c r="K19" i="7"/>
  <c r="J19" i="7"/>
  <c r="J20" i="7"/>
  <c r="K17" i="8"/>
  <c r="K18" i="8" s="1"/>
  <c r="G17" i="8"/>
  <c r="M16" i="8"/>
  <c r="M19" i="8" s="1"/>
  <c r="L33" i="8"/>
  <c r="I17" i="8"/>
  <c r="I18" i="8" s="1"/>
  <c r="K19" i="3"/>
  <c r="H4" i="3"/>
  <c r="L17" i="8"/>
  <c r="L18" i="8" s="1"/>
  <c r="I4" i="1"/>
  <c r="L19" i="1"/>
  <c r="L19" i="7"/>
  <c r="L20" i="7"/>
  <c r="N17" i="9"/>
  <c r="N18" i="9" s="1"/>
  <c r="G18" i="9"/>
  <c r="M17" i="9"/>
  <c r="I19" i="1"/>
  <c r="F4" i="1"/>
  <c r="G31" i="7"/>
  <c r="M30" i="7"/>
  <c r="J19" i="9"/>
  <c r="G4" i="9"/>
  <c r="H19" i="1"/>
  <c r="E4" i="1"/>
  <c r="J19" i="3"/>
  <c r="G4" i="3"/>
  <c r="O17" i="1"/>
  <c r="O18" i="1" s="1"/>
  <c r="G18" i="1"/>
  <c r="N17" i="1"/>
  <c r="I19" i="7"/>
  <c r="I20" i="7"/>
  <c r="L19" i="3"/>
  <c r="I4" i="3"/>
  <c r="H17" i="8"/>
  <c r="H18" i="8" s="1"/>
  <c r="K19" i="9"/>
  <c r="H4" i="9"/>
  <c r="M17" i="3"/>
  <c r="M18" i="3" s="1"/>
  <c r="G18" i="3"/>
  <c r="L19" i="9"/>
  <c r="I4" i="9"/>
  <c r="K19" i="1"/>
  <c r="H4" i="1"/>
  <c r="I19" i="9"/>
  <c r="F4" i="9"/>
  <c r="N17" i="7"/>
  <c r="N18" i="7" s="1"/>
  <c r="M17" i="7"/>
  <c r="G18" i="7"/>
  <c r="I19" i="3"/>
  <c r="F4" i="3"/>
  <c r="J17" i="8"/>
  <c r="J18" i="8" s="1"/>
  <c r="G33" i="8"/>
  <c r="M33" i="8" s="1"/>
  <c r="M32" i="8"/>
  <c r="N32" i="8" s="1"/>
  <c r="G19" i="3" l="1"/>
  <c r="D4" i="3"/>
  <c r="H19" i="8"/>
  <c r="H20" i="8"/>
  <c r="G19" i="9"/>
  <c r="D4" i="9"/>
  <c r="N17" i="8"/>
  <c r="N18" i="8" s="1"/>
  <c r="G18" i="8"/>
  <c r="M17" i="8"/>
  <c r="I20" i="8"/>
  <c r="I19" i="8"/>
  <c r="K19" i="8"/>
  <c r="K20" i="8"/>
  <c r="M20" i="7"/>
  <c r="N20" i="7" s="1"/>
  <c r="L19" i="8"/>
  <c r="L20" i="8"/>
  <c r="J19" i="8"/>
  <c r="J20" i="8"/>
  <c r="G32" i="7"/>
  <c r="M31" i="7"/>
  <c r="N31" i="7" s="1"/>
  <c r="H32" i="7"/>
  <c r="I32" i="7"/>
  <c r="J32" i="7"/>
  <c r="K32" i="7"/>
  <c r="G20" i="7"/>
  <c r="G19" i="7"/>
  <c r="G19" i="1"/>
  <c r="D4" i="1"/>
  <c r="M32" i="7" l="1"/>
  <c r="K21" i="7"/>
  <c r="K22" i="7" s="1"/>
  <c r="K23" i="7" s="1"/>
  <c r="G21" i="7"/>
  <c r="J21" i="7"/>
  <c r="J22" i="7" s="1"/>
  <c r="J23" i="7" s="1"/>
  <c r="H21" i="7"/>
  <c r="H22" i="7" s="1"/>
  <c r="H23" i="7" s="1"/>
  <c r="I21" i="7"/>
  <c r="I22" i="7" s="1"/>
  <c r="I23" i="7" s="1"/>
  <c r="M20" i="8"/>
  <c r="N20" i="8" s="1"/>
  <c r="L22" i="8"/>
  <c r="L23" i="8" s="1"/>
  <c r="L24" i="8" s="1"/>
  <c r="H4" i="8" s="1"/>
  <c r="L22" i="7"/>
  <c r="L23" i="7" s="1"/>
  <c r="G19" i="8"/>
  <c r="G20" i="8"/>
  <c r="I21" i="8" l="1"/>
  <c r="I22" i="8" s="1"/>
  <c r="I23" i="8" s="1"/>
  <c r="H21" i="8"/>
  <c r="H22" i="8" s="1"/>
  <c r="H23" i="8" s="1"/>
  <c r="K21" i="8"/>
  <c r="K22" i="8" s="1"/>
  <c r="K23" i="8" s="1"/>
  <c r="G21" i="8"/>
  <c r="J21" i="8"/>
  <c r="J22" i="8" s="1"/>
  <c r="J23" i="8" s="1"/>
  <c r="M21" i="7"/>
  <c r="G22" i="7"/>
  <c r="M21" i="8" l="1"/>
  <c r="G22" i="8"/>
  <c r="M22" i="7"/>
  <c r="G23" i="7"/>
  <c r="M23" i="7" l="1"/>
  <c r="J24" i="7"/>
  <c r="G4" i="7" s="1"/>
  <c r="L24" i="7"/>
  <c r="I4" i="7" s="1"/>
  <c r="H24" i="7"/>
  <c r="E4" i="7" s="1"/>
  <c r="I24" i="7"/>
  <c r="F4" i="7" s="1"/>
  <c r="N23" i="7"/>
  <c r="K24" i="7" s="1"/>
  <c r="H4" i="7" s="1"/>
  <c r="G23" i="8"/>
  <c r="M22" i="8"/>
  <c r="G24" i="7" l="1"/>
  <c r="M24" i="7" s="1"/>
  <c r="M23" i="8"/>
  <c r="N23" i="8" s="1"/>
  <c r="G24" i="8" s="1"/>
  <c r="I24" i="8"/>
  <c r="F4" i="8" s="1"/>
  <c r="H24" i="8"/>
  <c r="E4" i="8" s="1"/>
  <c r="J24" i="8"/>
  <c r="G4" i="8" s="1"/>
  <c r="K24" i="8"/>
  <c r="P4" i="8" s="1"/>
  <c r="D4" i="7" l="1"/>
  <c r="D4" i="8"/>
  <c r="M24" i="8"/>
</calcChain>
</file>

<file path=xl/sharedStrings.xml><?xml version="1.0" encoding="utf-8"?>
<sst xmlns="http://schemas.openxmlformats.org/spreadsheetml/2006/main" count="235" uniqueCount="29">
  <si>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</si>
  <si>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</si>
  <si>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</si>
  <si>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</si>
  <si>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</si>
  <si>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</si>
  <si>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</si>
  <si>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</si>
  <si>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</si>
  <si>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</si>
  <si>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</si>
  <si>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</si>
  <si>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</si>
  <si>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</si>
  <si>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</si>
  <si>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</si>
  <si>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</si>
  <si>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</si>
  <si>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</si>
  <si>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</si>
  <si>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</si>
  <si>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</si>
  <si>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</si>
  <si>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</si>
  <si>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</si>
  <si>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</si>
  <si>
    <t>[(RBT12 x Alíquota nominal) – parcela a deduzir] / RBT12</t>
  </si>
  <si>
    <t>PREVIDÊNCIA INCIDE S/ FOLHA PAGAMENTO</t>
  </si>
  <si>
    <t>FATOR "R"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</si>
</sst>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rgb="FF000000"/>
      <name val="Times New Roman"/>
      <charset val="1"/>
    </font>
    <font>
      <shadow/>
      <sz val="16"/>
      <color rgb="FF0033CC"/>
      <name val="Simplified Arabic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9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0" fontId="21" fillId="0" borderId="0" xfId="0" applyFont="1" applyAlignment="1">
      <alignment wrapText="1" readingOrder="1"/>
    </xf>
    <xf numFmtId="43" fontId="0" fillId="0" borderId="0" xfId="0" applyNumberFormat="1"/>
    <xf numFmtId="0" fontId="20" fillId="5" borderId="3" xfId="0" applyFont="1" applyFill="1" applyBorder="1" applyAlignment="1">
      <alignment wrapText="1" readingOrder="1"/>
    </xf>
    <xf numFmtId="43" fontId="0" fillId="5" borderId="3" xfId="0" applyNumberFormat="1" applyFill="1" applyBorder="1"/>
    <xf numFmtId="0" fontId="0" fillId="5" borderId="3" xfId="0" applyFill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4"/>
  <sheetViews>
    <sheetView topLeftCell="B1" zoomScaleNormal="100" workbookViewId="0">
      <selection activeCell="H1" sqref="H1"/>
    </sheetView>
  </sheetViews>
  <sheetFormatPr defaultRowHeight="15" x14ac:dyDescent="0.25"/>
  <cols>
    <col min="1" max="1" width="19.42578125" customWidth="1"/>
    <col min="2" max="2" width="34.85546875" customWidth="1"/>
    <col min="3" max="3" width="15.5703125" bestFit="1" customWidth="1"/>
    <col min="4" max="4" width="16" bestFit="1" customWidth="1"/>
    <col min="5" max="6" width="16" customWidth="1"/>
    <col min="7" max="7" width="13.4257812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 x14ac:dyDescent="0.25">
      <c r="B2" s="56" t="s">
        <v>6</v>
      </c>
      <c r="C2" s="57" t="s">
        <v>18</v>
      </c>
      <c r="D2" s="58" t="s">
        <v>19</v>
      </c>
      <c r="E2" s="58"/>
      <c r="F2" s="58"/>
      <c r="G2" s="58"/>
      <c r="H2" s="58"/>
      <c r="I2" s="58"/>
    </row>
    <row r="3" spans="1:14" ht="21" x14ac:dyDescent="0.25">
      <c r="B3" s="56"/>
      <c r="C3" s="57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 x14ac:dyDescent="0.4">
      <c r="A4" s="19" t="s">
        <v>17</v>
      </c>
      <c r="B4" s="9">
        <v>3600000</v>
      </c>
      <c r="C4" s="20">
        <f>D15</f>
        <v>0.1188</v>
      </c>
      <c r="D4" s="20">
        <f>G18</f>
        <v>6.4999999999999997E-3</v>
      </c>
      <c r="E4" s="20">
        <f t="shared" ref="E4:I4" si="0">H18</f>
        <v>4.1999999999999997E-3</v>
      </c>
      <c r="F4" s="20">
        <f t="shared" si="0"/>
        <v>1.5100000000000001E-2</v>
      </c>
      <c r="G4" s="20">
        <f t="shared" si="0"/>
        <v>3.3E-3</v>
      </c>
      <c r="H4" s="20">
        <f t="shared" si="0"/>
        <v>4.99E-2</v>
      </c>
      <c r="I4" s="20">
        <f t="shared" si="0"/>
        <v>3.9800000000000002E-2</v>
      </c>
      <c r="M4" s="8"/>
    </row>
    <row r="5" spans="1:14" ht="32.25" customHeight="1" x14ac:dyDescent="0.25">
      <c r="G5" s="58" t="s">
        <v>21</v>
      </c>
      <c r="H5" s="58"/>
      <c r="I5" s="58"/>
      <c r="J5" s="58"/>
      <c r="K5" s="58"/>
      <c r="L5" s="58"/>
    </row>
    <row r="6" spans="1:14" ht="30" x14ac:dyDescent="0.25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0.11874999999999999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0.1188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6.5339999999999999E-3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4.1580000000000002E-3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1.5135120000000002E-2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3.2788800000000001E-3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4.9895999999999996E-2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3.9798E-2</v>
      </c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6.4999999999999997E-3</v>
      </c>
      <c r="H16" s="22">
        <f t="shared" ref="H16:L16" si="4">ROUND(H15,4)</f>
        <v>4.1999999999999997E-3</v>
      </c>
      <c r="I16" s="22">
        <f t="shared" si="4"/>
        <v>1.5100000000000001E-2</v>
      </c>
      <c r="J16" s="22">
        <f t="shared" si="4"/>
        <v>3.3E-3</v>
      </c>
      <c r="K16" s="22">
        <f t="shared" si="4"/>
        <v>4.99E-2</v>
      </c>
      <c r="L16" s="22">
        <f t="shared" si="4"/>
        <v>3.9800000000000002E-2</v>
      </c>
      <c r="M16" s="4">
        <f>SUM(G16:L16)</f>
        <v>0.1188</v>
      </c>
      <c r="N16" s="4">
        <f>C4-M16</f>
        <v>0</v>
      </c>
    </row>
    <row r="17" spans="1:13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6.4999999999999997E-3</v>
      </c>
      <c r="H17" s="21">
        <f t="shared" si="5"/>
        <v>4.1999999999999997E-3</v>
      </c>
      <c r="I17" s="21">
        <f t="shared" si="5"/>
        <v>1.5100000000000001E-2</v>
      </c>
      <c r="J17" s="21">
        <f t="shared" si="5"/>
        <v>3.3E-3</v>
      </c>
      <c r="K17" s="21">
        <f t="shared" si="5"/>
        <v>4.99E-2</v>
      </c>
      <c r="L17" s="21">
        <f t="shared" si="5"/>
        <v>3.9800000000000002E-2</v>
      </c>
      <c r="M17" s="23">
        <f>SUM(G17:L17)</f>
        <v>0.1188</v>
      </c>
    </row>
    <row r="18" spans="1:13" ht="23.25" hidden="1" x14ac:dyDescent="0.35">
      <c r="A18" s="10" t="s">
        <v>14</v>
      </c>
      <c r="B18" s="3">
        <f t="shared" si="1"/>
        <v>0.11874999999999998</v>
      </c>
      <c r="C18" s="4">
        <f t="shared" si="3"/>
        <v>0.11874999999999999</v>
      </c>
      <c r="G18" s="21">
        <f>ROUND(G17,4)</f>
        <v>6.4999999999999997E-3</v>
      </c>
      <c r="H18" s="21">
        <f t="shared" ref="H18:L18" si="6">ROUND(H17,4)</f>
        <v>4.1999999999999997E-3</v>
      </c>
      <c r="I18" s="21">
        <f t="shared" si="6"/>
        <v>1.5100000000000001E-2</v>
      </c>
      <c r="J18" s="21">
        <f t="shared" si="6"/>
        <v>3.3E-3</v>
      </c>
      <c r="K18" s="21">
        <f t="shared" si="6"/>
        <v>4.99E-2</v>
      </c>
      <c r="L18" s="21">
        <f t="shared" si="6"/>
        <v>3.9800000000000002E-2</v>
      </c>
      <c r="M18" s="11" t="str">
        <f>IF(C4=M17,"OK")</f>
        <v>OK</v>
      </c>
    </row>
    <row r="19" spans="1:13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5">
      <c r="A20" s="10"/>
      <c r="B20" s="3"/>
      <c r="C20" s="4"/>
    </row>
    <row r="23" spans="1:13" ht="111" x14ac:dyDescent="0.4">
      <c r="B23" s="53" t="s">
        <v>26</v>
      </c>
      <c r="C23" s="54">
        <f>B4*14.3%</f>
        <v>514800.00000000006</v>
      </c>
      <c r="D23" s="54">
        <f>-E11</f>
        <v>-87300</v>
      </c>
      <c r="E23" s="54">
        <f>SUM(C23:D23)</f>
        <v>427500.00000000006</v>
      </c>
      <c r="F23" s="54">
        <f>E23/B4*100</f>
        <v>11.875000000000002</v>
      </c>
      <c r="G23" s="52"/>
    </row>
    <row r="24" spans="1:13" ht="30" x14ac:dyDescent="0.75">
      <c r="B24" s="51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Normal="100" workbookViewId="0">
      <selection activeCell="B4" sqref="B4"/>
    </sheetView>
  </sheetViews>
  <sheetFormatPr defaultRowHeight="15" x14ac:dyDescent="0.2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5703125" bestFit="1" customWidth="1"/>
    <col min="8" max="10" width="11.42578125" bestFit="1" customWidth="1"/>
    <col min="11" max="13" width="9.5703125" bestFit="1" customWidth="1"/>
    <col min="15" max="15" width="18.5703125" bestFit="1" customWidth="1"/>
  </cols>
  <sheetData>
    <row r="2" spans="1:22" ht="15.75" x14ac:dyDescent="0.25">
      <c r="B2" s="56" t="s">
        <v>6</v>
      </c>
      <c r="C2" s="57" t="s">
        <v>18</v>
      </c>
      <c r="D2" s="58" t="s">
        <v>19</v>
      </c>
      <c r="E2" s="58"/>
      <c r="F2" s="58"/>
      <c r="G2" s="58"/>
      <c r="H2" s="58"/>
      <c r="I2" s="58"/>
    </row>
    <row r="3" spans="1:22" ht="21" x14ac:dyDescent="0.25">
      <c r="B3" s="56"/>
      <c r="C3" s="57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 x14ac:dyDescent="0.4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20</v>
      </c>
      <c r="E5" s="14" t="s">
        <v>9</v>
      </c>
      <c r="G5" s="58" t="s">
        <v>21</v>
      </c>
      <c r="H5" s="58"/>
      <c r="I5" s="58"/>
      <c r="J5" s="58"/>
      <c r="K5" s="58"/>
      <c r="L5" s="58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5">
      <c r="A13" s="10"/>
      <c r="B13" s="3"/>
      <c r="C13" s="4"/>
    </row>
    <row r="14" spans="1:22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5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5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5">
      <c r="A21" s="10"/>
      <c r="B21" s="3"/>
      <c r="C21" s="4"/>
    </row>
    <row r="22" spans="1:15" x14ac:dyDescent="0.2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6"/>
  <sheetViews>
    <sheetView tabSelected="1" zoomScaleNormal="100" workbookViewId="0">
      <selection activeCell="H43" sqref="H43"/>
    </sheetView>
  </sheetViews>
  <sheetFormatPr defaultRowHeight="15" x14ac:dyDescent="0.25"/>
  <cols>
    <col min="1" max="1" width="23.570312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6" t="s">
        <v>6</v>
      </c>
      <c r="C2" s="57" t="s">
        <v>18</v>
      </c>
      <c r="D2" s="58" t="s">
        <v>19</v>
      </c>
      <c r="E2" s="58"/>
      <c r="F2" s="58"/>
      <c r="G2" s="58"/>
      <c r="H2" s="58"/>
      <c r="I2" s="58"/>
    </row>
    <row r="3" spans="1:14" ht="21" x14ac:dyDescent="0.25">
      <c r="B3" s="56"/>
      <c r="C3" s="57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 x14ac:dyDescent="0.4">
      <c r="A4" s="19" t="s">
        <v>17</v>
      </c>
      <c r="B4" s="9">
        <v>300000</v>
      </c>
      <c r="C4" s="20">
        <f>D15</f>
        <v>8.0799999999999997E-2</v>
      </c>
      <c r="D4" s="20">
        <f t="shared" ref="D4:I4" si="0">G24</f>
        <v>3.2000000000000002E-3</v>
      </c>
      <c r="E4" s="20">
        <f t="shared" si="0"/>
        <v>2.8E-3</v>
      </c>
      <c r="F4" s="20">
        <f t="shared" si="0"/>
        <v>1.14E-2</v>
      </c>
      <c r="G4" s="20">
        <f t="shared" si="0"/>
        <v>2.5000000000000001E-3</v>
      </c>
      <c r="H4" s="20">
        <f t="shared" si="0"/>
        <v>3.5000000000000003E-2</v>
      </c>
      <c r="I4" s="20">
        <f t="shared" si="0"/>
        <v>2.5899999999999999E-2</v>
      </c>
    </row>
    <row r="5" spans="1:14" ht="32.25" customHeight="1" x14ac:dyDescent="0.25">
      <c r="G5" s="58" t="s">
        <v>21</v>
      </c>
      <c r="H5" s="58"/>
      <c r="I5" s="58"/>
      <c r="J5" s="58"/>
      <c r="K5" s="58"/>
      <c r="L5" s="58"/>
    </row>
    <row r="6" spans="1:14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8.0799999999999997E-2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5">
      <c r="A15" s="10" t="s">
        <v>11</v>
      </c>
      <c r="B15" s="3">
        <f t="shared" si="1"/>
        <v>8.0799999999999997E-2</v>
      </c>
      <c r="C15" s="4">
        <f>ROUND(B15,5)</f>
        <v>8.0799999999999997E-2</v>
      </c>
      <c r="D15" s="3">
        <f>ROUND(D14,4)</f>
        <v>8.0799999999999997E-2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3.2320000000000001E-3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2.8280000000000002E-3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1.13524E-2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2.4643999999999998E-3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3.50672E-2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2.5856000000000001E-2</v>
      </c>
      <c r="M15" s="48"/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3.2000000000000002E-3</v>
      </c>
      <c r="H16" s="22">
        <f t="shared" ref="H16:L16" si="4">ROUND(H15,4)</f>
        <v>2.8E-3</v>
      </c>
      <c r="I16" s="22">
        <f t="shared" si="4"/>
        <v>1.14E-2</v>
      </c>
      <c r="J16" s="22">
        <f t="shared" si="4"/>
        <v>2.5000000000000001E-3</v>
      </c>
      <c r="K16" s="22">
        <f t="shared" si="4"/>
        <v>3.5099999999999999E-2</v>
      </c>
      <c r="L16" s="22">
        <f t="shared" si="4"/>
        <v>2.5899999999999999E-2</v>
      </c>
      <c r="M16" s="4">
        <f>SUM(G16:L16)</f>
        <v>8.09E-2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3.2000000000000002E-3</v>
      </c>
      <c r="H17" s="21">
        <f t="shared" si="5"/>
        <v>2.8E-3</v>
      </c>
      <c r="I17" s="21">
        <f t="shared" si="5"/>
        <v>1.14E-2</v>
      </c>
      <c r="J17" s="21">
        <f t="shared" si="5"/>
        <v>2.5000000000000001E-3</v>
      </c>
      <c r="K17" s="21">
        <f t="shared" si="5"/>
        <v>3.4999999999999996E-2</v>
      </c>
      <c r="L17" s="21">
        <f t="shared" si="5"/>
        <v>2.5899999999999999E-2</v>
      </c>
      <c r="M17" s="4">
        <f>SUM(G17:L17)</f>
        <v>8.0799999999999983E-2</v>
      </c>
      <c r="N17" s="23">
        <f>SUM(G17:L17)</f>
        <v>8.0799999999999983E-2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3.2000000000000002E-3</v>
      </c>
      <c r="H18" s="21">
        <f t="shared" ref="H18:L18" si="6">ROUND(H17,4)</f>
        <v>2.8E-3</v>
      </c>
      <c r="I18" s="21">
        <f t="shared" si="6"/>
        <v>1.14E-2</v>
      </c>
      <c r="J18" s="21">
        <f t="shared" si="6"/>
        <v>2.5000000000000001E-3</v>
      </c>
      <c r="K18" s="21">
        <f t="shared" si="6"/>
        <v>3.5000000000000003E-2</v>
      </c>
      <c r="L18" s="21">
        <f t="shared" si="6"/>
        <v>2.5899999999999999E-2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-1.0000000000000286E-4</v>
      </c>
    </row>
    <row r="20" spans="1:14" hidden="1" x14ac:dyDescent="0.25">
      <c r="A20" s="10"/>
      <c r="B20" s="3"/>
      <c r="C20" s="4"/>
      <c r="G20" s="21">
        <f>G18</f>
        <v>3.2000000000000002E-3</v>
      </c>
      <c r="H20" s="21">
        <f>H18</f>
        <v>2.8E-3</v>
      </c>
      <c r="I20" s="21">
        <f>I18</f>
        <v>1.14E-2</v>
      </c>
      <c r="J20" s="21">
        <f t="shared" ref="J20:L20" si="8">J18</f>
        <v>2.5000000000000001E-3</v>
      </c>
      <c r="K20" s="21">
        <f t="shared" si="8"/>
        <v>3.5000000000000003E-2</v>
      </c>
      <c r="L20" s="21">
        <f t="shared" si="8"/>
        <v>2.5899999999999999E-2</v>
      </c>
      <c r="M20" s="21">
        <f>L20-N14</f>
        <v>-2.4100000000000003E-2</v>
      </c>
      <c r="N20" s="21">
        <f>IF(M20&gt;0,M20,0)</f>
        <v>0</v>
      </c>
    </row>
    <row r="21" spans="1:14" hidden="1" x14ac:dyDescent="0.25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G22" s="21">
        <f>G18+G21</f>
        <v>3.2000000000000002E-3</v>
      </c>
      <c r="H22" s="21">
        <f t="shared" ref="H22:K22" si="10">H18+H21</f>
        <v>2.8E-3</v>
      </c>
      <c r="I22" s="21">
        <f t="shared" si="10"/>
        <v>1.14E-2</v>
      </c>
      <c r="J22" s="21">
        <f t="shared" si="10"/>
        <v>2.5000000000000001E-3</v>
      </c>
      <c r="K22" s="21">
        <f t="shared" si="10"/>
        <v>3.5000000000000003E-2</v>
      </c>
      <c r="L22" s="21">
        <f>L20-N20</f>
        <v>2.5899999999999999E-2</v>
      </c>
      <c r="M22" s="21">
        <f>SUM(G22:L22)</f>
        <v>8.0800000000000011E-2</v>
      </c>
    </row>
    <row r="23" spans="1:14" hidden="1" x14ac:dyDescent="0.25">
      <c r="G23" s="21">
        <f>ROUND(G22,4)</f>
        <v>3.2000000000000002E-3</v>
      </c>
      <c r="H23" s="21">
        <f t="shared" ref="H23:K23" si="11">ROUND(H22,4)</f>
        <v>2.8E-3</v>
      </c>
      <c r="I23" s="21">
        <f t="shared" si="11"/>
        <v>1.14E-2</v>
      </c>
      <c r="J23" s="21">
        <f t="shared" si="11"/>
        <v>2.5000000000000001E-3</v>
      </c>
      <c r="K23" s="21">
        <f t="shared" si="11"/>
        <v>3.5000000000000003E-2</v>
      </c>
      <c r="L23" s="21">
        <f>TRUNC(L22,4)</f>
        <v>2.5899999999999999E-2</v>
      </c>
      <c r="M23" s="21">
        <f>SUM(G23:L23)</f>
        <v>8.0800000000000011E-2</v>
      </c>
      <c r="N23" s="21">
        <f>M22-M23</f>
        <v>0</v>
      </c>
    </row>
    <row r="24" spans="1:14" ht="23.25" hidden="1" x14ac:dyDescent="0.35">
      <c r="A24" s="49" t="s">
        <v>25</v>
      </c>
      <c r="B24" s="50">
        <v>2064579</v>
      </c>
      <c r="G24" s="21">
        <f>IF(G23=MAX($G$23:$K$23),(G23+$N$23),IF(G23&lt;&gt;MAX($G$23:$K$23),G23))</f>
        <v>3.2000000000000002E-3</v>
      </c>
      <c r="H24" s="21">
        <f t="shared" ref="H24:L24" si="12">IF(H23=MAX($G$23:$L$23),(H23+$N$23),IF(H23&lt;&gt;MAX($G$23:$L$23),H23))</f>
        <v>2.8E-3</v>
      </c>
      <c r="I24" s="21">
        <f t="shared" si="12"/>
        <v>1.14E-2</v>
      </c>
      <c r="J24" s="21">
        <f t="shared" si="12"/>
        <v>2.5000000000000001E-3</v>
      </c>
      <c r="K24" s="21">
        <f t="shared" si="12"/>
        <v>3.5000000000000003E-2</v>
      </c>
      <c r="L24" s="21">
        <f t="shared" si="12"/>
        <v>2.5899999999999999E-2</v>
      </c>
      <c r="M24" s="23">
        <f>SUM(G24:L24)</f>
        <v>8.0800000000000011E-2</v>
      </c>
    </row>
    <row r="25" spans="1:14" hidden="1" x14ac:dyDescent="0.25">
      <c r="G25" s="21"/>
      <c r="H25" s="21"/>
      <c r="I25" s="21"/>
      <c r="J25" s="21"/>
      <c r="K25" s="21"/>
      <c r="L25" s="21"/>
      <c r="M25" s="21"/>
    </row>
    <row r="26" spans="1:14" hidden="1" x14ac:dyDescent="0.25"/>
    <row r="27" spans="1:14" ht="15.75" hidden="1" thickBot="1" x14ac:dyDescent="0.3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3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5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5">
      <c r="G30" s="22">
        <f>($C$4-5%)*G29</f>
        <v>1.8526315789473679E-3</v>
      </c>
      <c r="H30" s="22">
        <f>($C$4-5%)*H29</f>
        <v>1.6210526315789471E-3</v>
      </c>
      <c r="I30" s="22">
        <f>($C$4-5%)*I29</f>
        <v>5.9376842105263146E-3</v>
      </c>
      <c r="J30" s="22">
        <f>($C$4-5%)*J29</f>
        <v>1.2875789473684206E-3</v>
      </c>
      <c r="K30" s="22">
        <f>($C$4-5%)*K29</f>
        <v>2.010105263157894E-2</v>
      </c>
      <c r="L30" s="36">
        <v>0.05</v>
      </c>
      <c r="M30" s="37">
        <f>SUM(G30:L30)</f>
        <v>8.0799999999999997E-2</v>
      </c>
    </row>
    <row r="31" spans="1:14" hidden="1" x14ac:dyDescent="0.25">
      <c r="G31" s="21">
        <f>ROUND(G30,4)</f>
        <v>1.9E-3</v>
      </c>
      <c r="H31" s="21">
        <f t="shared" ref="H31:L31" si="15">ROUND(H30,4)</f>
        <v>1.6000000000000001E-3</v>
      </c>
      <c r="I31" s="21">
        <f t="shared" si="15"/>
        <v>5.8999999999999999E-3</v>
      </c>
      <c r="J31" s="21">
        <f t="shared" si="15"/>
        <v>1.2999999999999999E-3</v>
      </c>
      <c r="K31" s="21">
        <f t="shared" si="15"/>
        <v>2.01E-2</v>
      </c>
      <c r="L31" s="21">
        <f t="shared" si="15"/>
        <v>0.05</v>
      </c>
      <c r="M31" s="37">
        <f>SUM(G31:L31)</f>
        <v>8.0800000000000011E-2</v>
      </c>
      <c r="N31" s="37">
        <f>-M31+M30</f>
        <v>0</v>
      </c>
    </row>
    <row r="32" spans="1:14" hidden="1" x14ac:dyDescent="0.25">
      <c r="G32" s="21">
        <f>IF(G31=MAX($G$31:$L$31),(G31+$N$31),IF(G31&lt;&gt;MAX($G$31:$L$31),G31))</f>
        <v>1.9E-3</v>
      </c>
      <c r="H32" s="21">
        <f t="shared" ref="H32:K32" si="16">IF(H31=MAX($G$31:$L$31),(H31+$N$31),IF(H31&lt;&gt;MAX($G$31:$L$31),H31))</f>
        <v>1.6000000000000001E-3</v>
      </c>
      <c r="I32" s="21">
        <f t="shared" si="16"/>
        <v>5.8999999999999999E-3</v>
      </c>
      <c r="J32" s="21">
        <f t="shared" si="16"/>
        <v>1.2999999999999999E-3</v>
      </c>
      <c r="K32" s="21">
        <f t="shared" si="16"/>
        <v>2.01E-2</v>
      </c>
      <c r="L32" s="21">
        <f>IF(L31=MAX($G$16:$L$16),(L31+$M$19),IF(L31&lt;&gt;MAX($G$16:$L$16),L31))</f>
        <v>0.05</v>
      </c>
      <c r="M32" s="21">
        <f>SUM(G32:L32)</f>
        <v>8.0800000000000011E-2</v>
      </c>
    </row>
    <row r="33" spans="2:12" hidden="1" x14ac:dyDescent="0.25"/>
    <row r="34" spans="2:12" hidden="1" x14ac:dyDescent="0.25"/>
    <row r="35" spans="2:12" hidden="1" x14ac:dyDescent="0.25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2:12" hidden="1" x14ac:dyDescent="0.25">
      <c r="G36" s="22">
        <f>IF($C$4&gt;$N$4,($C$4-$R$8)*G29)</f>
        <v>4.8601503759398493E-3</v>
      </c>
      <c r="H36" s="22">
        <f t="shared" ref="H36:K36" si="18">IF($C$4&gt;$N$4,($C$4-$R$8)*H29)</f>
        <v>4.252631578947369E-3</v>
      </c>
      <c r="I36" s="22">
        <f t="shared" si="18"/>
        <v>1.5576781954887218E-2</v>
      </c>
      <c r="J36" s="22">
        <f t="shared" si="18"/>
        <v>3.377804511278195E-3</v>
      </c>
      <c r="K36" s="22">
        <f t="shared" si="18"/>
        <v>5.2732631578947357E-2</v>
      </c>
    </row>
    <row r="37" spans="2:12" hidden="1" x14ac:dyDescent="0.25"/>
    <row r="38" spans="2:12" hidden="1" x14ac:dyDescent="0.25"/>
    <row r="39" spans="2:12" hidden="1" x14ac:dyDescent="0.25"/>
    <row r="40" spans="2:12" ht="15.75" hidden="1" thickBot="1" x14ac:dyDescent="0.3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2:12" hidden="1" x14ac:dyDescent="0.25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2:12" hidden="1" x14ac:dyDescent="0.25"/>
    <row r="44" spans="2:12" x14ac:dyDescent="0.25">
      <c r="B44" s="54">
        <f>B4*11.2%</f>
        <v>33600</v>
      </c>
      <c r="C44" s="54">
        <f>-E8</f>
        <v>-9360</v>
      </c>
      <c r="D44" s="54">
        <f>SUM(B44:C44)</f>
        <v>24240</v>
      </c>
      <c r="E44" s="55">
        <f>D44/B4*100</f>
        <v>8.08</v>
      </c>
    </row>
    <row r="46" spans="2:12" x14ac:dyDescent="0.25">
      <c r="B46" s="55" t="s">
        <v>28</v>
      </c>
    </row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6"/>
  <sheetViews>
    <sheetView zoomScale="110" zoomScaleNormal="110" workbookViewId="0">
      <selection activeCell="D13" sqref="D13"/>
    </sheetView>
  </sheetViews>
  <sheetFormatPr defaultRowHeight="15" x14ac:dyDescent="0.25"/>
  <cols>
    <col min="1" max="1" width="23.5703125" customWidth="1"/>
    <col min="2" max="2" width="21.5703125" bestFit="1" customWidth="1"/>
    <col min="3" max="4" width="15.5703125" bestFit="1" customWidth="1"/>
    <col min="5" max="8" width="15.570312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6" t="s">
        <v>6</v>
      </c>
      <c r="C2" s="57" t="s">
        <v>18</v>
      </c>
      <c r="D2" s="58" t="s">
        <v>19</v>
      </c>
      <c r="E2" s="58"/>
      <c r="F2" s="58"/>
      <c r="G2" s="58"/>
      <c r="H2" s="58"/>
      <c r="I2" s="58"/>
    </row>
    <row r="3" spans="1:20" ht="21" x14ac:dyDescent="0.25">
      <c r="B3" s="56"/>
      <c r="C3" s="57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 x14ac:dyDescent="0.4">
      <c r="A4" s="19" t="s">
        <v>17</v>
      </c>
      <c r="B4" s="9">
        <v>180000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 x14ac:dyDescent="0.25">
      <c r="G5" s="58" t="s">
        <v>21</v>
      </c>
      <c r="H5" s="58"/>
      <c r="I5" s="58"/>
      <c r="J5" s="58"/>
      <c r="K5" s="58"/>
      <c r="L5" s="58"/>
    </row>
    <row r="6" spans="1:20" ht="30.75" thickBot="1" x14ac:dyDescent="0.3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5">
      <c r="A13" s="10"/>
      <c r="B13" s="3"/>
      <c r="C13" s="4"/>
      <c r="K13" s="32"/>
    </row>
    <row r="14" spans="1:20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5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5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5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5"/>
    <row r="26" spans="1:14" hidden="1" x14ac:dyDescent="0.25"/>
    <row r="27" spans="1:14" hidden="1" x14ac:dyDescent="0.25"/>
    <row r="28" spans="1:14" ht="15.75" hidden="1" thickBot="1" x14ac:dyDescent="0.3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5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5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5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 x14ac:dyDescent="0.25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2:13" hidden="1" x14ac:dyDescent="0.25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2:13" hidden="1" x14ac:dyDescent="0.25"/>
    <row r="35" spans="2:13" hidden="1" x14ac:dyDescent="0.25"/>
    <row r="36" spans="2:13" hidden="1" x14ac:dyDescent="0.25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2:13" hidden="1" x14ac:dyDescent="0.25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2:13" hidden="1" x14ac:dyDescent="0.25"/>
    <row r="39" spans="2:13" hidden="1" x14ac:dyDescent="0.25"/>
    <row r="40" spans="2:13" hidden="1" x14ac:dyDescent="0.25"/>
    <row r="41" spans="2:13" hidden="1" x14ac:dyDescent="0.25"/>
    <row r="42" spans="2:13" hidden="1" x14ac:dyDescent="0.25"/>
    <row r="43" spans="2:13" hidden="1" x14ac:dyDescent="0.25"/>
    <row r="44" spans="2:13" hidden="1" x14ac:dyDescent="0.25"/>
    <row r="46" spans="2:13" x14ac:dyDescent="0.25">
      <c r="B46" s="55" t="s">
        <v>27</v>
      </c>
      <c r="C46" s="55"/>
    </row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Normal="100" workbookViewId="0">
      <selection activeCell="B26" sqref="B26"/>
    </sheetView>
  </sheetViews>
  <sheetFormatPr defaultRowHeight="15" x14ac:dyDescent="0.25"/>
  <cols>
    <col min="1" max="1" width="23.5703125" customWidth="1"/>
    <col min="2" max="2" width="21.5703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42578125" customWidth="1"/>
    <col min="13" max="13" width="8.140625" bestFit="1" customWidth="1"/>
    <col min="14" max="14" width="13.42578125" bestFit="1" customWidth="1"/>
  </cols>
  <sheetData>
    <row r="2" spans="1:13" ht="15.75" x14ac:dyDescent="0.25">
      <c r="B2" s="56" t="s">
        <v>6</v>
      </c>
      <c r="C2" s="57" t="s">
        <v>18</v>
      </c>
      <c r="D2" s="58" t="s">
        <v>19</v>
      </c>
      <c r="E2" s="58"/>
      <c r="F2" s="58"/>
      <c r="G2" s="58"/>
      <c r="H2" s="58"/>
      <c r="I2" s="58"/>
    </row>
    <row r="3" spans="1:13" ht="21" x14ac:dyDescent="0.25">
      <c r="B3" s="56"/>
      <c r="C3" s="57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 x14ac:dyDescent="0.4">
      <c r="A4" s="19" t="s">
        <v>17</v>
      </c>
      <c r="B4" s="9">
        <v>180000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8" t="s">
        <v>21</v>
      </c>
      <c r="H5" s="58"/>
      <c r="I5" s="58"/>
      <c r="J5" s="58"/>
      <c r="K5" s="58"/>
      <c r="L5" s="58"/>
    </row>
    <row r="6" spans="1:13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5">
      <c r="A13" s="10"/>
      <c r="B13" s="3"/>
      <c r="C13" s="4"/>
    </row>
    <row r="14" spans="1:13" hidden="1" x14ac:dyDescent="0.25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5">
      <c r="A20" s="10"/>
      <c r="B20" s="3"/>
      <c r="C20" s="4"/>
    </row>
    <row r="21" spans="1:14" hidden="1" x14ac:dyDescent="0.25"/>
    <row r="22" spans="1:14" hidden="1" x14ac:dyDescent="0.25"/>
    <row r="23" spans="1:14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Angela Dantas</cp:lastModifiedBy>
  <dcterms:created xsi:type="dcterms:W3CDTF">2015-03-08T09:25:42Z</dcterms:created>
  <dcterms:modified xsi:type="dcterms:W3CDTF">2017-10-17T00:44:22Z</dcterms:modified>
</cp:coreProperties>
</file>